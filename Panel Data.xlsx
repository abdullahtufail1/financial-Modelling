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MLS\Downloads\Financial modeling\Finals\Outliers detection\"/>
    </mc:Choice>
  </mc:AlternateContent>
  <bookViews>
    <workbookView xWindow="0" yWindow="0" windowWidth="23040" windowHeight="8616" activeTab="2"/>
  </bookViews>
  <sheets>
    <sheet name="Outliers" sheetId="1" r:id="rId1"/>
    <sheet name="Sheet2" sheetId="2" r:id="rId2"/>
    <sheet name="My practice" sheetId="3" r:id="rId3"/>
  </sheets>
  <definedNames>
    <definedName name="_xlnm._FilterDatabase" localSheetId="2" hidden="1">'My practice'!$A$1:$R$1008</definedName>
    <definedName name="_xlnm._FilterDatabase" localSheetId="0" hidden="1">Outliers!$A$1:$T$1008</definedName>
    <definedName name="_xlnm._FilterDatabase" localSheetId="1" hidden="1">Sheet2!$C$1:$Q$1008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2" i="3" l="1"/>
  <c r="R3" i="3" l="1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79" i="3"/>
  <c r="R80" i="3"/>
  <c r="R81" i="3"/>
  <c r="R82" i="3"/>
  <c r="R83" i="3"/>
  <c r="R84" i="3"/>
  <c r="R85" i="3"/>
  <c r="R86" i="3"/>
  <c r="R87" i="3"/>
  <c r="R88" i="3"/>
  <c r="R89" i="3"/>
  <c r="R90" i="3"/>
  <c r="R91" i="3"/>
  <c r="R92" i="3"/>
  <c r="R93" i="3"/>
  <c r="R94" i="3"/>
  <c r="R95" i="3"/>
  <c r="R96" i="3"/>
  <c r="R97" i="3"/>
  <c r="R98" i="3"/>
  <c r="R99" i="3"/>
  <c r="R100" i="3"/>
  <c r="R101" i="3"/>
  <c r="R102" i="3"/>
  <c r="R103" i="3"/>
  <c r="R104" i="3"/>
  <c r="R105" i="3"/>
  <c r="R106" i="3"/>
  <c r="R107" i="3"/>
  <c r="R108" i="3"/>
  <c r="R109" i="3"/>
  <c r="R110" i="3"/>
  <c r="R111" i="3"/>
  <c r="R112" i="3"/>
  <c r="R113" i="3"/>
  <c r="R114" i="3"/>
  <c r="R115" i="3"/>
  <c r="R116" i="3"/>
  <c r="R117" i="3"/>
  <c r="R118" i="3"/>
  <c r="R119" i="3"/>
  <c r="R120" i="3"/>
  <c r="R121" i="3"/>
  <c r="R122" i="3"/>
  <c r="R123" i="3"/>
  <c r="R124" i="3"/>
  <c r="R125" i="3"/>
  <c r="R126" i="3"/>
  <c r="R127" i="3"/>
  <c r="R128" i="3"/>
  <c r="R129" i="3"/>
  <c r="R130" i="3"/>
  <c r="R131" i="3"/>
  <c r="R132" i="3"/>
  <c r="R133" i="3"/>
  <c r="R134" i="3"/>
  <c r="R135" i="3"/>
  <c r="R136" i="3"/>
  <c r="R137" i="3"/>
  <c r="R138" i="3"/>
  <c r="R139" i="3"/>
  <c r="R140" i="3"/>
  <c r="R141" i="3"/>
  <c r="R142" i="3"/>
  <c r="R143" i="3"/>
  <c r="R144" i="3"/>
  <c r="R145" i="3"/>
  <c r="R146" i="3"/>
  <c r="R147" i="3"/>
  <c r="R148" i="3"/>
  <c r="R149" i="3"/>
  <c r="R150" i="3"/>
  <c r="R151" i="3"/>
  <c r="R152" i="3"/>
  <c r="R153" i="3"/>
  <c r="R154" i="3"/>
  <c r="R155" i="3"/>
  <c r="R156" i="3"/>
  <c r="R157" i="3"/>
  <c r="R158" i="3"/>
  <c r="R159" i="3"/>
  <c r="R160" i="3"/>
  <c r="R161" i="3"/>
  <c r="R162" i="3"/>
  <c r="R163" i="3"/>
  <c r="R164" i="3"/>
  <c r="R165" i="3"/>
  <c r="R166" i="3"/>
  <c r="R167" i="3"/>
  <c r="R168" i="3"/>
  <c r="R169" i="3"/>
  <c r="R170" i="3"/>
  <c r="R171" i="3"/>
  <c r="R172" i="3"/>
  <c r="R173" i="3"/>
  <c r="R174" i="3"/>
  <c r="R175" i="3"/>
  <c r="R176" i="3"/>
  <c r="R177" i="3"/>
  <c r="R178" i="3"/>
  <c r="R179" i="3"/>
  <c r="R180" i="3"/>
  <c r="R181" i="3"/>
  <c r="R182" i="3"/>
  <c r="R183" i="3"/>
  <c r="R184" i="3"/>
  <c r="R185" i="3"/>
  <c r="R186" i="3"/>
  <c r="R187" i="3"/>
  <c r="R188" i="3"/>
  <c r="R189" i="3"/>
  <c r="R190" i="3"/>
  <c r="R191" i="3"/>
  <c r="R192" i="3"/>
  <c r="R193" i="3"/>
  <c r="R194" i="3"/>
  <c r="R195" i="3"/>
  <c r="R196" i="3"/>
  <c r="R197" i="3"/>
  <c r="R198" i="3"/>
  <c r="R199" i="3"/>
  <c r="R200" i="3"/>
  <c r="R201" i="3"/>
  <c r="R202" i="3"/>
  <c r="R203" i="3"/>
  <c r="R204" i="3"/>
  <c r="R205" i="3"/>
  <c r="R206" i="3"/>
  <c r="R207" i="3"/>
  <c r="R208" i="3"/>
  <c r="R209" i="3"/>
  <c r="R210" i="3"/>
  <c r="R211" i="3"/>
  <c r="R212" i="3"/>
  <c r="R213" i="3"/>
  <c r="R214" i="3"/>
  <c r="R215" i="3"/>
  <c r="R216" i="3"/>
  <c r="R217" i="3"/>
  <c r="R218" i="3"/>
  <c r="R219" i="3"/>
  <c r="R220" i="3"/>
  <c r="R221" i="3"/>
  <c r="R222" i="3"/>
  <c r="R223" i="3"/>
  <c r="R224" i="3"/>
  <c r="R225" i="3"/>
  <c r="R226" i="3"/>
  <c r="R227" i="3"/>
  <c r="R228" i="3"/>
  <c r="R229" i="3"/>
  <c r="R230" i="3"/>
  <c r="R231" i="3"/>
  <c r="R232" i="3"/>
  <c r="R233" i="3"/>
  <c r="R234" i="3"/>
  <c r="R235" i="3"/>
  <c r="R236" i="3"/>
  <c r="R237" i="3"/>
  <c r="R238" i="3"/>
  <c r="R239" i="3"/>
  <c r="R240" i="3"/>
  <c r="R241" i="3"/>
  <c r="R242" i="3"/>
  <c r="R243" i="3"/>
  <c r="R244" i="3"/>
  <c r="R245" i="3"/>
  <c r="R246" i="3"/>
  <c r="R247" i="3"/>
  <c r="R248" i="3"/>
  <c r="R249" i="3"/>
  <c r="R250" i="3"/>
  <c r="R251" i="3"/>
  <c r="R252" i="3"/>
  <c r="R253" i="3"/>
  <c r="R254" i="3"/>
  <c r="R255" i="3"/>
  <c r="R256" i="3"/>
  <c r="R257" i="3"/>
  <c r="R258" i="3"/>
  <c r="R259" i="3"/>
  <c r="R260" i="3"/>
  <c r="R261" i="3"/>
  <c r="R262" i="3"/>
  <c r="R263" i="3"/>
  <c r="R264" i="3"/>
  <c r="R265" i="3"/>
  <c r="R266" i="3"/>
  <c r="R267" i="3"/>
  <c r="R268" i="3"/>
  <c r="R269" i="3"/>
  <c r="R270" i="3"/>
  <c r="R271" i="3"/>
  <c r="R272" i="3"/>
  <c r="R273" i="3"/>
  <c r="R274" i="3"/>
  <c r="R275" i="3"/>
  <c r="R276" i="3"/>
  <c r="R277" i="3"/>
  <c r="R278" i="3"/>
  <c r="R279" i="3"/>
  <c r="R280" i="3"/>
  <c r="R281" i="3"/>
  <c r="R282" i="3"/>
  <c r="R283" i="3"/>
  <c r="R284" i="3"/>
  <c r="R285" i="3"/>
  <c r="R286" i="3"/>
  <c r="R287" i="3"/>
  <c r="R288" i="3"/>
  <c r="R289" i="3"/>
  <c r="R290" i="3"/>
  <c r="R291" i="3"/>
  <c r="R292" i="3"/>
  <c r="R293" i="3"/>
  <c r="R294" i="3"/>
  <c r="R295" i="3"/>
  <c r="R296" i="3"/>
  <c r="R297" i="3"/>
  <c r="R298" i="3"/>
  <c r="R299" i="3"/>
  <c r="R300" i="3"/>
  <c r="R301" i="3"/>
  <c r="R302" i="3"/>
  <c r="R303" i="3"/>
  <c r="R304" i="3"/>
  <c r="R305" i="3"/>
  <c r="R306" i="3"/>
  <c r="R307" i="3"/>
  <c r="R308" i="3"/>
  <c r="R309" i="3"/>
  <c r="R310" i="3"/>
  <c r="R311" i="3"/>
  <c r="R312" i="3"/>
  <c r="R313" i="3"/>
  <c r="R314" i="3"/>
  <c r="R315" i="3"/>
  <c r="R316" i="3"/>
  <c r="R317" i="3"/>
  <c r="R318" i="3"/>
  <c r="R319" i="3"/>
  <c r="R320" i="3"/>
  <c r="R321" i="3"/>
  <c r="R322" i="3"/>
  <c r="R323" i="3"/>
  <c r="R324" i="3"/>
  <c r="R325" i="3"/>
  <c r="R326" i="3"/>
  <c r="R327" i="3"/>
  <c r="R328" i="3"/>
  <c r="R329" i="3"/>
  <c r="R330" i="3"/>
  <c r="R331" i="3"/>
  <c r="R332" i="3"/>
  <c r="R333" i="3"/>
  <c r="R334" i="3"/>
  <c r="R335" i="3"/>
  <c r="R336" i="3"/>
  <c r="R337" i="3"/>
  <c r="R338" i="3"/>
  <c r="R339" i="3"/>
  <c r="R340" i="3"/>
  <c r="R341" i="3"/>
  <c r="R342" i="3"/>
  <c r="R343" i="3"/>
  <c r="R344" i="3"/>
  <c r="R345" i="3"/>
  <c r="R346" i="3"/>
  <c r="R347" i="3"/>
  <c r="R348" i="3"/>
  <c r="R349" i="3"/>
  <c r="R350" i="3"/>
  <c r="R351" i="3"/>
  <c r="R352" i="3"/>
  <c r="R353" i="3"/>
  <c r="R354" i="3"/>
  <c r="R355" i="3"/>
  <c r="R356" i="3"/>
  <c r="R357" i="3"/>
  <c r="R358" i="3"/>
  <c r="R359" i="3"/>
  <c r="R360" i="3"/>
  <c r="R361" i="3"/>
  <c r="R362" i="3"/>
  <c r="R363" i="3"/>
  <c r="R364" i="3"/>
  <c r="R365" i="3"/>
  <c r="R366" i="3"/>
  <c r="R367" i="3"/>
  <c r="R368" i="3"/>
  <c r="R369" i="3"/>
  <c r="R370" i="3"/>
  <c r="R371" i="3"/>
  <c r="R372" i="3"/>
  <c r="R373" i="3"/>
  <c r="R374" i="3"/>
  <c r="R375" i="3"/>
  <c r="R376" i="3"/>
  <c r="R377" i="3"/>
  <c r="R378" i="3"/>
  <c r="R379" i="3"/>
  <c r="R380" i="3"/>
  <c r="R381" i="3"/>
  <c r="R382" i="3"/>
  <c r="R383" i="3"/>
  <c r="R384" i="3"/>
  <c r="R385" i="3"/>
  <c r="R386" i="3"/>
  <c r="R387" i="3"/>
  <c r="R388" i="3"/>
  <c r="R389" i="3"/>
  <c r="R390" i="3"/>
  <c r="R391" i="3"/>
  <c r="R392" i="3"/>
  <c r="R393" i="3"/>
  <c r="R394" i="3"/>
  <c r="R395" i="3"/>
  <c r="R396" i="3"/>
  <c r="R397" i="3"/>
  <c r="R398" i="3"/>
  <c r="R399" i="3"/>
  <c r="R400" i="3"/>
  <c r="R401" i="3"/>
  <c r="R402" i="3"/>
  <c r="R403" i="3"/>
  <c r="R404" i="3"/>
  <c r="R405" i="3"/>
  <c r="R406" i="3"/>
  <c r="R407" i="3"/>
  <c r="R408" i="3"/>
  <c r="R409" i="3"/>
  <c r="R410" i="3"/>
  <c r="R411" i="3"/>
  <c r="R412" i="3"/>
  <c r="R413" i="3"/>
  <c r="R414" i="3"/>
  <c r="R415" i="3"/>
  <c r="R416" i="3"/>
  <c r="R417" i="3"/>
  <c r="R418" i="3"/>
  <c r="R419" i="3"/>
  <c r="R420" i="3"/>
  <c r="R421" i="3"/>
  <c r="R422" i="3"/>
  <c r="R423" i="3"/>
  <c r="R424" i="3"/>
  <c r="R425" i="3"/>
  <c r="R426" i="3"/>
  <c r="R427" i="3"/>
  <c r="R428" i="3"/>
  <c r="R429" i="3"/>
  <c r="R430" i="3"/>
  <c r="R431" i="3"/>
  <c r="R432" i="3"/>
  <c r="R433" i="3"/>
  <c r="R434" i="3"/>
  <c r="R435" i="3"/>
  <c r="R436" i="3"/>
  <c r="R437" i="3"/>
  <c r="R438" i="3"/>
  <c r="R439" i="3"/>
  <c r="R440" i="3"/>
  <c r="R441" i="3"/>
  <c r="R442" i="3"/>
  <c r="R443" i="3"/>
  <c r="R444" i="3"/>
  <c r="R445" i="3"/>
  <c r="R446" i="3"/>
  <c r="R447" i="3"/>
  <c r="R448" i="3"/>
  <c r="R449" i="3"/>
  <c r="R450" i="3"/>
  <c r="R451" i="3"/>
  <c r="R452" i="3"/>
  <c r="R453" i="3"/>
  <c r="R454" i="3"/>
  <c r="R455" i="3"/>
  <c r="R456" i="3"/>
  <c r="R457" i="3"/>
  <c r="R458" i="3"/>
  <c r="R459" i="3"/>
  <c r="R460" i="3"/>
  <c r="R461" i="3"/>
  <c r="R462" i="3"/>
  <c r="R463" i="3"/>
  <c r="R464" i="3"/>
  <c r="R465" i="3"/>
  <c r="R466" i="3"/>
  <c r="R467" i="3"/>
  <c r="R468" i="3"/>
  <c r="R469" i="3"/>
  <c r="R470" i="3"/>
  <c r="R471" i="3"/>
  <c r="R472" i="3"/>
  <c r="R473" i="3"/>
  <c r="R474" i="3"/>
  <c r="R475" i="3"/>
  <c r="R476" i="3"/>
  <c r="R477" i="3"/>
  <c r="R478" i="3"/>
  <c r="R479" i="3"/>
  <c r="R480" i="3"/>
  <c r="R481" i="3"/>
  <c r="R482" i="3"/>
  <c r="R483" i="3"/>
  <c r="R484" i="3"/>
  <c r="R485" i="3"/>
  <c r="R486" i="3"/>
  <c r="R487" i="3"/>
  <c r="R488" i="3"/>
  <c r="R489" i="3"/>
  <c r="R490" i="3"/>
  <c r="R491" i="3"/>
  <c r="R492" i="3"/>
  <c r="R493" i="3"/>
  <c r="R494" i="3"/>
  <c r="R495" i="3"/>
  <c r="R496" i="3"/>
  <c r="R497" i="3"/>
  <c r="R498" i="3"/>
  <c r="R499" i="3"/>
  <c r="R500" i="3"/>
  <c r="R501" i="3"/>
  <c r="R502" i="3"/>
  <c r="R503" i="3"/>
  <c r="R504" i="3"/>
  <c r="R505" i="3"/>
  <c r="R506" i="3"/>
  <c r="R507" i="3"/>
  <c r="R508" i="3"/>
  <c r="R509" i="3"/>
  <c r="R510" i="3"/>
  <c r="R511" i="3"/>
  <c r="R512" i="3"/>
  <c r="R513" i="3"/>
  <c r="R514" i="3"/>
  <c r="R515" i="3"/>
  <c r="R516" i="3"/>
  <c r="R517" i="3"/>
  <c r="R518" i="3"/>
  <c r="R519" i="3"/>
  <c r="R520" i="3"/>
  <c r="R521" i="3"/>
  <c r="R522" i="3"/>
  <c r="R523" i="3"/>
  <c r="R524" i="3"/>
  <c r="R525" i="3"/>
  <c r="R526" i="3"/>
  <c r="R527" i="3"/>
  <c r="R528" i="3"/>
  <c r="R529" i="3"/>
  <c r="R530" i="3"/>
  <c r="R531" i="3"/>
  <c r="R532" i="3"/>
  <c r="R533" i="3"/>
  <c r="R534" i="3"/>
  <c r="R535" i="3"/>
  <c r="R536" i="3"/>
  <c r="R537" i="3"/>
  <c r="R538" i="3"/>
  <c r="R539" i="3"/>
  <c r="R540" i="3"/>
  <c r="R541" i="3"/>
  <c r="R542" i="3"/>
  <c r="R543" i="3"/>
  <c r="R544" i="3"/>
  <c r="R545" i="3"/>
  <c r="R546" i="3"/>
  <c r="R547" i="3"/>
  <c r="R548" i="3"/>
  <c r="R549" i="3"/>
  <c r="R550" i="3"/>
  <c r="R551" i="3"/>
  <c r="R552" i="3"/>
  <c r="R553" i="3"/>
  <c r="R554" i="3"/>
  <c r="R555" i="3"/>
  <c r="R556" i="3"/>
  <c r="R557" i="3"/>
  <c r="R558" i="3"/>
  <c r="R559" i="3"/>
  <c r="R560" i="3"/>
  <c r="R561" i="3"/>
  <c r="R562" i="3"/>
  <c r="R563" i="3"/>
  <c r="R564" i="3"/>
  <c r="R565" i="3"/>
  <c r="R566" i="3"/>
  <c r="R567" i="3"/>
  <c r="R568" i="3"/>
  <c r="R569" i="3"/>
  <c r="R570" i="3"/>
  <c r="R571" i="3"/>
  <c r="R572" i="3"/>
  <c r="R573" i="3"/>
  <c r="R574" i="3"/>
  <c r="R575" i="3"/>
  <c r="R576" i="3"/>
  <c r="R577" i="3"/>
  <c r="R578" i="3"/>
  <c r="R579" i="3"/>
  <c r="R580" i="3"/>
  <c r="R581" i="3"/>
  <c r="R582" i="3"/>
  <c r="R583" i="3"/>
  <c r="R584" i="3"/>
  <c r="R585" i="3"/>
  <c r="R586" i="3"/>
  <c r="R587" i="3"/>
  <c r="R588" i="3"/>
  <c r="R589" i="3"/>
  <c r="R590" i="3"/>
  <c r="R591" i="3"/>
  <c r="R592" i="3"/>
  <c r="R593" i="3"/>
  <c r="R594" i="3"/>
  <c r="R595" i="3"/>
  <c r="R596" i="3"/>
  <c r="R597" i="3"/>
  <c r="R598" i="3"/>
  <c r="R599" i="3"/>
  <c r="R600" i="3"/>
  <c r="R601" i="3"/>
  <c r="R602" i="3"/>
  <c r="R603" i="3"/>
  <c r="R604" i="3"/>
  <c r="R605" i="3"/>
  <c r="R606" i="3"/>
  <c r="R607" i="3"/>
  <c r="R608" i="3"/>
  <c r="R609" i="3"/>
  <c r="R610" i="3"/>
  <c r="R611" i="3"/>
  <c r="R612" i="3"/>
  <c r="R613" i="3"/>
  <c r="R614" i="3"/>
  <c r="R615" i="3"/>
  <c r="R616" i="3"/>
  <c r="R617" i="3"/>
  <c r="R618" i="3"/>
  <c r="R619" i="3"/>
  <c r="R620" i="3"/>
  <c r="R621" i="3"/>
  <c r="R622" i="3"/>
  <c r="R623" i="3"/>
  <c r="R624" i="3"/>
  <c r="R625" i="3"/>
  <c r="R626" i="3"/>
  <c r="R627" i="3"/>
  <c r="R628" i="3"/>
  <c r="R629" i="3"/>
  <c r="R630" i="3"/>
  <c r="R631" i="3"/>
  <c r="R632" i="3"/>
  <c r="R633" i="3"/>
  <c r="R634" i="3"/>
  <c r="R635" i="3"/>
  <c r="R636" i="3"/>
  <c r="R637" i="3"/>
  <c r="R638" i="3"/>
  <c r="R639" i="3"/>
  <c r="R640" i="3"/>
  <c r="R641" i="3"/>
  <c r="R642" i="3"/>
  <c r="R643" i="3"/>
  <c r="R644" i="3"/>
  <c r="R645" i="3"/>
  <c r="R646" i="3"/>
  <c r="R647" i="3"/>
  <c r="R648" i="3"/>
  <c r="R649" i="3"/>
  <c r="R650" i="3"/>
  <c r="R651" i="3"/>
  <c r="R652" i="3"/>
  <c r="R653" i="3"/>
  <c r="R654" i="3"/>
  <c r="R655" i="3"/>
  <c r="R656" i="3"/>
  <c r="R657" i="3"/>
  <c r="R658" i="3"/>
  <c r="R659" i="3"/>
  <c r="R660" i="3"/>
  <c r="R661" i="3"/>
  <c r="R662" i="3"/>
  <c r="R663" i="3"/>
  <c r="R664" i="3"/>
  <c r="R665" i="3"/>
  <c r="R666" i="3"/>
  <c r="R667" i="3"/>
  <c r="R668" i="3"/>
  <c r="R669" i="3"/>
  <c r="R670" i="3"/>
  <c r="R671" i="3"/>
  <c r="R672" i="3"/>
  <c r="R673" i="3"/>
  <c r="R674" i="3"/>
  <c r="R675" i="3"/>
  <c r="R676" i="3"/>
  <c r="R677" i="3"/>
  <c r="R678" i="3"/>
  <c r="R679" i="3"/>
  <c r="R680" i="3"/>
  <c r="R681" i="3"/>
  <c r="R682" i="3"/>
  <c r="R683" i="3"/>
  <c r="R684" i="3"/>
  <c r="R685" i="3"/>
  <c r="R686" i="3"/>
  <c r="R687" i="3"/>
  <c r="R688" i="3"/>
  <c r="R689" i="3"/>
  <c r="R690" i="3"/>
  <c r="R691" i="3"/>
  <c r="R692" i="3"/>
  <c r="R693" i="3"/>
  <c r="R694" i="3"/>
  <c r="R695" i="3"/>
  <c r="R696" i="3"/>
  <c r="R697" i="3"/>
  <c r="R698" i="3"/>
  <c r="R699" i="3"/>
  <c r="R700" i="3"/>
  <c r="R701" i="3"/>
  <c r="R702" i="3"/>
  <c r="R703" i="3"/>
  <c r="R704" i="3"/>
  <c r="R705" i="3"/>
  <c r="R706" i="3"/>
  <c r="R707" i="3"/>
  <c r="R708" i="3"/>
  <c r="R709" i="3"/>
  <c r="R710" i="3"/>
  <c r="R711" i="3"/>
  <c r="R712" i="3"/>
  <c r="R713" i="3"/>
  <c r="R714" i="3"/>
  <c r="R715" i="3"/>
  <c r="R716" i="3"/>
  <c r="R717" i="3"/>
  <c r="R718" i="3"/>
  <c r="R719" i="3"/>
  <c r="R720" i="3"/>
  <c r="R721" i="3"/>
  <c r="R722" i="3"/>
  <c r="R723" i="3"/>
  <c r="R724" i="3"/>
  <c r="R725" i="3"/>
  <c r="R726" i="3"/>
  <c r="R727" i="3"/>
  <c r="R728" i="3"/>
  <c r="R729" i="3"/>
  <c r="R730" i="3"/>
  <c r="R731" i="3"/>
  <c r="R732" i="3"/>
  <c r="R733" i="3"/>
  <c r="R734" i="3"/>
  <c r="R735" i="3"/>
  <c r="R736" i="3"/>
  <c r="R737" i="3"/>
  <c r="R738" i="3"/>
  <c r="R739" i="3"/>
  <c r="R740" i="3"/>
  <c r="R741" i="3"/>
  <c r="R742" i="3"/>
  <c r="R743" i="3"/>
  <c r="R744" i="3"/>
  <c r="R745" i="3"/>
  <c r="R746" i="3"/>
  <c r="R747" i="3"/>
  <c r="R748" i="3"/>
  <c r="R749" i="3"/>
  <c r="R750" i="3"/>
  <c r="R751" i="3"/>
  <c r="R752" i="3"/>
  <c r="R753" i="3"/>
  <c r="R754" i="3"/>
  <c r="R755" i="3"/>
  <c r="R756" i="3"/>
  <c r="R757" i="3"/>
  <c r="R758" i="3"/>
  <c r="R759" i="3"/>
  <c r="R760" i="3"/>
  <c r="R761" i="3"/>
  <c r="R762" i="3"/>
  <c r="R763" i="3"/>
  <c r="R764" i="3"/>
  <c r="R765" i="3"/>
  <c r="R766" i="3"/>
  <c r="R767" i="3"/>
  <c r="R768" i="3"/>
  <c r="R769" i="3"/>
  <c r="R770" i="3"/>
  <c r="R771" i="3"/>
  <c r="R772" i="3"/>
  <c r="R773" i="3"/>
  <c r="R774" i="3"/>
  <c r="R775" i="3"/>
  <c r="R776" i="3"/>
  <c r="R777" i="3"/>
  <c r="R778" i="3"/>
  <c r="R779" i="3"/>
  <c r="R780" i="3"/>
  <c r="R781" i="3"/>
  <c r="R782" i="3"/>
  <c r="R783" i="3"/>
  <c r="R784" i="3"/>
  <c r="R785" i="3"/>
  <c r="R786" i="3"/>
  <c r="R787" i="3"/>
  <c r="R788" i="3"/>
  <c r="R789" i="3"/>
  <c r="R790" i="3"/>
  <c r="R791" i="3"/>
  <c r="R792" i="3"/>
  <c r="R793" i="3"/>
  <c r="R794" i="3"/>
  <c r="R795" i="3"/>
  <c r="R796" i="3"/>
  <c r="R797" i="3"/>
  <c r="R798" i="3"/>
  <c r="R799" i="3"/>
  <c r="R800" i="3"/>
  <c r="R801" i="3"/>
  <c r="R802" i="3"/>
  <c r="R803" i="3"/>
  <c r="R804" i="3"/>
  <c r="R805" i="3"/>
  <c r="R806" i="3"/>
  <c r="R807" i="3"/>
  <c r="R808" i="3"/>
  <c r="R809" i="3"/>
  <c r="R810" i="3"/>
  <c r="R811" i="3"/>
  <c r="R812" i="3"/>
  <c r="R813" i="3"/>
  <c r="R814" i="3"/>
  <c r="R815" i="3"/>
  <c r="R816" i="3"/>
  <c r="R817" i="3"/>
  <c r="R818" i="3"/>
  <c r="R819" i="3"/>
  <c r="R820" i="3"/>
  <c r="R821" i="3"/>
  <c r="R822" i="3"/>
  <c r="R823" i="3"/>
  <c r="R824" i="3"/>
  <c r="R825" i="3"/>
  <c r="R826" i="3"/>
  <c r="R827" i="3"/>
  <c r="R828" i="3"/>
  <c r="R829" i="3"/>
  <c r="R830" i="3"/>
  <c r="R831" i="3"/>
  <c r="R832" i="3"/>
  <c r="R833" i="3"/>
  <c r="R834" i="3"/>
  <c r="R835" i="3"/>
  <c r="R836" i="3"/>
  <c r="R837" i="3"/>
  <c r="R838" i="3"/>
  <c r="R839" i="3"/>
  <c r="R840" i="3"/>
  <c r="R841" i="3"/>
  <c r="R842" i="3"/>
  <c r="R843" i="3"/>
  <c r="R844" i="3"/>
  <c r="R845" i="3"/>
  <c r="R846" i="3"/>
  <c r="R847" i="3"/>
  <c r="R848" i="3"/>
  <c r="R849" i="3"/>
  <c r="R850" i="3"/>
  <c r="R851" i="3"/>
  <c r="R852" i="3"/>
  <c r="R853" i="3"/>
  <c r="R854" i="3"/>
  <c r="R855" i="3"/>
  <c r="R856" i="3"/>
  <c r="R857" i="3"/>
  <c r="R858" i="3"/>
  <c r="R859" i="3"/>
  <c r="R860" i="3"/>
  <c r="R861" i="3"/>
  <c r="R862" i="3"/>
  <c r="R863" i="3"/>
  <c r="R864" i="3"/>
  <c r="R865" i="3"/>
  <c r="R866" i="3"/>
  <c r="R867" i="3"/>
  <c r="R868" i="3"/>
  <c r="R869" i="3"/>
  <c r="R870" i="3"/>
  <c r="R871" i="3"/>
  <c r="R872" i="3"/>
  <c r="R873" i="3"/>
  <c r="R874" i="3"/>
  <c r="R875" i="3"/>
  <c r="R876" i="3"/>
  <c r="R877" i="3"/>
  <c r="R878" i="3"/>
  <c r="R879" i="3"/>
  <c r="R880" i="3"/>
  <c r="R881" i="3"/>
  <c r="R882" i="3"/>
  <c r="R883" i="3"/>
  <c r="R884" i="3"/>
  <c r="R885" i="3"/>
  <c r="R886" i="3"/>
  <c r="R887" i="3"/>
  <c r="R888" i="3"/>
  <c r="R889" i="3"/>
  <c r="R890" i="3"/>
  <c r="R891" i="3"/>
  <c r="R892" i="3"/>
  <c r="R893" i="3"/>
  <c r="R894" i="3"/>
  <c r="R895" i="3"/>
  <c r="R896" i="3"/>
  <c r="R897" i="3"/>
  <c r="R898" i="3"/>
  <c r="R899" i="3"/>
  <c r="R900" i="3"/>
  <c r="R901" i="3"/>
  <c r="R902" i="3"/>
  <c r="R903" i="3"/>
  <c r="R904" i="3"/>
  <c r="R905" i="3"/>
  <c r="R906" i="3"/>
  <c r="R907" i="3"/>
  <c r="R908" i="3"/>
  <c r="R909" i="3"/>
  <c r="R910" i="3"/>
  <c r="R911" i="3"/>
  <c r="R912" i="3"/>
  <c r="R913" i="3"/>
  <c r="R914" i="3"/>
  <c r="R915" i="3"/>
  <c r="R916" i="3"/>
  <c r="R917" i="3"/>
  <c r="R918" i="3"/>
  <c r="R919" i="3"/>
  <c r="R920" i="3"/>
  <c r="R921" i="3"/>
  <c r="R922" i="3"/>
  <c r="R923" i="3"/>
  <c r="R924" i="3"/>
  <c r="R925" i="3"/>
  <c r="R926" i="3"/>
  <c r="R927" i="3"/>
  <c r="R928" i="3"/>
  <c r="R929" i="3"/>
  <c r="R930" i="3"/>
  <c r="R931" i="3"/>
  <c r="R932" i="3"/>
  <c r="R933" i="3"/>
  <c r="R934" i="3"/>
  <c r="R935" i="3"/>
  <c r="R936" i="3"/>
  <c r="R937" i="3"/>
  <c r="R938" i="3"/>
  <c r="R939" i="3"/>
  <c r="R940" i="3"/>
  <c r="R941" i="3"/>
  <c r="R942" i="3"/>
  <c r="R943" i="3"/>
  <c r="R944" i="3"/>
  <c r="R945" i="3"/>
  <c r="R946" i="3"/>
  <c r="R947" i="3"/>
  <c r="R948" i="3"/>
  <c r="R949" i="3"/>
  <c r="R950" i="3"/>
  <c r="R951" i="3"/>
  <c r="R952" i="3"/>
  <c r="R953" i="3"/>
  <c r="R954" i="3"/>
  <c r="R955" i="3"/>
  <c r="R956" i="3"/>
  <c r="R957" i="3"/>
  <c r="R958" i="3"/>
  <c r="R959" i="3"/>
  <c r="R960" i="3"/>
  <c r="R961" i="3"/>
  <c r="R962" i="3"/>
  <c r="R963" i="3"/>
  <c r="R964" i="3"/>
  <c r="R965" i="3"/>
  <c r="R966" i="3"/>
  <c r="R967" i="3"/>
  <c r="R968" i="3"/>
  <c r="R969" i="3"/>
  <c r="R970" i="3"/>
  <c r="R971" i="3"/>
  <c r="R972" i="3"/>
  <c r="R973" i="3"/>
  <c r="R974" i="3"/>
  <c r="R975" i="3"/>
  <c r="R976" i="3"/>
  <c r="R977" i="3"/>
  <c r="R978" i="3"/>
  <c r="R979" i="3"/>
  <c r="R980" i="3"/>
  <c r="R981" i="3"/>
  <c r="R982" i="3"/>
  <c r="R983" i="3"/>
  <c r="R984" i="3"/>
  <c r="R985" i="3"/>
  <c r="R986" i="3"/>
  <c r="R987" i="3"/>
  <c r="R988" i="3"/>
  <c r="R989" i="3"/>
  <c r="R990" i="3"/>
  <c r="R991" i="3"/>
  <c r="R992" i="3"/>
  <c r="R993" i="3"/>
  <c r="R994" i="3"/>
  <c r="R995" i="3"/>
  <c r="R996" i="3"/>
  <c r="R997" i="3"/>
  <c r="R998" i="3"/>
  <c r="R999" i="3"/>
  <c r="R1000" i="3"/>
  <c r="R1001" i="3"/>
  <c r="R1002" i="3"/>
  <c r="R1003" i="3"/>
  <c r="R1004" i="3"/>
  <c r="R1005" i="3"/>
  <c r="R1006" i="3"/>
  <c r="R1007" i="3"/>
  <c r="R1008" i="3"/>
  <c r="R2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87" i="3"/>
  <c r="Q88" i="3"/>
  <c r="Q89" i="3"/>
  <c r="Q90" i="3"/>
  <c r="Q91" i="3"/>
  <c r="Q92" i="3"/>
  <c r="Q93" i="3"/>
  <c r="Q94" i="3"/>
  <c r="Q95" i="3"/>
  <c r="Q96" i="3"/>
  <c r="Q97" i="3"/>
  <c r="Q98" i="3"/>
  <c r="Q99" i="3"/>
  <c r="Q100" i="3"/>
  <c r="Q101" i="3"/>
  <c r="Q102" i="3"/>
  <c r="Q103" i="3"/>
  <c r="Q104" i="3"/>
  <c r="Q105" i="3"/>
  <c r="Q106" i="3"/>
  <c r="Q107" i="3"/>
  <c r="Q108" i="3"/>
  <c r="Q109" i="3"/>
  <c r="Q110" i="3"/>
  <c r="Q111" i="3"/>
  <c r="Q112" i="3"/>
  <c r="Q113" i="3"/>
  <c r="Q114" i="3"/>
  <c r="Q115" i="3"/>
  <c r="Q116" i="3"/>
  <c r="Q117" i="3"/>
  <c r="Q118" i="3"/>
  <c r="Q119" i="3"/>
  <c r="Q120" i="3"/>
  <c r="Q121" i="3"/>
  <c r="Q122" i="3"/>
  <c r="Q123" i="3"/>
  <c r="Q124" i="3"/>
  <c r="Q125" i="3"/>
  <c r="Q126" i="3"/>
  <c r="Q127" i="3"/>
  <c r="Q128" i="3"/>
  <c r="Q129" i="3"/>
  <c r="Q130" i="3"/>
  <c r="Q131" i="3"/>
  <c r="Q132" i="3"/>
  <c r="Q133" i="3"/>
  <c r="Q134" i="3"/>
  <c r="Q135" i="3"/>
  <c r="Q136" i="3"/>
  <c r="Q137" i="3"/>
  <c r="Q138" i="3"/>
  <c r="Q139" i="3"/>
  <c r="Q140" i="3"/>
  <c r="Q141" i="3"/>
  <c r="Q142" i="3"/>
  <c r="Q143" i="3"/>
  <c r="Q144" i="3"/>
  <c r="Q145" i="3"/>
  <c r="Q146" i="3"/>
  <c r="Q147" i="3"/>
  <c r="Q148" i="3"/>
  <c r="Q149" i="3"/>
  <c r="Q150" i="3"/>
  <c r="Q151" i="3"/>
  <c r="Q152" i="3"/>
  <c r="Q153" i="3"/>
  <c r="Q154" i="3"/>
  <c r="Q155" i="3"/>
  <c r="Q156" i="3"/>
  <c r="Q157" i="3"/>
  <c r="Q158" i="3"/>
  <c r="Q159" i="3"/>
  <c r="Q160" i="3"/>
  <c r="Q161" i="3"/>
  <c r="Q162" i="3"/>
  <c r="Q163" i="3"/>
  <c r="Q164" i="3"/>
  <c r="Q165" i="3"/>
  <c r="Q166" i="3"/>
  <c r="Q167" i="3"/>
  <c r="Q168" i="3"/>
  <c r="Q169" i="3"/>
  <c r="Q170" i="3"/>
  <c r="Q171" i="3"/>
  <c r="Q172" i="3"/>
  <c r="Q173" i="3"/>
  <c r="Q174" i="3"/>
  <c r="Q175" i="3"/>
  <c r="Q176" i="3"/>
  <c r="Q177" i="3"/>
  <c r="Q178" i="3"/>
  <c r="Q179" i="3"/>
  <c r="Q180" i="3"/>
  <c r="Q181" i="3"/>
  <c r="Q182" i="3"/>
  <c r="Q183" i="3"/>
  <c r="Q184" i="3"/>
  <c r="Q185" i="3"/>
  <c r="Q186" i="3"/>
  <c r="Q187" i="3"/>
  <c r="Q188" i="3"/>
  <c r="Q189" i="3"/>
  <c r="Q190" i="3"/>
  <c r="Q191" i="3"/>
  <c r="Q192" i="3"/>
  <c r="Q193" i="3"/>
  <c r="Q194" i="3"/>
  <c r="Q195" i="3"/>
  <c r="Q196" i="3"/>
  <c r="Q197" i="3"/>
  <c r="Q198" i="3"/>
  <c r="Q199" i="3"/>
  <c r="Q200" i="3"/>
  <c r="Q201" i="3"/>
  <c r="Q202" i="3"/>
  <c r="Q203" i="3"/>
  <c r="Q204" i="3"/>
  <c r="Q205" i="3"/>
  <c r="Q206" i="3"/>
  <c r="Q207" i="3"/>
  <c r="Q208" i="3"/>
  <c r="Q209" i="3"/>
  <c r="Q210" i="3"/>
  <c r="Q211" i="3"/>
  <c r="Q212" i="3"/>
  <c r="Q213" i="3"/>
  <c r="Q214" i="3"/>
  <c r="Q215" i="3"/>
  <c r="Q216" i="3"/>
  <c r="Q217" i="3"/>
  <c r="Q218" i="3"/>
  <c r="Q219" i="3"/>
  <c r="Q220" i="3"/>
  <c r="Q221" i="3"/>
  <c r="Q222" i="3"/>
  <c r="Q223" i="3"/>
  <c r="Q224" i="3"/>
  <c r="Q225" i="3"/>
  <c r="Q226" i="3"/>
  <c r="Q227" i="3"/>
  <c r="Q228" i="3"/>
  <c r="Q229" i="3"/>
  <c r="Q230" i="3"/>
  <c r="Q231" i="3"/>
  <c r="Q232" i="3"/>
  <c r="Q233" i="3"/>
  <c r="Q234" i="3"/>
  <c r="Q235" i="3"/>
  <c r="Q236" i="3"/>
  <c r="Q237" i="3"/>
  <c r="Q238" i="3"/>
  <c r="Q239" i="3"/>
  <c r="Q240" i="3"/>
  <c r="Q241" i="3"/>
  <c r="Q242" i="3"/>
  <c r="Q243" i="3"/>
  <c r="Q244" i="3"/>
  <c r="Q245" i="3"/>
  <c r="Q246" i="3"/>
  <c r="Q247" i="3"/>
  <c r="Q248" i="3"/>
  <c r="Q249" i="3"/>
  <c r="Q250" i="3"/>
  <c r="Q251" i="3"/>
  <c r="Q252" i="3"/>
  <c r="Q253" i="3"/>
  <c r="Q254" i="3"/>
  <c r="Q255" i="3"/>
  <c r="Q256" i="3"/>
  <c r="Q257" i="3"/>
  <c r="Q258" i="3"/>
  <c r="Q259" i="3"/>
  <c r="Q260" i="3"/>
  <c r="Q261" i="3"/>
  <c r="Q262" i="3"/>
  <c r="Q263" i="3"/>
  <c r="Q264" i="3"/>
  <c r="Q265" i="3"/>
  <c r="Q266" i="3"/>
  <c r="Q267" i="3"/>
  <c r="Q268" i="3"/>
  <c r="Q269" i="3"/>
  <c r="Q270" i="3"/>
  <c r="Q271" i="3"/>
  <c r="Q272" i="3"/>
  <c r="Q273" i="3"/>
  <c r="Q274" i="3"/>
  <c r="Q275" i="3"/>
  <c r="Q276" i="3"/>
  <c r="Q277" i="3"/>
  <c r="Q278" i="3"/>
  <c r="Q279" i="3"/>
  <c r="Q280" i="3"/>
  <c r="Q281" i="3"/>
  <c r="Q282" i="3"/>
  <c r="Q283" i="3"/>
  <c r="Q284" i="3"/>
  <c r="Q285" i="3"/>
  <c r="Q286" i="3"/>
  <c r="Q287" i="3"/>
  <c r="Q288" i="3"/>
  <c r="Q289" i="3"/>
  <c r="Q290" i="3"/>
  <c r="Q291" i="3"/>
  <c r="Q292" i="3"/>
  <c r="Q293" i="3"/>
  <c r="Q294" i="3"/>
  <c r="Q295" i="3"/>
  <c r="Q296" i="3"/>
  <c r="Q297" i="3"/>
  <c r="Q298" i="3"/>
  <c r="Q299" i="3"/>
  <c r="Q300" i="3"/>
  <c r="Q301" i="3"/>
  <c r="Q302" i="3"/>
  <c r="Q303" i="3"/>
  <c r="Q304" i="3"/>
  <c r="Q305" i="3"/>
  <c r="Q306" i="3"/>
  <c r="Q307" i="3"/>
  <c r="Q308" i="3"/>
  <c r="Q309" i="3"/>
  <c r="Q310" i="3"/>
  <c r="Q311" i="3"/>
  <c r="Q312" i="3"/>
  <c r="Q313" i="3"/>
  <c r="Q314" i="3"/>
  <c r="Q315" i="3"/>
  <c r="Q316" i="3"/>
  <c r="Q317" i="3"/>
  <c r="Q318" i="3"/>
  <c r="Q319" i="3"/>
  <c r="Q320" i="3"/>
  <c r="Q321" i="3"/>
  <c r="Q322" i="3"/>
  <c r="Q323" i="3"/>
  <c r="Q324" i="3"/>
  <c r="Q325" i="3"/>
  <c r="Q326" i="3"/>
  <c r="Q327" i="3"/>
  <c r="Q328" i="3"/>
  <c r="Q329" i="3"/>
  <c r="Q330" i="3"/>
  <c r="Q331" i="3"/>
  <c r="Q332" i="3"/>
  <c r="Q333" i="3"/>
  <c r="Q334" i="3"/>
  <c r="Q335" i="3"/>
  <c r="Q336" i="3"/>
  <c r="Q337" i="3"/>
  <c r="Q338" i="3"/>
  <c r="Q339" i="3"/>
  <c r="Q340" i="3"/>
  <c r="Q341" i="3"/>
  <c r="Q342" i="3"/>
  <c r="Q343" i="3"/>
  <c r="Q344" i="3"/>
  <c r="Q345" i="3"/>
  <c r="Q346" i="3"/>
  <c r="Q347" i="3"/>
  <c r="Q348" i="3"/>
  <c r="Q349" i="3"/>
  <c r="Q350" i="3"/>
  <c r="Q351" i="3"/>
  <c r="Q352" i="3"/>
  <c r="Q353" i="3"/>
  <c r="Q354" i="3"/>
  <c r="Q355" i="3"/>
  <c r="Q356" i="3"/>
  <c r="Q357" i="3"/>
  <c r="Q358" i="3"/>
  <c r="Q359" i="3"/>
  <c r="Q360" i="3"/>
  <c r="Q361" i="3"/>
  <c r="Q362" i="3"/>
  <c r="Q363" i="3"/>
  <c r="Q364" i="3"/>
  <c r="Q365" i="3"/>
  <c r="Q366" i="3"/>
  <c r="Q367" i="3"/>
  <c r="Q368" i="3"/>
  <c r="Q369" i="3"/>
  <c r="Q370" i="3"/>
  <c r="Q371" i="3"/>
  <c r="Q372" i="3"/>
  <c r="Q373" i="3"/>
  <c r="Q374" i="3"/>
  <c r="Q375" i="3"/>
  <c r="Q376" i="3"/>
  <c r="Q377" i="3"/>
  <c r="Q378" i="3"/>
  <c r="Q379" i="3"/>
  <c r="Q380" i="3"/>
  <c r="Q381" i="3"/>
  <c r="Q382" i="3"/>
  <c r="Q383" i="3"/>
  <c r="Q384" i="3"/>
  <c r="Q385" i="3"/>
  <c r="Q386" i="3"/>
  <c r="Q387" i="3"/>
  <c r="Q388" i="3"/>
  <c r="Q389" i="3"/>
  <c r="Q390" i="3"/>
  <c r="Q391" i="3"/>
  <c r="Q392" i="3"/>
  <c r="Q393" i="3"/>
  <c r="Q394" i="3"/>
  <c r="Q395" i="3"/>
  <c r="Q396" i="3"/>
  <c r="Q397" i="3"/>
  <c r="Q398" i="3"/>
  <c r="Q399" i="3"/>
  <c r="Q400" i="3"/>
  <c r="Q401" i="3"/>
  <c r="Q402" i="3"/>
  <c r="Q403" i="3"/>
  <c r="Q404" i="3"/>
  <c r="Q405" i="3"/>
  <c r="Q406" i="3"/>
  <c r="Q407" i="3"/>
  <c r="Q408" i="3"/>
  <c r="Q409" i="3"/>
  <c r="Q410" i="3"/>
  <c r="Q411" i="3"/>
  <c r="Q412" i="3"/>
  <c r="Q413" i="3"/>
  <c r="Q414" i="3"/>
  <c r="Q415" i="3"/>
  <c r="Q416" i="3"/>
  <c r="Q417" i="3"/>
  <c r="Q418" i="3"/>
  <c r="Q419" i="3"/>
  <c r="Q420" i="3"/>
  <c r="Q421" i="3"/>
  <c r="Q422" i="3"/>
  <c r="Q423" i="3"/>
  <c r="Q424" i="3"/>
  <c r="Q425" i="3"/>
  <c r="Q426" i="3"/>
  <c r="Q427" i="3"/>
  <c r="Q428" i="3"/>
  <c r="Q429" i="3"/>
  <c r="Q430" i="3"/>
  <c r="Q431" i="3"/>
  <c r="Q432" i="3"/>
  <c r="Q433" i="3"/>
  <c r="Q434" i="3"/>
  <c r="Q435" i="3"/>
  <c r="Q436" i="3"/>
  <c r="Q437" i="3"/>
  <c r="Q438" i="3"/>
  <c r="Q439" i="3"/>
  <c r="Q440" i="3"/>
  <c r="Q441" i="3"/>
  <c r="Q442" i="3"/>
  <c r="Q443" i="3"/>
  <c r="Q444" i="3"/>
  <c r="Q445" i="3"/>
  <c r="Q446" i="3"/>
  <c r="Q447" i="3"/>
  <c r="Q448" i="3"/>
  <c r="Q449" i="3"/>
  <c r="Q450" i="3"/>
  <c r="Q451" i="3"/>
  <c r="Q452" i="3"/>
  <c r="Q453" i="3"/>
  <c r="Q454" i="3"/>
  <c r="Q455" i="3"/>
  <c r="Q456" i="3"/>
  <c r="Q457" i="3"/>
  <c r="Q458" i="3"/>
  <c r="Q459" i="3"/>
  <c r="Q460" i="3"/>
  <c r="Q461" i="3"/>
  <c r="Q462" i="3"/>
  <c r="Q463" i="3"/>
  <c r="Q464" i="3"/>
  <c r="Q465" i="3"/>
  <c r="Q466" i="3"/>
  <c r="Q467" i="3"/>
  <c r="Q468" i="3"/>
  <c r="Q469" i="3"/>
  <c r="Q470" i="3"/>
  <c r="Q471" i="3"/>
  <c r="Q472" i="3"/>
  <c r="Q473" i="3"/>
  <c r="Q474" i="3"/>
  <c r="Q475" i="3"/>
  <c r="Q476" i="3"/>
  <c r="Q477" i="3"/>
  <c r="Q478" i="3"/>
  <c r="Q479" i="3"/>
  <c r="Q480" i="3"/>
  <c r="Q481" i="3"/>
  <c r="Q482" i="3"/>
  <c r="Q483" i="3"/>
  <c r="Q484" i="3"/>
  <c r="Q485" i="3"/>
  <c r="Q486" i="3"/>
  <c r="Q487" i="3"/>
  <c r="Q488" i="3"/>
  <c r="Q489" i="3"/>
  <c r="Q490" i="3"/>
  <c r="Q491" i="3"/>
  <c r="Q492" i="3"/>
  <c r="Q493" i="3"/>
  <c r="Q494" i="3"/>
  <c r="Q495" i="3"/>
  <c r="Q496" i="3"/>
  <c r="Q497" i="3"/>
  <c r="Q498" i="3"/>
  <c r="Q499" i="3"/>
  <c r="Q500" i="3"/>
  <c r="Q501" i="3"/>
  <c r="Q502" i="3"/>
  <c r="Q503" i="3"/>
  <c r="Q504" i="3"/>
  <c r="Q505" i="3"/>
  <c r="Q506" i="3"/>
  <c r="Q507" i="3"/>
  <c r="Q508" i="3"/>
  <c r="Q509" i="3"/>
  <c r="Q510" i="3"/>
  <c r="Q511" i="3"/>
  <c r="Q512" i="3"/>
  <c r="Q513" i="3"/>
  <c r="Q514" i="3"/>
  <c r="Q515" i="3"/>
  <c r="Q516" i="3"/>
  <c r="Q517" i="3"/>
  <c r="Q518" i="3"/>
  <c r="Q519" i="3"/>
  <c r="Q520" i="3"/>
  <c r="Q521" i="3"/>
  <c r="Q522" i="3"/>
  <c r="Q523" i="3"/>
  <c r="Q524" i="3"/>
  <c r="Q525" i="3"/>
  <c r="Q526" i="3"/>
  <c r="Q527" i="3"/>
  <c r="Q528" i="3"/>
  <c r="Q529" i="3"/>
  <c r="Q530" i="3"/>
  <c r="Q531" i="3"/>
  <c r="Q532" i="3"/>
  <c r="Q533" i="3"/>
  <c r="Q534" i="3"/>
  <c r="Q535" i="3"/>
  <c r="Q536" i="3"/>
  <c r="Q537" i="3"/>
  <c r="Q538" i="3"/>
  <c r="Q539" i="3"/>
  <c r="Q540" i="3"/>
  <c r="Q541" i="3"/>
  <c r="Q542" i="3"/>
  <c r="Q543" i="3"/>
  <c r="Q544" i="3"/>
  <c r="Q545" i="3"/>
  <c r="Q546" i="3"/>
  <c r="Q547" i="3"/>
  <c r="Q548" i="3"/>
  <c r="Q549" i="3"/>
  <c r="Q550" i="3"/>
  <c r="Q551" i="3"/>
  <c r="Q552" i="3"/>
  <c r="Q553" i="3"/>
  <c r="Q554" i="3"/>
  <c r="Q555" i="3"/>
  <c r="Q556" i="3"/>
  <c r="Q557" i="3"/>
  <c r="Q558" i="3"/>
  <c r="Q559" i="3"/>
  <c r="Q560" i="3"/>
  <c r="Q561" i="3"/>
  <c r="Q562" i="3"/>
  <c r="Q563" i="3"/>
  <c r="Q564" i="3"/>
  <c r="Q565" i="3"/>
  <c r="Q566" i="3"/>
  <c r="Q567" i="3"/>
  <c r="Q568" i="3"/>
  <c r="Q569" i="3"/>
  <c r="Q570" i="3"/>
  <c r="Q571" i="3"/>
  <c r="Q572" i="3"/>
  <c r="Q573" i="3"/>
  <c r="Q574" i="3"/>
  <c r="Q575" i="3"/>
  <c r="Q576" i="3"/>
  <c r="Q577" i="3"/>
  <c r="Q578" i="3"/>
  <c r="Q579" i="3"/>
  <c r="Q580" i="3"/>
  <c r="Q581" i="3"/>
  <c r="Q582" i="3"/>
  <c r="Q583" i="3"/>
  <c r="Q584" i="3"/>
  <c r="Q585" i="3"/>
  <c r="Q586" i="3"/>
  <c r="Q587" i="3"/>
  <c r="Q588" i="3"/>
  <c r="Q589" i="3"/>
  <c r="Q590" i="3"/>
  <c r="Q591" i="3"/>
  <c r="Q592" i="3"/>
  <c r="Q593" i="3"/>
  <c r="Q594" i="3"/>
  <c r="Q595" i="3"/>
  <c r="Q596" i="3"/>
  <c r="Q597" i="3"/>
  <c r="Q598" i="3"/>
  <c r="Q599" i="3"/>
  <c r="Q600" i="3"/>
  <c r="Q601" i="3"/>
  <c r="Q602" i="3"/>
  <c r="Q603" i="3"/>
  <c r="Q604" i="3"/>
  <c r="Q605" i="3"/>
  <c r="Q606" i="3"/>
  <c r="Q607" i="3"/>
  <c r="Q608" i="3"/>
  <c r="Q609" i="3"/>
  <c r="Q610" i="3"/>
  <c r="Q611" i="3"/>
  <c r="Q612" i="3"/>
  <c r="Q613" i="3"/>
  <c r="Q614" i="3"/>
  <c r="Q615" i="3"/>
  <c r="Q616" i="3"/>
  <c r="Q617" i="3"/>
  <c r="Q618" i="3"/>
  <c r="Q619" i="3"/>
  <c r="Q620" i="3"/>
  <c r="Q621" i="3"/>
  <c r="Q622" i="3"/>
  <c r="Q623" i="3"/>
  <c r="Q624" i="3"/>
  <c r="Q625" i="3"/>
  <c r="Q626" i="3"/>
  <c r="Q627" i="3"/>
  <c r="Q628" i="3"/>
  <c r="Q629" i="3"/>
  <c r="Q630" i="3"/>
  <c r="Q631" i="3"/>
  <c r="Q632" i="3"/>
  <c r="Q633" i="3"/>
  <c r="Q634" i="3"/>
  <c r="Q635" i="3"/>
  <c r="Q636" i="3"/>
  <c r="Q637" i="3"/>
  <c r="Q638" i="3"/>
  <c r="Q639" i="3"/>
  <c r="Q640" i="3"/>
  <c r="Q641" i="3"/>
  <c r="Q642" i="3"/>
  <c r="Q643" i="3"/>
  <c r="Q644" i="3"/>
  <c r="Q645" i="3"/>
  <c r="Q646" i="3"/>
  <c r="Q647" i="3"/>
  <c r="Q648" i="3"/>
  <c r="Q649" i="3"/>
  <c r="Q650" i="3"/>
  <c r="Q651" i="3"/>
  <c r="Q652" i="3"/>
  <c r="Q653" i="3"/>
  <c r="Q654" i="3"/>
  <c r="Q655" i="3"/>
  <c r="Q656" i="3"/>
  <c r="Q657" i="3"/>
  <c r="Q658" i="3"/>
  <c r="Q659" i="3"/>
  <c r="Q660" i="3"/>
  <c r="Q661" i="3"/>
  <c r="Q662" i="3"/>
  <c r="Q663" i="3"/>
  <c r="Q664" i="3"/>
  <c r="Q665" i="3"/>
  <c r="Q666" i="3"/>
  <c r="Q667" i="3"/>
  <c r="Q668" i="3"/>
  <c r="Q669" i="3"/>
  <c r="Q670" i="3"/>
  <c r="Q671" i="3"/>
  <c r="Q672" i="3"/>
  <c r="Q673" i="3"/>
  <c r="Q674" i="3"/>
  <c r="Q675" i="3"/>
  <c r="Q676" i="3"/>
  <c r="Q677" i="3"/>
  <c r="Q678" i="3"/>
  <c r="Q679" i="3"/>
  <c r="Q680" i="3"/>
  <c r="Q681" i="3"/>
  <c r="Q682" i="3"/>
  <c r="Q683" i="3"/>
  <c r="Q684" i="3"/>
  <c r="Q685" i="3"/>
  <c r="Q686" i="3"/>
  <c r="Q687" i="3"/>
  <c r="Q688" i="3"/>
  <c r="Q689" i="3"/>
  <c r="Q690" i="3"/>
  <c r="Q691" i="3"/>
  <c r="Q692" i="3"/>
  <c r="Q693" i="3"/>
  <c r="Q694" i="3"/>
  <c r="Q695" i="3"/>
  <c r="Q696" i="3"/>
  <c r="Q697" i="3"/>
  <c r="Q698" i="3"/>
  <c r="Q699" i="3"/>
  <c r="Q700" i="3"/>
  <c r="Q701" i="3"/>
  <c r="Q702" i="3"/>
  <c r="Q703" i="3"/>
  <c r="Q704" i="3"/>
  <c r="Q705" i="3"/>
  <c r="Q706" i="3"/>
  <c r="Q707" i="3"/>
  <c r="Q708" i="3"/>
  <c r="Q709" i="3"/>
  <c r="Q710" i="3"/>
  <c r="Q711" i="3"/>
  <c r="Q712" i="3"/>
  <c r="Q713" i="3"/>
  <c r="Q714" i="3"/>
  <c r="Q715" i="3"/>
  <c r="Q716" i="3"/>
  <c r="Q717" i="3"/>
  <c r="Q718" i="3"/>
  <c r="Q719" i="3"/>
  <c r="Q720" i="3"/>
  <c r="Q721" i="3"/>
  <c r="Q722" i="3"/>
  <c r="Q723" i="3"/>
  <c r="Q724" i="3"/>
  <c r="Q725" i="3"/>
  <c r="Q726" i="3"/>
  <c r="Q727" i="3"/>
  <c r="Q728" i="3"/>
  <c r="Q729" i="3"/>
  <c r="Q730" i="3"/>
  <c r="Q731" i="3"/>
  <c r="Q732" i="3"/>
  <c r="Q733" i="3"/>
  <c r="Q734" i="3"/>
  <c r="Q735" i="3"/>
  <c r="Q736" i="3"/>
  <c r="Q737" i="3"/>
  <c r="Q738" i="3"/>
  <c r="Q739" i="3"/>
  <c r="Q740" i="3"/>
  <c r="Q741" i="3"/>
  <c r="Q742" i="3"/>
  <c r="Q743" i="3"/>
  <c r="Q744" i="3"/>
  <c r="Q745" i="3"/>
  <c r="Q746" i="3"/>
  <c r="Q747" i="3"/>
  <c r="Q748" i="3"/>
  <c r="Q749" i="3"/>
  <c r="Q750" i="3"/>
  <c r="Q751" i="3"/>
  <c r="Q752" i="3"/>
  <c r="Q753" i="3"/>
  <c r="Q754" i="3"/>
  <c r="Q755" i="3"/>
  <c r="Q756" i="3"/>
  <c r="Q757" i="3"/>
  <c r="Q758" i="3"/>
  <c r="Q759" i="3"/>
  <c r="Q760" i="3"/>
  <c r="Q761" i="3"/>
  <c r="Q762" i="3"/>
  <c r="Q763" i="3"/>
  <c r="Q764" i="3"/>
  <c r="Q765" i="3"/>
  <c r="Q766" i="3"/>
  <c r="Q767" i="3"/>
  <c r="Q768" i="3"/>
  <c r="Q769" i="3"/>
  <c r="Q770" i="3"/>
  <c r="Q771" i="3"/>
  <c r="Q772" i="3"/>
  <c r="Q773" i="3"/>
  <c r="Q774" i="3"/>
  <c r="Q775" i="3"/>
  <c r="Q776" i="3"/>
  <c r="Q777" i="3"/>
  <c r="Q778" i="3"/>
  <c r="Q779" i="3"/>
  <c r="Q780" i="3"/>
  <c r="Q781" i="3"/>
  <c r="Q782" i="3"/>
  <c r="Q783" i="3"/>
  <c r="Q784" i="3"/>
  <c r="Q785" i="3"/>
  <c r="Q786" i="3"/>
  <c r="Q787" i="3"/>
  <c r="Q788" i="3"/>
  <c r="Q789" i="3"/>
  <c r="Q790" i="3"/>
  <c r="Q791" i="3"/>
  <c r="Q792" i="3"/>
  <c r="Q793" i="3"/>
  <c r="Q794" i="3"/>
  <c r="Q795" i="3"/>
  <c r="Q796" i="3"/>
  <c r="Q797" i="3"/>
  <c r="Q798" i="3"/>
  <c r="Q799" i="3"/>
  <c r="Q800" i="3"/>
  <c r="Q801" i="3"/>
  <c r="Q802" i="3"/>
  <c r="Q803" i="3"/>
  <c r="Q804" i="3"/>
  <c r="Q805" i="3"/>
  <c r="Q806" i="3"/>
  <c r="Q807" i="3"/>
  <c r="Q808" i="3"/>
  <c r="Q809" i="3"/>
  <c r="Q810" i="3"/>
  <c r="Q811" i="3"/>
  <c r="Q812" i="3"/>
  <c r="Q813" i="3"/>
  <c r="Q814" i="3"/>
  <c r="Q815" i="3"/>
  <c r="Q816" i="3"/>
  <c r="Q817" i="3"/>
  <c r="Q818" i="3"/>
  <c r="Q819" i="3"/>
  <c r="Q820" i="3"/>
  <c r="Q821" i="3"/>
  <c r="Q822" i="3"/>
  <c r="Q823" i="3"/>
  <c r="Q824" i="3"/>
  <c r="Q825" i="3"/>
  <c r="Q826" i="3"/>
  <c r="Q827" i="3"/>
  <c r="Q828" i="3"/>
  <c r="Q829" i="3"/>
  <c r="Q830" i="3"/>
  <c r="Q831" i="3"/>
  <c r="Q832" i="3"/>
  <c r="Q833" i="3"/>
  <c r="Q834" i="3"/>
  <c r="Q835" i="3"/>
  <c r="Q836" i="3"/>
  <c r="Q837" i="3"/>
  <c r="Q838" i="3"/>
  <c r="Q839" i="3"/>
  <c r="Q840" i="3"/>
  <c r="Q841" i="3"/>
  <c r="Q842" i="3"/>
  <c r="Q843" i="3"/>
  <c r="Q844" i="3"/>
  <c r="Q845" i="3"/>
  <c r="Q846" i="3"/>
  <c r="Q847" i="3"/>
  <c r="Q848" i="3"/>
  <c r="Q849" i="3"/>
  <c r="Q850" i="3"/>
  <c r="Q851" i="3"/>
  <c r="Q852" i="3"/>
  <c r="Q853" i="3"/>
  <c r="Q854" i="3"/>
  <c r="Q855" i="3"/>
  <c r="Q856" i="3"/>
  <c r="Q857" i="3"/>
  <c r="Q858" i="3"/>
  <c r="Q859" i="3"/>
  <c r="Q860" i="3"/>
  <c r="Q861" i="3"/>
  <c r="Q862" i="3"/>
  <c r="Q863" i="3"/>
  <c r="Q864" i="3"/>
  <c r="Q865" i="3"/>
  <c r="Q866" i="3"/>
  <c r="Q867" i="3"/>
  <c r="Q868" i="3"/>
  <c r="Q869" i="3"/>
  <c r="Q870" i="3"/>
  <c r="Q871" i="3"/>
  <c r="Q872" i="3"/>
  <c r="Q873" i="3"/>
  <c r="Q874" i="3"/>
  <c r="Q875" i="3"/>
  <c r="Q876" i="3"/>
  <c r="Q877" i="3"/>
  <c r="Q878" i="3"/>
  <c r="Q879" i="3"/>
  <c r="Q880" i="3"/>
  <c r="Q881" i="3"/>
  <c r="Q882" i="3"/>
  <c r="Q883" i="3"/>
  <c r="Q884" i="3"/>
  <c r="Q885" i="3"/>
  <c r="Q886" i="3"/>
  <c r="Q887" i="3"/>
  <c r="Q888" i="3"/>
  <c r="Q889" i="3"/>
  <c r="Q890" i="3"/>
  <c r="Q891" i="3"/>
  <c r="Q892" i="3"/>
  <c r="Q893" i="3"/>
  <c r="Q894" i="3"/>
  <c r="Q895" i="3"/>
  <c r="Q896" i="3"/>
  <c r="Q897" i="3"/>
  <c r="Q898" i="3"/>
  <c r="Q899" i="3"/>
  <c r="Q900" i="3"/>
  <c r="Q901" i="3"/>
  <c r="Q902" i="3"/>
  <c r="Q903" i="3"/>
  <c r="Q904" i="3"/>
  <c r="Q905" i="3"/>
  <c r="Q906" i="3"/>
  <c r="Q907" i="3"/>
  <c r="Q908" i="3"/>
  <c r="Q909" i="3"/>
  <c r="Q910" i="3"/>
  <c r="Q911" i="3"/>
  <c r="Q912" i="3"/>
  <c r="Q913" i="3"/>
  <c r="Q914" i="3"/>
  <c r="Q915" i="3"/>
  <c r="Q916" i="3"/>
  <c r="Q917" i="3"/>
  <c r="Q918" i="3"/>
  <c r="Q919" i="3"/>
  <c r="Q920" i="3"/>
  <c r="Q921" i="3"/>
  <c r="Q922" i="3"/>
  <c r="Q923" i="3"/>
  <c r="Q924" i="3"/>
  <c r="Q925" i="3"/>
  <c r="Q926" i="3"/>
  <c r="Q927" i="3"/>
  <c r="Q928" i="3"/>
  <c r="Q929" i="3"/>
  <c r="Q930" i="3"/>
  <c r="Q931" i="3"/>
  <c r="Q932" i="3"/>
  <c r="Q933" i="3"/>
  <c r="Q934" i="3"/>
  <c r="Q935" i="3"/>
  <c r="Q936" i="3"/>
  <c r="Q937" i="3"/>
  <c r="Q938" i="3"/>
  <c r="Q939" i="3"/>
  <c r="Q940" i="3"/>
  <c r="Q941" i="3"/>
  <c r="Q942" i="3"/>
  <c r="Q943" i="3"/>
  <c r="Q944" i="3"/>
  <c r="Q945" i="3"/>
  <c r="Q946" i="3"/>
  <c r="Q947" i="3"/>
  <c r="Q948" i="3"/>
  <c r="Q949" i="3"/>
  <c r="Q950" i="3"/>
  <c r="Q951" i="3"/>
  <c r="Q952" i="3"/>
  <c r="Q953" i="3"/>
  <c r="Q954" i="3"/>
  <c r="Q955" i="3"/>
  <c r="Q956" i="3"/>
  <c r="Q957" i="3"/>
  <c r="Q958" i="3"/>
  <c r="Q959" i="3"/>
  <c r="Q960" i="3"/>
  <c r="Q961" i="3"/>
  <c r="Q962" i="3"/>
  <c r="Q963" i="3"/>
  <c r="Q964" i="3"/>
  <c r="Q965" i="3"/>
  <c r="Q966" i="3"/>
  <c r="Q967" i="3"/>
  <c r="Q968" i="3"/>
  <c r="Q969" i="3"/>
  <c r="Q970" i="3"/>
  <c r="Q971" i="3"/>
  <c r="Q972" i="3"/>
  <c r="Q973" i="3"/>
  <c r="Q974" i="3"/>
  <c r="Q975" i="3"/>
  <c r="Q976" i="3"/>
  <c r="Q977" i="3"/>
  <c r="Q978" i="3"/>
  <c r="Q979" i="3"/>
  <c r="Q980" i="3"/>
  <c r="Q981" i="3"/>
  <c r="Q982" i="3"/>
  <c r="Q983" i="3"/>
  <c r="Q984" i="3"/>
  <c r="Q985" i="3"/>
  <c r="Q986" i="3"/>
  <c r="Q987" i="3"/>
  <c r="Q988" i="3"/>
  <c r="Q989" i="3"/>
  <c r="Q990" i="3"/>
  <c r="Q991" i="3"/>
  <c r="Q992" i="3"/>
  <c r="Q993" i="3"/>
  <c r="Q994" i="3"/>
  <c r="Q995" i="3"/>
  <c r="Q996" i="3"/>
  <c r="Q997" i="3"/>
  <c r="Q998" i="3"/>
  <c r="Q999" i="3"/>
  <c r="Q1000" i="3"/>
  <c r="Q1001" i="3"/>
  <c r="Q1002" i="3"/>
  <c r="Q1003" i="3"/>
  <c r="Q1004" i="3"/>
  <c r="Q1005" i="3"/>
  <c r="Q1006" i="3"/>
  <c r="Q1007" i="3"/>
  <c r="Q1008" i="3"/>
  <c r="Q2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2" i="3"/>
  <c r="P143" i="3"/>
  <c r="P144" i="3"/>
  <c r="P145" i="3"/>
  <c r="P146" i="3"/>
  <c r="P147" i="3"/>
  <c r="P148" i="3"/>
  <c r="P149" i="3"/>
  <c r="P150" i="3"/>
  <c r="P151" i="3"/>
  <c r="P152" i="3"/>
  <c r="P153" i="3"/>
  <c r="P154" i="3"/>
  <c r="P155" i="3"/>
  <c r="P156" i="3"/>
  <c r="P157" i="3"/>
  <c r="P158" i="3"/>
  <c r="P159" i="3"/>
  <c r="P160" i="3"/>
  <c r="P161" i="3"/>
  <c r="P162" i="3"/>
  <c r="P163" i="3"/>
  <c r="P164" i="3"/>
  <c r="P165" i="3"/>
  <c r="P166" i="3"/>
  <c r="P167" i="3"/>
  <c r="P168" i="3"/>
  <c r="P169" i="3"/>
  <c r="P170" i="3"/>
  <c r="P171" i="3"/>
  <c r="P172" i="3"/>
  <c r="P173" i="3"/>
  <c r="P174" i="3"/>
  <c r="P175" i="3"/>
  <c r="P176" i="3"/>
  <c r="P177" i="3"/>
  <c r="P178" i="3"/>
  <c r="P179" i="3"/>
  <c r="P180" i="3"/>
  <c r="P181" i="3"/>
  <c r="P182" i="3"/>
  <c r="P183" i="3"/>
  <c r="P184" i="3"/>
  <c r="P185" i="3"/>
  <c r="P186" i="3"/>
  <c r="P187" i="3"/>
  <c r="P188" i="3"/>
  <c r="P189" i="3"/>
  <c r="P190" i="3"/>
  <c r="P191" i="3"/>
  <c r="P192" i="3"/>
  <c r="P193" i="3"/>
  <c r="P194" i="3"/>
  <c r="P195" i="3"/>
  <c r="P196" i="3"/>
  <c r="P197" i="3"/>
  <c r="P198" i="3"/>
  <c r="P199" i="3"/>
  <c r="P200" i="3"/>
  <c r="P201" i="3"/>
  <c r="P202" i="3"/>
  <c r="P203" i="3"/>
  <c r="P204" i="3"/>
  <c r="P205" i="3"/>
  <c r="P206" i="3"/>
  <c r="P207" i="3"/>
  <c r="P208" i="3"/>
  <c r="P209" i="3"/>
  <c r="P210" i="3"/>
  <c r="P211" i="3"/>
  <c r="P212" i="3"/>
  <c r="P213" i="3"/>
  <c r="P214" i="3"/>
  <c r="P215" i="3"/>
  <c r="P216" i="3"/>
  <c r="P217" i="3"/>
  <c r="P218" i="3"/>
  <c r="P219" i="3"/>
  <c r="P220" i="3"/>
  <c r="P221" i="3"/>
  <c r="P222" i="3"/>
  <c r="P223" i="3"/>
  <c r="P224" i="3"/>
  <c r="P225" i="3"/>
  <c r="P226" i="3"/>
  <c r="P227" i="3"/>
  <c r="P228" i="3"/>
  <c r="P229" i="3"/>
  <c r="P230" i="3"/>
  <c r="P231" i="3"/>
  <c r="P232" i="3"/>
  <c r="P233" i="3"/>
  <c r="P234" i="3"/>
  <c r="P235" i="3"/>
  <c r="P236" i="3"/>
  <c r="P237" i="3"/>
  <c r="P238" i="3"/>
  <c r="P239" i="3"/>
  <c r="P240" i="3"/>
  <c r="P241" i="3"/>
  <c r="P242" i="3"/>
  <c r="P243" i="3"/>
  <c r="P244" i="3"/>
  <c r="P245" i="3"/>
  <c r="P246" i="3"/>
  <c r="P247" i="3"/>
  <c r="P248" i="3"/>
  <c r="P249" i="3"/>
  <c r="P250" i="3"/>
  <c r="P251" i="3"/>
  <c r="P252" i="3"/>
  <c r="P253" i="3"/>
  <c r="P254" i="3"/>
  <c r="P255" i="3"/>
  <c r="P256" i="3"/>
  <c r="P257" i="3"/>
  <c r="P258" i="3"/>
  <c r="P259" i="3"/>
  <c r="P260" i="3"/>
  <c r="P261" i="3"/>
  <c r="P262" i="3"/>
  <c r="P263" i="3"/>
  <c r="P264" i="3"/>
  <c r="P265" i="3"/>
  <c r="P266" i="3"/>
  <c r="P267" i="3"/>
  <c r="P268" i="3"/>
  <c r="P269" i="3"/>
  <c r="P270" i="3"/>
  <c r="P271" i="3"/>
  <c r="P272" i="3"/>
  <c r="P273" i="3"/>
  <c r="P274" i="3"/>
  <c r="P275" i="3"/>
  <c r="P276" i="3"/>
  <c r="P277" i="3"/>
  <c r="P278" i="3"/>
  <c r="P279" i="3"/>
  <c r="P280" i="3"/>
  <c r="P281" i="3"/>
  <c r="P282" i="3"/>
  <c r="P283" i="3"/>
  <c r="P284" i="3"/>
  <c r="P285" i="3"/>
  <c r="P286" i="3"/>
  <c r="P287" i="3"/>
  <c r="P288" i="3"/>
  <c r="P289" i="3"/>
  <c r="P290" i="3"/>
  <c r="P291" i="3"/>
  <c r="P292" i="3"/>
  <c r="P293" i="3"/>
  <c r="P294" i="3"/>
  <c r="P295" i="3"/>
  <c r="P296" i="3"/>
  <c r="P297" i="3"/>
  <c r="P298" i="3"/>
  <c r="P299" i="3"/>
  <c r="P300" i="3"/>
  <c r="P301" i="3"/>
  <c r="P302" i="3"/>
  <c r="P303" i="3"/>
  <c r="P304" i="3"/>
  <c r="P305" i="3"/>
  <c r="P306" i="3"/>
  <c r="P307" i="3"/>
  <c r="P308" i="3"/>
  <c r="P309" i="3"/>
  <c r="P310" i="3"/>
  <c r="P311" i="3"/>
  <c r="P312" i="3"/>
  <c r="P313" i="3"/>
  <c r="P314" i="3"/>
  <c r="P315" i="3"/>
  <c r="P316" i="3"/>
  <c r="P317" i="3"/>
  <c r="P318" i="3"/>
  <c r="P319" i="3"/>
  <c r="P320" i="3"/>
  <c r="P321" i="3"/>
  <c r="P322" i="3"/>
  <c r="P323" i="3"/>
  <c r="P324" i="3"/>
  <c r="P325" i="3"/>
  <c r="P326" i="3"/>
  <c r="P327" i="3"/>
  <c r="P328" i="3"/>
  <c r="P329" i="3"/>
  <c r="P330" i="3"/>
  <c r="P331" i="3"/>
  <c r="P332" i="3"/>
  <c r="P333" i="3"/>
  <c r="P334" i="3"/>
  <c r="P335" i="3"/>
  <c r="P336" i="3"/>
  <c r="P337" i="3"/>
  <c r="P338" i="3"/>
  <c r="P339" i="3"/>
  <c r="P340" i="3"/>
  <c r="P341" i="3"/>
  <c r="P342" i="3"/>
  <c r="P343" i="3"/>
  <c r="P344" i="3"/>
  <c r="P345" i="3"/>
  <c r="P346" i="3"/>
  <c r="P347" i="3"/>
  <c r="P348" i="3"/>
  <c r="P349" i="3"/>
  <c r="P350" i="3"/>
  <c r="P351" i="3"/>
  <c r="P352" i="3"/>
  <c r="P353" i="3"/>
  <c r="P354" i="3"/>
  <c r="P355" i="3"/>
  <c r="P356" i="3"/>
  <c r="P357" i="3"/>
  <c r="P358" i="3"/>
  <c r="P359" i="3"/>
  <c r="P360" i="3"/>
  <c r="P361" i="3"/>
  <c r="P362" i="3"/>
  <c r="P363" i="3"/>
  <c r="P364" i="3"/>
  <c r="P365" i="3"/>
  <c r="P366" i="3"/>
  <c r="P367" i="3"/>
  <c r="P368" i="3"/>
  <c r="P369" i="3"/>
  <c r="P370" i="3"/>
  <c r="P371" i="3"/>
  <c r="P372" i="3"/>
  <c r="P373" i="3"/>
  <c r="P374" i="3"/>
  <c r="P375" i="3"/>
  <c r="P376" i="3"/>
  <c r="P377" i="3"/>
  <c r="P378" i="3"/>
  <c r="P379" i="3"/>
  <c r="P380" i="3"/>
  <c r="P381" i="3"/>
  <c r="P382" i="3"/>
  <c r="P383" i="3"/>
  <c r="P384" i="3"/>
  <c r="P385" i="3"/>
  <c r="P386" i="3"/>
  <c r="P387" i="3"/>
  <c r="P388" i="3"/>
  <c r="P389" i="3"/>
  <c r="P390" i="3"/>
  <c r="P391" i="3"/>
  <c r="P392" i="3"/>
  <c r="P393" i="3"/>
  <c r="P394" i="3"/>
  <c r="P395" i="3"/>
  <c r="P396" i="3"/>
  <c r="P397" i="3"/>
  <c r="P398" i="3"/>
  <c r="P399" i="3"/>
  <c r="P400" i="3"/>
  <c r="P401" i="3"/>
  <c r="P402" i="3"/>
  <c r="P403" i="3"/>
  <c r="P404" i="3"/>
  <c r="P405" i="3"/>
  <c r="P406" i="3"/>
  <c r="P407" i="3"/>
  <c r="P408" i="3"/>
  <c r="P409" i="3"/>
  <c r="P410" i="3"/>
  <c r="P411" i="3"/>
  <c r="P412" i="3"/>
  <c r="P413" i="3"/>
  <c r="P414" i="3"/>
  <c r="P415" i="3"/>
  <c r="P416" i="3"/>
  <c r="P417" i="3"/>
  <c r="P418" i="3"/>
  <c r="P419" i="3"/>
  <c r="P420" i="3"/>
  <c r="P421" i="3"/>
  <c r="P422" i="3"/>
  <c r="P423" i="3"/>
  <c r="P424" i="3"/>
  <c r="P425" i="3"/>
  <c r="P426" i="3"/>
  <c r="P427" i="3"/>
  <c r="P428" i="3"/>
  <c r="P429" i="3"/>
  <c r="P430" i="3"/>
  <c r="P431" i="3"/>
  <c r="P432" i="3"/>
  <c r="P433" i="3"/>
  <c r="P434" i="3"/>
  <c r="P435" i="3"/>
  <c r="P436" i="3"/>
  <c r="P437" i="3"/>
  <c r="P438" i="3"/>
  <c r="P439" i="3"/>
  <c r="P440" i="3"/>
  <c r="P441" i="3"/>
  <c r="P442" i="3"/>
  <c r="P443" i="3"/>
  <c r="P444" i="3"/>
  <c r="P445" i="3"/>
  <c r="P446" i="3"/>
  <c r="P447" i="3"/>
  <c r="P448" i="3"/>
  <c r="P449" i="3"/>
  <c r="P450" i="3"/>
  <c r="P451" i="3"/>
  <c r="P452" i="3"/>
  <c r="P453" i="3"/>
  <c r="P454" i="3"/>
  <c r="P455" i="3"/>
  <c r="P456" i="3"/>
  <c r="P457" i="3"/>
  <c r="P458" i="3"/>
  <c r="P459" i="3"/>
  <c r="P460" i="3"/>
  <c r="P461" i="3"/>
  <c r="P462" i="3"/>
  <c r="P463" i="3"/>
  <c r="P464" i="3"/>
  <c r="P465" i="3"/>
  <c r="P466" i="3"/>
  <c r="P467" i="3"/>
  <c r="P468" i="3"/>
  <c r="P469" i="3"/>
  <c r="P470" i="3"/>
  <c r="P471" i="3"/>
  <c r="P472" i="3"/>
  <c r="P473" i="3"/>
  <c r="P474" i="3"/>
  <c r="P475" i="3"/>
  <c r="P476" i="3"/>
  <c r="P477" i="3"/>
  <c r="P478" i="3"/>
  <c r="P479" i="3"/>
  <c r="P480" i="3"/>
  <c r="P481" i="3"/>
  <c r="P482" i="3"/>
  <c r="P483" i="3"/>
  <c r="P484" i="3"/>
  <c r="P485" i="3"/>
  <c r="P486" i="3"/>
  <c r="P487" i="3"/>
  <c r="P488" i="3"/>
  <c r="P489" i="3"/>
  <c r="P490" i="3"/>
  <c r="P491" i="3"/>
  <c r="P492" i="3"/>
  <c r="P493" i="3"/>
  <c r="P494" i="3"/>
  <c r="P495" i="3"/>
  <c r="P496" i="3"/>
  <c r="P497" i="3"/>
  <c r="P498" i="3"/>
  <c r="P499" i="3"/>
  <c r="P500" i="3"/>
  <c r="P501" i="3"/>
  <c r="P502" i="3"/>
  <c r="P503" i="3"/>
  <c r="P504" i="3"/>
  <c r="P505" i="3"/>
  <c r="P506" i="3"/>
  <c r="P507" i="3"/>
  <c r="P508" i="3"/>
  <c r="P509" i="3"/>
  <c r="P510" i="3"/>
  <c r="P511" i="3"/>
  <c r="P512" i="3"/>
  <c r="P513" i="3"/>
  <c r="P514" i="3"/>
  <c r="P515" i="3"/>
  <c r="P516" i="3"/>
  <c r="P517" i="3"/>
  <c r="P518" i="3"/>
  <c r="P519" i="3"/>
  <c r="P520" i="3"/>
  <c r="P521" i="3"/>
  <c r="P522" i="3"/>
  <c r="P523" i="3"/>
  <c r="P524" i="3"/>
  <c r="P525" i="3"/>
  <c r="P526" i="3"/>
  <c r="P527" i="3"/>
  <c r="P528" i="3"/>
  <c r="P529" i="3"/>
  <c r="P530" i="3"/>
  <c r="P531" i="3"/>
  <c r="P532" i="3"/>
  <c r="P533" i="3"/>
  <c r="P534" i="3"/>
  <c r="P535" i="3"/>
  <c r="P536" i="3"/>
  <c r="P537" i="3"/>
  <c r="P538" i="3"/>
  <c r="P539" i="3"/>
  <c r="P540" i="3"/>
  <c r="P541" i="3"/>
  <c r="P542" i="3"/>
  <c r="P543" i="3"/>
  <c r="P544" i="3"/>
  <c r="P545" i="3"/>
  <c r="P546" i="3"/>
  <c r="P547" i="3"/>
  <c r="P548" i="3"/>
  <c r="P549" i="3"/>
  <c r="P550" i="3"/>
  <c r="P551" i="3"/>
  <c r="P552" i="3"/>
  <c r="P553" i="3"/>
  <c r="P554" i="3"/>
  <c r="P555" i="3"/>
  <c r="P556" i="3"/>
  <c r="P557" i="3"/>
  <c r="P558" i="3"/>
  <c r="P559" i="3"/>
  <c r="P560" i="3"/>
  <c r="P561" i="3"/>
  <c r="P562" i="3"/>
  <c r="P563" i="3"/>
  <c r="P564" i="3"/>
  <c r="P565" i="3"/>
  <c r="P566" i="3"/>
  <c r="P567" i="3"/>
  <c r="P568" i="3"/>
  <c r="P569" i="3"/>
  <c r="P570" i="3"/>
  <c r="P571" i="3"/>
  <c r="P572" i="3"/>
  <c r="P573" i="3"/>
  <c r="P574" i="3"/>
  <c r="P575" i="3"/>
  <c r="P576" i="3"/>
  <c r="P577" i="3"/>
  <c r="P578" i="3"/>
  <c r="P579" i="3"/>
  <c r="P580" i="3"/>
  <c r="P581" i="3"/>
  <c r="P582" i="3"/>
  <c r="P583" i="3"/>
  <c r="P584" i="3"/>
  <c r="P585" i="3"/>
  <c r="P586" i="3"/>
  <c r="P587" i="3"/>
  <c r="P588" i="3"/>
  <c r="P589" i="3"/>
  <c r="P590" i="3"/>
  <c r="P591" i="3"/>
  <c r="P592" i="3"/>
  <c r="P593" i="3"/>
  <c r="P594" i="3"/>
  <c r="P595" i="3"/>
  <c r="P596" i="3"/>
  <c r="P597" i="3"/>
  <c r="P598" i="3"/>
  <c r="P599" i="3"/>
  <c r="P600" i="3"/>
  <c r="P601" i="3"/>
  <c r="P602" i="3"/>
  <c r="P603" i="3"/>
  <c r="P604" i="3"/>
  <c r="P605" i="3"/>
  <c r="P606" i="3"/>
  <c r="P607" i="3"/>
  <c r="P608" i="3"/>
  <c r="P609" i="3"/>
  <c r="P610" i="3"/>
  <c r="P611" i="3"/>
  <c r="P612" i="3"/>
  <c r="P613" i="3"/>
  <c r="P614" i="3"/>
  <c r="P615" i="3"/>
  <c r="P616" i="3"/>
  <c r="P617" i="3"/>
  <c r="P618" i="3"/>
  <c r="P619" i="3"/>
  <c r="P620" i="3"/>
  <c r="P621" i="3"/>
  <c r="P622" i="3"/>
  <c r="P623" i="3"/>
  <c r="P624" i="3"/>
  <c r="P625" i="3"/>
  <c r="P626" i="3"/>
  <c r="P627" i="3"/>
  <c r="P628" i="3"/>
  <c r="P629" i="3"/>
  <c r="P630" i="3"/>
  <c r="P631" i="3"/>
  <c r="P632" i="3"/>
  <c r="P633" i="3"/>
  <c r="P634" i="3"/>
  <c r="P635" i="3"/>
  <c r="P636" i="3"/>
  <c r="P637" i="3"/>
  <c r="P638" i="3"/>
  <c r="P639" i="3"/>
  <c r="P640" i="3"/>
  <c r="P641" i="3"/>
  <c r="P642" i="3"/>
  <c r="P643" i="3"/>
  <c r="P644" i="3"/>
  <c r="P645" i="3"/>
  <c r="P646" i="3"/>
  <c r="P647" i="3"/>
  <c r="P648" i="3"/>
  <c r="P649" i="3"/>
  <c r="P650" i="3"/>
  <c r="P651" i="3"/>
  <c r="P652" i="3"/>
  <c r="P653" i="3"/>
  <c r="P654" i="3"/>
  <c r="P655" i="3"/>
  <c r="P656" i="3"/>
  <c r="P657" i="3"/>
  <c r="P658" i="3"/>
  <c r="P659" i="3"/>
  <c r="P660" i="3"/>
  <c r="P661" i="3"/>
  <c r="P662" i="3"/>
  <c r="P663" i="3"/>
  <c r="P664" i="3"/>
  <c r="P665" i="3"/>
  <c r="P666" i="3"/>
  <c r="P667" i="3"/>
  <c r="P668" i="3"/>
  <c r="P669" i="3"/>
  <c r="P670" i="3"/>
  <c r="P671" i="3"/>
  <c r="P672" i="3"/>
  <c r="P673" i="3"/>
  <c r="P674" i="3"/>
  <c r="P675" i="3"/>
  <c r="P676" i="3"/>
  <c r="P677" i="3"/>
  <c r="P678" i="3"/>
  <c r="P679" i="3"/>
  <c r="P680" i="3"/>
  <c r="P681" i="3"/>
  <c r="P682" i="3"/>
  <c r="P683" i="3"/>
  <c r="P684" i="3"/>
  <c r="P685" i="3"/>
  <c r="P686" i="3"/>
  <c r="P687" i="3"/>
  <c r="P688" i="3"/>
  <c r="P689" i="3"/>
  <c r="P690" i="3"/>
  <c r="P691" i="3"/>
  <c r="P692" i="3"/>
  <c r="P693" i="3"/>
  <c r="P694" i="3"/>
  <c r="P695" i="3"/>
  <c r="P696" i="3"/>
  <c r="P697" i="3"/>
  <c r="P698" i="3"/>
  <c r="P699" i="3"/>
  <c r="P700" i="3"/>
  <c r="P701" i="3"/>
  <c r="P702" i="3"/>
  <c r="P703" i="3"/>
  <c r="P704" i="3"/>
  <c r="P705" i="3"/>
  <c r="P706" i="3"/>
  <c r="P707" i="3"/>
  <c r="P708" i="3"/>
  <c r="P709" i="3"/>
  <c r="P710" i="3"/>
  <c r="P711" i="3"/>
  <c r="P712" i="3"/>
  <c r="P713" i="3"/>
  <c r="P714" i="3"/>
  <c r="P715" i="3"/>
  <c r="P716" i="3"/>
  <c r="P717" i="3"/>
  <c r="P718" i="3"/>
  <c r="P719" i="3"/>
  <c r="P720" i="3"/>
  <c r="P721" i="3"/>
  <c r="P722" i="3"/>
  <c r="P723" i="3"/>
  <c r="P724" i="3"/>
  <c r="P725" i="3"/>
  <c r="P726" i="3"/>
  <c r="P727" i="3"/>
  <c r="P728" i="3"/>
  <c r="P729" i="3"/>
  <c r="P730" i="3"/>
  <c r="P731" i="3"/>
  <c r="P732" i="3"/>
  <c r="P733" i="3"/>
  <c r="P734" i="3"/>
  <c r="P735" i="3"/>
  <c r="P736" i="3"/>
  <c r="P737" i="3"/>
  <c r="P738" i="3"/>
  <c r="P739" i="3"/>
  <c r="P740" i="3"/>
  <c r="P741" i="3"/>
  <c r="P742" i="3"/>
  <c r="P743" i="3"/>
  <c r="P744" i="3"/>
  <c r="P745" i="3"/>
  <c r="P746" i="3"/>
  <c r="P747" i="3"/>
  <c r="P748" i="3"/>
  <c r="P749" i="3"/>
  <c r="P750" i="3"/>
  <c r="P751" i="3"/>
  <c r="P752" i="3"/>
  <c r="P753" i="3"/>
  <c r="P754" i="3"/>
  <c r="P755" i="3"/>
  <c r="P756" i="3"/>
  <c r="P757" i="3"/>
  <c r="P758" i="3"/>
  <c r="P759" i="3"/>
  <c r="P760" i="3"/>
  <c r="P761" i="3"/>
  <c r="P762" i="3"/>
  <c r="P763" i="3"/>
  <c r="P764" i="3"/>
  <c r="P765" i="3"/>
  <c r="P766" i="3"/>
  <c r="P767" i="3"/>
  <c r="P768" i="3"/>
  <c r="P769" i="3"/>
  <c r="P770" i="3"/>
  <c r="P771" i="3"/>
  <c r="P772" i="3"/>
  <c r="P773" i="3"/>
  <c r="P774" i="3"/>
  <c r="P775" i="3"/>
  <c r="P776" i="3"/>
  <c r="P777" i="3"/>
  <c r="P778" i="3"/>
  <c r="P779" i="3"/>
  <c r="P780" i="3"/>
  <c r="P781" i="3"/>
  <c r="P782" i="3"/>
  <c r="P783" i="3"/>
  <c r="P784" i="3"/>
  <c r="P785" i="3"/>
  <c r="P786" i="3"/>
  <c r="P787" i="3"/>
  <c r="P788" i="3"/>
  <c r="P789" i="3"/>
  <c r="P790" i="3"/>
  <c r="P791" i="3"/>
  <c r="P792" i="3"/>
  <c r="P793" i="3"/>
  <c r="P794" i="3"/>
  <c r="P795" i="3"/>
  <c r="P796" i="3"/>
  <c r="P797" i="3"/>
  <c r="P798" i="3"/>
  <c r="P799" i="3"/>
  <c r="P800" i="3"/>
  <c r="P801" i="3"/>
  <c r="P802" i="3"/>
  <c r="P803" i="3"/>
  <c r="P804" i="3"/>
  <c r="P805" i="3"/>
  <c r="P806" i="3"/>
  <c r="P807" i="3"/>
  <c r="P808" i="3"/>
  <c r="P809" i="3"/>
  <c r="P810" i="3"/>
  <c r="P811" i="3"/>
  <c r="P812" i="3"/>
  <c r="P813" i="3"/>
  <c r="P814" i="3"/>
  <c r="P815" i="3"/>
  <c r="P816" i="3"/>
  <c r="P817" i="3"/>
  <c r="P818" i="3"/>
  <c r="P819" i="3"/>
  <c r="P820" i="3"/>
  <c r="P821" i="3"/>
  <c r="P822" i="3"/>
  <c r="P823" i="3"/>
  <c r="P824" i="3"/>
  <c r="P825" i="3"/>
  <c r="P826" i="3"/>
  <c r="P827" i="3"/>
  <c r="P828" i="3"/>
  <c r="P829" i="3"/>
  <c r="P830" i="3"/>
  <c r="P831" i="3"/>
  <c r="P832" i="3"/>
  <c r="P833" i="3"/>
  <c r="P834" i="3"/>
  <c r="P835" i="3"/>
  <c r="P836" i="3"/>
  <c r="P837" i="3"/>
  <c r="P838" i="3"/>
  <c r="P839" i="3"/>
  <c r="P840" i="3"/>
  <c r="P841" i="3"/>
  <c r="P842" i="3"/>
  <c r="P843" i="3"/>
  <c r="P844" i="3"/>
  <c r="P845" i="3"/>
  <c r="P846" i="3"/>
  <c r="P847" i="3"/>
  <c r="P848" i="3"/>
  <c r="P849" i="3"/>
  <c r="P850" i="3"/>
  <c r="P851" i="3"/>
  <c r="P852" i="3"/>
  <c r="P853" i="3"/>
  <c r="P854" i="3"/>
  <c r="P855" i="3"/>
  <c r="P856" i="3"/>
  <c r="P857" i="3"/>
  <c r="P858" i="3"/>
  <c r="P859" i="3"/>
  <c r="P860" i="3"/>
  <c r="P861" i="3"/>
  <c r="P862" i="3"/>
  <c r="P863" i="3"/>
  <c r="P864" i="3"/>
  <c r="P865" i="3"/>
  <c r="P866" i="3"/>
  <c r="P867" i="3"/>
  <c r="P868" i="3"/>
  <c r="P869" i="3"/>
  <c r="P870" i="3"/>
  <c r="P871" i="3"/>
  <c r="P872" i="3"/>
  <c r="P873" i="3"/>
  <c r="P874" i="3"/>
  <c r="P875" i="3"/>
  <c r="P876" i="3"/>
  <c r="P877" i="3"/>
  <c r="P878" i="3"/>
  <c r="P879" i="3"/>
  <c r="P880" i="3"/>
  <c r="P881" i="3"/>
  <c r="P882" i="3"/>
  <c r="P883" i="3"/>
  <c r="P884" i="3"/>
  <c r="P885" i="3"/>
  <c r="P886" i="3"/>
  <c r="P887" i="3"/>
  <c r="P888" i="3"/>
  <c r="P889" i="3"/>
  <c r="P890" i="3"/>
  <c r="P891" i="3"/>
  <c r="P892" i="3"/>
  <c r="P893" i="3"/>
  <c r="P894" i="3"/>
  <c r="P895" i="3"/>
  <c r="P896" i="3"/>
  <c r="P897" i="3"/>
  <c r="P898" i="3"/>
  <c r="P899" i="3"/>
  <c r="P900" i="3"/>
  <c r="P901" i="3"/>
  <c r="P902" i="3"/>
  <c r="P903" i="3"/>
  <c r="P904" i="3"/>
  <c r="P905" i="3"/>
  <c r="P906" i="3"/>
  <c r="P907" i="3"/>
  <c r="P908" i="3"/>
  <c r="P909" i="3"/>
  <c r="P910" i="3"/>
  <c r="P911" i="3"/>
  <c r="P912" i="3"/>
  <c r="P913" i="3"/>
  <c r="P914" i="3"/>
  <c r="P915" i="3"/>
  <c r="P916" i="3"/>
  <c r="P917" i="3"/>
  <c r="P918" i="3"/>
  <c r="P919" i="3"/>
  <c r="P920" i="3"/>
  <c r="P921" i="3"/>
  <c r="P922" i="3"/>
  <c r="P923" i="3"/>
  <c r="P924" i="3"/>
  <c r="P925" i="3"/>
  <c r="P926" i="3"/>
  <c r="P927" i="3"/>
  <c r="P928" i="3"/>
  <c r="P929" i="3"/>
  <c r="P930" i="3"/>
  <c r="P931" i="3"/>
  <c r="P932" i="3"/>
  <c r="P933" i="3"/>
  <c r="P934" i="3"/>
  <c r="P935" i="3"/>
  <c r="P936" i="3"/>
  <c r="P937" i="3"/>
  <c r="P938" i="3"/>
  <c r="P939" i="3"/>
  <c r="P940" i="3"/>
  <c r="P941" i="3"/>
  <c r="P942" i="3"/>
  <c r="P943" i="3"/>
  <c r="P944" i="3"/>
  <c r="P945" i="3"/>
  <c r="P946" i="3"/>
  <c r="P947" i="3"/>
  <c r="P948" i="3"/>
  <c r="P949" i="3"/>
  <c r="P950" i="3"/>
  <c r="P951" i="3"/>
  <c r="P952" i="3"/>
  <c r="P953" i="3"/>
  <c r="P954" i="3"/>
  <c r="P955" i="3"/>
  <c r="P956" i="3"/>
  <c r="P957" i="3"/>
  <c r="P958" i="3"/>
  <c r="P959" i="3"/>
  <c r="P960" i="3"/>
  <c r="P961" i="3"/>
  <c r="P962" i="3"/>
  <c r="P963" i="3"/>
  <c r="P964" i="3"/>
  <c r="P965" i="3"/>
  <c r="P966" i="3"/>
  <c r="P967" i="3"/>
  <c r="P968" i="3"/>
  <c r="P969" i="3"/>
  <c r="P970" i="3"/>
  <c r="P971" i="3"/>
  <c r="P972" i="3"/>
  <c r="P973" i="3"/>
  <c r="P974" i="3"/>
  <c r="P975" i="3"/>
  <c r="P976" i="3"/>
  <c r="P977" i="3"/>
  <c r="P978" i="3"/>
  <c r="P979" i="3"/>
  <c r="P980" i="3"/>
  <c r="P981" i="3"/>
  <c r="P982" i="3"/>
  <c r="P983" i="3"/>
  <c r="P984" i="3"/>
  <c r="P985" i="3"/>
  <c r="P986" i="3"/>
  <c r="P987" i="3"/>
  <c r="P988" i="3"/>
  <c r="P989" i="3"/>
  <c r="P990" i="3"/>
  <c r="P991" i="3"/>
  <c r="P992" i="3"/>
  <c r="P993" i="3"/>
  <c r="P994" i="3"/>
  <c r="P995" i="3"/>
  <c r="P996" i="3"/>
  <c r="P997" i="3"/>
  <c r="P998" i="3"/>
  <c r="P999" i="3"/>
  <c r="P1000" i="3"/>
  <c r="P1001" i="3"/>
  <c r="P1002" i="3"/>
  <c r="P1003" i="3"/>
  <c r="P1004" i="3"/>
  <c r="P1005" i="3"/>
  <c r="P1006" i="3"/>
  <c r="P1007" i="3"/>
  <c r="P1008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O256" i="3"/>
  <c r="O257" i="3"/>
  <c r="O258" i="3"/>
  <c r="O259" i="3"/>
  <c r="O260" i="3"/>
  <c r="O261" i="3"/>
  <c r="O262" i="3"/>
  <c r="O263" i="3"/>
  <c r="O264" i="3"/>
  <c r="O265" i="3"/>
  <c r="O266" i="3"/>
  <c r="O267" i="3"/>
  <c r="O268" i="3"/>
  <c r="O269" i="3"/>
  <c r="O270" i="3"/>
  <c r="O271" i="3"/>
  <c r="O272" i="3"/>
  <c r="O273" i="3"/>
  <c r="O274" i="3"/>
  <c r="O275" i="3"/>
  <c r="O276" i="3"/>
  <c r="O277" i="3"/>
  <c r="O278" i="3"/>
  <c r="O279" i="3"/>
  <c r="O280" i="3"/>
  <c r="O281" i="3"/>
  <c r="O282" i="3"/>
  <c r="O283" i="3"/>
  <c r="O284" i="3"/>
  <c r="O285" i="3"/>
  <c r="O286" i="3"/>
  <c r="O287" i="3"/>
  <c r="O288" i="3"/>
  <c r="O289" i="3"/>
  <c r="O290" i="3"/>
  <c r="O291" i="3"/>
  <c r="O292" i="3"/>
  <c r="O293" i="3"/>
  <c r="O294" i="3"/>
  <c r="O295" i="3"/>
  <c r="O296" i="3"/>
  <c r="O297" i="3"/>
  <c r="O298" i="3"/>
  <c r="O299" i="3"/>
  <c r="O300" i="3"/>
  <c r="O301" i="3"/>
  <c r="O302" i="3"/>
  <c r="O303" i="3"/>
  <c r="O304" i="3"/>
  <c r="O305" i="3"/>
  <c r="O306" i="3"/>
  <c r="O307" i="3"/>
  <c r="O308" i="3"/>
  <c r="O309" i="3"/>
  <c r="O310" i="3"/>
  <c r="O311" i="3"/>
  <c r="O312" i="3"/>
  <c r="O313" i="3"/>
  <c r="O314" i="3"/>
  <c r="O315" i="3"/>
  <c r="O316" i="3"/>
  <c r="O317" i="3"/>
  <c r="O318" i="3"/>
  <c r="O319" i="3"/>
  <c r="O320" i="3"/>
  <c r="O321" i="3"/>
  <c r="O322" i="3"/>
  <c r="O323" i="3"/>
  <c r="O324" i="3"/>
  <c r="O325" i="3"/>
  <c r="O326" i="3"/>
  <c r="O327" i="3"/>
  <c r="O328" i="3"/>
  <c r="O329" i="3"/>
  <c r="O330" i="3"/>
  <c r="O331" i="3"/>
  <c r="O332" i="3"/>
  <c r="O333" i="3"/>
  <c r="O334" i="3"/>
  <c r="O335" i="3"/>
  <c r="O336" i="3"/>
  <c r="O337" i="3"/>
  <c r="O338" i="3"/>
  <c r="O339" i="3"/>
  <c r="O340" i="3"/>
  <c r="O341" i="3"/>
  <c r="O342" i="3"/>
  <c r="O343" i="3"/>
  <c r="O344" i="3"/>
  <c r="O345" i="3"/>
  <c r="O346" i="3"/>
  <c r="O347" i="3"/>
  <c r="O348" i="3"/>
  <c r="O349" i="3"/>
  <c r="O350" i="3"/>
  <c r="O351" i="3"/>
  <c r="O352" i="3"/>
  <c r="O353" i="3"/>
  <c r="O354" i="3"/>
  <c r="O355" i="3"/>
  <c r="O356" i="3"/>
  <c r="O357" i="3"/>
  <c r="O358" i="3"/>
  <c r="O359" i="3"/>
  <c r="O360" i="3"/>
  <c r="O361" i="3"/>
  <c r="O362" i="3"/>
  <c r="O363" i="3"/>
  <c r="O364" i="3"/>
  <c r="O365" i="3"/>
  <c r="O366" i="3"/>
  <c r="O367" i="3"/>
  <c r="O368" i="3"/>
  <c r="O369" i="3"/>
  <c r="O370" i="3"/>
  <c r="O371" i="3"/>
  <c r="O372" i="3"/>
  <c r="O373" i="3"/>
  <c r="O374" i="3"/>
  <c r="O375" i="3"/>
  <c r="O376" i="3"/>
  <c r="O377" i="3"/>
  <c r="O378" i="3"/>
  <c r="O379" i="3"/>
  <c r="O380" i="3"/>
  <c r="O381" i="3"/>
  <c r="O382" i="3"/>
  <c r="O383" i="3"/>
  <c r="O384" i="3"/>
  <c r="O385" i="3"/>
  <c r="O386" i="3"/>
  <c r="O387" i="3"/>
  <c r="O388" i="3"/>
  <c r="O389" i="3"/>
  <c r="O390" i="3"/>
  <c r="O391" i="3"/>
  <c r="O392" i="3"/>
  <c r="O393" i="3"/>
  <c r="O394" i="3"/>
  <c r="O395" i="3"/>
  <c r="O396" i="3"/>
  <c r="O397" i="3"/>
  <c r="O398" i="3"/>
  <c r="O399" i="3"/>
  <c r="O400" i="3"/>
  <c r="O401" i="3"/>
  <c r="O402" i="3"/>
  <c r="O403" i="3"/>
  <c r="O404" i="3"/>
  <c r="O405" i="3"/>
  <c r="O406" i="3"/>
  <c r="O407" i="3"/>
  <c r="O408" i="3"/>
  <c r="O409" i="3"/>
  <c r="O410" i="3"/>
  <c r="O411" i="3"/>
  <c r="O412" i="3"/>
  <c r="O413" i="3"/>
  <c r="O414" i="3"/>
  <c r="O415" i="3"/>
  <c r="O416" i="3"/>
  <c r="O417" i="3"/>
  <c r="O418" i="3"/>
  <c r="O419" i="3"/>
  <c r="O420" i="3"/>
  <c r="O421" i="3"/>
  <c r="O422" i="3"/>
  <c r="O423" i="3"/>
  <c r="O424" i="3"/>
  <c r="O425" i="3"/>
  <c r="O426" i="3"/>
  <c r="O427" i="3"/>
  <c r="O428" i="3"/>
  <c r="O429" i="3"/>
  <c r="O430" i="3"/>
  <c r="O431" i="3"/>
  <c r="O432" i="3"/>
  <c r="O433" i="3"/>
  <c r="O434" i="3"/>
  <c r="O435" i="3"/>
  <c r="O436" i="3"/>
  <c r="O437" i="3"/>
  <c r="O438" i="3"/>
  <c r="O439" i="3"/>
  <c r="O440" i="3"/>
  <c r="O441" i="3"/>
  <c r="O442" i="3"/>
  <c r="O443" i="3"/>
  <c r="O444" i="3"/>
  <c r="O445" i="3"/>
  <c r="O446" i="3"/>
  <c r="O447" i="3"/>
  <c r="O448" i="3"/>
  <c r="O449" i="3"/>
  <c r="O450" i="3"/>
  <c r="O451" i="3"/>
  <c r="O452" i="3"/>
  <c r="O453" i="3"/>
  <c r="O454" i="3"/>
  <c r="O455" i="3"/>
  <c r="O456" i="3"/>
  <c r="O457" i="3"/>
  <c r="O458" i="3"/>
  <c r="O459" i="3"/>
  <c r="O460" i="3"/>
  <c r="O461" i="3"/>
  <c r="O462" i="3"/>
  <c r="O463" i="3"/>
  <c r="O464" i="3"/>
  <c r="O465" i="3"/>
  <c r="O466" i="3"/>
  <c r="O467" i="3"/>
  <c r="O468" i="3"/>
  <c r="O469" i="3"/>
  <c r="O470" i="3"/>
  <c r="O471" i="3"/>
  <c r="O472" i="3"/>
  <c r="O473" i="3"/>
  <c r="O474" i="3"/>
  <c r="O475" i="3"/>
  <c r="O476" i="3"/>
  <c r="O477" i="3"/>
  <c r="O478" i="3"/>
  <c r="O479" i="3"/>
  <c r="O480" i="3"/>
  <c r="O481" i="3"/>
  <c r="O482" i="3"/>
  <c r="O483" i="3"/>
  <c r="O484" i="3"/>
  <c r="O485" i="3"/>
  <c r="O486" i="3"/>
  <c r="O487" i="3"/>
  <c r="O488" i="3"/>
  <c r="O489" i="3"/>
  <c r="O490" i="3"/>
  <c r="O491" i="3"/>
  <c r="O492" i="3"/>
  <c r="O493" i="3"/>
  <c r="O494" i="3"/>
  <c r="O495" i="3"/>
  <c r="O496" i="3"/>
  <c r="O497" i="3"/>
  <c r="O498" i="3"/>
  <c r="O499" i="3"/>
  <c r="O500" i="3"/>
  <c r="O501" i="3"/>
  <c r="O502" i="3"/>
  <c r="O503" i="3"/>
  <c r="O504" i="3"/>
  <c r="O505" i="3"/>
  <c r="O506" i="3"/>
  <c r="O507" i="3"/>
  <c r="O508" i="3"/>
  <c r="O509" i="3"/>
  <c r="O510" i="3"/>
  <c r="O511" i="3"/>
  <c r="O512" i="3"/>
  <c r="O513" i="3"/>
  <c r="O514" i="3"/>
  <c r="O515" i="3"/>
  <c r="O516" i="3"/>
  <c r="O517" i="3"/>
  <c r="O518" i="3"/>
  <c r="O519" i="3"/>
  <c r="O520" i="3"/>
  <c r="O521" i="3"/>
  <c r="O522" i="3"/>
  <c r="O523" i="3"/>
  <c r="O524" i="3"/>
  <c r="O525" i="3"/>
  <c r="O526" i="3"/>
  <c r="O527" i="3"/>
  <c r="O528" i="3"/>
  <c r="O529" i="3"/>
  <c r="O530" i="3"/>
  <c r="O531" i="3"/>
  <c r="O532" i="3"/>
  <c r="O533" i="3"/>
  <c r="O534" i="3"/>
  <c r="O535" i="3"/>
  <c r="O536" i="3"/>
  <c r="O537" i="3"/>
  <c r="O538" i="3"/>
  <c r="O539" i="3"/>
  <c r="O540" i="3"/>
  <c r="O541" i="3"/>
  <c r="O542" i="3"/>
  <c r="O543" i="3"/>
  <c r="O544" i="3"/>
  <c r="O545" i="3"/>
  <c r="O546" i="3"/>
  <c r="O547" i="3"/>
  <c r="O548" i="3"/>
  <c r="O549" i="3"/>
  <c r="O550" i="3"/>
  <c r="O551" i="3"/>
  <c r="O552" i="3"/>
  <c r="O553" i="3"/>
  <c r="O554" i="3"/>
  <c r="O555" i="3"/>
  <c r="O556" i="3"/>
  <c r="O557" i="3"/>
  <c r="O558" i="3"/>
  <c r="O559" i="3"/>
  <c r="O560" i="3"/>
  <c r="O561" i="3"/>
  <c r="O562" i="3"/>
  <c r="O563" i="3"/>
  <c r="O564" i="3"/>
  <c r="O565" i="3"/>
  <c r="O566" i="3"/>
  <c r="O567" i="3"/>
  <c r="O568" i="3"/>
  <c r="O569" i="3"/>
  <c r="O570" i="3"/>
  <c r="O571" i="3"/>
  <c r="O572" i="3"/>
  <c r="O573" i="3"/>
  <c r="O574" i="3"/>
  <c r="O575" i="3"/>
  <c r="O576" i="3"/>
  <c r="O577" i="3"/>
  <c r="O578" i="3"/>
  <c r="O579" i="3"/>
  <c r="O580" i="3"/>
  <c r="O581" i="3"/>
  <c r="O582" i="3"/>
  <c r="O583" i="3"/>
  <c r="O584" i="3"/>
  <c r="O585" i="3"/>
  <c r="O586" i="3"/>
  <c r="O587" i="3"/>
  <c r="O588" i="3"/>
  <c r="O589" i="3"/>
  <c r="O590" i="3"/>
  <c r="O591" i="3"/>
  <c r="O592" i="3"/>
  <c r="O593" i="3"/>
  <c r="O594" i="3"/>
  <c r="O595" i="3"/>
  <c r="O596" i="3"/>
  <c r="O597" i="3"/>
  <c r="O598" i="3"/>
  <c r="O599" i="3"/>
  <c r="O600" i="3"/>
  <c r="O601" i="3"/>
  <c r="O602" i="3"/>
  <c r="O603" i="3"/>
  <c r="O604" i="3"/>
  <c r="O605" i="3"/>
  <c r="O606" i="3"/>
  <c r="O607" i="3"/>
  <c r="O608" i="3"/>
  <c r="O609" i="3"/>
  <c r="O610" i="3"/>
  <c r="O611" i="3"/>
  <c r="O612" i="3"/>
  <c r="O613" i="3"/>
  <c r="O614" i="3"/>
  <c r="O615" i="3"/>
  <c r="O616" i="3"/>
  <c r="O617" i="3"/>
  <c r="O618" i="3"/>
  <c r="O619" i="3"/>
  <c r="O620" i="3"/>
  <c r="O621" i="3"/>
  <c r="O622" i="3"/>
  <c r="O623" i="3"/>
  <c r="O624" i="3"/>
  <c r="O625" i="3"/>
  <c r="O626" i="3"/>
  <c r="O627" i="3"/>
  <c r="O628" i="3"/>
  <c r="O629" i="3"/>
  <c r="O630" i="3"/>
  <c r="O631" i="3"/>
  <c r="O632" i="3"/>
  <c r="O633" i="3"/>
  <c r="O634" i="3"/>
  <c r="O635" i="3"/>
  <c r="O636" i="3"/>
  <c r="O637" i="3"/>
  <c r="O638" i="3"/>
  <c r="O639" i="3"/>
  <c r="O640" i="3"/>
  <c r="O641" i="3"/>
  <c r="O642" i="3"/>
  <c r="O643" i="3"/>
  <c r="O644" i="3"/>
  <c r="O645" i="3"/>
  <c r="O646" i="3"/>
  <c r="O647" i="3"/>
  <c r="O648" i="3"/>
  <c r="O649" i="3"/>
  <c r="O650" i="3"/>
  <c r="O651" i="3"/>
  <c r="O652" i="3"/>
  <c r="O653" i="3"/>
  <c r="O654" i="3"/>
  <c r="O655" i="3"/>
  <c r="O656" i="3"/>
  <c r="O657" i="3"/>
  <c r="O658" i="3"/>
  <c r="O659" i="3"/>
  <c r="O660" i="3"/>
  <c r="O661" i="3"/>
  <c r="O662" i="3"/>
  <c r="O663" i="3"/>
  <c r="O664" i="3"/>
  <c r="O665" i="3"/>
  <c r="O666" i="3"/>
  <c r="O667" i="3"/>
  <c r="O668" i="3"/>
  <c r="O669" i="3"/>
  <c r="O670" i="3"/>
  <c r="O671" i="3"/>
  <c r="O672" i="3"/>
  <c r="O673" i="3"/>
  <c r="O674" i="3"/>
  <c r="O675" i="3"/>
  <c r="O676" i="3"/>
  <c r="O677" i="3"/>
  <c r="O678" i="3"/>
  <c r="O679" i="3"/>
  <c r="O680" i="3"/>
  <c r="O681" i="3"/>
  <c r="O682" i="3"/>
  <c r="O683" i="3"/>
  <c r="O684" i="3"/>
  <c r="O685" i="3"/>
  <c r="O686" i="3"/>
  <c r="O687" i="3"/>
  <c r="O688" i="3"/>
  <c r="O689" i="3"/>
  <c r="O690" i="3"/>
  <c r="O691" i="3"/>
  <c r="O692" i="3"/>
  <c r="O693" i="3"/>
  <c r="O694" i="3"/>
  <c r="O695" i="3"/>
  <c r="O696" i="3"/>
  <c r="O697" i="3"/>
  <c r="O698" i="3"/>
  <c r="O699" i="3"/>
  <c r="O700" i="3"/>
  <c r="O701" i="3"/>
  <c r="O702" i="3"/>
  <c r="O703" i="3"/>
  <c r="O704" i="3"/>
  <c r="O705" i="3"/>
  <c r="O706" i="3"/>
  <c r="O707" i="3"/>
  <c r="O708" i="3"/>
  <c r="O709" i="3"/>
  <c r="O710" i="3"/>
  <c r="O711" i="3"/>
  <c r="O712" i="3"/>
  <c r="O713" i="3"/>
  <c r="O714" i="3"/>
  <c r="O715" i="3"/>
  <c r="O716" i="3"/>
  <c r="O717" i="3"/>
  <c r="O718" i="3"/>
  <c r="O719" i="3"/>
  <c r="O720" i="3"/>
  <c r="O721" i="3"/>
  <c r="O722" i="3"/>
  <c r="O723" i="3"/>
  <c r="O724" i="3"/>
  <c r="O725" i="3"/>
  <c r="O726" i="3"/>
  <c r="O727" i="3"/>
  <c r="O728" i="3"/>
  <c r="O729" i="3"/>
  <c r="O730" i="3"/>
  <c r="O731" i="3"/>
  <c r="O732" i="3"/>
  <c r="O733" i="3"/>
  <c r="O734" i="3"/>
  <c r="O735" i="3"/>
  <c r="O736" i="3"/>
  <c r="O737" i="3"/>
  <c r="O738" i="3"/>
  <c r="O739" i="3"/>
  <c r="O740" i="3"/>
  <c r="O741" i="3"/>
  <c r="O742" i="3"/>
  <c r="O743" i="3"/>
  <c r="O744" i="3"/>
  <c r="O745" i="3"/>
  <c r="O746" i="3"/>
  <c r="O747" i="3"/>
  <c r="O748" i="3"/>
  <c r="O749" i="3"/>
  <c r="O750" i="3"/>
  <c r="O751" i="3"/>
  <c r="O752" i="3"/>
  <c r="O753" i="3"/>
  <c r="O754" i="3"/>
  <c r="O755" i="3"/>
  <c r="O756" i="3"/>
  <c r="O757" i="3"/>
  <c r="O758" i="3"/>
  <c r="O759" i="3"/>
  <c r="O760" i="3"/>
  <c r="O761" i="3"/>
  <c r="O762" i="3"/>
  <c r="O763" i="3"/>
  <c r="O764" i="3"/>
  <c r="O765" i="3"/>
  <c r="O766" i="3"/>
  <c r="O767" i="3"/>
  <c r="O768" i="3"/>
  <c r="O769" i="3"/>
  <c r="O770" i="3"/>
  <c r="O771" i="3"/>
  <c r="O772" i="3"/>
  <c r="O773" i="3"/>
  <c r="O774" i="3"/>
  <c r="O775" i="3"/>
  <c r="O776" i="3"/>
  <c r="O777" i="3"/>
  <c r="O778" i="3"/>
  <c r="O779" i="3"/>
  <c r="O780" i="3"/>
  <c r="O781" i="3"/>
  <c r="O782" i="3"/>
  <c r="O783" i="3"/>
  <c r="O784" i="3"/>
  <c r="O785" i="3"/>
  <c r="O786" i="3"/>
  <c r="O787" i="3"/>
  <c r="O788" i="3"/>
  <c r="O789" i="3"/>
  <c r="O790" i="3"/>
  <c r="O791" i="3"/>
  <c r="O792" i="3"/>
  <c r="O793" i="3"/>
  <c r="O794" i="3"/>
  <c r="O795" i="3"/>
  <c r="O796" i="3"/>
  <c r="O797" i="3"/>
  <c r="O798" i="3"/>
  <c r="O799" i="3"/>
  <c r="O800" i="3"/>
  <c r="O801" i="3"/>
  <c r="O802" i="3"/>
  <c r="O803" i="3"/>
  <c r="O804" i="3"/>
  <c r="O805" i="3"/>
  <c r="O806" i="3"/>
  <c r="O807" i="3"/>
  <c r="O808" i="3"/>
  <c r="O809" i="3"/>
  <c r="O810" i="3"/>
  <c r="O811" i="3"/>
  <c r="O812" i="3"/>
  <c r="O813" i="3"/>
  <c r="O814" i="3"/>
  <c r="O815" i="3"/>
  <c r="O816" i="3"/>
  <c r="O817" i="3"/>
  <c r="O818" i="3"/>
  <c r="O819" i="3"/>
  <c r="O820" i="3"/>
  <c r="O821" i="3"/>
  <c r="O822" i="3"/>
  <c r="O823" i="3"/>
  <c r="O824" i="3"/>
  <c r="O825" i="3"/>
  <c r="O826" i="3"/>
  <c r="O827" i="3"/>
  <c r="O828" i="3"/>
  <c r="O829" i="3"/>
  <c r="O830" i="3"/>
  <c r="O831" i="3"/>
  <c r="O832" i="3"/>
  <c r="O833" i="3"/>
  <c r="O834" i="3"/>
  <c r="O835" i="3"/>
  <c r="O836" i="3"/>
  <c r="O837" i="3"/>
  <c r="O838" i="3"/>
  <c r="O839" i="3"/>
  <c r="O840" i="3"/>
  <c r="O841" i="3"/>
  <c r="O842" i="3"/>
  <c r="O843" i="3"/>
  <c r="O844" i="3"/>
  <c r="O845" i="3"/>
  <c r="O846" i="3"/>
  <c r="O847" i="3"/>
  <c r="O848" i="3"/>
  <c r="O849" i="3"/>
  <c r="O850" i="3"/>
  <c r="O851" i="3"/>
  <c r="O852" i="3"/>
  <c r="O853" i="3"/>
  <c r="O854" i="3"/>
  <c r="O855" i="3"/>
  <c r="O856" i="3"/>
  <c r="O857" i="3"/>
  <c r="O858" i="3"/>
  <c r="O859" i="3"/>
  <c r="O860" i="3"/>
  <c r="O861" i="3"/>
  <c r="O862" i="3"/>
  <c r="O863" i="3"/>
  <c r="O864" i="3"/>
  <c r="O865" i="3"/>
  <c r="O866" i="3"/>
  <c r="O867" i="3"/>
  <c r="O868" i="3"/>
  <c r="O869" i="3"/>
  <c r="O870" i="3"/>
  <c r="O871" i="3"/>
  <c r="O872" i="3"/>
  <c r="O873" i="3"/>
  <c r="O874" i="3"/>
  <c r="O875" i="3"/>
  <c r="O876" i="3"/>
  <c r="O877" i="3"/>
  <c r="O878" i="3"/>
  <c r="O879" i="3"/>
  <c r="O880" i="3"/>
  <c r="O881" i="3"/>
  <c r="O882" i="3"/>
  <c r="O883" i="3"/>
  <c r="O884" i="3"/>
  <c r="O885" i="3"/>
  <c r="O886" i="3"/>
  <c r="O887" i="3"/>
  <c r="O888" i="3"/>
  <c r="O889" i="3"/>
  <c r="O890" i="3"/>
  <c r="O891" i="3"/>
  <c r="O892" i="3"/>
  <c r="O893" i="3"/>
  <c r="O894" i="3"/>
  <c r="O895" i="3"/>
  <c r="O896" i="3"/>
  <c r="O897" i="3"/>
  <c r="O898" i="3"/>
  <c r="O899" i="3"/>
  <c r="O900" i="3"/>
  <c r="O901" i="3"/>
  <c r="O902" i="3"/>
  <c r="O903" i="3"/>
  <c r="O904" i="3"/>
  <c r="O905" i="3"/>
  <c r="O906" i="3"/>
  <c r="O907" i="3"/>
  <c r="O908" i="3"/>
  <c r="O909" i="3"/>
  <c r="O910" i="3"/>
  <c r="O911" i="3"/>
  <c r="O912" i="3"/>
  <c r="O913" i="3"/>
  <c r="O914" i="3"/>
  <c r="O915" i="3"/>
  <c r="O916" i="3"/>
  <c r="O917" i="3"/>
  <c r="O918" i="3"/>
  <c r="O919" i="3"/>
  <c r="O920" i="3"/>
  <c r="O921" i="3"/>
  <c r="O922" i="3"/>
  <c r="O923" i="3"/>
  <c r="O924" i="3"/>
  <c r="O925" i="3"/>
  <c r="O926" i="3"/>
  <c r="O927" i="3"/>
  <c r="O928" i="3"/>
  <c r="O929" i="3"/>
  <c r="O930" i="3"/>
  <c r="O931" i="3"/>
  <c r="O932" i="3"/>
  <c r="O933" i="3"/>
  <c r="O934" i="3"/>
  <c r="O935" i="3"/>
  <c r="O936" i="3"/>
  <c r="O937" i="3"/>
  <c r="O938" i="3"/>
  <c r="O939" i="3"/>
  <c r="O940" i="3"/>
  <c r="O941" i="3"/>
  <c r="O942" i="3"/>
  <c r="O943" i="3"/>
  <c r="O944" i="3"/>
  <c r="O945" i="3"/>
  <c r="O946" i="3"/>
  <c r="O947" i="3"/>
  <c r="O948" i="3"/>
  <c r="O949" i="3"/>
  <c r="O950" i="3"/>
  <c r="O951" i="3"/>
  <c r="O952" i="3"/>
  <c r="O953" i="3"/>
  <c r="O954" i="3"/>
  <c r="O955" i="3"/>
  <c r="O956" i="3"/>
  <c r="O957" i="3"/>
  <c r="O958" i="3"/>
  <c r="O959" i="3"/>
  <c r="O960" i="3"/>
  <c r="O961" i="3"/>
  <c r="O962" i="3"/>
  <c r="O963" i="3"/>
  <c r="O964" i="3"/>
  <c r="O965" i="3"/>
  <c r="O966" i="3"/>
  <c r="O967" i="3"/>
  <c r="O968" i="3"/>
  <c r="O969" i="3"/>
  <c r="O970" i="3"/>
  <c r="O971" i="3"/>
  <c r="O972" i="3"/>
  <c r="O973" i="3"/>
  <c r="O974" i="3"/>
  <c r="O975" i="3"/>
  <c r="O976" i="3"/>
  <c r="O977" i="3"/>
  <c r="O978" i="3"/>
  <c r="O979" i="3"/>
  <c r="O980" i="3"/>
  <c r="O981" i="3"/>
  <c r="O982" i="3"/>
  <c r="O983" i="3"/>
  <c r="O984" i="3"/>
  <c r="O985" i="3"/>
  <c r="O986" i="3"/>
  <c r="O987" i="3"/>
  <c r="O988" i="3"/>
  <c r="O989" i="3"/>
  <c r="O990" i="3"/>
  <c r="O991" i="3"/>
  <c r="O992" i="3"/>
  <c r="O993" i="3"/>
  <c r="O994" i="3"/>
  <c r="O995" i="3"/>
  <c r="O996" i="3"/>
  <c r="O997" i="3"/>
  <c r="O998" i="3"/>
  <c r="O999" i="3"/>
  <c r="O1000" i="3"/>
  <c r="O1001" i="3"/>
  <c r="O1002" i="3"/>
  <c r="O1003" i="3"/>
  <c r="O1004" i="3"/>
  <c r="O1005" i="3"/>
  <c r="O1006" i="3"/>
  <c r="O1007" i="3"/>
  <c r="O1008" i="3"/>
  <c r="O2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N201" i="3"/>
  <c r="N202" i="3"/>
  <c r="N203" i="3"/>
  <c r="N204" i="3"/>
  <c r="N205" i="3"/>
  <c r="N206" i="3"/>
  <c r="N207" i="3"/>
  <c r="N208" i="3"/>
  <c r="N209" i="3"/>
  <c r="N210" i="3"/>
  <c r="N211" i="3"/>
  <c r="N212" i="3"/>
  <c r="N213" i="3"/>
  <c r="N214" i="3"/>
  <c r="N215" i="3"/>
  <c r="N216" i="3"/>
  <c r="N217" i="3"/>
  <c r="N218" i="3"/>
  <c r="N219" i="3"/>
  <c r="N220" i="3"/>
  <c r="N221" i="3"/>
  <c r="N222" i="3"/>
  <c r="N223" i="3"/>
  <c r="N224" i="3"/>
  <c r="N225" i="3"/>
  <c r="N226" i="3"/>
  <c r="N227" i="3"/>
  <c r="N228" i="3"/>
  <c r="N229" i="3"/>
  <c r="N230" i="3"/>
  <c r="N231" i="3"/>
  <c r="N232" i="3"/>
  <c r="N233" i="3"/>
  <c r="N234" i="3"/>
  <c r="N235" i="3"/>
  <c r="N236" i="3"/>
  <c r="N237" i="3"/>
  <c r="N238" i="3"/>
  <c r="N239" i="3"/>
  <c r="N240" i="3"/>
  <c r="N241" i="3"/>
  <c r="N242" i="3"/>
  <c r="N243" i="3"/>
  <c r="N244" i="3"/>
  <c r="N245" i="3"/>
  <c r="N246" i="3"/>
  <c r="N247" i="3"/>
  <c r="N248" i="3"/>
  <c r="N249" i="3"/>
  <c r="N250" i="3"/>
  <c r="N251" i="3"/>
  <c r="N252" i="3"/>
  <c r="N253" i="3"/>
  <c r="N254" i="3"/>
  <c r="N255" i="3"/>
  <c r="N256" i="3"/>
  <c r="N257" i="3"/>
  <c r="N258" i="3"/>
  <c r="N259" i="3"/>
  <c r="N260" i="3"/>
  <c r="N261" i="3"/>
  <c r="N262" i="3"/>
  <c r="N263" i="3"/>
  <c r="N264" i="3"/>
  <c r="N265" i="3"/>
  <c r="N266" i="3"/>
  <c r="N267" i="3"/>
  <c r="N268" i="3"/>
  <c r="N269" i="3"/>
  <c r="N270" i="3"/>
  <c r="N271" i="3"/>
  <c r="N272" i="3"/>
  <c r="N273" i="3"/>
  <c r="N274" i="3"/>
  <c r="N275" i="3"/>
  <c r="N276" i="3"/>
  <c r="N277" i="3"/>
  <c r="N278" i="3"/>
  <c r="N279" i="3"/>
  <c r="N280" i="3"/>
  <c r="N281" i="3"/>
  <c r="N282" i="3"/>
  <c r="N283" i="3"/>
  <c r="N284" i="3"/>
  <c r="N285" i="3"/>
  <c r="N286" i="3"/>
  <c r="N287" i="3"/>
  <c r="N288" i="3"/>
  <c r="N289" i="3"/>
  <c r="N290" i="3"/>
  <c r="N291" i="3"/>
  <c r="N292" i="3"/>
  <c r="N293" i="3"/>
  <c r="N294" i="3"/>
  <c r="N295" i="3"/>
  <c r="N296" i="3"/>
  <c r="N297" i="3"/>
  <c r="N298" i="3"/>
  <c r="N299" i="3"/>
  <c r="N300" i="3"/>
  <c r="N301" i="3"/>
  <c r="N302" i="3"/>
  <c r="N303" i="3"/>
  <c r="N304" i="3"/>
  <c r="N305" i="3"/>
  <c r="N306" i="3"/>
  <c r="N307" i="3"/>
  <c r="N308" i="3"/>
  <c r="N309" i="3"/>
  <c r="N310" i="3"/>
  <c r="N311" i="3"/>
  <c r="N312" i="3"/>
  <c r="N313" i="3"/>
  <c r="N314" i="3"/>
  <c r="N315" i="3"/>
  <c r="N316" i="3"/>
  <c r="N317" i="3"/>
  <c r="N318" i="3"/>
  <c r="N319" i="3"/>
  <c r="N320" i="3"/>
  <c r="N321" i="3"/>
  <c r="N322" i="3"/>
  <c r="N323" i="3"/>
  <c r="N324" i="3"/>
  <c r="N325" i="3"/>
  <c r="N326" i="3"/>
  <c r="N327" i="3"/>
  <c r="N328" i="3"/>
  <c r="N329" i="3"/>
  <c r="N330" i="3"/>
  <c r="N331" i="3"/>
  <c r="N332" i="3"/>
  <c r="N333" i="3"/>
  <c r="N334" i="3"/>
  <c r="N335" i="3"/>
  <c r="N336" i="3"/>
  <c r="N337" i="3"/>
  <c r="N338" i="3"/>
  <c r="N339" i="3"/>
  <c r="N340" i="3"/>
  <c r="N341" i="3"/>
  <c r="N342" i="3"/>
  <c r="N343" i="3"/>
  <c r="N344" i="3"/>
  <c r="N345" i="3"/>
  <c r="N346" i="3"/>
  <c r="N347" i="3"/>
  <c r="N348" i="3"/>
  <c r="N349" i="3"/>
  <c r="N350" i="3"/>
  <c r="N351" i="3"/>
  <c r="N352" i="3"/>
  <c r="N353" i="3"/>
  <c r="N354" i="3"/>
  <c r="N355" i="3"/>
  <c r="N356" i="3"/>
  <c r="N357" i="3"/>
  <c r="N358" i="3"/>
  <c r="N359" i="3"/>
  <c r="N360" i="3"/>
  <c r="N361" i="3"/>
  <c r="N362" i="3"/>
  <c r="N363" i="3"/>
  <c r="N364" i="3"/>
  <c r="N365" i="3"/>
  <c r="N366" i="3"/>
  <c r="N367" i="3"/>
  <c r="N368" i="3"/>
  <c r="N369" i="3"/>
  <c r="N370" i="3"/>
  <c r="N371" i="3"/>
  <c r="N372" i="3"/>
  <c r="N373" i="3"/>
  <c r="N374" i="3"/>
  <c r="N375" i="3"/>
  <c r="N376" i="3"/>
  <c r="N377" i="3"/>
  <c r="N378" i="3"/>
  <c r="N379" i="3"/>
  <c r="N380" i="3"/>
  <c r="N381" i="3"/>
  <c r="N382" i="3"/>
  <c r="N383" i="3"/>
  <c r="N384" i="3"/>
  <c r="N385" i="3"/>
  <c r="N386" i="3"/>
  <c r="N387" i="3"/>
  <c r="N388" i="3"/>
  <c r="N389" i="3"/>
  <c r="N390" i="3"/>
  <c r="N391" i="3"/>
  <c r="N392" i="3"/>
  <c r="N393" i="3"/>
  <c r="N394" i="3"/>
  <c r="N395" i="3"/>
  <c r="N396" i="3"/>
  <c r="N397" i="3"/>
  <c r="N398" i="3"/>
  <c r="N399" i="3"/>
  <c r="N400" i="3"/>
  <c r="N401" i="3"/>
  <c r="N402" i="3"/>
  <c r="N403" i="3"/>
  <c r="N404" i="3"/>
  <c r="N405" i="3"/>
  <c r="N406" i="3"/>
  <c r="N407" i="3"/>
  <c r="N408" i="3"/>
  <c r="N409" i="3"/>
  <c r="N410" i="3"/>
  <c r="N411" i="3"/>
  <c r="N412" i="3"/>
  <c r="N413" i="3"/>
  <c r="N414" i="3"/>
  <c r="N415" i="3"/>
  <c r="N416" i="3"/>
  <c r="N417" i="3"/>
  <c r="N418" i="3"/>
  <c r="N419" i="3"/>
  <c r="N420" i="3"/>
  <c r="N421" i="3"/>
  <c r="N422" i="3"/>
  <c r="N423" i="3"/>
  <c r="N424" i="3"/>
  <c r="N425" i="3"/>
  <c r="N426" i="3"/>
  <c r="N427" i="3"/>
  <c r="N428" i="3"/>
  <c r="N429" i="3"/>
  <c r="N430" i="3"/>
  <c r="N431" i="3"/>
  <c r="N432" i="3"/>
  <c r="N433" i="3"/>
  <c r="N434" i="3"/>
  <c r="N435" i="3"/>
  <c r="N436" i="3"/>
  <c r="N437" i="3"/>
  <c r="N438" i="3"/>
  <c r="N439" i="3"/>
  <c r="N440" i="3"/>
  <c r="N441" i="3"/>
  <c r="N442" i="3"/>
  <c r="N443" i="3"/>
  <c r="N444" i="3"/>
  <c r="N445" i="3"/>
  <c r="N446" i="3"/>
  <c r="N447" i="3"/>
  <c r="N448" i="3"/>
  <c r="N449" i="3"/>
  <c r="N450" i="3"/>
  <c r="N451" i="3"/>
  <c r="N452" i="3"/>
  <c r="N453" i="3"/>
  <c r="N454" i="3"/>
  <c r="N455" i="3"/>
  <c r="N456" i="3"/>
  <c r="N457" i="3"/>
  <c r="N458" i="3"/>
  <c r="N459" i="3"/>
  <c r="N460" i="3"/>
  <c r="N461" i="3"/>
  <c r="N462" i="3"/>
  <c r="N463" i="3"/>
  <c r="N464" i="3"/>
  <c r="N465" i="3"/>
  <c r="N466" i="3"/>
  <c r="N467" i="3"/>
  <c r="N468" i="3"/>
  <c r="N469" i="3"/>
  <c r="N470" i="3"/>
  <c r="N471" i="3"/>
  <c r="N472" i="3"/>
  <c r="N473" i="3"/>
  <c r="N474" i="3"/>
  <c r="N475" i="3"/>
  <c r="N476" i="3"/>
  <c r="N477" i="3"/>
  <c r="N478" i="3"/>
  <c r="N479" i="3"/>
  <c r="N480" i="3"/>
  <c r="N481" i="3"/>
  <c r="N482" i="3"/>
  <c r="N483" i="3"/>
  <c r="N484" i="3"/>
  <c r="N485" i="3"/>
  <c r="N486" i="3"/>
  <c r="N487" i="3"/>
  <c r="N488" i="3"/>
  <c r="N489" i="3"/>
  <c r="N490" i="3"/>
  <c r="N491" i="3"/>
  <c r="N492" i="3"/>
  <c r="N493" i="3"/>
  <c r="N494" i="3"/>
  <c r="N495" i="3"/>
  <c r="N496" i="3"/>
  <c r="N497" i="3"/>
  <c r="N498" i="3"/>
  <c r="N499" i="3"/>
  <c r="N500" i="3"/>
  <c r="N501" i="3"/>
  <c r="N502" i="3"/>
  <c r="N503" i="3"/>
  <c r="N504" i="3"/>
  <c r="N505" i="3"/>
  <c r="N506" i="3"/>
  <c r="N507" i="3"/>
  <c r="N508" i="3"/>
  <c r="N509" i="3"/>
  <c r="N510" i="3"/>
  <c r="N511" i="3"/>
  <c r="N512" i="3"/>
  <c r="N513" i="3"/>
  <c r="N514" i="3"/>
  <c r="N515" i="3"/>
  <c r="N516" i="3"/>
  <c r="N517" i="3"/>
  <c r="N518" i="3"/>
  <c r="N519" i="3"/>
  <c r="N520" i="3"/>
  <c r="N521" i="3"/>
  <c r="N522" i="3"/>
  <c r="N523" i="3"/>
  <c r="N524" i="3"/>
  <c r="N525" i="3"/>
  <c r="N526" i="3"/>
  <c r="N527" i="3"/>
  <c r="N528" i="3"/>
  <c r="N529" i="3"/>
  <c r="N530" i="3"/>
  <c r="N531" i="3"/>
  <c r="N532" i="3"/>
  <c r="N533" i="3"/>
  <c r="N534" i="3"/>
  <c r="N535" i="3"/>
  <c r="N536" i="3"/>
  <c r="N537" i="3"/>
  <c r="N538" i="3"/>
  <c r="N539" i="3"/>
  <c r="N540" i="3"/>
  <c r="N541" i="3"/>
  <c r="N542" i="3"/>
  <c r="N543" i="3"/>
  <c r="N544" i="3"/>
  <c r="N545" i="3"/>
  <c r="N546" i="3"/>
  <c r="N547" i="3"/>
  <c r="N548" i="3"/>
  <c r="N549" i="3"/>
  <c r="N550" i="3"/>
  <c r="N551" i="3"/>
  <c r="N552" i="3"/>
  <c r="N553" i="3"/>
  <c r="N554" i="3"/>
  <c r="N555" i="3"/>
  <c r="N556" i="3"/>
  <c r="N557" i="3"/>
  <c r="N558" i="3"/>
  <c r="N559" i="3"/>
  <c r="N560" i="3"/>
  <c r="N561" i="3"/>
  <c r="N562" i="3"/>
  <c r="N563" i="3"/>
  <c r="N564" i="3"/>
  <c r="N565" i="3"/>
  <c r="N566" i="3"/>
  <c r="N567" i="3"/>
  <c r="N568" i="3"/>
  <c r="N569" i="3"/>
  <c r="N570" i="3"/>
  <c r="N571" i="3"/>
  <c r="N572" i="3"/>
  <c r="N573" i="3"/>
  <c r="N574" i="3"/>
  <c r="N575" i="3"/>
  <c r="N576" i="3"/>
  <c r="N577" i="3"/>
  <c r="N578" i="3"/>
  <c r="N579" i="3"/>
  <c r="N580" i="3"/>
  <c r="N581" i="3"/>
  <c r="N582" i="3"/>
  <c r="N583" i="3"/>
  <c r="N584" i="3"/>
  <c r="N585" i="3"/>
  <c r="N586" i="3"/>
  <c r="N587" i="3"/>
  <c r="N588" i="3"/>
  <c r="N589" i="3"/>
  <c r="N590" i="3"/>
  <c r="N591" i="3"/>
  <c r="N592" i="3"/>
  <c r="N593" i="3"/>
  <c r="N594" i="3"/>
  <c r="N595" i="3"/>
  <c r="N596" i="3"/>
  <c r="N597" i="3"/>
  <c r="N598" i="3"/>
  <c r="N599" i="3"/>
  <c r="N600" i="3"/>
  <c r="N601" i="3"/>
  <c r="N602" i="3"/>
  <c r="N603" i="3"/>
  <c r="N604" i="3"/>
  <c r="N605" i="3"/>
  <c r="N606" i="3"/>
  <c r="N607" i="3"/>
  <c r="N608" i="3"/>
  <c r="N609" i="3"/>
  <c r="N610" i="3"/>
  <c r="N611" i="3"/>
  <c r="N612" i="3"/>
  <c r="N613" i="3"/>
  <c r="N614" i="3"/>
  <c r="N615" i="3"/>
  <c r="N616" i="3"/>
  <c r="N617" i="3"/>
  <c r="N618" i="3"/>
  <c r="N619" i="3"/>
  <c r="N620" i="3"/>
  <c r="N621" i="3"/>
  <c r="N622" i="3"/>
  <c r="N623" i="3"/>
  <c r="N624" i="3"/>
  <c r="N625" i="3"/>
  <c r="N626" i="3"/>
  <c r="N627" i="3"/>
  <c r="N628" i="3"/>
  <c r="N629" i="3"/>
  <c r="N630" i="3"/>
  <c r="N631" i="3"/>
  <c r="N632" i="3"/>
  <c r="N633" i="3"/>
  <c r="N634" i="3"/>
  <c r="N635" i="3"/>
  <c r="N636" i="3"/>
  <c r="N637" i="3"/>
  <c r="N638" i="3"/>
  <c r="N639" i="3"/>
  <c r="N640" i="3"/>
  <c r="N641" i="3"/>
  <c r="N642" i="3"/>
  <c r="N643" i="3"/>
  <c r="N644" i="3"/>
  <c r="N645" i="3"/>
  <c r="N646" i="3"/>
  <c r="N647" i="3"/>
  <c r="N648" i="3"/>
  <c r="N649" i="3"/>
  <c r="N650" i="3"/>
  <c r="N651" i="3"/>
  <c r="N652" i="3"/>
  <c r="N653" i="3"/>
  <c r="N654" i="3"/>
  <c r="N655" i="3"/>
  <c r="N656" i="3"/>
  <c r="N657" i="3"/>
  <c r="N658" i="3"/>
  <c r="N659" i="3"/>
  <c r="N660" i="3"/>
  <c r="N661" i="3"/>
  <c r="N662" i="3"/>
  <c r="N663" i="3"/>
  <c r="N664" i="3"/>
  <c r="N665" i="3"/>
  <c r="N666" i="3"/>
  <c r="N667" i="3"/>
  <c r="N668" i="3"/>
  <c r="N669" i="3"/>
  <c r="N670" i="3"/>
  <c r="N671" i="3"/>
  <c r="N672" i="3"/>
  <c r="N673" i="3"/>
  <c r="N674" i="3"/>
  <c r="N675" i="3"/>
  <c r="N676" i="3"/>
  <c r="N677" i="3"/>
  <c r="N678" i="3"/>
  <c r="N679" i="3"/>
  <c r="N680" i="3"/>
  <c r="N681" i="3"/>
  <c r="N682" i="3"/>
  <c r="N683" i="3"/>
  <c r="N684" i="3"/>
  <c r="N685" i="3"/>
  <c r="N686" i="3"/>
  <c r="N687" i="3"/>
  <c r="N688" i="3"/>
  <c r="N689" i="3"/>
  <c r="N690" i="3"/>
  <c r="N691" i="3"/>
  <c r="N692" i="3"/>
  <c r="N693" i="3"/>
  <c r="N694" i="3"/>
  <c r="N695" i="3"/>
  <c r="N696" i="3"/>
  <c r="N697" i="3"/>
  <c r="N698" i="3"/>
  <c r="N699" i="3"/>
  <c r="N700" i="3"/>
  <c r="N701" i="3"/>
  <c r="N702" i="3"/>
  <c r="N703" i="3"/>
  <c r="N704" i="3"/>
  <c r="N705" i="3"/>
  <c r="N706" i="3"/>
  <c r="N707" i="3"/>
  <c r="N708" i="3"/>
  <c r="N709" i="3"/>
  <c r="N710" i="3"/>
  <c r="N711" i="3"/>
  <c r="N712" i="3"/>
  <c r="N713" i="3"/>
  <c r="N714" i="3"/>
  <c r="N715" i="3"/>
  <c r="N716" i="3"/>
  <c r="N717" i="3"/>
  <c r="N718" i="3"/>
  <c r="N719" i="3"/>
  <c r="N720" i="3"/>
  <c r="N721" i="3"/>
  <c r="N722" i="3"/>
  <c r="N723" i="3"/>
  <c r="N724" i="3"/>
  <c r="N725" i="3"/>
  <c r="N726" i="3"/>
  <c r="N727" i="3"/>
  <c r="N728" i="3"/>
  <c r="N729" i="3"/>
  <c r="N730" i="3"/>
  <c r="N731" i="3"/>
  <c r="N732" i="3"/>
  <c r="N733" i="3"/>
  <c r="N734" i="3"/>
  <c r="N735" i="3"/>
  <c r="N736" i="3"/>
  <c r="N737" i="3"/>
  <c r="N738" i="3"/>
  <c r="N739" i="3"/>
  <c r="N740" i="3"/>
  <c r="N741" i="3"/>
  <c r="N742" i="3"/>
  <c r="N743" i="3"/>
  <c r="N744" i="3"/>
  <c r="N745" i="3"/>
  <c r="N746" i="3"/>
  <c r="N747" i="3"/>
  <c r="N748" i="3"/>
  <c r="N749" i="3"/>
  <c r="N750" i="3"/>
  <c r="N751" i="3"/>
  <c r="N752" i="3"/>
  <c r="N753" i="3"/>
  <c r="N754" i="3"/>
  <c r="N755" i="3"/>
  <c r="N756" i="3"/>
  <c r="N757" i="3"/>
  <c r="N758" i="3"/>
  <c r="N759" i="3"/>
  <c r="N760" i="3"/>
  <c r="N761" i="3"/>
  <c r="N762" i="3"/>
  <c r="N763" i="3"/>
  <c r="N764" i="3"/>
  <c r="N765" i="3"/>
  <c r="N766" i="3"/>
  <c r="N767" i="3"/>
  <c r="N768" i="3"/>
  <c r="N769" i="3"/>
  <c r="N770" i="3"/>
  <c r="N771" i="3"/>
  <c r="N772" i="3"/>
  <c r="N773" i="3"/>
  <c r="N774" i="3"/>
  <c r="N775" i="3"/>
  <c r="N776" i="3"/>
  <c r="N777" i="3"/>
  <c r="N778" i="3"/>
  <c r="N779" i="3"/>
  <c r="N780" i="3"/>
  <c r="N781" i="3"/>
  <c r="N782" i="3"/>
  <c r="N783" i="3"/>
  <c r="N784" i="3"/>
  <c r="N785" i="3"/>
  <c r="N786" i="3"/>
  <c r="N787" i="3"/>
  <c r="N788" i="3"/>
  <c r="N789" i="3"/>
  <c r="N790" i="3"/>
  <c r="N791" i="3"/>
  <c r="N792" i="3"/>
  <c r="N793" i="3"/>
  <c r="N794" i="3"/>
  <c r="N795" i="3"/>
  <c r="N796" i="3"/>
  <c r="N797" i="3"/>
  <c r="N798" i="3"/>
  <c r="N799" i="3"/>
  <c r="N800" i="3"/>
  <c r="N801" i="3"/>
  <c r="N802" i="3"/>
  <c r="N803" i="3"/>
  <c r="N804" i="3"/>
  <c r="N805" i="3"/>
  <c r="N806" i="3"/>
  <c r="N807" i="3"/>
  <c r="N808" i="3"/>
  <c r="N809" i="3"/>
  <c r="N810" i="3"/>
  <c r="N811" i="3"/>
  <c r="N812" i="3"/>
  <c r="N813" i="3"/>
  <c r="N814" i="3"/>
  <c r="N815" i="3"/>
  <c r="N816" i="3"/>
  <c r="N817" i="3"/>
  <c r="N818" i="3"/>
  <c r="N819" i="3"/>
  <c r="N820" i="3"/>
  <c r="N821" i="3"/>
  <c r="N822" i="3"/>
  <c r="N823" i="3"/>
  <c r="N824" i="3"/>
  <c r="N825" i="3"/>
  <c r="N826" i="3"/>
  <c r="N827" i="3"/>
  <c r="N828" i="3"/>
  <c r="N829" i="3"/>
  <c r="N830" i="3"/>
  <c r="N831" i="3"/>
  <c r="N832" i="3"/>
  <c r="N833" i="3"/>
  <c r="N834" i="3"/>
  <c r="N835" i="3"/>
  <c r="N836" i="3"/>
  <c r="N837" i="3"/>
  <c r="N838" i="3"/>
  <c r="N839" i="3"/>
  <c r="N840" i="3"/>
  <c r="N841" i="3"/>
  <c r="N842" i="3"/>
  <c r="N843" i="3"/>
  <c r="N844" i="3"/>
  <c r="N845" i="3"/>
  <c r="N846" i="3"/>
  <c r="N847" i="3"/>
  <c r="N848" i="3"/>
  <c r="N849" i="3"/>
  <c r="N850" i="3"/>
  <c r="N851" i="3"/>
  <c r="N852" i="3"/>
  <c r="N853" i="3"/>
  <c r="N854" i="3"/>
  <c r="N855" i="3"/>
  <c r="N856" i="3"/>
  <c r="N857" i="3"/>
  <c r="N858" i="3"/>
  <c r="N859" i="3"/>
  <c r="N860" i="3"/>
  <c r="N861" i="3"/>
  <c r="N862" i="3"/>
  <c r="N863" i="3"/>
  <c r="N864" i="3"/>
  <c r="N865" i="3"/>
  <c r="N866" i="3"/>
  <c r="N867" i="3"/>
  <c r="N868" i="3"/>
  <c r="N869" i="3"/>
  <c r="N870" i="3"/>
  <c r="N871" i="3"/>
  <c r="N872" i="3"/>
  <c r="N873" i="3"/>
  <c r="N874" i="3"/>
  <c r="N875" i="3"/>
  <c r="N876" i="3"/>
  <c r="N877" i="3"/>
  <c r="N878" i="3"/>
  <c r="N879" i="3"/>
  <c r="N880" i="3"/>
  <c r="N881" i="3"/>
  <c r="N882" i="3"/>
  <c r="N883" i="3"/>
  <c r="N884" i="3"/>
  <c r="N885" i="3"/>
  <c r="N886" i="3"/>
  <c r="N887" i="3"/>
  <c r="N888" i="3"/>
  <c r="N889" i="3"/>
  <c r="N890" i="3"/>
  <c r="N891" i="3"/>
  <c r="N892" i="3"/>
  <c r="N893" i="3"/>
  <c r="N894" i="3"/>
  <c r="N895" i="3"/>
  <c r="N896" i="3"/>
  <c r="N897" i="3"/>
  <c r="N898" i="3"/>
  <c r="N899" i="3"/>
  <c r="N900" i="3"/>
  <c r="N901" i="3"/>
  <c r="N902" i="3"/>
  <c r="N903" i="3"/>
  <c r="N904" i="3"/>
  <c r="N905" i="3"/>
  <c r="N906" i="3"/>
  <c r="N907" i="3"/>
  <c r="N908" i="3"/>
  <c r="N909" i="3"/>
  <c r="N910" i="3"/>
  <c r="N911" i="3"/>
  <c r="N912" i="3"/>
  <c r="N913" i="3"/>
  <c r="N914" i="3"/>
  <c r="N915" i="3"/>
  <c r="N916" i="3"/>
  <c r="N917" i="3"/>
  <c r="N918" i="3"/>
  <c r="N919" i="3"/>
  <c r="N920" i="3"/>
  <c r="N921" i="3"/>
  <c r="N922" i="3"/>
  <c r="N923" i="3"/>
  <c r="N924" i="3"/>
  <c r="N925" i="3"/>
  <c r="N926" i="3"/>
  <c r="N927" i="3"/>
  <c r="N928" i="3"/>
  <c r="N929" i="3"/>
  <c r="N930" i="3"/>
  <c r="N931" i="3"/>
  <c r="N932" i="3"/>
  <c r="N933" i="3"/>
  <c r="N934" i="3"/>
  <c r="N935" i="3"/>
  <c r="N936" i="3"/>
  <c r="N937" i="3"/>
  <c r="N938" i="3"/>
  <c r="N939" i="3"/>
  <c r="N940" i="3"/>
  <c r="N941" i="3"/>
  <c r="N942" i="3"/>
  <c r="N943" i="3"/>
  <c r="N944" i="3"/>
  <c r="N945" i="3"/>
  <c r="N946" i="3"/>
  <c r="N947" i="3"/>
  <c r="N948" i="3"/>
  <c r="N949" i="3"/>
  <c r="N950" i="3"/>
  <c r="N951" i="3"/>
  <c r="N952" i="3"/>
  <c r="N953" i="3"/>
  <c r="N954" i="3"/>
  <c r="N955" i="3"/>
  <c r="N956" i="3"/>
  <c r="N957" i="3"/>
  <c r="N958" i="3"/>
  <c r="N959" i="3"/>
  <c r="N960" i="3"/>
  <c r="N961" i="3"/>
  <c r="N962" i="3"/>
  <c r="N963" i="3"/>
  <c r="N964" i="3"/>
  <c r="N965" i="3"/>
  <c r="N966" i="3"/>
  <c r="N967" i="3"/>
  <c r="N968" i="3"/>
  <c r="N969" i="3"/>
  <c r="N970" i="3"/>
  <c r="N971" i="3"/>
  <c r="N972" i="3"/>
  <c r="N973" i="3"/>
  <c r="N974" i="3"/>
  <c r="N975" i="3"/>
  <c r="N976" i="3"/>
  <c r="N977" i="3"/>
  <c r="N978" i="3"/>
  <c r="N979" i="3"/>
  <c r="N980" i="3"/>
  <c r="N981" i="3"/>
  <c r="N982" i="3"/>
  <c r="N983" i="3"/>
  <c r="N984" i="3"/>
  <c r="N985" i="3"/>
  <c r="N986" i="3"/>
  <c r="N987" i="3"/>
  <c r="N988" i="3"/>
  <c r="N989" i="3"/>
  <c r="N990" i="3"/>
  <c r="N991" i="3"/>
  <c r="N992" i="3"/>
  <c r="N993" i="3"/>
  <c r="N994" i="3"/>
  <c r="N995" i="3"/>
  <c r="N996" i="3"/>
  <c r="N997" i="3"/>
  <c r="N998" i="3"/>
  <c r="N999" i="3"/>
  <c r="N1000" i="3"/>
  <c r="N1001" i="3"/>
  <c r="N1002" i="3"/>
  <c r="N1003" i="3"/>
  <c r="N1004" i="3"/>
  <c r="N1005" i="3"/>
  <c r="N1006" i="3"/>
  <c r="N1007" i="3"/>
  <c r="N1008" i="3"/>
  <c r="N2" i="3"/>
  <c r="C1007" i="3" l="1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S47" i="3"/>
  <c r="S48" i="3"/>
  <c r="S49" i="3"/>
  <c r="S50" i="3"/>
  <c r="S51" i="3"/>
  <c r="S52" i="3"/>
  <c r="S53" i="3"/>
  <c r="S54" i="3"/>
  <c r="S55" i="3"/>
  <c r="S56" i="3"/>
  <c r="S57" i="3"/>
  <c r="S58" i="3"/>
  <c r="S59" i="3"/>
  <c r="S60" i="3"/>
  <c r="S61" i="3"/>
  <c r="S62" i="3"/>
  <c r="S63" i="3"/>
  <c r="S64" i="3"/>
  <c r="S65" i="3"/>
  <c r="S66" i="3"/>
  <c r="S67" i="3"/>
  <c r="S68" i="3"/>
  <c r="S69" i="3"/>
  <c r="S70" i="3"/>
  <c r="S71" i="3"/>
  <c r="S72" i="3"/>
  <c r="S73" i="3"/>
  <c r="S74" i="3"/>
  <c r="S75" i="3"/>
  <c r="S76" i="3"/>
  <c r="S77" i="3"/>
  <c r="S78" i="3"/>
  <c r="S79" i="3"/>
  <c r="S80" i="3"/>
  <c r="S81" i="3"/>
  <c r="S82" i="3"/>
  <c r="S83" i="3"/>
  <c r="S84" i="3"/>
  <c r="S85" i="3"/>
  <c r="S86" i="3"/>
  <c r="S87" i="3"/>
  <c r="S88" i="3"/>
  <c r="S89" i="3"/>
  <c r="S90" i="3"/>
  <c r="S91" i="3"/>
  <c r="S92" i="3"/>
  <c r="S93" i="3"/>
  <c r="S94" i="3"/>
  <c r="S95" i="3"/>
  <c r="S96" i="3"/>
  <c r="S97" i="3"/>
  <c r="S98" i="3"/>
  <c r="S99" i="3"/>
  <c r="S100" i="3"/>
  <c r="S101" i="3"/>
  <c r="S102" i="3"/>
  <c r="S103" i="3"/>
  <c r="S104" i="3"/>
  <c r="S105" i="3"/>
  <c r="S106" i="3"/>
  <c r="S107" i="3"/>
  <c r="S108" i="3"/>
  <c r="S109" i="3"/>
  <c r="S110" i="3"/>
  <c r="S111" i="3"/>
  <c r="S112" i="3"/>
  <c r="S113" i="3"/>
  <c r="S114" i="3"/>
  <c r="S115" i="3"/>
  <c r="S116" i="3"/>
  <c r="S117" i="3"/>
  <c r="S118" i="3"/>
  <c r="S119" i="3"/>
  <c r="S120" i="3"/>
  <c r="S121" i="3"/>
  <c r="S122" i="3"/>
  <c r="S123" i="3"/>
  <c r="S124" i="3"/>
  <c r="S125" i="3"/>
  <c r="S126" i="3"/>
  <c r="S127" i="3"/>
  <c r="S128" i="3"/>
  <c r="S129" i="3"/>
  <c r="S130" i="3"/>
  <c r="S131" i="3"/>
  <c r="S132" i="3"/>
  <c r="S133" i="3"/>
  <c r="S134" i="3"/>
  <c r="S135" i="3"/>
  <c r="S136" i="3"/>
  <c r="S137" i="3"/>
  <c r="S138" i="3"/>
  <c r="S139" i="3"/>
  <c r="S140" i="3"/>
  <c r="S141" i="3"/>
  <c r="S142" i="3"/>
  <c r="S143" i="3"/>
  <c r="S144" i="3"/>
  <c r="S145" i="3"/>
  <c r="S146" i="3"/>
  <c r="S147" i="3"/>
  <c r="S148" i="3"/>
  <c r="S149" i="3"/>
  <c r="S150" i="3"/>
  <c r="S151" i="3"/>
  <c r="S152" i="3"/>
  <c r="S153" i="3"/>
  <c r="S154" i="3"/>
  <c r="S155" i="3"/>
  <c r="S156" i="3"/>
  <c r="S157" i="3"/>
  <c r="S158" i="3"/>
  <c r="S159" i="3"/>
  <c r="S160" i="3"/>
  <c r="S161" i="3"/>
  <c r="S162" i="3"/>
  <c r="S163" i="3"/>
  <c r="S164" i="3"/>
  <c r="S165" i="3"/>
  <c r="S166" i="3"/>
  <c r="S167" i="3"/>
  <c r="S168" i="3"/>
  <c r="S169" i="3"/>
  <c r="S170" i="3"/>
  <c r="S171" i="3"/>
  <c r="S172" i="3"/>
  <c r="S173" i="3"/>
  <c r="S174" i="3"/>
  <c r="S175" i="3"/>
  <c r="S176" i="3"/>
  <c r="S177" i="3"/>
  <c r="S178" i="3"/>
  <c r="S179" i="3"/>
  <c r="S180" i="3"/>
  <c r="S181" i="3"/>
  <c r="S182" i="3"/>
  <c r="S183" i="3"/>
  <c r="S184" i="3"/>
  <c r="S185" i="3"/>
  <c r="S186" i="3"/>
  <c r="S187" i="3"/>
  <c r="S188" i="3"/>
  <c r="S189" i="3"/>
  <c r="S190" i="3"/>
  <c r="S191" i="3"/>
  <c r="S192" i="3"/>
  <c r="S193" i="3"/>
  <c r="S194" i="3"/>
  <c r="S195" i="3"/>
  <c r="S196" i="3"/>
  <c r="S197" i="3"/>
  <c r="S198" i="3"/>
  <c r="S199" i="3"/>
  <c r="S200" i="3"/>
  <c r="S201" i="3"/>
  <c r="S202" i="3"/>
  <c r="S203" i="3"/>
  <c r="S204" i="3"/>
  <c r="S205" i="3"/>
  <c r="S206" i="3"/>
  <c r="S207" i="3"/>
  <c r="S208" i="3"/>
  <c r="S209" i="3"/>
  <c r="S210" i="3"/>
  <c r="S211" i="3"/>
  <c r="S212" i="3"/>
  <c r="S213" i="3"/>
  <c r="S214" i="3"/>
  <c r="S215" i="3"/>
  <c r="S216" i="3"/>
  <c r="S217" i="3"/>
  <c r="S218" i="3"/>
  <c r="S219" i="3"/>
  <c r="S220" i="3"/>
  <c r="S221" i="3"/>
  <c r="S222" i="3"/>
  <c r="S223" i="3"/>
  <c r="S224" i="3"/>
  <c r="S225" i="3"/>
  <c r="S226" i="3"/>
  <c r="S227" i="3"/>
  <c r="S228" i="3"/>
  <c r="S229" i="3"/>
  <c r="S230" i="3"/>
  <c r="S231" i="3"/>
  <c r="S232" i="3"/>
  <c r="S233" i="3"/>
  <c r="S234" i="3"/>
  <c r="S235" i="3"/>
  <c r="S236" i="3"/>
  <c r="S237" i="3"/>
  <c r="S238" i="3"/>
  <c r="S239" i="3"/>
  <c r="S240" i="3"/>
  <c r="S241" i="3"/>
  <c r="S242" i="3"/>
  <c r="S243" i="3"/>
  <c r="S244" i="3"/>
  <c r="S245" i="3"/>
  <c r="S246" i="3"/>
  <c r="S247" i="3"/>
  <c r="S248" i="3"/>
  <c r="S249" i="3"/>
  <c r="S250" i="3"/>
  <c r="S251" i="3"/>
  <c r="S252" i="3"/>
  <c r="S253" i="3"/>
  <c r="S254" i="3"/>
  <c r="S255" i="3"/>
  <c r="S256" i="3"/>
  <c r="S257" i="3"/>
  <c r="S258" i="3"/>
  <c r="S259" i="3"/>
  <c r="S260" i="3"/>
  <c r="S261" i="3"/>
  <c r="S262" i="3"/>
  <c r="S263" i="3"/>
  <c r="S264" i="3"/>
  <c r="S265" i="3"/>
  <c r="S266" i="3"/>
  <c r="S267" i="3"/>
  <c r="S268" i="3"/>
  <c r="S269" i="3"/>
  <c r="S270" i="3"/>
  <c r="S271" i="3"/>
  <c r="S272" i="3"/>
  <c r="S273" i="3"/>
  <c r="S274" i="3"/>
  <c r="S275" i="3"/>
  <c r="S276" i="3"/>
  <c r="S277" i="3"/>
  <c r="S278" i="3"/>
  <c r="S279" i="3"/>
  <c r="S280" i="3"/>
  <c r="S281" i="3"/>
  <c r="S282" i="3"/>
  <c r="S283" i="3"/>
  <c r="S284" i="3"/>
  <c r="S285" i="3"/>
  <c r="S286" i="3"/>
  <c r="S287" i="3"/>
  <c r="S288" i="3"/>
  <c r="S289" i="3"/>
  <c r="S290" i="3"/>
  <c r="S291" i="3"/>
  <c r="S292" i="3"/>
  <c r="S293" i="3"/>
  <c r="S294" i="3"/>
  <c r="S295" i="3"/>
  <c r="S296" i="3"/>
  <c r="S297" i="3"/>
  <c r="S298" i="3"/>
  <c r="S299" i="3"/>
  <c r="S300" i="3"/>
  <c r="S301" i="3"/>
  <c r="S302" i="3"/>
  <c r="S303" i="3"/>
  <c r="S304" i="3"/>
  <c r="S305" i="3"/>
  <c r="S306" i="3"/>
  <c r="S307" i="3"/>
  <c r="S308" i="3"/>
  <c r="S309" i="3"/>
  <c r="S310" i="3"/>
  <c r="S311" i="3"/>
  <c r="S312" i="3"/>
  <c r="S313" i="3"/>
  <c r="S314" i="3"/>
  <c r="S315" i="3"/>
  <c r="S316" i="3"/>
  <c r="S317" i="3"/>
  <c r="S318" i="3"/>
  <c r="S319" i="3"/>
  <c r="S320" i="3"/>
  <c r="S321" i="3"/>
  <c r="S322" i="3"/>
  <c r="S323" i="3"/>
  <c r="S324" i="3"/>
  <c r="S325" i="3"/>
  <c r="S326" i="3"/>
  <c r="S327" i="3"/>
  <c r="S328" i="3"/>
  <c r="S329" i="3"/>
  <c r="S330" i="3"/>
  <c r="S331" i="3"/>
  <c r="S332" i="3"/>
  <c r="S333" i="3"/>
  <c r="S334" i="3"/>
  <c r="S335" i="3"/>
  <c r="S336" i="3"/>
  <c r="S337" i="3"/>
  <c r="S338" i="3"/>
  <c r="S339" i="3"/>
  <c r="S340" i="3"/>
  <c r="S341" i="3"/>
  <c r="S342" i="3"/>
  <c r="S343" i="3"/>
  <c r="S344" i="3"/>
  <c r="S345" i="3"/>
  <c r="S346" i="3"/>
  <c r="S347" i="3"/>
  <c r="S348" i="3"/>
  <c r="S349" i="3"/>
  <c r="S350" i="3"/>
  <c r="S351" i="3"/>
  <c r="S352" i="3"/>
  <c r="S353" i="3"/>
  <c r="S354" i="3"/>
  <c r="S355" i="3"/>
  <c r="S356" i="3"/>
  <c r="S357" i="3"/>
  <c r="S358" i="3"/>
  <c r="S359" i="3"/>
  <c r="S360" i="3"/>
  <c r="S361" i="3"/>
  <c r="S362" i="3"/>
  <c r="S363" i="3"/>
  <c r="S364" i="3"/>
  <c r="S365" i="3"/>
  <c r="S366" i="3"/>
  <c r="S367" i="3"/>
  <c r="S368" i="3"/>
  <c r="S369" i="3"/>
  <c r="S370" i="3"/>
  <c r="S371" i="3"/>
  <c r="S372" i="3"/>
  <c r="S373" i="3"/>
  <c r="S374" i="3"/>
  <c r="S375" i="3"/>
  <c r="S376" i="3"/>
  <c r="S377" i="3"/>
  <c r="S378" i="3"/>
  <c r="S379" i="3"/>
  <c r="S380" i="3"/>
  <c r="S381" i="3"/>
  <c r="S382" i="3"/>
  <c r="S383" i="3"/>
  <c r="S384" i="3"/>
  <c r="S385" i="3"/>
  <c r="S386" i="3"/>
  <c r="S387" i="3"/>
  <c r="S388" i="3"/>
  <c r="S389" i="3"/>
  <c r="S390" i="3"/>
  <c r="S391" i="3"/>
  <c r="S392" i="3"/>
  <c r="S393" i="3"/>
  <c r="S394" i="3"/>
  <c r="S395" i="3"/>
  <c r="S396" i="3"/>
  <c r="S397" i="3"/>
  <c r="S398" i="3"/>
  <c r="S399" i="3"/>
  <c r="S400" i="3"/>
  <c r="S401" i="3"/>
  <c r="S402" i="3"/>
  <c r="S403" i="3"/>
  <c r="S404" i="3"/>
  <c r="S405" i="3"/>
  <c r="S406" i="3"/>
  <c r="S407" i="3"/>
  <c r="S408" i="3"/>
  <c r="S409" i="3"/>
  <c r="S410" i="3"/>
  <c r="S411" i="3"/>
  <c r="S412" i="3"/>
  <c r="S413" i="3"/>
  <c r="S414" i="3"/>
  <c r="S415" i="3"/>
  <c r="S416" i="3"/>
  <c r="S417" i="3"/>
  <c r="S418" i="3"/>
  <c r="S419" i="3"/>
  <c r="S420" i="3"/>
  <c r="S421" i="3"/>
  <c r="S422" i="3"/>
  <c r="S423" i="3"/>
  <c r="S424" i="3"/>
  <c r="S425" i="3"/>
  <c r="S426" i="3"/>
  <c r="S427" i="3"/>
  <c r="S428" i="3"/>
  <c r="S429" i="3"/>
  <c r="S430" i="3"/>
  <c r="S431" i="3"/>
  <c r="S432" i="3"/>
  <c r="S433" i="3"/>
  <c r="S434" i="3"/>
  <c r="S435" i="3"/>
  <c r="S436" i="3"/>
  <c r="S437" i="3"/>
  <c r="S438" i="3"/>
  <c r="S439" i="3"/>
  <c r="S440" i="3"/>
  <c r="S441" i="3"/>
  <c r="S442" i="3"/>
  <c r="S443" i="3"/>
  <c r="S444" i="3"/>
  <c r="S445" i="3"/>
  <c r="S446" i="3"/>
  <c r="S447" i="3"/>
  <c r="S448" i="3"/>
  <c r="S449" i="3"/>
  <c r="S450" i="3"/>
  <c r="S451" i="3"/>
  <c r="S452" i="3"/>
  <c r="S453" i="3"/>
  <c r="S454" i="3"/>
  <c r="S455" i="3"/>
  <c r="S456" i="3"/>
  <c r="S457" i="3"/>
  <c r="S458" i="3"/>
  <c r="S459" i="3"/>
  <c r="S460" i="3"/>
  <c r="S461" i="3"/>
  <c r="S462" i="3"/>
  <c r="S463" i="3"/>
  <c r="S464" i="3"/>
  <c r="S465" i="3"/>
  <c r="S466" i="3"/>
  <c r="S467" i="3"/>
  <c r="S468" i="3"/>
  <c r="S469" i="3"/>
  <c r="S470" i="3"/>
  <c r="S471" i="3"/>
  <c r="S472" i="3"/>
  <c r="S473" i="3"/>
  <c r="S474" i="3"/>
  <c r="S475" i="3"/>
  <c r="S476" i="3"/>
  <c r="S477" i="3"/>
  <c r="S478" i="3"/>
  <c r="S479" i="3"/>
  <c r="S480" i="3"/>
  <c r="S481" i="3"/>
  <c r="S482" i="3"/>
  <c r="S483" i="3"/>
  <c r="S484" i="3"/>
  <c r="S485" i="3"/>
  <c r="S486" i="3"/>
  <c r="S487" i="3"/>
  <c r="S488" i="3"/>
  <c r="S489" i="3"/>
  <c r="S490" i="3"/>
  <c r="S491" i="3"/>
  <c r="S492" i="3"/>
  <c r="S493" i="3"/>
  <c r="S494" i="3"/>
  <c r="S495" i="3"/>
  <c r="S496" i="3"/>
  <c r="S497" i="3"/>
  <c r="S498" i="3"/>
  <c r="S499" i="3"/>
  <c r="S500" i="3"/>
  <c r="S501" i="3"/>
  <c r="S502" i="3"/>
  <c r="S503" i="3"/>
  <c r="S504" i="3"/>
  <c r="S505" i="3"/>
  <c r="S506" i="3"/>
  <c r="S507" i="3"/>
  <c r="S508" i="3"/>
  <c r="S509" i="3"/>
  <c r="S510" i="3"/>
  <c r="S511" i="3"/>
  <c r="S512" i="3"/>
  <c r="S513" i="3"/>
  <c r="S514" i="3"/>
  <c r="S515" i="3"/>
  <c r="S516" i="3"/>
  <c r="S517" i="3"/>
  <c r="S518" i="3"/>
  <c r="S519" i="3"/>
  <c r="S520" i="3"/>
  <c r="S521" i="3"/>
  <c r="S522" i="3"/>
  <c r="S523" i="3"/>
  <c r="S524" i="3"/>
  <c r="S525" i="3"/>
  <c r="S526" i="3"/>
  <c r="S527" i="3"/>
  <c r="S528" i="3"/>
  <c r="S529" i="3"/>
  <c r="S530" i="3"/>
  <c r="S531" i="3"/>
  <c r="S532" i="3"/>
  <c r="S533" i="3"/>
  <c r="S534" i="3"/>
  <c r="S535" i="3"/>
  <c r="S536" i="3"/>
  <c r="S537" i="3"/>
  <c r="S538" i="3"/>
  <c r="S539" i="3"/>
  <c r="S540" i="3"/>
  <c r="S541" i="3"/>
  <c r="S542" i="3"/>
  <c r="S543" i="3"/>
  <c r="S544" i="3"/>
  <c r="S545" i="3"/>
  <c r="S546" i="3"/>
  <c r="S547" i="3"/>
  <c r="S548" i="3"/>
  <c r="S549" i="3"/>
  <c r="S550" i="3"/>
  <c r="S551" i="3"/>
  <c r="S552" i="3"/>
  <c r="S553" i="3"/>
  <c r="S554" i="3"/>
  <c r="S555" i="3"/>
  <c r="S556" i="3"/>
  <c r="S557" i="3"/>
  <c r="S558" i="3"/>
  <c r="S559" i="3"/>
  <c r="S560" i="3"/>
  <c r="S561" i="3"/>
  <c r="S562" i="3"/>
  <c r="S563" i="3"/>
  <c r="S564" i="3"/>
  <c r="S565" i="3"/>
  <c r="S566" i="3"/>
  <c r="S567" i="3"/>
  <c r="S568" i="3"/>
  <c r="S569" i="3"/>
  <c r="S570" i="3"/>
  <c r="S571" i="3"/>
  <c r="S572" i="3"/>
  <c r="S573" i="3"/>
  <c r="S574" i="3"/>
  <c r="S575" i="3"/>
  <c r="S576" i="3"/>
  <c r="S577" i="3"/>
  <c r="S578" i="3"/>
  <c r="S579" i="3"/>
  <c r="S580" i="3"/>
  <c r="S581" i="3"/>
  <c r="S582" i="3"/>
  <c r="S583" i="3"/>
  <c r="S584" i="3"/>
  <c r="S585" i="3"/>
  <c r="S586" i="3"/>
  <c r="S587" i="3"/>
  <c r="S588" i="3"/>
  <c r="S589" i="3"/>
  <c r="S590" i="3"/>
  <c r="S591" i="3"/>
  <c r="S592" i="3"/>
  <c r="S593" i="3"/>
  <c r="S594" i="3"/>
  <c r="S595" i="3"/>
  <c r="S596" i="3"/>
  <c r="S597" i="3"/>
  <c r="S598" i="3"/>
  <c r="S599" i="3"/>
  <c r="S600" i="3"/>
  <c r="S601" i="3"/>
  <c r="S602" i="3"/>
  <c r="S603" i="3"/>
  <c r="S604" i="3"/>
  <c r="S605" i="3"/>
  <c r="S606" i="3"/>
  <c r="S607" i="3"/>
  <c r="S608" i="3"/>
  <c r="S609" i="3"/>
  <c r="S610" i="3"/>
  <c r="S611" i="3"/>
  <c r="S612" i="3"/>
  <c r="S613" i="3"/>
  <c r="S614" i="3"/>
  <c r="S615" i="3"/>
  <c r="S616" i="3"/>
  <c r="S617" i="3"/>
  <c r="S618" i="3"/>
  <c r="S619" i="3"/>
  <c r="S620" i="3"/>
  <c r="S621" i="3"/>
  <c r="S622" i="3"/>
  <c r="S623" i="3"/>
  <c r="S624" i="3"/>
  <c r="S625" i="3"/>
  <c r="S626" i="3"/>
  <c r="S627" i="3"/>
  <c r="S628" i="3"/>
  <c r="S629" i="3"/>
  <c r="S630" i="3"/>
  <c r="S631" i="3"/>
  <c r="S632" i="3"/>
  <c r="S633" i="3"/>
  <c r="S634" i="3"/>
  <c r="S635" i="3"/>
  <c r="S636" i="3"/>
  <c r="S637" i="3"/>
  <c r="S638" i="3"/>
  <c r="S639" i="3"/>
  <c r="S640" i="3"/>
  <c r="S641" i="3"/>
  <c r="S642" i="3"/>
  <c r="S643" i="3"/>
  <c r="S644" i="3"/>
  <c r="S645" i="3"/>
  <c r="S646" i="3"/>
  <c r="S647" i="3"/>
  <c r="S648" i="3"/>
  <c r="S649" i="3"/>
  <c r="S650" i="3"/>
  <c r="S651" i="3"/>
  <c r="S652" i="3"/>
  <c r="S653" i="3"/>
  <c r="S654" i="3"/>
  <c r="S655" i="3"/>
  <c r="S656" i="3"/>
  <c r="S657" i="3"/>
  <c r="S658" i="3"/>
  <c r="S659" i="3"/>
  <c r="S660" i="3"/>
  <c r="S661" i="3"/>
  <c r="S662" i="3"/>
  <c r="S663" i="3"/>
  <c r="S664" i="3"/>
  <c r="S665" i="3"/>
  <c r="S666" i="3"/>
  <c r="S667" i="3"/>
  <c r="S668" i="3"/>
  <c r="S669" i="3"/>
  <c r="S670" i="3"/>
  <c r="S671" i="3"/>
  <c r="S672" i="3"/>
  <c r="S673" i="3"/>
  <c r="S674" i="3"/>
  <c r="S675" i="3"/>
  <c r="S676" i="3"/>
  <c r="S677" i="3"/>
  <c r="S678" i="3"/>
  <c r="S679" i="3"/>
  <c r="S680" i="3"/>
  <c r="S681" i="3"/>
  <c r="S682" i="3"/>
  <c r="S683" i="3"/>
  <c r="S684" i="3"/>
  <c r="S685" i="3"/>
  <c r="S686" i="3"/>
  <c r="S687" i="3"/>
  <c r="S688" i="3"/>
  <c r="S689" i="3"/>
  <c r="S690" i="3"/>
  <c r="S691" i="3"/>
  <c r="S692" i="3"/>
  <c r="S693" i="3"/>
  <c r="S694" i="3"/>
  <c r="S695" i="3"/>
  <c r="S696" i="3"/>
  <c r="S697" i="3"/>
  <c r="S698" i="3"/>
  <c r="S699" i="3"/>
  <c r="S700" i="3"/>
  <c r="S701" i="3"/>
  <c r="S702" i="3"/>
  <c r="S703" i="3"/>
  <c r="S704" i="3"/>
  <c r="S705" i="3"/>
  <c r="S706" i="3"/>
  <c r="S707" i="3"/>
  <c r="S708" i="3"/>
  <c r="S709" i="3"/>
  <c r="S710" i="3"/>
  <c r="S711" i="3"/>
  <c r="S712" i="3"/>
  <c r="S713" i="3"/>
  <c r="S714" i="3"/>
  <c r="S715" i="3"/>
  <c r="S716" i="3"/>
  <c r="S717" i="3"/>
  <c r="S718" i="3"/>
  <c r="S719" i="3"/>
  <c r="S720" i="3"/>
  <c r="S721" i="3"/>
  <c r="S722" i="3"/>
  <c r="S723" i="3"/>
  <c r="S724" i="3"/>
  <c r="S725" i="3"/>
  <c r="S726" i="3"/>
  <c r="S727" i="3"/>
  <c r="S728" i="3"/>
  <c r="S729" i="3"/>
  <c r="S730" i="3"/>
  <c r="S731" i="3"/>
  <c r="S732" i="3"/>
  <c r="S733" i="3"/>
  <c r="S734" i="3"/>
  <c r="S735" i="3"/>
  <c r="S736" i="3"/>
  <c r="S737" i="3"/>
  <c r="S738" i="3"/>
  <c r="S739" i="3"/>
  <c r="S740" i="3"/>
  <c r="S741" i="3"/>
  <c r="S742" i="3"/>
  <c r="S743" i="3"/>
  <c r="S744" i="3"/>
  <c r="S745" i="3"/>
  <c r="S746" i="3"/>
  <c r="S747" i="3"/>
  <c r="S748" i="3"/>
  <c r="S749" i="3"/>
  <c r="S750" i="3"/>
  <c r="S751" i="3"/>
  <c r="S752" i="3"/>
  <c r="S753" i="3"/>
  <c r="S754" i="3"/>
  <c r="S755" i="3"/>
  <c r="S756" i="3"/>
  <c r="S757" i="3"/>
  <c r="S758" i="3"/>
  <c r="S759" i="3"/>
  <c r="S760" i="3"/>
  <c r="S761" i="3"/>
  <c r="S762" i="3"/>
  <c r="S763" i="3"/>
  <c r="S764" i="3"/>
  <c r="S765" i="3"/>
  <c r="S766" i="3"/>
  <c r="S767" i="3"/>
  <c r="S768" i="3"/>
  <c r="S769" i="3"/>
  <c r="S770" i="3"/>
  <c r="S771" i="3"/>
  <c r="S772" i="3"/>
  <c r="S773" i="3"/>
  <c r="S774" i="3"/>
  <c r="S775" i="3"/>
  <c r="S776" i="3"/>
  <c r="S777" i="3"/>
  <c r="S778" i="3"/>
  <c r="S779" i="3"/>
  <c r="S780" i="3"/>
  <c r="S781" i="3"/>
  <c r="S782" i="3"/>
  <c r="S783" i="3"/>
  <c r="S784" i="3"/>
  <c r="S785" i="3"/>
  <c r="S786" i="3"/>
  <c r="S787" i="3"/>
  <c r="S788" i="3"/>
  <c r="S789" i="3"/>
  <c r="S790" i="3"/>
  <c r="S791" i="3"/>
  <c r="S792" i="3"/>
  <c r="S793" i="3"/>
  <c r="S794" i="3"/>
  <c r="S795" i="3"/>
  <c r="S796" i="3"/>
  <c r="S797" i="3"/>
  <c r="S798" i="3"/>
  <c r="S799" i="3"/>
  <c r="S800" i="3"/>
  <c r="S801" i="3"/>
  <c r="S802" i="3"/>
  <c r="S803" i="3"/>
  <c r="S804" i="3"/>
  <c r="S805" i="3"/>
  <c r="S806" i="3"/>
  <c r="S807" i="3"/>
  <c r="S808" i="3"/>
  <c r="S809" i="3"/>
  <c r="S810" i="3"/>
  <c r="S811" i="3"/>
  <c r="S812" i="3"/>
  <c r="S813" i="3"/>
  <c r="S814" i="3"/>
  <c r="S815" i="3"/>
  <c r="S816" i="3"/>
  <c r="S817" i="3"/>
  <c r="S818" i="3"/>
  <c r="S819" i="3"/>
  <c r="S820" i="3"/>
  <c r="S821" i="3"/>
  <c r="S822" i="3"/>
  <c r="S823" i="3"/>
  <c r="S824" i="3"/>
  <c r="S825" i="3"/>
  <c r="S826" i="3"/>
  <c r="S827" i="3"/>
  <c r="S828" i="3"/>
  <c r="S829" i="3"/>
  <c r="S830" i="3"/>
  <c r="S831" i="3"/>
  <c r="S832" i="3"/>
  <c r="S833" i="3"/>
  <c r="S834" i="3"/>
  <c r="S835" i="3"/>
  <c r="S836" i="3"/>
  <c r="S837" i="3"/>
  <c r="S838" i="3"/>
  <c r="S839" i="3"/>
  <c r="S840" i="3"/>
  <c r="S841" i="3"/>
  <c r="S842" i="3"/>
  <c r="S843" i="3"/>
  <c r="S844" i="3"/>
  <c r="S845" i="3"/>
  <c r="S846" i="3"/>
  <c r="S847" i="3"/>
  <c r="S848" i="3"/>
  <c r="S849" i="3"/>
  <c r="S850" i="3"/>
  <c r="S851" i="3"/>
  <c r="S852" i="3"/>
  <c r="S853" i="3"/>
  <c r="S854" i="3"/>
  <c r="S855" i="3"/>
  <c r="S856" i="3"/>
  <c r="S857" i="3"/>
  <c r="S858" i="3"/>
  <c r="S859" i="3"/>
  <c r="S860" i="3"/>
  <c r="S861" i="3"/>
  <c r="S862" i="3"/>
  <c r="S863" i="3"/>
  <c r="S864" i="3"/>
  <c r="S865" i="3"/>
  <c r="S866" i="3"/>
  <c r="S867" i="3"/>
  <c r="S868" i="3"/>
  <c r="S869" i="3"/>
  <c r="S870" i="3"/>
  <c r="S871" i="3"/>
  <c r="S872" i="3"/>
  <c r="S873" i="3"/>
  <c r="S874" i="3"/>
  <c r="S875" i="3"/>
  <c r="S876" i="3"/>
  <c r="S877" i="3"/>
  <c r="S878" i="3"/>
  <c r="S879" i="3"/>
  <c r="S880" i="3"/>
  <c r="S881" i="3"/>
  <c r="S882" i="3"/>
  <c r="S883" i="3"/>
  <c r="S884" i="3"/>
  <c r="S885" i="3"/>
  <c r="S886" i="3"/>
  <c r="S887" i="3"/>
  <c r="S888" i="3"/>
  <c r="S889" i="3"/>
  <c r="S890" i="3"/>
  <c r="S891" i="3"/>
  <c r="S892" i="3"/>
  <c r="S893" i="3"/>
  <c r="S894" i="3"/>
  <c r="S895" i="3"/>
  <c r="S896" i="3"/>
  <c r="S897" i="3"/>
  <c r="S898" i="3"/>
  <c r="S899" i="3"/>
  <c r="S900" i="3"/>
  <c r="S901" i="3"/>
  <c r="S902" i="3"/>
  <c r="S903" i="3"/>
  <c r="S904" i="3"/>
  <c r="S905" i="3"/>
  <c r="S906" i="3"/>
  <c r="S907" i="3"/>
  <c r="S908" i="3"/>
  <c r="S909" i="3"/>
  <c r="S910" i="3"/>
  <c r="S911" i="3"/>
  <c r="S912" i="3"/>
  <c r="S913" i="3"/>
  <c r="S914" i="3"/>
  <c r="S915" i="3"/>
  <c r="S916" i="3"/>
  <c r="S917" i="3"/>
  <c r="S918" i="3"/>
  <c r="S919" i="3"/>
  <c r="S920" i="3"/>
  <c r="S921" i="3"/>
  <c r="S922" i="3"/>
  <c r="S923" i="3"/>
  <c r="S924" i="3"/>
  <c r="S925" i="3"/>
  <c r="S926" i="3"/>
  <c r="S927" i="3"/>
  <c r="S928" i="3"/>
  <c r="S929" i="3"/>
  <c r="S930" i="3"/>
  <c r="S931" i="3"/>
  <c r="S932" i="3"/>
  <c r="S933" i="3"/>
  <c r="S934" i="3"/>
  <c r="S935" i="3"/>
  <c r="S936" i="3"/>
  <c r="S937" i="3"/>
  <c r="S938" i="3"/>
  <c r="S939" i="3"/>
  <c r="S940" i="3"/>
  <c r="S941" i="3"/>
  <c r="S942" i="3"/>
  <c r="S943" i="3"/>
  <c r="S944" i="3"/>
  <c r="S945" i="3"/>
  <c r="S946" i="3"/>
  <c r="S947" i="3"/>
  <c r="S948" i="3"/>
  <c r="S949" i="3"/>
  <c r="S950" i="3"/>
  <c r="S951" i="3"/>
  <c r="S952" i="3"/>
  <c r="S953" i="3"/>
  <c r="S954" i="3"/>
  <c r="S955" i="3"/>
  <c r="S956" i="3"/>
  <c r="S957" i="3"/>
  <c r="S958" i="3"/>
  <c r="S959" i="3"/>
  <c r="S960" i="3"/>
  <c r="S961" i="3"/>
  <c r="S962" i="3"/>
  <c r="S963" i="3"/>
  <c r="S964" i="3"/>
  <c r="S965" i="3"/>
  <c r="S966" i="3"/>
  <c r="S967" i="3"/>
  <c r="S968" i="3"/>
  <c r="S969" i="3"/>
  <c r="S970" i="3"/>
  <c r="S971" i="3"/>
  <c r="S972" i="3"/>
  <c r="S973" i="3"/>
  <c r="S974" i="3"/>
  <c r="S975" i="3"/>
  <c r="S976" i="3"/>
  <c r="S977" i="3"/>
  <c r="S978" i="3"/>
  <c r="S979" i="3"/>
  <c r="S980" i="3"/>
  <c r="S981" i="3"/>
  <c r="S982" i="3"/>
  <c r="S983" i="3"/>
  <c r="S984" i="3"/>
  <c r="S985" i="3"/>
  <c r="S986" i="3"/>
  <c r="S987" i="3"/>
  <c r="S988" i="3"/>
  <c r="S989" i="3"/>
  <c r="S990" i="3"/>
  <c r="S991" i="3"/>
  <c r="S992" i="3"/>
  <c r="S993" i="3"/>
  <c r="S994" i="3"/>
  <c r="S995" i="3"/>
  <c r="S996" i="3"/>
  <c r="S997" i="3"/>
  <c r="S998" i="3"/>
  <c r="S999" i="3"/>
  <c r="S1000" i="3"/>
  <c r="S1001" i="3"/>
  <c r="S1002" i="3"/>
  <c r="S1003" i="3"/>
  <c r="S1004" i="3"/>
  <c r="S1005" i="3"/>
  <c r="S1006" i="3"/>
  <c r="S1007" i="3"/>
  <c r="S1008" i="3"/>
  <c r="S2" i="3"/>
  <c r="L31" i="3"/>
  <c r="L39" i="3"/>
  <c r="L91" i="3"/>
  <c r="L101" i="3"/>
  <c r="L147" i="3"/>
  <c r="L157" i="3"/>
  <c r="L199" i="3"/>
  <c r="L209" i="3"/>
  <c r="L255" i="3"/>
  <c r="L265" i="3"/>
  <c r="L307" i="3"/>
  <c r="L317" i="3"/>
  <c r="L363" i="3"/>
  <c r="L373" i="3"/>
  <c r="L415" i="3"/>
  <c r="L425" i="3"/>
  <c r="L462" i="3"/>
  <c r="L471" i="3"/>
  <c r="L511" i="3"/>
  <c r="L517" i="3"/>
  <c r="L559" i="3"/>
  <c r="L566" i="3"/>
  <c r="L605" i="3"/>
  <c r="L611" i="3"/>
  <c r="L635" i="3"/>
  <c r="L636" i="3"/>
  <c r="L668" i="3"/>
  <c r="L669" i="3"/>
  <c r="L702" i="3"/>
  <c r="L703" i="3"/>
  <c r="L727" i="3"/>
  <c r="L732" i="3"/>
  <c r="L756" i="3"/>
  <c r="L759" i="3"/>
  <c r="L785" i="3"/>
  <c r="L786" i="3"/>
  <c r="L808" i="3"/>
  <c r="L811" i="3"/>
  <c r="L829" i="3"/>
  <c r="L830" i="3"/>
  <c r="L853" i="3"/>
  <c r="L854" i="3"/>
  <c r="L877" i="3"/>
  <c r="L878" i="3"/>
  <c r="L895" i="3"/>
  <c r="L900" i="3"/>
  <c r="L919" i="3"/>
  <c r="L920" i="3"/>
  <c r="L943" i="3"/>
  <c r="L944" i="3"/>
  <c r="L965" i="3"/>
  <c r="L968" i="3"/>
  <c r="L986" i="3"/>
  <c r="L987" i="3"/>
  <c r="K3" i="3"/>
  <c r="K4" i="3"/>
  <c r="K10" i="3"/>
  <c r="K19" i="3"/>
  <c r="K24" i="3"/>
  <c r="K27" i="3"/>
  <c r="K28" i="3"/>
  <c r="K31" i="3"/>
  <c r="K43" i="3"/>
  <c r="K44" i="3"/>
  <c r="K45" i="3"/>
  <c r="K50" i="3"/>
  <c r="K55" i="3"/>
  <c r="K67" i="3"/>
  <c r="K68" i="3"/>
  <c r="K69" i="3"/>
  <c r="K70" i="3"/>
  <c r="K79" i="3"/>
  <c r="K89" i="3"/>
  <c r="K92" i="3"/>
  <c r="K93" i="3"/>
  <c r="K94" i="3"/>
  <c r="K98" i="3"/>
  <c r="K110" i="3"/>
  <c r="K111" i="3"/>
  <c r="K115" i="3"/>
  <c r="K118" i="3"/>
  <c r="K122" i="3"/>
  <c r="K134" i="3"/>
  <c r="K135" i="3"/>
  <c r="K136" i="3"/>
  <c r="K137" i="3"/>
  <c r="K146" i="3"/>
  <c r="K158" i="3"/>
  <c r="K159" i="3"/>
  <c r="K160" i="3"/>
  <c r="K161" i="3"/>
  <c r="K168" i="3"/>
  <c r="K176" i="3"/>
  <c r="K181" i="3"/>
  <c r="K184" i="3"/>
  <c r="K185" i="3"/>
  <c r="K188" i="3"/>
  <c r="K200" i="3"/>
  <c r="K201" i="3"/>
  <c r="K202" i="3"/>
  <c r="K207" i="3"/>
  <c r="K212" i="3"/>
  <c r="K224" i="3"/>
  <c r="K225" i="3"/>
  <c r="K226" i="3"/>
  <c r="K228" i="3"/>
  <c r="K236" i="3"/>
  <c r="K246" i="3"/>
  <c r="K249" i="3"/>
  <c r="K250" i="3"/>
  <c r="K252" i="3"/>
  <c r="K255" i="3"/>
  <c r="K267" i="3"/>
  <c r="K268" i="3"/>
  <c r="K272" i="3"/>
  <c r="K276" i="3"/>
  <c r="K279" i="3"/>
  <c r="K291" i="3"/>
  <c r="K292" i="3"/>
  <c r="K293" i="3"/>
  <c r="K294" i="3"/>
  <c r="K303" i="3"/>
  <c r="K315" i="3"/>
  <c r="K316" i="3"/>
  <c r="K317" i="3"/>
  <c r="K318" i="3"/>
  <c r="K325" i="3"/>
  <c r="K333" i="3"/>
  <c r="K338" i="3"/>
  <c r="K341" i="3"/>
  <c r="K342" i="3"/>
  <c r="K345" i="3"/>
  <c r="K357" i="3"/>
  <c r="K358" i="3"/>
  <c r="K360" i="3"/>
  <c r="K364" i="3"/>
  <c r="K369" i="3"/>
  <c r="K381" i="3"/>
  <c r="K382" i="3"/>
  <c r="K384" i="3"/>
  <c r="K385" i="3"/>
  <c r="K393" i="3"/>
  <c r="K403" i="3"/>
  <c r="K406" i="3"/>
  <c r="K408" i="3"/>
  <c r="K409" i="3"/>
  <c r="K412" i="3"/>
  <c r="K424" i="3"/>
  <c r="K425" i="3"/>
  <c r="K429" i="3"/>
  <c r="K433" i="3"/>
  <c r="K436" i="3"/>
  <c r="K448" i="3"/>
  <c r="K449" i="3"/>
  <c r="K450" i="3"/>
  <c r="K451" i="3"/>
  <c r="K460" i="3"/>
  <c r="K472" i="3"/>
  <c r="K473" i="3"/>
  <c r="K474" i="3"/>
  <c r="K475" i="3"/>
  <c r="K481" i="3"/>
  <c r="K489" i="3"/>
  <c r="K493" i="3"/>
  <c r="K496" i="3"/>
  <c r="K497" i="3"/>
  <c r="K500" i="3"/>
  <c r="K511" i="3"/>
  <c r="K512" i="3"/>
  <c r="K513" i="3"/>
  <c r="K517" i="3"/>
  <c r="K522" i="3"/>
  <c r="K533" i="3"/>
  <c r="K534" i="3"/>
  <c r="K535" i="3"/>
  <c r="K536" i="3"/>
  <c r="K544" i="3"/>
  <c r="K553" i="3"/>
  <c r="K556" i="3"/>
  <c r="K557" i="3"/>
  <c r="K558" i="3"/>
  <c r="K561" i="3"/>
  <c r="K572" i="3"/>
  <c r="K573" i="3"/>
  <c r="K577" i="3"/>
  <c r="K580" i="3"/>
  <c r="K583" i="3"/>
  <c r="K594" i="3"/>
  <c r="K595" i="3"/>
  <c r="K596" i="3"/>
  <c r="K597" i="3"/>
  <c r="K605" i="3"/>
  <c r="K616" i="3"/>
  <c r="K617" i="3"/>
  <c r="K618" i="3"/>
  <c r="K619" i="3"/>
  <c r="K625" i="3"/>
  <c r="K633" i="3"/>
  <c r="K637" i="3"/>
  <c r="K640" i="3"/>
  <c r="K641" i="3"/>
  <c r="K644" i="3"/>
  <c r="K655" i="3"/>
  <c r="K656" i="3"/>
  <c r="K657" i="3"/>
  <c r="K661" i="3"/>
  <c r="K666" i="3"/>
  <c r="K677" i="3"/>
  <c r="K678" i="3"/>
  <c r="K679" i="3"/>
  <c r="K680" i="3"/>
  <c r="K688" i="3"/>
  <c r="K697" i="3"/>
  <c r="K700" i="3"/>
  <c r="K701" i="3"/>
  <c r="K702" i="3"/>
  <c r="K705" i="3"/>
  <c r="K716" i="3"/>
  <c r="K717" i="3"/>
  <c r="K721" i="3"/>
  <c r="K724" i="3"/>
  <c r="K727" i="3"/>
  <c r="K738" i="3"/>
  <c r="K739" i="3"/>
  <c r="K740" i="3"/>
  <c r="K741" i="3"/>
  <c r="K749" i="3"/>
  <c r="K760" i="3"/>
  <c r="K761" i="3"/>
  <c r="K762" i="3"/>
  <c r="K763" i="3"/>
  <c r="K769" i="3"/>
  <c r="K777" i="3"/>
  <c r="K781" i="3"/>
  <c r="K784" i="3"/>
  <c r="K785" i="3"/>
  <c r="K788" i="3"/>
  <c r="K799" i="3"/>
  <c r="K800" i="3"/>
  <c r="K801" i="3"/>
  <c r="K805" i="3"/>
  <c r="K810" i="3"/>
  <c r="K821" i="3"/>
  <c r="K822" i="3"/>
  <c r="K823" i="3"/>
  <c r="K824" i="3"/>
  <c r="K832" i="3"/>
  <c r="K841" i="3"/>
  <c r="K844" i="3"/>
  <c r="K845" i="3"/>
  <c r="K846" i="3"/>
  <c r="K849" i="3"/>
  <c r="K860" i="3"/>
  <c r="K861" i="3"/>
  <c r="K865" i="3"/>
  <c r="K868" i="3"/>
  <c r="K871" i="3"/>
  <c r="K882" i="3"/>
  <c r="K883" i="3"/>
  <c r="K884" i="3"/>
  <c r="K885" i="3"/>
  <c r="K893" i="3"/>
  <c r="K904" i="3"/>
  <c r="K905" i="3"/>
  <c r="K906" i="3"/>
  <c r="K907" i="3"/>
  <c r="K913" i="3"/>
  <c r="K921" i="3"/>
  <c r="K925" i="3"/>
  <c r="K928" i="3"/>
  <c r="K929" i="3"/>
  <c r="K932" i="3"/>
  <c r="K943" i="3"/>
  <c r="K944" i="3"/>
  <c r="K945" i="3"/>
  <c r="K949" i="3"/>
  <c r="K954" i="3"/>
  <c r="K965" i="3"/>
  <c r="K966" i="3"/>
  <c r="K967" i="3"/>
  <c r="K968" i="3"/>
  <c r="K976" i="3"/>
  <c r="K985" i="3"/>
  <c r="K988" i="3"/>
  <c r="K989" i="3"/>
  <c r="K990" i="3"/>
  <c r="K993" i="3"/>
  <c r="K1004" i="3"/>
  <c r="K1005" i="3"/>
  <c r="K3" i="1"/>
  <c r="G1008" i="3"/>
  <c r="D1008" i="3"/>
  <c r="L49" i="3" s="1"/>
  <c r="C1008" i="3"/>
  <c r="K15" i="3" s="1"/>
  <c r="J1007" i="3"/>
  <c r="J1008" i="3" s="1"/>
  <c r="I1007" i="3"/>
  <c r="H1007" i="3"/>
  <c r="G1007" i="3"/>
  <c r="F1007" i="3"/>
  <c r="E1007" i="3"/>
  <c r="D1007" i="3"/>
  <c r="L7" i="3" s="1"/>
  <c r="K13" i="3"/>
  <c r="S2" i="1"/>
  <c r="M866" i="3" l="1"/>
  <c r="M862" i="3"/>
  <c r="L996" i="3"/>
  <c r="L972" i="3"/>
  <c r="L948" i="3"/>
  <c r="L929" i="3"/>
  <c r="L905" i="3"/>
  <c r="L881" i="3"/>
  <c r="L860" i="3"/>
  <c r="L839" i="3"/>
  <c r="L815" i="3"/>
  <c r="L789" i="3"/>
  <c r="L768" i="3"/>
  <c r="L739" i="3"/>
  <c r="L707" i="3"/>
  <c r="L648" i="3"/>
  <c r="L616" i="3"/>
  <c r="L570" i="3"/>
  <c r="L533" i="3"/>
  <c r="L483" i="3"/>
  <c r="L431" i="3"/>
  <c r="L376" i="3"/>
  <c r="L323" i="3"/>
  <c r="L268" i="3"/>
  <c r="L215" i="3"/>
  <c r="L160" i="3"/>
  <c r="L107" i="3"/>
  <c r="L50" i="3"/>
  <c r="M928" i="3"/>
  <c r="M728" i="3"/>
  <c r="E1008" i="3"/>
  <c r="K992" i="3"/>
  <c r="K973" i="3"/>
  <c r="K953" i="3"/>
  <c r="K931" i="3"/>
  <c r="K909" i="3"/>
  <c r="K892" i="3"/>
  <c r="K870" i="3"/>
  <c r="K848" i="3"/>
  <c r="K829" i="3"/>
  <c r="K809" i="3"/>
  <c r="K787" i="3"/>
  <c r="K765" i="3"/>
  <c r="K748" i="3"/>
  <c r="K726" i="3"/>
  <c r="K704" i="3"/>
  <c r="K685" i="3"/>
  <c r="K665" i="3"/>
  <c r="K643" i="3"/>
  <c r="K621" i="3"/>
  <c r="K604" i="3"/>
  <c r="K582" i="3"/>
  <c r="K560" i="3"/>
  <c r="K541" i="3"/>
  <c r="K521" i="3"/>
  <c r="K499" i="3"/>
  <c r="K477" i="3"/>
  <c r="K459" i="3"/>
  <c r="K435" i="3"/>
  <c r="K411" i="3"/>
  <c r="K390" i="3"/>
  <c r="K368" i="3"/>
  <c r="K344" i="3"/>
  <c r="K320" i="3"/>
  <c r="K302" i="3"/>
  <c r="K278" i="3"/>
  <c r="K254" i="3"/>
  <c r="K233" i="3"/>
  <c r="K211" i="3"/>
  <c r="K187" i="3"/>
  <c r="K163" i="3"/>
  <c r="K145" i="3"/>
  <c r="K121" i="3"/>
  <c r="K97" i="3"/>
  <c r="K76" i="3"/>
  <c r="K54" i="3"/>
  <c r="K30" i="3"/>
  <c r="K6" i="3"/>
  <c r="L995" i="3"/>
  <c r="L971" i="3"/>
  <c r="L947" i="3"/>
  <c r="L926" i="3"/>
  <c r="L904" i="3"/>
  <c r="L880" i="3"/>
  <c r="L856" i="3"/>
  <c r="L837" i="3"/>
  <c r="L813" i="3"/>
  <c r="L788" i="3"/>
  <c r="L764" i="3"/>
  <c r="L738" i="3"/>
  <c r="L705" i="3"/>
  <c r="L672" i="3"/>
  <c r="L647" i="3"/>
  <c r="L615" i="3"/>
  <c r="L569" i="3"/>
  <c r="L523" i="3"/>
  <c r="L482" i="3"/>
  <c r="L427" i="3"/>
  <c r="L375" i="3"/>
  <c r="L319" i="3"/>
  <c r="L267" i="3"/>
  <c r="L211" i="3"/>
  <c r="L159" i="3"/>
  <c r="L103" i="3"/>
  <c r="M850" i="3"/>
  <c r="M822" i="3"/>
  <c r="M726" i="3"/>
  <c r="M611" i="3"/>
  <c r="L19" i="3"/>
  <c r="L52" i="3"/>
  <c r="L86" i="3"/>
  <c r="L111" i="3"/>
  <c r="L138" i="3"/>
  <c r="L163" i="3"/>
  <c r="L194" i="3"/>
  <c r="L219" i="3"/>
  <c r="L246" i="3"/>
  <c r="L271" i="3"/>
  <c r="L302" i="3"/>
  <c r="L327" i="3"/>
  <c r="L354" i="3"/>
  <c r="L379" i="3"/>
  <c r="L410" i="3"/>
  <c r="L435" i="3"/>
  <c r="L679" i="3"/>
  <c r="K991" i="3"/>
  <c r="K969" i="3"/>
  <c r="K952" i="3"/>
  <c r="K930" i="3"/>
  <c r="K908" i="3"/>
  <c r="K889" i="3"/>
  <c r="K869" i="3"/>
  <c r="K847" i="3"/>
  <c r="K825" i="3"/>
  <c r="K808" i="3"/>
  <c r="K786" i="3"/>
  <c r="K764" i="3"/>
  <c r="K745" i="3"/>
  <c r="K725" i="3"/>
  <c r="K703" i="3"/>
  <c r="K681" i="3"/>
  <c r="K664" i="3"/>
  <c r="K642" i="3"/>
  <c r="K620" i="3"/>
  <c r="K601" i="3"/>
  <c r="K581" i="3"/>
  <c r="K559" i="3"/>
  <c r="K537" i="3"/>
  <c r="K520" i="3"/>
  <c r="K498" i="3"/>
  <c r="K476" i="3"/>
  <c r="K456" i="3"/>
  <c r="K434" i="3"/>
  <c r="K410" i="3"/>
  <c r="K386" i="3"/>
  <c r="K367" i="3"/>
  <c r="K343" i="3"/>
  <c r="K319" i="3"/>
  <c r="K298" i="3"/>
  <c r="K277" i="3"/>
  <c r="K253" i="3"/>
  <c r="K229" i="3"/>
  <c r="K210" i="3"/>
  <c r="K186" i="3"/>
  <c r="K162" i="3"/>
  <c r="K141" i="3"/>
  <c r="K120" i="3"/>
  <c r="K96" i="3"/>
  <c r="K72" i="3"/>
  <c r="K53" i="3"/>
  <c r="K29" i="3"/>
  <c r="K5" i="3"/>
  <c r="L991" i="3"/>
  <c r="L969" i="3"/>
  <c r="L945" i="3"/>
  <c r="L921" i="3"/>
  <c r="L903" i="3"/>
  <c r="L879" i="3"/>
  <c r="L855" i="3"/>
  <c r="L834" i="3"/>
  <c r="L812" i="3"/>
  <c r="L787" i="3"/>
  <c r="L760" i="3"/>
  <c r="L737" i="3"/>
  <c r="L704" i="3"/>
  <c r="L671" i="3"/>
  <c r="L643" i="3"/>
  <c r="L612" i="3"/>
  <c r="L567" i="3"/>
  <c r="L518" i="3"/>
  <c r="L481" i="3"/>
  <c r="L426" i="3"/>
  <c r="L374" i="3"/>
  <c r="L318" i="3"/>
  <c r="L266" i="3"/>
  <c r="L210" i="3"/>
  <c r="L158" i="3"/>
  <c r="L102" i="3"/>
  <c r="L43" i="3"/>
  <c r="M1006" i="3"/>
  <c r="M916" i="3"/>
  <c r="M3" i="3"/>
  <c r="M9" i="3"/>
  <c r="M15" i="3"/>
  <c r="M21" i="3"/>
  <c r="M27" i="3"/>
  <c r="M39" i="3"/>
  <c r="M45" i="3"/>
  <c r="M51" i="3"/>
  <c r="M171" i="3"/>
  <c r="M6" i="3"/>
  <c r="M12" i="3"/>
  <c r="M18" i="3"/>
  <c r="M30" i="3"/>
  <c r="M36" i="3"/>
  <c r="M42" i="3"/>
  <c r="M48" i="3"/>
  <c r="M54" i="3"/>
  <c r="M57" i="3"/>
  <c r="M62" i="3"/>
  <c r="M65" i="3"/>
  <c r="M70" i="3"/>
  <c r="M73" i="3"/>
  <c r="M78" i="3"/>
  <c r="M86" i="3"/>
  <c r="M89" i="3"/>
  <c r="M94" i="3"/>
  <c r="M97" i="3"/>
  <c r="M102" i="3"/>
  <c r="M105" i="3"/>
  <c r="M110" i="3"/>
  <c r="M8" i="3"/>
  <c r="M14" i="3"/>
  <c r="M20" i="3"/>
  <c r="M32" i="3"/>
  <c r="M38" i="3"/>
  <c r="M44" i="3"/>
  <c r="M50" i="3"/>
  <c r="M119" i="3"/>
  <c r="M122" i="3"/>
  <c r="M126" i="3"/>
  <c r="M133" i="3"/>
  <c r="M137" i="3"/>
  <c r="M140" i="3"/>
  <c r="M151" i="3"/>
  <c r="M154" i="3"/>
  <c r="M158" i="3"/>
  <c r="M165" i="3"/>
  <c r="M169" i="3"/>
  <c r="M180" i="3"/>
  <c r="M188" i="3"/>
  <c r="M196" i="3"/>
  <c r="M204" i="3"/>
  <c r="M219" i="3"/>
  <c r="M4" i="3"/>
  <c r="M10" i="3"/>
  <c r="M16" i="3"/>
  <c r="M22" i="3"/>
  <c r="M28" i="3"/>
  <c r="M34" i="3"/>
  <c r="M40" i="3"/>
  <c r="M46" i="3"/>
  <c r="M5" i="3"/>
  <c r="M11" i="3"/>
  <c r="M17" i="3"/>
  <c r="M23" i="3"/>
  <c r="M118" i="3"/>
  <c r="M125" i="3"/>
  <c r="M129" i="3"/>
  <c r="M132" i="3"/>
  <c r="M143" i="3"/>
  <c r="M146" i="3"/>
  <c r="M150" i="3"/>
  <c r="M157" i="3"/>
  <c r="M161" i="3"/>
  <c r="M164" i="3"/>
  <c r="M174" i="3"/>
  <c r="M182" i="3"/>
  <c r="M190" i="3"/>
  <c r="M198" i="3"/>
  <c r="M206" i="3"/>
  <c r="M216" i="3"/>
  <c r="M58" i="3"/>
  <c r="M66" i="3"/>
  <c r="M74" i="3"/>
  <c r="M82" i="3"/>
  <c r="M90" i="3"/>
  <c r="M98" i="3"/>
  <c r="M106" i="3"/>
  <c r="M114" i="3"/>
  <c r="M136" i="3"/>
  <c r="M147" i="3"/>
  <c r="M168" i="3"/>
  <c r="M177" i="3"/>
  <c r="M185" i="3"/>
  <c r="M193" i="3"/>
  <c r="M201" i="3"/>
  <c r="M209" i="3"/>
  <c r="M223" i="3"/>
  <c r="M225" i="3"/>
  <c r="M227" i="3"/>
  <c r="M229" i="3"/>
  <c r="M231" i="3"/>
  <c r="M233" i="3"/>
  <c r="M235" i="3"/>
  <c r="M237" i="3"/>
  <c r="M239" i="3"/>
  <c r="M241" i="3"/>
  <c r="M243" i="3"/>
  <c r="M245" i="3"/>
  <c r="M247" i="3"/>
  <c r="M249" i="3"/>
  <c r="M251" i="3"/>
  <c r="M253" i="3"/>
  <c r="M255" i="3"/>
  <c r="M257" i="3"/>
  <c r="M259" i="3"/>
  <c r="M261" i="3"/>
  <c r="M263" i="3"/>
  <c r="M265" i="3"/>
  <c r="M267" i="3"/>
  <c r="M269" i="3"/>
  <c r="M271" i="3"/>
  <c r="M273" i="3"/>
  <c r="M19" i="3"/>
  <c r="M29" i="3"/>
  <c r="M47" i="3"/>
  <c r="M217" i="3"/>
  <c r="M220" i="3"/>
  <c r="M7" i="3"/>
  <c r="M55" i="3"/>
  <c r="M67" i="3"/>
  <c r="M72" i="3"/>
  <c r="M77" i="3"/>
  <c r="M83" i="3"/>
  <c r="M88" i="3"/>
  <c r="M93" i="3"/>
  <c r="M99" i="3"/>
  <c r="M104" i="3"/>
  <c r="M109" i="3"/>
  <c r="M115" i="3"/>
  <c r="M124" i="3"/>
  <c r="M134" i="3"/>
  <c r="M138" i="3"/>
  <c r="M148" i="3"/>
  <c r="M153" i="3"/>
  <c r="M162" i="3"/>
  <c r="M167" i="3"/>
  <c r="M186" i="3"/>
  <c r="M200" i="3"/>
  <c r="M214" i="3"/>
  <c r="M260" i="3"/>
  <c r="M272" i="3"/>
  <c r="M31" i="3"/>
  <c r="M49" i="3"/>
  <c r="M61" i="3"/>
  <c r="M120" i="3"/>
  <c r="M139" i="3"/>
  <c r="M144" i="3"/>
  <c r="M163" i="3"/>
  <c r="M172" i="3"/>
  <c r="M179" i="3"/>
  <c r="M183" i="3"/>
  <c r="M197" i="3"/>
  <c r="M41" i="3"/>
  <c r="M68" i="3"/>
  <c r="M79" i="3"/>
  <c r="M84" i="3"/>
  <c r="M95" i="3"/>
  <c r="M100" i="3"/>
  <c r="M111" i="3"/>
  <c r="M116" i="3"/>
  <c r="M121" i="3"/>
  <c r="M130" i="3"/>
  <c r="M135" i="3"/>
  <c r="M145" i="3"/>
  <c r="M149" i="3"/>
  <c r="M159" i="3"/>
  <c r="M176" i="3"/>
  <c r="M194" i="3"/>
  <c r="M208" i="3"/>
  <c r="M59" i="3"/>
  <c r="M264" i="3"/>
  <c r="M37" i="3"/>
  <c r="M53" i="3"/>
  <c r="M71" i="3"/>
  <c r="M76" i="3"/>
  <c r="M87" i="3"/>
  <c r="M92" i="3"/>
  <c r="M103" i="3"/>
  <c r="M108" i="3"/>
  <c r="M142" i="3"/>
  <c r="M156" i="3"/>
  <c r="M166" i="3"/>
  <c r="M170" i="3"/>
  <c r="M178" i="3"/>
  <c r="M192" i="3"/>
  <c r="M210" i="3"/>
  <c r="M213" i="3"/>
  <c r="M224" i="3"/>
  <c r="M228" i="3"/>
  <c r="M232" i="3"/>
  <c r="M236" i="3"/>
  <c r="M240" i="3"/>
  <c r="M244" i="3"/>
  <c r="M248" i="3"/>
  <c r="M252" i="3"/>
  <c r="M256" i="3"/>
  <c r="M274" i="3"/>
  <c r="M277" i="3"/>
  <c r="M280" i="3"/>
  <c r="M283" i="3"/>
  <c r="M286" i="3"/>
  <c r="M289" i="3"/>
  <c r="M292" i="3"/>
  <c r="M295" i="3"/>
  <c r="M298" i="3"/>
  <c r="M301" i="3"/>
  <c r="M304" i="3"/>
  <c r="M307" i="3"/>
  <c r="M310" i="3"/>
  <c r="M313" i="3"/>
  <c r="M316" i="3"/>
  <c r="M332" i="3"/>
  <c r="M344" i="3"/>
  <c r="M356" i="3"/>
  <c r="M368" i="3"/>
  <c r="M377" i="3"/>
  <c r="M63" i="3"/>
  <c r="M155" i="3"/>
  <c r="M173" i="3"/>
  <c r="M187" i="3"/>
  <c r="M215" i="3"/>
  <c r="M319" i="3"/>
  <c r="M327" i="3"/>
  <c r="M337" i="3"/>
  <c r="M349" i="3"/>
  <c r="M361" i="3"/>
  <c r="M375" i="3"/>
  <c r="M388" i="3"/>
  <c r="M390" i="3"/>
  <c r="M392" i="3"/>
  <c r="M394" i="3"/>
  <c r="M396" i="3"/>
  <c r="M398" i="3"/>
  <c r="M400" i="3"/>
  <c r="M402" i="3"/>
  <c r="M404" i="3"/>
  <c r="M406" i="3"/>
  <c r="M408" i="3"/>
  <c r="M410" i="3"/>
  <c r="M412" i="3"/>
  <c r="M414" i="3"/>
  <c r="M416" i="3"/>
  <c r="M418" i="3"/>
  <c r="M420" i="3"/>
  <c r="M422" i="3"/>
  <c r="M424" i="3"/>
  <c r="M426" i="3"/>
  <c r="M428" i="3"/>
  <c r="M430" i="3"/>
  <c r="M432" i="3"/>
  <c r="M434" i="3"/>
  <c r="M436" i="3"/>
  <c r="M438" i="3"/>
  <c r="M440" i="3"/>
  <c r="M442" i="3"/>
  <c r="M444" i="3"/>
  <c r="M446" i="3"/>
  <c r="M448" i="3"/>
  <c r="M450" i="3"/>
  <c r="M452" i="3"/>
  <c r="M454" i="3"/>
  <c r="M456" i="3"/>
  <c r="M458" i="3"/>
  <c r="M460" i="3"/>
  <c r="M462" i="3"/>
  <c r="M464" i="3"/>
  <c r="M466" i="3"/>
  <c r="M468" i="3"/>
  <c r="M470" i="3"/>
  <c r="M472" i="3"/>
  <c r="M52" i="3"/>
  <c r="M64" i="3"/>
  <c r="M75" i="3"/>
  <c r="M85" i="3"/>
  <c r="M96" i="3"/>
  <c r="M107" i="3"/>
  <c r="M117" i="3"/>
  <c r="M127" i="3"/>
  <c r="M202" i="3"/>
  <c r="M221" i="3"/>
  <c r="M335" i="3"/>
  <c r="M347" i="3"/>
  <c r="M359" i="3"/>
  <c r="M371" i="3"/>
  <c r="M384" i="3"/>
  <c r="M69" i="3"/>
  <c r="M80" i="3"/>
  <c r="M91" i="3"/>
  <c r="M101" i="3"/>
  <c r="M112" i="3"/>
  <c r="M141" i="3"/>
  <c r="M184" i="3"/>
  <c r="M341" i="3"/>
  <c r="M353" i="3"/>
  <c r="M365" i="3"/>
  <c r="M372" i="3"/>
  <c r="M383" i="3"/>
  <c r="M123" i="3"/>
  <c r="M160" i="3"/>
  <c r="M199" i="3"/>
  <c r="M266" i="3"/>
  <c r="M270" i="3"/>
  <c r="M321" i="3"/>
  <c r="M329" i="3"/>
  <c r="M334" i="3"/>
  <c r="M346" i="3"/>
  <c r="M358" i="3"/>
  <c r="M370" i="3"/>
  <c r="M381" i="3"/>
  <c r="M13" i="3"/>
  <c r="M218" i="3"/>
  <c r="M246" i="3"/>
  <c r="M278" i="3"/>
  <c r="M303" i="3"/>
  <c r="M314" i="3"/>
  <c r="M323" i="3"/>
  <c r="M328" i="3"/>
  <c r="M336" i="3"/>
  <c r="M357" i="3"/>
  <c r="M254" i="3"/>
  <c r="M284" i="3"/>
  <c r="M309" i="3"/>
  <c r="M324" i="3"/>
  <c r="M333" i="3"/>
  <c r="M366" i="3"/>
  <c r="M175" i="3"/>
  <c r="M211" i="3"/>
  <c r="M56" i="3"/>
  <c r="M128" i="3"/>
  <c r="M212" i="3"/>
  <c r="M181" i="3"/>
  <c r="M205" i="3"/>
  <c r="M276" i="3"/>
  <c r="M287" i="3"/>
  <c r="M312" i="3"/>
  <c r="M331" i="3"/>
  <c r="M352" i="3"/>
  <c r="M387" i="3"/>
  <c r="M461" i="3"/>
  <c r="M473" i="3"/>
  <c r="M475" i="3"/>
  <c r="M477" i="3"/>
  <c r="M479" i="3"/>
  <c r="M481" i="3"/>
  <c r="M483" i="3"/>
  <c r="M485" i="3"/>
  <c r="M487" i="3"/>
  <c r="M489" i="3"/>
  <c r="M491" i="3"/>
  <c r="M493" i="3"/>
  <c r="M495" i="3"/>
  <c r="M497" i="3"/>
  <c r="M499" i="3"/>
  <c r="M501" i="3"/>
  <c r="M503" i="3"/>
  <c r="M505" i="3"/>
  <c r="M507" i="3"/>
  <c r="M509" i="3"/>
  <c r="M511" i="3"/>
  <c r="M513" i="3"/>
  <c r="M515" i="3"/>
  <c r="M517" i="3"/>
  <c r="M519" i="3"/>
  <c r="M521" i="3"/>
  <c r="M523" i="3"/>
  <c r="M525" i="3"/>
  <c r="M527" i="3"/>
  <c r="M529" i="3"/>
  <c r="M531" i="3"/>
  <c r="M533" i="3"/>
  <c r="M535" i="3"/>
  <c r="M537" i="3"/>
  <c r="M539" i="3"/>
  <c r="M541" i="3"/>
  <c r="M543" i="3"/>
  <c r="M545" i="3"/>
  <c r="M547" i="3"/>
  <c r="M549" i="3"/>
  <c r="M551" i="3"/>
  <c r="M553" i="3"/>
  <c r="M555" i="3"/>
  <c r="M557" i="3"/>
  <c r="M559" i="3"/>
  <c r="M561" i="3"/>
  <c r="M563" i="3"/>
  <c r="M565" i="3"/>
  <c r="M567" i="3"/>
  <c r="M569" i="3"/>
  <c r="M571" i="3"/>
  <c r="M152" i="3"/>
  <c r="M238" i="3"/>
  <c r="M297" i="3"/>
  <c r="M308" i="3"/>
  <c r="M340" i="3"/>
  <c r="M360" i="3"/>
  <c r="M376" i="3"/>
  <c r="M380" i="3"/>
  <c r="M43" i="3"/>
  <c r="M195" i="3"/>
  <c r="M207" i="3"/>
  <c r="M226" i="3"/>
  <c r="M282" i="3"/>
  <c r="M293" i="3"/>
  <c r="M318" i="3"/>
  <c r="M348" i="3"/>
  <c r="M369" i="3"/>
  <c r="M373" i="3"/>
  <c r="M391" i="3"/>
  <c r="M401" i="3"/>
  <c r="M407" i="3"/>
  <c r="M25" i="3"/>
  <c r="M189" i="3"/>
  <c r="M234" i="3"/>
  <c r="M268" i="3"/>
  <c r="M285" i="3"/>
  <c r="M350" i="3"/>
  <c r="M425" i="3"/>
  <c r="M443" i="3"/>
  <c r="M459" i="3"/>
  <c r="M494" i="3"/>
  <c r="M502" i="3"/>
  <c r="M510" i="3"/>
  <c r="M305" i="3"/>
  <c r="M364" i="3"/>
  <c r="M378" i="3"/>
  <c r="M542" i="3"/>
  <c r="M554" i="3"/>
  <c r="M566" i="3"/>
  <c r="M573" i="3"/>
  <c r="M35" i="3"/>
  <c r="M191" i="3"/>
  <c r="M296" i="3"/>
  <c r="M330" i="3"/>
  <c r="M343" i="3"/>
  <c r="M385" i="3"/>
  <c r="M417" i="3"/>
  <c r="M421" i="3"/>
  <c r="M435" i="3"/>
  <c r="M439" i="3"/>
  <c r="M463" i="3"/>
  <c r="M467" i="3"/>
  <c r="M474" i="3"/>
  <c r="M480" i="3"/>
  <c r="M486" i="3"/>
  <c r="M582" i="3"/>
  <c r="M584" i="3"/>
  <c r="M586" i="3"/>
  <c r="M588" i="3"/>
  <c r="M590" i="3"/>
  <c r="M592" i="3"/>
  <c r="M594" i="3"/>
  <c r="M596" i="3"/>
  <c r="M598" i="3"/>
  <c r="M600" i="3"/>
  <c r="M602" i="3"/>
  <c r="M604" i="3"/>
  <c r="M606" i="3"/>
  <c r="M608" i="3"/>
  <c r="M610" i="3"/>
  <c r="M612" i="3"/>
  <c r="M614" i="3"/>
  <c r="M616" i="3"/>
  <c r="M618" i="3"/>
  <c r="M620" i="3"/>
  <c r="M622" i="3"/>
  <c r="M624" i="3"/>
  <c r="M626" i="3"/>
  <c r="M628" i="3"/>
  <c r="M630" i="3"/>
  <c r="M632" i="3"/>
  <c r="M634" i="3"/>
  <c r="M636" i="3"/>
  <c r="M638" i="3"/>
  <c r="M640" i="3"/>
  <c r="M642" i="3"/>
  <c r="M644" i="3"/>
  <c r="M646" i="3"/>
  <c r="M648" i="3"/>
  <c r="M650" i="3"/>
  <c r="M652" i="3"/>
  <c r="M654" i="3"/>
  <c r="M656" i="3"/>
  <c r="M658" i="3"/>
  <c r="M660" i="3"/>
  <c r="M662" i="3"/>
  <c r="M664" i="3"/>
  <c r="M666" i="3"/>
  <c r="M668" i="3"/>
  <c r="M670" i="3"/>
  <c r="M258" i="3"/>
  <c r="M279" i="3"/>
  <c r="M288" i="3"/>
  <c r="M322" i="3"/>
  <c r="M345" i="3"/>
  <c r="M351" i="3"/>
  <c r="M492" i="3"/>
  <c r="M500" i="3"/>
  <c r="M508" i="3"/>
  <c r="M516" i="3"/>
  <c r="M524" i="3"/>
  <c r="M532" i="3"/>
  <c r="M540" i="3"/>
  <c r="M552" i="3"/>
  <c r="M564" i="3"/>
  <c r="M580" i="3"/>
  <c r="M222" i="3"/>
  <c r="M315" i="3"/>
  <c r="M338" i="3"/>
  <c r="M379" i="3"/>
  <c r="M386" i="3"/>
  <c r="M397" i="3"/>
  <c r="M413" i="3"/>
  <c r="M431" i="3"/>
  <c r="M449" i="3"/>
  <c r="M453" i="3"/>
  <c r="M471" i="3"/>
  <c r="M131" i="3"/>
  <c r="M275" i="3"/>
  <c r="M291" i="3"/>
  <c r="M469" i="3"/>
  <c r="M496" i="3"/>
  <c r="M504" i="3"/>
  <c r="M250" i="3"/>
  <c r="M290" i="3"/>
  <c r="M306" i="3"/>
  <c r="M339" i="3"/>
  <c r="M393" i="3"/>
  <c r="M382" i="3"/>
  <c r="M405" i="3"/>
  <c r="M465" i="3"/>
  <c r="M585" i="3"/>
  <c r="M593" i="3"/>
  <c r="M601" i="3"/>
  <c r="M609" i="3"/>
  <c r="M617" i="3"/>
  <c r="M625" i="3"/>
  <c r="M633" i="3"/>
  <c r="M641" i="3"/>
  <c r="M649" i="3"/>
  <c r="M659" i="3"/>
  <c r="M671" i="3"/>
  <c r="M311" i="3"/>
  <c r="M326" i="3"/>
  <c r="M342" i="3"/>
  <c r="M355" i="3"/>
  <c r="M395" i="3"/>
  <c r="M415" i="3"/>
  <c r="M433" i="3"/>
  <c r="M451" i="3"/>
  <c r="M528" i="3"/>
  <c r="M558" i="3"/>
  <c r="M574" i="3"/>
  <c r="M242" i="3"/>
  <c r="M300" i="3"/>
  <c r="M362" i="3"/>
  <c r="M419" i="3"/>
  <c r="M437" i="3"/>
  <c r="M550" i="3"/>
  <c r="M556" i="3"/>
  <c r="M589" i="3"/>
  <c r="M597" i="3"/>
  <c r="M605" i="3"/>
  <c r="M613" i="3"/>
  <c r="M621" i="3"/>
  <c r="M629" i="3"/>
  <c r="M637" i="3"/>
  <c r="M645" i="3"/>
  <c r="M320" i="3"/>
  <c r="M389" i="3"/>
  <c r="M411" i="3"/>
  <c r="M429" i="3"/>
  <c r="M447" i="3"/>
  <c r="M455" i="3"/>
  <c r="M476" i="3"/>
  <c r="M482" i="3"/>
  <c r="M488" i="3"/>
  <c r="M498" i="3"/>
  <c r="M526" i="3"/>
  <c r="M530" i="3"/>
  <c r="M575" i="3"/>
  <c r="M581" i="3"/>
  <c r="M60" i="3"/>
  <c r="M367" i="3"/>
  <c r="M409" i="3"/>
  <c r="M548" i="3"/>
  <c r="M572" i="3"/>
  <c r="M669" i="3"/>
  <c r="M681" i="3"/>
  <c r="M694" i="3"/>
  <c r="M705" i="3"/>
  <c r="M718" i="3"/>
  <c r="M729" i="3"/>
  <c r="M742" i="3"/>
  <c r="M230" i="3"/>
  <c r="M653" i="3"/>
  <c r="M672" i="3"/>
  <c r="M679" i="3"/>
  <c r="M692" i="3"/>
  <c r="M703" i="3"/>
  <c r="M716" i="3"/>
  <c r="M727" i="3"/>
  <c r="M740" i="3"/>
  <c r="M751" i="3"/>
  <c r="M753" i="3"/>
  <c r="M755" i="3"/>
  <c r="M757" i="3"/>
  <c r="M759" i="3"/>
  <c r="M761" i="3"/>
  <c r="M763" i="3"/>
  <c r="M765" i="3"/>
  <c r="M767" i="3"/>
  <c r="M769" i="3"/>
  <c r="M771" i="3"/>
  <c r="M773" i="3"/>
  <c r="M775" i="3"/>
  <c r="M777" i="3"/>
  <c r="M779" i="3"/>
  <c r="M781" i="3"/>
  <c r="M783" i="3"/>
  <c r="M785" i="3"/>
  <c r="M787" i="3"/>
  <c r="M789" i="3"/>
  <c r="M791" i="3"/>
  <c r="M793" i="3"/>
  <c r="M795" i="3"/>
  <c r="M797" i="3"/>
  <c r="M799" i="3"/>
  <c r="M801" i="3"/>
  <c r="M803" i="3"/>
  <c r="M805" i="3"/>
  <c r="M807" i="3"/>
  <c r="M809" i="3"/>
  <c r="M811" i="3"/>
  <c r="M813" i="3"/>
  <c r="M815" i="3"/>
  <c r="M817" i="3"/>
  <c r="M819" i="3"/>
  <c r="M821" i="3"/>
  <c r="M823" i="3"/>
  <c r="M825" i="3"/>
  <c r="M827" i="3"/>
  <c r="M829" i="3"/>
  <c r="M831" i="3"/>
  <c r="M833" i="3"/>
  <c r="M835" i="3"/>
  <c r="M837" i="3"/>
  <c r="M839" i="3"/>
  <c r="M841" i="3"/>
  <c r="M843" i="3"/>
  <c r="M845" i="3"/>
  <c r="M847" i="3"/>
  <c r="M849" i="3"/>
  <c r="M851" i="3"/>
  <c r="M853" i="3"/>
  <c r="M855" i="3"/>
  <c r="M857" i="3"/>
  <c r="M859" i="3"/>
  <c r="M861" i="3"/>
  <c r="M863" i="3"/>
  <c r="M865" i="3"/>
  <c r="M867" i="3"/>
  <c r="M869" i="3"/>
  <c r="M871" i="3"/>
  <c r="M873" i="3"/>
  <c r="M875" i="3"/>
  <c r="M877" i="3"/>
  <c r="M879" i="3"/>
  <c r="M881" i="3"/>
  <c r="M883" i="3"/>
  <c r="M885" i="3"/>
  <c r="M887" i="3"/>
  <c r="M889" i="3"/>
  <c r="M891" i="3"/>
  <c r="M893" i="3"/>
  <c r="M895" i="3"/>
  <c r="M897" i="3"/>
  <c r="M899" i="3"/>
  <c r="M901" i="3"/>
  <c r="M903" i="3"/>
  <c r="M905" i="3"/>
  <c r="M512" i="3"/>
  <c r="M544" i="3"/>
  <c r="M568" i="3"/>
  <c r="M577" i="3"/>
  <c r="M281" i="3"/>
  <c r="M374" i="3"/>
  <c r="M399" i="3"/>
  <c r="M427" i="3"/>
  <c r="M441" i="3"/>
  <c r="M484" i="3"/>
  <c r="M506" i="3"/>
  <c r="M518" i="3"/>
  <c r="M317" i="3"/>
  <c r="M578" i="3"/>
  <c r="M676" i="3"/>
  <c r="M687" i="3"/>
  <c r="M700" i="3"/>
  <c r="M711" i="3"/>
  <c r="M724" i="3"/>
  <c r="M735" i="3"/>
  <c r="M748" i="3"/>
  <c r="M203" i="3"/>
  <c r="M262" i="3"/>
  <c r="M562" i="3"/>
  <c r="M576" i="3"/>
  <c r="M665" i="3"/>
  <c r="M685" i="3"/>
  <c r="M698" i="3"/>
  <c r="M709" i="3"/>
  <c r="M722" i="3"/>
  <c r="M733" i="3"/>
  <c r="M746" i="3"/>
  <c r="M299" i="3"/>
  <c r="M514" i="3"/>
  <c r="M536" i="3"/>
  <c r="M546" i="3"/>
  <c r="M615" i="3"/>
  <c r="M627" i="3"/>
  <c r="M639" i="3"/>
  <c r="M651" i="3"/>
  <c r="M701" i="3"/>
  <c r="M714" i="3"/>
  <c r="M717" i="3"/>
  <c r="M730" i="3"/>
  <c r="M302" i="3"/>
  <c r="M478" i="3"/>
  <c r="M657" i="3"/>
  <c r="M661" i="3"/>
  <c r="M688" i="3"/>
  <c r="M691" i="3"/>
  <c r="M704" i="3"/>
  <c r="M747" i="3"/>
  <c r="M756" i="3"/>
  <c r="M762" i="3"/>
  <c r="M768" i="3"/>
  <c r="M774" i="3"/>
  <c r="M780" i="3"/>
  <c r="M786" i="3"/>
  <c r="M792" i="3"/>
  <c r="M423" i="3"/>
  <c r="M457" i="3"/>
  <c r="M538" i="3"/>
  <c r="M675" i="3"/>
  <c r="M678" i="3"/>
  <c r="M721" i="3"/>
  <c r="M734" i="3"/>
  <c r="M737" i="3"/>
  <c r="M325" i="3"/>
  <c r="M667" i="3"/>
  <c r="M695" i="3"/>
  <c r="M708" i="3"/>
  <c r="M731" i="3"/>
  <c r="M744" i="3"/>
  <c r="M522" i="3"/>
  <c r="M534" i="3"/>
  <c r="M680" i="3"/>
  <c r="M723" i="3"/>
  <c r="M736" i="3"/>
  <c r="M739" i="3"/>
  <c r="M752" i="3"/>
  <c r="M758" i="3"/>
  <c r="M764" i="3"/>
  <c r="M770" i="3"/>
  <c r="M776" i="3"/>
  <c r="M782" i="3"/>
  <c r="M788" i="3"/>
  <c r="M794" i="3"/>
  <c r="M294" i="3"/>
  <c r="M363" i="3"/>
  <c r="M583" i="3"/>
  <c r="M591" i="3"/>
  <c r="M599" i="3"/>
  <c r="M607" i="3"/>
  <c r="M674" i="3"/>
  <c r="M684" i="3"/>
  <c r="M707" i="3"/>
  <c r="M720" i="3"/>
  <c r="M743" i="3"/>
  <c r="M663" i="3"/>
  <c r="M725" i="3"/>
  <c r="M738" i="3"/>
  <c r="M760" i="3"/>
  <c r="M796" i="3"/>
  <c r="M804" i="3"/>
  <c r="M808" i="3"/>
  <c r="M816" i="3"/>
  <c r="M820" i="3"/>
  <c r="M828" i="3"/>
  <c r="M832" i="3"/>
  <c r="M840" i="3"/>
  <c r="M844" i="3"/>
  <c r="M858" i="3"/>
  <c r="M864" i="3"/>
  <c r="M870" i="3"/>
  <c r="M876" i="3"/>
  <c r="M882" i="3"/>
  <c r="M888" i="3"/>
  <c r="M894" i="3"/>
  <c r="M902" i="3"/>
  <c r="M909" i="3"/>
  <c r="M911" i="3"/>
  <c r="M913" i="3"/>
  <c r="M915" i="3"/>
  <c r="M917" i="3"/>
  <c r="M919" i="3"/>
  <c r="M921" i="3"/>
  <c r="M923" i="3"/>
  <c r="M925" i="3"/>
  <c r="M927" i="3"/>
  <c r="M929" i="3"/>
  <c r="M931" i="3"/>
  <c r="M933" i="3"/>
  <c r="M935" i="3"/>
  <c r="M937" i="3"/>
  <c r="M939" i="3"/>
  <c r="M941" i="3"/>
  <c r="M943" i="3"/>
  <c r="M945" i="3"/>
  <c r="M947" i="3"/>
  <c r="M949" i="3"/>
  <c r="M951" i="3"/>
  <c r="M953" i="3"/>
  <c r="M955" i="3"/>
  <c r="M957" i="3"/>
  <c r="M959" i="3"/>
  <c r="M961" i="3"/>
  <c r="M963" i="3"/>
  <c r="M965" i="3"/>
  <c r="M967" i="3"/>
  <c r="M969" i="3"/>
  <c r="M971" i="3"/>
  <c r="M973" i="3"/>
  <c r="M975" i="3"/>
  <c r="M977" i="3"/>
  <c r="M979" i="3"/>
  <c r="M981" i="3"/>
  <c r="M983" i="3"/>
  <c r="M985" i="3"/>
  <c r="M987" i="3"/>
  <c r="M989" i="3"/>
  <c r="M991" i="3"/>
  <c r="M993" i="3"/>
  <c r="M995" i="3"/>
  <c r="M997" i="3"/>
  <c r="M999" i="3"/>
  <c r="M1001" i="3"/>
  <c r="M1003" i="3"/>
  <c r="M1005" i="3"/>
  <c r="M1007" i="3"/>
  <c r="M587" i="3"/>
  <c r="M603" i="3"/>
  <c r="M699" i="3"/>
  <c r="M712" i="3"/>
  <c r="M750" i="3"/>
  <c r="M800" i="3"/>
  <c r="M812" i="3"/>
  <c r="M824" i="3"/>
  <c r="M836" i="3"/>
  <c r="M848" i="3"/>
  <c r="M852" i="3"/>
  <c r="M907" i="3"/>
  <c r="M403" i="3"/>
  <c r="M570" i="3"/>
  <c r="M686" i="3"/>
  <c r="M745" i="3"/>
  <c r="M766" i="3"/>
  <c r="M900" i="3"/>
  <c r="M719" i="3"/>
  <c r="M732" i="3"/>
  <c r="M520" i="3"/>
  <c r="M579" i="3"/>
  <c r="M683" i="3"/>
  <c r="M696" i="3"/>
  <c r="M354" i="3"/>
  <c r="M490" i="3"/>
  <c r="M677" i="3"/>
  <c r="M690" i="3"/>
  <c r="M754" i="3"/>
  <c r="M790" i="3"/>
  <c r="M904" i="3"/>
  <c r="M445" i="3"/>
  <c r="M697" i="3"/>
  <c r="M710" i="3"/>
  <c r="M749" i="3"/>
  <c r="M689" i="3"/>
  <c r="M810" i="3"/>
  <c r="M818" i="3"/>
  <c r="M884" i="3"/>
  <c r="M918" i="3"/>
  <c r="M942" i="3"/>
  <c r="M966" i="3"/>
  <c r="M986" i="3"/>
  <c r="M992" i="3"/>
  <c r="M998" i="3"/>
  <c r="M1004" i="3"/>
  <c r="M655" i="3"/>
  <c r="M693" i="3"/>
  <c r="M778" i="3"/>
  <c r="M834" i="3"/>
  <c r="M880" i="3"/>
  <c r="M932" i="3"/>
  <c r="M956" i="3"/>
  <c r="M980" i="3"/>
  <c r="M595" i="3"/>
  <c r="M631" i="3"/>
  <c r="M741" i="3"/>
  <c r="M802" i="3"/>
  <c r="M854" i="3"/>
  <c r="M890" i="3"/>
  <c r="M908" i="3"/>
  <c r="M922" i="3"/>
  <c r="M946" i="3"/>
  <c r="M970" i="3"/>
  <c r="M635" i="3"/>
  <c r="M842" i="3"/>
  <c r="M860" i="3"/>
  <c r="M896" i="3"/>
  <c r="M926" i="3"/>
  <c r="M950" i="3"/>
  <c r="M974" i="3"/>
  <c r="M984" i="3"/>
  <c r="M990" i="3"/>
  <c r="M996" i="3"/>
  <c r="M1002" i="3"/>
  <c r="M619" i="3"/>
  <c r="M647" i="3"/>
  <c r="M798" i="3"/>
  <c r="M868" i="3"/>
  <c r="M924" i="3"/>
  <c r="M948" i="3"/>
  <c r="M972" i="3"/>
  <c r="M673" i="3"/>
  <c r="M702" i="3"/>
  <c r="M846" i="3"/>
  <c r="M682" i="3"/>
  <c r="M713" i="3"/>
  <c r="M814" i="3"/>
  <c r="M856" i="3"/>
  <c r="M874" i="3"/>
  <c r="M978" i="3"/>
  <c r="M643" i="3"/>
  <c r="M715" i="3"/>
  <c r="M830" i="3"/>
  <c r="M914" i="3"/>
  <c r="M920" i="3"/>
  <c r="M886" i="3"/>
  <c r="M938" i="3"/>
  <c r="M944" i="3"/>
  <c r="M1000" i="3"/>
  <c r="M784" i="3"/>
  <c r="M806" i="3"/>
  <c r="M838" i="3"/>
  <c r="M898" i="3"/>
  <c r="M912" i="3"/>
  <c r="M976" i="3"/>
  <c r="M982" i="3"/>
  <c r="M623" i="3"/>
  <c r="M706" i="3"/>
  <c r="M826" i="3"/>
  <c r="M872" i="3"/>
  <c r="M930" i="3"/>
  <c r="M936" i="3"/>
  <c r="M560" i="3"/>
  <c r="M892" i="3"/>
  <c r="M906" i="3"/>
  <c r="M954" i="3"/>
  <c r="M960" i="3"/>
  <c r="M988" i="3"/>
  <c r="L2" i="3"/>
  <c r="L873" i="3"/>
  <c r="L726" i="3"/>
  <c r="L558" i="3"/>
  <c r="L301" i="3"/>
  <c r="L85" i="3"/>
  <c r="L1008" i="3"/>
  <c r="L960" i="3"/>
  <c r="L917" i="3"/>
  <c r="L869" i="3"/>
  <c r="L827" i="3"/>
  <c r="L780" i="3"/>
  <c r="L724" i="3"/>
  <c r="L666" i="3"/>
  <c r="L594" i="3"/>
  <c r="L507" i="3"/>
  <c r="L403" i="3"/>
  <c r="L295" i="3"/>
  <c r="L187" i="3"/>
  <c r="L79" i="3"/>
  <c r="M934" i="3"/>
  <c r="K981" i="3"/>
  <c r="K920" i="3"/>
  <c r="K859" i="3"/>
  <c r="K820" i="3"/>
  <c r="K776" i="3"/>
  <c r="K757" i="3"/>
  <c r="K715" i="3"/>
  <c r="K693" i="3"/>
  <c r="K676" i="3"/>
  <c r="K654" i="3"/>
  <c r="K632" i="3"/>
  <c r="K613" i="3"/>
  <c r="K593" i="3"/>
  <c r="K571" i="3"/>
  <c r="K549" i="3"/>
  <c r="K532" i="3"/>
  <c r="K510" i="3"/>
  <c r="K488" i="3"/>
  <c r="K469" i="3"/>
  <c r="K447" i="3"/>
  <c r="K423" i="3"/>
  <c r="K399" i="3"/>
  <c r="K380" i="3"/>
  <c r="K356" i="3"/>
  <c r="K332" i="3"/>
  <c r="K312" i="3"/>
  <c r="K290" i="3"/>
  <c r="K266" i="3"/>
  <c r="K242" i="3"/>
  <c r="K223" i="3"/>
  <c r="K199" i="3"/>
  <c r="K175" i="3"/>
  <c r="K154" i="3"/>
  <c r="K133" i="3"/>
  <c r="K109" i="3"/>
  <c r="K85" i="3"/>
  <c r="K66" i="3"/>
  <c r="K42" i="3"/>
  <c r="K18" i="3"/>
  <c r="L1004" i="3"/>
  <c r="L983" i="3"/>
  <c r="L959" i="3"/>
  <c r="L935" i="3"/>
  <c r="L916" i="3"/>
  <c r="L892" i="3"/>
  <c r="L868" i="3"/>
  <c r="L847" i="3"/>
  <c r="L825" i="3"/>
  <c r="L801" i="3"/>
  <c r="L775" i="3"/>
  <c r="L752" i="3"/>
  <c r="L723" i="3"/>
  <c r="L690" i="3"/>
  <c r="L660" i="3"/>
  <c r="L631" i="3"/>
  <c r="L592" i="3"/>
  <c r="L543" i="3"/>
  <c r="L506" i="3"/>
  <c r="L458" i="3"/>
  <c r="L402" i="3"/>
  <c r="L350" i="3"/>
  <c r="L294" i="3"/>
  <c r="L242" i="3"/>
  <c r="L186" i="3"/>
  <c r="L134" i="3"/>
  <c r="L75" i="3"/>
  <c r="L15" i="3"/>
  <c r="M910" i="3"/>
  <c r="M878" i="3"/>
  <c r="L961" i="3"/>
  <c r="L852" i="3"/>
  <c r="L755" i="3"/>
  <c r="L595" i="3"/>
  <c r="L409" i="3"/>
  <c r="L137" i="3"/>
  <c r="L984" i="3"/>
  <c r="L939" i="3"/>
  <c r="L893" i="3"/>
  <c r="L851" i="3"/>
  <c r="L803" i="3"/>
  <c r="L753" i="3"/>
  <c r="L691" i="3"/>
  <c r="L632" i="3"/>
  <c r="L554" i="3"/>
  <c r="L459" i="3"/>
  <c r="L351" i="3"/>
  <c r="L243" i="3"/>
  <c r="L135" i="3"/>
  <c r="L16" i="3"/>
  <c r="K1003" i="3"/>
  <c r="K964" i="3"/>
  <c r="K942" i="3"/>
  <c r="K901" i="3"/>
  <c r="K881" i="3"/>
  <c r="K837" i="3"/>
  <c r="K798" i="3"/>
  <c r="K737" i="3"/>
  <c r="K1002" i="3"/>
  <c r="K980" i="3"/>
  <c r="K961" i="3"/>
  <c r="K941" i="3"/>
  <c r="K919" i="3"/>
  <c r="K897" i="3"/>
  <c r="K880" i="3"/>
  <c r="K858" i="3"/>
  <c r="K836" i="3"/>
  <c r="K817" i="3"/>
  <c r="K797" i="3"/>
  <c r="K775" i="3"/>
  <c r="K753" i="3"/>
  <c r="K736" i="3"/>
  <c r="K714" i="3"/>
  <c r="K692" i="3"/>
  <c r="K673" i="3"/>
  <c r="K653" i="3"/>
  <c r="K631" i="3"/>
  <c r="K609" i="3"/>
  <c r="K592" i="3"/>
  <c r="K570" i="3"/>
  <c r="K548" i="3"/>
  <c r="K529" i="3"/>
  <c r="K509" i="3"/>
  <c r="K487" i="3"/>
  <c r="K464" i="3"/>
  <c r="K446" i="3"/>
  <c r="K422" i="3"/>
  <c r="K398" i="3"/>
  <c r="K377" i="3"/>
  <c r="K355" i="3"/>
  <c r="K331" i="3"/>
  <c r="K307" i="3"/>
  <c r="K289" i="3"/>
  <c r="K265" i="3"/>
  <c r="K241" i="3"/>
  <c r="K220" i="3"/>
  <c r="K198" i="3"/>
  <c r="K174" i="3"/>
  <c r="K150" i="3"/>
  <c r="K132" i="3"/>
  <c r="K108" i="3"/>
  <c r="K84" i="3"/>
  <c r="K63" i="3"/>
  <c r="K41" i="3"/>
  <c r="K17" i="3"/>
  <c r="L1000" i="3"/>
  <c r="L981" i="3"/>
  <c r="L957" i="3"/>
  <c r="L933" i="3"/>
  <c r="L913" i="3"/>
  <c r="L891" i="3"/>
  <c r="L867" i="3"/>
  <c r="L843" i="3"/>
  <c r="L824" i="3"/>
  <c r="L800" i="3"/>
  <c r="L774" i="3"/>
  <c r="L749" i="3"/>
  <c r="L720" i="3"/>
  <c r="L688" i="3"/>
  <c r="L655" i="3"/>
  <c r="L630" i="3"/>
  <c r="L591" i="3"/>
  <c r="L542" i="3"/>
  <c r="L498" i="3"/>
  <c r="L451" i="3"/>
  <c r="L399" i="3"/>
  <c r="L343" i="3"/>
  <c r="L291" i="3"/>
  <c r="L235" i="3"/>
  <c r="L183" i="3"/>
  <c r="L127" i="3"/>
  <c r="L74" i="3"/>
  <c r="L14" i="3"/>
  <c r="M994" i="3"/>
  <c r="M772" i="3"/>
  <c r="L918" i="3"/>
  <c r="L804" i="3"/>
  <c r="L633" i="3"/>
  <c r="L353" i="3"/>
  <c r="L18" i="3"/>
  <c r="M958" i="3"/>
  <c r="I1008" i="3"/>
  <c r="K1001" i="3"/>
  <c r="K979" i="3"/>
  <c r="K957" i="3"/>
  <c r="K940" i="3"/>
  <c r="K918" i="3"/>
  <c r="K896" i="3"/>
  <c r="K877" i="3"/>
  <c r="K857" i="3"/>
  <c r="K835" i="3"/>
  <c r="K813" i="3"/>
  <c r="K796" i="3"/>
  <c r="K774" i="3"/>
  <c r="K752" i="3"/>
  <c r="K733" i="3"/>
  <c r="K713" i="3"/>
  <c r="K691" i="3"/>
  <c r="K669" i="3"/>
  <c r="K652" i="3"/>
  <c r="K630" i="3"/>
  <c r="K608" i="3"/>
  <c r="K589" i="3"/>
  <c r="K569" i="3"/>
  <c r="K547" i="3"/>
  <c r="K525" i="3"/>
  <c r="K508" i="3"/>
  <c r="K486" i="3"/>
  <c r="K463" i="3"/>
  <c r="K442" i="3"/>
  <c r="K421" i="3"/>
  <c r="K397" i="3"/>
  <c r="K373" i="3"/>
  <c r="K354" i="3"/>
  <c r="K330" i="3"/>
  <c r="K306" i="3"/>
  <c r="K285" i="3"/>
  <c r="K264" i="3"/>
  <c r="K240" i="3"/>
  <c r="K216" i="3"/>
  <c r="K197" i="3"/>
  <c r="K173" i="3"/>
  <c r="K149" i="3"/>
  <c r="K128" i="3"/>
  <c r="K106" i="3"/>
  <c r="K82" i="3"/>
  <c r="K58" i="3"/>
  <c r="K40" i="3"/>
  <c r="K16" i="3"/>
  <c r="L999" i="3"/>
  <c r="L978" i="3"/>
  <c r="L956" i="3"/>
  <c r="L932" i="3"/>
  <c r="L908" i="3"/>
  <c r="L890" i="3"/>
  <c r="L866" i="3"/>
  <c r="L842" i="3"/>
  <c r="L821" i="3"/>
  <c r="L799" i="3"/>
  <c r="L773" i="3"/>
  <c r="L743" i="3"/>
  <c r="L719" i="3"/>
  <c r="L687" i="3"/>
  <c r="L654" i="3"/>
  <c r="L624" i="3"/>
  <c r="L590" i="3"/>
  <c r="L539" i="3"/>
  <c r="L487" i="3"/>
  <c r="L450" i="3"/>
  <c r="L398" i="3"/>
  <c r="L342" i="3"/>
  <c r="L290" i="3"/>
  <c r="L234" i="3"/>
  <c r="L182" i="3"/>
  <c r="L126" i="3"/>
  <c r="L71" i="3"/>
  <c r="L13" i="3"/>
  <c r="M968" i="3"/>
  <c r="L985" i="3"/>
  <c r="L894" i="3"/>
  <c r="L784" i="3"/>
  <c r="L667" i="3"/>
  <c r="L461" i="3"/>
  <c r="L193" i="3"/>
  <c r="K1000" i="3"/>
  <c r="K978" i="3"/>
  <c r="K956" i="3"/>
  <c r="K937" i="3"/>
  <c r="K917" i="3"/>
  <c r="K895" i="3"/>
  <c r="K873" i="3"/>
  <c r="K856" i="3"/>
  <c r="K834" i="3"/>
  <c r="K812" i="3"/>
  <c r="K793" i="3"/>
  <c r="K773" i="3"/>
  <c r="K751" i="3"/>
  <c r="K729" i="3"/>
  <c r="K712" i="3"/>
  <c r="K690" i="3"/>
  <c r="K668" i="3"/>
  <c r="K649" i="3"/>
  <c r="K629" i="3"/>
  <c r="K607" i="3"/>
  <c r="K585" i="3"/>
  <c r="K568" i="3"/>
  <c r="K546" i="3"/>
  <c r="K524" i="3"/>
  <c r="K505" i="3"/>
  <c r="K485" i="3"/>
  <c r="K462" i="3"/>
  <c r="K438" i="3"/>
  <c r="K420" i="3"/>
  <c r="K396" i="3"/>
  <c r="K372" i="3"/>
  <c r="K351" i="3"/>
  <c r="K329" i="3"/>
  <c r="K305" i="3"/>
  <c r="K281" i="3"/>
  <c r="K262" i="3"/>
  <c r="K238" i="3"/>
  <c r="K214" i="3"/>
  <c r="K194" i="3"/>
  <c r="K172" i="3"/>
  <c r="K148" i="3"/>
  <c r="K124" i="3"/>
  <c r="K105" i="3"/>
  <c r="K81" i="3"/>
  <c r="K57" i="3"/>
  <c r="K37" i="3"/>
  <c r="L998" i="3"/>
  <c r="L974" i="3"/>
  <c r="L955" i="3"/>
  <c r="L931" i="3"/>
  <c r="L907" i="3"/>
  <c r="L887" i="3"/>
  <c r="L865" i="3"/>
  <c r="L841" i="3"/>
  <c r="L817" i="3"/>
  <c r="L798" i="3"/>
  <c r="L772" i="3"/>
  <c r="L741" i="3"/>
  <c r="L715" i="3"/>
  <c r="L684" i="3"/>
  <c r="L652" i="3"/>
  <c r="L619" i="3"/>
  <c r="L589" i="3"/>
  <c r="L535" i="3"/>
  <c r="L486" i="3"/>
  <c r="L446" i="3"/>
  <c r="L390" i="3"/>
  <c r="L338" i="3"/>
  <c r="L282" i="3"/>
  <c r="L230" i="3"/>
  <c r="L174" i="3"/>
  <c r="L122" i="3"/>
  <c r="L65" i="3"/>
  <c r="M2" i="3"/>
  <c r="L942" i="3"/>
  <c r="L828" i="3"/>
  <c r="L696" i="3"/>
  <c r="L510" i="3"/>
  <c r="L245" i="3"/>
  <c r="K1008" i="3"/>
  <c r="K887" i="3"/>
  <c r="K911" i="3"/>
  <c r="K923" i="3"/>
  <c r="K947" i="3"/>
  <c r="K959" i="3"/>
  <c r="K983" i="3"/>
  <c r="K995" i="3"/>
  <c r="K899" i="3"/>
  <c r="K935" i="3"/>
  <c r="K971" i="3"/>
  <c r="K1007" i="3"/>
  <c r="K997" i="3"/>
  <c r="K977" i="3"/>
  <c r="K955" i="3"/>
  <c r="K933" i="3"/>
  <c r="K916" i="3"/>
  <c r="K894" i="3"/>
  <c r="K872" i="3"/>
  <c r="K853" i="3"/>
  <c r="K833" i="3"/>
  <c r="K811" i="3"/>
  <c r="K789" i="3"/>
  <c r="K772" i="3"/>
  <c r="K750" i="3"/>
  <c r="K728" i="3"/>
  <c r="K709" i="3"/>
  <c r="K689" i="3"/>
  <c r="K667" i="3"/>
  <c r="K645" i="3"/>
  <c r="K628" i="3"/>
  <c r="K606" i="3"/>
  <c r="K584" i="3"/>
  <c r="K565" i="3"/>
  <c r="K545" i="3"/>
  <c r="K523" i="3"/>
  <c r="K501" i="3"/>
  <c r="K484" i="3"/>
  <c r="K461" i="3"/>
  <c r="K437" i="3"/>
  <c r="K416" i="3"/>
  <c r="K394" i="3"/>
  <c r="K370" i="3"/>
  <c r="K346" i="3"/>
  <c r="K328" i="3"/>
  <c r="K304" i="3"/>
  <c r="K280" i="3"/>
  <c r="K259" i="3"/>
  <c r="K237" i="3"/>
  <c r="K213" i="3"/>
  <c r="K189" i="3"/>
  <c r="K171" i="3"/>
  <c r="K147" i="3"/>
  <c r="K123" i="3"/>
  <c r="K102" i="3"/>
  <c r="K80" i="3"/>
  <c r="K56" i="3"/>
  <c r="K32" i="3"/>
  <c r="K14" i="3"/>
  <c r="L997" i="3"/>
  <c r="L973" i="3"/>
  <c r="L952" i="3"/>
  <c r="L930" i="3"/>
  <c r="L906" i="3"/>
  <c r="L882" i="3"/>
  <c r="L864" i="3"/>
  <c r="L840" i="3"/>
  <c r="L816" i="3"/>
  <c r="L795" i="3"/>
  <c r="L771" i="3"/>
  <c r="L740" i="3"/>
  <c r="L708" i="3"/>
  <c r="L683" i="3"/>
  <c r="L651" i="3"/>
  <c r="L618" i="3"/>
  <c r="L579" i="3"/>
  <c r="L534" i="3"/>
  <c r="L484" i="3"/>
  <c r="L434" i="3"/>
  <c r="L378" i="3"/>
  <c r="L326" i="3"/>
  <c r="L270" i="3"/>
  <c r="L218" i="3"/>
  <c r="L162" i="3"/>
  <c r="L110" i="3"/>
  <c r="L51" i="3"/>
  <c r="M952" i="3"/>
  <c r="K875" i="3"/>
  <c r="K851" i="3"/>
  <c r="K827" i="3"/>
  <c r="K803" i="3"/>
  <c r="K779" i="3"/>
  <c r="K743" i="3"/>
  <c r="K719" i="3"/>
  <c r="K695" i="3"/>
  <c r="K671" i="3"/>
  <c r="K659" i="3"/>
  <c r="K647" i="3"/>
  <c r="K623" i="3"/>
  <c r="K611" i="3"/>
  <c r="K599" i="3"/>
  <c r="K587" i="3"/>
  <c r="K575" i="3"/>
  <c r="K563" i="3"/>
  <c r="K551" i="3"/>
  <c r="K539" i="3"/>
  <c r="K527" i="3"/>
  <c r="K515" i="3"/>
  <c r="K503" i="3"/>
  <c r="K491" i="3"/>
  <c r="K479" i="3"/>
  <c r="K466" i="3"/>
  <c r="K453" i="3"/>
  <c r="K440" i="3"/>
  <c r="K427" i="3"/>
  <c r="K414" i="3"/>
  <c r="K401" i="3"/>
  <c r="K388" i="3"/>
  <c r="K375" i="3"/>
  <c r="K362" i="3"/>
  <c r="K349" i="3"/>
  <c r="K336" i="3"/>
  <c r="K309" i="3"/>
  <c r="K296" i="3"/>
  <c r="K283" i="3"/>
  <c r="K270" i="3"/>
  <c r="K257" i="3"/>
  <c r="K244" i="3"/>
  <c r="K231" i="3"/>
  <c r="K218" i="3"/>
  <c r="K205" i="3"/>
  <c r="K192" i="3"/>
  <c r="K178" i="3"/>
  <c r="K165" i="3"/>
  <c r="K152" i="3"/>
  <c r="K139" i="3"/>
  <c r="K126" i="3"/>
  <c r="K113" i="3"/>
  <c r="K100" i="3"/>
  <c r="K87" i="3"/>
  <c r="K74" i="3"/>
  <c r="K61" i="3"/>
  <c r="K48" i="3"/>
  <c r="K34" i="3"/>
  <c r="K21" i="3"/>
  <c r="K8" i="3"/>
  <c r="L1002" i="3"/>
  <c r="L989" i="3"/>
  <c r="L976" i="3"/>
  <c r="L963" i="3"/>
  <c r="L950" i="3"/>
  <c r="L937" i="3"/>
  <c r="L924" i="3"/>
  <c r="L911" i="3"/>
  <c r="L897" i="3"/>
  <c r="L884" i="3"/>
  <c r="L871" i="3"/>
  <c r="L858" i="3"/>
  <c r="L845" i="3"/>
  <c r="L832" i="3"/>
  <c r="L819" i="3"/>
  <c r="L806" i="3"/>
  <c r="L792" i="3"/>
  <c r="L777" i="3"/>
  <c r="L762" i="3"/>
  <c r="L747" i="3"/>
  <c r="L729" i="3"/>
  <c r="L712" i="3"/>
  <c r="L693" i="3"/>
  <c r="L676" i="3"/>
  <c r="L657" i="3"/>
  <c r="L640" i="3"/>
  <c r="L621" i="3"/>
  <c r="L602" i="3"/>
  <c r="L575" i="3"/>
  <c r="L547" i="3"/>
  <c r="L520" i="3"/>
  <c r="L495" i="3"/>
  <c r="L467" i="3"/>
  <c r="L439" i="3"/>
  <c r="L412" i="3"/>
  <c r="L387" i="3"/>
  <c r="L359" i="3"/>
  <c r="L331" i="3"/>
  <c r="L304" i="3"/>
  <c r="L279" i="3"/>
  <c r="L251" i="3"/>
  <c r="L223" i="3"/>
  <c r="L196" i="3"/>
  <c r="L171" i="3"/>
  <c r="L143" i="3"/>
  <c r="L115" i="3"/>
  <c r="L88" i="3"/>
  <c r="L55" i="3"/>
  <c r="L29" i="3"/>
  <c r="K863" i="3"/>
  <c r="K839" i="3"/>
  <c r="K815" i="3"/>
  <c r="K791" i="3"/>
  <c r="K767" i="3"/>
  <c r="K755" i="3"/>
  <c r="K731" i="3"/>
  <c r="K707" i="3"/>
  <c r="K683" i="3"/>
  <c r="K635" i="3"/>
  <c r="K322" i="3"/>
  <c r="H1008" i="3"/>
  <c r="K1006" i="3"/>
  <c r="K994" i="3"/>
  <c r="K982" i="3"/>
  <c r="K970" i="3"/>
  <c r="K958" i="3"/>
  <c r="K946" i="3"/>
  <c r="K934" i="3"/>
  <c r="K922" i="3"/>
  <c r="K910" i="3"/>
  <c r="K898" i="3"/>
  <c r="K886" i="3"/>
  <c r="K874" i="3"/>
  <c r="K862" i="3"/>
  <c r="K850" i="3"/>
  <c r="K838" i="3"/>
  <c r="K826" i="3"/>
  <c r="K814" i="3"/>
  <c r="K802" i="3"/>
  <c r="K790" i="3"/>
  <c r="K778" i="3"/>
  <c r="K766" i="3"/>
  <c r="K754" i="3"/>
  <c r="K742" i="3"/>
  <c r="K730" i="3"/>
  <c r="K718" i="3"/>
  <c r="K706" i="3"/>
  <c r="K694" i="3"/>
  <c r="K682" i="3"/>
  <c r="K670" i="3"/>
  <c r="K658" i="3"/>
  <c r="K646" i="3"/>
  <c r="K634" i="3"/>
  <c r="K622" i="3"/>
  <c r="K610" i="3"/>
  <c r="K598" i="3"/>
  <c r="K586" i="3"/>
  <c r="K574" i="3"/>
  <c r="K562" i="3"/>
  <c r="K550" i="3"/>
  <c r="K538" i="3"/>
  <c r="K526" i="3"/>
  <c r="K514" i="3"/>
  <c r="K502" i="3"/>
  <c r="K490" i="3"/>
  <c r="K478" i="3"/>
  <c r="K465" i="3"/>
  <c r="K452" i="3"/>
  <c r="K439" i="3"/>
  <c r="K426" i="3"/>
  <c r="K413" i="3"/>
  <c r="K400" i="3"/>
  <c r="K387" i="3"/>
  <c r="K374" i="3"/>
  <c r="K361" i="3"/>
  <c r="K348" i="3"/>
  <c r="K334" i="3"/>
  <c r="K321" i="3"/>
  <c r="K308" i="3"/>
  <c r="K295" i="3"/>
  <c r="K282" i="3"/>
  <c r="K269" i="3"/>
  <c r="K256" i="3"/>
  <c r="K243" i="3"/>
  <c r="K230" i="3"/>
  <c r="K217" i="3"/>
  <c r="K204" i="3"/>
  <c r="K190" i="3"/>
  <c r="K177" i="3"/>
  <c r="K164" i="3"/>
  <c r="K151" i="3"/>
  <c r="K138" i="3"/>
  <c r="K125" i="3"/>
  <c r="K112" i="3"/>
  <c r="K99" i="3"/>
  <c r="K86" i="3"/>
  <c r="K73" i="3"/>
  <c r="K60" i="3"/>
  <c r="K46" i="3"/>
  <c r="K33" i="3"/>
  <c r="K20" i="3"/>
  <c r="K7" i="3"/>
  <c r="L1001" i="3"/>
  <c r="L988" i="3"/>
  <c r="L975" i="3"/>
  <c r="L962" i="3"/>
  <c r="L949" i="3"/>
  <c r="L936" i="3"/>
  <c r="L923" i="3"/>
  <c r="L909" i="3"/>
  <c r="L896" i="3"/>
  <c r="L883" i="3"/>
  <c r="L870" i="3"/>
  <c r="L857" i="3"/>
  <c r="L844" i="3"/>
  <c r="L831" i="3"/>
  <c r="L818" i="3"/>
  <c r="L805" i="3"/>
  <c r="L791" i="3"/>
  <c r="L776" i="3"/>
  <c r="L761" i="3"/>
  <c r="L744" i="3"/>
  <c r="L728" i="3"/>
  <c r="L711" i="3"/>
  <c r="L692" i="3"/>
  <c r="L675" i="3"/>
  <c r="L656" i="3"/>
  <c r="L639" i="3"/>
  <c r="L620" i="3"/>
  <c r="L601" i="3"/>
  <c r="L571" i="3"/>
  <c r="L546" i="3"/>
  <c r="L519" i="3"/>
  <c r="L494" i="3"/>
  <c r="L463" i="3"/>
  <c r="L438" i="3"/>
  <c r="L411" i="3"/>
  <c r="L386" i="3"/>
  <c r="L355" i="3"/>
  <c r="L330" i="3"/>
  <c r="L303" i="3"/>
  <c r="L278" i="3"/>
  <c r="L247" i="3"/>
  <c r="L222" i="3"/>
  <c r="L195" i="3"/>
  <c r="L170" i="3"/>
  <c r="L139" i="3"/>
  <c r="L114" i="3"/>
  <c r="L87" i="3"/>
  <c r="L54" i="3"/>
  <c r="L27" i="3"/>
  <c r="K999" i="3"/>
  <c r="K987" i="3"/>
  <c r="K975" i="3"/>
  <c r="K963" i="3"/>
  <c r="K951" i="3"/>
  <c r="K939" i="3"/>
  <c r="K927" i="3"/>
  <c r="K915" i="3"/>
  <c r="K903" i="3"/>
  <c r="K891" i="3"/>
  <c r="K879" i="3"/>
  <c r="K867" i="3"/>
  <c r="K855" i="3"/>
  <c r="K843" i="3"/>
  <c r="K831" i="3"/>
  <c r="K819" i="3"/>
  <c r="K807" i="3"/>
  <c r="K795" i="3"/>
  <c r="K783" i="3"/>
  <c r="K771" i="3"/>
  <c r="K759" i="3"/>
  <c r="K747" i="3"/>
  <c r="K735" i="3"/>
  <c r="K723" i="3"/>
  <c r="K711" i="3"/>
  <c r="K699" i="3"/>
  <c r="K687" i="3"/>
  <c r="K675" i="3"/>
  <c r="K663" i="3"/>
  <c r="K651" i="3"/>
  <c r="K639" i="3"/>
  <c r="K627" i="3"/>
  <c r="K615" i="3"/>
  <c r="K603" i="3"/>
  <c r="K591" i="3"/>
  <c r="K579" i="3"/>
  <c r="K567" i="3"/>
  <c r="K555" i="3"/>
  <c r="K543" i="3"/>
  <c r="K531" i="3"/>
  <c r="K519" i="3"/>
  <c r="K507" i="3"/>
  <c r="K495" i="3"/>
  <c r="K483" i="3"/>
  <c r="K471" i="3"/>
  <c r="K458" i="3"/>
  <c r="K445" i="3"/>
  <c r="K432" i="3"/>
  <c r="K418" i="3"/>
  <c r="K405" i="3"/>
  <c r="K392" i="3"/>
  <c r="K379" i="3"/>
  <c r="K366" i="3"/>
  <c r="K353" i="3"/>
  <c r="K340" i="3"/>
  <c r="K327" i="3"/>
  <c r="K314" i="3"/>
  <c r="K301" i="3"/>
  <c r="K288" i="3"/>
  <c r="K274" i="3"/>
  <c r="K261" i="3"/>
  <c r="K248" i="3"/>
  <c r="K235" i="3"/>
  <c r="K222" i="3"/>
  <c r="K209" i="3"/>
  <c r="K196" i="3"/>
  <c r="K183" i="3"/>
  <c r="K170" i="3"/>
  <c r="K157" i="3"/>
  <c r="K144" i="3"/>
  <c r="K130" i="3"/>
  <c r="K117" i="3"/>
  <c r="K104" i="3"/>
  <c r="K91" i="3"/>
  <c r="K78" i="3"/>
  <c r="K65" i="3"/>
  <c r="K52" i="3"/>
  <c r="K39" i="3"/>
  <c r="K26" i="3"/>
  <c r="L1007" i="3"/>
  <c r="L993" i="3"/>
  <c r="L980" i="3"/>
  <c r="L967" i="3"/>
  <c r="L954" i="3"/>
  <c r="L941" i="3"/>
  <c r="L928" i="3"/>
  <c r="L915" i="3"/>
  <c r="L902" i="3"/>
  <c r="L889" i="3"/>
  <c r="L876" i="3"/>
  <c r="L863" i="3"/>
  <c r="L849" i="3"/>
  <c r="L836" i="3"/>
  <c r="L823" i="3"/>
  <c r="L810" i="3"/>
  <c r="L797" i="3"/>
  <c r="L783" i="3"/>
  <c r="L767" i="3"/>
  <c r="L751" i="3"/>
  <c r="L736" i="3"/>
  <c r="L717" i="3"/>
  <c r="L700" i="3"/>
  <c r="L681" i="3"/>
  <c r="L664" i="3"/>
  <c r="L645" i="3"/>
  <c r="L628" i="3"/>
  <c r="L607" i="3"/>
  <c r="L583" i="3"/>
  <c r="L556" i="3"/>
  <c r="L531" i="3"/>
  <c r="L503" i="3"/>
  <c r="L475" i="3"/>
  <c r="L448" i="3"/>
  <c r="L423" i="3"/>
  <c r="L395" i="3"/>
  <c r="L367" i="3"/>
  <c r="L340" i="3"/>
  <c r="L315" i="3"/>
  <c r="L287" i="3"/>
  <c r="L259" i="3"/>
  <c r="L232" i="3"/>
  <c r="L207" i="3"/>
  <c r="L179" i="3"/>
  <c r="L151" i="3"/>
  <c r="L124" i="3"/>
  <c r="L99" i="3"/>
  <c r="L67" i="3"/>
  <c r="L38" i="3"/>
  <c r="K11" i="3"/>
  <c r="K23" i="3"/>
  <c r="K35" i="3"/>
  <c r="K47" i="3"/>
  <c r="K59" i="3"/>
  <c r="K71" i="3"/>
  <c r="K83" i="3"/>
  <c r="K95" i="3"/>
  <c r="K107" i="3"/>
  <c r="K119" i="3"/>
  <c r="K131" i="3"/>
  <c r="K143" i="3"/>
  <c r="K155" i="3"/>
  <c r="K167" i="3"/>
  <c r="K179" i="3"/>
  <c r="K191" i="3"/>
  <c r="K203" i="3"/>
  <c r="K215" i="3"/>
  <c r="K227" i="3"/>
  <c r="K239" i="3"/>
  <c r="K251" i="3"/>
  <c r="K263" i="3"/>
  <c r="K275" i="3"/>
  <c r="K287" i="3"/>
  <c r="K299" i="3"/>
  <c r="K311" i="3"/>
  <c r="K323" i="3"/>
  <c r="K335" i="3"/>
  <c r="K347" i="3"/>
  <c r="K359" i="3"/>
  <c r="K371" i="3"/>
  <c r="K383" i="3"/>
  <c r="K395" i="3"/>
  <c r="K407" i="3"/>
  <c r="K419" i="3"/>
  <c r="K431" i="3"/>
  <c r="K443" i="3"/>
  <c r="K455" i="3"/>
  <c r="K467" i="3"/>
  <c r="L10" i="3"/>
  <c r="L22" i="3"/>
  <c r="L34" i="3"/>
  <c r="L46" i="3"/>
  <c r="L58" i="3"/>
  <c r="L70" i="3"/>
  <c r="L82" i="3"/>
  <c r="L94" i="3"/>
  <c r="L106" i="3"/>
  <c r="L118" i="3"/>
  <c r="L130" i="3"/>
  <c r="L142" i="3"/>
  <c r="L154" i="3"/>
  <c r="L166" i="3"/>
  <c r="L178" i="3"/>
  <c r="L190" i="3"/>
  <c r="L202" i="3"/>
  <c r="L214" i="3"/>
  <c r="L226" i="3"/>
  <c r="L238" i="3"/>
  <c r="L250" i="3"/>
  <c r="L262" i="3"/>
  <c r="L274" i="3"/>
  <c r="L286" i="3"/>
  <c r="L298" i="3"/>
  <c r="L310" i="3"/>
  <c r="L322" i="3"/>
  <c r="L334" i="3"/>
  <c r="L346" i="3"/>
  <c r="L358" i="3"/>
  <c r="L370" i="3"/>
  <c r="L382" i="3"/>
  <c r="L394" i="3"/>
  <c r="L406" i="3"/>
  <c r="L418" i="3"/>
  <c r="L430" i="3"/>
  <c r="L442" i="3"/>
  <c r="L454" i="3"/>
  <c r="L466" i="3"/>
  <c r="L478" i="3"/>
  <c r="L490" i="3"/>
  <c r="L502" i="3"/>
  <c r="L514" i="3"/>
  <c r="L526" i="3"/>
  <c r="L538" i="3"/>
  <c r="L550" i="3"/>
  <c r="L562" i="3"/>
  <c r="L574" i="3"/>
  <c r="L586" i="3"/>
  <c r="L598" i="3"/>
  <c r="L12" i="3"/>
  <c r="L24" i="3"/>
  <c r="L36" i="3"/>
  <c r="L48" i="3"/>
  <c r="L60" i="3"/>
  <c r="L72" i="3"/>
  <c r="L84" i="3"/>
  <c r="L96" i="3"/>
  <c r="L108" i="3"/>
  <c r="L120" i="3"/>
  <c r="L132" i="3"/>
  <c r="L144" i="3"/>
  <c r="L156" i="3"/>
  <c r="L168" i="3"/>
  <c r="L180" i="3"/>
  <c r="L192" i="3"/>
  <c r="L204" i="3"/>
  <c r="L216" i="3"/>
  <c r="L228" i="3"/>
  <c r="L240" i="3"/>
  <c r="L252" i="3"/>
  <c r="L264" i="3"/>
  <c r="L276" i="3"/>
  <c r="L288" i="3"/>
  <c r="L300" i="3"/>
  <c r="L312" i="3"/>
  <c r="L324" i="3"/>
  <c r="L336" i="3"/>
  <c r="L348" i="3"/>
  <c r="L360" i="3"/>
  <c r="L372" i="3"/>
  <c r="L384" i="3"/>
  <c r="L396" i="3"/>
  <c r="L408" i="3"/>
  <c r="L420" i="3"/>
  <c r="L432" i="3"/>
  <c r="L444" i="3"/>
  <c r="L456" i="3"/>
  <c r="L468" i="3"/>
  <c r="L480" i="3"/>
  <c r="L492" i="3"/>
  <c r="L504" i="3"/>
  <c r="L516" i="3"/>
  <c r="L528" i="3"/>
  <c r="L540" i="3"/>
  <c r="L552" i="3"/>
  <c r="L564" i="3"/>
  <c r="L576" i="3"/>
  <c r="L588" i="3"/>
  <c r="L8" i="3"/>
  <c r="L20" i="3"/>
  <c r="L32" i="3"/>
  <c r="L44" i="3"/>
  <c r="L56" i="3"/>
  <c r="L68" i="3"/>
  <c r="L80" i="3"/>
  <c r="L92" i="3"/>
  <c r="L104" i="3"/>
  <c r="L116" i="3"/>
  <c r="L128" i="3"/>
  <c r="L140" i="3"/>
  <c r="L152" i="3"/>
  <c r="L164" i="3"/>
  <c r="L176" i="3"/>
  <c r="L188" i="3"/>
  <c r="L200" i="3"/>
  <c r="L212" i="3"/>
  <c r="L224" i="3"/>
  <c r="L236" i="3"/>
  <c r="L248" i="3"/>
  <c r="L260" i="3"/>
  <c r="L272" i="3"/>
  <c r="L284" i="3"/>
  <c r="L296" i="3"/>
  <c r="L308" i="3"/>
  <c r="L320" i="3"/>
  <c r="L332" i="3"/>
  <c r="L344" i="3"/>
  <c r="L356" i="3"/>
  <c r="L368" i="3"/>
  <c r="L380" i="3"/>
  <c r="L392" i="3"/>
  <c r="L404" i="3"/>
  <c r="L416" i="3"/>
  <c r="L428" i="3"/>
  <c r="L440" i="3"/>
  <c r="L452" i="3"/>
  <c r="L464" i="3"/>
  <c r="L476" i="3"/>
  <c r="L488" i="3"/>
  <c r="L500" i="3"/>
  <c r="L512" i="3"/>
  <c r="L524" i="3"/>
  <c r="L536" i="3"/>
  <c r="L548" i="3"/>
  <c r="L560" i="3"/>
  <c r="L572" i="3"/>
  <c r="L584" i="3"/>
  <c r="L596" i="3"/>
  <c r="L608" i="3"/>
  <c r="L9" i="3"/>
  <c r="L21" i="3"/>
  <c r="L33" i="3"/>
  <c r="L45" i="3"/>
  <c r="L57" i="3"/>
  <c r="L69" i="3"/>
  <c r="L81" i="3"/>
  <c r="L93" i="3"/>
  <c r="L105" i="3"/>
  <c r="L117" i="3"/>
  <c r="L129" i="3"/>
  <c r="L141" i="3"/>
  <c r="L153" i="3"/>
  <c r="L165" i="3"/>
  <c r="L177" i="3"/>
  <c r="L189" i="3"/>
  <c r="L201" i="3"/>
  <c r="L213" i="3"/>
  <c r="L225" i="3"/>
  <c r="L237" i="3"/>
  <c r="L249" i="3"/>
  <c r="L261" i="3"/>
  <c r="L273" i="3"/>
  <c r="L285" i="3"/>
  <c r="L297" i="3"/>
  <c r="L309" i="3"/>
  <c r="L321" i="3"/>
  <c r="L333" i="3"/>
  <c r="L345" i="3"/>
  <c r="L357" i="3"/>
  <c r="L369" i="3"/>
  <c r="L381" i="3"/>
  <c r="L393" i="3"/>
  <c r="L405" i="3"/>
  <c r="L417" i="3"/>
  <c r="L429" i="3"/>
  <c r="L441" i="3"/>
  <c r="L453" i="3"/>
  <c r="L465" i="3"/>
  <c r="L477" i="3"/>
  <c r="L489" i="3"/>
  <c r="L501" i="3"/>
  <c r="L513" i="3"/>
  <c r="L525" i="3"/>
  <c r="L537" i="3"/>
  <c r="L549" i="3"/>
  <c r="L561" i="3"/>
  <c r="L573" i="3"/>
  <c r="L585" i="3"/>
  <c r="L597" i="3"/>
  <c r="L609" i="3"/>
  <c r="L4" i="3"/>
  <c r="L23" i="3"/>
  <c r="L40" i="3"/>
  <c r="L59" i="3"/>
  <c r="L76" i="3"/>
  <c r="L95" i="3"/>
  <c r="L112" i="3"/>
  <c r="L131" i="3"/>
  <c r="L148" i="3"/>
  <c r="L167" i="3"/>
  <c r="L184" i="3"/>
  <c r="L203" i="3"/>
  <c r="L220" i="3"/>
  <c r="L239" i="3"/>
  <c r="L256" i="3"/>
  <c r="L275" i="3"/>
  <c r="L292" i="3"/>
  <c r="L311" i="3"/>
  <c r="L328" i="3"/>
  <c r="L347" i="3"/>
  <c r="L364" i="3"/>
  <c r="L383" i="3"/>
  <c r="L400" i="3"/>
  <c r="L419" i="3"/>
  <c r="L436" i="3"/>
  <c r="L455" i="3"/>
  <c r="L472" i="3"/>
  <c r="L491" i="3"/>
  <c r="L508" i="3"/>
  <c r="L527" i="3"/>
  <c r="L544" i="3"/>
  <c r="L563" i="3"/>
  <c r="L580" i="3"/>
  <c r="L599" i="3"/>
  <c r="L613" i="3"/>
  <c r="L625" i="3"/>
  <c r="L637" i="3"/>
  <c r="L649" i="3"/>
  <c r="L661" i="3"/>
  <c r="L673" i="3"/>
  <c r="L685" i="3"/>
  <c r="L697" i="3"/>
  <c r="L709" i="3"/>
  <c r="L721" i="3"/>
  <c r="L733" i="3"/>
  <c r="L745" i="3"/>
  <c r="L757" i="3"/>
  <c r="L769" i="3"/>
  <c r="L781" i="3"/>
  <c r="L793" i="3"/>
  <c r="L5" i="3"/>
  <c r="L25" i="3"/>
  <c r="L41" i="3"/>
  <c r="L61" i="3"/>
  <c r="L77" i="3"/>
  <c r="L97" i="3"/>
  <c r="L113" i="3"/>
  <c r="L133" i="3"/>
  <c r="L149" i="3"/>
  <c r="L169" i="3"/>
  <c r="L185" i="3"/>
  <c r="L205" i="3"/>
  <c r="L221" i="3"/>
  <c r="L241" i="3"/>
  <c r="L257" i="3"/>
  <c r="L277" i="3"/>
  <c r="L293" i="3"/>
  <c r="L313" i="3"/>
  <c r="L329" i="3"/>
  <c r="L349" i="3"/>
  <c r="L365" i="3"/>
  <c r="L385" i="3"/>
  <c r="L401" i="3"/>
  <c r="L421" i="3"/>
  <c r="L437" i="3"/>
  <c r="L457" i="3"/>
  <c r="L473" i="3"/>
  <c r="L493" i="3"/>
  <c r="L509" i="3"/>
  <c r="L529" i="3"/>
  <c r="L545" i="3"/>
  <c r="L565" i="3"/>
  <c r="L581" i="3"/>
  <c r="L600" i="3"/>
  <c r="L614" i="3"/>
  <c r="L626" i="3"/>
  <c r="L638" i="3"/>
  <c r="L650" i="3"/>
  <c r="L662" i="3"/>
  <c r="L674" i="3"/>
  <c r="L686" i="3"/>
  <c r="L698" i="3"/>
  <c r="L710" i="3"/>
  <c r="L722" i="3"/>
  <c r="L734" i="3"/>
  <c r="L746" i="3"/>
  <c r="L758" i="3"/>
  <c r="L770" i="3"/>
  <c r="L6" i="3"/>
  <c r="L26" i="3"/>
  <c r="L42" i="3"/>
  <c r="L62" i="3"/>
  <c r="L78" i="3"/>
  <c r="L11" i="3"/>
  <c r="L28" i="3"/>
  <c r="L47" i="3"/>
  <c r="L64" i="3"/>
  <c r="L83" i="3"/>
  <c r="L100" i="3"/>
  <c r="L119" i="3"/>
  <c r="L136" i="3"/>
  <c r="L155" i="3"/>
  <c r="L172" i="3"/>
  <c r="L191" i="3"/>
  <c r="L208" i="3"/>
  <c r="L227" i="3"/>
  <c r="L244" i="3"/>
  <c r="L263" i="3"/>
  <c r="L280" i="3"/>
  <c r="L299" i="3"/>
  <c r="L316" i="3"/>
  <c r="L335" i="3"/>
  <c r="L352" i="3"/>
  <c r="L371" i="3"/>
  <c r="L388" i="3"/>
  <c r="L407" i="3"/>
  <c r="L424" i="3"/>
  <c r="L443" i="3"/>
  <c r="L460" i="3"/>
  <c r="L479" i="3"/>
  <c r="L496" i="3"/>
  <c r="L515" i="3"/>
  <c r="L532" i="3"/>
  <c r="L551" i="3"/>
  <c r="L568" i="3"/>
  <c r="L587" i="3"/>
  <c r="L603" i="3"/>
  <c r="L617" i="3"/>
  <c r="L629" i="3"/>
  <c r="L641" i="3"/>
  <c r="L653" i="3"/>
  <c r="L665" i="3"/>
  <c r="L677" i="3"/>
  <c r="L689" i="3"/>
  <c r="L701" i="3"/>
  <c r="L713" i="3"/>
  <c r="L725" i="3"/>
  <c r="L17" i="3"/>
  <c r="L37" i="3"/>
  <c r="L53" i="3"/>
  <c r="L73" i="3"/>
  <c r="L89" i="3"/>
  <c r="L109" i="3"/>
  <c r="L125" i="3"/>
  <c r="L145" i="3"/>
  <c r="L161" i="3"/>
  <c r="L181" i="3"/>
  <c r="L197" i="3"/>
  <c r="L217" i="3"/>
  <c r="L233" i="3"/>
  <c r="L253" i="3"/>
  <c r="L269" i="3"/>
  <c r="L289" i="3"/>
  <c r="L305" i="3"/>
  <c r="L325" i="3"/>
  <c r="L341" i="3"/>
  <c r="L361" i="3"/>
  <c r="L377" i="3"/>
  <c r="L397" i="3"/>
  <c r="L413" i="3"/>
  <c r="L433" i="3"/>
  <c r="L449" i="3"/>
  <c r="L469" i="3"/>
  <c r="L485" i="3"/>
  <c r="L505" i="3"/>
  <c r="L521" i="3"/>
  <c r="L541" i="3"/>
  <c r="L557" i="3"/>
  <c r="L577" i="3"/>
  <c r="L593" i="3"/>
  <c r="L610" i="3"/>
  <c r="L622" i="3"/>
  <c r="L634" i="3"/>
  <c r="L646" i="3"/>
  <c r="L658" i="3"/>
  <c r="L670" i="3"/>
  <c r="L682" i="3"/>
  <c r="L694" i="3"/>
  <c r="L706" i="3"/>
  <c r="L718" i="3"/>
  <c r="L730" i="3"/>
  <c r="L742" i="3"/>
  <c r="L754" i="3"/>
  <c r="L766" i="3"/>
  <c r="L778" i="3"/>
  <c r="L790" i="3"/>
  <c r="L802" i="3"/>
  <c r="L814" i="3"/>
  <c r="L826" i="3"/>
  <c r="L838" i="3"/>
  <c r="L850" i="3"/>
  <c r="L862" i="3"/>
  <c r="L874" i="3"/>
  <c r="L886" i="3"/>
  <c r="L898" i="3"/>
  <c r="L910" i="3"/>
  <c r="L922" i="3"/>
  <c r="L934" i="3"/>
  <c r="L946" i="3"/>
  <c r="L958" i="3"/>
  <c r="L970" i="3"/>
  <c r="L982" i="3"/>
  <c r="L994" i="3"/>
  <c r="L1006" i="3"/>
  <c r="K998" i="3"/>
  <c r="K986" i="3"/>
  <c r="K974" i="3"/>
  <c r="K962" i="3"/>
  <c r="K950" i="3"/>
  <c r="K938" i="3"/>
  <c r="K926" i="3"/>
  <c r="K914" i="3"/>
  <c r="K902" i="3"/>
  <c r="K890" i="3"/>
  <c r="K878" i="3"/>
  <c r="K866" i="3"/>
  <c r="K854" i="3"/>
  <c r="K842" i="3"/>
  <c r="K830" i="3"/>
  <c r="K818" i="3"/>
  <c r="K806" i="3"/>
  <c r="K794" i="3"/>
  <c r="K782" i="3"/>
  <c r="K770" i="3"/>
  <c r="K758" i="3"/>
  <c r="K746" i="3"/>
  <c r="K734" i="3"/>
  <c r="K722" i="3"/>
  <c r="K710" i="3"/>
  <c r="K698" i="3"/>
  <c r="K686" i="3"/>
  <c r="K674" i="3"/>
  <c r="K662" i="3"/>
  <c r="K650" i="3"/>
  <c r="K638" i="3"/>
  <c r="K626" i="3"/>
  <c r="K614" i="3"/>
  <c r="K602" i="3"/>
  <c r="K590" i="3"/>
  <c r="K578" i="3"/>
  <c r="K566" i="3"/>
  <c r="K554" i="3"/>
  <c r="K542" i="3"/>
  <c r="K530" i="3"/>
  <c r="K518" i="3"/>
  <c r="K506" i="3"/>
  <c r="K494" i="3"/>
  <c r="K482" i="3"/>
  <c r="K470" i="3"/>
  <c r="K457" i="3"/>
  <c r="K444" i="3"/>
  <c r="K430" i="3"/>
  <c r="K417" i="3"/>
  <c r="K404" i="3"/>
  <c r="K391" i="3"/>
  <c r="K378" i="3"/>
  <c r="K365" i="3"/>
  <c r="K352" i="3"/>
  <c r="K339" i="3"/>
  <c r="K326" i="3"/>
  <c r="K313" i="3"/>
  <c r="K300" i="3"/>
  <c r="K286" i="3"/>
  <c r="K273" i="3"/>
  <c r="K260" i="3"/>
  <c r="K247" i="3"/>
  <c r="K234" i="3"/>
  <c r="K221" i="3"/>
  <c r="K208" i="3"/>
  <c r="K195" i="3"/>
  <c r="K182" i="3"/>
  <c r="K169" i="3"/>
  <c r="K156" i="3"/>
  <c r="K142" i="3"/>
  <c r="K129" i="3"/>
  <c r="K116" i="3"/>
  <c r="K103" i="3"/>
  <c r="K90" i="3"/>
  <c r="K77" i="3"/>
  <c r="K64" i="3"/>
  <c r="K51" i="3"/>
  <c r="K38" i="3"/>
  <c r="K25" i="3"/>
  <c r="K12" i="3"/>
  <c r="L1005" i="3"/>
  <c r="L992" i="3"/>
  <c r="L979" i="3"/>
  <c r="L966" i="3"/>
  <c r="L953" i="3"/>
  <c r="L940" i="3"/>
  <c r="L927" i="3"/>
  <c r="L914" i="3"/>
  <c r="L901" i="3"/>
  <c r="L888" i="3"/>
  <c r="L875" i="3"/>
  <c r="L861" i="3"/>
  <c r="L848" i="3"/>
  <c r="L835" i="3"/>
  <c r="L822" i="3"/>
  <c r="L809" i="3"/>
  <c r="L796" i="3"/>
  <c r="L782" i="3"/>
  <c r="L765" i="3"/>
  <c r="L750" i="3"/>
  <c r="L735" i="3"/>
  <c r="L716" i="3"/>
  <c r="L699" i="3"/>
  <c r="L680" i="3"/>
  <c r="L663" i="3"/>
  <c r="L644" i="3"/>
  <c r="L627" i="3"/>
  <c r="L606" i="3"/>
  <c r="L582" i="3"/>
  <c r="L555" i="3"/>
  <c r="L530" i="3"/>
  <c r="L499" i="3"/>
  <c r="L474" i="3"/>
  <c r="L447" i="3"/>
  <c r="L422" i="3"/>
  <c r="L391" i="3"/>
  <c r="L366" i="3"/>
  <c r="L339" i="3"/>
  <c r="L314" i="3"/>
  <c r="L283" i="3"/>
  <c r="L258" i="3"/>
  <c r="L231" i="3"/>
  <c r="L206" i="3"/>
  <c r="L175" i="3"/>
  <c r="L150" i="3"/>
  <c r="L123" i="3"/>
  <c r="L98" i="3"/>
  <c r="L66" i="3"/>
  <c r="L35" i="3"/>
  <c r="L3" i="3"/>
  <c r="F1008" i="3"/>
  <c r="K996" i="3"/>
  <c r="K984" i="3"/>
  <c r="K972" i="3"/>
  <c r="K960" i="3"/>
  <c r="K948" i="3"/>
  <c r="K936" i="3"/>
  <c r="K924" i="3"/>
  <c r="K912" i="3"/>
  <c r="K900" i="3"/>
  <c r="K888" i="3"/>
  <c r="K876" i="3"/>
  <c r="K864" i="3"/>
  <c r="K852" i="3"/>
  <c r="K840" i="3"/>
  <c r="K828" i="3"/>
  <c r="K816" i="3"/>
  <c r="K804" i="3"/>
  <c r="K792" i="3"/>
  <c r="K780" i="3"/>
  <c r="K768" i="3"/>
  <c r="K756" i="3"/>
  <c r="K744" i="3"/>
  <c r="K732" i="3"/>
  <c r="K720" i="3"/>
  <c r="K708" i="3"/>
  <c r="K696" i="3"/>
  <c r="K684" i="3"/>
  <c r="K672" i="3"/>
  <c r="K660" i="3"/>
  <c r="K648" i="3"/>
  <c r="K636" i="3"/>
  <c r="K624" i="3"/>
  <c r="K612" i="3"/>
  <c r="K600" i="3"/>
  <c r="K588" i="3"/>
  <c r="K576" i="3"/>
  <c r="K564" i="3"/>
  <c r="K552" i="3"/>
  <c r="K540" i="3"/>
  <c r="K528" i="3"/>
  <c r="K516" i="3"/>
  <c r="K504" i="3"/>
  <c r="K492" i="3"/>
  <c r="K480" i="3"/>
  <c r="K468" i="3"/>
  <c r="K454" i="3"/>
  <c r="K441" i="3"/>
  <c r="K428" i="3"/>
  <c r="K415" i="3"/>
  <c r="K402" i="3"/>
  <c r="K389" i="3"/>
  <c r="K376" i="3"/>
  <c r="K363" i="3"/>
  <c r="K350" i="3"/>
  <c r="K337" i="3"/>
  <c r="K324" i="3"/>
  <c r="K310" i="3"/>
  <c r="K297" i="3"/>
  <c r="K284" i="3"/>
  <c r="K271" i="3"/>
  <c r="K258" i="3"/>
  <c r="K245" i="3"/>
  <c r="K232" i="3"/>
  <c r="K219" i="3"/>
  <c r="K206" i="3"/>
  <c r="K193" i="3"/>
  <c r="K180" i="3"/>
  <c r="K166" i="3"/>
  <c r="K153" i="3"/>
  <c r="K140" i="3"/>
  <c r="K127" i="3"/>
  <c r="K114" i="3"/>
  <c r="K101" i="3"/>
  <c r="K88" i="3"/>
  <c r="K75" i="3"/>
  <c r="K62" i="3"/>
  <c r="K49" i="3"/>
  <c r="K36" i="3"/>
  <c r="K22" i="3"/>
  <c r="K9" i="3"/>
  <c r="L1003" i="3"/>
  <c r="L990" i="3"/>
  <c r="L977" i="3"/>
  <c r="L964" i="3"/>
  <c r="L951" i="3"/>
  <c r="L938" i="3"/>
  <c r="L925" i="3"/>
  <c r="L912" i="3"/>
  <c r="L899" i="3"/>
  <c r="L885" i="3"/>
  <c r="L872" i="3"/>
  <c r="L859" i="3"/>
  <c r="L846" i="3"/>
  <c r="L833" i="3"/>
  <c r="L820" i="3"/>
  <c r="L807" i="3"/>
  <c r="L794" i="3"/>
  <c r="L779" i="3"/>
  <c r="L763" i="3"/>
  <c r="L748" i="3"/>
  <c r="L731" i="3"/>
  <c r="L714" i="3"/>
  <c r="L695" i="3"/>
  <c r="L678" i="3"/>
  <c r="L659" i="3"/>
  <c r="L642" i="3"/>
  <c r="L623" i="3"/>
  <c r="L604" i="3"/>
  <c r="L578" i="3"/>
  <c r="L553" i="3"/>
  <c r="L522" i="3"/>
  <c r="L497" i="3"/>
  <c r="L470" i="3"/>
  <c r="L445" i="3"/>
  <c r="L414" i="3"/>
  <c r="L389" i="3"/>
  <c r="L362" i="3"/>
  <c r="L337" i="3"/>
  <c r="L306" i="3"/>
  <c r="L281" i="3"/>
  <c r="L254" i="3"/>
  <c r="L229" i="3"/>
  <c r="L198" i="3"/>
  <c r="L173" i="3"/>
  <c r="L146" i="3"/>
  <c r="L121" i="3"/>
  <c r="L90" i="3"/>
  <c r="L63" i="3"/>
  <c r="L30" i="3"/>
  <c r="M26" i="3" l="1"/>
  <c r="M113" i="3"/>
  <c r="M81" i="3"/>
  <c r="M24" i="3"/>
  <c r="M33" i="3"/>
  <c r="M940" i="3"/>
  <c r="M1008" i="3"/>
  <c r="M962" i="3"/>
  <c r="M964" i="3"/>
  <c r="D1007" i="1" l="1"/>
  <c r="D1008" i="1" s="1"/>
  <c r="L45" i="1" s="1"/>
  <c r="E1007" i="1"/>
  <c r="F1007" i="1"/>
  <c r="G1007" i="1"/>
  <c r="H1007" i="1"/>
  <c r="I1007" i="1"/>
  <c r="J1007" i="1"/>
  <c r="C1007" i="1"/>
  <c r="I1008" i="1" l="1"/>
  <c r="Q4" i="1" s="1"/>
  <c r="H1008" i="1"/>
  <c r="P115" i="1" s="1"/>
  <c r="G1008" i="1"/>
  <c r="O958" i="1" s="1"/>
  <c r="F1008" i="1"/>
  <c r="N33" i="1" s="1"/>
  <c r="J1008" i="1"/>
  <c r="R3" i="1" s="1"/>
  <c r="E1008" i="1"/>
  <c r="M820" i="1" s="1"/>
  <c r="C1008" i="1"/>
  <c r="K2" i="1" s="1"/>
  <c r="L590" i="1"/>
  <c r="L863" i="1"/>
  <c r="L657" i="1"/>
  <c r="L514" i="1"/>
  <c r="L419" i="1"/>
  <c r="L285" i="1"/>
  <c r="L940" i="1"/>
  <c r="L742" i="1"/>
  <c r="L237" i="1"/>
  <c r="L986" i="1"/>
  <c r="L847" i="1"/>
  <c r="L733" i="1"/>
  <c r="L598" i="1"/>
  <c r="L503" i="1"/>
  <c r="L118" i="1"/>
  <c r="L81" i="1"/>
  <c r="L2" i="1"/>
  <c r="L942" i="1"/>
  <c r="L861" i="1"/>
  <c r="L781" i="1"/>
  <c r="L647" i="1"/>
  <c r="L513" i="1"/>
  <c r="L374" i="1"/>
  <c r="L278" i="1"/>
  <c r="L134" i="1"/>
  <c r="L988" i="1"/>
  <c r="L858" i="1"/>
  <c r="L635" i="1"/>
  <c r="L505" i="1"/>
  <c r="L119" i="1"/>
  <c r="L369" i="1"/>
  <c r="L943" i="1"/>
  <c r="L801" i="1"/>
  <c r="L146" i="1"/>
  <c r="L1006" i="1"/>
  <c r="L941" i="1"/>
  <c r="L859" i="1"/>
  <c r="L754" i="1"/>
  <c r="L637" i="1"/>
  <c r="L506" i="1"/>
  <c r="L371" i="1"/>
  <c r="L263" i="1"/>
  <c r="L130" i="1"/>
  <c r="L370" i="1"/>
  <c r="L985" i="1"/>
  <c r="L913" i="1"/>
  <c r="L841" i="1"/>
  <c r="L722" i="1"/>
  <c r="L597" i="1"/>
  <c r="L493" i="1"/>
  <c r="L215" i="1"/>
  <c r="L983" i="1"/>
  <c r="L911" i="1"/>
  <c r="L839" i="1"/>
  <c r="L721" i="1"/>
  <c r="L455" i="1"/>
  <c r="L338" i="1"/>
  <c r="L205" i="1"/>
  <c r="L74" i="1"/>
  <c r="L979" i="1"/>
  <c r="L815" i="1"/>
  <c r="L454" i="1"/>
  <c r="L73" i="1"/>
  <c r="L895" i="1"/>
  <c r="L717" i="1"/>
  <c r="L434" i="1"/>
  <c r="L201" i="1"/>
  <c r="L969" i="1"/>
  <c r="L806" i="1"/>
  <c r="L681" i="1"/>
  <c r="L566" i="1"/>
  <c r="L429" i="1"/>
  <c r="L290" i="1"/>
  <c r="L194" i="1"/>
  <c r="L61" i="1"/>
  <c r="L349" i="1"/>
  <c r="L901" i="1"/>
  <c r="L718" i="1"/>
  <c r="L589" i="1"/>
  <c r="L337" i="1"/>
  <c r="L203" i="1"/>
  <c r="L973" i="1"/>
  <c r="L810" i="1"/>
  <c r="L578" i="1"/>
  <c r="L301" i="1"/>
  <c r="L71" i="1"/>
  <c r="L894" i="1"/>
  <c r="L25" i="1"/>
  <c r="L950" i="1"/>
  <c r="L892" i="1"/>
  <c r="L803" i="1"/>
  <c r="L674" i="1"/>
  <c r="L562" i="1"/>
  <c r="L422" i="1"/>
  <c r="L289" i="1"/>
  <c r="L158" i="1"/>
  <c r="L49" i="1"/>
  <c r="L934" i="1"/>
  <c r="L225" i="1"/>
  <c r="L945" i="1"/>
  <c r="L890" i="1"/>
  <c r="L802" i="1"/>
  <c r="L669" i="1"/>
  <c r="L525" i="1"/>
  <c r="L421" i="1"/>
  <c r="L286" i="1"/>
  <c r="L157" i="1"/>
  <c r="L965" i="1"/>
  <c r="L889" i="1"/>
  <c r="L770" i="1"/>
  <c r="L551" i="1"/>
  <c r="L418" i="1"/>
  <c r="L34" i="1"/>
  <c r="L1003" i="1"/>
  <c r="L964" i="1"/>
  <c r="L923" i="1"/>
  <c r="L883" i="1"/>
  <c r="L837" i="1"/>
  <c r="L769" i="1"/>
  <c r="L695" i="1"/>
  <c r="L626" i="1"/>
  <c r="L550" i="1"/>
  <c r="L477" i="1"/>
  <c r="L407" i="1"/>
  <c r="L334" i="1"/>
  <c r="L251" i="1"/>
  <c r="L178" i="1"/>
  <c r="L109" i="1"/>
  <c r="L33" i="1"/>
  <c r="L1004" i="1"/>
  <c r="L928" i="1"/>
  <c r="L838" i="1"/>
  <c r="L710" i="1"/>
  <c r="L633" i="1"/>
  <c r="L481" i="1"/>
  <c r="L335" i="1"/>
  <c r="L253" i="1"/>
  <c r="L193" i="1"/>
  <c r="L110" i="1"/>
  <c r="L1002" i="1"/>
  <c r="L961" i="1"/>
  <c r="L918" i="1"/>
  <c r="L875" i="1"/>
  <c r="L835" i="1"/>
  <c r="L767" i="1"/>
  <c r="L685" i="1"/>
  <c r="L625" i="1"/>
  <c r="L542" i="1"/>
  <c r="L466" i="1"/>
  <c r="L395" i="1"/>
  <c r="L333" i="1"/>
  <c r="L250" i="1"/>
  <c r="L167" i="1"/>
  <c r="L107" i="1"/>
  <c r="L3" i="1"/>
  <c r="L15" i="1"/>
  <c r="L27" i="1"/>
  <c r="L39" i="1"/>
  <c r="L51" i="1"/>
  <c r="L63" i="1"/>
  <c r="L75" i="1"/>
  <c r="L87" i="1"/>
  <c r="L99" i="1"/>
  <c r="L111" i="1"/>
  <c r="L123" i="1"/>
  <c r="L135" i="1"/>
  <c r="L147" i="1"/>
  <c r="L159" i="1"/>
  <c r="L171" i="1"/>
  <c r="L183" i="1"/>
  <c r="L195" i="1"/>
  <c r="L207" i="1"/>
  <c r="L219" i="1"/>
  <c r="L231" i="1"/>
  <c r="L243" i="1"/>
  <c r="L255" i="1"/>
  <c r="L267" i="1"/>
  <c r="L279" i="1"/>
  <c r="L291" i="1"/>
  <c r="L303" i="1"/>
  <c r="L315" i="1"/>
  <c r="L327" i="1"/>
  <c r="L339" i="1"/>
  <c r="L351" i="1"/>
  <c r="L363" i="1"/>
  <c r="L375" i="1"/>
  <c r="L387" i="1"/>
  <c r="L399" i="1"/>
  <c r="L411" i="1"/>
  <c r="L423" i="1"/>
  <c r="L435" i="1"/>
  <c r="L447" i="1"/>
  <c r="L459" i="1"/>
  <c r="L471" i="1"/>
  <c r="L483" i="1"/>
  <c r="L495" i="1"/>
  <c r="L507" i="1"/>
  <c r="L519" i="1"/>
  <c r="L531" i="1"/>
  <c r="L543" i="1"/>
  <c r="L555" i="1"/>
  <c r="L567" i="1"/>
  <c r="L579" i="1"/>
  <c r="L591" i="1"/>
  <c r="L603" i="1"/>
  <c r="L615" i="1"/>
  <c r="L627" i="1"/>
  <c r="L639" i="1"/>
  <c r="L651" i="1"/>
  <c r="L663" i="1"/>
  <c r="L675" i="1"/>
  <c r="L687" i="1"/>
  <c r="L699" i="1"/>
  <c r="L711" i="1"/>
  <c r="L723" i="1"/>
  <c r="L735" i="1"/>
  <c r="L747" i="1"/>
  <c r="L759" i="1"/>
  <c r="L771" i="1"/>
  <c r="L783" i="1"/>
  <c r="L795" i="1"/>
  <c r="L807" i="1"/>
  <c r="L819" i="1"/>
  <c r="L831" i="1"/>
  <c r="L843" i="1"/>
  <c r="L855" i="1"/>
  <c r="L867" i="1"/>
  <c r="L879" i="1"/>
  <c r="L891" i="1"/>
  <c r="L903" i="1"/>
  <c r="L915" i="1"/>
  <c r="L927" i="1"/>
  <c r="L939" i="1"/>
  <c r="L951" i="1"/>
  <c r="L963" i="1"/>
  <c r="L975" i="1"/>
  <c r="L987" i="1"/>
  <c r="L999" i="1"/>
  <c r="L4" i="1"/>
  <c r="L16" i="1"/>
  <c r="L28" i="1"/>
  <c r="L40" i="1"/>
  <c r="L52" i="1"/>
  <c r="L64" i="1"/>
  <c r="L76" i="1"/>
  <c r="L88" i="1"/>
  <c r="L100" i="1"/>
  <c r="L112" i="1"/>
  <c r="L124" i="1"/>
  <c r="L136" i="1"/>
  <c r="L148" i="1"/>
  <c r="L160" i="1"/>
  <c r="L172" i="1"/>
  <c r="L184" i="1"/>
  <c r="L196" i="1"/>
  <c r="L208" i="1"/>
  <c r="L220" i="1"/>
  <c r="L232" i="1"/>
  <c r="L244" i="1"/>
  <c r="L256" i="1"/>
  <c r="L268" i="1"/>
  <c r="L280" i="1"/>
  <c r="L292" i="1"/>
  <c r="L304" i="1"/>
  <c r="L316" i="1"/>
  <c r="L328" i="1"/>
  <c r="L340" i="1"/>
  <c r="L352" i="1"/>
  <c r="L364" i="1"/>
  <c r="L376" i="1"/>
  <c r="L388" i="1"/>
  <c r="L400" i="1"/>
  <c r="L412" i="1"/>
  <c r="L424" i="1"/>
  <c r="L436" i="1"/>
  <c r="L448" i="1"/>
  <c r="L460" i="1"/>
  <c r="L472" i="1"/>
  <c r="L484" i="1"/>
  <c r="L496" i="1"/>
  <c r="L508" i="1"/>
  <c r="L520" i="1"/>
  <c r="L532" i="1"/>
  <c r="L544" i="1"/>
  <c r="L556" i="1"/>
  <c r="L568" i="1"/>
  <c r="L580" i="1"/>
  <c r="L592" i="1"/>
  <c r="L604" i="1"/>
  <c r="L616" i="1"/>
  <c r="L628" i="1"/>
  <c r="L640" i="1"/>
  <c r="L652" i="1"/>
  <c r="L664" i="1"/>
  <c r="L676" i="1"/>
  <c r="L688" i="1"/>
  <c r="L700" i="1"/>
  <c r="L712" i="1"/>
  <c r="L724" i="1"/>
  <c r="L736" i="1"/>
  <c r="L748" i="1"/>
  <c r="L760" i="1"/>
  <c r="L772" i="1"/>
  <c r="L784" i="1"/>
  <c r="L796" i="1"/>
  <c r="L808" i="1"/>
  <c r="L820" i="1"/>
  <c r="L5" i="1"/>
  <c r="L17" i="1"/>
  <c r="L29" i="1"/>
  <c r="L41" i="1"/>
  <c r="L53" i="1"/>
  <c r="L65" i="1"/>
  <c r="L77" i="1"/>
  <c r="L89" i="1"/>
  <c r="L101" i="1"/>
  <c r="L113" i="1"/>
  <c r="L125" i="1"/>
  <c r="L137" i="1"/>
  <c r="L149" i="1"/>
  <c r="L161" i="1"/>
  <c r="L173" i="1"/>
  <c r="L185" i="1"/>
  <c r="L197" i="1"/>
  <c r="L209" i="1"/>
  <c r="L221" i="1"/>
  <c r="L233" i="1"/>
  <c r="L245" i="1"/>
  <c r="L257" i="1"/>
  <c r="L269" i="1"/>
  <c r="L281" i="1"/>
  <c r="L293" i="1"/>
  <c r="L305" i="1"/>
  <c r="L317" i="1"/>
  <c r="L329" i="1"/>
  <c r="L341" i="1"/>
  <c r="L353" i="1"/>
  <c r="L365" i="1"/>
  <c r="L377" i="1"/>
  <c r="L389" i="1"/>
  <c r="L401" i="1"/>
  <c r="L413" i="1"/>
  <c r="L425" i="1"/>
  <c r="L437" i="1"/>
  <c r="L449" i="1"/>
  <c r="L461" i="1"/>
  <c r="L473" i="1"/>
  <c r="L485" i="1"/>
  <c r="L497" i="1"/>
  <c r="L509" i="1"/>
  <c r="L521" i="1"/>
  <c r="L533" i="1"/>
  <c r="L545" i="1"/>
  <c r="L557" i="1"/>
  <c r="L569" i="1"/>
  <c r="L581" i="1"/>
  <c r="L593" i="1"/>
  <c r="L605" i="1"/>
  <c r="L617" i="1"/>
  <c r="L629" i="1"/>
  <c r="L641" i="1"/>
  <c r="L653" i="1"/>
  <c r="L665" i="1"/>
  <c r="L677" i="1"/>
  <c r="L689" i="1"/>
  <c r="L701" i="1"/>
  <c r="L713" i="1"/>
  <c r="L725" i="1"/>
  <c r="L737" i="1"/>
  <c r="L749" i="1"/>
  <c r="L761" i="1"/>
  <c r="L773" i="1"/>
  <c r="L785" i="1"/>
  <c r="L797" i="1"/>
  <c r="L809" i="1"/>
  <c r="L821" i="1"/>
  <c r="L833" i="1"/>
  <c r="L845" i="1"/>
  <c r="L857" i="1"/>
  <c r="L869" i="1"/>
  <c r="L881" i="1"/>
  <c r="L893" i="1"/>
  <c r="L905" i="1"/>
  <c r="L6" i="1"/>
  <c r="L18" i="1"/>
  <c r="L30" i="1"/>
  <c r="L42" i="1"/>
  <c r="L54" i="1"/>
  <c r="L66" i="1"/>
  <c r="L78" i="1"/>
  <c r="L90" i="1"/>
  <c r="L102" i="1"/>
  <c r="L114" i="1"/>
  <c r="L126" i="1"/>
  <c r="L138" i="1"/>
  <c r="L150" i="1"/>
  <c r="L162" i="1"/>
  <c r="L174" i="1"/>
  <c r="L186" i="1"/>
  <c r="L198" i="1"/>
  <c r="L210" i="1"/>
  <c r="L222" i="1"/>
  <c r="L234" i="1"/>
  <c r="L246" i="1"/>
  <c r="L258" i="1"/>
  <c r="L270" i="1"/>
  <c r="L282" i="1"/>
  <c r="L294" i="1"/>
  <c r="L306" i="1"/>
  <c r="L318" i="1"/>
  <c r="L330" i="1"/>
  <c r="L342" i="1"/>
  <c r="L354" i="1"/>
  <c r="L366" i="1"/>
  <c r="L378" i="1"/>
  <c r="L390" i="1"/>
  <c r="L402" i="1"/>
  <c r="L414" i="1"/>
  <c r="L426" i="1"/>
  <c r="L438" i="1"/>
  <c r="L450" i="1"/>
  <c r="L462" i="1"/>
  <c r="L474" i="1"/>
  <c r="L486" i="1"/>
  <c r="L498" i="1"/>
  <c r="L510" i="1"/>
  <c r="L522" i="1"/>
  <c r="L534" i="1"/>
  <c r="L546" i="1"/>
  <c r="L558" i="1"/>
  <c r="L570" i="1"/>
  <c r="L582" i="1"/>
  <c r="L594" i="1"/>
  <c r="L606" i="1"/>
  <c r="L618" i="1"/>
  <c r="L630" i="1"/>
  <c r="L642" i="1"/>
  <c r="L654" i="1"/>
  <c r="L666" i="1"/>
  <c r="L678" i="1"/>
  <c r="L690" i="1"/>
  <c r="L702" i="1"/>
  <c r="L714" i="1"/>
  <c r="L726" i="1"/>
  <c r="L738" i="1"/>
  <c r="L750" i="1"/>
  <c r="L762" i="1"/>
  <c r="L774" i="1"/>
  <c r="L786" i="1"/>
  <c r="L798" i="1"/>
  <c r="L7" i="1"/>
  <c r="L19" i="1"/>
  <c r="L31" i="1"/>
  <c r="L43" i="1"/>
  <c r="L55" i="1"/>
  <c r="L67" i="1"/>
  <c r="L79" i="1"/>
  <c r="L91" i="1"/>
  <c r="L103" i="1"/>
  <c r="L115" i="1"/>
  <c r="L127" i="1"/>
  <c r="L139" i="1"/>
  <c r="L151" i="1"/>
  <c r="L163" i="1"/>
  <c r="L175" i="1"/>
  <c r="L187" i="1"/>
  <c r="L199" i="1"/>
  <c r="L211" i="1"/>
  <c r="L223" i="1"/>
  <c r="L235" i="1"/>
  <c r="L247" i="1"/>
  <c r="L259" i="1"/>
  <c r="L271" i="1"/>
  <c r="L283" i="1"/>
  <c r="L295" i="1"/>
  <c r="L307" i="1"/>
  <c r="L319" i="1"/>
  <c r="L331" i="1"/>
  <c r="L343" i="1"/>
  <c r="L355" i="1"/>
  <c r="L367" i="1"/>
  <c r="L379" i="1"/>
  <c r="L391" i="1"/>
  <c r="L403" i="1"/>
  <c r="L415" i="1"/>
  <c r="L427" i="1"/>
  <c r="L439" i="1"/>
  <c r="L451" i="1"/>
  <c r="L463" i="1"/>
  <c r="L475" i="1"/>
  <c r="L487" i="1"/>
  <c r="L499" i="1"/>
  <c r="L511" i="1"/>
  <c r="L523" i="1"/>
  <c r="L535" i="1"/>
  <c r="L547" i="1"/>
  <c r="L559" i="1"/>
  <c r="L571" i="1"/>
  <c r="L583" i="1"/>
  <c r="L595" i="1"/>
  <c r="L607" i="1"/>
  <c r="L619" i="1"/>
  <c r="L631" i="1"/>
  <c r="L643" i="1"/>
  <c r="L655" i="1"/>
  <c r="L667" i="1"/>
  <c r="L679" i="1"/>
  <c r="L691" i="1"/>
  <c r="L703" i="1"/>
  <c r="L715" i="1"/>
  <c r="L727" i="1"/>
  <c r="L739" i="1"/>
  <c r="L751" i="1"/>
  <c r="L763" i="1"/>
  <c r="L775" i="1"/>
  <c r="L787" i="1"/>
  <c r="L799" i="1"/>
  <c r="L8" i="1"/>
  <c r="L20" i="1"/>
  <c r="L32" i="1"/>
  <c r="L44" i="1"/>
  <c r="L56" i="1"/>
  <c r="L68" i="1"/>
  <c r="L80" i="1"/>
  <c r="L92" i="1"/>
  <c r="L104" i="1"/>
  <c r="L116" i="1"/>
  <c r="L128" i="1"/>
  <c r="L140" i="1"/>
  <c r="L152" i="1"/>
  <c r="L164" i="1"/>
  <c r="L176" i="1"/>
  <c r="L188" i="1"/>
  <c r="L200" i="1"/>
  <c r="L212" i="1"/>
  <c r="L224" i="1"/>
  <c r="L236" i="1"/>
  <c r="L248" i="1"/>
  <c r="L260" i="1"/>
  <c r="L272" i="1"/>
  <c r="L284" i="1"/>
  <c r="L296" i="1"/>
  <c r="L308" i="1"/>
  <c r="L320" i="1"/>
  <c r="L332" i="1"/>
  <c r="L344" i="1"/>
  <c r="L356" i="1"/>
  <c r="L368" i="1"/>
  <c r="L380" i="1"/>
  <c r="L392" i="1"/>
  <c r="L404" i="1"/>
  <c r="L416" i="1"/>
  <c r="L428" i="1"/>
  <c r="L440" i="1"/>
  <c r="L452" i="1"/>
  <c r="L464" i="1"/>
  <c r="L476" i="1"/>
  <c r="L488" i="1"/>
  <c r="L500" i="1"/>
  <c r="L512" i="1"/>
  <c r="L524" i="1"/>
  <c r="L536" i="1"/>
  <c r="L548" i="1"/>
  <c r="L560" i="1"/>
  <c r="L572" i="1"/>
  <c r="L584" i="1"/>
  <c r="L596" i="1"/>
  <c r="L608" i="1"/>
  <c r="L620" i="1"/>
  <c r="L632" i="1"/>
  <c r="L644" i="1"/>
  <c r="L656" i="1"/>
  <c r="L668" i="1"/>
  <c r="L680" i="1"/>
  <c r="L692" i="1"/>
  <c r="L704" i="1"/>
  <c r="L716" i="1"/>
  <c r="L728" i="1"/>
  <c r="L740" i="1"/>
  <c r="L752" i="1"/>
  <c r="L764" i="1"/>
  <c r="L776" i="1"/>
  <c r="L788" i="1"/>
  <c r="L800" i="1"/>
  <c r="L812" i="1"/>
  <c r="L824" i="1"/>
  <c r="L836" i="1"/>
  <c r="L848" i="1"/>
  <c r="L860" i="1"/>
  <c r="L872" i="1"/>
  <c r="L884" i="1"/>
  <c r="L896" i="1"/>
  <c r="L908" i="1"/>
  <c r="L920" i="1"/>
  <c r="L932" i="1"/>
  <c r="L944" i="1"/>
  <c r="L12" i="1"/>
  <c r="L24" i="1"/>
  <c r="L36" i="1"/>
  <c r="L48" i="1"/>
  <c r="L60" i="1"/>
  <c r="L72" i="1"/>
  <c r="L84" i="1"/>
  <c r="L96" i="1"/>
  <c r="L108" i="1"/>
  <c r="L120" i="1"/>
  <c r="L132" i="1"/>
  <c r="L144" i="1"/>
  <c r="L156" i="1"/>
  <c r="L168" i="1"/>
  <c r="L180" i="1"/>
  <c r="L192" i="1"/>
  <c r="L204" i="1"/>
  <c r="L216" i="1"/>
  <c r="L228" i="1"/>
  <c r="L240" i="1"/>
  <c r="L252" i="1"/>
  <c r="L264" i="1"/>
  <c r="L276" i="1"/>
  <c r="L288" i="1"/>
  <c r="L300" i="1"/>
  <c r="L312" i="1"/>
  <c r="L324" i="1"/>
  <c r="L336" i="1"/>
  <c r="L348" i="1"/>
  <c r="L360" i="1"/>
  <c r="L372" i="1"/>
  <c r="L384" i="1"/>
  <c r="L396" i="1"/>
  <c r="L408" i="1"/>
  <c r="L420" i="1"/>
  <c r="L432" i="1"/>
  <c r="L444" i="1"/>
  <c r="L456" i="1"/>
  <c r="L468" i="1"/>
  <c r="L480" i="1"/>
  <c r="L492" i="1"/>
  <c r="L504" i="1"/>
  <c r="L516" i="1"/>
  <c r="L528" i="1"/>
  <c r="L540" i="1"/>
  <c r="L552" i="1"/>
  <c r="L564" i="1"/>
  <c r="L576" i="1"/>
  <c r="L588" i="1"/>
  <c r="L600" i="1"/>
  <c r="L612" i="1"/>
  <c r="L624" i="1"/>
  <c r="L636" i="1"/>
  <c r="L648" i="1"/>
  <c r="L660" i="1"/>
  <c r="L672" i="1"/>
  <c r="L684" i="1"/>
  <c r="L696" i="1"/>
  <c r="L708" i="1"/>
  <c r="L720" i="1"/>
  <c r="L732" i="1"/>
  <c r="L744" i="1"/>
  <c r="L756" i="1"/>
  <c r="L768" i="1"/>
  <c r="L780" i="1"/>
  <c r="L792" i="1"/>
  <c r="L804" i="1"/>
  <c r="L816" i="1"/>
  <c r="L828" i="1"/>
  <c r="L840" i="1"/>
  <c r="L852" i="1"/>
  <c r="L864" i="1"/>
  <c r="L876" i="1"/>
  <c r="L888" i="1"/>
  <c r="L900" i="1"/>
  <c r="L912" i="1"/>
  <c r="L924" i="1"/>
  <c r="L936" i="1"/>
  <c r="L948" i="1"/>
  <c r="L960" i="1"/>
  <c r="L972" i="1"/>
  <c r="L984" i="1"/>
  <c r="L996" i="1"/>
  <c r="L9" i="1"/>
  <c r="L35" i="1"/>
  <c r="L62" i="1"/>
  <c r="L94" i="1"/>
  <c r="L121" i="1"/>
  <c r="L153" i="1"/>
  <c r="L179" i="1"/>
  <c r="L206" i="1"/>
  <c r="L238" i="1"/>
  <c r="L265" i="1"/>
  <c r="L297" i="1"/>
  <c r="L323" i="1"/>
  <c r="L350" i="1"/>
  <c r="L382" i="1"/>
  <c r="L409" i="1"/>
  <c r="L441" i="1"/>
  <c r="L467" i="1"/>
  <c r="L494" i="1"/>
  <c r="L526" i="1"/>
  <c r="L553" i="1"/>
  <c r="L585" i="1"/>
  <c r="L611" i="1"/>
  <c r="L638" i="1"/>
  <c r="L670" i="1"/>
  <c r="L697" i="1"/>
  <c r="L729" i="1"/>
  <c r="L755" i="1"/>
  <c r="L782" i="1"/>
  <c r="L811" i="1"/>
  <c r="L830" i="1"/>
  <c r="L849" i="1"/>
  <c r="L866" i="1"/>
  <c r="L885" i="1"/>
  <c r="L902" i="1"/>
  <c r="L919" i="1"/>
  <c r="L935" i="1"/>
  <c r="L952" i="1"/>
  <c r="L966" i="1"/>
  <c r="L980" i="1"/>
  <c r="L994" i="1"/>
  <c r="L10" i="1"/>
  <c r="L37" i="1"/>
  <c r="L69" i="1"/>
  <c r="L95" i="1"/>
  <c r="L122" i="1"/>
  <c r="L154" i="1"/>
  <c r="L181" i="1"/>
  <c r="L213" i="1"/>
  <c r="L239" i="1"/>
  <c r="L266" i="1"/>
  <c r="L298" i="1"/>
  <c r="L325" i="1"/>
  <c r="L357" i="1"/>
  <c r="L383" i="1"/>
  <c r="L410" i="1"/>
  <c r="L442" i="1"/>
  <c r="L469" i="1"/>
  <c r="L501" i="1"/>
  <c r="L527" i="1"/>
  <c r="L554" i="1"/>
  <c r="L586" i="1"/>
  <c r="L613" i="1"/>
  <c r="L645" i="1"/>
  <c r="L671" i="1"/>
  <c r="L698" i="1"/>
  <c r="L730" i="1"/>
  <c r="L757" i="1"/>
  <c r="L789" i="1"/>
  <c r="L813" i="1"/>
  <c r="L832" i="1"/>
  <c r="L850" i="1"/>
  <c r="L868" i="1"/>
  <c r="L886" i="1"/>
  <c r="L904" i="1"/>
  <c r="L921" i="1"/>
  <c r="L937" i="1"/>
  <c r="L953" i="1"/>
  <c r="L967" i="1"/>
  <c r="L981" i="1"/>
  <c r="L995" i="1"/>
  <c r="L11" i="1"/>
  <c r="L38" i="1"/>
  <c r="L70" i="1"/>
  <c r="L97" i="1"/>
  <c r="L129" i="1"/>
  <c r="L155" i="1"/>
  <c r="L182" i="1"/>
  <c r="L214" i="1"/>
  <c r="L241" i="1"/>
  <c r="L273" i="1"/>
  <c r="L299" i="1"/>
  <c r="L326" i="1"/>
  <c r="L358" i="1"/>
  <c r="L385" i="1"/>
  <c r="L417" i="1"/>
  <c r="L443" i="1"/>
  <c r="L470" i="1"/>
  <c r="L502" i="1"/>
  <c r="L529" i="1"/>
  <c r="L561" i="1"/>
  <c r="L587" i="1"/>
  <c r="L614" i="1"/>
  <c r="L646" i="1"/>
  <c r="L673" i="1"/>
  <c r="L705" i="1"/>
  <c r="L731" i="1"/>
  <c r="L758" i="1"/>
  <c r="L790" i="1"/>
  <c r="L814" i="1"/>
  <c r="L834" i="1"/>
  <c r="L851" i="1"/>
  <c r="L870" i="1"/>
  <c r="L887" i="1"/>
  <c r="L906" i="1"/>
  <c r="L922" i="1"/>
  <c r="L938" i="1"/>
  <c r="L954" i="1"/>
  <c r="L968" i="1"/>
  <c r="L982" i="1"/>
  <c r="L997" i="1"/>
  <c r="L26" i="1"/>
  <c r="L58" i="1"/>
  <c r="L85" i="1"/>
  <c r="L117" i="1"/>
  <c r="L143" i="1"/>
  <c r="L170" i="1"/>
  <c r="L202" i="1"/>
  <c r="L229" i="1"/>
  <c r="L261" i="1"/>
  <c r="L287" i="1"/>
  <c r="L314" i="1"/>
  <c r="L346" i="1"/>
  <c r="L373" i="1"/>
  <c r="L405" i="1"/>
  <c r="L431" i="1"/>
  <c r="L458" i="1"/>
  <c r="L490" i="1"/>
  <c r="L517" i="1"/>
  <c r="L549" i="1"/>
  <c r="L575" i="1"/>
  <c r="L602" i="1"/>
  <c r="L634" i="1"/>
  <c r="L661" i="1"/>
  <c r="L693" i="1"/>
  <c r="L719" i="1"/>
  <c r="L746" i="1"/>
  <c r="L778" i="1"/>
  <c r="L805" i="1"/>
  <c r="L826" i="1"/>
  <c r="L844" i="1"/>
  <c r="L862" i="1"/>
  <c r="L880" i="1"/>
  <c r="L898" i="1"/>
  <c r="L916" i="1"/>
  <c r="L931" i="1"/>
  <c r="L947" i="1"/>
  <c r="L962" i="1"/>
  <c r="L977" i="1"/>
  <c r="L991" i="1"/>
  <c r="L1005" i="1"/>
  <c r="L13" i="1"/>
  <c r="L50" i="1"/>
  <c r="L98" i="1"/>
  <c r="L141" i="1"/>
  <c r="L189" i="1"/>
  <c r="L226" i="1"/>
  <c r="L274" i="1"/>
  <c r="L311" i="1"/>
  <c r="L359" i="1"/>
  <c r="L397" i="1"/>
  <c r="L445" i="1"/>
  <c r="L482" i="1"/>
  <c r="L530" i="1"/>
  <c r="L573" i="1"/>
  <c r="L621" i="1"/>
  <c r="L658" i="1"/>
  <c r="L706" i="1"/>
  <c r="L743" i="1"/>
  <c r="L791" i="1"/>
  <c r="L823" i="1"/>
  <c r="L853" i="1"/>
  <c r="L877" i="1"/>
  <c r="L907" i="1"/>
  <c r="L929" i="1"/>
  <c r="L955" i="1"/>
  <c r="L974" i="1"/>
  <c r="L998" i="1"/>
  <c r="L14" i="1"/>
  <c r="L57" i="1"/>
  <c r="L105" i="1"/>
  <c r="L142" i="1"/>
  <c r="L190" i="1"/>
  <c r="L227" i="1"/>
  <c r="L275" i="1"/>
  <c r="L313" i="1"/>
  <c r="L361" i="1"/>
  <c r="L398" i="1"/>
  <c r="L446" i="1"/>
  <c r="L489" i="1"/>
  <c r="L537" i="1"/>
  <c r="L574" i="1"/>
  <c r="L622" i="1"/>
  <c r="L659" i="1"/>
  <c r="L707" i="1"/>
  <c r="L745" i="1"/>
  <c r="L793" i="1"/>
  <c r="L825" i="1"/>
  <c r="L854" i="1"/>
  <c r="L878" i="1"/>
  <c r="L909" i="1"/>
  <c r="L930" i="1"/>
  <c r="L956" i="1"/>
  <c r="L976" i="1"/>
  <c r="L1000" i="1"/>
  <c r="L21" i="1"/>
  <c r="L59" i="1"/>
  <c r="L106" i="1"/>
  <c r="L145" i="1"/>
  <c r="L191" i="1"/>
  <c r="L230" i="1"/>
  <c r="L277" i="1"/>
  <c r="L321" i="1"/>
  <c r="L362" i="1"/>
  <c r="L406" i="1"/>
  <c r="L453" i="1"/>
  <c r="L491" i="1"/>
  <c r="L538" i="1"/>
  <c r="L577" i="1"/>
  <c r="L623" i="1"/>
  <c r="L662" i="1"/>
  <c r="L709" i="1"/>
  <c r="L753" i="1"/>
  <c r="L794" i="1"/>
  <c r="L827" i="1"/>
  <c r="L856" i="1"/>
  <c r="L882" i="1"/>
  <c r="L910" i="1"/>
  <c r="L933" i="1"/>
  <c r="L957" i="1"/>
  <c r="L978" i="1"/>
  <c r="L1001" i="1"/>
  <c r="L46" i="1"/>
  <c r="L83" i="1"/>
  <c r="L131" i="1"/>
  <c r="L169" i="1"/>
  <c r="L217" i="1"/>
  <c r="L254" i="1"/>
  <c r="L302" i="1"/>
  <c r="L345" i="1"/>
  <c r="L393" i="1"/>
  <c r="L430" i="1"/>
  <c r="L478" i="1"/>
  <c r="L515" i="1"/>
  <c r="L563" i="1"/>
  <c r="L601" i="1"/>
  <c r="L649" i="1"/>
  <c r="L686" i="1"/>
  <c r="L734" i="1"/>
  <c r="L777" i="1"/>
  <c r="L817" i="1"/>
  <c r="L842" i="1"/>
  <c r="L873" i="1"/>
  <c r="L897" i="1"/>
  <c r="L925" i="1"/>
  <c r="L946" i="1"/>
  <c r="L970" i="1"/>
  <c r="L990" i="1"/>
  <c r="L47" i="1"/>
  <c r="L86" i="1"/>
  <c r="L133" i="1"/>
  <c r="L177" i="1"/>
  <c r="L218" i="1"/>
  <c r="L262" i="1"/>
  <c r="L309" i="1"/>
  <c r="L347" i="1"/>
  <c r="L394" i="1"/>
  <c r="L433" i="1"/>
  <c r="L479" i="1"/>
  <c r="L518" i="1"/>
  <c r="L565" i="1"/>
  <c r="L609" i="1"/>
  <c r="L650" i="1"/>
  <c r="L694" i="1"/>
  <c r="L741" i="1"/>
  <c r="L779" i="1"/>
  <c r="L818" i="1"/>
  <c r="L846" i="1"/>
  <c r="L874" i="1"/>
  <c r="L899" i="1"/>
  <c r="L926" i="1"/>
  <c r="L949" i="1"/>
  <c r="L971" i="1"/>
  <c r="L992" i="1"/>
  <c r="L993" i="1"/>
  <c r="L959" i="1"/>
  <c r="L917" i="1"/>
  <c r="L871" i="1"/>
  <c r="L829" i="1"/>
  <c r="L766" i="1"/>
  <c r="L683" i="1"/>
  <c r="L610" i="1"/>
  <c r="L541" i="1"/>
  <c r="L465" i="1"/>
  <c r="L386" i="1"/>
  <c r="L322" i="1"/>
  <c r="L249" i="1"/>
  <c r="L166" i="1"/>
  <c r="L93" i="1"/>
  <c r="L23" i="1"/>
  <c r="L989" i="1"/>
  <c r="L958" i="1"/>
  <c r="L914" i="1"/>
  <c r="L865" i="1"/>
  <c r="L822" i="1"/>
  <c r="L765" i="1"/>
  <c r="L682" i="1"/>
  <c r="L599" i="1"/>
  <c r="L539" i="1"/>
  <c r="L457" i="1"/>
  <c r="L381" i="1"/>
  <c r="L310" i="1"/>
  <c r="L242" i="1"/>
  <c r="L165" i="1"/>
  <c r="L82" i="1"/>
  <c r="L22" i="1"/>
  <c r="K990" i="1" l="1"/>
  <c r="Q892" i="1"/>
  <c r="Q905" i="1"/>
  <c r="Q941" i="1"/>
  <c r="Q851" i="1"/>
  <c r="Q502" i="1"/>
  <c r="Q985" i="1"/>
  <c r="Q900" i="1"/>
  <c r="Q909" i="1"/>
  <c r="Q229" i="1"/>
  <c r="Q525" i="1"/>
  <c r="Q748" i="1"/>
  <c r="Q348" i="1"/>
  <c r="Q468" i="1"/>
  <c r="Q716" i="1"/>
  <c r="Q712" i="1"/>
  <c r="Q957" i="1"/>
  <c r="Q847" i="1"/>
  <c r="Q757" i="1"/>
  <c r="P682" i="1"/>
  <c r="Q495" i="1"/>
  <c r="Q413" i="1"/>
  <c r="Q917" i="1"/>
  <c r="Q981" i="1"/>
  <c r="Q332" i="1"/>
  <c r="Q810" i="1"/>
  <c r="P705" i="1"/>
  <c r="Q614" i="1"/>
  <c r="Q377" i="1"/>
  <c r="Q891" i="1"/>
  <c r="P362" i="1"/>
  <c r="Q14" i="1"/>
  <c r="Q233" i="1"/>
  <c r="Q916" i="1"/>
  <c r="P225" i="1"/>
  <c r="Q850" i="1"/>
  <c r="Q69" i="1"/>
  <c r="Q802" i="1"/>
  <c r="Q367" i="1"/>
  <c r="Q248" i="1"/>
  <c r="Q742" i="1"/>
  <c r="Q545" i="1"/>
  <c r="Q351" i="1"/>
  <c r="R181" i="1"/>
  <c r="R626" i="1"/>
  <c r="P318" i="1"/>
  <c r="P659" i="1"/>
  <c r="R614" i="1"/>
  <c r="R593" i="1"/>
  <c r="Q438" i="1"/>
  <c r="P890" i="1"/>
  <c r="Q690" i="1"/>
  <c r="Q950" i="1"/>
  <c r="Q341" i="1"/>
  <c r="R843" i="1"/>
  <c r="R640" i="1"/>
  <c r="R212" i="1"/>
  <c r="Q928" i="1"/>
  <c r="Q989" i="1"/>
  <c r="Q948" i="1"/>
  <c r="Q883" i="1"/>
  <c r="Q316" i="1"/>
  <c r="Q164" i="1"/>
  <c r="R190" i="1"/>
  <c r="R297" i="1"/>
  <c r="R669" i="1"/>
  <c r="R893" i="1"/>
  <c r="R222" i="1"/>
  <c r="Q499" i="1"/>
  <c r="Q350" i="1"/>
  <c r="Q960" i="1"/>
  <c r="Q848" i="1"/>
  <c r="Q777" i="1"/>
  <c r="Q152" i="1"/>
  <c r="R393" i="1"/>
  <c r="R355" i="1"/>
  <c r="R90" i="1"/>
  <c r="R607" i="1"/>
  <c r="R189" i="1"/>
  <c r="Q544" i="1"/>
  <c r="Q414" i="1"/>
  <c r="Q972" i="1"/>
  <c r="Q158" i="1"/>
  <c r="Q761" i="1"/>
  <c r="Q80" i="1"/>
  <c r="R757" i="1"/>
  <c r="R900" i="1"/>
  <c r="R743" i="1"/>
  <c r="R695" i="1"/>
  <c r="R853" i="1"/>
  <c r="R153" i="1"/>
  <c r="P760" i="1"/>
  <c r="P443" i="1"/>
  <c r="N230" i="1"/>
  <c r="R770" i="1"/>
  <c r="R227" i="1"/>
  <c r="Q747" i="1"/>
  <c r="Q811" i="1"/>
  <c r="Q929" i="1"/>
  <c r="P934" i="1"/>
  <c r="P378" i="1"/>
  <c r="Q775" i="1"/>
  <c r="Q610" i="1"/>
  <c r="Q274" i="1"/>
  <c r="Q464" i="1"/>
  <c r="Q530" i="1"/>
  <c r="Q355" i="1"/>
  <c r="R962" i="1"/>
  <c r="R474" i="1"/>
  <c r="R105" i="1"/>
  <c r="Q988" i="1"/>
  <c r="Q546" i="1"/>
  <c r="Q536" i="1"/>
  <c r="P461" i="1"/>
  <c r="P101" i="1"/>
  <c r="Q734" i="1"/>
  <c r="Q951" i="1"/>
  <c r="Q706" i="1"/>
  <c r="Q394" i="1"/>
  <c r="Q369" i="1"/>
  <c r="Q226" i="1"/>
  <c r="R710" i="1"/>
  <c r="R441" i="1"/>
  <c r="R75" i="1"/>
  <c r="Q1000" i="1"/>
  <c r="Q609" i="1"/>
  <c r="Q557" i="1"/>
  <c r="P257" i="1"/>
  <c r="P29" i="1"/>
  <c r="Q548" i="1"/>
  <c r="Q939" i="1"/>
  <c r="Q684" i="1"/>
  <c r="Q378" i="1"/>
  <c r="Q361" i="1"/>
  <c r="Q88" i="1"/>
  <c r="P917" i="1"/>
  <c r="P909" i="1"/>
  <c r="Q374" i="1"/>
  <c r="Q750" i="1"/>
  <c r="Q724" i="1"/>
  <c r="P750" i="1"/>
  <c r="P135" i="1"/>
  <c r="Q156" i="1"/>
  <c r="Q927" i="1"/>
  <c r="Q958" i="1"/>
  <c r="Q897" i="1"/>
  <c r="Q360" i="1"/>
  <c r="Q76" i="1"/>
  <c r="P388" i="1"/>
  <c r="R540" i="1"/>
  <c r="R411" i="1"/>
  <c r="Q433" i="1"/>
  <c r="Q796" i="1"/>
  <c r="P804" i="1"/>
  <c r="P728" i="1"/>
  <c r="P140" i="1"/>
  <c r="Q967" i="1"/>
  <c r="Q632" i="1"/>
  <c r="Q954" i="1"/>
  <c r="Q889" i="1"/>
  <c r="Q352" i="1"/>
  <c r="Q64" i="1"/>
  <c r="P512" i="1"/>
  <c r="P849" i="1"/>
  <c r="P16" i="1"/>
  <c r="N605" i="1"/>
  <c r="N72" i="1"/>
  <c r="N523" i="1"/>
  <c r="N49" i="1"/>
  <c r="O491" i="1"/>
  <c r="N85" i="1"/>
  <c r="N138" i="1"/>
  <c r="N170" i="1"/>
  <c r="O675" i="1"/>
  <c r="Q940" i="1"/>
  <c r="Q852" i="1"/>
  <c r="Q866" i="1"/>
  <c r="Q489" i="1"/>
  <c r="P553" i="1"/>
  <c r="P889" i="1"/>
  <c r="P355" i="1"/>
  <c r="Q820" i="1"/>
  <c r="Q1003" i="1"/>
  <c r="Q945" i="1"/>
  <c r="Q593" i="1"/>
  <c r="Q780" i="1"/>
  <c r="Q494" i="1"/>
  <c r="Q362" i="1"/>
  <c r="Q482" i="1"/>
  <c r="Q344" i="1"/>
  <c r="Q140" i="1"/>
  <c r="N509" i="1"/>
  <c r="N258" i="1"/>
  <c r="N187" i="1"/>
  <c r="N355" i="1"/>
  <c r="N629" i="1"/>
  <c r="N119" i="1"/>
  <c r="N150" i="1"/>
  <c r="N257" i="1"/>
  <c r="N158" i="1"/>
  <c r="R197" i="1"/>
  <c r="R687" i="1"/>
  <c r="R201" i="1"/>
  <c r="R963" i="1"/>
  <c r="N434" i="1"/>
  <c r="O866" i="1"/>
  <c r="Q964" i="1"/>
  <c r="Q134" i="1"/>
  <c r="Q879" i="1"/>
  <c r="Q515" i="1"/>
  <c r="P482" i="1"/>
  <c r="P684" i="1"/>
  <c r="P351" i="1"/>
  <c r="P900" i="1"/>
  <c r="Q991" i="1"/>
  <c r="Q921" i="1"/>
  <c r="Q896" i="1"/>
  <c r="Q719" i="1"/>
  <c r="Q472" i="1"/>
  <c r="Q901" i="1"/>
  <c r="Q447" i="1"/>
  <c r="Q268" i="1"/>
  <c r="Q104" i="1"/>
  <c r="N378" i="1"/>
  <c r="N797" i="1"/>
  <c r="N642" i="1"/>
  <c r="N535" i="1"/>
  <c r="N809" i="1"/>
  <c r="N810" i="1"/>
  <c r="R871" i="1"/>
  <c r="R405" i="1"/>
  <c r="R22" i="1"/>
  <c r="N620" i="1"/>
  <c r="N237" i="1"/>
  <c r="Q878" i="1"/>
  <c r="P523" i="1"/>
  <c r="Q588" i="1"/>
  <c r="Q965" i="1"/>
  <c r="Q860" i="1"/>
  <c r="P292" i="1"/>
  <c r="P369" i="1"/>
  <c r="P2" i="1"/>
  <c r="Q664" i="1"/>
  <c r="Q547" i="1"/>
  <c r="Q830" i="1"/>
  <c r="Q804" i="1"/>
  <c r="Q938" i="1"/>
  <c r="Q888" i="1"/>
  <c r="Q749" i="1"/>
  <c r="Q337" i="1"/>
  <c r="Q339" i="1"/>
  <c r="Q209" i="1"/>
  <c r="Q638" i="1"/>
  <c r="Q516" i="1"/>
  <c r="Q711" i="1"/>
  <c r="Q791" i="1"/>
  <c r="Q934" i="1"/>
  <c r="Q875" i="1"/>
  <c r="Q745" i="1"/>
  <c r="Q321" i="1"/>
  <c r="Q335" i="1"/>
  <c r="Q205" i="1"/>
  <c r="N319" i="1"/>
  <c r="R572" i="1"/>
  <c r="N953" i="1"/>
  <c r="R826" i="1"/>
  <c r="R518" i="1"/>
  <c r="R381" i="1"/>
  <c r="R147" i="1"/>
  <c r="R881" i="1"/>
  <c r="N879" i="1"/>
  <c r="Q904" i="1"/>
  <c r="Q626" i="1"/>
  <c r="P698" i="1"/>
  <c r="Q1001" i="1"/>
  <c r="P806" i="1"/>
  <c r="P109" i="1"/>
  <c r="P204" i="1"/>
  <c r="Q354" i="1"/>
  <c r="Q579" i="1"/>
  <c r="Q459" i="1"/>
  <c r="Q676" i="1"/>
  <c r="Q756" i="1"/>
  <c r="Q926" i="1"/>
  <c r="Q862" i="1"/>
  <c r="Q737" i="1"/>
  <c r="Q121" i="1"/>
  <c r="Q267" i="1"/>
  <c r="Q191" i="1"/>
  <c r="N437" i="1"/>
  <c r="N259" i="1"/>
  <c r="N986" i="1"/>
  <c r="N606" i="1"/>
  <c r="N35" i="1"/>
  <c r="N833" i="1"/>
  <c r="N800" i="1"/>
  <c r="N29" i="1"/>
  <c r="N6" i="1"/>
  <c r="N891" i="1"/>
  <c r="Q973" i="1"/>
  <c r="Q955" i="1"/>
  <c r="Q871" i="1"/>
  <c r="Q720" i="1"/>
  <c r="Q398" i="1"/>
  <c r="Q691" i="1"/>
  <c r="Q611" i="1"/>
  <c r="Q556" i="1"/>
  <c r="Q832" i="1"/>
  <c r="Q692" i="1"/>
  <c r="Q696" i="1"/>
  <c r="Q849" i="1"/>
  <c r="Q697" i="1"/>
  <c r="Q430" i="1"/>
  <c r="Q501" i="1"/>
  <c r="Q272" i="1"/>
  <c r="Q185" i="1"/>
  <c r="Q125" i="1"/>
  <c r="Q123" i="1"/>
  <c r="K721" i="1"/>
  <c r="M454" i="1"/>
  <c r="N101" i="1"/>
  <c r="N845" i="1"/>
  <c r="N426" i="1"/>
  <c r="R660" i="1"/>
  <c r="R836" i="1"/>
  <c r="R591" i="1"/>
  <c r="R373" i="1"/>
  <c r="R406" i="1"/>
  <c r="R57" i="1"/>
  <c r="R573" i="1"/>
  <c r="N350" i="1"/>
  <c r="N201" i="1"/>
  <c r="Q108" i="1"/>
  <c r="Q952" i="1"/>
  <c r="Q795" i="1"/>
  <c r="Q680" i="1"/>
  <c r="Q953" i="1"/>
  <c r="Q759" i="1"/>
  <c r="P266" i="1"/>
  <c r="P697" i="1"/>
  <c r="P392" i="1"/>
  <c r="R98" i="1"/>
  <c r="Q961" i="1"/>
  <c r="Q907" i="1"/>
  <c r="Q858" i="1"/>
  <c r="Q694" i="1"/>
  <c r="Q1004" i="1"/>
  <c r="Q678" i="1"/>
  <c r="Q595" i="1"/>
  <c r="Q514" i="1"/>
  <c r="Q819" i="1"/>
  <c r="Q644" i="1"/>
  <c r="Q670" i="1"/>
  <c r="Q845" i="1"/>
  <c r="Q693" i="1"/>
  <c r="Q296" i="1"/>
  <c r="Q466" i="1"/>
  <c r="Q259" i="1"/>
  <c r="Q174" i="1"/>
  <c r="Q89" i="1"/>
  <c r="Q119" i="1"/>
  <c r="K539" i="1"/>
  <c r="K71" i="1"/>
  <c r="K360" i="1"/>
  <c r="M92" i="1"/>
  <c r="R548" i="1"/>
  <c r="R281" i="1"/>
  <c r="R273" i="1"/>
  <c r="R241" i="1"/>
  <c r="R286" i="1"/>
  <c r="R64" i="1"/>
  <c r="R624" i="1"/>
  <c r="Q772" i="1"/>
  <c r="Q659" i="1"/>
  <c r="Q992" i="1"/>
  <c r="Q656" i="1"/>
  <c r="Q590" i="1"/>
  <c r="Q509" i="1"/>
  <c r="Q806" i="1"/>
  <c r="Q631" i="1"/>
  <c r="Q648" i="1"/>
  <c r="Q841" i="1"/>
  <c r="Q689" i="1"/>
  <c r="Q261" i="1"/>
  <c r="Q453" i="1"/>
  <c r="Q250" i="1"/>
  <c r="Q162" i="1"/>
  <c r="Q77" i="1"/>
  <c r="Q115" i="1"/>
  <c r="K74" i="1"/>
  <c r="K225" i="1"/>
  <c r="M610" i="1"/>
  <c r="N281" i="1"/>
  <c r="R465" i="1"/>
  <c r="N618" i="1"/>
  <c r="R442" i="1"/>
  <c r="R696" i="1"/>
  <c r="R435" i="1"/>
  <c r="R415" i="1"/>
  <c r="R258" i="1"/>
  <c r="R36" i="1"/>
  <c r="N344" i="1"/>
  <c r="N686" i="1"/>
  <c r="R991" i="1"/>
  <c r="Q498" i="1"/>
  <c r="Q976" i="1"/>
  <c r="Q839" i="1"/>
  <c r="Q715" i="1"/>
  <c r="Q977" i="1"/>
  <c r="Q834" i="1"/>
  <c r="P973" i="1"/>
  <c r="P264" i="1"/>
  <c r="P285" i="1"/>
  <c r="Q707" i="1"/>
  <c r="Q699" i="1"/>
  <c r="Q887" i="1"/>
  <c r="Q605" i="1"/>
  <c r="Q510" i="1"/>
  <c r="Q968" i="1"/>
  <c r="Q601" i="1"/>
  <c r="Q564" i="1"/>
  <c r="Q180" i="1"/>
  <c r="Q710" i="1"/>
  <c r="Q555" i="1"/>
  <c r="Q622" i="1"/>
  <c r="Q825" i="1"/>
  <c r="Q669" i="1"/>
  <c r="Q74" i="1"/>
  <c r="Q277" i="1"/>
  <c r="Q311" i="1"/>
  <c r="Q90" i="1"/>
  <c r="Q41" i="1"/>
  <c r="Q103" i="1"/>
  <c r="K324" i="1"/>
  <c r="K659" i="1"/>
  <c r="K11" i="1"/>
  <c r="M499" i="1"/>
  <c r="N368" i="1"/>
  <c r="N710" i="1"/>
  <c r="N447" i="1"/>
  <c r="Q868" i="1"/>
  <c r="Q584" i="1"/>
  <c r="Q496" i="1"/>
  <c r="Q956" i="1"/>
  <c r="Q596" i="1"/>
  <c r="Q527" i="1"/>
  <c r="Q1006" i="1"/>
  <c r="Q688" i="1"/>
  <c r="Q550" i="1"/>
  <c r="Q607" i="1"/>
  <c r="Q813" i="1"/>
  <c r="Q665" i="1"/>
  <c r="Q50" i="1"/>
  <c r="Q251" i="1"/>
  <c r="Q289" i="1"/>
  <c r="Q78" i="1"/>
  <c r="Q29" i="1"/>
  <c r="Q95" i="1"/>
  <c r="K110" i="1"/>
  <c r="K480" i="1"/>
  <c r="K137" i="1"/>
  <c r="K858" i="1"/>
  <c r="M390" i="1"/>
  <c r="N461" i="1"/>
  <c r="R728" i="1"/>
  <c r="N654" i="1"/>
  <c r="R986" i="1"/>
  <c r="R581" i="1"/>
  <c r="R449" i="1"/>
  <c r="R387" i="1"/>
  <c r="R210" i="1"/>
  <c r="R857" i="1"/>
  <c r="N560" i="1"/>
  <c r="N902" i="1"/>
  <c r="N555" i="1"/>
  <c r="Q776" i="1"/>
  <c r="Q563" i="1"/>
  <c r="Q450" i="1"/>
  <c r="Q932" i="1"/>
  <c r="Q580" i="1"/>
  <c r="Q432" i="1"/>
  <c r="Q998" i="1"/>
  <c r="Q675" i="1"/>
  <c r="Q529" i="1"/>
  <c r="Q581" i="1"/>
  <c r="Q809" i="1"/>
  <c r="Q641" i="1"/>
  <c r="Q567" i="1"/>
  <c r="Q24" i="1"/>
  <c r="Q431" i="1"/>
  <c r="Q301" i="1"/>
  <c r="Q82" i="1"/>
  <c r="Q63" i="1"/>
  <c r="K382" i="1"/>
  <c r="K224" i="1"/>
  <c r="K403" i="1"/>
  <c r="K879" i="1"/>
  <c r="K59" i="1"/>
  <c r="N485" i="1"/>
  <c r="R737" i="1"/>
  <c r="N786" i="1"/>
  <c r="R974" i="1"/>
  <c r="R539" i="1"/>
  <c r="R295" i="1"/>
  <c r="R367" i="1"/>
  <c r="R198" i="1"/>
  <c r="R870" i="1"/>
  <c r="N608" i="1"/>
  <c r="N914" i="1"/>
  <c r="N579" i="1"/>
  <c r="M21" i="1"/>
  <c r="M440" i="1"/>
  <c r="M944" i="1"/>
  <c r="M57" i="1"/>
  <c r="M890" i="1"/>
  <c r="M910" i="1"/>
  <c r="M60" i="1"/>
  <c r="M947" i="1"/>
  <c r="M87" i="1"/>
  <c r="M280" i="1"/>
  <c r="M533" i="1"/>
  <c r="M834" i="1"/>
  <c r="M767" i="1"/>
  <c r="M897" i="1"/>
  <c r="M901" i="1"/>
  <c r="M267" i="1"/>
  <c r="M532" i="1"/>
  <c r="M785" i="1"/>
  <c r="M978" i="1"/>
  <c r="M248" i="1"/>
  <c r="M178" i="1"/>
  <c r="M729" i="1"/>
  <c r="M435" i="1"/>
  <c r="M688" i="1"/>
  <c r="M941" i="1"/>
  <c r="M226" i="1"/>
  <c r="M336" i="1"/>
  <c r="M358" i="1"/>
  <c r="M720" i="1"/>
  <c r="M14" i="1"/>
  <c r="M554" i="1"/>
  <c r="M427" i="1"/>
  <c r="M198" i="1"/>
  <c r="M712" i="1"/>
  <c r="M613" i="1"/>
  <c r="O775" i="1"/>
  <c r="P825" i="1"/>
  <c r="P820" i="1"/>
  <c r="P673" i="1"/>
  <c r="P712" i="1"/>
  <c r="P531" i="1"/>
  <c r="P969" i="1"/>
  <c r="P433" i="1"/>
  <c r="P61" i="1"/>
  <c r="P754" i="1"/>
  <c r="P884" i="1"/>
  <c r="P300" i="1"/>
  <c r="P345" i="1"/>
  <c r="P508" i="1"/>
  <c r="P383" i="1"/>
  <c r="P53" i="1"/>
  <c r="P132" i="1"/>
  <c r="K381" i="1"/>
  <c r="K383" i="1"/>
  <c r="K134" i="1"/>
  <c r="M864" i="1"/>
  <c r="M899" i="1"/>
  <c r="M805" i="1"/>
  <c r="M371" i="1"/>
  <c r="M150" i="1"/>
  <c r="M244" i="1"/>
  <c r="M994" i="1"/>
  <c r="N65" i="1"/>
  <c r="N473" i="1"/>
  <c r="N821" i="1"/>
  <c r="N210" i="1"/>
  <c r="N630" i="1"/>
  <c r="N343" i="1"/>
  <c r="N524" i="1"/>
  <c r="N114" i="1"/>
  <c r="N758" i="1"/>
  <c r="N107" i="1"/>
  <c r="N567" i="1"/>
  <c r="O807" i="1"/>
  <c r="P647" i="1"/>
  <c r="P677" i="1"/>
  <c r="P301" i="1"/>
  <c r="P929" i="1"/>
  <c r="P358" i="1"/>
  <c r="P894" i="1"/>
  <c r="P719" i="1"/>
  <c r="P858" i="1"/>
  <c r="P418" i="1"/>
  <c r="P321" i="1"/>
  <c r="P504" i="1"/>
  <c r="P367" i="1"/>
  <c r="P41" i="1"/>
  <c r="P20" i="1"/>
  <c r="M517" i="1"/>
  <c r="M946" i="1"/>
  <c r="M501" i="1"/>
  <c r="M76" i="1"/>
  <c r="P984" i="1"/>
  <c r="P866" i="1"/>
  <c r="P679" i="1"/>
  <c r="P347" i="1"/>
  <c r="K221" i="1"/>
  <c r="K844" i="1"/>
  <c r="K259" i="1"/>
  <c r="M636" i="1"/>
  <c r="M415" i="1"/>
  <c r="M249" i="1"/>
  <c r="M550" i="1"/>
  <c r="M401" i="1"/>
  <c r="M963" i="1"/>
  <c r="M94" i="1"/>
  <c r="N269" i="1"/>
  <c r="N617" i="1"/>
  <c r="N390" i="1"/>
  <c r="N798" i="1"/>
  <c r="N632" i="1"/>
  <c r="N398" i="1"/>
  <c r="N223" i="1"/>
  <c r="O973" i="1"/>
  <c r="P996" i="1"/>
  <c r="P699" i="1"/>
  <c r="P542" i="1"/>
  <c r="P711" i="1"/>
  <c r="P857" i="1"/>
  <c r="P678" i="1"/>
  <c r="P645" i="1"/>
  <c r="P758" i="1"/>
  <c r="P657" i="1"/>
  <c r="P338" i="1"/>
  <c r="P466" i="1"/>
  <c r="P360" i="1"/>
  <c r="P174" i="1"/>
  <c r="M115" i="1"/>
  <c r="M595" i="1"/>
  <c r="M88" i="1"/>
  <c r="P28" i="1"/>
  <c r="P690" i="1"/>
  <c r="P32" i="1"/>
  <c r="P112" i="1"/>
  <c r="P180" i="1"/>
  <c r="P71" i="1"/>
  <c r="P139" i="1"/>
  <c r="P82" i="1"/>
  <c r="P173" i="1"/>
  <c r="P146" i="1"/>
  <c r="P222" i="1"/>
  <c r="P293" i="1"/>
  <c r="P391" i="1"/>
  <c r="P186" i="1"/>
  <c r="P105" i="1"/>
  <c r="P320" i="1"/>
  <c r="P396" i="1"/>
  <c r="P476" i="1"/>
  <c r="P552" i="1"/>
  <c r="P235" i="1"/>
  <c r="P501" i="1"/>
  <c r="P234" i="1"/>
  <c r="P458" i="1"/>
  <c r="P598" i="1"/>
  <c r="P386" i="1"/>
  <c r="P465" i="1"/>
  <c r="P470" i="1"/>
  <c r="P753" i="1"/>
  <c r="P299" i="1"/>
  <c r="P701" i="1"/>
  <c r="P603" i="1"/>
  <c r="P815" i="1"/>
  <c r="P349" i="1"/>
  <c r="P654" i="1"/>
  <c r="P837" i="1"/>
  <c r="P405" i="1"/>
  <c r="P691" i="1"/>
  <c r="P326" i="1"/>
  <c r="P554" i="1"/>
  <c r="P783" i="1"/>
  <c r="P921" i="1"/>
  <c r="P977" i="1"/>
  <c r="P495" i="1"/>
  <c r="P927" i="1"/>
  <c r="P685" i="1"/>
  <c r="P877" i="1"/>
  <c r="P764" i="1"/>
  <c r="P845" i="1"/>
  <c r="P970" i="1"/>
  <c r="P620" i="1"/>
  <c r="P40" i="1"/>
  <c r="P116" i="1"/>
  <c r="P184" i="1"/>
  <c r="P75" i="1"/>
  <c r="P143" i="1"/>
  <c r="P106" i="1"/>
  <c r="P178" i="1"/>
  <c r="P158" i="1"/>
  <c r="P236" i="1"/>
  <c r="P306" i="1"/>
  <c r="P399" i="1"/>
  <c r="P202" i="1"/>
  <c r="P117" i="1"/>
  <c r="P332" i="1"/>
  <c r="P400" i="1"/>
  <c r="P484" i="1"/>
  <c r="P556" i="1"/>
  <c r="P248" i="1"/>
  <c r="P190" i="1"/>
  <c r="P269" i="1"/>
  <c r="P216" i="1"/>
  <c r="P611" i="1"/>
  <c r="P394" i="1"/>
  <c r="P478" i="1"/>
  <c r="P534" i="1"/>
  <c r="P762" i="1"/>
  <c r="P455" i="1"/>
  <c r="P710" i="1"/>
  <c r="P623" i="1"/>
  <c r="P828" i="1"/>
  <c r="P365" i="1"/>
  <c r="P667" i="1"/>
  <c r="P872" i="1"/>
  <c r="P483" i="1"/>
  <c r="P704" i="1"/>
  <c r="P342" i="1"/>
  <c r="P626" i="1"/>
  <c r="P796" i="1"/>
  <c r="P925" i="1"/>
  <c r="P981" i="1"/>
  <c r="P541" i="1"/>
  <c r="P963" i="1"/>
  <c r="P694" i="1"/>
  <c r="P883" i="1"/>
  <c r="P772" i="1"/>
  <c r="P878" i="1"/>
  <c r="P988" i="1"/>
  <c r="P459" i="1"/>
  <c r="P44" i="1"/>
  <c r="P120" i="1"/>
  <c r="P188" i="1"/>
  <c r="P79" i="1"/>
  <c r="P159" i="1"/>
  <c r="P118" i="1"/>
  <c r="P189" i="1"/>
  <c r="P170" i="1"/>
  <c r="P249" i="1"/>
  <c r="P323" i="1"/>
  <c r="P403" i="1"/>
  <c r="P237" i="1"/>
  <c r="P141" i="1"/>
  <c r="P336" i="1"/>
  <c r="P408" i="1"/>
  <c r="P492" i="1"/>
  <c r="P560" i="1"/>
  <c r="P261" i="1"/>
  <c r="P260" i="1"/>
  <c r="P48" i="1"/>
  <c r="P124" i="1"/>
  <c r="P15" i="1"/>
  <c r="P83" i="1"/>
  <c r="P167" i="1"/>
  <c r="P142" i="1"/>
  <c r="P194" i="1"/>
  <c r="P18" i="1"/>
  <c r="P262" i="1"/>
  <c r="P339" i="1"/>
  <c r="P407" i="1"/>
  <c r="P250" i="1"/>
  <c r="P153" i="1"/>
  <c r="P340" i="1"/>
  <c r="P416" i="1"/>
  <c r="P496" i="1"/>
  <c r="P572" i="1"/>
  <c r="P274" i="1"/>
  <c r="P288" i="1"/>
  <c r="P60" i="1"/>
  <c r="P128" i="1"/>
  <c r="P19" i="1"/>
  <c r="P91" i="1"/>
  <c r="P171" i="1"/>
  <c r="P154" i="1"/>
  <c r="P198" i="1"/>
  <c r="P30" i="1"/>
  <c r="P297" i="1"/>
  <c r="P343" i="1"/>
  <c r="P411" i="1"/>
  <c r="P259" i="1"/>
  <c r="P165" i="1"/>
  <c r="P348" i="1"/>
  <c r="P428" i="1"/>
  <c r="P500" i="1"/>
  <c r="P576" i="1"/>
  <c r="P283" i="1"/>
  <c r="P805" i="1"/>
  <c r="P4" i="1"/>
  <c r="P76" i="1"/>
  <c r="P160" i="1"/>
  <c r="P43" i="1"/>
  <c r="P119" i="1"/>
  <c r="P191" i="1"/>
  <c r="P65" i="1"/>
  <c r="P50" i="1"/>
  <c r="P138" i="1"/>
  <c r="P245" i="1"/>
  <c r="P359" i="1"/>
  <c r="P254" i="1"/>
  <c r="P21" i="1"/>
  <c r="P268" i="1"/>
  <c r="P380" i="1"/>
  <c r="P448" i="1"/>
  <c r="P524" i="1"/>
  <c r="P596" i="1"/>
  <c r="P439" i="1"/>
  <c r="P97" i="1"/>
  <c r="P393" i="1"/>
  <c r="P467" i="1"/>
  <c r="P354" i="1"/>
  <c r="P239" i="1"/>
  <c r="P227" i="1"/>
  <c r="P692" i="1"/>
  <c r="P871" i="1"/>
  <c r="P618" i="1"/>
  <c r="P514" i="1"/>
  <c r="P745" i="1"/>
  <c r="P85" i="1"/>
  <c r="P593" i="1"/>
  <c r="P789" i="1"/>
  <c r="P291" i="1"/>
  <c r="P643" i="1"/>
  <c r="P813" i="1"/>
  <c r="P485" i="1"/>
  <c r="P713" i="1"/>
  <c r="P879" i="1"/>
  <c r="P961" i="1"/>
  <c r="P366" i="1"/>
  <c r="P830" i="1"/>
  <c r="P510" i="1"/>
  <c r="P808" i="1"/>
  <c r="P668" i="1"/>
  <c r="P686" i="1"/>
  <c r="P946" i="1"/>
  <c r="P558" i="1"/>
  <c r="P874" i="1"/>
  <c r="P64" i="1"/>
  <c r="P23" i="1"/>
  <c r="P175" i="1"/>
  <c r="P5" i="1"/>
  <c r="P6" i="1"/>
  <c r="P415" i="1"/>
  <c r="P196" i="1"/>
  <c r="P436" i="1"/>
  <c r="P580" i="1"/>
  <c r="P429" i="1"/>
  <c r="P377" i="1"/>
  <c r="P550" i="1"/>
  <c r="P450" i="1"/>
  <c r="P574" i="1"/>
  <c r="P714" i="1"/>
  <c r="P494" i="1"/>
  <c r="P437" i="1"/>
  <c r="P767" i="1"/>
  <c r="P397" i="1"/>
  <c r="P763" i="1"/>
  <c r="P373" i="1"/>
  <c r="P726" i="1"/>
  <c r="P469" i="1"/>
  <c r="P735" i="1"/>
  <c r="P933" i="1"/>
  <c r="P231" i="1"/>
  <c r="P903" i="1"/>
  <c r="P755" i="1"/>
  <c r="P605" i="1"/>
  <c r="P747" i="1"/>
  <c r="P1000" i="1"/>
  <c r="P835" i="1"/>
  <c r="P791" i="1"/>
  <c r="P972" i="1"/>
  <c r="P707" i="1"/>
  <c r="P212" i="1"/>
  <c r="P567" i="1"/>
  <c r="P660" i="1"/>
  <c r="P68" i="1"/>
  <c r="P31" i="1"/>
  <c r="P183" i="1"/>
  <c r="P14" i="1"/>
  <c r="P195" i="1"/>
  <c r="P419" i="1"/>
  <c r="P233" i="1"/>
  <c r="P440" i="1"/>
  <c r="P584" i="1"/>
  <c r="P475" i="1"/>
  <c r="P385" i="1"/>
  <c r="P585" i="1"/>
  <c r="P463" i="1"/>
  <c r="P587" i="1"/>
  <c r="P727" i="1"/>
  <c r="P545" i="1"/>
  <c r="P509" i="1"/>
  <c r="P780" i="1"/>
  <c r="P413" i="1"/>
  <c r="P776" i="1"/>
  <c r="P389" i="1"/>
  <c r="P739" i="1"/>
  <c r="P477" i="1"/>
  <c r="P770" i="1"/>
  <c r="P937" i="1"/>
  <c r="P334" i="1"/>
  <c r="P915" i="1"/>
  <c r="P771" i="1"/>
  <c r="P642" i="1"/>
  <c r="P832" i="1"/>
  <c r="P1006" i="1"/>
  <c r="P848" i="1"/>
  <c r="P799" i="1"/>
  <c r="P936" i="1"/>
  <c r="P672" i="1"/>
  <c r="P853" i="1"/>
  <c r="P625" i="1"/>
  <c r="P72" i="1"/>
  <c r="P39" i="1"/>
  <c r="P187" i="1"/>
  <c r="P26" i="1"/>
  <c r="P232" i="1"/>
  <c r="P228" i="1"/>
  <c r="P255" i="1"/>
  <c r="P444" i="1"/>
  <c r="P588" i="1"/>
  <c r="P25" i="1"/>
  <c r="P401" i="1"/>
  <c r="P226" i="1"/>
  <c r="P199" i="1"/>
  <c r="P314" i="1"/>
  <c r="P801" i="1"/>
  <c r="P566" i="1"/>
  <c r="P535" i="1"/>
  <c r="P841" i="1"/>
  <c r="P447" i="1"/>
  <c r="P798" i="1"/>
  <c r="P517" i="1"/>
  <c r="P774" i="1"/>
  <c r="P499" i="1"/>
  <c r="P809" i="1"/>
  <c r="P941" i="1"/>
  <c r="P398" i="1"/>
  <c r="P975" i="1"/>
  <c r="P778" i="1"/>
  <c r="P703" i="1"/>
  <c r="P891" i="1"/>
  <c r="P290" i="1"/>
  <c r="P861" i="1"/>
  <c r="P807" i="1"/>
  <c r="P924" i="1"/>
  <c r="P637" i="1"/>
  <c r="P840" i="1"/>
  <c r="P781" i="1"/>
  <c r="P522" i="1"/>
  <c r="P84" i="1"/>
  <c r="P47" i="1"/>
  <c r="P10" i="1"/>
  <c r="P110" i="1"/>
  <c r="P258" i="1"/>
  <c r="P263" i="1"/>
  <c r="P281" i="1"/>
  <c r="P452" i="1"/>
  <c r="P608" i="1"/>
  <c r="P49" i="1"/>
  <c r="P417" i="1"/>
  <c r="P244" i="1"/>
  <c r="P211" i="1"/>
  <c r="P425" i="1"/>
  <c r="P810" i="1"/>
  <c r="P571" i="1"/>
  <c r="P577" i="1"/>
  <c r="P850" i="1"/>
  <c r="P546" i="1"/>
  <c r="P811" i="1"/>
  <c r="P538" i="1"/>
  <c r="P787" i="1"/>
  <c r="P507" i="1"/>
  <c r="P818" i="1"/>
  <c r="P945" i="1"/>
  <c r="P427" i="1"/>
  <c r="P987" i="1"/>
  <c r="P786" i="1"/>
  <c r="P729" i="1"/>
  <c r="P916" i="1"/>
  <c r="P442" i="1"/>
  <c r="P220" i="1"/>
  <c r="P829" i="1"/>
  <c r="P912" i="1"/>
  <c r="P599" i="1"/>
  <c r="P826" i="1"/>
  <c r="P503" i="1"/>
  <c r="P766" i="1"/>
  <c r="P240" i="1"/>
  <c r="P865" i="1"/>
  <c r="P92" i="1"/>
  <c r="P51" i="1"/>
  <c r="P46" i="1"/>
  <c r="P122" i="1"/>
  <c r="P267" i="1"/>
  <c r="P289" i="1"/>
  <c r="P294" i="1"/>
  <c r="P456" i="1"/>
  <c r="P205" i="1"/>
  <c r="P73" i="1"/>
  <c r="P423" i="1"/>
  <c r="P322" i="1"/>
  <c r="P230" i="1"/>
  <c r="P446" i="1"/>
  <c r="P823" i="1"/>
  <c r="P613" i="1"/>
  <c r="P582" i="1"/>
  <c r="P863" i="1"/>
  <c r="P551" i="1"/>
  <c r="P824" i="1"/>
  <c r="P543" i="1"/>
  <c r="P800" i="1"/>
  <c r="P549" i="1"/>
  <c r="P831" i="1"/>
  <c r="P957" i="1"/>
  <c r="P481" i="1"/>
  <c r="P999" i="1"/>
  <c r="P794" i="1"/>
  <c r="P738" i="1"/>
  <c r="P922" i="1"/>
  <c r="P490" i="1"/>
  <c r="P505" i="1"/>
  <c r="P862" i="1"/>
  <c r="P578" i="1"/>
  <c r="P473" i="1"/>
  <c r="P852" i="1"/>
  <c r="P108" i="1"/>
  <c r="P63" i="1"/>
  <c r="P58" i="1"/>
  <c r="P134" i="1"/>
  <c r="P280" i="1"/>
  <c r="P311" i="1"/>
  <c r="P316" i="1"/>
  <c r="P460" i="1"/>
  <c r="P221" i="1"/>
  <c r="P121" i="1"/>
  <c r="P252" i="1"/>
  <c r="P330" i="1"/>
  <c r="P265" i="1"/>
  <c r="P555" i="1"/>
  <c r="P836" i="1"/>
  <c r="P653" i="1"/>
  <c r="P636" i="1"/>
  <c r="P876" i="1"/>
  <c r="P614" i="1"/>
  <c r="P885" i="1"/>
  <c r="P559" i="1"/>
  <c r="P822" i="1"/>
  <c r="P639" i="1"/>
  <c r="P844" i="1"/>
  <c r="P965" i="1"/>
  <c r="P562" i="1"/>
  <c r="P182" i="1"/>
  <c r="P851" i="1"/>
  <c r="P779" i="1"/>
  <c r="P928" i="1"/>
  <c r="P579" i="1"/>
  <c r="P590" i="1"/>
  <c r="P875" i="1"/>
  <c r="P731" i="1"/>
  <c r="P839" i="1"/>
  <c r="P308" i="1"/>
  <c r="P12" i="1"/>
  <c r="P168" i="1"/>
  <c r="P127" i="1"/>
  <c r="P77" i="1"/>
  <c r="P150" i="1"/>
  <c r="P363" i="1"/>
  <c r="P69" i="1"/>
  <c r="P384" i="1"/>
  <c r="P528" i="1"/>
  <c r="P453" i="1"/>
  <c r="P337" i="1"/>
  <c r="P430" i="1"/>
  <c r="P370" i="1"/>
  <c r="P526" i="1"/>
  <c r="P666" i="1"/>
  <c r="P897" i="1"/>
  <c r="P736" i="1"/>
  <c r="P706" i="1"/>
  <c r="P317" i="1"/>
  <c r="P693" i="1"/>
  <c r="P157" i="1"/>
  <c r="P669" i="1"/>
  <c r="P406" i="1"/>
  <c r="P687" i="1"/>
  <c r="P913" i="1"/>
  <c r="P989" i="1"/>
  <c r="P737" i="1"/>
  <c r="P573" i="1"/>
  <c r="P193" i="1"/>
  <c r="P651" i="1"/>
  <c r="P958" i="1"/>
  <c r="P734" i="1"/>
  <c r="P708" i="1"/>
  <c r="P901" i="1"/>
  <c r="P790" i="1"/>
  <c r="P457" i="1"/>
  <c r="P663" i="1"/>
  <c r="P565" i="1"/>
  <c r="P730" i="1"/>
  <c r="M59" i="1"/>
  <c r="M744" i="1"/>
  <c r="M395" i="1"/>
  <c r="M752" i="1"/>
  <c r="M334" i="1"/>
  <c r="M389" i="1"/>
  <c r="M711" i="1"/>
  <c r="M850" i="1"/>
  <c r="N927" i="1"/>
  <c r="N867" i="1"/>
  <c r="N411" i="1"/>
  <c r="N45" i="1"/>
  <c r="N131" i="1"/>
  <c r="N228" i="1"/>
  <c r="N878" i="1"/>
  <c r="N626" i="1"/>
  <c r="N338" i="1"/>
  <c r="N788" i="1"/>
  <c r="N500" i="1"/>
  <c r="N196" i="1"/>
  <c r="N511" i="1"/>
  <c r="N176" i="1"/>
  <c r="N966" i="1"/>
  <c r="N774" i="1"/>
  <c r="N582" i="1"/>
  <c r="N342" i="1"/>
  <c r="N102" i="1"/>
  <c r="N941" i="1"/>
  <c r="N761" i="1"/>
  <c r="N581" i="1"/>
  <c r="N413" i="1"/>
  <c r="N245" i="1"/>
  <c r="N831" i="1"/>
  <c r="N399" i="1"/>
  <c r="N57" i="1"/>
  <c r="N143" i="1"/>
  <c r="N91" i="1"/>
  <c r="N866" i="1"/>
  <c r="N602" i="1"/>
  <c r="N290" i="1"/>
  <c r="N776" i="1"/>
  <c r="N464" i="1"/>
  <c r="N160" i="1"/>
  <c r="N475" i="1"/>
  <c r="N159" i="1"/>
  <c r="N954" i="1"/>
  <c r="N762" i="1"/>
  <c r="N546" i="1"/>
  <c r="N330" i="1"/>
  <c r="N86" i="1"/>
  <c r="N917" i="1"/>
  <c r="N749" i="1"/>
  <c r="N569" i="1"/>
  <c r="N401" i="1"/>
  <c r="N229" i="1"/>
  <c r="N759" i="1"/>
  <c r="N267" i="1"/>
  <c r="N69" i="1"/>
  <c r="N191" i="1"/>
  <c r="N103" i="1"/>
  <c r="N842" i="1"/>
  <c r="N566" i="1"/>
  <c r="N278" i="1"/>
  <c r="N740" i="1"/>
  <c r="N452" i="1"/>
  <c r="N142" i="1"/>
  <c r="N463" i="1"/>
  <c r="N123" i="1"/>
  <c r="N942" i="1"/>
  <c r="N750" i="1"/>
  <c r="N534" i="1"/>
  <c r="N318" i="1"/>
  <c r="N50" i="1"/>
  <c r="N905" i="1"/>
  <c r="N725" i="1"/>
  <c r="N557" i="1"/>
  <c r="N389" i="1"/>
  <c r="N209" i="1"/>
  <c r="N747" i="1"/>
  <c r="N255" i="1"/>
  <c r="N81" i="1"/>
  <c r="N239" i="1"/>
  <c r="N115" i="1"/>
  <c r="N830" i="1"/>
  <c r="N554" i="1"/>
  <c r="N254" i="1"/>
  <c r="N716" i="1"/>
  <c r="N416" i="1"/>
  <c r="N124" i="1"/>
  <c r="N391" i="1"/>
  <c r="N104" i="1"/>
  <c r="N930" i="1"/>
  <c r="N738" i="1"/>
  <c r="N498" i="1"/>
  <c r="N306" i="1"/>
  <c r="N30" i="1"/>
  <c r="N893" i="1"/>
  <c r="N713" i="1"/>
  <c r="N545" i="1"/>
  <c r="N377" i="1"/>
  <c r="N173" i="1"/>
  <c r="N723" i="1"/>
  <c r="N224" i="1"/>
  <c r="N117" i="1"/>
  <c r="N48" i="1"/>
  <c r="N127" i="1"/>
  <c r="N818" i="1"/>
  <c r="N494" i="1"/>
  <c r="N242" i="1"/>
  <c r="N968" i="1"/>
  <c r="N656" i="1"/>
  <c r="N404" i="1"/>
  <c r="N88" i="1"/>
  <c r="N379" i="1"/>
  <c r="N51" i="1"/>
  <c r="N918" i="1"/>
  <c r="N714" i="1"/>
  <c r="N486" i="1"/>
  <c r="N294" i="1"/>
  <c r="N869" i="1"/>
  <c r="N701" i="1"/>
  <c r="N533" i="1"/>
  <c r="N365" i="1"/>
  <c r="N157" i="1"/>
  <c r="N711" i="1"/>
  <c r="N171" i="1"/>
  <c r="N189" i="1"/>
  <c r="N60" i="1"/>
  <c r="N139" i="1"/>
  <c r="N782" i="1"/>
  <c r="N482" i="1"/>
  <c r="N186" i="1"/>
  <c r="N944" i="1"/>
  <c r="N644" i="1"/>
  <c r="N380" i="1"/>
  <c r="N34" i="1"/>
  <c r="N367" i="1"/>
  <c r="N32" i="1"/>
  <c r="N906" i="1"/>
  <c r="N690" i="1"/>
  <c r="N474" i="1"/>
  <c r="N282" i="1"/>
  <c r="N857" i="1"/>
  <c r="N689" i="1"/>
  <c r="N521" i="1"/>
  <c r="N341" i="1"/>
  <c r="N137" i="1"/>
  <c r="N507" i="1"/>
  <c r="N83" i="1"/>
  <c r="N180" i="1"/>
  <c r="N974" i="1"/>
  <c r="N674" i="1"/>
  <c r="N410" i="1"/>
  <c r="N78" i="1"/>
  <c r="N836" i="1"/>
  <c r="N572" i="1"/>
  <c r="N308" i="1"/>
  <c r="N547" i="1"/>
  <c r="N307" i="1"/>
  <c r="O825" i="1"/>
  <c r="P661" i="1"/>
  <c r="P895" i="1"/>
  <c r="P629" i="1"/>
  <c r="P521" i="1"/>
  <c r="P676" i="1"/>
  <c r="P722" i="1"/>
  <c r="P656" i="1"/>
  <c r="P632" i="1"/>
  <c r="P749" i="1"/>
  <c r="P602" i="1"/>
  <c r="P515" i="1"/>
  <c r="P434" i="1"/>
  <c r="P356" i="1"/>
  <c r="P162" i="1"/>
  <c r="P111" i="1"/>
  <c r="M957" i="1"/>
  <c r="M525" i="1"/>
  <c r="P746" i="1"/>
  <c r="P680" i="1"/>
  <c r="P364" i="1"/>
  <c r="K504" i="1"/>
  <c r="K1004" i="1"/>
  <c r="M97" i="1"/>
  <c r="M852" i="1"/>
  <c r="M307" i="1"/>
  <c r="M732" i="1"/>
  <c r="M726" i="1"/>
  <c r="M269" i="1"/>
  <c r="M699" i="1"/>
  <c r="M887" i="1"/>
  <c r="N293" i="1"/>
  <c r="N653" i="1"/>
  <c r="N438" i="1"/>
  <c r="N858" i="1"/>
  <c r="N16" i="1"/>
  <c r="N812" i="1"/>
  <c r="N446" i="1"/>
  <c r="N216" i="1"/>
  <c r="P696" i="1"/>
  <c r="P888" i="1"/>
  <c r="P994" i="1"/>
  <c r="P896" i="1"/>
  <c r="P650" i="1"/>
  <c r="P700" i="1"/>
  <c r="P630" i="1"/>
  <c r="P381" i="1"/>
  <c r="P723" i="1"/>
  <c r="P597" i="1"/>
  <c r="P454" i="1"/>
  <c r="P277" i="1"/>
  <c r="P93" i="1"/>
  <c r="P126" i="1"/>
  <c r="P99" i="1"/>
  <c r="M589" i="1"/>
  <c r="M102" i="1"/>
  <c r="M172" i="1"/>
  <c r="M658" i="1"/>
  <c r="O26" i="1"/>
  <c r="O496" i="1"/>
  <c r="O345" i="1"/>
  <c r="O640" i="1"/>
  <c r="O601" i="1"/>
  <c r="O425" i="1"/>
  <c r="O852" i="1"/>
  <c r="O138" i="1"/>
  <c r="O109" i="1"/>
  <c r="O258" i="1"/>
  <c r="O121" i="1"/>
  <c r="O667" i="1"/>
  <c r="O565" i="1"/>
  <c r="O3" i="1"/>
  <c r="O408" i="1"/>
  <c r="O394" i="1"/>
  <c r="P382" i="1"/>
  <c r="P431" i="1"/>
  <c r="P717" i="1"/>
  <c r="P479" i="1"/>
  <c r="P131" i="1"/>
  <c r="K389" i="1"/>
  <c r="K980" i="1"/>
  <c r="M404" i="1"/>
  <c r="M360" i="1"/>
  <c r="M91" i="1"/>
  <c r="M680" i="1"/>
  <c r="M654" i="1"/>
  <c r="M161" i="1"/>
  <c r="M567" i="1"/>
  <c r="N317" i="1"/>
  <c r="N665" i="1"/>
  <c r="N450" i="1"/>
  <c r="N870" i="1"/>
  <c r="N214" i="1"/>
  <c r="N848" i="1"/>
  <c r="N470" i="1"/>
  <c r="N192" i="1"/>
  <c r="N63" i="1"/>
  <c r="O156" i="1"/>
  <c r="P695" i="1"/>
  <c r="P882" i="1"/>
  <c r="P964" i="1"/>
  <c r="P870" i="1"/>
  <c r="P1005" i="1"/>
  <c r="P674" i="1"/>
  <c r="P601" i="1"/>
  <c r="P333" i="1"/>
  <c r="P688" i="1"/>
  <c r="P561" i="1"/>
  <c r="P313" i="1"/>
  <c r="P296" i="1"/>
  <c r="P81" i="1"/>
  <c r="P90" i="1"/>
  <c r="P176" i="1"/>
  <c r="M103" i="1"/>
  <c r="M95" i="1"/>
  <c r="M539" i="1"/>
  <c r="M509" i="1"/>
  <c r="M383" i="1"/>
  <c r="P671" i="1"/>
  <c r="M853" i="1"/>
  <c r="M236" i="1"/>
  <c r="M770" i="1"/>
  <c r="M464" i="1"/>
  <c r="M642" i="1"/>
  <c r="M964" i="1"/>
  <c r="M519" i="1"/>
  <c r="N329" i="1"/>
  <c r="N677" i="1"/>
  <c r="N462" i="1"/>
  <c r="N894" i="1"/>
  <c r="N248" i="1"/>
  <c r="N884" i="1"/>
  <c r="N638" i="1"/>
  <c r="N156" i="1"/>
  <c r="N80" i="1"/>
  <c r="O669" i="1"/>
  <c r="P784" i="1"/>
  <c r="P952" i="1"/>
  <c r="P864" i="1"/>
  <c r="P993" i="1"/>
  <c r="P665" i="1"/>
  <c r="P325" i="1"/>
  <c r="P282" i="1"/>
  <c r="P675" i="1"/>
  <c r="P539" i="1"/>
  <c r="P287" i="1"/>
  <c r="P548" i="1"/>
  <c r="P307" i="1"/>
  <c r="P66" i="1"/>
  <c r="P172" i="1"/>
  <c r="M811" i="1"/>
  <c r="M977" i="1"/>
  <c r="M586" i="1"/>
  <c r="P725" i="1"/>
  <c r="P346" i="1"/>
  <c r="K951" i="1"/>
  <c r="K775" i="1"/>
  <c r="K600" i="1"/>
  <c r="M889" i="1"/>
  <c r="M128" i="1"/>
  <c r="M754" i="1"/>
  <c r="M571" i="1"/>
  <c r="M630" i="1"/>
  <c r="M952" i="1"/>
  <c r="M993" i="1"/>
  <c r="N13" i="1"/>
  <c r="N425" i="1"/>
  <c r="N773" i="1"/>
  <c r="N122" i="1"/>
  <c r="N594" i="1"/>
  <c r="N231" i="1"/>
  <c r="N320" i="1"/>
  <c r="N932" i="1"/>
  <c r="N662" i="1"/>
  <c r="N108" i="1"/>
  <c r="N435" i="1"/>
  <c r="O611" i="1"/>
  <c r="P743" i="1"/>
  <c r="P940" i="1"/>
  <c r="P720" i="1"/>
  <c r="P985" i="1"/>
  <c r="P652" i="1"/>
  <c r="P256" i="1"/>
  <c r="P37" i="1"/>
  <c r="P486" i="1"/>
  <c r="P513" i="1"/>
  <c r="P278" i="1"/>
  <c r="P536" i="1"/>
  <c r="P298" i="1"/>
  <c r="P125" i="1"/>
  <c r="P144" i="1"/>
  <c r="R868" i="1"/>
  <c r="R623" i="1"/>
  <c r="R932" i="1"/>
  <c r="R647" i="1"/>
  <c r="R930" i="1"/>
  <c r="R762" i="1"/>
  <c r="R513" i="1"/>
  <c r="R477" i="1"/>
  <c r="R312" i="1"/>
  <c r="R369" i="1"/>
  <c r="R319" i="1"/>
  <c r="R378" i="1"/>
  <c r="R184" i="1"/>
  <c r="R172" i="1"/>
  <c r="R658" i="1"/>
  <c r="R992" i="1"/>
  <c r="R585" i="1"/>
  <c r="R902" i="1"/>
  <c r="R679" i="1"/>
  <c r="R1001" i="1"/>
  <c r="R26" i="1"/>
  <c r="R457" i="1"/>
  <c r="R345" i="1"/>
  <c r="R223" i="1"/>
  <c r="R346" i="1"/>
  <c r="R149" i="1"/>
  <c r="R140" i="1"/>
  <c r="R684" i="1"/>
  <c r="R830" i="1"/>
  <c r="R819" i="1"/>
  <c r="R666" i="1"/>
  <c r="R973" i="1"/>
  <c r="R508" i="1"/>
  <c r="R444" i="1"/>
  <c r="R291" i="1"/>
  <c r="R103" i="1"/>
  <c r="R342" i="1"/>
  <c r="R89" i="1"/>
  <c r="R100" i="1"/>
  <c r="R672" i="1"/>
  <c r="R822" i="1"/>
  <c r="R712" i="1"/>
  <c r="R771" i="1"/>
  <c r="R592" i="1"/>
  <c r="R929" i="1"/>
  <c r="R473" i="1"/>
  <c r="R392" i="1"/>
  <c r="R97" i="1"/>
  <c r="R67" i="1"/>
  <c r="R318" i="1"/>
  <c r="R11" i="1"/>
  <c r="R88" i="1"/>
  <c r="R681" i="1"/>
  <c r="R837" i="1"/>
  <c r="R673" i="1"/>
  <c r="R745" i="1"/>
  <c r="R524" i="1"/>
  <c r="R917" i="1"/>
  <c r="R432" i="1"/>
  <c r="R352" i="1"/>
  <c r="R73" i="1"/>
  <c r="R31" i="1"/>
  <c r="R244" i="1"/>
  <c r="R154" i="1"/>
  <c r="R76" i="1"/>
  <c r="R742" i="1"/>
  <c r="R869" i="1"/>
  <c r="R651" i="1"/>
  <c r="R723" i="1"/>
  <c r="R446" i="1"/>
  <c r="R909" i="1"/>
  <c r="R308" i="1"/>
  <c r="R328" i="1"/>
  <c r="R37" i="1"/>
  <c r="R7" i="1"/>
  <c r="R193" i="1"/>
  <c r="R106" i="1"/>
  <c r="R68" i="1"/>
  <c r="R820" i="1"/>
  <c r="Q913" i="1"/>
  <c r="Q979" i="1"/>
  <c r="Q620" i="1"/>
  <c r="Q738" i="1"/>
  <c r="Q933" i="1"/>
  <c r="Q531" i="1"/>
  <c r="Q903" i="1"/>
  <c r="Q980" i="1"/>
  <c r="Q520" i="1"/>
  <c r="Q630" i="1"/>
  <c r="Q826" i="1"/>
  <c r="Q569" i="1"/>
  <c r="Q754" i="1"/>
  <c r="Q437" i="1"/>
  <c r="Q942" i="1"/>
  <c r="Q736" i="1"/>
  <c r="Q486" i="1"/>
  <c r="Q592" i="1"/>
  <c r="Q246" i="1"/>
  <c r="Q635" i="1"/>
  <c r="Q244" i="1"/>
  <c r="Q833" i="1"/>
  <c r="Q753" i="1"/>
  <c r="Q681" i="1"/>
  <c r="Q456" i="1"/>
  <c r="Q98" i="1"/>
  <c r="Q345" i="1"/>
  <c r="Q312" i="1"/>
  <c r="Q294" i="1"/>
  <c r="Q219" i="1"/>
  <c r="Q343" i="1"/>
  <c r="Q102" i="1"/>
  <c r="Q116" i="1"/>
  <c r="Q53" i="1"/>
  <c r="Q213" i="1"/>
  <c r="Q107" i="1"/>
  <c r="Q542" i="1"/>
  <c r="Q831" i="1"/>
  <c r="Q370" i="1"/>
  <c r="Q650" i="1"/>
  <c r="Q920" i="1"/>
  <c r="Q822" i="1"/>
  <c r="Q533" i="1"/>
  <c r="Q743" i="1"/>
  <c r="Q273" i="1"/>
  <c r="Q671" i="1"/>
  <c r="Q994" i="1"/>
  <c r="Q910" i="1"/>
  <c r="Q662" i="1"/>
  <c r="Q132" i="1"/>
  <c r="Q508" i="1"/>
  <c r="Q840" i="1"/>
  <c r="Q523" i="1"/>
  <c r="Q881" i="1"/>
  <c r="Q805" i="1"/>
  <c r="Q733" i="1"/>
  <c r="Q637" i="1"/>
  <c r="Q333" i="1"/>
  <c r="Q528" i="1"/>
  <c r="Q97" i="1"/>
  <c r="Q505" i="1"/>
  <c r="Q313" i="1"/>
  <c r="Q427" i="1"/>
  <c r="Q258" i="1"/>
  <c r="Q266" i="1"/>
  <c r="Q222" i="1"/>
  <c r="Q70" i="1"/>
  <c r="Q179" i="1"/>
  <c r="Q59" i="1"/>
  <c r="Q324" i="1"/>
  <c r="Q521" i="1"/>
  <c r="Q824" i="1"/>
  <c r="Q338" i="1"/>
  <c r="Q604" i="1"/>
  <c r="Q908" i="1"/>
  <c r="Q800" i="1"/>
  <c r="Q512" i="1"/>
  <c r="Q730" i="1"/>
  <c r="Q238" i="1"/>
  <c r="Q658" i="1"/>
  <c r="Q990" i="1"/>
  <c r="Q906" i="1"/>
  <c r="Q640" i="1"/>
  <c r="Q84" i="1"/>
  <c r="Q425" i="1"/>
  <c r="Q827" i="1"/>
  <c r="Q518" i="1"/>
  <c r="Q877" i="1"/>
  <c r="Q801" i="1"/>
  <c r="Q729" i="1"/>
  <c r="Q633" i="1"/>
  <c r="Q325" i="1"/>
  <c r="Q519" i="1"/>
  <c r="Q73" i="1"/>
  <c r="Q492" i="1"/>
  <c r="Q300" i="1"/>
  <c r="Q423" i="1"/>
  <c r="Q245" i="1"/>
  <c r="Q253" i="1"/>
  <c r="Q218" i="1"/>
  <c r="Q58" i="1"/>
  <c r="Q175" i="1"/>
  <c r="Q55" i="1"/>
  <c r="Q255" i="1"/>
  <c r="Q372" i="1"/>
  <c r="Q808" i="1"/>
  <c r="Q305" i="1"/>
  <c r="Q562" i="1"/>
  <c r="Q763" i="1"/>
  <c r="Q787" i="1"/>
  <c r="Q452" i="1"/>
  <c r="Q695" i="1"/>
  <c r="Q220" i="1"/>
  <c r="Q598" i="1"/>
  <c r="Q982" i="1"/>
  <c r="Q902" i="1"/>
  <c r="Q618" i="1"/>
  <c r="Q762" i="1"/>
  <c r="Q412" i="1"/>
  <c r="Q792" i="1"/>
  <c r="Q500" i="1"/>
  <c r="Q873" i="1"/>
  <c r="Q793" i="1"/>
  <c r="Q713" i="1"/>
  <c r="Q617" i="1"/>
  <c r="Q291" i="1"/>
  <c r="Q493" i="1"/>
  <c r="Q475" i="1"/>
  <c r="Q470" i="1"/>
  <c r="Q278" i="1"/>
  <c r="Q403" i="1"/>
  <c r="Q223" i="1"/>
  <c r="Q227" i="1"/>
  <c r="Q198" i="1"/>
  <c r="Q34" i="1"/>
  <c r="Q167" i="1"/>
  <c r="Q35" i="1"/>
  <c r="Q984" i="1"/>
  <c r="Q442" i="1"/>
  <c r="Q842" i="1"/>
  <c r="Q153" i="1"/>
  <c r="Q340" i="1"/>
  <c r="Q786" i="1"/>
  <c r="Q987" i="1"/>
  <c r="Q481" i="1"/>
  <c r="Q702" i="1"/>
  <c r="Q774" i="1"/>
  <c r="Q443" i="1"/>
  <c r="Q634" i="1"/>
  <c r="Q898" i="1"/>
  <c r="Q582" i="1"/>
  <c r="Q974" i="1"/>
  <c r="Q880" i="1"/>
  <c r="Q571" i="1"/>
  <c r="Q727" i="1"/>
  <c r="Q396" i="1"/>
  <c r="Q779" i="1"/>
  <c r="Q436" i="1"/>
  <c r="Q861" i="1"/>
  <c r="Q789" i="1"/>
  <c r="Q705" i="1"/>
  <c r="Q613" i="1"/>
  <c r="Q282" i="1"/>
  <c r="Q480" i="1"/>
  <c r="Q462" i="1"/>
  <c r="Q457" i="1"/>
  <c r="Q265" i="1"/>
  <c r="Q399" i="1"/>
  <c r="Q195" i="1"/>
  <c r="Q217" i="1"/>
  <c r="Q194" i="1"/>
  <c r="Q22" i="1"/>
  <c r="Q163" i="1"/>
  <c r="Q31" i="1"/>
  <c r="Q996" i="1"/>
  <c r="Q420" i="1"/>
  <c r="Q783" i="1"/>
  <c r="Q57" i="1"/>
  <c r="Q105" i="1"/>
  <c r="Q755" i="1"/>
  <c r="Q975" i="1"/>
  <c r="Q448" i="1"/>
  <c r="Q667" i="1"/>
  <c r="Q752" i="1"/>
  <c r="Q421" i="1"/>
  <c r="Q616" i="1"/>
  <c r="Q876" i="1"/>
  <c r="Q577" i="1"/>
  <c r="Q962" i="1"/>
  <c r="Q867" i="1"/>
  <c r="Q566" i="1"/>
  <c r="Q714" i="1"/>
  <c r="Q380" i="1"/>
  <c r="Q766" i="1"/>
  <c r="Q410" i="1"/>
  <c r="Q857" i="1"/>
  <c r="Q785" i="1"/>
  <c r="Q701" i="1"/>
  <c r="Q600" i="1"/>
  <c r="Q157" i="1"/>
  <c r="Q471" i="1"/>
  <c r="Q449" i="1"/>
  <c r="Q422" i="1"/>
  <c r="Q252" i="1"/>
  <c r="Q395" i="1"/>
  <c r="Q310" i="1"/>
  <c r="Q212" i="1"/>
  <c r="Q189" i="1"/>
  <c r="Q3" i="1"/>
  <c r="Q159" i="1"/>
  <c r="Q27" i="1"/>
  <c r="K820" i="1"/>
  <c r="K418" i="1"/>
  <c r="K192" i="1"/>
  <c r="K906" i="1"/>
  <c r="K652" i="1"/>
  <c r="K525" i="1"/>
  <c r="K367" i="1"/>
  <c r="M276" i="1"/>
  <c r="M671" i="1"/>
  <c r="M108" i="1"/>
  <c r="M523" i="1"/>
  <c r="M734" i="1"/>
  <c r="M681" i="1"/>
  <c r="M696" i="1"/>
  <c r="M551" i="1"/>
  <c r="M566" i="1"/>
  <c r="M690" i="1"/>
  <c r="M114" i="1"/>
  <c r="M449" i="1"/>
  <c r="M940" i="1"/>
  <c r="M232" i="1"/>
  <c r="M579" i="1"/>
  <c r="M109" i="1"/>
  <c r="M23" i="1"/>
  <c r="M632" i="1"/>
  <c r="M477" i="1"/>
  <c r="R850" i="1"/>
  <c r="N193" i="1"/>
  <c r="N353" i="1"/>
  <c r="N497" i="1"/>
  <c r="N641" i="1"/>
  <c r="N785" i="1"/>
  <c r="N929" i="1"/>
  <c r="N14" i="1"/>
  <c r="N246" i="1"/>
  <c r="N402" i="1"/>
  <c r="N570" i="1"/>
  <c r="N726" i="1"/>
  <c r="N882" i="1"/>
  <c r="R813" i="1"/>
  <c r="R664" i="1"/>
  <c r="R889" i="1"/>
  <c r="R858" i="1"/>
  <c r="R683" i="1"/>
  <c r="R913" i="1"/>
  <c r="R595" i="1"/>
  <c r="R260" i="1"/>
  <c r="R433" i="1"/>
  <c r="R61" i="1"/>
  <c r="R195" i="1"/>
  <c r="R414" i="1"/>
  <c r="R250" i="1"/>
  <c r="R142" i="1"/>
  <c r="R132" i="1"/>
  <c r="R883" i="1"/>
  <c r="N283" i="1"/>
  <c r="N499" i="1"/>
  <c r="N70" i="1"/>
  <c r="N332" i="1"/>
  <c r="N536" i="1"/>
  <c r="N764" i="1"/>
  <c r="N956" i="1"/>
  <c r="N134" i="1"/>
  <c r="N374" i="1"/>
  <c r="N590" i="1"/>
  <c r="N806" i="1"/>
  <c r="N998" i="1"/>
  <c r="N204" i="1"/>
  <c r="N155" i="1"/>
  <c r="N153" i="1"/>
  <c r="N44" i="1"/>
  <c r="N423" i="1"/>
  <c r="N735" i="1"/>
  <c r="O874" i="1"/>
  <c r="O924" i="1"/>
  <c r="O317" i="1"/>
  <c r="K8" i="1"/>
  <c r="K939" i="1"/>
  <c r="K708" i="1"/>
  <c r="K886" i="1"/>
  <c r="K727" i="1"/>
  <c r="K52" i="1"/>
  <c r="M146" i="1"/>
  <c r="M130" i="1"/>
  <c r="M560" i="1"/>
  <c r="M883" i="1"/>
  <c r="M287" i="1"/>
  <c r="M338" i="1"/>
  <c r="M481" i="1"/>
  <c r="M300" i="1"/>
  <c r="M355" i="1"/>
  <c r="M170" i="1"/>
  <c r="M510" i="1"/>
  <c r="M929" i="1"/>
  <c r="M257" i="1"/>
  <c r="M676" i="1"/>
  <c r="M28" i="1"/>
  <c r="M375" i="1"/>
  <c r="M801" i="1"/>
  <c r="M43" i="1"/>
  <c r="M420" i="1"/>
  <c r="K690" i="1"/>
  <c r="K521" i="1"/>
  <c r="K609" i="1"/>
  <c r="K873" i="1"/>
  <c r="K537" i="1"/>
  <c r="K266" i="1"/>
  <c r="M275" i="1"/>
  <c r="M549" i="1"/>
  <c r="M540" i="1"/>
  <c r="M827" i="1"/>
  <c r="M271" i="1"/>
  <c r="M230" i="1"/>
  <c r="M465" i="1"/>
  <c r="M264" i="1"/>
  <c r="M211" i="1"/>
  <c r="M134" i="1"/>
  <c r="M498" i="1"/>
  <c r="M797" i="1"/>
  <c r="M245" i="1"/>
  <c r="M544" i="1"/>
  <c r="M999" i="1"/>
  <c r="M291" i="1"/>
  <c r="M668" i="1"/>
  <c r="M347" i="1"/>
  <c r="M505" i="1"/>
  <c r="K472" i="1"/>
  <c r="K664" i="1"/>
  <c r="K984" i="1"/>
  <c r="K497" i="1"/>
  <c r="M311" i="1"/>
  <c r="M584" i="1"/>
  <c r="K145" i="1"/>
  <c r="K637" i="1"/>
  <c r="K891" i="1"/>
  <c r="K684" i="1"/>
  <c r="K895" i="1"/>
  <c r="K429" i="1"/>
  <c r="M637" i="1"/>
  <c r="M131" i="1"/>
  <c r="M324" i="1"/>
  <c r="M775" i="1"/>
  <c r="M1006" i="1"/>
  <c r="M158" i="1"/>
  <c r="M105" i="1"/>
  <c r="M68" i="1"/>
  <c r="M67" i="1"/>
  <c r="M966" i="1"/>
  <c r="M366" i="1"/>
  <c r="M737" i="1"/>
  <c r="M65" i="1"/>
  <c r="M508" i="1"/>
  <c r="M831" i="1"/>
  <c r="M255" i="1"/>
  <c r="M152" i="1"/>
  <c r="M563" i="1"/>
  <c r="M836" i="1"/>
  <c r="R694" i="1"/>
  <c r="N279" i="1"/>
  <c r="N591" i="1"/>
  <c r="N903" i="1"/>
  <c r="O955" i="1"/>
  <c r="O91" i="1"/>
  <c r="O170" i="1"/>
  <c r="K940" i="1"/>
  <c r="K610" i="1"/>
  <c r="K832" i="1"/>
  <c r="K60" i="1"/>
  <c r="K826" i="1"/>
  <c r="K285" i="1"/>
  <c r="M709" i="1"/>
  <c r="M309" i="1"/>
  <c r="M288" i="1"/>
  <c r="M755" i="1"/>
  <c r="M986" i="1"/>
  <c r="M12" i="1"/>
  <c r="M85" i="1"/>
  <c r="M48" i="1"/>
  <c r="M874" i="1"/>
  <c r="M954" i="1"/>
  <c r="M246" i="1"/>
  <c r="M689" i="1"/>
  <c r="M17" i="1"/>
  <c r="M460" i="1"/>
  <c r="M819" i="1"/>
  <c r="M243" i="1"/>
  <c r="M239" i="1"/>
  <c r="M851" i="1"/>
  <c r="M254" i="1"/>
  <c r="R693" i="1"/>
  <c r="N121" i="1"/>
  <c r="N305" i="1"/>
  <c r="N449" i="1"/>
  <c r="N593" i="1"/>
  <c r="N737" i="1"/>
  <c r="N881" i="1"/>
  <c r="R856" i="1"/>
  <c r="N174" i="1"/>
  <c r="N354" i="1"/>
  <c r="N510" i="1"/>
  <c r="N666" i="1"/>
  <c r="N822" i="1"/>
  <c r="N978" i="1"/>
  <c r="R817" i="1"/>
  <c r="R958" i="1"/>
  <c r="R519" i="1"/>
  <c r="R412" i="1"/>
  <c r="R965" i="1"/>
  <c r="R575" i="1"/>
  <c r="R580" i="1"/>
  <c r="R320" i="1"/>
  <c r="R269" i="1"/>
  <c r="R351" i="1"/>
  <c r="R78" i="1"/>
  <c r="R5" i="1"/>
  <c r="R83" i="1"/>
  <c r="R51" i="1"/>
  <c r="R583" i="1"/>
  <c r="N195" i="1"/>
  <c r="N427" i="1"/>
  <c r="R729" i="1"/>
  <c r="N260" i="1"/>
  <c r="N476" i="1"/>
  <c r="N680" i="1"/>
  <c r="N896" i="1"/>
  <c r="N26" i="1"/>
  <c r="N314" i="1"/>
  <c r="N518" i="1"/>
  <c r="N722" i="1"/>
  <c r="N950" i="1"/>
  <c r="N67" i="1"/>
  <c r="N36" i="1"/>
  <c r="N225" i="1"/>
  <c r="R537" i="1"/>
  <c r="N291" i="1"/>
  <c r="N603" i="1"/>
  <c r="N915" i="1"/>
  <c r="O752" i="1"/>
  <c r="O834" i="1"/>
  <c r="K816" i="1"/>
  <c r="K477" i="1"/>
  <c r="K197" i="1"/>
  <c r="K764" i="1"/>
  <c r="K885" i="1"/>
  <c r="K239" i="1"/>
  <c r="K193" i="1"/>
  <c r="M817" i="1"/>
  <c r="M512" i="1"/>
  <c r="M252" i="1"/>
  <c r="M667" i="1"/>
  <c r="M950" i="1"/>
  <c r="M969" i="1"/>
  <c r="M768" i="1"/>
  <c r="M32" i="1"/>
  <c r="M730" i="1"/>
  <c r="M930" i="1"/>
  <c r="M222" i="1"/>
  <c r="M677" i="1"/>
  <c r="M976" i="1"/>
  <c r="M424" i="1"/>
  <c r="M723" i="1"/>
  <c r="M231" i="1"/>
  <c r="M326" i="1"/>
  <c r="M835" i="1"/>
  <c r="M296" i="1"/>
  <c r="R807" i="1"/>
  <c r="R920" i="1"/>
  <c r="N194" i="1"/>
  <c r="N366" i="1"/>
  <c r="N522" i="1"/>
  <c r="N678" i="1"/>
  <c r="N834" i="1"/>
  <c r="N1002" i="1"/>
  <c r="R747" i="1"/>
  <c r="R954" i="1"/>
  <c r="R455" i="1"/>
  <c r="R396" i="1"/>
  <c r="R941" i="1"/>
  <c r="R570" i="1"/>
  <c r="R497" i="1"/>
  <c r="R303" i="1"/>
  <c r="R145" i="1"/>
  <c r="R347" i="1"/>
  <c r="R288" i="1"/>
  <c r="R314" i="1"/>
  <c r="R35" i="1"/>
  <c r="R45" i="1"/>
  <c r="R746" i="1"/>
  <c r="N212" i="1"/>
  <c r="N439" i="1"/>
  <c r="R755" i="1"/>
  <c r="N284" i="1"/>
  <c r="N488" i="1"/>
  <c r="N692" i="1"/>
  <c r="N920" i="1"/>
  <c r="N62" i="1"/>
  <c r="N326" i="1"/>
  <c r="N530" i="1"/>
  <c r="N746" i="1"/>
  <c r="N962" i="1"/>
  <c r="N31" i="1"/>
  <c r="N24" i="1"/>
  <c r="N213" i="1"/>
  <c r="R855" i="1"/>
  <c r="N351" i="1"/>
  <c r="N663" i="1"/>
  <c r="N987" i="1"/>
  <c r="Q790" i="1"/>
  <c r="Q997" i="1"/>
  <c r="Q558" i="1"/>
  <c r="Q919" i="1"/>
  <c r="Q655" i="1"/>
  <c r="Q884" i="1"/>
  <c r="Q404" i="1"/>
  <c r="Q864" i="1"/>
  <c r="Q573" i="1"/>
  <c r="Q963" i="1"/>
  <c r="Q583" i="1"/>
  <c r="Q944" i="1"/>
  <c r="Q551" i="1"/>
  <c r="Q704" i="1"/>
  <c r="Q491" i="1"/>
  <c r="Q778" i="1"/>
  <c r="Q585" i="1"/>
  <c r="Q863" i="1"/>
  <c r="Q603" i="1"/>
  <c r="Q1002" i="1"/>
  <c r="Q946" i="1"/>
  <c r="Q854" i="1"/>
  <c r="Q627" i="1"/>
  <c r="Q264" i="1"/>
  <c r="Q597" i="1"/>
  <c r="Q364" i="1"/>
  <c r="Q814" i="1"/>
  <c r="Q586" i="1"/>
  <c r="Q279" i="1"/>
  <c r="Q853" i="1"/>
  <c r="Q797" i="1"/>
  <c r="Q741" i="1"/>
  <c r="Q685" i="1"/>
  <c r="Q621" i="1"/>
  <c r="Q469" i="1"/>
  <c r="Q317" i="1"/>
  <c r="Q170" i="1"/>
  <c r="Q506" i="1"/>
  <c r="Q353" i="1"/>
  <c r="Q25" i="1"/>
  <c r="Q434" i="1"/>
  <c r="Q483" i="1"/>
  <c r="Q328" i="1"/>
  <c r="Q287" i="1"/>
  <c r="Q237" i="1"/>
  <c r="Q415" i="1"/>
  <c r="Q347" i="1"/>
  <c r="Q232" i="1"/>
  <c r="Q138" i="1"/>
  <c r="Q240" i="1"/>
  <c r="Q128" i="1"/>
  <c r="Q210" i="1"/>
  <c r="Q65" i="1"/>
  <c r="Q46" i="1"/>
  <c r="Q40" i="1"/>
  <c r="Q171" i="1"/>
  <c r="Q111" i="1"/>
  <c r="Q47" i="1"/>
  <c r="P563" i="1"/>
  <c r="P506" i="1"/>
  <c r="P329" i="1"/>
  <c r="P497" i="1"/>
  <c r="P312" i="1"/>
  <c r="P604" i="1"/>
  <c r="P540" i="1"/>
  <c r="P480" i="1"/>
  <c r="P412" i="1"/>
  <c r="P352" i="1"/>
  <c r="P246" i="1"/>
  <c r="P33" i="1"/>
  <c r="P302" i="1"/>
  <c r="P395" i="1"/>
  <c r="P335" i="1"/>
  <c r="P310" i="1"/>
  <c r="P114" i="1"/>
  <c r="P86" i="1"/>
  <c r="P113" i="1"/>
  <c r="P94" i="1"/>
  <c r="P163" i="1"/>
  <c r="P95" i="1"/>
  <c r="P35" i="1"/>
  <c r="P164" i="1"/>
  <c r="P96" i="1"/>
  <c r="P36" i="1"/>
  <c r="Q418" i="1"/>
  <c r="P887" i="1"/>
  <c r="Q925" i="1"/>
  <c r="Q290" i="1"/>
  <c r="Q874" i="1"/>
  <c r="Q537" i="1"/>
  <c r="Q764" i="1"/>
  <c r="Q993" i="1"/>
  <c r="Q816" i="1"/>
  <c r="Q467" i="1"/>
  <c r="Q915" i="1"/>
  <c r="Q428" i="1"/>
  <c r="Q770" i="1"/>
  <c r="Q870" i="1"/>
  <c r="Q643" i="1"/>
  <c r="Q309" i="1"/>
  <c r="Q708" i="1"/>
  <c r="Q451" i="1"/>
  <c r="Q767" i="1"/>
  <c r="Q572" i="1"/>
  <c r="Q986" i="1"/>
  <c r="Q930" i="1"/>
  <c r="Q758" i="1"/>
  <c r="Q561" i="1"/>
  <c r="Q36" i="1"/>
  <c r="Q534" i="1"/>
  <c r="Q281" i="1"/>
  <c r="Q718" i="1"/>
  <c r="Q513" i="1"/>
  <c r="Q893" i="1"/>
  <c r="Q837" i="1"/>
  <c r="Q781" i="1"/>
  <c r="Q717" i="1"/>
  <c r="Q661" i="1"/>
  <c r="Q591" i="1"/>
  <c r="Q405" i="1"/>
  <c r="Q85" i="1"/>
  <c r="Q26" i="1"/>
  <c r="Q458" i="1"/>
  <c r="Q243" i="1"/>
  <c r="Q440" i="1"/>
  <c r="Q242" i="1"/>
  <c r="Q400" i="1"/>
  <c r="Q224" i="1"/>
  <c r="Q239" i="1"/>
  <c r="Q254" i="1"/>
  <c r="Q391" i="1"/>
  <c r="Q331" i="1"/>
  <c r="Q271" i="1"/>
  <c r="Q66" i="1"/>
  <c r="Q208" i="1"/>
  <c r="Q44" i="1"/>
  <c r="Q184" i="1"/>
  <c r="Q17" i="1"/>
  <c r="Q148" i="1"/>
  <c r="Q201" i="1"/>
  <c r="Q155" i="1"/>
  <c r="Q83" i="1"/>
  <c r="Q23" i="1"/>
  <c r="Q657" i="1"/>
  <c r="Q578" i="1"/>
  <c r="Q397" i="1"/>
  <c r="Q61" i="1"/>
  <c r="Q619" i="1"/>
  <c r="Q445" i="1"/>
  <c r="Q234" i="1"/>
  <c r="Q429" i="1"/>
  <c r="Q215" i="1"/>
  <c r="Q392" i="1"/>
  <c r="Q203" i="1"/>
  <c r="Q230" i="1"/>
  <c r="Q241" i="1"/>
  <c r="Q387" i="1"/>
  <c r="Q327" i="1"/>
  <c r="Q262" i="1"/>
  <c r="Q54" i="1"/>
  <c r="Q204" i="1"/>
  <c r="Q32" i="1"/>
  <c r="Q178" i="1"/>
  <c r="Q166" i="1"/>
  <c r="Q136" i="1"/>
  <c r="Q197" i="1"/>
  <c r="Q151" i="1"/>
  <c r="Q79" i="1"/>
  <c r="Q19" i="1"/>
  <c r="P537" i="1"/>
  <c r="P445" i="1"/>
  <c r="P304" i="1"/>
  <c r="P462" i="1"/>
  <c r="P309" i="1"/>
  <c r="P592" i="1"/>
  <c r="P532" i="1"/>
  <c r="P464" i="1"/>
  <c r="P404" i="1"/>
  <c r="P344" i="1"/>
  <c r="P224" i="1"/>
  <c r="P9" i="1"/>
  <c r="P276" i="1"/>
  <c r="P387" i="1"/>
  <c r="P319" i="1"/>
  <c r="P271" i="1"/>
  <c r="P78" i="1"/>
  <c r="P38" i="1"/>
  <c r="P89" i="1"/>
  <c r="P70" i="1"/>
  <c r="P147" i="1"/>
  <c r="P87" i="1"/>
  <c r="P27" i="1"/>
  <c r="P156" i="1"/>
  <c r="P88" i="1"/>
  <c r="Q599" i="1"/>
  <c r="Q936" i="1"/>
  <c r="Q760" i="1"/>
  <c r="Q60" i="1"/>
  <c r="Q855" i="1"/>
  <c r="Q474" i="1"/>
  <c r="Q642" i="1"/>
  <c r="Q969" i="1"/>
  <c r="Q794" i="1"/>
  <c r="Q402" i="1"/>
  <c r="Q890" i="1"/>
  <c r="Q231" i="1"/>
  <c r="Q728" i="1"/>
  <c r="Q835" i="1"/>
  <c r="Q606" i="1"/>
  <c r="Q221" i="1"/>
  <c r="Q647" i="1"/>
  <c r="Q308" i="1"/>
  <c r="Q732" i="1"/>
  <c r="Q535" i="1"/>
  <c r="Q978" i="1"/>
  <c r="Q914" i="1"/>
  <c r="Q723" i="1"/>
  <c r="Q540" i="1"/>
  <c r="Q740" i="1"/>
  <c r="Q524" i="1"/>
  <c r="Q33" i="1"/>
  <c r="Q683" i="1"/>
  <c r="Q463" i="1"/>
  <c r="Q885" i="1"/>
  <c r="Q829" i="1"/>
  <c r="Q765" i="1"/>
  <c r="Q709" i="1"/>
  <c r="Q653" i="1"/>
  <c r="Q565" i="1"/>
  <c r="Q381" i="1"/>
  <c r="Q37" i="1"/>
  <c r="Q615" i="1"/>
  <c r="Q417" i="1"/>
  <c r="Q225" i="1"/>
  <c r="Q295" i="1"/>
  <c r="Q144" i="1"/>
  <c r="Q384" i="1"/>
  <c r="Q165" i="1"/>
  <c r="Q211" i="1"/>
  <c r="Q228" i="1"/>
  <c r="Q383" i="1"/>
  <c r="Q319" i="1"/>
  <c r="Q249" i="1"/>
  <c r="Q42" i="1"/>
  <c r="Q196" i="1"/>
  <c r="Q20" i="1"/>
  <c r="Q173" i="1"/>
  <c r="Q142" i="1"/>
  <c r="Q124" i="1"/>
  <c r="Q193" i="1"/>
  <c r="Q143" i="1"/>
  <c r="Q75" i="1"/>
  <c r="Q15" i="1"/>
  <c r="Q649" i="1"/>
  <c r="Q552" i="1"/>
  <c r="Q357" i="1"/>
  <c r="Q13" i="1"/>
  <c r="Q602" i="1"/>
  <c r="Q393" i="1"/>
  <c r="Q169" i="1"/>
  <c r="Q286" i="1"/>
  <c r="Q72" i="1"/>
  <c r="Q376" i="1"/>
  <c r="Q141" i="1"/>
  <c r="Q298" i="1"/>
  <c r="Q439" i="1"/>
  <c r="Q379" i="1"/>
  <c r="Q293" i="1"/>
  <c r="Q236" i="1"/>
  <c r="Q30" i="1"/>
  <c r="Q181" i="1"/>
  <c r="Q8" i="1"/>
  <c r="Q161" i="1"/>
  <c r="Q106" i="1"/>
  <c r="Q112" i="1"/>
  <c r="Q188" i="1"/>
  <c r="Q131" i="1"/>
  <c r="Q71" i="1"/>
  <c r="Q11" i="1"/>
  <c r="Q645" i="1"/>
  <c r="Q543" i="1"/>
  <c r="Q349" i="1"/>
  <c r="Q454" i="1"/>
  <c r="Q589" i="1"/>
  <c r="Q385" i="1"/>
  <c r="Q145" i="1"/>
  <c r="Q260" i="1"/>
  <c r="Q48" i="1"/>
  <c r="Q368" i="1"/>
  <c r="Q117" i="1"/>
  <c r="Q285" i="1"/>
  <c r="Q435" i="1"/>
  <c r="Q375" i="1"/>
  <c r="Q280" i="1"/>
  <c r="Q207" i="1"/>
  <c r="Q18" i="1"/>
  <c r="Q176" i="1"/>
  <c r="Q5" i="1"/>
  <c r="Q149" i="1"/>
  <c r="Q94" i="1"/>
  <c r="Q100" i="1"/>
  <c r="Q182" i="1"/>
  <c r="Q127" i="1"/>
  <c r="Q67" i="1"/>
  <c r="Q7" i="1"/>
  <c r="O370" i="1"/>
  <c r="O396" i="1"/>
  <c r="O596" i="1"/>
  <c r="O597" i="1"/>
  <c r="O694" i="1"/>
  <c r="O793" i="1"/>
  <c r="O122" i="1"/>
  <c r="O266" i="1"/>
  <c r="O410" i="1"/>
  <c r="O554" i="1"/>
  <c r="O698" i="1"/>
  <c r="O842" i="1"/>
  <c r="O986" i="1"/>
  <c r="O123" i="1"/>
  <c r="O267" i="1"/>
  <c r="O411" i="1"/>
  <c r="O555" i="1"/>
  <c r="O699" i="1"/>
  <c r="O843" i="1"/>
  <c r="O987" i="1"/>
  <c r="O124" i="1"/>
  <c r="O268" i="1"/>
  <c r="O412" i="1"/>
  <c r="O556" i="1"/>
  <c r="O700" i="1"/>
  <c r="O844" i="1"/>
  <c r="O5" i="1"/>
  <c r="O149" i="1"/>
  <c r="O134" i="1"/>
  <c r="O278" i="1"/>
  <c r="O422" i="1"/>
  <c r="O566" i="1"/>
  <c r="O710" i="1"/>
  <c r="O854" i="1"/>
  <c r="O998" i="1"/>
  <c r="O135" i="1"/>
  <c r="O279" i="1"/>
  <c r="O423" i="1"/>
  <c r="O567" i="1"/>
  <c r="O711" i="1"/>
  <c r="O855" i="1"/>
  <c r="O999" i="1"/>
  <c r="O136" i="1"/>
  <c r="O280" i="1"/>
  <c r="O424" i="1"/>
  <c r="O568" i="1"/>
  <c r="O712" i="1"/>
  <c r="O856" i="1"/>
  <c r="O17" i="1"/>
  <c r="O38" i="1"/>
  <c r="O206" i="1"/>
  <c r="O374" i="1"/>
  <c r="O542" i="1"/>
  <c r="O734" i="1"/>
  <c r="O902" i="1"/>
  <c r="O63" i="1"/>
  <c r="O231" i="1"/>
  <c r="O399" i="1"/>
  <c r="O591" i="1"/>
  <c r="O759" i="1"/>
  <c r="O927" i="1"/>
  <c r="O88" i="1"/>
  <c r="O256" i="1"/>
  <c r="O448" i="1"/>
  <c r="O616" i="1"/>
  <c r="O784" i="1"/>
  <c r="O952" i="1"/>
  <c r="O137" i="1"/>
  <c r="O293" i="1"/>
  <c r="O437" i="1"/>
  <c r="O581" i="1"/>
  <c r="O725" i="1"/>
  <c r="O6" i="1"/>
  <c r="O150" i="1"/>
  <c r="O294" i="1"/>
  <c r="O438" i="1"/>
  <c r="O582" i="1"/>
  <c r="O726" i="1"/>
  <c r="O7" i="1"/>
  <c r="O151" i="1"/>
  <c r="O295" i="1"/>
  <c r="O439" i="1"/>
  <c r="O583" i="1"/>
  <c r="O727" i="1"/>
  <c r="O11" i="1"/>
  <c r="O155" i="1"/>
  <c r="O299" i="1"/>
  <c r="O443" i="1"/>
  <c r="O587" i="1"/>
  <c r="O731" i="1"/>
  <c r="O875" i="1"/>
  <c r="O8" i="1"/>
  <c r="O349" i="1"/>
  <c r="O696" i="1"/>
  <c r="O977" i="1"/>
  <c r="O298" i="1"/>
  <c r="O645" i="1"/>
  <c r="O943" i="1"/>
  <c r="O241" i="1"/>
  <c r="O588" i="1"/>
  <c r="O908" i="1"/>
  <c r="O201" i="1"/>
  <c r="O548" i="1"/>
  <c r="O882" i="1"/>
  <c r="O144" i="1"/>
  <c r="O490" i="1"/>
  <c r="O837" i="1"/>
  <c r="O106" i="1"/>
  <c r="O697" i="1"/>
  <c r="O164" i="1"/>
  <c r="O753" i="1"/>
  <c r="O216" i="1"/>
  <c r="O802" i="1"/>
  <c r="O312" i="1"/>
  <c r="O894" i="1"/>
  <c r="O420" i="1"/>
  <c r="O956" i="1"/>
  <c r="O538" i="1"/>
  <c r="O24" i="1"/>
  <c r="O132" i="1"/>
  <c r="O236" i="1"/>
  <c r="O336" i="1"/>
  <c r="O445" i="1"/>
  <c r="O585" i="1"/>
  <c r="O80" i="1"/>
  <c r="O82" i="1"/>
  <c r="O189" i="1"/>
  <c r="O572" i="1"/>
  <c r="O110" i="1"/>
  <c r="O302" i="1"/>
  <c r="O470" i="1"/>
  <c r="O638" i="1"/>
  <c r="O806" i="1"/>
  <c r="O974" i="1"/>
  <c r="O159" i="1"/>
  <c r="O327" i="1"/>
  <c r="O495" i="1"/>
  <c r="O663" i="1"/>
  <c r="O831" i="1"/>
  <c r="O16" i="1"/>
  <c r="O184" i="1"/>
  <c r="O352" i="1"/>
  <c r="O520" i="1"/>
  <c r="O688" i="1"/>
  <c r="O880" i="1"/>
  <c r="O65" i="1"/>
  <c r="O221" i="1"/>
  <c r="O365" i="1"/>
  <c r="O509" i="1"/>
  <c r="O653" i="1"/>
  <c r="O797" i="1"/>
  <c r="O78" i="1"/>
  <c r="O222" i="1"/>
  <c r="O366" i="1"/>
  <c r="O510" i="1"/>
  <c r="O654" i="1"/>
  <c r="O798" i="1"/>
  <c r="O79" i="1"/>
  <c r="O223" i="1"/>
  <c r="O367" i="1"/>
  <c r="O511" i="1"/>
  <c r="O655" i="1"/>
  <c r="O799" i="1"/>
  <c r="O83" i="1"/>
  <c r="O227" i="1"/>
  <c r="O371" i="1"/>
  <c r="O515" i="1"/>
  <c r="O659" i="1"/>
  <c r="O803" i="1"/>
  <c r="O947" i="1"/>
  <c r="O178" i="1"/>
  <c r="O525" i="1"/>
  <c r="O869" i="1"/>
  <c r="O128" i="1"/>
  <c r="O469" i="1"/>
  <c r="O816" i="1"/>
  <c r="O70" i="1"/>
  <c r="O86" i="1"/>
  <c r="O314" i="1"/>
  <c r="O506" i="1"/>
  <c r="O722" i="1"/>
  <c r="O926" i="1"/>
  <c r="O111" i="1"/>
  <c r="O339" i="1"/>
  <c r="O531" i="1"/>
  <c r="O747" i="1"/>
  <c r="O951" i="1"/>
  <c r="O160" i="1"/>
  <c r="O364" i="1"/>
  <c r="O580" i="1"/>
  <c r="O772" i="1"/>
  <c r="O976" i="1"/>
  <c r="O197" i="1"/>
  <c r="O377" i="1"/>
  <c r="O545" i="1"/>
  <c r="O713" i="1"/>
  <c r="O30" i="1"/>
  <c r="O198" i="1"/>
  <c r="O378" i="1"/>
  <c r="O546" i="1"/>
  <c r="O714" i="1"/>
  <c r="O31" i="1"/>
  <c r="O199" i="1"/>
  <c r="O379" i="1"/>
  <c r="O547" i="1"/>
  <c r="O715" i="1"/>
  <c r="O35" i="1"/>
  <c r="O203" i="1"/>
  <c r="O383" i="1"/>
  <c r="O551" i="1"/>
  <c r="O719" i="1"/>
  <c r="O899" i="1"/>
  <c r="O120" i="1"/>
  <c r="O552" i="1"/>
  <c r="O921" i="1"/>
  <c r="O272" i="1"/>
  <c r="O704" i="1"/>
  <c r="O12" i="1"/>
  <c r="O417" i="1"/>
  <c r="O790" i="1"/>
  <c r="O84" i="1"/>
  <c r="O457" i="1"/>
  <c r="O836" i="1"/>
  <c r="O117" i="1"/>
  <c r="O517" i="1"/>
  <c r="O883" i="1"/>
  <c r="O252" i="1"/>
  <c r="O884" i="1"/>
  <c r="O406" i="1"/>
  <c r="O981" i="1"/>
  <c r="O562" i="1"/>
  <c r="O118" i="1"/>
  <c r="O765" i="1"/>
  <c r="O321" i="1"/>
  <c r="O929" i="1"/>
  <c r="O589" i="1"/>
  <c r="O225" i="1"/>
  <c r="O428" i="1"/>
  <c r="O625" i="1"/>
  <c r="O828" i="1"/>
  <c r="O969" i="1"/>
  <c r="O250" i="1"/>
  <c r="O478" i="1"/>
  <c r="O685" i="1"/>
  <c r="O912" i="1"/>
  <c r="O98" i="1"/>
  <c r="O326" i="1"/>
  <c r="O518" i="1"/>
  <c r="O746" i="1"/>
  <c r="O938" i="1"/>
  <c r="O147" i="1"/>
  <c r="O351" i="1"/>
  <c r="O543" i="1"/>
  <c r="O771" i="1"/>
  <c r="O963" i="1"/>
  <c r="O172" i="1"/>
  <c r="O376" i="1"/>
  <c r="O592" i="1"/>
  <c r="O796" i="1"/>
  <c r="O29" i="1"/>
  <c r="O209" i="1"/>
  <c r="O389" i="1"/>
  <c r="O557" i="1"/>
  <c r="O737" i="1"/>
  <c r="O42" i="1"/>
  <c r="O210" i="1"/>
  <c r="O390" i="1"/>
  <c r="O558" i="1"/>
  <c r="O738" i="1"/>
  <c r="O43" i="1"/>
  <c r="O211" i="1"/>
  <c r="O391" i="1"/>
  <c r="O559" i="1"/>
  <c r="O739" i="1"/>
  <c r="O47" i="1"/>
  <c r="O215" i="1"/>
  <c r="O395" i="1"/>
  <c r="O563" i="1"/>
  <c r="O743" i="1"/>
  <c r="O911" i="1"/>
  <c r="O152" i="1"/>
  <c r="O584" i="1"/>
  <c r="O941" i="1"/>
  <c r="O325" i="1"/>
  <c r="O730" i="1"/>
  <c r="O44" i="1"/>
  <c r="O444" i="1"/>
  <c r="O817" i="1"/>
  <c r="O116" i="1"/>
  <c r="O489" i="1"/>
  <c r="O862" i="1"/>
  <c r="O176" i="1"/>
  <c r="O549" i="1"/>
  <c r="O900" i="1"/>
  <c r="O308" i="1"/>
  <c r="O913" i="1"/>
  <c r="O454" i="1"/>
  <c r="O1006" i="1"/>
  <c r="O609" i="1"/>
  <c r="O166" i="1"/>
  <c r="O812" i="1"/>
  <c r="O369" i="1"/>
  <c r="O985" i="1"/>
  <c r="O636" i="1"/>
  <c r="O324" i="1"/>
  <c r="O526" i="1"/>
  <c r="O729" i="1"/>
  <c r="O906" i="1"/>
  <c r="O92" i="1"/>
  <c r="O452" i="1"/>
  <c r="O680" i="1"/>
  <c r="O877" i="1"/>
  <c r="O177" i="1"/>
  <c r="O768" i="1"/>
  <c r="O146" i="1"/>
  <c r="O338" i="1"/>
  <c r="O530" i="1"/>
  <c r="O758" i="1"/>
  <c r="O950" i="1"/>
  <c r="O171" i="1"/>
  <c r="O363" i="1"/>
  <c r="O579" i="1"/>
  <c r="O783" i="1"/>
  <c r="O975" i="1"/>
  <c r="O196" i="1"/>
  <c r="O388" i="1"/>
  <c r="O604" i="1"/>
  <c r="O808" i="1"/>
  <c r="O41" i="1"/>
  <c r="O233" i="1"/>
  <c r="O401" i="1"/>
  <c r="O569" i="1"/>
  <c r="O749" i="1"/>
  <c r="O54" i="1"/>
  <c r="O234" i="1"/>
  <c r="O402" i="1"/>
  <c r="O570" i="1"/>
  <c r="O750" i="1"/>
  <c r="O55" i="1"/>
  <c r="O235" i="1"/>
  <c r="O403" i="1"/>
  <c r="O571" i="1"/>
  <c r="O751" i="1"/>
  <c r="O59" i="1"/>
  <c r="O239" i="1"/>
  <c r="O407" i="1"/>
  <c r="O575" i="1"/>
  <c r="O755" i="1"/>
  <c r="O923" i="1"/>
  <c r="O205" i="1"/>
  <c r="O610" i="1"/>
  <c r="O957" i="1"/>
  <c r="O357" i="1"/>
  <c r="O757" i="1"/>
  <c r="O97" i="1"/>
  <c r="O476" i="1"/>
  <c r="O849" i="1"/>
  <c r="O142" i="1"/>
  <c r="O516" i="1"/>
  <c r="O898" i="1"/>
  <c r="O202" i="1"/>
  <c r="O576" i="1"/>
  <c r="O919" i="1"/>
  <c r="O356" i="1"/>
  <c r="O946" i="1"/>
  <c r="O505" i="1"/>
  <c r="O20" i="1"/>
  <c r="O657" i="1"/>
  <c r="O217" i="1"/>
  <c r="O860" i="1"/>
  <c r="O468" i="1"/>
  <c r="O46" i="1"/>
  <c r="O684" i="1"/>
  <c r="O421" i="1"/>
  <c r="O624" i="1"/>
  <c r="O826" i="1"/>
  <c r="O967" i="1"/>
  <c r="O190" i="1"/>
  <c r="O648" i="1"/>
  <c r="O870" i="1"/>
  <c r="O1001" i="1"/>
  <c r="O930" i="1"/>
  <c r="O158" i="1"/>
  <c r="O350" i="1"/>
  <c r="O578" i="1"/>
  <c r="O770" i="1"/>
  <c r="O962" i="1"/>
  <c r="O183" i="1"/>
  <c r="O375" i="1"/>
  <c r="O603" i="1"/>
  <c r="O795" i="1"/>
  <c r="O4" i="1"/>
  <c r="O208" i="1"/>
  <c r="O400" i="1"/>
  <c r="O628" i="1"/>
  <c r="O820" i="1"/>
  <c r="O53" i="1"/>
  <c r="O245" i="1"/>
  <c r="O413" i="1"/>
  <c r="O593" i="1"/>
  <c r="O761" i="1"/>
  <c r="O66" i="1"/>
  <c r="O246" i="1"/>
  <c r="O414" i="1"/>
  <c r="O594" i="1"/>
  <c r="O762" i="1"/>
  <c r="O67" i="1"/>
  <c r="O247" i="1"/>
  <c r="O415" i="1"/>
  <c r="O595" i="1"/>
  <c r="O763" i="1"/>
  <c r="O71" i="1"/>
  <c r="O251" i="1"/>
  <c r="O419" i="1"/>
  <c r="O599" i="1"/>
  <c r="O767" i="1"/>
  <c r="O935" i="1"/>
  <c r="O237" i="1"/>
  <c r="O637" i="1"/>
  <c r="O992" i="1"/>
  <c r="O384" i="1"/>
  <c r="O789" i="1"/>
  <c r="O129" i="1"/>
  <c r="O502" i="1"/>
  <c r="O872" i="1"/>
  <c r="O169" i="1"/>
  <c r="O574" i="1"/>
  <c r="O918" i="1"/>
  <c r="O229" i="1"/>
  <c r="O608" i="1"/>
  <c r="O936" i="1"/>
  <c r="O397" i="1"/>
  <c r="O978" i="1"/>
  <c r="O553" i="1"/>
  <c r="O68" i="1"/>
  <c r="O708" i="1"/>
  <c r="O265" i="1"/>
  <c r="O922" i="1"/>
  <c r="O514" i="1"/>
  <c r="O94" i="1"/>
  <c r="O740" i="1"/>
  <c r="O524" i="1"/>
  <c r="O721" i="1"/>
  <c r="O901" i="1"/>
  <c r="O48" i="1"/>
  <c r="O285" i="1"/>
  <c r="O841" i="1"/>
  <c r="O991" i="1"/>
  <c r="O382" i="1"/>
  <c r="O180" i="1"/>
  <c r="O742" i="1"/>
  <c r="O50" i="1"/>
  <c r="O242" i="1"/>
  <c r="O458" i="1"/>
  <c r="O662" i="1"/>
  <c r="O878" i="1"/>
  <c r="O75" i="1"/>
  <c r="O291" i="1"/>
  <c r="O483" i="1"/>
  <c r="O687" i="1"/>
  <c r="O903" i="1"/>
  <c r="O100" i="1"/>
  <c r="O316" i="1"/>
  <c r="O508" i="1"/>
  <c r="O736" i="1"/>
  <c r="O928" i="1"/>
  <c r="O161" i="1"/>
  <c r="O329" i="1"/>
  <c r="O497" i="1"/>
  <c r="O677" i="1"/>
  <c r="O845" i="1"/>
  <c r="O162" i="1"/>
  <c r="O330" i="1"/>
  <c r="O498" i="1"/>
  <c r="O678" i="1"/>
  <c r="O846" i="1"/>
  <c r="O163" i="1"/>
  <c r="O331" i="1"/>
  <c r="O499" i="1"/>
  <c r="O679" i="1"/>
  <c r="O847" i="1"/>
  <c r="O167" i="1"/>
  <c r="O335" i="1"/>
  <c r="O503" i="1"/>
  <c r="O683" i="1"/>
  <c r="O851" i="1"/>
  <c r="O34" i="1"/>
  <c r="O440" i="1"/>
  <c r="O840" i="1"/>
  <c r="O181" i="1"/>
  <c r="O586" i="1"/>
  <c r="O960" i="1"/>
  <c r="O332" i="1"/>
  <c r="O705" i="1"/>
  <c r="O996" i="1"/>
  <c r="O372" i="1"/>
  <c r="O745" i="1"/>
  <c r="O32" i="1"/>
  <c r="O405" i="1"/>
  <c r="O778" i="1"/>
  <c r="O56" i="1"/>
  <c r="O744" i="1"/>
  <c r="O253" i="1"/>
  <c r="O886" i="1"/>
  <c r="O409" i="1"/>
  <c r="O982" i="1"/>
  <c r="O612" i="1"/>
  <c r="O168" i="1"/>
  <c r="O814" i="1"/>
  <c r="O393" i="1"/>
  <c r="O968" i="1"/>
  <c r="O33" i="1"/>
  <c r="O334" i="1"/>
  <c r="O537" i="1"/>
  <c r="O741" i="1"/>
  <c r="O933" i="1"/>
  <c r="O988" i="1"/>
  <c r="O104" i="1"/>
  <c r="O881" i="1"/>
  <c r="O792" i="1"/>
  <c r="O62" i="1"/>
  <c r="O254" i="1"/>
  <c r="O482" i="1"/>
  <c r="O674" i="1"/>
  <c r="O890" i="1"/>
  <c r="O87" i="1"/>
  <c r="O303" i="1"/>
  <c r="O507" i="1"/>
  <c r="O723" i="1"/>
  <c r="O915" i="1"/>
  <c r="O112" i="1"/>
  <c r="O328" i="1"/>
  <c r="O532" i="1"/>
  <c r="O748" i="1"/>
  <c r="O940" i="1"/>
  <c r="O173" i="1"/>
  <c r="O341" i="1"/>
  <c r="O521" i="1"/>
  <c r="O689" i="1"/>
  <c r="O857" i="1"/>
  <c r="O174" i="1"/>
  <c r="O342" i="1"/>
  <c r="O522" i="1"/>
  <c r="O690" i="1"/>
  <c r="O858" i="1"/>
  <c r="O175" i="1"/>
  <c r="O343" i="1"/>
  <c r="O523" i="1"/>
  <c r="O691" i="1"/>
  <c r="O859" i="1"/>
  <c r="O179" i="1"/>
  <c r="O347" i="1"/>
  <c r="O527" i="1"/>
  <c r="O695" i="1"/>
  <c r="O863" i="1"/>
  <c r="O61" i="1"/>
  <c r="O466" i="1"/>
  <c r="O885" i="1"/>
  <c r="O213" i="1"/>
  <c r="O613" i="1"/>
  <c r="O979" i="1"/>
  <c r="O358" i="1"/>
  <c r="O732" i="1"/>
  <c r="O25" i="1"/>
  <c r="O404" i="1"/>
  <c r="O777" i="1"/>
  <c r="O58" i="1"/>
  <c r="O432" i="1"/>
  <c r="O805" i="1"/>
  <c r="O157" i="1"/>
  <c r="O800" i="1"/>
  <c r="O309" i="1"/>
  <c r="O917" i="1"/>
  <c r="O456" i="1"/>
  <c r="O21" i="1"/>
  <c r="O658" i="1"/>
  <c r="O224" i="1"/>
  <c r="O861" i="1"/>
  <c r="O441" i="1"/>
  <c r="O1000" i="1"/>
  <c r="O226" i="1"/>
  <c r="O429" i="1"/>
  <c r="O632" i="1"/>
  <c r="O838" i="1"/>
  <c r="O997" i="1"/>
  <c r="O81" i="1"/>
  <c r="O297" i="1"/>
  <c r="O153" i="1"/>
  <c r="O194" i="1"/>
  <c r="O614" i="1"/>
  <c r="O27" i="1"/>
  <c r="O447" i="1"/>
  <c r="O867" i="1"/>
  <c r="O244" i="1"/>
  <c r="O664" i="1"/>
  <c r="O101" i="1"/>
  <c r="O461" i="1"/>
  <c r="O809" i="1"/>
  <c r="O282" i="1"/>
  <c r="O630" i="1"/>
  <c r="O115" i="1"/>
  <c r="O463" i="1"/>
  <c r="O811" i="1"/>
  <c r="O287" i="1"/>
  <c r="O635" i="1"/>
  <c r="O983" i="1"/>
  <c r="O754" i="1"/>
  <c r="O501" i="1"/>
  <c r="O214" i="1"/>
  <c r="O944" i="1"/>
  <c r="O660" i="1"/>
  <c r="O320" i="1"/>
  <c r="O990" i="1"/>
  <c r="O60" i="1"/>
  <c r="O262" i="1"/>
  <c r="O465" i="1"/>
  <c r="O668" i="1"/>
  <c r="O876" i="1"/>
  <c r="O965" i="1"/>
  <c r="O344" i="1"/>
  <c r="O477" i="1"/>
  <c r="O932" i="1"/>
  <c r="O218" i="1"/>
  <c r="O626" i="1"/>
  <c r="O39" i="1"/>
  <c r="O459" i="1"/>
  <c r="O879" i="1"/>
  <c r="O292" i="1"/>
  <c r="O676" i="1"/>
  <c r="O113" i="1"/>
  <c r="O473" i="1"/>
  <c r="O821" i="1"/>
  <c r="O306" i="1"/>
  <c r="O642" i="1"/>
  <c r="O127" i="1"/>
  <c r="O475" i="1"/>
  <c r="O823" i="1"/>
  <c r="O311" i="1"/>
  <c r="O647" i="1"/>
  <c r="O995" i="1"/>
  <c r="O781" i="1"/>
  <c r="O528" i="1"/>
  <c r="O273" i="1"/>
  <c r="O961" i="1"/>
  <c r="O692" i="1"/>
  <c r="O346" i="1"/>
  <c r="O1005" i="1"/>
  <c r="O108" i="1"/>
  <c r="O310" i="1"/>
  <c r="O513" i="1"/>
  <c r="O716" i="1"/>
  <c r="O909" i="1"/>
  <c r="O36" i="1"/>
  <c r="O540" i="1"/>
  <c r="O670" i="1"/>
  <c r="O105" i="1"/>
  <c r="O230" i="1"/>
  <c r="O650" i="1"/>
  <c r="O51" i="1"/>
  <c r="O471" i="1"/>
  <c r="O891" i="1"/>
  <c r="O304" i="1"/>
  <c r="O724" i="1"/>
  <c r="O125" i="1"/>
  <c r="O485" i="1"/>
  <c r="O833" i="1"/>
  <c r="O318" i="1"/>
  <c r="O666" i="1"/>
  <c r="O139" i="1"/>
  <c r="O487" i="1"/>
  <c r="O835" i="1"/>
  <c r="O323" i="1"/>
  <c r="O671" i="1"/>
  <c r="O2" i="1"/>
  <c r="O813" i="1"/>
  <c r="O560" i="1"/>
  <c r="O300" i="1"/>
  <c r="O980" i="1"/>
  <c r="O718" i="1"/>
  <c r="O373" i="1"/>
  <c r="O9" i="1"/>
  <c r="O212" i="1"/>
  <c r="O361" i="1"/>
  <c r="O564" i="1"/>
  <c r="O766" i="1"/>
  <c r="O937" i="1"/>
  <c r="O133" i="1"/>
  <c r="O644" i="1"/>
  <c r="O865" i="1"/>
  <c r="O500" i="1"/>
  <c r="O290" i="1"/>
  <c r="O686" i="1"/>
  <c r="O99" i="1"/>
  <c r="O519" i="1"/>
  <c r="O939" i="1"/>
  <c r="O340" i="1"/>
  <c r="O760" i="1"/>
  <c r="O185" i="1"/>
  <c r="O533" i="1"/>
  <c r="O18" i="1"/>
  <c r="O354" i="1"/>
  <c r="O702" i="1"/>
  <c r="O187" i="1"/>
  <c r="O535" i="1"/>
  <c r="O23" i="1"/>
  <c r="O359" i="1"/>
  <c r="O707" i="1"/>
  <c r="O93" i="1"/>
  <c r="O905" i="1"/>
  <c r="O672" i="1"/>
  <c r="O385" i="1"/>
  <c r="O57" i="1"/>
  <c r="O804" i="1"/>
  <c r="O464" i="1"/>
  <c r="O204" i="1"/>
  <c r="O360" i="1"/>
  <c r="O512" i="1"/>
  <c r="O709" i="1"/>
  <c r="O895" i="1"/>
  <c r="O130" i="1"/>
  <c r="O536" i="1"/>
  <c r="O910" i="1"/>
  <c r="O277" i="1"/>
  <c r="O541" i="1"/>
  <c r="O1002" i="1"/>
  <c r="O14" i="1"/>
  <c r="O434" i="1"/>
  <c r="O830" i="1"/>
  <c r="O243" i="1"/>
  <c r="O651" i="1"/>
  <c r="O64" i="1"/>
  <c r="O484" i="1"/>
  <c r="O904" i="1"/>
  <c r="O305" i="1"/>
  <c r="O641" i="1"/>
  <c r="O126" i="1"/>
  <c r="O474" i="1"/>
  <c r="O822" i="1"/>
  <c r="O307" i="1"/>
  <c r="O643" i="1"/>
  <c r="O131" i="1"/>
  <c r="O479" i="1"/>
  <c r="O827" i="1"/>
  <c r="O381" i="1"/>
  <c r="O96" i="1"/>
  <c r="O907" i="1"/>
  <c r="O646" i="1"/>
  <c r="O313" i="1"/>
  <c r="O989" i="1"/>
  <c r="O720" i="1"/>
  <c r="O598" i="1"/>
  <c r="O801" i="1"/>
  <c r="O920" i="1"/>
  <c r="O73" i="1"/>
  <c r="O289" i="1"/>
  <c r="O896" i="1"/>
  <c r="O238" i="1"/>
  <c r="O780" i="1"/>
  <c r="O873" i="1"/>
  <c r="O769" i="1"/>
  <c r="O74" i="1"/>
  <c r="O494" i="1"/>
  <c r="O914" i="1"/>
  <c r="O315" i="1"/>
  <c r="O735" i="1"/>
  <c r="O148" i="1"/>
  <c r="O544" i="1"/>
  <c r="O964" i="1"/>
  <c r="O353" i="1"/>
  <c r="O701" i="1"/>
  <c r="O186" i="1"/>
  <c r="O534" i="1"/>
  <c r="O19" i="1"/>
  <c r="O355" i="1"/>
  <c r="O703" i="1"/>
  <c r="O191" i="1"/>
  <c r="O539" i="1"/>
  <c r="O887" i="1"/>
  <c r="O493" i="1"/>
  <c r="O240" i="1"/>
  <c r="O994" i="1"/>
  <c r="O764" i="1"/>
  <c r="O430" i="1"/>
  <c r="O85" i="1"/>
  <c r="O864" i="1"/>
  <c r="O850" i="1"/>
  <c r="O948" i="1"/>
  <c r="O72" i="1"/>
  <c r="O274" i="1"/>
  <c r="O488" i="1"/>
  <c r="O333" i="1"/>
  <c r="O733" i="1"/>
  <c r="O49" i="1"/>
  <c r="O492" i="1"/>
  <c r="O942" i="1"/>
  <c r="O480" i="1"/>
  <c r="O192" i="1"/>
  <c r="O504" i="1"/>
  <c r="O561" i="1"/>
  <c r="O791" i="1"/>
  <c r="O271" i="1"/>
  <c r="O868" i="1"/>
  <c r="O348" i="1"/>
  <c r="R600" i="1"/>
  <c r="O284" i="1"/>
  <c r="O966" i="1"/>
  <c r="O141" i="1"/>
  <c r="O756" i="1"/>
  <c r="O453" i="1"/>
  <c r="O934" i="1"/>
  <c r="O529" i="1"/>
  <c r="O10" i="1"/>
  <c r="O779" i="1"/>
  <c r="O95" i="1"/>
  <c r="O259" i="1"/>
  <c r="O426" i="1"/>
  <c r="O605" i="1"/>
  <c r="O832" i="1"/>
  <c r="O28" i="1"/>
  <c r="O195" i="1"/>
  <c r="O362" i="1"/>
  <c r="O380" i="1"/>
  <c r="O693" i="1"/>
  <c r="O114" i="1"/>
  <c r="O301" i="1"/>
  <c r="O45" i="1"/>
  <c r="O853" i="1"/>
  <c r="O954" i="1"/>
  <c r="O37" i="1"/>
  <c r="O107" i="1"/>
  <c r="O450" i="1"/>
  <c r="O617" i="1"/>
  <c r="O40" i="1"/>
  <c r="O207" i="1"/>
  <c r="O386" i="1"/>
  <c r="R530" i="1"/>
  <c r="R863" i="1"/>
  <c r="R800" i="1"/>
  <c r="R730" i="1"/>
  <c r="R734" i="1"/>
  <c r="R982" i="1"/>
  <c r="R793" i="1"/>
  <c r="R299" i="1"/>
  <c r="R555" i="1"/>
  <c r="R602" i="1"/>
  <c r="R937" i="1"/>
  <c r="R661" i="1"/>
  <c r="R499" i="1"/>
  <c r="R484" i="1"/>
  <c r="R376" i="1"/>
  <c r="R401" i="1"/>
  <c r="R133" i="1"/>
  <c r="R379" i="1"/>
  <c r="R91" i="1"/>
  <c r="R275" i="1"/>
  <c r="R292" i="1"/>
  <c r="R218" i="1"/>
  <c r="R29" i="1"/>
  <c r="R93" i="1"/>
  <c r="R96" i="1"/>
  <c r="R676" i="1"/>
  <c r="R531" i="1"/>
  <c r="R219" i="1"/>
  <c r="R620" i="1"/>
  <c r="O276" i="1"/>
  <c r="O897" i="1"/>
  <c r="O621" i="1"/>
  <c r="O165" i="1"/>
  <c r="O972" i="1"/>
  <c r="O633" i="1"/>
  <c r="O188" i="1"/>
  <c r="O728" i="1"/>
  <c r="O623" i="1"/>
  <c r="O787" i="1"/>
  <c r="O103" i="1"/>
  <c r="O270" i="1"/>
  <c r="O449" i="1"/>
  <c r="O652" i="1"/>
  <c r="O819" i="1"/>
  <c r="O15" i="1"/>
  <c r="O182" i="1"/>
  <c r="O200" i="1"/>
  <c r="O22" i="1"/>
  <c r="O888" i="1"/>
  <c r="O810" i="1"/>
  <c r="O818" i="1"/>
  <c r="O931" i="1"/>
  <c r="O656" i="1"/>
  <c r="O296" i="1"/>
  <c r="O786" i="1"/>
  <c r="O627" i="1"/>
  <c r="O573" i="1"/>
  <c r="O392" i="1"/>
  <c r="O622" i="1"/>
  <c r="O953" i="1"/>
  <c r="O600" i="1"/>
  <c r="O634" i="1"/>
  <c r="O228" i="1"/>
  <c r="O848" i="1"/>
  <c r="O264" i="1"/>
  <c r="O431" i="1"/>
  <c r="O607" i="1"/>
  <c r="O774" i="1"/>
  <c r="O90" i="1"/>
  <c r="O257" i="1"/>
  <c r="O436" i="1"/>
  <c r="O615" i="1"/>
  <c r="O782" i="1"/>
  <c r="R719" i="1"/>
  <c r="R495" i="1"/>
  <c r="R1004" i="1"/>
  <c r="R887" i="1"/>
  <c r="R543" i="1"/>
  <c r="R511" i="1"/>
  <c r="R926" i="1"/>
  <c r="R627" i="1"/>
  <c r="R749" i="1"/>
  <c r="R179" i="1"/>
  <c r="R997" i="1"/>
  <c r="R844" i="1"/>
  <c r="R454" i="1"/>
  <c r="R313" i="1"/>
  <c r="R277" i="1"/>
  <c r="R461" i="1"/>
  <c r="R337" i="1"/>
  <c r="R228" i="1"/>
  <c r="R315" i="1"/>
  <c r="R174" i="1"/>
  <c r="R374" i="1"/>
  <c r="R282" i="1"/>
  <c r="R137" i="1"/>
  <c r="R10" i="1"/>
  <c r="R168" i="1"/>
  <c r="R28" i="1"/>
  <c r="R975" i="1"/>
  <c r="R824" i="1"/>
  <c r="R894" i="1"/>
  <c r="O776" i="1"/>
  <c r="O249" i="1"/>
  <c r="O829" i="1"/>
  <c r="O418" i="1"/>
  <c r="O13" i="1"/>
  <c r="O288" i="1"/>
  <c r="O925" i="1"/>
  <c r="O442" i="1"/>
  <c r="O971" i="1"/>
  <c r="O275" i="1"/>
  <c r="O451" i="1"/>
  <c r="O618" i="1"/>
  <c r="O785" i="1"/>
  <c r="O89" i="1"/>
  <c r="O232" i="1"/>
  <c r="O435" i="1"/>
  <c r="O602" i="1"/>
  <c r="O824" i="1"/>
  <c r="O286" i="1"/>
  <c r="O631" i="1"/>
  <c r="O281" i="1"/>
  <c r="O945" i="1"/>
  <c r="O717" i="1"/>
  <c r="O661" i="1"/>
  <c r="O455" i="1"/>
  <c r="O460" i="1"/>
  <c r="R799" i="1"/>
  <c r="R520" i="1"/>
  <c r="R861" i="1"/>
  <c r="R522" i="1"/>
  <c r="R490" i="1"/>
  <c r="R914" i="1"/>
  <c r="R608" i="1"/>
  <c r="R727" i="1"/>
  <c r="R744" i="1"/>
  <c r="R985" i="1"/>
  <c r="R805" i="1"/>
  <c r="R170" i="1"/>
  <c r="R216" i="1"/>
  <c r="R215" i="1"/>
  <c r="R285" i="1"/>
  <c r="R325" i="1"/>
  <c r="R186" i="1"/>
  <c r="R267" i="1"/>
  <c r="R138" i="1"/>
  <c r="R366" i="1"/>
  <c r="R270" i="1"/>
  <c r="R113" i="1"/>
  <c r="R188" i="1"/>
  <c r="R156" i="1"/>
  <c r="R16" i="1"/>
  <c r="R999" i="1"/>
  <c r="R851" i="1"/>
  <c r="R972" i="1"/>
  <c r="O577" i="1"/>
  <c r="O145" i="1"/>
  <c r="O788" i="1"/>
  <c r="O368" i="1"/>
  <c r="O1003" i="1"/>
  <c r="O261" i="1"/>
  <c r="O889" i="1"/>
  <c r="O416" i="1"/>
  <c r="O959" i="1"/>
  <c r="O263" i="1"/>
  <c r="O427" i="1"/>
  <c r="O606" i="1"/>
  <c r="O773" i="1"/>
  <c r="O77" i="1"/>
  <c r="O220" i="1"/>
  <c r="O387" i="1"/>
  <c r="O590" i="1"/>
  <c r="O682" i="1"/>
  <c r="O322" i="1"/>
  <c r="O639" i="1"/>
  <c r="O984" i="1"/>
  <c r="O871" i="1"/>
  <c r="O619" i="1"/>
  <c r="O102" i="1"/>
  <c r="O794" i="1"/>
  <c r="R541" i="1"/>
  <c r="R839" i="1"/>
  <c r="R239" i="1"/>
  <c r="R468" i="1"/>
  <c r="R906" i="1"/>
  <c r="R561" i="1"/>
  <c r="R692" i="1"/>
  <c r="R718" i="1"/>
  <c r="R977" i="1"/>
  <c r="R783" i="1"/>
  <c r="R74" i="1"/>
  <c r="R606" i="1"/>
  <c r="R483" i="1"/>
  <c r="R187" i="1"/>
  <c r="R304" i="1"/>
  <c r="R423" i="1"/>
  <c r="R232" i="1"/>
  <c r="R102" i="1"/>
  <c r="R354" i="1"/>
  <c r="R262" i="1"/>
  <c r="R95" i="1"/>
  <c r="R165" i="1"/>
  <c r="R144" i="1"/>
  <c r="O993" i="1"/>
  <c r="O433" i="1"/>
  <c r="O337" i="1"/>
  <c r="O949" i="1"/>
  <c r="O649" i="1"/>
  <c r="O1004" i="1"/>
  <c r="O673" i="1"/>
  <c r="O154" i="1"/>
  <c r="O839" i="1"/>
  <c r="O143" i="1"/>
  <c r="O319" i="1"/>
  <c r="O486" i="1"/>
  <c r="O665" i="1"/>
  <c r="O916" i="1"/>
  <c r="O76" i="1"/>
  <c r="O255" i="1"/>
  <c r="O446" i="1"/>
  <c r="O706" i="1"/>
  <c r="O467" i="1"/>
  <c r="O472" i="1"/>
  <c r="O481" i="1"/>
  <c r="O260" i="1"/>
  <c r="O269" i="1"/>
  <c r="O193" i="1"/>
  <c r="R372" i="1"/>
  <c r="R431" i="1"/>
  <c r="R542" i="1"/>
  <c r="R563" i="1"/>
  <c r="R584" i="1"/>
  <c r="R605" i="1"/>
  <c r="R642" i="1"/>
  <c r="R677" i="1"/>
  <c r="R764" i="1"/>
  <c r="R780" i="1"/>
  <c r="R443" i="1"/>
  <c r="R630" i="1"/>
  <c r="R110" i="1"/>
  <c r="R309" i="1"/>
  <c r="R469" i="1"/>
  <c r="R643" i="1"/>
  <c r="R678" i="1"/>
  <c r="R713" i="1"/>
  <c r="R825" i="1"/>
  <c r="R865" i="1"/>
  <c r="R878" i="1"/>
  <c r="R891" i="1"/>
  <c r="R904" i="1"/>
  <c r="R916" i="1"/>
  <c r="R928" i="1"/>
  <c r="R940" i="1"/>
  <c r="R952" i="1"/>
  <c r="R964" i="1"/>
  <c r="R976" i="1"/>
  <c r="R988" i="1"/>
  <c r="R1000" i="1"/>
  <c r="R134" i="1"/>
  <c r="R767" i="1"/>
  <c r="R503" i="1"/>
  <c r="R645" i="1"/>
  <c r="R732" i="1"/>
  <c r="R766" i="1"/>
  <c r="R781" i="1"/>
  <c r="R811" i="1"/>
  <c r="R248" i="1"/>
  <c r="R438" i="1"/>
  <c r="R525" i="1"/>
  <c r="R546" i="1"/>
  <c r="R567" i="1"/>
  <c r="R588" i="1"/>
  <c r="R609" i="1"/>
  <c r="R680" i="1"/>
  <c r="R715" i="1"/>
  <c r="R750" i="1"/>
  <c r="R840" i="1"/>
  <c r="R628" i="1"/>
  <c r="R698" i="1"/>
  <c r="R827" i="1"/>
  <c r="R38" i="1"/>
  <c r="R283" i="1"/>
  <c r="R619" i="1"/>
  <c r="R654" i="1"/>
  <c r="R689" i="1"/>
  <c r="R774" i="1"/>
  <c r="R873" i="1"/>
  <c r="R886" i="1"/>
  <c r="R899" i="1"/>
  <c r="R221" i="1"/>
  <c r="R862" i="1"/>
  <c r="R888" i="1"/>
  <c r="R663" i="1"/>
  <c r="R733" i="1"/>
  <c r="R528" i="1"/>
  <c r="R814" i="1"/>
  <c r="R50" i="1"/>
  <c r="R489" i="1"/>
  <c r="R515" i="1"/>
  <c r="R536" i="1"/>
  <c r="R557" i="1"/>
  <c r="R578" i="1"/>
  <c r="R637" i="1"/>
  <c r="R724" i="1"/>
  <c r="R759" i="1"/>
  <c r="R834" i="1"/>
  <c r="R847" i="1"/>
  <c r="R860" i="1"/>
  <c r="R62" i="1"/>
  <c r="R491" i="1"/>
  <c r="R538" i="1"/>
  <c r="R559" i="1"/>
  <c r="R601" i="1"/>
  <c r="R656" i="1"/>
  <c r="R691" i="1"/>
  <c r="R726" i="1"/>
  <c r="R761" i="1"/>
  <c r="R821" i="1"/>
  <c r="R849" i="1"/>
  <c r="R875" i="1"/>
  <c r="R146" i="1"/>
  <c r="R158" i="1"/>
  <c r="R665" i="1"/>
  <c r="R752" i="1"/>
  <c r="R829" i="1"/>
  <c r="R404" i="1"/>
  <c r="R872" i="1"/>
  <c r="R923" i="1"/>
  <c r="R971" i="1"/>
  <c r="R482" i="1"/>
  <c r="R787" i="1"/>
  <c r="R898" i="1"/>
  <c r="R846" i="1"/>
  <c r="R596" i="1"/>
  <c r="R739" i="1"/>
  <c r="R859" i="1"/>
  <c r="R14" i="1"/>
  <c r="R533" i="1"/>
  <c r="R577" i="1"/>
  <c r="R340" i="1"/>
  <c r="R535" i="1"/>
  <c r="R947" i="1"/>
  <c r="R738" i="1"/>
  <c r="R512" i="1"/>
  <c r="R514" i="1"/>
  <c r="R598" i="1"/>
  <c r="R671" i="1"/>
  <c r="R741" i="1"/>
  <c r="R803" i="1"/>
  <c r="R911" i="1"/>
  <c r="R959" i="1"/>
  <c r="R703" i="1"/>
  <c r="R772" i="1"/>
  <c r="R885" i="1"/>
  <c r="R452" i="1"/>
  <c r="R554" i="1"/>
  <c r="R704" i="1"/>
  <c r="R833" i="1"/>
  <c r="R211" i="1"/>
  <c r="R456" i="1"/>
  <c r="R636" i="1"/>
  <c r="R706" i="1"/>
  <c r="R773" i="1"/>
  <c r="R935" i="1"/>
  <c r="R983" i="1"/>
  <c r="R789" i="1"/>
  <c r="R995" i="1"/>
  <c r="R668" i="1"/>
  <c r="R2" i="1"/>
  <c r="R848" i="1"/>
  <c r="R610" i="1"/>
  <c r="R996" i="1"/>
  <c r="R812" i="1"/>
  <c r="R504" i="1"/>
  <c r="R809" i="1"/>
  <c r="R615" i="1"/>
  <c r="R903" i="1"/>
  <c r="R650" i="1"/>
  <c r="R8" i="1"/>
  <c r="R56" i="1"/>
  <c r="R104" i="1"/>
  <c r="R152" i="1"/>
  <c r="R39" i="1"/>
  <c r="R111" i="1"/>
  <c r="R182" i="1"/>
  <c r="R118" i="1"/>
  <c r="R53" i="1"/>
  <c r="R125" i="1"/>
  <c r="R943" i="1"/>
  <c r="R716" i="1"/>
  <c r="R255" i="1"/>
  <c r="R828" i="1"/>
  <c r="R526" i="1"/>
  <c r="R897" i="1"/>
  <c r="R720" i="1"/>
  <c r="R237" i="1"/>
  <c r="R896" i="1"/>
  <c r="R562" i="1"/>
  <c r="R20" i="1"/>
  <c r="R72" i="1"/>
  <c r="R124" i="1"/>
  <c r="R4" i="1"/>
  <c r="R81" i="1"/>
  <c r="R159" i="1"/>
  <c r="R82" i="1"/>
  <c r="R41" i="1"/>
  <c r="R119" i="1"/>
  <c r="R194" i="1"/>
  <c r="R242" i="1"/>
  <c r="R290" i="1"/>
  <c r="R257" i="1"/>
  <c r="R350" i="1"/>
  <c r="R398" i="1"/>
  <c r="R301" i="1"/>
  <c r="R150" i="1"/>
  <c r="R19" i="1"/>
  <c r="R163" i="1"/>
  <c r="R323" i="1"/>
  <c r="R371" i="1"/>
  <c r="R419" i="1"/>
  <c r="R13" i="1"/>
  <c r="R157" i="1"/>
  <c r="R329" i="1"/>
  <c r="R377" i="1"/>
  <c r="R425" i="1"/>
  <c r="R487" i="1"/>
  <c r="R360" i="1"/>
  <c r="R470" i="1"/>
  <c r="R488" i="1"/>
  <c r="R510" i="1"/>
  <c r="R252" i="1"/>
  <c r="R426" i="1"/>
  <c r="R569" i="1"/>
  <c r="R485" i="1"/>
  <c r="R639" i="1"/>
  <c r="R931" i="1"/>
  <c r="R690" i="1"/>
  <c r="R919" i="1"/>
  <c r="R655" i="1"/>
  <c r="R907" i="1"/>
  <c r="R629" i="1"/>
  <c r="R984" i="1"/>
  <c r="R790" i="1"/>
  <c r="R838" i="1"/>
  <c r="R633" i="1"/>
  <c r="R877" i="1"/>
  <c r="R430" i="1"/>
  <c r="R32" i="1"/>
  <c r="R84" i="1"/>
  <c r="R136" i="1"/>
  <c r="R21" i="1"/>
  <c r="R99" i="1"/>
  <c r="R177" i="1"/>
  <c r="R130" i="1"/>
  <c r="R65" i="1"/>
  <c r="R143" i="1"/>
  <c r="R206" i="1"/>
  <c r="R254" i="1"/>
  <c r="R302" i="1"/>
  <c r="R305" i="1"/>
  <c r="R362" i="1"/>
  <c r="R410" i="1"/>
  <c r="R42" i="1"/>
  <c r="R185" i="1"/>
  <c r="R55" i="1"/>
  <c r="R213" i="1"/>
  <c r="R335" i="1"/>
  <c r="R383" i="1"/>
  <c r="R176" i="1"/>
  <c r="R49" i="1"/>
  <c r="R225" i="1"/>
  <c r="R341" i="1"/>
  <c r="R389" i="1"/>
  <c r="R437" i="1"/>
  <c r="R224" i="1"/>
  <c r="R384" i="1"/>
  <c r="R505" i="1"/>
  <c r="R204" i="1"/>
  <c r="R545" i="1"/>
  <c r="R424" i="1"/>
  <c r="R460" i="1"/>
  <c r="R604" i="1"/>
  <c r="R544" i="1"/>
  <c r="R674" i="1"/>
  <c r="R818" i="1"/>
  <c r="R921" i="1"/>
  <c r="R969" i="1"/>
  <c r="R471" i="1"/>
  <c r="R635" i="1"/>
  <c r="R209" i="1"/>
  <c r="R529" i="1"/>
  <c r="R701" i="1"/>
  <c r="R845" i="1"/>
  <c r="R494" i="1"/>
  <c r="R662" i="1"/>
  <c r="R806" i="1"/>
  <c r="R918" i="1"/>
  <c r="R966" i="1"/>
  <c r="R420" i="1"/>
  <c r="R625" i="1"/>
  <c r="R769" i="1"/>
  <c r="R564" i="1"/>
  <c r="R708" i="1"/>
  <c r="R979" i="1"/>
  <c r="R768" i="1"/>
  <c r="R388" i="1"/>
  <c r="R912" i="1"/>
  <c r="R599" i="1"/>
  <c r="R779" i="1"/>
  <c r="R450" i="1"/>
  <c r="R939" i="1"/>
  <c r="R685" i="1"/>
  <c r="R6" i="1"/>
  <c r="R60" i="1"/>
  <c r="R112" i="1"/>
  <c r="R164" i="1"/>
  <c r="R63" i="1"/>
  <c r="R141" i="1"/>
  <c r="R46" i="1"/>
  <c r="R23" i="1"/>
  <c r="R101" i="1"/>
  <c r="R178" i="1"/>
  <c r="R230" i="1"/>
  <c r="R278" i="1"/>
  <c r="R200" i="1"/>
  <c r="R338" i="1"/>
  <c r="R386" i="1"/>
  <c r="R253" i="1"/>
  <c r="R114" i="1"/>
  <c r="R284" i="1"/>
  <c r="R127" i="1"/>
  <c r="R293" i="1"/>
  <c r="R359" i="1"/>
  <c r="R407" i="1"/>
  <c r="R276" i="1"/>
  <c r="R121" i="1"/>
  <c r="R317" i="1"/>
  <c r="R365" i="1"/>
  <c r="R413" i="1"/>
  <c r="R448" i="1"/>
  <c r="R336" i="1"/>
  <c r="R439" i="1"/>
  <c r="R453" i="1"/>
  <c r="R475" i="1"/>
  <c r="R192" i="1"/>
  <c r="R247" i="1"/>
  <c r="R534" i="1"/>
  <c r="R296" i="1"/>
  <c r="R612" i="1"/>
  <c r="R748" i="1"/>
  <c r="R892" i="1"/>
  <c r="R945" i="1"/>
  <c r="R993" i="1"/>
  <c r="R576" i="1"/>
  <c r="R705" i="1"/>
  <c r="R380" i="1"/>
  <c r="R631" i="1"/>
  <c r="R775" i="1"/>
  <c r="R264" i="1"/>
  <c r="R587" i="1"/>
  <c r="R736" i="1"/>
  <c r="R880" i="1"/>
  <c r="R942" i="1"/>
  <c r="R990" i="1"/>
  <c r="R506" i="1"/>
  <c r="R699" i="1"/>
  <c r="R199" i="1"/>
  <c r="R634" i="1"/>
  <c r="R778" i="1"/>
  <c r="R908" i="1"/>
  <c r="R551" i="1"/>
  <c r="R967" i="1"/>
  <c r="R751" i="1"/>
  <c r="R356" i="1"/>
  <c r="R842" i="1"/>
  <c r="R960" i="1"/>
  <c r="R646" i="1"/>
  <c r="R816" i="1"/>
  <c r="R467" i="1"/>
  <c r="R951" i="1"/>
  <c r="R552" i="1"/>
  <c r="R40" i="1"/>
  <c r="R108" i="1"/>
  <c r="R9" i="1"/>
  <c r="R117" i="1"/>
  <c r="R34" i="1"/>
  <c r="R47" i="1"/>
  <c r="R155" i="1"/>
  <c r="R226" i="1"/>
  <c r="R294" i="1"/>
  <c r="R322" i="1"/>
  <c r="R382" i="1"/>
  <c r="R18" i="1"/>
  <c r="R207" i="1"/>
  <c r="R115" i="1"/>
  <c r="R327" i="1"/>
  <c r="R391" i="1"/>
  <c r="R263" i="1"/>
  <c r="R169" i="1"/>
  <c r="R349" i="1"/>
  <c r="R409" i="1"/>
  <c r="R496" i="1"/>
  <c r="R400" i="1"/>
  <c r="R434" i="1"/>
  <c r="R523" i="1"/>
  <c r="R445" i="1"/>
  <c r="R521" i="1"/>
  <c r="R493" i="1"/>
  <c r="R700" i="1"/>
  <c r="R866" i="1"/>
  <c r="R949" i="1"/>
  <c r="R1005" i="1"/>
  <c r="R622" i="1"/>
  <c r="R316" i="1"/>
  <c r="R597" i="1"/>
  <c r="R788" i="1"/>
  <c r="R464" i="1"/>
  <c r="R649" i="1"/>
  <c r="R832" i="1"/>
  <c r="R934" i="1"/>
  <c r="R994" i="1"/>
  <c r="R553" i="1"/>
  <c r="R760" i="1"/>
  <c r="R590" i="1"/>
  <c r="R756" i="1"/>
  <c r="R980" i="1"/>
  <c r="R702" i="1"/>
  <c r="R792" i="1"/>
  <c r="R509" i="1"/>
  <c r="R835" i="1"/>
  <c r="R948" i="1"/>
  <c r="R589" i="1"/>
  <c r="R802" i="1"/>
  <c r="R307" i="1"/>
  <c r="R927" i="1"/>
  <c r="R481" i="1"/>
  <c r="R44" i="1"/>
  <c r="R116" i="1"/>
  <c r="R15" i="1"/>
  <c r="R123" i="1"/>
  <c r="R58" i="1"/>
  <c r="R59" i="1"/>
  <c r="R161" i="1"/>
  <c r="R234" i="1"/>
  <c r="R298" i="1"/>
  <c r="R326" i="1"/>
  <c r="R390" i="1"/>
  <c r="R30" i="1"/>
  <c r="R236" i="1"/>
  <c r="R139" i="1"/>
  <c r="R331" i="1"/>
  <c r="R395" i="1"/>
  <c r="R289" i="1"/>
  <c r="R191" i="1"/>
  <c r="R353" i="1"/>
  <c r="R417" i="1"/>
  <c r="R203" i="1"/>
  <c r="R408" i="1"/>
  <c r="R466" i="1"/>
  <c r="R532" i="1"/>
  <c r="R458" i="1"/>
  <c r="R547" i="1"/>
  <c r="R507" i="1"/>
  <c r="R709" i="1"/>
  <c r="R879" i="1"/>
  <c r="R953" i="1"/>
  <c r="R436" i="1"/>
  <c r="R648" i="1"/>
  <c r="R332" i="1"/>
  <c r="R613" i="1"/>
  <c r="R797" i="1"/>
  <c r="R472" i="1"/>
  <c r="R675" i="1"/>
  <c r="R841" i="1"/>
  <c r="R938" i="1"/>
  <c r="R998" i="1"/>
  <c r="R574" i="1"/>
  <c r="R782" i="1"/>
  <c r="R611" i="1"/>
  <c r="R765" i="1"/>
  <c r="R968" i="1"/>
  <c r="R667" i="1"/>
  <c r="R895" i="1"/>
  <c r="R785" i="1"/>
  <c r="R447" i="1"/>
  <c r="R776" i="1"/>
  <c r="R936" i="1"/>
  <c r="R568" i="1"/>
  <c r="R794" i="1"/>
  <c r="R272" i="1"/>
  <c r="R915" i="1"/>
  <c r="R235" i="1"/>
  <c r="R48" i="1"/>
  <c r="R120" i="1"/>
  <c r="R27" i="1"/>
  <c r="R129" i="1"/>
  <c r="R70" i="1"/>
  <c r="R71" i="1"/>
  <c r="R167" i="1"/>
  <c r="R238" i="1"/>
  <c r="R306" i="1"/>
  <c r="R330" i="1"/>
  <c r="R394" i="1"/>
  <c r="R54" i="1"/>
  <c r="R249" i="1"/>
  <c r="R151" i="1"/>
  <c r="R339" i="1"/>
  <c r="R399" i="1"/>
  <c r="R311" i="1"/>
  <c r="R243" i="1"/>
  <c r="R357" i="1"/>
  <c r="R421" i="1"/>
  <c r="R233" i="1"/>
  <c r="R416" i="1"/>
  <c r="R479" i="1"/>
  <c r="R558" i="1"/>
  <c r="R180" i="1"/>
  <c r="R556" i="1"/>
  <c r="R549" i="1"/>
  <c r="R722" i="1"/>
  <c r="R901" i="1"/>
  <c r="R957" i="1"/>
  <c r="R463" i="1"/>
  <c r="R657" i="1"/>
  <c r="R348" i="1"/>
  <c r="R644" i="1"/>
  <c r="R810" i="1"/>
  <c r="R480" i="1"/>
  <c r="R688" i="1"/>
  <c r="R854" i="1"/>
  <c r="R946" i="1"/>
  <c r="R1002" i="1"/>
  <c r="R579" i="1"/>
  <c r="R795" i="1"/>
  <c r="R616" i="1"/>
  <c r="R791" i="1"/>
  <c r="R956" i="1"/>
  <c r="R641" i="1"/>
  <c r="R882" i="1"/>
  <c r="R777" i="1"/>
  <c r="R300" i="1"/>
  <c r="R725" i="1"/>
  <c r="R924" i="1"/>
  <c r="R418" i="1"/>
  <c r="R786" i="1"/>
  <c r="R196" i="1"/>
  <c r="R890" i="1"/>
  <c r="R52" i="1"/>
  <c r="R128" i="1"/>
  <c r="R33" i="1"/>
  <c r="R135" i="1"/>
  <c r="R94" i="1"/>
  <c r="R77" i="1"/>
  <c r="R173" i="1"/>
  <c r="R246" i="1"/>
  <c r="R310" i="1"/>
  <c r="R334" i="1"/>
  <c r="R402" i="1"/>
  <c r="R66" i="1"/>
  <c r="R271" i="1"/>
  <c r="R175" i="1"/>
  <c r="R343" i="1"/>
  <c r="R403" i="1"/>
  <c r="R25" i="1"/>
  <c r="R256" i="1"/>
  <c r="R361" i="1"/>
  <c r="R429" i="1"/>
  <c r="R268" i="1"/>
  <c r="R422" i="1"/>
  <c r="R501" i="1"/>
  <c r="R571" i="1"/>
  <c r="R220" i="1"/>
  <c r="R582" i="1"/>
  <c r="R565" i="1"/>
  <c r="R735" i="1"/>
  <c r="R905" i="1"/>
  <c r="R961" i="1"/>
  <c r="R500" i="1"/>
  <c r="R670" i="1"/>
  <c r="R364" i="1"/>
  <c r="R653" i="1"/>
  <c r="R823" i="1"/>
  <c r="R502" i="1"/>
  <c r="R697" i="1"/>
  <c r="R867" i="1"/>
  <c r="R950" i="1"/>
  <c r="R1006" i="1"/>
  <c r="R638" i="1"/>
  <c r="R808" i="1"/>
  <c r="R621" i="1"/>
  <c r="R804" i="1"/>
  <c r="R944" i="1"/>
  <c r="R632" i="1"/>
  <c r="R876" i="1"/>
  <c r="R754" i="1"/>
  <c r="R265" i="1"/>
  <c r="R1003" i="1"/>
  <c r="R516" i="1"/>
  <c r="R798" i="1"/>
  <c r="R659" i="1"/>
  <c r="R801" i="1"/>
  <c r="R12" i="1"/>
  <c r="R80" i="1"/>
  <c r="R148" i="1"/>
  <c r="R69" i="1"/>
  <c r="R171" i="1"/>
  <c r="R166" i="1"/>
  <c r="R107" i="1"/>
  <c r="R202" i="1"/>
  <c r="R266" i="1"/>
  <c r="R231" i="1"/>
  <c r="R358" i="1"/>
  <c r="R217" i="1"/>
  <c r="R126" i="1"/>
  <c r="R43" i="1"/>
  <c r="R245" i="1"/>
  <c r="R363" i="1"/>
  <c r="R427" i="1"/>
  <c r="R85" i="1"/>
  <c r="R321" i="1"/>
  <c r="R385" i="1"/>
  <c r="R259" i="1"/>
  <c r="R344" i="1"/>
  <c r="R492" i="1"/>
  <c r="R440" i="1"/>
  <c r="R205" i="1"/>
  <c r="R451" i="1"/>
  <c r="R122" i="1"/>
  <c r="R617" i="1"/>
  <c r="R796" i="1"/>
  <c r="R925" i="1"/>
  <c r="R981" i="1"/>
  <c r="R560" i="1"/>
  <c r="R731" i="1"/>
  <c r="R478" i="1"/>
  <c r="R714" i="1"/>
  <c r="R884" i="1"/>
  <c r="R566" i="1"/>
  <c r="R758" i="1"/>
  <c r="R910" i="1"/>
  <c r="R970" i="1"/>
  <c r="R476" i="1"/>
  <c r="R686" i="1"/>
  <c r="R517" i="1"/>
  <c r="R682" i="1"/>
  <c r="R852" i="1"/>
  <c r="R955" i="1"/>
  <c r="R324" i="1"/>
  <c r="R707" i="1"/>
  <c r="R864" i="1"/>
  <c r="R594" i="1"/>
  <c r="R987" i="1"/>
  <c r="R711" i="1"/>
  <c r="R24" i="1"/>
  <c r="R92" i="1"/>
  <c r="R160" i="1"/>
  <c r="R87" i="1"/>
  <c r="R183" i="1"/>
  <c r="R17" i="1"/>
  <c r="R131" i="1"/>
  <c r="R214" i="1"/>
  <c r="R274" i="1"/>
  <c r="R279" i="1"/>
  <c r="R370" i="1"/>
  <c r="R240" i="1"/>
  <c r="R162" i="1"/>
  <c r="R79" i="1"/>
  <c r="R280" i="1"/>
  <c r="R375" i="1"/>
  <c r="R208" i="1"/>
  <c r="R109" i="1"/>
  <c r="R333" i="1"/>
  <c r="R397" i="1"/>
  <c r="R428" i="1"/>
  <c r="R368" i="1"/>
  <c r="R251" i="1"/>
  <c r="R462" i="1"/>
  <c r="R287" i="1"/>
  <c r="R486" i="1"/>
  <c r="R261" i="1"/>
  <c r="R652" i="1"/>
  <c r="R831" i="1"/>
  <c r="R933" i="1"/>
  <c r="R989" i="1"/>
  <c r="R586" i="1"/>
  <c r="R753" i="1"/>
  <c r="R550" i="1"/>
  <c r="R740" i="1"/>
  <c r="R229" i="1"/>
  <c r="R618" i="1"/>
  <c r="R784" i="1"/>
  <c r="R922" i="1"/>
  <c r="R978" i="1"/>
  <c r="R498" i="1"/>
  <c r="R721" i="1"/>
  <c r="R527" i="1"/>
  <c r="R717" i="1"/>
  <c r="R874" i="1"/>
  <c r="R763" i="1"/>
  <c r="R86" i="1"/>
  <c r="R815" i="1"/>
  <c r="R603" i="1"/>
  <c r="R459" i="1"/>
  <c r="O681" i="1"/>
  <c r="O140" i="1"/>
  <c r="O248" i="1"/>
  <c r="O893" i="1"/>
  <c r="O550" i="1"/>
  <c r="O970" i="1"/>
  <c r="O620" i="1"/>
  <c r="O69" i="1"/>
  <c r="O815" i="1"/>
  <c r="O119" i="1"/>
  <c r="O283" i="1"/>
  <c r="O462" i="1"/>
  <c r="O629" i="1"/>
  <c r="O892" i="1"/>
  <c r="O52" i="1"/>
  <c r="O219" i="1"/>
  <c r="O398" i="1"/>
  <c r="K706" i="1"/>
  <c r="K821" i="1"/>
  <c r="K505" i="1"/>
  <c r="K133" i="1"/>
  <c r="K168" i="1"/>
  <c r="K757" i="1"/>
  <c r="K784" i="1"/>
  <c r="K358" i="1"/>
  <c r="K355" i="1"/>
  <c r="M781" i="1"/>
  <c r="M346" i="1"/>
  <c r="M815" i="1"/>
  <c r="M272" i="1"/>
  <c r="M863" i="1"/>
  <c r="M431" i="1"/>
  <c r="M970" i="1"/>
  <c r="M302" i="1"/>
  <c r="M661" i="1"/>
  <c r="M69" i="1"/>
  <c r="M284" i="1"/>
  <c r="M535" i="1"/>
  <c r="M746" i="1"/>
  <c r="M154" i="1"/>
  <c r="M666" i="1"/>
  <c r="M234" i="1"/>
  <c r="M881" i="1"/>
  <c r="M413" i="1"/>
  <c r="M1000" i="1"/>
  <c r="M556" i="1"/>
  <c r="M220" i="1"/>
  <c r="M759" i="1"/>
  <c r="M327" i="1"/>
  <c r="M151" i="1"/>
  <c r="M277" i="1"/>
  <c r="M926" i="1"/>
  <c r="M924" i="1"/>
  <c r="M547" i="1"/>
  <c r="M670" i="1"/>
  <c r="K144" i="1"/>
  <c r="K643" i="1"/>
  <c r="K346" i="1"/>
  <c r="K702" i="1"/>
  <c r="K153" i="1"/>
  <c r="K697" i="1"/>
  <c r="K298" i="1"/>
  <c r="K327" i="1"/>
  <c r="M313" i="1"/>
  <c r="M528" i="1"/>
  <c r="M742" i="1"/>
  <c r="M524" i="1"/>
  <c r="M56" i="1"/>
  <c r="M647" i="1"/>
  <c r="M251" i="1"/>
  <c r="M590" i="1"/>
  <c r="M949" i="1"/>
  <c r="M285" i="1"/>
  <c r="M608" i="1"/>
  <c r="M803" i="1"/>
  <c r="M155" i="1"/>
  <c r="M530" i="1"/>
  <c r="M918" i="1"/>
  <c r="M486" i="1"/>
  <c r="M6" i="1"/>
  <c r="M665" i="1"/>
  <c r="M221" i="1"/>
  <c r="M808" i="1"/>
  <c r="M412" i="1"/>
  <c r="M987" i="1"/>
  <c r="M555" i="1"/>
  <c r="M111" i="1"/>
  <c r="M169" i="1"/>
  <c r="M153" i="1"/>
  <c r="M937" i="1"/>
  <c r="M635" i="1"/>
  <c r="M421" i="1"/>
  <c r="K976" i="1"/>
  <c r="K594" i="1"/>
  <c r="K233" i="1"/>
  <c r="K689" i="1"/>
  <c r="K125" i="1"/>
  <c r="K681" i="1"/>
  <c r="K278" i="1"/>
  <c r="K236" i="1"/>
  <c r="M362" i="1"/>
  <c r="M648" i="1"/>
  <c r="M936" i="1"/>
  <c r="M468" i="1"/>
  <c r="M36" i="1"/>
  <c r="M631" i="1"/>
  <c r="M163" i="1"/>
  <c r="M574" i="1"/>
  <c r="M913" i="1"/>
  <c r="M265" i="1"/>
  <c r="M552" i="1"/>
  <c r="M787" i="1"/>
  <c r="M139" i="1"/>
  <c r="M350" i="1"/>
  <c r="M870" i="1"/>
  <c r="M402" i="1"/>
  <c r="M989" i="1"/>
  <c r="M653" i="1"/>
  <c r="M209" i="1"/>
  <c r="M796" i="1"/>
  <c r="M316" i="1"/>
  <c r="M975" i="1"/>
  <c r="M531" i="1"/>
  <c r="M99" i="1"/>
  <c r="M476" i="1"/>
  <c r="M202" i="1"/>
  <c r="M24" i="1"/>
  <c r="M779" i="1"/>
  <c r="M470" i="1"/>
  <c r="M493" i="1"/>
  <c r="M332" i="1"/>
  <c r="M672" i="1"/>
  <c r="M956" i="1"/>
  <c r="K88" i="1"/>
  <c r="K212" i="1"/>
  <c r="M601" i="1"/>
  <c r="M792" i="1"/>
  <c r="M398" i="1"/>
  <c r="M344" i="1"/>
  <c r="M991" i="1"/>
  <c r="M559" i="1"/>
  <c r="M35" i="1"/>
  <c r="M374" i="1"/>
  <c r="M877" i="1"/>
  <c r="M157" i="1"/>
  <c r="M392" i="1"/>
  <c r="M751" i="1"/>
  <c r="M83" i="1"/>
  <c r="M314" i="1"/>
  <c r="M774" i="1"/>
  <c r="M378" i="1"/>
  <c r="M953" i="1"/>
  <c r="M521" i="1"/>
  <c r="M125" i="1"/>
  <c r="M700" i="1"/>
  <c r="M268" i="1"/>
  <c r="M843" i="1"/>
  <c r="M471" i="1"/>
  <c r="M3" i="1"/>
  <c r="M110" i="1"/>
  <c r="M923" i="1"/>
  <c r="M799" i="1"/>
  <c r="M382" i="1"/>
  <c r="M958" i="1"/>
  <c r="N175" i="1"/>
  <c r="N7" i="1"/>
  <c r="N96" i="1"/>
  <c r="N179" i="1"/>
  <c r="N23" i="1"/>
  <c r="N105" i="1"/>
  <c r="N188" i="1"/>
  <c r="N363" i="1"/>
  <c r="N519" i="1"/>
  <c r="N687" i="1"/>
  <c r="N843" i="1"/>
  <c r="N999" i="1"/>
  <c r="N66" i="1"/>
  <c r="N270" i="1"/>
  <c r="N414" i="1"/>
  <c r="N558" i="1"/>
  <c r="N702" i="1"/>
  <c r="N846" i="1"/>
  <c r="N990" i="1"/>
  <c r="N140" i="1"/>
  <c r="N331" i="1"/>
  <c r="N487" i="1"/>
  <c r="N52" i="1"/>
  <c r="N272" i="1"/>
  <c r="N428" i="1"/>
  <c r="N596" i="1"/>
  <c r="N752" i="1"/>
  <c r="N908" i="1"/>
  <c r="N98" i="1"/>
  <c r="N302" i="1"/>
  <c r="N458" i="1"/>
  <c r="N614" i="1"/>
  <c r="N770" i="1"/>
  <c r="N926" i="1"/>
  <c r="N151" i="1"/>
  <c r="N240" i="1"/>
  <c r="N84" i="1"/>
  <c r="N167" i="1"/>
  <c r="N11" i="1"/>
  <c r="N93" i="1"/>
  <c r="N207" i="1"/>
  <c r="N375" i="1"/>
  <c r="N543" i="1"/>
  <c r="N699" i="1"/>
  <c r="N855" i="1"/>
  <c r="N15" i="1"/>
  <c r="N247" i="1"/>
  <c r="N403" i="1"/>
  <c r="N571" i="1"/>
  <c r="N178" i="1"/>
  <c r="N356" i="1"/>
  <c r="N512" i="1"/>
  <c r="N668" i="1"/>
  <c r="N824" i="1"/>
  <c r="N222" i="1"/>
  <c r="N386" i="1"/>
  <c r="N542" i="1"/>
  <c r="N698" i="1"/>
  <c r="N854" i="1"/>
  <c r="N235" i="1"/>
  <c r="N79" i="1"/>
  <c r="N168" i="1"/>
  <c r="N12" i="1"/>
  <c r="N95" i="1"/>
  <c r="N177" i="1"/>
  <c r="N9" i="1"/>
  <c r="N99" i="1"/>
  <c r="N303" i="1"/>
  <c r="N459" i="1"/>
  <c r="N615" i="1"/>
  <c r="N771" i="1"/>
  <c r="N965" i="1"/>
  <c r="N595" i="1"/>
  <c r="N607" i="1"/>
  <c r="N619" i="1"/>
  <c r="N631" i="1"/>
  <c r="N643" i="1"/>
  <c r="N655" i="1"/>
  <c r="N667" i="1"/>
  <c r="N679" i="1"/>
  <c r="N691" i="1"/>
  <c r="N703" i="1"/>
  <c r="N715" i="1"/>
  <c r="N727" i="1"/>
  <c r="N739" i="1"/>
  <c r="N980" i="1"/>
  <c r="N992" i="1"/>
  <c r="N1004" i="1"/>
  <c r="N17" i="1"/>
  <c r="N53" i="1"/>
  <c r="N89" i="1"/>
  <c r="N125" i="1"/>
  <c r="N161" i="1"/>
  <c r="N197" i="1"/>
  <c r="N233" i="1"/>
  <c r="N261" i="1"/>
  <c r="N285" i="1"/>
  <c r="N309" i="1"/>
  <c r="N333" i="1"/>
  <c r="N357" i="1"/>
  <c r="N381" i="1"/>
  <c r="N405" i="1"/>
  <c r="N429" i="1"/>
  <c r="N453" i="1"/>
  <c r="N477" i="1"/>
  <c r="N501" i="1"/>
  <c r="N525" i="1"/>
  <c r="N549" i="1"/>
  <c r="N573" i="1"/>
  <c r="N592" i="1"/>
  <c r="N616" i="1"/>
  <c r="N640" i="1"/>
  <c r="N664" i="1"/>
  <c r="N688" i="1"/>
  <c r="N712" i="1"/>
  <c r="N736" i="1"/>
  <c r="N757" i="1"/>
  <c r="N779" i="1"/>
  <c r="N801" i="1"/>
  <c r="N820" i="1"/>
  <c r="N840" i="1"/>
  <c r="N862" i="1"/>
  <c r="N883" i="1"/>
  <c r="N901" i="1"/>
  <c r="N923" i="1"/>
  <c r="N945" i="1"/>
  <c r="N964" i="1"/>
  <c r="N983" i="1"/>
  <c r="N1001" i="1"/>
  <c r="N169" i="1"/>
  <c r="N529" i="1"/>
  <c r="N766" i="1"/>
  <c r="N931" i="1"/>
  <c r="N136" i="1"/>
  <c r="N292" i="1"/>
  <c r="N412" i="1"/>
  <c r="N532" i="1"/>
  <c r="N18" i="1"/>
  <c r="N54" i="1"/>
  <c r="N90" i="1"/>
  <c r="N126" i="1"/>
  <c r="N162" i="1"/>
  <c r="N198" i="1"/>
  <c r="N234" i="1"/>
  <c r="N262" i="1"/>
  <c r="N286" i="1"/>
  <c r="N310" i="1"/>
  <c r="N334" i="1"/>
  <c r="N358" i="1"/>
  <c r="N382" i="1"/>
  <c r="N406" i="1"/>
  <c r="N430" i="1"/>
  <c r="N454" i="1"/>
  <c r="N478" i="1"/>
  <c r="N502" i="1"/>
  <c r="N526" i="1"/>
  <c r="N550" i="1"/>
  <c r="N574" i="1"/>
  <c r="N597" i="1"/>
  <c r="N621" i="1"/>
  <c r="N645" i="1"/>
  <c r="N669" i="1"/>
  <c r="N693" i="1"/>
  <c r="N717" i="1"/>
  <c r="N741" i="1"/>
  <c r="N760" i="1"/>
  <c r="N780" i="1"/>
  <c r="N802" i="1"/>
  <c r="N823" i="1"/>
  <c r="N841" i="1"/>
  <c r="N863" i="1"/>
  <c r="N885" i="1"/>
  <c r="N904" i="1"/>
  <c r="N924" i="1"/>
  <c r="N946" i="1"/>
  <c r="N967" i="1"/>
  <c r="N984" i="1"/>
  <c r="N1003" i="1"/>
  <c r="N94" i="1"/>
  <c r="N202" i="1"/>
  <c r="N264" i="1"/>
  <c r="N336" i="1"/>
  <c r="N384" i="1"/>
  <c r="N408" i="1"/>
  <c r="N456" i="1"/>
  <c r="N504" i="1"/>
  <c r="N623" i="1"/>
  <c r="N743" i="1"/>
  <c r="N847" i="1"/>
  <c r="N988" i="1"/>
  <c r="N97" i="1"/>
  <c r="N289" i="1"/>
  <c r="N433" i="1"/>
  <c r="N600" i="1"/>
  <c r="N696" i="1"/>
  <c r="N827" i="1"/>
  <c r="N910" i="1"/>
  <c r="N2" i="1"/>
  <c r="N100" i="1"/>
  <c r="N244" i="1"/>
  <c r="N364" i="1"/>
  <c r="N484" i="1"/>
  <c r="N20" i="1"/>
  <c r="N56" i="1"/>
  <c r="N92" i="1"/>
  <c r="N128" i="1"/>
  <c r="N164" i="1"/>
  <c r="N200" i="1"/>
  <c r="N236" i="1"/>
  <c r="N263" i="1"/>
  <c r="N287" i="1"/>
  <c r="N311" i="1"/>
  <c r="N335" i="1"/>
  <c r="N359" i="1"/>
  <c r="N383" i="1"/>
  <c r="N407" i="1"/>
  <c r="N431" i="1"/>
  <c r="N455" i="1"/>
  <c r="N479" i="1"/>
  <c r="N503" i="1"/>
  <c r="N527" i="1"/>
  <c r="N551" i="1"/>
  <c r="N575" i="1"/>
  <c r="N598" i="1"/>
  <c r="N622" i="1"/>
  <c r="N646" i="1"/>
  <c r="N670" i="1"/>
  <c r="N694" i="1"/>
  <c r="N718" i="1"/>
  <c r="N742" i="1"/>
  <c r="N763" i="1"/>
  <c r="N781" i="1"/>
  <c r="N803" i="1"/>
  <c r="N825" i="1"/>
  <c r="N844" i="1"/>
  <c r="N864" i="1"/>
  <c r="N886" i="1"/>
  <c r="N907" i="1"/>
  <c r="N925" i="1"/>
  <c r="N947" i="1"/>
  <c r="N969" i="1"/>
  <c r="N985" i="1"/>
  <c r="N1005" i="1"/>
  <c r="N22" i="1"/>
  <c r="N58" i="1"/>
  <c r="N130" i="1"/>
  <c r="N166" i="1"/>
  <c r="N312" i="1"/>
  <c r="N360" i="1"/>
  <c r="N432" i="1"/>
  <c r="N480" i="1"/>
  <c r="N528" i="1"/>
  <c r="N599" i="1"/>
  <c r="N671" i="1"/>
  <c r="N765" i="1"/>
  <c r="N865" i="1"/>
  <c r="N970" i="1"/>
  <c r="N61" i="1"/>
  <c r="N241" i="1"/>
  <c r="N361" i="1"/>
  <c r="N457" i="1"/>
  <c r="N553" i="1"/>
  <c r="N672" i="1"/>
  <c r="N787" i="1"/>
  <c r="N868" i="1"/>
  <c r="N989" i="1"/>
  <c r="N28" i="1"/>
  <c r="N208" i="1"/>
  <c r="N340" i="1"/>
  <c r="N460" i="1"/>
  <c r="N4" i="1"/>
  <c r="N40" i="1"/>
  <c r="N76" i="1"/>
  <c r="N112" i="1"/>
  <c r="N148" i="1"/>
  <c r="N184" i="1"/>
  <c r="N220" i="1"/>
  <c r="N252" i="1"/>
  <c r="N276" i="1"/>
  <c r="N300" i="1"/>
  <c r="N324" i="1"/>
  <c r="N348" i="1"/>
  <c r="N372" i="1"/>
  <c r="N396" i="1"/>
  <c r="N420" i="1"/>
  <c r="N444" i="1"/>
  <c r="N468" i="1"/>
  <c r="N492" i="1"/>
  <c r="N516" i="1"/>
  <c r="N540" i="1"/>
  <c r="N564" i="1"/>
  <c r="N587" i="1"/>
  <c r="N611" i="1"/>
  <c r="N635" i="1"/>
  <c r="N659" i="1"/>
  <c r="N683" i="1"/>
  <c r="N707" i="1"/>
  <c r="N731" i="1"/>
  <c r="N754" i="1"/>
  <c r="N775" i="1"/>
  <c r="N793" i="1"/>
  <c r="N815" i="1"/>
  <c r="N837" i="1"/>
  <c r="N856" i="1"/>
  <c r="N876" i="1"/>
  <c r="N898" i="1"/>
  <c r="N919" i="1"/>
  <c r="N937" i="1"/>
  <c r="N959" i="1"/>
  <c r="N979" i="1"/>
  <c r="N996" i="1"/>
  <c r="N82" i="1"/>
  <c r="N226" i="1"/>
  <c r="N304" i="1"/>
  <c r="N352" i="1"/>
  <c r="N400" i="1"/>
  <c r="N472" i="1"/>
  <c r="N496" i="1"/>
  <c r="N544" i="1"/>
  <c r="N589" i="1"/>
  <c r="N637" i="1"/>
  <c r="N685" i="1"/>
  <c r="N709" i="1"/>
  <c r="N756" i="1"/>
  <c r="N799" i="1"/>
  <c r="N839" i="1"/>
  <c r="N900" i="1"/>
  <c r="N943" i="1"/>
  <c r="N982" i="1"/>
  <c r="N288" i="1"/>
  <c r="N576" i="1"/>
  <c r="N695" i="1"/>
  <c r="N784" i="1"/>
  <c r="N826" i="1"/>
  <c r="N909" i="1"/>
  <c r="N948" i="1"/>
  <c r="N25" i="1"/>
  <c r="N205" i="1"/>
  <c r="N313" i="1"/>
  <c r="N385" i="1"/>
  <c r="N505" i="1"/>
  <c r="N624" i="1"/>
  <c r="N744" i="1"/>
  <c r="N849" i="1"/>
  <c r="N949" i="1"/>
  <c r="N64" i="1"/>
  <c r="N268" i="1"/>
  <c r="N388" i="1"/>
  <c r="N508" i="1"/>
  <c r="N5" i="1"/>
  <c r="N41" i="1"/>
  <c r="N77" i="1"/>
  <c r="N113" i="1"/>
  <c r="N149" i="1"/>
  <c r="N185" i="1"/>
  <c r="N221" i="1"/>
  <c r="N253" i="1"/>
  <c r="N277" i="1"/>
  <c r="N301" i="1"/>
  <c r="N325" i="1"/>
  <c r="N349" i="1"/>
  <c r="N373" i="1"/>
  <c r="N397" i="1"/>
  <c r="N421" i="1"/>
  <c r="N445" i="1"/>
  <c r="N469" i="1"/>
  <c r="N493" i="1"/>
  <c r="N517" i="1"/>
  <c r="N541" i="1"/>
  <c r="N565" i="1"/>
  <c r="N588" i="1"/>
  <c r="N612" i="1"/>
  <c r="N636" i="1"/>
  <c r="N660" i="1"/>
  <c r="N684" i="1"/>
  <c r="N708" i="1"/>
  <c r="N732" i="1"/>
  <c r="N755" i="1"/>
  <c r="N777" i="1"/>
  <c r="N796" i="1"/>
  <c r="N816" i="1"/>
  <c r="N838" i="1"/>
  <c r="N859" i="1"/>
  <c r="N877" i="1"/>
  <c r="N899" i="1"/>
  <c r="N921" i="1"/>
  <c r="N940" i="1"/>
  <c r="N960" i="1"/>
  <c r="N981" i="1"/>
  <c r="N997" i="1"/>
  <c r="N10" i="1"/>
  <c r="N46" i="1"/>
  <c r="N118" i="1"/>
  <c r="N154" i="1"/>
  <c r="N190" i="1"/>
  <c r="N256" i="1"/>
  <c r="N280" i="1"/>
  <c r="N328" i="1"/>
  <c r="N376" i="1"/>
  <c r="N424" i="1"/>
  <c r="N448" i="1"/>
  <c r="N520" i="1"/>
  <c r="N568" i="1"/>
  <c r="N613" i="1"/>
  <c r="N661" i="1"/>
  <c r="N733" i="1"/>
  <c r="N778" i="1"/>
  <c r="N817" i="1"/>
  <c r="N861" i="1"/>
  <c r="N880" i="1"/>
  <c r="N922" i="1"/>
  <c r="N961" i="1"/>
  <c r="N1000" i="1"/>
  <c r="N238" i="1"/>
  <c r="N552" i="1"/>
  <c r="N647" i="1"/>
  <c r="N719" i="1"/>
  <c r="N804" i="1"/>
  <c r="N887" i="1"/>
  <c r="N928" i="1"/>
  <c r="N1006" i="1"/>
  <c r="N133" i="1"/>
  <c r="N265" i="1"/>
  <c r="N337" i="1"/>
  <c r="N409" i="1"/>
  <c r="N481" i="1"/>
  <c r="N577" i="1"/>
  <c r="N648" i="1"/>
  <c r="N720" i="1"/>
  <c r="N805" i="1"/>
  <c r="N888" i="1"/>
  <c r="N971" i="1"/>
  <c r="N172" i="1"/>
  <c r="N316" i="1"/>
  <c r="N436" i="1"/>
  <c r="N37" i="1"/>
  <c r="N181" i="1"/>
  <c r="N297" i="1"/>
  <c r="N393" i="1"/>
  <c r="N489" i="1"/>
  <c r="N563" i="1"/>
  <c r="N634" i="1"/>
  <c r="N706" i="1"/>
  <c r="N772" i="1"/>
  <c r="N835" i="1"/>
  <c r="N897" i="1"/>
  <c r="N958" i="1"/>
  <c r="N38" i="1"/>
  <c r="N182" i="1"/>
  <c r="N298" i="1"/>
  <c r="N394" i="1"/>
  <c r="N490" i="1"/>
  <c r="N580" i="1"/>
  <c r="N649" i="1"/>
  <c r="N721" i="1"/>
  <c r="N789" i="1"/>
  <c r="N850" i="1"/>
  <c r="N911" i="1"/>
  <c r="N972" i="1"/>
  <c r="N39" i="1"/>
  <c r="N183" i="1"/>
  <c r="N299" i="1"/>
  <c r="N395" i="1"/>
  <c r="N583" i="1"/>
  <c r="N652" i="1"/>
  <c r="N724" i="1"/>
  <c r="N790" i="1"/>
  <c r="N851" i="1"/>
  <c r="N912" i="1"/>
  <c r="N973" i="1"/>
  <c r="N871" i="1"/>
  <c r="N991" i="1"/>
  <c r="N249" i="1"/>
  <c r="N441" i="1"/>
  <c r="N676" i="1"/>
  <c r="N811" i="1"/>
  <c r="N934" i="1"/>
  <c r="N346" i="1"/>
  <c r="N609" i="1"/>
  <c r="N935" i="1"/>
  <c r="N111" i="1"/>
  <c r="N610" i="1"/>
  <c r="N875" i="1"/>
  <c r="N273" i="1"/>
  <c r="N465" i="1"/>
  <c r="N697" i="1"/>
  <c r="N889" i="1"/>
  <c r="N146" i="1"/>
  <c r="N466" i="1"/>
  <c r="N628" i="1"/>
  <c r="N768" i="1"/>
  <c r="N892" i="1"/>
  <c r="N250" i="1"/>
  <c r="N751" i="1"/>
  <c r="N347" i="1"/>
  <c r="N753" i="1"/>
  <c r="N769" i="1"/>
  <c r="N895" i="1"/>
  <c r="N491" i="1"/>
  <c r="N538" i="1"/>
  <c r="N813" i="1"/>
  <c r="N443" i="1"/>
  <c r="N814" i="1"/>
  <c r="N995" i="1"/>
  <c r="N145" i="1"/>
  <c r="N556" i="1"/>
  <c r="N767" i="1"/>
  <c r="N952" i="1"/>
  <c r="N274" i="1"/>
  <c r="N370" i="1"/>
  <c r="N561" i="1"/>
  <c r="N700" i="1"/>
  <c r="N829" i="1"/>
  <c r="N955" i="1"/>
  <c r="N3" i="1"/>
  <c r="N147" i="1"/>
  <c r="N275" i="1"/>
  <c r="N371" i="1"/>
  <c r="N467" i="1"/>
  <c r="N562" i="1"/>
  <c r="N633" i="1"/>
  <c r="N705" i="1"/>
  <c r="N832" i="1"/>
  <c r="N957" i="1"/>
  <c r="N73" i="1"/>
  <c r="N217" i="1"/>
  <c r="N321" i="1"/>
  <c r="N417" i="1"/>
  <c r="N513" i="1"/>
  <c r="N585" i="1"/>
  <c r="N657" i="1"/>
  <c r="N729" i="1"/>
  <c r="N791" i="1"/>
  <c r="N852" i="1"/>
  <c r="N913" i="1"/>
  <c r="N976" i="1"/>
  <c r="N74" i="1"/>
  <c r="N218" i="1"/>
  <c r="N322" i="1"/>
  <c r="N418" i="1"/>
  <c r="N514" i="1"/>
  <c r="N586" i="1"/>
  <c r="N658" i="1"/>
  <c r="N730" i="1"/>
  <c r="N792" i="1"/>
  <c r="N853" i="1"/>
  <c r="N916" i="1"/>
  <c r="N977" i="1"/>
  <c r="N75" i="1"/>
  <c r="N219" i="1"/>
  <c r="N323" i="1"/>
  <c r="N419" i="1"/>
  <c r="N515" i="1"/>
  <c r="N601" i="1"/>
  <c r="N673" i="1"/>
  <c r="N745" i="1"/>
  <c r="N808" i="1"/>
  <c r="N933" i="1"/>
  <c r="N109" i="1"/>
  <c r="N345" i="1"/>
  <c r="N537" i="1"/>
  <c r="N604" i="1"/>
  <c r="N748" i="1"/>
  <c r="N873" i="1"/>
  <c r="N993" i="1"/>
  <c r="N110" i="1"/>
  <c r="N442" i="1"/>
  <c r="N681" i="1"/>
  <c r="N874" i="1"/>
  <c r="N994" i="1"/>
  <c r="N251" i="1"/>
  <c r="N539" i="1"/>
  <c r="N682" i="1"/>
  <c r="N936" i="1"/>
  <c r="N369" i="1"/>
  <c r="N625" i="1"/>
  <c r="N828" i="1"/>
  <c r="N8" i="1"/>
  <c r="N963" i="1"/>
  <c r="N819" i="1"/>
  <c r="N675" i="1"/>
  <c r="N531" i="1"/>
  <c r="N387" i="1"/>
  <c r="N243" i="1"/>
  <c r="N27" i="1"/>
  <c r="N21" i="1"/>
  <c r="N165" i="1"/>
  <c r="N71" i="1"/>
  <c r="N215" i="1"/>
  <c r="N120" i="1"/>
  <c r="N19" i="1"/>
  <c r="N163" i="1"/>
  <c r="N938" i="1"/>
  <c r="N794" i="1"/>
  <c r="N650" i="1"/>
  <c r="N506" i="1"/>
  <c r="N362" i="1"/>
  <c r="N206" i="1"/>
  <c r="N872" i="1"/>
  <c r="N728" i="1"/>
  <c r="N584" i="1"/>
  <c r="N440" i="1"/>
  <c r="N296" i="1"/>
  <c r="N106" i="1"/>
  <c r="N559" i="1"/>
  <c r="N415" i="1"/>
  <c r="N271" i="1"/>
  <c r="N68" i="1"/>
  <c r="N116" i="1"/>
  <c r="N315" i="1"/>
  <c r="N471" i="1"/>
  <c r="N627" i="1"/>
  <c r="N783" i="1"/>
  <c r="N939" i="1"/>
  <c r="N211" i="1"/>
  <c r="N55" i="1"/>
  <c r="N144" i="1"/>
  <c r="N227" i="1"/>
  <c r="N59" i="1"/>
  <c r="N141" i="1"/>
  <c r="N135" i="1"/>
  <c r="N327" i="1"/>
  <c r="N483" i="1"/>
  <c r="N639" i="1"/>
  <c r="N795" i="1"/>
  <c r="N951" i="1"/>
  <c r="N87" i="1"/>
  <c r="N295" i="1"/>
  <c r="N451" i="1"/>
  <c r="N232" i="1"/>
  <c r="N392" i="1"/>
  <c r="N548" i="1"/>
  <c r="N704" i="1"/>
  <c r="N860" i="1"/>
  <c r="N42" i="1"/>
  <c r="N266" i="1"/>
  <c r="N422" i="1"/>
  <c r="N578" i="1"/>
  <c r="N734" i="1"/>
  <c r="N890" i="1"/>
  <c r="N199" i="1"/>
  <c r="N43" i="1"/>
  <c r="N132" i="1"/>
  <c r="N203" i="1"/>
  <c r="N47" i="1"/>
  <c r="N129" i="1"/>
  <c r="N152" i="1"/>
  <c r="N339" i="1"/>
  <c r="N495" i="1"/>
  <c r="N651" i="1"/>
  <c r="N807" i="1"/>
  <c r="N975" i="1"/>
  <c r="P718" i="1"/>
  <c r="P869" i="1"/>
  <c r="P932" i="1"/>
  <c r="P992" i="1"/>
  <c r="P733" i="1"/>
  <c r="P782" i="1"/>
  <c r="P812" i="1"/>
  <c r="P827" i="1"/>
  <c r="P854" i="1"/>
  <c r="P893" i="1"/>
  <c r="P918" i="1"/>
  <c r="P942" i="1"/>
  <c r="P978" i="1"/>
  <c r="P1002" i="1"/>
  <c r="P589" i="1"/>
  <c r="P681" i="1"/>
  <c r="P751" i="1"/>
  <c r="P842" i="1"/>
  <c r="P943" i="1"/>
  <c r="P991" i="1"/>
  <c r="P785" i="1"/>
  <c r="P856" i="1"/>
  <c r="P920" i="1"/>
  <c r="P980" i="1"/>
  <c r="P646" i="1"/>
  <c r="P797" i="1"/>
  <c r="P867" i="1"/>
  <c r="P880" i="1"/>
  <c r="P906" i="1"/>
  <c r="P930" i="1"/>
  <c r="P954" i="1"/>
  <c r="P966" i="1"/>
  <c r="P990" i="1"/>
  <c r="P253" i="1"/>
  <c r="P547" i="1"/>
  <c r="P768" i="1"/>
  <c r="P881" i="1"/>
  <c r="P931" i="1"/>
  <c r="P979" i="1"/>
  <c r="P591" i="1"/>
  <c r="P683" i="1"/>
  <c r="P769" i="1"/>
  <c r="P843" i="1"/>
  <c r="P908" i="1"/>
  <c r="P968" i="1"/>
  <c r="P744" i="1"/>
  <c r="P777" i="1"/>
  <c r="P926" i="1"/>
  <c r="P950" i="1"/>
  <c r="P974" i="1"/>
  <c r="P998" i="1"/>
  <c r="P610" i="1"/>
  <c r="P868" i="1"/>
  <c r="P919" i="1"/>
  <c r="P967" i="1"/>
  <c r="P648" i="1"/>
  <c r="P956" i="1"/>
  <c r="P422" i="1"/>
  <c r="P518" i="1"/>
  <c r="P581" i="1"/>
  <c r="P622" i="1"/>
  <c r="P709" i="1"/>
  <c r="P792" i="1"/>
  <c r="P902" i="1"/>
  <c r="P914" i="1"/>
  <c r="P938" i="1"/>
  <c r="P962" i="1"/>
  <c r="P986" i="1"/>
  <c r="P474" i="1"/>
  <c r="P716" i="1"/>
  <c r="P855" i="1"/>
  <c r="P907" i="1"/>
  <c r="P955" i="1"/>
  <c r="P1003" i="1"/>
  <c r="P944" i="1"/>
  <c r="P1004" i="1"/>
  <c r="P616" i="1"/>
  <c r="P756" i="1"/>
  <c r="P817" i="1"/>
  <c r="P923" i="1"/>
  <c r="P971" i="1"/>
  <c r="P757" i="1"/>
  <c r="P414" i="1"/>
  <c r="P689" i="1"/>
  <c r="P819" i="1"/>
  <c r="P873" i="1"/>
  <c r="P995" i="1"/>
  <c r="P275" i="1"/>
  <c r="P724" i="1"/>
  <c r="P803" i="1"/>
  <c r="P959" i="1"/>
  <c r="P617" i="1"/>
  <c r="P847" i="1"/>
  <c r="P619" i="1"/>
  <c r="P759" i="1"/>
  <c r="P595" i="1"/>
  <c r="P911" i="1"/>
  <c r="P670" i="1"/>
  <c r="P350" i="1"/>
  <c r="P860" i="1"/>
  <c r="P197" i="1"/>
  <c r="P451" i="1"/>
  <c r="P634" i="1"/>
  <c r="P833" i="1"/>
  <c r="P935" i="1"/>
  <c r="P983" i="1"/>
  <c r="P200" i="1"/>
  <c r="P635" i="1"/>
  <c r="P773" i="1"/>
  <c r="P886" i="1"/>
  <c r="P557" i="1"/>
  <c r="P834" i="1"/>
  <c r="P273" i="1"/>
  <c r="P721" i="1"/>
  <c r="P947" i="1"/>
  <c r="P899" i="1"/>
  <c r="P3" i="1"/>
  <c r="P52" i="1"/>
  <c r="P100" i="1"/>
  <c r="P148" i="1"/>
  <c r="P7" i="1"/>
  <c r="P55" i="1"/>
  <c r="P103" i="1"/>
  <c r="P151" i="1"/>
  <c r="P22" i="1"/>
  <c r="P166" i="1"/>
  <c r="P149" i="1"/>
  <c r="P62" i="1"/>
  <c r="P42" i="1"/>
  <c r="P185" i="1"/>
  <c r="P201" i="1"/>
  <c r="P327" i="1"/>
  <c r="P375" i="1"/>
  <c r="P213" i="1"/>
  <c r="P208" i="1"/>
  <c r="P45" i="1"/>
  <c r="P203" i="1"/>
  <c r="P324" i="1"/>
  <c r="P372" i="1"/>
  <c r="P420" i="1"/>
  <c r="P468" i="1"/>
  <c r="P516" i="1"/>
  <c r="P564" i="1"/>
  <c r="P612" i="1"/>
  <c r="P242" i="1"/>
  <c r="P286" i="1"/>
  <c r="P145" i="1"/>
  <c r="P353" i="1"/>
  <c r="P471" i="1"/>
  <c r="P489" i="1"/>
  <c r="P279" i="1"/>
  <c r="P402" i="1"/>
  <c r="P421" i="1"/>
  <c r="P609" i="1"/>
  <c r="P631" i="1"/>
  <c r="P775" i="1"/>
  <c r="P209" i="1"/>
  <c r="P627" i="1"/>
  <c r="P247" i="1"/>
  <c r="P649" i="1"/>
  <c r="P793" i="1"/>
  <c r="P133" i="1"/>
  <c r="P525" i="1"/>
  <c r="P702" i="1"/>
  <c r="P846" i="1"/>
  <c r="P341" i="1"/>
  <c r="P606" i="1"/>
  <c r="P752" i="1"/>
  <c r="P374" i="1"/>
  <c r="P570" i="1"/>
  <c r="P748" i="1"/>
  <c r="P892" i="1"/>
  <c r="P949" i="1"/>
  <c r="P997" i="1"/>
  <c r="P583" i="1"/>
  <c r="P939" i="1"/>
  <c r="P594" i="1"/>
  <c r="P816" i="1"/>
  <c r="P615" i="1"/>
  <c r="P498" i="1"/>
  <c r="P904" i="1"/>
  <c r="P976" i="1"/>
  <c r="P638" i="1"/>
  <c r="P527" i="1"/>
  <c r="P814" i="1"/>
  <c r="P960" i="1"/>
  <c r="P742" i="1"/>
  <c r="P628" i="1"/>
  <c r="P607" i="1"/>
  <c r="P238" i="1"/>
  <c r="P217" i="1"/>
  <c r="P655" i="1"/>
  <c r="P8" i="1"/>
  <c r="P56" i="1"/>
  <c r="P104" i="1"/>
  <c r="P152" i="1"/>
  <c r="P11" i="1"/>
  <c r="P59" i="1"/>
  <c r="P107" i="1"/>
  <c r="P155" i="1"/>
  <c r="P34" i="1"/>
  <c r="P17" i="1"/>
  <c r="P161" i="1"/>
  <c r="P74" i="1"/>
  <c r="P54" i="1"/>
  <c r="P207" i="1"/>
  <c r="P223" i="1"/>
  <c r="P331" i="1"/>
  <c r="P379" i="1"/>
  <c r="P218" i="1"/>
  <c r="P219" i="1"/>
  <c r="P57" i="1"/>
  <c r="P214" i="1"/>
  <c r="P328" i="1"/>
  <c r="P376" i="1"/>
  <c r="P424" i="1"/>
  <c r="P472" i="1"/>
  <c r="P520" i="1"/>
  <c r="P568" i="1"/>
  <c r="P181" i="1"/>
  <c r="P251" i="1"/>
  <c r="P295" i="1"/>
  <c r="P169" i="1"/>
  <c r="P361" i="1"/>
  <c r="P493" i="1"/>
  <c r="P502" i="1"/>
  <c r="P305" i="1"/>
  <c r="P410" i="1"/>
  <c r="P438" i="1"/>
  <c r="P206" i="1"/>
  <c r="P644" i="1"/>
  <c r="P788" i="1"/>
  <c r="P229" i="1"/>
  <c r="P640" i="1"/>
  <c r="P426" i="1"/>
  <c r="P658" i="1"/>
  <c r="P802" i="1"/>
  <c r="P210" i="1"/>
  <c r="P530" i="1"/>
  <c r="P715" i="1"/>
  <c r="P859" i="1"/>
  <c r="P357" i="1"/>
  <c r="P621" i="1"/>
  <c r="P765" i="1"/>
  <c r="P390" i="1"/>
  <c r="P575" i="1"/>
  <c r="P761" i="1"/>
  <c r="P905" i="1"/>
  <c r="P953" i="1"/>
  <c r="P1001" i="1"/>
  <c r="P641" i="1"/>
  <c r="P951" i="1"/>
  <c r="P624" i="1"/>
  <c r="P838" i="1"/>
  <c r="P633" i="1"/>
  <c r="P511" i="1"/>
  <c r="P910" i="1"/>
  <c r="P982" i="1"/>
  <c r="P664" i="1"/>
  <c r="P569" i="1"/>
  <c r="P821" i="1"/>
  <c r="P948" i="1"/>
  <c r="P586" i="1"/>
  <c r="P795" i="1"/>
  <c r="P533" i="1"/>
  <c r="P13" i="1"/>
  <c r="P741" i="1"/>
  <c r="P487" i="1"/>
  <c r="P898" i="1"/>
  <c r="P732" i="1"/>
  <c r="P519" i="1"/>
  <c r="P662" i="1"/>
  <c r="P177" i="1"/>
  <c r="P740" i="1"/>
  <c r="P529" i="1"/>
  <c r="P491" i="1"/>
  <c r="P441" i="1"/>
  <c r="P270" i="1"/>
  <c r="P435" i="1"/>
  <c r="P409" i="1"/>
  <c r="P243" i="1"/>
  <c r="P449" i="1"/>
  <c r="P215" i="1"/>
  <c r="P600" i="1"/>
  <c r="P544" i="1"/>
  <c r="P488" i="1"/>
  <c r="P432" i="1"/>
  <c r="P368" i="1"/>
  <c r="P303" i="1"/>
  <c r="P129" i="1"/>
  <c r="P272" i="1"/>
  <c r="P241" i="1"/>
  <c r="P371" i="1"/>
  <c r="P315" i="1"/>
  <c r="P284" i="1"/>
  <c r="P102" i="1"/>
  <c r="P98" i="1"/>
  <c r="P137" i="1"/>
  <c r="P130" i="1"/>
  <c r="P179" i="1"/>
  <c r="P123" i="1"/>
  <c r="P67" i="1"/>
  <c r="P192" i="1"/>
  <c r="P136" i="1"/>
  <c r="P80" i="1"/>
  <c r="P24" i="1"/>
  <c r="Q389" i="1"/>
  <c r="Q256" i="1"/>
  <c r="Q235" i="1"/>
  <c r="Q576" i="1"/>
  <c r="Q424" i="1"/>
  <c r="Q329" i="1"/>
  <c r="Q49" i="1"/>
  <c r="Q190" i="1"/>
  <c r="Q168" i="1"/>
  <c r="Q444" i="1"/>
  <c r="Q336" i="1"/>
  <c r="Q93" i="1"/>
  <c r="Q216" i="1"/>
  <c r="Q302" i="1"/>
  <c r="Q419" i="1"/>
  <c r="Q371" i="1"/>
  <c r="Q323" i="1"/>
  <c r="Q6" i="1"/>
  <c r="Q150" i="1"/>
  <c r="Q314" i="1"/>
  <c r="Q200" i="1"/>
  <c r="Q92" i="1"/>
  <c r="Q214" i="1"/>
  <c r="Q137" i="1"/>
  <c r="Q154" i="1"/>
  <c r="Q10" i="1"/>
  <c r="Q52" i="1"/>
  <c r="Q177" i="1"/>
  <c r="Q147" i="1"/>
  <c r="Q99" i="1"/>
  <c r="Q51" i="1"/>
  <c r="Q386" i="1"/>
  <c r="Q326" i="1"/>
  <c r="Q507" i="1"/>
  <c r="Q549" i="1"/>
  <c r="Q799" i="1"/>
  <c r="Q628" i="1"/>
  <c r="Q698" i="1"/>
  <c r="Q322" i="1"/>
  <c r="Q798" i="1"/>
  <c r="Q894" i="1"/>
  <c r="Q390" i="1"/>
  <c r="Q477" i="1"/>
  <c r="Q612" i="1"/>
  <c r="Q700" i="1"/>
  <c r="Q318" i="1"/>
  <c r="Q382" i="1"/>
  <c r="Q473" i="1"/>
  <c r="Q503" i="1"/>
  <c r="Q663" i="1"/>
  <c r="Q257" i="1"/>
  <c r="Q674" i="1"/>
  <c r="Q807" i="1"/>
  <c r="Q836" i="1"/>
  <c r="Q441" i="1"/>
  <c r="Q526" i="1"/>
  <c r="Q812" i="1"/>
  <c r="Q735" i="1"/>
  <c r="Q882" i="1"/>
  <c r="Q292" i="1"/>
  <c r="Q358" i="1"/>
  <c r="Q461" i="1"/>
  <c r="Q639" i="1"/>
  <c r="Q568" i="1"/>
  <c r="Q646" i="1"/>
  <c r="Q782" i="1"/>
  <c r="Q570" i="1"/>
  <c r="Q895" i="1"/>
  <c r="Q12" i="1"/>
  <c r="Q532" i="1"/>
  <c r="Q686" i="1"/>
  <c r="Q872" i="1"/>
  <c r="Q687" i="1"/>
  <c r="Q818" i="1"/>
  <c r="Q923" i="1"/>
  <c r="Q971" i="1"/>
  <c r="Q651" i="1"/>
  <c r="Q575" i="1"/>
  <c r="Q654" i="1"/>
  <c r="Q899" i="1"/>
  <c r="Q511" i="1"/>
  <c r="Q342" i="1"/>
  <c r="Q911" i="1"/>
  <c r="Q2" i="1"/>
  <c r="Q406" i="1"/>
  <c r="Q722" i="1"/>
  <c r="Q38" i="1"/>
  <c r="Q652" i="1"/>
  <c r="Q995" i="1"/>
  <c r="Q283" i="1"/>
  <c r="Q803" i="1"/>
  <c r="Q959" i="1"/>
  <c r="Q553" i="1"/>
  <c r="Q935" i="1"/>
  <c r="Q983" i="1"/>
  <c r="Q886" i="1"/>
  <c r="Q574" i="1"/>
  <c r="Q846" i="1"/>
  <c r="Q485" i="1"/>
  <c r="Q788" i="1"/>
  <c r="Q947" i="1"/>
  <c r="Q487" i="1"/>
  <c r="Q859" i="1"/>
  <c r="Q912" i="1"/>
  <c r="Q949" i="1"/>
  <c r="Q490" i="1"/>
  <c r="Q943" i="1"/>
  <c r="Q768" i="1"/>
  <c r="Q388" i="1"/>
  <c r="Q703" i="1"/>
  <c r="Q9" i="1"/>
  <c r="Q844" i="1"/>
  <c r="Q624" i="1"/>
  <c r="Q270" i="1"/>
  <c r="Q823" i="1"/>
  <c r="Q366" i="1"/>
  <c r="Q856" i="1"/>
  <c r="Q465" i="1"/>
  <c r="Q739" i="1"/>
  <c r="Q559" i="1"/>
  <c r="Q110" i="1"/>
  <c r="Q682" i="1"/>
  <c r="Q522" i="1"/>
  <c r="Q828" i="1"/>
  <c r="Q636" i="1"/>
  <c r="Q426" i="1"/>
  <c r="Q970" i="1"/>
  <c r="Q922" i="1"/>
  <c r="Q784" i="1"/>
  <c r="Q608" i="1"/>
  <c r="Q455" i="1"/>
  <c r="Q679" i="1"/>
  <c r="Q478" i="1"/>
  <c r="Q129" i="1"/>
  <c r="Q744" i="1"/>
  <c r="Q560" i="1"/>
  <c r="Q346" i="1"/>
  <c r="Q869" i="1"/>
  <c r="Q821" i="1"/>
  <c r="Q773" i="1"/>
  <c r="Q725" i="1"/>
  <c r="Q677" i="1"/>
  <c r="Q629" i="1"/>
  <c r="Q517" i="1"/>
  <c r="Q373" i="1"/>
  <c r="Q133" i="1"/>
  <c r="Q146" i="1"/>
  <c r="Q554" i="1"/>
  <c r="Q409" i="1"/>
  <c r="Q304" i="1"/>
  <c r="Q497" i="1"/>
  <c r="Q488" i="1"/>
  <c r="Q120" i="1"/>
  <c r="Q416" i="1"/>
  <c r="Q320" i="1"/>
  <c r="Q45" i="1"/>
  <c r="Q199" i="1"/>
  <c r="Q276" i="1"/>
  <c r="Q411" i="1"/>
  <c r="Q363" i="1"/>
  <c r="Q315" i="1"/>
  <c r="Q297" i="1"/>
  <c r="Q126" i="1"/>
  <c r="Q288" i="1"/>
  <c r="Q192" i="1"/>
  <c r="Q68" i="1"/>
  <c r="Q206" i="1"/>
  <c r="Q113" i="1"/>
  <c r="Q130" i="1"/>
  <c r="Q172" i="1"/>
  <c r="Q28" i="1"/>
  <c r="Q187" i="1"/>
  <c r="Q139" i="1"/>
  <c r="Q91" i="1"/>
  <c r="Q43" i="1"/>
  <c r="Q672" i="1"/>
  <c r="Q924" i="1"/>
  <c r="Q937" i="1"/>
  <c r="Q476" i="1"/>
  <c r="Q931" i="1"/>
  <c r="Q751" i="1"/>
  <c r="Q356" i="1"/>
  <c r="Q668" i="1"/>
  <c r="Q1005" i="1"/>
  <c r="Q838" i="1"/>
  <c r="Q594" i="1"/>
  <c r="Q999" i="1"/>
  <c r="Q746" i="1"/>
  <c r="Q334" i="1"/>
  <c r="Q843" i="1"/>
  <c r="Q86" i="1"/>
  <c r="Q726" i="1"/>
  <c r="Q538" i="1"/>
  <c r="Q62" i="1"/>
  <c r="Q660" i="1"/>
  <c r="Q460" i="1"/>
  <c r="Q815" i="1"/>
  <c r="Q623" i="1"/>
  <c r="Q247" i="1"/>
  <c r="Q966" i="1"/>
  <c r="Q918" i="1"/>
  <c r="Q771" i="1"/>
  <c r="Q587" i="1"/>
  <c r="Q299" i="1"/>
  <c r="Q666" i="1"/>
  <c r="Q446" i="1"/>
  <c r="Q81" i="1"/>
  <c r="Q731" i="1"/>
  <c r="Q539" i="1"/>
  <c r="Q330" i="1"/>
  <c r="Q865" i="1"/>
  <c r="Q817" i="1"/>
  <c r="Q769" i="1"/>
  <c r="Q721" i="1"/>
  <c r="Q673" i="1"/>
  <c r="Q625" i="1"/>
  <c r="Q504" i="1"/>
  <c r="Q365" i="1"/>
  <c r="Q109" i="1"/>
  <c r="Q122" i="1"/>
  <c r="Q541" i="1"/>
  <c r="Q401" i="1"/>
  <c r="Q269" i="1"/>
  <c r="Q484" i="1"/>
  <c r="Q479" i="1"/>
  <c r="Q96" i="1"/>
  <c r="Q408" i="1"/>
  <c r="Q303" i="1"/>
  <c r="Q21" i="1"/>
  <c r="Q307" i="1"/>
  <c r="Q263" i="1"/>
  <c r="Q407" i="1"/>
  <c r="Q359" i="1"/>
  <c r="Q306" i="1"/>
  <c r="Q284" i="1"/>
  <c r="Q114" i="1"/>
  <c r="Q275" i="1"/>
  <c r="Q186" i="1"/>
  <c r="Q56" i="1"/>
  <c r="Q202" i="1"/>
  <c r="Q101" i="1"/>
  <c r="Q118" i="1"/>
  <c r="Q160" i="1"/>
  <c r="Q16" i="1"/>
  <c r="Q183" i="1"/>
  <c r="Q135" i="1"/>
  <c r="Q87" i="1"/>
  <c r="Q39" i="1"/>
  <c r="K436" i="1"/>
  <c r="K888" i="1"/>
  <c r="K995" i="1"/>
  <c r="K349" i="1"/>
  <c r="K861" i="1"/>
  <c r="K745" i="1"/>
  <c r="K112" i="1"/>
  <c r="K493" i="1"/>
  <c r="K944" i="1"/>
  <c r="K769" i="1"/>
  <c r="K190" i="1"/>
  <c r="K445" i="1"/>
  <c r="K152" i="1"/>
  <c r="M237" i="1"/>
  <c r="M745" i="1"/>
  <c r="M576" i="1"/>
  <c r="M812" i="1"/>
  <c r="M273" i="1"/>
  <c r="M938" i="1"/>
  <c r="M308" i="1"/>
  <c r="M72" i="1"/>
  <c r="M847" i="1"/>
  <c r="M611" i="1"/>
  <c r="M379" i="1"/>
  <c r="M13" i="1"/>
  <c r="M662" i="1"/>
  <c r="M322" i="1"/>
  <c r="M933" i="1"/>
  <c r="M537" i="1"/>
  <c r="M229" i="1"/>
  <c r="M716" i="1"/>
  <c r="M320" i="1"/>
  <c r="M859" i="1"/>
  <c r="M515" i="1"/>
  <c r="M119" i="1"/>
  <c r="M602" i="1"/>
  <c r="M298" i="1"/>
  <c r="M942" i="1"/>
  <c r="M678" i="1"/>
  <c r="M438" i="1"/>
  <c r="M210" i="1"/>
  <c r="M965" i="1"/>
  <c r="M701" i="1"/>
  <c r="M497" i="1"/>
  <c r="M233" i="1"/>
  <c r="M988" i="1"/>
  <c r="M748" i="1"/>
  <c r="M520" i="1"/>
  <c r="M256" i="1"/>
  <c r="M31" i="1"/>
  <c r="M807" i="1"/>
  <c r="M543" i="1"/>
  <c r="M279" i="1"/>
  <c r="M39" i="1"/>
  <c r="M996" i="1"/>
  <c r="M201" i="1"/>
  <c r="M73" i="1"/>
  <c r="M972" i="1"/>
  <c r="M707" i="1"/>
  <c r="M871" i="1"/>
  <c r="M224" i="1"/>
  <c r="M469" i="1"/>
  <c r="M345" i="1"/>
  <c r="M261" i="1"/>
  <c r="K161" i="1"/>
  <c r="K753" i="1"/>
  <c r="K165" i="1"/>
  <c r="K949" i="1"/>
  <c r="K853" i="1"/>
  <c r="K97" i="1"/>
  <c r="K773" i="1"/>
  <c r="K714" i="1"/>
  <c r="K516" i="1"/>
  <c r="K839" i="1"/>
  <c r="K843" i="1"/>
  <c r="K315" i="1"/>
  <c r="K438" i="1"/>
  <c r="M453" i="1"/>
  <c r="M920" i="1"/>
  <c r="M921" i="1"/>
  <c r="M705" i="1"/>
  <c r="M960" i="1"/>
  <c r="M452" i="1"/>
  <c r="M200" i="1"/>
  <c r="M971" i="1"/>
  <c r="M739" i="1"/>
  <c r="M503" i="1"/>
  <c r="M235" i="1"/>
  <c r="M878" i="1"/>
  <c r="M538" i="1"/>
  <c r="M142" i="1"/>
  <c r="M753" i="1"/>
  <c r="M445" i="1"/>
  <c r="M49" i="1"/>
  <c r="M536" i="1"/>
  <c r="M176" i="1"/>
  <c r="M731" i="1"/>
  <c r="M335" i="1"/>
  <c r="M818" i="1"/>
  <c r="M514" i="1"/>
  <c r="M118" i="1"/>
  <c r="M822" i="1"/>
  <c r="M582" i="1"/>
  <c r="M354" i="1"/>
  <c r="M90" i="1"/>
  <c r="M845" i="1"/>
  <c r="M641" i="1"/>
  <c r="M377" i="1"/>
  <c r="M113" i="1"/>
  <c r="M892" i="1"/>
  <c r="M664" i="1"/>
  <c r="M400" i="1"/>
  <c r="M136" i="1"/>
  <c r="M951" i="1"/>
  <c r="M687" i="1"/>
  <c r="M423" i="1"/>
  <c r="M183" i="1"/>
  <c r="M189" i="1"/>
  <c r="M633" i="1"/>
  <c r="M649" i="1"/>
  <c r="M541" i="1"/>
  <c r="M597" i="1"/>
  <c r="M381" i="1"/>
  <c r="M776" i="1"/>
  <c r="M780" i="1"/>
  <c r="M872" i="1"/>
  <c r="M81" i="1"/>
  <c r="M983" i="1"/>
  <c r="K45" i="1"/>
  <c r="K593" i="1"/>
  <c r="K108" i="1"/>
  <c r="K748" i="1"/>
  <c r="K76" i="1"/>
  <c r="K926" i="1"/>
  <c r="K701" i="1"/>
  <c r="K667" i="1"/>
  <c r="K425" i="1"/>
  <c r="K827" i="1"/>
  <c r="K807" i="1"/>
  <c r="K303" i="1"/>
  <c r="K330" i="1"/>
  <c r="M490" i="1"/>
  <c r="M943" i="1"/>
  <c r="M967" i="1"/>
  <c r="M909" i="1"/>
  <c r="M96" i="1"/>
  <c r="M416" i="1"/>
  <c r="M180" i="1"/>
  <c r="M955" i="1"/>
  <c r="M719" i="1"/>
  <c r="M487" i="1"/>
  <c r="M215" i="1"/>
  <c r="M826" i="1"/>
  <c r="M518" i="1"/>
  <c r="M122" i="1"/>
  <c r="M733" i="1"/>
  <c r="M373" i="1"/>
  <c r="M33" i="1"/>
  <c r="M516" i="1"/>
  <c r="M120" i="1"/>
  <c r="M715" i="1"/>
  <c r="M319" i="1"/>
  <c r="M802" i="1"/>
  <c r="M442" i="1"/>
  <c r="M98" i="1"/>
  <c r="M810" i="1"/>
  <c r="M546" i="1"/>
  <c r="M342" i="1"/>
  <c r="M78" i="1"/>
  <c r="M833" i="1"/>
  <c r="M593" i="1"/>
  <c r="M365" i="1"/>
  <c r="M101" i="1"/>
  <c r="M856" i="1"/>
  <c r="M652" i="1"/>
  <c r="M388" i="1"/>
  <c r="M124" i="1"/>
  <c r="M903" i="1"/>
  <c r="M675" i="1"/>
  <c r="M411" i="1"/>
  <c r="M147" i="1"/>
  <c r="M238" i="1"/>
  <c r="M849" i="1"/>
  <c r="M685" i="1"/>
  <c r="M578" i="1"/>
  <c r="M741" i="1"/>
  <c r="M419" i="1"/>
  <c r="M931" i="1"/>
  <c r="M888" i="1"/>
  <c r="M902" i="1"/>
  <c r="M259" i="1"/>
  <c r="M145" i="1"/>
  <c r="K731" i="1"/>
  <c r="K514" i="1"/>
  <c r="K243" i="1"/>
  <c r="K234" i="1"/>
  <c r="M527" i="1"/>
  <c r="M962" i="1"/>
  <c r="M995" i="1"/>
  <c r="M181" i="1"/>
  <c r="M403" i="1"/>
  <c r="M396" i="1"/>
  <c r="M164" i="1"/>
  <c r="M935" i="1"/>
  <c r="M703" i="1"/>
  <c r="M467" i="1"/>
  <c r="M199" i="1"/>
  <c r="M806" i="1"/>
  <c r="M446" i="1"/>
  <c r="M106" i="1"/>
  <c r="M717" i="1"/>
  <c r="M321" i="1"/>
  <c r="M11" i="1"/>
  <c r="M500" i="1"/>
  <c r="M104" i="1"/>
  <c r="M643" i="1"/>
  <c r="M299" i="1"/>
  <c r="M782" i="1"/>
  <c r="M386" i="1"/>
  <c r="M82" i="1"/>
  <c r="M798" i="1"/>
  <c r="M534" i="1"/>
  <c r="M294" i="1"/>
  <c r="M66" i="1"/>
  <c r="M821" i="1"/>
  <c r="M557" i="1"/>
  <c r="M353" i="1"/>
  <c r="M89" i="1"/>
  <c r="M844" i="1"/>
  <c r="M604" i="1"/>
  <c r="M376" i="1"/>
  <c r="M112" i="1"/>
  <c r="M867" i="1"/>
  <c r="M663" i="1"/>
  <c r="M399" i="1"/>
  <c r="M135" i="1"/>
  <c r="M612" i="1"/>
  <c r="M981" i="1"/>
  <c r="M721" i="1"/>
  <c r="M614" i="1"/>
  <c r="M885" i="1"/>
  <c r="M457" i="1"/>
  <c r="M93" i="1"/>
  <c r="M961" i="1"/>
  <c r="M925" i="1"/>
  <c r="M433" i="1"/>
  <c r="M225" i="1"/>
  <c r="K41" i="1"/>
  <c r="K353" i="1"/>
  <c r="K889" i="1"/>
  <c r="K899" i="1"/>
  <c r="K629" i="1"/>
  <c r="K983" i="1"/>
  <c r="K646" i="1"/>
  <c r="K433" i="1"/>
  <c r="K365" i="1"/>
  <c r="K907" i="1"/>
  <c r="K671" i="1"/>
  <c r="K500" i="1"/>
  <c r="K296" i="1"/>
  <c r="M20" i="1"/>
  <c r="M565" i="1"/>
  <c r="M992" i="1"/>
  <c r="M693" i="1"/>
  <c r="M562" i="1"/>
  <c r="M526" i="1"/>
  <c r="M380" i="1"/>
  <c r="M144" i="1"/>
  <c r="M919" i="1"/>
  <c r="M683" i="1"/>
  <c r="M451" i="1"/>
  <c r="M179" i="1"/>
  <c r="M790" i="1"/>
  <c r="M394" i="1"/>
  <c r="M86" i="1"/>
  <c r="M697" i="1"/>
  <c r="M301" i="1"/>
  <c r="M824" i="1"/>
  <c r="M480" i="1"/>
  <c r="M84" i="1"/>
  <c r="M587" i="1"/>
  <c r="M283" i="1"/>
  <c r="M766" i="1"/>
  <c r="M370" i="1"/>
  <c r="M8" i="1"/>
  <c r="M786" i="1"/>
  <c r="M522" i="1"/>
  <c r="M258" i="1"/>
  <c r="M54" i="1"/>
  <c r="M809" i="1"/>
  <c r="M545" i="1"/>
  <c r="M305" i="1"/>
  <c r="M77" i="1"/>
  <c r="M832" i="1"/>
  <c r="M568" i="1"/>
  <c r="M364" i="1"/>
  <c r="M100" i="1"/>
  <c r="M855" i="1"/>
  <c r="M615" i="1"/>
  <c r="M387" i="1"/>
  <c r="M123" i="1"/>
  <c r="M828" i="1"/>
  <c r="M132" i="1"/>
  <c r="M757" i="1"/>
  <c r="M650" i="1"/>
  <c r="M1004" i="1"/>
  <c r="M504" i="1"/>
  <c r="M434" i="1"/>
  <c r="M37" i="1"/>
  <c r="M948" i="1"/>
  <c r="M596" i="1"/>
  <c r="M361" i="1"/>
  <c r="M793" i="1"/>
  <c r="M686" i="1"/>
  <c r="M223" i="1"/>
  <c r="M542" i="1"/>
  <c r="M669" i="1"/>
  <c r="M79" i="1"/>
  <c r="M974" i="1"/>
  <c r="M740" i="1"/>
  <c r="M441" i="1"/>
  <c r="K836" i="1"/>
  <c r="K996" i="1"/>
  <c r="K530" i="1"/>
  <c r="K837" i="1"/>
  <c r="K724" i="1"/>
  <c r="K965" i="1"/>
  <c r="K73" i="1"/>
  <c r="K72" i="1"/>
  <c r="K94" i="1"/>
  <c r="K93" i="1"/>
  <c r="K364" i="1"/>
  <c r="K509" i="1"/>
  <c r="K118" i="1"/>
  <c r="K250" i="1"/>
  <c r="K207" i="1"/>
  <c r="K199" i="1"/>
  <c r="M188" i="1"/>
  <c r="M673" i="1"/>
  <c r="M367" i="1"/>
  <c r="M873" i="1"/>
  <c r="M348" i="1"/>
  <c r="M274" i="1"/>
  <c r="M432" i="1"/>
  <c r="M216" i="1"/>
  <c r="M2" i="1"/>
  <c r="M791" i="1"/>
  <c r="M575" i="1"/>
  <c r="M359" i="1"/>
  <c r="M143" i="1"/>
  <c r="M934" i="1"/>
  <c r="M718" i="1"/>
  <c r="M502" i="1"/>
  <c r="M286" i="1"/>
  <c r="M70" i="1"/>
  <c r="M861" i="1"/>
  <c r="M645" i="1"/>
  <c r="M429" i="1"/>
  <c r="M213" i="1"/>
  <c r="M876" i="1"/>
  <c r="M660" i="1"/>
  <c r="M444" i="1"/>
  <c r="M228" i="1"/>
  <c r="M10" i="1"/>
  <c r="M695" i="1"/>
  <c r="M479" i="1"/>
  <c r="M263" i="1"/>
  <c r="M47" i="1"/>
  <c r="M710" i="1"/>
  <c r="M494" i="1"/>
  <c r="M278" i="1"/>
  <c r="M62" i="1"/>
  <c r="M906" i="1"/>
  <c r="M762" i="1"/>
  <c r="M618" i="1"/>
  <c r="M474" i="1"/>
  <c r="M330" i="1"/>
  <c r="M186" i="1"/>
  <c r="M42" i="1"/>
  <c r="M917" i="1"/>
  <c r="M773" i="1"/>
  <c r="M629" i="1"/>
  <c r="M485" i="1"/>
  <c r="M341" i="1"/>
  <c r="M197" i="1"/>
  <c r="M53" i="1"/>
  <c r="M928" i="1"/>
  <c r="M784" i="1"/>
  <c r="M640" i="1"/>
  <c r="M496" i="1"/>
  <c r="M352" i="1"/>
  <c r="M208" i="1"/>
  <c r="M64" i="1"/>
  <c r="M939" i="1"/>
  <c r="M795" i="1"/>
  <c r="M651" i="1"/>
  <c r="M507" i="1"/>
  <c r="M363" i="1"/>
  <c r="M219" i="1"/>
  <c r="M75" i="1"/>
  <c r="M325" i="1"/>
  <c r="M979" i="1"/>
  <c r="M397" i="1"/>
  <c r="M368" i="1"/>
  <c r="M829" i="1"/>
  <c r="M240" i="1"/>
  <c r="M722" i="1"/>
  <c r="M297" i="1"/>
  <c r="M439" i="1"/>
  <c r="M74" i="1"/>
  <c r="M583" i="1"/>
  <c r="M973" i="1"/>
  <c r="M813" i="1"/>
  <c r="M911" i="1"/>
  <c r="M117" i="1"/>
  <c r="M620" i="1"/>
  <c r="M997" i="1"/>
  <c r="M506" i="1"/>
  <c r="M908" i="1"/>
  <c r="M959" i="1"/>
  <c r="M600" i="1"/>
  <c r="K424" i="1"/>
  <c r="K580" i="1"/>
  <c r="K230" i="1"/>
  <c r="K195" i="1"/>
  <c r="K187" i="1"/>
  <c r="M343" i="1"/>
  <c r="M127" i="1"/>
  <c r="M914" i="1"/>
  <c r="M698" i="1"/>
  <c r="M482" i="1"/>
  <c r="M266" i="1"/>
  <c r="M50" i="1"/>
  <c r="M841" i="1"/>
  <c r="M625" i="1"/>
  <c r="M409" i="1"/>
  <c r="M193" i="1"/>
  <c r="M860" i="1"/>
  <c r="M644" i="1"/>
  <c r="M428" i="1"/>
  <c r="M212" i="1"/>
  <c r="M895" i="1"/>
  <c r="M679" i="1"/>
  <c r="M463" i="1"/>
  <c r="M247" i="1"/>
  <c r="M26" i="1"/>
  <c r="M694" i="1"/>
  <c r="M478" i="1"/>
  <c r="M262" i="1"/>
  <c r="M46" i="1"/>
  <c r="M894" i="1"/>
  <c r="M750" i="1"/>
  <c r="M606" i="1"/>
  <c r="M462" i="1"/>
  <c r="M318" i="1"/>
  <c r="M174" i="1"/>
  <c r="M30" i="1"/>
  <c r="M905" i="1"/>
  <c r="M761" i="1"/>
  <c r="M617" i="1"/>
  <c r="M473" i="1"/>
  <c r="M329" i="1"/>
  <c r="M185" i="1"/>
  <c r="M41" i="1"/>
  <c r="M916" i="1"/>
  <c r="M772" i="1"/>
  <c r="M628" i="1"/>
  <c r="M484" i="1"/>
  <c r="M340" i="1"/>
  <c r="M196" i="1"/>
  <c r="M52" i="1"/>
  <c r="M927" i="1"/>
  <c r="M783" i="1"/>
  <c r="M639" i="1"/>
  <c r="M495" i="1"/>
  <c r="M351" i="1"/>
  <c r="M207" i="1"/>
  <c r="M63" i="1"/>
  <c r="M405" i="1"/>
  <c r="M217" i="1"/>
  <c r="M634" i="1"/>
  <c r="M417" i="1"/>
  <c r="M865" i="1"/>
  <c r="M289" i="1"/>
  <c r="M758" i="1"/>
  <c r="M511" i="1"/>
  <c r="M598" i="1"/>
  <c r="M116" i="1"/>
  <c r="M619" i="1"/>
  <c r="M765" i="1"/>
  <c r="M932" i="1"/>
  <c r="M58" i="1"/>
  <c r="M166" i="1"/>
  <c r="M656" i="1"/>
  <c r="M38" i="1"/>
  <c r="M548" i="1"/>
  <c r="M44" i="1"/>
  <c r="M133" i="1"/>
  <c r="M708" i="1"/>
  <c r="K132" i="1"/>
  <c r="K810" i="1"/>
  <c r="K613" i="1"/>
  <c r="K934" i="1"/>
  <c r="K29" i="1"/>
  <c r="K25" i="1"/>
  <c r="K919" i="1"/>
  <c r="K875" i="1"/>
  <c r="K179" i="1"/>
  <c r="K566" i="1"/>
  <c r="K392" i="1"/>
  <c r="K450" i="1"/>
  <c r="M323" i="1"/>
  <c r="M107" i="1"/>
  <c r="M898" i="1"/>
  <c r="M682" i="1"/>
  <c r="M466" i="1"/>
  <c r="M250" i="1"/>
  <c r="M34" i="1"/>
  <c r="M825" i="1"/>
  <c r="M609" i="1"/>
  <c r="M393" i="1"/>
  <c r="M177" i="1"/>
  <c r="M840" i="1"/>
  <c r="M624" i="1"/>
  <c r="M408" i="1"/>
  <c r="M192" i="1"/>
  <c r="M875" i="1"/>
  <c r="M659" i="1"/>
  <c r="M443" i="1"/>
  <c r="M227" i="1"/>
  <c r="M9" i="1"/>
  <c r="M674" i="1"/>
  <c r="M458" i="1"/>
  <c r="M242" i="1"/>
  <c r="M25" i="1"/>
  <c r="M882" i="1"/>
  <c r="M738" i="1"/>
  <c r="M594" i="1"/>
  <c r="M450" i="1"/>
  <c r="M306" i="1"/>
  <c r="M162" i="1"/>
  <c r="M18" i="1"/>
  <c r="M893" i="1"/>
  <c r="M749" i="1"/>
  <c r="M605" i="1"/>
  <c r="M461" i="1"/>
  <c r="M317" i="1"/>
  <c r="M173" i="1"/>
  <c r="M29" i="1"/>
  <c r="M904" i="1"/>
  <c r="M760" i="1"/>
  <c r="M616" i="1"/>
  <c r="M472" i="1"/>
  <c r="M328" i="1"/>
  <c r="M184" i="1"/>
  <c r="M40" i="1"/>
  <c r="M915" i="1"/>
  <c r="M771" i="1"/>
  <c r="M627" i="1"/>
  <c r="M483" i="1"/>
  <c r="M339" i="1"/>
  <c r="M195" i="1"/>
  <c r="M51" i="1"/>
  <c r="M491" i="1"/>
  <c r="M475" i="1"/>
  <c r="M814" i="1"/>
  <c r="M455" i="1"/>
  <c r="M896" i="1"/>
  <c r="M331" i="1"/>
  <c r="M794" i="1"/>
  <c r="M704" i="1"/>
  <c r="M706" i="1"/>
  <c r="M165" i="1"/>
  <c r="M655" i="1"/>
  <c r="M907" i="1"/>
  <c r="M45" i="1"/>
  <c r="M187" i="1"/>
  <c r="M204" i="1"/>
  <c r="M692" i="1"/>
  <c r="M80" i="1"/>
  <c r="M585" i="1"/>
  <c r="M260" i="1"/>
  <c r="M349" i="1"/>
  <c r="M816" i="1"/>
  <c r="M492" i="1"/>
  <c r="M922" i="1"/>
  <c r="M369" i="1"/>
  <c r="M830" i="1"/>
  <c r="M884" i="1"/>
  <c r="M886" i="1"/>
  <c r="M203" i="1"/>
  <c r="M691" i="1"/>
  <c r="M998" i="1"/>
  <c r="M310" i="1"/>
  <c r="M312" i="1"/>
  <c r="M253" i="1"/>
  <c r="M728" i="1"/>
  <c r="M129" i="1"/>
  <c r="M621" i="1"/>
  <c r="M385" i="1"/>
  <c r="M488" i="1"/>
  <c r="M912" i="1"/>
  <c r="K378" i="1"/>
  <c r="M71" i="1"/>
  <c r="M862" i="1"/>
  <c r="M646" i="1"/>
  <c r="M430" i="1"/>
  <c r="M214" i="1"/>
  <c r="M1005" i="1"/>
  <c r="M789" i="1"/>
  <c r="M573" i="1"/>
  <c r="M357" i="1"/>
  <c r="M141" i="1"/>
  <c r="M804" i="1"/>
  <c r="M588" i="1"/>
  <c r="M372" i="1"/>
  <c r="M156" i="1"/>
  <c r="M839" i="1"/>
  <c r="M623" i="1"/>
  <c r="M407" i="1"/>
  <c r="M191" i="1"/>
  <c r="M854" i="1"/>
  <c r="M638" i="1"/>
  <c r="M422" i="1"/>
  <c r="M206" i="1"/>
  <c r="M1002" i="1"/>
  <c r="M858" i="1"/>
  <c r="M714" i="1"/>
  <c r="M570" i="1"/>
  <c r="M426" i="1"/>
  <c r="M282" i="1"/>
  <c r="M138" i="1"/>
  <c r="M7" i="1"/>
  <c r="M869" i="1"/>
  <c r="M725" i="1"/>
  <c r="M581" i="1"/>
  <c r="M437" i="1"/>
  <c r="M293" i="1"/>
  <c r="M149" i="1"/>
  <c r="M5" i="1"/>
  <c r="M880" i="1"/>
  <c r="M736" i="1"/>
  <c r="M592" i="1"/>
  <c r="M448" i="1"/>
  <c r="M304" i="1"/>
  <c r="M160" i="1"/>
  <c r="M16" i="1"/>
  <c r="M891" i="1"/>
  <c r="M747" i="1"/>
  <c r="M603" i="1"/>
  <c r="M459" i="1"/>
  <c r="M315" i="1"/>
  <c r="M171" i="1"/>
  <c r="M27" i="1"/>
  <c r="M684" i="1"/>
  <c r="M848" i="1"/>
  <c r="M22" i="1"/>
  <c r="M529" i="1"/>
  <c r="M945" i="1"/>
  <c r="M418" i="1"/>
  <c r="M866" i="1"/>
  <c r="M1003" i="1"/>
  <c r="M982" i="1"/>
  <c r="M241" i="1"/>
  <c r="M727" i="1"/>
  <c r="M168" i="1"/>
  <c r="M513" i="1"/>
  <c r="M489" i="1"/>
  <c r="M295" i="1"/>
  <c r="M764" i="1"/>
  <c r="M167" i="1"/>
  <c r="M657" i="1"/>
  <c r="M561" i="1"/>
  <c r="M599" i="1"/>
  <c r="M984" i="1"/>
  <c r="K342" i="1"/>
  <c r="M55" i="1"/>
  <c r="M842" i="1"/>
  <c r="M626" i="1"/>
  <c r="M410" i="1"/>
  <c r="M194" i="1"/>
  <c r="M985" i="1"/>
  <c r="M769" i="1"/>
  <c r="M553" i="1"/>
  <c r="M337" i="1"/>
  <c r="M121" i="1"/>
  <c r="M788" i="1"/>
  <c r="M572" i="1"/>
  <c r="M356" i="1"/>
  <c r="M140" i="1"/>
  <c r="M823" i="1"/>
  <c r="M607" i="1"/>
  <c r="M391" i="1"/>
  <c r="M175" i="1"/>
  <c r="M838" i="1"/>
  <c r="M622" i="1"/>
  <c r="M406" i="1"/>
  <c r="M190" i="1"/>
  <c r="M990" i="1"/>
  <c r="M846" i="1"/>
  <c r="M702" i="1"/>
  <c r="M558" i="1"/>
  <c r="M414" i="1"/>
  <c r="M270" i="1"/>
  <c r="M126" i="1"/>
  <c r="M1001" i="1"/>
  <c r="M857" i="1"/>
  <c r="M713" i="1"/>
  <c r="M569" i="1"/>
  <c r="M425" i="1"/>
  <c r="M281" i="1"/>
  <c r="M137" i="1"/>
  <c r="M19" i="1"/>
  <c r="M868" i="1"/>
  <c r="M724" i="1"/>
  <c r="M580" i="1"/>
  <c r="M436" i="1"/>
  <c r="M292" i="1"/>
  <c r="M148" i="1"/>
  <c r="M4" i="1"/>
  <c r="M879" i="1"/>
  <c r="M735" i="1"/>
  <c r="M591" i="1"/>
  <c r="M447" i="1"/>
  <c r="M303" i="1"/>
  <c r="M159" i="1"/>
  <c r="M15" i="1"/>
  <c r="M756" i="1"/>
  <c r="M980" i="1"/>
  <c r="M61" i="1"/>
  <c r="M577" i="1"/>
  <c r="M968" i="1"/>
  <c r="M456" i="1"/>
  <c r="M900" i="1"/>
  <c r="M218" i="1"/>
  <c r="M182" i="1"/>
  <c r="M290" i="1"/>
  <c r="M763" i="1"/>
  <c r="M384" i="1"/>
  <c r="M778" i="1"/>
  <c r="M564" i="1"/>
  <c r="M333" i="1"/>
  <c r="M800" i="1"/>
  <c r="M205" i="1"/>
  <c r="M837" i="1"/>
  <c r="M777" i="1"/>
  <c r="M743" i="1"/>
  <c r="K997" i="1"/>
  <c r="K901" i="1"/>
  <c r="K780" i="1"/>
  <c r="K101" i="1"/>
  <c r="K887" i="1"/>
  <c r="K660" i="1"/>
  <c r="K1002" i="1"/>
  <c r="K22" i="1"/>
  <c r="K201" i="1"/>
  <c r="K912" i="1"/>
  <c r="K532" i="1"/>
  <c r="K890" i="1"/>
  <c r="K156" i="1"/>
  <c r="K668" i="1"/>
  <c r="K61" i="1"/>
  <c r="K619" i="1"/>
  <c r="K884" i="1"/>
  <c r="K274" i="1"/>
  <c r="K648" i="1"/>
  <c r="K371" i="1"/>
  <c r="K647" i="1"/>
  <c r="K515" i="1"/>
  <c r="K795" i="1"/>
  <c r="K142" i="1"/>
  <c r="K177" i="1"/>
  <c r="K99" i="1"/>
  <c r="K116" i="1"/>
  <c r="K175" i="1"/>
  <c r="K174" i="1"/>
  <c r="K961" i="1"/>
  <c r="K709" i="1"/>
  <c r="K761" i="1"/>
  <c r="K862" i="1"/>
  <c r="K865" i="1"/>
  <c r="K586" i="1"/>
  <c r="K930" i="1"/>
  <c r="K1000" i="1"/>
  <c r="K914" i="1"/>
  <c r="K876" i="1"/>
  <c r="K384" i="1"/>
  <c r="K869" i="1"/>
  <c r="K95" i="1"/>
  <c r="K636" i="1"/>
  <c r="K1005" i="1"/>
  <c r="K561" i="1"/>
  <c r="K871" i="1"/>
  <c r="K181" i="1"/>
  <c r="K559" i="1"/>
  <c r="K352" i="1"/>
  <c r="K587" i="1"/>
  <c r="K501" i="1"/>
  <c r="K699" i="1"/>
  <c r="K86" i="1"/>
  <c r="K157" i="1"/>
  <c r="K39" i="1"/>
  <c r="K104" i="1"/>
  <c r="K115" i="1"/>
  <c r="K162" i="1"/>
  <c r="K738" i="1"/>
  <c r="K507" i="1"/>
  <c r="K622" i="1"/>
  <c r="K752" i="1"/>
  <c r="K691" i="1"/>
  <c r="K469" i="1"/>
  <c r="K631" i="1"/>
  <c r="K964" i="1"/>
  <c r="K679" i="1"/>
  <c r="K833" i="1"/>
  <c r="K228" i="1"/>
  <c r="K825" i="1"/>
  <c r="K994" i="1"/>
  <c r="K584" i="1"/>
  <c r="K957" i="1"/>
  <c r="K491" i="1"/>
  <c r="K785" i="1"/>
  <c r="K148" i="1"/>
  <c r="K536" i="1"/>
  <c r="K208" i="1"/>
  <c r="K551" i="1"/>
  <c r="K484" i="1"/>
  <c r="K639" i="1"/>
  <c r="K70" i="1"/>
  <c r="K69" i="1"/>
  <c r="K27" i="1"/>
  <c r="K7" i="1"/>
  <c r="K79" i="1"/>
  <c r="K150" i="1"/>
  <c r="K570" i="1"/>
  <c r="K417" i="1"/>
  <c r="K526" i="1"/>
  <c r="K641" i="1"/>
  <c r="K669" i="1"/>
  <c r="K297" i="1"/>
  <c r="K577" i="1"/>
  <c r="K948" i="1"/>
  <c r="K657" i="1"/>
  <c r="K746" i="1"/>
  <c r="K169" i="1"/>
  <c r="K763" i="1"/>
  <c r="K970" i="1"/>
  <c r="K518" i="1"/>
  <c r="K921" i="1"/>
  <c r="K457" i="1"/>
  <c r="K741" i="1"/>
  <c r="K117" i="1"/>
  <c r="K512" i="1"/>
  <c r="K119" i="1"/>
  <c r="K538" i="1"/>
  <c r="K395" i="1"/>
  <c r="K627" i="1"/>
  <c r="K650" i="1"/>
  <c r="K12" i="1"/>
  <c r="K14" i="1"/>
  <c r="K487" i="1"/>
  <c r="K67" i="1"/>
  <c r="K90" i="1"/>
  <c r="K362" i="1"/>
  <c r="K100" i="1"/>
  <c r="K406" i="1"/>
  <c r="K340" i="1"/>
  <c r="K615" i="1"/>
  <c r="K590" i="1"/>
  <c r="K483" i="1"/>
  <c r="K440" i="1"/>
  <c r="K475" i="1"/>
  <c r="K522" i="1"/>
  <c r="K54" i="1"/>
  <c r="K954" i="1"/>
  <c r="K269" i="1"/>
  <c r="K916" i="1"/>
  <c r="K420" i="1"/>
  <c r="K762" i="1"/>
  <c r="K621" i="1"/>
  <c r="K774" i="1"/>
  <c r="K405" i="1"/>
  <c r="K573" i="1"/>
  <c r="K453" i="1"/>
  <c r="K963" i="1"/>
  <c r="K881" i="1"/>
  <c r="K625" i="1"/>
  <c r="K898" i="1"/>
  <c r="K400" i="1"/>
  <c r="K872" i="1"/>
  <c r="K309" i="1"/>
  <c r="K713" i="1"/>
  <c r="K979" i="1"/>
  <c r="K273" i="1"/>
  <c r="K83" i="1"/>
  <c r="K314" i="1"/>
  <c r="K323" i="1"/>
  <c r="K555" i="1"/>
  <c r="K578" i="1"/>
  <c r="K387" i="1"/>
  <c r="K404" i="1"/>
  <c r="K463" i="1"/>
  <c r="K462" i="1"/>
  <c r="K42" i="1"/>
  <c r="K974" i="1"/>
  <c r="K868" i="1"/>
  <c r="K361" i="1"/>
  <c r="K751" i="1"/>
  <c r="K737" i="1"/>
  <c r="K710" i="1"/>
  <c r="K624" i="1"/>
  <c r="K822" i="1"/>
  <c r="K48" i="1"/>
  <c r="K730" i="1"/>
  <c r="K835" i="1"/>
  <c r="K678" i="1"/>
  <c r="K533" i="1"/>
  <c r="K768" i="1"/>
  <c r="K704" i="1"/>
  <c r="K947" i="1"/>
  <c r="K328" i="1"/>
  <c r="K998" i="1"/>
  <c r="K597" i="1"/>
  <c r="K36" i="1"/>
  <c r="K729" i="1"/>
  <c r="K341" i="1"/>
  <c r="K993" i="1"/>
  <c r="K700" i="1"/>
  <c r="K216" i="1"/>
  <c r="K857" i="1"/>
  <c r="K490" i="1"/>
  <c r="K943" i="1"/>
  <c r="K598" i="1"/>
  <c r="K564" i="1"/>
  <c r="K155" i="1"/>
  <c r="K695" i="1"/>
  <c r="K350" i="1"/>
  <c r="K543" i="1"/>
  <c r="K124" i="1"/>
  <c r="K663" i="1"/>
  <c r="K302" i="1"/>
  <c r="K614" i="1"/>
  <c r="K229" i="1"/>
  <c r="K351" i="1"/>
  <c r="K63" i="1"/>
  <c r="K260" i="1"/>
  <c r="K511" i="1"/>
  <c r="K223" i="1"/>
  <c r="K486" i="1"/>
  <c r="K198" i="1"/>
  <c r="S198" i="1" s="1"/>
  <c r="K953" i="1"/>
  <c r="K781" i="1"/>
  <c r="K257" i="1"/>
  <c r="K506" i="1"/>
  <c r="K692" i="1"/>
  <c r="K642" i="1"/>
  <c r="K596" i="1"/>
  <c r="K760" i="1"/>
  <c r="K902" i="1"/>
  <c r="K685" i="1"/>
  <c r="K705" i="1"/>
  <c r="K608" i="1"/>
  <c r="K444" i="1"/>
  <c r="K725" i="1"/>
  <c r="K449" i="1"/>
  <c r="K927" i="1"/>
  <c r="K288" i="1"/>
  <c r="K942" i="1"/>
  <c r="K531" i="1"/>
  <c r="K1006" i="1"/>
  <c r="K715" i="1"/>
  <c r="K245" i="1"/>
  <c r="K981" i="1"/>
  <c r="K682" i="1"/>
  <c r="K120" i="1"/>
  <c r="K828" i="1"/>
  <c r="K456" i="1"/>
  <c r="K931" i="1"/>
  <c r="K581" i="1"/>
  <c r="K552" i="1"/>
  <c r="K136" i="1"/>
  <c r="K683" i="1"/>
  <c r="K334" i="1"/>
  <c r="K529" i="1"/>
  <c r="K107" i="1"/>
  <c r="K651" i="1"/>
  <c r="K286" i="1"/>
  <c r="K602" i="1"/>
  <c r="K213" i="1"/>
  <c r="K339" i="1"/>
  <c r="K51" i="1"/>
  <c r="K248" i="1"/>
  <c r="K499" i="1"/>
  <c r="K211" i="1"/>
  <c r="K474" i="1"/>
  <c r="K186" i="1"/>
  <c r="K658" i="1"/>
  <c r="K840" i="1"/>
  <c r="K312" i="1"/>
  <c r="K823" i="1"/>
  <c r="K220" i="1"/>
  <c r="K977" i="1"/>
  <c r="K923" i="1"/>
  <c r="K377" i="1"/>
  <c r="K96" i="1"/>
  <c r="K81" i="1"/>
  <c r="K834" i="1"/>
  <c r="K892" i="1"/>
  <c r="K640" i="1"/>
  <c r="K929" i="1"/>
  <c r="K607" i="1"/>
  <c r="K676" i="1"/>
  <c r="K553" i="1"/>
  <c r="K694" i="1"/>
  <c r="K519" i="1"/>
  <c r="K859" i="1"/>
  <c r="K492" i="1"/>
  <c r="K311" i="1"/>
  <c r="K829" i="1"/>
  <c r="K432" i="1"/>
  <c r="K908" i="1"/>
  <c r="K649" i="1"/>
  <c r="K89" i="1"/>
  <c r="K754" i="1"/>
  <c r="K205" i="1"/>
  <c r="K335" i="1"/>
  <c r="K815" i="1"/>
  <c r="K524" i="1"/>
  <c r="K98" i="1"/>
  <c r="K304" i="1"/>
  <c r="K783" i="1"/>
  <c r="K482" i="1"/>
  <c r="K50" i="1"/>
  <c r="K409" i="1"/>
  <c r="K471" i="1"/>
  <c r="K183" i="1"/>
  <c r="K380" i="1"/>
  <c r="K92" i="1"/>
  <c r="K343" i="1"/>
  <c r="K55" i="1"/>
  <c r="K318" i="1"/>
  <c r="K30" i="1"/>
  <c r="K549" i="1"/>
  <c r="K734" i="1"/>
  <c r="K202" i="1"/>
  <c r="K804" i="1"/>
  <c r="K53" i="1"/>
  <c r="K941" i="1"/>
  <c r="K903" i="1"/>
  <c r="K204" i="1"/>
  <c r="K38" i="1"/>
  <c r="K790" i="1"/>
  <c r="K765" i="1"/>
  <c r="K550" i="1"/>
  <c r="K893" i="1"/>
  <c r="K999" i="1"/>
  <c r="K628" i="1"/>
  <c r="K470" i="1"/>
  <c r="K673" i="1"/>
  <c r="K345" i="1"/>
  <c r="K845" i="1"/>
  <c r="K461" i="1"/>
  <c r="K129" i="1"/>
  <c r="K800" i="1"/>
  <c r="K398" i="1"/>
  <c r="K896" i="1"/>
  <c r="K601" i="1"/>
  <c r="K58" i="1"/>
  <c r="K740" i="1"/>
  <c r="K180" i="1"/>
  <c r="K316" i="1"/>
  <c r="K803" i="1"/>
  <c r="K508" i="1"/>
  <c r="K82" i="1"/>
  <c r="K287" i="1"/>
  <c r="K771" i="1"/>
  <c r="K466" i="1"/>
  <c r="K34" i="1"/>
  <c r="K393" i="1"/>
  <c r="K459" i="1"/>
  <c r="K171" i="1"/>
  <c r="K368" i="1"/>
  <c r="K80" i="1"/>
  <c r="K331" i="1"/>
  <c r="K43" i="1"/>
  <c r="K306" i="1"/>
  <c r="K18" i="1"/>
  <c r="K726" i="1"/>
  <c r="K146" i="1"/>
  <c r="K299" i="1"/>
  <c r="K791" i="1"/>
  <c r="K494" i="1"/>
  <c r="K62" i="1"/>
  <c r="K268" i="1"/>
  <c r="K759" i="1"/>
  <c r="K446" i="1"/>
  <c r="K13" i="1"/>
  <c r="K373" i="1"/>
  <c r="K447" i="1"/>
  <c r="K159" i="1"/>
  <c r="K356" i="1"/>
  <c r="K68" i="1"/>
  <c r="K319" i="1"/>
  <c r="K31" i="1"/>
  <c r="K294" i="1"/>
  <c r="K4" i="1"/>
  <c r="K793" i="1"/>
  <c r="K693" i="1"/>
  <c r="K616" i="1"/>
  <c r="K661" i="1"/>
  <c r="K688" i="1"/>
  <c r="K866" i="1"/>
  <c r="K595" i="1"/>
  <c r="K918" i="1"/>
  <c r="K989" i="1"/>
  <c r="K718" i="1"/>
  <c r="K975" i="1"/>
  <c r="K736" i="1"/>
  <c r="K317" i="1"/>
  <c r="K794" i="1"/>
  <c r="K860" i="1"/>
  <c r="K293" i="1"/>
  <c r="K792" i="1"/>
  <c r="K913" i="1"/>
  <c r="K290" i="1"/>
  <c r="K722" i="1"/>
  <c r="K21" i="1"/>
  <c r="K878" i="1"/>
  <c r="K37" i="1"/>
  <c r="K347" i="1"/>
  <c r="K502" i="1"/>
  <c r="K808" i="1"/>
  <c r="K496" i="1"/>
  <c r="K796" i="1"/>
  <c r="K978" i="1"/>
  <c r="K739" i="1"/>
  <c r="K326" i="1"/>
  <c r="K277" i="1"/>
  <c r="K922" i="1"/>
  <c r="K758" i="1"/>
  <c r="K562" i="1"/>
  <c r="K217" i="1"/>
  <c r="K252" i="1"/>
  <c r="K909" i="1"/>
  <c r="K742" i="1"/>
  <c r="K540" i="1"/>
  <c r="K182" i="1"/>
  <c r="K932" i="1"/>
  <c r="K770" i="1"/>
  <c r="K582" i="1"/>
  <c r="K240" i="1"/>
  <c r="K967" i="1"/>
  <c r="K812" i="1"/>
  <c r="K632" i="1"/>
  <c r="K329" i="1"/>
  <c r="K588" i="1"/>
  <c r="K407" i="1"/>
  <c r="K191" i="1"/>
  <c r="K863" i="1"/>
  <c r="K719" i="1"/>
  <c r="K575" i="1"/>
  <c r="K386" i="1"/>
  <c r="K170" i="1"/>
  <c r="K568" i="1"/>
  <c r="K376" i="1"/>
  <c r="K160" i="1"/>
  <c r="K831" i="1"/>
  <c r="K687" i="1"/>
  <c r="K542" i="1"/>
  <c r="K338" i="1"/>
  <c r="K122" i="1"/>
  <c r="K638" i="1"/>
  <c r="K481" i="1"/>
  <c r="K265" i="1"/>
  <c r="K49" i="1"/>
  <c r="K375" i="1"/>
  <c r="K231" i="1"/>
  <c r="K87" i="1"/>
  <c r="K428" i="1"/>
  <c r="K284" i="1"/>
  <c r="K140" i="1"/>
  <c r="K535" i="1"/>
  <c r="K391" i="1"/>
  <c r="K247" i="1"/>
  <c r="K103" i="1"/>
  <c r="K510" i="1"/>
  <c r="K366" i="1"/>
  <c r="K222" i="1"/>
  <c r="K78" i="1"/>
  <c r="K938" i="1"/>
  <c r="K750" i="1"/>
  <c r="K645" i="1"/>
  <c r="K557" i="1"/>
  <c r="K589" i="1"/>
  <c r="K612" i="1"/>
  <c r="K847" i="1"/>
  <c r="K569" i="1"/>
  <c r="K864" i="1"/>
  <c r="K917" i="1"/>
  <c r="K672" i="1"/>
  <c r="K959" i="1"/>
  <c r="K716" i="1"/>
  <c r="K261" i="1"/>
  <c r="K732" i="1"/>
  <c r="K817" i="1"/>
  <c r="K253" i="1"/>
  <c r="K749" i="1"/>
  <c r="K877" i="1"/>
  <c r="K237" i="1"/>
  <c r="K677" i="1"/>
  <c r="K936" i="1"/>
  <c r="K811" i="1"/>
  <c r="K1001" i="1"/>
  <c r="K189" i="1"/>
  <c r="K385" i="1"/>
  <c r="K788" i="1"/>
  <c r="K441" i="1"/>
  <c r="K733" i="1"/>
  <c r="K962" i="1"/>
  <c r="K720" i="1"/>
  <c r="K281" i="1"/>
  <c r="K218" i="1"/>
  <c r="K910" i="1"/>
  <c r="K744" i="1"/>
  <c r="K544" i="1"/>
  <c r="K184" i="1"/>
  <c r="K185" i="1"/>
  <c r="K897" i="1"/>
  <c r="K728" i="1"/>
  <c r="K517" i="1"/>
  <c r="K149" i="1"/>
  <c r="K920" i="1"/>
  <c r="K756" i="1"/>
  <c r="K560" i="1"/>
  <c r="K209" i="1"/>
  <c r="K955" i="1"/>
  <c r="K798" i="1"/>
  <c r="K617" i="1"/>
  <c r="K300" i="1"/>
  <c r="K576" i="1"/>
  <c r="K388" i="1"/>
  <c r="K172" i="1"/>
  <c r="K851" i="1"/>
  <c r="S851" i="1" s="1"/>
  <c r="K707" i="1"/>
  <c r="K563" i="1"/>
  <c r="K370" i="1"/>
  <c r="K154" i="1"/>
  <c r="K556" i="1"/>
  <c r="K359" i="1"/>
  <c r="K143" i="1"/>
  <c r="K819" i="1"/>
  <c r="K675" i="1"/>
  <c r="K528" i="1"/>
  <c r="K322" i="1"/>
  <c r="K106" i="1"/>
  <c r="K626" i="1"/>
  <c r="K465" i="1"/>
  <c r="K249" i="1"/>
  <c r="K33" i="1"/>
  <c r="K363" i="1"/>
  <c r="K219" i="1"/>
  <c r="K75" i="1"/>
  <c r="K416" i="1"/>
  <c r="K272" i="1"/>
  <c r="K128" i="1"/>
  <c r="K523" i="1"/>
  <c r="K379" i="1"/>
  <c r="K235" i="1"/>
  <c r="K91" i="1"/>
  <c r="K498" i="1"/>
  <c r="K354" i="1"/>
  <c r="K210" i="1"/>
  <c r="K66" i="1"/>
  <c r="K987" i="1"/>
  <c r="K925" i="1"/>
  <c r="K882" i="1"/>
  <c r="K973" i="1"/>
  <c r="K988" i="1"/>
  <c r="K960" i="1"/>
  <c r="K717" i="1"/>
  <c r="K264" i="1"/>
  <c r="K520" i="1"/>
  <c r="K905" i="1"/>
  <c r="K325" i="1"/>
  <c r="K846" i="1"/>
  <c r="K558" i="1"/>
  <c r="K797" i="1"/>
  <c r="K40" i="1"/>
  <c r="K585" i="1"/>
  <c r="K966" i="1"/>
  <c r="K292" i="1"/>
  <c r="K656" i="1"/>
  <c r="K928" i="1"/>
  <c r="K289" i="1"/>
  <c r="K413" i="1"/>
  <c r="K548" i="1"/>
  <c r="K766" i="1"/>
  <c r="K789" i="1"/>
  <c r="K911" i="1"/>
  <c r="K654" i="1"/>
  <c r="K130" i="1"/>
  <c r="K256" i="1"/>
  <c r="K849" i="1"/>
  <c r="K571" i="1"/>
  <c r="K565" i="1"/>
  <c r="K982" i="1"/>
  <c r="K830" i="1"/>
  <c r="K653" i="1"/>
  <c r="K369" i="1"/>
  <c r="K545" i="1"/>
  <c r="K969" i="1"/>
  <c r="K814" i="1"/>
  <c r="K634" i="1"/>
  <c r="K336" i="1"/>
  <c r="K992" i="1"/>
  <c r="K842" i="1"/>
  <c r="K666" i="1"/>
  <c r="K397" i="1"/>
  <c r="K24" i="1"/>
  <c r="K883" i="1"/>
  <c r="K712" i="1"/>
  <c r="K489" i="1"/>
  <c r="K113" i="1"/>
  <c r="K495" i="1"/>
  <c r="K280" i="1"/>
  <c r="K64" i="1"/>
  <c r="K779" i="1"/>
  <c r="K635" i="1"/>
  <c r="K478" i="1"/>
  <c r="K262" i="1"/>
  <c r="K46" i="1"/>
  <c r="K467" i="1"/>
  <c r="K251" i="1"/>
  <c r="K35" i="1"/>
  <c r="K747" i="1"/>
  <c r="K603" i="1"/>
  <c r="K430" i="1"/>
  <c r="K214" i="1"/>
  <c r="K698" i="1"/>
  <c r="K554" i="1"/>
  <c r="K357" i="1"/>
  <c r="K141" i="1"/>
  <c r="K435" i="1"/>
  <c r="K291" i="1"/>
  <c r="K147" i="1"/>
  <c r="K488" i="1"/>
  <c r="K344" i="1"/>
  <c r="K200" i="1"/>
  <c r="K56" i="1"/>
  <c r="K451" i="1"/>
  <c r="K307" i="1"/>
  <c r="K163" i="1"/>
  <c r="K19" i="1"/>
  <c r="K426" i="1"/>
  <c r="K282" i="1"/>
  <c r="K138" i="1"/>
  <c r="K15" i="1"/>
  <c r="K870" i="1"/>
  <c r="K696" i="1"/>
  <c r="K455" i="1"/>
  <c r="K84" i="1"/>
  <c r="K479" i="1"/>
  <c r="K263" i="1"/>
  <c r="K47" i="1"/>
  <c r="K767" i="1"/>
  <c r="K623" i="1"/>
  <c r="K458" i="1"/>
  <c r="K242" i="1"/>
  <c r="K26" i="1"/>
  <c r="K448" i="1"/>
  <c r="K232" i="1"/>
  <c r="K16" i="1"/>
  <c r="K735" i="1"/>
  <c r="K591" i="1"/>
  <c r="K410" i="1"/>
  <c r="K194" i="1"/>
  <c r="K686" i="1"/>
  <c r="K541" i="1"/>
  <c r="K337" i="1"/>
  <c r="K121" i="1"/>
  <c r="K423" i="1"/>
  <c r="K279" i="1"/>
  <c r="K135" i="1"/>
  <c r="K476" i="1"/>
  <c r="K332" i="1"/>
  <c r="K188" i="1"/>
  <c r="K44" i="1"/>
  <c r="K439" i="1"/>
  <c r="K295" i="1"/>
  <c r="K151" i="1"/>
  <c r="K5" i="1"/>
  <c r="K414" i="1"/>
  <c r="K270" i="1"/>
  <c r="K126" i="1"/>
  <c r="K915" i="1"/>
  <c r="K824" i="1"/>
  <c r="K777" i="1"/>
  <c r="K838" i="1"/>
  <c r="K880" i="1"/>
  <c r="K924" i="1"/>
  <c r="K670" i="1"/>
  <c r="K166" i="1"/>
  <c r="K313" i="1"/>
  <c r="K848" i="1"/>
  <c r="K167" i="1"/>
  <c r="K802" i="1"/>
  <c r="K473" i="1"/>
  <c r="K972" i="1"/>
  <c r="K971" i="1"/>
  <c r="K454" i="1"/>
  <c r="K894" i="1"/>
  <c r="K77" i="1"/>
  <c r="K574" i="1"/>
  <c r="K852" i="1"/>
  <c r="K173" i="1"/>
  <c r="K986" i="1"/>
  <c r="K348" i="1"/>
  <c r="K630" i="1"/>
  <c r="K703" i="1"/>
  <c r="K874" i="1"/>
  <c r="K606" i="1"/>
  <c r="K17" i="1"/>
  <c r="K952" i="1"/>
  <c r="K806" i="1"/>
  <c r="K485" i="1"/>
  <c r="K468" i="1"/>
  <c r="K958" i="1"/>
  <c r="K801" i="1"/>
  <c r="K620" i="1"/>
  <c r="K310" i="1"/>
  <c r="K434" i="1"/>
  <c r="K945" i="1"/>
  <c r="K786" i="1"/>
  <c r="K604" i="1"/>
  <c r="K275" i="1"/>
  <c r="K968" i="1"/>
  <c r="K813" i="1"/>
  <c r="K633" i="1"/>
  <c r="K333" i="1"/>
  <c r="K1003" i="1"/>
  <c r="K856" i="1"/>
  <c r="K680" i="1"/>
  <c r="K421" i="1"/>
  <c r="K57" i="1"/>
  <c r="K460" i="1"/>
  <c r="K244" i="1"/>
  <c r="K28" i="1"/>
  <c r="K755" i="1"/>
  <c r="K611" i="1"/>
  <c r="K442" i="1"/>
  <c r="K226" i="1"/>
  <c r="K9" i="1"/>
  <c r="K431" i="1"/>
  <c r="K215" i="1"/>
  <c r="K867" i="1"/>
  <c r="K723" i="1"/>
  <c r="K579" i="1"/>
  <c r="K394" i="1"/>
  <c r="K178" i="1"/>
  <c r="K674" i="1"/>
  <c r="K527" i="1"/>
  <c r="K321" i="1"/>
  <c r="S321" i="1" s="1"/>
  <c r="K105" i="1"/>
  <c r="K411" i="1"/>
  <c r="K267" i="1"/>
  <c r="K123" i="1"/>
  <c r="K464" i="1"/>
  <c r="K320" i="1"/>
  <c r="K176" i="1"/>
  <c r="K32" i="1"/>
  <c r="K427" i="1"/>
  <c r="K283" i="1"/>
  <c r="K139" i="1"/>
  <c r="K546" i="1"/>
  <c r="K402" i="1"/>
  <c r="K258" i="1"/>
  <c r="K114" i="1"/>
  <c r="K6" i="1"/>
  <c r="K776" i="1"/>
  <c r="K818" i="1"/>
  <c r="K904" i="1"/>
  <c r="K644" i="1"/>
  <c r="K109" i="1"/>
  <c r="K203" i="1"/>
  <c r="K805" i="1"/>
  <c r="K65" i="1"/>
  <c r="K778" i="1"/>
  <c r="K419" i="1"/>
  <c r="K900" i="1"/>
  <c r="K935" i="1"/>
  <c r="K408" i="1"/>
  <c r="K854" i="1"/>
  <c r="K985" i="1"/>
  <c r="K503" i="1"/>
  <c r="K809" i="1"/>
  <c r="K131" i="1"/>
  <c r="K950" i="1"/>
  <c r="K238" i="1"/>
  <c r="K547" i="1"/>
  <c r="K655" i="1"/>
  <c r="K850" i="1"/>
  <c r="K572" i="1"/>
  <c r="K937" i="1"/>
  <c r="K254" i="1"/>
  <c r="K782" i="1"/>
  <c r="K437" i="1"/>
  <c r="K401" i="1"/>
  <c r="K946" i="1"/>
  <c r="K787" i="1"/>
  <c r="K605" i="1"/>
  <c r="K276" i="1"/>
  <c r="K372" i="1"/>
  <c r="K933" i="1"/>
  <c r="K772" i="1"/>
  <c r="K583" i="1"/>
  <c r="K241" i="1"/>
  <c r="K956" i="1"/>
  <c r="K799" i="1"/>
  <c r="K618" i="1"/>
  <c r="K305" i="1"/>
  <c r="K991" i="1"/>
  <c r="K841" i="1"/>
  <c r="K665" i="1"/>
  <c r="K396" i="1"/>
  <c r="K23" i="1"/>
  <c r="K443" i="1"/>
  <c r="K227" i="1"/>
  <c r="K10" i="1"/>
  <c r="K743" i="1"/>
  <c r="K599" i="1"/>
  <c r="K422" i="1"/>
  <c r="K206" i="1"/>
  <c r="K592" i="1"/>
  <c r="K412" i="1"/>
  <c r="K196" i="1"/>
  <c r="K855" i="1"/>
  <c r="K711" i="1"/>
  <c r="K567" i="1"/>
  <c r="K374" i="1"/>
  <c r="K158" i="1"/>
  <c r="K662" i="1"/>
  <c r="K513" i="1"/>
  <c r="K301" i="1"/>
  <c r="K85" i="1"/>
  <c r="K399" i="1"/>
  <c r="K255" i="1"/>
  <c r="K111" i="1"/>
  <c r="K452" i="1"/>
  <c r="K308" i="1"/>
  <c r="K164" i="1"/>
  <c r="K20" i="1"/>
  <c r="K415" i="1"/>
  <c r="K271" i="1"/>
  <c r="K127" i="1"/>
  <c r="K534" i="1"/>
  <c r="K390" i="1"/>
  <c r="K246" i="1"/>
  <c r="K102" i="1"/>
  <c r="S613" i="1" l="1"/>
  <c r="S917" i="1"/>
  <c r="S170" i="1"/>
  <c r="S833" i="1"/>
  <c r="S787" i="1"/>
  <c r="S920" i="1"/>
  <c r="S734" i="1"/>
  <c r="S892" i="1"/>
  <c r="S186" i="1"/>
  <c r="S529" i="1"/>
  <c r="S822" i="1"/>
  <c r="S898" i="1"/>
  <c r="S269" i="1"/>
  <c r="S297" i="1"/>
  <c r="S639" i="1"/>
  <c r="S115" i="1"/>
  <c r="S201" i="1"/>
  <c r="S611" i="1"/>
  <c r="S34" i="1"/>
  <c r="S426" i="1"/>
  <c r="S991" i="1"/>
  <c r="S850" i="1"/>
  <c r="S432" i="1"/>
  <c r="S826" i="1"/>
  <c r="S820" i="1"/>
  <c r="S255" i="1"/>
  <c r="S238" i="1"/>
  <c r="S442" i="1"/>
  <c r="S468" i="1"/>
  <c r="S5" i="1"/>
  <c r="S282" i="1"/>
  <c r="S46" i="1"/>
  <c r="S830" i="1"/>
  <c r="S905" i="1"/>
  <c r="S354" i="1"/>
  <c r="S936" i="1"/>
  <c r="S366" i="1"/>
  <c r="S49" i="1"/>
  <c r="S240" i="1"/>
  <c r="S922" i="1"/>
  <c r="S21" i="1"/>
  <c r="S989" i="1"/>
  <c r="S319" i="1"/>
  <c r="S791" i="1"/>
  <c r="S893" i="1"/>
  <c r="S829" i="1"/>
  <c r="S474" i="1"/>
  <c r="S597" i="1"/>
  <c r="S625" i="1"/>
  <c r="S954" i="1"/>
  <c r="S90" i="1"/>
  <c r="S1005" i="1"/>
  <c r="S371" i="1"/>
  <c r="S22" i="1"/>
  <c r="S934" i="1"/>
  <c r="S996" i="1"/>
  <c r="S125" i="1"/>
  <c r="S816" i="1"/>
  <c r="S714" i="1"/>
  <c r="S218" i="1"/>
  <c r="S550" i="1"/>
  <c r="S457" i="1"/>
  <c r="S666" i="1"/>
  <c r="S237" i="1"/>
  <c r="S146" i="1"/>
  <c r="S765" i="1"/>
  <c r="S36" i="1"/>
  <c r="S399" i="1"/>
  <c r="S813" i="1"/>
  <c r="S864" i="1"/>
  <c r="S1006" i="1"/>
  <c r="S390" i="1"/>
  <c r="S756" i="1"/>
  <c r="S362" i="1"/>
  <c r="S118" i="1"/>
  <c r="S77" i="1"/>
  <c r="S19" i="1"/>
  <c r="S685" i="1"/>
  <c r="S629" i="1"/>
  <c r="S681" i="1"/>
  <c r="S355" i="1"/>
  <c r="S249" i="1"/>
  <c r="S478" i="1"/>
  <c r="S427" i="1"/>
  <c r="S790" i="1"/>
  <c r="S117" i="1"/>
  <c r="S29" i="1"/>
  <c r="S139" i="1"/>
  <c r="S485" i="1"/>
  <c r="S397" i="1"/>
  <c r="S896" i="1"/>
  <c r="S260" i="1"/>
  <c r="S97" i="1"/>
  <c r="S131" i="1"/>
  <c r="S870" i="1"/>
  <c r="S143" i="1"/>
  <c r="S963" i="1"/>
  <c r="S235" i="1"/>
  <c r="S169" i="1"/>
  <c r="S546" i="1"/>
  <c r="S166" i="1"/>
  <c r="S482" i="1"/>
  <c r="S805" i="1"/>
  <c r="S541" i="1"/>
  <c r="S834" i="1"/>
  <c r="S155" i="1"/>
  <c r="S741" i="1"/>
  <c r="S283" i="1"/>
  <c r="S295" i="1"/>
  <c r="S565" i="1"/>
  <c r="S103" i="1"/>
  <c r="S211" i="1"/>
  <c r="S439" i="1"/>
  <c r="S604" i="1"/>
  <c r="S802" i="1"/>
  <c r="S412" i="1"/>
  <c r="S458" i="1"/>
  <c r="S24" i="1"/>
  <c r="S33" i="1"/>
  <c r="S245" i="1"/>
  <c r="S862" i="1"/>
  <c r="S510" i="1"/>
  <c r="S68" i="1"/>
  <c r="S783" i="1"/>
  <c r="S511" i="1"/>
  <c r="S767" i="1"/>
  <c r="S636" i="1"/>
  <c r="S301" i="1"/>
  <c r="S178" i="1"/>
  <c r="S771" i="1"/>
  <c r="S642" i="1"/>
  <c r="S256" i="1"/>
  <c r="S900" i="1"/>
  <c r="S267" i="1"/>
  <c r="S35" i="1"/>
  <c r="S489" i="1"/>
  <c r="S545" i="1"/>
  <c r="S789" i="1"/>
  <c r="S558" i="1"/>
  <c r="S617" i="1"/>
  <c r="S189" i="1"/>
  <c r="S716" i="1"/>
  <c r="S736" i="1"/>
  <c r="S268" i="1"/>
  <c r="S368" i="1"/>
  <c r="S470" i="1"/>
  <c r="S607" i="1"/>
  <c r="S312" i="1"/>
  <c r="S444" i="1"/>
  <c r="S953" i="1"/>
  <c r="S993" i="1"/>
  <c r="S538" i="1"/>
  <c r="S930" i="1"/>
  <c r="S142" i="1"/>
  <c r="S890" i="1"/>
  <c r="S580" i="1"/>
  <c r="S965" i="1"/>
  <c r="S243" i="1"/>
  <c r="S701" i="1"/>
  <c r="S995" i="1"/>
  <c r="S102" i="1"/>
  <c r="S337" i="1"/>
  <c r="S413" i="1"/>
  <c r="S209" i="1"/>
  <c r="S387" i="1"/>
  <c r="S445" i="1"/>
  <c r="S600" i="1"/>
  <c r="S623" i="1"/>
  <c r="S677" i="1"/>
  <c r="S250" i="1"/>
  <c r="S775" i="1"/>
  <c r="S304" i="1"/>
  <c r="S889" i="1"/>
  <c r="S809" i="1"/>
  <c r="S598" i="1"/>
  <c r="S660" i="1"/>
  <c r="S644" i="1"/>
  <c r="S308" i="1"/>
  <c r="S856" i="1"/>
  <c r="S477" i="1"/>
  <c r="S141" i="1"/>
  <c r="S85" i="1"/>
  <c r="S595" i="1"/>
  <c r="S311" i="1"/>
  <c r="S710" i="1"/>
  <c r="S554" i="1"/>
  <c r="S159" i="1"/>
  <c r="S841" i="1"/>
  <c r="S601" i="1"/>
  <c r="S695" i="1"/>
  <c r="S647" i="1"/>
  <c r="S530" i="1"/>
  <c r="S748" i="1"/>
  <c r="S259" i="1"/>
  <c r="S950" i="1"/>
  <c r="S326" i="1"/>
  <c r="S81" i="1"/>
  <c r="S534" i="1"/>
  <c r="S109" i="1"/>
  <c r="S571" i="1"/>
  <c r="S127" i="1"/>
  <c r="S44" i="1"/>
  <c r="S65" i="1"/>
  <c r="S852" i="1"/>
  <c r="S435" i="1"/>
  <c r="S154" i="1"/>
  <c r="S228" i="1"/>
  <c r="S207" i="1"/>
  <c r="S592" i="1"/>
  <c r="S715" i="1"/>
  <c r="S946" i="1"/>
  <c r="S91" i="1"/>
  <c r="S136" i="1"/>
  <c r="S95" i="1"/>
  <c r="S605" i="1"/>
  <c r="S633" i="1"/>
  <c r="S910" i="1"/>
  <c r="S393" i="1"/>
  <c r="S223" i="1"/>
  <c r="S561" i="1"/>
  <c r="S88" i="1"/>
  <c r="S262" i="1"/>
  <c r="S104" i="1"/>
  <c r="S844" i="1"/>
  <c r="S328" i="1"/>
  <c r="S298" i="1"/>
  <c r="S711" i="1"/>
  <c r="S23" i="1"/>
  <c r="S933" i="1"/>
  <c r="S114" i="1"/>
  <c r="S431" i="1"/>
  <c r="S620" i="1"/>
  <c r="S348" i="1"/>
  <c r="S167" i="1"/>
  <c r="S126" i="1"/>
  <c r="S279" i="1"/>
  <c r="S448" i="1"/>
  <c r="S488" i="1"/>
  <c r="S987" i="1"/>
  <c r="S75" i="1"/>
  <c r="S184" i="1"/>
  <c r="S938" i="1"/>
  <c r="S87" i="1"/>
  <c r="S160" i="1"/>
  <c r="S632" i="1"/>
  <c r="S217" i="1"/>
  <c r="S347" i="1"/>
  <c r="S4" i="1"/>
  <c r="S180" i="1"/>
  <c r="S53" i="1"/>
  <c r="S471" i="1"/>
  <c r="S89" i="1"/>
  <c r="S286" i="1"/>
  <c r="S120" i="1"/>
  <c r="S124" i="1"/>
  <c r="S835" i="1"/>
  <c r="S462" i="1"/>
  <c r="S309" i="1"/>
  <c r="S762" i="1"/>
  <c r="S340" i="1"/>
  <c r="S657" i="1"/>
  <c r="S27" i="1"/>
  <c r="S584" i="1"/>
  <c r="S507" i="1"/>
  <c r="S559" i="1"/>
  <c r="S990" i="1"/>
  <c r="S378" i="1"/>
  <c r="S875" i="1"/>
  <c r="S433" i="1"/>
  <c r="S843" i="1"/>
  <c r="S885" i="1"/>
  <c r="S684" i="1"/>
  <c r="S670" i="1"/>
  <c r="S370" i="1"/>
  <c r="S265" i="1"/>
  <c r="S190" i="1"/>
  <c r="S674" i="1"/>
  <c r="S481" i="1"/>
  <c r="S760" i="1"/>
  <c r="S54" i="1"/>
  <c r="S709" i="1"/>
  <c r="S689" i="1"/>
  <c r="S153" i="1"/>
  <c r="S784" i="1"/>
  <c r="S832" i="1"/>
  <c r="S266" i="1"/>
  <c r="S951" i="1"/>
  <c r="S221" i="1"/>
  <c r="S225" i="1"/>
  <c r="S721" i="1"/>
  <c r="S246" i="1"/>
  <c r="S574" i="1"/>
  <c r="S722" i="1"/>
  <c r="S624" i="1"/>
  <c r="S669" i="1"/>
  <c r="S773" i="1"/>
  <c r="S357" i="1"/>
  <c r="S264" i="1"/>
  <c r="S398" i="1"/>
  <c r="S683" i="1"/>
  <c r="S641" i="1"/>
  <c r="S648" i="1"/>
  <c r="S593" i="1"/>
  <c r="S769" i="1"/>
  <c r="S618" i="1"/>
  <c r="S638" i="1"/>
  <c r="S866" i="1"/>
  <c r="S800" i="1"/>
  <c r="S96" i="1"/>
  <c r="S526" i="1"/>
  <c r="S961" i="1"/>
  <c r="S509" i="1"/>
  <c r="S233" i="1"/>
  <c r="S702" i="1"/>
  <c r="S757" i="1"/>
  <c r="S610" i="1"/>
  <c r="S497" i="1"/>
  <c r="S537" i="1"/>
  <c r="S52" i="1"/>
  <c r="S145" i="1"/>
  <c r="S527" i="1"/>
  <c r="S982" i="1"/>
  <c r="S560" i="1"/>
  <c r="S918" i="1"/>
  <c r="S549" i="1"/>
  <c r="S899" i="1"/>
  <c r="S697" i="1"/>
  <c r="S305" i="1"/>
  <c r="S755" i="1"/>
  <c r="S563" i="1"/>
  <c r="S569" i="1"/>
  <c r="S290" i="1"/>
  <c r="S881" i="1"/>
  <c r="S679" i="1"/>
  <c r="S275" i="1"/>
  <c r="S194" i="1"/>
  <c r="S635" i="1"/>
  <c r="S847" i="1"/>
  <c r="S932" i="1"/>
  <c r="S98" i="1"/>
  <c r="S531" i="1"/>
  <c r="S921" i="1"/>
  <c r="S157" i="1"/>
  <c r="S330" i="1"/>
  <c r="S599" i="1"/>
  <c r="S503" i="1"/>
  <c r="S244" i="1"/>
  <c r="S838" i="1"/>
  <c r="S779" i="1"/>
  <c r="S379" i="1"/>
  <c r="S149" i="1"/>
  <c r="S122" i="1"/>
  <c r="S792" i="1"/>
  <c r="S38" i="1"/>
  <c r="S552" i="1"/>
  <c r="S943" i="1"/>
  <c r="S475" i="1"/>
  <c r="S631" i="1"/>
  <c r="S887" i="1"/>
  <c r="S303" i="1"/>
  <c r="S168" i="1"/>
  <c r="S984" i="1"/>
  <c r="S873" i="1"/>
  <c r="S727" i="1"/>
  <c r="S879" i="1"/>
  <c r="S137" i="1"/>
  <c r="S498" i="1"/>
  <c r="S582" i="1"/>
  <c r="S578" i="1"/>
  <c r="S484" i="1"/>
  <c r="S761" i="1"/>
  <c r="S206" i="1"/>
  <c r="S806" i="1"/>
  <c r="S928" i="1"/>
  <c r="S281" i="1"/>
  <c r="S770" i="1"/>
  <c r="S998" i="1"/>
  <c r="S39" i="1"/>
  <c r="S894" i="1"/>
  <c r="S656" i="1"/>
  <c r="S707" i="1"/>
  <c r="S247" i="1"/>
  <c r="S739" i="1"/>
  <c r="S726" i="1"/>
  <c r="S318" i="1"/>
  <c r="S63" i="1"/>
  <c r="S323" i="1"/>
  <c r="S487" i="1"/>
  <c r="S964" i="1"/>
  <c r="S274" i="1"/>
  <c r="S810" i="1"/>
  <c r="S45" i="1"/>
  <c r="S944" i="1"/>
  <c r="S799" i="1"/>
  <c r="S32" i="1"/>
  <c r="S17" i="1"/>
  <c r="S307" i="1"/>
  <c r="S849" i="1"/>
  <c r="S960" i="1"/>
  <c r="S106" i="1"/>
  <c r="S749" i="1"/>
  <c r="S863" i="1"/>
  <c r="S688" i="1"/>
  <c r="S287" i="1"/>
  <c r="S55" i="1"/>
  <c r="S377" i="1"/>
  <c r="S942" i="1"/>
  <c r="S947" i="1"/>
  <c r="S314" i="1"/>
  <c r="S14" i="1"/>
  <c r="S536" i="1"/>
  <c r="S174" i="1"/>
  <c r="S364" i="1"/>
  <c r="S41" i="1"/>
  <c r="S594" i="1"/>
  <c r="S940" i="1"/>
  <c r="S151" i="1"/>
  <c r="S520" i="1"/>
  <c r="S277" i="1"/>
  <c r="S902" i="1"/>
  <c r="S203" i="1"/>
  <c r="S924" i="1"/>
  <c r="S465" i="1"/>
  <c r="S356" i="1"/>
  <c r="S30" i="1"/>
  <c r="S555" i="1"/>
  <c r="S551" i="1"/>
  <c r="S1002" i="1"/>
  <c r="S422" i="1"/>
  <c r="S952" i="1"/>
  <c r="S47" i="1"/>
  <c r="S842" i="1"/>
  <c r="S717" i="1"/>
  <c r="S877" i="1"/>
  <c r="S913" i="1"/>
  <c r="S208" i="1"/>
  <c r="S410" i="1"/>
  <c r="S698" i="1"/>
  <c r="S292" i="1"/>
  <c r="S612" i="1"/>
  <c r="S978" i="1"/>
  <c r="S18" i="1"/>
  <c r="S524" i="1"/>
  <c r="S248" i="1"/>
  <c r="S351" i="1"/>
  <c r="S453" i="1"/>
  <c r="S417" i="1"/>
  <c r="S869" i="1"/>
  <c r="S949" i="1"/>
  <c r="S493" i="1"/>
  <c r="S346" i="1"/>
  <c r="S289" i="1"/>
  <c r="S386" i="1"/>
  <c r="S299" i="1"/>
  <c r="S334" i="1"/>
  <c r="S108" i="1"/>
  <c r="S358" i="1"/>
  <c r="S60" i="1"/>
  <c r="S968" i="1"/>
  <c r="S686" i="1"/>
  <c r="S575" i="1"/>
  <c r="S466" i="1"/>
  <c r="S564" i="1"/>
  <c r="S67" i="1"/>
  <c r="S836" i="1"/>
  <c r="S401" i="1"/>
  <c r="S28" i="1"/>
  <c r="S880" i="1"/>
  <c r="S163" i="1"/>
  <c r="S626" i="1"/>
  <c r="S720" i="1"/>
  <c r="S719" i="1"/>
  <c r="S492" i="1"/>
  <c r="S499" i="1"/>
  <c r="S596" i="1"/>
  <c r="S737" i="1"/>
  <c r="S522" i="1"/>
  <c r="S353" i="1"/>
  <c r="S853" i="1"/>
  <c r="S513" i="1"/>
  <c r="S437" i="1"/>
  <c r="S394" i="1"/>
  <c r="S454" i="1"/>
  <c r="S263" i="1"/>
  <c r="S992" i="1"/>
  <c r="S962" i="1"/>
  <c r="S391" i="1"/>
  <c r="S182" i="1"/>
  <c r="S447" i="1"/>
  <c r="S129" i="1"/>
  <c r="S859" i="1"/>
  <c r="S751" i="1"/>
  <c r="S518" i="1"/>
  <c r="S86" i="1"/>
  <c r="S884" i="1"/>
  <c r="S132" i="1"/>
  <c r="S296" i="1"/>
  <c r="S452" i="1"/>
  <c r="S855" i="1"/>
  <c r="S396" i="1"/>
  <c r="S372" i="1"/>
  <c r="S655" i="1"/>
  <c r="S419" i="1"/>
  <c r="S258" i="1"/>
  <c r="S411" i="1"/>
  <c r="S9" i="1"/>
  <c r="S1003" i="1"/>
  <c r="S801" i="1"/>
  <c r="S986" i="1"/>
  <c r="S848" i="1"/>
  <c r="S270" i="1"/>
  <c r="S423" i="1"/>
  <c r="S26" i="1"/>
  <c r="S15" i="1"/>
  <c r="S147" i="1"/>
  <c r="S251" i="1"/>
  <c r="S712" i="1"/>
  <c r="S369" i="1"/>
  <c r="S766" i="1"/>
  <c r="S846" i="1"/>
  <c r="S66" i="1"/>
  <c r="S219" i="1"/>
  <c r="S359" i="1"/>
  <c r="S798" i="1"/>
  <c r="S544" i="1"/>
  <c r="S1001" i="1"/>
  <c r="S959" i="1"/>
  <c r="S78" i="1"/>
  <c r="S231" i="1"/>
  <c r="S376" i="1"/>
  <c r="S812" i="1"/>
  <c r="S562" i="1"/>
  <c r="S37" i="1"/>
  <c r="S975" i="1"/>
  <c r="S294" i="1"/>
  <c r="S62" i="1"/>
  <c r="S171" i="1"/>
  <c r="S740" i="1"/>
  <c r="S628" i="1"/>
  <c r="S804" i="1"/>
  <c r="S409" i="1"/>
  <c r="S649" i="1"/>
  <c r="S929" i="1"/>
  <c r="S840" i="1"/>
  <c r="S651" i="1"/>
  <c r="S682" i="1"/>
  <c r="S608" i="1"/>
  <c r="S543" i="1"/>
  <c r="S341" i="1"/>
  <c r="S730" i="1"/>
  <c r="S463" i="1"/>
  <c r="S872" i="1"/>
  <c r="S420" i="1"/>
  <c r="S406" i="1"/>
  <c r="S119" i="1"/>
  <c r="S948" i="1"/>
  <c r="S69" i="1"/>
  <c r="S994" i="1"/>
  <c r="S738" i="1"/>
  <c r="S181" i="1"/>
  <c r="S586" i="1"/>
  <c r="S795" i="1"/>
  <c r="S532" i="1"/>
  <c r="S919" i="1"/>
  <c r="S424" i="1"/>
  <c r="S724" i="1"/>
  <c r="S646" i="1"/>
  <c r="S514" i="1"/>
  <c r="S926" i="1"/>
  <c r="S839" i="1"/>
  <c r="S888" i="1"/>
  <c r="S236" i="1"/>
  <c r="S764" i="1"/>
  <c r="S891" i="1"/>
  <c r="S192" i="1"/>
  <c r="S381" i="1"/>
  <c r="S906" i="1"/>
  <c r="S383" i="1"/>
  <c r="S111" i="1"/>
  <c r="S196" i="1"/>
  <c r="S665" i="1"/>
  <c r="S276" i="1"/>
  <c r="S547" i="1"/>
  <c r="S778" i="1"/>
  <c r="S402" i="1"/>
  <c r="S105" i="1"/>
  <c r="S226" i="1"/>
  <c r="S333" i="1"/>
  <c r="S958" i="1"/>
  <c r="S173" i="1"/>
  <c r="S313" i="1"/>
  <c r="S414" i="1"/>
  <c r="S121" i="1"/>
  <c r="S242" i="1"/>
  <c r="S138" i="1"/>
  <c r="S291" i="1"/>
  <c r="S467" i="1"/>
  <c r="S883" i="1"/>
  <c r="S653" i="1"/>
  <c r="S548" i="1"/>
  <c r="S325" i="1"/>
  <c r="S210" i="1"/>
  <c r="S363" i="1"/>
  <c r="S556" i="1"/>
  <c r="S955" i="1"/>
  <c r="S744" i="1"/>
  <c r="S811" i="1"/>
  <c r="S672" i="1"/>
  <c r="S222" i="1"/>
  <c r="S375" i="1"/>
  <c r="S568" i="1"/>
  <c r="S967" i="1"/>
  <c r="S758" i="1"/>
  <c r="S878" i="1"/>
  <c r="S718" i="1"/>
  <c r="S31" i="1"/>
  <c r="S494" i="1"/>
  <c r="S459" i="1"/>
  <c r="S58" i="1"/>
  <c r="S999" i="1"/>
  <c r="S202" i="1"/>
  <c r="S50" i="1"/>
  <c r="S908" i="1"/>
  <c r="S640" i="1"/>
  <c r="S658" i="1"/>
  <c r="S107" i="1"/>
  <c r="S981" i="1"/>
  <c r="S705" i="1"/>
  <c r="S486" i="1"/>
  <c r="S350" i="1"/>
  <c r="S729" i="1"/>
  <c r="S48" i="1"/>
  <c r="S404" i="1"/>
  <c r="S400" i="1"/>
  <c r="S916" i="1"/>
  <c r="S100" i="1"/>
  <c r="S512" i="1"/>
  <c r="S577" i="1"/>
  <c r="S70" i="1"/>
  <c r="S825" i="1"/>
  <c r="S162" i="1"/>
  <c r="S871" i="1"/>
  <c r="S865" i="1"/>
  <c r="S515" i="1"/>
  <c r="S912" i="1"/>
  <c r="S25" i="1"/>
  <c r="S199" i="1"/>
  <c r="S837" i="1"/>
  <c r="S983" i="1"/>
  <c r="S731" i="1"/>
  <c r="S76" i="1"/>
  <c r="S516" i="1"/>
  <c r="S152" i="1"/>
  <c r="S436" i="1"/>
  <c r="S212" i="1"/>
  <c r="S278" i="1"/>
  <c r="S327" i="1"/>
  <c r="S197" i="1"/>
  <c r="S285" i="1"/>
  <c r="S637" i="1"/>
  <c r="S418" i="1"/>
  <c r="S1004" i="1"/>
  <c r="S59" i="1"/>
  <c r="S858" i="1"/>
  <c r="S74" i="1"/>
  <c r="S504" i="1"/>
  <c r="S956" i="1"/>
  <c r="S786" i="1"/>
  <c r="S479" i="1"/>
  <c r="S988" i="1"/>
  <c r="S172" i="1"/>
  <c r="S589" i="1"/>
  <c r="S191" i="1"/>
  <c r="S661" i="1"/>
  <c r="S82" i="1"/>
  <c r="S519" i="1"/>
  <c r="S361" i="1"/>
  <c r="S384" i="1"/>
  <c r="S450" i="1"/>
  <c r="S93" i="1"/>
  <c r="S500" i="1"/>
  <c r="S807" i="1"/>
  <c r="S165" i="1"/>
  <c r="S112" i="1"/>
  <c r="S976" i="1"/>
  <c r="S643" i="1"/>
  <c r="S133" i="1"/>
  <c r="S664" i="1"/>
  <c r="S609" i="1"/>
  <c r="S886" i="1"/>
  <c r="S980" i="1"/>
  <c r="S403" i="1"/>
  <c r="S480" i="1"/>
  <c r="S11" i="1"/>
  <c r="S360" i="1"/>
  <c r="S271" i="1"/>
  <c r="S743" i="1"/>
  <c r="S904" i="1"/>
  <c r="S460" i="1"/>
  <c r="S606" i="1"/>
  <c r="S188" i="1"/>
  <c r="S591" i="1"/>
  <c r="S451" i="1"/>
  <c r="S214" i="1"/>
  <c r="S64" i="1"/>
  <c r="S336" i="1"/>
  <c r="S966" i="1"/>
  <c r="S523" i="1"/>
  <c r="S322" i="1"/>
  <c r="S517" i="1"/>
  <c r="S733" i="1"/>
  <c r="S253" i="1"/>
  <c r="S535" i="1"/>
  <c r="S338" i="1"/>
  <c r="S540" i="1"/>
  <c r="S796" i="1"/>
  <c r="S293" i="1"/>
  <c r="S373" i="1"/>
  <c r="S306" i="1"/>
  <c r="S461" i="1"/>
  <c r="S343" i="1"/>
  <c r="S815" i="1"/>
  <c r="S923" i="1"/>
  <c r="S51" i="1"/>
  <c r="S581" i="1"/>
  <c r="S288" i="1"/>
  <c r="S692" i="1"/>
  <c r="S229" i="1"/>
  <c r="S490" i="1"/>
  <c r="S704" i="1"/>
  <c r="S83" i="1"/>
  <c r="S573" i="1"/>
  <c r="S440" i="1"/>
  <c r="S12" i="1"/>
  <c r="S970" i="1"/>
  <c r="S570" i="1"/>
  <c r="S148" i="1"/>
  <c r="S469" i="1"/>
  <c r="S699" i="1"/>
  <c r="S175" i="1"/>
  <c r="S619" i="1"/>
  <c r="S101" i="1"/>
  <c r="S415" i="1"/>
  <c r="S158" i="1"/>
  <c r="S10" i="1"/>
  <c r="S241" i="1"/>
  <c r="S254" i="1"/>
  <c r="S854" i="1"/>
  <c r="S818" i="1"/>
  <c r="S320" i="1"/>
  <c r="S723" i="1"/>
  <c r="S57" i="1"/>
  <c r="S945" i="1"/>
  <c r="S874" i="1"/>
  <c r="S972" i="1"/>
  <c r="S824" i="1"/>
  <c r="S332" i="1"/>
  <c r="S735" i="1"/>
  <c r="S84" i="1"/>
  <c r="S56" i="1"/>
  <c r="S430" i="1"/>
  <c r="S280" i="1"/>
  <c r="S634" i="1"/>
  <c r="S130" i="1"/>
  <c r="S585" i="1"/>
  <c r="S973" i="1"/>
  <c r="S128" i="1"/>
  <c r="S528" i="1"/>
  <c r="S388" i="1"/>
  <c r="S728" i="1"/>
  <c r="S441" i="1"/>
  <c r="S817" i="1"/>
  <c r="S557" i="1"/>
  <c r="S140" i="1"/>
  <c r="S542" i="1"/>
  <c r="S407" i="1"/>
  <c r="S742" i="1"/>
  <c r="S496" i="1"/>
  <c r="S860" i="1"/>
  <c r="S616" i="1"/>
  <c r="S13" i="1"/>
  <c r="S43" i="1"/>
  <c r="S508" i="1"/>
  <c r="S845" i="1"/>
  <c r="S204" i="1"/>
  <c r="S92" i="1"/>
  <c r="S335" i="1"/>
  <c r="S694" i="1"/>
  <c r="S977" i="1"/>
  <c r="S339" i="1"/>
  <c r="S931" i="1"/>
  <c r="S927" i="1"/>
  <c r="S506" i="1"/>
  <c r="S614" i="1"/>
  <c r="S857" i="1"/>
  <c r="S768" i="1"/>
  <c r="S868" i="1"/>
  <c r="S273" i="1"/>
  <c r="S405" i="1"/>
  <c r="S483" i="1"/>
  <c r="S650" i="1"/>
  <c r="S763" i="1"/>
  <c r="S150" i="1"/>
  <c r="S785" i="1"/>
  <c r="S691" i="1"/>
  <c r="S501" i="1"/>
  <c r="S876" i="1"/>
  <c r="S116" i="1"/>
  <c r="S61" i="1"/>
  <c r="S780" i="1"/>
  <c r="S392" i="1"/>
  <c r="S187" i="1"/>
  <c r="S94" i="1"/>
  <c r="S671" i="1"/>
  <c r="S827" i="1"/>
  <c r="S753" i="1"/>
  <c r="S745" i="1"/>
  <c r="S144" i="1"/>
  <c r="S505" i="1"/>
  <c r="S472" i="1"/>
  <c r="S521" i="1"/>
  <c r="S708" i="1"/>
  <c r="S367" i="1"/>
  <c r="S389" i="1"/>
  <c r="S224" i="1"/>
  <c r="S110" i="1"/>
  <c r="S659" i="1"/>
  <c r="S71" i="1"/>
  <c r="S782" i="1"/>
  <c r="S176" i="1"/>
  <c r="S971" i="1"/>
  <c r="S374" i="1"/>
  <c r="S583" i="1"/>
  <c r="S408" i="1"/>
  <c r="S867" i="1"/>
  <c r="S915" i="1"/>
  <c r="S16" i="1"/>
  <c r="S200" i="1"/>
  <c r="S495" i="1"/>
  <c r="S654" i="1"/>
  <c r="S882" i="1"/>
  <c r="S675" i="1"/>
  <c r="S897" i="1"/>
  <c r="S732" i="1"/>
  <c r="S687" i="1"/>
  <c r="S588" i="1"/>
  <c r="S794" i="1"/>
  <c r="S446" i="1"/>
  <c r="S803" i="1"/>
  <c r="S903" i="1"/>
  <c r="S205" i="1"/>
  <c r="S220" i="1"/>
  <c r="S213" i="1"/>
  <c r="S449" i="1"/>
  <c r="S257" i="1"/>
  <c r="S216" i="1"/>
  <c r="S974" i="1"/>
  <c r="S774" i="1"/>
  <c r="S627" i="1"/>
  <c r="S79" i="1"/>
  <c r="S752" i="1"/>
  <c r="S99" i="1"/>
  <c r="S566" i="1"/>
  <c r="S195" i="1"/>
  <c r="S72" i="1"/>
  <c r="S907" i="1"/>
  <c r="S425" i="1"/>
  <c r="S438" i="1"/>
  <c r="S161" i="1"/>
  <c r="S861" i="1"/>
  <c r="S821" i="1"/>
  <c r="S193" i="1"/>
  <c r="S429" i="1"/>
  <c r="S690" i="1"/>
  <c r="S939" i="1"/>
  <c r="S525" i="1"/>
  <c r="S382" i="1"/>
  <c r="S324" i="1"/>
  <c r="S539" i="1"/>
  <c r="S662" i="1"/>
  <c r="S985" i="1"/>
  <c r="S579" i="1"/>
  <c r="S777" i="1"/>
  <c r="S20" i="1"/>
  <c r="S227" i="1"/>
  <c r="S937" i="1"/>
  <c r="S776" i="1"/>
  <c r="S464" i="1"/>
  <c r="S421" i="1"/>
  <c r="S434" i="1"/>
  <c r="S703" i="1"/>
  <c r="S473" i="1"/>
  <c r="S476" i="1"/>
  <c r="S455" i="1"/>
  <c r="S603" i="1"/>
  <c r="S814" i="1"/>
  <c r="S40" i="1"/>
  <c r="S272" i="1"/>
  <c r="S576" i="1"/>
  <c r="S788" i="1"/>
  <c r="S645" i="1"/>
  <c r="S284" i="1"/>
  <c r="S909" i="1"/>
  <c r="S808" i="1"/>
  <c r="S693" i="1"/>
  <c r="S331" i="1"/>
  <c r="S345" i="1"/>
  <c r="S380" i="1"/>
  <c r="S553" i="1"/>
  <c r="S456" i="1"/>
  <c r="S302" i="1"/>
  <c r="S533" i="1"/>
  <c r="S979" i="1"/>
  <c r="S590" i="1"/>
  <c r="S491" i="1"/>
  <c r="S587" i="1"/>
  <c r="S914" i="1"/>
  <c r="S668" i="1"/>
  <c r="S901" i="1"/>
  <c r="S164" i="1"/>
  <c r="S567" i="1"/>
  <c r="S443" i="1"/>
  <c r="S772" i="1"/>
  <c r="S572" i="1"/>
  <c r="S935" i="1"/>
  <c r="S6" i="1"/>
  <c r="S123" i="1"/>
  <c r="S215" i="1"/>
  <c r="S680" i="1"/>
  <c r="S310" i="1"/>
  <c r="S630" i="1"/>
  <c r="S3" i="1"/>
  <c r="S135" i="1"/>
  <c r="S232" i="1"/>
  <c r="S696" i="1"/>
  <c r="S344" i="1"/>
  <c r="S747" i="1"/>
  <c r="S113" i="1"/>
  <c r="S969" i="1"/>
  <c r="S911" i="1"/>
  <c r="S797" i="1"/>
  <c r="S925" i="1"/>
  <c r="S416" i="1"/>
  <c r="S819" i="1"/>
  <c r="S300" i="1"/>
  <c r="S185" i="1"/>
  <c r="S385" i="1"/>
  <c r="S261" i="1"/>
  <c r="S750" i="1"/>
  <c r="S428" i="1"/>
  <c r="S831" i="1"/>
  <c r="S329" i="1"/>
  <c r="S252" i="1"/>
  <c r="S502" i="1"/>
  <c r="S317" i="1"/>
  <c r="S793" i="1"/>
  <c r="S759" i="1"/>
  <c r="S80" i="1"/>
  <c r="S316" i="1"/>
  <c r="S673" i="1"/>
  <c r="S941" i="1"/>
  <c r="S183" i="1"/>
  <c r="S754" i="1"/>
  <c r="S676" i="1"/>
  <c r="S823" i="1"/>
  <c r="S602" i="1"/>
  <c r="S828" i="1"/>
  <c r="S725" i="1"/>
  <c r="S781" i="1"/>
  <c r="S663" i="1"/>
  <c r="S700" i="1"/>
  <c r="S678" i="1"/>
  <c r="S42" i="1"/>
  <c r="S713" i="1"/>
  <c r="S621" i="1"/>
  <c r="S615" i="1"/>
  <c r="S395" i="1"/>
  <c r="S746" i="1"/>
  <c r="S7" i="1"/>
  <c r="S957" i="1"/>
  <c r="S622" i="1"/>
  <c r="S352" i="1"/>
  <c r="S1000" i="1"/>
  <c r="S177" i="1"/>
  <c r="S156" i="1"/>
  <c r="S997" i="1"/>
  <c r="S342" i="1"/>
  <c r="S179" i="1"/>
  <c r="S230" i="1"/>
  <c r="S73" i="1"/>
  <c r="S365" i="1"/>
  <c r="S234" i="1"/>
  <c r="S667" i="1"/>
  <c r="S315" i="1"/>
  <c r="S349" i="1"/>
  <c r="S706" i="1"/>
  <c r="S239" i="1"/>
  <c r="S895" i="1"/>
  <c r="S8" i="1"/>
  <c r="S652" i="1"/>
  <c r="S134" i="1"/>
</calcChain>
</file>

<file path=xl/comments1.xml><?xml version="1.0" encoding="utf-8"?>
<comments xmlns="http://schemas.openxmlformats.org/spreadsheetml/2006/main">
  <authors>
    <author>PMLS</author>
  </authors>
  <commentList>
    <comment ref="K2" authorId="0" shapeId="0">
      <text>
        <r>
          <rPr>
            <b/>
            <sz val="9"/>
            <color indexed="81"/>
            <rFont val="Tahoma"/>
            <charset val="1"/>
          </rPr>
          <t>PMLS:</t>
        </r>
        <r>
          <rPr>
            <sz val="9"/>
            <color indexed="81"/>
            <rFont val="Tahoma"/>
            <charset val="1"/>
          </rPr>
          <t xml:space="preserve">
if(or(cash&lt;mean of cash-3*sd of cash,cash&gt;mean of cash+3*sd of cash),"out",cash</t>
        </r>
      </text>
    </comment>
    <comment ref="L2" authorId="0" shapeId="0">
      <text>
        <r>
          <rPr>
            <b/>
            <sz val="9"/>
            <color indexed="81"/>
            <rFont val="Tahoma"/>
            <charset val="1"/>
          </rPr>
          <t>PMLS:</t>
        </r>
        <r>
          <rPr>
            <sz val="9"/>
            <color indexed="81"/>
            <rFont val="Tahoma"/>
            <charset val="1"/>
          </rPr>
          <t xml:space="preserve">
if(or(variable&lt;mean-3s.d,variable&gt;mean+3.sd)="out",variable</t>
        </r>
      </text>
    </comment>
  </commentList>
</comments>
</file>

<file path=xl/sharedStrings.xml><?xml version="1.0" encoding="utf-8"?>
<sst xmlns="http://schemas.openxmlformats.org/spreadsheetml/2006/main" count="3018" uniqueCount="328">
  <si>
    <t>Company</t>
  </si>
  <si>
    <t>year</t>
  </si>
  <si>
    <t>Cash</t>
  </si>
  <si>
    <t>CFT</t>
  </si>
  <si>
    <t>LIQ</t>
  </si>
  <si>
    <t>LEV</t>
  </si>
  <si>
    <t>MBR</t>
  </si>
  <si>
    <t>Size</t>
  </si>
  <si>
    <t>Varia</t>
  </si>
  <si>
    <t>DIV</t>
  </si>
  <si>
    <t>(Colony) Sarhad Textile Mills Ltd.</t>
  </si>
  <si>
    <t>(Colony) Thal Textile Mills Ltd.</t>
  </si>
  <si>
    <t>Adil Textile Mills Ltd.</t>
  </si>
  <si>
    <t>Al0Qadir Textile Mills Ltd.</t>
  </si>
  <si>
    <t>Ali Asghar Textile Mills Ltd.</t>
  </si>
  <si>
    <t>Allawasaya Textile &amp; Finishing Mills Ltd.</t>
  </si>
  <si>
    <t>Annoor Textile Mills Ltd.</t>
  </si>
  <si>
    <t>Apollo Textile Mills Ltd.</t>
  </si>
  <si>
    <t>Artistic Denim Mills Ltd.</t>
  </si>
  <si>
    <t>Ashfaq Textile Mills Ltd.</t>
  </si>
  <si>
    <t>Asim Textile Mills Ltd.</t>
  </si>
  <si>
    <t>Azgard Nine Ltd.(Legler0Nafees Denim Mills Ltd.)</t>
  </si>
  <si>
    <t>Babri Cotton Mills Ltd.</t>
  </si>
  <si>
    <t>Bhanero Textile Mills Ltd.</t>
  </si>
  <si>
    <t>Bilal Fibres Ltd.</t>
  </si>
  <si>
    <t>Blessed Textiles Ltd.</t>
  </si>
  <si>
    <t>Brothers Textile Mills Ltd.</t>
  </si>
  <si>
    <t>Chakwal Spinning Mills Ltd.</t>
  </si>
  <si>
    <t>Chenab Ltd.</t>
  </si>
  <si>
    <t>D.M. Textile Mills Ltd.</t>
  </si>
  <si>
    <t>Data Textiles Ltd.</t>
  </si>
  <si>
    <t>Dawood Lawrencepur Ltd. (Dawod Coton Mills)</t>
  </si>
  <si>
    <t>Dewan Farooque Spinning Mills Ltd.</t>
  </si>
  <si>
    <t>Dewan Khalid Textile Mills Ltd.</t>
  </si>
  <si>
    <t>Dewan Mushtaq Textile Mills Ltd.</t>
  </si>
  <si>
    <t>Dewan Textile Mills Ltd.</t>
  </si>
  <si>
    <t>Din Textile Mills Ltd.</t>
  </si>
  <si>
    <t>Elahi Cotton Mills Ltd.</t>
  </si>
  <si>
    <t>Ellcot Spinning Mills Ltd.</t>
  </si>
  <si>
    <t>Faisal Spinning Mills Ltd.</t>
  </si>
  <si>
    <t>Fateh Textile Mills Ltd.</t>
  </si>
  <si>
    <t>Fatima Enterprises Ltd.</t>
  </si>
  <si>
    <t>Fazal Cloth Mills Ltd.</t>
  </si>
  <si>
    <t>Fazal Textile Mills Ltd.</t>
  </si>
  <si>
    <t>Feroze1888 Mills Ltd.</t>
  </si>
  <si>
    <t>Gadoon Textile Mills Ltd.</t>
  </si>
  <si>
    <t>Ghazi Fabrics International Ltd.</t>
  </si>
  <si>
    <t>Glamour Textile Mills Ltd.</t>
  </si>
  <si>
    <t>Globe Textile Mills (OE) Ltd.</t>
  </si>
  <si>
    <t>Globe Textile Mills Ltd.</t>
  </si>
  <si>
    <t>Gulistan Spinning Mills Ltd.</t>
  </si>
  <si>
    <t>Gulistan Textile Mills Ltd.</t>
  </si>
  <si>
    <t>Gulshan Spinning Mills Ltd.</t>
  </si>
  <si>
    <t>Haji Mohammad Ismail Mills Ltd.</t>
  </si>
  <si>
    <t>Hajra Textile Mills Ltd.</t>
  </si>
  <si>
    <t>Hamid Textile Mills Ltd.</t>
  </si>
  <si>
    <t>Husein Industries Ltd.</t>
  </si>
  <si>
    <t>ICC Textiles Ltd.</t>
  </si>
  <si>
    <t>Ideal Spinning Mills Ltd.</t>
  </si>
  <si>
    <t>Idrees Textile Mills Ltd.</t>
  </si>
  <si>
    <t>Indus Dyeing &amp; Manufacturing Co. Ltd.</t>
  </si>
  <si>
    <t>Ishaq Textile Mills Ltd.</t>
  </si>
  <si>
    <t>Ishtiaq Textile Mills Ltd.</t>
  </si>
  <si>
    <t>Island Textile Mills Ltd.</t>
  </si>
  <si>
    <t>J.A. Textile Mills Ltd.</t>
  </si>
  <si>
    <t>J.K. Spinning Mills Ltd.</t>
  </si>
  <si>
    <t>Janana De Malucho Textile Mills Ltd.</t>
  </si>
  <si>
    <t>Jubilee Spinning &amp; Weaving Mills Ltd.</t>
  </si>
  <si>
    <t>Khalid Siraj Textile Mills Ltd.</t>
  </si>
  <si>
    <t>Khurshid Spinning Mills Ltd.</t>
  </si>
  <si>
    <t>Kohat Textile Mills Ltd.</t>
  </si>
  <si>
    <t>Kohinoor Mills Ltd.</t>
  </si>
  <si>
    <t>Kohinoor Spinning Mills Ltd.</t>
  </si>
  <si>
    <t>Kohinoor Textile Mills Ltd.</t>
  </si>
  <si>
    <t>Landmark Spinning Industries Ltd.</t>
  </si>
  <si>
    <t>Mahmood Textile Mills Ltd.</t>
  </si>
  <si>
    <t>Maqbool Textile Mills Ltd.</t>
  </si>
  <si>
    <t>Masood Textile Mills Ltd.</t>
  </si>
  <si>
    <t>Mehr Dastagir Textile Mills Ltd.</t>
  </si>
  <si>
    <t>Mian Textile Industries Ltd.</t>
  </si>
  <si>
    <t>Mohammad Farooq Textile Mills Ltd.</t>
  </si>
  <si>
    <t>Mubarak Textile Mills Ltd.</t>
  </si>
  <si>
    <t>Mukhtar Textile Mills Ltd.</t>
  </si>
  <si>
    <t>N.P. Spinning Mills Ltd.</t>
  </si>
  <si>
    <t>Nadeem Textile Mills Ltd.</t>
  </si>
  <si>
    <t>Nagina Cotton Mills Ltd.</t>
  </si>
  <si>
    <t>Nazir Cotton Mills Ltd.</t>
  </si>
  <si>
    <t>Nishat (Chunian) Ltd.</t>
  </si>
  <si>
    <t>Nishat Mills Ltd.</t>
  </si>
  <si>
    <t>Olympia Spinning &amp; Weaving Mills Ltd.</t>
  </si>
  <si>
    <t>Olympia Textile Mills Ltd.</t>
  </si>
  <si>
    <t>Paramount Spinning Mills Ltd.</t>
  </si>
  <si>
    <t>Premium Textile Mills Ltd.</t>
  </si>
  <si>
    <t>Prosperity Weaving Mills Ltd.</t>
  </si>
  <si>
    <t>Quality Textile Mills Ltd.</t>
  </si>
  <si>
    <t>Quetta Textile Mills Ltd.</t>
  </si>
  <si>
    <t>Ravi Textile Mills Ltd.</t>
  </si>
  <si>
    <t>Reliance Cotton Spinning Mills Ltd.</t>
  </si>
  <si>
    <t>Reliance Weaving Mills Ltd.</t>
  </si>
  <si>
    <t>Resham Textile Industries Ltd.</t>
  </si>
  <si>
    <t>Ruby Textile Mills Ltd.</t>
  </si>
  <si>
    <t>Safa Textiles Ltd.</t>
  </si>
  <si>
    <t>Saif Textile Mills Ltd.</t>
  </si>
  <si>
    <t>Sajjad Textile Mills Ltd.</t>
  </si>
  <si>
    <t>Saleem Denim Industries Ltd.</t>
  </si>
  <si>
    <t>Salfi Textile Mills Ltd.</t>
  </si>
  <si>
    <t>Sally Textile Mills Ltd.</t>
  </si>
  <si>
    <t>Salman Noman Enterprises Ltd.</t>
  </si>
  <si>
    <t>Samin Textiles Ltd.</t>
  </si>
  <si>
    <t>Sana Industries Ltd.</t>
  </si>
  <si>
    <t>Sapphire Fibres Ltd.</t>
  </si>
  <si>
    <t>Sapphire Textile Mills Ltd.</t>
  </si>
  <si>
    <t>Sargodha Spinning Mills Ltd.</t>
  </si>
  <si>
    <t>Saritow Spinning Mills Ltd.</t>
  </si>
  <si>
    <t>Service Fabrics Ltd.</t>
  </si>
  <si>
    <t>Service Industries Textiles Ltd.</t>
  </si>
  <si>
    <t>Shadab Textile Mills Ltd.</t>
  </si>
  <si>
    <t>Shadman Cotton Mills Ltd.</t>
  </si>
  <si>
    <t>Shahzad Textile Mills Ltd.</t>
  </si>
  <si>
    <t>Shams Textile Mills Ltd.</t>
  </si>
  <si>
    <t>Sind Fine Textile Mills Ltd.</t>
  </si>
  <si>
    <t>Sunrays Textile Mills Ltd.</t>
  </si>
  <si>
    <t>Suraj Cotton Mills Ltd.</t>
  </si>
  <si>
    <t>Taha Spinning Mills Ltd.</t>
  </si>
  <si>
    <t>Tata Textile Mills Ltd.</t>
  </si>
  <si>
    <t>The Crescent Textile Mills Ltd.</t>
  </si>
  <si>
    <t>Towellers Ltd.</t>
  </si>
  <si>
    <t>Yousaf Weaving Mills Ltd.</t>
  </si>
  <si>
    <t>Zahidjee Textile Mills Ltd.</t>
  </si>
  <si>
    <t>Zephyr Textiles Ltd.</t>
  </si>
  <si>
    <t>Gul Ahmed Textile Mills Ltd.</t>
  </si>
  <si>
    <t>Moonlite (Pak) Ltd.</t>
  </si>
  <si>
    <t>Al0Abid Silk Mills Ltd.</t>
  </si>
  <si>
    <t>Bannu Woollen Mills Ltd.</t>
  </si>
  <si>
    <t>Crescent Jute Products Ltd.</t>
  </si>
  <si>
    <t>Ibrahim Fibres Ltd.</t>
  </si>
  <si>
    <t>Pakistan Synthetics Ltd.</t>
  </si>
  <si>
    <t>Rupali Polyester Ltd.</t>
  </si>
  <si>
    <t>Suhail Jute Mills Ltd.</t>
  </si>
  <si>
    <t>The National Silk &amp; Rayon Mills Ltd.</t>
  </si>
  <si>
    <t>Tri0Star Polyester Ltd.</t>
  </si>
  <si>
    <t>Abdullah Shah Ghazi Sugar Mills Ltd.(Al0Asif Sugar Mills Ltd</t>
  </si>
  <si>
    <t>Adam Sugar Mills Ltd.</t>
  </si>
  <si>
    <t>Al0Abbas Sugar Mills Ltd.</t>
  </si>
  <si>
    <t>Al0Noor Sugar Mills Ltd.</t>
  </si>
  <si>
    <t>Baba Farid Sugar Mills Ltd.</t>
  </si>
  <si>
    <t>Chashma Sugar Mills Ltd.</t>
  </si>
  <si>
    <t>Dewan Sugar Mills Ltd.</t>
  </si>
  <si>
    <t>Faran Sugar Mills Ltd.</t>
  </si>
  <si>
    <t>Habib 0 ADM Ltd.( Habib Arkady LTD.)</t>
  </si>
  <si>
    <t>Habib Sugar Mills Ltd.</t>
  </si>
  <si>
    <t>Haseeb Waqas Sugar Mills Ltd.</t>
  </si>
  <si>
    <t>Husein Sugar Mills Ltd.</t>
  </si>
  <si>
    <t>JDW Sugar Mills Ltd.</t>
  </si>
  <si>
    <t>Mehran Sugar Mills Ltd.</t>
  </si>
  <si>
    <t>Mirpurkhas Sugar Mills Ltd.</t>
  </si>
  <si>
    <t>Mirza Sugar Mills Ltd.</t>
  </si>
  <si>
    <t>Noon Sugar Mills Ltd.</t>
  </si>
  <si>
    <t>Pangrio Sugar Mills Ltd.</t>
  </si>
  <si>
    <t>Sakrand Sugar Mills Ltd.</t>
  </si>
  <si>
    <t>Sanghar Sugar Mills Ltd.</t>
  </si>
  <si>
    <t>Shahmurad Sugar Mills Ltd.</t>
  </si>
  <si>
    <t>Shahtaj Sugar Mills Ltd.</t>
  </si>
  <si>
    <t>Shakarganj Mills Ltd.</t>
  </si>
  <si>
    <t>Sindh Abadgar'S Sugar Mills Ltd.</t>
  </si>
  <si>
    <t>Tandlianwala Sugar Mills Ltd.</t>
  </si>
  <si>
    <t>The Premier Sugar Mills &amp; Distillery Co. Ltd.</t>
  </si>
  <si>
    <t>The Thal Industries Corporation Ltd.</t>
  </si>
  <si>
    <t>Clover Pakistan Ltd.</t>
  </si>
  <si>
    <t>Ismail Industries Ltd.</t>
  </si>
  <si>
    <t>Mitchell'S Fruit Farms Ltd.</t>
  </si>
  <si>
    <t>National Foods Ltd.</t>
  </si>
  <si>
    <t>Noon Pakistan Ltd.</t>
  </si>
  <si>
    <t>Punjab Oil Mills Ltd.</t>
  </si>
  <si>
    <t>Quice Food Industries Ltd.</t>
  </si>
  <si>
    <t>Rafhan Maize Products Co. Ltd.</t>
  </si>
  <si>
    <t>S.S. Oil Mills Ltd.</t>
  </si>
  <si>
    <t>Shezan International Ltd.</t>
  </si>
  <si>
    <t>Abbott Laboratories (Pakistan) Ltd.</t>
  </si>
  <si>
    <t>Bawany Air Products Ltd.</t>
  </si>
  <si>
    <t>Berger Paints Pakistan Ltd.</t>
  </si>
  <si>
    <t>Biafo Industries Ltd.</t>
  </si>
  <si>
    <t>Buxly Paints Ltd.</t>
  </si>
  <si>
    <t>Colgate0Palmolive (Pakistan) Ltd.</t>
  </si>
  <si>
    <t>Dawood Hercules Chemicals Ltd.</t>
  </si>
  <si>
    <t>Descon Chemicals (Pvt) Ltd. (Nimir Resins Ltd.)</t>
  </si>
  <si>
    <t>Dewan Salman Fibre Ltd.</t>
  </si>
  <si>
    <t>Dynea Pakistan Ltd.</t>
  </si>
  <si>
    <t>Engro Corporation Ltd. (Engro Chemical Pakistan Ltd.)</t>
  </si>
  <si>
    <t>Fauji Fertilizer Bin Qasim Ltd.</t>
  </si>
  <si>
    <t>Fauji Fertilizer Co. Ltd.</t>
  </si>
  <si>
    <t>Ferozsons Laboratories Ltd.</t>
  </si>
  <si>
    <t>Gatron (Industries) Ltd.</t>
  </si>
  <si>
    <t>Glaxosmithkline (Pakistan) Ltd.</t>
  </si>
  <si>
    <t>Highnoon Laboratories Ltd.</t>
  </si>
  <si>
    <t>ICI Pakistan Ltd.</t>
  </si>
  <si>
    <t>Ittehad Chemicals Ltd.</t>
  </si>
  <si>
    <t>Leiner Pak Gelatine Ltd.</t>
  </si>
  <si>
    <t>Lotte Pakistan PTA Ltd.(Pakistan PTA Ltd.)</t>
  </si>
  <si>
    <t>Mandviwala  Mauser Plastic Industries Ltd.</t>
  </si>
  <si>
    <t>Nimir Industrial Chemicals Ltd.</t>
  </si>
  <si>
    <t>Otsuka Pakistan Ltd.</t>
  </si>
  <si>
    <t>Pakistan Gum &amp; Chemicals Ltd.</t>
  </si>
  <si>
    <t>Pakistan PVC Ltd.</t>
  </si>
  <si>
    <t>Sanofi aventis(Aventis Pharma)</t>
  </si>
  <si>
    <t>Shaffi Chemical Industries Ltd.</t>
  </si>
  <si>
    <t>Sitara Chemical Industries Ltd.</t>
  </si>
  <si>
    <t>United Distributors Pakistan Ltd.</t>
  </si>
  <si>
    <t>Wah Nobel Chemicals Ltd.</t>
  </si>
  <si>
    <t>Wyeth Pakistan Ltd.</t>
  </si>
  <si>
    <t>Al0Khair Gadoon Ltd.</t>
  </si>
  <si>
    <t>Bata Pakistan Ltd.</t>
  </si>
  <si>
    <t>Crescent Steel &amp; Allied Products Ltd.</t>
  </si>
  <si>
    <t>Dadex Eternit Ltd.</t>
  </si>
  <si>
    <t>Diamond Industries Ltd.</t>
  </si>
  <si>
    <t>Eco Pack Ltd.( Plastobag Ltd.)</t>
  </si>
  <si>
    <t>Emco Industries Ltd.</t>
  </si>
  <si>
    <t>Gillette Pakistan Ltd.</t>
  </si>
  <si>
    <t>Grays Of Cambridge (Pakistan) Ltd.</t>
  </si>
  <si>
    <t>Huffaz Seamless Pipe Industries Ltd.</t>
  </si>
  <si>
    <t>International Industries Ltd.</t>
  </si>
  <si>
    <t>KSB Pumps Co. Ltd.</t>
  </si>
  <si>
    <t>Leather Up Ltd.</t>
  </si>
  <si>
    <t>Pak Leather Crafts Ltd.</t>
  </si>
  <si>
    <t>Pakistan Engineering Co. Ltd.</t>
  </si>
  <si>
    <t>Service Industries Ltd.</t>
  </si>
  <si>
    <t>Shield Corporation Ltd.(Transpak Corp.)</t>
  </si>
  <si>
    <t>Siddiqsons Tin Plate</t>
  </si>
  <si>
    <t>Thal  Ltd. (Thal Jute Mills Ltd.)</t>
  </si>
  <si>
    <t>Treet Corporation Ltd.</t>
  </si>
  <si>
    <t>United Brands Ltd.(Udl Industries Ltd.)</t>
  </si>
  <si>
    <t>ZIL Ltd. (Zulfeqar Industries Ltd.)</t>
  </si>
  <si>
    <t>Attock Cement Pakistan Ltd.</t>
  </si>
  <si>
    <t>Bestway Cement Ltd.</t>
  </si>
  <si>
    <t>Cherat Cement Co. Ltd.</t>
  </si>
  <si>
    <t>D.G. Khan Cement Co. Ltd.</t>
  </si>
  <si>
    <t>Dadabhoy Cement Industries Ltd.</t>
  </si>
  <si>
    <t>Dandot Cement Co. Ltd.</t>
  </si>
  <si>
    <t>Dewan Cement Ltd. (Pakland Cement Ltd.)</t>
  </si>
  <si>
    <t>Fauji Cement Co. Ltd.</t>
  </si>
  <si>
    <t>Fecto Cement Ltd.</t>
  </si>
  <si>
    <t>Gharibwal Cement Ltd.</t>
  </si>
  <si>
    <t>Kohat Cement Co. Ltd.</t>
  </si>
  <si>
    <t>Lafarge Pak. Cement Ltd. (Pakistan Cement Ltd.)</t>
  </si>
  <si>
    <t>Lucky Cement Ltd.</t>
  </si>
  <si>
    <t>Maple Leaf Cement Factory Ltd.</t>
  </si>
  <si>
    <t>Pioneer Cement Ltd.</t>
  </si>
  <si>
    <t>Zeal Pak Cement Factory Ltd.</t>
  </si>
  <si>
    <t>Balochistan Glass Ltd.</t>
  </si>
  <si>
    <t>Frontier Ceramics Ltd.</t>
  </si>
  <si>
    <t>Ghani Glass Ltd.</t>
  </si>
  <si>
    <t>Karam Ceramics Ltd.</t>
  </si>
  <si>
    <t>Shabbir Tiles And Ceramics Ltd.</t>
  </si>
  <si>
    <t>Tariq Glass Industries Ltd.</t>
  </si>
  <si>
    <t>Agriauto Industries Ltd.</t>
  </si>
  <si>
    <t>Al0Ghazi Tractors Ltd.</t>
  </si>
  <si>
    <t>Atlas Battery Ltd.</t>
  </si>
  <si>
    <t>Atlas Honda Ltd.</t>
  </si>
  <si>
    <t>Baluchistan Wheels Ltd.</t>
  </si>
  <si>
    <t>Bela Automotives Ltd.</t>
  </si>
  <si>
    <t>Bolan Castings Ltd.</t>
  </si>
  <si>
    <t>Dewan Automotive Engineering Ltd. (Allied Motors Ltd.)</t>
  </si>
  <si>
    <t>Dewan Farooque Motors Ltd.</t>
  </si>
  <si>
    <t>Exide Pakistan Ltd.</t>
  </si>
  <si>
    <t>General Tyre &amp; Rubber Co. Ltd.</t>
  </si>
  <si>
    <t>Ghandhara Industries Ltd.</t>
  </si>
  <si>
    <t>Ghandhara Nissan Ltd.</t>
  </si>
  <si>
    <t>Ghani Automobiles Industries Ltd.</t>
  </si>
  <si>
    <t>Hinopak Motors Ltd.</t>
  </si>
  <si>
    <t>Honda Atlas Cars (Pakistan) Ltd.</t>
  </si>
  <si>
    <t>Indus Motor Co. Ltd.</t>
  </si>
  <si>
    <t>Millat Tractors Ltd.</t>
  </si>
  <si>
    <t>Pak Suzuki Motor Co. Ltd.</t>
  </si>
  <si>
    <t>Sazgar Engineering Works Ltd.</t>
  </si>
  <si>
    <t>Transmission Engineering Industries Ltd.</t>
  </si>
  <si>
    <t>Altern Energy Ltd.</t>
  </si>
  <si>
    <t>Ideal Energy Ltd.</t>
  </si>
  <si>
    <t>Japan Power Generation Ltd.</t>
  </si>
  <si>
    <t>Karachi Electric Supply Co. Ltd.</t>
  </si>
  <si>
    <t>Kohinoor Energy Ltd.</t>
  </si>
  <si>
    <t>Kohinoor Power Co. Ltd.</t>
  </si>
  <si>
    <t>Kot Addu Power Co. Ltd.</t>
  </si>
  <si>
    <t>Oil &amp; Gas Development Co. Ltd. (OGDC)</t>
  </si>
  <si>
    <t>S.G. Power Ltd.</t>
  </si>
  <si>
    <t>Sitara Energy Ltd.</t>
  </si>
  <si>
    <t>Southern Electric Power Co. Ltd.</t>
  </si>
  <si>
    <t>Sui Northern Gas Pipelines Ltd.</t>
  </si>
  <si>
    <t>Sui Southern Gas Co. Ltd.</t>
  </si>
  <si>
    <t>The Hub Power Co. Ltd.</t>
  </si>
  <si>
    <t>Netsol Technologies Ltd.</t>
  </si>
  <si>
    <t>Pak Datacom Ltd.</t>
  </si>
  <si>
    <t>Pakistan National Shipping Corporation.</t>
  </si>
  <si>
    <t>TRG Pakistan Ltd.</t>
  </si>
  <si>
    <t>Telecard Ltd.</t>
  </si>
  <si>
    <t>Worldcall Telecom Ltd.</t>
  </si>
  <si>
    <t>Attock Petroleum Ltd.</t>
  </si>
  <si>
    <t>Attock Refinery Ltd.</t>
  </si>
  <si>
    <t>Byco Petruleum (Bosicor Pakistan Ltd.)</t>
  </si>
  <si>
    <t>National Refinery Ltd.</t>
  </si>
  <si>
    <t>Pakistan Oilfields Ltd.</t>
  </si>
  <si>
    <t>Pakistan Petroleum Ltd.</t>
  </si>
  <si>
    <t>Pakistan Refinery Ltd.</t>
  </si>
  <si>
    <t>Pakistan State Oil Co. Ltd.</t>
  </si>
  <si>
    <t>Shell Pakistan Ltd.</t>
  </si>
  <si>
    <t>Central Forest Products Ltd.</t>
  </si>
  <si>
    <t>Century Paper &amp; Board Mills Ltd.</t>
  </si>
  <si>
    <t>Dadabhoy Sack Ltd.</t>
  </si>
  <si>
    <t>Merit Packaging Ltd.</t>
  </si>
  <si>
    <t>Pakistan Paper Products Ltd.</t>
  </si>
  <si>
    <t>Security Papers Ltd.</t>
  </si>
  <si>
    <t>Ados Pakistan Ltd.</t>
  </si>
  <si>
    <t>Johnson &amp; Philips (Pakistan) Ltd.</t>
  </si>
  <si>
    <t>Pak Elektron Ltd.</t>
  </si>
  <si>
    <t>Pakistan Telephone Cables Ltd.</t>
  </si>
  <si>
    <t>Siemens (Pakistan) Engineering Co. Ltd.</t>
  </si>
  <si>
    <t>Singer Pakistan Ltd.</t>
  </si>
  <si>
    <t>Dreamworld Ltd.</t>
  </si>
  <si>
    <t>Gammon Pakistan Ltd.</t>
  </si>
  <si>
    <t>Haydari Construction Co. Ltd.</t>
  </si>
  <si>
    <t>Javedan Corporation Ltd. (formerly Javedan Cement Ltd.)</t>
  </si>
  <si>
    <t>Pakistan Hotels Developers Ltd.</t>
  </si>
  <si>
    <t>Pakistan Services Ltd.</t>
  </si>
  <si>
    <t>Shifa International Hospitals Ltd.</t>
  </si>
  <si>
    <t>AVG</t>
  </si>
  <si>
    <t>SD</t>
  </si>
  <si>
    <t>Cat</t>
  </si>
  <si>
    <t>Year</t>
  </si>
  <si>
    <t>CAT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</si>
</sst>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0"/>
  </numFmts>
  <fonts count="3" x14ac:knownFonts="1"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4" fontId="0" fillId="2" borderId="0" xfId="0" applyNumberFormat="1" applyFill="1"/>
    <xf numFmtId="0" fontId="0" fillId="3" borderId="0" xfId="0" applyFill="1"/>
    <xf numFmtId="0" fontId="0" fillId="3" borderId="0" xfId="0" applyFont="1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08"/>
  <sheetViews>
    <sheetView zoomScaleNormal="100" workbookViewId="0">
      <selection activeCell="B27" sqref="B27"/>
    </sheetView>
  </sheetViews>
  <sheetFormatPr defaultRowHeight="14.4" x14ac:dyDescent="0.3"/>
  <cols>
    <col min="1" max="1" width="36.5546875" customWidth="1"/>
    <col min="5" max="5" width="14.5546875" customWidth="1"/>
    <col min="6" max="6" width="11.88671875" customWidth="1"/>
    <col min="7" max="7" width="16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3" t="s">
        <v>2</v>
      </c>
      <c r="L1" s="3" t="s">
        <v>3</v>
      </c>
      <c r="M1" s="3" t="s">
        <v>4</v>
      </c>
      <c r="N1" s="3" t="s">
        <v>5</v>
      </c>
      <c r="O1" s="3" t="s">
        <v>6</v>
      </c>
      <c r="P1" s="3" t="s">
        <v>7</v>
      </c>
      <c r="Q1" s="3" t="s">
        <v>8</v>
      </c>
      <c r="R1" s="3" t="s">
        <v>9</v>
      </c>
      <c r="S1" s="3" t="s">
        <v>325</v>
      </c>
    </row>
    <row r="2" spans="1:19" x14ac:dyDescent="0.3">
      <c r="A2" t="s">
        <v>10</v>
      </c>
      <c r="B2">
        <v>2007</v>
      </c>
      <c r="C2">
        <v>3.5167926850712152E-4</v>
      </c>
      <c r="D2">
        <v>4.1895483626624826E-2</v>
      </c>
      <c r="E2">
        <v>-0.51715281816829206</v>
      </c>
      <c r="F2">
        <v>0</v>
      </c>
      <c r="G2">
        <v>0.92417270833615128</v>
      </c>
      <c r="H2">
        <v>13.290329046448173</v>
      </c>
      <c r="I2">
        <v>4.8274800251918246E-3</v>
      </c>
      <c r="J2">
        <v>0</v>
      </c>
      <c r="K2" s="1">
        <f>IF(OR(C2&lt;$C$1007-3*$C$1008,C2&gt;$C$1007+3*$C$1008),"out",C2)</f>
        <v>3.5167926850712152E-4</v>
      </c>
      <c r="L2" s="1">
        <f>IF(OR(D2&lt;$D$1007-3*$D$1008,D2&gt;$D$1007+3*$D$1008),"out",D2)</f>
        <v>4.1895483626624826E-2</v>
      </c>
      <c r="M2">
        <f>IF(OR(E2&lt;$E$1007-3*$E$1008,E2&gt;$E$1007+3*$E$1008),"out",E2)</f>
        <v>-0.51715281816829206</v>
      </c>
      <c r="N2">
        <f>IF(OR(F2&lt;$F$1007-3*$F$1008,F2&gt;$F$1007+3*$F$1008),"out",F2)</f>
        <v>0</v>
      </c>
      <c r="O2">
        <f>IF(OR(G2&lt;$G$1007-3*$G$1008,G2&gt;$G$1007+3*$G$1008),"out",G2)</f>
        <v>0.92417270833615128</v>
      </c>
      <c r="P2">
        <f>IF(OR(H2&lt;$H$1007-3*$H$1008,H2&gt;$H$1007+3*$H$1008),"out",H2)</f>
        <v>13.290329046448173</v>
      </c>
      <c r="Q2">
        <f>IF(OR(I2&lt;$I$1007-3*$I$1008,I2&gt;$I$1007+3*$I$1008),"out",I2)</f>
        <v>4.8274800251918246E-3</v>
      </c>
      <c r="R2">
        <f>IF(OR(J2&lt;$J$1007-3*$J$1008,J2&gt;$J$1007+3*$J$1008),"out",J2)</f>
        <v>0</v>
      </c>
      <c r="S2">
        <f>IF(OR(K2="out",L2="out",M2="out",N2="out",O2="out",P2="out",Q2="out",R2="out"),1,0)</f>
        <v>0</v>
      </c>
    </row>
    <row r="3" spans="1:19" x14ac:dyDescent="0.3">
      <c r="A3" t="s">
        <v>11</v>
      </c>
      <c r="B3">
        <v>2007</v>
      </c>
      <c r="C3">
        <v>3.0521376473793055E-3</v>
      </c>
      <c r="D3">
        <v>5.2933773792669496E-2</v>
      </c>
      <c r="E3">
        <v>4.6386353434086491E-3</v>
      </c>
      <c r="F3">
        <v>0.16179398934149794</v>
      </c>
      <c r="G3">
        <v>0.85116464661579128</v>
      </c>
      <c r="H3">
        <v>13.164031094200661</v>
      </c>
      <c r="I3">
        <v>1.2474213673298725E-2</v>
      </c>
      <c r="J3">
        <v>0</v>
      </c>
      <c r="K3" s="1">
        <f>IF(OR(C3&lt;$C$1007-3*$C$1008,C3&gt;$C$1007+3*$C$1008),"out",C3)</f>
        <v>3.0521376473793055E-3</v>
      </c>
      <c r="L3" s="1">
        <f t="shared" ref="L3:L66" si="0">IF(OR(D3&lt;$D$1007-3*$D$1008,D3&gt;$D$1007+3*$D$1008),"out",D3)</f>
        <v>5.2933773792669496E-2</v>
      </c>
      <c r="M3">
        <f t="shared" ref="M3:M66" si="1">IF(OR(E3&lt;$E$1007-3*$E$1008,E3&gt;$E$1007+3*$E$1008),"out",E3)</f>
        <v>4.6386353434086491E-3</v>
      </c>
      <c r="N3">
        <f t="shared" ref="N3:N66" si="2">IF(OR(F3&lt;$F$1007-3*$F$1008,F3&gt;$F$1007+3*$F$1008),"out",F3)</f>
        <v>0.16179398934149794</v>
      </c>
      <c r="O3">
        <f t="shared" ref="O3:O66" si="3">IF(OR(G3&lt;$G$1007-3*$G$1008,G3&gt;$G$1007+3*$G$1008),"out",G3)</f>
        <v>0.85116464661579128</v>
      </c>
      <c r="P3">
        <f t="shared" ref="P3:P66" si="4">IF(OR(H3&lt;$H$1007-3*$H$1008,H3&gt;$H$1007+3*$H$1008),"out",H3)</f>
        <v>13.164031094200661</v>
      </c>
      <c r="Q3">
        <f t="shared" ref="Q3:Q66" si="5">IF(OR(I3&lt;$I$1007-3*$I$1008,I3&gt;$I$1007+3*$I$1008),"out",I3)</f>
        <v>1.2474213673298725E-2</v>
      </c>
      <c r="R3">
        <f t="shared" ref="R3:R66" si="6">IF(OR(J3&lt;$J$1007-3*$J$1008,J3&gt;$J$1007+3*$J$1008),"out",J3)</f>
        <v>0</v>
      </c>
      <c r="S3">
        <f t="shared" ref="S3:S66" si="7">IF(OR(K3="out",L3="out",M3="out",N3="out",O3="out",P3="out",Q3="out",R3="out"),1,0)</f>
        <v>0</v>
      </c>
    </row>
    <row r="4" spans="1:19" x14ac:dyDescent="0.3">
      <c r="A4" t="s">
        <v>11</v>
      </c>
      <c r="B4">
        <v>2008</v>
      </c>
      <c r="C4">
        <v>6.8907064457346271E-3</v>
      </c>
      <c r="D4">
        <v>9.7355596050345383E-2</v>
      </c>
      <c r="E4">
        <v>-0.1935373140653473</v>
      </c>
      <c r="F4">
        <v>0.15529516463957282</v>
      </c>
      <c r="G4">
        <v>0.87315018858329452</v>
      </c>
      <c r="H4">
        <v>13.064607137843366</v>
      </c>
      <c r="I4">
        <v>3.5104309464043838E-3</v>
      </c>
      <c r="J4">
        <v>0</v>
      </c>
      <c r="K4" s="1">
        <f t="shared" ref="K4:K66" si="8">IF(OR(C4&lt;$C$1007-3*$C$1008,C4&gt;$C$1007+3*$C$1008),"out",C4)</f>
        <v>6.8907064457346271E-3</v>
      </c>
      <c r="L4" s="1">
        <f t="shared" si="0"/>
        <v>9.7355596050345383E-2</v>
      </c>
      <c r="M4">
        <f t="shared" si="1"/>
        <v>-0.1935373140653473</v>
      </c>
      <c r="N4">
        <f t="shared" si="2"/>
        <v>0.15529516463957282</v>
      </c>
      <c r="O4">
        <f t="shared" si="3"/>
        <v>0.87315018858329452</v>
      </c>
      <c r="P4">
        <f t="shared" si="4"/>
        <v>13.064607137843366</v>
      </c>
      <c r="Q4">
        <f t="shared" si="5"/>
        <v>3.5104309464043838E-3</v>
      </c>
      <c r="R4">
        <f t="shared" si="6"/>
        <v>0</v>
      </c>
      <c r="S4">
        <f t="shared" si="7"/>
        <v>0</v>
      </c>
    </row>
    <row r="5" spans="1:19" x14ac:dyDescent="0.3">
      <c r="A5" t="s">
        <v>11</v>
      </c>
      <c r="B5">
        <v>2009</v>
      </c>
      <c r="C5">
        <v>8.666031391362447E-3</v>
      </c>
      <c r="D5">
        <v>0.10383465317254297</v>
      </c>
      <c r="E5">
        <v>-0.16498099650598583</v>
      </c>
      <c r="F5">
        <v>0.7033330047426587</v>
      </c>
      <c r="G5">
        <v>0.94645505427222643</v>
      </c>
      <c r="H5">
        <v>13.031333026054657</v>
      </c>
      <c r="I5">
        <v>2.1431432313637103E-2</v>
      </c>
      <c r="J5">
        <v>0</v>
      </c>
      <c r="K5" s="1">
        <f t="shared" si="8"/>
        <v>8.666031391362447E-3</v>
      </c>
      <c r="L5" s="1">
        <f t="shared" si="0"/>
        <v>0.10383465317254297</v>
      </c>
      <c r="M5">
        <f t="shared" si="1"/>
        <v>-0.16498099650598583</v>
      </c>
      <c r="N5">
        <f t="shared" si="2"/>
        <v>0.7033330047426587</v>
      </c>
      <c r="O5">
        <f t="shared" si="3"/>
        <v>0.94645505427222643</v>
      </c>
      <c r="P5">
        <f t="shared" si="4"/>
        <v>13.031333026054657</v>
      </c>
      <c r="Q5">
        <f t="shared" si="5"/>
        <v>2.1431432313637103E-2</v>
      </c>
      <c r="R5">
        <f t="shared" si="6"/>
        <v>0</v>
      </c>
      <c r="S5">
        <f t="shared" si="7"/>
        <v>0</v>
      </c>
    </row>
    <row r="6" spans="1:19" x14ac:dyDescent="0.3">
      <c r="A6" t="s">
        <v>11</v>
      </c>
      <c r="B6">
        <v>2010</v>
      </c>
      <c r="C6">
        <v>7.7212628805345129E-3</v>
      </c>
      <c r="D6">
        <v>3.0196521275427782E-2</v>
      </c>
      <c r="E6">
        <v>-0.10294703492840226</v>
      </c>
      <c r="F6">
        <v>0.46389058799542027</v>
      </c>
      <c r="G6">
        <v>0.68420659044213372</v>
      </c>
      <c r="H6">
        <v>13.365450722520846</v>
      </c>
      <c r="I6">
        <v>2.4477883673132139E-3</v>
      </c>
      <c r="J6">
        <v>0</v>
      </c>
      <c r="K6" s="1">
        <f t="shared" si="8"/>
        <v>7.7212628805345129E-3</v>
      </c>
      <c r="L6" s="1">
        <f t="shared" si="0"/>
        <v>3.0196521275427782E-2</v>
      </c>
      <c r="M6">
        <f t="shared" si="1"/>
        <v>-0.10294703492840226</v>
      </c>
      <c r="N6">
        <f t="shared" si="2"/>
        <v>0.46389058799542027</v>
      </c>
      <c r="O6">
        <f t="shared" si="3"/>
        <v>0.68420659044213372</v>
      </c>
      <c r="P6">
        <f t="shared" si="4"/>
        <v>13.365450722520846</v>
      </c>
      <c r="Q6">
        <f t="shared" si="5"/>
        <v>2.4477883673132139E-3</v>
      </c>
      <c r="R6">
        <f t="shared" si="6"/>
        <v>0</v>
      </c>
      <c r="S6">
        <f t="shared" si="7"/>
        <v>0</v>
      </c>
    </row>
    <row r="7" spans="1:19" x14ac:dyDescent="0.3">
      <c r="A7" t="s">
        <v>12</v>
      </c>
      <c r="B7">
        <v>2007</v>
      </c>
      <c r="C7">
        <v>3.6028046448466036E-4</v>
      </c>
      <c r="D7">
        <v>0.1034854825448734</v>
      </c>
      <c r="E7">
        <v>-0.64293804099806928</v>
      </c>
      <c r="F7">
        <v>0.14251771378950384</v>
      </c>
      <c r="G7">
        <v>0.93049912701272064</v>
      </c>
      <c r="H7">
        <v>13.201627320380879</v>
      </c>
      <c r="I7">
        <v>3.5324003042282136E-3</v>
      </c>
      <c r="J7">
        <v>0</v>
      </c>
      <c r="K7" s="1">
        <f t="shared" si="8"/>
        <v>3.6028046448466036E-4</v>
      </c>
      <c r="L7" s="1">
        <f t="shared" si="0"/>
        <v>0.1034854825448734</v>
      </c>
      <c r="M7">
        <f t="shared" si="1"/>
        <v>-0.64293804099806928</v>
      </c>
      <c r="N7">
        <f t="shared" si="2"/>
        <v>0.14251771378950384</v>
      </c>
      <c r="O7">
        <f t="shared" si="3"/>
        <v>0.93049912701272064</v>
      </c>
      <c r="P7">
        <f t="shared" si="4"/>
        <v>13.201627320380879</v>
      </c>
      <c r="Q7">
        <f t="shared" si="5"/>
        <v>3.5324003042282136E-3</v>
      </c>
      <c r="R7">
        <f t="shared" si="6"/>
        <v>0</v>
      </c>
      <c r="S7">
        <f t="shared" si="7"/>
        <v>0</v>
      </c>
    </row>
    <row r="8" spans="1:19" x14ac:dyDescent="0.3">
      <c r="A8" t="s">
        <v>13</v>
      </c>
      <c r="B8">
        <v>2009</v>
      </c>
      <c r="C8">
        <v>1.2530050517707121E-2</v>
      </c>
      <c r="D8">
        <v>6.2940604103980405E-2</v>
      </c>
      <c r="E8">
        <v>-8.4858686954402719E-4</v>
      </c>
      <c r="F8">
        <v>0.26097070733431382</v>
      </c>
      <c r="G8">
        <v>0.57009958365666624</v>
      </c>
      <c r="H8">
        <v>13.268382226190615</v>
      </c>
      <c r="I8">
        <v>2.2852149119231856E-2</v>
      </c>
      <c r="J8">
        <v>0</v>
      </c>
      <c r="K8" s="1">
        <f t="shared" si="8"/>
        <v>1.2530050517707121E-2</v>
      </c>
      <c r="L8" s="1">
        <f t="shared" si="0"/>
        <v>6.2940604103980405E-2</v>
      </c>
      <c r="M8">
        <f t="shared" si="1"/>
        <v>-8.4858686954402719E-4</v>
      </c>
      <c r="N8">
        <f t="shared" si="2"/>
        <v>0.26097070733431382</v>
      </c>
      <c r="O8">
        <f t="shared" si="3"/>
        <v>0.57009958365666624</v>
      </c>
      <c r="P8">
        <f t="shared" si="4"/>
        <v>13.268382226190615</v>
      </c>
      <c r="Q8">
        <f t="shared" si="5"/>
        <v>2.2852149119231856E-2</v>
      </c>
      <c r="R8">
        <f t="shared" si="6"/>
        <v>0</v>
      </c>
      <c r="S8">
        <f t="shared" si="7"/>
        <v>0</v>
      </c>
    </row>
    <row r="9" spans="1:19" x14ac:dyDescent="0.3">
      <c r="A9" t="s">
        <v>13</v>
      </c>
      <c r="B9">
        <v>2010</v>
      </c>
      <c r="C9">
        <v>8.0399963311823072E-2</v>
      </c>
      <c r="D9">
        <v>0.12052843411440804</v>
      </c>
      <c r="E9">
        <v>8.1813079956906939E-2</v>
      </c>
      <c r="F9">
        <v>0</v>
      </c>
      <c r="G9">
        <v>0.40862047791014194</v>
      </c>
      <c r="H9">
        <v>13.374302721495781</v>
      </c>
      <c r="I9">
        <v>1.4279484213181875E-2</v>
      </c>
      <c r="J9">
        <v>1.1752653285845981E-2</v>
      </c>
      <c r="K9" s="1">
        <f t="shared" si="8"/>
        <v>8.0399963311823072E-2</v>
      </c>
      <c r="L9" s="1">
        <f t="shared" si="0"/>
        <v>0.12052843411440804</v>
      </c>
      <c r="M9">
        <f t="shared" si="1"/>
        <v>8.1813079956906939E-2</v>
      </c>
      <c r="N9">
        <f t="shared" si="2"/>
        <v>0</v>
      </c>
      <c r="O9">
        <f t="shared" si="3"/>
        <v>0.40862047791014194</v>
      </c>
      <c r="P9">
        <f t="shared" si="4"/>
        <v>13.374302721495781</v>
      </c>
      <c r="Q9">
        <f t="shared" si="5"/>
        <v>1.4279484213181875E-2</v>
      </c>
      <c r="R9">
        <f t="shared" si="6"/>
        <v>1.1752653285845981E-2</v>
      </c>
      <c r="S9">
        <f t="shared" si="7"/>
        <v>0</v>
      </c>
    </row>
    <row r="10" spans="1:19" x14ac:dyDescent="0.3">
      <c r="A10" t="s">
        <v>14</v>
      </c>
      <c r="B10">
        <v>2007</v>
      </c>
      <c r="C10">
        <v>8.1640240551017311E-3</v>
      </c>
      <c r="D10">
        <v>4.9268215349974692E-2</v>
      </c>
      <c r="E10">
        <v>-0.1275342072205542</v>
      </c>
      <c r="F10">
        <v>0.14633520219338236</v>
      </c>
      <c r="G10">
        <v>0.71824045766818734</v>
      </c>
      <c r="H10">
        <v>14.032754339814016</v>
      </c>
      <c r="I10">
        <v>5.9008736252033275E-4</v>
      </c>
      <c r="J10">
        <v>0</v>
      </c>
      <c r="K10" s="1">
        <f t="shared" si="8"/>
        <v>8.1640240551017311E-3</v>
      </c>
      <c r="L10" s="1">
        <f t="shared" si="0"/>
        <v>4.9268215349974692E-2</v>
      </c>
      <c r="M10">
        <f t="shared" si="1"/>
        <v>-0.1275342072205542</v>
      </c>
      <c r="N10">
        <f t="shared" si="2"/>
        <v>0.14633520219338236</v>
      </c>
      <c r="O10">
        <f t="shared" si="3"/>
        <v>0.71824045766818734</v>
      </c>
      <c r="P10">
        <f t="shared" si="4"/>
        <v>14.032754339814016</v>
      </c>
      <c r="Q10">
        <f t="shared" si="5"/>
        <v>5.9008736252033275E-4</v>
      </c>
      <c r="R10">
        <f t="shared" si="6"/>
        <v>0</v>
      </c>
      <c r="S10">
        <f t="shared" si="7"/>
        <v>0</v>
      </c>
    </row>
    <row r="11" spans="1:19" x14ac:dyDescent="0.3">
      <c r="A11" t="s">
        <v>14</v>
      </c>
      <c r="B11">
        <v>2008</v>
      </c>
      <c r="C11">
        <v>1.2481573277607686E-3</v>
      </c>
      <c r="D11">
        <v>5.2339991252369149E-2</v>
      </c>
      <c r="E11">
        <v>-9.5911292543454665E-2</v>
      </c>
      <c r="F11">
        <v>0.17659360774975297</v>
      </c>
      <c r="G11">
        <v>0.68031888354311454</v>
      </c>
      <c r="H11">
        <v>14.026273788389531</v>
      </c>
      <c r="I11">
        <v>4.4592721396375393E-2</v>
      </c>
      <c r="J11">
        <v>0</v>
      </c>
      <c r="K11" s="1">
        <f t="shared" si="8"/>
        <v>1.2481573277607686E-3</v>
      </c>
      <c r="L11" s="1">
        <f t="shared" si="0"/>
        <v>5.2339991252369149E-2</v>
      </c>
      <c r="M11">
        <f t="shared" si="1"/>
        <v>-9.5911292543454665E-2</v>
      </c>
      <c r="N11">
        <f t="shared" si="2"/>
        <v>0.17659360774975297</v>
      </c>
      <c r="O11">
        <f t="shared" si="3"/>
        <v>0.68031888354311454</v>
      </c>
      <c r="P11">
        <f t="shared" si="4"/>
        <v>14.026273788389531</v>
      </c>
      <c r="Q11">
        <f t="shared" si="5"/>
        <v>4.4592721396375393E-2</v>
      </c>
      <c r="R11">
        <f t="shared" si="6"/>
        <v>0</v>
      </c>
      <c r="S11">
        <f t="shared" si="7"/>
        <v>0</v>
      </c>
    </row>
    <row r="12" spans="1:19" x14ac:dyDescent="0.3">
      <c r="A12" t="s">
        <v>14</v>
      </c>
      <c r="B12">
        <v>2009</v>
      </c>
      <c r="C12">
        <v>5.2190785507691775E-4</v>
      </c>
      <c r="D12">
        <v>0.20108273148750103</v>
      </c>
      <c r="E12">
        <v>-0.27240407670045125</v>
      </c>
      <c r="F12">
        <v>0.60844636032918387</v>
      </c>
      <c r="G12">
        <v>0.8149382030185186</v>
      </c>
      <c r="H12">
        <v>13.910648904824345</v>
      </c>
      <c r="I12">
        <v>4.5914135743021937E-2</v>
      </c>
      <c r="J12">
        <v>0</v>
      </c>
      <c r="K12" s="1">
        <f t="shared" si="8"/>
        <v>5.2190785507691775E-4</v>
      </c>
      <c r="L12" s="1">
        <f t="shared" si="0"/>
        <v>0.20108273148750103</v>
      </c>
      <c r="M12">
        <f t="shared" si="1"/>
        <v>-0.27240407670045125</v>
      </c>
      <c r="N12">
        <f t="shared" si="2"/>
        <v>0.60844636032918387</v>
      </c>
      <c r="O12">
        <f t="shared" si="3"/>
        <v>0.8149382030185186</v>
      </c>
      <c r="P12">
        <f t="shared" si="4"/>
        <v>13.910648904824345</v>
      </c>
      <c r="Q12">
        <f t="shared" si="5"/>
        <v>4.5914135743021937E-2</v>
      </c>
      <c r="R12">
        <f t="shared" si="6"/>
        <v>0</v>
      </c>
      <c r="S12">
        <f t="shared" si="7"/>
        <v>0</v>
      </c>
    </row>
    <row r="13" spans="1:19" x14ac:dyDescent="0.3">
      <c r="A13" t="s">
        <v>14</v>
      </c>
      <c r="B13">
        <v>2010</v>
      </c>
      <c r="C13">
        <v>1.6745499865406734E-3</v>
      </c>
      <c r="D13">
        <v>4.6904879268092309E-2</v>
      </c>
      <c r="E13">
        <v>-9.9245054134460414E-2</v>
      </c>
      <c r="F13">
        <v>0.61262572234632773</v>
      </c>
      <c r="G13">
        <v>0.80093462787583858</v>
      </c>
      <c r="H13">
        <v>13.950205773084591</v>
      </c>
      <c r="I13">
        <v>7.1067933303937958E-2</v>
      </c>
      <c r="J13">
        <v>0</v>
      </c>
      <c r="K13" s="1">
        <f t="shared" si="8"/>
        <v>1.6745499865406734E-3</v>
      </c>
      <c r="L13" s="1">
        <f t="shared" si="0"/>
        <v>4.6904879268092309E-2</v>
      </c>
      <c r="M13">
        <f t="shared" si="1"/>
        <v>-9.9245054134460414E-2</v>
      </c>
      <c r="N13">
        <f t="shared" si="2"/>
        <v>0.61262572234632773</v>
      </c>
      <c r="O13">
        <f t="shared" si="3"/>
        <v>0.80093462787583858</v>
      </c>
      <c r="P13">
        <f t="shared" si="4"/>
        <v>13.950205773084591</v>
      </c>
      <c r="Q13">
        <f t="shared" si="5"/>
        <v>7.1067933303937958E-2</v>
      </c>
      <c r="R13">
        <f t="shared" si="6"/>
        <v>0</v>
      </c>
      <c r="S13">
        <f t="shared" si="7"/>
        <v>0</v>
      </c>
    </row>
    <row r="14" spans="1:19" x14ac:dyDescent="0.3">
      <c r="A14" t="s">
        <v>15</v>
      </c>
      <c r="B14">
        <v>2010</v>
      </c>
      <c r="C14">
        <v>9.9582050757308829E-4</v>
      </c>
      <c r="D14">
        <v>0.21709520001856614</v>
      </c>
      <c r="E14">
        <v>5.1067447851285176E-2</v>
      </c>
      <c r="F14">
        <v>0.41073587337889073</v>
      </c>
      <c r="G14">
        <v>0.80775178751890897</v>
      </c>
      <c r="H14">
        <v>13.068922515485628</v>
      </c>
      <c r="I14">
        <v>2.9601781431227848E-3</v>
      </c>
      <c r="J14">
        <v>1.2236777423567611E-2</v>
      </c>
      <c r="K14" s="1">
        <f t="shared" si="8"/>
        <v>9.9582050757308829E-4</v>
      </c>
      <c r="L14" s="1">
        <f t="shared" si="0"/>
        <v>0.21709520001856614</v>
      </c>
      <c r="M14">
        <f t="shared" si="1"/>
        <v>5.1067447851285176E-2</v>
      </c>
      <c r="N14">
        <f t="shared" si="2"/>
        <v>0.41073587337889073</v>
      </c>
      <c r="O14">
        <f t="shared" si="3"/>
        <v>0.80775178751890897</v>
      </c>
      <c r="P14">
        <f t="shared" si="4"/>
        <v>13.068922515485628</v>
      </c>
      <c r="Q14">
        <f t="shared" si="5"/>
        <v>2.9601781431227848E-3</v>
      </c>
      <c r="R14">
        <f t="shared" si="6"/>
        <v>1.2236777423567611E-2</v>
      </c>
      <c r="S14">
        <f t="shared" si="7"/>
        <v>0</v>
      </c>
    </row>
    <row r="15" spans="1:19" x14ac:dyDescent="0.3">
      <c r="A15" t="s">
        <v>16</v>
      </c>
      <c r="B15">
        <v>2007</v>
      </c>
      <c r="C15">
        <v>6.1228164955879705E-3</v>
      </c>
      <c r="D15">
        <v>0.13565382933292172</v>
      </c>
      <c r="E15">
        <v>-1.0149726016824883</v>
      </c>
      <c r="F15">
        <v>0</v>
      </c>
      <c r="G15">
        <v>1.1790203493607059</v>
      </c>
      <c r="H15">
        <v>10.568003750296921</v>
      </c>
      <c r="I15">
        <v>1.3582931524903023E-2</v>
      </c>
      <c r="J15">
        <v>0</v>
      </c>
      <c r="K15" s="1">
        <f t="shared" si="8"/>
        <v>6.1228164955879705E-3</v>
      </c>
      <c r="L15" s="1">
        <f t="shared" si="0"/>
        <v>0.13565382933292172</v>
      </c>
      <c r="M15">
        <f t="shared" si="1"/>
        <v>-1.0149726016824883</v>
      </c>
      <c r="N15">
        <f t="shared" si="2"/>
        <v>0</v>
      </c>
      <c r="O15">
        <f t="shared" si="3"/>
        <v>1.1790203493607059</v>
      </c>
      <c r="P15">
        <f t="shared" si="4"/>
        <v>10.568003750296921</v>
      </c>
      <c r="Q15">
        <f t="shared" si="5"/>
        <v>1.3582931524903023E-2</v>
      </c>
      <c r="R15">
        <f t="shared" si="6"/>
        <v>0</v>
      </c>
      <c r="S15">
        <f t="shared" si="7"/>
        <v>0</v>
      </c>
    </row>
    <row r="16" spans="1:19" x14ac:dyDescent="0.3">
      <c r="A16" t="s">
        <v>16</v>
      </c>
      <c r="B16">
        <v>2010</v>
      </c>
      <c r="C16">
        <v>7.5969131910038137E-3</v>
      </c>
      <c r="D16">
        <v>0.12125033780740474</v>
      </c>
      <c r="E16">
        <v>-0.63504789358316072</v>
      </c>
      <c r="F16">
        <v>0.59553193405999461</v>
      </c>
      <c r="G16">
        <v>0.61028285740023425</v>
      </c>
      <c r="H16">
        <v>10.413402762000757</v>
      </c>
      <c r="I16">
        <v>3.8197785313031293E-3</v>
      </c>
      <c r="J16">
        <v>0</v>
      </c>
      <c r="K16" s="1">
        <f t="shared" si="8"/>
        <v>7.5969131910038137E-3</v>
      </c>
      <c r="L16" s="1">
        <f t="shared" si="0"/>
        <v>0.12125033780740474</v>
      </c>
      <c r="M16">
        <f t="shared" si="1"/>
        <v>-0.63504789358316072</v>
      </c>
      <c r="N16">
        <f t="shared" si="2"/>
        <v>0.59553193405999461</v>
      </c>
      <c r="O16">
        <f t="shared" si="3"/>
        <v>0.61028285740023425</v>
      </c>
      <c r="P16">
        <f t="shared" si="4"/>
        <v>10.413402762000757</v>
      </c>
      <c r="Q16">
        <f t="shared" si="5"/>
        <v>3.8197785313031293E-3</v>
      </c>
      <c r="R16">
        <f t="shared" si="6"/>
        <v>0</v>
      </c>
      <c r="S16">
        <f t="shared" si="7"/>
        <v>0</v>
      </c>
    </row>
    <row r="17" spans="1:19" x14ac:dyDescent="0.3">
      <c r="A17" t="s">
        <v>17</v>
      </c>
      <c r="B17">
        <v>2009</v>
      </c>
      <c r="C17">
        <v>3.909915646623287E-3</v>
      </c>
      <c r="D17">
        <v>5.9550403205015832E-2</v>
      </c>
      <c r="E17">
        <v>-9.4274630567271298E-2</v>
      </c>
      <c r="F17">
        <v>0.59725548606313095</v>
      </c>
      <c r="G17">
        <v>0.79111518154537863</v>
      </c>
      <c r="H17">
        <v>14.947923771023088</v>
      </c>
      <c r="I17">
        <v>7.2367326595571243E-3</v>
      </c>
      <c r="J17">
        <v>0</v>
      </c>
      <c r="K17" s="1">
        <f t="shared" si="8"/>
        <v>3.909915646623287E-3</v>
      </c>
      <c r="L17" s="1">
        <f t="shared" si="0"/>
        <v>5.9550403205015832E-2</v>
      </c>
      <c r="M17">
        <f t="shared" si="1"/>
        <v>-9.4274630567271298E-2</v>
      </c>
      <c r="N17">
        <f t="shared" si="2"/>
        <v>0.59725548606313095</v>
      </c>
      <c r="O17">
        <f t="shared" si="3"/>
        <v>0.79111518154537863</v>
      </c>
      <c r="P17">
        <f t="shared" si="4"/>
        <v>14.947923771023088</v>
      </c>
      <c r="Q17">
        <f t="shared" si="5"/>
        <v>7.2367326595571243E-3</v>
      </c>
      <c r="R17">
        <f t="shared" si="6"/>
        <v>0</v>
      </c>
      <c r="S17">
        <f t="shared" si="7"/>
        <v>0</v>
      </c>
    </row>
    <row r="18" spans="1:19" x14ac:dyDescent="0.3">
      <c r="A18" t="s">
        <v>18</v>
      </c>
      <c r="B18">
        <v>2007</v>
      </c>
      <c r="C18">
        <v>2.3436935412094496E-3</v>
      </c>
      <c r="D18">
        <v>0.14825222602153565</v>
      </c>
      <c r="E18">
        <v>-2.6344028252691956E-2</v>
      </c>
      <c r="F18">
        <v>0.22230143621654311</v>
      </c>
      <c r="G18">
        <v>1.5852875998904581</v>
      </c>
      <c r="H18">
        <v>15.252167180194709</v>
      </c>
      <c r="I18">
        <v>1.2802938340789445E-2</v>
      </c>
      <c r="J18">
        <v>0</v>
      </c>
      <c r="K18" s="1">
        <f t="shared" si="8"/>
        <v>2.3436935412094496E-3</v>
      </c>
      <c r="L18" s="1">
        <f t="shared" si="0"/>
        <v>0.14825222602153565</v>
      </c>
      <c r="M18">
        <f t="shared" si="1"/>
        <v>-2.6344028252691956E-2</v>
      </c>
      <c r="N18">
        <f t="shared" si="2"/>
        <v>0.22230143621654311</v>
      </c>
      <c r="O18">
        <f t="shared" si="3"/>
        <v>1.5852875998904581</v>
      </c>
      <c r="P18">
        <f t="shared" si="4"/>
        <v>15.252167180194709</v>
      </c>
      <c r="Q18">
        <f t="shared" si="5"/>
        <v>1.2802938340789445E-2</v>
      </c>
      <c r="R18">
        <f t="shared" si="6"/>
        <v>0</v>
      </c>
      <c r="S18">
        <f t="shared" si="7"/>
        <v>0</v>
      </c>
    </row>
    <row r="19" spans="1:19" x14ac:dyDescent="0.3">
      <c r="A19" t="s">
        <v>18</v>
      </c>
      <c r="B19">
        <v>2008</v>
      </c>
      <c r="C19">
        <v>1.4681016298153811E-2</v>
      </c>
      <c r="D19">
        <v>0.11907094129797378</v>
      </c>
      <c r="E19">
        <v>1.1882502118251571E-2</v>
      </c>
      <c r="F19">
        <v>0.22835068339388961</v>
      </c>
      <c r="G19">
        <v>1.0469225181434274</v>
      </c>
      <c r="H19">
        <v>15.337818322719421</v>
      </c>
      <c r="I19">
        <v>2.1765300579402042E-3</v>
      </c>
      <c r="J19">
        <v>0</v>
      </c>
      <c r="K19" s="1">
        <f t="shared" si="8"/>
        <v>1.4681016298153811E-2</v>
      </c>
      <c r="L19" s="1">
        <f t="shared" si="0"/>
        <v>0.11907094129797378</v>
      </c>
      <c r="M19">
        <f t="shared" si="1"/>
        <v>1.1882502118251571E-2</v>
      </c>
      <c r="N19">
        <f t="shared" si="2"/>
        <v>0.22835068339388961</v>
      </c>
      <c r="O19">
        <f t="shared" si="3"/>
        <v>1.0469225181434274</v>
      </c>
      <c r="P19">
        <f t="shared" si="4"/>
        <v>15.337818322719421</v>
      </c>
      <c r="Q19">
        <f t="shared" si="5"/>
        <v>2.1765300579402042E-3</v>
      </c>
      <c r="R19">
        <f t="shared" si="6"/>
        <v>0</v>
      </c>
      <c r="S19">
        <f t="shared" si="7"/>
        <v>0</v>
      </c>
    </row>
    <row r="20" spans="1:19" x14ac:dyDescent="0.3">
      <c r="A20" t="s">
        <v>18</v>
      </c>
      <c r="B20">
        <v>2009</v>
      </c>
      <c r="C20">
        <v>1.6082009002141545E-3</v>
      </c>
      <c r="D20">
        <v>0.13118370551328501</v>
      </c>
      <c r="E20">
        <v>-5.5716712434073654E-2</v>
      </c>
      <c r="F20">
        <v>0.35900091620802521</v>
      </c>
      <c r="G20">
        <v>0.95557692514395565</v>
      </c>
      <c r="H20">
        <v>15.352760929957736</v>
      </c>
      <c r="I20">
        <v>1.8117918686571394E-3</v>
      </c>
      <c r="J20">
        <v>3.6115191984491105E-2</v>
      </c>
      <c r="K20" s="1">
        <f t="shared" si="8"/>
        <v>1.6082009002141545E-3</v>
      </c>
      <c r="L20" s="1">
        <f t="shared" si="0"/>
        <v>0.13118370551328501</v>
      </c>
      <c r="M20">
        <f t="shared" si="1"/>
        <v>-5.5716712434073654E-2</v>
      </c>
      <c r="N20">
        <f t="shared" si="2"/>
        <v>0.35900091620802521</v>
      </c>
      <c r="O20">
        <f t="shared" si="3"/>
        <v>0.95557692514395565</v>
      </c>
      <c r="P20">
        <f t="shared" si="4"/>
        <v>15.352760929957736</v>
      </c>
      <c r="Q20">
        <f t="shared" si="5"/>
        <v>1.8117918686571394E-3</v>
      </c>
      <c r="R20">
        <f t="shared" si="6"/>
        <v>3.6115191984491105E-2</v>
      </c>
      <c r="S20">
        <f t="shared" si="7"/>
        <v>0</v>
      </c>
    </row>
    <row r="21" spans="1:19" x14ac:dyDescent="0.3">
      <c r="A21" t="s">
        <v>18</v>
      </c>
      <c r="B21">
        <v>2010</v>
      </c>
      <c r="C21">
        <v>6.8139949888440686E-3</v>
      </c>
      <c r="D21">
        <v>0.119141917986121</v>
      </c>
      <c r="E21">
        <v>-3.989222331506849E-2</v>
      </c>
      <c r="F21">
        <v>0.38734360600161633</v>
      </c>
      <c r="G21">
        <v>0.82974230373248681</v>
      </c>
      <c r="H21">
        <v>15.450879535302194</v>
      </c>
      <c r="I21">
        <v>3.03204410800198E-3</v>
      </c>
      <c r="J21">
        <v>3.273991586231384E-2</v>
      </c>
      <c r="K21" s="1">
        <f t="shared" si="8"/>
        <v>6.8139949888440686E-3</v>
      </c>
      <c r="L21" s="1">
        <f t="shared" si="0"/>
        <v>0.119141917986121</v>
      </c>
      <c r="M21">
        <f t="shared" si="1"/>
        <v>-3.989222331506849E-2</v>
      </c>
      <c r="N21">
        <f t="shared" si="2"/>
        <v>0.38734360600161633</v>
      </c>
      <c r="O21">
        <f t="shared" si="3"/>
        <v>0.82974230373248681</v>
      </c>
      <c r="P21">
        <f t="shared" si="4"/>
        <v>15.450879535302194</v>
      </c>
      <c r="Q21">
        <f t="shared" si="5"/>
        <v>3.03204410800198E-3</v>
      </c>
      <c r="R21">
        <f t="shared" si="6"/>
        <v>3.273991586231384E-2</v>
      </c>
      <c r="S21">
        <f t="shared" si="7"/>
        <v>0</v>
      </c>
    </row>
    <row r="22" spans="1:19" x14ac:dyDescent="0.3">
      <c r="A22" t="s">
        <v>19</v>
      </c>
      <c r="B22">
        <v>2007</v>
      </c>
      <c r="C22">
        <v>3.5737570972394758E-2</v>
      </c>
      <c r="D22">
        <v>4.8020276636012708E-2</v>
      </c>
      <c r="E22">
        <v>-0.37369373275193635</v>
      </c>
      <c r="F22">
        <v>0.356186791839321</v>
      </c>
      <c r="G22">
        <v>0.89591215681043179</v>
      </c>
      <c r="H22">
        <v>13.304193146623929</v>
      </c>
      <c r="I22">
        <v>2.9177531270925209E-3</v>
      </c>
      <c r="J22">
        <v>0</v>
      </c>
      <c r="K22" s="1">
        <f t="shared" si="8"/>
        <v>3.5737570972394758E-2</v>
      </c>
      <c r="L22" s="1">
        <f t="shared" si="0"/>
        <v>4.8020276636012708E-2</v>
      </c>
      <c r="M22">
        <f t="shared" si="1"/>
        <v>-0.37369373275193635</v>
      </c>
      <c r="N22">
        <f t="shared" si="2"/>
        <v>0.356186791839321</v>
      </c>
      <c r="O22">
        <f t="shared" si="3"/>
        <v>0.89591215681043179</v>
      </c>
      <c r="P22">
        <f t="shared" si="4"/>
        <v>13.304193146623929</v>
      </c>
      <c r="Q22">
        <f t="shared" si="5"/>
        <v>2.9177531270925209E-3</v>
      </c>
      <c r="R22">
        <f t="shared" si="6"/>
        <v>0</v>
      </c>
      <c r="S22">
        <f t="shared" si="7"/>
        <v>0</v>
      </c>
    </row>
    <row r="23" spans="1:19" x14ac:dyDescent="0.3">
      <c r="A23" t="s">
        <v>19</v>
      </c>
      <c r="B23">
        <v>2008</v>
      </c>
      <c r="C23">
        <v>4.5808175126244655E-3</v>
      </c>
      <c r="D23">
        <v>4.0920853187729776E-2</v>
      </c>
      <c r="E23">
        <v>-0.30385140397450822</v>
      </c>
      <c r="F23">
        <v>0.3520278701292176</v>
      </c>
      <c r="G23">
        <v>0.79314384771922186</v>
      </c>
      <c r="H23">
        <v>13.299764515434463</v>
      </c>
      <c r="I23">
        <v>5.0437119106263983E-3</v>
      </c>
      <c r="J23">
        <v>0</v>
      </c>
      <c r="K23" s="1">
        <f t="shared" si="8"/>
        <v>4.5808175126244655E-3</v>
      </c>
      <c r="L23" s="1">
        <f t="shared" si="0"/>
        <v>4.0920853187729776E-2</v>
      </c>
      <c r="M23">
        <f t="shared" si="1"/>
        <v>-0.30385140397450822</v>
      </c>
      <c r="N23">
        <f t="shared" si="2"/>
        <v>0.3520278701292176</v>
      </c>
      <c r="O23">
        <f t="shared" si="3"/>
        <v>0.79314384771922186</v>
      </c>
      <c r="P23">
        <f t="shared" si="4"/>
        <v>13.299764515434463</v>
      </c>
      <c r="Q23">
        <f t="shared" si="5"/>
        <v>5.0437119106263983E-3</v>
      </c>
      <c r="R23">
        <f t="shared" si="6"/>
        <v>0</v>
      </c>
      <c r="S23">
        <f t="shared" si="7"/>
        <v>0</v>
      </c>
    </row>
    <row r="24" spans="1:19" x14ac:dyDescent="0.3">
      <c r="A24" t="s">
        <v>19</v>
      </c>
      <c r="B24">
        <v>2009</v>
      </c>
      <c r="C24">
        <v>6.3370381759873477E-3</v>
      </c>
      <c r="D24">
        <v>5.9394631639063396E-2</v>
      </c>
      <c r="E24">
        <v>-4.2814362488834218E-2</v>
      </c>
      <c r="F24">
        <v>0.6302186296475274</v>
      </c>
      <c r="G24">
        <v>0.74862349719574162</v>
      </c>
      <c r="H24">
        <v>13.210945520095335</v>
      </c>
      <c r="I24">
        <v>1.4725023772645595E-2</v>
      </c>
      <c r="J24">
        <v>0</v>
      </c>
      <c r="K24" s="1">
        <f t="shared" si="8"/>
        <v>6.3370381759873477E-3</v>
      </c>
      <c r="L24" s="1">
        <f t="shared" si="0"/>
        <v>5.9394631639063396E-2</v>
      </c>
      <c r="M24">
        <f t="shared" si="1"/>
        <v>-4.2814362488834218E-2</v>
      </c>
      <c r="N24">
        <f t="shared" si="2"/>
        <v>0.6302186296475274</v>
      </c>
      <c r="O24">
        <f t="shared" si="3"/>
        <v>0.74862349719574162</v>
      </c>
      <c r="P24">
        <f t="shared" si="4"/>
        <v>13.210945520095335</v>
      </c>
      <c r="Q24">
        <f t="shared" si="5"/>
        <v>1.4725023772645595E-2</v>
      </c>
      <c r="R24">
        <f t="shared" si="6"/>
        <v>0</v>
      </c>
      <c r="S24">
        <f t="shared" si="7"/>
        <v>0</v>
      </c>
    </row>
    <row r="25" spans="1:19" x14ac:dyDescent="0.3">
      <c r="A25" t="s">
        <v>19</v>
      </c>
      <c r="B25">
        <v>2010</v>
      </c>
      <c r="C25">
        <v>4.4039005976722239E-3</v>
      </c>
      <c r="D25">
        <v>9.2183479726732326E-2</v>
      </c>
      <c r="E25">
        <v>-5.4818076963405682E-2</v>
      </c>
      <c r="F25">
        <v>0.4555907760060009</v>
      </c>
      <c r="G25">
        <v>0.61812540631225754</v>
      </c>
      <c r="H25">
        <v>13.33732151947455</v>
      </c>
      <c r="I25">
        <v>5.5123132770459049E-3</v>
      </c>
      <c r="J25">
        <v>0</v>
      </c>
      <c r="K25" s="1">
        <f t="shared" si="8"/>
        <v>4.4039005976722239E-3</v>
      </c>
      <c r="L25" s="1">
        <f t="shared" si="0"/>
        <v>9.2183479726732326E-2</v>
      </c>
      <c r="M25">
        <f t="shared" si="1"/>
        <v>-5.4818076963405682E-2</v>
      </c>
      <c r="N25">
        <f t="shared" si="2"/>
        <v>0.4555907760060009</v>
      </c>
      <c r="O25">
        <f t="shared" si="3"/>
        <v>0.61812540631225754</v>
      </c>
      <c r="P25">
        <f t="shared" si="4"/>
        <v>13.33732151947455</v>
      </c>
      <c r="Q25">
        <f t="shared" si="5"/>
        <v>5.5123132770459049E-3</v>
      </c>
      <c r="R25">
        <f t="shared" si="6"/>
        <v>0</v>
      </c>
      <c r="S25">
        <f t="shared" si="7"/>
        <v>0</v>
      </c>
    </row>
    <row r="26" spans="1:19" x14ac:dyDescent="0.3">
      <c r="A26" t="s">
        <v>20</v>
      </c>
      <c r="B26">
        <v>2007</v>
      </c>
      <c r="C26">
        <v>1.9347857366712462E-2</v>
      </c>
      <c r="D26">
        <v>4.8720490871067501E-2</v>
      </c>
      <c r="E26">
        <v>-0.27157366909566111</v>
      </c>
      <c r="F26">
        <v>0</v>
      </c>
      <c r="G26">
        <v>0.60471367496939943</v>
      </c>
      <c r="H26">
        <v>13.136942582430613</v>
      </c>
      <c r="I26">
        <v>5.1264242051975509E-4</v>
      </c>
      <c r="J26">
        <v>0</v>
      </c>
      <c r="K26" s="1">
        <f t="shared" si="8"/>
        <v>1.9347857366712462E-2</v>
      </c>
      <c r="L26" s="1">
        <f t="shared" si="0"/>
        <v>4.8720490871067501E-2</v>
      </c>
      <c r="M26">
        <f t="shared" si="1"/>
        <v>-0.27157366909566111</v>
      </c>
      <c r="N26">
        <f t="shared" si="2"/>
        <v>0</v>
      </c>
      <c r="O26">
        <f t="shared" si="3"/>
        <v>0.60471367496939943</v>
      </c>
      <c r="P26">
        <f t="shared" si="4"/>
        <v>13.136942582430613</v>
      </c>
      <c r="Q26">
        <f t="shared" si="5"/>
        <v>5.1264242051975509E-4</v>
      </c>
      <c r="R26">
        <f t="shared" si="6"/>
        <v>0</v>
      </c>
      <c r="S26">
        <f t="shared" si="7"/>
        <v>0</v>
      </c>
    </row>
    <row r="27" spans="1:19" x14ac:dyDescent="0.3">
      <c r="A27" t="s">
        <v>20</v>
      </c>
      <c r="B27">
        <v>2008</v>
      </c>
      <c r="C27">
        <v>0.26597179621385653</v>
      </c>
      <c r="D27">
        <v>4.4509979382758434E-2</v>
      </c>
      <c r="E27">
        <v>-0.1840412419871344</v>
      </c>
      <c r="F27">
        <v>4.7725443627133716E-3</v>
      </c>
      <c r="G27">
        <v>0.62388073141493561</v>
      </c>
      <c r="H27">
        <v>13.186368631380239</v>
      </c>
      <c r="I27">
        <v>1.968395167369667E-2</v>
      </c>
      <c r="J27">
        <v>0</v>
      </c>
      <c r="K27" s="1">
        <f t="shared" si="8"/>
        <v>0.26597179621385653</v>
      </c>
      <c r="L27" s="1">
        <f t="shared" si="0"/>
        <v>4.4509979382758434E-2</v>
      </c>
      <c r="M27">
        <f t="shared" si="1"/>
        <v>-0.1840412419871344</v>
      </c>
      <c r="N27">
        <f t="shared" si="2"/>
        <v>4.7725443627133716E-3</v>
      </c>
      <c r="O27">
        <f t="shared" si="3"/>
        <v>0.62388073141493561</v>
      </c>
      <c r="P27">
        <f t="shared" si="4"/>
        <v>13.186368631380239</v>
      </c>
      <c r="Q27">
        <f t="shared" si="5"/>
        <v>1.968395167369667E-2</v>
      </c>
      <c r="R27">
        <f t="shared" si="6"/>
        <v>0</v>
      </c>
      <c r="S27">
        <f t="shared" si="7"/>
        <v>0</v>
      </c>
    </row>
    <row r="28" spans="1:19" x14ac:dyDescent="0.3">
      <c r="A28" t="s">
        <v>21</v>
      </c>
      <c r="B28">
        <v>2007</v>
      </c>
      <c r="C28">
        <v>1.8698952567584057E-2</v>
      </c>
      <c r="D28">
        <v>7.8522827796868672E-2</v>
      </c>
      <c r="E28">
        <v>-3.6654436571198483E-2</v>
      </c>
      <c r="F28">
        <v>0.46988943412818668</v>
      </c>
      <c r="G28">
        <v>1.1359485628490313</v>
      </c>
      <c r="H28">
        <v>17.332893017746972</v>
      </c>
      <c r="I28">
        <v>6.6726863536381957E-3</v>
      </c>
      <c r="J28">
        <v>1.020832907962794E-2</v>
      </c>
      <c r="K28" s="1">
        <f t="shared" si="8"/>
        <v>1.8698952567584057E-2</v>
      </c>
      <c r="L28" s="1">
        <f t="shared" si="0"/>
        <v>7.8522827796868672E-2</v>
      </c>
      <c r="M28">
        <f t="shared" si="1"/>
        <v>-3.6654436571198483E-2</v>
      </c>
      <c r="N28">
        <f t="shared" si="2"/>
        <v>0.46988943412818668</v>
      </c>
      <c r="O28">
        <f t="shared" si="3"/>
        <v>1.1359485628490313</v>
      </c>
      <c r="P28">
        <f t="shared" si="4"/>
        <v>17.332893017746972</v>
      </c>
      <c r="Q28">
        <f t="shared" si="5"/>
        <v>6.6726863536381957E-3</v>
      </c>
      <c r="R28">
        <f t="shared" si="6"/>
        <v>1.020832907962794E-2</v>
      </c>
      <c r="S28">
        <f t="shared" si="7"/>
        <v>0</v>
      </c>
    </row>
    <row r="29" spans="1:19" x14ac:dyDescent="0.3">
      <c r="A29" t="s">
        <v>21</v>
      </c>
      <c r="B29">
        <v>2008</v>
      </c>
      <c r="C29">
        <v>2.9985014069107137E-3</v>
      </c>
      <c r="D29">
        <v>7.2928717217979333E-2</v>
      </c>
      <c r="E29">
        <v>0.30435826849166292</v>
      </c>
      <c r="F29">
        <v>0.41154663801514801</v>
      </c>
      <c r="G29">
        <v>0.84971131285983137</v>
      </c>
      <c r="H29">
        <v>17.125019204468479</v>
      </c>
      <c r="I29">
        <v>8.865136083141793E-3</v>
      </c>
      <c r="J29">
        <v>0</v>
      </c>
      <c r="K29" s="1">
        <f t="shared" si="8"/>
        <v>2.9985014069107137E-3</v>
      </c>
      <c r="L29" s="1">
        <f t="shared" si="0"/>
        <v>7.2928717217979333E-2</v>
      </c>
      <c r="M29">
        <f t="shared" si="1"/>
        <v>0.30435826849166292</v>
      </c>
      <c r="N29">
        <f t="shared" si="2"/>
        <v>0.41154663801514801</v>
      </c>
      <c r="O29">
        <f t="shared" si="3"/>
        <v>0.84971131285983137</v>
      </c>
      <c r="P29">
        <f t="shared" si="4"/>
        <v>17.125019204468479</v>
      </c>
      <c r="Q29">
        <f t="shared" si="5"/>
        <v>8.865136083141793E-3</v>
      </c>
      <c r="R29">
        <f t="shared" si="6"/>
        <v>0</v>
      </c>
      <c r="S29">
        <f t="shared" si="7"/>
        <v>0</v>
      </c>
    </row>
    <row r="30" spans="1:19" x14ac:dyDescent="0.3">
      <c r="A30" t="s">
        <v>21</v>
      </c>
      <c r="B30">
        <v>2009</v>
      </c>
      <c r="C30">
        <v>7.4846284529053106E-3</v>
      </c>
      <c r="D30">
        <v>2.3616837707808903E-2</v>
      </c>
      <c r="E30">
        <v>-0.15080572235398637</v>
      </c>
      <c r="F30">
        <v>0.55524205724761022</v>
      </c>
      <c r="G30">
        <v>0.89136579946678596</v>
      </c>
      <c r="H30">
        <v>17.884453342864791</v>
      </c>
      <c r="I30">
        <v>1.326758641833117E-3</v>
      </c>
      <c r="J30">
        <v>5.0587153574330895E-4</v>
      </c>
      <c r="K30" s="1">
        <f t="shared" si="8"/>
        <v>7.4846284529053106E-3</v>
      </c>
      <c r="L30" s="1">
        <f t="shared" si="0"/>
        <v>2.3616837707808903E-2</v>
      </c>
      <c r="M30">
        <f t="shared" si="1"/>
        <v>-0.15080572235398637</v>
      </c>
      <c r="N30">
        <f t="shared" si="2"/>
        <v>0.55524205724761022</v>
      </c>
      <c r="O30">
        <f t="shared" si="3"/>
        <v>0.89136579946678596</v>
      </c>
      <c r="P30">
        <f t="shared" si="4"/>
        <v>17.884453342864791</v>
      </c>
      <c r="Q30">
        <f t="shared" si="5"/>
        <v>1.326758641833117E-3</v>
      </c>
      <c r="R30">
        <f t="shared" si="6"/>
        <v>5.0587153574330895E-4</v>
      </c>
      <c r="S30">
        <f t="shared" si="7"/>
        <v>0</v>
      </c>
    </row>
    <row r="31" spans="1:19" x14ac:dyDescent="0.3">
      <c r="A31" t="s">
        <v>21</v>
      </c>
      <c r="B31">
        <v>2010</v>
      </c>
      <c r="C31">
        <v>7.4846283249522024E-3</v>
      </c>
      <c r="D31">
        <v>4.0579218539183691E-2</v>
      </c>
      <c r="E31">
        <v>-0.15052509792745164</v>
      </c>
      <c r="F31">
        <v>0.5552420648509484</v>
      </c>
      <c r="G31">
        <v>0.81028787391023538</v>
      </c>
      <c r="H31">
        <v>17.884453359960247</v>
      </c>
      <c r="I31">
        <v>2.5897395307782629E-2</v>
      </c>
      <c r="J31">
        <v>0</v>
      </c>
      <c r="K31" s="1">
        <f t="shared" si="8"/>
        <v>7.4846283249522024E-3</v>
      </c>
      <c r="L31" s="1">
        <f t="shared" si="0"/>
        <v>4.0579218539183691E-2</v>
      </c>
      <c r="M31">
        <f t="shared" si="1"/>
        <v>-0.15052509792745164</v>
      </c>
      <c r="N31">
        <f t="shared" si="2"/>
        <v>0.5552420648509484</v>
      </c>
      <c r="O31">
        <f t="shared" si="3"/>
        <v>0.81028787391023538</v>
      </c>
      <c r="P31">
        <f t="shared" si="4"/>
        <v>17.884453359960247</v>
      </c>
      <c r="Q31">
        <f t="shared" si="5"/>
        <v>2.5897395307782629E-2</v>
      </c>
      <c r="R31">
        <f t="shared" si="6"/>
        <v>0</v>
      </c>
      <c r="S31">
        <f t="shared" si="7"/>
        <v>0</v>
      </c>
    </row>
    <row r="32" spans="1:19" x14ac:dyDescent="0.3">
      <c r="A32" t="s">
        <v>22</v>
      </c>
      <c r="B32">
        <v>2007</v>
      </c>
      <c r="C32">
        <v>4.9101487023052047E-4</v>
      </c>
      <c r="D32">
        <v>4.1164740354875468E-2</v>
      </c>
      <c r="E32">
        <v>-0.3706056380893063</v>
      </c>
      <c r="F32">
        <v>0.25536754453637578</v>
      </c>
      <c r="G32">
        <v>0.75456245709149328</v>
      </c>
      <c r="H32">
        <v>13.938004258772914</v>
      </c>
      <c r="I32">
        <v>7.3864701534367277E-3</v>
      </c>
      <c r="J32">
        <v>0</v>
      </c>
      <c r="K32" s="1">
        <f t="shared" si="8"/>
        <v>4.9101487023052047E-4</v>
      </c>
      <c r="L32" s="1">
        <f t="shared" si="0"/>
        <v>4.1164740354875468E-2</v>
      </c>
      <c r="M32">
        <f t="shared" si="1"/>
        <v>-0.3706056380893063</v>
      </c>
      <c r="N32">
        <f t="shared" si="2"/>
        <v>0.25536754453637578</v>
      </c>
      <c r="O32">
        <f t="shared" si="3"/>
        <v>0.75456245709149328</v>
      </c>
      <c r="P32">
        <f t="shared" si="4"/>
        <v>13.938004258772914</v>
      </c>
      <c r="Q32">
        <f t="shared" si="5"/>
        <v>7.3864701534367277E-3</v>
      </c>
      <c r="R32">
        <f t="shared" si="6"/>
        <v>0</v>
      </c>
      <c r="S32">
        <f t="shared" si="7"/>
        <v>0</v>
      </c>
    </row>
    <row r="33" spans="1:19" x14ac:dyDescent="0.3">
      <c r="A33" t="s">
        <v>22</v>
      </c>
      <c r="B33">
        <v>2009</v>
      </c>
      <c r="C33">
        <v>3.9275542108730235E-4</v>
      </c>
      <c r="D33">
        <v>0.10143494951700609</v>
      </c>
      <c r="E33">
        <v>-0.12978075307920983</v>
      </c>
      <c r="F33">
        <v>0.51376439217801195</v>
      </c>
      <c r="G33">
        <v>0.6671324237918923</v>
      </c>
      <c r="H33">
        <v>14.126457639098863</v>
      </c>
      <c r="I33">
        <v>8.7704969784319076E-3</v>
      </c>
      <c r="J33">
        <v>0</v>
      </c>
      <c r="K33" s="1">
        <f t="shared" si="8"/>
        <v>3.9275542108730235E-4</v>
      </c>
      <c r="L33" s="1">
        <f t="shared" si="0"/>
        <v>0.10143494951700609</v>
      </c>
      <c r="M33">
        <f t="shared" si="1"/>
        <v>-0.12978075307920983</v>
      </c>
      <c r="N33">
        <f t="shared" si="2"/>
        <v>0.51376439217801195</v>
      </c>
      <c r="O33">
        <f t="shared" si="3"/>
        <v>0.6671324237918923</v>
      </c>
      <c r="P33">
        <f t="shared" si="4"/>
        <v>14.126457639098863</v>
      </c>
      <c r="Q33">
        <f t="shared" si="5"/>
        <v>8.7704969784319076E-3</v>
      </c>
      <c r="R33">
        <f t="shared" si="6"/>
        <v>0</v>
      </c>
      <c r="S33">
        <f t="shared" si="7"/>
        <v>0</v>
      </c>
    </row>
    <row r="34" spans="1:19" x14ac:dyDescent="0.3">
      <c r="A34" t="s">
        <v>22</v>
      </c>
      <c r="B34">
        <v>2010</v>
      </c>
      <c r="C34">
        <v>7.51409709955852E-4</v>
      </c>
      <c r="D34">
        <v>0.13695839513405947</v>
      </c>
      <c r="E34">
        <v>-3.9613448709208798E-2</v>
      </c>
      <c r="F34">
        <v>0.42133974536285829</v>
      </c>
      <c r="G34">
        <v>0.56565388253760129</v>
      </c>
      <c r="H34">
        <v>14.13571620812154</v>
      </c>
      <c r="I34">
        <v>6.8750452147297025E-3</v>
      </c>
      <c r="J34">
        <v>0</v>
      </c>
      <c r="K34" s="1">
        <f t="shared" si="8"/>
        <v>7.51409709955852E-4</v>
      </c>
      <c r="L34" s="1">
        <f t="shared" si="0"/>
        <v>0.13695839513405947</v>
      </c>
      <c r="M34">
        <f t="shared" si="1"/>
        <v>-3.9613448709208798E-2</v>
      </c>
      <c r="N34">
        <f t="shared" si="2"/>
        <v>0.42133974536285829</v>
      </c>
      <c r="O34">
        <f t="shared" si="3"/>
        <v>0.56565388253760129</v>
      </c>
      <c r="P34">
        <f t="shared" si="4"/>
        <v>14.13571620812154</v>
      </c>
      <c r="Q34">
        <f t="shared" si="5"/>
        <v>6.8750452147297025E-3</v>
      </c>
      <c r="R34">
        <f t="shared" si="6"/>
        <v>0</v>
      </c>
      <c r="S34">
        <f t="shared" si="7"/>
        <v>0</v>
      </c>
    </row>
    <row r="35" spans="1:19" x14ac:dyDescent="0.3">
      <c r="A35" t="s">
        <v>23</v>
      </c>
      <c r="B35">
        <v>2009</v>
      </c>
      <c r="C35">
        <v>7.2321779270202863E-3</v>
      </c>
      <c r="D35">
        <v>8.8258032979063192E-2</v>
      </c>
      <c r="E35">
        <v>8.6909936634685676E-3</v>
      </c>
      <c r="F35">
        <v>0.54591297072891964</v>
      </c>
      <c r="G35">
        <v>0.78680741749730143</v>
      </c>
      <c r="H35">
        <v>14.95783633674716</v>
      </c>
      <c r="I35">
        <v>3.387486108356607E-2</v>
      </c>
      <c r="J35">
        <v>1.9144563470449888E-3</v>
      </c>
      <c r="K35" s="1">
        <f t="shared" si="8"/>
        <v>7.2321779270202863E-3</v>
      </c>
      <c r="L35" s="1">
        <f t="shared" si="0"/>
        <v>8.8258032979063192E-2</v>
      </c>
      <c r="M35">
        <f t="shared" si="1"/>
        <v>8.6909936634685676E-3</v>
      </c>
      <c r="N35">
        <f t="shared" si="2"/>
        <v>0.54591297072891964</v>
      </c>
      <c r="O35">
        <f t="shared" si="3"/>
        <v>0.78680741749730143</v>
      </c>
      <c r="P35">
        <f t="shared" si="4"/>
        <v>14.95783633674716</v>
      </c>
      <c r="Q35">
        <f t="shared" si="5"/>
        <v>3.387486108356607E-2</v>
      </c>
      <c r="R35">
        <f t="shared" si="6"/>
        <v>1.9144563470449888E-3</v>
      </c>
      <c r="S35">
        <f t="shared" si="7"/>
        <v>0</v>
      </c>
    </row>
    <row r="36" spans="1:19" x14ac:dyDescent="0.3">
      <c r="A36" t="s">
        <v>23</v>
      </c>
      <c r="B36">
        <v>2010</v>
      </c>
      <c r="C36">
        <v>1.13652377704662E-2</v>
      </c>
      <c r="D36">
        <v>0.18308763734185698</v>
      </c>
      <c r="E36">
        <v>3.1001980779751165E-2</v>
      </c>
      <c r="F36">
        <v>0.42082546194916137</v>
      </c>
      <c r="G36">
        <v>0.80523232183104276</v>
      </c>
      <c r="H36">
        <v>14.974314119664836</v>
      </c>
      <c r="I36">
        <v>4.5011982324424528E-2</v>
      </c>
      <c r="J36">
        <v>1.8831688333047197E-2</v>
      </c>
      <c r="K36" s="1">
        <f t="shared" si="8"/>
        <v>1.13652377704662E-2</v>
      </c>
      <c r="L36" s="1">
        <f t="shared" si="0"/>
        <v>0.18308763734185698</v>
      </c>
      <c r="M36">
        <f t="shared" si="1"/>
        <v>3.1001980779751165E-2</v>
      </c>
      <c r="N36">
        <f t="shared" si="2"/>
        <v>0.42082546194916137</v>
      </c>
      <c r="O36">
        <f t="shared" si="3"/>
        <v>0.80523232183104276</v>
      </c>
      <c r="P36">
        <f t="shared" si="4"/>
        <v>14.974314119664836</v>
      </c>
      <c r="Q36">
        <f t="shared" si="5"/>
        <v>4.5011982324424528E-2</v>
      </c>
      <c r="R36">
        <f t="shared" si="6"/>
        <v>1.8831688333047197E-2</v>
      </c>
      <c r="S36">
        <f t="shared" si="7"/>
        <v>0</v>
      </c>
    </row>
    <row r="37" spans="1:19" x14ac:dyDescent="0.3">
      <c r="A37" t="s">
        <v>24</v>
      </c>
      <c r="B37">
        <v>2007</v>
      </c>
      <c r="C37">
        <v>3.6468542726511691E-2</v>
      </c>
      <c r="D37">
        <v>0.1290308455148432</v>
      </c>
      <c r="E37">
        <v>-0.19859875072445102</v>
      </c>
      <c r="F37">
        <v>0.11030974306136905</v>
      </c>
      <c r="G37">
        <v>0.91388447420954344</v>
      </c>
      <c r="H37">
        <v>13.562487527997336</v>
      </c>
      <c r="I37">
        <v>9.341903936585667E-3</v>
      </c>
      <c r="J37">
        <v>0</v>
      </c>
      <c r="K37" s="1">
        <f t="shared" si="8"/>
        <v>3.6468542726511691E-2</v>
      </c>
      <c r="L37" s="1">
        <f t="shared" si="0"/>
        <v>0.1290308455148432</v>
      </c>
      <c r="M37">
        <f t="shared" si="1"/>
        <v>-0.19859875072445102</v>
      </c>
      <c r="N37">
        <f t="shared" si="2"/>
        <v>0.11030974306136905</v>
      </c>
      <c r="O37">
        <f t="shared" si="3"/>
        <v>0.91388447420954344</v>
      </c>
      <c r="P37">
        <f t="shared" si="4"/>
        <v>13.562487527997336</v>
      </c>
      <c r="Q37">
        <f t="shared" si="5"/>
        <v>9.341903936585667E-3</v>
      </c>
      <c r="R37">
        <f t="shared" si="6"/>
        <v>0</v>
      </c>
      <c r="S37">
        <f t="shared" si="7"/>
        <v>0</v>
      </c>
    </row>
    <row r="38" spans="1:19" x14ac:dyDescent="0.3">
      <c r="A38" t="s">
        <v>24</v>
      </c>
      <c r="B38">
        <v>2008</v>
      </c>
      <c r="C38">
        <v>3.4030308089686803E-3</v>
      </c>
      <c r="D38">
        <v>8.8613350880466707E-2</v>
      </c>
      <c r="E38">
        <v>-0.17439329804264347</v>
      </c>
      <c r="F38">
        <v>0.18847389045481777</v>
      </c>
      <c r="G38">
        <v>0.81948006796240469</v>
      </c>
      <c r="H38">
        <v>13.833556741655336</v>
      </c>
      <c r="I38">
        <v>6.8549281791623826E-3</v>
      </c>
      <c r="J38">
        <v>0</v>
      </c>
      <c r="K38" s="1">
        <f t="shared" si="8"/>
        <v>3.4030308089686803E-3</v>
      </c>
      <c r="L38" s="1">
        <f t="shared" si="0"/>
        <v>8.8613350880466707E-2</v>
      </c>
      <c r="M38">
        <f t="shared" si="1"/>
        <v>-0.17439329804264347</v>
      </c>
      <c r="N38">
        <f t="shared" si="2"/>
        <v>0.18847389045481777</v>
      </c>
      <c r="O38">
        <f t="shared" si="3"/>
        <v>0.81948006796240469</v>
      </c>
      <c r="P38">
        <f t="shared" si="4"/>
        <v>13.833556741655336</v>
      </c>
      <c r="Q38">
        <f t="shared" si="5"/>
        <v>6.8549281791623826E-3</v>
      </c>
      <c r="R38">
        <f t="shared" si="6"/>
        <v>0</v>
      </c>
      <c r="S38">
        <f t="shared" si="7"/>
        <v>0</v>
      </c>
    </row>
    <row r="39" spans="1:19" x14ac:dyDescent="0.3">
      <c r="A39" t="s">
        <v>24</v>
      </c>
      <c r="B39">
        <v>2010</v>
      </c>
      <c r="C39">
        <v>1.7054806896182002E-2</v>
      </c>
      <c r="D39">
        <v>4.7440538002267489E-2</v>
      </c>
      <c r="E39">
        <v>-5.3736689427588302E-2</v>
      </c>
      <c r="F39">
        <v>0.8001076163378279</v>
      </c>
      <c r="G39">
        <v>0.91863233930517962</v>
      </c>
      <c r="H39">
        <v>13.822766172218842</v>
      </c>
      <c r="I39">
        <v>2.8198630258133364E-3</v>
      </c>
      <c r="J39">
        <v>0</v>
      </c>
      <c r="K39" s="1">
        <f t="shared" si="8"/>
        <v>1.7054806896182002E-2</v>
      </c>
      <c r="L39" s="1">
        <f t="shared" si="0"/>
        <v>4.7440538002267489E-2</v>
      </c>
      <c r="M39">
        <f t="shared" si="1"/>
        <v>-5.3736689427588302E-2</v>
      </c>
      <c r="N39">
        <f t="shared" si="2"/>
        <v>0.8001076163378279</v>
      </c>
      <c r="O39">
        <f t="shared" si="3"/>
        <v>0.91863233930517962</v>
      </c>
      <c r="P39">
        <f t="shared" si="4"/>
        <v>13.822766172218842</v>
      </c>
      <c r="Q39">
        <f t="shared" si="5"/>
        <v>2.8198630258133364E-3</v>
      </c>
      <c r="R39">
        <f t="shared" si="6"/>
        <v>0</v>
      </c>
      <c r="S39">
        <f t="shared" si="7"/>
        <v>0</v>
      </c>
    </row>
    <row r="40" spans="1:19" x14ac:dyDescent="0.3">
      <c r="A40" t="s">
        <v>25</v>
      </c>
      <c r="B40">
        <v>2007</v>
      </c>
      <c r="C40">
        <v>1.5920247874434617E-2</v>
      </c>
      <c r="D40">
        <v>0.11654925225559264</v>
      </c>
      <c r="E40">
        <v>-0.15692709935524418</v>
      </c>
      <c r="F40">
        <v>0.27995977927728244</v>
      </c>
      <c r="G40">
        <v>0.88741940552399423</v>
      </c>
      <c r="H40">
        <v>14.75740938568512</v>
      </c>
      <c r="I40">
        <v>3.6713101531430717E-3</v>
      </c>
      <c r="J40">
        <v>1.8808139432878452E-3</v>
      </c>
      <c r="K40" s="1">
        <f t="shared" si="8"/>
        <v>1.5920247874434617E-2</v>
      </c>
      <c r="L40" s="1">
        <f t="shared" si="0"/>
        <v>0.11654925225559264</v>
      </c>
      <c r="M40">
        <f t="shared" si="1"/>
        <v>-0.15692709935524418</v>
      </c>
      <c r="N40">
        <f t="shared" si="2"/>
        <v>0.27995977927728244</v>
      </c>
      <c r="O40">
        <f t="shared" si="3"/>
        <v>0.88741940552399423</v>
      </c>
      <c r="P40">
        <f t="shared" si="4"/>
        <v>14.75740938568512</v>
      </c>
      <c r="Q40">
        <f t="shared" si="5"/>
        <v>3.6713101531430717E-3</v>
      </c>
      <c r="R40">
        <f t="shared" si="6"/>
        <v>1.8808139432878452E-3</v>
      </c>
      <c r="S40">
        <f t="shared" si="7"/>
        <v>0</v>
      </c>
    </row>
    <row r="41" spans="1:19" x14ac:dyDescent="0.3">
      <c r="A41" t="s">
        <v>25</v>
      </c>
      <c r="B41">
        <v>2009</v>
      </c>
      <c r="C41">
        <v>5.2132979186694595E-3</v>
      </c>
      <c r="D41">
        <v>0.10866484383712402</v>
      </c>
      <c r="E41">
        <v>-3.3446263023069731E-2</v>
      </c>
      <c r="F41">
        <v>0.55242276512768085</v>
      </c>
      <c r="G41">
        <v>0.76676026644026463</v>
      </c>
      <c r="H41">
        <v>14.714445953481384</v>
      </c>
      <c r="I41">
        <v>4.7412258086312851E-2</v>
      </c>
      <c r="J41">
        <v>1.9633811507269476E-3</v>
      </c>
      <c r="K41" s="1">
        <f t="shared" si="8"/>
        <v>5.2132979186694595E-3</v>
      </c>
      <c r="L41" s="1">
        <f t="shared" si="0"/>
        <v>0.10866484383712402</v>
      </c>
      <c r="M41">
        <f t="shared" si="1"/>
        <v>-3.3446263023069731E-2</v>
      </c>
      <c r="N41">
        <f t="shared" si="2"/>
        <v>0.55242276512768085</v>
      </c>
      <c r="O41">
        <f t="shared" si="3"/>
        <v>0.76676026644026463</v>
      </c>
      <c r="P41">
        <f t="shared" si="4"/>
        <v>14.714445953481384</v>
      </c>
      <c r="Q41">
        <f t="shared" si="5"/>
        <v>4.7412258086312851E-2</v>
      </c>
      <c r="R41">
        <f t="shared" si="6"/>
        <v>1.9633811507269476E-3</v>
      </c>
      <c r="S41">
        <f t="shared" si="7"/>
        <v>0</v>
      </c>
    </row>
    <row r="42" spans="1:19" x14ac:dyDescent="0.3">
      <c r="A42" t="s">
        <v>25</v>
      </c>
      <c r="B42">
        <v>2010</v>
      </c>
      <c r="C42">
        <v>1.2774780629944723E-2</v>
      </c>
      <c r="D42">
        <v>0.24494534787735114</v>
      </c>
      <c r="E42">
        <v>0.10727561959615906</v>
      </c>
      <c r="F42">
        <v>0.3743055131887647</v>
      </c>
      <c r="G42">
        <v>0.60596054057396664</v>
      </c>
      <c r="H42">
        <v>14.694935210358199</v>
      </c>
      <c r="I42">
        <v>2.7199308323433809E-2</v>
      </c>
      <c r="J42">
        <v>1.3347095450408443E-2</v>
      </c>
      <c r="K42" s="1">
        <f t="shared" si="8"/>
        <v>1.2774780629944723E-2</v>
      </c>
      <c r="L42" s="1">
        <f t="shared" si="0"/>
        <v>0.24494534787735114</v>
      </c>
      <c r="M42">
        <f t="shared" si="1"/>
        <v>0.10727561959615906</v>
      </c>
      <c r="N42">
        <f t="shared" si="2"/>
        <v>0.3743055131887647</v>
      </c>
      <c r="O42">
        <f t="shared" si="3"/>
        <v>0.60596054057396664</v>
      </c>
      <c r="P42">
        <f t="shared" si="4"/>
        <v>14.694935210358199</v>
      </c>
      <c r="Q42">
        <f t="shared" si="5"/>
        <v>2.7199308323433809E-2</v>
      </c>
      <c r="R42">
        <f t="shared" si="6"/>
        <v>1.3347095450408443E-2</v>
      </c>
      <c r="S42">
        <f t="shared" si="7"/>
        <v>0</v>
      </c>
    </row>
    <row r="43" spans="1:19" x14ac:dyDescent="0.3">
      <c r="A43" t="s">
        <v>26</v>
      </c>
      <c r="B43">
        <v>2007</v>
      </c>
      <c r="C43">
        <v>5.1690619736489999E-3</v>
      </c>
      <c r="D43">
        <v>0.15837754025847278</v>
      </c>
      <c r="E43">
        <v>-0.19325247532545217</v>
      </c>
      <c r="F43">
        <v>0.14992247390873173</v>
      </c>
      <c r="G43">
        <v>0.96256080091929419</v>
      </c>
      <c r="H43">
        <v>13.138661833040448</v>
      </c>
      <c r="I43">
        <v>2.1240670318872626E-2</v>
      </c>
      <c r="J43">
        <v>0</v>
      </c>
      <c r="K43" s="1">
        <f t="shared" si="8"/>
        <v>5.1690619736489999E-3</v>
      </c>
      <c r="L43" s="1">
        <f t="shared" si="0"/>
        <v>0.15837754025847278</v>
      </c>
      <c r="M43">
        <f t="shared" si="1"/>
        <v>-0.19325247532545217</v>
      </c>
      <c r="N43">
        <f t="shared" si="2"/>
        <v>0.14992247390873173</v>
      </c>
      <c r="O43">
        <f t="shared" si="3"/>
        <v>0.96256080091929419</v>
      </c>
      <c r="P43">
        <f t="shared" si="4"/>
        <v>13.138661833040448</v>
      </c>
      <c r="Q43">
        <f t="shared" si="5"/>
        <v>2.1240670318872626E-2</v>
      </c>
      <c r="R43">
        <f t="shared" si="6"/>
        <v>0</v>
      </c>
      <c r="S43">
        <f t="shared" si="7"/>
        <v>0</v>
      </c>
    </row>
    <row r="44" spans="1:19" x14ac:dyDescent="0.3">
      <c r="A44" t="s">
        <v>26</v>
      </c>
      <c r="B44">
        <v>2008</v>
      </c>
      <c r="C44">
        <v>1.8157866628689429E-3</v>
      </c>
      <c r="D44">
        <v>9.6716155754144856E-2</v>
      </c>
      <c r="E44">
        <v>-0.26174386726955529</v>
      </c>
      <c r="F44">
        <v>0.11591127567913982</v>
      </c>
      <c r="G44">
        <v>1.0097186361424622</v>
      </c>
      <c r="H44">
        <v>12.951112315924217</v>
      </c>
      <c r="I44">
        <v>2.2306831152475899E-3</v>
      </c>
      <c r="J44">
        <v>0</v>
      </c>
      <c r="K44" s="1">
        <f t="shared" si="8"/>
        <v>1.8157866628689429E-3</v>
      </c>
      <c r="L44" s="1">
        <f t="shared" si="0"/>
        <v>9.6716155754144856E-2</v>
      </c>
      <c r="M44">
        <f t="shared" si="1"/>
        <v>-0.26174386726955529</v>
      </c>
      <c r="N44">
        <f t="shared" si="2"/>
        <v>0.11591127567913982</v>
      </c>
      <c r="O44">
        <f t="shared" si="3"/>
        <v>1.0097186361424622</v>
      </c>
      <c r="P44">
        <f t="shared" si="4"/>
        <v>12.951112315924217</v>
      </c>
      <c r="Q44">
        <f t="shared" si="5"/>
        <v>2.2306831152475899E-3</v>
      </c>
      <c r="R44">
        <f t="shared" si="6"/>
        <v>0</v>
      </c>
      <c r="S44">
        <f t="shared" si="7"/>
        <v>0</v>
      </c>
    </row>
    <row r="45" spans="1:19" x14ac:dyDescent="0.3">
      <c r="A45" t="s">
        <v>26</v>
      </c>
      <c r="B45">
        <v>2009</v>
      </c>
      <c r="C45">
        <v>1.998800719568259E-4</v>
      </c>
      <c r="D45">
        <v>9.336349409866275E-2</v>
      </c>
      <c r="E45">
        <v>-0.11962578550430718</v>
      </c>
      <c r="F45">
        <v>0.98677135182305253</v>
      </c>
      <c r="G45">
        <v>0.92907194707565699</v>
      </c>
      <c r="H45">
        <v>12.924512258752458</v>
      </c>
      <c r="I45">
        <v>7.6218711998764172E-3</v>
      </c>
      <c r="J45">
        <v>0</v>
      </c>
      <c r="K45" s="1">
        <f t="shared" si="8"/>
        <v>1.998800719568259E-4</v>
      </c>
      <c r="L45" s="1">
        <f t="shared" si="0"/>
        <v>9.336349409866275E-2</v>
      </c>
      <c r="M45">
        <f t="shared" si="1"/>
        <v>-0.11962578550430718</v>
      </c>
      <c r="N45">
        <f t="shared" si="2"/>
        <v>0.98677135182305253</v>
      </c>
      <c r="O45">
        <f t="shared" si="3"/>
        <v>0.92907194707565699</v>
      </c>
      <c r="P45">
        <f t="shared" si="4"/>
        <v>12.924512258752458</v>
      </c>
      <c r="Q45">
        <f t="shared" si="5"/>
        <v>7.6218711998764172E-3</v>
      </c>
      <c r="R45">
        <f t="shared" si="6"/>
        <v>0</v>
      </c>
      <c r="S45">
        <f t="shared" si="7"/>
        <v>0</v>
      </c>
    </row>
    <row r="46" spans="1:19" x14ac:dyDescent="0.3">
      <c r="A46" t="s">
        <v>26</v>
      </c>
      <c r="B46">
        <v>2010</v>
      </c>
      <c r="C46">
        <v>6.7128110269109136E-5</v>
      </c>
      <c r="D46">
        <v>6.9765996380054499E-2</v>
      </c>
      <c r="E46">
        <v>-1.805994788869662E-2</v>
      </c>
      <c r="F46">
        <v>1.0241810370547169</v>
      </c>
      <c r="G46">
        <v>0.89205225550450506</v>
      </c>
      <c r="H46">
        <v>12.904744536732819</v>
      </c>
      <c r="I46">
        <v>8.5436663690228645E-3</v>
      </c>
      <c r="J46">
        <v>0</v>
      </c>
      <c r="K46" s="1">
        <f t="shared" si="8"/>
        <v>6.7128110269109136E-5</v>
      </c>
      <c r="L46" s="1">
        <f t="shared" si="0"/>
        <v>6.9765996380054499E-2</v>
      </c>
      <c r="M46">
        <f t="shared" si="1"/>
        <v>-1.805994788869662E-2</v>
      </c>
      <c r="N46">
        <f t="shared" si="2"/>
        <v>1.0241810370547169</v>
      </c>
      <c r="O46">
        <f t="shared" si="3"/>
        <v>0.89205225550450506</v>
      </c>
      <c r="P46">
        <f t="shared" si="4"/>
        <v>12.904744536732819</v>
      </c>
      <c r="Q46">
        <f t="shared" si="5"/>
        <v>8.5436663690228645E-3</v>
      </c>
      <c r="R46">
        <f t="shared" si="6"/>
        <v>0</v>
      </c>
      <c r="S46">
        <f t="shared" si="7"/>
        <v>0</v>
      </c>
    </row>
    <row r="47" spans="1:19" x14ac:dyDescent="0.3">
      <c r="A47" t="s">
        <v>27</v>
      </c>
      <c r="B47">
        <v>2007</v>
      </c>
      <c r="C47">
        <v>3.6552399355640315E-2</v>
      </c>
      <c r="D47">
        <v>4.818974163902779E-2</v>
      </c>
      <c r="E47">
        <v>-0.44835037104102404</v>
      </c>
      <c r="F47">
        <v>0.18900941210928326</v>
      </c>
      <c r="G47">
        <v>0.89534036578188481</v>
      </c>
      <c r="H47">
        <v>13.897762208740989</v>
      </c>
      <c r="I47">
        <v>3.9313685665519696E-3</v>
      </c>
      <c r="J47">
        <v>0</v>
      </c>
      <c r="K47" s="1">
        <f t="shared" si="8"/>
        <v>3.6552399355640315E-2</v>
      </c>
      <c r="L47" s="1">
        <f t="shared" si="0"/>
        <v>4.818974163902779E-2</v>
      </c>
      <c r="M47">
        <f t="shared" si="1"/>
        <v>-0.44835037104102404</v>
      </c>
      <c r="N47">
        <f t="shared" si="2"/>
        <v>0.18900941210928326</v>
      </c>
      <c r="O47">
        <f t="shared" si="3"/>
        <v>0.89534036578188481</v>
      </c>
      <c r="P47">
        <f t="shared" si="4"/>
        <v>13.897762208740989</v>
      </c>
      <c r="Q47">
        <f t="shared" si="5"/>
        <v>3.9313685665519696E-3</v>
      </c>
      <c r="R47">
        <f t="shared" si="6"/>
        <v>0</v>
      </c>
      <c r="S47">
        <f t="shared" si="7"/>
        <v>0</v>
      </c>
    </row>
    <row r="48" spans="1:19" x14ac:dyDescent="0.3">
      <c r="A48" t="s">
        <v>27</v>
      </c>
      <c r="B48">
        <v>2008</v>
      </c>
      <c r="C48">
        <v>2.968842136889463E-2</v>
      </c>
      <c r="D48">
        <v>6.0770308643201071E-2</v>
      </c>
      <c r="E48">
        <v>-0.36408311411138922</v>
      </c>
      <c r="F48">
        <v>0.19471052774715242</v>
      </c>
      <c r="G48">
        <v>0.86311640793153199</v>
      </c>
      <c r="H48">
        <v>13.96243202704496</v>
      </c>
      <c r="I48">
        <v>6.6954132115599474E-3</v>
      </c>
      <c r="J48">
        <v>0</v>
      </c>
      <c r="K48" s="1">
        <f t="shared" si="8"/>
        <v>2.968842136889463E-2</v>
      </c>
      <c r="L48" s="1">
        <f t="shared" si="0"/>
        <v>6.0770308643201071E-2</v>
      </c>
      <c r="M48">
        <f t="shared" si="1"/>
        <v>-0.36408311411138922</v>
      </c>
      <c r="N48">
        <f t="shared" si="2"/>
        <v>0.19471052774715242</v>
      </c>
      <c r="O48">
        <f t="shared" si="3"/>
        <v>0.86311640793153199</v>
      </c>
      <c r="P48">
        <f t="shared" si="4"/>
        <v>13.96243202704496</v>
      </c>
      <c r="Q48">
        <f t="shared" si="5"/>
        <v>6.6954132115599474E-3</v>
      </c>
      <c r="R48">
        <f t="shared" si="6"/>
        <v>0</v>
      </c>
      <c r="S48">
        <f t="shared" si="7"/>
        <v>0</v>
      </c>
    </row>
    <row r="49" spans="1:19" x14ac:dyDescent="0.3">
      <c r="A49" t="s">
        <v>27</v>
      </c>
      <c r="B49">
        <v>2009</v>
      </c>
      <c r="C49">
        <v>2.8635292642856448E-2</v>
      </c>
      <c r="D49">
        <v>8.4757358776725578E-2</v>
      </c>
      <c r="E49">
        <v>-9.9423268591929639E-2</v>
      </c>
      <c r="F49">
        <v>0.61607767909086009</v>
      </c>
      <c r="G49">
        <v>0.88623657375814713</v>
      </c>
      <c r="H49">
        <v>13.940170338958785</v>
      </c>
      <c r="I49">
        <v>7.5685982791275017E-3</v>
      </c>
      <c r="J49">
        <v>0</v>
      </c>
      <c r="K49" s="1">
        <f t="shared" si="8"/>
        <v>2.8635292642856448E-2</v>
      </c>
      <c r="L49" s="1">
        <f t="shared" si="0"/>
        <v>8.4757358776725578E-2</v>
      </c>
      <c r="M49">
        <f t="shared" si="1"/>
        <v>-9.9423268591929639E-2</v>
      </c>
      <c r="N49">
        <f t="shared" si="2"/>
        <v>0.61607767909086009</v>
      </c>
      <c r="O49">
        <f t="shared" si="3"/>
        <v>0.88623657375814713</v>
      </c>
      <c r="P49">
        <f t="shared" si="4"/>
        <v>13.940170338958785</v>
      </c>
      <c r="Q49">
        <f t="shared" si="5"/>
        <v>7.5685982791275017E-3</v>
      </c>
      <c r="R49">
        <f t="shared" si="6"/>
        <v>0</v>
      </c>
      <c r="S49">
        <f t="shared" si="7"/>
        <v>0</v>
      </c>
    </row>
    <row r="50" spans="1:19" x14ac:dyDescent="0.3">
      <c r="A50" t="s">
        <v>27</v>
      </c>
      <c r="B50">
        <v>2010</v>
      </c>
      <c r="C50">
        <v>2.8118415865365787E-2</v>
      </c>
      <c r="D50">
        <v>0.10520517044668336</v>
      </c>
      <c r="E50">
        <v>-5.2045612578530964E-2</v>
      </c>
      <c r="F50">
        <v>0.53519675493812813</v>
      </c>
      <c r="G50">
        <v>0.8429295629766359</v>
      </c>
      <c r="H50">
        <v>13.954462607247152</v>
      </c>
      <c r="I50">
        <v>1.069097603655288E-2</v>
      </c>
      <c r="J50">
        <v>1.7405395150334749E-2</v>
      </c>
      <c r="K50" s="1">
        <f t="shared" si="8"/>
        <v>2.8118415865365787E-2</v>
      </c>
      <c r="L50" s="1">
        <f t="shared" si="0"/>
        <v>0.10520517044668336</v>
      </c>
      <c r="M50">
        <f t="shared" si="1"/>
        <v>-5.2045612578530964E-2</v>
      </c>
      <c r="N50">
        <f t="shared" si="2"/>
        <v>0.53519675493812813</v>
      </c>
      <c r="O50">
        <f t="shared" si="3"/>
        <v>0.8429295629766359</v>
      </c>
      <c r="P50">
        <f t="shared" si="4"/>
        <v>13.954462607247152</v>
      </c>
      <c r="Q50">
        <f t="shared" si="5"/>
        <v>1.069097603655288E-2</v>
      </c>
      <c r="R50">
        <f t="shared" si="6"/>
        <v>1.7405395150334749E-2</v>
      </c>
      <c r="S50">
        <f t="shared" si="7"/>
        <v>0</v>
      </c>
    </row>
    <row r="51" spans="1:19" x14ac:dyDescent="0.3">
      <c r="A51" t="s">
        <v>28</v>
      </c>
      <c r="B51">
        <v>2007</v>
      </c>
      <c r="C51">
        <v>4.3547766387427552E-3</v>
      </c>
      <c r="D51">
        <v>2.8514186011774256E-2</v>
      </c>
      <c r="E51">
        <v>-7.8965842164425509E-2</v>
      </c>
      <c r="F51">
        <v>0.36532876437859851</v>
      </c>
      <c r="G51">
        <v>0.82470804301822787</v>
      </c>
      <c r="H51">
        <v>16.522417305572642</v>
      </c>
      <c r="I51">
        <v>2.2163038908926763E-2</v>
      </c>
      <c r="J51">
        <v>4.9389775969311059E-3</v>
      </c>
      <c r="K51" s="1">
        <f t="shared" si="8"/>
        <v>4.3547766387427552E-3</v>
      </c>
      <c r="L51" s="1">
        <f t="shared" si="0"/>
        <v>2.8514186011774256E-2</v>
      </c>
      <c r="M51">
        <f t="shared" si="1"/>
        <v>-7.8965842164425509E-2</v>
      </c>
      <c r="N51">
        <f t="shared" si="2"/>
        <v>0.36532876437859851</v>
      </c>
      <c r="O51">
        <f t="shared" si="3"/>
        <v>0.82470804301822787</v>
      </c>
      <c r="P51">
        <f t="shared" si="4"/>
        <v>16.522417305572642</v>
      </c>
      <c r="Q51">
        <f t="shared" si="5"/>
        <v>2.2163038908926763E-2</v>
      </c>
      <c r="R51">
        <f t="shared" si="6"/>
        <v>4.9389775969311059E-3</v>
      </c>
      <c r="S51">
        <f t="shared" si="7"/>
        <v>0</v>
      </c>
    </row>
    <row r="52" spans="1:19" x14ac:dyDescent="0.3">
      <c r="A52" t="s">
        <v>28</v>
      </c>
      <c r="B52">
        <v>2008</v>
      </c>
      <c r="C52">
        <v>3.6751778385634326E-3</v>
      </c>
      <c r="D52">
        <v>1.767134400758686E-2</v>
      </c>
      <c r="E52">
        <v>-9.6164861240209509E-2</v>
      </c>
      <c r="F52">
        <v>0.49144166399635342</v>
      </c>
      <c r="G52">
        <v>0.78654790603338109</v>
      </c>
      <c r="H52">
        <v>16.605884125597836</v>
      </c>
      <c r="I52">
        <v>2.2242111196458993E-4</v>
      </c>
      <c r="J52">
        <v>0</v>
      </c>
      <c r="K52" s="1">
        <f t="shared" si="8"/>
        <v>3.6751778385634326E-3</v>
      </c>
      <c r="L52" s="1">
        <f t="shared" si="0"/>
        <v>1.767134400758686E-2</v>
      </c>
      <c r="M52">
        <f t="shared" si="1"/>
        <v>-9.6164861240209509E-2</v>
      </c>
      <c r="N52">
        <f t="shared" si="2"/>
        <v>0.49144166399635342</v>
      </c>
      <c r="O52">
        <f t="shared" si="3"/>
        <v>0.78654790603338109</v>
      </c>
      <c r="P52">
        <f t="shared" si="4"/>
        <v>16.605884125597836</v>
      </c>
      <c r="Q52">
        <f t="shared" si="5"/>
        <v>2.2242111196458993E-4</v>
      </c>
      <c r="R52">
        <f t="shared" si="6"/>
        <v>0</v>
      </c>
      <c r="S52">
        <f t="shared" si="7"/>
        <v>0</v>
      </c>
    </row>
    <row r="53" spans="1:19" x14ac:dyDescent="0.3">
      <c r="A53" t="s">
        <v>28</v>
      </c>
      <c r="B53">
        <v>2009</v>
      </c>
      <c r="C53">
        <v>3.7395100021208579E-3</v>
      </c>
      <c r="D53">
        <v>1.753730552579422E-2</v>
      </c>
      <c r="E53">
        <v>-4.9986609612261944E-2</v>
      </c>
      <c r="F53">
        <v>0.62156627456864622</v>
      </c>
      <c r="G53">
        <v>0.81040615817350503</v>
      </c>
      <c r="H53">
        <v>16.64526244750493</v>
      </c>
      <c r="I53">
        <v>3.5709661051896872E-2</v>
      </c>
      <c r="J53">
        <v>0</v>
      </c>
      <c r="K53" s="1">
        <f t="shared" si="8"/>
        <v>3.7395100021208579E-3</v>
      </c>
      <c r="L53" s="1">
        <f t="shared" si="0"/>
        <v>1.753730552579422E-2</v>
      </c>
      <c r="M53">
        <f t="shared" si="1"/>
        <v>-4.9986609612261944E-2</v>
      </c>
      <c r="N53">
        <f t="shared" si="2"/>
        <v>0.62156627456864622</v>
      </c>
      <c r="O53">
        <f t="shared" si="3"/>
        <v>0.81040615817350503</v>
      </c>
      <c r="P53">
        <f t="shared" si="4"/>
        <v>16.64526244750493</v>
      </c>
      <c r="Q53">
        <f t="shared" si="5"/>
        <v>3.5709661051896872E-2</v>
      </c>
      <c r="R53">
        <f t="shared" si="6"/>
        <v>0</v>
      </c>
      <c r="S53">
        <f t="shared" si="7"/>
        <v>0</v>
      </c>
    </row>
    <row r="54" spans="1:19" x14ac:dyDescent="0.3">
      <c r="A54" t="s">
        <v>28</v>
      </c>
      <c r="B54">
        <v>2010</v>
      </c>
      <c r="C54">
        <v>8.9857186908829203E-4</v>
      </c>
      <c r="D54">
        <v>0.114608508949456</v>
      </c>
      <c r="E54">
        <v>-0.18694519505973234</v>
      </c>
      <c r="F54">
        <v>0.55281988049509967</v>
      </c>
      <c r="G54">
        <v>0.72107741139911152</v>
      </c>
      <c r="H54">
        <v>16.780078117490373</v>
      </c>
      <c r="I54">
        <v>1.3476116481526927E-2</v>
      </c>
      <c r="J54">
        <v>0</v>
      </c>
      <c r="K54" s="1">
        <f t="shared" si="8"/>
        <v>8.9857186908829203E-4</v>
      </c>
      <c r="L54" s="1">
        <f t="shared" si="0"/>
        <v>0.114608508949456</v>
      </c>
      <c r="M54">
        <f t="shared" si="1"/>
        <v>-0.18694519505973234</v>
      </c>
      <c r="N54">
        <f t="shared" si="2"/>
        <v>0.55281988049509967</v>
      </c>
      <c r="O54">
        <f t="shared" si="3"/>
        <v>0.72107741139911152</v>
      </c>
      <c r="P54">
        <f t="shared" si="4"/>
        <v>16.780078117490373</v>
      </c>
      <c r="Q54">
        <f t="shared" si="5"/>
        <v>1.3476116481526927E-2</v>
      </c>
      <c r="R54">
        <f t="shared" si="6"/>
        <v>0</v>
      </c>
      <c r="S54">
        <f t="shared" si="7"/>
        <v>0</v>
      </c>
    </row>
    <row r="55" spans="1:19" x14ac:dyDescent="0.3">
      <c r="A55" t="s">
        <v>29</v>
      </c>
      <c r="B55">
        <v>2007</v>
      </c>
      <c r="C55">
        <v>1.0297567445526734E-3</v>
      </c>
      <c r="D55">
        <v>1.8403460108529595E-2</v>
      </c>
      <c r="E55">
        <v>-0.19471842564432565</v>
      </c>
      <c r="F55">
        <v>0.11868713488476007</v>
      </c>
      <c r="G55">
        <v>0.57061031770630932</v>
      </c>
      <c r="H55">
        <v>14.055451440880308</v>
      </c>
      <c r="I55">
        <v>5.0460734917895456E-3</v>
      </c>
      <c r="J55">
        <v>0</v>
      </c>
      <c r="K55" s="1">
        <f t="shared" si="8"/>
        <v>1.0297567445526734E-3</v>
      </c>
      <c r="L55" s="1">
        <f t="shared" si="0"/>
        <v>1.8403460108529595E-2</v>
      </c>
      <c r="M55">
        <f t="shared" si="1"/>
        <v>-0.19471842564432565</v>
      </c>
      <c r="N55">
        <f t="shared" si="2"/>
        <v>0.11868713488476007</v>
      </c>
      <c r="O55">
        <f t="shared" si="3"/>
        <v>0.57061031770630932</v>
      </c>
      <c r="P55">
        <f t="shared" si="4"/>
        <v>14.055451440880308</v>
      </c>
      <c r="Q55">
        <f t="shared" si="5"/>
        <v>5.0460734917895456E-3</v>
      </c>
      <c r="R55">
        <f t="shared" si="6"/>
        <v>0</v>
      </c>
      <c r="S55">
        <f t="shared" si="7"/>
        <v>0</v>
      </c>
    </row>
    <row r="56" spans="1:19" x14ac:dyDescent="0.3">
      <c r="A56" t="s">
        <v>29</v>
      </c>
      <c r="B56">
        <v>2009</v>
      </c>
      <c r="C56">
        <v>5.199900937480445E-4</v>
      </c>
      <c r="D56">
        <v>8.7638601596810251E-2</v>
      </c>
      <c r="E56">
        <v>-0.23851240528909246</v>
      </c>
      <c r="F56">
        <v>0.27355004287714924</v>
      </c>
      <c r="G56">
        <v>0.57581358619540879</v>
      </c>
      <c r="H56">
        <v>13.941823333954559</v>
      </c>
      <c r="I56">
        <v>1.6321638964994088E-2</v>
      </c>
      <c r="J56">
        <v>0</v>
      </c>
      <c r="K56" s="1">
        <f t="shared" si="8"/>
        <v>5.199900937480445E-4</v>
      </c>
      <c r="L56" s="1">
        <f t="shared" si="0"/>
        <v>8.7638601596810251E-2</v>
      </c>
      <c r="M56">
        <f t="shared" si="1"/>
        <v>-0.23851240528909246</v>
      </c>
      <c r="N56">
        <f t="shared" si="2"/>
        <v>0.27355004287714924</v>
      </c>
      <c r="O56">
        <f t="shared" si="3"/>
        <v>0.57581358619540879</v>
      </c>
      <c r="P56">
        <f t="shared" si="4"/>
        <v>13.941823333954559</v>
      </c>
      <c r="Q56">
        <f t="shared" si="5"/>
        <v>1.6321638964994088E-2</v>
      </c>
      <c r="R56">
        <f t="shared" si="6"/>
        <v>0</v>
      </c>
      <c r="S56">
        <f t="shared" si="7"/>
        <v>0</v>
      </c>
    </row>
    <row r="57" spans="1:19" x14ac:dyDescent="0.3">
      <c r="A57" t="s">
        <v>29</v>
      </c>
      <c r="B57">
        <v>2010</v>
      </c>
      <c r="C57">
        <v>5.7923506329941952E-3</v>
      </c>
      <c r="D57">
        <v>3.7903181969362362E-2</v>
      </c>
      <c r="E57">
        <v>-0.27173283139717541</v>
      </c>
      <c r="F57">
        <v>0.26249473694878461</v>
      </c>
      <c r="G57">
        <v>0.53601393775733674</v>
      </c>
      <c r="H57">
        <v>13.897456376649634</v>
      </c>
      <c r="I57">
        <v>2.008991696836563E-2</v>
      </c>
      <c r="J57">
        <v>0</v>
      </c>
      <c r="K57" s="1">
        <f t="shared" si="8"/>
        <v>5.7923506329941952E-3</v>
      </c>
      <c r="L57" s="1">
        <f t="shared" si="0"/>
        <v>3.7903181969362362E-2</v>
      </c>
      <c r="M57">
        <f t="shared" si="1"/>
        <v>-0.27173283139717541</v>
      </c>
      <c r="N57">
        <f t="shared" si="2"/>
        <v>0.26249473694878461</v>
      </c>
      <c r="O57">
        <f t="shared" si="3"/>
        <v>0.53601393775733674</v>
      </c>
      <c r="P57">
        <f t="shared" si="4"/>
        <v>13.897456376649634</v>
      </c>
      <c r="Q57">
        <f t="shared" si="5"/>
        <v>2.008991696836563E-2</v>
      </c>
      <c r="R57">
        <f t="shared" si="6"/>
        <v>0</v>
      </c>
      <c r="S57">
        <f t="shared" si="7"/>
        <v>0</v>
      </c>
    </row>
    <row r="58" spans="1:19" x14ac:dyDescent="0.3">
      <c r="A58" t="s">
        <v>30</v>
      </c>
      <c r="B58">
        <v>2007</v>
      </c>
      <c r="C58">
        <v>1.929846153846154E-3</v>
      </c>
      <c r="D58">
        <v>0.2367483076923077</v>
      </c>
      <c r="E58">
        <v>-0.38264123076923079</v>
      </c>
      <c r="F58">
        <v>5.7161846153846153E-2</v>
      </c>
      <c r="G58">
        <v>0.89365710769230777</v>
      </c>
      <c r="H58">
        <v>12.914724012626085</v>
      </c>
      <c r="I58">
        <v>0.12076369286788063</v>
      </c>
      <c r="J58">
        <v>0</v>
      </c>
      <c r="K58" s="1">
        <f t="shared" si="8"/>
        <v>1.929846153846154E-3</v>
      </c>
      <c r="L58" s="1">
        <f t="shared" si="0"/>
        <v>0.2367483076923077</v>
      </c>
      <c r="M58">
        <f t="shared" si="1"/>
        <v>-0.38264123076923079</v>
      </c>
      <c r="N58">
        <f t="shared" si="2"/>
        <v>5.7161846153846153E-2</v>
      </c>
      <c r="O58">
        <f t="shared" si="3"/>
        <v>0.89365710769230777</v>
      </c>
      <c r="P58">
        <f t="shared" si="4"/>
        <v>12.914724012626085</v>
      </c>
      <c r="Q58">
        <f t="shared" si="5"/>
        <v>0.12076369286788063</v>
      </c>
      <c r="R58">
        <f t="shared" si="6"/>
        <v>0</v>
      </c>
      <c r="S58">
        <f t="shared" si="7"/>
        <v>0</v>
      </c>
    </row>
    <row r="59" spans="1:19" x14ac:dyDescent="0.3">
      <c r="A59" t="s">
        <v>30</v>
      </c>
      <c r="B59">
        <v>2008</v>
      </c>
      <c r="C59">
        <v>3.971251471862434E-3</v>
      </c>
      <c r="D59">
        <v>1.0568916487080935</v>
      </c>
      <c r="E59">
        <v>-0.26820110639621425</v>
      </c>
      <c r="F59">
        <v>0</v>
      </c>
      <c r="G59">
        <v>0.89859151096398659</v>
      </c>
      <c r="H59">
        <v>12.100956544445117</v>
      </c>
      <c r="I59">
        <v>0.17013598175828948</v>
      </c>
      <c r="J59">
        <v>0</v>
      </c>
      <c r="K59" s="1">
        <f t="shared" si="8"/>
        <v>3.971251471862434E-3</v>
      </c>
      <c r="L59" s="1">
        <f t="shared" si="0"/>
        <v>1.0568916487080935</v>
      </c>
      <c r="M59">
        <f t="shared" si="1"/>
        <v>-0.26820110639621425</v>
      </c>
      <c r="N59">
        <f t="shared" si="2"/>
        <v>0</v>
      </c>
      <c r="O59">
        <f t="shared" si="3"/>
        <v>0.89859151096398659</v>
      </c>
      <c r="P59">
        <f t="shared" si="4"/>
        <v>12.100956544445117</v>
      </c>
      <c r="Q59">
        <f t="shared" si="5"/>
        <v>0.17013598175828948</v>
      </c>
      <c r="R59">
        <f t="shared" si="6"/>
        <v>0</v>
      </c>
      <c r="S59">
        <f t="shared" si="7"/>
        <v>0</v>
      </c>
    </row>
    <row r="60" spans="1:19" x14ac:dyDescent="0.3">
      <c r="A60" t="s">
        <v>30</v>
      </c>
      <c r="B60">
        <v>2009</v>
      </c>
      <c r="C60">
        <v>5.4524936377978147E-3</v>
      </c>
      <c r="D60">
        <v>6.6322359254269297E-2</v>
      </c>
      <c r="E60">
        <v>-0.58563927177254982</v>
      </c>
      <c r="F60">
        <v>0.22582651051922478</v>
      </c>
      <c r="G60">
        <v>0.92050477309105139</v>
      </c>
      <c r="H60">
        <v>12.064981319916548</v>
      </c>
      <c r="I60">
        <v>1.4072434204552529E-3</v>
      </c>
      <c r="J60">
        <v>0</v>
      </c>
      <c r="K60" s="1">
        <f t="shared" si="8"/>
        <v>5.4524936377978147E-3</v>
      </c>
      <c r="L60" s="1">
        <f t="shared" si="0"/>
        <v>6.6322359254269297E-2</v>
      </c>
      <c r="M60">
        <f t="shared" si="1"/>
        <v>-0.58563927177254982</v>
      </c>
      <c r="N60">
        <f t="shared" si="2"/>
        <v>0.22582651051922478</v>
      </c>
      <c r="O60">
        <f t="shared" si="3"/>
        <v>0.92050477309105139</v>
      </c>
      <c r="P60">
        <f t="shared" si="4"/>
        <v>12.064981319916548</v>
      </c>
      <c r="Q60">
        <f t="shared" si="5"/>
        <v>1.4072434204552529E-3</v>
      </c>
      <c r="R60">
        <f t="shared" si="6"/>
        <v>0</v>
      </c>
      <c r="S60">
        <f t="shared" si="7"/>
        <v>0</v>
      </c>
    </row>
    <row r="61" spans="1:19" x14ac:dyDescent="0.3">
      <c r="A61" t="s">
        <v>30</v>
      </c>
      <c r="B61">
        <v>2010</v>
      </c>
      <c r="C61">
        <v>6.3841686896092152E-3</v>
      </c>
      <c r="D61">
        <v>6.1866342995858921E-2</v>
      </c>
      <c r="E61">
        <v>-0.61277904707506303</v>
      </c>
      <c r="F61">
        <v>0.23336427245466229</v>
      </c>
      <c r="G61">
        <v>0.94238183635584749</v>
      </c>
      <c r="H61">
        <v>12.032147738003463</v>
      </c>
      <c r="I61">
        <v>4.4890175075957411E-4</v>
      </c>
      <c r="J61">
        <v>0</v>
      </c>
      <c r="K61" s="1">
        <f t="shared" si="8"/>
        <v>6.3841686896092152E-3</v>
      </c>
      <c r="L61" s="1">
        <f t="shared" si="0"/>
        <v>6.1866342995858921E-2</v>
      </c>
      <c r="M61">
        <f t="shared" si="1"/>
        <v>-0.61277904707506303</v>
      </c>
      <c r="N61">
        <f t="shared" si="2"/>
        <v>0.23336427245466229</v>
      </c>
      <c r="O61">
        <f t="shared" si="3"/>
        <v>0.94238183635584749</v>
      </c>
      <c r="P61">
        <f t="shared" si="4"/>
        <v>12.032147738003463</v>
      </c>
      <c r="Q61">
        <f t="shared" si="5"/>
        <v>4.4890175075957411E-4</v>
      </c>
      <c r="R61">
        <f t="shared" si="6"/>
        <v>0</v>
      </c>
      <c r="S61">
        <f t="shared" si="7"/>
        <v>0</v>
      </c>
    </row>
    <row r="62" spans="1:19" x14ac:dyDescent="0.3">
      <c r="A62" t="s">
        <v>31</v>
      </c>
      <c r="B62">
        <v>2007</v>
      </c>
      <c r="C62">
        <v>4.9705743040315614E-3</v>
      </c>
      <c r="D62">
        <v>1.1592907352281967E-2</v>
      </c>
      <c r="E62">
        <v>0.78164990565708248</v>
      </c>
      <c r="F62">
        <v>7.2961409316063638E-2</v>
      </c>
      <c r="G62">
        <v>0.65553295161277758</v>
      </c>
      <c r="H62">
        <v>15.751222885543141</v>
      </c>
      <c r="I62">
        <v>6.2922872263648346E-3</v>
      </c>
      <c r="J62">
        <v>0</v>
      </c>
      <c r="K62" s="1">
        <f t="shared" si="8"/>
        <v>4.9705743040315614E-3</v>
      </c>
      <c r="L62" s="1">
        <f t="shared" si="0"/>
        <v>1.1592907352281967E-2</v>
      </c>
      <c r="M62">
        <f t="shared" si="1"/>
        <v>0.78164990565708248</v>
      </c>
      <c r="N62">
        <f t="shared" si="2"/>
        <v>7.2961409316063638E-2</v>
      </c>
      <c r="O62">
        <f t="shared" si="3"/>
        <v>0.65553295161277758</v>
      </c>
      <c r="P62">
        <f t="shared" si="4"/>
        <v>15.751222885543141</v>
      </c>
      <c r="Q62">
        <f t="shared" si="5"/>
        <v>6.2922872263648346E-3</v>
      </c>
      <c r="R62">
        <f t="shared" si="6"/>
        <v>0</v>
      </c>
      <c r="S62">
        <f t="shared" si="7"/>
        <v>0</v>
      </c>
    </row>
    <row r="63" spans="1:19" x14ac:dyDescent="0.3">
      <c r="A63" t="s">
        <v>31</v>
      </c>
      <c r="B63">
        <v>2009</v>
      </c>
      <c r="C63">
        <v>5.0829186502665824E-3</v>
      </c>
      <c r="D63">
        <v>4.6572569695179152E-2</v>
      </c>
      <c r="E63">
        <v>0.23453235859302141</v>
      </c>
      <c r="F63">
        <v>0</v>
      </c>
      <c r="G63">
        <v>0.68159885813961207</v>
      </c>
      <c r="H63">
        <v>15.369843077080608</v>
      </c>
      <c r="I63">
        <v>2.0585747669175199E-2</v>
      </c>
      <c r="J63">
        <v>0</v>
      </c>
      <c r="K63" s="1">
        <f t="shared" si="8"/>
        <v>5.0829186502665824E-3</v>
      </c>
      <c r="L63" s="1">
        <f t="shared" si="0"/>
        <v>4.6572569695179152E-2</v>
      </c>
      <c r="M63">
        <f t="shared" si="1"/>
        <v>0.23453235859302141</v>
      </c>
      <c r="N63">
        <f t="shared" si="2"/>
        <v>0</v>
      </c>
      <c r="O63">
        <f t="shared" si="3"/>
        <v>0.68159885813961207</v>
      </c>
      <c r="P63">
        <f t="shared" si="4"/>
        <v>15.369843077080608</v>
      </c>
      <c r="Q63">
        <f t="shared" si="5"/>
        <v>2.0585747669175199E-2</v>
      </c>
      <c r="R63">
        <f t="shared" si="6"/>
        <v>0</v>
      </c>
      <c r="S63">
        <f t="shared" si="7"/>
        <v>0</v>
      </c>
    </row>
    <row r="64" spans="1:19" x14ac:dyDescent="0.3">
      <c r="A64" t="s">
        <v>31</v>
      </c>
      <c r="B64">
        <v>2010</v>
      </c>
      <c r="C64">
        <v>5.1032354662314235E-3</v>
      </c>
      <c r="D64">
        <v>0.13248925145520676</v>
      </c>
      <c r="E64">
        <v>0.25451220442220368</v>
      </c>
      <c r="F64">
        <v>0</v>
      </c>
      <c r="G64">
        <v>0.46371484807177676</v>
      </c>
      <c r="H64">
        <v>15.467786862621693</v>
      </c>
      <c r="I64">
        <v>2.3480923248814026E-3</v>
      </c>
      <c r="J64">
        <v>4.9200532071649559E-3</v>
      </c>
      <c r="K64" s="1">
        <f t="shared" si="8"/>
        <v>5.1032354662314235E-3</v>
      </c>
      <c r="L64" s="1">
        <f t="shared" si="0"/>
        <v>0.13248925145520676</v>
      </c>
      <c r="M64">
        <f t="shared" si="1"/>
        <v>0.25451220442220368</v>
      </c>
      <c r="N64">
        <f t="shared" si="2"/>
        <v>0</v>
      </c>
      <c r="O64">
        <f t="shared" si="3"/>
        <v>0.46371484807177676</v>
      </c>
      <c r="P64">
        <f t="shared" si="4"/>
        <v>15.467786862621693</v>
      </c>
      <c r="Q64">
        <f t="shared" si="5"/>
        <v>2.3480923248814026E-3</v>
      </c>
      <c r="R64">
        <f t="shared" si="6"/>
        <v>4.9200532071649559E-3</v>
      </c>
      <c r="S64">
        <f t="shared" si="7"/>
        <v>0</v>
      </c>
    </row>
    <row r="65" spans="1:19" x14ac:dyDescent="0.3">
      <c r="A65" t="s">
        <v>32</v>
      </c>
      <c r="B65">
        <v>2007</v>
      </c>
      <c r="C65">
        <v>9.6391387676393288E-4</v>
      </c>
      <c r="D65">
        <v>7.8561664458144623E-2</v>
      </c>
      <c r="E65">
        <v>-0.19301033631255712</v>
      </c>
      <c r="F65">
        <v>0.10678137027120006</v>
      </c>
      <c r="G65">
        <v>0.92398444212947684</v>
      </c>
      <c r="H65">
        <v>14.437825855663382</v>
      </c>
      <c r="I65">
        <v>3.4027372357205016E-3</v>
      </c>
      <c r="J65">
        <v>0</v>
      </c>
      <c r="K65" s="1">
        <f t="shared" si="8"/>
        <v>9.6391387676393288E-4</v>
      </c>
      <c r="L65" s="1">
        <f t="shared" si="0"/>
        <v>7.8561664458144623E-2</v>
      </c>
      <c r="M65">
        <f t="shared" si="1"/>
        <v>-0.19301033631255712</v>
      </c>
      <c r="N65">
        <f t="shared" si="2"/>
        <v>0.10678137027120006</v>
      </c>
      <c r="O65">
        <f t="shared" si="3"/>
        <v>0.92398444212947684</v>
      </c>
      <c r="P65">
        <f t="shared" si="4"/>
        <v>14.437825855663382</v>
      </c>
      <c r="Q65">
        <f t="shared" si="5"/>
        <v>3.4027372357205016E-3</v>
      </c>
      <c r="R65">
        <f t="shared" si="6"/>
        <v>0</v>
      </c>
      <c r="S65">
        <f t="shared" si="7"/>
        <v>0</v>
      </c>
    </row>
    <row r="66" spans="1:19" x14ac:dyDescent="0.3">
      <c r="A66" t="s">
        <v>32</v>
      </c>
      <c r="B66">
        <v>2008</v>
      </c>
      <c r="C66">
        <v>1.1020384700662154E-3</v>
      </c>
      <c r="D66">
        <v>9.0224814752972032E-2</v>
      </c>
      <c r="E66">
        <v>3.5301363450973525E-2</v>
      </c>
      <c r="F66">
        <v>0.29196081276021496</v>
      </c>
      <c r="G66">
        <v>0.69540729710420635</v>
      </c>
      <c r="H66">
        <v>14.417975085184537</v>
      </c>
      <c r="I66">
        <v>3.2311690458141848E-2</v>
      </c>
      <c r="J66">
        <v>0</v>
      </c>
      <c r="K66" s="1">
        <f t="shared" si="8"/>
        <v>1.1020384700662154E-3</v>
      </c>
      <c r="L66" s="1">
        <f t="shared" si="0"/>
        <v>9.0224814752972032E-2</v>
      </c>
      <c r="M66">
        <f t="shared" si="1"/>
        <v>3.5301363450973525E-2</v>
      </c>
      <c r="N66">
        <f t="shared" si="2"/>
        <v>0.29196081276021496</v>
      </c>
      <c r="O66">
        <f t="shared" si="3"/>
        <v>0.69540729710420635</v>
      </c>
      <c r="P66">
        <f t="shared" si="4"/>
        <v>14.417975085184537</v>
      </c>
      <c r="Q66">
        <f t="shared" si="5"/>
        <v>3.2311690458141848E-2</v>
      </c>
      <c r="R66">
        <f t="shared" si="6"/>
        <v>0</v>
      </c>
      <c r="S66">
        <f t="shared" si="7"/>
        <v>0</v>
      </c>
    </row>
    <row r="67" spans="1:19" x14ac:dyDescent="0.3">
      <c r="A67" t="s">
        <v>32</v>
      </c>
      <c r="B67">
        <v>2009</v>
      </c>
      <c r="C67">
        <v>3.6381214915127227E-3</v>
      </c>
      <c r="D67">
        <v>0.18825842984809657</v>
      </c>
      <c r="E67">
        <v>-0.14064726781257736</v>
      </c>
      <c r="F67">
        <v>0.59973917038563529</v>
      </c>
      <c r="G67">
        <v>0.89124951212930181</v>
      </c>
      <c r="H67">
        <v>14.39968403649652</v>
      </c>
      <c r="I67">
        <v>2.5148705421452543E-2</v>
      </c>
      <c r="J67">
        <v>0</v>
      </c>
      <c r="K67" s="1">
        <f t="shared" ref="K67:K130" si="9">IF(OR(C67&lt;$C$1007-3*$C$1008,C67&gt;$C$1007+3*$C$1008),"out",C67)</f>
        <v>3.6381214915127227E-3</v>
      </c>
      <c r="L67" s="1">
        <f t="shared" ref="L67:L130" si="10">IF(OR(D67&lt;$D$1007-3*$D$1008,D67&gt;$D$1007+3*$D$1008),"out",D67)</f>
        <v>0.18825842984809657</v>
      </c>
      <c r="M67">
        <f t="shared" ref="M67:M130" si="11">IF(OR(E67&lt;$E$1007-3*$E$1008,E67&gt;$E$1007+3*$E$1008),"out",E67)</f>
        <v>-0.14064726781257736</v>
      </c>
      <c r="N67">
        <f t="shared" ref="N67:N130" si="12">IF(OR(F67&lt;$F$1007-3*$F$1008,F67&gt;$F$1007+3*$F$1008),"out",F67)</f>
        <v>0.59973917038563529</v>
      </c>
      <c r="O67">
        <f t="shared" ref="O67:O130" si="13">IF(OR(G67&lt;$G$1007-3*$G$1008,G67&gt;$G$1007+3*$G$1008),"out",G67)</f>
        <v>0.89124951212930181</v>
      </c>
      <c r="P67">
        <f t="shared" ref="P67:P130" si="14">IF(OR(H67&lt;$H$1007-3*$H$1008,H67&gt;$H$1007+3*$H$1008),"out",H67)</f>
        <v>14.39968403649652</v>
      </c>
      <c r="Q67">
        <f t="shared" ref="Q67:Q130" si="15">IF(OR(I67&lt;$I$1007-3*$I$1008,I67&gt;$I$1007+3*$I$1008),"out",I67)</f>
        <v>2.5148705421452543E-2</v>
      </c>
      <c r="R67">
        <f t="shared" ref="R67:R130" si="16">IF(OR(J67&lt;$J$1007-3*$J$1008,J67&gt;$J$1007+3*$J$1008),"out",J67)</f>
        <v>0</v>
      </c>
      <c r="S67">
        <f t="shared" ref="S67:S130" si="17">IF(OR(K67="out",L67="out",M67="out",N67="out",O67="out",P67="out",Q67="out",R67="out"),1,0)</f>
        <v>0</v>
      </c>
    </row>
    <row r="68" spans="1:19" x14ac:dyDescent="0.3">
      <c r="A68" t="s">
        <v>32</v>
      </c>
      <c r="B68">
        <v>2010</v>
      </c>
      <c r="C68">
        <v>1.1413911238086225E-3</v>
      </c>
      <c r="D68">
        <v>0.11309754970215924</v>
      </c>
      <c r="E68">
        <v>-0.11931749657957741</v>
      </c>
      <c r="F68">
        <v>0.56296260818835608</v>
      </c>
      <c r="G68">
        <v>0.89540633350894672</v>
      </c>
      <c r="H68">
        <v>14.365348988657159</v>
      </c>
      <c r="I68">
        <v>1.4720925577127859E-2</v>
      </c>
      <c r="J68">
        <v>0</v>
      </c>
      <c r="K68" s="1">
        <f t="shared" si="9"/>
        <v>1.1413911238086225E-3</v>
      </c>
      <c r="L68" s="1">
        <f t="shared" si="10"/>
        <v>0.11309754970215924</v>
      </c>
      <c r="M68">
        <f t="shared" si="11"/>
        <v>-0.11931749657957741</v>
      </c>
      <c r="N68">
        <f t="shared" si="12"/>
        <v>0.56296260818835608</v>
      </c>
      <c r="O68">
        <f t="shared" si="13"/>
        <v>0.89540633350894672</v>
      </c>
      <c r="P68">
        <f t="shared" si="14"/>
        <v>14.365348988657159</v>
      </c>
      <c r="Q68">
        <f t="shared" si="15"/>
        <v>1.4720925577127859E-2</v>
      </c>
      <c r="R68">
        <f t="shared" si="16"/>
        <v>0</v>
      </c>
      <c r="S68">
        <f t="shared" si="17"/>
        <v>0</v>
      </c>
    </row>
    <row r="69" spans="1:19" x14ac:dyDescent="0.3">
      <c r="A69" t="s">
        <v>33</v>
      </c>
      <c r="B69">
        <v>2007</v>
      </c>
      <c r="C69">
        <v>1.3536048981545462E-3</v>
      </c>
      <c r="D69">
        <v>1.7044216607217336E-2</v>
      </c>
      <c r="E69">
        <v>0.20268936462187251</v>
      </c>
      <c r="F69">
        <v>0.27054667792711007</v>
      </c>
      <c r="G69">
        <v>0.67947455644712262</v>
      </c>
      <c r="H69">
        <v>14.184151917901946</v>
      </c>
      <c r="I69">
        <v>1.6811800878145121E-2</v>
      </c>
      <c r="J69">
        <v>0</v>
      </c>
      <c r="K69" s="1">
        <f t="shared" si="9"/>
        <v>1.3536048981545462E-3</v>
      </c>
      <c r="L69" s="1">
        <f t="shared" si="10"/>
        <v>1.7044216607217336E-2</v>
      </c>
      <c r="M69">
        <f t="shared" si="11"/>
        <v>0.20268936462187251</v>
      </c>
      <c r="N69">
        <f t="shared" si="12"/>
        <v>0.27054667792711007</v>
      </c>
      <c r="O69">
        <f t="shared" si="13"/>
        <v>0.67947455644712262</v>
      </c>
      <c r="P69">
        <f t="shared" si="14"/>
        <v>14.184151917901946</v>
      </c>
      <c r="Q69">
        <f t="shared" si="15"/>
        <v>1.6811800878145121E-2</v>
      </c>
      <c r="R69">
        <f t="shared" si="16"/>
        <v>0</v>
      </c>
      <c r="S69">
        <f t="shared" si="17"/>
        <v>0</v>
      </c>
    </row>
    <row r="70" spans="1:19" x14ac:dyDescent="0.3">
      <c r="A70" t="s">
        <v>33</v>
      </c>
      <c r="B70">
        <v>2009</v>
      </c>
      <c r="C70">
        <v>2.5041344928446291E-3</v>
      </c>
      <c r="D70">
        <v>0.14699716445197392</v>
      </c>
      <c r="E70">
        <v>-0.21191715097739738</v>
      </c>
      <c r="F70">
        <v>0.4202269092526516</v>
      </c>
      <c r="G70">
        <v>0.92381114661451269</v>
      </c>
      <c r="H70">
        <v>13.729171318675846</v>
      </c>
      <c r="I70">
        <v>2.8398938625698648E-2</v>
      </c>
      <c r="J70">
        <v>0</v>
      </c>
      <c r="K70" s="1">
        <f t="shared" si="9"/>
        <v>2.5041344928446291E-3</v>
      </c>
      <c r="L70" s="1">
        <f t="shared" si="10"/>
        <v>0.14699716445197392</v>
      </c>
      <c r="M70">
        <f t="shared" si="11"/>
        <v>-0.21191715097739738</v>
      </c>
      <c r="N70">
        <f t="shared" si="12"/>
        <v>0.4202269092526516</v>
      </c>
      <c r="O70">
        <f t="shared" si="13"/>
        <v>0.92381114661451269</v>
      </c>
      <c r="P70">
        <f t="shared" si="14"/>
        <v>13.729171318675846</v>
      </c>
      <c r="Q70">
        <f t="shared" si="15"/>
        <v>2.8398938625698648E-2</v>
      </c>
      <c r="R70">
        <f t="shared" si="16"/>
        <v>0</v>
      </c>
      <c r="S70">
        <f t="shared" si="17"/>
        <v>0</v>
      </c>
    </row>
    <row r="71" spans="1:19" x14ac:dyDescent="0.3">
      <c r="A71" t="s">
        <v>33</v>
      </c>
      <c r="B71">
        <v>2010</v>
      </c>
      <c r="C71">
        <v>2.2977535840206617E-3</v>
      </c>
      <c r="D71">
        <v>5.1070739600742703E-2</v>
      </c>
      <c r="E71">
        <v>-0.21601823728828892</v>
      </c>
      <c r="F71">
        <v>0.4018445352589835</v>
      </c>
      <c r="G71">
        <v>0.92778122038758759</v>
      </c>
      <c r="H71">
        <v>13.692599144629904</v>
      </c>
      <c r="I71">
        <v>5.7991282637359799E-3</v>
      </c>
      <c r="J71">
        <v>0</v>
      </c>
      <c r="K71" s="1">
        <f t="shared" si="9"/>
        <v>2.2977535840206617E-3</v>
      </c>
      <c r="L71" s="1">
        <f t="shared" si="10"/>
        <v>5.1070739600742703E-2</v>
      </c>
      <c r="M71">
        <f t="shared" si="11"/>
        <v>-0.21601823728828892</v>
      </c>
      <c r="N71">
        <f t="shared" si="12"/>
        <v>0.4018445352589835</v>
      </c>
      <c r="O71">
        <f t="shared" si="13"/>
        <v>0.92778122038758759</v>
      </c>
      <c r="P71">
        <f t="shared" si="14"/>
        <v>13.692599144629904</v>
      </c>
      <c r="Q71">
        <f t="shared" si="15"/>
        <v>5.7991282637359799E-3</v>
      </c>
      <c r="R71">
        <f t="shared" si="16"/>
        <v>0</v>
      </c>
      <c r="S71">
        <f t="shared" si="17"/>
        <v>0</v>
      </c>
    </row>
    <row r="72" spans="1:19" x14ac:dyDescent="0.3">
      <c r="A72" t="s">
        <v>34</v>
      </c>
      <c r="B72">
        <v>2007</v>
      </c>
      <c r="C72">
        <v>8.3468331495137535E-3</v>
      </c>
      <c r="D72">
        <v>3.9235040188053585E-2</v>
      </c>
      <c r="E72">
        <v>-1.9066785527810829E-2</v>
      </c>
      <c r="F72">
        <v>0.19876846916067473</v>
      </c>
      <c r="G72">
        <v>0.80734146194862277</v>
      </c>
      <c r="H72">
        <v>14.138233707585874</v>
      </c>
      <c r="I72">
        <v>5.0883290048832804E-3</v>
      </c>
      <c r="J72">
        <v>0</v>
      </c>
      <c r="K72" s="1">
        <f t="shared" si="9"/>
        <v>8.3468331495137535E-3</v>
      </c>
      <c r="L72" s="1">
        <f t="shared" si="10"/>
        <v>3.9235040188053585E-2</v>
      </c>
      <c r="M72">
        <f t="shared" si="11"/>
        <v>-1.9066785527810829E-2</v>
      </c>
      <c r="N72">
        <f t="shared" si="12"/>
        <v>0.19876846916067473</v>
      </c>
      <c r="O72">
        <f t="shared" si="13"/>
        <v>0.80734146194862277</v>
      </c>
      <c r="P72">
        <f t="shared" si="14"/>
        <v>14.138233707585874</v>
      </c>
      <c r="Q72">
        <f t="shared" si="15"/>
        <v>5.0883290048832804E-3</v>
      </c>
      <c r="R72">
        <f t="shared" si="16"/>
        <v>0</v>
      </c>
      <c r="S72">
        <f t="shared" si="17"/>
        <v>0</v>
      </c>
    </row>
    <row r="73" spans="1:19" x14ac:dyDescent="0.3">
      <c r="A73" t="s">
        <v>34</v>
      </c>
      <c r="B73">
        <v>2009</v>
      </c>
      <c r="C73">
        <v>8.3055009958866149E-3</v>
      </c>
      <c r="D73">
        <v>0.15640116136125684</v>
      </c>
      <c r="E73">
        <v>-3.1630795410910275E-3</v>
      </c>
      <c r="F73">
        <v>0.58197486663959397</v>
      </c>
      <c r="G73">
        <v>0.89270762371232282</v>
      </c>
      <c r="H73">
        <v>13.492516284165836</v>
      </c>
      <c r="I73">
        <v>1.4256706571519704E-2</v>
      </c>
      <c r="J73">
        <v>0</v>
      </c>
      <c r="K73" s="1">
        <f t="shared" si="9"/>
        <v>8.3055009958866149E-3</v>
      </c>
      <c r="L73" s="1">
        <f t="shared" si="10"/>
        <v>0.15640116136125684</v>
      </c>
      <c r="M73">
        <f t="shared" si="11"/>
        <v>-3.1630795410910275E-3</v>
      </c>
      <c r="N73">
        <f t="shared" si="12"/>
        <v>0.58197486663959397</v>
      </c>
      <c r="O73">
        <f t="shared" si="13"/>
        <v>0.89270762371232282</v>
      </c>
      <c r="P73">
        <f t="shared" si="14"/>
        <v>13.492516284165836</v>
      </c>
      <c r="Q73">
        <f t="shared" si="15"/>
        <v>1.4256706571519704E-2</v>
      </c>
      <c r="R73">
        <f t="shared" si="16"/>
        <v>0</v>
      </c>
      <c r="S73">
        <f t="shared" si="17"/>
        <v>0</v>
      </c>
    </row>
    <row r="74" spans="1:19" x14ac:dyDescent="0.3">
      <c r="A74" t="s">
        <v>34</v>
      </c>
      <c r="B74">
        <v>2010</v>
      </c>
      <c r="C74">
        <v>3.4471021443822137E-3</v>
      </c>
      <c r="D74">
        <v>8.5830986787139893E-2</v>
      </c>
      <c r="E74">
        <v>-4.7661602252684343E-2</v>
      </c>
      <c r="F74">
        <v>0.51729430330785653</v>
      </c>
      <c r="G74">
        <v>0.86355614691957794</v>
      </c>
      <c r="H74">
        <v>13.602224511412846</v>
      </c>
      <c r="I74">
        <v>1.8537942053398527E-2</v>
      </c>
      <c r="J74">
        <v>0</v>
      </c>
      <c r="K74" s="1">
        <f t="shared" si="9"/>
        <v>3.4471021443822137E-3</v>
      </c>
      <c r="L74" s="1">
        <f t="shared" si="10"/>
        <v>8.5830986787139893E-2</v>
      </c>
      <c r="M74">
        <f t="shared" si="11"/>
        <v>-4.7661602252684343E-2</v>
      </c>
      <c r="N74">
        <f t="shared" si="12"/>
        <v>0.51729430330785653</v>
      </c>
      <c r="O74">
        <f t="shared" si="13"/>
        <v>0.86355614691957794</v>
      </c>
      <c r="P74">
        <f t="shared" si="14"/>
        <v>13.602224511412846</v>
      </c>
      <c r="Q74">
        <f t="shared" si="15"/>
        <v>1.8537942053398527E-2</v>
      </c>
      <c r="R74">
        <f t="shared" si="16"/>
        <v>0</v>
      </c>
      <c r="S74">
        <f t="shared" si="17"/>
        <v>0</v>
      </c>
    </row>
    <row r="75" spans="1:19" x14ac:dyDescent="0.3">
      <c r="A75" t="s">
        <v>35</v>
      </c>
      <c r="B75">
        <v>2007</v>
      </c>
      <c r="C75">
        <v>3.2795020657574543E-3</v>
      </c>
      <c r="D75">
        <v>2.9291534648752244E-2</v>
      </c>
      <c r="E75">
        <v>0.15693869600871652</v>
      </c>
      <c r="F75">
        <v>0.34521973652681393</v>
      </c>
      <c r="G75">
        <v>0.67152536284708886</v>
      </c>
      <c r="H75">
        <v>15.285347495067326</v>
      </c>
      <c r="I75">
        <v>1.4963231793850305E-2</v>
      </c>
      <c r="J75">
        <v>0</v>
      </c>
      <c r="K75" s="1">
        <f t="shared" si="9"/>
        <v>3.2795020657574543E-3</v>
      </c>
      <c r="L75" s="1">
        <f t="shared" si="10"/>
        <v>2.9291534648752244E-2</v>
      </c>
      <c r="M75">
        <f t="shared" si="11"/>
        <v>0.15693869600871652</v>
      </c>
      <c r="N75">
        <f t="shared" si="12"/>
        <v>0.34521973652681393</v>
      </c>
      <c r="O75">
        <f t="shared" si="13"/>
        <v>0.67152536284708886</v>
      </c>
      <c r="P75">
        <f t="shared" si="14"/>
        <v>15.285347495067326</v>
      </c>
      <c r="Q75">
        <f t="shared" si="15"/>
        <v>1.4963231793850305E-2</v>
      </c>
      <c r="R75">
        <f t="shared" si="16"/>
        <v>0</v>
      </c>
      <c r="S75">
        <f t="shared" si="17"/>
        <v>0</v>
      </c>
    </row>
    <row r="76" spans="1:19" x14ac:dyDescent="0.3">
      <c r="A76" t="s">
        <v>35</v>
      </c>
      <c r="B76">
        <v>2009</v>
      </c>
      <c r="C76">
        <v>1.6818360932793471E-3</v>
      </c>
      <c r="D76">
        <v>0.19754933919993314</v>
      </c>
      <c r="E76">
        <v>-0.18874046628392932</v>
      </c>
      <c r="F76">
        <v>0.75312979185483708</v>
      </c>
      <c r="G76">
        <v>0.99799256454110097</v>
      </c>
      <c r="H76">
        <v>15.176615051633085</v>
      </c>
      <c r="I76">
        <v>4.5187117960021325E-2</v>
      </c>
      <c r="J76">
        <v>0</v>
      </c>
      <c r="K76" s="1">
        <f t="shared" si="9"/>
        <v>1.6818360932793471E-3</v>
      </c>
      <c r="L76" s="1">
        <f t="shared" si="10"/>
        <v>0.19754933919993314</v>
      </c>
      <c r="M76">
        <f t="shared" si="11"/>
        <v>-0.18874046628392932</v>
      </c>
      <c r="N76">
        <f t="shared" si="12"/>
        <v>0.75312979185483708</v>
      </c>
      <c r="O76">
        <f t="shared" si="13"/>
        <v>0.99799256454110097</v>
      </c>
      <c r="P76">
        <f t="shared" si="14"/>
        <v>15.176615051633085</v>
      </c>
      <c r="Q76">
        <f t="shared" si="15"/>
        <v>4.5187117960021325E-2</v>
      </c>
      <c r="R76">
        <f t="shared" si="16"/>
        <v>0</v>
      </c>
      <c r="S76">
        <f t="shared" si="17"/>
        <v>0</v>
      </c>
    </row>
    <row r="77" spans="1:19" x14ac:dyDescent="0.3">
      <c r="A77" t="s">
        <v>35</v>
      </c>
      <c r="B77">
        <v>2010</v>
      </c>
      <c r="C77">
        <v>1.0419739808881542E-3</v>
      </c>
      <c r="D77">
        <v>5.0891643695567076E-2</v>
      </c>
      <c r="E77">
        <v>-0.22263374519227758</v>
      </c>
      <c r="F77">
        <v>0.73510324531990234</v>
      </c>
      <c r="G77">
        <v>1.0273497684638471</v>
      </c>
      <c r="H77">
        <v>15.115952052580221</v>
      </c>
      <c r="I77">
        <v>6.4371019224571113E-4</v>
      </c>
      <c r="J77">
        <v>0</v>
      </c>
      <c r="K77" s="1">
        <f t="shared" si="9"/>
        <v>1.0419739808881542E-3</v>
      </c>
      <c r="L77" s="1">
        <f t="shared" si="10"/>
        <v>5.0891643695567076E-2</v>
      </c>
      <c r="M77">
        <f t="shared" si="11"/>
        <v>-0.22263374519227758</v>
      </c>
      <c r="N77">
        <f t="shared" si="12"/>
        <v>0.73510324531990234</v>
      </c>
      <c r="O77">
        <f t="shared" si="13"/>
        <v>1.0273497684638471</v>
      </c>
      <c r="P77">
        <f t="shared" si="14"/>
        <v>15.115952052580221</v>
      </c>
      <c r="Q77">
        <f t="shared" si="15"/>
        <v>6.4371019224571113E-4</v>
      </c>
      <c r="R77">
        <f t="shared" si="16"/>
        <v>0</v>
      </c>
      <c r="S77">
        <f t="shared" si="17"/>
        <v>0</v>
      </c>
    </row>
    <row r="78" spans="1:19" x14ac:dyDescent="0.3">
      <c r="A78" t="s">
        <v>36</v>
      </c>
      <c r="B78">
        <v>2007</v>
      </c>
      <c r="C78">
        <v>2.7102842161522817E-3</v>
      </c>
      <c r="D78">
        <v>9.5267280829087642E-2</v>
      </c>
      <c r="E78">
        <v>-0.19324168334898784</v>
      </c>
      <c r="F78">
        <v>0.24421589927989298</v>
      </c>
      <c r="G78">
        <v>0</v>
      </c>
      <c r="H78">
        <v>14.96672478437258</v>
      </c>
      <c r="I78">
        <v>2.6329263950330695E-3</v>
      </c>
      <c r="J78">
        <v>0</v>
      </c>
      <c r="K78" s="1">
        <f t="shared" si="9"/>
        <v>2.7102842161522817E-3</v>
      </c>
      <c r="L78" s="1">
        <f t="shared" si="10"/>
        <v>9.5267280829087642E-2</v>
      </c>
      <c r="M78">
        <f t="shared" si="11"/>
        <v>-0.19324168334898784</v>
      </c>
      <c r="N78">
        <f t="shared" si="12"/>
        <v>0.24421589927989298</v>
      </c>
      <c r="O78">
        <f t="shared" si="13"/>
        <v>0</v>
      </c>
      <c r="P78">
        <f t="shared" si="14"/>
        <v>14.96672478437258</v>
      </c>
      <c r="Q78">
        <f t="shared" si="15"/>
        <v>2.6329263950330695E-3</v>
      </c>
      <c r="R78">
        <f t="shared" si="16"/>
        <v>0</v>
      </c>
      <c r="S78">
        <f t="shared" si="17"/>
        <v>0</v>
      </c>
    </row>
    <row r="79" spans="1:19" x14ac:dyDescent="0.3">
      <c r="A79" t="s">
        <v>36</v>
      </c>
      <c r="B79">
        <v>2009</v>
      </c>
      <c r="C79">
        <v>4.5479892917161101E-3</v>
      </c>
      <c r="D79">
        <v>8.592330529534617E-2</v>
      </c>
      <c r="E79">
        <v>1.3656282780541439E-2</v>
      </c>
      <c r="F79">
        <v>0.55388813139940896</v>
      </c>
      <c r="G79">
        <v>0.81101485872277379</v>
      </c>
      <c r="H79">
        <v>14.968261854799604</v>
      </c>
      <c r="I79">
        <v>3.1041606242743932E-2</v>
      </c>
      <c r="J79">
        <v>0</v>
      </c>
      <c r="K79" s="1">
        <f t="shared" si="9"/>
        <v>4.5479892917161101E-3</v>
      </c>
      <c r="L79" s="1">
        <f t="shared" si="10"/>
        <v>8.592330529534617E-2</v>
      </c>
      <c r="M79">
        <f t="shared" si="11"/>
        <v>1.3656282780541439E-2</v>
      </c>
      <c r="N79">
        <f t="shared" si="12"/>
        <v>0.55388813139940896</v>
      </c>
      <c r="O79">
        <f t="shared" si="13"/>
        <v>0.81101485872277379</v>
      </c>
      <c r="P79">
        <f t="shared" si="14"/>
        <v>14.968261854799604</v>
      </c>
      <c r="Q79">
        <f t="shared" si="15"/>
        <v>3.1041606242743932E-2</v>
      </c>
      <c r="R79">
        <f t="shared" si="16"/>
        <v>0</v>
      </c>
      <c r="S79">
        <f t="shared" si="17"/>
        <v>0</v>
      </c>
    </row>
    <row r="80" spans="1:19" x14ac:dyDescent="0.3">
      <c r="A80" t="s">
        <v>36</v>
      </c>
      <c r="B80">
        <v>2010</v>
      </c>
      <c r="C80">
        <v>7.2175968205821775E-3</v>
      </c>
      <c r="D80">
        <v>0.1709569124158993</v>
      </c>
      <c r="E80">
        <v>1.2645571401860026E-2</v>
      </c>
      <c r="F80">
        <v>0.38424471123614146</v>
      </c>
      <c r="G80">
        <v>0.71789426188470395</v>
      </c>
      <c r="H80">
        <v>15.044414287945182</v>
      </c>
      <c r="I80">
        <v>2.7609450136663379E-2</v>
      </c>
      <c r="J80">
        <v>1.0844537248341687E-2</v>
      </c>
      <c r="K80" s="1">
        <f t="shared" si="9"/>
        <v>7.2175968205821775E-3</v>
      </c>
      <c r="L80" s="1">
        <f t="shared" si="10"/>
        <v>0.1709569124158993</v>
      </c>
      <c r="M80">
        <f t="shared" si="11"/>
        <v>1.2645571401860026E-2</v>
      </c>
      <c r="N80">
        <f t="shared" si="12"/>
        <v>0.38424471123614146</v>
      </c>
      <c r="O80">
        <f t="shared" si="13"/>
        <v>0.71789426188470395</v>
      </c>
      <c r="P80">
        <f t="shared" si="14"/>
        <v>15.044414287945182</v>
      </c>
      <c r="Q80">
        <f t="shared" si="15"/>
        <v>2.7609450136663379E-2</v>
      </c>
      <c r="R80">
        <f t="shared" si="16"/>
        <v>1.0844537248341687E-2</v>
      </c>
      <c r="S80">
        <f t="shared" si="17"/>
        <v>0</v>
      </c>
    </row>
    <row r="81" spans="1:19" x14ac:dyDescent="0.3">
      <c r="A81" t="s">
        <v>37</v>
      </c>
      <c r="B81">
        <v>2007</v>
      </c>
      <c r="C81">
        <v>2.0943515972075312E-2</v>
      </c>
      <c r="D81">
        <v>0.12633421158913014</v>
      </c>
      <c r="E81">
        <v>-1.767217339461892</v>
      </c>
      <c r="F81">
        <v>0.45931496047848913</v>
      </c>
      <c r="G81">
        <v>1.8462795930534455</v>
      </c>
      <c r="H81">
        <v>10.858941303591607</v>
      </c>
      <c r="I81">
        <v>7.0008892004120818E-2</v>
      </c>
      <c r="J81">
        <v>0</v>
      </c>
      <c r="K81" s="1">
        <f t="shared" si="9"/>
        <v>2.0943515972075312E-2</v>
      </c>
      <c r="L81" s="1">
        <f t="shared" si="10"/>
        <v>0.12633421158913014</v>
      </c>
      <c r="M81">
        <f t="shared" si="11"/>
        <v>-1.767217339461892</v>
      </c>
      <c r="N81">
        <f t="shared" si="12"/>
        <v>0.45931496047848913</v>
      </c>
      <c r="O81">
        <f t="shared" si="13"/>
        <v>1.8462795930534455</v>
      </c>
      <c r="P81">
        <f t="shared" si="14"/>
        <v>10.858941303591607</v>
      </c>
      <c r="Q81">
        <f t="shared" si="15"/>
        <v>7.0008892004120818E-2</v>
      </c>
      <c r="R81">
        <f t="shared" si="16"/>
        <v>0</v>
      </c>
      <c r="S81">
        <f t="shared" si="17"/>
        <v>0</v>
      </c>
    </row>
    <row r="82" spans="1:19" x14ac:dyDescent="0.3">
      <c r="A82" t="s">
        <v>37</v>
      </c>
      <c r="B82">
        <v>2008</v>
      </c>
      <c r="C82">
        <v>1.1267158613028645E-2</v>
      </c>
      <c r="D82">
        <v>0.33962151868602714</v>
      </c>
      <c r="E82">
        <v>-1.4215464571927319</v>
      </c>
      <c r="F82">
        <v>0</v>
      </c>
      <c r="G82">
        <v>1.5579822264540188</v>
      </c>
      <c r="H82">
        <v>10.827984520957383</v>
      </c>
      <c r="I82">
        <v>6.7890367321976439E-2</v>
      </c>
      <c r="J82">
        <v>0</v>
      </c>
      <c r="K82" s="1">
        <f t="shared" si="9"/>
        <v>1.1267158613028645E-2</v>
      </c>
      <c r="L82" s="1">
        <f t="shared" si="10"/>
        <v>0.33962151868602714</v>
      </c>
      <c r="M82">
        <f t="shared" si="11"/>
        <v>-1.4215464571927319</v>
      </c>
      <c r="N82">
        <f t="shared" si="12"/>
        <v>0</v>
      </c>
      <c r="O82">
        <f t="shared" si="13"/>
        <v>1.5579822264540188</v>
      </c>
      <c r="P82">
        <f t="shared" si="14"/>
        <v>10.827984520957383</v>
      </c>
      <c r="Q82">
        <f t="shared" si="15"/>
        <v>6.7890367321976439E-2</v>
      </c>
      <c r="R82">
        <f t="shared" si="16"/>
        <v>0</v>
      </c>
      <c r="S82">
        <f t="shared" si="17"/>
        <v>0</v>
      </c>
    </row>
    <row r="83" spans="1:19" x14ac:dyDescent="0.3">
      <c r="A83" t="s">
        <v>37</v>
      </c>
      <c r="B83">
        <v>2009</v>
      </c>
      <c r="C83">
        <v>1.1768330252618607E-2</v>
      </c>
      <c r="D83">
        <v>0.13201889505031833</v>
      </c>
      <c r="E83">
        <v>-0.16635859519408502</v>
      </c>
      <c r="F83">
        <v>1.3719038817005544</v>
      </c>
      <c r="G83">
        <v>1.7050934483466831</v>
      </c>
      <c r="H83">
        <v>10.793228949176747</v>
      </c>
      <c r="I83">
        <v>5.7315275270589522E-3</v>
      </c>
      <c r="J83">
        <v>0</v>
      </c>
      <c r="K83" s="1">
        <f t="shared" si="9"/>
        <v>1.1768330252618607E-2</v>
      </c>
      <c r="L83" s="1">
        <f t="shared" si="10"/>
        <v>0.13201889505031833</v>
      </c>
      <c r="M83">
        <f t="shared" si="11"/>
        <v>-0.16635859519408502</v>
      </c>
      <c r="N83">
        <f t="shared" si="12"/>
        <v>1.3719038817005544</v>
      </c>
      <c r="O83">
        <f t="shared" si="13"/>
        <v>1.7050934483466831</v>
      </c>
      <c r="P83">
        <f t="shared" si="14"/>
        <v>10.793228949176747</v>
      </c>
      <c r="Q83">
        <f t="shared" si="15"/>
        <v>5.7315275270589522E-3</v>
      </c>
      <c r="R83">
        <f t="shared" si="16"/>
        <v>0</v>
      </c>
      <c r="S83">
        <f t="shared" si="17"/>
        <v>0</v>
      </c>
    </row>
    <row r="84" spans="1:19" x14ac:dyDescent="0.3">
      <c r="A84" t="s">
        <v>37</v>
      </c>
      <c r="B84">
        <v>2010</v>
      </c>
      <c r="C84">
        <v>5.2059575169684812E-2</v>
      </c>
      <c r="D84">
        <v>0.11391552856475502</v>
      </c>
      <c r="E84">
        <v>-1.02360473743508E-2</v>
      </c>
      <c r="F84">
        <v>1.0802670990079966</v>
      </c>
      <c r="G84">
        <v>1.3349317138853014</v>
      </c>
      <c r="H84">
        <v>11.195223950865525</v>
      </c>
      <c r="I84">
        <v>3.0787289576759667E-2</v>
      </c>
      <c r="J84">
        <v>0</v>
      </c>
      <c r="K84" s="1">
        <f t="shared" si="9"/>
        <v>5.2059575169684812E-2</v>
      </c>
      <c r="L84" s="1">
        <f t="shared" si="10"/>
        <v>0.11391552856475502</v>
      </c>
      <c r="M84">
        <f t="shared" si="11"/>
        <v>-1.02360473743508E-2</v>
      </c>
      <c r="N84">
        <f t="shared" si="12"/>
        <v>1.0802670990079966</v>
      </c>
      <c r="O84">
        <f t="shared" si="13"/>
        <v>1.3349317138853014</v>
      </c>
      <c r="P84">
        <f t="shared" si="14"/>
        <v>11.195223950865525</v>
      </c>
      <c r="Q84">
        <f t="shared" si="15"/>
        <v>3.0787289576759667E-2</v>
      </c>
      <c r="R84">
        <f t="shared" si="16"/>
        <v>0</v>
      </c>
      <c r="S84">
        <f t="shared" si="17"/>
        <v>0</v>
      </c>
    </row>
    <row r="85" spans="1:19" x14ac:dyDescent="0.3">
      <c r="A85" t="s">
        <v>38</v>
      </c>
      <c r="B85">
        <v>2007</v>
      </c>
      <c r="C85">
        <v>6.7697956858930375E-2</v>
      </c>
      <c r="D85">
        <v>9.1259590637631241E-2</v>
      </c>
      <c r="E85">
        <v>3.0121662481786743E-2</v>
      </c>
      <c r="F85">
        <v>0.27900133628021506</v>
      </c>
      <c r="G85">
        <v>0.89444333597589609</v>
      </c>
      <c r="H85">
        <v>14.339657260866579</v>
      </c>
      <c r="I85">
        <v>1.2860282280272722E-4</v>
      </c>
      <c r="J85">
        <v>0</v>
      </c>
      <c r="K85" s="1">
        <f t="shared" si="9"/>
        <v>6.7697956858930375E-2</v>
      </c>
      <c r="L85" s="1">
        <f t="shared" si="10"/>
        <v>9.1259590637631241E-2</v>
      </c>
      <c r="M85">
        <f t="shared" si="11"/>
        <v>3.0121662481786743E-2</v>
      </c>
      <c r="N85">
        <f t="shared" si="12"/>
        <v>0.27900133628021506</v>
      </c>
      <c r="O85">
        <f t="shared" si="13"/>
        <v>0.89444333597589609</v>
      </c>
      <c r="P85">
        <f t="shared" si="14"/>
        <v>14.339657260866579</v>
      </c>
      <c r="Q85">
        <f t="shared" si="15"/>
        <v>1.2860282280272722E-4</v>
      </c>
      <c r="R85">
        <f t="shared" si="16"/>
        <v>0</v>
      </c>
      <c r="S85">
        <f t="shared" si="17"/>
        <v>0</v>
      </c>
    </row>
    <row r="86" spans="1:19" x14ac:dyDescent="0.3">
      <c r="A86" t="s">
        <v>38</v>
      </c>
      <c r="B86">
        <v>2009</v>
      </c>
      <c r="C86">
        <v>8.9478988650804076E-3</v>
      </c>
      <c r="D86">
        <v>5.6203168134612853E-2</v>
      </c>
      <c r="E86">
        <v>5.4253757504053287E-3</v>
      </c>
      <c r="F86">
        <v>0.64909129748915473</v>
      </c>
      <c r="G86">
        <v>0.86014252223828924</v>
      </c>
      <c r="H86">
        <v>14.417463078339292</v>
      </c>
      <c r="I86">
        <v>2.9102213762340026E-2</v>
      </c>
      <c r="J86">
        <v>4.4985977827439643E-3</v>
      </c>
      <c r="K86" s="1">
        <f t="shared" si="9"/>
        <v>8.9478988650804076E-3</v>
      </c>
      <c r="L86" s="1">
        <f t="shared" si="10"/>
        <v>5.6203168134612853E-2</v>
      </c>
      <c r="M86">
        <f t="shared" si="11"/>
        <v>5.4253757504053287E-3</v>
      </c>
      <c r="N86">
        <f t="shared" si="12"/>
        <v>0.64909129748915473</v>
      </c>
      <c r="O86">
        <f t="shared" si="13"/>
        <v>0.86014252223828924</v>
      </c>
      <c r="P86">
        <f t="shared" si="14"/>
        <v>14.417463078339292</v>
      </c>
      <c r="Q86">
        <f t="shared" si="15"/>
        <v>2.9102213762340026E-2</v>
      </c>
      <c r="R86">
        <f t="shared" si="16"/>
        <v>4.4985977827439643E-3</v>
      </c>
      <c r="S86">
        <f t="shared" si="17"/>
        <v>0</v>
      </c>
    </row>
    <row r="87" spans="1:19" x14ac:dyDescent="0.3">
      <c r="A87" t="s">
        <v>38</v>
      </c>
      <c r="B87">
        <v>2010</v>
      </c>
      <c r="C87">
        <v>7.6833569182663281E-3</v>
      </c>
      <c r="D87">
        <v>0.14946589108744504</v>
      </c>
      <c r="E87">
        <v>8.1306014215861824E-2</v>
      </c>
      <c r="F87">
        <v>0.48924364800385706</v>
      </c>
      <c r="G87">
        <v>0.78573433166558304</v>
      </c>
      <c r="H87">
        <v>14.361130574704504</v>
      </c>
      <c r="I87">
        <v>4.2531086075310552E-2</v>
      </c>
      <c r="J87">
        <v>2.2208662334456369E-2</v>
      </c>
      <c r="K87" s="1">
        <f t="shared" si="9"/>
        <v>7.6833569182663281E-3</v>
      </c>
      <c r="L87" s="1">
        <f t="shared" si="10"/>
        <v>0.14946589108744504</v>
      </c>
      <c r="M87">
        <f t="shared" si="11"/>
        <v>8.1306014215861824E-2</v>
      </c>
      <c r="N87">
        <f t="shared" si="12"/>
        <v>0.48924364800385706</v>
      </c>
      <c r="O87">
        <f t="shared" si="13"/>
        <v>0.78573433166558304</v>
      </c>
      <c r="P87">
        <f t="shared" si="14"/>
        <v>14.361130574704504</v>
      </c>
      <c r="Q87">
        <f t="shared" si="15"/>
        <v>4.2531086075310552E-2</v>
      </c>
      <c r="R87">
        <f t="shared" si="16"/>
        <v>2.2208662334456369E-2</v>
      </c>
      <c r="S87">
        <f t="shared" si="17"/>
        <v>0</v>
      </c>
    </row>
    <row r="88" spans="1:19" x14ac:dyDescent="0.3">
      <c r="A88" t="s">
        <v>39</v>
      </c>
      <c r="B88">
        <v>2007</v>
      </c>
      <c r="C88">
        <v>8.132353446249763E-3</v>
      </c>
      <c r="D88">
        <v>9.8319587483071624E-2</v>
      </c>
      <c r="E88">
        <v>-2.2213460135911856E-2</v>
      </c>
      <c r="F88">
        <v>0.26735212969204669</v>
      </c>
      <c r="G88">
        <v>0.82342132608003193</v>
      </c>
      <c r="H88">
        <v>14.904027391915925</v>
      </c>
      <c r="I88">
        <v>2.864729697715826E-3</v>
      </c>
      <c r="J88">
        <v>0</v>
      </c>
      <c r="K88" s="1">
        <f t="shared" si="9"/>
        <v>8.132353446249763E-3</v>
      </c>
      <c r="L88" s="1">
        <f t="shared" si="10"/>
        <v>9.8319587483071624E-2</v>
      </c>
      <c r="M88">
        <f t="shared" si="11"/>
        <v>-2.2213460135911856E-2</v>
      </c>
      <c r="N88">
        <f t="shared" si="12"/>
        <v>0.26735212969204669</v>
      </c>
      <c r="O88">
        <f t="shared" si="13"/>
        <v>0.82342132608003193</v>
      </c>
      <c r="P88">
        <f t="shared" si="14"/>
        <v>14.904027391915925</v>
      </c>
      <c r="Q88">
        <f t="shared" si="15"/>
        <v>2.864729697715826E-3</v>
      </c>
      <c r="R88">
        <f t="shared" si="16"/>
        <v>0</v>
      </c>
      <c r="S88">
        <f t="shared" si="17"/>
        <v>0</v>
      </c>
    </row>
    <row r="89" spans="1:19" x14ac:dyDescent="0.3">
      <c r="A89" t="s">
        <v>39</v>
      </c>
      <c r="B89">
        <v>2009</v>
      </c>
      <c r="C89">
        <v>4.7074822723218619E-3</v>
      </c>
      <c r="D89">
        <v>9.1375738469282333E-2</v>
      </c>
      <c r="E89">
        <v>-1.3141530011215019E-2</v>
      </c>
      <c r="F89">
        <v>0.52124371914765855</v>
      </c>
      <c r="G89">
        <v>0.72152135710564191</v>
      </c>
      <c r="H89">
        <v>14.856149394856882</v>
      </c>
      <c r="I89">
        <v>3.9319033242381465E-2</v>
      </c>
      <c r="J89">
        <v>2.6492171563303043E-3</v>
      </c>
      <c r="K89" s="1">
        <f t="shared" si="9"/>
        <v>4.7074822723218619E-3</v>
      </c>
      <c r="L89" s="1">
        <f t="shared" si="10"/>
        <v>9.1375738469282333E-2</v>
      </c>
      <c r="M89">
        <f t="shared" si="11"/>
        <v>-1.3141530011215019E-2</v>
      </c>
      <c r="N89">
        <f t="shared" si="12"/>
        <v>0.52124371914765855</v>
      </c>
      <c r="O89">
        <f t="shared" si="13"/>
        <v>0.72152135710564191</v>
      </c>
      <c r="P89">
        <f t="shared" si="14"/>
        <v>14.856149394856882</v>
      </c>
      <c r="Q89">
        <f t="shared" si="15"/>
        <v>3.9319033242381465E-2</v>
      </c>
      <c r="R89">
        <f t="shared" si="16"/>
        <v>2.6492171563303043E-3</v>
      </c>
      <c r="S89">
        <f t="shared" si="17"/>
        <v>0</v>
      </c>
    </row>
    <row r="90" spans="1:19" x14ac:dyDescent="0.3">
      <c r="A90" t="s">
        <v>39</v>
      </c>
      <c r="B90">
        <v>2010</v>
      </c>
      <c r="C90">
        <v>2.5420981355074347E-2</v>
      </c>
      <c r="D90">
        <v>0.20065831771609921</v>
      </c>
      <c r="E90">
        <v>3.3774947676565942E-2</v>
      </c>
      <c r="F90">
        <v>0.37221967634707193</v>
      </c>
      <c r="G90">
        <v>0.62210476998208009</v>
      </c>
      <c r="H90">
        <v>14.888504138681384</v>
      </c>
      <c r="I90">
        <v>2.6399826655642611E-2</v>
      </c>
      <c r="J90">
        <v>1.7099161457122144E-2</v>
      </c>
      <c r="K90" s="1">
        <f t="shared" si="9"/>
        <v>2.5420981355074347E-2</v>
      </c>
      <c r="L90" s="1">
        <f t="shared" si="10"/>
        <v>0.20065831771609921</v>
      </c>
      <c r="M90">
        <f t="shared" si="11"/>
        <v>3.3774947676565942E-2</v>
      </c>
      <c r="N90">
        <f t="shared" si="12"/>
        <v>0.37221967634707193</v>
      </c>
      <c r="O90">
        <f t="shared" si="13"/>
        <v>0.62210476998208009</v>
      </c>
      <c r="P90">
        <f t="shared" si="14"/>
        <v>14.888504138681384</v>
      </c>
      <c r="Q90">
        <f t="shared" si="15"/>
        <v>2.6399826655642611E-2</v>
      </c>
      <c r="R90">
        <f t="shared" si="16"/>
        <v>1.7099161457122144E-2</v>
      </c>
      <c r="S90">
        <f t="shared" si="17"/>
        <v>0</v>
      </c>
    </row>
    <row r="91" spans="1:19" x14ac:dyDescent="0.3">
      <c r="A91" t="s">
        <v>40</v>
      </c>
      <c r="B91">
        <v>2009</v>
      </c>
      <c r="C91">
        <v>1.144019770491234E-3</v>
      </c>
      <c r="D91">
        <v>1.2906996338409053E-2</v>
      </c>
      <c r="E91">
        <v>0.14509694748912869</v>
      </c>
      <c r="F91">
        <v>0.53389318400193608</v>
      </c>
      <c r="G91">
        <v>0.76801035886252522</v>
      </c>
      <c r="H91">
        <v>16.079312098236493</v>
      </c>
      <c r="I91">
        <v>4.5626026909266655E-4</v>
      </c>
      <c r="J91">
        <v>1.2994318156420197E-4</v>
      </c>
      <c r="K91" s="1">
        <f t="shared" si="9"/>
        <v>1.144019770491234E-3</v>
      </c>
      <c r="L91" s="1">
        <f t="shared" si="10"/>
        <v>1.2906996338409053E-2</v>
      </c>
      <c r="M91">
        <f t="shared" si="11"/>
        <v>0.14509694748912869</v>
      </c>
      <c r="N91">
        <f t="shared" si="12"/>
        <v>0.53389318400193608</v>
      </c>
      <c r="O91">
        <f t="shared" si="13"/>
        <v>0.76801035886252522</v>
      </c>
      <c r="P91">
        <f t="shared" si="14"/>
        <v>16.079312098236493</v>
      </c>
      <c r="Q91">
        <f t="shared" si="15"/>
        <v>4.5626026909266655E-4</v>
      </c>
      <c r="R91">
        <f t="shared" si="16"/>
        <v>1.2994318156420197E-4</v>
      </c>
      <c r="S91">
        <f t="shared" si="17"/>
        <v>0</v>
      </c>
    </row>
    <row r="92" spans="1:19" x14ac:dyDescent="0.3">
      <c r="A92" t="s">
        <v>41</v>
      </c>
      <c r="B92">
        <v>2009</v>
      </c>
      <c r="C92">
        <v>1.9010213185004603E-2</v>
      </c>
      <c r="D92">
        <v>7.2392446855935155E-2</v>
      </c>
      <c r="E92">
        <v>-6.0490378363743311E-2</v>
      </c>
      <c r="F92">
        <v>0.65069856814106453</v>
      </c>
      <c r="G92">
        <v>0.82176100991057055</v>
      </c>
      <c r="H92">
        <v>16.023860463143006</v>
      </c>
      <c r="I92">
        <v>8.7810061855977672E-3</v>
      </c>
      <c r="J92">
        <v>0</v>
      </c>
      <c r="K92" s="1">
        <f t="shared" si="9"/>
        <v>1.9010213185004603E-2</v>
      </c>
      <c r="L92" s="1">
        <f t="shared" si="10"/>
        <v>7.2392446855935155E-2</v>
      </c>
      <c r="M92">
        <f t="shared" si="11"/>
        <v>-6.0490378363743311E-2</v>
      </c>
      <c r="N92">
        <f t="shared" si="12"/>
        <v>0.65069856814106453</v>
      </c>
      <c r="O92">
        <f t="shared" si="13"/>
        <v>0.82176100991057055</v>
      </c>
      <c r="P92">
        <f t="shared" si="14"/>
        <v>16.023860463143006</v>
      </c>
      <c r="Q92">
        <f t="shared" si="15"/>
        <v>8.7810061855977672E-3</v>
      </c>
      <c r="R92">
        <f t="shared" si="16"/>
        <v>0</v>
      </c>
      <c r="S92">
        <f t="shared" si="17"/>
        <v>0</v>
      </c>
    </row>
    <row r="93" spans="1:19" x14ac:dyDescent="0.3">
      <c r="A93" t="s">
        <v>41</v>
      </c>
      <c r="B93">
        <v>2010</v>
      </c>
      <c r="C93">
        <v>9.5275127997458305E-3</v>
      </c>
      <c r="D93">
        <v>5.2197469721371452E-2</v>
      </c>
      <c r="E93">
        <v>-3.7017874649019976E-2</v>
      </c>
      <c r="F93">
        <v>0.60858879714017078</v>
      </c>
      <c r="G93">
        <v>0.77595572907528887</v>
      </c>
      <c r="H93">
        <v>15.941201180852312</v>
      </c>
      <c r="I93">
        <v>1.4922039761034352E-3</v>
      </c>
      <c r="J93">
        <v>0</v>
      </c>
      <c r="K93" s="1">
        <f t="shared" si="9"/>
        <v>9.5275127997458305E-3</v>
      </c>
      <c r="L93" s="1">
        <f t="shared" si="10"/>
        <v>5.2197469721371452E-2</v>
      </c>
      <c r="M93">
        <f t="shared" si="11"/>
        <v>-3.7017874649019976E-2</v>
      </c>
      <c r="N93">
        <f t="shared" si="12"/>
        <v>0.60858879714017078</v>
      </c>
      <c r="O93">
        <f t="shared" si="13"/>
        <v>0.77595572907528887</v>
      </c>
      <c r="P93">
        <f t="shared" si="14"/>
        <v>15.941201180852312</v>
      </c>
      <c r="Q93">
        <f t="shared" si="15"/>
        <v>1.4922039761034352E-3</v>
      </c>
      <c r="R93">
        <f t="shared" si="16"/>
        <v>0</v>
      </c>
      <c r="S93">
        <f t="shared" si="17"/>
        <v>0</v>
      </c>
    </row>
    <row r="94" spans="1:19" x14ac:dyDescent="0.3">
      <c r="A94" t="s">
        <v>42</v>
      </c>
      <c r="B94">
        <v>2007</v>
      </c>
      <c r="C94">
        <v>3.5181195301124984E-2</v>
      </c>
      <c r="D94">
        <v>5.1663382398526657E-2</v>
      </c>
      <c r="E94">
        <v>-0.48414759707036575</v>
      </c>
      <c r="F94">
        <v>0.17527271882304862</v>
      </c>
      <c r="G94">
        <v>0.92595460571294974</v>
      </c>
      <c r="H94">
        <v>15.937639393411551</v>
      </c>
      <c r="I94">
        <v>5.6677326166339262E-3</v>
      </c>
      <c r="J94">
        <v>0</v>
      </c>
      <c r="K94" s="1">
        <f t="shared" si="9"/>
        <v>3.5181195301124984E-2</v>
      </c>
      <c r="L94" s="1">
        <f t="shared" si="10"/>
        <v>5.1663382398526657E-2</v>
      </c>
      <c r="M94">
        <f t="shared" si="11"/>
        <v>-0.48414759707036575</v>
      </c>
      <c r="N94">
        <f t="shared" si="12"/>
        <v>0.17527271882304862</v>
      </c>
      <c r="O94">
        <f t="shared" si="13"/>
        <v>0.92595460571294974</v>
      </c>
      <c r="P94">
        <f t="shared" si="14"/>
        <v>15.937639393411551</v>
      </c>
      <c r="Q94">
        <f t="shared" si="15"/>
        <v>5.6677326166339262E-3</v>
      </c>
      <c r="R94">
        <f t="shared" si="16"/>
        <v>0</v>
      </c>
      <c r="S94">
        <f t="shared" si="17"/>
        <v>0</v>
      </c>
    </row>
    <row r="95" spans="1:19" x14ac:dyDescent="0.3">
      <c r="A95" t="s">
        <v>42</v>
      </c>
      <c r="B95">
        <v>2009</v>
      </c>
      <c r="C95">
        <v>7.8985991313990141E-3</v>
      </c>
      <c r="D95">
        <v>4.500089088850668E-2</v>
      </c>
      <c r="E95">
        <v>4.4948641757301559E-2</v>
      </c>
      <c r="F95">
        <v>0.44443376330694551</v>
      </c>
      <c r="G95">
        <v>0.6395003227812539</v>
      </c>
      <c r="H95">
        <v>16.097811919950306</v>
      </c>
      <c r="I95">
        <v>1.7565829278794295E-2</v>
      </c>
      <c r="J95">
        <v>0</v>
      </c>
      <c r="K95" s="1">
        <f t="shared" si="9"/>
        <v>7.8985991313990141E-3</v>
      </c>
      <c r="L95" s="1">
        <f t="shared" si="10"/>
        <v>4.500089088850668E-2</v>
      </c>
      <c r="M95">
        <f t="shared" si="11"/>
        <v>4.4948641757301559E-2</v>
      </c>
      <c r="N95">
        <f t="shared" si="12"/>
        <v>0.44443376330694551</v>
      </c>
      <c r="O95">
        <f t="shared" si="13"/>
        <v>0.6395003227812539</v>
      </c>
      <c r="P95">
        <f t="shared" si="14"/>
        <v>16.097811919950306</v>
      </c>
      <c r="Q95">
        <f t="shared" si="15"/>
        <v>1.7565829278794295E-2</v>
      </c>
      <c r="R95">
        <f t="shared" si="16"/>
        <v>0</v>
      </c>
      <c r="S95">
        <f t="shared" si="17"/>
        <v>0</v>
      </c>
    </row>
    <row r="96" spans="1:19" x14ac:dyDescent="0.3">
      <c r="A96" t="s">
        <v>42</v>
      </c>
      <c r="B96">
        <v>2010</v>
      </c>
      <c r="C96">
        <v>1.1337603685671369E-2</v>
      </c>
      <c r="D96">
        <v>9.1405424768594382E-2</v>
      </c>
      <c r="E96">
        <v>7.2269167699920075E-2</v>
      </c>
      <c r="F96">
        <v>0.39159735009746827</v>
      </c>
      <c r="G96">
        <v>0.69837859543268022</v>
      </c>
      <c r="H96">
        <v>16.203610558796317</v>
      </c>
      <c r="I96">
        <v>4.586578876125888E-3</v>
      </c>
      <c r="J96">
        <v>1.7218013623338326E-2</v>
      </c>
      <c r="K96" s="1">
        <f t="shared" si="9"/>
        <v>1.1337603685671369E-2</v>
      </c>
      <c r="L96" s="1">
        <f t="shared" si="10"/>
        <v>9.1405424768594382E-2</v>
      </c>
      <c r="M96">
        <f t="shared" si="11"/>
        <v>7.2269167699920075E-2</v>
      </c>
      <c r="N96">
        <f t="shared" si="12"/>
        <v>0.39159735009746827</v>
      </c>
      <c r="O96">
        <f t="shared" si="13"/>
        <v>0.69837859543268022</v>
      </c>
      <c r="P96">
        <f t="shared" si="14"/>
        <v>16.203610558796317</v>
      </c>
      <c r="Q96">
        <f t="shared" si="15"/>
        <v>4.586578876125888E-3</v>
      </c>
      <c r="R96">
        <f t="shared" si="16"/>
        <v>1.7218013623338326E-2</v>
      </c>
      <c r="S96">
        <f t="shared" si="17"/>
        <v>0</v>
      </c>
    </row>
    <row r="97" spans="1:19" x14ac:dyDescent="0.3">
      <c r="A97" t="s">
        <v>43</v>
      </c>
      <c r="B97">
        <v>2007</v>
      </c>
      <c r="C97">
        <v>8.2991327570716667E-4</v>
      </c>
      <c r="D97">
        <v>4.2624323913945557E-2</v>
      </c>
      <c r="E97">
        <v>-1.7463260989087792E-2</v>
      </c>
      <c r="F97">
        <v>0.40963565491613985</v>
      </c>
      <c r="G97">
        <v>1.9640997277292445</v>
      </c>
      <c r="H97">
        <v>14.416699783729982</v>
      </c>
      <c r="I97">
        <v>6.9891744171908868E-5</v>
      </c>
      <c r="J97">
        <v>0</v>
      </c>
      <c r="K97" s="1">
        <f t="shared" si="9"/>
        <v>8.2991327570716667E-4</v>
      </c>
      <c r="L97" s="1">
        <f t="shared" si="10"/>
        <v>4.2624323913945557E-2</v>
      </c>
      <c r="M97">
        <f t="shared" si="11"/>
        <v>-1.7463260989087792E-2</v>
      </c>
      <c r="N97">
        <f t="shared" si="12"/>
        <v>0.40963565491613985</v>
      </c>
      <c r="O97">
        <f t="shared" si="13"/>
        <v>1.9640997277292445</v>
      </c>
      <c r="P97">
        <f t="shared" si="14"/>
        <v>14.416699783729982</v>
      </c>
      <c r="Q97">
        <f t="shared" si="15"/>
        <v>6.9891744171908868E-5</v>
      </c>
      <c r="R97">
        <f t="shared" si="16"/>
        <v>0</v>
      </c>
      <c r="S97">
        <f t="shared" si="17"/>
        <v>0</v>
      </c>
    </row>
    <row r="98" spans="1:19" x14ac:dyDescent="0.3">
      <c r="A98" t="s">
        <v>43</v>
      </c>
      <c r="B98">
        <v>2009</v>
      </c>
      <c r="C98">
        <v>1.2523985513807781E-3</v>
      </c>
      <c r="D98">
        <v>4.0657505770226844E-2</v>
      </c>
      <c r="E98">
        <v>-6.8215477772701108E-2</v>
      </c>
      <c r="F98">
        <v>0.47069127196164123</v>
      </c>
      <c r="G98">
        <v>1.6463209144660358</v>
      </c>
      <c r="H98">
        <v>14.874157776514181</v>
      </c>
      <c r="I98">
        <v>6.6038652789319308E-2</v>
      </c>
      <c r="J98">
        <v>3.2198091289099727E-3</v>
      </c>
      <c r="K98" s="1">
        <f t="shared" si="9"/>
        <v>1.2523985513807781E-3</v>
      </c>
      <c r="L98" s="1">
        <f t="shared" si="10"/>
        <v>4.0657505770226844E-2</v>
      </c>
      <c r="M98">
        <f t="shared" si="11"/>
        <v>-6.8215477772701108E-2</v>
      </c>
      <c r="N98">
        <f t="shared" si="12"/>
        <v>0.47069127196164123</v>
      </c>
      <c r="O98">
        <f t="shared" si="13"/>
        <v>1.6463209144660358</v>
      </c>
      <c r="P98">
        <f t="shared" si="14"/>
        <v>14.874157776514181</v>
      </c>
      <c r="Q98">
        <f t="shared" si="15"/>
        <v>6.6038652789319308E-2</v>
      </c>
      <c r="R98">
        <f t="shared" si="16"/>
        <v>3.2198091289099727E-3</v>
      </c>
      <c r="S98">
        <f t="shared" si="17"/>
        <v>0</v>
      </c>
    </row>
    <row r="99" spans="1:19" x14ac:dyDescent="0.3">
      <c r="A99" t="s">
        <v>43</v>
      </c>
      <c r="B99">
        <v>2010</v>
      </c>
      <c r="C99">
        <v>8.1319228416441625E-2</v>
      </c>
      <c r="D99">
        <v>0.20102930709826763</v>
      </c>
      <c r="E99">
        <v>-0.23660991744835325</v>
      </c>
      <c r="F99">
        <v>0.42523568811744905</v>
      </c>
      <c r="G99">
        <v>1.3053294008272829</v>
      </c>
      <c r="H99">
        <v>15.118357275356169</v>
      </c>
      <c r="I99">
        <v>3.9394549322823921E-2</v>
      </c>
      <c r="J99">
        <v>1.6814969031922488E-2</v>
      </c>
      <c r="K99" s="1">
        <f t="shared" si="9"/>
        <v>8.1319228416441625E-2</v>
      </c>
      <c r="L99" s="1">
        <f t="shared" si="10"/>
        <v>0.20102930709826763</v>
      </c>
      <c r="M99">
        <f t="shared" si="11"/>
        <v>-0.23660991744835325</v>
      </c>
      <c r="N99">
        <f t="shared" si="12"/>
        <v>0.42523568811744905</v>
      </c>
      <c r="O99">
        <f t="shared" si="13"/>
        <v>1.3053294008272829</v>
      </c>
      <c r="P99">
        <f t="shared" si="14"/>
        <v>15.118357275356169</v>
      </c>
      <c r="Q99">
        <f t="shared" si="15"/>
        <v>3.9394549322823921E-2</v>
      </c>
      <c r="R99">
        <f t="shared" si="16"/>
        <v>1.6814969031922488E-2</v>
      </c>
      <c r="S99">
        <f t="shared" si="17"/>
        <v>0</v>
      </c>
    </row>
    <row r="100" spans="1:19" x14ac:dyDescent="0.3">
      <c r="A100" t="s">
        <v>44</v>
      </c>
      <c r="B100">
        <v>2010</v>
      </c>
      <c r="C100">
        <v>4.6968206530541264E-3</v>
      </c>
      <c r="D100">
        <v>9.8036115226393578E-2</v>
      </c>
      <c r="E100">
        <v>0.13522069942564105</v>
      </c>
      <c r="F100">
        <v>0.2962227673905965</v>
      </c>
      <c r="G100">
        <v>1.0265519454725547</v>
      </c>
      <c r="H100">
        <v>14.668336538670156</v>
      </c>
      <c r="I100">
        <v>1.4942379669796654E-3</v>
      </c>
      <c r="J100">
        <v>0.10023364764809477</v>
      </c>
      <c r="K100" s="1">
        <f t="shared" si="9"/>
        <v>4.6968206530541264E-3</v>
      </c>
      <c r="L100" s="1">
        <f t="shared" si="10"/>
        <v>9.8036115226393578E-2</v>
      </c>
      <c r="M100">
        <f t="shared" si="11"/>
        <v>0.13522069942564105</v>
      </c>
      <c r="N100">
        <f t="shared" si="12"/>
        <v>0.2962227673905965</v>
      </c>
      <c r="O100">
        <f t="shared" si="13"/>
        <v>1.0265519454725547</v>
      </c>
      <c r="P100">
        <f t="shared" si="14"/>
        <v>14.668336538670156</v>
      </c>
      <c r="Q100">
        <f t="shared" si="15"/>
        <v>1.4942379669796654E-3</v>
      </c>
      <c r="R100">
        <f t="shared" si="16"/>
        <v>0.10023364764809477</v>
      </c>
      <c r="S100">
        <f t="shared" si="17"/>
        <v>0</v>
      </c>
    </row>
    <row r="101" spans="1:19" x14ac:dyDescent="0.3">
      <c r="A101" t="s">
        <v>45</v>
      </c>
      <c r="B101">
        <v>2007</v>
      </c>
      <c r="C101">
        <v>1.6320282403153256E-2</v>
      </c>
      <c r="D101">
        <v>0.10720308096045635</v>
      </c>
      <c r="E101">
        <v>-6.163133808549344E-2</v>
      </c>
      <c r="F101">
        <v>0.3218202184271679</v>
      </c>
      <c r="G101">
        <v>0.79896951685233364</v>
      </c>
      <c r="H101">
        <v>15.582594576954683</v>
      </c>
      <c r="I101">
        <v>1.1742336383790686E-2</v>
      </c>
      <c r="J101">
        <v>0</v>
      </c>
      <c r="K101" s="1">
        <f t="shared" si="9"/>
        <v>1.6320282403153256E-2</v>
      </c>
      <c r="L101" s="1">
        <f t="shared" si="10"/>
        <v>0.10720308096045635</v>
      </c>
      <c r="M101">
        <f t="shared" si="11"/>
        <v>-6.163133808549344E-2</v>
      </c>
      <c r="N101">
        <f t="shared" si="12"/>
        <v>0.3218202184271679</v>
      </c>
      <c r="O101">
        <f t="shared" si="13"/>
        <v>0.79896951685233364</v>
      </c>
      <c r="P101">
        <f t="shared" si="14"/>
        <v>15.582594576954683</v>
      </c>
      <c r="Q101">
        <f t="shared" si="15"/>
        <v>1.1742336383790686E-2</v>
      </c>
      <c r="R101">
        <f t="shared" si="16"/>
        <v>0</v>
      </c>
      <c r="S101">
        <f t="shared" si="17"/>
        <v>0</v>
      </c>
    </row>
    <row r="102" spans="1:19" x14ac:dyDescent="0.3">
      <c r="A102" t="s">
        <v>45</v>
      </c>
      <c r="B102">
        <v>2009</v>
      </c>
      <c r="C102">
        <v>1.9674630964164136E-2</v>
      </c>
      <c r="D102">
        <v>9.9399012727587402E-2</v>
      </c>
      <c r="E102">
        <v>4.175440233683813E-2</v>
      </c>
      <c r="F102">
        <v>0.44949767709368499</v>
      </c>
      <c r="G102">
        <v>0.77987338596977163</v>
      </c>
      <c r="H102">
        <v>15.614530605287797</v>
      </c>
      <c r="I102">
        <v>3.3629634532096851E-2</v>
      </c>
      <c r="J102">
        <v>0</v>
      </c>
      <c r="K102" s="1">
        <f t="shared" si="9"/>
        <v>1.9674630964164136E-2</v>
      </c>
      <c r="L102" s="1">
        <f t="shared" si="10"/>
        <v>9.9399012727587402E-2</v>
      </c>
      <c r="M102">
        <f t="shared" si="11"/>
        <v>4.175440233683813E-2</v>
      </c>
      <c r="N102">
        <f t="shared" si="12"/>
        <v>0.44949767709368499</v>
      </c>
      <c r="O102">
        <f t="shared" si="13"/>
        <v>0.77987338596977163</v>
      </c>
      <c r="P102">
        <f t="shared" si="14"/>
        <v>15.614530605287797</v>
      </c>
      <c r="Q102">
        <f t="shared" si="15"/>
        <v>3.3629634532096851E-2</v>
      </c>
      <c r="R102">
        <f t="shared" si="16"/>
        <v>0</v>
      </c>
      <c r="S102">
        <f t="shared" si="17"/>
        <v>0</v>
      </c>
    </row>
    <row r="103" spans="1:19" x14ac:dyDescent="0.3">
      <c r="A103" t="s">
        <v>45</v>
      </c>
      <c r="B103">
        <v>2010</v>
      </c>
      <c r="C103">
        <v>1.9173438577703907E-2</v>
      </c>
      <c r="D103">
        <v>0.1766574728060574</v>
      </c>
      <c r="E103">
        <v>0.13960710567542031</v>
      </c>
      <c r="F103">
        <v>0.33471422013478386</v>
      </c>
      <c r="G103">
        <v>0.80837797536982314</v>
      </c>
      <c r="H103">
        <v>15.694370080805626</v>
      </c>
      <c r="I103">
        <v>3.9439309043226609E-2</v>
      </c>
      <c r="J103">
        <v>2.5062957958519927E-2</v>
      </c>
      <c r="K103" s="1">
        <f t="shared" si="9"/>
        <v>1.9173438577703907E-2</v>
      </c>
      <c r="L103" s="1">
        <f t="shared" si="10"/>
        <v>0.1766574728060574</v>
      </c>
      <c r="M103">
        <f t="shared" si="11"/>
        <v>0.13960710567542031</v>
      </c>
      <c r="N103">
        <f t="shared" si="12"/>
        <v>0.33471422013478386</v>
      </c>
      <c r="O103">
        <f t="shared" si="13"/>
        <v>0.80837797536982314</v>
      </c>
      <c r="P103">
        <f t="shared" si="14"/>
        <v>15.694370080805626</v>
      </c>
      <c r="Q103">
        <f t="shared" si="15"/>
        <v>3.9439309043226609E-2</v>
      </c>
      <c r="R103">
        <f t="shared" si="16"/>
        <v>2.5062957958519927E-2</v>
      </c>
      <c r="S103">
        <f t="shared" si="17"/>
        <v>0</v>
      </c>
    </row>
    <row r="104" spans="1:19" x14ac:dyDescent="0.3">
      <c r="A104" t="s">
        <v>46</v>
      </c>
      <c r="B104">
        <v>2007</v>
      </c>
      <c r="C104">
        <v>1.6839052010872869E-3</v>
      </c>
      <c r="D104">
        <v>0.15001867146045558</v>
      </c>
      <c r="E104">
        <v>-0.4200613987094981</v>
      </c>
      <c r="F104">
        <v>0.1287974711026583</v>
      </c>
      <c r="G104">
        <v>0.92191323849968299</v>
      </c>
      <c r="H104">
        <v>14.649714494440319</v>
      </c>
      <c r="I104">
        <v>4.2965991427501432E-3</v>
      </c>
      <c r="J104">
        <v>0</v>
      </c>
      <c r="K104" s="1">
        <f t="shared" si="9"/>
        <v>1.6839052010872869E-3</v>
      </c>
      <c r="L104" s="1">
        <f t="shared" si="10"/>
        <v>0.15001867146045558</v>
      </c>
      <c r="M104">
        <f t="shared" si="11"/>
        <v>-0.4200613987094981</v>
      </c>
      <c r="N104">
        <f t="shared" si="12"/>
        <v>0.1287974711026583</v>
      </c>
      <c r="O104">
        <f t="shared" si="13"/>
        <v>0.92191323849968299</v>
      </c>
      <c r="P104">
        <f t="shared" si="14"/>
        <v>14.649714494440319</v>
      </c>
      <c r="Q104">
        <f t="shared" si="15"/>
        <v>4.2965991427501432E-3</v>
      </c>
      <c r="R104">
        <f t="shared" si="16"/>
        <v>0</v>
      </c>
      <c r="S104">
        <f t="shared" si="17"/>
        <v>0</v>
      </c>
    </row>
    <row r="105" spans="1:19" x14ac:dyDescent="0.3">
      <c r="A105" t="s">
        <v>46</v>
      </c>
      <c r="B105">
        <v>2009</v>
      </c>
      <c r="C105">
        <v>2.9962202255283781E-3</v>
      </c>
      <c r="D105">
        <v>0.10995510977229356</v>
      </c>
      <c r="E105">
        <v>-6.659149578264606E-2</v>
      </c>
      <c r="F105">
        <v>0.90274059204147927</v>
      </c>
      <c r="G105">
        <v>0.98198788459224906</v>
      </c>
      <c r="H105">
        <v>14.749066583176603</v>
      </c>
      <c r="I105">
        <v>1.7754480358159672E-3</v>
      </c>
      <c r="J105">
        <v>0</v>
      </c>
      <c r="K105" s="1">
        <f t="shared" si="9"/>
        <v>2.9962202255283781E-3</v>
      </c>
      <c r="L105" s="1">
        <f t="shared" si="10"/>
        <v>0.10995510977229356</v>
      </c>
      <c r="M105">
        <f t="shared" si="11"/>
        <v>-6.659149578264606E-2</v>
      </c>
      <c r="N105">
        <f t="shared" si="12"/>
        <v>0.90274059204147927</v>
      </c>
      <c r="O105">
        <f t="shared" si="13"/>
        <v>0.98198788459224906</v>
      </c>
      <c r="P105">
        <f t="shared" si="14"/>
        <v>14.749066583176603</v>
      </c>
      <c r="Q105">
        <f t="shared" si="15"/>
        <v>1.7754480358159672E-3</v>
      </c>
      <c r="R105">
        <f t="shared" si="16"/>
        <v>0</v>
      </c>
      <c r="S105">
        <f t="shared" si="17"/>
        <v>0</v>
      </c>
    </row>
    <row r="106" spans="1:19" x14ac:dyDescent="0.3">
      <c r="A106" t="s">
        <v>46</v>
      </c>
      <c r="B106">
        <v>2010</v>
      </c>
      <c r="C106">
        <v>7.8052220162785077E-3</v>
      </c>
      <c r="D106">
        <v>0.1093653799661536</v>
      </c>
      <c r="E106">
        <v>-9.2031589975018133E-2</v>
      </c>
      <c r="F106">
        <v>0.8206591989684906</v>
      </c>
      <c r="G106">
        <v>1.0252899105487951</v>
      </c>
      <c r="H106">
        <v>14.724494661322657</v>
      </c>
      <c r="I106">
        <v>1.9939866715038192E-2</v>
      </c>
      <c r="J106">
        <v>1.3150132968007091E-2</v>
      </c>
      <c r="K106" s="1">
        <f t="shared" si="9"/>
        <v>7.8052220162785077E-3</v>
      </c>
      <c r="L106" s="1">
        <f t="shared" si="10"/>
        <v>0.1093653799661536</v>
      </c>
      <c r="M106">
        <f t="shared" si="11"/>
        <v>-9.2031589975018133E-2</v>
      </c>
      <c r="N106">
        <f t="shared" si="12"/>
        <v>0.8206591989684906</v>
      </c>
      <c r="O106">
        <f t="shared" si="13"/>
        <v>1.0252899105487951</v>
      </c>
      <c r="P106">
        <f t="shared" si="14"/>
        <v>14.724494661322657</v>
      </c>
      <c r="Q106">
        <f t="shared" si="15"/>
        <v>1.9939866715038192E-2</v>
      </c>
      <c r="R106">
        <f t="shared" si="16"/>
        <v>1.3150132968007091E-2</v>
      </c>
      <c r="S106">
        <f t="shared" si="17"/>
        <v>0</v>
      </c>
    </row>
    <row r="107" spans="1:19" x14ac:dyDescent="0.3">
      <c r="A107" t="s">
        <v>47</v>
      </c>
      <c r="B107">
        <v>2009</v>
      </c>
      <c r="C107">
        <v>2.1242852178308532E-3</v>
      </c>
      <c r="D107">
        <v>7.6579155214355668E-2</v>
      </c>
      <c r="E107">
        <v>-6.7198685748586229E-2</v>
      </c>
      <c r="F107">
        <v>0.71474931286134014</v>
      </c>
      <c r="G107">
        <v>0.81305001105740382</v>
      </c>
      <c r="H107">
        <v>13.581464034678403</v>
      </c>
      <c r="I107">
        <v>3.5711044515436663E-2</v>
      </c>
      <c r="J107">
        <v>0</v>
      </c>
      <c r="K107" s="1">
        <f t="shared" si="9"/>
        <v>2.1242852178308532E-3</v>
      </c>
      <c r="L107" s="1">
        <f t="shared" si="10"/>
        <v>7.6579155214355668E-2</v>
      </c>
      <c r="M107">
        <f t="shared" si="11"/>
        <v>-6.7198685748586229E-2</v>
      </c>
      <c r="N107">
        <f t="shared" si="12"/>
        <v>0.71474931286134014</v>
      </c>
      <c r="O107">
        <f t="shared" si="13"/>
        <v>0.81305001105740382</v>
      </c>
      <c r="P107">
        <f t="shared" si="14"/>
        <v>13.581464034678403</v>
      </c>
      <c r="Q107">
        <f t="shared" si="15"/>
        <v>3.5711044515436663E-2</v>
      </c>
      <c r="R107">
        <f t="shared" si="16"/>
        <v>0</v>
      </c>
      <c r="S107">
        <f t="shared" si="17"/>
        <v>0</v>
      </c>
    </row>
    <row r="108" spans="1:19" x14ac:dyDescent="0.3">
      <c r="A108" t="s">
        <v>47</v>
      </c>
      <c r="B108">
        <v>2010</v>
      </c>
      <c r="C108">
        <v>9.6729699984277398E-3</v>
      </c>
      <c r="D108">
        <v>0.171336992410274</v>
      </c>
      <c r="E108">
        <v>8.9347226391092438E-2</v>
      </c>
      <c r="F108">
        <v>0.53314966482283488</v>
      </c>
      <c r="G108">
        <v>0.69373930982566978</v>
      </c>
      <c r="H108">
        <v>13.640628459647802</v>
      </c>
      <c r="I108">
        <v>2.2744430712994465E-3</v>
      </c>
      <c r="J108">
        <v>0</v>
      </c>
      <c r="K108" s="1">
        <f t="shared" si="9"/>
        <v>9.6729699984277398E-3</v>
      </c>
      <c r="L108" s="1">
        <f t="shared" si="10"/>
        <v>0.171336992410274</v>
      </c>
      <c r="M108">
        <f t="shared" si="11"/>
        <v>8.9347226391092438E-2</v>
      </c>
      <c r="N108">
        <f t="shared" si="12"/>
        <v>0.53314966482283488</v>
      </c>
      <c r="O108">
        <f t="shared" si="13"/>
        <v>0.69373930982566978</v>
      </c>
      <c r="P108">
        <f t="shared" si="14"/>
        <v>13.640628459647802</v>
      </c>
      <c r="Q108">
        <f t="shared" si="15"/>
        <v>2.2744430712994465E-3</v>
      </c>
      <c r="R108">
        <f t="shared" si="16"/>
        <v>0</v>
      </c>
      <c r="S108">
        <f t="shared" si="17"/>
        <v>0</v>
      </c>
    </row>
    <row r="109" spans="1:19" x14ac:dyDescent="0.3">
      <c r="A109" t="s">
        <v>48</v>
      </c>
      <c r="B109">
        <v>2007</v>
      </c>
      <c r="C109">
        <v>2.3398938174846234E-3</v>
      </c>
      <c r="D109">
        <v>7.360694906385952E-2</v>
      </c>
      <c r="E109">
        <v>-0.11621350662085671</v>
      </c>
      <c r="F109">
        <v>0.58632909261881505</v>
      </c>
      <c r="G109">
        <v>0.99811354064902325</v>
      </c>
      <c r="H109">
        <v>13.211483529364267</v>
      </c>
      <c r="I109">
        <v>0</v>
      </c>
      <c r="J109">
        <v>0</v>
      </c>
      <c r="K109" s="1">
        <f t="shared" si="9"/>
        <v>2.3398938174846234E-3</v>
      </c>
      <c r="L109" s="1">
        <f t="shared" si="10"/>
        <v>7.360694906385952E-2</v>
      </c>
      <c r="M109">
        <f t="shared" si="11"/>
        <v>-0.11621350662085671</v>
      </c>
      <c r="N109">
        <f t="shared" si="12"/>
        <v>0.58632909261881505</v>
      </c>
      <c r="O109">
        <f t="shared" si="13"/>
        <v>0.99811354064902325</v>
      </c>
      <c r="P109">
        <f t="shared" si="14"/>
        <v>13.211483529364267</v>
      </c>
      <c r="Q109">
        <f t="shared" si="15"/>
        <v>0</v>
      </c>
      <c r="R109">
        <f t="shared" si="16"/>
        <v>0</v>
      </c>
      <c r="S109">
        <f t="shared" si="17"/>
        <v>0</v>
      </c>
    </row>
    <row r="110" spans="1:19" x14ac:dyDescent="0.3">
      <c r="A110" t="s">
        <v>49</v>
      </c>
      <c r="B110">
        <v>2009</v>
      </c>
      <c r="C110">
        <v>1.2822331856380154E-2</v>
      </c>
      <c r="D110">
        <v>1.1338115526656101</v>
      </c>
      <c r="E110">
        <v>0.39109328317367914</v>
      </c>
      <c r="F110">
        <v>0</v>
      </c>
      <c r="G110">
        <v>0.52852918164902563</v>
      </c>
      <c r="H110">
        <v>13.108990355822229</v>
      </c>
      <c r="I110">
        <v>0.24621540012484716</v>
      </c>
      <c r="J110">
        <v>0</v>
      </c>
      <c r="K110" s="1">
        <f t="shared" si="9"/>
        <v>1.2822331856380154E-2</v>
      </c>
      <c r="L110" s="1">
        <f t="shared" si="10"/>
        <v>1.1338115526656101</v>
      </c>
      <c r="M110">
        <f t="shared" si="11"/>
        <v>0.39109328317367914</v>
      </c>
      <c r="N110">
        <f t="shared" si="12"/>
        <v>0</v>
      </c>
      <c r="O110">
        <f t="shared" si="13"/>
        <v>0.52852918164902563</v>
      </c>
      <c r="P110">
        <f t="shared" si="14"/>
        <v>13.108990355822229</v>
      </c>
      <c r="Q110">
        <f t="shared" si="15"/>
        <v>0.24621540012484716</v>
      </c>
      <c r="R110">
        <f t="shared" si="16"/>
        <v>0</v>
      </c>
      <c r="S110">
        <f t="shared" si="17"/>
        <v>0</v>
      </c>
    </row>
    <row r="111" spans="1:19" x14ac:dyDescent="0.3">
      <c r="A111" t="s">
        <v>50</v>
      </c>
      <c r="B111">
        <v>2007</v>
      </c>
      <c r="C111">
        <v>5.1780197495770286E-2</v>
      </c>
      <c r="D111">
        <v>0.24781006270981323</v>
      </c>
      <c r="E111">
        <v>-0.13942154731781001</v>
      </c>
      <c r="F111">
        <v>0.36662642613533308</v>
      </c>
      <c r="G111">
        <v>0.81628842053932227</v>
      </c>
      <c r="H111">
        <v>14.112085967204198</v>
      </c>
      <c r="I111">
        <v>6.9440695138441866E-3</v>
      </c>
      <c r="J111">
        <v>0</v>
      </c>
      <c r="K111" s="1">
        <f t="shared" si="9"/>
        <v>5.1780197495770286E-2</v>
      </c>
      <c r="L111" s="1">
        <f t="shared" si="10"/>
        <v>0.24781006270981323</v>
      </c>
      <c r="M111">
        <f t="shared" si="11"/>
        <v>-0.13942154731781001</v>
      </c>
      <c r="N111">
        <f t="shared" si="12"/>
        <v>0.36662642613533308</v>
      </c>
      <c r="O111">
        <f t="shared" si="13"/>
        <v>0.81628842053932227</v>
      </c>
      <c r="P111">
        <f t="shared" si="14"/>
        <v>14.112085967204198</v>
      </c>
      <c r="Q111">
        <f t="shared" si="15"/>
        <v>6.9440695138441866E-3</v>
      </c>
      <c r="R111">
        <f t="shared" si="16"/>
        <v>0</v>
      </c>
      <c r="S111">
        <f t="shared" si="17"/>
        <v>0</v>
      </c>
    </row>
    <row r="112" spans="1:19" x14ac:dyDescent="0.3">
      <c r="A112" t="s">
        <v>50</v>
      </c>
      <c r="B112">
        <v>2009</v>
      </c>
      <c r="C112">
        <v>3.5010826217614421E-2</v>
      </c>
      <c r="D112">
        <v>2.7816380201275321E-2</v>
      </c>
      <c r="E112">
        <v>-2.1646478575406764E-2</v>
      </c>
      <c r="F112">
        <v>0.68961487257229148</v>
      </c>
      <c r="G112">
        <v>0.84875754335699116</v>
      </c>
      <c r="H112">
        <v>14.333586832119291</v>
      </c>
      <c r="I112">
        <v>1.2338998198251339E-2</v>
      </c>
      <c r="J112">
        <v>0</v>
      </c>
      <c r="K112" s="1">
        <f t="shared" si="9"/>
        <v>3.5010826217614421E-2</v>
      </c>
      <c r="L112" s="1">
        <f t="shared" si="10"/>
        <v>2.7816380201275321E-2</v>
      </c>
      <c r="M112">
        <f t="shared" si="11"/>
        <v>-2.1646478575406764E-2</v>
      </c>
      <c r="N112">
        <f t="shared" si="12"/>
        <v>0.68961487257229148</v>
      </c>
      <c r="O112">
        <f t="shared" si="13"/>
        <v>0.84875754335699116</v>
      </c>
      <c r="P112">
        <f t="shared" si="14"/>
        <v>14.333586832119291</v>
      </c>
      <c r="Q112">
        <f t="shared" si="15"/>
        <v>1.2338998198251339E-2</v>
      </c>
      <c r="R112">
        <f t="shared" si="16"/>
        <v>0</v>
      </c>
      <c r="S112">
        <f t="shared" si="17"/>
        <v>0</v>
      </c>
    </row>
    <row r="113" spans="1:19" x14ac:dyDescent="0.3">
      <c r="A113" t="s">
        <v>50</v>
      </c>
      <c r="B113">
        <v>2010</v>
      </c>
      <c r="C113">
        <v>5.7912754067069604E-2</v>
      </c>
      <c r="D113">
        <v>6.65077725219234E-2</v>
      </c>
      <c r="E113">
        <v>1.1737095802708813E-3</v>
      </c>
      <c r="F113">
        <v>0.61028736482234358</v>
      </c>
      <c r="G113">
        <v>0.82060786008616948</v>
      </c>
      <c r="H113">
        <v>14.391068871515884</v>
      </c>
      <c r="I113">
        <v>3.0553028501879125E-3</v>
      </c>
      <c r="J113">
        <v>8.2339635671997945E-3</v>
      </c>
      <c r="K113" s="1">
        <f t="shared" si="9"/>
        <v>5.7912754067069604E-2</v>
      </c>
      <c r="L113" s="1">
        <f t="shared" si="10"/>
        <v>6.65077725219234E-2</v>
      </c>
      <c r="M113">
        <f t="shared" si="11"/>
        <v>1.1737095802708813E-3</v>
      </c>
      <c r="N113">
        <f t="shared" si="12"/>
        <v>0.61028736482234358</v>
      </c>
      <c r="O113">
        <f t="shared" si="13"/>
        <v>0.82060786008616948</v>
      </c>
      <c r="P113">
        <f t="shared" si="14"/>
        <v>14.391068871515884</v>
      </c>
      <c r="Q113">
        <f t="shared" si="15"/>
        <v>3.0553028501879125E-3</v>
      </c>
      <c r="R113">
        <f t="shared" si="16"/>
        <v>8.2339635671997945E-3</v>
      </c>
      <c r="S113">
        <f t="shared" si="17"/>
        <v>0</v>
      </c>
    </row>
    <row r="114" spans="1:19" x14ac:dyDescent="0.3">
      <c r="A114" t="s">
        <v>51</v>
      </c>
      <c r="B114">
        <v>2007</v>
      </c>
      <c r="C114">
        <v>8.3446725406622416E-3</v>
      </c>
      <c r="D114">
        <v>2.9931591217383525E-2</v>
      </c>
      <c r="E114">
        <v>0.18947130123692502</v>
      </c>
      <c r="F114">
        <v>0.38021007331298351</v>
      </c>
      <c r="G114">
        <v>0.69202296178187572</v>
      </c>
      <c r="H114">
        <v>15.708502935989307</v>
      </c>
      <c r="I114">
        <v>8.0541248093492918E-4</v>
      </c>
      <c r="J114">
        <v>0</v>
      </c>
      <c r="K114" s="1">
        <f t="shared" si="9"/>
        <v>8.3446725406622416E-3</v>
      </c>
      <c r="L114" s="1">
        <f t="shared" si="10"/>
        <v>2.9931591217383525E-2</v>
      </c>
      <c r="M114">
        <f t="shared" si="11"/>
        <v>0.18947130123692502</v>
      </c>
      <c r="N114">
        <f t="shared" si="12"/>
        <v>0.38021007331298351</v>
      </c>
      <c r="O114">
        <f t="shared" si="13"/>
        <v>0.69202296178187572</v>
      </c>
      <c r="P114">
        <f t="shared" si="14"/>
        <v>15.708502935989307</v>
      </c>
      <c r="Q114">
        <f t="shared" si="15"/>
        <v>8.0541248093492918E-4</v>
      </c>
      <c r="R114">
        <f t="shared" si="16"/>
        <v>0</v>
      </c>
      <c r="S114">
        <f t="shared" si="17"/>
        <v>0</v>
      </c>
    </row>
    <row r="115" spans="1:19" x14ac:dyDescent="0.3">
      <c r="A115" t="s">
        <v>51</v>
      </c>
      <c r="B115">
        <v>2009</v>
      </c>
      <c r="C115">
        <v>6.1235823404030103E-3</v>
      </c>
      <c r="D115">
        <v>1.3298680210574744E-2</v>
      </c>
      <c r="E115">
        <v>-2.3315079756725334E-2</v>
      </c>
      <c r="F115">
        <v>0.63353966967644793</v>
      </c>
      <c r="G115">
        <v>0.76933918689554026</v>
      </c>
      <c r="H115">
        <v>16.043058046830662</v>
      </c>
      <c r="I115">
        <v>9.6157745177649027E-3</v>
      </c>
      <c r="J115">
        <v>0</v>
      </c>
      <c r="K115" s="1">
        <f t="shared" si="9"/>
        <v>6.1235823404030103E-3</v>
      </c>
      <c r="L115" s="1">
        <f t="shared" si="10"/>
        <v>1.3298680210574744E-2</v>
      </c>
      <c r="M115">
        <f t="shared" si="11"/>
        <v>-2.3315079756725334E-2</v>
      </c>
      <c r="N115">
        <f t="shared" si="12"/>
        <v>0.63353966967644793</v>
      </c>
      <c r="O115">
        <f t="shared" si="13"/>
        <v>0.76933918689554026</v>
      </c>
      <c r="P115">
        <f t="shared" si="14"/>
        <v>16.043058046830662</v>
      </c>
      <c r="Q115">
        <f t="shared" si="15"/>
        <v>9.6157745177649027E-3</v>
      </c>
      <c r="R115">
        <f t="shared" si="16"/>
        <v>0</v>
      </c>
      <c r="S115">
        <f t="shared" si="17"/>
        <v>0</v>
      </c>
    </row>
    <row r="116" spans="1:19" x14ac:dyDescent="0.3">
      <c r="A116" t="s">
        <v>51</v>
      </c>
      <c r="B116">
        <v>2010</v>
      </c>
      <c r="C116">
        <v>6.5766273437734644E-3</v>
      </c>
      <c r="D116">
        <v>4.2948605797009522E-2</v>
      </c>
      <c r="E116">
        <v>2.4244625123315044E-2</v>
      </c>
      <c r="F116">
        <v>0.61480076678486573</v>
      </c>
      <c r="G116">
        <v>0.74987465499616801</v>
      </c>
      <c r="H116">
        <v>16.069153065173303</v>
      </c>
      <c r="I116">
        <v>1.2894739343431716E-4</v>
      </c>
      <c r="J116">
        <v>1.9936238482107056E-3</v>
      </c>
      <c r="K116" s="1">
        <f t="shared" si="9"/>
        <v>6.5766273437734644E-3</v>
      </c>
      <c r="L116" s="1">
        <f t="shared" si="10"/>
        <v>4.2948605797009522E-2</v>
      </c>
      <c r="M116">
        <f t="shared" si="11"/>
        <v>2.4244625123315044E-2</v>
      </c>
      <c r="N116">
        <f t="shared" si="12"/>
        <v>0.61480076678486573</v>
      </c>
      <c r="O116">
        <f t="shared" si="13"/>
        <v>0.74987465499616801</v>
      </c>
      <c r="P116">
        <f t="shared" si="14"/>
        <v>16.069153065173303</v>
      </c>
      <c r="Q116">
        <f t="shared" si="15"/>
        <v>1.2894739343431716E-4</v>
      </c>
      <c r="R116">
        <f t="shared" si="16"/>
        <v>1.9936238482107056E-3</v>
      </c>
      <c r="S116">
        <f t="shared" si="17"/>
        <v>0</v>
      </c>
    </row>
    <row r="117" spans="1:19" x14ac:dyDescent="0.3">
      <c r="A117" t="s">
        <v>52</v>
      </c>
      <c r="B117">
        <v>2007</v>
      </c>
      <c r="C117">
        <v>2.6186382915720296E-2</v>
      </c>
      <c r="D117">
        <v>4.3320329654610613E-2</v>
      </c>
      <c r="E117">
        <v>-2.3727215912090531E-2</v>
      </c>
      <c r="F117">
        <v>0.36389743462694718</v>
      </c>
      <c r="G117">
        <v>0.78807843734064309</v>
      </c>
      <c r="H117">
        <v>15.036511261232755</v>
      </c>
      <c r="I117">
        <v>2.7660757821268839E-3</v>
      </c>
      <c r="J117">
        <v>0</v>
      </c>
      <c r="K117" s="1">
        <f t="shared" si="9"/>
        <v>2.6186382915720296E-2</v>
      </c>
      <c r="L117" s="1">
        <f t="shared" si="10"/>
        <v>4.3320329654610613E-2</v>
      </c>
      <c r="M117">
        <f t="shared" si="11"/>
        <v>-2.3727215912090531E-2</v>
      </c>
      <c r="N117">
        <f t="shared" si="12"/>
        <v>0.36389743462694718</v>
      </c>
      <c r="O117">
        <f t="shared" si="13"/>
        <v>0.78807843734064309</v>
      </c>
      <c r="P117">
        <f t="shared" si="14"/>
        <v>15.036511261232755</v>
      </c>
      <c r="Q117">
        <f t="shared" si="15"/>
        <v>2.7660757821268839E-3</v>
      </c>
      <c r="R117">
        <f t="shared" si="16"/>
        <v>0</v>
      </c>
      <c r="S117">
        <f t="shared" si="17"/>
        <v>0</v>
      </c>
    </row>
    <row r="118" spans="1:19" x14ac:dyDescent="0.3">
      <c r="A118" t="s">
        <v>52</v>
      </c>
      <c r="B118">
        <v>2009</v>
      </c>
      <c r="C118">
        <v>3.7535724250393865E-2</v>
      </c>
      <c r="D118">
        <v>2.5317745078089291E-2</v>
      </c>
      <c r="E118">
        <v>-2.8509239647164099E-2</v>
      </c>
      <c r="F118">
        <v>0.68241202586481187</v>
      </c>
      <c r="G118">
        <v>0.80149449215447566</v>
      </c>
      <c r="H118">
        <v>15.271832954603907</v>
      </c>
      <c r="I118">
        <v>8.0488855587174616E-3</v>
      </c>
      <c r="J118">
        <v>0</v>
      </c>
      <c r="K118" s="1">
        <f t="shared" si="9"/>
        <v>3.7535724250393865E-2</v>
      </c>
      <c r="L118" s="1">
        <f t="shared" si="10"/>
        <v>2.5317745078089291E-2</v>
      </c>
      <c r="M118">
        <f t="shared" si="11"/>
        <v>-2.8509239647164099E-2</v>
      </c>
      <c r="N118">
        <f t="shared" si="12"/>
        <v>0.68241202586481187</v>
      </c>
      <c r="O118">
        <f t="shared" si="13"/>
        <v>0.80149449215447566</v>
      </c>
      <c r="P118">
        <f t="shared" si="14"/>
        <v>15.271832954603907</v>
      </c>
      <c r="Q118">
        <f t="shared" si="15"/>
        <v>8.0488855587174616E-3</v>
      </c>
      <c r="R118">
        <f t="shared" si="16"/>
        <v>0</v>
      </c>
      <c r="S118">
        <f t="shared" si="17"/>
        <v>0</v>
      </c>
    </row>
    <row r="119" spans="1:19" x14ac:dyDescent="0.3">
      <c r="A119" t="s">
        <v>52</v>
      </c>
      <c r="B119">
        <v>2010</v>
      </c>
      <c r="C119">
        <v>9.2060806709169975E-3</v>
      </c>
      <c r="D119">
        <v>5.0645474175514411E-2</v>
      </c>
      <c r="E119">
        <v>-1.3890464747587171E-2</v>
      </c>
      <c r="F119">
        <v>0.66455849884264517</v>
      </c>
      <c r="G119">
        <v>0.78842548096556453</v>
      </c>
      <c r="H119">
        <v>15.326267375438169</v>
      </c>
      <c r="I119">
        <v>5.3349552731772332E-3</v>
      </c>
      <c r="J119">
        <v>4.0883783744408032E-3</v>
      </c>
      <c r="K119" s="1">
        <f t="shared" si="9"/>
        <v>9.2060806709169975E-3</v>
      </c>
      <c r="L119" s="1">
        <f t="shared" si="10"/>
        <v>5.0645474175514411E-2</v>
      </c>
      <c r="M119">
        <f t="shared" si="11"/>
        <v>-1.3890464747587171E-2</v>
      </c>
      <c r="N119">
        <f t="shared" si="12"/>
        <v>0.66455849884264517</v>
      </c>
      <c r="O119">
        <f t="shared" si="13"/>
        <v>0.78842548096556453</v>
      </c>
      <c r="P119">
        <f t="shared" si="14"/>
        <v>15.326267375438169</v>
      </c>
      <c r="Q119">
        <f t="shared" si="15"/>
        <v>5.3349552731772332E-3</v>
      </c>
      <c r="R119">
        <f t="shared" si="16"/>
        <v>4.0883783744408032E-3</v>
      </c>
      <c r="S119">
        <f t="shared" si="17"/>
        <v>0</v>
      </c>
    </row>
    <row r="120" spans="1:19" x14ac:dyDescent="0.3">
      <c r="A120" t="s">
        <v>53</v>
      </c>
      <c r="B120">
        <v>2007</v>
      </c>
      <c r="C120">
        <v>6.266181702179777E-3</v>
      </c>
      <c r="D120">
        <v>0.15333346625233912</v>
      </c>
      <c r="E120">
        <v>-0.12622938212600152</v>
      </c>
      <c r="F120">
        <v>0.22865866684136021</v>
      </c>
      <c r="G120">
        <v>0.58774050032612624</v>
      </c>
      <c r="H120">
        <v>12.768800728105388</v>
      </c>
      <c r="I120">
        <v>2.0236523565554117E-2</v>
      </c>
      <c r="J120">
        <v>0</v>
      </c>
      <c r="K120" s="1">
        <f t="shared" si="9"/>
        <v>6.266181702179777E-3</v>
      </c>
      <c r="L120" s="1">
        <f t="shared" si="10"/>
        <v>0.15333346625233912</v>
      </c>
      <c r="M120">
        <f t="shared" si="11"/>
        <v>-0.12622938212600152</v>
      </c>
      <c r="N120">
        <f t="shared" si="12"/>
        <v>0.22865866684136021</v>
      </c>
      <c r="O120">
        <f t="shared" si="13"/>
        <v>0.58774050032612624</v>
      </c>
      <c r="P120">
        <f t="shared" si="14"/>
        <v>12.768800728105388</v>
      </c>
      <c r="Q120">
        <f t="shared" si="15"/>
        <v>2.0236523565554117E-2</v>
      </c>
      <c r="R120">
        <f t="shared" si="16"/>
        <v>0</v>
      </c>
      <c r="S120">
        <f t="shared" si="17"/>
        <v>0</v>
      </c>
    </row>
    <row r="121" spans="1:19" x14ac:dyDescent="0.3">
      <c r="A121" t="s">
        <v>53</v>
      </c>
      <c r="B121">
        <v>2009</v>
      </c>
      <c r="C121">
        <v>2.6088764569496153E-3</v>
      </c>
      <c r="D121">
        <v>8.3601740297137295E-2</v>
      </c>
      <c r="E121">
        <v>-6.1934334775734699E-2</v>
      </c>
      <c r="F121">
        <v>0.34680402826217444</v>
      </c>
      <c r="G121">
        <v>0.5782859093209467</v>
      </c>
      <c r="H121">
        <v>12.44862266724941</v>
      </c>
      <c r="I121">
        <v>1.0555059600675371E-2</v>
      </c>
      <c r="J121">
        <v>0</v>
      </c>
      <c r="K121" s="1">
        <f t="shared" si="9"/>
        <v>2.6088764569496153E-3</v>
      </c>
      <c r="L121" s="1">
        <f t="shared" si="10"/>
        <v>8.3601740297137295E-2</v>
      </c>
      <c r="M121">
        <f t="shared" si="11"/>
        <v>-6.1934334775734699E-2</v>
      </c>
      <c r="N121">
        <f t="shared" si="12"/>
        <v>0.34680402826217444</v>
      </c>
      <c r="O121">
        <f t="shared" si="13"/>
        <v>0.5782859093209467</v>
      </c>
      <c r="P121">
        <f t="shared" si="14"/>
        <v>12.44862266724941</v>
      </c>
      <c r="Q121">
        <f t="shared" si="15"/>
        <v>1.0555059600675371E-2</v>
      </c>
      <c r="R121">
        <f t="shared" si="16"/>
        <v>0</v>
      </c>
      <c r="S121">
        <f t="shared" si="17"/>
        <v>0</v>
      </c>
    </row>
    <row r="122" spans="1:19" x14ac:dyDescent="0.3">
      <c r="A122" t="s">
        <v>53</v>
      </c>
      <c r="B122">
        <v>2010</v>
      </c>
      <c r="C122">
        <v>1.4262602010597574E-2</v>
      </c>
      <c r="D122">
        <v>4.5510738689891757E-2</v>
      </c>
      <c r="E122">
        <v>-6.5517337329617953E-2</v>
      </c>
      <c r="F122">
        <v>0.34624573175336987</v>
      </c>
      <c r="G122">
        <v>0.52342890760711858</v>
      </c>
      <c r="H122">
        <v>12.435464634633785</v>
      </c>
      <c r="I122">
        <v>1.150483349536564E-2</v>
      </c>
      <c r="J122">
        <v>0</v>
      </c>
      <c r="K122" s="1">
        <f t="shared" si="9"/>
        <v>1.4262602010597574E-2</v>
      </c>
      <c r="L122" s="1">
        <f t="shared" si="10"/>
        <v>4.5510738689891757E-2</v>
      </c>
      <c r="M122">
        <f t="shared" si="11"/>
        <v>-6.5517337329617953E-2</v>
      </c>
      <c r="N122">
        <f t="shared" si="12"/>
        <v>0.34624573175336987</v>
      </c>
      <c r="O122">
        <f t="shared" si="13"/>
        <v>0.52342890760711858</v>
      </c>
      <c r="P122">
        <f t="shared" si="14"/>
        <v>12.435464634633785</v>
      </c>
      <c r="Q122">
        <f t="shared" si="15"/>
        <v>1.150483349536564E-2</v>
      </c>
      <c r="R122">
        <f t="shared" si="16"/>
        <v>0</v>
      </c>
      <c r="S122">
        <f t="shared" si="17"/>
        <v>0</v>
      </c>
    </row>
    <row r="123" spans="1:19" x14ac:dyDescent="0.3">
      <c r="A123" t="s">
        <v>54</v>
      </c>
      <c r="B123">
        <v>2007</v>
      </c>
      <c r="C123">
        <v>6.0071314464433763E-2</v>
      </c>
      <c r="D123">
        <v>0.148702117190291</v>
      </c>
      <c r="E123">
        <v>-0.72466078445910875</v>
      </c>
      <c r="F123">
        <v>0.11854176075277877</v>
      </c>
      <c r="G123">
        <v>0.95721132133974129</v>
      </c>
      <c r="H123">
        <v>13.293671171435118</v>
      </c>
      <c r="I123">
        <v>1.6732804369852545E-2</v>
      </c>
      <c r="J123">
        <v>0</v>
      </c>
      <c r="K123" s="1">
        <f t="shared" si="9"/>
        <v>6.0071314464433763E-2</v>
      </c>
      <c r="L123" s="1">
        <f t="shared" si="10"/>
        <v>0.148702117190291</v>
      </c>
      <c r="M123">
        <f t="shared" si="11"/>
        <v>-0.72466078445910875</v>
      </c>
      <c r="N123">
        <f t="shared" si="12"/>
        <v>0.11854176075277877</v>
      </c>
      <c r="O123">
        <f t="shared" si="13"/>
        <v>0.95721132133974129</v>
      </c>
      <c r="P123">
        <f t="shared" si="14"/>
        <v>13.293671171435118</v>
      </c>
      <c r="Q123">
        <f t="shared" si="15"/>
        <v>1.6732804369852545E-2</v>
      </c>
      <c r="R123">
        <f t="shared" si="16"/>
        <v>0</v>
      </c>
      <c r="S123">
        <f t="shared" si="17"/>
        <v>0</v>
      </c>
    </row>
    <row r="124" spans="1:19" x14ac:dyDescent="0.3">
      <c r="A124" t="s">
        <v>54</v>
      </c>
      <c r="B124">
        <v>2009</v>
      </c>
      <c r="C124">
        <v>1.578474836967491E-3</v>
      </c>
      <c r="D124">
        <v>0.14147950697020525</v>
      </c>
      <c r="E124">
        <v>-0.14946931787337403</v>
      </c>
      <c r="F124">
        <v>0.86518377261053847</v>
      </c>
      <c r="G124">
        <v>1.1955453324332035</v>
      </c>
      <c r="H124">
        <v>13.484802675484888</v>
      </c>
      <c r="I124">
        <v>2.5876200214319561E-2</v>
      </c>
      <c r="J124">
        <v>0</v>
      </c>
      <c r="K124" s="1">
        <f t="shared" si="9"/>
        <v>1.578474836967491E-3</v>
      </c>
      <c r="L124" s="1">
        <f t="shared" si="10"/>
        <v>0.14147950697020525</v>
      </c>
      <c r="M124">
        <f t="shared" si="11"/>
        <v>-0.14946931787337403</v>
      </c>
      <c r="N124">
        <f t="shared" si="12"/>
        <v>0.86518377261053847</v>
      </c>
      <c r="O124">
        <f t="shared" si="13"/>
        <v>1.1955453324332035</v>
      </c>
      <c r="P124">
        <f t="shared" si="14"/>
        <v>13.484802675484888</v>
      </c>
      <c r="Q124">
        <f t="shared" si="15"/>
        <v>2.5876200214319561E-2</v>
      </c>
      <c r="R124">
        <f t="shared" si="16"/>
        <v>0</v>
      </c>
      <c r="S124">
        <f t="shared" si="17"/>
        <v>0</v>
      </c>
    </row>
    <row r="125" spans="1:19" x14ac:dyDescent="0.3">
      <c r="A125" t="s">
        <v>54</v>
      </c>
      <c r="B125">
        <v>2010</v>
      </c>
      <c r="C125">
        <v>1.4188220938976461E-3</v>
      </c>
      <c r="D125">
        <v>7.0023126800130536E-2</v>
      </c>
      <c r="E125">
        <v>-0.14669769157645324</v>
      </c>
      <c r="F125">
        <v>0.90697492941360081</v>
      </c>
      <c r="G125">
        <v>1.2270162171365333</v>
      </c>
      <c r="H125">
        <v>13.465683541925699</v>
      </c>
      <c r="I125">
        <v>9.7258360437317698E-3</v>
      </c>
      <c r="J125">
        <v>0</v>
      </c>
      <c r="K125" s="1">
        <f t="shared" si="9"/>
        <v>1.4188220938976461E-3</v>
      </c>
      <c r="L125" s="1">
        <f t="shared" si="10"/>
        <v>7.0023126800130536E-2</v>
      </c>
      <c r="M125">
        <f t="shared" si="11"/>
        <v>-0.14669769157645324</v>
      </c>
      <c r="N125">
        <f t="shared" si="12"/>
        <v>0.90697492941360081</v>
      </c>
      <c r="O125">
        <f t="shared" si="13"/>
        <v>1.2270162171365333</v>
      </c>
      <c r="P125">
        <f t="shared" si="14"/>
        <v>13.465683541925699</v>
      </c>
      <c r="Q125">
        <f t="shared" si="15"/>
        <v>9.7258360437317698E-3</v>
      </c>
      <c r="R125">
        <f t="shared" si="16"/>
        <v>0</v>
      </c>
      <c r="S125">
        <f t="shared" si="17"/>
        <v>0</v>
      </c>
    </row>
    <row r="126" spans="1:19" x14ac:dyDescent="0.3">
      <c r="A126" t="s">
        <v>55</v>
      </c>
      <c r="B126">
        <v>2007</v>
      </c>
      <c r="C126">
        <v>2.3945823709090029E-3</v>
      </c>
      <c r="D126">
        <v>5.0328611777954703E-2</v>
      </c>
      <c r="E126">
        <v>-1.1201378020095116</v>
      </c>
      <c r="F126">
        <v>0.38672051197442547</v>
      </c>
      <c r="G126">
        <v>1.5793769242179767</v>
      </c>
      <c r="H126">
        <v>12.707844406495409</v>
      </c>
      <c r="I126">
        <v>1.6221337478277299E-3</v>
      </c>
      <c r="J126">
        <v>0</v>
      </c>
      <c r="K126" s="1">
        <f t="shared" si="9"/>
        <v>2.3945823709090029E-3</v>
      </c>
      <c r="L126" s="1">
        <f t="shared" si="10"/>
        <v>5.0328611777954703E-2</v>
      </c>
      <c r="M126">
        <f t="shared" si="11"/>
        <v>-1.1201378020095116</v>
      </c>
      <c r="N126">
        <f t="shared" si="12"/>
        <v>0.38672051197442547</v>
      </c>
      <c r="O126">
        <f t="shared" si="13"/>
        <v>1.5793769242179767</v>
      </c>
      <c r="P126">
        <f t="shared" si="14"/>
        <v>12.707844406495409</v>
      </c>
      <c r="Q126">
        <f t="shared" si="15"/>
        <v>1.6221337478277299E-3</v>
      </c>
      <c r="R126">
        <f t="shared" si="16"/>
        <v>0</v>
      </c>
      <c r="S126">
        <f t="shared" si="17"/>
        <v>0</v>
      </c>
    </row>
    <row r="127" spans="1:19" x14ac:dyDescent="0.3">
      <c r="A127" t="s">
        <v>56</v>
      </c>
      <c r="B127">
        <v>2009</v>
      </c>
      <c r="C127">
        <v>6.4429747401843307E-4</v>
      </c>
      <c r="D127">
        <v>3.5055505290047334E-2</v>
      </c>
      <c r="E127">
        <v>0.10326026361929419</v>
      </c>
      <c r="F127">
        <v>0.61581025094054609</v>
      </c>
      <c r="G127">
        <v>0.85708714888007675</v>
      </c>
      <c r="H127">
        <v>14.522074332169042</v>
      </c>
      <c r="I127">
        <v>2.4473443904587892E-2</v>
      </c>
      <c r="J127">
        <v>0</v>
      </c>
      <c r="K127" s="1">
        <f t="shared" si="9"/>
        <v>6.4429747401843307E-4</v>
      </c>
      <c r="L127" s="1">
        <f t="shared" si="10"/>
        <v>3.5055505290047334E-2</v>
      </c>
      <c r="M127">
        <f t="shared" si="11"/>
        <v>0.10326026361929419</v>
      </c>
      <c r="N127">
        <f t="shared" si="12"/>
        <v>0.61581025094054609</v>
      </c>
      <c r="O127">
        <f t="shared" si="13"/>
        <v>0.85708714888007675</v>
      </c>
      <c r="P127">
        <f t="shared" si="14"/>
        <v>14.522074332169042</v>
      </c>
      <c r="Q127">
        <f t="shared" si="15"/>
        <v>2.4473443904587892E-2</v>
      </c>
      <c r="R127">
        <f t="shared" si="16"/>
        <v>0</v>
      </c>
      <c r="S127">
        <f t="shared" si="17"/>
        <v>0</v>
      </c>
    </row>
    <row r="128" spans="1:19" x14ac:dyDescent="0.3">
      <c r="A128" t="s">
        <v>56</v>
      </c>
      <c r="B128">
        <v>2010</v>
      </c>
      <c r="C128">
        <v>4.5374676387699838E-3</v>
      </c>
      <c r="D128">
        <v>0.11613916126614275</v>
      </c>
      <c r="E128">
        <v>9.9340255450234144E-2</v>
      </c>
      <c r="F128">
        <v>0.69423363036890851</v>
      </c>
      <c r="G128">
        <v>0.90916552238475024</v>
      </c>
      <c r="H128">
        <v>14.430182010829371</v>
      </c>
      <c r="I128">
        <v>2.3342296268798052E-3</v>
      </c>
      <c r="J128">
        <v>0</v>
      </c>
      <c r="K128" s="1">
        <f t="shared" si="9"/>
        <v>4.5374676387699838E-3</v>
      </c>
      <c r="L128" s="1">
        <f t="shared" si="10"/>
        <v>0.11613916126614275</v>
      </c>
      <c r="M128">
        <f t="shared" si="11"/>
        <v>9.9340255450234144E-2</v>
      </c>
      <c r="N128">
        <f t="shared" si="12"/>
        <v>0.69423363036890851</v>
      </c>
      <c r="O128">
        <f t="shared" si="13"/>
        <v>0.90916552238475024</v>
      </c>
      <c r="P128">
        <f t="shared" si="14"/>
        <v>14.430182010829371</v>
      </c>
      <c r="Q128">
        <f t="shared" si="15"/>
        <v>2.3342296268798052E-3</v>
      </c>
      <c r="R128">
        <f t="shared" si="16"/>
        <v>0</v>
      </c>
      <c r="S128">
        <f t="shared" si="17"/>
        <v>0</v>
      </c>
    </row>
    <row r="129" spans="1:19" x14ac:dyDescent="0.3">
      <c r="A129" t="s">
        <v>57</v>
      </c>
      <c r="B129">
        <v>2007</v>
      </c>
      <c r="C129">
        <v>8.7465429657221511E-3</v>
      </c>
      <c r="D129">
        <v>0.10731473765081834</v>
      </c>
      <c r="E129">
        <v>-0.25044816182988777</v>
      </c>
      <c r="F129">
        <v>0.4208781316726436</v>
      </c>
      <c r="G129">
        <v>0.82184100511585401</v>
      </c>
      <c r="H129">
        <v>13.970415524674214</v>
      </c>
      <c r="I129">
        <v>2.4807448767315127E-2</v>
      </c>
      <c r="J129">
        <v>0</v>
      </c>
      <c r="K129" s="1">
        <f t="shared" si="9"/>
        <v>8.7465429657221511E-3</v>
      </c>
      <c r="L129" s="1">
        <f t="shared" si="10"/>
        <v>0.10731473765081834</v>
      </c>
      <c r="M129">
        <f t="shared" si="11"/>
        <v>-0.25044816182988777</v>
      </c>
      <c r="N129">
        <f t="shared" si="12"/>
        <v>0.4208781316726436</v>
      </c>
      <c r="O129">
        <f t="shared" si="13"/>
        <v>0.82184100511585401</v>
      </c>
      <c r="P129">
        <f t="shared" si="14"/>
        <v>13.970415524674214</v>
      </c>
      <c r="Q129">
        <f t="shared" si="15"/>
        <v>2.4807448767315127E-2</v>
      </c>
      <c r="R129">
        <f t="shared" si="16"/>
        <v>0</v>
      </c>
      <c r="S129">
        <f t="shared" si="17"/>
        <v>0</v>
      </c>
    </row>
    <row r="130" spans="1:19" x14ac:dyDescent="0.3">
      <c r="A130" t="s">
        <v>57</v>
      </c>
      <c r="B130">
        <v>2008</v>
      </c>
      <c r="C130">
        <v>1.1360403641713524E-2</v>
      </c>
      <c r="D130">
        <v>0.1926377073391024</v>
      </c>
      <c r="E130">
        <v>-0.37771370468396015</v>
      </c>
      <c r="F130">
        <v>0.43719058156816759</v>
      </c>
      <c r="G130">
        <v>0.93278443493258401</v>
      </c>
      <c r="H130">
        <v>13.878582066064226</v>
      </c>
      <c r="I130">
        <v>4.0563358513548461E-2</v>
      </c>
      <c r="J130">
        <v>0</v>
      </c>
      <c r="K130" s="1">
        <f t="shared" si="9"/>
        <v>1.1360403641713524E-2</v>
      </c>
      <c r="L130" s="1">
        <f t="shared" si="10"/>
        <v>0.1926377073391024</v>
      </c>
      <c r="M130">
        <f t="shared" si="11"/>
        <v>-0.37771370468396015</v>
      </c>
      <c r="N130">
        <f t="shared" si="12"/>
        <v>0.43719058156816759</v>
      </c>
      <c r="O130">
        <f t="shared" si="13"/>
        <v>0.93278443493258401</v>
      </c>
      <c r="P130">
        <f t="shared" si="14"/>
        <v>13.878582066064226</v>
      </c>
      <c r="Q130">
        <f t="shared" si="15"/>
        <v>4.0563358513548461E-2</v>
      </c>
      <c r="R130">
        <f t="shared" si="16"/>
        <v>0</v>
      </c>
      <c r="S130">
        <f t="shared" si="17"/>
        <v>0</v>
      </c>
    </row>
    <row r="131" spans="1:19" x14ac:dyDescent="0.3">
      <c r="A131" t="s">
        <v>57</v>
      </c>
      <c r="B131">
        <v>2009</v>
      </c>
      <c r="C131">
        <v>4.0568591376739117E-3</v>
      </c>
      <c r="D131">
        <v>4.8683681603097315E-2</v>
      </c>
      <c r="E131">
        <v>-0.14880729438913196</v>
      </c>
      <c r="F131">
        <v>0.56628032526214556</v>
      </c>
      <c r="G131">
        <v>0.79590088477120657</v>
      </c>
      <c r="H131">
        <v>14.19242391658301</v>
      </c>
      <c r="I131">
        <v>1.4009936970480483E-2</v>
      </c>
      <c r="J131">
        <v>0</v>
      </c>
      <c r="K131" s="1">
        <f t="shared" ref="K131:K194" si="18">IF(OR(C131&lt;$C$1007-3*$C$1008,C131&gt;$C$1007+3*$C$1008),"out",C131)</f>
        <v>4.0568591376739117E-3</v>
      </c>
      <c r="L131" s="1">
        <f t="shared" ref="L131:L194" si="19">IF(OR(D131&lt;$D$1007-3*$D$1008,D131&gt;$D$1007+3*$D$1008),"out",D131)</f>
        <v>4.8683681603097315E-2</v>
      </c>
      <c r="M131">
        <f t="shared" ref="M131:M194" si="20">IF(OR(E131&lt;$E$1007-3*$E$1008,E131&gt;$E$1007+3*$E$1008),"out",E131)</f>
        <v>-0.14880729438913196</v>
      </c>
      <c r="N131">
        <f t="shared" ref="N131:N194" si="21">IF(OR(F131&lt;$F$1007-3*$F$1008,F131&gt;$F$1007+3*$F$1008),"out",F131)</f>
        <v>0.56628032526214556</v>
      </c>
      <c r="O131">
        <f t="shared" ref="O131:O194" si="22">IF(OR(G131&lt;$G$1007-3*$G$1008,G131&gt;$G$1007+3*$G$1008),"out",G131)</f>
        <v>0.79590088477120657</v>
      </c>
      <c r="P131">
        <f t="shared" ref="P131:P194" si="23">IF(OR(H131&lt;$H$1007-3*$H$1008,H131&gt;$H$1007+3*$H$1008),"out",H131)</f>
        <v>14.19242391658301</v>
      </c>
      <c r="Q131">
        <f t="shared" ref="Q131:Q194" si="24">IF(OR(I131&lt;$I$1007-3*$I$1008,I131&gt;$I$1007+3*$I$1008),"out",I131)</f>
        <v>1.4009936970480483E-2</v>
      </c>
      <c r="R131">
        <f t="shared" ref="R131:R194" si="25">IF(OR(J131&lt;$J$1007-3*$J$1008,J131&gt;$J$1007+3*$J$1008),"out",J131)</f>
        <v>0</v>
      </c>
      <c r="S131">
        <f t="shared" ref="S131:S194" si="26">IF(OR(K131="out",L131="out",M131="out",N131="out",O131="out",P131="out",Q131="out",R131="out"),1,0)</f>
        <v>0</v>
      </c>
    </row>
    <row r="132" spans="1:19" x14ac:dyDescent="0.3">
      <c r="A132" t="s">
        <v>57</v>
      </c>
      <c r="B132">
        <v>2010</v>
      </c>
      <c r="C132">
        <v>4.4244136729075052E-3</v>
      </c>
      <c r="D132">
        <v>0.10509303355693039</v>
      </c>
      <c r="E132">
        <v>-0.25660151760356442</v>
      </c>
      <c r="F132">
        <v>0.59425094017885838</v>
      </c>
      <c r="G132">
        <v>0.88579251504720435</v>
      </c>
      <c r="H132">
        <v>14.138790442628046</v>
      </c>
      <c r="I132">
        <v>1.221315913128615E-3</v>
      </c>
      <c r="J132">
        <v>0</v>
      </c>
      <c r="K132" s="1">
        <f t="shared" si="18"/>
        <v>4.4244136729075052E-3</v>
      </c>
      <c r="L132" s="1">
        <f t="shared" si="19"/>
        <v>0.10509303355693039</v>
      </c>
      <c r="M132">
        <f t="shared" si="20"/>
        <v>-0.25660151760356442</v>
      </c>
      <c r="N132">
        <f t="shared" si="21"/>
        <v>0.59425094017885838</v>
      </c>
      <c r="O132">
        <f t="shared" si="22"/>
        <v>0.88579251504720435</v>
      </c>
      <c r="P132">
        <f t="shared" si="23"/>
        <v>14.138790442628046</v>
      </c>
      <c r="Q132">
        <f t="shared" si="24"/>
        <v>1.221315913128615E-3</v>
      </c>
      <c r="R132">
        <f t="shared" si="25"/>
        <v>0</v>
      </c>
      <c r="S132">
        <f t="shared" si="26"/>
        <v>0</v>
      </c>
    </row>
    <row r="133" spans="1:19" x14ac:dyDescent="0.3">
      <c r="A133" t="s">
        <v>58</v>
      </c>
      <c r="B133">
        <v>2007</v>
      </c>
      <c r="C133">
        <v>5.3909963115743968E-2</v>
      </c>
      <c r="D133">
        <v>7.7894963791204822E-2</v>
      </c>
      <c r="E133">
        <v>-0.16868508923588321</v>
      </c>
      <c r="F133">
        <v>0.11858090451712737</v>
      </c>
      <c r="G133">
        <v>0.90332449548532889</v>
      </c>
      <c r="H133">
        <v>13.504673124079206</v>
      </c>
      <c r="I133">
        <v>1.295807446988053E-2</v>
      </c>
      <c r="J133">
        <v>0</v>
      </c>
      <c r="K133" s="1">
        <f t="shared" si="18"/>
        <v>5.3909963115743968E-2</v>
      </c>
      <c r="L133" s="1">
        <f t="shared" si="19"/>
        <v>7.7894963791204822E-2</v>
      </c>
      <c r="M133">
        <f t="shared" si="20"/>
        <v>-0.16868508923588321</v>
      </c>
      <c r="N133">
        <f t="shared" si="21"/>
        <v>0.11858090451712737</v>
      </c>
      <c r="O133">
        <f t="shared" si="22"/>
        <v>0.90332449548532889</v>
      </c>
      <c r="P133">
        <f t="shared" si="23"/>
        <v>13.504673124079206</v>
      </c>
      <c r="Q133">
        <f t="shared" si="24"/>
        <v>1.295807446988053E-2</v>
      </c>
      <c r="R133">
        <f t="shared" si="25"/>
        <v>0</v>
      </c>
      <c r="S133">
        <f t="shared" si="26"/>
        <v>0</v>
      </c>
    </row>
    <row r="134" spans="1:19" x14ac:dyDescent="0.3">
      <c r="A134" t="s">
        <v>58</v>
      </c>
      <c r="B134">
        <v>2009</v>
      </c>
      <c r="C134">
        <v>4.4026321228684247E-3</v>
      </c>
      <c r="D134">
        <v>7.0642049392155778E-2</v>
      </c>
      <c r="E134">
        <v>-0.10329501687968345</v>
      </c>
      <c r="F134">
        <v>0.85008220318032424</v>
      </c>
      <c r="G134">
        <v>0.98014614198927652</v>
      </c>
      <c r="H134">
        <v>13.514728386008782</v>
      </c>
      <c r="I134">
        <v>3.1502310701827393E-2</v>
      </c>
      <c r="J134">
        <v>0</v>
      </c>
      <c r="K134" s="1">
        <f t="shared" si="18"/>
        <v>4.4026321228684247E-3</v>
      </c>
      <c r="L134" s="1">
        <f t="shared" si="19"/>
        <v>7.0642049392155778E-2</v>
      </c>
      <c r="M134">
        <f t="shared" si="20"/>
        <v>-0.10329501687968345</v>
      </c>
      <c r="N134">
        <f t="shared" si="21"/>
        <v>0.85008220318032424</v>
      </c>
      <c r="O134">
        <f t="shared" si="22"/>
        <v>0.98014614198927652</v>
      </c>
      <c r="P134">
        <f t="shared" si="23"/>
        <v>13.514728386008782</v>
      </c>
      <c r="Q134">
        <f t="shared" si="24"/>
        <v>3.1502310701827393E-2</v>
      </c>
      <c r="R134">
        <f t="shared" si="25"/>
        <v>0</v>
      </c>
      <c r="S134">
        <f t="shared" si="26"/>
        <v>0</v>
      </c>
    </row>
    <row r="135" spans="1:19" x14ac:dyDescent="0.3">
      <c r="A135" t="s">
        <v>58</v>
      </c>
      <c r="B135">
        <v>2010</v>
      </c>
      <c r="C135">
        <v>3.4617574346296275E-2</v>
      </c>
      <c r="D135">
        <v>0.15366012535519014</v>
      </c>
      <c r="E135">
        <v>-6.4279156365725301E-2</v>
      </c>
      <c r="F135">
        <v>0.69500964270693355</v>
      </c>
      <c r="G135">
        <v>0.93334094149749192</v>
      </c>
      <c r="H135">
        <v>13.566874824489123</v>
      </c>
      <c r="I135">
        <v>3.8213462733719929E-2</v>
      </c>
      <c r="J135">
        <v>0</v>
      </c>
      <c r="K135" s="1">
        <f t="shared" si="18"/>
        <v>3.4617574346296275E-2</v>
      </c>
      <c r="L135" s="1">
        <f t="shared" si="19"/>
        <v>0.15366012535519014</v>
      </c>
      <c r="M135">
        <f t="shared" si="20"/>
        <v>-6.4279156365725301E-2</v>
      </c>
      <c r="N135">
        <f t="shared" si="21"/>
        <v>0.69500964270693355</v>
      </c>
      <c r="O135">
        <f t="shared" si="22"/>
        <v>0.93334094149749192</v>
      </c>
      <c r="P135">
        <f t="shared" si="23"/>
        <v>13.566874824489123</v>
      </c>
      <c r="Q135">
        <f t="shared" si="24"/>
        <v>3.8213462733719929E-2</v>
      </c>
      <c r="R135">
        <f t="shared" si="25"/>
        <v>0</v>
      </c>
      <c r="S135">
        <f t="shared" si="26"/>
        <v>0</v>
      </c>
    </row>
    <row r="136" spans="1:19" x14ac:dyDescent="0.3">
      <c r="A136" t="s">
        <v>59</v>
      </c>
      <c r="B136">
        <v>2007</v>
      </c>
      <c r="C136">
        <v>3.7343753114969798E-2</v>
      </c>
      <c r="D136">
        <v>4.4957522491861919E-2</v>
      </c>
      <c r="E136">
        <v>-0.11437343183520493</v>
      </c>
      <c r="F136">
        <v>0.17792137887431045</v>
      </c>
      <c r="G136">
        <v>0.74258931953395779</v>
      </c>
      <c r="H136">
        <v>14.378341172801639</v>
      </c>
      <c r="I136">
        <v>2.8266810686927712E-4</v>
      </c>
      <c r="J136">
        <v>0</v>
      </c>
      <c r="K136" s="1">
        <f t="shared" si="18"/>
        <v>3.7343753114969798E-2</v>
      </c>
      <c r="L136" s="1">
        <f t="shared" si="19"/>
        <v>4.4957522491861919E-2</v>
      </c>
      <c r="M136">
        <f t="shared" si="20"/>
        <v>-0.11437343183520493</v>
      </c>
      <c r="N136">
        <f t="shared" si="21"/>
        <v>0.17792137887431045</v>
      </c>
      <c r="O136">
        <f t="shared" si="22"/>
        <v>0.74258931953395779</v>
      </c>
      <c r="P136">
        <f t="shared" si="23"/>
        <v>14.378341172801639</v>
      </c>
      <c r="Q136">
        <f t="shared" si="24"/>
        <v>2.8266810686927712E-4</v>
      </c>
      <c r="R136">
        <f t="shared" si="25"/>
        <v>0</v>
      </c>
      <c r="S136">
        <f t="shared" si="26"/>
        <v>0</v>
      </c>
    </row>
    <row r="137" spans="1:19" x14ac:dyDescent="0.3">
      <c r="A137" t="s">
        <v>59</v>
      </c>
      <c r="B137">
        <v>2008</v>
      </c>
      <c r="C137">
        <v>5.1307085500017689E-2</v>
      </c>
      <c r="D137">
        <v>4.5494559916718462E-2</v>
      </c>
      <c r="E137">
        <v>-3.0610512272403391E-2</v>
      </c>
      <c r="F137">
        <v>0.22029482067686462</v>
      </c>
      <c r="G137">
        <v>0.72762592036708562</v>
      </c>
      <c r="H137">
        <v>14.498016318924225</v>
      </c>
      <c r="I137">
        <v>2.2756764733858677E-3</v>
      </c>
      <c r="J137">
        <v>0</v>
      </c>
      <c r="K137" s="1">
        <f t="shared" si="18"/>
        <v>5.1307085500017689E-2</v>
      </c>
      <c r="L137" s="1">
        <f t="shared" si="19"/>
        <v>4.5494559916718462E-2</v>
      </c>
      <c r="M137">
        <f t="shared" si="20"/>
        <v>-3.0610512272403391E-2</v>
      </c>
      <c r="N137">
        <f t="shared" si="21"/>
        <v>0.22029482067686462</v>
      </c>
      <c r="O137">
        <f t="shared" si="22"/>
        <v>0.72762592036708562</v>
      </c>
      <c r="P137">
        <f t="shared" si="23"/>
        <v>14.498016318924225</v>
      </c>
      <c r="Q137">
        <f t="shared" si="24"/>
        <v>2.2756764733858677E-3</v>
      </c>
      <c r="R137">
        <f t="shared" si="25"/>
        <v>0</v>
      </c>
      <c r="S137">
        <f t="shared" si="26"/>
        <v>0</v>
      </c>
    </row>
    <row r="138" spans="1:19" x14ac:dyDescent="0.3">
      <c r="A138" t="s">
        <v>59</v>
      </c>
      <c r="B138">
        <v>2009</v>
      </c>
      <c r="C138">
        <v>1.6869508887443256E-2</v>
      </c>
      <c r="D138">
        <v>4.4753166766503004E-2</v>
      </c>
      <c r="E138">
        <v>8.5062748917191372E-3</v>
      </c>
      <c r="F138">
        <v>0.48163349414929851</v>
      </c>
      <c r="G138">
        <v>0.71388440432235611</v>
      </c>
      <c r="H138">
        <v>14.416900389934099</v>
      </c>
      <c r="I138">
        <v>7.3957001103907337E-3</v>
      </c>
      <c r="J138">
        <v>0</v>
      </c>
      <c r="K138" s="1">
        <f t="shared" si="18"/>
        <v>1.6869508887443256E-2</v>
      </c>
      <c r="L138" s="1">
        <f t="shared" si="19"/>
        <v>4.4753166766503004E-2</v>
      </c>
      <c r="M138">
        <f t="shared" si="20"/>
        <v>8.5062748917191372E-3</v>
      </c>
      <c r="N138">
        <f t="shared" si="21"/>
        <v>0.48163349414929851</v>
      </c>
      <c r="O138">
        <f t="shared" si="22"/>
        <v>0.71388440432235611</v>
      </c>
      <c r="P138">
        <f t="shared" si="23"/>
        <v>14.416900389934099</v>
      </c>
      <c r="Q138">
        <f t="shared" si="24"/>
        <v>7.3957001103907337E-3</v>
      </c>
      <c r="R138">
        <f t="shared" si="25"/>
        <v>0</v>
      </c>
      <c r="S138">
        <f t="shared" si="26"/>
        <v>0</v>
      </c>
    </row>
    <row r="139" spans="1:19" x14ac:dyDescent="0.3">
      <c r="A139" t="s">
        <v>59</v>
      </c>
      <c r="B139">
        <v>2010</v>
      </c>
      <c r="C139">
        <v>2.5078811813934451E-2</v>
      </c>
      <c r="D139">
        <v>6.4257753819760427E-2</v>
      </c>
      <c r="E139">
        <v>3.6838535929043244E-2</v>
      </c>
      <c r="F139">
        <v>0.41243561161886433</v>
      </c>
      <c r="G139">
        <v>0.63945255180461635</v>
      </c>
      <c r="H139">
        <v>14.42380112926336</v>
      </c>
      <c r="I139">
        <v>9.5045313440088198E-3</v>
      </c>
      <c r="J139">
        <v>9.8231741566918197E-3</v>
      </c>
      <c r="K139" s="1">
        <f t="shared" si="18"/>
        <v>2.5078811813934451E-2</v>
      </c>
      <c r="L139" s="1">
        <f t="shared" si="19"/>
        <v>6.4257753819760427E-2</v>
      </c>
      <c r="M139">
        <f t="shared" si="20"/>
        <v>3.6838535929043244E-2</v>
      </c>
      <c r="N139">
        <f t="shared" si="21"/>
        <v>0.41243561161886433</v>
      </c>
      <c r="O139">
        <f t="shared" si="22"/>
        <v>0.63945255180461635</v>
      </c>
      <c r="P139">
        <f t="shared" si="23"/>
        <v>14.42380112926336</v>
      </c>
      <c r="Q139">
        <f t="shared" si="24"/>
        <v>9.5045313440088198E-3</v>
      </c>
      <c r="R139">
        <f t="shared" si="25"/>
        <v>9.8231741566918197E-3</v>
      </c>
      <c r="S139">
        <f t="shared" si="26"/>
        <v>0</v>
      </c>
    </row>
    <row r="140" spans="1:19" x14ac:dyDescent="0.3">
      <c r="A140" t="s">
        <v>60</v>
      </c>
      <c r="B140">
        <v>2007</v>
      </c>
      <c r="C140">
        <v>6.1631336224883156E-3</v>
      </c>
      <c r="D140">
        <v>0.13020622229324169</v>
      </c>
      <c r="E140">
        <v>0.10122937997756602</v>
      </c>
      <c r="F140">
        <v>0.1737240022724236</v>
      </c>
      <c r="G140">
        <v>0.89810262802469265</v>
      </c>
      <c r="H140">
        <v>15.715169267559782</v>
      </c>
      <c r="I140">
        <v>2.076829954232106E-2</v>
      </c>
      <c r="J140">
        <v>0</v>
      </c>
      <c r="K140" s="1">
        <f t="shared" si="18"/>
        <v>6.1631336224883156E-3</v>
      </c>
      <c r="L140" s="1">
        <f t="shared" si="19"/>
        <v>0.13020622229324169</v>
      </c>
      <c r="M140">
        <f t="shared" si="20"/>
        <v>0.10122937997756602</v>
      </c>
      <c r="N140">
        <f t="shared" si="21"/>
        <v>0.1737240022724236</v>
      </c>
      <c r="O140">
        <f t="shared" si="22"/>
        <v>0.89810262802469265</v>
      </c>
      <c r="P140">
        <f t="shared" si="23"/>
        <v>15.715169267559782</v>
      </c>
      <c r="Q140">
        <f t="shared" si="24"/>
        <v>2.076829954232106E-2</v>
      </c>
      <c r="R140">
        <f t="shared" si="25"/>
        <v>0</v>
      </c>
      <c r="S140">
        <f t="shared" si="26"/>
        <v>0</v>
      </c>
    </row>
    <row r="141" spans="1:19" x14ac:dyDescent="0.3">
      <c r="A141" t="s">
        <v>60</v>
      </c>
      <c r="B141">
        <v>2009</v>
      </c>
      <c r="C141">
        <v>9.3798086347410478E-3</v>
      </c>
      <c r="D141">
        <v>8.1755799667456663E-2</v>
      </c>
      <c r="E141">
        <v>6.2272652446779186E-3</v>
      </c>
      <c r="F141">
        <v>0.53997180476694062</v>
      </c>
      <c r="G141">
        <v>1.1444467786231112</v>
      </c>
      <c r="H141">
        <v>15.780060473581276</v>
      </c>
      <c r="I141">
        <v>8.0007544573702613E-2</v>
      </c>
      <c r="J141">
        <v>3.8014768424143352E-3</v>
      </c>
      <c r="K141" s="1">
        <f t="shared" si="18"/>
        <v>9.3798086347410478E-3</v>
      </c>
      <c r="L141" s="1">
        <f t="shared" si="19"/>
        <v>8.1755799667456663E-2</v>
      </c>
      <c r="M141">
        <f t="shared" si="20"/>
        <v>6.2272652446779186E-3</v>
      </c>
      <c r="N141">
        <f t="shared" si="21"/>
        <v>0.53997180476694062</v>
      </c>
      <c r="O141">
        <f t="shared" si="22"/>
        <v>1.1444467786231112</v>
      </c>
      <c r="P141">
        <f t="shared" si="23"/>
        <v>15.780060473581276</v>
      </c>
      <c r="Q141">
        <f t="shared" si="24"/>
        <v>8.0007544573702613E-2</v>
      </c>
      <c r="R141">
        <f t="shared" si="25"/>
        <v>3.8014768424143352E-3</v>
      </c>
      <c r="S141">
        <f t="shared" si="26"/>
        <v>0</v>
      </c>
    </row>
    <row r="142" spans="1:19" x14ac:dyDescent="0.3">
      <c r="A142" t="s">
        <v>60</v>
      </c>
      <c r="B142">
        <v>2010</v>
      </c>
      <c r="C142">
        <v>9.9808058101580645E-3</v>
      </c>
      <c r="D142">
        <v>0.32940333461044846</v>
      </c>
      <c r="E142">
        <v>0.13554057630983668</v>
      </c>
      <c r="F142">
        <v>0.25593141675771935</v>
      </c>
      <c r="G142">
        <v>1.2336404221194415</v>
      </c>
      <c r="H142">
        <v>15.752829767489498</v>
      </c>
      <c r="I142">
        <v>9.189348794247626E-3</v>
      </c>
      <c r="J142">
        <v>1.3021242713203415E-2</v>
      </c>
      <c r="K142" s="1">
        <f t="shared" si="18"/>
        <v>9.9808058101580645E-3</v>
      </c>
      <c r="L142" s="1">
        <f t="shared" si="19"/>
        <v>0.32940333461044846</v>
      </c>
      <c r="M142">
        <f t="shared" si="20"/>
        <v>0.13554057630983668</v>
      </c>
      <c r="N142">
        <f t="shared" si="21"/>
        <v>0.25593141675771935</v>
      </c>
      <c r="O142">
        <f t="shared" si="22"/>
        <v>1.2336404221194415</v>
      </c>
      <c r="P142">
        <f t="shared" si="23"/>
        <v>15.752829767489498</v>
      </c>
      <c r="Q142">
        <f t="shared" si="24"/>
        <v>9.189348794247626E-3</v>
      </c>
      <c r="R142">
        <f t="shared" si="25"/>
        <v>1.3021242713203415E-2</v>
      </c>
      <c r="S142">
        <f t="shared" si="26"/>
        <v>0</v>
      </c>
    </row>
    <row r="143" spans="1:19" x14ac:dyDescent="0.3">
      <c r="A143" t="s">
        <v>61</v>
      </c>
      <c r="B143">
        <v>2007</v>
      </c>
      <c r="C143">
        <v>4.5367156327943754E-2</v>
      </c>
      <c r="D143">
        <v>3.7318891636985069E-2</v>
      </c>
      <c r="E143">
        <v>-5.6606742457023719E-2</v>
      </c>
      <c r="F143">
        <v>0.37633791258995974</v>
      </c>
      <c r="G143">
        <v>0.83083882606775328</v>
      </c>
      <c r="H143">
        <v>14.512778735539772</v>
      </c>
      <c r="I143">
        <v>2.0878861817615751E-4</v>
      </c>
      <c r="J143">
        <v>0</v>
      </c>
      <c r="K143" s="1">
        <f t="shared" si="18"/>
        <v>4.5367156327943754E-2</v>
      </c>
      <c r="L143" s="1">
        <f t="shared" si="19"/>
        <v>3.7318891636985069E-2</v>
      </c>
      <c r="M143">
        <f t="shared" si="20"/>
        <v>-5.6606742457023719E-2</v>
      </c>
      <c r="N143">
        <f t="shared" si="21"/>
        <v>0.37633791258995974</v>
      </c>
      <c r="O143">
        <f t="shared" si="22"/>
        <v>0.83083882606775328</v>
      </c>
      <c r="P143">
        <f t="shared" si="23"/>
        <v>14.512778735539772</v>
      </c>
      <c r="Q143">
        <f t="shared" si="24"/>
        <v>2.0878861817615751E-4</v>
      </c>
      <c r="R143">
        <f t="shared" si="25"/>
        <v>0</v>
      </c>
      <c r="S143">
        <f t="shared" si="26"/>
        <v>0</v>
      </c>
    </row>
    <row r="144" spans="1:19" x14ac:dyDescent="0.3">
      <c r="A144" t="s">
        <v>61</v>
      </c>
      <c r="B144">
        <v>2009</v>
      </c>
      <c r="C144">
        <v>4.846197139756734E-3</v>
      </c>
      <c r="D144">
        <v>4.2607056670391788E-2</v>
      </c>
      <c r="E144">
        <v>-4.5450496412548788E-4</v>
      </c>
      <c r="F144">
        <v>0.67286625609380823</v>
      </c>
      <c r="G144">
        <v>0.80223922145020488</v>
      </c>
      <c r="H144">
        <v>14.496471790540296</v>
      </c>
      <c r="I144">
        <v>1.3486661991625737E-2</v>
      </c>
      <c r="J144">
        <v>0</v>
      </c>
      <c r="K144" s="1">
        <f t="shared" si="18"/>
        <v>4.846197139756734E-3</v>
      </c>
      <c r="L144" s="1">
        <f t="shared" si="19"/>
        <v>4.2607056670391788E-2</v>
      </c>
      <c r="M144">
        <f t="shared" si="20"/>
        <v>-4.5450496412548788E-4</v>
      </c>
      <c r="N144">
        <f t="shared" si="21"/>
        <v>0.67286625609380823</v>
      </c>
      <c r="O144">
        <f t="shared" si="22"/>
        <v>0.80223922145020488</v>
      </c>
      <c r="P144">
        <f t="shared" si="23"/>
        <v>14.496471790540296</v>
      </c>
      <c r="Q144">
        <f t="shared" si="24"/>
        <v>1.3486661991625737E-2</v>
      </c>
      <c r="R144">
        <f t="shared" si="25"/>
        <v>0</v>
      </c>
      <c r="S144">
        <f t="shared" si="26"/>
        <v>0</v>
      </c>
    </row>
    <row r="145" spans="1:19" x14ac:dyDescent="0.3">
      <c r="A145" t="s">
        <v>61</v>
      </c>
      <c r="B145">
        <v>2010</v>
      </c>
      <c r="C145">
        <v>6.286451415421784E-3</v>
      </c>
      <c r="D145">
        <v>8.5262559511120592E-2</v>
      </c>
      <c r="E145">
        <v>4.4391059803551812E-2</v>
      </c>
      <c r="F145">
        <v>0.56480822524310048</v>
      </c>
      <c r="G145">
        <v>0.77708093512399634</v>
      </c>
      <c r="H145">
        <v>14.41954779745215</v>
      </c>
      <c r="I145">
        <v>1.1535701026417926E-2</v>
      </c>
      <c r="J145">
        <v>4.2241280356820751E-3</v>
      </c>
      <c r="K145" s="1">
        <f t="shared" si="18"/>
        <v>6.286451415421784E-3</v>
      </c>
      <c r="L145" s="1">
        <f t="shared" si="19"/>
        <v>8.5262559511120592E-2</v>
      </c>
      <c r="M145">
        <f t="shared" si="20"/>
        <v>4.4391059803551812E-2</v>
      </c>
      <c r="N145">
        <f t="shared" si="21"/>
        <v>0.56480822524310048</v>
      </c>
      <c r="O145">
        <f t="shared" si="22"/>
        <v>0.77708093512399634</v>
      </c>
      <c r="P145">
        <f t="shared" si="23"/>
        <v>14.41954779745215</v>
      </c>
      <c r="Q145">
        <f t="shared" si="24"/>
        <v>1.1535701026417926E-2</v>
      </c>
      <c r="R145">
        <f t="shared" si="25"/>
        <v>4.2241280356820751E-3</v>
      </c>
      <c r="S145">
        <f t="shared" si="26"/>
        <v>0</v>
      </c>
    </row>
    <row r="146" spans="1:19" x14ac:dyDescent="0.3">
      <c r="A146" t="s">
        <v>62</v>
      </c>
      <c r="B146">
        <v>2007</v>
      </c>
      <c r="C146">
        <v>1.4107029149749493E-3</v>
      </c>
      <c r="D146">
        <v>5.4659107428405289E-2</v>
      </c>
      <c r="E146">
        <v>-0.31718088733008604</v>
      </c>
      <c r="F146">
        <v>0.1854634128363728</v>
      </c>
      <c r="G146">
        <v>0.81342583777121225</v>
      </c>
      <c r="H146">
        <v>13.098908448567329</v>
      </c>
      <c r="I146">
        <v>3.7808941987230449E-3</v>
      </c>
      <c r="J146">
        <v>0</v>
      </c>
      <c r="K146" s="1">
        <f t="shared" si="18"/>
        <v>1.4107029149749493E-3</v>
      </c>
      <c r="L146" s="1">
        <f t="shared" si="19"/>
        <v>5.4659107428405289E-2</v>
      </c>
      <c r="M146">
        <f t="shared" si="20"/>
        <v>-0.31718088733008604</v>
      </c>
      <c r="N146">
        <f t="shared" si="21"/>
        <v>0.1854634128363728</v>
      </c>
      <c r="O146">
        <f t="shared" si="22"/>
        <v>0.81342583777121225</v>
      </c>
      <c r="P146">
        <f t="shared" si="23"/>
        <v>13.098908448567329</v>
      </c>
      <c r="Q146">
        <f t="shared" si="24"/>
        <v>3.7808941987230449E-3</v>
      </c>
      <c r="R146">
        <f t="shared" si="25"/>
        <v>0</v>
      </c>
      <c r="S146">
        <f t="shared" si="26"/>
        <v>0</v>
      </c>
    </row>
    <row r="147" spans="1:19" x14ac:dyDescent="0.3">
      <c r="A147" t="s">
        <v>63</v>
      </c>
      <c r="B147">
        <v>2007</v>
      </c>
      <c r="C147">
        <v>2.6621358619187706E-2</v>
      </c>
      <c r="D147">
        <v>5.2440723315553495E-2</v>
      </c>
      <c r="E147">
        <v>-7.2612714138714993E-2</v>
      </c>
      <c r="F147">
        <v>0.39841122238392696</v>
      </c>
      <c r="G147">
        <v>0.79688582072439873</v>
      </c>
      <c r="H147">
        <v>13.673759187989676</v>
      </c>
      <c r="I147">
        <v>2.2317591700902334E-4</v>
      </c>
      <c r="J147">
        <v>1.4403626487462507E-3</v>
      </c>
      <c r="K147" s="1">
        <f t="shared" si="18"/>
        <v>2.6621358619187706E-2</v>
      </c>
      <c r="L147" s="1">
        <f t="shared" si="19"/>
        <v>5.2440723315553495E-2</v>
      </c>
      <c r="M147">
        <f t="shared" si="20"/>
        <v>-7.2612714138714993E-2</v>
      </c>
      <c r="N147">
        <f t="shared" si="21"/>
        <v>0.39841122238392696</v>
      </c>
      <c r="O147">
        <f t="shared" si="22"/>
        <v>0.79688582072439873</v>
      </c>
      <c r="P147">
        <f t="shared" si="23"/>
        <v>13.673759187989676</v>
      </c>
      <c r="Q147">
        <f t="shared" si="24"/>
        <v>2.2317591700902334E-4</v>
      </c>
      <c r="R147">
        <f t="shared" si="25"/>
        <v>1.4403626487462507E-3</v>
      </c>
      <c r="S147">
        <f t="shared" si="26"/>
        <v>0</v>
      </c>
    </row>
    <row r="148" spans="1:19" x14ac:dyDescent="0.3">
      <c r="A148" t="s">
        <v>63</v>
      </c>
      <c r="B148">
        <v>2009</v>
      </c>
      <c r="C148">
        <v>8.3630802210097124E-3</v>
      </c>
      <c r="D148">
        <v>-9.0674468238472361E-2</v>
      </c>
      <c r="E148">
        <v>-5.7630350914031236E-2</v>
      </c>
      <c r="F148">
        <v>0.52399625800345362</v>
      </c>
      <c r="G148">
        <v>0.76238165230772126</v>
      </c>
      <c r="H148">
        <v>14.059494629150326</v>
      </c>
      <c r="I148">
        <v>9.8639443622771009E-2</v>
      </c>
      <c r="J148">
        <v>0</v>
      </c>
      <c r="K148" s="1">
        <f t="shared" si="18"/>
        <v>8.3630802210097124E-3</v>
      </c>
      <c r="L148" s="1">
        <f t="shared" si="19"/>
        <v>-9.0674468238472361E-2</v>
      </c>
      <c r="M148">
        <f t="shared" si="20"/>
        <v>-5.7630350914031236E-2</v>
      </c>
      <c r="N148">
        <f t="shared" si="21"/>
        <v>0.52399625800345362</v>
      </c>
      <c r="O148">
        <f t="shared" si="22"/>
        <v>0.76238165230772126</v>
      </c>
      <c r="P148">
        <f t="shared" si="23"/>
        <v>14.059494629150326</v>
      </c>
      <c r="Q148">
        <f t="shared" si="24"/>
        <v>9.8639443622771009E-2</v>
      </c>
      <c r="R148">
        <f t="shared" si="25"/>
        <v>0</v>
      </c>
      <c r="S148">
        <f t="shared" si="26"/>
        <v>0</v>
      </c>
    </row>
    <row r="149" spans="1:19" x14ac:dyDescent="0.3">
      <c r="A149" t="s">
        <v>63</v>
      </c>
      <c r="B149">
        <v>2010</v>
      </c>
      <c r="C149">
        <v>2.3298586558330309E-2</v>
      </c>
      <c r="D149">
        <v>0.22201175221163563</v>
      </c>
      <c r="E149">
        <v>4.8092150967033301E-2</v>
      </c>
      <c r="F149">
        <v>0.28192798021838211</v>
      </c>
      <c r="G149">
        <v>0.60759093857104962</v>
      </c>
      <c r="H149">
        <v>13.935164730839933</v>
      </c>
      <c r="I149">
        <v>5.3897906641391789E-2</v>
      </c>
      <c r="J149">
        <v>2.218068027259169E-3</v>
      </c>
      <c r="K149" s="1">
        <f t="shared" si="18"/>
        <v>2.3298586558330309E-2</v>
      </c>
      <c r="L149" s="1">
        <f t="shared" si="19"/>
        <v>0.22201175221163563</v>
      </c>
      <c r="M149">
        <f t="shared" si="20"/>
        <v>4.8092150967033301E-2</v>
      </c>
      <c r="N149">
        <f t="shared" si="21"/>
        <v>0.28192798021838211</v>
      </c>
      <c r="O149">
        <f t="shared" si="22"/>
        <v>0.60759093857104962</v>
      </c>
      <c r="P149">
        <f t="shared" si="23"/>
        <v>13.935164730839933</v>
      </c>
      <c r="Q149">
        <f t="shared" si="24"/>
        <v>5.3897906641391789E-2</v>
      </c>
      <c r="R149">
        <f t="shared" si="25"/>
        <v>2.218068027259169E-3</v>
      </c>
      <c r="S149">
        <f t="shared" si="26"/>
        <v>0</v>
      </c>
    </row>
    <row r="150" spans="1:19" x14ac:dyDescent="0.3">
      <c r="A150" t="s">
        <v>64</v>
      </c>
      <c r="B150">
        <v>2007</v>
      </c>
      <c r="C150">
        <v>4.4362834171751367E-2</v>
      </c>
      <c r="D150">
        <v>7.1285723090394007E-2</v>
      </c>
      <c r="E150">
        <v>-0.44963434772351968</v>
      </c>
      <c r="F150">
        <v>0</v>
      </c>
      <c r="G150">
        <v>0.83794877680227997</v>
      </c>
      <c r="H150">
        <v>13.061612872664972</v>
      </c>
      <c r="I150">
        <v>1.7939402264534478E-2</v>
      </c>
      <c r="J150">
        <v>0</v>
      </c>
      <c r="K150" s="1">
        <f t="shared" si="18"/>
        <v>4.4362834171751367E-2</v>
      </c>
      <c r="L150" s="1">
        <f t="shared" si="19"/>
        <v>7.1285723090394007E-2</v>
      </c>
      <c r="M150">
        <f t="shared" si="20"/>
        <v>-0.44963434772351968</v>
      </c>
      <c r="N150">
        <f t="shared" si="21"/>
        <v>0</v>
      </c>
      <c r="O150">
        <f t="shared" si="22"/>
        <v>0.83794877680227997</v>
      </c>
      <c r="P150">
        <f t="shared" si="23"/>
        <v>13.061612872664972</v>
      </c>
      <c r="Q150">
        <f t="shared" si="24"/>
        <v>1.7939402264534478E-2</v>
      </c>
      <c r="R150">
        <f t="shared" si="25"/>
        <v>0</v>
      </c>
      <c r="S150">
        <f t="shared" si="26"/>
        <v>0</v>
      </c>
    </row>
    <row r="151" spans="1:19" x14ac:dyDescent="0.3">
      <c r="A151" t="s">
        <v>64</v>
      </c>
      <c r="B151">
        <v>2008</v>
      </c>
      <c r="C151">
        <v>3.4906071701492257E-2</v>
      </c>
      <c r="D151">
        <v>0.16678309056216334</v>
      </c>
      <c r="E151">
        <v>-0.47970942470968259</v>
      </c>
      <c r="F151">
        <v>0</v>
      </c>
      <c r="G151">
        <v>0.91963703873868385</v>
      </c>
      <c r="H151">
        <v>12.963606773240933</v>
      </c>
      <c r="I151">
        <v>4.551114799262769E-3</v>
      </c>
      <c r="J151">
        <v>0</v>
      </c>
      <c r="K151" s="1">
        <f t="shared" si="18"/>
        <v>3.4906071701492257E-2</v>
      </c>
      <c r="L151" s="1">
        <f t="shared" si="19"/>
        <v>0.16678309056216334</v>
      </c>
      <c r="M151">
        <f t="shared" si="20"/>
        <v>-0.47970942470968259</v>
      </c>
      <c r="N151">
        <f t="shared" si="21"/>
        <v>0</v>
      </c>
      <c r="O151">
        <f t="shared" si="22"/>
        <v>0.91963703873868385</v>
      </c>
      <c r="P151">
        <f t="shared" si="23"/>
        <v>12.963606773240933</v>
      </c>
      <c r="Q151">
        <f t="shared" si="24"/>
        <v>4.551114799262769E-3</v>
      </c>
      <c r="R151">
        <f t="shared" si="25"/>
        <v>0</v>
      </c>
      <c r="S151">
        <f t="shared" si="26"/>
        <v>0</v>
      </c>
    </row>
    <row r="152" spans="1:19" x14ac:dyDescent="0.3">
      <c r="A152" t="s">
        <v>64</v>
      </c>
      <c r="B152">
        <v>2009</v>
      </c>
      <c r="C152">
        <v>2.7347896609608138E-2</v>
      </c>
      <c r="D152">
        <v>0.19321298862320707</v>
      </c>
      <c r="E152">
        <v>-3.705737651551394E-2</v>
      </c>
      <c r="F152">
        <v>0.54438760923164897</v>
      </c>
      <c r="G152">
        <v>0.8575907751448637</v>
      </c>
      <c r="H152">
        <v>12.774968101001971</v>
      </c>
      <c r="I152">
        <v>3.0137490440971793E-2</v>
      </c>
      <c r="J152">
        <v>0</v>
      </c>
      <c r="K152" s="1">
        <f t="shared" si="18"/>
        <v>2.7347896609608138E-2</v>
      </c>
      <c r="L152" s="1">
        <f t="shared" si="19"/>
        <v>0.19321298862320707</v>
      </c>
      <c r="M152">
        <f t="shared" si="20"/>
        <v>-3.705737651551394E-2</v>
      </c>
      <c r="N152">
        <f t="shared" si="21"/>
        <v>0.54438760923164897</v>
      </c>
      <c r="O152">
        <f t="shared" si="22"/>
        <v>0.8575907751448637</v>
      </c>
      <c r="P152">
        <f t="shared" si="23"/>
        <v>12.774968101001971</v>
      </c>
      <c r="Q152">
        <f t="shared" si="24"/>
        <v>3.0137490440971793E-2</v>
      </c>
      <c r="R152">
        <f t="shared" si="25"/>
        <v>0</v>
      </c>
      <c r="S152">
        <f t="shared" si="26"/>
        <v>0</v>
      </c>
    </row>
    <row r="153" spans="1:19" x14ac:dyDescent="0.3">
      <c r="A153" t="s">
        <v>64</v>
      </c>
      <c r="B153">
        <v>2010</v>
      </c>
      <c r="C153">
        <v>5.821596497282374E-2</v>
      </c>
      <c r="D153">
        <v>7.6794495729445258E-2</v>
      </c>
      <c r="E153">
        <v>-7.1553360365801053E-3</v>
      </c>
      <c r="F153">
        <v>0.51219696316107322</v>
      </c>
      <c r="G153">
        <v>0.91132371020619451</v>
      </c>
      <c r="H153">
        <v>12.823720116688472</v>
      </c>
      <c r="I153">
        <v>6.0540763987603219E-3</v>
      </c>
      <c r="J153">
        <v>0</v>
      </c>
      <c r="K153" s="1">
        <f t="shared" si="18"/>
        <v>5.821596497282374E-2</v>
      </c>
      <c r="L153" s="1">
        <f t="shared" si="19"/>
        <v>7.6794495729445258E-2</v>
      </c>
      <c r="M153">
        <f t="shared" si="20"/>
        <v>-7.1553360365801053E-3</v>
      </c>
      <c r="N153">
        <f t="shared" si="21"/>
        <v>0.51219696316107322</v>
      </c>
      <c r="O153">
        <f t="shared" si="22"/>
        <v>0.91132371020619451</v>
      </c>
      <c r="P153">
        <f t="shared" si="23"/>
        <v>12.823720116688472</v>
      </c>
      <c r="Q153">
        <f t="shared" si="24"/>
        <v>6.0540763987603219E-3</v>
      </c>
      <c r="R153">
        <f t="shared" si="25"/>
        <v>0</v>
      </c>
      <c r="S153">
        <f t="shared" si="26"/>
        <v>0</v>
      </c>
    </row>
    <row r="154" spans="1:19" x14ac:dyDescent="0.3">
      <c r="A154" t="s">
        <v>65</v>
      </c>
      <c r="B154">
        <v>2007</v>
      </c>
      <c r="C154">
        <v>7.0450260340984413E-3</v>
      </c>
      <c r="D154">
        <v>3.130892031146431E-2</v>
      </c>
      <c r="E154">
        <v>-0.30673135702290744</v>
      </c>
      <c r="F154">
        <v>0.206647177479968</v>
      </c>
      <c r="G154">
        <v>0.71133431733683417</v>
      </c>
      <c r="H154">
        <v>14.149847659663473</v>
      </c>
      <c r="I154">
        <v>2.229753494149939E-3</v>
      </c>
      <c r="J154">
        <v>0</v>
      </c>
      <c r="K154" s="1">
        <f t="shared" si="18"/>
        <v>7.0450260340984413E-3</v>
      </c>
      <c r="L154" s="1">
        <f t="shared" si="19"/>
        <v>3.130892031146431E-2</v>
      </c>
      <c r="M154">
        <f t="shared" si="20"/>
        <v>-0.30673135702290744</v>
      </c>
      <c r="N154">
        <f t="shared" si="21"/>
        <v>0.206647177479968</v>
      </c>
      <c r="O154">
        <f t="shared" si="22"/>
        <v>0.71133431733683417</v>
      </c>
      <c r="P154">
        <f t="shared" si="23"/>
        <v>14.149847659663473</v>
      </c>
      <c r="Q154">
        <f t="shared" si="24"/>
        <v>2.229753494149939E-3</v>
      </c>
      <c r="R154">
        <f t="shared" si="25"/>
        <v>0</v>
      </c>
      <c r="S154">
        <f t="shared" si="26"/>
        <v>0</v>
      </c>
    </row>
    <row r="155" spans="1:19" x14ac:dyDescent="0.3">
      <c r="A155" t="s">
        <v>65</v>
      </c>
      <c r="B155">
        <v>2009</v>
      </c>
      <c r="C155">
        <v>3.9024448817183968E-3</v>
      </c>
      <c r="D155">
        <v>3.6694989410865908E-2</v>
      </c>
      <c r="E155">
        <v>-3.9591053795202696E-2</v>
      </c>
      <c r="F155">
        <v>0.49611181405150329</v>
      </c>
      <c r="G155">
        <v>0.71715304638355926</v>
      </c>
      <c r="H155">
        <v>14.102565934082923</v>
      </c>
      <c r="I155">
        <v>2.9496544182393298E-2</v>
      </c>
      <c r="J155">
        <v>0</v>
      </c>
      <c r="K155" s="1">
        <f t="shared" si="18"/>
        <v>3.9024448817183968E-3</v>
      </c>
      <c r="L155" s="1">
        <f t="shared" si="19"/>
        <v>3.6694989410865908E-2</v>
      </c>
      <c r="M155">
        <f t="shared" si="20"/>
        <v>-3.9591053795202696E-2</v>
      </c>
      <c r="N155">
        <f t="shared" si="21"/>
        <v>0.49611181405150329</v>
      </c>
      <c r="O155">
        <f t="shared" si="22"/>
        <v>0.71715304638355926</v>
      </c>
      <c r="P155">
        <f t="shared" si="23"/>
        <v>14.102565934082923</v>
      </c>
      <c r="Q155">
        <f t="shared" si="24"/>
        <v>2.9496544182393298E-2</v>
      </c>
      <c r="R155">
        <f t="shared" si="25"/>
        <v>0</v>
      </c>
      <c r="S155">
        <f t="shared" si="26"/>
        <v>0</v>
      </c>
    </row>
    <row r="156" spans="1:19" x14ac:dyDescent="0.3">
      <c r="A156" t="s">
        <v>65</v>
      </c>
      <c r="B156">
        <v>2010</v>
      </c>
      <c r="C156">
        <v>1.8927552228016089E-2</v>
      </c>
      <c r="D156">
        <v>0.12702373645392068</v>
      </c>
      <c r="E156">
        <v>9.5434987720388643E-3</v>
      </c>
      <c r="F156">
        <v>0.39032135971250309</v>
      </c>
      <c r="G156">
        <v>0.62140174104997059</v>
      </c>
      <c r="H156">
        <v>14.071685709322619</v>
      </c>
      <c r="I156">
        <v>4.7187677523224336E-2</v>
      </c>
      <c r="J156">
        <v>2.7090223602705618E-2</v>
      </c>
      <c r="K156" s="1">
        <f t="shared" si="18"/>
        <v>1.8927552228016089E-2</v>
      </c>
      <c r="L156" s="1">
        <f t="shared" si="19"/>
        <v>0.12702373645392068</v>
      </c>
      <c r="M156">
        <f t="shared" si="20"/>
        <v>9.5434987720388643E-3</v>
      </c>
      <c r="N156">
        <f t="shared" si="21"/>
        <v>0.39032135971250309</v>
      </c>
      <c r="O156">
        <f t="shared" si="22"/>
        <v>0.62140174104997059</v>
      </c>
      <c r="P156">
        <f t="shared" si="23"/>
        <v>14.071685709322619</v>
      </c>
      <c r="Q156">
        <f t="shared" si="24"/>
        <v>4.7187677523224336E-2</v>
      </c>
      <c r="R156">
        <f t="shared" si="25"/>
        <v>2.7090223602705618E-2</v>
      </c>
      <c r="S156">
        <f t="shared" si="26"/>
        <v>0</v>
      </c>
    </row>
    <row r="157" spans="1:19" x14ac:dyDescent="0.3">
      <c r="A157" t="s">
        <v>66</v>
      </c>
      <c r="B157">
        <v>2007</v>
      </c>
      <c r="C157">
        <v>2.3125211281882648E-3</v>
      </c>
      <c r="D157">
        <v>2.7354486499542394E-2</v>
      </c>
      <c r="E157">
        <v>-0.13623407292298695</v>
      </c>
      <c r="F157">
        <v>0.23536789601803068</v>
      </c>
      <c r="G157">
        <v>0.6245235396511527</v>
      </c>
      <c r="H157">
        <v>14.539099160850773</v>
      </c>
      <c r="I157">
        <v>1.3784294691785628E-3</v>
      </c>
      <c r="J157">
        <v>0</v>
      </c>
      <c r="K157" s="1">
        <f t="shared" si="18"/>
        <v>2.3125211281882648E-3</v>
      </c>
      <c r="L157" s="1">
        <f t="shared" si="19"/>
        <v>2.7354486499542394E-2</v>
      </c>
      <c r="M157">
        <f t="shared" si="20"/>
        <v>-0.13623407292298695</v>
      </c>
      <c r="N157">
        <f t="shared" si="21"/>
        <v>0.23536789601803068</v>
      </c>
      <c r="O157">
        <f t="shared" si="22"/>
        <v>0.6245235396511527</v>
      </c>
      <c r="P157">
        <f t="shared" si="23"/>
        <v>14.539099160850773</v>
      </c>
      <c r="Q157">
        <f t="shared" si="24"/>
        <v>1.3784294691785628E-3</v>
      </c>
      <c r="R157">
        <f t="shared" si="25"/>
        <v>0</v>
      </c>
      <c r="S157">
        <f t="shared" si="26"/>
        <v>0</v>
      </c>
    </row>
    <row r="158" spans="1:19" x14ac:dyDescent="0.3">
      <c r="A158" t="s">
        <v>66</v>
      </c>
      <c r="B158">
        <v>2009</v>
      </c>
      <c r="C158">
        <v>1.6067990307618311E-3</v>
      </c>
      <c r="D158">
        <v>0.10253825693915153</v>
      </c>
      <c r="E158">
        <v>-0.11938410588992744</v>
      </c>
      <c r="F158">
        <v>0.4457458769192954</v>
      </c>
      <c r="G158">
        <v>0.59487144343354292</v>
      </c>
      <c r="H158">
        <v>14.497203892959057</v>
      </c>
      <c r="I158">
        <v>3.1051976592789757E-3</v>
      </c>
      <c r="J158">
        <v>0</v>
      </c>
      <c r="K158" s="1">
        <f t="shared" si="18"/>
        <v>1.6067990307618311E-3</v>
      </c>
      <c r="L158" s="1">
        <f t="shared" si="19"/>
        <v>0.10253825693915153</v>
      </c>
      <c r="M158">
        <f t="shared" si="20"/>
        <v>-0.11938410588992744</v>
      </c>
      <c r="N158">
        <f t="shared" si="21"/>
        <v>0.4457458769192954</v>
      </c>
      <c r="O158">
        <f t="shared" si="22"/>
        <v>0.59487144343354292</v>
      </c>
      <c r="P158">
        <f t="shared" si="23"/>
        <v>14.497203892959057</v>
      </c>
      <c r="Q158">
        <f t="shared" si="24"/>
        <v>3.1051976592789757E-3</v>
      </c>
      <c r="R158">
        <f t="shared" si="25"/>
        <v>0</v>
      </c>
      <c r="S158">
        <f t="shared" si="26"/>
        <v>0</v>
      </c>
    </row>
    <row r="159" spans="1:19" x14ac:dyDescent="0.3">
      <c r="A159" t="s">
        <v>66</v>
      </c>
      <c r="B159">
        <v>2010</v>
      </c>
      <c r="C159">
        <v>2.3926752235822069E-3</v>
      </c>
      <c r="D159">
        <v>9.3241530952219293E-2</v>
      </c>
      <c r="E159">
        <v>-4.0492244869245408E-2</v>
      </c>
      <c r="F159">
        <v>0.29256528322321573</v>
      </c>
      <c r="G159">
        <v>0.46883877949841346</v>
      </c>
      <c r="H159">
        <v>14.709540138848043</v>
      </c>
      <c r="I159">
        <v>1.316776511744481E-2</v>
      </c>
      <c r="J159">
        <v>0</v>
      </c>
      <c r="K159" s="1">
        <f t="shared" si="18"/>
        <v>2.3926752235822069E-3</v>
      </c>
      <c r="L159" s="1">
        <f t="shared" si="19"/>
        <v>9.3241530952219293E-2</v>
      </c>
      <c r="M159">
        <f t="shared" si="20"/>
        <v>-4.0492244869245408E-2</v>
      </c>
      <c r="N159">
        <f t="shared" si="21"/>
        <v>0.29256528322321573</v>
      </c>
      <c r="O159">
        <f t="shared" si="22"/>
        <v>0.46883877949841346</v>
      </c>
      <c r="P159">
        <f t="shared" si="23"/>
        <v>14.709540138848043</v>
      </c>
      <c r="Q159">
        <f t="shared" si="24"/>
        <v>1.316776511744481E-2</v>
      </c>
      <c r="R159">
        <f t="shared" si="25"/>
        <v>0</v>
      </c>
      <c r="S159">
        <f t="shared" si="26"/>
        <v>0</v>
      </c>
    </row>
    <row r="160" spans="1:19" x14ac:dyDescent="0.3">
      <c r="A160" t="s">
        <v>67</v>
      </c>
      <c r="B160">
        <v>2007</v>
      </c>
      <c r="C160">
        <v>7.1160188317054944E-3</v>
      </c>
      <c r="D160">
        <v>4.4034822284360862E-2</v>
      </c>
      <c r="E160">
        <v>-0.28202010440348224</v>
      </c>
      <c r="F160">
        <v>8.8177903111244897E-3</v>
      </c>
      <c r="G160">
        <v>0.83713974329523166</v>
      </c>
      <c r="H160">
        <v>13.5377075266959</v>
      </c>
      <c r="I160">
        <v>7.1491426216040488E-2</v>
      </c>
      <c r="J160">
        <v>0</v>
      </c>
      <c r="K160" s="1">
        <f t="shared" si="18"/>
        <v>7.1160188317054944E-3</v>
      </c>
      <c r="L160" s="1">
        <f t="shared" si="19"/>
        <v>4.4034822284360862E-2</v>
      </c>
      <c r="M160">
        <f t="shared" si="20"/>
        <v>-0.28202010440348224</v>
      </c>
      <c r="N160">
        <f t="shared" si="21"/>
        <v>8.8177903111244897E-3</v>
      </c>
      <c r="O160">
        <f t="shared" si="22"/>
        <v>0.83713974329523166</v>
      </c>
      <c r="P160">
        <f t="shared" si="23"/>
        <v>13.5377075266959</v>
      </c>
      <c r="Q160">
        <f t="shared" si="24"/>
        <v>7.1491426216040488E-2</v>
      </c>
      <c r="R160">
        <f t="shared" si="25"/>
        <v>0</v>
      </c>
      <c r="S160">
        <f t="shared" si="26"/>
        <v>0</v>
      </c>
    </row>
    <row r="161" spans="1:19" x14ac:dyDescent="0.3">
      <c r="A161" t="s">
        <v>67</v>
      </c>
      <c r="B161">
        <v>2008</v>
      </c>
      <c r="C161">
        <v>6.6400834304643887E-3</v>
      </c>
      <c r="D161">
        <v>0.24620698116679959</v>
      </c>
      <c r="E161">
        <v>-0.18851481504202197</v>
      </c>
      <c r="F161">
        <v>0</v>
      </c>
      <c r="G161">
        <v>0.57611189497576831</v>
      </c>
      <c r="H161">
        <v>13.611004740034435</v>
      </c>
      <c r="I161">
        <v>6.8238550032509504E-2</v>
      </c>
      <c r="J161">
        <v>0</v>
      </c>
      <c r="K161" s="1">
        <f t="shared" si="18"/>
        <v>6.6400834304643887E-3</v>
      </c>
      <c r="L161" s="1">
        <f t="shared" si="19"/>
        <v>0.24620698116679959</v>
      </c>
      <c r="M161">
        <f t="shared" si="20"/>
        <v>-0.18851481504202197</v>
      </c>
      <c r="N161">
        <f t="shared" si="21"/>
        <v>0</v>
      </c>
      <c r="O161">
        <f t="shared" si="22"/>
        <v>0.57611189497576831</v>
      </c>
      <c r="P161">
        <f t="shared" si="23"/>
        <v>13.611004740034435</v>
      </c>
      <c r="Q161">
        <f t="shared" si="24"/>
        <v>6.8238550032509504E-2</v>
      </c>
      <c r="R161">
        <f t="shared" si="25"/>
        <v>0</v>
      </c>
      <c r="S161">
        <f t="shared" si="26"/>
        <v>0</v>
      </c>
    </row>
    <row r="162" spans="1:19" x14ac:dyDescent="0.3">
      <c r="A162" t="s">
        <v>67</v>
      </c>
      <c r="B162">
        <v>2009</v>
      </c>
      <c r="C162">
        <v>8.5426456678727464E-3</v>
      </c>
      <c r="D162">
        <v>4.915935476537215E-2</v>
      </c>
      <c r="E162">
        <v>-1.0574821608196479E-2</v>
      </c>
      <c r="F162">
        <v>0.10485384419055055</v>
      </c>
      <c r="G162">
        <v>0.45197791308935781</v>
      </c>
      <c r="H162">
        <v>13.745622285725689</v>
      </c>
      <c r="I162">
        <v>4.0189225340894405E-4</v>
      </c>
      <c r="J162">
        <v>0</v>
      </c>
      <c r="K162" s="1">
        <f t="shared" si="18"/>
        <v>8.5426456678727464E-3</v>
      </c>
      <c r="L162" s="1">
        <f t="shared" si="19"/>
        <v>4.915935476537215E-2</v>
      </c>
      <c r="M162">
        <f t="shared" si="20"/>
        <v>-1.0574821608196479E-2</v>
      </c>
      <c r="N162">
        <f t="shared" si="21"/>
        <v>0.10485384419055055</v>
      </c>
      <c r="O162">
        <f t="shared" si="22"/>
        <v>0.45197791308935781</v>
      </c>
      <c r="P162">
        <f t="shared" si="23"/>
        <v>13.745622285725689</v>
      </c>
      <c r="Q162">
        <f t="shared" si="24"/>
        <v>4.0189225340894405E-4</v>
      </c>
      <c r="R162">
        <f t="shared" si="25"/>
        <v>0</v>
      </c>
      <c r="S162">
        <f t="shared" si="26"/>
        <v>0</v>
      </c>
    </row>
    <row r="163" spans="1:19" x14ac:dyDescent="0.3">
      <c r="A163" t="s">
        <v>67</v>
      </c>
      <c r="B163">
        <v>2010</v>
      </c>
      <c r="C163">
        <v>4.1145362684727148E-3</v>
      </c>
      <c r="D163">
        <v>5.1243832077235277E-2</v>
      </c>
      <c r="E163">
        <v>-3.1175246121726098E-2</v>
      </c>
      <c r="F163">
        <v>7.8138925376285986E-2</v>
      </c>
      <c r="G163">
        <v>0.32782497849572556</v>
      </c>
      <c r="H163">
        <v>13.781009171251108</v>
      </c>
      <c r="I163">
        <v>2.6561438844450093E-2</v>
      </c>
      <c r="J163">
        <v>0</v>
      </c>
      <c r="K163" s="1">
        <f t="shared" si="18"/>
        <v>4.1145362684727148E-3</v>
      </c>
      <c r="L163" s="1">
        <f t="shared" si="19"/>
        <v>5.1243832077235277E-2</v>
      </c>
      <c r="M163">
        <f t="shared" si="20"/>
        <v>-3.1175246121726098E-2</v>
      </c>
      <c r="N163">
        <f t="shared" si="21"/>
        <v>7.8138925376285986E-2</v>
      </c>
      <c r="O163">
        <f t="shared" si="22"/>
        <v>0.32782497849572556</v>
      </c>
      <c r="P163">
        <f t="shared" si="23"/>
        <v>13.781009171251108</v>
      </c>
      <c r="Q163">
        <f t="shared" si="24"/>
        <v>2.6561438844450093E-2</v>
      </c>
      <c r="R163">
        <f t="shared" si="25"/>
        <v>0</v>
      </c>
      <c r="S163">
        <f t="shared" si="26"/>
        <v>0</v>
      </c>
    </row>
    <row r="164" spans="1:19" x14ac:dyDescent="0.3">
      <c r="A164" t="s">
        <v>68</v>
      </c>
      <c r="B164">
        <v>2009</v>
      </c>
      <c r="C164">
        <v>3.0471269422456758E-3</v>
      </c>
      <c r="D164">
        <v>0.19018433010847258</v>
      </c>
      <c r="E164">
        <v>1.4991937848138376E-2</v>
      </c>
      <c r="F164">
        <v>0.46755716798592789</v>
      </c>
      <c r="G164">
        <v>0.71994383978305476</v>
      </c>
      <c r="H164">
        <v>13.209934597652472</v>
      </c>
      <c r="I164">
        <v>1.5088074723036849E-2</v>
      </c>
      <c r="J164">
        <v>0</v>
      </c>
      <c r="K164" s="1">
        <f t="shared" si="18"/>
        <v>3.0471269422456758E-3</v>
      </c>
      <c r="L164" s="1">
        <f t="shared" si="19"/>
        <v>0.19018433010847258</v>
      </c>
      <c r="M164">
        <f t="shared" si="20"/>
        <v>1.4991937848138376E-2</v>
      </c>
      <c r="N164">
        <f t="shared" si="21"/>
        <v>0.46755716798592789</v>
      </c>
      <c r="O164">
        <f t="shared" si="22"/>
        <v>0.71994383978305476</v>
      </c>
      <c r="P164">
        <f t="shared" si="23"/>
        <v>13.209934597652472</v>
      </c>
      <c r="Q164">
        <f t="shared" si="24"/>
        <v>1.5088074723036849E-2</v>
      </c>
      <c r="R164">
        <f t="shared" si="25"/>
        <v>0</v>
      </c>
      <c r="S164">
        <f t="shared" si="26"/>
        <v>0</v>
      </c>
    </row>
    <row r="165" spans="1:19" x14ac:dyDescent="0.3">
      <c r="A165" t="s">
        <v>68</v>
      </c>
      <c r="B165">
        <v>2010</v>
      </c>
      <c r="C165">
        <v>2.3069321589786144E-2</v>
      </c>
      <c r="D165">
        <v>0.11303967578995211</v>
      </c>
      <c r="E165">
        <v>1.097858684910942E-2</v>
      </c>
      <c r="F165">
        <v>0.45997300545055764</v>
      </c>
      <c r="G165">
        <v>0.70041831222088702</v>
      </c>
      <c r="H165">
        <v>13.272261599765773</v>
      </c>
      <c r="I165">
        <v>1.4245849291869566E-2</v>
      </c>
      <c r="J165">
        <v>0</v>
      </c>
      <c r="K165" s="1">
        <f t="shared" si="18"/>
        <v>2.3069321589786144E-2</v>
      </c>
      <c r="L165" s="1">
        <f t="shared" si="19"/>
        <v>0.11303967578995211</v>
      </c>
      <c r="M165">
        <f t="shared" si="20"/>
        <v>1.097858684910942E-2</v>
      </c>
      <c r="N165">
        <f t="shared" si="21"/>
        <v>0.45997300545055764</v>
      </c>
      <c r="O165">
        <f t="shared" si="22"/>
        <v>0.70041831222088702</v>
      </c>
      <c r="P165">
        <f t="shared" si="23"/>
        <v>13.272261599765773</v>
      </c>
      <c r="Q165">
        <f t="shared" si="24"/>
        <v>1.4245849291869566E-2</v>
      </c>
      <c r="R165">
        <f t="shared" si="25"/>
        <v>0</v>
      </c>
      <c r="S165">
        <f t="shared" si="26"/>
        <v>0</v>
      </c>
    </row>
    <row r="166" spans="1:19" x14ac:dyDescent="0.3">
      <c r="A166" t="s">
        <v>69</v>
      </c>
      <c r="B166">
        <v>2007</v>
      </c>
      <c r="C166">
        <v>8.5991022915190181E-3</v>
      </c>
      <c r="D166">
        <v>0.26080990629183398</v>
      </c>
      <c r="E166">
        <v>-0.52758681785967398</v>
      </c>
      <c r="F166">
        <v>0.19584809827545477</v>
      </c>
      <c r="G166">
        <v>0.9875605362626978</v>
      </c>
      <c r="H166">
        <v>13.138157983302969</v>
      </c>
      <c r="I166">
        <v>1.2664866834915446E-2</v>
      </c>
      <c r="J166">
        <v>0</v>
      </c>
      <c r="K166" s="1">
        <f t="shared" si="18"/>
        <v>8.5991022915190181E-3</v>
      </c>
      <c r="L166" s="1">
        <f t="shared" si="19"/>
        <v>0.26080990629183398</v>
      </c>
      <c r="M166">
        <f t="shared" si="20"/>
        <v>-0.52758681785967398</v>
      </c>
      <c r="N166">
        <f t="shared" si="21"/>
        <v>0.19584809827545477</v>
      </c>
      <c r="O166">
        <f t="shared" si="22"/>
        <v>0.9875605362626978</v>
      </c>
      <c r="P166">
        <f t="shared" si="23"/>
        <v>13.138157983302969</v>
      </c>
      <c r="Q166">
        <f t="shared" si="24"/>
        <v>1.2664866834915446E-2</v>
      </c>
      <c r="R166">
        <f t="shared" si="25"/>
        <v>0</v>
      </c>
      <c r="S166">
        <f t="shared" si="26"/>
        <v>0</v>
      </c>
    </row>
    <row r="167" spans="1:19" x14ac:dyDescent="0.3">
      <c r="A167" t="s">
        <v>69</v>
      </c>
      <c r="B167">
        <v>2008</v>
      </c>
      <c r="C167">
        <v>6.5224006227993566E-3</v>
      </c>
      <c r="D167">
        <v>0.21645439061691121</v>
      </c>
      <c r="E167">
        <v>-0.31101438050037344</v>
      </c>
      <c r="F167">
        <v>0.21802719609881013</v>
      </c>
      <c r="G167">
        <v>1.0413518421187824</v>
      </c>
      <c r="H167">
        <v>13.134493508982546</v>
      </c>
      <c r="I167">
        <v>2.2288999236347518E-2</v>
      </c>
      <c r="J167">
        <v>0</v>
      </c>
      <c r="K167" s="1">
        <f t="shared" si="18"/>
        <v>6.5224006227993566E-3</v>
      </c>
      <c r="L167" s="1">
        <f t="shared" si="19"/>
        <v>0.21645439061691121</v>
      </c>
      <c r="M167">
        <f t="shared" si="20"/>
        <v>-0.31101438050037344</v>
      </c>
      <c r="N167">
        <f t="shared" si="21"/>
        <v>0.21802719609881013</v>
      </c>
      <c r="O167">
        <f t="shared" si="22"/>
        <v>1.0413518421187824</v>
      </c>
      <c r="P167">
        <f t="shared" si="23"/>
        <v>13.134493508982546</v>
      </c>
      <c r="Q167">
        <f t="shared" si="24"/>
        <v>2.2288999236347518E-2</v>
      </c>
      <c r="R167">
        <f t="shared" si="25"/>
        <v>0</v>
      </c>
      <c r="S167">
        <f t="shared" si="26"/>
        <v>0</v>
      </c>
    </row>
    <row r="168" spans="1:19" x14ac:dyDescent="0.3">
      <c r="A168" t="s">
        <v>69</v>
      </c>
      <c r="B168">
        <v>2009</v>
      </c>
      <c r="C168">
        <v>1.3958203190250309E-3</v>
      </c>
      <c r="D168">
        <v>0.3125951045606713</v>
      </c>
      <c r="E168">
        <v>-2.7650971696882746E-2</v>
      </c>
      <c r="F168">
        <v>0.95850066015436397</v>
      </c>
      <c r="G168">
        <v>1.1874649614776474</v>
      </c>
      <c r="H168">
        <v>12.987731951393444</v>
      </c>
      <c r="I168">
        <v>1.5779207491479447E-2</v>
      </c>
      <c r="J168">
        <v>0</v>
      </c>
      <c r="K168" s="1">
        <f t="shared" si="18"/>
        <v>1.3958203190250309E-3</v>
      </c>
      <c r="L168" s="1">
        <f t="shared" si="19"/>
        <v>0.3125951045606713</v>
      </c>
      <c r="M168">
        <f t="shared" si="20"/>
        <v>-2.7650971696882746E-2</v>
      </c>
      <c r="N168">
        <f t="shared" si="21"/>
        <v>0.95850066015436397</v>
      </c>
      <c r="O168">
        <f t="shared" si="22"/>
        <v>1.1874649614776474</v>
      </c>
      <c r="P168">
        <f t="shared" si="23"/>
        <v>12.987731951393444</v>
      </c>
      <c r="Q168">
        <f t="shared" si="24"/>
        <v>1.5779207491479447E-2</v>
      </c>
      <c r="R168">
        <f t="shared" si="25"/>
        <v>0</v>
      </c>
      <c r="S168">
        <f t="shared" si="26"/>
        <v>0</v>
      </c>
    </row>
    <row r="169" spans="1:19" x14ac:dyDescent="0.3">
      <c r="A169" t="s">
        <v>69</v>
      </c>
      <c r="B169">
        <v>2010</v>
      </c>
      <c r="C169">
        <v>4.8165523142983755E-3</v>
      </c>
      <c r="D169">
        <v>0.40399443773780963</v>
      </c>
      <c r="E169">
        <v>-0.24346510597331947</v>
      </c>
      <c r="F169">
        <v>1.2125701013126327</v>
      </c>
      <c r="G169">
        <v>1.3941767393530049</v>
      </c>
      <c r="H169">
        <v>12.698342164767567</v>
      </c>
      <c r="I169">
        <v>2.6951672019953042E-2</v>
      </c>
      <c r="J169">
        <v>0</v>
      </c>
      <c r="K169" s="1">
        <f t="shared" si="18"/>
        <v>4.8165523142983755E-3</v>
      </c>
      <c r="L169" s="1">
        <f t="shared" si="19"/>
        <v>0.40399443773780963</v>
      </c>
      <c r="M169">
        <f t="shared" si="20"/>
        <v>-0.24346510597331947</v>
      </c>
      <c r="N169">
        <f t="shared" si="21"/>
        <v>1.2125701013126327</v>
      </c>
      <c r="O169">
        <f t="shared" si="22"/>
        <v>1.3941767393530049</v>
      </c>
      <c r="P169">
        <f t="shared" si="23"/>
        <v>12.698342164767567</v>
      </c>
      <c r="Q169">
        <f t="shared" si="24"/>
        <v>2.6951672019953042E-2</v>
      </c>
      <c r="R169">
        <f t="shared" si="25"/>
        <v>0</v>
      </c>
      <c r="S169">
        <f t="shared" si="26"/>
        <v>0</v>
      </c>
    </row>
    <row r="170" spans="1:19" x14ac:dyDescent="0.3">
      <c r="A170" t="s">
        <v>70</v>
      </c>
      <c r="B170">
        <v>2007</v>
      </c>
      <c r="C170">
        <v>9.5479502211388292E-5</v>
      </c>
      <c r="D170">
        <v>7.5908695027676595E-2</v>
      </c>
      <c r="E170">
        <v>-2.6322453374868302E-2</v>
      </c>
      <c r="F170">
        <v>0.35394500546723934</v>
      </c>
      <c r="G170">
        <v>0.78919433565777486</v>
      </c>
      <c r="H170">
        <v>14.001531098408522</v>
      </c>
      <c r="I170">
        <v>0.10460776576218531</v>
      </c>
      <c r="J170">
        <v>0</v>
      </c>
      <c r="K170" s="1">
        <f t="shared" si="18"/>
        <v>9.5479502211388292E-5</v>
      </c>
      <c r="L170" s="1">
        <f t="shared" si="19"/>
        <v>7.5908695027676595E-2</v>
      </c>
      <c r="M170">
        <f t="shared" si="20"/>
        <v>-2.6322453374868302E-2</v>
      </c>
      <c r="N170">
        <f t="shared" si="21"/>
        <v>0.35394500546723934</v>
      </c>
      <c r="O170">
        <f t="shared" si="22"/>
        <v>0.78919433565777486</v>
      </c>
      <c r="P170">
        <f t="shared" si="23"/>
        <v>14.001531098408522</v>
      </c>
      <c r="Q170">
        <f t="shared" si="24"/>
        <v>0.10460776576218531</v>
      </c>
      <c r="R170">
        <f t="shared" si="25"/>
        <v>0</v>
      </c>
      <c r="S170">
        <f t="shared" si="26"/>
        <v>0</v>
      </c>
    </row>
    <row r="171" spans="1:19" x14ac:dyDescent="0.3">
      <c r="A171" t="s">
        <v>70</v>
      </c>
      <c r="B171">
        <v>2009</v>
      </c>
      <c r="C171">
        <v>6.5098000183012872E-4</v>
      </c>
      <c r="D171">
        <v>0.20070331526214988</v>
      </c>
      <c r="E171">
        <v>-0.12128375503887419</v>
      </c>
      <c r="F171">
        <v>0.61466318407081633</v>
      </c>
      <c r="G171">
        <v>0.78786699298611185</v>
      </c>
      <c r="H171">
        <v>14.03529968949791</v>
      </c>
      <c r="I171">
        <v>4.8799759318661873E-2</v>
      </c>
      <c r="J171">
        <v>0</v>
      </c>
      <c r="K171" s="1">
        <f t="shared" si="18"/>
        <v>6.5098000183012872E-4</v>
      </c>
      <c r="L171" s="1">
        <f t="shared" si="19"/>
        <v>0.20070331526214988</v>
      </c>
      <c r="M171">
        <f t="shared" si="20"/>
        <v>-0.12128375503887419</v>
      </c>
      <c r="N171">
        <f t="shared" si="21"/>
        <v>0.61466318407081633</v>
      </c>
      <c r="O171">
        <f t="shared" si="22"/>
        <v>0.78786699298611185</v>
      </c>
      <c r="P171">
        <f t="shared" si="23"/>
        <v>14.03529968949791</v>
      </c>
      <c r="Q171">
        <f t="shared" si="24"/>
        <v>4.8799759318661873E-2</v>
      </c>
      <c r="R171">
        <f t="shared" si="25"/>
        <v>0</v>
      </c>
      <c r="S171">
        <f t="shared" si="26"/>
        <v>0</v>
      </c>
    </row>
    <row r="172" spans="1:19" x14ac:dyDescent="0.3">
      <c r="A172" t="s">
        <v>70</v>
      </c>
      <c r="B172">
        <v>2010</v>
      </c>
      <c r="C172">
        <v>3.7457282412275045E-4</v>
      </c>
      <c r="D172">
        <v>4.2409460862677044E-2</v>
      </c>
      <c r="E172">
        <v>-8.2723268203262104E-2</v>
      </c>
      <c r="F172">
        <v>0.64851258760118347</v>
      </c>
      <c r="G172">
        <v>0.81427637090396476</v>
      </c>
      <c r="H172">
        <v>14.244094357772067</v>
      </c>
      <c r="I172">
        <v>4.8644868441933067E-4</v>
      </c>
      <c r="J172">
        <v>0</v>
      </c>
      <c r="K172" s="1">
        <f t="shared" si="18"/>
        <v>3.7457282412275045E-4</v>
      </c>
      <c r="L172" s="1">
        <f t="shared" si="19"/>
        <v>4.2409460862677044E-2</v>
      </c>
      <c r="M172">
        <f t="shared" si="20"/>
        <v>-8.2723268203262104E-2</v>
      </c>
      <c r="N172">
        <f t="shared" si="21"/>
        <v>0.64851258760118347</v>
      </c>
      <c r="O172">
        <f t="shared" si="22"/>
        <v>0.81427637090396476</v>
      </c>
      <c r="P172">
        <f t="shared" si="23"/>
        <v>14.244094357772067</v>
      </c>
      <c r="Q172">
        <f t="shared" si="24"/>
        <v>4.8644868441933067E-4</v>
      </c>
      <c r="R172">
        <f t="shared" si="25"/>
        <v>0</v>
      </c>
      <c r="S172">
        <f t="shared" si="26"/>
        <v>0</v>
      </c>
    </row>
    <row r="173" spans="1:19" x14ac:dyDescent="0.3">
      <c r="A173" t="s">
        <v>71</v>
      </c>
      <c r="B173">
        <v>2007</v>
      </c>
      <c r="C173">
        <v>2.3160549619678818E-2</v>
      </c>
      <c r="D173">
        <v>3.5045738369140537E-2</v>
      </c>
      <c r="E173">
        <v>-0.1228334717407857</v>
      </c>
      <c r="F173">
        <v>0.48131013678115947</v>
      </c>
      <c r="G173">
        <v>0.91860716386066166</v>
      </c>
      <c r="H173">
        <v>15.872645011301859</v>
      </c>
      <c r="I173">
        <v>0</v>
      </c>
      <c r="J173">
        <v>0</v>
      </c>
      <c r="K173" s="1">
        <f t="shared" si="18"/>
        <v>2.3160549619678818E-2</v>
      </c>
      <c r="L173" s="1">
        <f t="shared" si="19"/>
        <v>3.5045738369140537E-2</v>
      </c>
      <c r="M173">
        <f t="shared" si="20"/>
        <v>-0.1228334717407857</v>
      </c>
      <c r="N173">
        <f t="shared" si="21"/>
        <v>0.48131013678115947</v>
      </c>
      <c r="O173">
        <f t="shared" si="22"/>
        <v>0.91860716386066166</v>
      </c>
      <c r="P173">
        <f t="shared" si="23"/>
        <v>15.872645011301859</v>
      </c>
      <c r="Q173">
        <f t="shared" si="24"/>
        <v>0</v>
      </c>
      <c r="R173">
        <f t="shared" si="25"/>
        <v>0</v>
      </c>
      <c r="S173">
        <f t="shared" si="26"/>
        <v>0</v>
      </c>
    </row>
    <row r="174" spans="1:19" x14ac:dyDescent="0.3">
      <c r="A174" t="s">
        <v>71</v>
      </c>
      <c r="B174">
        <v>2008</v>
      </c>
      <c r="C174">
        <v>2.3160549619678818E-2</v>
      </c>
      <c r="D174">
        <v>3.5045738369140537E-2</v>
      </c>
      <c r="E174">
        <v>-0.1228334717407857</v>
      </c>
      <c r="F174">
        <v>0.48131013678115947</v>
      </c>
      <c r="G174">
        <v>0.84232830520383473</v>
      </c>
      <c r="H174">
        <v>15.872645011301859</v>
      </c>
      <c r="I174">
        <v>2.7505145138943827E-2</v>
      </c>
      <c r="J174">
        <v>0</v>
      </c>
      <c r="K174" s="1">
        <f t="shared" si="18"/>
        <v>2.3160549619678818E-2</v>
      </c>
      <c r="L174" s="1">
        <f t="shared" si="19"/>
        <v>3.5045738369140537E-2</v>
      </c>
      <c r="M174">
        <f t="shared" si="20"/>
        <v>-0.1228334717407857</v>
      </c>
      <c r="N174">
        <f t="shared" si="21"/>
        <v>0.48131013678115947</v>
      </c>
      <c r="O174">
        <f t="shared" si="22"/>
        <v>0.84232830520383473</v>
      </c>
      <c r="P174">
        <f t="shared" si="23"/>
        <v>15.872645011301859</v>
      </c>
      <c r="Q174">
        <f t="shared" si="24"/>
        <v>2.7505145138943827E-2</v>
      </c>
      <c r="R174">
        <f t="shared" si="25"/>
        <v>0</v>
      </c>
      <c r="S174">
        <f t="shared" si="26"/>
        <v>0</v>
      </c>
    </row>
    <row r="175" spans="1:19" x14ac:dyDescent="0.3">
      <c r="A175" t="s">
        <v>71</v>
      </c>
      <c r="B175">
        <v>2009</v>
      </c>
      <c r="C175">
        <v>3.1095743230490233E-2</v>
      </c>
      <c r="D175">
        <v>0.10698486317570015</v>
      </c>
      <c r="E175">
        <v>-0.30241262383525996</v>
      </c>
      <c r="F175">
        <v>0.63366932512278074</v>
      </c>
      <c r="G175">
        <v>0.82009241294559654</v>
      </c>
      <c r="H175">
        <v>16.017608905829082</v>
      </c>
      <c r="I175">
        <v>1.4756447809590265E-2</v>
      </c>
      <c r="J175">
        <v>0</v>
      </c>
      <c r="K175" s="1">
        <f t="shared" si="18"/>
        <v>3.1095743230490233E-2</v>
      </c>
      <c r="L175" s="1">
        <f t="shared" si="19"/>
        <v>0.10698486317570015</v>
      </c>
      <c r="M175">
        <f t="shared" si="20"/>
        <v>-0.30241262383525996</v>
      </c>
      <c r="N175">
        <f t="shared" si="21"/>
        <v>0.63366932512278074</v>
      </c>
      <c r="O175">
        <f t="shared" si="22"/>
        <v>0.82009241294559654</v>
      </c>
      <c r="P175">
        <f t="shared" si="23"/>
        <v>16.017608905829082</v>
      </c>
      <c r="Q175">
        <f t="shared" si="24"/>
        <v>1.4756447809590265E-2</v>
      </c>
      <c r="R175">
        <f t="shared" si="25"/>
        <v>0</v>
      </c>
      <c r="S175">
        <f t="shared" si="26"/>
        <v>0</v>
      </c>
    </row>
    <row r="176" spans="1:19" x14ac:dyDescent="0.3">
      <c r="A176" t="s">
        <v>71</v>
      </c>
      <c r="B176">
        <v>2010</v>
      </c>
      <c r="C176">
        <v>8.8399504080341387E-3</v>
      </c>
      <c r="D176">
        <v>0.16664198772582675</v>
      </c>
      <c r="E176">
        <v>-0.47619444726141141</v>
      </c>
      <c r="F176">
        <v>0.66745096417657312</v>
      </c>
      <c r="G176">
        <v>0.91851478899967598</v>
      </c>
      <c r="H176">
        <v>15.973977443825017</v>
      </c>
      <c r="I176">
        <v>1.0444297464448242E-2</v>
      </c>
      <c r="J176">
        <v>0</v>
      </c>
      <c r="K176" s="1">
        <f t="shared" si="18"/>
        <v>8.8399504080341387E-3</v>
      </c>
      <c r="L176" s="1">
        <f t="shared" si="19"/>
        <v>0.16664198772582675</v>
      </c>
      <c r="M176">
        <f t="shared" si="20"/>
        <v>-0.47619444726141141</v>
      </c>
      <c r="N176">
        <f t="shared" si="21"/>
        <v>0.66745096417657312</v>
      </c>
      <c r="O176">
        <f t="shared" si="22"/>
        <v>0.91851478899967598</v>
      </c>
      <c r="P176">
        <f t="shared" si="23"/>
        <v>15.973977443825017</v>
      </c>
      <c r="Q176">
        <f t="shared" si="24"/>
        <v>1.0444297464448242E-2</v>
      </c>
      <c r="R176">
        <f t="shared" si="25"/>
        <v>0</v>
      </c>
      <c r="S176">
        <f t="shared" si="26"/>
        <v>0</v>
      </c>
    </row>
    <row r="177" spans="1:19" x14ac:dyDescent="0.3">
      <c r="A177" t="s">
        <v>72</v>
      </c>
      <c r="B177">
        <v>2007</v>
      </c>
      <c r="C177">
        <v>7.7486207270451302E-2</v>
      </c>
      <c r="D177">
        <v>5.2585217543471653E-2</v>
      </c>
      <c r="E177">
        <v>-0.20816259048878707</v>
      </c>
      <c r="F177">
        <v>0.26207420751522598</v>
      </c>
      <c r="G177">
        <v>1.1347222773919476</v>
      </c>
      <c r="H177">
        <v>14.437665369373477</v>
      </c>
      <c r="I177">
        <v>3.267892694906219E-3</v>
      </c>
      <c r="J177">
        <v>0</v>
      </c>
      <c r="K177" s="1">
        <f t="shared" si="18"/>
        <v>7.7486207270451302E-2</v>
      </c>
      <c r="L177" s="1">
        <f t="shared" si="19"/>
        <v>5.2585217543471653E-2</v>
      </c>
      <c r="M177">
        <f t="shared" si="20"/>
        <v>-0.20816259048878707</v>
      </c>
      <c r="N177">
        <f t="shared" si="21"/>
        <v>0.26207420751522598</v>
      </c>
      <c r="O177">
        <f t="shared" si="22"/>
        <v>1.1347222773919476</v>
      </c>
      <c r="P177">
        <f t="shared" si="23"/>
        <v>14.437665369373477</v>
      </c>
      <c r="Q177">
        <f t="shared" si="24"/>
        <v>3.267892694906219E-3</v>
      </c>
      <c r="R177">
        <f t="shared" si="25"/>
        <v>0</v>
      </c>
      <c r="S177">
        <f t="shared" si="26"/>
        <v>0</v>
      </c>
    </row>
    <row r="178" spans="1:19" x14ac:dyDescent="0.3">
      <c r="A178" t="s">
        <v>72</v>
      </c>
      <c r="B178">
        <v>2009</v>
      </c>
      <c r="C178">
        <v>5.2330863717627745E-4</v>
      </c>
      <c r="D178">
        <v>9.898785862259922E-2</v>
      </c>
      <c r="E178">
        <v>8.170093431994558E-3</v>
      </c>
      <c r="F178">
        <v>0.74135827321261372</v>
      </c>
      <c r="G178">
        <v>0.98297940778584525</v>
      </c>
      <c r="H178">
        <v>14.76837079934741</v>
      </c>
      <c r="I178">
        <v>5.3546583449783323E-3</v>
      </c>
      <c r="J178">
        <v>0</v>
      </c>
      <c r="K178" s="1">
        <f t="shared" si="18"/>
        <v>5.2330863717627745E-4</v>
      </c>
      <c r="L178" s="1">
        <f t="shared" si="19"/>
        <v>9.898785862259922E-2</v>
      </c>
      <c r="M178">
        <f t="shared" si="20"/>
        <v>8.170093431994558E-3</v>
      </c>
      <c r="N178">
        <f t="shared" si="21"/>
        <v>0.74135827321261372</v>
      </c>
      <c r="O178">
        <f t="shared" si="22"/>
        <v>0.98297940778584525</v>
      </c>
      <c r="P178">
        <f t="shared" si="23"/>
        <v>14.76837079934741</v>
      </c>
      <c r="Q178">
        <f t="shared" si="24"/>
        <v>5.3546583449783323E-3</v>
      </c>
      <c r="R178">
        <f t="shared" si="25"/>
        <v>0</v>
      </c>
      <c r="S178">
        <f t="shared" si="26"/>
        <v>0</v>
      </c>
    </row>
    <row r="179" spans="1:19" x14ac:dyDescent="0.3">
      <c r="A179" t="s">
        <v>72</v>
      </c>
      <c r="B179">
        <v>2010</v>
      </c>
      <c r="C179">
        <v>1.1195637428312887E-3</v>
      </c>
      <c r="D179">
        <v>8.9318377989168113E-2</v>
      </c>
      <c r="E179">
        <v>-2.066906977818923E-2</v>
      </c>
      <c r="F179">
        <v>0.69738758521579558</v>
      </c>
      <c r="G179">
        <v>0.91475356180781953</v>
      </c>
      <c r="H179">
        <v>14.802516197769167</v>
      </c>
      <c r="I179">
        <v>2.3321288596636718E-2</v>
      </c>
      <c r="J179">
        <v>2.4224914541955314E-2</v>
      </c>
      <c r="K179" s="1">
        <f t="shared" si="18"/>
        <v>1.1195637428312887E-3</v>
      </c>
      <c r="L179" s="1">
        <f t="shared" si="19"/>
        <v>8.9318377989168113E-2</v>
      </c>
      <c r="M179">
        <f t="shared" si="20"/>
        <v>-2.066906977818923E-2</v>
      </c>
      <c r="N179">
        <f t="shared" si="21"/>
        <v>0.69738758521579558</v>
      </c>
      <c r="O179">
        <f t="shared" si="22"/>
        <v>0.91475356180781953</v>
      </c>
      <c r="P179">
        <f t="shared" si="23"/>
        <v>14.802516197769167</v>
      </c>
      <c r="Q179">
        <f t="shared" si="24"/>
        <v>2.3321288596636718E-2</v>
      </c>
      <c r="R179">
        <f t="shared" si="25"/>
        <v>2.4224914541955314E-2</v>
      </c>
      <c r="S179">
        <f t="shared" si="26"/>
        <v>0</v>
      </c>
    </row>
    <row r="180" spans="1:19" x14ac:dyDescent="0.3">
      <c r="A180" t="s">
        <v>73</v>
      </c>
      <c r="B180">
        <v>2008</v>
      </c>
      <c r="C180">
        <v>5.5778915219334025E-3</v>
      </c>
      <c r="D180">
        <v>3.65997939227789E-2</v>
      </c>
      <c r="E180">
        <v>0.30023206254353391</v>
      </c>
      <c r="F180">
        <v>0.29555522243569188</v>
      </c>
      <c r="G180">
        <v>0.68494964455896801</v>
      </c>
      <c r="H180">
        <v>16.419334562788073</v>
      </c>
      <c r="I180">
        <v>1.0841633533436033E-2</v>
      </c>
      <c r="J180">
        <v>0</v>
      </c>
      <c r="K180" s="1">
        <f t="shared" si="18"/>
        <v>5.5778915219334025E-3</v>
      </c>
      <c r="L180" s="1">
        <f t="shared" si="19"/>
        <v>3.65997939227789E-2</v>
      </c>
      <c r="M180">
        <f t="shared" si="20"/>
        <v>0.30023206254353391</v>
      </c>
      <c r="N180">
        <f t="shared" si="21"/>
        <v>0.29555522243569188</v>
      </c>
      <c r="O180">
        <f t="shared" si="22"/>
        <v>0.68494964455896801</v>
      </c>
      <c r="P180">
        <f t="shared" si="23"/>
        <v>16.419334562788073</v>
      </c>
      <c r="Q180">
        <f t="shared" si="24"/>
        <v>1.0841633533436033E-2</v>
      </c>
      <c r="R180">
        <f t="shared" si="25"/>
        <v>0</v>
      </c>
      <c r="S180">
        <f t="shared" si="26"/>
        <v>0</v>
      </c>
    </row>
    <row r="181" spans="1:19" x14ac:dyDescent="0.3">
      <c r="A181" t="s">
        <v>73</v>
      </c>
      <c r="B181">
        <v>2009</v>
      </c>
      <c r="C181">
        <v>6.0484926450067302E-3</v>
      </c>
      <c r="D181">
        <v>6.8267811950987453E-2</v>
      </c>
      <c r="E181">
        <v>-0.12283064363714347</v>
      </c>
      <c r="F181">
        <v>0.58355468655547615</v>
      </c>
      <c r="G181">
        <v>0.69201464739021135</v>
      </c>
      <c r="H181">
        <v>16.401433726904546</v>
      </c>
      <c r="I181">
        <v>5.3310042820405718E-3</v>
      </c>
      <c r="J181">
        <v>0</v>
      </c>
      <c r="K181" s="1">
        <f t="shared" si="18"/>
        <v>6.0484926450067302E-3</v>
      </c>
      <c r="L181" s="1">
        <f t="shared" si="19"/>
        <v>6.8267811950987453E-2</v>
      </c>
      <c r="M181">
        <f t="shared" si="20"/>
        <v>-0.12283064363714347</v>
      </c>
      <c r="N181">
        <f t="shared" si="21"/>
        <v>0.58355468655547615</v>
      </c>
      <c r="O181">
        <f t="shared" si="22"/>
        <v>0.69201464739021135</v>
      </c>
      <c r="P181">
        <f t="shared" si="23"/>
        <v>16.401433726904546</v>
      </c>
      <c r="Q181">
        <f t="shared" si="24"/>
        <v>5.3310042820405718E-3</v>
      </c>
      <c r="R181">
        <f t="shared" si="25"/>
        <v>0</v>
      </c>
      <c r="S181">
        <f t="shared" si="26"/>
        <v>0</v>
      </c>
    </row>
    <row r="182" spans="1:19" x14ac:dyDescent="0.3">
      <c r="A182" t="s">
        <v>73</v>
      </c>
      <c r="B182">
        <v>2010</v>
      </c>
      <c r="C182">
        <v>4.6227131270900508E-3</v>
      </c>
      <c r="D182">
        <v>4.3856064198675299E-2</v>
      </c>
      <c r="E182">
        <v>-9.4565382244867727E-2</v>
      </c>
      <c r="F182">
        <v>0.50031168475149557</v>
      </c>
      <c r="G182">
        <v>0.63039210838714854</v>
      </c>
      <c r="H182">
        <v>16.652088763929417</v>
      </c>
      <c r="I182">
        <v>3.6032923073539731E-3</v>
      </c>
      <c r="J182">
        <v>0</v>
      </c>
      <c r="K182" s="1">
        <f t="shared" si="18"/>
        <v>4.6227131270900508E-3</v>
      </c>
      <c r="L182" s="1">
        <f t="shared" si="19"/>
        <v>4.3856064198675299E-2</v>
      </c>
      <c r="M182">
        <f t="shared" si="20"/>
        <v>-9.4565382244867727E-2</v>
      </c>
      <c r="N182">
        <f t="shared" si="21"/>
        <v>0.50031168475149557</v>
      </c>
      <c r="O182">
        <f t="shared" si="22"/>
        <v>0.63039210838714854</v>
      </c>
      <c r="P182">
        <f t="shared" si="23"/>
        <v>16.652088763929417</v>
      </c>
      <c r="Q182">
        <f t="shared" si="24"/>
        <v>3.6032923073539731E-3</v>
      </c>
      <c r="R182">
        <f t="shared" si="25"/>
        <v>0</v>
      </c>
      <c r="S182">
        <f t="shared" si="26"/>
        <v>0</v>
      </c>
    </row>
    <row r="183" spans="1:19" x14ac:dyDescent="0.3">
      <c r="A183" t="s">
        <v>74</v>
      </c>
      <c r="B183">
        <v>2007</v>
      </c>
      <c r="C183">
        <v>4.8216321876527122E-4</v>
      </c>
      <c r="D183">
        <v>5.2647010913829612E-3</v>
      </c>
      <c r="E183">
        <v>-1.2962045935820166</v>
      </c>
      <c r="F183">
        <v>0</v>
      </c>
      <c r="G183">
        <v>1.1027072813161753</v>
      </c>
      <c r="H183">
        <v>11.941292966295697</v>
      </c>
      <c r="I183">
        <v>1.2553142660727394E-4</v>
      </c>
      <c r="J183">
        <v>0</v>
      </c>
      <c r="K183" s="1">
        <f t="shared" si="18"/>
        <v>4.8216321876527122E-4</v>
      </c>
      <c r="L183" s="1">
        <f t="shared" si="19"/>
        <v>5.2647010913829612E-3</v>
      </c>
      <c r="M183">
        <f t="shared" si="20"/>
        <v>-1.2962045935820166</v>
      </c>
      <c r="N183">
        <f t="shared" si="21"/>
        <v>0</v>
      </c>
      <c r="O183">
        <f t="shared" si="22"/>
        <v>1.1027072813161753</v>
      </c>
      <c r="P183">
        <f t="shared" si="23"/>
        <v>11.941292966295697</v>
      </c>
      <c r="Q183">
        <f t="shared" si="24"/>
        <v>1.2553142660727394E-4</v>
      </c>
      <c r="R183">
        <f t="shared" si="25"/>
        <v>0</v>
      </c>
      <c r="S183">
        <f t="shared" si="26"/>
        <v>0</v>
      </c>
    </row>
    <row r="184" spans="1:19" x14ac:dyDescent="0.3">
      <c r="A184" t="s">
        <v>74</v>
      </c>
      <c r="B184">
        <v>2009</v>
      </c>
      <c r="C184">
        <v>3.1511995289785967E-4</v>
      </c>
      <c r="D184">
        <v>3.8643657381684897E-3</v>
      </c>
      <c r="E184">
        <v>-3.5948552521374256E-3</v>
      </c>
      <c r="F184">
        <v>0.8288193782185771</v>
      </c>
      <c r="G184">
        <v>0.9262118435346508</v>
      </c>
      <c r="H184">
        <v>12.393290529061629</v>
      </c>
      <c r="I184">
        <v>4.1445692291224544E-5</v>
      </c>
      <c r="J184">
        <v>0</v>
      </c>
      <c r="K184" s="1">
        <f t="shared" si="18"/>
        <v>3.1511995289785967E-4</v>
      </c>
      <c r="L184" s="1">
        <f t="shared" si="19"/>
        <v>3.8643657381684897E-3</v>
      </c>
      <c r="M184">
        <f t="shared" si="20"/>
        <v>-3.5948552521374256E-3</v>
      </c>
      <c r="N184">
        <f t="shared" si="21"/>
        <v>0.8288193782185771</v>
      </c>
      <c r="O184">
        <f t="shared" si="22"/>
        <v>0.9262118435346508</v>
      </c>
      <c r="P184">
        <f t="shared" si="23"/>
        <v>12.393290529061629</v>
      </c>
      <c r="Q184">
        <f t="shared" si="24"/>
        <v>4.1445692291224544E-5</v>
      </c>
      <c r="R184">
        <f t="shared" si="25"/>
        <v>0</v>
      </c>
      <c r="S184">
        <f t="shared" si="26"/>
        <v>0</v>
      </c>
    </row>
    <row r="185" spans="1:19" x14ac:dyDescent="0.3">
      <c r="A185" t="s">
        <v>74</v>
      </c>
      <c r="B185">
        <v>2010</v>
      </c>
      <c r="C185">
        <v>3.1512779261274113E-4</v>
      </c>
      <c r="D185">
        <v>3.7400693281143746E-3</v>
      </c>
      <c r="E185">
        <v>8.6245501136118622E-4</v>
      </c>
      <c r="F185">
        <v>0.83699185643441198</v>
      </c>
      <c r="G185">
        <v>0.91400743038163634</v>
      </c>
      <c r="H185">
        <v>12.393265650861149</v>
      </c>
      <c r="I185">
        <v>1.7278222136791533E-4</v>
      </c>
      <c r="J185">
        <v>0</v>
      </c>
      <c r="K185" s="1">
        <f t="shared" si="18"/>
        <v>3.1512779261274113E-4</v>
      </c>
      <c r="L185" s="1">
        <f t="shared" si="19"/>
        <v>3.7400693281143746E-3</v>
      </c>
      <c r="M185">
        <f t="shared" si="20"/>
        <v>8.6245501136118622E-4</v>
      </c>
      <c r="N185">
        <f t="shared" si="21"/>
        <v>0.83699185643441198</v>
      </c>
      <c r="O185">
        <f t="shared" si="22"/>
        <v>0.91400743038163634</v>
      </c>
      <c r="P185">
        <f t="shared" si="23"/>
        <v>12.393265650861149</v>
      </c>
      <c r="Q185">
        <f t="shared" si="24"/>
        <v>1.7278222136791533E-4</v>
      </c>
      <c r="R185">
        <f t="shared" si="25"/>
        <v>0</v>
      </c>
      <c r="S185">
        <f t="shared" si="26"/>
        <v>0</v>
      </c>
    </row>
    <row r="186" spans="1:19" x14ac:dyDescent="0.3">
      <c r="A186" t="s">
        <v>75</v>
      </c>
      <c r="B186">
        <v>2007</v>
      </c>
      <c r="C186">
        <v>2.3846687010952929E-3</v>
      </c>
      <c r="D186">
        <v>0.11567893396227431</v>
      </c>
      <c r="E186">
        <v>0.17429990611158599</v>
      </c>
      <c r="F186">
        <v>0.27772888130499507</v>
      </c>
      <c r="G186">
        <v>0.8230867675544925</v>
      </c>
      <c r="H186">
        <v>15.126754810951994</v>
      </c>
      <c r="I186">
        <v>2.0726964791853403E-2</v>
      </c>
      <c r="J186">
        <v>0</v>
      </c>
      <c r="K186" s="1">
        <f t="shared" si="18"/>
        <v>2.3846687010952929E-3</v>
      </c>
      <c r="L186" s="1">
        <f t="shared" si="19"/>
        <v>0.11567893396227431</v>
      </c>
      <c r="M186">
        <f t="shared" si="20"/>
        <v>0.17429990611158599</v>
      </c>
      <c r="N186">
        <f t="shared" si="21"/>
        <v>0.27772888130499507</v>
      </c>
      <c r="O186">
        <f t="shared" si="22"/>
        <v>0.8230867675544925</v>
      </c>
      <c r="P186">
        <f t="shared" si="23"/>
        <v>15.126754810951994</v>
      </c>
      <c r="Q186">
        <f t="shared" si="24"/>
        <v>2.0726964791853403E-2</v>
      </c>
      <c r="R186">
        <f t="shared" si="25"/>
        <v>0</v>
      </c>
      <c r="S186">
        <f t="shared" si="26"/>
        <v>0</v>
      </c>
    </row>
    <row r="187" spans="1:19" x14ac:dyDescent="0.3">
      <c r="A187" t="s">
        <v>75</v>
      </c>
      <c r="B187">
        <v>2009</v>
      </c>
      <c r="C187">
        <v>2.0881017805899783E-3</v>
      </c>
      <c r="D187">
        <v>8.3815355311136444E-2</v>
      </c>
      <c r="E187">
        <v>0.10615958339359316</v>
      </c>
      <c r="F187">
        <v>0.49506435296117324</v>
      </c>
      <c r="G187">
        <v>0.7254178976078719</v>
      </c>
      <c r="H187">
        <v>15.301280728774248</v>
      </c>
      <c r="I187">
        <v>3.0532524122041611E-2</v>
      </c>
      <c r="J187">
        <v>9.0395388160376903E-3</v>
      </c>
      <c r="K187" s="1">
        <f t="shared" si="18"/>
        <v>2.0881017805899783E-3</v>
      </c>
      <c r="L187" s="1">
        <f t="shared" si="19"/>
        <v>8.3815355311136444E-2</v>
      </c>
      <c r="M187">
        <f t="shared" si="20"/>
        <v>0.10615958339359316</v>
      </c>
      <c r="N187">
        <f t="shared" si="21"/>
        <v>0.49506435296117324</v>
      </c>
      <c r="O187">
        <f t="shared" si="22"/>
        <v>0.7254178976078719</v>
      </c>
      <c r="P187">
        <f t="shared" si="23"/>
        <v>15.301280728774248</v>
      </c>
      <c r="Q187">
        <f t="shared" si="24"/>
        <v>3.0532524122041611E-2</v>
      </c>
      <c r="R187">
        <f t="shared" si="25"/>
        <v>9.0395388160376903E-3</v>
      </c>
      <c r="S187">
        <f t="shared" si="26"/>
        <v>0</v>
      </c>
    </row>
    <row r="188" spans="1:19" x14ac:dyDescent="0.3">
      <c r="A188" t="s">
        <v>75</v>
      </c>
      <c r="B188">
        <v>2010</v>
      </c>
      <c r="C188">
        <v>3.062585585587382E-3</v>
      </c>
      <c r="D188">
        <v>0.16225940566536456</v>
      </c>
      <c r="E188">
        <v>0.14300288530738625</v>
      </c>
      <c r="F188">
        <v>0.42900267353072963</v>
      </c>
      <c r="G188">
        <v>0.72561442649704855</v>
      </c>
      <c r="H188">
        <v>15.427887547078024</v>
      </c>
      <c r="I188">
        <v>3.0066749602481666E-2</v>
      </c>
      <c r="J188">
        <v>1.7947174287203046E-2</v>
      </c>
      <c r="K188" s="1">
        <f t="shared" si="18"/>
        <v>3.062585585587382E-3</v>
      </c>
      <c r="L188" s="1">
        <f t="shared" si="19"/>
        <v>0.16225940566536456</v>
      </c>
      <c r="M188">
        <f t="shared" si="20"/>
        <v>0.14300288530738625</v>
      </c>
      <c r="N188">
        <f t="shared" si="21"/>
        <v>0.42900267353072963</v>
      </c>
      <c r="O188">
        <f t="shared" si="22"/>
        <v>0.72561442649704855</v>
      </c>
      <c r="P188">
        <f t="shared" si="23"/>
        <v>15.427887547078024</v>
      </c>
      <c r="Q188">
        <f t="shared" si="24"/>
        <v>3.0066749602481666E-2</v>
      </c>
      <c r="R188">
        <f t="shared" si="25"/>
        <v>1.7947174287203046E-2</v>
      </c>
      <c r="S188">
        <f t="shared" si="26"/>
        <v>0</v>
      </c>
    </row>
    <row r="189" spans="1:19" x14ac:dyDescent="0.3">
      <c r="A189" t="s">
        <v>76</v>
      </c>
      <c r="B189">
        <v>2007</v>
      </c>
      <c r="C189">
        <v>2.3486270399996844E-3</v>
      </c>
      <c r="D189">
        <v>0.10199554352953251</v>
      </c>
      <c r="E189">
        <v>-0.11158840212442198</v>
      </c>
      <c r="F189">
        <v>0.33802565332291251</v>
      </c>
      <c r="G189">
        <v>1.0150809486874333</v>
      </c>
      <c r="H189">
        <v>13.828780126523293</v>
      </c>
      <c r="I189">
        <v>1.6249701557283946E-2</v>
      </c>
      <c r="J189">
        <v>0</v>
      </c>
      <c r="K189" s="1">
        <f t="shared" si="18"/>
        <v>2.3486270399996844E-3</v>
      </c>
      <c r="L189" s="1">
        <f t="shared" si="19"/>
        <v>0.10199554352953251</v>
      </c>
      <c r="M189">
        <f t="shared" si="20"/>
        <v>-0.11158840212442198</v>
      </c>
      <c r="N189">
        <f t="shared" si="21"/>
        <v>0.33802565332291251</v>
      </c>
      <c r="O189">
        <f t="shared" si="22"/>
        <v>1.0150809486874333</v>
      </c>
      <c r="P189">
        <f t="shared" si="23"/>
        <v>13.828780126523293</v>
      </c>
      <c r="Q189">
        <f t="shared" si="24"/>
        <v>1.6249701557283946E-2</v>
      </c>
      <c r="R189">
        <f t="shared" si="25"/>
        <v>0</v>
      </c>
      <c r="S189">
        <f t="shared" si="26"/>
        <v>0</v>
      </c>
    </row>
    <row r="190" spans="1:19" x14ac:dyDescent="0.3">
      <c r="A190" t="s">
        <v>76</v>
      </c>
      <c r="B190">
        <v>2008</v>
      </c>
      <c r="C190">
        <v>2.3430062033309284E-3</v>
      </c>
      <c r="D190">
        <v>5.1676777854151278E-2</v>
      </c>
      <c r="E190">
        <v>-0.14129932672726264</v>
      </c>
      <c r="F190">
        <v>0.49781880125859734</v>
      </c>
      <c r="G190">
        <v>1.0629921999410834</v>
      </c>
      <c r="H190">
        <v>13.973492460703998</v>
      </c>
      <c r="I190">
        <v>9.2754593069088731E-4</v>
      </c>
      <c r="J190">
        <v>0</v>
      </c>
      <c r="K190" s="1">
        <f t="shared" si="18"/>
        <v>2.3430062033309284E-3</v>
      </c>
      <c r="L190" s="1">
        <f t="shared" si="19"/>
        <v>5.1676777854151278E-2</v>
      </c>
      <c r="M190">
        <f t="shared" si="20"/>
        <v>-0.14129932672726264</v>
      </c>
      <c r="N190">
        <f t="shared" si="21"/>
        <v>0.49781880125859734</v>
      </c>
      <c r="O190">
        <f t="shared" si="22"/>
        <v>1.0629921999410834</v>
      </c>
      <c r="P190">
        <f t="shared" si="23"/>
        <v>13.973492460703998</v>
      </c>
      <c r="Q190">
        <f t="shared" si="24"/>
        <v>9.2754593069088731E-4</v>
      </c>
      <c r="R190">
        <f t="shared" si="25"/>
        <v>0</v>
      </c>
      <c r="S190">
        <f t="shared" si="26"/>
        <v>0</v>
      </c>
    </row>
    <row r="191" spans="1:19" x14ac:dyDescent="0.3">
      <c r="A191" t="s">
        <v>76</v>
      </c>
      <c r="B191">
        <v>2009</v>
      </c>
      <c r="C191">
        <v>6.1357125390632886E-3</v>
      </c>
      <c r="D191">
        <v>5.4626910539740794E-2</v>
      </c>
      <c r="E191">
        <v>-0.20528127437366003</v>
      </c>
      <c r="F191">
        <v>0.54189297014102789</v>
      </c>
      <c r="G191">
        <v>0.91770816741484218</v>
      </c>
      <c r="H191">
        <v>14.106128067800963</v>
      </c>
      <c r="I191">
        <v>2.8148550035176273E-2</v>
      </c>
      <c r="J191">
        <v>0</v>
      </c>
      <c r="K191" s="1">
        <f t="shared" si="18"/>
        <v>6.1357125390632886E-3</v>
      </c>
      <c r="L191" s="1">
        <f t="shared" si="19"/>
        <v>5.4626910539740794E-2</v>
      </c>
      <c r="M191">
        <f t="shared" si="20"/>
        <v>-0.20528127437366003</v>
      </c>
      <c r="N191">
        <f t="shared" si="21"/>
        <v>0.54189297014102789</v>
      </c>
      <c r="O191">
        <f t="shared" si="22"/>
        <v>0.91770816741484218</v>
      </c>
      <c r="P191">
        <f t="shared" si="23"/>
        <v>14.106128067800963</v>
      </c>
      <c r="Q191">
        <f t="shared" si="24"/>
        <v>2.8148550035176273E-2</v>
      </c>
      <c r="R191">
        <f t="shared" si="25"/>
        <v>0</v>
      </c>
      <c r="S191">
        <f t="shared" si="26"/>
        <v>0</v>
      </c>
    </row>
    <row r="192" spans="1:19" x14ac:dyDescent="0.3">
      <c r="A192" t="s">
        <v>76</v>
      </c>
      <c r="B192">
        <v>2010</v>
      </c>
      <c r="C192">
        <v>4.8662998881933124E-4</v>
      </c>
      <c r="D192">
        <v>0.17446670180122051</v>
      </c>
      <c r="E192">
        <v>-0.13144723167626299</v>
      </c>
      <c r="F192">
        <v>0.40486629988819334</v>
      </c>
      <c r="G192">
        <v>0.74764866102872007</v>
      </c>
      <c r="H192">
        <v>13.830542017397772</v>
      </c>
      <c r="I192">
        <v>2.5411821293336818E-2</v>
      </c>
      <c r="J192">
        <v>3.7236059873220081E-2</v>
      </c>
      <c r="K192" s="1">
        <f t="shared" si="18"/>
        <v>4.8662998881933124E-4</v>
      </c>
      <c r="L192" s="1">
        <f t="shared" si="19"/>
        <v>0.17446670180122051</v>
      </c>
      <c r="M192">
        <f t="shared" si="20"/>
        <v>-0.13144723167626299</v>
      </c>
      <c r="N192">
        <f t="shared" si="21"/>
        <v>0.40486629988819334</v>
      </c>
      <c r="O192">
        <f t="shared" si="22"/>
        <v>0.74764866102872007</v>
      </c>
      <c r="P192">
        <f t="shared" si="23"/>
        <v>13.830542017397772</v>
      </c>
      <c r="Q192">
        <f t="shared" si="24"/>
        <v>2.5411821293336818E-2</v>
      </c>
      <c r="R192">
        <f t="shared" si="25"/>
        <v>3.7236059873220081E-2</v>
      </c>
      <c r="S192">
        <f t="shared" si="26"/>
        <v>0</v>
      </c>
    </row>
    <row r="193" spans="1:19" x14ac:dyDescent="0.3">
      <c r="A193" t="s">
        <v>77</v>
      </c>
      <c r="B193">
        <v>2007</v>
      </c>
      <c r="C193">
        <v>1.0314856461772734E-2</v>
      </c>
      <c r="D193">
        <v>4.4906507281059091E-2</v>
      </c>
      <c r="E193">
        <v>-3.9777334069328811E-2</v>
      </c>
      <c r="F193">
        <v>0.50290221361012877</v>
      </c>
      <c r="G193">
        <v>0.836339558173399</v>
      </c>
      <c r="H193">
        <v>15.806958240176591</v>
      </c>
      <c r="I193">
        <v>1.1555614674328221E-2</v>
      </c>
      <c r="J193">
        <v>1.5075895438411429E-2</v>
      </c>
      <c r="K193" s="1">
        <f t="shared" si="18"/>
        <v>1.0314856461772734E-2</v>
      </c>
      <c r="L193" s="1">
        <f t="shared" si="19"/>
        <v>4.4906507281059091E-2</v>
      </c>
      <c r="M193">
        <f t="shared" si="20"/>
        <v>-3.9777334069328811E-2</v>
      </c>
      <c r="N193">
        <f t="shared" si="21"/>
        <v>0.50290221361012877</v>
      </c>
      <c r="O193">
        <f t="shared" si="22"/>
        <v>0.836339558173399</v>
      </c>
      <c r="P193">
        <f t="shared" si="23"/>
        <v>15.806958240176591</v>
      </c>
      <c r="Q193">
        <f t="shared" si="24"/>
        <v>1.1555614674328221E-2</v>
      </c>
      <c r="R193">
        <f t="shared" si="25"/>
        <v>1.5075895438411429E-2</v>
      </c>
      <c r="S193">
        <f t="shared" si="26"/>
        <v>0</v>
      </c>
    </row>
    <row r="194" spans="1:19" x14ac:dyDescent="0.3">
      <c r="A194" t="s">
        <v>77</v>
      </c>
      <c r="B194">
        <v>2009</v>
      </c>
      <c r="C194">
        <v>3.3364654767708828E-2</v>
      </c>
      <c r="D194">
        <v>6.6238234065588347E-2</v>
      </c>
      <c r="E194">
        <v>0.13547280798200825</v>
      </c>
      <c r="F194">
        <v>0.56700166154995479</v>
      </c>
      <c r="G194">
        <v>1.0841986048467953</v>
      </c>
      <c r="H194">
        <v>16.079535575535871</v>
      </c>
      <c r="I194">
        <v>1.8174958577260154E-2</v>
      </c>
      <c r="J194">
        <v>1.4030727709408872E-2</v>
      </c>
      <c r="K194" s="1">
        <f t="shared" si="18"/>
        <v>3.3364654767708828E-2</v>
      </c>
      <c r="L194" s="1">
        <f t="shared" si="19"/>
        <v>6.6238234065588347E-2</v>
      </c>
      <c r="M194">
        <f t="shared" si="20"/>
        <v>0.13547280798200825</v>
      </c>
      <c r="N194">
        <f t="shared" si="21"/>
        <v>0.56700166154995479</v>
      </c>
      <c r="O194">
        <f t="shared" si="22"/>
        <v>1.0841986048467953</v>
      </c>
      <c r="P194">
        <f t="shared" si="23"/>
        <v>16.079535575535871</v>
      </c>
      <c r="Q194">
        <f t="shared" si="24"/>
        <v>1.8174958577260154E-2</v>
      </c>
      <c r="R194">
        <f t="shared" si="25"/>
        <v>1.4030727709408872E-2</v>
      </c>
      <c r="S194">
        <f t="shared" si="26"/>
        <v>0</v>
      </c>
    </row>
    <row r="195" spans="1:19" x14ac:dyDescent="0.3">
      <c r="A195" t="s">
        <v>77</v>
      </c>
      <c r="B195">
        <v>2010</v>
      </c>
      <c r="C195">
        <v>3.9202203118373698E-2</v>
      </c>
      <c r="D195">
        <v>0.10927001983798638</v>
      </c>
      <c r="E195">
        <v>0.12093364988454609</v>
      </c>
      <c r="F195">
        <v>0.51506235405621559</v>
      </c>
      <c r="G195">
        <v>0.88691274335484382</v>
      </c>
      <c r="H195">
        <v>16.324875239985296</v>
      </c>
      <c r="I195">
        <v>9.3293496901500125E-3</v>
      </c>
      <c r="J195">
        <v>1.3926030617750586E-2</v>
      </c>
      <c r="K195" s="1">
        <f t="shared" ref="K195:K258" si="27">IF(OR(C195&lt;$C$1007-3*$C$1008,C195&gt;$C$1007+3*$C$1008),"out",C195)</f>
        <v>3.9202203118373698E-2</v>
      </c>
      <c r="L195" s="1">
        <f t="shared" ref="L195:L258" si="28">IF(OR(D195&lt;$D$1007-3*$D$1008,D195&gt;$D$1007+3*$D$1008),"out",D195)</f>
        <v>0.10927001983798638</v>
      </c>
      <c r="M195">
        <f t="shared" ref="M195:M258" si="29">IF(OR(E195&lt;$E$1007-3*$E$1008,E195&gt;$E$1007+3*$E$1008),"out",E195)</f>
        <v>0.12093364988454609</v>
      </c>
      <c r="N195">
        <f t="shared" ref="N195:N258" si="30">IF(OR(F195&lt;$F$1007-3*$F$1008,F195&gt;$F$1007+3*$F$1008),"out",F195)</f>
        <v>0.51506235405621559</v>
      </c>
      <c r="O195">
        <f t="shared" ref="O195:O258" si="31">IF(OR(G195&lt;$G$1007-3*$G$1008,G195&gt;$G$1007+3*$G$1008),"out",G195)</f>
        <v>0.88691274335484382</v>
      </c>
      <c r="P195">
        <f t="shared" ref="P195:P258" si="32">IF(OR(H195&lt;$H$1007-3*$H$1008,H195&gt;$H$1007+3*$H$1008),"out",H195)</f>
        <v>16.324875239985296</v>
      </c>
      <c r="Q195">
        <f t="shared" ref="Q195:Q258" si="33">IF(OR(I195&lt;$I$1007-3*$I$1008,I195&gt;$I$1007+3*$I$1008),"out",I195)</f>
        <v>9.3293496901500125E-3</v>
      </c>
      <c r="R195">
        <f t="shared" ref="R195:R258" si="34">IF(OR(J195&lt;$J$1007-3*$J$1008,J195&gt;$J$1007+3*$J$1008),"out",J195)</f>
        <v>1.3926030617750586E-2</v>
      </c>
      <c r="S195">
        <f t="shared" ref="S195:S258" si="35">IF(OR(K195="out",L195="out",M195="out",N195="out",O195="out",P195="out",Q195="out",R195="out"),1,0)</f>
        <v>0</v>
      </c>
    </row>
    <row r="196" spans="1:19" x14ac:dyDescent="0.3">
      <c r="A196" t="s">
        <v>78</v>
      </c>
      <c r="B196">
        <v>2007</v>
      </c>
      <c r="C196">
        <v>3.9147112801972321E-3</v>
      </c>
      <c r="D196">
        <v>2.8484710046183616E-2</v>
      </c>
      <c r="E196">
        <v>1.4416954821973844E-2</v>
      </c>
      <c r="F196">
        <v>3.2596338392789158E-2</v>
      </c>
      <c r="G196">
        <v>0.91133218333766552</v>
      </c>
      <c r="H196">
        <v>12.850216014099617</v>
      </c>
      <c r="I196">
        <v>3.9062514459231187E-2</v>
      </c>
      <c r="J196">
        <v>0</v>
      </c>
      <c r="K196" s="1">
        <f t="shared" si="27"/>
        <v>3.9147112801972321E-3</v>
      </c>
      <c r="L196" s="1">
        <f t="shared" si="28"/>
        <v>2.8484710046183616E-2</v>
      </c>
      <c r="M196">
        <f t="shared" si="29"/>
        <v>1.4416954821973844E-2</v>
      </c>
      <c r="N196">
        <f t="shared" si="30"/>
        <v>3.2596338392789158E-2</v>
      </c>
      <c r="O196">
        <f t="shared" si="31"/>
        <v>0.91133218333766552</v>
      </c>
      <c r="P196">
        <f t="shared" si="32"/>
        <v>12.850216014099617</v>
      </c>
      <c r="Q196">
        <f t="shared" si="33"/>
        <v>3.9062514459231187E-2</v>
      </c>
      <c r="R196">
        <f t="shared" si="34"/>
        <v>0</v>
      </c>
      <c r="S196">
        <f t="shared" si="35"/>
        <v>0</v>
      </c>
    </row>
    <row r="197" spans="1:19" x14ac:dyDescent="0.3">
      <c r="A197" t="s">
        <v>79</v>
      </c>
      <c r="B197">
        <v>2007</v>
      </c>
      <c r="C197">
        <v>5.691157175002578E-3</v>
      </c>
      <c r="D197">
        <v>0.18073821283512626</v>
      </c>
      <c r="E197">
        <v>-0.22097560383885231</v>
      </c>
      <c r="F197">
        <v>0.30165053666702385</v>
      </c>
      <c r="G197">
        <v>0.98636664597767609</v>
      </c>
      <c r="H197">
        <v>13.804706402706769</v>
      </c>
      <c r="I197">
        <v>1.6159265875033135E-3</v>
      </c>
      <c r="J197">
        <v>0</v>
      </c>
      <c r="K197" s="1">
        <f t="shared" si="27"/>
        <v>5.691157175002578E-3</v>
      </c>
      <c r="L197" s="1">
        <f t="shared" si="28"/>
        <v>0.18073821283512626</v>
      </c>
      <c r="M197">
        <f t="shared" si="29"/>
        <v>-0.22097560383885231</v>
      </c>
      <c r="N197">
        <f t="shared" si="30"/>
        <v>0.30165053666702385</v>
      </c>
      <c r="O197">
        <f t="shared" si="31"/>
        <v>0.98636664597767609</v>
      </c>
      <c r="P197">
        <f t="shared" si="32"/>
        <v>13.804706402706769</v>
      </c>
      <c r="Q197">
        <f t="shared" si="33"/>
        <v>1.6159265875033135E-3</v>
      </c>
      <c r="R197">
        <f t="shared" si="34"/>
        <v>0</v>
      </c>
      <c r="S197">
        <f t="shared" si="35"/>
        <v>0</v>
      </c>
    </row>
    <row r="198" spans="1:19" x14ac:dyDescent="0.3">
      <c r="A198" t="s">
        <v>79</v>
      </c>
      <c r="B198">
        <v>2008</v>
      </c>
      <c r="C198">
        <v>1.7496639427892903E-3</v>
      </c>
      <c r="D198">
        <v>0.16421875338507358</v>
      </c>
      <c r="E198">
        <v>-0.14008350106104325</v>
      </c>
      <c r="F198">
        <v>0.13938095321609073</v>
      </c>
      <c r="G198">
        <v>0.88044755702140343</v>
      </c>
      <c r="H198">
        <v>13.784359358531034</v>
      </c>
      <c r="I198">
        <v>1.268233679894795E-2</v>
      </c>
      <c r="J198">
        <v>0</v>
      </c>
      <c r="K198" s="1">
        <f t="shared" si="27"/>
        <v>1.7496639427892903E-3</v>
      </c>
      <c r="L198" s="1">
        <f t="shared" si="28"/>
        <v>0.16421875338507358</v>
      </c>
      <c r="M198">
        <f t="shared" si="29"/>
        <v>-0.14008350106104325</v>
      </c>
      <c r="N198">
        <f t="shared" si="30"/>
        <v>0.13938095321609073</v>
      </c>
      <c r="O198">
        <f t="shared" si="31"/>
        <v>0.88044755702140343</v>
      </c>
      <c r="P198">
        <f t="shared" si="32"/>
        <v>13.784359358531034</v>
      </c>
      <c r="Q198">
        <f t="shared" si="33"/>
        <v>1.268233679894795E-2</v>
      </c>
      <c r="R198">
        <f t="shared" si="34"/>
        <v>0</v>
      </c>
      <c r="S198">
        <f t="shared" si="35"/>
        <v>0</v>
      </c>
    </row>
    <row r="199" spans="1:19" x14ac:dyDescent="0.3">
      <c r="A199" t="s">
        <v>79</v>
      </c>
      <c r="B199">
        <v>2009</v>
      </c>
      <c r="C199">
        <v>5.1825708909656481E-4</v>
      </c>
      <c r="D199">
        <v>0.1309768866293029</v>
      </c>
      <c r="E199">
        <v>-0.16784925546716456</v>
      </c>
      <c r="F199">
        <v>0.6967748290479181</v>
      </c>
      <c r="G199">
        <v>0.96593752483548423</v>
      </c>
      <c r="H199">
        <v>13.702766181915363</v>
      </c>
      <c r="I199">
        <v>1.2728588909919311E-2</v>
      </c>
      <c r="J199">
        <v>0</v>
      </c>
      <c r="K199" s="1">
        <f t="shared" si="27"/>
        <v>5.1825708909656481E-4</v>
      </c>
      <c r="L199" s="1">
        <f t="shared" si="28"/>
        <v>0.1309768866293029</v>
      </c>
      <c r="M199">
        <f t="shared" si="29"/>
        <v>-0.16784925546716456</v>
      </c>
      <c r="N199">
        <f t="shared" si="30"/>
        <v>0.6967748290479181</v>
      </c>
      <c r="O199">
        <f t="shared" si="31"/>
        <v>0.96593752483548423</v>
      </c>
      <c r="P199">
        <f t="shared" si="32"/>
        <v>13.702766181915363</v>
      </c>
      <c r="Q199">
        <f t="shared" si="33"/>
        <v>1.2728588909919311E-2</v>
      </c>
      <c r="R199">
        <f t="shared" si="34"/>
        <v>0</v>
      </c>
      <c r="S199">
        <f t="shared" si="35"/>
        <v>0</v>
      </c>
    </row>
    <row r="200" spans="1:19" x14ac:dyDescent="0.3">
      <c r="A200" t="s">
        <v>79</v>
      </c>
      <c r="B200">
        <v>2010</v>
      </c>
      <c r="C200">
        <v>1.7642259458662511E-3</v>
      </c>
      <c r="D200">
        <v>9.2411954255070594E-2</v>
      </c>
      <c r="E200">
        <v>-0.16766643635105097</v>
      </c>
      <c r="F200">
        <v>0.7153811265307346</v>
      </c>
      <c r="G200">
        <v>0.98550635908495143</v>
      </c>
      <c r="H200">
        <v>13.592805660427427</v>
      </c>
      <c r="I200">
        <v>2.1021592247871639E-3</v>
      </c>
      <c r="J200">
        <v>0</v>
      </c>
      <c r="K200" s="1">
        <f t="shared" si="27"/>
        <v>1.7642259458662511E-3</v>
      </c>
      <c r="L200" s="1">
        <f t="shared" si="28"/>
        <v>9.2411954255070594E-2</v>
      </c>
      <c r="M200">
        <f t="shared" si="29"/>
        <v>-0.16766643635105097</v>
      </c>
      <c r="N200">
        <f t="shared" si="30"/>
        <v>0.7153811265307346</v>
      </c>
      <c r="O200">
        <f t="shared" si="31"/>
        <v>0.98550635908495143</v>
      </c>
      <c r="P200">
        <f t="shared" si="32"/>
        <v>13.592805660427427</v>
      </c>
      <c r="Q200">
        <f t="shared" si="33"/>
        <v>2.1021592247871639E-3</v>
      </c>
      <c r="R200">
        <f t="shared" si="34"/>
        <v>0</v>
      </c>
      <c r="S200">
        <f t="shared" si="35"/>
        <v>0</v>
      </c>
    </row>
    <row r="201" spans="1:19" x14ac:dyDescent="0.3">
      <c r="A201" t="s">
        <v>80</v>
      </c>
      <c r="B201">
        <v>2007</v>
      </c>
      <c r="C201">
        <v>4.0509945705538943E-4</v>
      </c>
      <c r="D201">
        <v>6.9794011636546138E-2</v>
      </c>
      <c r="E201">
        <v>-0.15739184465420736</v>
      </c>
      <c r="F201">
        <v>0.30982571730652542</v>
      </c>
      <c r="G201">
        <v>0.67554638110437992</v>
      </c>
      <c r="H201">
        <v>14.663620517081451</v>
      </c>
      <c r="I201">
        <v>1.2511531771730346E-3</v>
      </c>
      <c r="J201">
        <v>0</v>
      </c>
      <c r="K201" s="1">
        <f t="shared" si="27"/>
        <v>4.0509945705538943E-4</v>
      </c>
      <c r="L201" s="1">
        <f t="shared" si="28"/>
        <v>6.9794011636546138E-2</v>
      </c>
      <c r="M201">
        <f t="shared" si="29"/>
        <v>-0.15739184465420736</v>
      </c>
      <c r="N201">
        <f t="shared" si="30"/>
        <v>0.30982571730652542</v>
      </c>
      <c r="O201">
        <f t="shared" si="31"/>
        <v>0.67554638110437992</v>
      </c>
      <c r="P201">
        <f t="shared" si="32"/>
        <v>14.663620517081451</v>
      </c>
      <c r="Q201">
        <f t="shared" si="33"/>
        <v>1.2511531771730346E-3</v>
      </c>
      <c r="R201">
        <f t="shared" si="34"/>
        <v>0</v>
      </c>
      <c r="S201">
        <f t="shared" si="35"/>
        <v>0</v>
      </c>
    </row>
    <row r="202" spans="1:19" x14ac:dyDescent="0.3">
      <c r="A202" t="s">
        <v>80</v>
      </c>
      <c r="B202">
        <v>2008</v>
      </c>
      <c r="C202">
        <v>2.6396419447205235E-3</v>
      </c>
      <c r="D202">
        <v>7.2960234794843801E-2</v>
      </c>
      <c r="E202">
        <v>-0.17390650293086402</v>
      </c>
      <c r="F202">
        <v>0.32876935426703541</v>
      </c>
      <c r="G202">
        <v>0.68368204979190161</v>
      </c>
      <c r="H202">
        <v>14.66278170370893</v>
      </c>
      <c r="I202">
        <v>4.4966129820413682E-2</v>
      </c>
      <c r="J202">
        <v>0</v>
      </c>
      <c r="K202" s="1">
        <f t="shared" si="27"/>
        <v>2.6396419447205235E-3</v>
      </c>
      <c r="L202" s="1">
        <f t="shared" si="28"/>
        <v>7.2960234794843801E-2</v>
      </c>
      <c r="M202">
        <f t="shared" si="29"/>
        <v>-0.17390650293086402</v>
      </c>
      <c r="N202">
        <f t="shared" si="30"/>
        <v>0.32876935426703541</v>
      </c>
      <c r="O202">
        <f t="shared" si="31"/>
        <v>0.68368204979190161</v>
      </c>
      <c r="P202">
        <f t="shared" si="32"/>
        <v>14.66278170370893</v>
      </c>
      <c r="Q202">
        <f t="shared" si="33"/>
        <v>4.4966129820413682E-2</v>
      </c>
      <c r="R202">
        <f t="shared" si="34"/>
        <v>0</v>
      </c>
      <c r="S202">
        <f t="shared" si="35"/>
        <v>0</v>
      </c>
    </row>
    <row r="203" spans="1:19" x14ac:dyDescent="0.3">
      <c r="A203" t="s">
        <v>80</v>
      </c>
      <c r="B203">
        <v>2009</v>
      </c>
      <c r="C203">
        <v>3.8418684325550725E-3</v>
      </c>
      <c r="D203">
        <v>0.2326207626636887</v>
      </c>
      <c r="E203">
        <v>-0.39057041867421938</v>
      </c>
      <c r="F203">
        <v>0.51966336278445768</v>
      </c>
      <c r="G203">
        <v>0.83340595810478602</v>
      </c>
      <c r="H203">
        <v>14.498094644970328</v>
      </c>
      <c r="I203">
        <v>1.2969070992670742E-2</v>
      </c>
      <c r="J203">
        <v>0</v>
      </c>
      <c r="K203" s="1">
        <f t="shared" si="27"/>
        <v>3.8418684325550725E-3</v>
      </c>
      <c r="L203" s="1">
        <f t="shared" si="28"/>
        <v>0.2326207626636887</v>
      </c>
      <c r="M203">
        <f t="shared" si="29"/>
        <v>-0.39057041867421938</v>
      </c>
      <c r="N203">
        <f t="shared" si="30"/>
        <v>0.51966336278445768</v>
      </c>
      <c r="O203">
        <f t="shared" si="31"/>
        <v>0.83340595810478602</v>
      </c>
      <c r="P203">
        <f t="shared" si="32"/>
        <v>14.498094644970328</v>
      </c>
      <c r="Q203">
        <f t="shared" si="33"/>
        <v>1.2969070992670742E-2</v>
      </c>
      <c r="R203">
        <f t="shared" si="34"/>
        <v>0</v>
      </c>
      <c r="S203">
        <f t="shared" si="35"/>
        <v>0</v>
      </c>
    </row>
    <row r="204" spans="1:19" x14ac:dyDescent="0.3">
      <c r="A204" t="s">
        <v>80</v>
      </c>
      <c r="B204">
        <v>2010</v>
      </c>
      <c r="C204">
        <v>4.1654649239841556E-4</v>
      </c>
      <c r="D204">
        <v>0.25109609307401975</v>
      </c>
      <c r="E204">
        <v>-0.21192827308020309</v>
      </c>
      <c r="F204">
        <v>0.64387297977544877</v>
      </c>
      <c r="G204">
        <v>0.93740833383477995</v>
      </c>
      <c r="H204">
        <v>14.471867190127142</v>
      </c>
      <c r="I204">
        <v>1.1230895358903398E-3</v>
      </c>
      <c r="J204">
        <v>0</v>
      </c>
      <c r="K204" s="1">
        <f t="shared" si="27"/>
        <v>4.1654649239841556E-4</v>
      </c>
      <c r="L204" s="1">
        <f t="shared" si="28"/>
        <v>0.25109609307401975</v>
      </c>
      <c r="M204">
        <f t="shared" si="29"/>
        <v>-0.21192827308020309</v>
      </c>
      <c r="N204">
        <f t="shared" si="30"/>
        <v>0.64387297977544877</v>
      </c>
      <c r="O204">
        <f t="shared" si="31"/>
        <v>0.93740833383477995</v>
      </c>
      <c r="P204">
        <f t="shared" si="32"/>
        <v>14.471867190127142</v>
      </c>
      <c r="Q204">
        <f t="shared" si="33"/>
        <v>1.1230895358903398E-3</v>
      </c>
      <c r="R204">
        <f t="shared" si="34"/>
        <v>0</v>
      </c>
      <c r="S204">
        <f t="shared" si="35"/>
        <v>0</v>
      </c>
    </row>
    <row r="205" spans="1:19" x14ac:dyDescent="0.3">
      <c r="A205" t="s">
        <v>81</v>
      </c>
      <c r="B205">
        <v>2009</v>
      </c>
      <c r="C205">
        <v>6.9772753225990636E-3</v>
      </c>
      <c r="D205">
        <v>0.10990065090784515</v>
      </c>
      <c r="E205">
        <v>-0.81972136576453125</v>
      </c>
      <c r="F205">
        <v>0.55972364965170718</v>
      </c>
      <c r="G205">
        <v>1.0962620760534429</v>
      </c>
      <c r="H205">
        <v>11.38019375251627</v>
      </c>
      <c r="I205">
        <v>1.3021794826209779E-2</v>
      </c>
      <c r="J205">
        <v>0</v>
      </c>
      <c r="K205" s="1">
        <f t="shared" si="27"/>
        <v>6.9772753225990636E-3</v>
      </c>
      <c r="L205" s="1">
        <f t="shared" si="28"/>
        <v>0.10990065090784515</v>
      </c>
      <c r="M205">
        <f t="shared" si="29"/>
        <v>-0.81972136576453125</v>
      </c>
      <c r="N205">
        <f t="shared" si="30"/>
        <v>0.55972364965170718</v>
      </c>
      <c r="O205">
        <f t="shared" si="31"/>
        <v>1.0962620760534429</v>
      </c>
      <c r="P205">
        <f t="shared" si="32"/>
        <v>11.38019375251627</v>
      </c>
      <c r="Q205">
        <f t="shared" si="33"/>
        <v>1.3021794826209779E-2</v>
      </c>
      <c r="R205">
        <f t="shared" si="34"/>
        <v>0</v>
      </c>
      <c r="S205">
        <f t="shared" si="35"/>
        <v>0</v>
      </c>
    </row>
    <row r="206" spans="1:19" x14ac:dyDescent="0.3">
      <c r="A206" t="s">
        <v>81</v>
      </c>
      <c r="B206">
        <v>2010</v>
      </c>
      <c r="C206">
        <v>5.3603711804194746E-3</v>
      </c>
      <c r="D206">
        <v>6.5727758884435966E-2</v>
      </c>
      <c r="E206">
        <v>-0.8651816078585064</v>
      </c>
      <c r="F206">
        <v>0.58106929291141485</v>
      </c>
      <c r="G206">
        <v>1.1216387059254858</v>
      </c>
      <c r="H206">
        <v>11.278455511450799</v>
      </c>
      <c r="I206">
        <v>5.3681574616548607E-2</v>
      </c>
      <c r="J206">
        <v>0</v>
      </c>
      <c r="K206" s="1">
        <f t="shared" si="27"/>
        <v>5.3603711804194746E-3</v>
      </c>
      <c r="L206" s="1">
        <f t="shared" si="28"/>
        <v>6.5727758884435966E-2</v>
      </c>
      <c r="M206">
        <f t="shared" si="29"/>
        <v>-0.8651816078585064</v>
      </c>
      <c r="N206">
        <f t="shared" si="30"/>
        <v>0.58106929291141485</v>
      </c>
      <c r="O206">
        <f t="shared" si="31"/>
        <v>1.1216387059254858</v>
      </c>
      <c r="P206">
        <f t="shared" si="32"/>
        <v>11.278455511450799</v>
      </c>
      <c r="Q206">
        <f t="shared" si="33"/>
        <v>5.3681574616548607E-2</v>
      </c>
      <c r="R206">
        <f t="shared" si="34"/>
        <v>0</v>
      </c>
      <c r="S206">
        <f t="shared" si="35"/>
        <v>0</v>
      </c>
    </row>
    <row r="207" spans="1:19" x14ac:dyDescent="0.3">
      <c r="A207" t="s">
        <v>82</v>
      </c>
      <c r="B207">
        <v>2007</v>
      </c>
      <c r="C207">
        <v>5.91633604788752E-4</v>
      </c>
      <c r="D207">
        <v>7.5464606389642933E-2</v>
      </c>
      <c r="E207">
        <v>0.17998886336743927</v>
      </c>
      <c r="F207">
        <v>2.0881186051367718E-3</v>
      </c>
      <c r="G207">
        <v>0.46910837335560662</v>
      </c>
      <c r="H207">
        <v>11.875274282004765</v>
      </c>
      <c r="I207">
        <v>0.22765628620802225</v>
      </c>
      <c r="J207">
        <v>0</v>
      </c>
      <c r="K207" s="1">
        <f t="shared" si="27"/>
        <v>5.91633604788752E-4</v>
      </c>
      <c r="L207" s="1">
        <f t="shared" si="28"/>
        <v>7.5464606389642933E-2</v>
      </c>
      <c r="M207">
        <f t="shared" si="29"/>
        <v>0.17998886336743927</v>
      </c>
      <c r="N207">
        <f t="shared" si="30"/>
        <v>2.0881186051367718E-3</v>
      </c>
      <c r="O207">
        <f t="shared" si="31"/>
        <v>0.46910837335560662</v>
      </c>
      <c r="P207">
        <f t="shared" si="32"/>
        <v>11.875274282004765</v>
      </c>
      <c r="Q207">
        <f t="shared" si="33"/>
        <v>0.22765628620802225</v>
      </c>
      <c r="R207">
        <f t="shared" si="34"/>
        <v>0</v>
      </c>
      <c r="S207">
        <f t="shared" si="35"/>
        <v>0</v>
      </c>
    </row>
    <row r="208" spans="1:19" x14ac:dyDescent="0.3">
      <c r="A208" t="s">
        <v>82</v>
      </c>
      <c r="B208">
        <v>2008</v>
      </c>
      <c r="C208">
        <v>3.7832130916769311E-4</v>
      </c>
      <c r="D208">
        <v>0.88889670948442723</v>
      </c>
      <c r="E208">
        <v>0.15036952313918706</v>
      </c>
      <c r="F208">
        <v>0</v>
      </c>
      <c r="G208">
        <v>0.26933292275206761</v>
      </c>
      <c r="H208">
        <v>11.640966814851112</v>
      </c>
      <c r="I208">
        <v>0.13594104675859117</v>
      </c>
      <c r="J208">
        <v>0</v>
      </c>
      <c r="K208" s="1">
        <f t="shared" si="27"/>
        <v>3.7832130916769311E-4</v>
      </c>
      <c r="L208" s="1">
        <f t="shared" si="28"/>
        <v>0.88889670948442723</v>
      </c>
      <c r="M208">
        <f t="shared" si="29"/>
        <v>0.15036952313918706</v>
      </c>
      <c r="N208">
        <f t="shared" si="30"/>
        <v>0</v>
      </c>
      <c r="O208">
        <f t="shared" si="31"/>
        <v>0.26933292275206761</v>
      </c>
      <c r="P208">
        <f t="shared" si="32"/>
        <v>11.640966814851112</v>
      </c>
      <c r="Q208">
        <f t="shared" si="33"/>
        <v>0.13594104675859117</v>
      </c>
      <c r="R208">
        <f t="shared" si="34"/>
        <v>0</v>
      </c>
      <c r="S208">
        <f t="shared" si="35"/>
        <v>0</v>
      </c>
    </row>
    <row r="209" spans="1:19" x14ac:dyDescent="0.3">
      <c r="A209" t="s">
        <v>82</v>
      </c>
      <c r="B209">
        <v>2009</v>
      </c>
      <c r="C209">
        <v>4.9043047534973823E-4</v>
      </c>
      <c r="D209">
        <v>0.43933988058017925</v>
      </c>
      <c r="E209">
        <v>-0.25417785461188558</v>
      </c>
      <c r="F209">
        <v>0</v>
      </c>
      <c r="G209">
        <v>0.38638209438334498</v>
      </c>
      <c r="H209">
        <v>11.309106485525438</v>
      </c>
      <c r="I209">
        <v>6.2775652701070619E-2</v>
      </c>
      <c r="J209">
        <v>0</v>
      </c>
      <c r="K209" s="1">
        <f t="shared" si="27"/>
        <v>4.9043047534973823E-4</v>
      </c>
      <c r="L209" s="1">
        <f t="shared" si="28"/>
        <v>0.43933988058017925</v>
      </c>
      <c r="M209">
        <f t="shared" si="29"/>
        <v>-0.25417785461188558</v>
      </c>
      <c r="N209">
        <f t="shared" si="30"/>
        <v>0</v>
      </c>
      <c r="O209">
        <f t="shared" si="31"/>
        <v>0.38638209438334498</v>
      </c>
      <c r="P209">
        <f t="shared" si="32"/>
        <v>11.309106485525438</v>
      </c>
      <c r="Q209">
        <f t="shared" si="33"/>
        <v>6.2775652701070619E-2</v>
      </c>
      <c r="R209">
        <f t="shared" si="34"/>
        <v>0</v>
      </c>
      <c r="S209">
        <f t="shared" si="35"/>
        <v>0</v>
      </c>
    </row>
    <row r="210" spans="1:19" x14ac:dyDescent="0.3">
      <c r="A210" t="s">
        <v>82</v>
      </c>
      <c r="B210">
        <v>2010</v>
      </c>
      <c r="C210">
        <v>3.3409060537217692E-4</v>
      </c>
      <c r="D210">
        <v>0.16927702792997462</v>
      </c>
      <c r="E210">
        <v>-0.28725110249899771</v>
      </c>
      <c r="F210">
        <v>0</v>
      </c>
      <c r="G210">
        <v>0.46926500066818116</v>
      </c>
      <c r="H210">
        <v>11.222974153074404</v>
      </c>
      <c r="I210">
        <v>4.0236288931185943E-3</v>
      </c>
      <c r="J210">
        <v>0</v>
      </c>
      <c r="K210" s="1">
        <f t="shared" si="27"/>
        <v>3.3409060537217692E-4</v>
      </c>
      <c r="L210" s="1">
        <f t="shared" si="28"/>
        <v>0.16927702792997462</v>
      </c>
      <c r="M210">
        <f t="shared" si="29"/>
        <v>-0.28725110249899771</v>
      </c>
      <c r="N210">
        <f t="shared" si="30"/>
        <v>0</v>
      </c>
      <c r="O210">
        <f t="shared" si="31"/>
        <v>0.46926500066818116</v>
      </c>
      <c r="P210">
        <f t="shared" si="32"/>
        <v>11.222974153074404</v>
      </c>
      <c r="Q210">
        <f t="shared" si="33"/>
        <v>4.0236288931185943E-3</v>
      </c>
      <c r="R210">
        <f t="shared" si="34"/>
        <v>0</v>
      </c>
      <c r="S210">
        <f t="shared" si="35"/>
        <v>0</v>
      </c>
    </row>
    <row r="211" spans="1:19" x14ac:dyDescent="0.3">
      <c r="A211" t="s">
        <v>83</v>
      </c>
      <c r="B211">
        <v>2007</v>
      </c>
      <c r="C211">
        <v>6.756594163179637E-2</v>
      </c>
      <c r="D211">
        <v>0.27060371614588802</v>
      </c>
      <c r="E211">
        <v>6.8828338811360426E-2</v>
      </c>
      <c r="F211">
        <v>9.3344817773635569E-2</v>
      </c>
      <c r="G211">
        <v>1.1566501211786702</v>
      </c>
      <c r="H211">
        <v>13.168496681912474</v>
      </c>
      <c r="I211">
        <v>2.2543519896069352E-2</v>
      </c>
      <c r="J211">
        <v>9.264582024304488E-2</v>
      </c>
      <c r="K211" s="1">
        <f t="shared" si="27"/>
        <v>6.756594163179637E-2</v>
      </c>
      <c r="L211" s="1">
        <f t="shared" si="28"/>
        <v>0.27060371614588802</v>
      </c>
      <c r="M211">
        <f t="shared" si="29"/>
        <v>6.8828338811360426E-2</v>
      </c>
      <c r="N211">
        <f t="shared" si="30"/>
        <v>9.3344817773635569E-2</v>
      </c>
      <c r="O211">
        <f t="shared" si="31"/>
        <v>1.1566501211786702</v>
      </c>
      <c r="P211">
        <f t="shared" si="32"/>
        <v>13.168496681912474</v>
      </c>
      <c r="Q211">
        <f t="shared" si="33"/>
        <v>2.2543519896069352E-2</v>
      </c>
      <c r="R211">
        <f t="shared" si="34"/>
        <v>9.264582024304488E-2</v>
      </c>
      <c r="S211">
        <f t="shared" si="35"/>
        <v>0</v>
      </c>
    </row>
    <row r="212" spans="1:19" x14ac:dyDescent="0.3">
      <c r="A212" t="s">
        <v>83</v>
      </c>
      <c r="B212">
        <v>2009</v>
      </c>
      <c r="C212">
        <v>4.3556304315510677E-2</v>
      </c>
      <c r="D212">
        <v>5.5437185415591082E-2</v>
      </c>
      <c r="E212">
        <v>0.15050181657760933</v>
      </c>
      <c r="F212">
        <v>0.19434263546809841</v>
      </c>
      <c r="G212">
        <v>0.85526951362393244</v>
      </c>
      <c r="H212">
        <v>13.346509625849709</v>
      </c>
      <c r="I212">
        <v>5.4377912624110916E-2</v>
      </c>
      <c r="J212">
        <v>0</v>
      </c>
      <c r="K212" s="1">
        <f t="shared" si="27"/>
        <v>4.3556304315510677E-2</v>
      </c>
      <c r="L212" s="1">
        <f t="shared" si="28"/>
        <v>5.5437185415591082E-2</v>
      </c>
      <c r="M212">
        <f t="shared" si="29"/>
        <v>0.15050181657760933</v>
      </c>
      <c r="N212">
        <f t="shared" si="30"/>
        <v>0.19434263546809841</v>
      </c>
      <c r="O212">
        <f t="shared" si="31"/>
        <v>0.85526951362393244</v>
      </c>
      <c r="P212">
        <f t="shared" si="32"/>
        <v>13.346509625849709</v>
      </c>
      <c r="Q212">
        <f t="shared" si="33"/>
        <v>5.4377912624110916E-2</v>
      </c>
      <c r="R212">
        <f t="shared" si="34"/>
        <v>0</v>
      </c>
      <c r="S212">
        <f t="shared" si="35"/>
        <v>0</v>
      </c>
    </row>
    <row r="213" spans="1:19" x14ac:dyDescent="0.3">
      <c r="A213" t="s">
        <v>83</v>
      </c>
      <c r="B213">
        <v>2010</v>
      </c>
      <c r="C213">
        <v>9.8451042224469969E-3</v>
      </c>
      <c r="D213">
        <v>0.19232066004244264</v>
      </c>
      <c r="E213">
        <v>0.23627456813629241</v>
      </c>
      <c r="F213">
        <v>7.2665489908305403E-2</v>
      </c>
      <c r="G213">
        <v>0.93954582416056809</v>
      </c>
      <c r="H213">
        <v>13.536213235046887</v>
      </c>
      <c r="I213">
        <v>2.7338433770746139E-2</v>
      </c>
      <c r="J213">
        <v>3.8872691933916424E-2</v>
      </c>
      <c r="K213" s="1">
        <f t="shared" si="27"/>
        <v>9.8451042224469969E-3</v>
      </c>
      <c r="L213" s="1">
        <f t="shared" si="28"/>
        <v>0.19232066004244264</v>
      </c>
      <c r="M213">
        <f t="shared" si="29"/>
        <v>0.23627456813629241</v>
      </c>
      <c r="N213">
        <f t="shared" si="30"/>
        <v>7.2665489908305403E-2</v>
      </c>
      <c r="O213">
        <f t="shared" si="31"/>
        <v>0.93954582416056809</v>
      </c>
      <c r="P213">
        <f t="shared" si="32"/>
        <v>13.536213235046887</v>
      </c>
      <c r="Q213">
        <f t="shared" si="33"/>
        <v>2.7338433770746139E-2</v>
      </c>
      <c r="R213">
        <f t="shared" si="34"/>
        <v>3.8872691933916424E-2</v>
      </c>
      <c r="S213">
        <f t="shared" si="35"/>
        <v>0</v>
      </c>
    </row>
    <row r="214" spans="1:19" x14ac:dyDescent="0.3">
      <c r="A214" t="s">
        <v>84</v>
      </c>
      <c r="B214">
        <v>2010</v>
      </c>
      <c r="C214">
        <v>2.6956377656377905E-4</v>
      </c>
      <c r="D214">
        <v>0.21583814962191</v>
      </c>
      <c r="E214">
        <v>1.7318854378680224E-2</v>
      </c>
      <c r="F214">
        <v>0.44170126892819961</v>
      </c>
      <c r="G214">
        <v>0.72596962585042424</v>
      </c>
      <c r="H214">
        <v>14.008665718777115</v>
      </c>
      <c r="I214">
        <v>6.0134401110040328E-2</v>
      </c>
      <c r="J214">
        <v>1.9809227984182293E-2</v>
      </c>
      <c r="K214" s="1">
        <f t="shared" si="27"/>
        <v>2.6956377656377905E-4</v>
      </c>
      <c r="L214" s="1">
        <f t="shared" si="28"/>
        <v>0.21583814962191</v>
      </c>
      <c r="M214">
        <f t="shared" si="29"/>
        <v>1.7318854378680224E-2</v>
      </c>
      <c r="N214">
        <f t="shared" si="30"/>
        <v>0.44170126892819961</v>
      </c>
      <c r="O214">
        <f t="shared" si="31"/>
        <v>0.72596962585042424</v>
      </c>
      <c r="P214">
        <f t="shared" si="32"/>
        <v>14.008665718777115</v>
      </c>
      <c r="Q214">
        <f t="shared" si="33"/>
        <v>6.0134401110040328E-2</v>
      </c>
      <c r="R214">
        <f t="shared" si="34"/>
        <v>1.9809227984182293E-2</v>
      </c>
      <c r="S214">
        <f t="shared" si="35"/>
        <v>0</v>
      </c>
    </row>
    <row r="215" spans="1:19" x14ac:dyDescent="0.3">
      <c r="A215" t="s">
        <v>85</v>
      </c>
      <c r="B215">
        <v>2007</v>
      </c>
      <c r="C215">
        <v>6.9603805162213378E-3</v>
      </c>
      <c r="D215">
        <v>9.835812339021581E-2</v>
      </c>
      <c r="E215">
        <v>0.17086057265774851</v>
      </c>
      <c r="F215">
        <v>0.16489889853176118</v>
      </c>
      <c r="G215">
        <v>0.77602006003803181</v>
      </c>
      <c r="H215">
        <v>14.006598576798341</v>
      </c>
      <c r="I215">
        <v>1.7354754169846519E-3</v>
      </c>
      <c r="J215">
        <v>0</v>
      </c>
      <c r="K215" s="1">
        <f t="shared" si="27"/>
        <v>6.9603805162213378E-3</v>
      </c>
      <c r="L215" s="1">
        <f t="shared" si="28"/>
        <v>9.835812339021581E-2</v>
      </c>
      <c r="M215">
        <f t="shared" si="29"/>
        <v>0.17086057265774851</v>
      </c>
      <c r="N215">
        <f t="shared" si="30"/>
        <v>0.16489889853176118</v>
      </c>
      <c r="O215">
        <f t="shared" si="31"/>
        <v>0.77602006003803181</v>
      </c>
      <c r="P215">
        <f t="shared" si="32"/>
        <v>14.006598576798341</v>
      </c>
      <c r="Q215">
        <f t="shared" si="33"/>
        <v>1.7354754169846519E-3</v>
      </c>
      <c r="R215">
        <f t="shared" si="34"/>
        <v>0</v>
      </c>
      <c r="S215">
        <f t="shared" si="35"/>
        <v>0</v>
      </c>
    </row>
    <row r="216" spans="1:19" x14ac:dyDescent="0.3">
      <c r="A216" t="s">
        <v>85</v>
      </c>
      <c r="B216">
        <v>2009</v>
      </c>
      <c r="C216">
        <v>3.7879668686605617E-3</v>
      </c>
      <c r="D216">
        <v>5.4329846884596841E-2</v>
      </c>
      <c r="E216">
        <v>1.8252310993087561E-2</v>
      </c>
      <c r="F216">
        <v>0.5403739754971949</v>
      </c>
      <c r="G216">
        <v>0.88924124395994841</v>
      </c>
      <c r="H216">
        <v>14.070259747360437</v>
      </c>
      <c r="I216">
        <v>6.3983087728160373E-2</v>
      </c>
      <c r="J216">
        <v>0</v>
      </c>
      <c r="K216" s="1">
        <f t="shared" si="27"/>
        <v>3.7879668686605617E-3</v>
      </c>
      <c r="L216" s="1">
        <f t="shared" si="28"/>
        <v>5.4329846884596841E-2</v>
      </c>
      <c r="M216">
        <f t="shared" si="29"/>
        <v>1.8252310993087561E-2</v>
      </c>
      <c r="N216">
        <f t="shared" si="30"/>
        <v>0.5403739754971949</v>
      </c>
      <c r="O216">
        <f t="shared" si="31"/>
        <v>0.88924124395994841</v>
      </c>
      <c r="P216">
        <f t="shared" si="32"/>
        <v>14.070259747360437</v>
      </c>
      <c r="Q216">
        <f t="shared" si="33"/>
        <v>6.3983087728160373E-2</v>
      </c>
      <c r="R216">
        <f t="shared" si="34"/>
        <v>0</v>
      </c>
      <c r="S216">
        <f t="shared" si="35"/>
        <v>0</v>
      </c>
    </row>
    <row r="217" spans="1:19" x14ac:dyDescent="0.3">
      <c r="A217" t="s">
        <v>85</v>
      </c>
      <c r="B217">
        <v>2010</v>
      </c>
      <c r="C217">
        <v>1.4126003312523888E-3</v>
      </c>
      <c r="D217">
        <v>0.25384204994266785</v>
      </c>
      <c r="E217">
        <v>0.13382198369219009</v>
      </c>
      <c r="F217">
        <v>0.29071458147534718</v>
      </c>
      <c r="G217">
        <v>0.7134757134666837</v>
      </c>
      <c r="H217">
        <v>14.04331522936064</v>
      </c>
      <c r="I217">
        <v>3.6552396748927907E-2</v>
      </c>
      <c r="J217">
        <v>0</v>
      </c>
      <c r="K217" s="1">
        <f t="shared" si="27"/>
        <v>1.4126003312523888E-3</v>
      </c>
      <c r="L217" s="1">
        <f t="shared" si="28"/>
        <v>0.25384204994266785</v>
      </c>
      <c r="M217">
        <f t="shared" si="29"/>
        <v>0.13382198369219009</v>
      </c>
      <c r="N217">
        <f t="shared" si="30"/>
        <v>0.29071458147534718</v>
      </c>
      <c r="O217">
        <f t="shared" si="31"/>
        <v>0.7134757134666837</v>
      </c>
      <c r="P217">
        <f t="shared" si="32"/>
        <v>14.04331522936064</v>
      </c>
      <c r="Q217">
        <f t="shared" si="33"/>
        <v>3.6552396748927907E-2</v>
      </c>
      <c r="R217">
        <f t="shared" si="34"/>
        <v>0</v>
      </c>
      <c r="S217">
        <f t="shared" si="35"/>
        <v>0</v>
      </c>
    </row>
    <row r="218" spans="1:19" x14ac:dyDescent="0.3">
      <c r="A218" t="s">
        <v>86</v>
      </c>
      <c r="B218">
        <v>2007</v>
      </c>
      <c r="C218">
        <v>1.9389748985420112E-3</v>
      </c>
      <c r="D218">
        <v>0.17364346911167894</v>
      </c>
      <c r="E218">
        <v>-0.92507891176912671</v>
      </c>
      <c r="F218">
        <v>7.5154065834961675E-2</v>
      </c>
      <c r="G218">
        <v>1.4671892379377725</v>
      </c>
      <c r="H218">
        <v>11.798555433295878</v>
      </c>
      <c r="I218">
        <v>2.6203151739025213E-2</v>
      </c>
      <c r="J218">
        <v>0</v>
      </c>
      <c r="K218" s="1">
        <f t="shared" si="27"/>
        <v>1.9389748985420112E-3</v>
      </c>
      <c r="L218" s="1">
        <f t="shared" si="28"/>
        <v>0.17364346911167894</v>
      </c>
      <c r="M218">
        <f t="shared" si="29"/>
        <v>-0.92507891176912671</v>
      </c>
      <c r="N218">
        <f t="shared" si="30"/>
        <v>7.5154065834961675E-2</v>
      </c>
      <c r="O218">
        <f t="shared" si="31"/>
        <v>1.4671892379377725</v>
      </c>
      <c r="P218">
        <f t="shared" si="32"/>
        <v>11.798555433295878</v>
      </c>
      <c r="Q218">
        <f t="shared" si="33"/>
        <v>2.6203151739025213E-2</v>
      </c>
      <c r="R218">
        <f t="shared" si="34"/>
        <v>0</v>
      </c>
      <c r="S218">
        <f t="shared" si="35"/>
        <v>0</v>
      </c>
    </row>
    <row r="219" spans="1:19" x14ac:dyDescent="0.3">
      <c r="A219" t="s">
        <v>86</v>
      </c>
      <c r="B219">
        <v>2008</v>
      </c>
      <c r="C219">
        <v>1.4999922680810924E-3</v>
      </c>
      <c r="D219">
        <v>7.4759923917917942E-2</v>
      </c>
      <c r="E219">
        <v>-1.0490744893067561</v>
      </c>
      <c r="F219">
        <v>7.7319189076344969E-2</v>
      </c>
      <c r="G219">
        <v>1.6910000463915134</v>
      </c>
      <c r="H219">
        <v>11.77015348456319</v>
      </c>
      <c r="I219">
        <v>1.0148781492614879E-2</v>
      </c>
      <c r="J219">
        <v>0</v>
      </c>
      <c r="K219" s="1">
        <f t="shared" si="27"/>
        <v>1.4999922680810924E-3</v>
      </c>
      <c r="L219" s="1">
        <f t="shared" si="28"/>
        <v>7.4759923917917942E-2</v>
      </c>
      <c r="M219">
        <f t="shared" si="29"/>
        <v>-1.0490744893067561</v>
      </c>
      <c r="N219">
        <f t="shared" si="30"/>
        <v>7.7319189076344969E-2</v>
      </c>
      <c r="O219">
        <f t="shared" si="31"/>
        <v>1.6910000463915134</v>
      </c>
      <c r="P219">
        <f t="shared" si="32"/>
        <v>11.77015348456319</v>
      </c>
      <c r="Q219">
        <f t="shared" si="33"/>
        <v>1.0148781492614879E-2</v>
      </c>
      <c r="R219">
        <f t="shared" si="34"/>
        <v>0</v>
      </c>
      <c r="S219">
        <f t="shared" si="35"/>
        <v>0</v>
      </c>
    </row>
    <row r="220" spans="1:19" x14ac:dyDescent="0.3">
      <c r="A220" t="s">
        <v>87</v>
      </c>
      <c r="B220">
        <v>2007</v>
      </c>
      <c r="C220">
        <v>6.2192967646351209E-3</v>
      </c>
      <c r="D220">
        <v>7.9192679494792723E-2</v>
      </c>
      <c r="E220">
        <v>-8.9582434461409274E-2</v>
      </c>
      <c r="F220">
        <v>0.26894063452592815</v>
      </c>
      <c r="G220">
        <v>0.75316445458322434</v>
      </c>
      <c r="H220">
        <v>16.093319542382254</v>
      </c>
      <c r="I220">
        <v>3.7657393468185675E-3</v>
      </c>
      <c r="J220">
        <v>1.1562965420890403E-3</v>
      </c>
      <c r="K220" s="1">
        <f t="shared" si="27"/>
        <v>6.2192967646351209E-3</v>
      </c>
      <c r="L220" s="1">
        <f t="shared" si="28"/>
        <v>7.9192679494792723E-2</v>
      </c>
      <c r="M220">
        <f t="shared" si="29"/>
        <v>-8.9582434461409274E-2</v>
      </c>
      <c r="N220">
        <f t="shared" si="30"/>
        <v>0.26894063452592815</v>
      </c>
      <c r="O220">
        <f t="shared" si="31"/>
        <v>0.75316445458322434</v>
      </c>
      <c r="P220">
        <f t="shared" si="32"/>
        <v>16.093319542382254</v>
      </c>
      <c r="Q220">
        <f t="shared" si="33"/>
        <v>3.7657393468185675E-3</v>
      </c>
      <c r="R220">
        <f t="shared" si="34"/>
        <v>1.1562965420890403E-3</v>
      </c>
      <c r="S220">
        <f t="shared" si="35"/>
        <v>0</v>
      </c>
    </row>
    <row r="221" spans="1:19" x14ac:dyDescent="0.3">
      <c r="A221" t="s">
        <v>87</v>
      </c>
      <c r="B221">
        <v>2008</v>
      </c>
      <c r="C221">
        <v>1.6835029261543242E-3</v>
      </c>
      <c r="D221">
        <v>6.4868285225956251E-2</v>
      </c>
      <c r="E221">
        <v>-9.8573128392425394E-2</v>
      </c>
      <c r="F221">
        <v>0.29439766099569337</v>
      </c>
      <c r="G221">
        <v>0.82717771059102896</v>
      </c>
      <c r="H221">
        <v>16.198579738132668</v>
      </c>
      <c r="I221">
        <v>6.6452055065988206E-3</v>
      </c>
      <c r="J221">
        <v>1.3563242910483704E-3</v>
      </c>
      <c r="K221" s="1">
        <f t="shared" si="27"/>
        <v>1.6835029261543242E-3</v>
      </c>
      <c r="L221" s="1">
        <f t="shared" si="28"/>
        <v>6.4868285225956251E-2</v>
      </c>
      <c r="M221">
        <f t="shared" si="29"/>
        <v>-9.8573128392425394E-2</v>
      </c>
      <c r="N221">
        <f t="shared" si="30"/>
        <v>0.29439766099569337</v>
      </c>
      <c r="O221">
        <f t="shared" si="31"/>
        <v>0.82717771059102896</v>
      </c>
      <c r="P221">
        <f t="shared" si="32"/>
        <v>16.198579738132668</v>
      </c>
      <c r="Q221">
        <f t="shared" si="33"/>
        <v>6.6452055065988206E-3</v>
      </c>
      <c r="R221">
        <f t="shared" si="34"/>
        <v>1.3563242910483704E-3</v>
      </c>
      <c r="S221">
        <f t="shared" si="35"/>
        <v>0</v>
      </c>
    </row>
    <row r="222" spans="1:19" x14ac:dyDescent="0.3">
      <c r="A222" t="s">
        <v>87</v>
      </c>
      <c r="B222">
        <v>2009</v>
      </c>
      <c r="C222">
        <v>1.7253890757666355E-3</v>
      </c>
      <c r="D222">
        <v>3.4597940527864357E-2</v>
      </c>
      <c r="E222">
        <v>-7.0290207524743881E-2</v>
      </c>
      <c r="F222">
        <v>0.78125237733818387</v>
      </c>
      <c r="G222">
        <v>0.9138883699164716</v>
      </c>
      <c r="H222">
        <v>16.801669402128816</v>
      </c>
      <c r="I222">
        <v>1.4133556425134957E-2</v>
      </c>
      <c r="J222">
        <v>0</v>
      </c>
      <c r="K222" s="1">
        <f t="shared" si="27"/>
        <v>1.7253890757666355E-3</v>
      </c>
      <c r="L222" s="1">
        <f t="shared" si="28"/>
        <v>3.4597940527864357E-2</v>
      </c>
      <c r="M222">
        <f t="shared" si="29"/>
        <v>-7.0290207524743881E-2</v>
      </c>
      <c r="N222">
        <f t="shared" si="30"/>
        <v>0.78125237733818387</v>
      </c>
      <c r="O222">
        <f t="shared" si="31"/>
        <v>0.9138883699164716</v>
      </c>
      <c r="P222">
        <f t="shared" si="32"/>
        <v>16.801669402128816</v>
      </c>
      <c r="Q222">
        <f t="shared" si="33"/>
        <v>1.4133556425134957E-2</v>
      </c>
      <c r="R222">
        <f t="shared" si="34"/>
        <v>0</v>
      </c>
      <c r="S222">
        <f t="shared" si="35"/>
        <v>0</v>
      </c>
    </row>
    <row r="223" spans="1:19" x14ac:dyDescent="0.3">
      <c r="A223" t="s">
        <v>87</v>
      </c>
      <c r="B223">
        <v>2010</v>
      </c>
      <c r="C223">
        <v>6.3443146763305725E-3</v>
      </c>
      <c r="D223">
        <v>0.11553488006711729</v>
      </c>
      <c r="E223">
        <v>-7.1027878921052057E-2</v>
      </c>
      <c r="F223">
        <v>0.62486366100958579</v>
      </c>
      <c r="G223">
        <v>0.93805421074488926</v>
      </c>
      <c r="H223">
        <v>16.476335389966408</v>
      </c>
      <c r="I223">
        <v>1.8373595522014695E-2</v>
      </c>
      <c r="J223">
        <v>0</v>
      </c>
      <c r="K223" s="1">
        <f t="shared" si="27"/>
        <v>6.3443146763305725E-3</v>
      </c>
      <c r="L223" s="1">
        <f t="shared" si="28"/>
        <v>0.11553488006711729</v>
      </c>
      <c r="M223">
        <f t="shared" si="29"/>
        <v>-7.1027878921052057E-2</v>
      </c>
      <c r="N223">
        <f t="shared" si="30"/>
        <v>0.62486366100958579</v>
      </c>
      <c r="O223">
        <f t="shared" si="31"/>
        <v>0.93805421074488926</v>
      </c>
      <c r="P223">
        <f t="shared" si="32"/>
        <v>16.476335389966408</v>
      </c>
      <c r="Q223">
        <f t="shared" si="33"/>
        <v>1.8373595522014695E-2</v>
      </c>
      <c r="R223">
        <f t="shared" si="34"/>
        <v>0</v>
      </c>
      <c r="S223">
        <f t="shared" si="35"/>
        <v>0</v>
      </c>
    </row>
    <row r="224" spans="1:19" x14ac:dyDescent="0.3">
      <c r="A224" t="s">
        <v>88</v>
      </c>
      <c r="B224">
        <v>2007</v>
      </c>
      <c r="C224">
        <v>1.7675446781344234E-3</v>
      </c>
      <c r="D224">
        <v>7.095706499469015E-2</v>
      </c>
      <c r="E224">
        <v>0.53694143491962043</v>
      </c>
      <c r="F224">
        <v>0.12743995351824985</v>
      </c>
      <c r="G224">
        <v>0.66611841556469265</v>
      </c>
      <c r="H224">
        <v>17.488784298904214</v>
      </c>
      <c r="I224">
        <v>3.293794321157964E-2</v>
      </c>
      <c r="J224">
        <v>5.5329249920081239E-3</v>
      </c>
      <c r="K224" s="1">
        <f t="shared" si="27"/>
        <v>1.7675446781344234E-3</v>
      </c>
      <c r="L224" s="1">
        <f t="shared" si="28"/>
        <v>7.095706499469015E-2</v>
      </c>
      <c r="M224">
        <f t="shared" si="29"/>
        <v>0.53694143491962043</v>
      </c>
      <c r="N224">
        <f t="shared" si="30"/>
        <v>0.12743995351824985</v>
      </c>
      <c r="O224">
        <f t="shared" si="31"/>
        <v>0.66611841556469265</v>
      </c>
      <c r="P224">
        <f t="shared" si="32"/>
        <v>17.488784298904214</v>
      </c>
      <c r="Q224">
        <f t="shared" si="33"/>
        <v>3.293794321157964E-2</v>
      </c>
      <c r="R224">
        <f t="shared" si="34"/>
        <v>5.5329249920081239E-3</v>
      </c>
      <c r="S224">
        <f t="shared" si="35"/>
        <v>0</v>
      </c>
    </row>
    <row r="225" spans="1:19" x14ac:dyDescent="0.3">
      <c r="A225" t="s">
        <v>88</v>
      </c>
      <c r="B225">
        <v>2008</v>
      </c>
      <c r="C225">
        <v>1.9005499600531705E-3</v>
      </c>
      <c r="D225">
        <v>0.17852125052408568</v>
      </c>
      <c r="E225">
        <v>0.40577145100307022</v>
      </c>
      <c r="F225">
        <v>0.25740309880339762</v>
      </c>
      <c r="G225">
        <v>0.43191374672709476</v>
      </c>
      <c r="H225">
        <v>17.51129831967674</v>
      </c>
      <c r="I225">
        <v>3.6503354402928651E-2</v>
      </c>
      <c r="J225">
        <v>9.9178472513380932E-3</v>
      </c>
      <c r="K225" s="1">
        <f t="shared" si="27"/>
        <v>1.9005499600531705E-3</v>
      </c>
      <c r="L225" s="1">
        <f t="shared" si="28"/>
        <v>0.17852125052408568</v>
      </c>
      <c r="M225">
        <f t="shared" si="29"/>
        <v>0.40577145100307022</v>
      </c>
      <c r="N225">
        <f t="shared" si="30"/>
        <v>0.25740309880339762</v>
      </c>
      <c r="O225">
        <f t="shared" si="31"/>
        <v>0.43191374672709476</v>
      </c>
      <c r="P225">
        <f t="shared" si="32"/>
        <v>17.51129831967674</v>
      </c>
      <c r="Q225">
        <f t="shared" si="33"/>
        <v>3.6503354402928651E-2</v>
      </c>
      <c r="R225">
        <f t="shared" si="34"/>
        <v>9.9178472513380932E-3</v>
      </c>
      <c r="S225">
        <f t="shared" si="35"/>
        <v>0</v>
      </c>
    </row>
    <row r="226" spans="1:19" x14ac:dyDescent="0.3">
      <c r="A226" t="s">
        <v>88</v>
      </c>
      <c r="B226">
        <v>2009</v>
      </c>
      <c r="C226">
        <v>3.5380671771362174E-3</v>
      </c>
      <c r="D226">
        <v>8.4995357107927896E-2</v>
      </c>
      <c r="E226">
        <v>-4.1488910212223735E-2</v>
      </c>
      <c r="F226">
        <v>0.32083345735745916</v>
      </c>
      <c r="G226">
        <v>0.92443661260737986</v>
      </c>
      <c r="H226">
        <v>17.265900752880569</v>
      </c>
      <c r="I226">
        <v>1.6259510677303541E-2</v>
      </c>
      <c r="J226">
        <v>1.5389516463306238E-2</v>
      </c>
      <c r="K226" s="1">
        <f t="shared" si="27"/>
        <v>3.5380671771362174E-3</v>
      </c>
      <c r="L226" s="1">
        <f t="shared" si="28"/>
        <v>8.4995357107927896E-2</v>
      </c>
      <c r="M226">
        <f t="shared" si="29"/>
        <v>-4.1488910212223735E-2</v>
      </c>
      <c r="N226">
        <f t="shared" si="30"/>
        <v>0.32083345735745916</v>
      </c>
      <c r="O226">
        <f t="shared" si="31"/>
        <v>0.92443661260737986</v>
      </c>
      <c r="P226">
        <f t="shared" si="32"/>
        <v>17.265900752880569</v>
      </c>
      <c r="Q226">
        <f t="shared" si="33"/>
        <v>1.6259510677303541E-2</v>
      </c>
      <c r="R226">
        <f t="shared" si="34"/>
        <v>1.5389516463306238E-2</v>
      </c>
      <c r="S226">
        <f t="shared" si="35"/>
        <v>0</v>
      </c>
    </row>
    <row r="227" spans="1:19" x14ac:dyDescent="0.3">
      <c r="A227" t="s">
        <v>88</v>
      </c>
      <c r="B227">
        <v>2010</v>
      </c>
      <c r="C227">
        <v>2.3945313783973665E-3</v>
      </c>
      <c r="D227">
        <v>9.4966029636366855E-2</v>
      </c>
      <c r="E227">
        <v>2.5215561957332842E-2</v>
      </c>
      <c r="F227">
        <v>0.23296305594388361</v>
      </c>
      <c r="G227">
        <v>0.80913771774190457</v>
      </c>
      <c r="H227">
        <v>17.648107468907224</v>
      </c>
      <c r="I227">
        <v>4.7711170507315909E-3</v>
      </c>
      <c r="J227">
        <v>1.9033260221651086E-2</v>
      </c>
      <c r="K227" s="1">
        <f t="shared" si="27"/>
        <v>2.3945313783973665E-3</v>
      </c>
      <c r="L227" s="1">
        <f t="shared" si="28"/>
        <v>9.4966029636366855E-2</v>
      </c>
      <c r="M227">
        <f t="shared" si="29"/>
        <v>2.5215561957332842E-2</v>
      </c>
      <c r="N227">
        <f t="shared" si="30"/>
        <v>0.23296305594388361</v>
      </c>
      <c r="O227">
        <f t="shared" si="31"/>
        <v>0.80913771774190457</v>
      </c>
      <c r="P227">
        <f t="shared" si="32"/>
        <v>17.648107468907224</v>
      </c>
      <c r="Q227">
        <f t="shared" si="33"/>
        <v>4.7711170507315909E-3</v>
      </c>
      <c r="R227">
        <f t="shared" si="34"/>
        <v>1.9033260221651086E-2</v>
      </c>
      <c r="S227">
        <f t="shared" si="35"/>
        <v>0</v>
      </c>
    </row>
    <row r="228" spans="1:19" x14ac:dyDescent="0.3">
      <c r="A228" t="s">
        <v>89</v>
      </c>
      <c r="B228">
        <v>2007</v>
      </c>
      <c r="C228">
        <v>3.0694014689310136E-3</v>
      </c>
      <c r="D228">
        <v>3.6812860530495109E-2</v>
      </c>
      <c r="E228">
        <v>-7.9973851768442683E-2</v>
      </c>
      <c r="F228">
        <v>0.26279948395382902</v>
      </c>
      <c r="G228">
        <v>0.71740174566942094</v>
      </c>
      <c r="H228">
        <v>14.628588244492567</v>
      </c>
      <c r="I228">
        <v>3.7308818874119583E-3</v>
      </c>
      <c r="J228">
        <v>0</v>
      </c>
      <c r="K228" s="1">
        <f t="shared" si="27"/>
        <v>3.0694014689310136E-3</v>
      </c>
      <c r="L228" s="1">
        <f t="shared" si="28"/>
        <v>3.6812860530495109E-2</v>
      </c>
      <c r="M228">
        <f t="shared" si="29"/>
        <v>-7.9973851768442683E-2</v>
      </c>
      <c r="N228">
        <f t="shared" si="30"/>
        <v>0.26279948395382902</v>
      </c>
      <c r="O228">
        <f t="shared" si="31"/>
        <v>0.71740174566942094</v>
      </c>
      <c r="P228">
        <f t="shared" si="32"/>
        <v>14.628588244492567</v>
      </c>
      <c r="Q228">
        <f t="shared" si="33"/>
        <v>3.7308818874119583E-3</v>
      </c>
      <c r="R228">
        <f t="shared" si="34"/>
        <v>0</v>
      </c>
      <c r="S228">
        <f t="shared" si="35"/>
        <v>0</v>
      </c>
    </row>
    <row r="229" spans="1:19" x14ac:dyDescent="0.3">
      <c r="A229" t="s">
        <v>89</v>
      </c>
      <c r="B229">
        <v>2008</v>
      </c>
      <c r="C229">
        <v>8.8102492566352185E-4</v>
      </c>
      <c r="D229">
        <v>2.4604660458703995E-2</v>
      </c>
      <c r="E229">
        <v>-0.12360290248767176</v>
      </c>
      <c r="F229">
        <v>0.2148974788819141</v>
      </c>
      <c r="G229">
        <v>0.67014426783157743</v>
      </c>
      <c r="H229">
        <v>14.712288140639421</v>
      </c>
      <c r="I229">
        <v>6.0825644672445452E-2</v>
      </c>
      <c r="J229">
        <v>0</v>
      </c>
      <c r="K229" s="1">
        <f t="shared" si="27"/>
        <v>8.8102492566352185E-4</v>
      </c>
      <c r="L229" s="1">
        <f t="shared" si="28"/>
        <v>2.4604660458703995E-2</v>
      </c>
      <c r="M229">
        <f t="shared" si="29"/>
        <v>-0.12360290248767176</v>
      </c>
      <c r="N229">
        <f t="shared" si="30"/>
        <v>0.2148974788819141</v>
      </c>
      <c r="O229">
        <f t="shared" si="31"/>
        <v>0.67014426783157743</v>
      </c>
      <c r="P229">
        <f t="shared" si="32"/>
        <v>14.712288140639421</v>
      </c>
      <c r="Q229">
        <f t="shared" si="33"/>
        <v>6.0825644672445452E-2</v>
      </c>
      <c r="R229">
        <f t="shared" si="34"/>
        <v>0</v>
      </c>
      <c r="S229">
        <f t="shared" si="35"/>
        <v>0</v>
      </c>
    </row>
    <row r="230" spans="1:19" x14ac:dyDescent="0.3">
      <c r="A230" t="s">
        <v>89</v>
      </c>
      <c r="B230">
        <v>2009</v>
      </c>
      <c r="C230">
        <v>6.1420351017666091E-4</v>
      </c>
      <c r="D230">
        <v>0.19216649307436939</v>
      </c>
      <c r="E230">
        <v>-0.34376423225821318</v>
      </c>
      <c r="F230">
        <v>0.49381386177396808</v>
      </c>
      <c r="G230">
        <v>0.732397363029197</v>
      </c>
      <c r="H230">
        <v>14.837090962986984</v>
      </c>
      <c r="I230">
        <v>4.747204865419883E-2</v>
      </c>
      <c r="J230">
        <v>0</v>
      </c>
      <c r="K230" s="1">
        <f t="shared" si="27"/>
        <v>6.1420351017666091E-4</v>
      </c>
      <c r="L230" s="1">
        <f t="shared" si="28"/>
        <v>0.19216649307436939</v>
      </c>
      <c r="M230">
        <f t="shared" si="29"/>
        <v>-0.34376423225821318</v>
      </c>
      <c r="N230">
        <f t="shared" si="30"/>
        <v>0.49381386177396808</v>
      </c>
      <c r="O230">
        <f t="shared" si="31"/>
        <v>0.732397363029197</v>
      </c>
      <c r="P230">
        <f t="shared" si="32"/>
        <v>14.837090962986984</v>
      </c>
      <c r="Q230">
        <f t="shared" si="33"/>
        <v>4.747204865419883E-2</v>
      </c>
      <c r="R230">
        <f t="shared" si="34"/>
        <v>0</v>
      </c>
      <c r="S230">
        <f t="shared" si="35"/>
        <v>0</v>
      </c>
    </row>
    <row r="231" spans="1:19" x14ac:dyDescent="0.3">
      <c r="A231" t="s">
        <v>89</v>
      </c>
      <c r="B231">
        <v>2010</v>
      </c>
      <c r="C231">
        <v>1.447317069578728E-3</v>
      </c>
      <c r="D231">
        <v>6.7054483332474241E-2</v>
      </c>
      <c r="E231">
        <v>-0.35238175887130624</v>
      </c>
      <c r="F231">
        <v>0.51012974676553535</v>
      </c>
      <c r="G231">
        <v>0.80995836248094655</v>
      </c>
      <c r="H231">
        <v>14.814692858727465</v>
      </c>
      <c r="I231">
        <v>2.5705135876663912E-3</v>
      </c>
      <c r="J231">
        <v>0</v>
      </c>
      <c r="K231" s="1">
        <f t="shared" si="27"/>
        <v>1.447317069578728E-3</v>
      </c>
      <c r="L231" s="1">
        <f t="shared" si="28"/>
        <v>6.7054483332474241E-2</v>
      </c>
      <c r="M231">
        <f t="shared" si="29"/>
        <v>-0.35238175887130624</v>
      </c>
      <c r="N231">
        <f t="shared" si="30"/>
        <v>0.51012974676553535</v>
      </c>
      <c r="O231">
        <f t="shared" si="31"/>
        <v>0.80995836248094655</v>
      </c>
      <c r="P231">
        <f t="shared" si="32"/>
        <v>14.814692858727465</v>
      </c>
      <c r="Q231">
        <f t="shared" si="33"/>
        <v>2.5705135876663912E-3</v>
      </c>
      <c r="R231">
        <f t="shared" si="34"/>
        <v>0</v>
      </c>
      <c r="S231">
        <f t="shared" si="35"/>
        <v>0</v>
      </c>
    </row>
    <row r="232" spans="1:19" x14ac:dyDescent="0.3">
      <c r="A232" t="s">
        <v>90</v>
      </c>
      <c r="B232">
        <v>2007</v>
      </c>
      <c r="C232">
        <v>1.8721825080584731E-2</v>
      </c>
      <c r="D232">
        <v>0.11985714795475361</v>
      </c>
      <c r="E232">
        <v>4.9177500505513068E-2</v>
      </c>
      <c r="F232">
        <v>0.15391088696727845</v>
      </c>
      <c r="G232">
        <v>1.0575541493701901</v>
      </c>
      <c r="H232">
        <v>12.725735109161144</v>
      </c>
      <c r="I232">
        <v>1.4950065320673576E-2</v>
      </c>
      <c r="J232">
        <v>0</v>
      </c>
      <c r="K232" s="1">
        <f t="shared" si="27"/>
        <v>1.8721825080584731E-2</v>
      </c>
      <c r="L232" s="1">
        <f t="shared" si="28"/>
        <v>0.11985714795475361</v>
      </c>
      <c r="M232">
        <f t="shared" si="29"/>
        <v>4.9177500505513068E-2</v>
      </c>
      <c r="N232">
        <f t="shared" si="30"/>
        <v>0.15391088696727845</v>
      </c>
      <c r="O232">
        <f t="shared" si="31"/>
        <v>1.0575541493701901</v>
      </c>
      <c r="P232">
        <f t="shared" si="32"/>
        <v>12.725735109161144</v>
      </c>
      <c r="Q232">
        <f t="shared" si="33"/>
        <v>1.4950065320673576E-2</v>
      </c>
      <c r="R232">
        <f t="shared" si="34"/>
        <v>0</v>
      </c>
      <c r="S232">
        <f t="shared" si="35"/>
        <v>0</v>
      </c>
    </row>
    <row r="233" spans="1:19" x14ac:dyDescent="0.3">
      <c r="A233" t="s">
        <v>90</v>
      </c>
      <c r="B233">
        <v>2009</v>
      </c>
      <c r="C233">
        <v>3.5098568001328363E-3</v>
      </c>
      <c r="D233">
        <v>0.39433498806190631</v>
      </c>
      <c r="E233">
        <v>0.1240817401560827</v>
      </c>
      <c r="F233">
        <v>1.3920160777779687</v>
      </c>
      <c r="G233">
        <v>1.4566764576211988</v>
      </c>
      <c r="H233">
        <v>12.070544975955775</v>
      </c>
      <c r="I233">
        <v>3.362051867865061E-2</v>
      </c>
      <c r="J233">
        <v>0</v>
      </c>
      <c r="K233" s="1">
        <f t="shared" si="27"/>
        <v>3.5098568001328363E-3</v>
      </c>
      <c r="L233" s="1">
        <f t="shared" si="28"/>
        <v>0.39433498806190631</v>
      </c>
      <c r="M233">
        <f t="shared" si="29"/>
        <v>0.1240817401560827</v>
      </c>
      <c r="N233">
        <f t="shared" si="30"/>
        <v>1.3920160777779687</v>
      </c>
      <c r="O233">
        <f t="shared" si="31"/>
        <v>1.4566764576211988</v>
      </c>
      <c r="P233">
        <f t="shared" si="32"/>
        <v>12.070544975955775</v>
      </c>
      <c r="Q233">
        <f t="shared" si="33"/>
        <v>3.362051867865061E-2</v>
      </c>
      <c r="R233">
        <f t="shared" si="34"/>
        <v>0</v>
      </c>
      <c r="S233">
        <f t="shared" si="35"/>
        <v>0</v>
      </c>
    </row>
    <row r="234" spans="1:19" x14ac:dyDescent="0.3">
      <c r="A234" t="s">
        <v>90</v>
      </c>
      <c r="B234">
        <v>2010</v>
      </c>
      <c r="C234">
        <v>4.1686684652056617E-3</v>
      </c>
      <c r="D234">
        <v>0.21546250785320964</v>
      </c>
      <c r="E234">
        <v>0.2481022949850327</v>
      </c>
      <c r="F234">
        <v>1.7307217561624597</v>
      </c>
      <c r="G234">
        <v>1.662951328578292</v>
      </c>
      <c r="H234">
        <v>11.815212858561026</v>
      </c>
      <c r="I234">
        <v>3.6914278869457917E-3</v>
      </c>
      <c r="J234">
        <v>0</v>
      </c>
      <c r="K234" s="1">
        <f t="shared" si="27"/>
        <v>4.1686684652056617E-3</v>
      </c>
      <c r="L234" s="1">
        <f t="shared" si="28"/>
        <v>0.21546250785320964</v>
      </c>
      <c r="M234">
        <f t="shared" si="29"/>
        <v>0.2481022949850327</v>
      </c>
      <c r="N234">
        <f t="shared" si="30"/>
        <v>1.7307217561624597</v>
      </c>
      <c r="O234">
        <f t="shared" si="31"/>
        <v>1.662951328578292</v>
      </c>
      <c r="P234">
        <f t="shared" si="32"/>
        <v>11.815212858561026</v>
      </c>
      <c r="Q234">
        <f t="shared" si="33"/>
        <v>3.6914278869457917E-3</v>
      </c>
      <c r="R234">
        <f t="shared" si="34"/>
        <v>0</v>
      </c>
      <c r="S234">
        <f t="shared" si="35"/>
        <v>0</v>
      </c>
    </row>
    <row r="235" spans="1:19" x14ac:dyDescent="0.3">
      <c r="A235" t="s">
        <v>91</v>
      </c>
      <c r="B235">
        <v>2007</v>
      </c>
      <c r="C235">
        <v>2.0108157639203917E-2</v>
      </c>
      <c r="D235">
        <v>4.1946146560222684E-2</v>
      </c>
      <c r="E235">
        <v>7.0669735890215343E-2</v>
      </c>
      <c r="F235">
        <v>0.38554961625794637</v>
      </c>
      <c r="G235">
        <v>0.77515907168188869</v>
      </c>
      <c r="H235">
        <v>14.703998756453478</v>
      </c>
      <c r="I235">
        <v>4.6324348221552306E-4</v>
      </c>
      <c r="J235">
        <v>0</v>
      </c>
      <c r="K235" s="1">
        <f t="shared" si="27"/>
        <v>2.0108157639203917E-2</v>
      </c>
      <c r="L235" s="1">
        <f t="shared" si="28"/>
        <v>4.1946146560222684E-2</v>
      </c>
      <c r="M235">
        <f t="shared" si="29"/>
        <v>7.0669735890215343E-2</v>
      </c>
      <c r="N235">
        <f t="shared" si="30"/>
        <v>0.38554961625794637</v>
      </c>
      <c r="O235">
        <f t="shared" si="31"/>
        <v>0.77515907168188869</v>
      </c>
      <c r="P235">
        <f t="shared" si="32"/>
        <v>14.703998756453478</v>
      </c>
      <c r="Q235">
        <f t="shared" si="33"/>
        <v>4.6324348221552306E-4</v>
      </c>
      <c r="R235">
        <f t="shared" si="34"/>
        <v>0</v>
      </c>
      <c r="S235">
        <f t="shared" si="35"/>
        <v>0</v>
      </c>
    </row>
    <row r="236" spans="1:19" x14ac:dyDescent="0.3">
      <c r="A236" t="s">
        <v>91</v>
      </c>
      <c r="B236">
        <v>2009</v>
      </c>
      <c r="C236">
        <v>2.0381957082697043E-2</v>
      </c>
      <c r="D236">
        <v>2.6576423612311391E-2</v>
      </c>
      <c r="E236">
        <v>-2.1513553742199303E-2</v>
      </c>
      <c r="F236">
        <v>0.59907486296462731</v>
      </c>
      <c r="G236">
        <v>0.78999836648820043</v>
      </c>
      <c r="H236">
        <v>14.897552310497723</v>
      </c>
      <c r="I236">
        <v>9.4799512008057387E-3</v>
      </c>
      <c r="J236">
        <v>0</v>
      </c>
      <c r="K236" s="1">
        <f t="shared" si="27"/>
        <v>2.0381957082697043E-2</v>
      </c>
      <c r="L236" s="1">
        <f t="shared" si="28"/>
        <v>2.6576423612311391E-2</v>
      </c>
      <c r="M236">
        <f t="shared" si="29"/>
        <v>-2.1513553742199303E-2</v>
      </c>
      <c r="N236">
        <f t="shared" si="30"/>
        <v>0.59907486296462731</v>
      </c>
      <c r="O236">
        <f t="shared" si="31"/>
        <v>0.78999836648820043</v>
      </c>
      <c r="P236">
        <f t="shared" si="32"/>
        <v>14.897552310497723</v>
      </c>
      <c r="Q236">
        <f t="shared" si="33"/>
        <v>9.4799512008057387E-3</v>
      </c>
      <c r="R236">
        <f t="shared" si="34"/>
        <v>0</v>
      </c>
      <c r="S236">
        <f t="shared" si="35"/>
        <v>0</v>
      </c>
    </row>
    <row r="237" spans="1:19" x14ac:dyDescent="0.3">
      <c r="A237" t="s">
        <v>91</v>
      </c>
      <c r="B237">
        <v>2010</v>
      </c>
      <c r="C237">
        <v>1.9358317114788363E-2</v>
      </c>
      <c r="D237">
        <v>5.2838543678284354E-2</v>
      </c>
      <c r="E237">
        <v>5.6559231759082543E-3</v>
      </c>
      <c r="F237">
        <v>0.56316408896994496</v>
      </c>
      <c r="G237">
        <v>0.77015197388955559</v>
      </c>
      <c r="H237">
        <v>14.973845414661783</v>
      </c>
      <c r="I237">
        <v>5.2301000140039626E-3</v>
      </c>
      <c r="J237">
        <v>4.9534859038392574E-3</v>
      </c>
      <c r="K237" s="1">
        <f t="shared" si="27"/>
        <v>1.9358317114788363E-2</v>
      </c>
      <c r="L237" s="1">
        <f t="shared" si="28"/>
        <v>5.2838543678284354E-2</v>
      </c>
      <c r="M237">
        <f t="shared" si="29"/>
        <v>5.6559231759082543E-3</v>
      </c>
      <c r="N237">
        <f t="shared" si="30"/>
        <v>0.56316408896994496</v>
      </c>
      <c r="O237">
        <f t="shared" si="31"/>
        <v>0.77015197388955559</v>
      </c>
      <c r="P237">
        <f t="shared" si="32"/>
        <v>14.973845414661783</v>
      </c>
      <c r="Q237">
        <f t="shared" si="33"/>
        <v>5.2301000140039626E-3</v>
      </c>
      <c r="R237">
        <f t="shared" si="34"/>
        <v>4.9534859038392574E-3</v>
      </c>
      <c r="S237">
        <f t="shared" si="35"/>
        <v>0</v>
      </c>
    </row>
    <row r="238" spans="1:19" x14ac:dyDescent="0.3">
      <c r="A238" t="s">
        <v>92</v>
      </c>
      <c r="B238">
        <v>2009</v>
      </c>
      <c r="C238">
        <v>1.5758248591340345E-3</v>
      </c>
      <c r="D238">
        <v>4.5296446727891959E-2</v>
      </c>
      <c r="E238">
        <v>-2.5136535996240734E-2</v>
      </c>
      <c r="F238">
        <v>0.74741586018032546</v>
      </c>
      <c r="G238">
        <v>0.95480931809373459</v>
      </c>
      <c r="H238">
        <v>14.158238898579265</v>
      </c>
      <c r="I238">
        <v>6.2075853169185957E-2</v>
      </c>
      <c r="J238">
        <v>3.280838963476355E-3</v>
      </c>
      <c r="K238" s="1">
        <f t="shared" si="27"/>
        <v>1.5758248591340345E-3</v>
      </c>
      <c r="L238" s="1">
        <f t="shared" si="28"/>
        <v>4.5296446727891959E-2</v>
      </c>
      <c r="M238">
        <f t="shared" si="29"/>
        <v>-2.5136535996240734E-2</v>
      </c>
      <c r="N238">
        <f t="shared" si="30"/>
        <v>0.74741586018032546</v>
      </c>
      <c r="O238">
        <f t="shared" si="31"/>
        <v>0.95480931809373459</v>
      </c>
      <c r="P238">
        <f t="shared" si="32"/>
        <v>14.158238898579265</v>
      </c>
      <c r="Q238">
        <f t="shared" si="33"/>
        <v>6.2075853169185957E-2</v>
      </c>
      <c r="R238">
        <f t="shared" si="34"/>
        <v>3.280838963476355E-3</v>
      </c>
      <c r="S238">
        <f t="shared" si="35"/>
        <v>0</v>
      </c>
    </row>
    <row r="239" spans="1:19" x14ac:dyDescent="0.3">
      <c r="A239" t="s">
        <v>92</v>
      </c>
      <c r="B239">
        <v>2010</v>
      </c>
      <c r="C239">
        <v>4.0472244809733101E-3</v>
      </c>
      <c r="D239">
        <v>0.22364449202117623</v>
      </c>
      <c r="E239">
        <v>4.1107668660085979E-2</v>
      </c>
      <c r="F239">
        <v>0.5608123269482157</v>
      </c>
      <c r="G239">
        <v>0.83990331401672269</v>
      </c>
      <c r="H239">
        <v>14.192092535513364</v>
      </c>
      <c r="I239">
        <v>5.0900900180543968E-3</v>
      </c>
      <c r="J239">
        <v>2.1145341197218132E-2</v>
      </c>
      <c r="K239" s="1">
        <f t="shared" si="27"/>
        <v>4.0472244809733101E-3</v>
      </c>
      <c r="L239" s="1">
        <f t="shared" si="28"/>
        <v>0.22364449202117623</v>
      </c>
      <c r="M239">
        <f t="shared" si="29"/>
        <v>4.1107668660085979E-2</v>
      </c>
      <c r="N239">
        <f t="shared" si="30"/>
        <v>0.5608123269482157</v>
      </c>
      <c r="O239">
        <f t="shared" si="31"/>
        <v>0.83990331401672269</v>
      </c>
      <c r="P239">
        <f t="shared" si="32"/>
        <v>14.192092535513364</v>
      </c>
      <c r="Q239">
        <f t="shared" si="33"/>
        <v>5.0900900180543968E-3</v>
      </c>
      <c r="R239">
        <f t="shared" si="34"/>
        <v>2.1145341197218132E-2</v>
      </c>
      <c r="S239">
        <f t="shared" si="35"/>
        <v>0</v>
      </c>
    </row>
    <row r="240" spans="1:19" x14ac:dyDescent="0.3">
      <c r="A240" t="s">
        <v>93</v>
      </c>
      <c r="B240">
        <v>2007</v>
      </c>
      <c r="C240">
        <v>2.7815060493369539E-2</v>
      </c>
      <c r="D240">
        <v>7.54308988267548E-2</v>
      </c>
      <c r="E240">
        <v>-4.7824381348879112E-2</v>
      </c>
      <c r="F240">
        <v>0.15181804367577412</v>
      </c>
      <c r="G240">
        <v>0.89340527219632038</v>
      </c>
      <c r="H240">
        <v>14.268378837065354</v>
      </c>
      <c r="I240">
        <v>7.3671469310387476E-3</v>
      </c>
      <c r="J240">
        <v>0</v>
      </c>
      <c r="K240" s="1">
        <f t="shared" si="27"/>
        <v>2.7815060493369539E-2</v>
      </c>
      <c r="L240" s="1">
        <f t="shared" si="28"/>
        <v>7.54308988267548E-2</v>
      </c>
      <c r="M240">
        <f t="shared" si="29"/>
        <v>-4.7824381348879112E-2</v>
      </c>
      <c r="N240">
        <f t="shared" si="30"/>
        <v>0.15181804367577412</v>
      </c>
      <c r="O240">
        <f t="shared" si="31"/>
        <v>0.89340527219632038</v>
      </c>
      <c r="P240">
        <f t="shared" si="32"/>
        <v>14.268378837065354</v>
      </c>
      <c r="Q240">
        <f t="shared" si="33"/>
        <v>7.3671469310387476E-3</v>
      </c>
      <c r="R240">
        <f t="shared" si="34"/>
        <v>0</v>
      </c>
      <c r="S240">
        <f t="shared" si="35"/>
        <v>0</v>
      </c>
    </row>
    <row r="241" spans="1:19" x14ac:dyDescent="0.3">
      <c r="A241" t="s">
        <v>93</v>
      </c>
      <c r="B241">
        <v>2009</v>
      </c>
      <c r="C241">
        <v>4.0929034158783979E-3</v>
      </c>
      <c r="D241">
        <v>0.13366123939705427</v>
      </c>
      <c r="E241">
        <v>0.15180892117268305</v>
      </c>
      <c r="F241">
        <v>0.60252383865884562</v>
      </c>
      <c r="G241">
        <v>0.89467043890009124</v>
      </c>
      <c r="H241">
        <v>14.252345771896591</v>
      </c>
      <c r="I241">
        <v>1.342617364310702E-2</v>
      </c>
      <c r="J241">
        <v>2.3879038713633085E-2</v>
      </c>
      <c r="K241" s="1">
        <f t="shared" si="27"/>
        <v>4.0929034158783979E-3</v>
      </c>
      <c r="L241" s="1">
        <f t="shared" si="28"/>
        <v>0.13366123939705427</v>
      </c>
      <c r="M241">
        <f t="shared" si="29"/>
        <v>0.15180892117268305</v>
      </c>
      <c r="N241">
        <f t="shared" si="30"/>
        <v>0.60252383865884562</v>
      </c>
      <c r="O241">
        <f t="shared" si="31"/>
        <v>0.89467043890009124</v>
      </c>
      <c r="P241">
        <f t="shared" si="32"/>
        <v>14.252345771896591</v>
      </c>
      <c r="Q241">
        <f t="shared" si="33"/>
        <v>1.342617364310702E-2</v>
      </c>
      <c r="R241">
        <f t="shared" si="34"/>
        <v>2.3879038713633085E-2</v>
      </c>
      <c r="S241">
        <f t="shared" si="35"/>
        <v>0</v>
      </c>
    </row>
    <row r="242" spans="1:19" x14ac:dyDescent="0.3">
      <c r="A242" t="s">
        <v>93</v>
      </c>
      <c r="B242">
        <v>2010</v>
      </c>
      <c r="C242">
        <v>5.2961184962831184E-2</v>
      </c>
      <c r="D242">
        <v>0.17599514853323064</v>
      </c>
      <c r="E242">
        <v>0.1105360196965323</v>
      </c>
      <c r="F242">
        <v>0.50695251389082485</v>
      </c>
      <c r="G242">
        <v>0.848351644141213</v>
      </c>
      <c r="H242">
        <v>14.230113125380909</v>
      </c>
      <c r="I242">
        <v>4.3352811414453657E-3</v>
      </c>
      <c r="J242">
        <v>3.6623817768761287E-2</v>
      </c>
      <c r="K242" s="1">
        <f t="shared" si="27"/>
        <v>5.2961184962831184E-2</v>
      </c>
      <c r="L242" s="1">
        <f t="shared" si="28"/>
        <v>0.17599514853323064</v>
      </c>
      <c r="M242">
        <f t="shared" si="29"/>
        <v>0.1105360196965323</v>
      </c>
      <c r="N242">
        <f t="shared" si="30"/>
        <v>0.50695251389082485</v>
      </c>
      <c r="O242">
        <f t="shared" si="31"/>
        <v>0.848351644141213</v>
      </c>
      <c r="P242">
        <f t="shared" si="32"/>
        <v>14.230113125380909</v>
      </c>
      <c r="Q242">
        <f t="shared" si="33"/>
        <v>4.3352811414453657E-3</v>
      </c>
      <c r="R242">
        <f t="shared" si="34"/>
        <v>3.6623817768761287E-2</v>
      </c>
      <c r="S242">
        <f t="shared" si="35"/>
        <v>0</v>
      </c>
    </row>
    <row r="243" spans="1:19" x14ac:dyDescent="0.3">
      <c r="A243" t="s">
        <v>94</v>
      </c>
      <c r="B243">
        <v>2009</v>
      </c>
      <c r="C243">
        <v>2.0315740466415543E-3</v>
      </c>
      <c r="D243">
        <v>5.6956024886782072E-2</v>
      </c>
      <c r="E243">
        <v>3.9933127354298045E-3</v>
      </c>
      <c r="F243">
        <v>0.39748381089431584</v>
      </c>
      <c r="G243">
        <v>0.74290536250899397</v>
      </c>
      <c r="H243">
        <v>13.759024858977412</v>
      </c>
      <c r="I243">
        <v>3.6189733182639273E-2</v>
      </c>
      <c r="J243">
        <v>0</v>
      </c>
      <c r="K243" s="1">
        <f t="shared" si="27"/>
        <v>2.0315740466415543E-3</v>
      </c>
      <c r="L243" s="1">
        <f t="shared" si="28"/>
        <v>5.6956024886782072E-2</v>
      </c>
      <c r="M243">
        <f t="shared" si="29"/>
        <v>3.9933127354298045E-3</v>
      </c>
      <c r="N243">
        <f t="shared" si="30"/>
        <v>0.39748381089431584</v>
      </c>
      <c r="O243">
        <f t="shared" si="31"/>
        <v>0.74290536250899397</v>
      </c>
      <c r="P243">
        <f t="shared" si="32"/>
        <v>13.759024858977412</v>
      </c>
      <c r="Q243">
        <f t="shared" si="33"/>
        <v>3.6189733182639273E-2</v>
      </c>
      <c r="R243">
        <f t="shared" si="34"/>
        <v>0</v>
      </c>
      <c r="S243">
        <f t="shared" si="35"/>
        <v>0</v>
      </c>
    </row>
    <row r="244" spans="1:19" x14ac:dyDescent="0.3">
      <c r="A244" t="s">
        <v>94</v>
      </c>
      <c r="B244">
        <v>2010</v>
      </c>
      <c r="C244">
        <v>1.1724239354227262E-3</v>
      </c>
      <c r="D244">
        <v>0.16357764959639204</v>
      </c>
      <c r="E244">
        <v>1.9805590051962481E-2</v>
      </c>
      <c r="F244">
        <v>0.2272265842020981</v>
      </c>
      <c r="G244">
        <v>0.69065288081309839</v>
      </c>
      <c r="H244">
        <v>13.794458510467642</v>
      </c>
      <c r="I244">
        <v>3.5288092169184403E-2</v>
      </c>
      <c r="J244">
        <v>2.4476902839962091E-2</v>
      </c>
      <c r="K244" s="1">
        <f t="shared" si="27"/>
        <v>1.1724239354227262E-3</v>
      </c>
      <c r="L244" s="1">
        <f t="shared" si="28"/>
        <v>0.16357764959639204</v>
      </c>
      <c r="M244">
        <f t="shared" si="29"/>
        <v>1.9805590051962481E-2</v>
      </c>
      <c r="N244">
        <f t="shared" si="30"/>
        <v>0.2272265842020981</v>
      </c>
      <c r="O244">
        <f t="shared" si="31"/>
        <v>0.69065288081309839</v>
      </c>
      <c r="P244">
        <f t="shared" si="32"/>
        <v>13.794458510467642</v>
      </c>
      <c r="Q244">
        <f t="shared" si="33"/>
        <v>3.5288092169184403E-2</v>
      </c>
      <c r="R244">
        <f t="shared" si="34"/>
        <v>2.4476902839962091E-2</v>
      </c>
      <c r="S244">
        <f t="shared" si="35"/>
        <v>0</v>
      </c>
    </row>
    <row r="245" spans="1:19" x14ac:dyDescent="0.3">
      <c r="A245" t="s">
        <v>95</v>
      </c>
      <c r="B245">
        <v>2007</v>
      </c>
      <c r="C245">
        <v>1.0126812135005084E-3</v>
      </c>
      <c r="D245">
        <v>5.2251206411916606E-2</v>
      </c>
      <c r="E245">
        <v>-0.10268089378081607</v>
      </c>
      <c r="F245">
        <v>0.24505154287714867</v>
      </c>
      <c r="G245">
        <v>0.92522480622072067</v>
      </c>
      <c r="H245">
        <v>15.54914803160951</v>
      </c>
      <c r="I245">
        <v>6.5207498940032561E-3</v>
      </c>
      <c r="J245">
        <v>8.2791502663123729E-4</v>
      </c>
      <c r="K245" s="1">
        <f t="shared" si="27"/>
        <v>1.0126812135005084E-3</v>
      </c>
      <c r="L245" s="1">
        <f t="shared" si="28"/>
        <v>5.2251206411916606E-2</v>
      </c>
      <c r="M245">
        <f t="shared" si="29"/>
        <v>-0.10268089378081607</v>
      </c>
      <c r="N245">
        <f t="shared" si="30"/>
        <v>0.24505154287714867</v>
      </c>
      <c r="O245">
        <f t="shared" si="31"/>
        <v>0.92522480622072067</v>
      </c>
      <c r="P245">
        <f t="shared" si="32"/>
        <v>15.54914803160951</v>
      </c>
      <c r="Q245">
        <f t="shared" si="33"/>
        <v>6.5207498940032561E-3</v>
      </c>
      <c r="R245">
        <f t="shared" si="34"/>
        <v>8.2791502663123729E-4</v>
      </c>
      <c r="S245">
        <f t="shared" si="35"/>
        <v>0</v>
      </c>
    </row>
    <row r="246" spans="1:19" x14ac:dyDescent="0.3">
      <c r="A246" t="s">
        <v>95</v>
      </c>
      <c r="B246">
        <v>2009</v>
      </c>
      <c r="C246">
        <v>3.4930250584433697E-4</v>
      </c>
      <c r="D246">
        <v>3.4788868908441448E-2</v>
      </c>
      <c r="E246">
        <v>-6.1895214634215309E-2</v>
      </c>
      <c r="F246">
        <v>0.78591481686696862</v>
      </c>
      <c r="G246">
        <v>0.87479659552924216</v>
      </c>
      <c r="H246">
        <v>16.002914402715774</v>
      </c>
      <c r="I246">
        <v>1.0191719251048741E-2</v>
      </c>
      <c r="J246">
        <v>0</v>
      </c>
      <c r="K246" s="1">
        <f t="shared" si="27"/>
        <v>3.4930250584433697E-4</v>
      </c>
      <c r="L246" s="1">
        <f t="shared" si="28"/>
        <v>3.4788868908441448E-2</v>
      </c>
      <c r="M246">
        <f t="shared" si="29"/>
        <v>-6.1895214634215309E-2</v>
      </c>
      <c r="N246">
        <f t="shared" si="30"/>
        <v>0.78591481686696862</v>
      </c>
      <c r="O246">
        <f t="shared" si="31"/>
        <v>0.87479659552924216</v>
      </c>
      <c r="P246">
        <f t="shared" si="32"/>
        <v>16.002914402715774</v>
      </c>
      <c r="Q246">
        <f t="shared" si="33"/>
        <v>1.0191719251048741E-2</v>
      </c>
      <c r="R246">
        <f t="shared" si="34"/>
        <v>0</v>
      </c>
      <c r="S246">
        <f t="shared" si="35"/>
        <v>0</v>
      </c>
    </row>
    <row r="247" spans="1:19" x14ac:dyDescent="0.3">
      <c r="A247" t="s">
        <v>95</v>
      </c>
      <c r="B247">
        <v>2010</v>
      </c>
      <c r="C247">
        <v>3.7834529702926656E-4</v>
      </c>
      <c r="D247">
        <v>7.1627264415408329E-2</v>
      </c>
      <c r="E247">
        <v>-6.0727182246661154E-2</v>
      </c>
      <c r="F247">
        <v>0.6407610817031909</v>
      </c>
      <c r="G247">
        <v>0.78766718918828071</v>
      </c>
      <c r="H247">
        <v>15.956529326411868</v>
      </c>
      <c r="I247">
        <v>1.466212542517673E-2</v>
      </c>
      <c r="J247">
        <v>3.0559110664060054E-3</v>
      </c>
      <c r="K247" s="1">
        <f t="shared" si="27"/>
        <v>3.7834529702926656E-4</v>
      </c>
      <c r="L247" s="1">
        <f t="shared" si="28"/>
        <v>7.1627264415408329E-2</v>
      </c>
      <c r="M247">
        <f t="shared" si="29"/>
        <v>-6.0727182246661154E-2</v>
      </c>
      <c r="N247">
        <f t="shared" si="30"/>
        <v>0.6407610817031909</v>
      </c>
      <c r="O247">
        <f t="shared" si="31"/>
        <v>0.78766718918828071</v>
      </c>
      <c r="P247">
        <f t="shared" si="32"/>
        <v>15.956529326411868</v>
      </c>
      <c r="Q247">
        <f t="shared" si="33"/>
        <v>1.466212542517673E-2</v>
      </c>
      <c r="R247">
        <f t="shared" si="34"/>
        <v>3.0559110664060054E-3</v>
      </c>
      <c r="S247">
        <f t="shared" si="35"/>
        <v>0</v>
      </c>
    </row>
    <row r="248" spans="1:19" x14ac:dyDescent="0.3">
      <c r="A248" t="s">
        <v>96</v>
      </c>
      <c r="B248">
        <v>2007</v>
      </c>
      <c r="C248">
        <v>8.2990851128327708E-4</v>
      </c>
      <c r="D248">
        <v>0.38572358580111021</v>
      </c>
      <c r="E248">
        <v>-0.64013278536180529</v>
      </c>
      <c r="F248">
        <v>8.9232558255104927E-2</v>
      </c>
      <c r="G248">
        <v>1.1739746654276015</v>
      </c>
      <c r="H248">
        <v>12.212188903035415</v>
      </c>
      <c r="I248">
        <v>5.795061717518106E-2</v>
      </c>
      <c r="J248">
        <v>0</v>
      </c>
      <c r="K248" s="1">
        <f t="shared" si="27"/>
        <v>8.2990851128327708E-4</v>
      </c>
      <c r="L248" s="1">
        <f t="shared" si="28"/>
        <v>0.38572358580111021</v>
      </c>
      <c r="M248">
        <f t="shared" si="29"/>
        <v>-0.64013278536180529</v>
      </c>
      <c r="N248">
        <f t="shared" si="30"/>
        <v>8.9232558255104927E-2</v>
      </c>
      <c r="O248">
        <f t="shared" si="31"/>
        <v>1.1739746654276015</v>
      </c>
      <c r="P248">
        <f t="shared" si="32"/>
        <v>12.212188903035415</v>
      </c>
      <c r="Q248">
        <f t="shared" si="33"/>
        <v>5.795061717518106E-2</v>
      </c>
      <c r="R248">
        <f t="shared" si="34"/>
        <v>0</v>
      </c>
      <c r="S248">
        <f t="shared" si="35"/>
        <v>0</v>
      </c>
    </row>
    <row r="249" spans="1:19" x14ac:dyDescent="0.3">
      <c r="A249" t="s">
        <v>96</v>
      </c>
      <c r="B249">
        <v>2009</v>
      </c>
      <c r="C249">
        <v>4.7114225109433604E-3</v>
      </c>
      <c r="D249">
        <v>4.0679781155682881E-2</v>
      </c>
      <c r="E249">
        <v>1.3660608251739612E-3</v>
      </c>
      <c r="F249">
        <v>0.26053548669063187</v>
      </c>
      <c r="G249">
        <v>1.0937753848195633</v>
      </c>
      <c r="H249">
        <v>12.987741104271681</v>
      </c>
      <c r="I249">
        <v>2.8242589320007356E-2</v>
      </c>
      <c r="J249">
        <v>0</v>
      </c>
      <c r="K249" s="1">
        <f t="shared" si="27"/>
        <v>4.7114225109433604E-3</v>
      </c>
      <c r="L249" s="1">
        <f t="shared" si="28"/>
        <v>4.0679781155682881E-2</v>
      </c>
      <c r="M249">
        <f t="shared" si="29"/>
        <v>1.3660608251739612E-3</v>
      </c>
      <c r="N249">
        <f t="shared" si="30"/>
        <v>0.26053548669063187</v>
      </c>
      <c r="O249">
        <f t="shared" si="31"/>
        <v>1.0937753848195633</v>
      </c>
      <c r="P249">
        <f t="shared" si="32"/>
        <v>12.987741104271681</v>
      </c>
      <c r="Q249">
        <f t="shared" si="33"/>
        <v>2.8242589320007356E-2</v>
      </c>
      <c r="R249">
        <f t="shared" si="34"/>
        <v>0</v>
      </c>
      <c r="S249">
        <f t="shared" si="35"/>
        <v>0</v>
      </c>
    </row>
    <row r="250" spans="1:19" x14ac:dyDescent="0.3">
      <c r="A250" t="s">
        <v>96</v>
      </c>
      <c r="B250">
        <v>2010</v>
      </c>
      <c r="C250">
        <v>1.1028057256882028E-3</v>
      </c>
      <c r="D250">
        <v>0.13600611241200428</v>
      </c>
      <c r="E250">
        <v>-6.0763111890273301E-2</v>
      </c>
      <c r="F250">
        <v>0.26285102479334754</v>
      </c>
      <c r="G250">
        <v>0.58782366482618442</v>
      </c>
      <c r="H250">
        <v>12.910216638892967</v>
      </c>
      <c r="I250">
        <v>6.9379796923410217E-2</v>
      </c>
      <c r="J250">
        <v>0</v>
      </c>
      <c r="K250" s="1">
        <f t="shared" si="27"/>
        <v>1.1028057256882028E-3</v>
      </c>
      <c r="L250" s="1">
        <f t="shared" si="28"/>
        <v>0.13600611241200428</v>
      </c>
      <c r="M250">
        <f t="shared" si="29"/>
        <v>-6.0763111890273301E-2</v>
      </c>
      <c r="N250">
        <f t="shared" si="30"/>
        <v>0.26285102479334754</v>
      </c>
      <c r="O250">
        <f t="shared" si="31"/>
        <v>0.58782366482618442</v>
      </c>
      <c r="P250">
        <f t="shared" si="32"/>
        <v>12.910216638892967</v>
      </c>
      <c r="Q250">
        <f t="shared" si="33"/>
        <v>6.9379796923410217E-2</v>
      </c>
      <c r="R250">
        <f t="shared" si="34"/>
        <v>0</v>
      </c>
      <c r="S250">
        <f t="shared" si="35"/>
        <v>0</v>
      </c>
    </row>
    <row r="251" spans="1:19" x14ac:dyDescent="0.3">
      <c r="A251" t="s">
        <v>97</v>
      </c>
      <c r="B251">
        <v>2007</v>
      </c>
      <c r="C251">
        <v>6.6679884379793591E-3</v>
      </c>
      <c r="D251">
        <v>0.1191017140970705</v>
      </c>
      <c r="E251">
        <v>3.1917931282437549E-2</v>
      </c>
      <c r="F251">
        <v>0.35383312099614755</v>
      </c>
      <c r="G251">
        <v>0.96476088113449721</v>
      </c>
      <c r="H251">
        <v>13.868236775227302</v>
      </c>
      <c r="I251">
        <v>5.4459100405100658E-5</v>
      </c>
      <c r="J251">
        <v>9.7633997728956562E-3</v>
      </c>
      <c r="K251" s="1">
        <f t="shared" si="27"/>
        <v>6.6679884379793591E-3</v>
      </c>
      <c r="L251" s="1">
        <f t="shared" si="28"/>
        <v>0.1191017140970705</v>
      </c>
      <c r="M251">
        <f t="shared" si="29"/>
        <v>3.1917931282437549E-2</v>
      </c>
      <c r="N251">
        <f t="shared" si="30"/>
        <v>0.35383312099614755</v>
      </c>
      <c r="O251">
        <f t="shared" si="31"/>
        <v>0.96476088113449721</v>
      </c>
      <c r="P251">
        <f t="shared" si="32"/>
        <v>13.868236775227302</v>
      </c>
      <c r="Q251">
        <f t="shared" si="33"/>
        <v>5.4459100405100658E-5</v>
      </c>
      <c r="R251">
        <f t="shared" si="34"/>
        <v>9.7633997728956562E-3</v>
      </c>
      <c r="S251">
        <f t="shared" si="35"/>
        <v>0</v>
      </c>
    </row>
    <row r="252" spans="1:19" x14ac:dyDescent="0.3">
      <c r="A252" t="s">
        <v>97</v>
      </c>
      <c r="B252">
        <v>2008</v>
      </c>
      <c r="C252">
        <v>6.6679884379793591E-3</v>
      </c>
      <c r="D252">
        <v>0.1191017140970705</v>
      </c>
      <c r="E252">
        <v>3.1917931282437549E-2</v>
      </c>
      <c r="F252">
        <v>0.35383312099614755</v>
      </c>
      <c r="G252">
        <v>0.89642372320211428</v>
      </c>
      <c r="H252">
        <v>13.868236775227302</v>
      </c>
      <c r="I252">
        <v>1.8928631341092707E-2</v>
      </c>
      <c r="J252">
        <v>9.7633997728956562E-3</v>
      </c>
      <c r="K252" s="1">
        <f t="shared" si="27"/>
        <v>6.6679884379793591E-3</v>
      </c>
      <c r="L252" s="1">
        <f t="shared" si="28"/>
        <v>0.1191017140970705</v>
      </c>
      <c r="M252">
        <f t="shared" si="29"/>
        <v>3.1917931282437549E-2</v>
      </c>
      <c r="N252">
        <f t="shared" si="30"/>
        <v>0.35383312099614755</v>
      </c>
      <c r="O252">
        <f t="shared" si="31"/>
        <v>0.89642372320211428</v>
      </c>
      <c r="P252">
        <f t="shared" si="32"/>
        <v>13.868236775227302</v>
      </c>
      <c r="Q252">
        <f t="shared" si="33"/>
        <v>1.8928631341092707E-2</v>
      </c>
      <c r="R252">
        <f t="shared" si="34"/>
        <v>9.7633997728956562E-3</v>
      </c>
      <c r="S252">
        <f t="shared" si="35"/>
        <v>0</v>
      </c>
    </row>
    <row r="253" spans="1:19" x14ac:dyDescent="0.3">
      <c r="A253" t="s">
        <v>97</v>
      </c>
      <c r="B253">
        <v>2009</v>
      </c>
      <c r="C253">
        <v>5.9166215194868602E-3</v>
      </c>
      <c r="D253">
        <v>0.14130331547511554</v>
      </c>
      <c r="E253">
        <v>4.6959086622388985E-2</v>
      </c>
      <c r="F253">
        <v>0.47525800777200339</v>
      </c>
      <c r="G253">
        <v>0.7539866631886617</v>
      </c>
      <c r="H253">
        <v>14.21771034069547</v>
      </c>
      <c r="I253">
        <v>1.4551538467282236E-2</v>
      </c>
      <c r="J253">
        <v>1.0325661657001826E-2</v>
      </c>
      <c r="K253" s="1">
        <f t="shared" si="27"/>
        <v>5.9166215194868602E-3</v>
      </c>
      <c r="L253" s="1">
        <f t="shared" si="28"/>
        <v>0.14130331547511554</v>
      </c>
      <c r="M253">
        <f t="shared" si="29"/>
        <v>4.6959086622388985E-2</v>
      </c>
      <c r="N253">
        <f t="shared" si="30"/>
        <v>0.47525800777200339</v>
      </c>
      <c r="O253">
        <f t="shared" si="31"/>
        <v>0.7539866631886617</v>
      </c>
      <c r="P253">
        <f t="shared" si="32"/>
        <v>14.21771034069547</v>
      </c>
      <c r="Q253">
        <f t="shared" si="33"/>
        <v>1.4551538467282236E-2</v>
      </c>
      <c r="R253">
        <f t="shared" si="34"/>
        <v>1.0325661657001826E-2</v>
      </c>
      <c r="S253">
        <f t="shared" si="35"/>
        <v>0</v>
      </c>
    </row>
    <row r="254" spans="1:19" x14ac:dyDescent="0.3">
      <c r="A254" t="s">
        <v>97</v>
      </c>
      <c r="B254">
        <v>2010</v>
      </c>
      <c r="C254">
        <v>1.7889714361851205E-3</v>
      </c>
      <c r="D254">
        <v>0.1197726426927265</v>
      </c>
      <c r="E254">
        <v>6.5254097117889487E-2</v>
      </c>
      <c r="F254">
        <v>0.43981245376815392</v>
      </c>
      <c r="G254">
        <v>0.76357688614445929</v>
      </c>
      <c r="H254">
        <v>14.370098872162806</v>
      </c>
      <c r="I254">
        <v>5.1290507831582788E-2</v>
      </c>
      <c r="J254">
        <v>1.1821569195003056E-2</v>
      </c>
      <c r="K254" s="1">
        <f t="shared" si="27"/>
        <v>1.7889714361851205E-3</v>
      </c>
      <c r="L254" s="1">
        <f t="shared" si="28"/>
        <v>0.1197726426927265</v>
      </c>
      <c r="M254">
        <f t="shared" si="29"/>
        <v>6.5254097117889487E-2</v>
      </c>
      <c r="N254">
        <f t="shared" si="30"/>
        <v>0.43981245376815392</v>
      </c>
      <c r="O254">
        <f t="shared" si="31"/>
        <v>0.76357688614445929</v>
      </c>
      <c r="P254">
        <f t="shared" si="32"/>
        <v>14.370098872162806</v>
      </c>
      <c r="Q254">
        <f t="shared" si="33"/>
        <v>5.1290507831582788E-2</v>
      </c>
      <c r="R254">
        <f t="shared" si="34"/>
        <v>1.1821569195003056E-2</v>
      </c>
      <c r="S254">
        <f t="shared" si="35"/>
        <v>0</v>
      </c>
    </row>
    <row r="255" spans="1:19" x14ac:dyDescent="0.3">
      <c r="A255" t="s">
        <v>98</v>
      </c>
      <c r="B255">
        <v>2007</v>
      </c>
      <c r="C255">
        <v>1.2184804125935493E-2</v>
      </c>
      <c r="D255">
        <v>1.4516575753423459E-2</v>
      </c>
      <c r="E255">
        <v>-7.7958956387882256E-4</v>
      </c>
      <c r="F255">
        <v>0.3896918667875604</v>
      </c>
      <c r="G255">
        <v>0.86500870259853468</v>
      </c>
      <c r="H255">
        <v>15.048073734589767</v>
      </c>
      <c r="I255">
        <v>1.8336341912535348E-2</v>
      </c>
      <c r="J255">
        <v>0</v>
      </c>
      <c r="K255" s="1">
        <f t="shared" si="27"/>
        <v>1.2184804125935493E-2</v>
      </c>
      <c r="L255" s="1">
        <f t="shared" si="28"/>
        <v>1.4516575753423459E-2</v>
      </c>
      <c r="M255">
        <f t="shared" si="29"/>
        <v>-7.7958956387882256E-4</v>
      </c>
      <c r="N255">
        <f t="shared" si="30"/>
        <v>0.3896918667875604</v>
      </c>
      <c r="O255">
        <f t="shared" si="31"/>
        <v>0.86500870259853468</v>
      </c>
      <c r="P255">
        <f t="shared" si="32"/>
        <v>15.048073734589767</v>
      </c>
      <c r="Q255">
        <f t="shared" si="33"/>
        <v>1.8336341912535348E-2</v>
      </c>
      <c r="R255">
        <f t="shared" si="34"/>
        <v>0</v>
      </c>
      <c r="S255">
        <f t="shared" si="35"/>
        <v>0</v>
      </c>
    </row>
    <row r="256" spans="1:19" x14ac:dyDescent="0.3">
      <c r="A256" t="s">
        <v>98</v>
      </c>
      <c r="B256">
        <v>2009</v>
      </c>
      <c r="C256">
        <v>4.4182778530460383E-3</v>
      </c>
      <c r="D256">
        <v>6.335490090073935E-2</v>
      </c>
      <c r="E256">
        <v>-0.11731590286816095</v>
      </c>
      <c r="F256">
        <v>0.67927320504584632</v>
      </c>
      <c r="G256">
        <v>0.8238584386974549</v>
      </c>
      <c r="H256">
        <v>15.232993702863354</v>
      </c>
      <c r="I256">
        <v>2.4428672513796705E-2</v>
      </c>
      <c r="J256">
        <v>0</v>
      </c>
      <c r="K256" s="1">
        <f t="shared" si="27"/>
        <v>4.4182778530460383E-3</v>
      </c>
      <c r="L256" s="1">
        <f t="shared" si="28"/>
        <v>6.335490090073935E-2</v>
      </c>
      <c r="M256">
        <f t="shared" si="29"/>
        <v>-0.11731590286816095</v>
      </c>
      <c r="N256">
        <f t="shared" si="30"/>
        <v>0.67927320504584632</v>
      </c>
      <c r="O256">
        <f t="shared" si="31"/>
        <v>0.8238584386974549</v>
      </c>
      <c r="P256">
        <f t="shared" si="32"/>
        <v>15.232993702863354</v>
      </c>
      <c r="Q256">
        <f t="shared" si="33"/>
        <v>2.4428672513796705E-2</v>
      </c>
      <c r="R256">
        <f t="shared" si="34"/>
        <v>0</v>
      </c>
      <c r="S256">
        <f t="shared" si="35"/>
        <v>0</v>
      </c>
    </row>
    <row r="257" spans="1:19" x14ac:dyDescent="0.3">
      <c r="A257" t="s">
        <v>98</v>
      </c>
      <c r="B257">
        <v>2010</v>
      </c>
      <c r="C257">
        <v>8.4246682994122534E-3</v>
      </c>
      <c r="D257">
        <v>0.13340630633386805</v>
      </c>
      <c r="E257">
        <v>-9.2929177811319097E-2</v>
      </c>
      <c r="F257">
        <v>0.57350402818903257</v>
      </c>
      <c r="G257">
        <v>0.71764054172527514</v>
      </c>
      <c r="H257">
        <v>15.269918837738558</v>
      </c>
      <c r="I257">
        <v>4.8946243657490354E-3</v>
      </c>
      <c r="J257">
        <v>3.5976607848435373E-3</v>
      </c>
      <c r="K257" s="1">
        <f t="shared" si="27"/>
        <v>8.4246682994122534E-3</v>
      </c>
      <c r="L257" s="1">
        <f t="shared" si="28"/>
        <v>0.13340630633386805</v>
      </c>
      <c r="M257">
        <f t="shared" si="29"/>
        <v>-9.2929177811319097E-2</v>
      </c>
      <c r="N257">
        <f t="shared" si="30"/>
        <v>0.57350402818903257</v>
      </c>
      <c r="O257">
        <f t="shared" si="31"/>
        <v>0.71764054172527514</v>
      </c>
      <c r="P257">
        <f t="shared" si="32"/>
        <v>15.269918837738558</v>
      </c>
      <c r="Q257">
        <f t="shared" si="33"/>
        <v>4.8946243657490354E-3</v>
      </c>
      <c r="R257">
        <f t="shared" si="34"/>
        <v>3.5976607848435373E-3</v>
      </c>
      <c r="S257">
        <f t="shared" si="35"/>
        <v>0</v>
      </c>
    </row>
    <row r="258" spans="1:19" x14ac:dyDescent="0.3">
      <c r="A258" t="s">
        <v>99</v>
      </c>
      <c r="B258">
        <v>2007</v>
      </c>
      <c r="C258">
        <v>4.7702961102186435E-3</v>
      </c>
      <c r="D258">
        <v>9.7159453059882508E-2</v>
      </c>
      <c r="E258">
        <v>-8.1258466025820361E-2</v>
      </c>
      <c r="F258">
        <v>0.17852943749537342</v>
      </c>
      <c r="G258">
        <v>0.9060000749865168</v>
      </c>
      <c r="H258">
        <v>13.854911062646398</v>
      </c>
      <c r="I258">
        <v>4.964407636370044E-3</v>
      </c>
      <c r="J258">
        <v>0</v>
      </c>
      <c r="K258" s="1">
        <f t="shared" si="27"/>
        <v>4.7702961102186435E-3</v>
      </c>
      <c r="L258" s="1">
        <f t="shared" si="28"/>
        <v>9.7159453059882508E-2</v>
      </c>
      <c r="M258">
        <f t="shared" si="29"/>
        <v>-8.1258466025820361E-2</v>
      </c>
      <c r="N258">
        <f t="shared" si="30"/>
        <v>0.17852943749537342</v>
      </c>
      <c r="O258">
        <f t="shared" si="31"/>
        <v>0.9060000749865168</v>
      </c>
      <c r="P258">
        <f t="shared" si="32"/>
        <v>13.854911062646398</v>
      </c>
      <c r="Q258">
        <f t="shared" si="33"/>
        <v>4.964407636370044E-3</v>
      </c>
      <c r="R258">
        <f t="shared" si="34"/>
        <v>0</v>
      </c>
      <c r="S258">
        <f t="shared" si="35"/>
        <v>0</v>
      </c>
    </row>
    <row r="259" spans="1:19" x14ac:dyDescent="0.3">
      <c r="A259" t="s">
        <v>100</v>
      </c>
      <c r="B259">
        <v>2009</v>
      </c>
      <c r="C259">
        <v>6.486592336029961E-4</v>
      </c>
      <c r="D259">
        <v>0.10698049806694108</v>
      </c>
      <c r="E259">
        <v>1.0935415570269377E-2</v>
      </c>
      <c r="F259">
        <v>0.54320791228277732</v>
      </c>
      <c r="G259">
        <v>0.93550125584235266</v>
      </c>
      <c r="H259">
        <v>14.201266714388561</v>
      </c>
      <c r="I259">
        <v>1.6790425413079027E-2</v>
      </c>
      <c r="J259">
        <v>0</v>
      </c>
      <c r="K259" s="1">
        <f t="shared" ref="K259:K322" si="36">IF(OR(C259&lt;$C$1007-3*$C$1008,C259&gt;$C$1007+3*$C$1008),"out",C259)</f>
        <v>6.486592336029961E-4</v>
      </c>
      <c r="L259" s="1">
        <f t="shared" ref="L259:L322" si="37">IF(OR(D259&lt;$D$1007-3*$D$1008,D259&gt;$D$1007+3*$D$1008),"out",D259)</f>
        <v>0.10698049806694108</v>
      </c>
      <c r="M259">
        <f t="shared" ref="M259:M322" si="38">IF(OR(E259&lt;$E$1007-3*$E$1008,E259&gt;$E$1007+3*$E$1008),"out",E259)</f>
        <v>1.0935415570269377E-2</v>
      </c>
      <c r="N259">
        <f t="shared" ref="N259:N322" si="39">IF(OR(F259&lt;$F$1007-3*$F$1008,F259&gt;$F$1007+3*$F$1008),"out",F259)</f>
        <v>0.54320791228277732</v>
      </c>
      <c r="O259">
        <f t="shared" ref="O259:O322" si="40">IF(OR(G259&lt;$G$1007-3*$G$1008,G259&gt;$G$1007+3*$G$1008),"out",G259)</f>
        <v>0.93550125584235266</v>
      </c>
      <c r="P259">
        <f t="shared" ref="P259:P322" si="41">IF(OR(H259&lt;$H$1007-3*$H$1008,H259&gt;$H$1007+3*$H$1008),"out",H259)</f>
        <v>14.201266714388561</v>
      </c>
      <c r="Q259">
        <f t="shared" ref="Q259:Q322" si="42">IF(OR(I259&lt;$I$1007-3*$I$1008,I259&gt;$I$1007+3*$I$1008),"out",I259)</f>
        <v>1.6790425413079027E-2</v>
      </c>
      <c r="R259">
        <f t="shared" ref="R259:R322" si="43">IF(OR(J259&lt;$J$1007-3*$J$1008,J259&gt;$J$1007+3*$J$1008),"out",J259)</f>
        <v>0</v>
      </c>
      <c r="S259">
        <f t="shared" ref="S259:S322" si="44">IF(OR(K259="out",L259="out",M259="out",N259="out",O259="out",P259="out",Q259="out",R259="out"),1,0)</f>
        <v>0</v>
      </c>
    </row>
    <row r="260" spans="1:19" x14ac:dyDescent="0.3">
      <c r="A260" t="s">
        <v>100</v>
      </c>
      <c r="B260">
        <v>2010</v>
      </c>
      <c r="C260">
        <v>1.5516165046406025E-3</v>
      </c>
      <c r="D260">
        <v>5.3059974251973195E-2</v>
      </c>
      <c r="E260">
        <v>7.1735064719763555E-2</v>
      </c>
      <c r="F260">
        <v>0.53153032387080401</v>
      </c>
      <c r="G260">
        <v>0.78043266528342259</v>
      </c>
      <c r="H260">
        <v>14.250013944515459</v>
      </c>
      <c r="I260">
        <v>1.4056778047909427E-2</v>
      </c>
      <c r="J260">
        <v>0</v>
      </c>
      <c r="K260" s="1">
        <f t="shared" si="36"/>
        <v>1.5516165046406025E-3</v>
      </c>
      <c r="L260" s="1">
        <f t="shared" si="37"/>
        <v>5.3059974251973195E-2</v>
      </c>
      <c r="M260">
        <f t="shared" si="38"/>
        <v>7.1735064719763555E-2</v>
      </c>
      <c r="N260">
        <f t="shared" si="39"/>
        <v>0.53153032387080401</v>
      </c>
      <c r="O260">
        <f t="shared" si="40"/>
        <v>0.78043266528342259</v>
      </c>
      <c r="P260">
        <f t="shared" si="41"/>
        <v>14.250013944515459</v>
      </c>
      <c r="Q260">
        <f t="shared" si="42"/>
        <v>1.4056778047909427E-2</v>
      </c>
      <c r="R260">
        <f t="shared" si="43"/>
        <v>0</v>
      </c>
      <c r="S260">
        <f t="shared" si="44"/>
        <v>0</v>
      </c>
    </row>
    <row r="261" spans="1:19" x14ac:dyDescent="0.3">
      <c r="A261" t="s">
        <v>101</v>
      </c>
      <c r="B261">
        <v>2007</v>
      </c>
      <c r="C261">
        <v>3.2013083023432948E-2</v>
      </c>
      <c r="D261">
        <v>0.1162163776752244</v>
      </c>
      <c r="E261">
        <v>-1.2761921830428484E-2</v>
      </c>
      <c r="F261">
        <v>0.33073465059665158</v>
      </c>
      <c r="G261">
        <v>0.81215556252520271</v>
      </c>
      <c r="H261">
        <v>11.80495308185224</v>
      </c>
      <c r="I261">
        <v>3.4324533574356761E-2</v>
      </c>
      <c r="J261">
        <v>0</v>
      </c>
      <c r="K261" s="1">
        <f t="shared" si="36"/>
        <v>3.2013083023432948E-2</v>
      </c>
      <c r="L261" s="1">
        <f t="shared" si="37"/>
        <v>0.1162163776752244</v>
      </c>
      <c r="M261">
        <f t="shared" si="38"/>
        <v>-1.2761921830428484E-2</v>
      </c>
      <c r="N261">
        <f t="shared" si="39"/>
        <v>0.33073465059665158</v>
      </c>
      <c r="O261">
        <f t="shared" si="40"/>
        <v>0.81215556252520271</v>
      </c>
      <c r="P261">
        <f t="shared" si="41"/>
        <v>11.80495308185224</v>
      </c>
      <c r="Q261">
        <f t="shared" si="42"/>
        <v>3.4324533574356761E-2</v>
      </c>
      <c r="R261">
        <f t="shared" si="43"/>
        <v>0</v>
      </c>
      <c r="S261">
        <f t="shared" si="44"/>
        <v>0</v>
      </c>
    </row>
    <row r="262" spans="1:19" x14ac:dyDescent="0.3">
      <c r="A262" t="s">
        <v>101</v>
      </c>
      <c r="B262">
        <v>2009</v>
      </c>
      <c r="C262">
        <v>3.1589372117370756E-2</v>
      </c>
      <c r="D262">
        <v>7.3133188081831307E-2</v>
      </c>
      <c r="E262">
        <v>5.9647434990520928E-3</v>
      </c>
      <c r="F262">
        <v>0.46719108118049857</v>
      </c>
      <c r="G262">
        <v>0.99022942191788565</v>
      </c>
      <c r="H262">
        <v>12.082236954455269</v>
      </c>
      <c r="I262">
        <v>4.4534321893508512E-3</v>
      </c>
      <c r="J262">
        <v>0</v>
      </c>
      <c r="K262" s="1">
        <f t="shared" si="36"/>
        <v>3.1589372117370756E-2</v>
      </c>
      <c r="L262" s="1">
        <f t="shared" si="37"/>
        <v>7.3133188081831307E-2</v>
      </c>
      <c r="M262">
        <f t="shared" si="38"/>
        <v>5.9647434990520928E-3</v>
      </c>
      <c r="N262">
        <f t="shared" si="39"/>
        <v>0.46719108118049857</v>
      </c>
      <c r="O262">
        <f t="shared" si="40"/>
        <v>0.99022942191788565</v>
      </c>
      <c r="P262">
        <f t="shared" si="41"/>
        <v>12.082236954455269</v>
      </c>
      <c r="Q262">
        <f t="shared" si="42"/>
        <v>4.4534321893508512E-3</v>
      </c>
      <c r="R262">
        <f t="shared" si="43"/>
        <v>0</v>
      </c>
      <c r="S262">
        <f t="shared" si="44"/>
        <v>0</v>
      </c>
    </row>
    <row r="263" spans="1:19" x14ac:dyDescent="0.3">
      <c r="A263" t="s">
        <v>102</v>
      </c>
      <c r="B263">
        <v>2007</v>
      </c>
      <c r="C263">
        <v>7.5415178009947915E-4</v>
      </c>
      <c r="D263">
        <v>4.1193090114203544E-2</v>
      </c>
      <c r="E263">
        <v>-5.2131877570129659E-2</v>
      </c>
      <c r="F263">
        <v>0.35780006704634087</v>
      </c>
      <c r="G263">
        <v>0.84247199189322708</v>
      </c>
      <c r="H263">
        <v>15.246343677870717</v>
      </c>
      <c r="I263">
        <v>4.2929772646630917E-3</v>
      </c>
      <c r="J263">
        <v>3.3917701333896996E-3</v>
      </c>
      <c r="K263" s="1">
        <f t="shared" si="36"/>
        <v>7.5415178009947915E-4</v>
      </c>
      <c r="L263" s="1">
        <f t="shared" si="37"/>
        <v>4.1193090114203544E-2</v>
      </c>
      <c r="M263">
        <f t="shared" si="38"/>
        <v>-5.2131877570129659E-2</v>
      </c>
      <c r="N263">
        <f t="shared" si="39"/>
        <v>0.35780006704634087</v>
      </c>
      <c r="O263">
        <f t="shared" si="40"/>
        <v>0.84247199189322708</v>
      </c>
      <c r="P263">
        <f t="shared" si="41"/>
        <v>15.246343677870717</v>
      </c>
      <c r="Q263">
        <f t="shared" si="42"/>
        <v>4.2929772646630917E-3</v>
      </c>
      <c r="R263">
        <f t="shared" si="43"/>
        <v>3.3917701333896996E-3</v>
      </c>
      <c r="S263">
        <f t="shared" si="44"/>
        <v>0</v>
      </c>
    </row>
    <row r="264" spans="1:19" x14ac:dyDescent="0.3">
      <c r="A264" t="s">
        <v>102</v>
      </c>
      <c r="B264">
        <v>2009</v>
      </c>
      <c r="C264">
        <v>8.0143989200809937E-4</v>
      </c>
      <c r="D264">
        <v>0.21234032447566434</v>
      </c>
      <c r="E264">
        <v>-7.9425543084268677E-2</v>
      </c>
      <c r="F264">
        <v>0.77303777216708747</v>
      </c>
      <c r="G264">
        <v>0.91153081518886092</v>
      </c>
      <c r="H264">
        <v>15.201879916271805</v>
      </c>
      <c r="I264">
        <v>4.7025753481287048E-2</v>
      </c>
      <c r="J264">
        <v>0</v>
      </c>
      <c r="K264" s="1">
        <f t="shared" si="36"/>
        <v>8.0143989200809937E-4</v>
      </c>
      <c r="L264" s="1">
        <f t="shared" si="37"/>
        <v>0.21234032447566434</v>
      </c>
      <c r="M264">
        <f t="shared" si="38"/>
        <v>-7.9425543084268677E-2</v>
      </c>
      <c r="N264">
        <f t="shared" si="39"/>
        <v>0.77303777216708747</v>
      </c>
      <c r="O264">
        <f t="shared" si="40"/>
        <v>0.91153081518886092</v>
      </c>
      <c r="P264">
        <f t="shared" si="41"/>
        <v>15.201879916271805</v>
      </c>
      <c r="Q264">
        <f t="shared" si="42"/>
        <v>4.7025753481287048E-2</v>
      </c>
      <c r="R264">
        <f t="shared" si="43"/>
        <v>0</v>
      </c>
      <c r="S264">
        <f t="shared" si="44"/>
        <v>0</v>
      </c>
    </row>
    <row r="265" spans="1:19" x14ac:dyDescent="0.3">
      <c r="A265" t="s">
        <v>102</v>
      </c>
      <c r="B265">
        <v>2010</v>
      </c>
      <c r="C265">
        <v>1.5044001162182973E-3</v>
      </c>
      <c r="D265">
        <v>5.5119195755829763E-2</v>
      </c>
      <c r="E265">
        <v>-0.10349802674545568</v>
      </c>
      <c r="F265">
        <v>0.78631927673592605</v>
      </c>
      <c r="G265">
        <v>0.90294480393244769</v>
      </c>
      <c r="H265">
        <v>15.367774338787843</v>
      </c>
      <c r="I265">
        <v>3.7744188507890075E-2</v>
      </c>
      <c r="J265">
        <v>0</v>
      </c>
      <c r="K265" s="1">
        <f t="shared" si="36"/>
        <v>1.5044001162182973E-3</v>
      </c>
      <c r="L265" s="1">
        <f t="shared" si="37"/>
        <v>5.5119195755829763E-2</v>
      </c>
      <c r="M265">
        <f t="shared" si="38"/>
        <v>-0.10349802674545568</v>
      </c>
      <c r="N265">
        <f t="shared" si="39"/>
        <v>0.78631927673592605</v>
      </c>
      <c r="O265">
        <f t="shared" si="40"/>
        <v>0.90294480393244769</v>
      </c>
      <c r="P265">
        <f t="shared" si="41"/>
        <v>15.367774338787843</v>
      </c>
      <c r="Q265">
        <f t="shared" si="42"/>
        <v>3.7744188507890075E-2</v>
      </c>
      <c r="R265">
        <f t="shared" si="43"/>
        <v>0</v>
      </c>
      <c r="S265">
        <f t="shared" si="44"/>
        <v>0</v>
      </c>
    </row>
    <row r="266" spans="1:19" x14ac:dyDescent="0.3">
      <c r="A266" t="s">
        <v>103</v>
      </c>
      <c r="B266">
        <v>2008</v>
      </c>
      <c r="C266">
        <v>7.823767557240251E-3</v>
      </c>
      <c r="D266">
        <v>0.1382131064650009</v>
      </c>
      <c r="E266">
        <v>-0.26697016075119029</v>
      </c>
      <c r="F266">
        <v>0.30532206231187159</v>
      </c>
      <c r="G266">
        <v>0.95335113801797888</v>
      </c>
      <c r="H266">
        <v>13.286789087839331</v>
      </c>
      <c r="I266">
        <v>1.0617492426896937E-2</v>
      </c>
      <c r="J266">
        <v>0</v>
      </c>
      <c r="K266" s="1">
        <f t="shared" si="36"/>
        <v>7.823767557240251E-3</v>
      </c>
      <c r="L266" s="1">
        <f t="shared" si="37"/>
        <v>0.1382131064650009</v>
      </c>
      <c r="M266">
        <f t="shared" si="38"/>
        <v>-0.26697016075119029</v>
      </c>
      <c r="N266">
        <f t="shared" si="39"/>
        <v>0.30532206231187159</v>
      </c>
      <c r="O266">
        <f t="shared" si="40"/>
        <v>0.95335113801797888</v>
      </c>
      <c r="P266">
        <f t="shared" si="41"/>
        <v>13.286789087839331</v>
      </c>
      <c r="Q266">
        <f t="shared" si="42"/>
        <v>1.0617492426896937E-2</v>
      </c>
      <c r="R266">
        <f t="shared" si="43"/>
        <v>0</v>
      </c>
      <c r="S266">
        <f t="shared" si="44"/>
        <v>0</v>
      </c>
    </row>
    <row r="267" spans="1:19" x14ac:dyDescent="0.3">
      <c r="A267" t="s">
        <v>103</v>
      </c>
      <c r="B267">
        <v>2009</v>
      </c>
      <c r="C267">
        <v>4.4659095501758074E-3</v>
      </c>
      <c r="D267">
        <v>0.22834741138907974</v>
      </c>
      <c r="E267">
        <v>-0.52112971345431036</v>
      </c>
      <c r="F267">
        <v>0.79912247908499379</v>
      </c>
      <c r="G267">
        <v>0.91786818494119549</v>
      </c>
      <c r="H267">
        <v>12.888886621950327</v>
      </c>
      <c r="I267">
        <v>1.9772734436483735E-2</v>
      </c>
      <c r="J267">
        <v>0</v>
      </c>
      <c r="K267" s="1">
        <f t="shared" si="36"/>
        <v>4.4659095501758074E-3</v>
      </c>
      <c r="L267" s="1">
        <f t="shared" si="37"/>
        <v>0.22834741138907974</v>
      </c>
      <c r="M267">
        <f t="shared" si="38"/>
        <v>-0.52112971345431036</v>
      </c>
      <c r="N267">
        <f t="shared" si="39"/>
        <v>0.79912247908499379</v>
      </c>
      <c r="O267">
        <f t="shared" si="40"/>
        <v>0.91786818494119549</v>
      </c>
      <c r="P267">
        <f t="shared" si="41"/>
        <v>12.888886621950327</v>
      </c>
      <c r="Q267">
        <f t="shared" si="42"/>
        <v>1.9772734436483735E-2</v>
      </c>
      <c r="R267">
        <f t="shared" si="43"/>
        <v>0</v>
      </c>
      <c r="S267">
        <f t="shared" si="44"/>
        <v>0</v>
      </c>
    </row>
    <row r="268" spans="1:19" x14ac:dyDescent="0.3">
      <c r="A268" t="s">
        <v>103</v>
      </c>
      <c r="B268">
        <v>2010</v>
      </c>
      <c r="C268">
        <v>2.6637882311519611E-3</v>
      </c>
      <c r="D268">
        <v>0.21874102419182981</v>
      </c>
      <c r="E268">
        <v>-2.5498244216105033E-2</v>
      </c>
      <c r="F268">
        <v>0.46196342039674232</v>
      </c>
      <c r="G268">
        <v>0.62972037172585682</v>
      </c>
      <c r="H268">
        <v>12.975523243631837</v>
      </c>
      <c r="I268">
        <v>6.2395254299317707E-2</v>
      </c>
      <c r="J268">
        <v>0</v>
      </c>
      <c r="K268" s="1">
        <f t="shared" si="36"/>
        <v>2.6637882311519611E-3</v>
      </c>
      <c r="L268" s="1">
        <f t="shared" si="37"/>
        <v>0.21874102419182981</v>
      </c>
      <c r="M268">
        <f t="shared" si="38"/>
        <v>-2.5498244216105033E-2</v>
      </c>
      <c r="N268">
        <f t="shared" si="39"/>
        <v>0.46196342039674232</v>
      </c>
      <c r="O268">
        <f t="shared" si="40"/>
        <v>0.62972037172585682</v>
      </c>
      <c r="P268">
        <f t="shared" si="41"/>
        <v>12.975523243631837</v>
      </c>
      <c r="Q268">
        <f t="shared" si="42"/>
        <v>6.2395254299317707E-2</v>
      </c>
      <c r="R268">
        <f t="shared" si="43"/>
        <v>0</v>
      </c>
      <c r="S268">
        <f t="shared" si="44"/>
        <v>0</v>
      </c>
    </row>
    <row r="269" spans="1:19" x14ac:dyDescent="0.3">
      <c r="A269" t="s">
        <v>104</v>
      </c>
      <c r="B269">
        <v>2007</v>
      </c>
      <c r="C269">
        <v>1.8271700181701908E-4</v>
      </c>
      <c r="D269">
        <v>1.9521687493021225</v>
      </c>
      <c r="E269">
        <v>-0.57619806522996964</v>
      </c>
      <c r="F269">
        <v>0.12443027823738999</v>
      </c>
      <c r="G269">
        <v>0.92317765168048882</v>
      </c>
      <c r="H269">
        <v>11.497943798147057</v>
      </c>
      <c r="I269">
        <v>0</v>
      </c>
      <c r="J269">
        <v>0</v>
      </c>
      <c r="K269" s="1">
        <f t="shared" si="36"/>
        <v>1.8271700181701908E-4</v>
      </c>
      <c r="L269" s="1">
        <f t="shared" si="37"/>
        <v>1.9521687493021225</v>
      </c>
      <c r="M269">
        <f t="shared" si="38"/>
        <v>-0.57619806522996964</v>
      </c>
      <c r="N269">
        <f t="shared" si="39"/>
        <v>0.12443027823738999</v>
      </c>
      <c r="O269">
        <f t="shared" si="40"/>
        <v>0.92317765168048882</v>
      </c>
      <c r="P269">
        <f t="shared" si="41"/>
        <v>11.497943798147057</v>
      </c>
      <c r="Q269">
        <f t="shared" si="42"/>
        <v>0</v>
      </c>
      <c r="R269">
        <f t="shared" si="43"/>
        <v>0</v>
      </c>
      <c r="S269">
        <f t="shared" si="44"/>
        <v>0</v>
      </c>
    </row>
    <row r="270" spans="1:19" x14ac:dyDescent="0.3">
      <c r="A270" t="s">
        <v>105</v>
      </c>
      <c r="B270">
        <v>2007</v>
      </c>
      <c r="C270">
        <v>1.5957106453814072E-2</v>
      </c>
      <c r="D270">
        <v>4.5399772676318721E-2</v>
      </c>
      <c r="E270">
        <v>0.1076006898839008</v>
      </c>
      <c r="F270">
        <v>0.13505048842353909</v>
      </c>
      <c r="G270">
        <v>0.66448753749448664</v>
      </c>
      <c r="H270">
        <v>14.532032898288751</v>
      </c>
      <c r="I270">
        <v>1.6959755116068252E-3</v>
      </c>
      <c r="J270">
        <v>0</v>
      </c>
      <c r="K270" s="1">
        <f t="shared" si="36"/>
        <v>1.5957106453814072E-2</v>
      </c>
      <c r="L270" s="1">
        <f t="shared" si="37"/>
        <v>4.5399772676318721E-2</v>
      </c>
      <c r="M270">
        <f t="shared" si="38"/>
        <v>0.1076006898839008</v>
      </c>
      <c r="N270">
        <f t="shared" si="39"/>
        <v>0.13505048842353909</v>
      </c>
      <c r="O270">
        <f t="shared" si="40"/>
        <v>0.66448753749448664</v>
      </c>
      <c r="P270">
        <f t="shared" si="41"/>
        <v>14.532032898288751</v>
      </c>
      <c r="Q270">
        <f t="shared" si="42"/>
        <v>1.6959755116068252E-3</v>
      </c>
      <c r="R270">
        <f t="shared" si="43"/>
        <v>0</v>
      </c>
      <c r="S270">
        <f t="shared" si="44"/>
        <v>0</v>
      </c>
    </row>
    <row r="271" spans="1:19" x14ac:dyDescent="0.3">
      <c r="A271" t="s">
        <v>105</v>
      </c>
      <c r="B271">
        <v>2009</v>
      </c>
      <c r="C271">
        <v>6.9281834177716351E-3</v>
      </c>
      <c r="D271">
        <v>9.8466614944076283E-2</v>
      </c>
      <c r="E271">
        <v>-3.332941043282598E-2</v>
      </c>
      <c r="F271">
        <v>0.50285614873080309</v>
      </c>
      <c r="G271">
        <v>0.63855300616769506</v>
      </c>
      <c r="H271">
        <v>14.955564808932893</v>
      </c>
      <c r="I271">
        <v>2.0598475517775067E-2</v>
      </c>
      <c r="J271">
        <v>0</v>
      </c>
      <c r="K271" s="1">
        <f t="shared" si="36"/>
        <v>6.9281834177716351E-3</v>
      </c>
      <c r="L271" s="1">
        <f t="shared" si="37"/>
        <v>9.8466614944076283E-2</v>
      </c>
      <c r="M271">
        <f t="shared" si="38"/>
        <v>-3.332941043282598E-2</v>
      </c>
      <c r="N271">
        <f t="shared" si="39"/>
        <v>0.50285614873080309</v>
      </c>
      <c r="O271">
        <f t="shared" si="40"/>
        <v>0.63855300616769506</v>
      </c>
      <c r="P271">
        <f t="shared" si="41"/>
        <v>14.955564808932893</v>
      </c>
      <c r="Q271">
        <f t="shared" si="42"/>
        <v>2.0598475517775067E-2</v>
      </c>
      <c r="R271">
        <f t="shared" si="43"/>
        <v>0</v>
      </c>
      <c r="S271">
        <f t="shared" si="44"/>
        <v>0</v>
      </c>
    </row>
    <row r="272" spans="1:19" x14ac:dyDescent="0.3">
      <c r="A272" t="s">
        <v>105</v>
      </c>
      <c r="B272">
        <v>2010</v>
      </c>
      <c r="C272">
        <v>1.1117920420401793E-2</v>
      </c>
      <c r="D272">
        <v>0.16836913182960628</v>
      </c>
      <c r="E272">
        <v>1.2334026039759671E-2</v>
      </c>
      <c r="F272">
        <v>0.27753791601817746</v>
      </c>
      <c r="G272">
        <v>0.54468300262892899</v>
      </c>
      <c r="H272">
        <v>14.85270868404398</v>
      </c>
      <c r="I272">
        <v>3.8048039823515706E-3</v>
      </c>
      <c r="J272">
        <v>2.9617541694416868E-3</v>
      </c>
      <c r="K272" s="1">
        <f t="shared" si="36"/>
        <v>1.1117920420401793E-2</v>
      </c>
      <c r="L272" s="1">
        <f t="shared" si="37"/>
        <v>0.16836913182960628</v>
      </c>
      <c r="M272">
        <f t="shared" si="38"/>
        <v>1.2334026039759671E-2</v>
      </c>
      <c r="N272">
        <f t="shared" si="39"/>
        <v>0.27753791601817746</v>
      </c>
      <c r="O272">
        <f t="shared" si="40"/>
        <v>0.54468300262892899</v>
      </c>
      <c r="P272">
        <f t="shared" si="41"/>
        <v>14.85270868404398</v>
      </c>
      <c r="Q272">
        <f t="shared" si="42"/>
        <v>3.8048039823515706E-3</v>
      </c>
      <c r="R272">
        <f t="shared" si="43"/>
        <v>2.9617541694416868E-3</v>
      </c>
      <c r="S272">
        <f t="shared" si="44"/>
        <v>0</v>
      </c>
    </row>
    <row r="273" spans="1:19" x14ac:dyDescent="0.3">
      <c r="A273" t="s">
        <v>106</v>
      </c>
      <c r="B273">
        <v>2007</v>
      </c>
      <c r="C273">
        <v>1.6579425713075208E-2</v>
      </c>
      <c r="D273">
        <v>4.3635966051196545E-2</v>
      </c>
      <c r="E273">
        <v>-0.67218357501127524</v>
      </c>
      <c r="F273">
        <v>0.55830611324468016</v>
      </c>
      <c r="G273">
        <v>1.1489222894941846</v>
      </c>
      <c r="H273">
        <v>13.503112205975395</v>
      </c>
      <c r="I273">
        <v>2.0105602456197864E-2</v>
      </c>
      <c r="J273">
        <v>0</v>
      </c>
      <c r="K273" s="1">
        <f t="shared" si="36"/>
        <v>1.6579425713075208E-2</v>
      </c>
      <c r="L273" s="1">
        <f t="shared" si="37"/>
        <v>4.3635966051196545E-2</v>
      </c>
      <c r="M273">
        <f t="shared" si="38"/>
        <v>-0.67218357501127524</v>
      </c>
      <c r="N273">
        <f t="shared" si="39"/>
        <v>0.55830611324468016</v>
      </c>
      <c r="O273">
        <f t="shared" si="40"/>
        <v>1.1489222894941846</v>
      </c>
      <c r="P273">
        <f t="shared" si="41"/>
        <v>13.503112205975395</v>
      </c>
      <c r="Q273">
        <f t="shared" si="42"/>
        <v>2.0105602456197864E-2</v>
      </c>
      <c r="R273">
        <f t="shared" si="43"/>
        <v>0</v>
      </c>
      <c r="S273">
        <f t="shared" si="44"/>
        <v>0</v>
      </c>
    </row>
    <row r="274" spans="1:19" x14ac:dyDescent="0.3">
      <c r="A274" t="s">
        <v>106</v>
      </c>
      <c r="B274">
        <v>2008</v>
      </c>
      <c r="C274">
        <v>1.246154516958883E-2</v>
      </c>
      <c r="D274">
        <v>8.39102567208143E-2</v>
      </c>
      <c r="E274">
        <v>-0.60862454035879876</v>
      </c>
      <c r="F274">
        <v>0.60375076909660819</v>
      </c>
      <c r="G274">
        <v>1.1877392677715819</v>
      </c>
      <c r="H274">
        <v>13.847062518177184</v>
      </c>
      <c r="I274">
        <v>2.3623978015576898E-2</v>
      </c>
      <c r="J274">
        <v>0</v>
      </c>
      <c r="K274" s="1">
        <f t="shared" si="36"/>
        <v>1.246154516958883E-2</v>
      </c>
      <c r="L274" s="1">
        <f t="shared" si="37"/>
        <v>8.39102567208143E-2</v>
      </c>
      <c r="M274">
        <f t="shared" si="38"/>
        <v>-0.60862454035879876</v>
      </c>
      <c r="N274">
        <f t="shared" si="39"/>
        <v>0.60375076909660819</v>
      </c>
      <c r="O274">
        <f t="shared" si="40"/>
        <v>1.1877392677715819</v>
      </c>
      <c r="P274">
        <f t="shared" si="41"/>
        <v>13.847062518177184</v>
      </c>
      <c r="Q274">
        <f t="shared" si="42"/>
        <v>2.3623978015576898E-2</v>
      </c>
      <c r="R274">
        <f t="shared" si="43"/>
        <v>0</v>
      </c>
      <c r="S274">
        <f t="shared" si="44"/>
        <v>0</v>
      </c>
    </row>
    <row r="275" spans="1:19" x14ac:dyDescent="0.3">
      <c r="A275" t="s">
        <v>106</v>
      </c>
      <c r="B275">
        <v>2009</v>
      </c>
      <c r="C275">
        <v>2.359770758897916E-3</v>
      </c>
      <c r="D275">
        <v>3.6005850923525991E-2</v>
      </c>
      <c r="E275">
        <v>-0.4448925405084897</v>
      </c>
      <c r="F275">
        <v>0.84584538651192098</v>
      </c>
      <c r="G275">
        <v>1.0883540680703943</v>
      </c>
      <c r="H275">
        <v>13.729366441159426</v>
      </c>
      <c r="I275">
        <v>4.7076972941397767E-2</v>
      </c>
      <c r="J275">
        <v>0</v>
      </c>
      <c r="K275" s="1">
        <f t="shared" si="36"/>
        <v>2.359770758897916E-3</v>
      </c>
      <c r="L275" s="1">
        <f t="shared" si="37"/>
        <v>3.6005850923525991E-2</v>
      </c>
      <c r="M275">
        <f t="shared" si="38"/>
        <v>-0.4448925405084897</v>
      </c>
      <c r="N275">
        <f t="shared" si="39"/>
        <v>0.84584538651192098</v>
      </c>
      <c r="O275">
        <f t="shared" si="40"/>
        <v>1.0883540680703943</v>
      </c>
      <c r="P275">
        <f t="shared" si="41"/>
        <v>13.729366441159426</v>
      </c>
      <c r="Q275">
        <f t="shared" si="42"/>
        <v>4.7076972941397767E-2</v>
      </c>
      <c r="R275">
        <f t="shared" si="43"/>
        <v>0</v>
      </c>
      <c r="S275">
        <f t="shared" si="44"/>
        <v>0</v>
      </c>
    </row>
    <row r="276" spans="1:19" x14ac:dyDescent="0.3">
      <c r="A276" t="s">
        <v>106</v>
      </c>
      <c r="B276">
        <v>2010</v>
      </c>
      <c r="C276">
        <v>2.1549990754813507E-3</v>
      </c>
      <c r="D276">
        <v>0.14663860773295589</v>
      </c>
      <c r="E276">
        <v>-0.27116670936864912</v>
      </c>
      <c r="F276">
        <v>0.59584356315291542</v>
      </c>
      <c r="G276">
        <v>0.9063518577020695</v>
      </c>
      <c r="H276">
        <v>14.002847019078983</v>
      </c>
      <c r="I276">
        <v>1.3080147020113059E-2</v>
      </c>
      <c r="J276">
        <v>7.2759203106382659E-3</v>
      </c>
      <c r="K276" s="1">
        <f t="shared" si="36"/>
        <v>2.1549990754813507E-3</v>
      </c>
      <c r="L276" s="1">
        <f t="shared" si="37"/>
        <v>0.14663860773295589</v>
      </c>
      <c r="M276">
        <f t="shared" si="38"/>
        <v>-0.27116670936864912</v>
      </c>
      <c r="N276">
        <f t="shared" si="39"/>
        <v>0.59584356315291542</v>
      </c>
      <c r="O276">
        <f t="shared" si="40"/>
        <v>0.9063518577020695</v>
      </c>
      <c r="P276">
        <f t="shared" si="41"/>
        <v>14.002847019078983</v>
      </c>
      <c r="Q276">
        <f t="shared" si="42"/>
        <v>1.3080147020113059E-2</v>
      </c>
      <c r="R276">
        <f t="shared" si="43"/>
        <v>7.2759203106382659E-3</v>
      </c>
      <c r="S276">
        <f t="shared" si="44"/>
        <v>0</v>
      </c>
    </row>
    <row r="277" spans="1:19" x14ac:dyDescent="0.3">
      <c r="A277" t="s">
        <v>107</v>
      </c>
      <c r="B277">
        <v>2007</v>
      </c>
      <c r="C277">
        <v>1.6433421785826117E-3</v>
      </c>
      <c r="D277">
        <v>4.1337255412858293E-2</v>
      </c>
      <c r="E277">
        <v>-0.33151857159509329</v>
      </c>
      <c r="F277">
        <v>6.344352182628113E-2</v>
      </c>
      <c r="G277">
        <v>0</v>
      </c>
      <c r="H277">
        <v>12.988884554826548</v>
      </c>
      <c r="I277">
        <v>1.9942923685480653E-3</v>
      </c>
      <c r="J277">
        <v>0</v>
      </c>
      <c r="K277" s="1">
        <f t="shared" si="36"/>
        <v>1.6433421785826117E-3</v>
      </c>
      <c r="L277" s="1">
        <f t="shared" si="37"/>
        <v>4.1337255412858293E-2</v>
      </c>
      <c r="M277">
        <f t="shared" si="38"/>
        <v>-0.33151857159509329</v>
      </c>
      <c r="N277">
        <f t="shared" si="39"/>
        <v>6.344352182628113E-2</v>
      </c>
      <c r="O277">
        <f t="shared" si="40"/>
        <v>0</v>
      </c>
      <c r="P277">
        <f t="shared" si="41"/>
        <v>12.988884554826548</v>
      </c>
      <c r="Q277">
        <f t="shared" si="42"/>
        <v>1.9942923685480653E-3</v>
      </c>
      <c r="R277">
        <f t="shared" si="43"/>
        <v>0</v>
      </c>
      <c r="S277">
        <f t="shared" si="44"/>
        <v>0</v>
      </c>
    </row>
    <row r="278" spans="1:19" x14ac:dyDescent="0.3">
      <c r="A278" t="s">
        <v>107</v>
      </c>
      <c r="B278">
        <v>2009</v>
      </c>
      <c r="C278">
        <v>8.4368010934005467E-3</v>
      </c>
      <c r="D278">
        <v>0.12361549930774965</v>
      </c>
      <c r="E278">
        <v>-4.7973836486918241E-2</v>
      </c>
      <c r="F278">
        <v>0.48561583655791829</v>
      </c>
      <c r="G278">
        <v>0.72991861620930809</v>
      </c>
      <c r="H278">
        <v>13.711713264282505</v>
      </c>
      <c r="I278">
        <v>2.2522920958076217E-2</v>
      </c>
      <c r="J278">
        <v>0</v>
      </c>
      <c r="K278" s="1">
        <f t="shared" si="36"/>
        <v>8.4368010934005467E-3</v>
      </c>
      <c r="L278" s="1">
        <f t="shared" si="37"/>
        <v>0.12361549930774965</v>
      </c>
      <c r="M278">
        <f t="shared" si="38"/>
        <v>-4.7973836486918241E-2</v>
      </c>
      <c r="N278">
        <f t="shared" si="39"/>
        <v>0.48561583655791829</v>
      </c>
      <c r="O278">
        <f t="shared" si="40"/>
        <v>0.72991861620930809</v>
      </c>
      <c r="P278">
        <f t="shared" si="41"/>
        <v>13.711713264282505</v>
      </c>
      <c r="Q278">
        <f t="shared" si="42"/>
        <v>2.2522920958076217E-2</v>
      </c>
      <c r="R278">
        <f t="shared" si="43"/>
        <v>0</v>
      </c>
      <c r="S278">
        <f t="shared" si="44"/>
        <v>0</v>
      </c>
    </row>
    <row r="279" spans="1:19" x14ac:dyDescent="0.3">
      <c r="A279" t="s">
        <v>107</v>
      </c>
      <c r="B279">
        <v>2010</v>
      </c>
      <c r="C279">
        <v>7.6924523896727279E-3</v>
      </c>
      <c r="D279">
        <v>6.6423751000007747E-2</v>
      </c>
      <c r="E279">
        <v>-3.042679168745982E-2</v>
      </c>
      <c r="F279">
        <v>0.42215430714262792</v>
      </c>
      <c r="G279">
        <v>0.72473811692040768</v>
      </c>
      <c r="H279">
        <v>13.714300306920274</v>
      </c>
      <c r="I279">
        <v>3.8810681005341657E-3</v>
      </c>
      <c r="J279">
        <v>0</v>
      </c>
      <c r="K279" s="1">
        <f t="shared" si="36"/>
        <v>7.6924523896727279E-3</v>
      </c>
      <c r="L279" s="1">
        <f t="shared" si="37"/>
        <v>6.6423751000007747E-2</v>
      </c>
      <c r="M279">
        <f t="shared" si="38"/>
        <v>-3.042679168745982E-2</v>
      </c>
      <c r="N279">
        <f t="shared" si="39"/>
        <v>0.42215430714262792</v>
      </c>
      <c r="O279">
        <f t="shared" si="40"/>
        <v>0.72473811692040768</v>
      </c>
      <c r="P279">
        <f t="shared" si="41"/>
        <v>13.714300306920274</v>
      </c>
      <c r="Q279">
        <f t="shared" si="42"/>
        <v>3.8810681005341657E-3</v>
      </c>
      <c r="R279">
        <f t="shared" si="43"/>
        <v>0</v>
      </c>
      <c r="S279">
        <f t="shared" si="44"/>
        <v>0</v>
      </c>
    </row>
    <row r="280" spans="1:19" x14ac:dyDescent="0.3">
      <c r="A280" t="s">
        <v>108</v>
      </c>
      <c r="B280">
        <v>2007</v>
      </c>
      <c r="C280">
        <v>7.5665187925776237E-3</v>
      </c>
      <c r="D280">
        <v>6.56262457851957E-2</v>
      </c>
      <c r="E280">
        <v>-0.28416045287830793</v>
      </c>
      <c r="F280">
        <v>0.40631335298441856</v>
      </c>
      <c r="G280">
        <v>1.2222745902041763</v>
      </c>
      <c r="H280">
        <v>14.239241819479272</v>
      </c>
      <c r="I280">
        <v>8.5639959322114483E-3</v>
      </c>
      <c r="J280">
        <v>0</v>
      </c>
      <c r="K280" s="1">
        <f t="shared" si="36"/>
        <v>7.5665187925776237E-3</v>
      </c>
      <c r="L280" s="1">
        <f t="shared" si="37"/>
        <v>6.56262457851957E-2</v>
      </c>
      <c r="M280">
        <f t="shared" si="38"/>
        <v>-0.28416045287830793</v>
      </c>
      <c r="N280">
        <f t="shared" si="39"/>
        <v>0.40631335298441856</v>
      </c>
      <c r="O280">
        <f t="shared" si="40"/>
        <v>1.2222745902041763</v>
      </c>
      <c r="P280">
        <f t="shared" si="41"/>
        <v>14.239241819479272</v>
      </c>
      <c r="Q280">
        <f t="shared" si="42"/>
        <v>8.5639959322114483E-3</v>
      </c>
      <c r="R280">
        <f t="shared" si="43"/>
        <v>0</v>
      </c>
      <c r="S280">
        <f t="shared" si="44"/>
        <v>0</v>
      </c>
    </row>
    <row r="281" spans="1:19" x14ac:dyDescent="0.3">
      <c r="A281" t="s">
        <v>108</v>
      </c>
      <c r="B281">
        <v>2008</v>
      </c>
      <c r="C281">
        <v>8.724526111383692E-3</v>
      </c>
      <c r="D281">
        <v>3.0810150472640883E-2</v>
      </c>
      <c r="E281">
        <v>0.29145445624606964</v>
      </c>
      <c r="F281">
        <v>0.26547475626994932</v>
      </c>
      <c r="G281">
        <v>0.62926701695303078</v>
      </c>
      <c r="H281">
        <v>14.772838045295904</v>
      </c>
      <c r="I281">
        <v>3.3705606927172099E-3</v>
      </c>
      <c r="J281">
        <v>0</v>
      </c>
      <c r="K281" s="1">
        <f t="shared" si="36"/>
        <v>8.724526111383692E-3</v>
      </c>
      <c r="L281" s="1">
        <f t="shared" si="37"/>
        <v>3.0810150472640883E-2</v>
      </c>
      <c r="M281">
        <f t="shared" si="38"/>
        <v>0.29145445624606964</v>
      </c>
      <c r="N281">
        <f t="shared" si="39"/>
        <v>0.26547475626994932</v>
      </c>
      <c r="O281">
        <f t="shared" si="40"/>
        <v>0.62926701695303078</v>
      </c>
      <c r="P281">
        <f t="shared" si="41"/>
        <v>14.772838045295904</v>
      </c>
      <c r="Q281">
        <f t="shared" si="42"/>
        <v>3.3705606927172099E-3</v>
      </c>
      <c r="R281">
        <f t="shared" si="43"/>
        <v>0</v>
      </c>
      <c r="S281">
        <f t="shared" si="44"/>
        <v>0</v>
      </c>
    </row>
    <row r="282" spans="1:19" x14ac:dyDescent="0.3">
      <c r="A282" t="s">
        <v>108</v>
      </c>
      <c r="B282">
        <v>2009</v>
      </c>
      <c r="C282">
        <v>3.6511236647830412E-3</v>
      </c>
      <c r="D282">
        <v>5.6967532249149092E-2</v>
      </c>
      <c r="E282">
        <v>0.29330837162816487</v>
      </c>
      <c r="F282">
        <v>0.38926505829811414</v>
      </c>
      <c r="G282">
        <v>0.71870351047693126</v>
      </c>
      <c r="H282">
        <v>14.656769937654399</v>
      </c>
      <c r="I282">
        <v>7.0664121948636506E-3</v>
      </c>
      <c r="J282">
        <v>0</v>
      </c>
      <c r="K282" s="1">
        <f t="shared" si="36"/>
        <v>3.6511236647830412E-3</v>
      </c>
      <c r="L282" s="1">
        <f t="shared" si="37"/>
        <v>5.6967532249149092E-2</v>
      </c>
      <c r="M282">
        <f t="shared" si="38"/>
        <v>0.29330837162816487</v>
      </c>
      <c r="N282">
        <f t="shared" si="39"/>
        <v>0.38926505829811414</v>
      </c>
      <c r="O282">
        <f t="shared" si="40"/>
        <v>0.71870351047693126</v>
      </c>
      <c r="P282">
        <f t="shared" si="41"/>
        <v>14.656769937654399</v>
      </c>
      <c r="Q282">
        <f t="shared" si="42"/>
        <v>7.0664121948636506E-3</v>
      </c>
      <c r="R282">
        <f t="shared" si="43"/>
        <v>0</v>
      </c>
      <c r="S282">
        <f t="shared" si="44"/>
        <v>0</v>
      </c>
    </row>
    <row r="283" spans="1:19" x14ac:dyDescent="0.3">
      <c r="A283" t="s">
        <v>108</v>
      </c>
      <c r="B283">
        <v>2010</v>
      </c>
      <c r="C283">
        <v>7.2143431168009628E-3</v>
      </c>
      <c r="D283">
        <v>3.1755183928345664E-2</v>
      </c>
      <c r="E283">
        <v>0.17493305591804933</v>
      </c>
      <c r="F283">
        <v>0.38698819658045996</v>
      </c>
      <c r="G283">
        <v>0.67311054949487348</v>
      </c>
      <c r="H283">
        <v>14.642254191532269</v>
      </c>
      <c r="I283">
        <v>9.0648124302883711E-3</v>
      </c>
      <c r="J283">
        <v>0</v>
      </c>
      <c r="K283" s="1">
        <f t="shared" si="36"/>
        <v>7.2143431168009628E-3</v>
      </c>
      <c r="L283" s="1">
        <f t="shared" si="37"/>
        <v>3.1755183928345664E-2</v>
      </c>
      <c r="M283">
        <f t="shared" si="38"/>
        <v>0.17493305591804933</v>
      </c>
      <c r="N283">
        <f t="shared" si="39"/>
        <v>0.38698819658045996</v>
      </c>
      <c r="O283">
        <f t="shared" si="40"/>
        <v>0.67311054949487348</v>
      </c>
      <c r="P283">
        <f t="shared" si="41"/>
        <v>14.642254191532269</v>
      </c>
      <c r="Q283">
        <f t="shared" si="42"/>
        <v>9.0648124302883711E-3</v>
      </c>
      <c r="R283">
        <f t="shared" si="43"/>
        <v>0</v>
      </c>
      <c r="S283">
        <f t="shared" si="44"/>
        <v>0</v>
      </c>
    </row>
    <row r="284" spans="1:19" x14ac:dyDescent="0.3">
      <c r="A284" t="s">
        <v>109</v>
      </c>
      <c r="B284">
        <v>2007</v>
      </c>
      <c r="C284">
        <v>4.3141029429561273E-2</v>
      </c>
      <c r="D284">
        <v>0.21140202013379375</v>
      </c>
      <c r="E284">
        <v>-0.27901374242590543</v>
      </c>
      <c r="F284">
        <v>0.29014727445169608</v>
      </c>
      <c r="G284">
        <v>0</v>
      </c>
      <c r="H284">
        <v>12.780782513941544</v>
      </c>
      <c r="I284">
        <v>4.4364544318374145E-2</v>
      </c>
      <c r="J284">
        <v>0</v>
      </c>
      <c r="K284" s="1">
        <f t="shared" si="36"/>
        <v>4.3141029429561273E-2</v>
      </c>
      <c r="L284" s="1">
        <f t="shared" si="37"/>
        <v>0.21140202013379375</v>
      </c>
      <c r="M284">
        <f t="shared" si="38"/>
        <v>-0.27901374242590543</v>
      </c>
      <c r="N284">
        <f t="shared" si="39"/>
        <v>0.29014727445169608</v>
      </c>
      <c r="O284">
        <f t="shared" si="40"/>
        <v>0</v>
      </c>
      <c r="P284">
        <f t="shared" si="41"/>
        <v>12.780782513941544</v>
      </c>
      <c r="Q284">
        <f t="shared" si="42"/>
        <v>4.4364544318374145E-2</v>
      </c>
      <c r="R284">
        <f t="shared" si="43"/>
        <v>0</v>
      </c>
      <c r="S284">
        <f t="shared" si="44"/>
        <v>0</v>
      </c>
    </row>
    <row r="285" spans="1:19" x14ac:dyDescent="0.3">
      <c r="A285" t="s">
        <v>109</v>
      </c>
      <c r="B285">
        <v>2009</v>
      </c>
      <c r="C285">
        <v>5.4015262062531398E-2</v>
      </c>
      <c r="D285">
        <v>0.16320997695540193</v>
      </c>
      <c r="E285">
        <v>0.15562944711570409</v>
      </c>
      <c r="F285">
        <v>0.31247092845542718</v>
      </c>
      <c r="G285">
        <v>0.97146576402012619</v>
      </c>
      <c r="H285">
        <v>12.837947963608627</v>
      </c>
      <c r="I285">
        <v>1.8513028976105343E-2</v>
      </c>
      <c r="J285">
        <v>5.1165918448170915E-2</v>
      </c>
      <c r="K285" s="1">
        <f t="shared" si="36"/>
        <v>5.4015262062531398E-2</v>
      </c>
      <c r="L285" s="1">
        <f t="shared" si="37"/>
        <v>0.16320997695540193</v>
      </c>
      <c r="M285">
        <f t="shared" si="38"/>
        <v>0.15562944711570409</v>
      </c>
      <c r="N285">
        <f t="shared" si="39"/>
        <v>0.31247092845542718</v>
      </c>
      <c r="O285">
        <f t="shared" si="40"/>
        <v>0.97146576402012619</v>
      </c>
      <c r="P285">
        <f t="shared" si="41"/>
        <v>12.837947963608627</v>
      </c>
      <c r="Q285">
        <f t="shared" si="42"/>
        <v>1.8513028976105343E-2</v>
      </c>
      <c r="R285">
        <f t="shared" si="43"/>
        <v>5.1165918448170915E-2</v>
      </c>
      <c r="S285">
        <f t="shared" si="44"/>
        <v>0</v>
      </c>
    </row>
    <row r="286" spans="1:19" x14ac:dyDescent="0.3">
      <c r="A286" t="s">
        <v>109</v>
      </c>
      <c r="B286">
        <v>2010</v>
      </c>
      <c r="C286">
        <v>2.479845363254915E-2</v>
      </c>
      <c r="D286">
        <v>0.21378430754648159</v>
      </c>
      <c r="E286">
        <v>0.19452667310159327</v>
      </c>
      <c r="F286">
        <v>0.30698570007121428</v>
      </c>
      <c r="G286">
        <v>1.0619638767372441</v>
      </c>
      <c r="H286">
        <v>12.906714173185657</v>
      </c>
      <c r="I286">
        <v>2.7917454373095608E-2</v>
      </c>
      <c r="J286">
        <v>8.1884027403854504E-2</v>
      </c>
      <c r="K286" s="1">
        <f t="shared" si="36"/>
        <v>2.479845363254915E-2</v>
      </c>
      <c r="L286" s="1">
        <f t="shared" si="37"/>
        <v>0.21378430754648159</v>
      </c>
      <c r="M286">
        <f t="shared" si="38"/>
        <v>0.19452667310159327</v>
      </c>
      <c r="N286">
        <f t="shared" si="39"/>
        <v>0.30698570007121428</v>
      </c>
      <c r="O286">
        <f t="shared" si="40"/>
        <v>1.0619638767372441</v>
      </c>
      <c r="P286">
        <f t="shared" si="41"/>
        <v>12.906714173185657</v>
      </c>
      <c r="Q286">
        <f t="shared" si="42"/>
        <v>2.7917454373095608E-2</v>
      </c>
      <c r="R286">
        <f t="shared" si="43"/>
        <v>8.1884027403854504E-2</v>
      </c>
      <c r="S286">
        <f t="shared" si="44"/>
        <v>0</v>
      </c>
    </row>
    <row r="287" spans="1:19" x14ac:dyDescent="0.3">
      <c r="A287" t="s">
        <v>110</v>
      </c>
      <c r="B287">
        <v>2007</v>
      </c>
      <c r="C287">
        <v>2.5475550884598778E-3</v>
      </c>
      <c r="D287">
        <v>7.2974947633438425E-2</v>
      </c>
      <c r="E287">
        <v>0.50367356335372759</v>
      </c>
      <c r="F287">
        <v>0.17467137347933465</v>
      </c>
      <c r="G287">
        <v>0.56852478926183858</v>
      </c>
      <c r="H287">
        <v>16.214044172433788</v>
      </c>
      <c r="I287">
        <v>1.6507664900772011E-2</v>
      </c>
      <c r="J287">
        <v>0</v>
      </c>
      <c r="K287" s="1">
        <f t="shared" si="36"/>
        <v>2.5475550884598778E-3</v>
      </c>
      <c r="L287" s="1">
        <f t="shared" si="37"/>
        <v>7.2974947633438425E-2</v>
      </c>
      <c r="M287">
        <f t="shared" si="38"/>
        <v>0.50367356335372759</v>
      </c>
      <c r="N287">
        <f t="shared" si="39"/>
        <v>0.17467137347933465</v>
      </c>
      <c r="O287">
        <f t="shared" si="40"/>
        <v>0.56852478926183858</v>
      </c>
      <c r="P287">
        <f t="shared" si="41"/>
        <v>16.214044172433788</v>
      </c>
      <c r="Q287">
        <f t="shared" si="42"/>
        <v>1.6507664900772011E-2</v>
      </c>
      <c r="R287">
        <f t="shared" si="43"/>
        <v>0</v>
      </c>
      <c r="S287">
        <f t="shared" si="44"/>
        <v>0</v>
      </c>
    </row>
    <row r="288" spans="1:19" x14ac:dyDescent="0.3">
      <c r="A288" t="s">
        <v>110</v>
      </c>
      <c r="B288">
        <v>2008</v>
      </c>
      <c r="C288">
        <v>3.3143666746301751E-3</v>
      </c>
      <c r="D288">
        <v>0.13431411200976473</v>
      </c>
      <c r="E288">
        <v>0.43635772611724577</v>
      </c>
      <c r="F288">
        <v>0.25643219286018776</v>
      </c>
      <c r="G288">
        <v>0.72948962857635935</v>
      </c>
      <c r="H288">
        <v>16.26206706887255</v>
      </c>
      <c r="I288">
        <v>2.6747535529144641E-2</v>
      </c>
      <c r="J288">
        <v>7.0827312715899043E-3</v>
      </c>
      <c r="K288" s="1">
        <f t="shared" si="36"/>
        <v>3.3143666746301751E-3</v>
      </c>
      <c r="L288" s="1">
        <f t="shared" si="37"/>
        <v>0.13431411200976473</v>
      </c>
      <c r="M288">
        <f t="shared" si="38"/>
        <v>0.43635772611724577</v>
      </c>
      <c r="N288">
        <f t="shared" si="39"/>
        <v>0.25643219286018776</v>
      </c>
      <c r="O288">
        <f t="shared" si="40"/>
        <v>0.72948962857635935</v>
      </c>
      <c r="P288">
        <f t="shared" si="41"/>
        <v>16.26206706887255</v>
      </c>
      <c r="Q288">
        <f t="shared" si="42"/>
        <v>2.6747535529144641E-2</v>
      </c>
      <c r="R288">
        <f t="shared" si="43"/>
        <v>7.0827312715899043E-3</v>
      </c>
      <c r="S288">
        <f t="shared" si="44"/>
        <v>0</v>
      </c>
    </row>
    <row r="289" spans="1:19" x14ac:dyDescent="0.3">
      <c r="A289" t="s">
        <v>110</v>
      </c>
      <c r="B289">
        <v>2009</v>
      </c>
      <c r="C289">
        <v>4.805859109980817E-3</v>
      </c>
      <c r="D289">
        <v>3.9470729627265791E-2</v>
      </c>
      <c r="E289">
        <v>-2.8293311715960244E-2</v>
      </c>
      <c r="F289">
        <v>0.58209656788023001</v>
      </c>
      <c r="G289">
        <v>0.76779705635291173</v>
      </c>
      <c r="H289">
        <v>16.928167009573134</v>
      </c>
      <c r="I289">
        <v>7.746330843604321E-4</v>
      </c>
      <c r="J289">
        <v>0</v>
      </c>
      <c r="K289" s="1">
        <f t="shared" si="36"/>
        <v>4.805859109980817E-3</v>
      </c>
      <c r="L289" s="1">
        <f t="shared" si="37"/>
        <v>3.9470729627265791E-2</v>
      </c>
      <c r="M289">
        <f t="shared" si="38"/>
        <v>-2.8293311715960244E-2</v>
      </c>
      <c r="N289">
        <f t="shared" si="39"/>
        <v>0.58209656788023001</v>
      </c>
      <c r="O289">
        <f t="shared" si="40"/>
        <v>0.76779705635291173</v>
      </c>
      <c r="P289">
        <f t="shared" si="41"/>
        <v>16.928167009573134</v>
      </c>
      <c r="Q289">
        <f t="shared" si="42"/>
        <v>7.746330843604321E-4</v>
      </c>
      <c r="R289">
        <f t="shared" si="43"/>
        <v>0</v>
      </c>
      <c r="S289">
        <f t="shared" si="44"/>
        <v>0</v>
      </c>
    </row>
    <row r="290" spans="1:19" x14ac:dyDescent="0.3">
      <c r="A290" t="s">
        <v>110</v>
      </c>
      <c r="B290">
        <v>2010</v>
      </c>
      <c r="C290">
        <v>2.3681466230657939E-2</v>
      </c>
      <c r="D290">
        <v>4.8771817181086134E-2</v>
      </c>
      <c r="E290">
        <v>-1.1888632332941683E-2</v>
      </c>
      <c r="F290">
        <v>0.5777394639703588</v>
      </c>
      <c r="G290">
        <v>0.74955840213649472</v>
      </c>
      <c r="H290">
        <v>17.145716250405044</v>
      </c>
      <c r="I290">
        <v>1.9444295234953939E-2</v>
      </c>
      <c r="J290">
        <v>1.0567887899297773E-3</v>
      </c>
      <c r="K290" s="1">
        <f t="shared" si="36"/>
        <v>2.3681466230657939E-2</v>
      </c>
      <c r="L290" s="1">
        <f t="shared" si="37"/>
        <v>4.8771817181086134E-2</v>
      </c>
      <c r="M290">
        <f t="shared" si="38"/>
        <v>-1.1888632332941683E-2</v>
      </c>
      <c r="N290">
        <f t="shared" si="39"/>
        <v>0.5777394639703588</v>
      </c>
      <c r="O290">
        <f t="shared" si="40"/>
        <v>0.74955840213649472</v>
      </c>
      <c r="P290">
        <f t="shared" si="41"/>
        <v>17.145716250405044</v>
      </c>
      <c r="Q290">
        <f t="shared" si="42"/>
        <v>1.9444295234953939E-2</v>
      </c>
      <c r="R290">
        <f t="shared" si="43"/>
        <v>1.0567887899297773E-3</v>
      </c>
      <c r="S290">
        <f t="shared" si="44"/>
        <v>0</v>
      </c>
    </row>
    <row r="291" spans="1:19" x14ac:dyDescent="0.3">
      <c r="A291" t="s">
        <v>111</v>
      </c>
      <c r="B291">
        <v>2007</v>
      </c>
      <c r="C291">
        <v>4.8331817964473141E-3</v>
      </c>
      <c r="D291">
        <v>6.3531345126246586E-2</v>
      </c>
      <c r="E291">
        <v>0.23772425391901711</v>
      </c>
      <c r="F291">
        <v>0.27907980259579268</v>
      </c>
      <c r="G291">
        <v>0.6366439559072602</v>
      </c>
      <c r="H291">
        <v>16.224795629135556</v>
      </c>
      <c r="I291">
        <v>6.7898261806644614E-3</v>
      </c>
      <c r="J291">
        <v>0</v>
      </c>
      <c r="K291" s="1">
        <f t="shared" si="36"/>
        <v>4.8331817964473141E-3</v>
      </c>
      <c r="L291" s="1">
        <f t="shared" si="37"/>
        <v>6.3531345126246586E-2</v>
      </c>
      <c r="M291">
        <f t="shared" si="38"/>
        <v>0.23772425391901711</v>
      </c>
      <c r="N291">
        <f t="shared" si="39"/>
        <v>0.27907980259579268</v>
      </c>
      <c r="O291">
        <f t="shared" si="40"/>
        <v>0.6366439559072602</v>
      </c>
      <c r="P291">
        <f t="shared" si="41"/>
        <v>16.224795629135556</v>
      </c>
      <c r="Q291">
        <f t="shared" si="42"/>
        <v>6.7898261806644614E-3</v>
      </c>
      <c r="R291">
        <f t="shared" si="43"/>
        <v>0</v>
      </c>
      <c r="S291">
        <f t="shared" si="44"/>
        <v>0</v>
      </c>
    </row>
    <row r="292" spans="1:19" x14ac:dyDescent="0.3">
      <c r="A292" t="s">
        <v>111</v>
      </c>
      <c r="B292">
        <v>2009</v>
      </c>
      <c r="C292">
        <v>7.4336090652615166E-3</v>
      </c>
      <c r="D292">
        <v>5.4312257058975862E-2</v>
      </c>
      <c r="E292">
        <v>-3.4614600695683721E-2</v>
      </c>
      <c r="F292">
        <v>0.38843418520619671</v>
      </c>
      <c r="G292">
        <v>0.63052798981287539</v>
      </c>
      <c r="H292">
        <v>16.300895676601129</v>
      </c>
      <c r="I292">
        <v>3.360240285023279E-2</v>
      </c>
      <c r="J292">
        <v>2.5092157978060998E-3</v>
      </c>
      <c r="K292" s="1">
        <f t="shared" si="36"/>
        <v>7.4336090652615166E-3</v>
      </c>
      <c r="L292" s="1">
        <f t="shared" si="37"/>
        <v>5.4312257058975862E-2</v>
      </c>
      <c r="M292">
        <f t="shared" si="38"/>
        <v>-3.4614600695683721E-2</v>
      </c>
      <c r="N292">
        <f t="shared" si="39"/>
        <v>0.38843418520619671</v>
      </c>
      <c r="O292">
        <f t="shared" si="40"/>
        <v>0.63052798981287539</v>
      </c>
      <c r="P292">
        <f t="shared" si="41"/>
        <v>16.300895676601129</v>
      </c>
      <c r="Q292">
        <f t="shared" si="42"/>
        <v>3.360240285023279E-2</v>
      </c>
      <c r="R292">
        <f t="shared" si="43"/>
        <v>2.5092157978060998E-3</v>
      </c>
      <c r="S292">
        <f t="shared" si="44"/>
        <v>0</v>
      </c>
    </row>
    <row r="293" spans="1:19" x14ac:dyDescent="0.3">
      <c r="A293" t="s">
        <v>111</v>
      </c>
      <c r="B293">
        <v>2010</v>
      </c>
      <c r="C293">
        <v>8.7012151259190269E-3</v>
      </c>
      <c r="D293">
        <v>0.13965604418265162</v>
      </c>
      <c r="E293">
        <v>3.2289319605161147E-2</v>
      </c>
      <c r="F293">
        <v>0.30728552687417238</v>
      </c>
      <c r="G293">
        <v>0.55313652451084139</v>
      </c>
      <c r="H293">
        <v>16.45318772130236</v>
      </c>
      <c r="I293">
        <v>1.4579339232954997E-2</v>
      </c>
      <c r="J293">
        <v>7.1824776042900881E-3</v>
      </c>
      <c r="K293" s="1">
        <f t="shared" si="36"/>
        <v>8.7012151259190269E-3</v>
      </c>
      <c r="L293" s="1">
        <f t="shared" si="37"/>
        <v>0.13965604418265162</v>
      </c>
      <c r="M293">
        <f t="shared" si="38"/>
        <v>3.2289319605161147E-2</v>
      </c>
      <c r="N293">
        <f t="shared" si="39"/>
        <v>0.30728552687417238</v>
      </c>
      <c r="O293">
        <f t="shared" si="40"/>
        <v>0.55313652451084139</v>
      </c>
      <c r="P293">
        <f t="shared" si="41"/>
        <v>16.45318772130236</v>
      </c>
      <c r="Q293">
        <f t="shared" si="42"/>
        <v>1.4579339232954997E-2</v>
      </c>
      <c r="R293">
        <f t="shared" si="43"/>
        <v>7.1824776042900881E-3</v>
      </c>
      <c r="S293">
        <f t="shared" si="44"/>
        <v>0</v>
      </c>
    </row>
    <row r="294" spans="1:19" x14ac:dyDescent="0.3">
      <c r="A294" t="s">
        <v>112</v>
      </c>
      <c r="B294">
        <v>2007</v>
      </c>
      <c r="C294">
        <v>9.0866042975798922E-4</v>
      </c>
      <c r="D294">
        <v>0.13315531877160811</v>
      </c>
      <c r="E294">
        <v>-0.19999396664100966</v>
      </c>
      <c r="F294">
        <v>0.18004731616080913</v>
      </c>
      <c r="G294">
        <v>0.76950808927177361</v>
      </c>
      <c r="H294">
        <v>13.905276304858688</v>
      </c>
      <c r="I294">
        <v>1.200027331462165E-2</v>
      </c>
      <c r="J294">
        <v>0</v>
      </c>
      <c r="K294" s="1">
        <f t="shared" si="36"/>
        <v>9.0866042975798922E-4</v>
      </c>
      <c r="L294" s="1">
        <f t="shared" si="37"/>
        <v>0.13315531877160811</v>
      </c>
      <c r="M294">
        <f t="shared" si="38"/>
        <v>-0.19999396664100966</v>
      </c>
      <c r="N294">
        <f t="shared" si="39"/>
        <v>0.18004731616080913</v>
      </c>
      <c r="O294">
        <f t="shared" si="40"/>
        <v>0.76950808927177361</v>
      </c>
      <c r="P294">
        <f t="shared" si="41"/>
        <v>13.905276304858688</v>
      </c>
      <c r="Q294">
        <f t="shared" si="42"/>
        <v>1.200027331462165E-2</v>
      </c>
      <c r="R294">
        <f t="shared" si="43"/>
        <v>0</v>
      </c>
      <c r="S294">
        <f t="shared" si="44"/>
        <v>0</v>
      </c>
    </row>
    <row r="295" spans="1:19" x14ac:dyDescent="0.3">
      <c r="A295" t="s">
        <v>112</v>
      </c>
      <c r="B295">
        <v>2008</v>
      </c>
      <c r="C295">
        <v>1.2299292953920099E-3</v>
      </c>
      <c r="D295">
        <v>8.0239281111769006E-2</v>
      </c>
      <c r="E295">
        <v>-0.15439567297087062</v>
      </c>
      <c r="F295">
        <v>0.16497741864326101</v>
      </c>
      <c r="G295">
        <v>0.52026517130484251</v>
      </c>
      <c r="H295">
        <v>14.136236614485727</v>
      </c>
      <c r="I295">
        <v>1.3464853562465753E-2</v>
      </c>
      <c r="J295">
        <v>0</v>
      </c>
      <c r="K295" s="1">
        <f t="shared" si="36"/>
        <v>1.2299292953920099E-3</v>
      </c>
      <c r="L295" s="1">
        <f t="shared" si="37"/>
        <v>8.0239281111769006E-2</v>
      </c>
      <c r="M295">
        <f t="shared" si="38"/>
        <v>-0.15439567297087062</v>
      </c>
      <c r="N295">
        <f t="shared" si="39"/>
        <v>0.16497741864326101</v>
      </c>
      <c r="O295">
        <f t="shared" si="40"/>
        <v>0.52026517130484251</v>
      </c>
      <c r="P295">
        <f t="shared" si="41"/>
        <v>14.136236614485727</v>
      </c>
      <c r="Q295">
        <f t="shared" si="42"/>
        <v>1.3464853562465753E-2</v>
      </c>
      <c r="R295">
        <f t="shared" si="43"/>
        <v>0</v>
      </c>
      <c r="S295">
        <f t="shared" si="44"/>
        <v>0</v>
      </c>
    </row>
    <row r="296" spans="1:19" x14ac:dyDescent="0.3">
      <c r="A296" t="s">
        <v>112</v>
      </c>
      <c r="B296">
        <v>2009</v>
      </c>
      <c r="C296">
        <v>2.0363282931003734E-3</v>
      </c>
      <c r="D296">
        <v>0.14476420643738269</v>
      </c>
      <c r="E296">
        <v>-0.24896629136266279</v>
      </c>
      <c r="F296">
        <v>0.34759690353743522</v>
      </c>
      <c r="G296">
        <v>0.57520593177768442</v>
      </c>
      <c r="H296">
        <v>14.016243251504505</v>
      </c>
      <c r="I296">
        <v>4.0917600495189166E-3</v>
      </c>
      <c r="J296">
        <v>0</v>
      </c>
      <c r="K296" s="1">
        <f t="shared" si="36"/>
        <v>2.0363282931003734E-3</v>
      </c>
      <c r="L296" s="1">
        <f t="shared" si="37"/>
        <v>0.14476420643738269</v>
      </c>
      <c r="M296">
        <f t="shared" si="38"/>
        <v>-0.24896629136266279</v>
      </c>
      <c r="N296">
        <f t="shared" si="39"/>
        <v>0.34759690353743522</v>
      </c>
      <c r="O296">
        <f t="shared" si="40"/>
        <v>0.57520593177768442</v>
      </c>
      <c r="P296">
        <f t="shared" si="41"/>
        <v>14.016243251504505</v>
      </c>
      <c r="Q296">
        <f t="shared" si="42"/>
        <v>4.0917600495189166E-3</v>
      </c>
      <c r="R296">
        <f t="shared" si="43"/>
        <v>0</v>
      </c>
      <c r="S296">
        <f t="shared" si="44"/>
        <v>0</v>
      </c>
    </row>
    <row r="297" spans="1:19" x14ac:dyDescent="0.3">
      <c r="A297" t="s">
        <v>112</v>
      </c>
      <c r="B297">
        <v>2010</v>
      </c>
      <c r="C297">
        <v>2.6069444851622913E-3</v>
      </c>
      <c r="D297">
        <v>0.13781400037435362</v>
      </c>
      <c r="E297">
        <v>-8.5321805045956045E-2</v>
      </c>
      <c r="F297">
        <v>0.36000264603361815</v>
      </c>
      <c r="G297">
        <v>0.55879499478686268</v>
      </c>
      <c r="H297">
        <v>14.100909776687169</v>
      </c>
      <c r="I297">
        <v>2.5948738127599222E-2</v>
      </c>
      <c r="J297">
        <v>1.1726739898653906E-2</v>
      </c>
      <c r="K297" s="1">
        <f t="shared" si="36"/>
        <v>2.6069444851622913E-3</v>
      </c>
      <c r="L297" s="1">
        <f t="shared" si="37"/>
        <v>0.13781400037435362</v>
      </c>
      <c r="M297">
        <f t="shared" si="38"/>
        <v>-8.5321805045956045E-2</v>
      </c>
      <c r="N297">
        <f t="shared" si="39"/>
        <v>0.36000264603361815</v>
      </c>
      <c r="O297">
        <f t="shared" si="40"/>
        <v>0.55879499478686268</v>
      </c>
      <c r="P297">
        <f t="shared" si="41"/>
        <v>14.100909776687169</v>
      </c>
      <c r="Q297">
        <f t="shared" si="42"/>
        <v>2.5948738127599222E-2</v>
      </c>
      <c r="R297">
        <f t="shared" si="43"/>
        <v>1.1726739898653906E-2</v>
      </c>
      <c r="S297">
        <f t="shared" si="44"/>
        <v>0</v>
      </c>
    </row>
    <row r="298" spans="1:19" x14ac:dyDescent="0.3">
      <c r="A298" t="s">
        <v>113</v>
      </c>
      <c r="B298">
        <v>2007</v>
      </c>
      <c r="C298">
        <v>1.1033257771428287E-2</v>
      </c>
      <c r="D298">
        <v>3.0753085536852645E-2</v>
      </c>
      <c r="E298">
        <v>-8.5636640926833568E-2</v>
      </c>
      <c r="F298">
        <v>0.25721427704220878</v>
      </c>
      <c r="G298">
        <v>0.92953799688327932</v>
      </c>
      <c r="H298">
        <v>13.30680435330871</v>
      </c>
      <c r="I298">
        <v>3.3914268169841551E-3</v>
      </c>
      <c r="J298">
        <v>0</v>
      </c>
      <c r="K298" s="1">
        <f t="shared" si="36"/>
        <v>1.1033257771428287E-2</v>
      </c>
      <c r="L298" s="1">
        <f t="shared" si="37"/>
        <v>3.0753085536852645E-2</v>
      </c>
      <c r="M298">
        <f t="shared" si="38"/>
        <v>-8.5636640926833568E-2</v>
      </c>
      <c r="N298">
        <f t="shared" si="39"/>
        <v>0.25721427704220878</v>
      </c>
      <c r="O298">
        <f t="shared" si="40"/>
        <v>0.92953799688327932</v>
      </c>
      <c r="P298">
        <f t="shared" si="41"/>
        <v>13.30680435330871</v>
      </c>
      <c r="Q298">
        <f t="shared" si="42"/>
        <v>3.3914268169841551E-3</v>
      </c>
      <c r="R298">
        <f t="shared" si="43"/>
        <v>0</v>
      </c>
      <c r="S298">
        <f t="shared" si="44"/>
        <v>0</v>
      </c>
    </row>
    <row r="299" spans="1:19" x14ac:dyDescent="0.3">
      <c r="A299" t="s">
        <v>113</v>
      </c>
      <c r="B299">
        <v>2008</v>
      </c>
      <c r="C299">
        <v>1.0219959335248946E-2</v>
      </c>
      <c r="D299">
        <v>4.1325133168657893E-2</v>
      </c>
      <c r="E299">
        <v>-4.893213019441784E-2</v>
      </c>
      <c r="F299">
        <v>0.281048881719346</v>
      </c>
      <c r="G299">
        <v>0.85150812454840286</v>
      </c>
      <c r="H299">
        <v>13.296501541390263</v>
      </c>
      <c r="I299">
        <v>1.0373166056952538E-2</v>
      </c>
      <c r="J299">
        <v>0</v>
      </c>
      <c r="K299" s="1">
        <f t="shared" si="36"/>
        <v>1.0219959335248946E-2</v>
      </c>
      <c r="L299" s="1">
        <f t="shared" si="37"/>
        <v>4.1325133168657893E-2</v>
      </c>
      <c r="M299">
        <f t="shared" si="38"/>
        <v>-4.893213019441784E-2</v>
      </c>
      <c r="N299">
        <f t="shared" si="39"/>
        <v>0.281048881719346</v>
      </c>
      <c r="O299">
        <f t="shared" si="40"/>
        <v>0.85150812454840286</v>
      </c>
      <c r="P299">
        <f t="shared" si="41"/>
        <v>13.296501541390263</v>
      </c>
      <c r="Q299">
        <f t="shared" si="42"/>
        <v>1.0373166056952538E-2</v>
      </c>
      <c r="R299">
        <f t="shared" si="43"/>
        <v>0</v>
      </c>
      <c r="S299">
        <f t="shared" si="44"/>
        <v>0</v>
      </c>
    </row>
    <row r="300" spans="1:19" x14ac:dyDescent="0.3">
      <c r="A300" t="s">
        <v>113</v>
      </c>
      <c r="B300">
        <v>2009</v>
      </c>
      <c r="C300">
        <v>6.1713460196571399E-3</v>
      </c>
      <c r="D300">
        <v>7.4247253575698918E-2</v>
      </c>
      <c r="E300">
        <v>-0.17681432313308018</v>
      </c>
      <c r="F300">
        <v>0.55246170083698876</v>
      </c>
      <c r="G300">
        <v>0.99440195799978259</v>
      </c>
      <c r="H300">
        <v>13.25405457791344</v>
      </c>
      <c r="I300">
        <v>2.5196643557489795E-2</v>
      </c>
      <c r="J300">
        <v>0</v>
      </c>
      <c r="K300" s="1">
        <f t="shared" si="36"/>
        <v>6.1713460196571399E-3</v>
      </c>
      <c r="L300" s="1">
        <f t="shared" si="37"/>
        <v>7.4247253575698918E-2</v>
      </c>
      <c r="M300">
        <f t="shared" si="38"/>
        <v>-0.17681432313308018</v>
      </c>
      <c r="N300">
        <f t="shared" si="39"/>
        <v>0.55246170083698876</v>
      </c>
      <c r="O300">
        <f t="shared" si="40"/>
        <v>0.99440195799978259</v>
      </c>
      <c r="P300">
        <f t="shared" si="41"/>
        <v>13.25405457791344</v>
      </c>
      <c r="Q300">
        <f t="shared" si="42"/>
        <v>2.5196643557489795E-2</v>
      </c>
      <c r="R300">
        <f t="shared" si="43"/>
        <v>0</v>
      </c>
      <c r="S300">
        <f t="shared" si="44"/>
        <v>0</v>
      </c>
    </row>
    <row r="301" spans="1:19" x14ac:dyDescent="0.3">
      <c r="A301" t="s">
        <v>113</v>
      </c>
      <c r="B301">
        <v>2010</v>
      </c>
      <c r="C301">
        <v>2.394955319144848E-2</v>
      </c>
      <c r="D301">
        <v>0.15719668222314873</v>
      </c>
      <c r="E301">
        <v>-7.9981708804943236E-2</v>
      </c>
      <c r="F301">
        <v>0.47059479046782804</v>
      </c>
      <c r="G301">
        <v>0.83973301003517986</v>
      </c>
      <c r="H301">
        <v>13.16248560714631</v>
      </c>
      <c r="I301">
        <v>3.1484915100102318E-3</v>
      </c>
      <c r="J301">
        <v>0</v>
      </c>
      <c r="K301" s="1">
        <f t="shared" si="36"/>
        <v>2.394955319144848E-2</v>
      </c>
      <c r="L301" s="1">
        <f t="shared" si="37"/>
        <v>0.15719668222314873</v>
      </c>
      <c r="M301">
        <f t="shared" si="38"/>
        <v>-7.9981708804943236E-2</v>
      </c>
      <c r="N301">
        <f t="shared" si="39"/>
        <v>0.47059479046782804</v>
      </c>
      <c r="O301">
        <f t="shared" si="40"/>
        <v>0.83973301003517986</v>
      </c>
      <c r="P301">
        <f t="shared" si="41"/>
        <v>13.16248560714631</v>
      </c>
      <c r="Q301">
        <f t="shared" si="42"/>
        <v>3.1484915100102318E-3</v>
      </c>
      <c r="R301">
        <f t="shared" si="43"/>
        <v>0</v>
      </c>
      <c r="S301">
        <f t="shared" si="44"/>
        <v>0</v>
      </c>
    </row>
    <row r="302" spans="1:19" x14ac:dyDescent="0.3">
      <c r="A302" t="s">
        <v>114</v>
      </c>
      <c r="B302">
        <v>2007</v>
      </c>
      <c r="C302">
        <v>1</v>
      </c>
      <c r="D302">
        <v>278.30434782608694</v>
      </c>
      <c r="E302">
        <v>-4813.04347826087</v>
      </c>
      <c r="F302">
        <v>200.91304347826087</v>
      </c>
      <c r="G302">
        <v>4420.0934782608692</v>
      </c>
      <c r="H302">
        <v>3.8286413964890951</v>
      </c>
      <c r="I302">
        <v>1.1795589058436233</v>
      </c>
      <c r="J302">
        <v>0</v>
      </c>
      <c r="K302" s="1" t="str">
        <f t="shared" si="36"/>
        <v>out</v>
      </c>
      <c r="L302" s="1" t="str">
        <f t="shared" si="37"/>
        <v>out</v>
      </c>
      <c r="M302" t="str">
        <f t="shared" si="38"/>
        <v>out</v>
      </c>
      <c r="N302">
        <f t="shared" si="39"/>
        <v>200.91304347826087</v>
      </c>
      <c r="O302" t="str">
        <f t="shared" si="40"/>
        <v>out</v>
      </c>
      <c r="P302" t="str">
        <f t="shared" si="41"/>
        <v>out</v>
      </c>
      <c r="Q302" t="str">
        <f t="shared" si="42"/>
        <v>out</v>
      </c>
      <c r="R302">
        <f t="shared" si="43"/>
        <v>0</v>
      </c>
      <c r="S302">
        <f t="shared" si="44"/>
        <v>1</v>
      </c>
    </row>
    <row r="303" spans="1:19" x14ac:dyDescent="0.3">
      <c r="A303" t="s">
        <v>114</v>
      </c>
      <c r="B303">
        <v>2008</v>
      </c>
      <c r="C303">
        <v>1</v>
      </c>
      <c r="D303">
        <v>4.05</v>
      </c>
      <c r="E303">
        <v>-1977.05</v>
      </c>
      <c r="F303">
        <v>0</v>
      </c>
      <c r="G303">
        <v>5343.0749999999998</v>
      </c>
      <c r="H303">
        <v>3.6888794541139363</v>
      </c>
      <c r="I303">
        <v>0.12566844919786863</v>
      </c>
      <c r="J303">
        <v>0</v>
      </c>
      <c r="K303" s="1" t="str">
        <f t="shared" si="36"/>
        <v>out</v>
      </c>
      <c r="L303" s="1">
        <f t="shared" si="37"/>
        <v>4.05</v>
      </c>
      <c r="M303" t="str">
        <f t="shared" si="38"/>
        <v>out</v>
      </c>
      <c r="N303">
        <f t="shared" si="39"/>
        <v>0</v>
      </c>
      <c r="O303" t="str">
        <f t="shared" si="40"/>
        <v>out</v>
      </c>
      <c r="P303" t="str">
        <f t="shared" si="41"/>
        <v>out</v>
      </c>
      <c r="Q303">
        <f t="shared" si="42"/>
        <v>0.12566844919786863</v>
      </c>
      <c r="R303">
        <f t="shared" si="43"/>
        <v>0</v>
      </c>
      <c r="S303">
        <f t="shared" si="44"/>
        <v>1</v>
      </c>
    </row>
    <row r="304" spans="1:19" x14ac:dyDescent="0.3">
      <c r="A304" t="s">
        <v>114</v>
      </c>
      <c r="B304">
        <v>2009</v>
      </c>
      <c r="C304">
        <v>1</v>
      </c>
      <c r="D304">
        <v>4.1282051282051286</v>
      </c>
      <c r="E304">
        <v>-5685.2051282051279</v>
      </c>
      <c r="F304">
        <v>3647.3589743589741</v>
      </c>
      <c r="G304">
        <v>5492.248205128205</v>
      </c>
      <c r="H304">
        <v>3.6635616461296463</v>
      </c>
      <c r="I304">
        <v>0.4127702362996496</v>
      </c>
      <c r="J304">
        <v>0</v>
      </c>
      <c r="K304" s="1" t="str">
        <f t="shared" si="36"/>
        <v>out</v>
      </c>
      <c r="L304" s="1">
        <f t="shared" si="37"/>
        <v>4.1282051282051286</v>
      </c>
      <c r="M304" t="str">
        <f t="shared" si="38"/>
        <v>out</v>
      </c>
      <c r="N304" t="str">
        <f t="shared" si="39"/>
        <v>out</v>
      </c>
      <c r="O304" t="str">
        <f t="shared" si="40"/>
        <v>out</v>
      </c>
      <c r="P304" t="str">
        <f t="shared" si="41"/>
        <v>out</v>
      </c>
      <c r="Q304">
        <f t="shared" si="42"/>
        <v>0.4127702362996496</v>
      </c>
      <c r="R304">
        <f t="shared" si="43"/>
        <v>0</v>
      </c>
      <c r="S304">
        <f t="shared" si="44"/>
        <v>1</v>
      </c>
    </row>
    <row r="305" spans="1:19" x14ac:dyDescent="0.3">
      <c r="A305" t="s">
        <v>114</v>
      </c>
      <c r="B305">
        <v>2010</v>
      </c>
      <c r="C305">
        <v>1</v>
      </c>
      <c r="D305">
        <v>2.8205128205128207</v>
      </c>
      <c r="E305">
        <v>-5688.0256410256407</v>
      </c>
      <c r="F305">
        <v>3651.2051282051284</v>
      </c>
      <c r="G305">
        <v>5567.833333333333</v>
      </c>
      <c r="H305">
        <v>3.6635616461296463</v>
      </c>
      <c r="I305">
        <v>0.42735042735042733</v>
      </c>
      <c r="J305">
        <v>0</v>
      </c>
      <c r="K305" s="1" t="str">
        <f t="shared" si="36"/>
        <v>out</v>
      </c>
      <c r="L305" s="1">
        <f t="shared" si="37"/>
        <v>2.8205128205128207</v>
      </c>
      <c r="M305" t="str">
        <f t="shared" si="38"/>
        <v>out</v>
      </c>
      <c r="N305" t="str">
        <f t="shared" si="39"/>
        <v>out</v>
      </c>
      <c r="O305" t="str">
        <f t="shared" si="40"/>
        <v>out</v>
      </c>
      <c r="P305" t="str">
        <f t="shared" si="41"/>
        <v>out</v>
      </c>
      <c r="Q305">
        <f t="shared" si="42"/>
        <v>0.42735042735042733</v>
      </c>
      <c r="R305">
        <f t="shared" si="43"/>
        <v>0</v>
      </c>
      <c r="S305">
        <f t="shared" si="44"/>
        <v>1</v>
      </c>
    </row>
    <row r="306" spans="1:19" x14ac:dyDescent="0.3">
      <c r="A306" t="s">
        <v>115</v>
      </c>
      <c r="B306">
        <v>2007</v>
      </c>
      <c r="C306">
        <v>1.4977954209207964E-3</v>
      </c>
      <c r="D306">
        <v>0.33663043637482237</v>
      </c>
      <c r="E306">
        <v>-1.2738072568005039</v>
      </c>
      <c r="F306">
        <v>0.70796651383538167</v>
      </c>
      <c r="G306">
        <v>-1.0497897959482621</v>
      </c>
      <c r="H306">
        <v>12.517476127399849</v>
      </c>
      <c r="I306">
        <v>4.1212754959017862E-2</v>
      </c>
      <c r="J306">
        <v>0</v>
      </c>
      <c r="K306" s="1">
        <f t="shared" si="36"/>
        <v>1.4977954209207964E-3</v>
      </c>
      <c r="L306" s="1">
        <f t="shared" si="37"/>
        <v>0.33663043637482237</v>
      </c>
      <c r="M306">
        <f t="shared" si="38"/>
        <v>-1.2738072568005039</v>
      </c>
      <c r="N306">
        <f t="shared" si="39"/>
        <v>0.70796651383538167</v>
      </c>
      <c r="O306">
        <f t="shared" si="40"/>
        <v>-1.0497897959482621</v>
      </c>
      <c r="P306">
        <f t="shared" si="41"/>
        <v>12.517476127399849</v>
      </c>
      <c r="Q306">
        <f t="shared" si="42"/>
        <v>4.1212754959017862E-2</v>
      </c>
      <c r="R306">
        <f t="shared" si="43"/>
        <v>0</v>
      </c>
      <c r="S306">
        <f t="shared" si="44"/>
        <v>0</v>
      </c>
    </row>
    <row r="307" spans="1:19" x14ac:dyDescent="0.3">
      <c r="A307" t="s">
        <v>115</v>
      </c>
      <c r="B307">
        <v>2008</v>
      </c>
      <c r="C307">
        <v>6.078068703024601E-3</v>
      </c>
      <c r="D307">
        <v>0.27319769493120077</v>
      </c>
      <c r="E307">
        <v>-1.2676007398458298</v>
      </c>
      <c r="F307">
        <v>0.66211390632183298</v>
      </c>
      <c r="G307">
        <v>0.56336694001047749</v>
      </c>
      <c r="H307">
        <v>12.139216774744108</v>
      </c>
      <c r="I307">
        <v>0.17478056730869906</v>
      </c>
      <c r="J307">
        <v>0</v>
      </c>
      <c r="K307" s="1">
        <f t="shared" si="36"/>
        <v>6.078068703024601E-3</v>
      </c>
      <c r="L307" s="1">
        <f t="shared" si="37"/>
        <v>0.27319769493120077</v>
      </c>
      <c r="M307">
        <f t="shared" si="38"/>
        <v>-1.2676007398458298</v>
      </c>
      <c r="N307">
        <f t="shared" si="39"/>
        <v>0.66211390632183298</v>
      </c>
      <c r="O307">
        <f t="shared" si="40"/>
        <v>0.56336694001047749</v>
      </c>
      <c r="P307">
        <f t="shared" si="41"/>
        <v>12.139216774744108</v>
      </c>
      <c r="Q307">
        <f t="shared" si="42"/>
        <v>0.17478056730869906</v>
      </c>
      <c r="R307">
        <f t="shared" si="43"/>
        <v>0</v>
      </c>
      <c r="S307">
        <f t="shared" si="44"/>
        <v>0</v>
      </c>
    </row>
    <row r="308" spans="1:19" x14ac:dyDescent="0.3">
      <c r="A308" t="s">
        <v>115</v>
      </c>
      <c r="B308">
        <v>2009</v>
      </c>
      <c r="C308">
        <v>6.6340204480031762E-3</v>
      </c>
      <c r="D308">
        <v>0.74889432992533278</v>
      </c>
      <c r="E308">
        <v>-0.64341175043289323</v>
      </c>
      <c r="F308">
        <v>1.6986345939626555</v>
      </c>
      <c r="G308">
        <v>-4.5301177910862584</v>
      </c>
      <c r="H308">
        <v>12.108117972132941</v>
      </c>
      <c r="I308">
        <v>0.19783940896236213</v>
      </c>
      <c r="J308">
        <v>0</v>
      </c>
      <c r="K308" s="1">
        <f t="shared" si="36"/>
        <v>6.6340204480031762E-3</v>
      </c>
      <c r="L308" s="1">
        <f t="shared" si="37"/>
        <v>0.74889432992533278</v>
      </c>
      <c r="M308">
        <f t="shared" si="38"/>
        <v>-0.64341175043289323</v>
      </c>
      <c r="N308">
        <f t="shared" si="39"/>
        <v>1.6986345939626555</v>
      </c>
      <c r="O308">
        <f t="shared" si="40"/>
        <v>-4.5301177910862584</v>
      </c>
      <c r="P308">
        <f t="shared" si="41"/>
        <v>12.108117972132941</v>
      </c>
      <c r="Q308">
        <f t="shared" si="42"/>
        <v>0.19783940896236213</v>
      </c>
      <c r="R308">
        <f t="shared" si="43"/>
        <v>0</v>
      </c>
      <c r="S308">
        <f t="shared" si="44"/>
        <v>0</v>
      </c>
    </row>
    <row r="309" spans="1:19" x14ac:dyDescent="0.3">
      <c r="A309" t="s">
        <v>115</v>
      </c>
      <c r="B309">
        <v>2010</v>
      </c>
      <c r="C309">
        <v>3.179173511246524E-2</v>
      </c>
      <c r="D309">
        <v>8.5454770710398559E-2</v>
      </c>
      <c r="E309">
        <v>-0.30994934246147915</v>
      </c>
      <c r="F309">
        <v>0.69124138500646981</v>
      </c>
      <c r="G309">
        <v>3.2916157185202857</v>
      </c>
      <c r="H309">
        <v>12.985094724198866</v>
      </c>
      <c r="I309">
        <v>2.5911878576702768E-3</v>
      </c>
      <c r="J309">
        <v>0</v>
      </c>
      <c r="K309" s="1">
        <f t="shared" si="36"/>
        <v>3.179173511246524E-2</v>
      </c>
      <c r="L309" s="1">
        <f t="shared" si="37"/>
        <v>8.5454770710398559E-2</v>
      </c>
      <c r="M309">
        <f t="shared" si="38"/>
        <v>-0.30994934246147915</v>
      </c>
      <c r="N309">
        <f t="shared" si="39"/>
        <v>0.69124138500646981</v>
      </c>
      <c r="O309">
        <f t="shared" si="40"/>
        <v>3.2916157185202857</v>
      </c>
      <c r="P309">
        <f t="shared" si="41"/>
        <v>12.985094724198866</v>
      </c>
      <c r="Q309">
        <f t="shared" si="42"/>
        <v>2.5911878576702768E-3</v>
      </c>
      <c r="R309">
        <f t="shared" si="43"/>
        <v>0</v>
      </c>
      <c r="S309">
        <f t="shared" si="44"/>
        <v>0</v>
      </c>
    </row>
    <row r="310" spans="1:19" x14ac:dyDescent="0.3">
      <c r="A310" t="s">
        <v>116</v>
      </c>
      <c r="B310">
        <v>2007</v>
      </c>
      <c r="C310">
        <v>4.3154526781482069E-3</v>
      </c>
      <c r="D310">
        <v>7.2947938062885131E-2</v>
      </c>
      <c r="E310">
        <v>-0.15384539421709592</v>
      </c>
      <c r="F310">
        <v>0.19227958603254858</v>
      </c>
      <c r="G310">
        <v>0.95356938299889393</v>
      </c>
      <c r="H310">
        <v>12.911780608134977</v>
      </c>
      <c r="I310">
        <v>3.4619607768638996E-3</v>
      </c>
      <c r="J310">
        <v>0</v>
      </c>
      <c r="K310" s="1">
        <f t="shared" si="36"/>
        <v>4.3154526781482069E-3</v>
      </c>
      <c r="L310" s="1">
        <f t="shared" si="37"/>
        <v>7.2947938062885131E-2</v>
      </c>
      <c r="M310">
        <f t="shared" si="38"/>
        <v>-0.15384539421709592</v>
      </c>
      <c r="N310">
        <f t="shared" si="39"/>
        <v>0.19227958603254858</v>
      </c>
      <c r="O310">
        <f t="shared" si="40"/>
        <v>0.95356938299889393</v>
      </c>
      <c r="P310">
        <f t="shared" si="41"/>
        <v>12.911780608134977</v>
      </c>
      <c r="Q310">
        <f t="shared" si="42"/>
        <v>3.4619607768638996E-3</v>
      </c>
      <c r="R310">
        <f t="shared" si="43"/>
        <v>0</v>
      </c>
      <c r="S310">
        <f t="shared" si="44"/>
        <v>0</v>
      </c>
    </row>
    <row r="311" spans="1:19" x14ac:dyDescent="0.3">
      <c r="A311" t="s">
        <v>116</v>
      </c>
      <c r="B311">
        <v>2009</v>
      </c>
      <c r="C311">
        <v>4.533855207236006E-3</v>
      </c>
      <c r="D311">
        <v>0.16171809727923281</v>
      </c>
      <c r="E311">
        <v>-0.2359602600893603</v>
      </c>
      <c r="F311">
        <v>0.61279241890370151</v>
      </c>
      <c r="G311">
        <v>0.86430219041737799</v>
      </c>
      <c r="H311">
        <v>12.99558399570653</v>
      </c>
      <c r="I311">
        <v>2.2807479471993478E-2</v>
      </c>
      <c r="J311">
        <v>0</v>
      </c>
      <c r="K311" s="1">
        <f t="shared" si="36"/>
        <v>4.533855207236006E-3</v>
      </c>
      <c r="L311" s="1">
        <f t="shared" si="37"/>
        <v>0.16171809727923281</v>
      </c>
      <c r="M311">
        <f t="shared" si="38"/>
        <v>-0.2359602600893603</v>
      </c>
      <c r="N311">
        <f t="shared" si="39"/>
        <v>0.61279241890370151</v>
      </c>
      <c r="O311">
        <f t="shared" si="40"/>
        <v>0.86430219041737799</v>
      </c>
      <c r="P311">
        <f t="shared" si="41"/>
        <v>12.99558399570653</v>
      </c>
      <c r="Q311">
        <f t="shared" si="42"/>
        <v>2.2807479471993478E-2</v>
      </c>
      <c r="R311">
        <f t="shared" si="43"/>
        <v>0</v>
      </c>
      <c r="S311">
        <f t="shared" si="44"/>
        <v>0</v>
      </c>
    </row>
    <row r="312" spans="1:19" x14ac:dyDescent="0.3">
      <c r="A312" t="s">
        <v>116</v>
      </c>
      <c r="B312">
        <v>2010</v>
      </c>
      <c r="C312">
        <v>6.3212940251031807E-3</v>
      </c>
      <c r="D312">
        <v>0.20886356237070769</v>
      </c>
      <c r="E312">
        <v>-0.1091100645273488</v>
      </c>
      <c r="F312">
        <v>0.45824932914609956</v>
      </c>
      <c r="G312">
        <v>0.81607986750761852</v>
      </c>
      <c r="H312">
        <v>13.111340851955914</v>
      </c>
      <c r="I312">
        <v>3.4097337291693203E-3</v>
      </c>
      <c r="J312">
        <v>6.0665009837842431E-3</v>
      </c>
      <c r="K312" s="1">
        <f t="shared" si="36"/>
        <v>6.3212940251031807E-3</v>
      </c>
      <c r="L312" s="1">
        <f t="shared" si="37"/>
        <v>0.20886356237070769</v>
      </c>
      <c r="M312">
        <f t="shared" si="38"/>
        <v>-0.1091100645273488</v>
      </c>
      <c r="N312">
        <f t="shared" si="39"/>
        <v>0.45824932914609956</v>
      </c>
      <c r="O312">
        <f t="shared" si="40"/>
        <v>0.81607986750761852</v>
      </c>
      <c r="P312">
        <f t="shared" si="41"/>
        <v>13.111340851955914</v>
      </c>
      <c r="Q312">
        <f t="shared" si="42"/>
        <v>3.4097337291693203E-3</v>
      </c>
      <c r="R312">
        <f t="shared" si="43"/>
        <v>6.0665009837842431E-3</v>
      </c>
      <c r="S312">
        <f t="shared" si="44"/>
        <v>0</v>
      </c>
    </row>
    <row r="313" spans="1:19" x14ac:dyDescent="0.3">
      <c r="A313" t="s">
        <v>117</v>
      </c>
      <c r="B313">
        <v>2007</v>
      </c>
      <c r="C313">
        <v>3.9573546644089764E-3</v>
      </c>
      <c r="D313">
        <v>9.4095332931584424E-2</v>
      </c>
      <c r="E313">
        <v>-0.17318978578083044</v>
      </c>
      <c r="F313">
        <v>0.49889263159972647</v>
      </c>
      <c r="G313">
        <v>0.90311582048074979</v>
      </c>
      <c r="H313">
        <v>14.416374124046952</v>
      </c>
      <c r="I313">
        <v>5.3667738267934445E-3</v>
      </c>
      <c r="J313">
        <v>0</v>
      </c>
      <c r="K313" s="1">
        <f t="shared" si="36"/>
        <v>3.9573546644089764E-3</v>
      </c>
      <c r="L313" s="1">
        <f t="shared" si="37"/>
        <v>9.4095332931584424E-2</v>
      </c>
      <c r="M313">
        <f t="shared" si="38"/>
        <v>-0.17318978578083044</v>
      </c>
      <c r="N313">
        <f t="shared" si="39"/>
        <v>0.49889263159972647</v>
      </c>
      <c r="O313">
        <f t="shared" si="40"/>
        <v>0.90311582048074979</v>
      </c>
      <c r="P313">
        <f t="shared" si="41"/>
        <v>14.416374124046952</v>
      </c>
      <c r="Q313">
        <f t="shared" si="42"/>
        <v>5.3667738267934445E-3</v>
      </c>
      <c r="R313">
        <f t="shared" si="43"/>
        <v>0</v>
      </c>
      <c r="S313">
        <f t="shared" si="44"/>
        <v>0</v>
      </c>
    </row>
    <row r="314" spans="1:19" x14ac:dyDescent="0.3">
      <c r="A314" t="s">
        <v>117</v>
      </c>
      <c r="B314">
        <v>2009</v>
      </c>
      <c r="C314">
        <v>5.3059278910844044E-3</v>
      </c>
      <c r="D314">
        <v>9.9244110831152157E-2</v>
      </c>
      <c r="E314">
        <v>-0.18160747466943505</v>
      </c>
      <c r="F314">
        <v>0.57652576908361819</v>
      </c>
      <c r="G314">
        <v>0.80418363117912262</v>
      </c>
      <c r="H314">
        <v>14.808761960604119</v>
      </c>
      <c r="I314">
        <v>9.5825359585962489E-3</v>
      </c>
      <c r="J314">
        <v>0</v>
      </c>
      <c r="K314" s="1">
        <f t="shared" si="36"/>
        <v>5.3059278910844044E-3</v>
      </c>
      <c r="L314" s="1">
        <f t="shared" si="37"/>
        <v>9.9244110831152157E-2</v>
      </c>
      <c r="M314">
        <f t="shared" si="38"/>
        <v>-0.18160747466943505</v>
      </c>
      <c r="N314">
        <f t="shared" si="39"/>
        <v>0.57652576908361819</v>
      </c>
      <c r="O314">
        <f t="shared" si="40"/>
        <v>0.80418363117912262</v>
      </c>
      <c r="P314">
        <f t="shared" si="41"/>
        <v>14.808761960604119</v>
      </c>
      <c r="Q314">
        <f t="shared" si="42"/>
        <v>9.5825359585962489E-3</v>
      </c>
      <c r="R314">
        <f t="shared" si="43"/>
        <v>0</v>
      </c>
      <c r="S314">
        <f t="shared" si="44"/>
        <v>0</v>
      </c>
    </row>
    <row r="315" spans="1:19" x14ac:dyDescent="0.3">
      <c r="A315" t="s">
        <v>117</v>
      </c>
      <c r="B315">
        <v>2010</v>
      </c>
      <c r="C315">
        <v>1.1698486912972098E-2</v>
      </c>
      <c r="D315">
        <v>8.6130255303869849E-2</v>
      </c>
      <c r="E315">
        <v>-0.18032498295828639</v>
      </c>
      <c r="F315">
        <v>0.48587999996897979</v>
      </c>
      <c r="G315">
        <v>0.78062985320473399</v>
      </c>
      <c r="H315">
        <v>14.76289910137216</v>
      </c>
      <c r="I315">
        <v>1.4004477719566404E-2</v>
      </c>
      <c r="J315">
        <v>3.4191997878219409E-3</v>
      </c>
      <c r="K315" s="1">
        <f t="shared" si="36"/>
        <v>1.1698486912972098E-2</v>
      </c>
      <c r="L315" s="1">
        <f t="shared" si="37"/>
        <v>8.6130255303869849E-2</v>
      </c>
      <c r="M315">
        <f t="shared" si="38"/>
        <v>-0.18032498295828639</v>
      </c>
      <c r="N315">
        <f t="shared" si="39"/>
        <v>0.48587999996897979</v>
      </c>
      <c r="O315">
        <f t="shared" si="40"/>
        <v>0.78062985320473399</v>
      </c>
      <c r="P315">
        <f t="shared" si="41"/>
        <v>14.76289910137216</v>
      </c>
      <c r="Q315">
        <f t="shared" si="42"/>
        <v>1.4004477719566404E-2</v>
      </c>
      <c r="R315">
        <f t="shared" si="43"/>
        <v>3.4191997878219409E-3</v>
      </c>
      <c r="S315">
        <f t="shared" si="44"/>
        <v>0</v>
      </c>
    </row>
    <row r="316" spans="1:19" x14ac:dyDescent="0.3">
      <c r="A316" t="s">
        <v>118</v>
      </c>
      <c r="B316">
        <v>2007</v>
      </c>
      <c r="C316">
        <v>2.771464838405643E-3</v>
      </c>
      <c r="D316">
        <v>6.1554642607400199E-2</v>
      </c>
      <c r="E316">
        <v>-2.829231400687118E-2</v>
      </c>
      <c r="F316">
        <v>0.16576628104952723</v>
      </c>
      <c r="G316">
        <v>0.67547163357757445</v>
      </c>
      <c r="H316">
        <v>13.866690245898855</v>
      </c>
      <c r="I316">
        <v>8.7250143429395913E-3</v>
      </c>
      <c r="J316">
        <v>0</v>
      </c>
      <c r="K316" s="1">
        <f t="shared" si="36"/>
        <v>2.771464838405643E-3</v>
      </c>
      <c r="L316" s="1">
        <f t="shared" si="37"/>
        <v>6.1554642607400199E-2</v>
      </c>
      <c r="M316">
        <f t="shared" si="38"/>
        <v>-2.829231400687118E-2</v>
      </c>
      <c r="N316">
        <f t="shared" si="39"/>
        <v>0.16576628104952723</v>
      </c>
      <c r="O316">
        <f t="shared" si="40"/>
        <v>0.67547163357757445</v>
      </c>
      <c r="P316">
        <f t="shared" si="41"/>
        <v>13.866690245898855</v>
      </c>
      <c r="Q316">
        <f t="shared" si="42"/>
        <v>8.7250143429395913E-3</v>
      </c>
      <c r="R316">
        <f t="shared" si="43"/>
        <v>0</v>
      </c>
      <c r="S316">
        <f t="shared" si="44"/>
        <v>0</v>
      </c>
    </row>
    <row r="317" spans="1:19" x14ac:dyDescent="0.3">
      <c r="A317" t="s">
        <v>118</v>
      </c>
      <c r="B317">
        <v>2009</v>
      </c>
      <c r="C317">
        <v>3.163115648020859E-3</v>
      </c>
      <c r="D317">
        <v>6.8319477665084616E-2</v>
      </c>
      <c r="E317">
        <v>-3.5963055000247726E-2</v>
      </c>
      <c r="F317">
        <v>0.30556389595086575</v>
      </c>
      <c r="G317">
        <v>0.57167152067724936</v>
      </c>
      <c r="H317">
        <v>14.331471175056318</v>
      </c>
      <c r="I317">
        <v>1.3781041761368608E-2</v>
      </c>
      <c r="J317">
        <v>0</v>
      </c>
      <c r="K317" s="1">
        <f t="shared" si="36"/>
        <v>3.163115648020859E-3</v>
      </c>
      <c r="L317" s="1">
        <f t="shared" si="37"/>
        <v>6.8319477665084616E-2</v>
      </c>
      <c r="M317">
        <f t="shared" si="38"/>
        <v>-3.5963055000247726E-2</v>
      </c>
      <c r="N317">
        <f t="shared" si="39"/>
        <v>0.30556389595086575</v>
      </c>
      <c r="O317">
        <f t="shared" si="40"/>
        <v>0.57167152067724936</v>
      </c>
      <c r="P317">
        <f t="shared" si="41"/>
        <v>14.331471175056318</v>
      </c>
      <c r="Q317">
        <f t="shared" si="42"/>
        <v>1.3781041761368608E-2</v>
      </c>
      <c r="R317">
        <f t="shared" si="43"/>
        <v>0</v>
      </c>
      <c r="S317">
        <f t="shared" si="44"/>
        <v>0</v>
      </c>
    </row>
    <row r="318" spans="1:19" x14ac:dyDescent="0.3">
      <c r="A318" t="s">
        <v>118</v>
      </c>
      <c r="B318">
        <v>2010</v>
      </c>
      <c r="C318">
        <v>1.154443255394328E-2</v>
      </c>
      <c r="D318">
        <v>0.11948266989360992</v>
      </c>
      <c r="E318">
        <v>9.7115129956957345E-3</v>
      </c>
      <c r="F318">
        <v>0.26062016739050392</v>
      </c>
      <c r="G318">
        <v>0.50820211315977026</v>
      </c>
      <c r="H318">
        <v>14.434845414969836</v>
      </c>
      <c r="I318">
        <v>2.7868521995570369E-3</v>
      </c>
      <c r="J318">
        <v>3.6475368360309461E-3</v>
      </c>
      <c r="K318" s="1">
        <f t="shared" si="36"/>
        <v>1.154443255394328E-2</v>
      </c>
      <c r="L318" s="1">
        <f t="shared" si="37"/>
        <v>0.11948266989360992</v>
      </c>
      <c r="M318">
        <f t="shared" si="38"/>
        <v>9.7115129956957345E-3</v>
      </c>
      <c r="N318">
        <f t="shared" si="39"/>
        <v>0.26062016739050392</v>
      </c>
      <c r="O318">
        <f t="shared" si="40"/>
        <v>0.50820211315977026</v>
      </c>
      <c r="P318">
        <f t="shared" si="41"/>
        <v>14.434845414969836</v>
      </c>
      <c r="Q318">
        <f t="shared" si="42"/>
        <v>2.7868521995570369E-3</v>
      </c>
      <c r="R318">
        <f t="shared" si="43"/>
        <v>3.6475368360309461E-3</v>
      </c>
      <c r="S318">
        <f t="shared" si="44"/>
        <v>0</v>
      </c>
    </row>
    <row r="319" spans="1:19" x14ac:dyDescent="0.3">
      <c r="A319" t="s">
        <v>119</v>
      </c>
      <c r="B319">
        <v>2007</v>
      </c>
      <c r="C319">
        <v>1.1576284514132135E-4</v>
      </c>
      <c r="D319">
        <v>0.16622851052161564</v>
      </c>
      <c r="E319">
        <v>-1.3887273662298975E-2</v>
      </c>
      <c r="F319">
        <v>0.24476799952201148</v>
      </c>
      <c r="G319">
        <v>0.72901838442013489</v>
      </c>
      <c r="H319">
        <v>14.44386425155229</v>
      </c>
      <c r="I319">
        <v>3.6993480972892311E-2</v>
      </c>
      <c r="J319">
        <v>0</v>
      </c>
      <c r="K319" s="1">
        <f t="shared" si="36"/>
        <v>1.1576284514132135E-4</v>
      </c>
      <c r="L319" s="1">
        <f t="shared" si="37"/>
        <v>0.16622851052161564</v>
      </c>
      <c r="M319">
        <f t="shared" si="38"/>
        <v>-1.3887273662298975E-2</v>
      </c>
      <c r="N319">
        <f t="shared" si="39"/>
        <v>0.24476799952201148</v>
      </c>
      <c r="O319">
        <f t="shared" si="40"/>
        <v>0.72901838442013489</v>
      </c>
      <c r="P319">
        <f t="shared" si="41"/>
        <v>14.44386425155229</v>
      </c>
      <c r="Q319">
        <f t="shared" si="42"/>
        <v>3.6993480972892311E-2</v>
      </c>
      <c r="R319">
        <f t="shared" si="43"/>
        <v>0</v>
      </c>
      <c r="S319">
        <f t="shared" si="44"/>
        <v>0</v>
      </c>
    </row>
    <row r="320" spans="1:19" x14ac:dyDescent="0.3">
      <c r="A320" t="s">
        <v>119</v>
      </c>
      <c r="B320">
        <v>2009</v>
      </c>
      <c r="C320">
        <v>8.7641979640263237E-3</v>
      </c>
      <c r="D320">
        <v>0.12658025127538702</v>
      </c>
      <c r="E320">
        <v>-0.16572757268758551</v>
      </c>
      <c r="F320">
        <v>0.5650260945467348</v>
      </c>
      <c r="G320">
        <v>0.85142428913906942</v>
      </c>
      <c r="H320">
        <v>14.307748903598005</v>
      </c>
      <c r="I320">
        <v>1.1132878115849098E-2</v>
      </c>
      <c r="J320">
        <v>0</v>
      </c>
      <c r="K320" s="1">
        <f t="shared" si="36"/>
        <v>8.7641979640263237E-3</v>
      </c>
      <c r="L320" s="1">
        <f t="shared" si="37"/>
        <v>0.12658025127538702</v>
      </c>
      <c r="M320">
        <f t="shared" si="38"/>
        <v>-0.16572757268758551</v>
      </c>
      <c r="N320">
        <f t="shared" si="39"/>
        <v>0.5650260945467348</v>
      </c>
      <c r="O320">
        <f t="shared" si="40"/>
        <v>0.85142428913906942</v>
      </c>
      <c r="P320">
        <f t="shared" si="41"/>
        <v>14.307748903598005</v>
      </c>
      <c r="Q320">
        <f t="shared" si="42"/>
        <v>1.1132878115849098E-2</v>
      </c>
      <c r="R320">
        <f t="shared" si="43"/>
        <v>0</v>
      </c>
      <c r="S320">
        <f t="shared" si="44"/>
        <v>0</v>
      </c>
    </row>
    <row r="321" spans="1:19" x14ac:dyDescent="0.3">
      <c r="A321" t="s">
        <v>119</v>
      </c>
      <c r="B321">
        <v>2010</v>
      </c>
      <c r="C321">
        <v>8.979724194652438E-3</v>
      </c>
      <c r="D321">
        <v>0.16217702249736363</v>
      </c>
      <c r="E321">
        <v>-0.13539083538567048</v>
      </c>
      <c r="F321">
        <v>0.44742889607906078</v>
      </c>
      <c r="G321">
        <v>0.76158037915553334</v>
      </c>
      <c r="H321">
        <v>14.24048870895944</v>
      </c>
      <c r="I321">
        <v>2.7412778405735902E-2</v>
      </c>
      <c r="J321">
        <v>1.1297388721047989E-2</v>
      </c>
      <c r="K321" s="1">
        <f t="shared" si="36"/>
        <v>8.979724194652438E-3</v>
      </c>
      <c r="L321" s="1">
        <f t="shared" si="37"/>
        <v>0.16217702249736363</v>
      </c>
      <c r="M321">
        <f t="shared" si="38"/>
        <v>-0.13539083538567048</v>
      </c>
      <c r="N321">
        <f t="shared" si="39"/>
        <v>0.44742889607906078</v>
      </c>
      <c r="O321">
        <f t="shared" si="40"/>
        <v>0.76158037915553334</v>
      </c>
      <c r="P321">
        <f t="shared" si="41"/>
        <v>14.24048870895944</v>
      </c>
      <c r="Q321">
        <f t="shared" si="42"/>
        <v>2.7412778405735902E-2</v>
      </c>
      <c r="R321">
        <f t="shared" si="43"/>
        <v>1.1297388721047989E-2</v>
      </c>
      <c r="S321">
        <f t="shared" si="44"/>
        <v>0</v>
      </c>
    </row>
    <row r="322" spans="1:19" x14ac:dyDescent="0.3">
      <c r="A322" t="s">
        <v>120</v>
      </c>
      <c r="B322">
        <v>2007</v>
      </c>
      <c r="C322">
        <v>3.9993575329264376E-2</v>
      </c>
      <c r="D322">
        <v>6.5531641503372956E-2</v>
      </c>
      <c r="E322">
        <v>-2.3043687761002247</v>
      </c>
      <c r="F322">
        <v>0</v>
      </c>
      <c r="G322">
        <v>1.2528107934468358</v>
      </c>
      <c r="H322">
        <v>8.7364893510015538</v>
      </c>
      <c r="I322">
        <v>8.2145671876378237E-2</v>
      </c>
      <c r="J322">
        <v>0</v>
      </c>
      <c r="K322" s="1">
        <f t="shared" si="36"/>
        <v>3.9993575329264376E-2</v>
      </c>
      <c r="L322" s="1">
        <f t="shared" si="37"/>
        <v>6.5531641503372956E-2</v>
      </c>
      <c r="M322">
        <f t="shared" si="38"/>
        <v>-2.3043687761002247</v>
      </c>
      <c r="N322">
        <f t="shared" si="39"/>
        <v>0</v>
      </c>
      <c r="O322">
        <f t="shared" si="40"/>
        <v>1.2528107934468358</v>
      </c>
      <c r="P322" t="str">
        <f t="shared" si="41"/>
        <v>out</v>
      </c>
      <c r="Q322">
        <f t="shared" si="42"/>
        <v>8.2145671876378237E-2</v>
      </c>
      <c r="R322">
        <f t="shared" si="43"/>
        <v>0</v>
      </c>
      <c r="S322">
        <f t="shared" si="44"/>
        <v>1</v>
      </c>
    </row>
    <row r="323" spans="1:19" x14ac:dyDescent="0.3">
      <c r="A323" t="s">
        <v>120</v>
      </c>
      <c r="B323">
        <v>2009</v>
      </c>
      <c r="C323">
        <v>6.2125748502994009E-2</v>
      </c>
      <c r="D323">
        <v>0.17814371257485029</v>
      </c>
      <c r="E323">
        <v>-5.9221556886227544</v>
      </c>
      <c r="F323">
        <v>0</v>
      </c>
      <c r="G323">
        <v>-32.349176646706589</v>
      </c>
      <c r="H323">
        <v>7.8905825346565361</v>
      </c>
      <c r="I323">
        <v>1.3519082196233283</v>
      </c>
      <c r="J323">
        <v>0</v>
      </c>
      <c r="K323" s="1">
        <f t="shared" ref="K323:K386" si="45">IF(OR(C323&lt;$C$1007-3*$C$1008,C323&gt;$C$1007+3*$C$1008),"out",C323)</f>
        <v>6.2125748502994009E-2</v>
      </c>
      <c r="L323" s="1">
        <f t="shared" ref="L323:L386" si="46">IF(OR(D323&lt;$D$1007-3*$D$1008,D323&gt;$D$1007+3*$D$1008),"out",D323)</f>
        <v>0.17814371257485029</v>
      </c>
      <c r="M323">
        <f t="shared" ref="M323:M386" si="47">IF(OR(E323&lt;$E$1007-3*$E$1008,E323&gt;$E$1007+3*$E$1008),"out",E323)</f>
        <v>-5.9221556886227544</v>
      </c>
      <c r="N323">
        <f t="shared" ref="N323:N386" si="48">IF(OR(F323&lt;$F$1007-3*$F$1008,F323&gt;$F$1007+3*$F$1008),"out",F323)</f>
        <v>0</v>
      </c>
      <c r="O323">
        <f t="shared" ref="O323:O386" si="49">IF(OR(G323&lt;$G$1007-3*$G$1008,G323&gt;$G$1007+3*$G$1008),"out",G323)</f>
        <v>-32.349176646706589</v>
      </c>
      <c r="P323" t="str">
        <f t="shared" ref="P323:P386" si="50">IF(OR(H323&lt;$H$1007-3*$H$1008,H323&gt;$H$1007+3*$H$1008),"out",H323)</f>
        <v>out</v>
      </c>
      <c r="Q323" t="str">
        <f t="shared" ref="Q323:Q386" si="51">IF(OR(I323&lt;$I$1007-3*$I$1008,I323&gt;$I$1007+3*$I$1008),"out",I323)</f>
        <v>out</v>
      </c>
      <c r="R323">
        <f t="shared" ref="R323:R386" si="52">IF(OR(J323&lt;$J$1007-3*$J$1008,J323&gt;$J$1007+3*$J$1008),"out",J323)</f>
        <v>0</v>
      </c>
      <c r="S323">
        <f t="shared" ref="S323:S386" si="53">IF(OR(K323="out",L323="out",M323="out",N323="out",O323="out",P323="out",Q323="out",R323="out"),1,0)</f>
        <v>1</v>
      </c>
    </row>
    <row r="324" spans="1:19" x14ac:dyDescent="0.3">
      <c r="A324" t="s">
        <v>121</v>
      </c>
      <c r="B324">
        <v>2007</v>
      </c>
      <c r="C324">
        <v>9.6912380157544321E-3</v>
      </c>
      <c r="D324">
        <v>6.0083880905267652E-2</v>
      </c>
      <c r="E324">
        <v>-0.55805544498352322</v>
      </c>
      <c r="F324">
        <v>0.27438529962456787</v>
      </c>
      <c r="G324">
        <v>1.0530745755476201</v>
      </c>
      <c r="H324">
        <v>14.260240609016799</v>
      </c>
      <c r="I324">
        <v>8.223128821882586E-4</v>
      </c>
      <c r="J324">
        <v>0</v>
      </c>
      <c r="K324" s="1">
        <f t="shared" si="45"/>
        <v>9.6912380157544321E-3</v>
      </c>
      <c r="L324" s="1">
        <f t="shared" si="46"/>
        <v>6.0083880905267652E-2</v>
      </c>
      <c r="M324">
        <f t="shared" si="47"/>
        <v>-0.55805544498352322</v>
      </c>
      <c r="N324">
        <f t="shared" si="48"/>
        <v>0.27438529962456787</v>
      </c>
      <c r="O324">
        <f t="shared" si="49"/>
        <v>1.0530745755476201</v>
      </c>
      <c r="P324">
        <f t="shared" si="50"/>
        <v>14.260240609016799</v>
      </c>
      <c r="Q324">
        <f t="shared" si="51"/>
        <v>8.223128821882586E-4</v>
      </c>
      <c r="R324">
        <f t="shared" si="52"/>
        <v>0</v>
      </c>
      <c r="S324">
        <f t="shared" si="53"/>
        <v>0</v>
      </c>
    </row>
    <row r="325" spans="1:19" x14ac:dyDescent="0.3">
      <c r="A325" t="s">
        <v>121</v>
      </c>
      <c r="B325">
        <v>2009</v>
      </c>
      <c r="C325">
        <v>1.9978034939590557E-2</v>
      </c>
      <c r="D325">
        <v>8.8590936400261541E-2</v>
      </c>
      <c r="E325">
        <v>3.308577041039952E-2</v>
      </c>
      <c r="F325">
        <v>0.51727551448483533</v>
      </c>
      <c r="G325">
        <v>0.75343252431826235</v>
      </c>
      <c r="H325">
        <v>14.408415767404785</v>
      </c>
      <c r="I325">
        <v>5.6787384146475141E-2</v>
      </c>
      <c r="J325">
        <v>3.8137623760734498E-3</v>
      </c>
      <c r="K325" s="1">
        <f t="shared" si="45"/>
        <v>1.9978034939590557E-2</v>
      </c>
      <c r="L325" s="1">
        <f t="shared" si="46"/>
        <v>8.8590936400261541E-2</v>
      </c>
      <c r="M325">
        <f t="shared" si="47"/>
        <v>3.308577041039952E-2</v>
      </c>
      <c r="N325">
        <f t="shared" si="48"/>
        <v>0.51727551448483533</v>
      </c>
      <c r="O325">
        <f t="shared" si="49"/>
        <v>0.75343252431826235</v>
      </c>
      <c r="P325">
        <f t="shared" si="50"/>
        <v>14.408415767404785</v>
      </c>
      <c r="Q325">
        <f t="shared" si="51"/>
        <v>5.6787384146475141E-2</v>
      </c>
      <c r="R325">
        <f t="shared" si="52"/>
        <v>3.8137623760734498E-3</v>
      </c>
      <c r="S325">
        <f t="shared" si="53"/>
        <v>0</v>
      </c>
    </row>
    <row r="326" spans="1:19" x14ac:dyDescent="0.3">
      <c r="A326" t="s">
        <v>121</v>
      </c>
      <c r="B326">
        <v>2010</v>
      </c>
      <c r="C326">
        <v>6.8968197834077035E-3</v>
      </c>
      <c r="D326">
        <v>0.26139600678198077</v>
      </c>
      <c r="E326">
        <v>0.1820487164824629</v>
      </c>
      <c r="F326">
        <v>0.26215335544917079</v>
      </c>
      <c r="G326">
        <v>0.56377541255184682</v>
      </c>
      <c r="H326">
        <v>14.344978724623958</v>
      </c>
      <c r="I326">
        <v>1.9484676810866866E-2</v>
      </c>
      <c r="J326">
        <v>1.2190604518532959E-2</v>
      </c>
      <c r="K326" s="1">
        <f t="shared" si="45"/>
        <v>6.8968197834077035E-3</v>
      </c>
      <c r="L326" s="1">
        <f t="shared" si="46"/>
        <v>0.26139600678198077</v>
      </c>
      <c r="M326">
        <f t="shared" si="47"/>
        <v>0.1820487164824629</v>
      </c>
      <c r="N326">
        <f t="shared" si="48"/>
        <v>0.26215335544917079</v>
      </c>
      <c r="O326">
        <f t="shared" si="49"/>
        <v>0.56377541255184682</v>
      </c>
      <c r="P326">
        <f t="shared" si="50"/>
        <v>14.344978724623958</v>
      </c>
      <c r="Q326">
        <f t="shared" si="51"/>
        <v>1.9484676810866866E-2</v>
      </c>
      <c r="R326">
        <f t="shared" si="52"/>
        <v>1.2190604518532959E-2</v>
      </c>
      <c r="S326">
        <f t="shared" si="53"/>
        <v>0</v>
      </c>
    </row>
    <row r="327" spans="1:19" x14ac:dyDescent="0.3">
      <c r="A327" t="s">
        <v>122</v>
      </c>
      <c r="B327">
        <v>2007</v>
      </c>
      <c r="C327">
        <v>0.10392836063700911</v>
      </c>
      <c r="D327">
        <v>0.17322696962019729</v>
      </c>
      <c r="E327">
        <v>-8.2445937101872799E-2</v>
      </c>
      <c r="F327">
        <v>0.24329400512787136</v>
      </c>
      <c r="G327">
        <v>0.85932741589975314</v>
      </c>
      <c r="H327">
        <v>15.090885369477935</v>
      </c>
      <c r="I327">
        <v>2.3355551494598066E-2</v>
      </c>
      <c r="J327">
        <v>0</v>
      </c>
      <c r="K327" s="1">
        <f t="shared" si="45"/>
        <v>0.10392836063700911</v>
      </c>
      <c r="L327" s="1">
        <f t="shared" si="46"/>
        <v>0.17322696962019729</v>
      </c>
      <c r="M327">
        <f t="shared" si="47"/>
        <v>-8.2445937101872799E-2</v>
      </c>
      <c r="N327">
        <f t="shared" si="48"/>
        <v>0.24329400512787136</v>
      </c>
      <c r="O327">
        <f t="shared" si="49"/>
        <v>0.85932741589975314</v>
      </c>
      <c r="P327">
        <f t="shared" si="50"/>
        <v>15.090885369477935</v>
      </c>
      <c r="Q327">
        <f t="shared" si="51"/>
        <v>2.3355551494598066E-2</v>
      </c>
      <c r="R327">
        <f t="shared" si="52"/>
        <v>0</v>
      </c>
      <c r="S327">
        <f t="shared" si="53"/>
        <v>0</v>
      </c>
    </row>
    <row r="328" spans="1:19" x14ac:dyDescent="0.3">
      <c r="A328" t="s">
        <v>122</v>
      </c>
      <c r="B328">
        <v>2009</v>
      </c>
      <c r="C328">
        <v>4.0421351475336048E-3</v>
      </c>
      <c r="D328">
        <v>8.8942493516556101E-2</v>
      </c>
      <c r="E328">
        <v>-1.9927430795261662E-2</v>
      </c>
      <c r="F328">
        <v>0.41025627250252727</v>
      </c>
      <c r="G328">
        <v>0.72481701749940386</v>
      </c>
      <c r="H328">
        <v>15.024607312407619</v>
      </c>
      <c r="I328">
        <v>5.9886985017082978E-2</v>
      </c>
      <c r="J328">
        <v>8.0586021548702154E-3</v>
      </c>
      <c r="K328" s="1">
        <f t="shared" si="45"/>
        <v>4.0421351475336048E-3</v>
      </c>
      <c r="L328" s="1">
        <f t="shared" si="46"/>
        <v>8.8942493516556101E-2</v>
      </c>
      <c r="M328">
        <f t="shared" si="47"/>
        <v>-1.9927430795261662E-2</v>
      </c>
      <c r="N328">
        <f t="shared" si="48"/>
        <v>0.41025627250252727</v>
      </c>
      <c r="O328">
        <f t="shared" si="49"/>
        <v>0.72481701749940386</v>
      </c>
      <c r="P328">
        <f t="shared" si="50"/>
        <v>15.024607312407619</v>
      </c>
      <c r="Q328">
        <f t="shared" si="51"/>
        <v>5.9886985017082978E-2</v>
      </c>
      <c r="R328">
        <f t="shared" si="52"/>
        <v>8.0586021548702154E-3</v>
      </c>
      <c r="S328">
        <f t="shared" si="53"/>
        <v>0</v>
      </c>
    </row>
    <row r="329" spans="1:19" x14ac:dyDescent="0.3">
      <c r="A329" t="s">
        <v>122</v>
      </c>
      <c r="B329">
        <v>2010</v>
      </c>
      <c r="C329">
        <v>6.127112023035142E-3</v>
      </c>
      <c r="D329">
        <v>0.24920907609288548</v>
      </c>
      <c r="E329">
        <v>0.1406037358275582</v>
      </c>
      <c r="F329">
        <v>0.29079387713048066</v>
      </c>
      <c r="G329">
        <v>0.65755171171250593</v>
      </c>
      <c r="H329">
        <v>15.104724473283204</v>
      </c>
      <c r="I329">
        <v>1.3970192301322392E-2</v>
      </c>
      <c r="J329">
        <v>2.4793852887602302E-2</v>
      </c>
      <c r="K329" s="1">
        <f t="shared" si="45"/>
        <v>6.127112023035142E-3</v>
      </c>
      <c r="L329" s="1">
        <f t="shared" si="46"/>
        <v>0.24920907609288548</v>
      </c>
      <c r="M329">
        <f t="shared" si="47"/>
        <v>0.1406037358275582</v>
      </c>
      <c r="N329">
        <f t="shared" si="48"/>
        <v>0.29079387713048066</v>
      </c>
      <c r="O329">
        <f t="shared" si="49"/>
        <v>0.65755171171250593</v>
      </c>
      <c r="P329">
        <f t="shared" si="50"/>
        <v>15.104724473283204</v>
      </c>
      <c r="Q329">
        <f t="shared" si="51"/>
        <v>1.3970192301322392E-2</v>
      </c>
      <c r="R329">
        <f t="shared" si="52"/>
        <v>2.4793852887602302E-2</v>
      </c>
      <c r="S329">
        <f t="shared" si="53"/>
        <v>0</v>
      </c>
    </row>
    <row r="330" spans="1:19" x14ac:dyDescent="0.3">
      <c r="A330" t="s">
        <v>123</v>
      </c>
      <c r="B330">
        <v>2009</v>
      </c>
      <c r="C330">
        <v>1.1610226042057898E-2</v>
      </c>
      <c r="D330">
        <v>0.1276249721959882</v>
      </c>
      <c r="E330">
        <v>-0.21517934955021314</v>
      </c>
      <c r="F330">
        <v>0.64306577061781423</v>
      </c>
      <c r="G330">
        <v>0.88802148475246223</v>
      </c>
      <c r="H330">
        <v>12.521762560825977</v>
      </c>
      <c r="I330">
        <v>9.8862158657125384E-3</v>
      </c>
      <c r="J330">
        <v>0</v>
      </c>
      <c r="K330" s="1">
        <f t="shared" si="45"/>
        <v>1.1610226042057898E-2</v>
      </c>
      <c r="L330" s="1">
        <f t="shared" si="46"/>
        <v>0.1276249721959882</v>
      </c>
      <c r="M330">
        <f t="shared" si="47"/>
        <v>-0.21517934955021314</v>
      </c>
      <c r="N330">
        <f t="shared" si="48"/>
        <v>0.64306577061781423</v>
      </c>
      <c r="O330">
        <f t="shared" si="49"/>
        <v>0.88802148475246223</v>
      </c>
      <c r="P330">
        <f t="shared" si="50"/>
        <v>12.521762560825977</v>
      </c>
      <c r="Q330">
        <f t="shared" si="51"/>
        <v>9.8862158657125384E-3</v>
      </c>
      <c r="R330">
        <f t="shared" si="52"/>
        <v>0</v>
      </c>
      <c r="S330">
        <f t="shared" si="53"/>
        <v>0</v>
      </c>
    </row>
    <row r="331" spans="1:19" x14ac:dyDescent="0.3">
      <c r="A331" t="s">
        <v>124</v>
      </c>
      <c r="B331">
        <v>2007</v>
      </c>
      <c r="C331">
        <v>5.0982002247993902E-2</v>
      </c>
      <c r="D331">
        <v>7.2669546429661253E-2</v>
      </c>
      <c r="E331">
        <v>3.6177597652027105E-2</v>
      </c>
      <c r="F331">
        <v>0.3050171973067009</v>
      </c>
      <c r="G331">
        <v>0.95523486629343224</v>
      </c>
      <c r="H331">
        <v>14.774304302655384</v>
      </c>
      <c r="I331">
        <v>1.0650875253067502E-2</v>
      </c>
      <c r="J331">
        <v>0</v>
      </c>
      <c r="K331" s="1">
        <f t="shared" si="45"/>
        <v>5.0982002247993902E-2</v>
      </c>
      <c r="L331" s="1">
        <f t="shared" si="46"/>
        <v>7.2669546429661253E-2</v>
      </c>
      <c r="M331">
        <f t="shared" si="47"/>
        <v>3.6177597652027105E-2</v>
      </c>
      <c r="N331">
        <f t="shared" si="48"/>
        <v>0.3050171973067009</v>
      </c>
      <c r="O331">
        <f t="shared" si="49"/>
        <v>0.95523486629343224</v>
      </c>
      <c r="P331">
        <f t="shared" si="50"/>
        <v>14.774304302655384</v>
      </c>
      <c r="Q331">
        <f t="shared" si="51"/>
        <v>1.0650875253067502E-2</v>
      </c>
      <c r="R331">
        <f t="shared" si="52"/>
        <v>0</v>
      </c>
      <c r="S331">
        <f t="shared" si="53"/>
        <v>0</v>
      </c>
    </row>
    <row r="332" spans="1:19" x14ac:dyDescent="0.3">
      <c r="A332" t="s">
        <v>124</v>
      </c>
      <c r="B332">
        <v>2009</v>
      </c>
      <c r="C332">
        <v>1.0849271935187733E-2</v>
      </c>
      <c r="D332">
        <v>8.899263066825161E-2</v>
      </c>
      <c r="E332">
        <v>-0.13362098019328536</v>
      </c>
      <c r="F332">
        <v>0.50690635299889431</v>
      </c>
      <c r="G332">
        <v>0.73655710339982083</v>
      </c>
      <c r="H332">
        <v>15.146057244976932</v>
      </c>
      <c r="I332">
        <v>2.3514521349336494E-2</v>
      </c>
      <c r="J332">
        <v>0</v>
      </c>
      <c r="K332" s="1">
        <f t="shared" si="45"/>
        <v>1.0849271935187733E-2</v>
      </c>
      <c r="L332" s="1">
        <f t="shared" si="46"/>
        <v>8.899263066825161E-2</v>
      </c>
      <c r="M332">
        <f t="shared" si="47"/>
        <v>-0.13362098019328536</v>
      </c>
      <c r="N332">
        <f t="shared" si="48"/>
        <v>0.50690635299889431</v>
      </c>
      <c r="O332">
        <f t="shared" si="49"/>
        <v>0.73655710339982083</v>
      </c>
      <c r="P332">
        <f t="shared" si="50"/>
        <v>15.146057244976932</v>
      </c>
      <c r="Q332">
        <f t="shared" si="51"/>
        <v>2.3514521349336494E-2</v>
      </c>
      <c r="R332">
        <f t="shared" si="52"/>
        <v>0</v>
      </c>
      <c r="S332">
        <f t="shared" si="53"/>
        <v>0</v>
      </c>
    </row>
    <row r="333" spans="1:19" x14ac:dyDescent="0.3">
      <c r="A333" t="s">
        <v>124</v>
      </c>
      <c r="B333">
        <v>2010</v>
      </c>
      <c r="C333">
        <v>1.4691530073262569E-2</v>
      </c>
      <c r="D333">
        <v>0.158296771655101</v>
      </c>
      <c r="E333">
        <v>-4.7762996797372836E-2</v>
      </c>
      <c r="F333">
        <v>0.44197216549911089</v>
      </c>
      <c r="G333">
        <v>0.68406691611402848</v>
      </c>
      <c r="H333">
        <v>15.107360164691217</v>
      </c>
      <c r="I333">
        <v>1.234211409628958E-2</v>
      </c>
      <c r="J333">
        <v>1.1900496550086934E-2</v>
      </c>
      <c r="K333" s="1">
        <f t="shared" si="45"/>
        <v>1.4691530073262569E-2</v>
      </c>
      <c r="L333" s="1">
        <f t="shared" si="46"/>
        <v>0.158296771655101</v>
      </c>
      <c r="M333">
        <f t="shared" si="47"/>
        <v>-4.7762996797372836E-2</v>
      </c>
      <c r="N333">
        <f t="shared" si="48"/>
        <v>0.44197216549911089</v>
      </c>
      <c r="O333">
        <f t="shared" si="49"/>
        <v>0.68406691611402848</v>
      </c>
      <c r="P333">
        <f t="shared" si="50"/>
        <v>15.107360164691217</v>
      </c>
      <c r="Q333">
        <f t="shared" si="51"/>
        <v>1.234211409628958E-2</v>
      </c>
      <c r="R333">
        <f t="shared" si="52"/>
        <v>1.1900496550086934E-2</v>
      </c>
      <c r="S333">
        <f t="shared" si="53"/>
        <v>0</v>
      </c>
    </row>
    <row r="334" spans="1:19" x14ac:dyDescent="0.3">
      <c r="A334" t="s">
        <v>125</v>
      </c>
      <c r="B334">
        <v>2007</v>
      </c>
      <c r="C334">
        <v>7.1846235593805475E-4</v>
      </c>
      <c r="D334">
        <v>3.6939890795672913E-2</v>
      </c>
      <c r="E334">
        <v>0.11077440877084016</v>
      </c>
      <c r="F334">
        <v>0.29956378165416858</v>
      </c>
      <c r="G334">
        <v>0.85821406354211793</v>
      </c>
      <c r="H334">
        <v>16.14289157528502</v>
      </c>
      <c r="I334">
        <v>4.6931745397543138E-3</v>
      </c>
      <c r="J334">
        <v>0</v>
      </c>
      <c r="K334" s="1">
        <f t="shared" si="45"/>
        <v>7.1846235593805475E-4</v>
      </c>
      <c r="L334" s="1">
        <f t="shared" si="46"/>
        <v>3.6939890795672913E-2</v>
      </c>
      <c r="M334">
        <f t="shared" si="47"/>
        <v>0.11077440877084016</v>
      </c>
      <c r="N334">
        <f t="shared" si="48"/>
        <v>0.29956378165416858</v>
      </c>
      <c r="O334">
        <f t="shared" si="49"/>
        <v>0.85821406354211793</v>
      </c>
      <c r="P334">
        <f t="shared" si="50"/>
        <v>16.14289157528502</v>
      </c>
      <c r="Q334">
        <f t="shared" si="51"/>
        <v>4.6931745397543138E-3</v>
      </c>
      <c r="R334">
        <f t="shared" si="52"/>
        <v>0</v>
      </c>
      <c r="S334">
        <f t="shared" si="53"/>
        <v>0</v>
      </c>
    </row>
    <row r="335" spans="1:19" x14ac:dyDescent="0.3">
      <c r="A335" t="s">
        <v>125</v>
      </c>
      <c r="B335">
        <v>2009</v>
      </c>
      <c r="C335">
        <v>1.7502880472458505E-3</v>
      </c>
      <c r="D335">
        <v>4.7557797597507528E-2</v>
      </c>
      <c r="E335">
        <v>-0.15902584094910344</v>
      </c>
      <c r="F335">
        <v>0.58691842979071429</v>
      </c>
      <c r="G335">
        <v>0.79358208361848359</v>
      </c>
      <c r="H335">
        <v>16.196530975175257</v>
      </c>
      <c r="I335">
        <v>6.7111812456297345E-3</v>
      </c>
      <c r="J335">
        <v>0</v>
      </c>
      <c r="K335" s="1">
        <f t="shared" si="45"/>
        <v>1.7502880472458505E-3</v>
      </c>
      <c r="L335" s="1">
        <f t="shared" si="46"/>
        <v>4.7557797597507528E-2</v>
      </c>
      <c r="M335">
        <f t="shared" si="47"/>
        <v>-0.15902584094910344</v>
      </c>
      <c r="N335">
        <f t="shared" si="48"/>
        <v>0.58691842979071429</v>
      </c>
      <c r="O335">
        <f t="shared" si="49"/>
        <v>0.79358208361848359</v>
      </c>
      <c r="P335">
        <f t="shared" si="50"/>
        <v>16.196530975175257</v>
      </c>
      <c r="Q335">
        <f t="shared" si="51"/>
        <v>6.7111812456297345E-3</v>
      </c>
      <c r="R335">
        <f t="shared" si="52"/>
        <v>0</v>
      </c>
      <c r="S335">
        <f t="shared" si="53"/>
        <v>0</v>
      </c>
    </row>
    <row r="336" spans="1:19" x14ac:dyDescent="0.3">
      <c r="A336" t="s">
        <v>125</v>
      </c>
      <c r="B336">
        <v>2010</v>
      </c>
      <c r="C336">
        <v>1.4941715569942863E-3</v>
      </c>
      <c r="D336">
        <v>6.6044494079280369E-2</v>
      </c>
      <c r="E336">
        <v>-0.16451312066270271</v>
      </c>
      <c r="F336">
        <v>0.54128678393017993</v>
      </c>
      <c r="G336">
        <v>0.71374578862755167</v>
      </c>
      <c r="H336">
        <v>16.212377848023941</v>
      </c>
      <c r="I336">
        <v>1.4372248295812922E-2</v>
      </c>
      <c r="J336">
        <v>6.7173563237428128E-3</v>
      </c>
      <c r="K336" s="1">
        <f t="shared" si="45"/>
        <v>1.4941715569942863E-3</v>
      </c>
      <c r="L336" s="1">
        <f t="shared" si="46"/>
        <v>6.6044494079280369E-2</v>
      </c>
      <c r="M336">
        <f t="shared" si="47"/>
        <v>-0.16451312066270271</v>
      </c>
      <c r="N336">
        <f t="shared" si="48"/>
        <v>0.54128678393017993</v>
      </c>
      <c r="O336">
        <f t="shared" si="49"/>
        <v>0.71374578862755167</v>
      </c>
      <c r="P336">
        <f t="shared" si="50"/>
        <v>16.212377848023941</v>
      </c>
      <c r="Q336">
        <f t="shared" si="51"/>
        <v>1.4372248295812922E-2</v>
      </c>
      <c r="R336">
        <f t="shared" si="52"/>
        <v>6.7173563237428128E-3</v>
      </c>
      <c r="S336">
        <f t="shared" si="53"/>
        <v>0</v>
      </c>
    </row>
    <row r="337" spans="1:19" x14ac:dyDescent="0.3">
      <c r="A337" t="s">
        <v>126</v>
      </c>
      <c r="B337">
        <v>2009</v>
      </c>
      <c r="C337">
        <v>1.3881365966719992E-2</v>
      </c>
      <c r="D337">
        <v>5.6257978937521803E-2</v>
      </c>
      <c r="E337">
        <v>-3.9590865003086145E-2</v>
      </c>
      <c r="F337">
        <v>0.50741442170194329</v>
      </c>
      <c r="G337">
        <v>0.78073674312024588</v>
      </c>
      <c r="H337">
        <v>15.110731302359738</v>
      </c>
      <c r="I337">
        <v>5.4781718853250186E-3</v>
      </c>
      <c r="J337">
        <v>2.3276179814787331E-3</v>
      </c>
      <c r="K337" s="1">
        <f t="shared" si="45"/>
        <v>1.3881365966719992E-2</v>
      </c>
      <c r="L337" s="1">
        <f t="shared" si="46"/>
        <v>5.6257978937521803E-2</v>
      </c>
      <c r="M337">
        <f t="shared" si="47"/>
        <v>-3.9590865003086145E-2</v>
      </c>
      <c r="N337">
        <f t="shared" si="48"/>
        <v>0.50741442170194329</v>
      </c>
      <c r="O337">
        <f t="shared" si="49"/>
        <v>0.78073674312024588</v>
      </c>
      <c r="P337">
        <f t="shared" si="50"/>
        <v>15.110731302359738</v>
      </c>
      <c r="Q337">
        <f t="shared" si="51"/>
        <v>5.4781718853250186E-3</v>
      </c>
      <c r="R337">
        <f t="shared" si="52"/>
        <v>2.3276179814787331E-3</v>
      </c>
      <c r="S337">
        <f t="shared" si="53"/>
        <v>0</v>
      </c>
    </row>
    <row r="338" spans="1:19" x14ac:dyDescent="0.3">
      <c r="A338" t="s">
        <v>126</v>
      </c>
      <c r="B338">
        <v>2010</v>
      </c>
      <c r="C338">
        <v>2.3059291505703555E-2</v>
      </c>
      <c r="D338">
        <v>3.9955770818899672E-2</v>
      </c>
      <c r="E338">
        <v>-3.9863866707093999E-2</v>
      </c>
      <c r="F338">
        <v>0.47121411353902048</v>
      </c>
      <c r="G338">
        <v>0.73647903565094031</v>
      </c>
      <c r="H338">
        <v>15.155551010896687</v>
      </c>
      <c r="I338">
        <v>3.0876222242361449E-2</v>
      </c>
      <c r="J338">
        <v>0</v>
      </c>
      <c r="K338" s="1">
        <f t="shared" si="45"/>
        <v>2.3059291505703555E-2</v>
      </c>
      <c r="L338" s="1">
        <f t="shared" si="46"/>
        <v>3.9955770818899672E-2</v>
      </c>
      <c r="M338">
        <f t="shared" si="47"/>
        <v>-3.9863866707093999E-2</v>
      </c>
      <c r="N338">
        <f t="shared" si="48"/>
        <v>0.47121411353902048</v>
      </c>
      <c r="O338">
        <f t="shared" si="49"/>
        <v>0.73647903565094031</v>
      </c>
      <c r="P338">
        <f t="shared" si="50"/>
        <v>15.155551010896687</v>
      </c>
      <c r="Q338">
        <f t="shared" si="51"/>
        <v>3.0876222242361449E-2</v>
      </c>
      <c r="R338">
        <f t="shared" si="52"/>
        <v>0</v>
      </c>
      <c r="S338">
        <f t="shared" si="53"/>
        <v>0</v>
      </c>
    </row>
    <row r="339" spans="1:19" x14ac:dyDescent="0.3">
      <c r="A339" t="s">
        <v>127</v>
      </c>
      <c r="B339">
        <v>2007</v>
      </c>
      <c r="C339">
        <v>9.9190900423854381E-2</v>
      </c>
      <c r="D339">
        <v>7.2599668435125553E-2</v>
      </c>
      <c r="E339">
        <v>-0.33796841158749807</v>
      </c>
      <c r="F339">
        <v>0.1132637803475843</v>
      </c>
      <c r="G339">
        <v>1.0118591594373219</v>
      </c>
      <c r="H339">
        <v>13.981927978461353</v>
      </c>
      <c r="I339">
        <v>1.0726766475123639E-2</v>
      </c>
      <c r="J339">
        <v>0</v>
      </c>
      <c r="K339" s="1">
        <f t="shared" si="45"/>
        <v>9.9190900423854381E-2</v>
      </c>
      <c r="L339" s="1">
        <f t="shared" si="46"/>
        <v>7.2599668435125553E-2</v>
      </c>
      <c r="M339">
        <f t="shared" si="47"/>
        <v>-0.33796841158749807</v>
      </c>
      <c r="N339">
        <f t="shared" si="48"/>
        <v>0.1132637803475843</v>
      </c>
      <c r="O339">
        <f t="shared" si="49"/>
        <v>1.0118591594373219</v>
      </c>
      <c r="P339">
        <f t="shared" si="50"/>
        <v>13.981927978461353</v>
      </c>
      <c r="Q339">
        <f t="shared" si="51"/>
        <v>1.0726766475123639E-2</v>
      </c>
      <c r="R339">
        <f t="shared" si="52"/>
        <v>0</v>
      </c>
      <c r="S339">
        <f t="shared" si="53"/>
        <v>0</v>
      </c>
    </row>
    <row r="340" spans="1:19" x14ac:dyDescent="0.3">
      <c r="A340" t="s">
        <v>127</v>
      </c>
      <c r="B340">
        <v>2008</v>
      </c>
      <c r="C340">
        <v>2.9364502648765245E-3</v>
      </c>
      <c r="D340">
        <v>4.7632692326794901E-2</v>
      </c>
      <c r="E340">
        <v>-0.35714203846039233</v>
      </c>
      <c r="F340">
        <v>0.21129681376425721</v>
      </c>
      <c r="G340">
        <v>0.90249208579661233</v>
      </c>
      <c r="H340">
        <v>14.084562410581581</v>
      </c>
      <c r="I340">
        <v>2.4434704325212789E-3</v>
      </c>
      <c r="J340">
        <v>0</v>
      </c>
      <c r="K340" s="1">
        <f t="shared" si="45"/>
        <v>2.9364502648765245E-3</v>
      </c>
      <c r="L340" s="1">
        <f t="shared" si="46"/>
        <v>4.7632692326794901E-2</v>
      </c>
      <c r="M340">
        <f t="shared" si="47"/>
        <v>-0.35714203846039233</v>
      </c>
      <c r="N340">
        <f t="shared" si="48"/>
        <v>0.21129681376425721</v>
      </c>
      <c r="O340">
        <f t="shared" si="49"/>
        <v>0.90249208579661233</v>
      </c>
      <c r="P340">
        <f t="shared" si="50"/>
        <v>14.084562410581581</v>
      </c>
      <c r="Q340">
        <f t="shared" si="51"/>
        <v>2.4434704325212789E-3</v>
      </c>
      <c r="R340">
        <f t="shared" si="52"/>
        <v>0</v>
      </c>
      <c r="S340">
        <f t="shared" si="53"/>
        <v>0</v>
      </c>
    </row>
    <row r="341" spans="1:19" x14ac:dyDescent="0.3">
      <c r="A341" t="s">
        <v>127</v>
      </c>
      <c r="B341">
        <v>2009</v>
      </c>
      <c r="C341">
        <v>5.1643748076968593E-3</v>
      </c>
      <c r="D341">
        <v>5.9538630249382656E-2</v>
      </c>
      <c r="E341">
        <v>-9.3891268845707795E-2</v>
      </c>
      <c r="F341">
        <v>0.62149929390231395</v>
      </c>
      <c r="G341">
        <v>0.97065899820911528</v>
      </c>
      <c r="H341">
        <v>14.052580682806431</v>
      </c>
      <c r="I341">
        <v>3.6285491763953584E-3</v>
      </c>
      <c r="J341">
        <v>0</v>
      </c>
      <c r="K341" s="1">
        <f t="shared" si="45"/>
        <v>5.1643748076968593E-3</v>
      </c>
      <c r="L341" s="1">
        <f t="shared" si="46"/>
        <v>5.9538630249382656E-2</v>
      </c>
      <c r="M341">
        <f t="shared" si="47"/>
        <v>-9.3891268845707795E-2</v>
      </c>
      <c r="N341">
        <f t="shared" si="48"/>
        <v>0.62149929390231395</v>
      </c>
      <c r="O341">
        <f t="shared" si="49"/>
        <v>0.97065899820911528</v>
      </c>
      <c r="P341">
        <f t="shared" si="50"/>
        <v>14.052580682806431</v>
      </c>
      <c r="Q341">
        <f t="shared" si="51"/>
        <v>3.6285491763953584E-3</v>
      </c>
      <c r="R341">
        <f t="shared" si="52"/>
        <v>0</v>
      </c>
      <c r="S341">
        <f t="shared" si="53"/>
        <v>0</v>
      </c>
    </row>
    <row r="342" spans="1:19" x14ac:dyDescent="0.3">
      <c r="A342" t="s">
        <v>127</v>
      </c>
      <c r="B342">
        <v>2010</v>
      </c>
      <c r="C342">
        <v>4.8663447560651349E-3</v>
      </c>
      <c r="D342">
        <v>6.3840329736206847E-2</v>
      </c>
      <c r="E342">
        <v>-0.10629819324825197</v>
      </c>
      <c r="F342">
        <v>0.59605918893323551</v>
      </c>
      <c r="G342">
        <v>0.9162103087229212</v>
      </c>
      <c r="H342">
        <v>14.175213014358723</v>
      </c>
      <c r="I342">
        <v>1.7344448880900802E-2</v>
      </c>
      <c r="J342">
        <v>0</v>
      </c>
      <c r="K342" s="1">
        <f t="shared" si="45"/>
        <v>4.8663447560651349E-3</v>
      </c>
      <c r="L342" s="1">
        <f t="shared" si="46"/>
        <v>6.3840329736206847E-2</v>
      </c>
      <c r="M342">
        <f t="shared" si="47"/>
        <v>-0.10629819324825197</v>
      </c>
      <c r="N342">
        <f t="shared" si="48"/>
        <v>0.59605918893323551</v>
      </c>
      <c r="O342">
        <f t="shared" si="49"/>
        <v>0.9162103087229212</v>
      </c>
      <c r="P342">
        <f t="shared" si="50"/>
        <v>14.175213014358723</v>
      </c>
      <c r="Q342">
        <f t="shared" si="51"/>
        <v>1.7344448880900802E-2</v>
      </c>
      <c r="R342">
        <f t="shared" si="52"/>
        <v>0</v>
      </c>
      <c r="S342">
        <f t="shared" si="53"/>
        <v>0</v>
      </c>
    </row>
    <row r="343" spans="1:19" x14ac:dyDescent="0.3">
      <c r="A343" t="s">
        <v>128</v>
      </c>
      <c r="B343">
        <v>2007</v>
      </c>
      <c r="C343">
        <v>5.6128403164873442E-2</v>
      </c>
      <c r="D343">
        <v>9.9533390144448008E-2</v>
      </c>
      <c r="E343">
        <v>-8.0703638303803588E-2</v>
      </c>
      <c r="F343">
        <v>0.51961867026302966</v>
      </c>
      <c r="G343">
        <v>0.66292856669840317</v>
      </c>
      <c r="H343">
        <v>14.740486266012477</v>
      </c>
      <c r="I343">
        <v>4.7938289913503837E-2</v>
      </c>
      <c r="J343">
        <v>0</v>
      </c>
      <c r="K343" s="1">
        <f t="shared" si="45"/>
        <v>5.6128403164873442E-2</v>
      </c>
      <c r="L343" s="1">
        <f t="shared" si="46"/>
        <v>9.9533390144448008E-2</v>
      </c>
      <c r="M343">
        <f t="shared" si="47"/>
        <v>-8.0703638303803588E-2</v>
      </c>
      <c r="N343">
        <f t="shared" si="48"/>
        <v>0.51961867026302966</v>
      </c>
      <c r="O343">
        <f t="shared" si="49"/>
        <v>0.66292856669840317</v>
      </c>
      <c r="P343">
        <f t="shared" si="50"/>
        <v>14.740486266012477</v>
      </c>
      <c r="Q343">
        <f t="shared" si="51"/>
        <v>4.7938289913503837E-2</v>
      </c>
      <c r="R343">
        <f t="shared" si="52"/>
        <v>0</v>
      </c>
      <c r="S343">
        <f t="shared" si="53"/>
        <v>0</v>
      </c>
    </row>
    <row r="344" spans="1:19" x14ac:dyDescent="0.3">
      <c r="A344" t="s">
        <v>128</v>
      </c>
      <c r="B344">
        <v>2009</v>
      </c>
      <c r="C344">
        <v>2.7717074806322389E-3</v>
      </c>
      <c r="D344">
        <v>8.2154159730351353E-2</v>
      </c>
      <c r="E344">
        <v>-0.11583818140106707</v>
      </c>
      <c r="F344">
        <v>0.70363980082235777</v>
      </c>
      <c r="G344">
        <v>0.81443558123871318</v>
      </c>
      <c r="H344">
        <v>14.816136555901938</v>
      </c>
      <c r="I344">
        <v>3.7260573561512869E-3</v>
      </c>
      <c r="J344">
        <v>0</v>
      </c>
      <c r="K344" s="1">
        <f t="shared" si="45"/>
        <v>2.7717074806322389E-3</v>
      </c>
      <c r="L344" s="1">
        <f t="shared" si="46"/>
        <v>8.2154159730351353E-2</v>
      </c>
      <c r="M344">
        <f t="shared" si="47"/>
        <v>-0.11583818140106707</v>
      </c>
      <c r="N344">
        <f t="shared" si="48"/>
        <v>0.70363980082235777</v>
      </c>
      <c r="O344">
        <f t="shared" si="49"/>
        <v>0.81443558123871318</v>
      </c>
      <c r="P344">
        <f t="shared" si="50"/>
        <v>14.816136555901938</v>
      </c>
      <c r="Q344">
        <f t="shared" si="51"/>
        <v>3.7260573561512869E-3</v>
      </c>
      <c r="R344">
        <f t="shared" si="52"/>
        <v>0</v>
      </c>
      <c r="S344">
        <f t="shared" si="53"/>
        <v>0</v>
      </c>
    </row>
    <row r="345" spans="1:19" x14ac:dyDescent="0.3">
      <c r="A345" t="s">
        <v>128</v>
      </c>
      <c r="B345">
        <v>2010</v>
      </c>
      <c r="C345">
        <v>3.1117109847320422E-3</v>
      </c>
      <c r="D345">
        <v>6.9475131929500972E-2</v>
      </c>
      <c r="E345">
        <v>-5.2325497617583767E-2</v>
      </c>
      <c r="F345">
        <v>0.6337059060866892</v>
      </c>
      <c r="G345">
        <v>0.77650257934983091</v>
      </c>
      <c r="H345">
        <v>14.731122659621024</v>
      </c>
      <c r="I345">
        <v>4.9047300708992825E-2</v>
      </c>
      <c r="J345">
        <v>0</v>
      </c>
      <c r="K345" s="1">
        <f t="shared" si="45"/>
        <v>3.1117109847320422E-3</v>
      </c>
      <c r="L345" s="1">
        <f t="shared" si="46"/>
        <v>6.9475131929500972E-2</v>
      </c>
      <c r="M345">
        <f t="shared" si="47"/>
        <v>-5.2325497617583767E-2</v>
      </c>
      <c r="N345">
        <f t="shared" si="48"/>
        <v>0.6337059060866892</v>
      </c>
      <c r="O345">
        <f t="shared" si="49"/>
        <v>0.77650257934983091</v>
      </c>
      <c r="P345">
        <f t="shared" si="50"/>
        <v>14.731122659621024</v>
      </c>
      <c r="Q345">
        <f t="shared" si="51"/>
        <v>4.9047300708992825E-2</v>
      </c>
      <c r="R345">
        <f t="shared" si="52"/>
        <v>0</v>
      </c>
      <c r="S345">
        <f t="shared" si="53"/>
        <v>0</v>
      </c>
    </row>
    <row r="346" spans="1:19" x14ac:dyDescent="0.3">
      <c r="A346" t="s">
        <v>129</v>
      </c>
      <c r="B346">
        <v>2007</v>
      </c>
      <c r="C346">
        <v>1.9547384936486601E-2</v>
      </c>
      <c r="D346">
        <v>5.2024201679793665E-2</v>
      </c>
      <c r="E346">
        <v>-0.12343961048338667</v>
      </c>
      <c r="F346">
        <v>0.39590062647560259</v>
      </c>
      <c r="G346">
        <v>0.89628746062064679</v>
      </c>
      <c r="H346">
        <v>14.934126107395095</v>
      </c>
      <c r="I346">
        <v>3.8322229068957665E-2</v>
      </c>
      <c r="J346">
        <v>0</v>
      </c>
      <c r="K346" s="1">
        <f t="shared" si="45"/>
        <v>1.9547384936486601E-2</v>
      </c>
      <c r="L346" s="1">
        <f t="shared" si="46"/>
        <v>5.2024201679793665E-2</v>
      </c>
      <c r="M346">
        <f t="shared" si="47"/>
        <v>-0.12343961048338667</v>
      </c>
      <c r="N346">
        <f t="shared" si="48"/>
        <v>0.39590062647560259</v>
      </c>
      <c r="O346">
        <f t="shared" si="49"/>
        <v>0.89628746062064679</v>
      </c>
      <c r="P346">
        <f t="shared" si="50"/>
        <v>14.934126107395095</v>
      </c>
      <c r="Q346">
        <f t="shared" si="51"/>
        <v>3.8322229068957665E-2</v>
      </c>
      <c r="R346">
        <f t="shared" si="52"/>
        <v>0</v>
      </c>
      <c r="S346">
        <f t="shared" si="53"/>
        <v>0</v>
      </c>
    </row>
    <row r="347" spans="1:19" x14ac:dyDescent="0.3">
      <c r="A347" t="s">
        <v>129</v>
      </c>
      <c r="B347">
        <v>2008</v>
      </c>
      <c r="C347">
        <v>6.9475577811801265E-4</v>
      </c>
      <c r="D347">
        <v>0.15746228045689215</v>
      </c>
      <c r="E347">
        <v>-0.22376465148016253</v>
      </c>
      <c r="F347">
        <v>0.44746529745641561</v>
      </c>
      <c r="G347">
        <v>0.81035812066306312</v>
      </c>
      <c r="H347">
        <v>15.081491497199123</v>
      </c>
      <c r="I347">
        <v>2.4003552888349589E-2</v>
      </c>
      <c r="J347">
        <v>0</v>
      </c>
      <c r="K347" s="1">
        <f t="shared" si="45"/>
        <v>6.9475577811801265E-4</v>
      </c>
      <c r="L347" s="1">
        <f t="shared" si="46"/>
        <v>0.15746228045689215</v>
      </c>
      <c r="M347">
        <f t="shared" si="47"/>
        <v>-0.22376465148016253</v>
      </c>
      <c r="N347">
        <f t="shared" si="48"/>
        <v>0.44746529745641561</v>
      </c>
      <c r="O347">
        <f t="shared" si="49"/>
        <v>0.81035812066306312</v>
      </c>
      <c r="P347">
        <f t="shared" si="50"/>
        <v>15.081491497199123</v>
      </c>
      <c r="Q347">
        <f t="shared" si="51"/>
        <v>2.4003552888349589E-2</v>
      </c>
      <c r="R347">
        <f t="shared" si="52"/>
        <v>0</v>
      </c>
      <c r="S347">
        <f t="shared" si="53"/>
        <v>0</v>
      </c>
    </row>
    <row r="348" spans="1:19" x14ac:dyDescent="0.3">
      <c r="A348" t="s">
        <v>129</v>
      </c>
      <c r="B348">
        <v>2009</v>
      </c>
      <c r="C348">
        <v>8.6906174442722122E-3</v>
      </c>
      <c r="D348">
        <v>0.10571190861571179</v>
      </c>
      <c r="E348">
        <v>-0.19385238870291843</v>
      </c>
      <c r="F348">
        <v>0.63516503129181145</v>
      </c>
      <c r="G348">
        <v>0.86434118635761759</v>
      </c>
      <c r="H348">
        <v>15.017938269248489</v>
      </c>
      <c r="I348">
        <v>9.5357721190705708E-3</v>
      </c>
      <c r="J348">
        <v>0</v>
      </c>
      <c r="K348" s="1">
        <f t="shared" si="45"/>
        <v>8.6906174442722122E-3</v>
      </c>
      <c r="L348" s="1">
        <f t="shared" si="46"/>
        <v>0.10571190861571179</v>
      </c>
      <c r="M348">
        <f t="shared" si="47"/>
        <v>-0.19385238870291843</v>
      </c>
      <c r="N348">
        <f t="shared" si="48"/>
        <v>0.63516503129181145</v>
      </c>
      <c r="O348">
        <f t="shared" si="49"/>
        <v>0.86434118635761759</v>
      </c>
      <c r="P348">
        <f t="shared" si="50"/>
        <v>15.017938269248489</v>
      </c>
      <c r="Q348">
        <f t="shared" si="51"/>
        <v>9.5357721190705708E-3</v>
      </c>
      <c r="R348">
        <f t="shared" si="52"/>
        <v>0</v>
      </c>
      <c r="S348">
        <f t="shared" si="53"/>
        <v>0</v>
      </c>
    </row>
    <row r="349" spans="1:19" x14ac:dyDescent="0.3">
      <c r="A349" t="s">
        <v>129</v>
      </c>
      <c r="B349">
        <v>2010</v>
      </c>
      <c r="C349">
        <v>2.4003532606731229E-3</v>
      </c>
      <c r="D349">
        <v>7.2794650968334249E-2</v>
      </c>
      <c r="E349">
        <v>-0.23869041738254565</v>
      </c>
      <c r="F349">
        <v>0.62684612437378162</v>
      </c>
      <c r="G349">
        <v>0.89417031935632341</v>
      </c>
      <c r="H349">
        <v>15.015453653910523</v>
      </c>
      <c r="I349">
        <v>4.4822144604634989E-2</v>
      </c>
      <c r="J349">
        <v>0</v>
      </c>
      <c r="K349" s="1">
        <f t="shared" si="45"/>
        <v>2.4003532606731229E-3</v>
      </c>
      <c r="L349" s="1">
        <f t="shared" si="46"/>
        <v>7.2794650968334249E-2</v>
      </c>
      <c r="M349">
        <f t="shared" si="47"/>
        <v>-0.23869041738254565</v>
      </c>
      <c r="N349">
        <f t="shared" si="48"/>
        <v>0.62684612437378162</v>
      </c>
      <c r="O349">
        <f t="shared" si="49"/>
        <v>0.89417031935632341</v>
      </c>
      <c r="P349">
        <f t="shared" si="50"/>
        <v>15.015453653910523</v>
      </c>
      <c r="Q349">
        <f t="shared" si="51"/>
        <v>4.4822144604634989E-2</v>
      </c>
      <c r="R349">
        <f t="shared" si="52"/>
        <v>0</v>
      </c>
      <c r="S349">
        <f t="shared" si="53"/>
        <v>0</v>
      </c>
    </row>
    <row r="350" spans="1:19" x14ac:dyDescent="0.3">
      <c r="A350" t="s">
        <v>130</v>
      </c>
      <c r="B350">
        <v>2007</v>
      </c>
      <c r="C350">
        <v>2.7612393199685846E-3</v>
      </c>
      <c r="D350">
        <v>6.6883275288965746E-2</v>
      </c>
      <c r="E350">
        <v>-2.9953967775459528E-2</v>
      </c>
      <c r="F350">
        <v>0.39767092016850053</v>
      </c>
      <c r="G350">
        <v>0.94487253377547542</v>
      </c>
      <c r="H350">
        <v>16.126484367086064</v>
      </c>
      <c r="I350">
        <v>3.9259091673549129E-4</v>
      </c>
      <c r="J350">
        <v>0</v>
      </c>
      <c r="K350" s="1">
        <f t="shared" si="45"/>
        <v>2.7612393199685846E-3</v>
      </c>
      <c r="L350" s="1">
        <f t="shared" si="46"/>
        <v>6.6883275288965746E-2</v>
      </c>
      <c r="M350">
        <f t="shared" si="47"/>
        <v>-2.9953967775459528E-2</v>
      </c>
      <c r="N350">
        <f t="shared" si="48"/>
        <v>0.39767092016850053</v>
      </c>
      <c r="O350">
        <f t="shared" si="49"/>
        <v>0.94487253377547542</v>
      </c>
      <c r="P350">
        <f t="shared" si="50"/>
        <v>16.126484367086064</v>
      </c>
      <c r="Q350">
        <f t="shared" si="51"/>
        <v>3.9259091673549129E-4</v>
      </c>
      <c r="R350">
        <f t="shared" si="52"/>
        <v>0</v>
      </c>
      <c r="S350">
        <f t="shared" si="53"/>
        <v>0</v>
      </c>
    </row>
    <row r="351" spans="1:19" x14ac:dyDescent="0.3">
      <c r="A351" t="s">
        <v>130</v>
      </c>
      <c r="B351">
        <v>2008</v>
      </c>
      <c r="C351">
        <v>5.56828999438767E-3</v>
      </c>
      <c r="D351">
        <v>5.7789338701640026E-2</v>
      </c>
      <c r="E351">
        <v>-4.9141849029763741E-2</v>
      </c>
      <c r="F351">
        <v>0.42059286470992768</v>
      </c>
      <c r="G351">
        <v>0.89742155441387439</v>
      </c>
      <c r="H351">
        <v>16.333021690820267</v>
      </c>
      <c r="I351">
        <v>1.4355010632314397E-4</v>
      </c>
      <c r="J351">
        <v>0</v>
      </c>
      <c r="K351" s="1">
        <f t="shared" si="45"/>
        <v>5.56828999438767E-3</v>
      </c>
      <c r="L351" s="1">
        <f t="shared" si="46"/>
        <v>5.7789338701640026E-2</v>
      </c>
      <c r="M351">
        <f t="shared" si="47"/>
        <v>-4.9141849029763741E-2</v>
      </c>
      <c r="N351">
        <f t="shared" si="48"/>
        <v>0.42059286470992768</v>
      </c>
      <c r="O351">
        <f t="shared" si="49"/>
        <v>0.89742155441387439</v>
      </c>
      <c r="P351">
        <f t="shared" si="50"/>
        <v>16.333021690820267</v>
      </c>
      <c r="Q351">
        <f t="shared" si="51"/>
        <v>1.4355010632314397E-4</v>
      </c>
      <c r="R351">
        <f t="shared" si="52"/>
        <v>0</v>
      </c>
      <c r="S351">
        <f t="shared" si="53"/>
        <v>0</v>
      </c>
    </row>
    <row r="352" spans="1:19" x14ac:dyDescent="0.3">
      <c r="A352" t="s">
        <v>130</v>
      </c>
      <c r="B352">
        <v>2009</v>
      </c>
      <c r="C352">
        <v>1.1777515855643487E-2</v>
      </c>
      <c r="D352">
        <v>6.1104092322120773E-2</v>
      </c>
      <c r="E352">
        <v>-1.6031155456821773E-2</v>
      </c>
      <c r="F352">
        <v>0.61514906930133784</v>
      </c>
      <c r="G352">
        <v>0.89991225632641536</v>
      </c>
      <c r="H352">
        <v>16.440771366037318</v>
      </c>
      <c r="I352">
        <v>1.0905259740450878E-2</v>
      </c>
      <c r="J352">
        <v>0</v>
      </c>
      <c r="K352" s="1">
        <f t="shared" si="45"/>
        <v>1.1777515855643487E-2</v>
      </c>
      <c r="L352" s="1">
        <f t="shared" si="46"/>
        <v>6.1104092322120773E-2</v>
      </c>
      <c r="M352">
        <f t="shared" si="47"/>
        <v>-1.6031155456821773E-2</v>
      </c>
      <c r="N352">
        <f t="shared" si="48"/>
        <v>0.61514906930133784</v>
      </c>
      <c r="O352">
        <f t="shared" si="49"/>
        <v>0.89991225632641536</v>
      </c>
      <c r="P352">
        <f t="shared" si="50"/>
        <v>16.440771366037318</v>
      </c>
      <c r="Q352">
        <f t="shared" si="51"/>
        <v>1.0905259740450878E-2</v>
      </c>
      <c r="R352">
        <f t="shared" si="52"/>
        <v>0</v>
      </c>
      <c r="S352">
        <f t="shared" si="53"/>
        <v>0</v>
      </c>
    </row>
    <row r="353" spans="1:19" x14ac:dyDescent="0.3">
      <c r="A353" t="s">
        <v>130</v>
      </c>
      <c r="B353">
        <v>2010</v>
      </c>
      <c r="C353">
        <v>1.0630190517430211E-2</v>
      </c>
      <c r="D353">
        <v>9.3947963950082716E-2</v>
      </c>
      <c r="E353">
        <v>-3.662961798522088E-3</v>
      </c>
      <c r="F353">
        <v>0.58998490627642319</v>
      </c>
      <c r="G353">
        <v>0.82297620177154962</v>
      </c>
      <c r="H353">
        <v>16.509254984356456</v>
      </c>
      <c r="I353">
        <v>1.2273326781330805E-2</v>
      </c>
      <c r="J353">
        <v>5.3660861972736618E-3</v>
      </c>
      <c r="K353" s="1">
        <f t="shared" si="45"/>
        <v>1.0630190517430211E-2</v>
      </c>
      <c r="L353" s="1">
        <f t="shared" si="46"/>
        <v>9.3947963950082716E-2</v>
      </c>
      <c r="M353">
        <f t="shared" si="47"/>
        <v>-3.662961798522088E-3</v>
      </c>
      <c r="N353">
        <f t="shared" si="48"/>
        <v>0.58998490627642319</v>
      </c>
      <c r="O353">
        <f t="shared" si="49"/>
        <v>0.82297620177154962</v>
      </c>
      <c r="P353">
        <f t="shared" si="50"/>
        <v>16.509254984356456</v>
      </c>
      <c r="Q353">
        <f t="shared" si="51"/>
        <v>1.2273326781330805E-2</v>
      </c>
      <c r="R353">
        <f t="shared" si="52"/>
        <v>5.3660861972736618E-3</v>
      </c>
      <c r="S353">
        <f t="shared" si="53"/>
        <v>0</v>
      </c>
    </row>
    <row r="354" spans="1:19" x14ac:dyDescent="0.3">
      <c r="A354" t="s">
        <v>131</v>
      </c>
      <c r="B354">
        <v>2007</v>
      </c>
      <c r="C354">
        <v>1.0272717435695163E-2</v>
      </c>
      <c r="D354">
        <v>0.75593307898787732</v>
      </c>
      <c r="E354">
        <v>0.63714932963799409</v>
      </c>
      <c r="F354">
        <v>0</v>
      </c>
      <c r="G354">
        <v>0.3902236401651733</v>
      </c>
      <c r="H354">
        <v>12.565448438889295</v>
      </c>
      <c r="I354">
        <v>1.4986674065348704E-2</v>
      </c>
      <c r="J354">
        <v>0</v>
      </c>
      <c r="K354" s="1">
        <f t="shared" si="45"/>
        <v>1.0272717435695163E-2</v>
      </c>
      <c r="L354" s="1">
        <f t="shared" si="46"/>
        <v>0.75593307898787732</v>
      </c>
      <c r="M354">
        <f t="shared" si="47"/>
        <v>0.63714932963799409</v>
      </c>
      <c r="N354">
        <f t="shared" si="48"/>
        <v>0</v>
      </c>
      <c r="O354">
        <f t="shared" si="49"/>
        <v>0.3902236401651733</v>
      </c>
      <c r="P354">
        <f t="shared" si="50"/>
        <v>12.565448438889295</v>
      </c>
      <c r="Q354">
        <f t="shared" si="51"/>
        <v>1.4986674065348704E-2</v>
      </c>
      <c r="R354">
        <f t="shared" si="52"/>
        <v>0</v>
      </c>
      <c r="S354">
        <f t="shared" si="53"/>
        <v>0</v>
      </c>
    </row>
    <row r="355" spans="1:19" x14ac:dyDescent="0.3">
      <c r="A355" t="s">
        <v>131</v>
      </c>
      <c r="B355">
        <v>2009</v>
      </c>
      <c r="C355">
        <v>1.5714115082564423E-3</v>
      </c>
      <c r="D355">
        <v>0.85924855922840337</v>
      </c>
      <c r="E355">
        <v>0.40251276538564901</v>
      </c>
      <c r="F355">
        <v>6.1583654334259011E-2</v>
      </c>
      <c r="G355">
        <v>0.28586028248081458</v>
      </c>
      <c r="H355">
        <v>12.498413847362677</v>
      </c>
      <c r="I355">
        <v>0.10015574311999982</v>
      </c>
      <c r="J355">
        <v>4.0311744154797099E-3</v>
      </c>
      <c r="K355" s="1">
        <f t="shared" si="45"/>
        <v>1.5714115082564423E-3</v>
      </c>
      <c r="L355" s="1">
        <f t="shared" si="46"/>
        <v>0.85924855922840337</v>
      </c>
      <c r="M355">
        <f t="shared" si="47"/>
        <v>0.40251276538564901</v>
      </c>
      <c r="N355">
        <f t="shared" si="48"/>
        <v>6.1583654334259011E-2</v>
      </c>
      <c r="O355">
        <f t="shared" si="49"/>
        <v>0.28586028248081458</v>
      </c>
      <c r="P355">
        <f t="shared" si="50"/>
        <v>12.498413847362677</v>
      </c>
      <c r="Q355">
        <f t="shared" si="51"/>
        <v>0.10015574311999982</v>
      </c>
      <c r="R355">
        <f t="shared" si="52"/>
        <v>4.0311744154797099E-3</v>
      </c>
      <c r="S355">
        <f t="shared" si="53"/>
        <v>0</v>
      </c>
    </row>
    <row r="356" spans="1:19" x14ac:dyDescent="0.3">
      <c r="A356" t="s">
        <v>131</v>
      </c>
      <c r="B356">
        <v>2010</v>
      </c>
      <c r="C356">
        <v>3.386550556361877E-3</v>
      </c>
      <c r="D356">
        <v>1.3242124135575857</v>
      </c>
      <c r="E356">
        <v>0.38988019010216568</v>
      </c>
      <c r="F356">
        <v>7.3517554094690615E-2</v>
      </c>
      <c r="G356">
        <v>0.2223645142624055</v>
      </c>
      <c r="H356">
        <v>12.258826372966039</v>
      </c>
      <c r="I356">
        <v>0.33579241931213288</v>
      </c>
      <c r="J356">
        <v>0</v>
      </c>
      <c r="K356" s="1">
        <f t="shared" si="45"/>
        <v>3.386550556361877E-3</v>
      </c>
      <c r="L356" s="1">
        <f t="shared" si="46"/>
        <v>1.3242124135575857</v>
      </c>
      <c r="M356">
        <f t="shared" si="47"/>
        <v>0.38988019010216568</v>
      </c>
      <c r="N356">
        <f t="shared" si="48"/>
        <v>7.3517554094690615E-2</v>
      </c>
      <c r="O356">
        <f t="shared" si="49"/>
        <v>0.2223645142624055</v>
      </c>
      <c r="P356">
        <f t="shared" si="50"/>
        <v>12.258826372966039</v>
      </c>
      <c r="Q356">
        <f t="shared" si="51"/>
        <v>0.33579241931213288</v>
      </c>
      <c r="R356">
        <f t="shared" si="52"/>
        <v>0</v>
      </c>
      <c r="S356">
        <f t="shared" si="53"/>
        <v>0</v>
      </c>
    </row>
    <row r="357" spans="1:19" x14ac:dyDescent="0.3">
      <c r="A357" t="s">
        <v>132</v>
      </c>
      <c r="B357">
        <v>2007</v>
      </c>
      <c r="C357">
        <v>7.405024609476462E-3</v>
      </c>
      <c r="D357">
        <v>4.5973991947444573E-2</v>
      </c>
      <c r="E357">
        <v>-0.10228116302936557</v>
      </c>
      <c r="F357">
        <v>0.39783983581040255</v>
      </c>
      <c r="G357">
        <v>0.85834480546152747</v>
      </c>
      <c r="H357">
        <v>15.564360612470105</v>
      </c>
      <c r="I357">
        <v>1.4654703270912967E-3</v>
      </c>
      <c r="J357">
        <v>0</v>
      </c>
      <c r="K357" s="1">
        <f t="shared" si="45"/>
        <v>7.405024609476462E-3</v>
      </c>
      <c r="L357" s="1">
        <f t="shared" si="46"/>
        <v>4.5973991947444573E-2</v>
      </c>
      <c r="M357">
        <f t="shared" si="47"/>
        <v>-0.10228116302936557</v>
      </c>
      <c r="N357">
        <f t="shared" si="48"/>
        <v>0.39783983581040255</v>
      </c>
      <c r="O357">
        <f t="shared" si="49"/>
        <v>0.85834480546152747</v>
      </c>
      <c r="P357">
        <f t="shared" si="50"/>
        <v>15.564360612470105</v>
      </c>
      <c r="Q357">
        <f t="shared" si="51"/>
        <v>1.4654703270912967E-3</v>
      </c>
      <c r="R357">
        <f t="shared" si="52"/>
        <v>0</v>
      </c>
      <c r="S357">
        <f t="shared" si="53"/>
        <v>0</v>
      </c>
    </row>
    <row r="358" spans="1:19" x14ac:dyDescent="0.3">
      <c r="A358" t="s">
        <v>132</v>
      </c>
      <c r="B358">
        <v>2009</v>
      </c>
      <c r="C358">
        <v>4.7166205877145415E-3</v>
      </c>
      <c r="D358">
        <v>4.0603625004025472E-2</v>
      </c>
      <c r="E358">
        <v>-5.5582765639867152E-2</v>
      </c>
      <c r="F358">
        <v>0.38609346407451922</v>
      </c>
      <c r="G358">
        <v>0.84297398389734945</v>
      </c>
      <c r="H358">
        <v>15.860880576627567</v>
      </c>
      <c r="I358">
        <v>6.2888345421904301E-2</v>
      </c>
      <c r="J358">
        <v>9.2912342817574553E-4</v>
      </c>
      <c r="K358" s="1">
        <f t="shared" si="45"/>
        <v>4.7166205877145415E-3</v>
      </c>
      <c r="L358" s="1">
        <f t="shared" si="46"/>
        <v>4.0603625004025472E-2</v>
      </c>
      <c r="M358">
        <f t="shared" si="47"/>
        <v>-5.5582765639867152E-2</v>
      </c>
      <c r="N358">
        <f t="shared" si="48"/>
        <v>0.38609346407451922</v>
      </c>
      <c r="O358">
        <f t="shared" si="49"/>
        <v>0.84297398389734945</v>
      </c>
      <c r="P358">
        <f t="shared" si="50"/>
        <v>15.860880576627567</v>
      </c>
      <c r="Q358">
        <f t="shared" si="51"/>
        <v>6.2888345421904301E-2</v>
      </c>
      <c r="R358">
        <f t="shared" si="52"/>
        <v>9.2912342817574553E-4</v>
      </c>
      <c r="S358">
        <f t="shared" si="53"/>
        <v>0</v>
      </c>
    </row>
    <row r="359" spans="1:19" x14ac:dyDescent="0.3">
      <c r="A359" t="s">
        <v>132</v>
      </c>
      <c r="B359">
        <v>2010</v>
      </c>
      <c r="C359">
        <v>7.2806036109333777E-3</v>
      </c>
      <c r="D359">
        <v>0.21384273818463789</v>
      </c>
      <c r="E359">
        <v>-3.820925067753729E-2</v>
      </c>
      <c r="F359">
        <v>0.36102394641479402</v>
      </c>
      <c r="G359">
        <v>0.85262104816593653</v>
      </c>
      <c r="H359">
        <v>15.984277245721046</v>
      </c>
      <c r="I359">
        <v>1.7410172993213152E-3</v>
      </c>
      <c r="J359">
        <v>0</v>
      </c>
      <c r="K359" s="1">
        <f t="shared" si="45"/>
        <v>7.2806036109333777E-3</v>
      </c>
      <c r="L359" s="1">
        <f t="shared" si="46"/>
        <v>0.21384273818463789</v>
      </c>
      <c r="M359">
        <f t="shared" si="47"/>
        <v>-3.820925067753729E-2</v>
      </c>
      <c r="N359">
        <f t="shared" si="48"/>
        <v>0.36102394641479402</v>
      </c>
      <c r="O359">
        <f t="shared" si="49"/>
        <v>0.85262104816593653</v>
      </c>
      <c r="P359">
        <f t="shared" si="50"/>
        <v>15.984277245721046</v>
      </c>
      <c r="Q359">
        <f t="shared" si="51"/>
        <v>1.7410172993213152E-3</v>
      </c>
      <c r="R359">
        <f t="shared" si="52"/>
        <v>0</v>
      </c>
      <c r="S359">
        <f t="shared" si="53"/>
        <v>0</v>
      </c>
    </row>
    <row r="360" spans="1:19" x14ac:dyDescent="0.3">
      <c r="A360" t="s">
        <v>133</v>
      </c>
      <c r="B360">
        <v>2007</v>
      </c>
      <c r="C360">
        <v>1.0622125292048652E-2</v>
      </c>
      <c r="D360">
        <v>9.6757605970872115E-2</v>
      </c>
      <c r="E360">
        <v>0.25011024229387679</v>
      </c>
      <c r="F360">
        <v>3.4045809970686763E-2</v>
      </c>
      <c r="G360">
        <v>0.71117266409658875</v>
      </c>
      <c r="H360">
        <v>13.413510938109154</v>
      </c>
      <c r="I360">
        <v>7.8034983250565085E-2</v>
      </c>
      <c r="J360">
        <v>0</v>
      </c>
      <c r="K360" s="1">
        <f t="shared" si="45"/>
        <v>1.0622125292048652E-2</v>
      </c>
      <c r="L360" s="1">
        <f t="shared" si="46"/>
        <v>9.6757605970872115E-2</v>
      </c>
      <c r="M360">
        <f t="shared" si="47"/>
        <v>0.25011024229387679</v>
      </c>
      <c r="N360">
        <f t="shared" si="48"/>
        <v>3.4045809970686763E-2</v>
      </c>
      <c r="O360">
        <f t="shared" si="49"/>
        <v>0.71117266409658875</v>
      </c>
      <c r="P360">
        <f t="shared" si="50"/>
        <v>13.413510938109154</v>
      </c>
      <c r="Q360">
        <f t="shared" si="51"/>
        <v>7.8034983250565085E-2</v>
      </c>
      <c r="R360">
        <f t="shared" si="52"/>
        <v>0</v>
      </c>
      <c r="S360">
        <f t="shared" si="53"/>
        <v>0</v>
      </c>
    </row>
    <row r="361" spans="1:19" x14ac:dyDescent="0.3">
      <c r="A361" t="s">
        <v>133</v>
      </c>
      <c r="B361">
        <v>2009</v>
      </c>
      <c r="C361">
        <v>9.5396644282748171E-4</v>
      </c>
      <c r="D361">
        <v>2.8873384336245114E-2</v>
      </c>
      <c r="E361">
        <v>0.16949676711372152</v>
      </c>
      <c r="F361">
        <v>0.14061091262789696</v>
      </c>
      <c r="G361">
        <v>0.43197402467842605</v>
      </c>
      <c r="H361">
        <v>13.594757896194434</v>
      </c>
      <c r="I361">
        <v>3.3096867138322571E-2</v>
      </c>
      <c r="J361">
        <v>0</v>
      </c>
      <c r="K361" s="1">
        <f t="shared" si="45"/>
        <v>9.5396644282748171E-4</v>
      </c>
      <c r="L361" s="1">
        <f t="shared" si="46"/>
        <v>2.8873384336245114E-2</v>
      </c>
      <c r="M361">
        <f t="shared" si="47"/>
        <v>0.16949676711372152</v>
      </c>
      <c r="N361">
        <f t="shared" si="48"/>
        <v>0.14061091262789696</v>
      </c>
      <c r="O361">
        <f t="shared" si="49"/>
        <v>0.43197402467842605</v>
      </c>
      <c r="P361">
        <f t="shared" si="50"/>
        <v>13.594757896194434</v>
      </c>
      <c r="Q361">
        <f t="shared" si="51"/>
        <v>3.3096867138322571E-2</v>
      </c>
      <c r="R361">
        <f t="shared" si="52"/>
        <v>0</v>
      </c>
      <c r="S361">
        <f t="shared" si="53"/>
        <v>0</v>
      </c>
    </row>
    <row r="362" spans="1:19" x14ac:dyDescent="0.3">
      <c r="A362" t="s">
        <v>133</v>
      </c>
      <c r="B362">
        <v>2010</v>
      </c>
      <c r="C362">
        <v>2.158410255400946E-3</v>
      </c>
      <c r="D362">
        <v>0.11974256529355036</v>
      </c>
      <c r="E362">
        <v>0.21057730367104691</v>
      </c>
      <c r="F362">
        <v>0.10299575097150331</v>
      </c>
      <c r="G362">
        <v>0.39674401516791646</v>
      </c>
      <c r="H362">
        <v>13.72620054112514</v>
      </c>
      <c r="I362">
        <v>5.6982865617934211E-3</v>
      </c>
      <c r="J362">
        <v>1.6630911846326438E-2</v>
      </c>
      <c r="K362" s="1">
        <f t="shared" si="45"/>
        <v>2.158410255400946E-3</v>
      </c>
      <c r="L362" s="1">
        <f t="shared" si="46"/>
        <v>0.11974256529355036</v>
      </c>
      <c r="M362">
        <f t="shared" si="47"/>
        <v>0.21057730367104691</v>
      </c>
      <c r="N362">
        <f t="shared" si="48"/>
        <v>0.10299575097150331</v>
      </c>
      <c r="O362">
        <f t="shared" si="49"/>
        <v>0.39674401516791646</v>
      </c>
      <c r="P362">
        <f t="shared" si="50"/>
        <v>13.72620054112514</v>
      </c>
      <c r="Q362">
        <f t="shared" si="51"/>
        <v>5.6982865617934211E-3</v>
      </c>
      <c r="R362">
        <f t="shared" si="52"/>
        <v>1.6630911846326438E-2</v>
      </c>
      <c r="S362">
        <f t="shared" si="53"/>
        <v>0</v>
      </c>
    </row>
    <row r="363" spans="1:19" x14ac:dyDescent="0.3">
      <c r="A363" t="s">
        <v>134</v>
      </c>
      <c r="B363">
        <v>2007</v>
      </c>
      <c r="C363">
        <v>1.8353372277246968E-2</v>
      </c>
      <c r="D363">
        <v>0.43426270618080731</v>
      </c>
      <c r="E363">
        <v>-0.50572251975545035</v>
      </c>
      <c r="F363">
        <v>0.3159535588969995</v>
      </c>
      <c r="G363">
        <v>0.97180535171019511</v>
      </c>
      <c r="H363">
        <v>12.927642060352811</v>
      </c>
      <c r="I363">
        <v>9.594960144503116E-2</v>
      </c>
      <c r="J363">
        <v>0</v>
      </c>
      <c r="K363" s="1">
        <f t="shared" si="45"/>
        <v>1.8353372277246968E-2</v>
      </c>
      <c r="L363" s="1">
        <f t="shared" si="46"/>
        <v>0.43426270618080731</v>
      </c>
      <c r="M363">
        <f t="shared" si="47"/>
        <v>-0.50572251975545035</v>
      </c>
      <c r="N363">
        <f t="shared" si="48"/>
        <v>0.3159535588969995</v>
      </c>
      <c r="O363">
        <f t="shared" si="49"/>
        <v>0.97180535171019511</v>
      </c>
      <c r="P363">
        <f t="shared" si="50"/>
        <v>12.927642060352811</v>
      </c>
      <c r="Q363">
        <f t="shared" si="51"/>
        <v>9.594960144503116E-2</v>
      </c>
      <c r="R363">
        <f t="shared" si="52"/>
        <v>0</v>
      </c>
      <c r="S363">
        <f t="shared" si="53"/>
        <v>0</v>
      </c>
    </row>
    <row r="364" spans="1:19" x14ac:dyDescent="0.3">
      <c r="A364" t="s">
        <v>134</v>
      </c>
      <c r="B364">
        <v>2008</v>
      </c>
      <c r="C364">
        <v>3.5886474867323271E-3</v>
      </c>
      <c r="D364">
        <v>5.5544490727809287E-2</v>
      </c>
      <c r="E364">
        <v>-0.22066235138384563</v>
      </c>
      <c r="F364">
        <v>0.23278117144140972</v>
      </c>
      <c r="G364">
        <v>0.63453001469463099</v>
      </c>
      <c r="H364">
        <v>13.621233821951046</v>
      </c>
      <c r="I364">
        <v>1.4523286560879608E-2</v>
      </c>
      <c r="J364">
        <v>0</v>
      </c>
      <c r="K364" s="1">
        <f t="shared" si="45"/>
        <v>3.5886474867323271E-3</v>
      </c>
      <c r="L364" s="1">
        <f t="shared" si="46"/>
        <v>5.5544490727809287E-2</v>
      </c>
      <c r="M364">
        <f t="shared" si="47"/>
        <v>-0.22066235138384563</v>
      </c>
      <c r="N364">
        <f t="shared" si="48"/>
        <v>0.23278117144140972</v>
      </c>
      <c r="O364">
        <f t="shared" si="49"/>
        <v>0.63453001469463099</v>
      </c>
      <c r="P364">
        <f t="shared" si="50"/>
        <v>13.621233821951046</v>
      </c>
      <c r="Q364">
        <f t="shared" si="51"/>
        <v>1.4523286560879608E-2</v>
      </c>
      <c r="R364">
        <f t="shared" si="52"/>
        <v>0</v>
      </c>
      <c r="S364">
        <f t="shared" si="53"/>
        <v>0</v>
      </c>
    </row>
    <row r="365" spans="1:19" x14ac:dyDescent="0.3">
      <c r="A365" t="s">
        <v>134</v>
      </c>
      <c r="B365">
        <v>2009</v>
      </c>
      <c r="C365">
        <v>3.4422584290955294E-2</v>
      </c>
      <c r="D365">
        <v>4.3015619610607209E-2</v>
      </c>
      <c r="E365">
        <v>-1.9293770560639998E-2</v>
      </c>
      <c r="F365">
        <v>0.37123739435938058</v>
      </c>
      <c r="G365">
        <v>0.5870135146373352</v>
      </c>
      <c r="H365">
        <v>13.50558423989076</v>
      </c>
      <c r="I365">
        <v>2.3140064073149818E-2</v>
      </c>
      <c r="J365">
        <v>0</v>
      </c>
      <c r="K365" s="1">
        <f t="shared" si="45"/>
        <v>3.4422584290955294E-2</v>
      </c>
      <c r="L365" s="1">
        <f t="shared" si="46"/>
        <v>4.3015619610607209E-2</v>
      </c>
      <c r="M365">
        <f t="shared" si="47"/>
        <v>-1.9293770560639998E-2</v>
      </c>
      <c r="N365">
        <f t="shared" si="48"/>
        <v>0.37123739435938058</v>
      </c>
      <c r="O365">
        <f t="shared" si="49"/>
        <v>0.5870135146373352</v>
      </c>
      <c r="P365">
        <f t="shared" si="50"/>
        <v>13.50558423989076</v>
      </c>
      <c r="Q365">
        <f t="shared" si="51"/>
        <v>2.3140064073149818E-2</v>
      </c>
      <c r="R365">
        <f t="shared" si="52"/>
        <v>0</v>
      </c>
      <c r="S365">
        <f t="shared" si="53"/>
        <v>0</v>
      </c>
    </row>
    <row r="366" spans="1:19" x14ac:dyDescent="0.3">
      <c r="A366" t="s">
        <v>134</v>
      </c>
      <c r="B366">
        <v>2010</v>
      </c>
      <c r="C366">
        <v>1.1474297356516932E-2</v>
      </c>
      <c r="D366">
        <v>7.7850987870383456E-2</v>
      </c>
      <c r="E366">
        <v>-9.4966931227201644E-3</v>
      </c>
      <c r="F366">
        <v>0.34676323566178696</v>
      </c>
      <c r="G366">
        <v>0.64894304158171068</v>
      </c>
      <c r="H366">
        <v>14.068540624806454</v>
      </c>
      <c r="I366">
        <v>9.8782261359207924E-4</v>
      </c>
      <c r="J366">
        <v>0</v>
      </c>
      <c r="K366" s="1">
        <f t="shared" si="45"/>
        <v>1.1474297356516932E-2</v>
      </c>
      <c r="L366" s="1">
        <f t="shared" si="46"/>
        <v>7.7850987870383456E-2</v>
      </c>
      <c r="M366">
        <f t="shared" si="47"/>
        <v>-9.4966931227201644E-3</v>
      </c>
      <c r="N366">
        <f t="shared" si="48"/>
        <v>0.34676323566178696</v>
      </c>
      <c r="O366">
        <f t="shared" si="49"/>
        <v>0.64894304158171068</v>
      </c>
      <c r="P366">
        <f t="shared" si="50"/>
        <v>14.068540624806454</v>
      </c>
      <c r="Q366">
        <f t="shared" si="51"/>
        <v>9.8782261359207924E-4</v>
      </c>
      <c r="R366">
        <f t="shared" si="52"/>
        <v>0</v>
      </c>
      <c r="S366">
        <f t="shared" si="53"/>
        <v>0</v>
      </c>
    </row>
    <row r="367" spans="1:19" x14ac:dyDescent="0.3">
      <c r="A367" t="s">
        <v>135</v>
      </c>
      <c r="B367">
        <v>2007</v>
      </c>
      <c r="C367">
        <v>1.4393414678931488E-2</v>
      </c>
      <c r="D367">
        <v>0.1226962153902801</v>
      </c>
      <c r="E367">
        <v>0.31522511967295963</v>
      </c>
      <c r="F367">
        <v>8.7136091264738813E-2</v>
      </c>
      <c r="G367">
        <v>0</v>
      </c>
      <c r="H367">
        <v>16.844086765780432</v>
      </c>
      <c r="I367">
        <v>1.8640224272380157E-4</v>
      </c>
      <c r="J367">
        <v>0</v>
      </c>
      <c r="K367" s="1">
        <f t="shared" si="45"/>
        <v>1.4393414678931488E-2</v>
      </c>
      <c r="L367" s="1">
        <f t="shared" si="46"/>
        <v>0.1226962153902801</v>
      </c>
      <c r="M367">
        <f t="shared" si="47"/>
        <v>0.31522511967295963</v>
      </c>
      <c r="N367">
        <f t="shared" si="48"/>
        <v>8.7136091264738813E-2</v>
      </c>
      <c r="O367">
        <f t="shared" si="49"/>
        <v>0</v>
      </c>
      <c r="P367">
        <f t="shared" si="50"/>
        <v>16.844086765780432</v>
      </c>
      <c r="Q367">
        <f t="shared" si="51"/>
        <v>1.8640224272380157E-4</v>
      </c>
      <c r="R367">
        <f t="shared" si="52"/>
        <v>0</v>
      </c>
      <c r="S367">
        <f t="shared" si="53"/>
        <v>0</v>
      </c>
    </row>
    <row r="368" spans="1:19" x14ac:dyDescent="0.3">
      <c r="A368" t="s">
        <v>135</v>
      </c>
      <c r="B368">
        <v>2008</v>
      </c>
      <c r="C368">
        <v>1.0251254663700499E-2</v>
      </c>
      <c r="D368">
        <v>0.11956997042997591</v>
      </c>
      <c r="E368">
        <v>0.31966129110142805</v>
      </c>
      <c r="F368">
        <v>9.6500204220284269E-2</v>
      </c>
      <c r="G368">
        <v>1.0740610662243795</v>
      </c>
      <c r="H368">
        <v>16.987571131238784</v>
      </c>
      <c r="I368">
        <v>8.0451530020867607E-3</v>
      </c>
      <c r="J368">
        <v>0</v>
      </c>
      <c r="K368" s="1">
        <f t="shared" si="45"/>
        <v>1.0251254663700499E-2</v>
      </c>
      <c r="L368" s="1">
        <f t="shared" si="46"/>
        <v>0.11956997042997591</v>
      </c>
      <c r="M368">
        <f t="shared" si="47"/>
        <v>0.31966129110142805</v>
      </c>
      <c r="N368">
        <f t="shared" si="48"/>
        <v>9.6500204220284269E-2</v>
      </c>
      <c r="O368">
        <f t="shared" si="49"/>
        <v>1.0740610662243795</v>
      </c>
      <c r="P368">
        <f t="shared" si="50"/>
        <v>16.987571131238784</v>
      </c>
      <c r="Q368">
        <f t="shared" si="51"/>
        <v>8.0451530020867607E-3</v>
      </c>
      <c r="R368">
        <f t="shared" si="52"/>
        <v>0</v>
      </c>
      <c r="S368">
        <f t="shared" si="53"/>
        <v>0</v>
      </c>
    </row>
    <row r="369" spans="1:19" x14ac:dyDescent="0.3">
      <c r="A369" t="s">
        <v>135</v>
      </c>
      <c r="B369">
        <v>2009</v>
      </c>
      <c r="C369">
        <v>6.4019485580405384E-3</v>
      </c>
      <c r="D369">
        <v>0.10005926660102134</v>
      </c>
      <c r="E369">
        <v>-4.9910235250979686E-2</v>
      </c>
      <c r="F369">
        <v>0.35653945742036691</v>
      </c>
      <c r="G369">
        <v>0.98111950390837421</v>
      </c>
      <c r="H369">
        <v>17.091849570224245</v>
      </c>
      <c r="I369">
        <v>2.2458366389963149E-2</v>
      </c>
      <c r="J369">
        <v>0</v>
      </c>
      <c r="K369" s="1">
        <f t="shared" si="45"/>
        <v>6.4019485580405384E-3</v>
      </c>
      <c r="L369" s="1">
        <f t="shared" si="46"/>
        <v>0.10005926660102134</v>
      </c>
      <c r="M369">
        <f t="shared" si="47"/>
        <v>-4.9910235250979686E-2</v>
      </c>
      <c r="N369">
        <f t="shared" si="48"/>
        <v>0.35653945742036691</v>
      </c>
      <c r="O369">
        <f t="shared" si="49"/>
        <v>0.98111950390837421</v>
      </c>
      <c r="P369">
        <f t="shared" si="50"/>
        <v>17.091849570224245</v>
      </c>
      <c r="Q369">
        <f t="shared" si="51"/>
        <v>2.2458366389963149E-2</v>
      </c>
      <c r="R369">
        <f t="shared" si="52"/>
        <v>0</v>
      </c>
      <c r="S369">
        <f t="shared" si="53"/>
        <v>0</v>
      </c>
    </row>
    <row r="370" spans="1:19" x14ac:dyDescent="0.3">
      <c r="A370" t="s">
        <v>135</v>
      </c>
      <c r="B370">
        <v>2010</v>
      </c>
      <c r="C370">
        <v>2.6929039423463754E-3</v>
      </c>
      <c r="D370">
        <v>0.17218902472675376</v>
      </c>
      <c r="E370">
        <v>8.6005697686387852E-3</v>
      </c>
      <c r="F370">
        <v>0.18496804836937253</v>
      </c>
      <c r="G370">
        <v>0.92034503548904201</v>
      </c>
      <c r="H370">
        <v>17.111974301513886</v>
      </c>
      <c r="I370">
        <v>8.2647351343414222E-3</v>
      </c>
      <c r="J370">
        <v>2.2986104528304862E-2</v>
      </c>
      <c r="K370" s="1">
        <f t="shared" si="45"/>
        <v>2.6929039423463754E-3</v>
      </c>
      <c r="L370" s="1">
        <f t="shared" si="46"/>
        <v>0.17218902472675376</v>
      </c>
      <c r="M370">
        <f t="shared" si="47"/>
        <v>8.6005697686387852E-3</v>
      </c>
      <c r="N370">
        <f t="shared" si="48"/>
        <v>0.18496804836937253</v>
      </c>
      <c r="O370">
        <f t="shared" si="49"/>
        <v>0.92034503548904201</v>
      </c>
      <c r="P370">
        <f t="shared" si="50"/>
        <v>17.111974301513886</v>
      </c>
      <c r="Q370">
        <f t="shared" si="51"/>
        <v>8.2647351343414222E-3</v>
      </c>
      <c r="R370">
        <f t="shared" si="52"/>
        <v>2.2986104528304862E-2</v>
      </c>
      <c r="S370">
        <f t="shared" si="53"/>
        <v>0</v>
      </c>
    </row>
    <row r="371" spans="1:19" x14ac:dyDescent="0.3">
      <c r="A371" t="s">
        <v>136</v>
      </c>
      <c r="B371">
        <v>2007</v>
      </c>
      <c r="C371">
        <v>2.8566676238582353E-3</v>
      </c>
      <c r="D371">
        <v>0.14692812118986759</v>
      </c>
      <c r="E371">
        <v>0.32544199497552884</v>
      </c>
      <c r="F371">
        <v>5.8221569448955797E-2</v>
      </c>
      <c r="G371">
        <v>0.61615911976035687</v>
      </c>
      <c r="H371">
        <v>14.058113148143153</v>
      </c>
      <c r="I371">
        <v>1.9859124047261523E-2</v>
      </c>
      <c r="J371">
        <v>0</v>
      </c>
      <c r="K371" s="1">
        <f t="shared" si="45"/>
        <v>2.8566676238582353E-3</v>
      </c>
      <c r="L371" s="1">
        <f t="shared" si="46"/>
        <v>0.14692812118986759</v>
      </c>
      <c r="M371">
        <f t="shared" si="47"/>
        <v>0.32544199497552884</v>
      </c>
      <c r="N371">
        <f t="shared" si="48"/>
        <v>5.8221569448955797E-2</v>
      </c>
      <c r="O371">
        <f t="shared" si="49"/>
        <v>0.61615911976035687</v>
      </c>
      <c r="P371">
        <f t="shared" si="50"/>
        <v>14.058113148143153</v>
      </c>
      <c r="Q371">
        <f t="shared" si="51"/>
        <v>1.9859124047261523E-2</v>
      </c>
      <c r="R371">
        <f t="shared" si="52"/>
        <v>0</v>
      </c>
      <c r="S371">
        <f t="shared" si="53"/>
        <v>0</v>
      </c>
    </row>
    <row r="372" spans="1:19" x14ac:dyDescent="0.3">
      <c r="A372" t="s">
        <v>136</v>
      </c>
      <c r="B372">
        <v>2008</v>
      </c>
      <c r="C372">
        <v>8.8583141487715584E-3</v>
      </c>
      <c r="D372">
        <v>7.1746329773181863E-2</v>
      </c>
      <c r="E372">
        <v>0.28350084443521906</v>
      </c>
      <c r="F372">
        <v>0.10855533173566818</v>
      </c>
      <c r="G372">
        <v>0.58088132618787025</v>
      </c>
      <c r="H372">
        <v>14.343669881378357</v>
      </c>
      <c r="I372">
        <v>6.7572560423835235E-3</v>
      </c>
      <c r="J372">
        <v>0</v>
      </c>
      <c r="K372" s="1">
        <f t="shared" si="45"/>
        <v>8.8583141487715584E-3</v>
      </c>
      <c r="L372" s="1">
        <f t="shared" si="46"/>
        <v>7.1746329773181863E-2</v>
      </c>
      <c r="M372">
        <f t="shared" si="47"/>
        <v>0.28350084443521906</v>
      </c>
      <c r="N372">
        <f t="shared" si="48"/>
        <v>0.10855533173566818</v>
      </c>
      <c r="O372">
        <f t="shared" si="49"/>
        <v>0.58088132618787025</v>
      </c>
      <c r="P372">
        <f t="shared" si="50"/>
        <v>14.343669881378357</v>
      </c>
      <c r="Q372">
        <f t="shared" si="51"/>
        <v>6.7572560423835235E-3</v>
      </c>
      <c r="R372">
        <f t="shared" si="52"/>
        <v>0</v>
      </c>
      <c r="S372">
        <f t="shared" si="53"/>
        <v>0</v>
      </c>
    </row>
    <row r="373" spans="1:19" x14ac:dyDescent="0.3">
      <c r="A373" t="s">
        <v>136</v>
      </c>
      <c r="B373">
        <v>2009</v>
      </c>
      <c r="C373">
        <v>9.2933619830344205E-2</v>
      </c>
      <c r="D373">
        <v>0.12767189436677046</v>
      </c>
      <c r="E373">
        <v>0.44102979190057184</v>
      </c>
      <c r="F373">
        <v>3.1651110534294397E-2</v>
      </c>
      <c r="G373">
        <v>0.68629498850376991</v>
      </c>
      <c r="H373">
        <v>14.079539589783462</v>
      </c>
      <c r="I373">
        <v>1.1619914580878314E-2</v>
      </c>
      <c r="J373">
        <v>5.3794984664013654E-2</v>
      </c>
      <c r="K373" s="1">
        <f t="shared" si="45"/>
        <v>9.2933619830344205E-2</v>
      </c>
      <c r="L373" s="1">
        <f t="shared" si="46"/>
        <v>0.12767189436677046</v>
      </c>
      <c r="M373">
        <f t="shared" si="47"/>
        <v>0.44102979190057184</v>
      </c>
      <c r="N373">
        <f t="shared" si="48"/>
        <v>3.1651110534294397E-2</v>
      </c>
      <c r="O373">
        <f t="shared" si="49"/>
        <v>0.68629498850376991</v>
      </c>
      <c r="P373">
        <f t="shared" si="50"/>
        <v>14.079539589783462</v>
      </c>
      <c r="Q373">
        <f t="shared" si="51"/>
        <v>1.1619914580878314E-2</v>
      </c>
      <c r="R373">
        <f t="shared" si="52"/>
        <v>5.3794984664013654E-2</v>
      </c>
      <c r="S373">
        <f t="shared" si="53"/>
        <v>0</v>
      </c>
    </row>
    <row r="374" spans="1:19" x14ac:dyDescent="0.3">
      <c r="A374" t="s">
        <v>136</v>
      </c>
      <c r="B374">
        <v>2010</v>
      </c>
      <c r="C374">
        <v>0.13096783891433203</v>
      </c>
      <c r="D374">
        <v>0.13957519901923682</v>
      </c>
      <c r="E374">
        <v>0.44651237624323287</v>
      </c>
      <c r="F374">
        <v>0</v>
      </c>
      <c r="G374">
        <v>0.72013140292793754</v>
      </c>
      <c r="H374">
        <v>14.096067557261128</v>
      </c>
      <c r="I374">
        <v>6.0654106656238868E-2</v>
      </c>
      <c r="J374">
        <v>0</v>
      </c>
      <c r="K374" s="1">
        <f t="shared" si="45"/>
        <v>0.13096783891433203</v>
      </c>
      <c r="L374" s="1">
        <f t="shared" si="46"/>
        <v>0.13957519901923682</v>
      </c>
      <c r="M374">
        <f t="shared" si="47"/>
        <v>0.44651237624323287</v>
      </c>
      <c r="N374">
        <f t="shared" si="48"/>
        <v>0</v>
      </c>
      <c r="O374">
        <f t="shared" si="49"/>
        <v>0.72013140292793754</v>
      </c>
      <c r="P374">
        <f t="shared" si="50"/>
        <v>14.096067557261128</v>
      </c>
      <c r="Q374">
        <f t="shared" si="51"/>
        <v>6.0654106656238868E-2</v>
      </c>
      <c r="R374">
        <f t="shared" si="52"/>
        <v>0</v>
      </c>
      <c r="S374">
        <f t="shared" si="53"/>
        <v>0</v>
      </c>
    </row>
    <row r="375" spans="1:19" x14ac:dyDescent="0.3">
      <c r="A375" t="s">
        <v>137</v>
      </c>
      <c r="B375">
        <v>2007</v>
      </c>
      <c r="C375">
        <v>0.16800393424010088</v>
      </c>
      <c r="D375">
        <v>8.6621493316962672E-2</v>
      </c>
      <c r="E375">
        <v>0.40525386813767933</v>
      </c>
      <c r="F375">
        <v>0</v>
      </c>
      <c r="G375">
        <v>0.7546096583247428</v>
      </c>
      <c r="H375">
        <v>14.818649953590977</v>
      </c>
      <c r="I375">
        <v>6.0274985951483256E-3</v>
      </c>
      <c r="J375">
        <v>3.1234448511439479E-2</v>
      </c>
      <c r="K375" s="1">
        <f t="shared" si="45"/>
        <v>0.16800393424010088</v>
      </c>
      <c r="L375" s="1">
        <f t="shared" si="46"/>
        <v>8.6621493316962672E-2</v>
      </c>
      <c r="M375">
        <f t="shared" si="47"/>
        <v>0.40525386813767933</v>
      </c>
      <c r="N375">
        <f t="shared" si="48"/>
        <v>0</v>
      </c>
      <c r="O375">
        <f t="shared" si="49"/>
        <v>0.7546096583247428</v>
      </c>
      <c r="P375">
        <f t="shared" si="50"/>
        <v>14.818649953590977</v>
      </c>
      <c r="Q375">
        <f t="shared" si="51"/>
        <v>6.0274985951483256E-3</v>
      </c>
      <c r="R375">
        <f t="shared" si="52"/>
        <v>3.1234448511439479E-2</v>
      </c>
      <c r="S375">
        <f t="shared" si="53"/>
        <v>0</v>
      </c>
    </row>
    <row r="376" spans="1:19" x14ac:dyDescent="0.3">
      <c r="A376" t="s">
        <v>137</v>
      </c>
      <c r="B376">
        <v>2009</v>
      </c>
      <c r="C376">
        <v>0.19368393060925707</v>
      </c>
      <c r="D376">
        <v>0.12826217186369995</v>
      </c>
      <c r="E376">
        <v>0.50665188673666561</v>
      </c>
      <c r="F376">
        <v>0</v>
      </c>
      <c r="G376">
        <v>0.65415874687937414</v>
      </c>
      <c r="H376">
        <v>14.817101904307986</v>
      </c>
      <c r="I376">
        <v>4.3695283587383282E-3</v>
      </c>
      <c r="J376">
        <v>5.0052688393604522E-2</v>
      </c>
      <c r="K376" s="1">
        <f t="shared" si="45"/>
        <v>0.19368393060925707</v>
      </c>
      <c r="L376" s="1">
        <f t="shared" si="46"/>
        <v>0.12826217186369995</v>
      </c>
      <c r="M376">
        <f t="shared" si="47"/>
        <v>0.50665188673666561</v>
      </c>
      <c r="N376">
        <f t="shared" si="48"/>
        <v>0</v>
      </c>
      <c r="O376">
        <f t="shared" si="49"/>
        <v>0.65415874687937414</v>
      </c>
      <c r="P376">
        <f t="shared" si="50"/>
        <v>14.817101904307986</v>
      </c>
      <c r="Q376">
        <f t="shared" si="51"/>
        <v>4.3695283587383282E-3</v>
      </c>
      <c r="R376">
        <f t="shared" si="52"/>
        <v>5.0052688393604522E-2</v>
      </c>
      <c r="S376">
        <f t="shared" si="53"/>
        <v>0</v>
      </c>
    </row>
    <row r="377" spans="1:19" x14ac:dyDescent="0.3">
      <c r="A377" t="s">
        <v>137</v>
      </c>
      <c r="B377">
        <v>2010</v>
      </c>
      <c r="C377">
        <v>6.0024164581627501E-2</v>
      </c>
      <c r="D377">
        <v>0.13251398664243552</v>
      </c>
      <c r="E377">
        <v>0.47016266158459175</v>
      </c>
      <c r="F377">
        <v>0</v>
      </c>
      <c r="G377">
        <v>0.61689794672380194</v>
      </c>
      <c r="H377">
        <v>14.846594616320418</v>
      </c>
      <c r="I377">
        <v>1.6299638166627176E-2</v>
      </c>
      <c r="J377">
        <v>4.8598054851032628E-2</v>
      </c>
      <c r="K377" s="1">
        <f t="shared" si="45"/>
        <v>6.0024164581627501E-2</v>
      </c>
      <c r="L377" s="1">
        <f t="shared" si="46"/>
        <v>0.13251398664243552</v>
      </c>
      <c r="M377">
        <f t="shared" si="47"/>
        <v>0.47016266158459175</v>
      </c>
      <c r="N377">
        <f t="shared" si="48"/>
        <v>0</v>
      </c>
      <c r="O377">
        <f t="shared" si="49"/>
        <v>0.61689794672380194</v>
      </c>
      <c r="P377">
        <f t="shared" si="50"/>
        <v>14.846594616320418</v>
      </c>
      <c r="Q377">
        <f t="shared" si="51"/>
        <v>1.6299638166627176E-2</v>
      </c>
      <c r="R377">
        <f t="shared" si="52"/>
        <v>4.8598054851032628E-2</v>
      </c>
      <c r="S377">
        <f t="shared" si="53"/>
        <v>0</v>
      </c>
    </row>
    <row r="378" spans="1:19" x14ac:dyDescent="0.3">
      <c r="A378" t="s">
        <v>138</v>
      </c>
      <c r="B378">
        <v>2007</v>
      </c>
      <c r="C378">
        <v>6.2051925847050908E-3</v>
      </c>
      <c r="D378">
        <v>2.0289446753149899E-2</v>
      </c>
      <c r="E378">
        <v>0.26585790619980637</v>
      </c>
      <c r="F378">
        <v>0.30436932289789259</v>
      </c>
      <c r="G378">
        <v>0.55314499544934126</v>
      </c>
      <c r="H378">
        <v>13.492644732858011</v>
      </c>
      <c r="I378">
        <v>4.7869156018673243E-3</v>
      </c>
      <c r="J378">
        <v>0</v>
      </c>
      <c r="K378" s="1">
        <f t="shared" si="45"/>
        <v>6.2051925847050908E-3</v>
      </c>
      <c r="L378" s="1">
        <f t="shared" si="46"/>
        <v>2.0289446753149899E-2</v>
      </c>
      <c r="M378">
        <f t="shared" si="47"/>
        <v>0.26585790619980637</v>
      </c>
      <c r="N378">
        <f t="shared" si="48"/>
        <v>0.30436932289789259</v>
      </c>
      <c r="O378">
        <f t="shared" si="49"/>
        <v>0.55314499544934126</v>
      </c>
      <c r="P378">
        <f t="shared" si="50"/>
        <v>13.492644732858011</v>
      </c>
      <c r="Q378">
        <f t="shared" si="51"/>
        <v>4.7869156018673243E-3</v>
      </c>
      <c r="R378">
        <f t="shared" si="52"/>
        <v>0</v>
      </c>
      <c r="S378">
        <f t="shared" si="53"/>
        <v>0</v>
      </c>
    </row>
    <row r="379" spans="1:19" x14ac:dyDescent="0.3">
      <c r="A379" t="s">
        <v>138</v>
      </c>
      <c r="B379">
        <v>2009</v>
      </c>
      <c r="C379">
        <v>2.611711976211871E-3</v>
      </c>
      <c r="D379">
        <v>2.9892338549837534E-2</v>
      </c>
      <c r="E379">
        <v>5.0959028150538207E-3</v>
      </c>
      <c r="F379">
        <v>0</v>
      </c>
      <c r="G379">
        <v>0.26146034438615379</v>
      </c>
      <c r="H379">
        <v>13.827040828174498</v>
      </c>
      <c r="I379">
        <v>4.8224082292015252E-3</v>
      </c>
      <c r="J379">
        <v>0</v>
      </c>
      <c r="K379" s="1">
        <f t="shared" si="45"/>
        <v>2.611711976211871E-3</v>
      </c>
      <c r="L379" s="1">
        <f t="shared" si="46"/>
        <v>2.9892338549837534E-2</v>
      </c>
      <c r="M379">
        <f t="shared" si="47"/>
        <v>5.0959028150538207E-3</v>
      </c>
      <c r="N379">
        <f t="shared" si="48"/>
        <v>0</v>
      </c>
      <c r="O379">
        <f t="shared" si="49"/>
        <v>0.26146034438615379</v>
      </c>
      <c r="P379">
        <f t="shared" si="50"/>
        <v>13.827040828174498</v>
      </c>
      <c r="Q379">
        <f t="shared" si="51"/>
        <v>4.8224082292015252E-3</v>
      </c>
      <c r="R379">
        <f t="shared" si="52"/>
        <v>0</v>
      </c>
      <c r="S379">
        <f t="shared" si="53"/>
        <v>0</v>
      </c>
    </row>
    <row r="380" spans="1:19" x14ac:dyDescent="0.3">
      <c r="A380" t="s">
        <v>138</v>
      </c>
      <c r="B380">
        <v>2010</v>
      </c>
      <c r="C380">
        <v>1.5474670585117914E-3</v>
      </c>
      <c r="D380">
        <v>1.1870980174884976E-2</v>
      </c>
      <c r="E380">
        <v>6.7429479921952157E-3</v>
      </c>
      <c r="F380">
        <v>0.14944908823741959</v>
      </c>
      <c r="G380">
        <v>0.28328089995904898</v>
      </c>
      <c r="H380">
        <v>13.852637735045558</v>
      </c>
      <c r="I380">
        <v>1.7543228676588158E-2</v>
      </c>
      <c r="J380">
        <v>0</v>
      </c>
      <c r="K380" s="1">
        <f t="shared" si="45"/>
        <v>1.5474670585117914E-3</v>
      </c>
      <c r="L380" s="1">
        <f t="shared" si="46"/>
        <v>1.1870980174884976E-2</v>
      </c>
      <c r="M380">
        <f t="shared" si="47"/>
        <v>6.7429479921952157E-3</v>
      </c>
      <c r="N380">
        <f t="shared" si="48"/>
        <v>0.14944908823741959</v>
      </c>
      <c r="O380">
        <f t="shared" si="49"/>
        <v>0.28328089995904898</v>
      </c>
      <c r="P380">
        <f t="shared" si="50"/>
        <v>13.852637735045558</v>
      </c>
      <c r="Q380">
        <f t="shared" si="51"/>
        <v>1.7543228676588158E-2</v>
      </c>
      <c r="R380">
        <f t="shared" si="52"/>
        <v>0</v>
      </c>
      <c r="S380">
        <f t="shared" si="53"/>
        <v>0</v>
      </c>
    </row>
    <row r="381" spans="1:19" x14ac:dyDescent="0.3">
      <c r="A381" t="s">
        <v>139</v>
      </c>
      <c r="B381">
        <v>2009</v>
      </c>
      <c r="C381">
        <v>8.199347169190541E-3</v>
      </c>
      <c r="D381">
        <v>6.1274318813475677E-2</v>
      </c>
      <c r="E381">
        <v>5.3135579279115476E-2</v>
      </c>
      <c r="F381">
        <v>0.43420608327489024</v>
      </c>
      <c r="G381">
        <v>0.82661411118903516</v>
      </c>
      <c r="H381">
        <v>12.350147015140626</v>
      </c>
      <c r="I381">
        <v>5.8399832955582584E-4</v>
      </c>
      <c r="J381">
        <v>0</v>
      </c>
      <c r="K381" s="1">
        <f t="shared" si="45"/>
        <v>8.199347169190541E-3</v>
      </c>
      <c r="L381" s="1">
        <f t="shared" si="46"/>
        <v>6.1274318813475677E-2</v>
      </c>
      <c r="M381">
        <f t="shared" si="47"/>
        <v>5.3135579279115476E-2</v>
      </c>
      <c r="N381">
        <f t="shared" si="48"/>
        <v>0.43420608327489024</v>
      </c>
      <c r="O381">
        <f t="shared" si="49"/>
        <v>0.82661411118903516</v>
      </c>
      <c r="P381">
        <f t="shared" si="50"/>
        <v>12.350147015140626</v>
      </c>
      <c r="Q381">
        <f t="shared" si="51"/>
        <v>5.8399832955582584E-4</v>
      </c>
      <c r="R381">
        <f t="shared" si="52"/>
        <v>0</v>
      </c>
      <c r="S381">
        <f t="shared" si="53"/>
        <v>0</v>
      </c>
    </row>
    <row r="382" spans="1:19" x14ac:dyDescent="0.3">
      <c r="A382" t="s">
        <v>139</v>
      </c>
      <c r="B382">
        <v>2010</v>
      </c>
      <c r="C382">
        <v>9.7437276978218045E-3</v>
      </c>
      <c r="D382">
        <v>5.3169184027090963E-2</v>
      </c>
      <c r="E382">
        <v>2.3182397202288173E-3</v>
      </c>
      <c r="F382">
        <v>0.43430994785938648</v>
      </c>
      <c r="G382">
        <v>0.77778869205389711</v>
      </c>
      <c r="H382">
        <v>12.440266912151461</v>
      </c>
      <c r="I382">
        <v>5.7822103819691814E-4</v>
      </c>
      <c r="J382">
        <v>4.3951609712870581E-3</v>
      </c>
      <c r="K382" s="1">
        <f t="shared" si="45"/>
        <v>9.7437276978218045E-3</v>
      </c>
      <c r="L382" s="1">
        <f t="shared" si="46"/>
        <v>5.3169184027090963E-2</v>
      </c>
      <c r="M382">
        <f t="shared" si="47"/>
        <v>2.3182397202288173E-3</v>
      </c>
      <c r="N382">
        <f t="shared" si="48"/>
        <v>0.43430994785938648</v>
      </c>
      <c r="O382">
        <f t="shared" si="49"/>
        <v>0.77778869205389711</v>
      </c>
      <c r="P382">
        <f t="shared" si="50"/>
        <v>12.440266912151461</v>
      </c>
      <c r="Q382">
        <f t="shared" si="51"/>
        <v>5.7822103819691814E-4</v>
      </c>
      <c r="R382">
        <f t="shared" si="52"/>
        <v>4.3951609712870581E-3</v>
      </c>
      <c r="S382">
        <f t="shared" si="53"/>
        <v>0</v>
      </c>
    </row>
    <row r="383" spans="1:19" x14ac:dyDescent="0.3">
      <c r="A383" t="s">
        <v>140</v>
      </c>
      <c r="B383">
        <v>2007</v>
      </c>
      <c r="C383">
        <v>1.9177498401875133E-5</v>
      </c>
      <c r="D383">
        <v>3.5810782015768164E-2</v>
      </c>
      <c r="E383">
        <v>1.6565096952908587E-2</v>
      </c>
      <c r="F383">
        <v>0</v>
      </c>
      <c r="G383">
        <v>0.43584998934583419</v>
      </c>
      <c r="H383">
        <v>13.058997501782509</v>
      </c>
      <c r="I383">
        <v>5.5761539541283245E-3</v>
      </c>
      <c r="J383">
        <v>0</v>
      </c>
      <c r="K383" s="1">
        <f t="shared" si="45"/>
        <v>1.9177498401875133E-5</v>
      </c>
      <c r="L383" s="1">
        <f t="shared" si="46"/>
        <v>3.5810782015768164E-2</v>
      </c>
      <c r="M383">
        <f t="shared" si="47"/>
        <v>1.6565096952908587E-2</v>
      </c>
      <c r="N383">
        <f t="shared" si="48"/>
        <v>0</v>
      </c>
      <c r="O383">
        <f t="shared" si="49"/>
        <v>0.43584998934583419</v>
      </c>
      <c r="P383">
        <f t="shared" si="50"/>
        <v>13.058997501782509</v>
      </c>
      <c r="Q383">
        <f t="shared" si="51"/>
        <v>5.5761539541283245E-3</v>
      </c>
      <c r="R383">
        <f t="shared" si="52"/>
        <v>0</v>
      </c>
      <c r="S383">
        <f t="shared" si="53"/>
        <v>0</v>
      </c>
    </row>
    <row r="384" spans="1:19" x14ac:dyDescent="0.3">
      <c r="A384" t="s">
        <v>140</v>
      </c>
      <c r="B384">
        <v>2009</v>
      </c>
      <c r="C384">
        <v>4.0590980256913439E-4</v>
      </c>
      <c r="D384">
        <v>6.1036016102106155E-2</v>
      </c>
      <c r="E384">
        <v>-3.6104608754833531E-3</v>
      </c>
      <c r="F384">
        <v>0.46737614410103184</v>
      </c>
      <c r="G384">
        <v>0.61682450352348017</v>
      </c>
      <c r="H384">
        <v>12.699728712425509</v>
      </c>
      <c r="I384">
        <v>4.4015184634662793E-4</v>
      </c>
      <c r="J384">
        <v>0</v>
      </c>
      <c r="K384" s="1">
        <f t="shared" si="45"/>
        <v>4.0590980256913439E-4</v>
      </c>
      <c r="L384" s="1">
        <f t="shared" si="46"/>
        <v>6.1036016102106155E-2</v>
      </c>
      <c r="M384">
        <f t="shared" si="47"/>
        <v>-3.6104608754833531E-3</v>
      </c>
      <c r="N384">
        <f t="shared" si="48"/>
        <v>0.46737614410103184</v>
      </c>
      <c r="O384">
        <f t="shared" si="49"/>
        <v>0.61682450352348017</v>
      </c>
      <c r="P384">
        <f t="shared" si="50"/>
        <v>12.699728712425509</v>
      </c>
      <c r="Q384">
        <f t="shared" si="51"/>
        <v>4.4015184634662793E-4</v>
      </c>
      <c r="R384">
        <f t="shared" si="52"/>
        <v>0</v>
      </c>
      <c r="S384">
        <f t="shared" si="53"/>
        <v>0</v>
      </c>
    </row>
    <row r="385" spans="1:19" x14ac:dyDescent="0.3">
      <c r="A385" t="s">
        <v>140</v>
      </c>
      <c r="B385">
        <v>2010</v>
      </c>
      <c r="C385">
        <v>4.0590980256913439E-4</v>
      </c>
      <c r="D385">
        <v>6.1036016102106155E-2</v>
      </c>
      <c r="E385">
        <v>-3.6104608754833531E-3</v>
      </c>
      <c r="F385">
        <v>0.46737614410103184</v>
      </c>
      <c r="G385">
        <v>0.55656356150754294</v>
      </c>
      <c r="H385">
        <v>12.699728712425509</v>
      </c>
      <c r="I385">
        <v>0</v>
      </c>
      <c r="J385">
        <v>0</v>
      </c>
      <c r="K385" s="1">
        <f t="shared" si="45"/>
        <v>4.0590980256913439E-4</v>
      </c>
      <c r="L385" s="1">
        <f t="shared" si="46"/>
        <v>6.1036016102106155E-2</v>
      </c>
      <c r="M385">
        <f t="shared" si="47"/>
        <v>-3.6104608754833531E-3</v>
      </c>
      <c r="N385">
        <f t="shared" si="48"/>
        <v>0.46737614410103184</v>
      </c>
      <c r="O385">
        <f t="shared" si="49"/>
        <v>0.55656356150754294</v>
      </c>
      <c r="P385">
        <f t="shared" si="50"/>
        <v>12.699728712425509</v>
      </c>
      <c r="Q385">
        <f t="shared" si="51"/>
        <v>0</v>
      </c>
      <c r="R385">
        <f t="shared" si="52"/>
        <v>0</v>
      </c>
      <c r="S385">
        <f t="shared" si="53"/>
        <v>0</v>
      </c>
    </row>
    <row r="386" spans="1:19" x14ac:dyDescent="0.3">
      <c r="A386" t="s">
        <v>141</v>
      </c>
      <c r="B386">
        <v>2009</v>
      </c>
      <c r="C386">
        <v>6.5836979284551206E-2</v>
      </c>
      <c r="D386">
        <v>0.12899525568537656</v>
      </c>
      <c r="E386">
        <v>6.7747670143779762E-2</v>
      </c>
      <c r="F386">
        <v>0.47855279725581285</v>
      </c>
      <c r="G386">
        <v>1.4287635885389314</v>
      </c>
      <c r="H386">
        <v>13.721355910275484</v>
      </c>
      <c r="I386">
        <v>4.365054593519499E-2</v>
      </c>
      <c r="J386">
        <v>0</v>
      </c>
      <c r="K386" s="1">
        <f t="shared" si="45"/>
        <v>6.5836979284551206E-2</v>
      </c>
      <c r="L386" s="1">
        <f t="shared" si="46"/>
        <v>0.12899525568537656</v>
      </c>
      <c r="M386">
        <f t="shared" si="47"/>
        <v>6.7747670143779762E-2</v>
      </c>
      <c r="N386">
        <f t="shared" si="48"/>
        <v>0.47855279725581285</v>
      </c>
      <c r="O386">
        <f t="shared" si="49"/>
        <v>1.4287635885389314</v>
      </c>
      <c r="P386">
        <f t="shared" si="50"/>
        <v>13.721355910275484</v>
      </c>
      <c r="Q386">
        <f t="shared" si="51"/>
        <v>4.365054593519499E-2</v>
      </c>
      <c r="R386">
        <f t="shared" si="52"/>
        <v>0</v>
      </c>
      <c r="S386">
        <f t="shared" si="53"/>
        <v>0</v>
      </c>
    </row>
    <row r="387" spans="1:19" x14ac:dyDescent="0.3">
      <c r="A387" t="s">
        <v>141</v>
      </c>
      <c r="B387">
        <v>2010</v>
      </c>
      <c r="C387">
        <v>7.1087827951592339E-2</v>
      </c>
      <c r="D387">
        <v>4.4123479418229729E-2</v>
      </c>
      <c r="E387">
        <v>1.8694743886490115E-3</v>
      </c>
      <c r="F387">
        <v>0.67957896120560557</v>
      </c>
      <c r="G387">
        <v>1.2036068980094541</v>
      </c>
      <c r="H387">
        <v>14.107343254645327</v>
      </c>
      <c r="I387">
        <v>9.8283686629003983E-3</v>
      </c>
      <c r="J387">
        <v>0</v>
      </c>
      <c r="K387" s="1">
        <f t="shared" ref="K387:K450" si="54">IF(OR(C387&lt;$C$1007-3*$C$1008,C387&gt;$C$1007+3*$C$1008),"out",C387)</f>
        <v>7.1087827951592339E-2</v>
      </c>
      <c r="L387" s="1">
        <f t="shared" ref="L387:L450" si="55">IF(OR(D387&lt;$D$1007-3*$D$1008,D387&gt;$D$1007+3*$D$1008),"out",D387)</f>
        <v>4.4123479418229729E-2</v>
      </c>
      <c r="M387">
        <f t="shared" ref="M387:M450" si="56">IF(OR(E387&lt;$E$1007-3*$E$1008,E387&gt;$E$1007+3*$E$1008),"out",E387)</f>
        <v>1.8694743886490115E-3</v>
      </c>
      <c r="N387">
        <f t="shared" ref="N387:N450" si="57">IF(OR(F387&lt;$F$1007-3*$F$1008,F387&gt;$F$1007+3*$F$1008),"out",F387)</f>
        <v>0.67957896120560557</v>
      </c>
      <c r="O387">
        <f t="shared" ref="O387:O450" si="58">IF(OR(G387&lt;$G$1007-3*$G$1008,G387&gt;$G$1007+3*$G$1008),"out",G387)</f>
        <v>1.2036068980094541</v>
      </c>
      <c r="P387">
        <f t="shared" ref="P387:P450" si="59">IF(OR(H387&lt;$H$1007-3*$H$1008,H387&gt;$H$1007+3*$H$1008),"out",H387)</f>
        <v>14.107343254645327</v>
      </c>
      <c r="Q387">
        <f t="shared" ref="Q387:Q450" si="60">IF(OR(I387&lt;$I$1007-3*$I$1008,I387&gt;$I$1007+3*$I$1008),"out",I387)</f>
        <v>9.8283686629003983E-3</v>
      </c>
      <c r="R387">
        <f t="shared" ref="R387:R450" si="61">IF(OR(J387&lt;$J$1007-3*$J$1008,J387&gt;$J$1007+3*$J$1008),"out",J387)</f>
        <v>0</v>
      </c>
      <c r="S387">
        <f t="shared" ref="S387:S450" si="62">IF(OR(K387="out",L387="out",M387="out",N387="out",O387="out",P387="out",Q387="out",R387="out"),1,0)</f>
        <v>0</v>
      </c>
    </row>
    <row r="388" spans="1:19" x14ac:dyDescent="0.3">
      <c r="A388" t="s">
        <v>142</v>
      </c>
      <c r="B388">
        <v>2007</v>
      </c>
      <c r="C388">
        <v>1.8712368055220561E-2</v>
      </c>
      <c r="D388">
        <v>0.18541163262889696</v>
      </c>
      <c r="E388">
        <v>-0.27460389157614534</v>
      </c>
      <c r="F388">
        <v>0.20734900079375174</v>
      </c>
      <c r="G388">
        <v>0.71980300923997176</v>
      </c>
      <c r="H388">
        <v>13.946674776040568</v>
      </c>
      <c r="I388">
        <v>3.2604990418762581E-2</v>
      </c>
      <c r="J388">
        <v>0</v>
      </c>
      <c r="K388" s="1">
        <f t="shared" si="54"/>
        <v>1.8712368055220561E-2</v>
      </c>
      <c r="L388" s="1">
        <f t="shared" si="55"/>
        <v>0.18541163262889696</v>
      </c>
      <c r="M388">
        <f t="shared" si="56"/>
        <v>-0.27460389157614534</v>
      </c>
      <c r="N388">
        <f t="shared" si="57"/>
        <v>0.20734900079375174</v>
      </c>
      <c r="O388">
        <f t="shared" si="58"/>
        <v>0.71980300923997176</v>
      </c>
      <c r="P388">
        <f t="shared" si="59"/>
        <v>13.946674776040568</v>
      </c>
      <c r="Q388">
        <f t="shared" si="60"/>
        <v>3.2604990418762581E-2</v>
      </c>
      <c r="R388">
        <f t="shared" si="61"/>
        <v>0</v>
      </c>
      <c r="S388">
        <f t="shared" si="62"/>
        <v>0</v>
      </c>
    </row>
    <row r="389" spans="1:19" x14ac:dyDescent="0.3">
      <c r="A389" t="s">
        <v>142</v>
      </c>
      <c r="B389">
        <v>2009</v>
      </c>
      <c r="C389">
        <v>4.329171665460671E-2</v>
      </c>
      <c r="D389">
        <v>0.17789264201092544</v>
      </c>
      <c r="E389">
        <v>9.6258898638992396E-2</v>
      </c>
      <c r="F389">
        <v>0.28593573102599218</v>
      </c>
      <c r="G389">
        <v>0.71445443024747657</v>
      </c>
      <c r="H389">
        <v>14.056735255676323</v>
      </c>
      <c r="I389">
        <v>1.0027348092480425E-2</v>
      </c>
      <c r="J389">
        <v>4.5285734600768223E-3</v>
      </c>
      <c r="K389" s="1">
        <f t="shared" si="54"/>
        <v>4.329171665460671E-2</v>
      </c>
      <c r="L389" s="1">
        <f t="shared" si="55"/>
        <v>0.17789264201092544</v>
      </c>
      <c r="M389">
        <f t="shared" si="56"/>
        <v>9.6258898638992396E-2</v>
      </c>
      <c r="N389">
        <f t="shared" si="57"/>
        <v>0.28593573102599218</v>
      </c>
      <c r="O389">
        <f t="shared" si="58"/>
        <v>0.71445443024747657</v>
      </c>
      <c r="P389">
        <f t="shared" si="59"/>
        <v>14.056735255676323</v>
      </c>
      <c r="Q389">
        <f t="shared" si="60"/>
        <v>1.0027348092480425E-2</v>
      </c>
      <c r="R389">
        <f t="shared" si="61"/>
        <v>4.5285734600768223E-3</v>
      </c>
      <c r="S389">
        <f t="shared" si="62"/>
        <v>0</v>
      </c>
    </row>
    <row r="390" spans="1:19" x14ac:dyDescent="0.3">
      <c r="A390" t="s">
        <v>142</v>
      </c>
      <c r="B390">
        <v>2010</v>
      </c>
      <c r="C390">
        <v>2.8915439835355477E-2</v>
      </c>
      <c r="D390">
        <v>0.15130108875093104</v>
      </c>
      <c r="E390">
        <v>0.19260982946804414</v>
      </c>
      <c r="F390">
        <v>0.24952620586334029</v>
      </c>
      <c r="G390">
        <v>0.6193128161101884</v>
      </c>
      <c r="H390">
        <v>13.979992259963229</v>
      </c>
      <c r="I390">
        <v>1.5857795495455764E-2</v>
      </c>
      <c r="J390">
        <v>1.2223634225836499E-2</v>
      </c>
      <c r="K390" s="1">
        <f t="shared" si="54"/>
        <v>2.8915439835355477E-2</v>
      </c>
      <c r="L390" s="1">
        <f t="shared" si="55"/>
        <v>0.15130108875093104</v>
      </c>
      <c r="M390">
        <f t="shared" si="56"/>
        <v>0.19260982946804414</v>
      </c>
      <c r="N390">
        <f t="shared" si="57"/>
        <v>0.24952620586334029</v>
      </c>
      <c r="O390">
        <f t="shared" si="58"/>
        <v>0.6193128161101884</v>
      </c>
      <c r="P390">
        <f t="shared" si="59"/>
        <v>13.979992259963229</v>
      </c>
      <c r="Q390">
        <f t="shared" si="60"/>
        <v>1.5857795495455764E-2</v>
      </c>
      <c r="R390">
        <f t="shared" si="61"/>
        <v>1.2223634225836499E-2</v>
      </c>
      <c r="S390">
        <f t="shared" si="62"/>
        <v>0</v>
      </c>
    </row>
    <row r="391" spans="1:19" x14ac:dyDescent="0.3">
      <c r="A391" t="s">
        <v>143</v>
      </c>
      <c r="B391">
        <v>2007</v>
      </c>
      <c r="C391">
        <v>2.2129996814942703E-2</v>
      </c>
      <c r="D391">
        <v>0.16177015368926689</v>
      </c>
      <c r="E391">
        <v>-4.1254010369890411E-2</v>
      </c>
      <c r="F391">
        <v>0.24164674297134406</v>
      </c>
      <c r="G391">
        <v>1.1809891721721681</v>
      </c>
      <c r="H391">
        <v>14.196055727645506</v>
      </c>
      <c r="I391">
        <v>1.5517217843026348E-2</v>
      </c>
      <c r="J391">
        <v>0</v>
      </c>
      <c r="K391" s="1">
        <f t="shared" si="54"/>
        <v>2.2129996814942703E-2</v>
      </c>
      <c r="L391" s="1">
        <f t="shared" si="55"/>
        <v>0.16177015368926689</v>
      </c>
      <c r="M391">
        <f t="shared" si="56"/>
        <v>-4.1254010369890411E-2</v>
      </c>
      <c r="N391">
        <f t="shared" si="57"/>
        <v>0.24164674297134406</v>
      </c>
      <c r="O391">
        <f t="shared" si="58"/>
        <v>1.1809891721721681</v>
      </c>
      <c r="P391">
        <f t="shared" si="59"/>
        <v>14.196055727645506</v>
      </c>
      <c r="Q391">
        <f t="shared" si="60"/>
        <v>1.5517217843026348E-2</v>
      </c>
      <c r="R391">
        <f t="shared" si="61"/>
        <v>0</v>
      </c>
      <c r="S391">
        <f t="shared" si="62"/>
        <v>0</v>
      </c>
    </row>
    <row r="392" spans="1:19" x14ac:dyDescent="0.3">
      <c r="A392" t="s">
        <v>143</v>
      </c>
      <c r="B392">
        <v>2009</v>
      </c>
      <c r="C392">
        <v>3.349966176165248E-3</v>
      </c>
      <c r="D392">
        <v>0.12922794585507325</v>
      </c>
      <c r="E392">
        <v>-3.884717654702183E-5</v>
      </c>
      <c r="F392">
        <v>0.49948226090567505</v>
      </c>
      <c r="G392">
        <v>1.1426737573926846</v>
      </c>
      <c r="H392">
        <v>15.132608901964536</v>
      </c>
      <c r="I392">
        <v>8.0960849550868255E-3</v>
      </c>
      <c r="J392">
        <v>1.8606190096649097E-2</v>
      </c>
      <c r="K392" s="1">
        <f t="shared" si="54"/>
        <v>3.349966176165248E-3</v>
      </c>
      <c r="L392" s="1">
        <f t="shared" si="55"/>
        <v>0.12922794585507325</v>
      </c>
      <c r="M392">
        <f t="shared" si="56"/>
        <v>-3.884717654702183E-5</v>
      </c>
      <c r="N392">
        <f t="shared" si="57"/>
        <v>0.49948226090567505</v>
      </c>
      <c r="O392">
        <f t="shared" si="58"/>
        <v>1.1426737573926846</v>
      </c>
      <c r="P392">
        <f t="shared" si="59"/>
        <v>15.132608901964536</v>
      </c>
      <c r="Q392">
        <f t="shared" si="60"/>
        <v>8.0960849550868255E-3</v>
      </c>
      <c r="R392">
        <f t="shared" si="61"/>
        <v>1.8606190096649097E-2</v>
      </c>
      <c r="S392">
        <f t="shared" si="62"/>
        <v>0</v>
      </c>
    </row>
    <row r="393" spans="1:19" x14ac:dyDescent="0.3">
      <c r="A393" t="s">
        <v>143</v>
      </c>
      <c r="B393">
        <v>2010</v>
      </c>
      <c r="C393">
        <v>7.3319758626392839E-3</v>
      </c>
      <c r="D393">
        <v>9.8847107270226137E-2</v>
      </c>
      <c r="E393">
        <v>-3.0202650038971161E-2</v>
      </c>
      <c r="F393">
        <v>0.42861889571475686</v>
      </c>
      <c r="G393">
        <v>1.0992001503385589</v>
      </c>
      <c r="H393">
        <v>15.21147897415293</v>
      </c>
      <c r="I393">
        <v>1.5776092904800434E-3</v>
      </c>
      <c r="J393">
        <v>2.1494056278912689E-2</v>
      </c>
      <c r="K393" s="1">
        <f t="shared" si="54"/>
        <v>7.3319758626392839E-3</v>
      </c>
      <c r="L393" s="1">
        <f t="shared" si="55"/>
        <v>9.8847107270226137E-2</v>
      </c>
      <c r="M393">
        <f t="shared" si="56"/>
        <v>-3.0202650038971161E-2</v>
      </c>
      <c r="N393">
        <f t="shared" si="57"/>
        <v>0.42861889571475686</v>
      </c>
      <c r="O393">
        <f t="shared" si="58"/>
        <v>1.0992001503385589</v>
      </c>
      <c r="P393">
        <f t="shared" si="59"/>
        <v>15.21147897415293</v>
      </c>
      <c r="Q393">
        <f t="shared" si="60"/>
        <v>1.5776092904800434E-3</v>
      </c>
      <c r="R393">
        <f t="shared" si="61"/>
        <v>2.1494056278912689E-2</v>
      </c>
      <c r="S393">
        <f t="shared" si="62"/>
        <v>0</v>
      </c>
    </row>
    <row r="394" spans="1:19" x14ac:dyDescent="0.3">
      <c r="A394" t="s">
        <v>144</v>
      </c>
      <c r="B394">
        <v>2007</v>
      </c>
      <c r="C394">
        <v>2.0357441028132677E-2</v>
      </c>
      <c r="D394">
        <v>6.5651752903256713E-2</v>
      </c>
      <c r="E394">
        <v>-0.11313591073640414</v>
      </c>
      <c r="F394">
        <v>0.16664813281415736</v>
      </c>
      <c r="G394">
        <v>0.79571474519089302</v>
      </c>
      <c r="H394">
        <v>14.664833794463275</v>
      </c>
      <c r="I394">
        <v>1.8956077847841216E-2</v>
      </c>
      <c r="J394">
        <v>1.2831128660293303E-2</v>
      </c>
      <c r="K394" s="1">
        <f t="shared" si="54"/>
        <v>2.0357441028132677E-2</v>
      </c>
      <c r="L394" s="1">
        <f t="shared" si="55"/>
        <v>6.5651752903256713E-2</v>
      </c>
      <c r="M394">
        <f t="shared" si="56"/>
        <v>-0.11313591073640414</v>
      </c>
      <c r="N394">
        <f t="shared" si="57"/>
        <v>0.16664813281415736</v>
      </c>
      <c r="O394">
        <f t="shared" si="58"/>
        <v>0.79571474519089302</v>
      </c>
      <c r="P394">
        <f t="shared" si="59"/>
        <v>14.664833794463275</v>
      </c>
      <c r="Q394">
        <f t="shared" si="60"/>
        <v>1.8956077847841216E-2</v>
      </c>
      <c r="R394">
        <f t="shared" si="61"/>
        <v>1.2831128660293303E-2</v>
      </c>
      <c r="S394">
        <f t="shared" si="62"/>
        <v>0</v>
      </c>
    </row>
    <row r="395" spans="1:19" x14ac:dyDescent="0.3">
      <c r="A395" t="s">
        <v>144</v>
      </c>
      <c r="B395">
        <v>2008</v>
      </c>
      <c r="C395">
        <v>2.2846731992734643E-2</v>
      </c>
      <c r="D395">
        <v>9.5413438369203699E-2</v>
      </c>
      <c r="E395">
        <v>-0.13946589344671725</v>
      </c>
      <c r="F395">
        <v>0.26127213680229977</v>
      </c>
      <c r="G395">
        <v>0.69078052803619749</v>
      </c>
      <c r="H395">
        <v>15.144103240055344</v>
      </c>
      <c r="I395">
        <v>9.1291165692179172E-3</v>
      </c>
      <c r="J395">
        <v>1.4755043136075022E-2</v>
      </c>
      <c r="K395" s="1">
        <f t="shared" si="54"/>
        <v>2.2846731992734643E-2</v>
      </c>
      <c r="L395" s="1">
        <f t="shared" si="55"/>
        <v>9.5413438369203699E-2</v>
      </c>
      <c r="M395">
        <f t="shared" si="56"/>
        <v>-0.13946589344671725</v>
      </c>
      <c r="N395">
        <f t="shared" si="57"/>
        <v>0.26127213680229977</v>
      </c>
      <c r="O395">
        <f t="shared" si="58"/>
        <v>0.69078052803619749</v>
      </c>
      <c r="P395">
        <f t="shared" si="59"/>
        <v>15.144103240055344</v>
      </c>
      <c r="Q395">
        <f t="shared" si="60"/>
        <v>9.1291165692179172E-3</v>
      </c>
      <c r="R395">
        <f t="shared" si="61"/>
        <v>1.4755043136075022E-2</v>
      </c>
      <c r="S395">
        <f t="shared" si="62"/>
        <v>0</v>
      </c>
    </row>
    <row r="396" spans="1:19" x14ac:dyDescent="0.3">
      <c r="A396" t="s">
        <v>144</v>
      </c>
      <c r="B396">
        <v>2009</v>
      </c>
      <c r="C396">
        <v>2.8339962795071529E-2</v>
      </c>
      <c r="D396">
        <v>0.10001020321758992</v>
      </c>
      <c r="E396">
        <v>1.0391503770194087E-2</v>
      </c>
      <c r="F396">
        <v>0.3190151686081707</v>
      </c>
      <c r="G396">
        <v>0.69747959487966782</v>
      </c>
      <c r="H396">
        <v>15.151227684054383</v>
      </c>
      <c r="I396">
        <v>1.5449707250057584E-2</v>
      </c>
      <c r="J396">
        <v>1.9533639324673221E-2</v>
      </c>
      <c r="K396" s="1">
        <f t="shared" si="54"/>
        <v>2.8339962795071529E-2</v>
      </c>
      <c r="L396" s="1">
        <f t="shared" si="55"/>
        <v>0.10001020321758992</v>
      </c>
      <c r="M396">
        <f t="shared" si="56"/>
        <v>1.0391503770194087E-2</v>
      </c>
      <c r="N396">
        <f t="shared" si="57"/>
        <v>0.3190151686081707</v>
      </c>
      <c r="O396">
        <f t="shared" si="58"/>
        <v>0.69747959487966782</v>
      </c>
      <c r="P396">
        <f t="shared" si="59"/>
        <v>15.151227684054383</v>
      </c>
      <c r="Q396">
        <f t="shared" si="60"/>
        <v>1.5449707250057584E-2</v>
      </c>
      <c r="R396">
        <f t="shared" si="61"/>
        <v>1.9533639324673221E-2</v>
      </c>
      <c r="S396">
        <f t="shared" si="62"/>
        <v>0</v>
      </c>
    </row>
    <row r="397" spans="1:19" x14ac:dyDescent="0.3">
      <c r="A397" t="s">
        <v>144</v>
      </c>
      <c r="B397">
        <v>2010</v>
      </c>
      <c r="C397">
        <v>3.3239993372310463E-2</v>
      </c>
      <c r="D397">
        <v>0.13705730584420195</v>
      </c>
      <c r="E397">
        <v>-9.8451961085994268E-3</v>
      </c>
      <c r="F397">
        <v>0.26640400501810779</v>
      </c>
      <c r="G397">
        <v>0.79071116765687499</v>
      </c>
      <c r="H397">
        <v>15.256458810335213</v>
      </c>
      <c r="I397">
        <v>2.9613998825728918E-2</v>
      </c>
      <c r="J397">
        <v>2.1978365327715577E-2</v>
      </c>
      <c r="K397" s="1">
        <f t="shared" si="54"/>
        <v>3.3239993372310463E-2</v>
      </c>
      <c r="L397" s="1">
        <f t="shared" si="55"/>
        <v>0.13705730584420195</v>
      </c>
      <c r="M397">
        <f t="shared" si="56"/>
        <v>-9.8451961085994268E-3</v>
      </c>
      <c r="N397">
        <f t="shared" si="57"/>
        <v>0.26640400501810779</v>
      </c>
      <c r="O397">
        <f t="shared" si="58"/>
        <v>0.79071116765687499</v>
      </c>
      <c r="P397">
        <f t="shared" si="59"/>
        <v>15.256458810335213</v>
      </c>
      <c r="Q397">
        <f t="shared" si="60"/>
        <v>2.9613998825728918E-2</v>
      </c>
      <c r="R397">
        <f t="shared" si="61"/>
        <v>2.1978365327715577E-2</v>
      </c>
      <c r="S397">
        <f t="shared" si="62"/>
        <v>0</v>
      </c>
    </row>
    <row r="398" spans="1:19" x14ac:dyDescent="0.3">
      <c r="A398" t="s">
        <v>145</v>
      </c>
      <c r="B398">
        <v>2007</v>
      </c>
      <c r="C398">
        <v>7.4936368348053076E-2</v>
      </c>
      <c r="D398">
        <v>0.15870667749401454</v>
      </c>
      <c r="E398">
        <v>-0.29509453995312346</v>
      </c>
      <c r="F398">
        <v>0.65865002276680706</v>
      </c>
      <c r="G398">
        <v>0.98561578442666475</v>
      </c>
      <c r="H398">
        <v>13.767519174684427</v>
      </c>
      <c r="I398">
        <v>4.6678269231129763E-2</v>
      </c>
      <c r="J398">
        <v>0</v>
      </c>
      <c r="K398" s="1">
        <f t="shared" si="54"/>
        <v>7.4936368348053076E-2</v>
      </c>
      <c r="L398" s="1">
        <f t="shared" si="55"/>
        <v>0.15870667749401454</v>
      </c>
      <c r="M398">
        <f t="shared" si="56"/>
        <v>-0.29509453995312346</v>
      </c>
      <c r="N398">
        <f t="shared" si="57"/>
        <v>0.65865002276680706</v>
      </c>
      <c r="O398">
        <f t="shared" si="58"/>
        <v>0.98561578442666475</v>
      </c>
      <c r="P398">
        <f t="shared" si="59"/>
        <v>13.767519174684427</v>
      </c>
      <c r="Q398">
        <f t="shared" si="60"/>
        <v>4.6678269231129763E-2</v>
      </c>
      <c r="R398">
        <f t="shared" si="61"/>
        <v>0</v>
      </c>
      <c r="S398">
        <f t="shared" si="62"/>
        <v>0</v>
      </c>
    </row>
    <row r="399" spans="1:19" x14ac:dyDescent="0.3">
      <c r="A399" t="s">
        <v>145</v>
      </c>
      <c r="B399">
        <v>2009</v>
      </c>
      <c r="C399">
        <v>6.5159086835480089E-3</v>
      </c>
      <c r="D399">
        <v>0.15009858138184951</v>
      </c>
      <c r="E399">
        <v>-0.19348343355910855</v>
      </c>
      <c r="F399">
        <v>0.28751806777202787</v>
      </c>
      <c r="G399">
        <v>0.74703413102855165</v>
      </c>
      <c r="H399">
        <v>14.011286201274476</v>
      </c>
      <c r="I399">
        <v>5.142523248930482E-2</v>
      </c>
      <c r="J399">
        <v>0</v>
      </c>
      <c r="K399" s="1">
        <f t="shared" si="54"/>
        <v>6.5159086835480089E-3</v>
      </c>
      <c r="L399" s="1">
        <f t="shared" si="55"/>
        <v>0.15009858138184951</v>
      </c>
      <c r="M399">
        <f t="shared" si="56"/>
        <v>-0.19348343355910855</v>
      </c>
      <c r="N399">
        <f t="shared" si="57"/>
        <v>0.28751806777202787</v>
      </c>
      <c r="O399">
        <f t="shared" si="58"/>
        <v>0.74703413102855165</v>
      </c>
      <c r="P399">
        <f t="shared" si="59"/>
        <v>14.011286201274476</v>
      </c>
      <c r="Q399">
        <f t="shared" si="60"/>
        <v>5.142523248930482E-2</v>
      </c>
      <c r="R399">
        <f t="shared" si="61"/>
        <v>0</v>
      </c>
      <c r="S399">
        <f t="shared" si="62"/>
        <v>0</v>
      </c>
    </row>
    <row r="400" spans="1:19" x14ac:dyDescent="0.3">
      <c r="A400" t="s">
        <v>145</v>
      </c>
      <c r="B400">
        <v>2010</v>
      </c>
      <c r="C400">
        <v>1.7962005820100838E-3</v>
      </c>
      <c r="D400">
        <v>0.30688831793263993</v>
      </c>
      <c r="E400">
        <v>-6.5754810915214706E-2</v>
      </c>
      <c r="F400">
        <v>0.66390758385337245</v>
      </c>
      <c r="G400">
        <v>1.4494741447285622</v>
      </c>
      <c r="H400">
        <v>13.970821421660736</v>
      </c>
      <c r="I400">
        <v>5.3843890194501871E-2</v>
      </c>
      <c r="J400">
        <v>0</v>
      </c>
      <c r="K400" s="1">
        <f t="shared" si="54"/>
        <v>1.7962005820100838E-3</v>
      </c>
      <c r="L400" s="1">
        <f t="shared" si="55"/>
        <v>0.30688831793263993</v>
      </c>
      <c r="M400">
        <f t="shared" si="56"/>
        <v>-6.5754810915214706E-2</v>
      </c>
      <c r="N400">
        <f t="shared" si="57"/>
        <v>0.66390758385337245</v>
      </c>
      <c r="O400">
        <f t="shared" si="58"/>
        <v>1.4494741447285622</v>
      </c>
      <c r="P400">
        <f t="shared" si="59"/>
        <v>13.970821421660736</v>
      </c>
      <c r="Q400">
        <f t="shared" si="60"/>
        <v>5.3843890194501871E-2</v>
      </c>
      <c r="R400">
        <f t="shared" si="61"/>
        <v>0</v>
      </c>
      <c r="S400">
        <f t="shared" si="62"/>
        <v>0</v>
      </c>
    </row>
    <row r="401" spans="1:19" x14ac:dyDescent="0.3">
      <c r="A401" t="s">
        <v>146</v>
      </c>
      <c r="B401">
        <v>2007</v>
      </c>
      <c r="C401">
        <v>1.2306957895698026E-2</v>
      </c>
      <c r="D401">
        <v>0.16036899490383871</v>
      </c>
      <c r="E401">
        <v>-0.23824611835253784</v>
      </c>
      <c r="F401">
        <v>0.60597073839435667</v>
      </c>
      <c r="G401">
        <v>1.0243338812082374</v>
      </c>
      <c r="H401">
        <v>15.056965256882025</v>
      </c>
      <c r="I401">
        <v>4.1919587319146003E-2</v>
      </c>
      <c r="J401">
        <v>0</v>
      </c>
      <c r="K401" s="1">
        <f t="shared" si="54"/>
        <v>1.2306957895698026E-2</v>
      </c>
      <c r="L401" s="1">
        <f t="shared" si="55"/>
        <v>0.16036899490383871</v>
      </c>
      <c r="M401">
        <f t="shared" si="56"/>
        <v>-0.23824611835253784</v>
      </c>
      <c r="N401">
        <f t="shared" si="57"/>
        <v>0.60597073839435667</v>
      </c>
      <c r="O401">
        <f t="shared" si="58"/>
        <v>1.0243338812082374</v>
      </c>
      <c r="P401">
        <f t="shared" si="59"/>
        <v>15.056965256882025</v>
      </c>
      <c r="Q401">
        <f t="shared" si="60"/>
        <v>4.1919587319146003E-2</v>
      </c>
      <c r="R401">
        <f t="shared" si="61"/>
        <v>0</v>
      </c>
      <c r="S401">
        <f t="shared" si="62"/>
        <v>0</v>
      </c>
    </row>
    <row r="402" spans="1:19" x14ac:dyDescent="0.3">
      <c r="A402" t="s">
        <v>146</v>
      </c>
      <c r="B402">
        <v>2008</v>
      </c>
      <c r="C402">
        <v>1.027179974270603E-2</v>
      </c>
      <c r="D402">
        <v>6.3135486941366378E-2</v>
      </c>
      <c r="E402">
        <v>-0.14938640422474833</v>
      </c>
      <c r="F402">
        <v>0.35094702232460956</v>
      </c>
      <c r="G402">
        <v>0.77265299089269834</v>
      </c>
      <c r="H402">
        <v>15.32163896109941</v>
      </c>
      <c r="I402">
        <v>6.7903665101942644E-3</v>
      </c>
      <c r="J402">
        <v>0</v>
      </c>
      <c r="K402" s="1">
        <f t="shared" si="54"/>
        <v>1.027179974270603E-2</v>
      </c>
      <c r="L402" s="1">
        <f t="shared" si="55"/>
        <v>6.3135486941366378E-2</v>
      </c>
      <c r="M402">
        <f t="shared" si="56"/>
        <v>-0.14938640422474833</v>
      </c>
      <c r="N402">
        <f t="shared" si="57"/>
        <v>0.35094702232460956</v>
      </c>
      <c r="O402">
        <f t="shared" si="58"/>
        <v>0.77265299089269834</v>
      </c>
      <c r="P402">
        <f t="shared" si="59"/>
        <v>15.32163896109941</v>
      </c>
      <c r="Q402">
        <f t="shared" si="60"/>
        <v>6.7903665101942644E-3</v>
      </c>
      <c r="R402">
        <f t="shared" si="61"/>
        <v>0</v>
      </c>
      <c r="S402">
        <f t="shared" si="62"/>
        <v>0</v>
      </c>
    </row>
    <row r="403" spans="1:19" x14ac:dyDescent="0.3">
      <c r="A403" t="s">
        <v>146</v>
      </c>
      <c r="B403">
        <v>2009</v>
      </c>
      <c r="C403">
        <v>5.9316151609040066E-3</v>
      </c>
      <c r="D403">
        <v>0.11255077837069101</v>
      </c>
      <c r="E403">
        <v>-0.11015590041697521</v>
      </c>
      <c r="F403">
        <v>0.61983723767926224</v>
      </c>
      <c r="G403">
        <v>0.87444186926630807</v>
      </c>
      <c r="H403">
        <v>15.078354541842522</v>
      </c>
      <c r="I403">
        <v>2.647941945078704E-2</v>
      </c>
      <c r="J403">
        <v>0</v>
      </c>
      <c r="K403" s="1">
        <f t="shared" si="54"/>
        <v>5.9316151609040066E-3</v>
      </c>
      <c r="L403" s="1">
        <f t="shared" si="55"/>
        <v>0.11255077837069101</v>
      </c>
      <c r="M403">
        <f t="shared" si="56"/>
        <v>-0.11015590041697521</v>
      </c>
      <c r="N403">
        <f t="shared" si="57"/>
        <v>0.61983723767926224</v>
      </c>
      <c r="O403">
        <f t="shared" si="58"/>
        <v>0.87444186926630807</v>
      </c>
      <c r="P403">
        <f t="shared" si="59"/>
        <v>15.078354541842522</v>
      </c>
      <c r="Q403">
        <f t="shared" si="60"/>
        <v>2.647941945078704E-2</v>
      </c>
      <c r="R403">
        <f t="shared" si="61"/>
        <v>0</v>
      </c>
      <c r="S403">
        <f t="shared" si="62"/>
        <v>0</v>
      </c>
    </row>
    <row r="404" spans="1:19" x14ac:dyDescent="0.3">
      <c r="A404" t="s">
        <v>146</v>
      </c>
      <c r="B404">
        <v>2010</v>
      </c>
      <c r="C404">
        <v>1.5393442501725994E-2</v>
      </c>
      <c r="D404">
        <v>0.19644361294989274</v>
      </c>
      <c r="E404">
        <v>-3.2126336678657309E-2</v>
      </c>
      <c r="F404">
        <v>0.4344387983185764</v>
      </c>
      <c r="G404">
        <v>0.79899128028723754</v>
      </c>
      <c r="H404">
        <v>14.905787537595788</v>
      </c>
      <c r="I404">
        <v>2.4966238424917242E-2</v>
      </c>
      <c r="J404">
        <v>9.6440520614783105E-3</v>
      </c>
      <c r="K404" s="1">
        <f t="shared" si="54"/>
        <v>1.5393442501725994E-2</v>
      </c>
      <c r="L404" s="1">
        <f t="shared" si="55"/>
        <v>0.19644361294989274</v>
      </c>
      <c r="M404">
        <f t="shared" si="56"/>
        <v>-3.2126336678657309E-2</v>
      </c>
      <c r="N404">
        <f t="shared" si="57"/>
        <v>0.4344387983185764</v>
      </c>
      <c r="O404">
        <f t="shared" si="58"/>
        <v>0.79899128028723754</v>
      </c>
      <c r="P404">
        <f t="shared" si="59"/>
        <v>14.905787537595788</v>
      </c>
      <c r="Q404">
        <f t="shared" si="60"/>
        <v>2.4966238424917242E-2</v>
      </c>
      <c r="R404">
        <f t="shared" si="61"/>
        <v>9.6440520614783105E-3</v>
      </c>
      <c r="S404">
        <f t="shared" si="62"/>
        <v>0</v>
      </c>
    </row>
    <row r="405" spans="1:19" x14ac:dyDescent="0.3">
      <c r="A405" t="s">
        <v>147</v>
      </c>
      <c r="B405">
        <v>2007</v>
      </c>
      <c r="C405">
        <v>2.15545393327763E-3</v>
      </c>
      <c r="D405">
        <v>9.5920022566601884E-2</v>
      </c>
      <c r="E405">
        <v>-0.27716691177629788</v>
      </c>
      <c r="F405">
        <v>0.33740490271812695</v>
      </c>
      <c r="G405">
        <v>0.81083588202306656</v>
      </c>
      <c r="H405">
        <v>15.77621135553135</v>
      </c>
      <c r="I405">
        <v>1.7506837454407009E-2</v>
      </c>
      <c r="J405">
        <v>0</v>
      </c>
      <c r="K405" s="1">
        <f t="shared" si="54"/>
        <v>2.15545393327763E-3</v>
      </c>
      <c r="L405" s="1">
        <f t="shared" si="55"/>
        <v>9.5920022566601884E-2</v>
      </c>
      <c r="M405">
        <f t="shared" si="56"/>
        <v>-0.27716691177629788</v>
      </c>
      <c r="N405">
        <f t="shared" si="57"/>
        <v>0.33740490271812695</v>
      </c>
      <c r="O405">
        <f t="shared" si="58"/>
        <v>0.81083588202306656</v>
      </c>
      <c r="P405">
        <f t="shared" si="59"/>
        <v>15.77621135553135</v>
      </c>
      <c r="Q405">
        <f t="shared" si="60"/>
        <v>1.7506837454407009E-2</v>
      </c>
      <c r="R405">
        <f t="shared" si="61"/>
        <v>0</v>
      </c>
      <c r="S405">
        <f t="shared" si="62"/>
        <v>0</v>
      </c>
    </row>
    <row r="406" spans="1:19" x14ac:dyDescent="0.3">
      <c r="A406" t="s">
        <v>147</v>
      </c>
      <c r="B406">
        <v>2008</v>
      </c>
      <c r="C406">
        <v>5.0884672371773569E-3</v>
      </c>
      <c r="D406">
        <v>0.15129942925852075</v>
      </c>
      <c r="E406">
        <v>-0.38546253600310182</v>
      </c>
      <c r="F406">
        <v>0.46250628900336027</v>
      </c>
      <c r="G406">
        <v>0.86534800113548249</v>
      </c>
      <c r="H406">
        <v>15.751765098445826</v>
      </c>
      <c r="I406">
        <v>1.4185985827748739E-2</v>
      </c>
      <c r="J406">
        <v>0</v>
      </c>
      <c r="K406" s="1">
        <f t="shared" si="54"/>
        <v>5.0884672371773569E-3</v>
      </c>
      <c r="L406" s="1">
        <f t="shared" si="55"/>
        <v>0.15129942925852075</v>
      </c>
      <c r="M406">
        <f t="shared" si="56"/>
        <v>-0.38546253600310182</v>
      </c>
      <c r="N406">
        <f t="shared" si="57"/>
        <v>0.46250628900336027</v>
      </c>
      <c r="O406">
        <f t="shared" si="58"/>
        <v>0.86534800113548249</v>
      </c>
      <c r="P406">
        <f t="shared" si="59"/>
        <v>15.751765098445826</v>
      </c>
      <c r="Q406">
        <f t="shared" si="60"/>
        <v>1.4185985827748739E-2</v>
      </c>
      <c r="R406">
        <f t="shared" si="61"/>
        <v>0</v>
      </c>
      <c r="S406">
        <f t="shared" si="62"/>
        <v>0</v>
      </c>
    </row>
    <row r="407" spans="1:19" x14ac:dyDescent="0.3">
      <c r="A407" t="s">
        <v>147</v>
      </c>
      <c r="B407">
        <v>2009</v>
      </c>
      <c r="C407">
        <v>1.6746126481932786E-3</v>
      </c>
      <c r="D407">
        <v>0.11293986589528977</v>
      </c>
      <c r="E407">
        <v>-0.31327153797542756</v>
      </c>
      <c r="F407">
        <v>0.60676535304851931</v>
      </c>
      <c r="G407">
        <v>0.8856471195258131</v>
      </c>
      <c r="H407">
        <v>15.66200833902043</v>
      </c>
      <c r="I407">
        <v>2.1819294586517875E-2</v>
      </c>
      <c r="J407">
        <v>0</v>
      </c>
      <c r="K407" s="1">
        <f t="shared" si="54"/>
        <v>1.6746126481932786E-3</v>
      </c>
      <c r="L407" s="1">
        <f t="shared" si="55"/>
        <v>0.11293986589528977</v>
      </c>
      <c r="M407">
        <f t="shared" si="56"/>
        <v>-0.31327153797542756</v>
      </c>
      <c r="N407">
        <f t="shared" si="57"/>
        <v>0.60676535304851931</v>
      </c>
      <c r="O407">
        <f t="shared" si="58"/>
        <v>0.8856471195258131</v>
      </c>
      <c r="P407">
        <f t="shared" si="59"/>
        <v>15.66200833902043</v>
      </c>
      <c r="Q407">
        <f t="shared" si="60"/>
        <v>2.1819294586517875E-2</v>
      </c>
      <c r="R407">
        <f t="shared" si="61"/>
        <v>0</v>
      </c>
      <c r="S407">
        <f t="shared" si="62"/>
        <v>0</v>
      </c>
    </row>
    <row r="408" spans="1:19" x14ac:dyDescent="0.3">
      <c r="A408" t="s">
        <v>147</v>
      </c>
      <c r="B408">
        <v>2010</v>
      </c>
      <c r="C408">
        <v>2.0591425946855776E-3</v>
      </c>
      <c r="D408">
        <v>4.0608589642274845E-2</v>
      </c>
      <c r="E408">
        <v>-0.36230689081833073</v>
      </c>
      <c r="F408">
        <v>0.53669589002588325</v>
      </c>
      <c r="G408">
        <v>0.8113400595110366</v>
      </c>
      <c r="H408">
        <v>15.670098806303638</v>
      </c>
      <c r="I408">
        <v>2.8989510765500659E-2</v>
      </c>
      <c r="J408">
        <v>0</v>
      </c>
      <c r="K408" s="1">
        <f t="shared" si="54"/>
        <v>2.0591425946855776E-3</v>
      </c>
      <c r="L408" s="1">
        <f t="shared" si="55"/>
        <v>4.0608589642274845E-2</v>
      </c>
      <c r="M408">
        <f t="shared" si="56"/>
        <v>-0.36230689081833073</v>
      </c>
      <c r="N408">
        <f t="shared" si="57"/>
        <v>0.53669589002588325</v>
      </c>
      <c r="O408">
        <f t="shared" si="58"/>
        <v>0.8113400595110366</v>
      </c>
      <c r="P408">
        <f t="shared" si="59"/>
        <v>15.670098806303638</v>
      </c>
      <c r="Q408">
        <f t="shared" si="60"/>
        <v>2.8989510765500659E-2</v>
      </c>
      <c r="R408">
        <f t="shared" si="61"/>
        <v>0</v>
      </c>
      <c r="S408">
        <f t="shared" si="62"/>
        <v>0</v>
      </c>
    </row>
    <row r="409" spans="1:19" x14ac:dyDescent="0.3">
      <c r="A409" t="s">
        <v>148</v>
      </c>
      <c r="B409">
        <v>2007</v>
      </c>
      <c r="C409">
        <v>3.9741434761266903E-2</v>
      </c>
      <c r="D409">
        <v>4.610816497951209E-2</v>
      </c>
      <c r="E409">
        <v>-0.15046583596363577</v>
      </c>
      <c r="F409">
        <v>2.1049170020241998E-2</v>
      </c>
      <c r="G409">
        <v>1.0148945998516807</v>
      </c>
      <c r="H409">
        <v>13.851797163137292</v>
      </c>
      <c r="I409">
        <v>2.3411599762191697E-2</v>
      </c>
      <c r="J409">
        <v>0</v>
      </c>
      <c r="K409" s="1">
        <f t="shared" si="54"/>
        <v>3.9741434761266903E-2</v>
      </c>
      <c r="L409" s="1">
        <f t="shared" si="55"/>
        <v>4.610816497951209E-2</v>
      </c>
      <c r="M409">
        <f t="shared" si="56"/>
        <v>-0.15046583596363577</v>
      </c>
      <c r="N409">
        <f t="shared" si="57"/>
        <v>2.1049170020241998E-2</v>
      </c>
      <c r="O409">
        <f t="shared" si="58"/>
        <v>1.0148945998516807</v>
      </c>
      <c r="P409">
        <f t="shared" si="59"/>
        <v>13.851797163137292</v>
      </c>
      <c r="Q409">
        <f t="shared" si="60"/>
        <v>2.3411599762191697E-2</v>
      </c>
      <c r="R409">
        <f t="shared" si="61"/>
        <v>0</v>
      </c>
      <c r="S409">
        <f t="shared" si="62"/>
        <v>0</v>
      </c>
    </row>
    <row r="410" spans="1:19" x14ac:dyDescent="0.3">
      <c r="A410" t="s">
        <v>148</v>
      </c>
      <c r="B410">
        <v>2009</v>
      </c>
      <c r="C410">
        <v>5.1021108912833762E-2</v>
      </c>
      <c r="D410">
        <v>9.8335813208195039E-2</v>
      </c>
      <c r="E410">
        <v>7.7404143298615086E-2</v>
      </c>
      <c r="F410">
        <v>0.14377605912457692</v>
      </c>
      <c r="G410">
        <v>0.96246701221406494</v>
      </c>
      <c r="H410">
        <v>14.240108134221609</v>
      </c>
      <c r="I410">
        <v>6.5608683251761751E-3</v>
      </c>
      <c r="J410">
        <v>2.4780653705914094E-2</v>
      </c>
      <c r="K410" s="1">
        <f t="shared" si="54"/>
        <v>5.1021108912833762E-2</v>
      </c>
      <c r="L410" s="1">
        <f t="shared" si="55"/>
        <v>9.8335813208195039E-2</v>
      </c>
      <c r="M410">
        <f t="shared" si="56"/>
        <v>7.7404143298615086E-2</v>
      </c>
      <c r="N410">
        <f t="shared" si="57"/>
        <v>0.14377605912457692</v>
      </c>
      <c r="O410">
        <f t="shared" si="58"/>
        <v>0.96246701221406494</v>
      </c>
      <c r="P410">
        <f t="shared" si="59"/>
        <v>14.240108134221609</v>
      </c>
      <c r="Q410">
        <f t="shared" si="60"/>
        <v>6.5608683251761751E-3</v>
      </c>
      <c r="R410">
        <f t="shared" si="61"/>
        <v>2.4780653705914094E-2</v>
      </c>
      <c r="S410">
        <f t="shared" si="62"/>
        <v>0</v>
      </c>
    </row>
    <row r="411" spans="1:19" x14ac:dyDescent="0.3">
      <c r="A411" t="s">
        <v>148</v>
      </c>
      <c r="B411">
        <v>2010</v>
      </c>
      <c r="C411">
        <v>0.14197853972383806</v>
      </c>
      <c r="D411">
        <v>0.1085732316688016</v>
      </c>
      <c r="E411">
        <v>7.3315680445905335E-2</v>
      </c>
      <c r="F411">
        <v>0</v>
      </c>
      <c r="G411">
        <v>0.96190227423792896</v>
      </c>
      <c r="H411">
        <v>14.378383321904668</v>
      </c>
      <c r="I411">
        <v>1.3172626674202785E-2</v>
      </c>
      <c r="J411">
        <v>3.0829710390503209E-2</v>
      </c>
      <c r="K411" s="1">
        <f t="shared" si="54"/>
        <v>0.14197853972383806</v>
      </c>
      <c r="L411" s="1">
        <f t="shared" si="55"/>
        <v>0.1085732316688016</v>
      </c>
      <c r="M411">
        <f t="shared" si="56"/>
        <v>7.3315680445905335E-2</v>
      </c>
      <c r="N411">
        <f t="shared" si="57"/>
        <v>0</v>
      </c>
      <c r="O411">
        <f t="shared" si="58"/>
        <v>0.96190227423792896</v>
      </c>
      <c r="P411">
        <f t="shared" si="59"/>
        <v>14.378383321904668</v>
      </c>
      <c r="Q411">
        <f t="shared" si="60"/>
        <v>1.3172626674202785E-2</v>
      </c>
      <c r="R411">
        <f t="shared" si="61"/>
        <v>3.0829710390503209E-2</v>
      </c>
      <c r="S411">
        <f t="shared" si="62"/>
        <v>0</v>
      </c>
    </row>
    <row r="412" spans="1:19" x14ac:dyDescent="0.3">
      <c r="A412" t="s">
        <v>149</v>
      </c>
      <c r="B412">
        <v>2007</v>
      </c>
      <c r="C412">
        <v>2.7660535149885156E-2</v>
      </c>
      <c r="D412">
        <v>0.24701898349005674</v>
      </c>
      <c r="E412">
        <v>0.30948978189599324</v>
      </c>
      <c r="F412">
        <v>6.0692200475078034E-2</v>
      </c>
      <c r="G412">
        <v>0.99371797640314885</v>
      </c>
      <c r="H412">
        <v>13.140969210396445</v>
      </c>
      <c r="I412">
        <v>1.2908582622717421E-2</v>
      </c>
      <c r="J412">
        <v>4.7115176976383517E-2</v>
      </c>
      <c r="K412" s="1">
        <f t="shared" si="54"/>
        <v>2.7660535149885156E-2</v>
      </c>
      <c r="L412" s="1">
        <f t="shared" si="55"/>
        <v>0.24701898349005674</v>
      </c>
      <c r="M412">
        <f t="shared" si="56"/>
        <v>0.30948978189599324</v>
      </c>
      <c r="N412">
        <f t="shared" si="57"/>
        <v>6.0692200475078034E-2</v>
      </c>
      <c r="O412">
        <f t="shared" si="58"/>
        <v>0.99371797640314885</v>
      </c>
      <c r="P412">
        <f t="shared" si="59"/>
        <v>13.140969210396445</v>
      </c>
      <c r="Q412">
        <f t="shared" si="60"/>
        <v>1.2908582622717421E-2</v>
      </c>
      <c r="R412">
        <f t="shared" si="61"/>
        <v>4.7115176976383517E-2</v>
      </c>
      <c r="S412">
        <f t="shared" si="62"/>
        <v>0</v>
      </c>
    </row>
    <row r="413" spans="1:19" x14ac:dyDescent="0.3">
      <c r="A413" t="s">
        <v>149</v>
      </c>
      <c r="B413">
        <v>2008</v>
      </c>
      <c r="C413">
        <v>1.545336118674303E-2</v>
      </c>
      <c r="D413">
        <v>0.24535988404844616</v>
      </c>
      <c r="E413">
        <v>0.24793446624730073</v>
      </c>
      <c r="F413">
        <v>0.12036428504365787</v>
      </c>
      <c r="G413">
        <v>0.54017793223640964</v>
      </c>
      <c r="H413">
        <v>13.432292146802837</v>
      </c>
      <c r="I413">
        <v>1.4725359836197263E-2</v>
      </c>
      <c r="J413">
        <v>0.11735987231245892</v>
      </c>
      <c r="K413" s="1">
        <f t="shared" si="54"/>
        <v>1.545336118674303E-2</v>
      </c>
      <c r="L413" s="1">
        <f t="shared" si="55"/>
        <v>0.24535988404844616</v>
      </c>
      <c r="M413">
        <f t="shared" si="56"/>
        <v>0.24793446624730073</v>
      </c>
      <c r="N413">
        <f t="shared" si="57"/>
        <v>0.12036428504365787</v>
      </c>
      <c r="O413">
        <f t="shared" si="58"/>
        <v>0.54017793223640964</v>
      </c>
      <c r="P413">
        <f t="shared" si="59"/>
        <v>13.432292146802837</v>
      </c>
      <c r="Q413">
        <f t="shared" si="60"/>
        <v>1.4725359836197263E-2</v>
      </c>
      <c r="R413">
        <f t="shared" si="61"/>
        <v>0.11735987231245892</v>
      </c>
      <c r="S413">
        <f t="shared" si="62"/>
        <v>0</v>
      </c>
    </row>
    <row r="414" spans="1:19" x14ac:dyDescent="0.3">
      <c r="A414" t="s">
        <v>149</v>
      </c>
      <c r="B414">
        <v>2009</v>
      </c>
      <c r="C414">
        <v>7.6069313830478866E-2</v>
      </c>
      <c r="D414">
        <v>0.33832056696971868</v>
      </c>
      <c r="E414">
        <v>0.36657847332504484</v>
      </c>
      <c r="F414">
        <v>0</v>
      </c>
      <c r="G414">
        <v>1.0777455619659275</v>
      </c>
      <c r="H414">
        <v>13.436416165838178</v>
      </c>
      <c r="I414">
        <v>3.4956989441536912E-4</v>
      </c>
      <c r="J414">
        <v>0.11687687459549644</v>
      </c>
      <c r="K414" s="1">
        <f t="shared" si="54"/>
        <v>7.6069313830478866E-2</v>
      </c>
      <c r="L414" s="1">
        <f t="shared" si="55"/>
        <v>0.33832056696971868</v>
      </c>
      <c r="M414">
        <f t="shared" si="56"/>
        <v>0.36657847332504484</v>
      </c>
      <c r="N414">
        <f t="shared" si="57"/>
        <v>0</v>
      </c>
      <c r="O414">
        <f t="shared" si="58"/>
        <v>1.0777455619659275</v>
      </c>
      <c r="P414">
        <f t="shared" si="59"/>
        <v>13.436416165838178</v>
      </c>
      <c r="Q414">
        <f t="shared" si="60"/>
        <v>3.4956989441536912E-4</v>
      </c>
      <c r="R414">
        <f t="shared" si="61"/>
        <v>0.11687687459549644</v>
      </c>
      <c r="S414">
        <f t="shared" si="62"/>
        <v>0</v>
      </c>
    </row>
    <row r="415" spans="1:19" x14ac:dyDescent="0.3">
      <c r="A415" t="s">
        <v>149</v>
      </c>
      <c r="B415">
        <v>2010</v>
      </c>
      <c r="C415">
        <v>0.1132952930885409</v>
      </c>
      <c r="D415">
        <v>0.30781754840145015</v>
      </c>
      <c r="E415">
        <v>0.41346518483311673</v>
      </c>
      <c r="F415">
        <v>2.8972610012489067E-3</v>
      </c>
      <c r="G415">
        <v>0.83764842774291737</v>
      </c>
      <c r="H415">
        <v>13.581169548456776</v>
      </c>
      <c r="I415">
        <v>2.4291370485874965E-2</v>
      </c>
      <c r="J415">
        <v>0.10112603843800722</v>
      </c>
      <c r="K415" s="1">
        <f t="shared" si="54"/>
        <v>0.1132952930885409</v>
      </c>
      <c r="L415" s="1">
        <f t="shared" si="55"/>
        <v>0.30781754840145015</v>
      </c>
      <c r="M415">
        <f t="shared" si="56"/>
        <v>0.41346518483311673</v>
      </c>
      <c r="N415">
        <f t="shared" si="57"/>
        <v>2.8972610012489067E-3</v>
      </c>
      <c r="O415">
        <f t="shared" si="58"/>
        <v>0.83764842774291737</v>
      </c>
      <c r="P415">
        <f t="shared" si="59"/>
        <v>13.581169548456776</v>
      </c>
      <c r="Q415">
        <f t="shared" si="60"/>
        <v>2.4291370485874965E-2</v>
      </c>
      <c r="R415">
        <f t="shared" si="61"/>
        <v>0.10112603843800722</v>
      </c>
      <c r="S415">
        <f t="shared" si="62"/>
        <v>0</v>
      </c>
    </row>
    <row r="416" spans="1:19" x14ac:dyDescent="0.3">
      <c r="A416" t="s">
        <v>150</v>
      </c>
      <c r="B416">
        <v>2007</v>
      </c>
      <c r="C416">
        <v>0.21722908748481001</v>
      </c>
      <c r="D416">
        <v>0.10825171903725749</v>
      </c>
      <c r="E416">
        <v>0.44199873717270932</v>
      </c>
      <c r="F416">
        <v>0.16608288120578232</v>
      </c>
      <c r="G416">
        <v>1.3777984450078178</v>
      </c>
      <c r="H416">
        <v>14.893728284177151</v>
      </c>
      <c r="I416">
        <v>2.0587569452928584E-2</v>
      </c>
      <c r="J416">
        <v>1.9595595889823764E-2</v>
      </c>
      <c r="K416" s="1">
        <f t="shared" si="54"/>
        <v>0.21722908748481001</v>
      </c>
      <c r="L416" s="1">
        <f t="shared" si="55"/>
        <v>0.10825171903725749</v>
      </c>
      <c r="M416">
        <f t="shared" si="56"/>
        <v>0.44199873717270932</v>
      </c>
      <c r="N416">
        <f t="shared" si="57"/>
        <v>0.16608288120578232</v>
      </c>
      <c r="O416">
        <f t="shared" si="58"/>
        <v>1.3777984450078178</v>
      </c>
      <c r="P416">
        <f t="shared" si="59"/>
        <v>14.893728284177151</v>
      </c>
      <c r="Q416">
        <f t="shared" si="60"/>
        <v>2.0587569452928584E-2</v>
      </c>
      <c r="R416">
        <f t="shared" si="61"/>
        <v>1.9595595889823764E-2</v>
      </c>
      <c r="S416">
        <f t="shared" si="62"/>
        <v>0</v>
      </c>
    </row>
    <row r="417" spans="1:19" x14ac:dyDescent="0.3">
      <c r="A417" t="s">
        <v>150</v>
      </c>
      <c r="B417">
        <v>2008</v>
      </c>
      <c r="C417">
        <v>0.21956796323010133</v>
      </c>
      <c r="D417">
        <v>0.16996180931607047</v>
      </c>
      <c r="E417">
        <v>0.36954219174758079</v>
      </c>
      <c r="F417">
        <v>0.1386669719298026</v>
      </c>
      <c r="G417">
        <v>1.0435704876131433</v>
      </c>
      <c r="H417">
        <v>15.025808218152891</v>
      </c>
      <c r="I417">
        <v>7.911830387495683E-3</v>
      </c>
      <c r="J417">
        <v>2.6829767806246147E-2</v>
      </c>
      <c r="K417" s="1">
        <f t="shared" si="54"/>
        <v>0.21956796323010133</v>
      </c>
      <c r="L417" s="1">
        <f t="shared" si="55"/>
        <v>0.16996180931607047</v>
      </c>
      <c r="M417">
        <f t="shared" si="56"/>
        <v>0.36954219174758079</v>
      </c>
      <c r="N417">
        <f t="shared" si="57"/>
        <v>0.1386669719298026</v>
      </c>
      <c r="O417">
        <f t="shared" si="58"/>
        <v>1.0435704876131433</v>
      </c>
      <c r="P417">
        <f t="shared" si="59"/>
        <v>15.025808218152891</v>
      </c>
      <c r="Q417">
        <f t="shared" si="60"/>
        <v>7.911830387495683E-3</v>
      </c>
      <c r="R417">
        <f t="shared" si="61"/>
        <v>2.6829767806246147E-2</v>
      </c>
      <c r="S417">
        <f t="shared" si="62"/>
        <v>0</v>
      </c>
    </row>
    <row r="418" spans="1:19" x14ac:dyDescent="0.3">
      <c r="A418" t="s">
        <v>150</v>
      </c>
      <c r="B418">
        <v>2009</v>
      </c>
      <c r="C418">
        <v>0.41919433265493394</v>
      </c>
      <c r="D418">
        <v>0.19243301408193175</v>
      </c>
      <c r="E418">
        <v>0.30055649415251612</v>
      </c>
      <c r="F418">
        <v>0.11191356699800263</v>
      </c>
      <c r="G418">
        <v>1.3608819839911057</v>
      </c>
      <c r="H418">
        <v>15.152223054102333</v>
      </c>
      <c r="I418">
        <v>6.341304666433123E-3</v>
      </c>
      <c r="J418">
        <v>4.413492783019822E-2</v>
      </c>
      <c r="K418" s="1" t="str">
        <f t="shared" si="54"/>
        <v>out</v>
      </c>
      <c r="L418" s="1">
        <f t="shared" si="55"/>
        <v>0.19243301408193175</v>
      </c>
      <c r="M418">
        <f t="shared" si="56"/>
        <v>0.30055649415251612</v>
      </c>
      <c r="N418">
        <f t="shared" si="57"/>
        <v>0.11191356699800263</v>
      </c>
      <c r="O418">
        <f t="shared" si="58"/>
        <v>1.3608819839911057</v>
      </c>
      <c r="P418">
        <f t="shared" si="59"/>
        <v>15.152223054102333</v>
      </c>
      <c r="Q418">
        <f t="shared" si="60"/>
        <v>6.341304666433123E-3</v>
      </c>
      <c r="R418">
        <f t="shared" si="61"/>
        <v>4.413492783019822E-2</v>
      </c>
      <c r="S418">
        <f t="shared" si="62"/>
        <v>1</v>
      </c>
    </row>
    <row r="419" spans="1:19" x14ac:dyDescent="0.3">
      <c r="A419" t="s">
        <v>150</v>
      </c>
      <c r="B419">
        <v>2010</v>
      </c>
      <c r="C419">
        <v>0.38045530028270735</v>
      </c>
      <c r="D419">
        <v>0.24438848891550852</v>
      </c>
      <c r="E419">
        <v>0.41257171727401892</v>
      </c>
      <c r="F419">
        <v>0</v>
      </c>
      <c r="G419">
        <v>1.3335246308128319</v>
      </c>
      <c r="H419">
        <v>15.049836606160973</v>
      </c>
      <c r="I419">
        <v>2.7736295235663625E-2</v>
      </c>
      <c r="J419">
        <v>4.365462555681475E-2</v>
      </c>
      <c r="K419" s="1" t="str">
        <f t="shared" si="54"/>
        <v>out</v>
      </c>
      <c r="L419" s="1">
        <f t="shared" si="55"/>
        <v>0.24438848891550852</v>
      </c>
      <c r="M419">
        <f t="shared" si="56"/>
        <v>0.41257171727401892</v>
      </c>
      <c r="N419">
        <f t="shared" si="57"/>
        <v>0</v>
      </c>
      <c r="O419">
        <f t="shared" si="58"/>
        <v>1.3335246308128319</v>
      </c>
      <c r="P419">
        <f t="shared" si="59"/>
        <v>15.049836606160973</v>
      </c>
      <c r="Q419">
        <f t="shared" si="60"/>
        <v>2.7736295235663625E-2</v>
      </c>
      <c r="R419">
        <f t="shared" si="61"/>
        <v>4.365462555681475E-2</v>
      </c>
      <c r="S419">
        <f t="shared" si="62"/>
        <v>1</v>
      </c>
    </row>
    <row r="420" spans="1:19" x14ac:dyDescent="0.3">
      <c r="A420" t="s">
        <v>151</v>
      </c>
      <c r="B420">
        <v>2007</v>
      </c>
      <c r="C420">
        <v>1.5917290686927273E-2</v>
      </c>
      <c r="D420">
        <v>0.12393284260430962</v>
      </c>
      <c r="E420">
        <v>-0.34814219768860011</v>
      </c>
      <c r="F420">
        <v>0.47574023103814395</v>
      </c>
      <c r="G420">
        <v>1.5160870874273391</v>
      </c>
      <c r="H420">
        <v>14.267220371085568</v>
      </c>
      <c r="I420">
        <v>8.5394340266613314E-3</v>
      </c>
      <c r="J420">
        <v>0</v>
      </c>
      <c r="K420" s="1">
        <f t="shared" si="54"/>
        <v>1.5917290686927273E-2</v>
      </c>
      <c r="L420" s="1">
        <f t="shared" si="55"/>
        <v>0.12393284260430962</v>
      </c>
      <c r="M420">
        <f t="shared" si="56"/>
        <v>-0.34814219768860011</v>
      </c>
      <c r="N420">
        <f t="shared" si="57"/>
        <v>0.47574023103814395</v>
      </c>
      <c r="O420">
        <f t="shared" si="58"/>
        <v>1.5160870874273391</v>
      </c>
      <c r="P420">
        <f t="shared" si="59"/>
        <v>14.267220371085568</v>
      </c>
      <c r="Q420">
        <f t="shared" si="60"/>
        <v>8.5394340266613314E-3</v>
      </c>
      <c r="R420">
        <f t="shared" si="61"/>
        <v>0</v>
      </c>
      <c r="S420">
        <f t="shared" si="62"/>
        <v>0</v>
      </c>
    </row>
    <row r="421" spans="1:19" x14ac:dyDescent="0.3">
      <c r="A421" t="s">
        <v>151</v>
      </c>
      <c r="B421">
        <v>2009</v>
      </c>
      <c r="C421">
        <v>0.10735276830845186</v>
      </c>
      <c r="D421">
        <v>7.0893088045139302E-2</v>
      </c>
      <c r="E421">
        <v>-2.9507317503232631E-2</v>
      </c>
      <c r="F421">
        <v>0.3660617726578112</v>
      </c>
      <c r="G421">
        <v>1.0742476783825086</v>
      </c>
      <c r="H421">
        <v>14.123818448209711</v>
      </c>
      <c r="I421">
        <v>2.4507698338843628E-3</v>
      </c>
      <c r="J421">
        <v>0</v>
      </c>
      <c r="K421" s="1">
        <f t="shared" si="54"/>
        <v>0.10735276830845186</v>
      </c>
      <c r="L421" s="1">
        <f t="shared" si="55"/>
        <v>7.0893088045139302E-2</v>
      </c>
      <c r="M421">
        <f t="shared" si="56"/>
        <v>-2.9507317503232631E-2</v>
      </c>
      <c r="N421">
        <f t="shared" si="57"/>
        <v>0.3660617726578112</v>
      </c>
      <c r="O421">
        <f t="shared" si="58"/>
        <v>1.0742476783825086</v>
      </c>
      <c r="P421">
        <f t="shared" si="59"/>
        <v>14.123818448209711</v>
      </c>
      <c r="Q421">
        <f t="shared" si="60"/>
        <v>2.4507698338843628E-3</v>
      </c>
      <c r="R421">
        <f t="shared" si="61"/>
        <v>0</v>
      </c>
      <c r="S421">
        <f t="shared" si="62"/>
        <v>0</v>
      </c>
    </row>
    <row r="422" spans="1:19" x14ac:dyDescent="0.3">
      <c r="A422" t="s">
        <v>151</v>
      </c>
      <c r="B422">
        <v>2010</v>
      </c>
      <c r="C422">
        <v>1.3022833757844472E-2</v>
      </c>
      <c r="D422">
        <v>5.4128218407290679E-2</v>
      </c>
      <c r="E422">
        <v>-6.7411598683919216E-2</v>
      </c>
      <c r="F422">
        <v>0.44447952624171916</v>
      </c>
      <c r="G422">
        <v>1.0440892198556984</v>
      </c>
      <c r="H422">
        <v>14.259082297328419</v>
      </c>
      <c r="I422">
        <v>6.970192938988492E-3</v>
      </c>
      <c r="J422">
        <v>2.0792382287200557E-2</v>
      </c>
      <c r="K422" s="1">
        <f t="shared" si="54"/>
        <v>1.3022833757844472E-2</v>
      </c>
      <c r="L422" s="1">
        <f t="shared" si="55"/>
        <v>5.4128218407290679E-2</v>
      </c>
      <c r="M422">
        <f t="shared" si="56"/>
        <v>-6.7411598683919216E-2</v>
      </c>
      <c r="N422">
        <f t="shared" si="57"/>
        <v>0.44447952624171916</v>
      </c>
      <c r="O422">
        <f t="shared" si="58"/>
        <v>1.0440892198556984</v>
      </c>
      <c r="P422">
        <f t="shared" si="59"/>
        <v>14.259082297328419</v>
      </c>
      <c r="Q422">
        <f t="shared" si="60"/>
        <v>6.970192938988492E-3</v>
      </c>
      <c r="R422">
        <f t="shared" si="61"/>
        <v>2.0792382287200557E-2</v>
      </c>
      <c r="S422">
        <f t="shared" si="62"/>
        <v>0</v>
      </c>
    </row>
    <row r="423" spans="1:19" x14ac:dyDescent="0.3">
      <c r="A423" t="s">
        <v>152</v>
      </c>
      <c r="B423">
        <v>2007</v>
      </c>
      <c r="C423">
        <v>8.1805670837442005E-3</v>
      </c>
      <c r="D423">
        <v>0.14868695239235513</v>
      </c>
      <c r="E423">
        <v>5.1195471294025532E-2</v>
      </c>
      <c r="F423">
        <v>0.3702483496940191</v>
      </c>
      <c r="G423">
        <v>0.94676241378521742</v>
      </c>
      <c r="H423">
        <v>13.518918240249402</v>
      </c>
      <c r="I423">
        <v>1.3642123642801651E-3</v>
      </c>
      <c r="J423">
        <v>0</v>
      </c>
      <c r="K423" s="1">
        <f t="shared" si="54"/>
        <v>8.1805670837442005E-3</v>
      </c>
      <c r="L423" s="1">
        <f t="shared" si="55"/>
        <v>0.14868695239235513</v>
      </c>
      <c r="M423">
        <f t="shared" si="56"/>
        <v>5.1195471294025532E-2</v>
      </c>
      <c r="N423">
        <f t="shared" si="57"/>
        <v>0.3702483496940191</v>
      </c>
      <c r="O423">
        <f t="shared" si="58"/>
        <v>0.94676241378521742</v>
      </c>
      <c r="P423">
        <f t="shared" si="59"/>
        <v>13.518918240249402</v>
      </c>
      <c r="Q423">
        <f t="shared" si="60"/>
        <v>1.3642123642801651E-3</v>
      </c>
      <c r="R423">
        <f t="shared" si="61"/>
        <v>0</v>
      </c>
      <c r="S423">
        <f t="shared" si="62"/>
        <v>0</v>
      </c>
    </row>
    <row r="424" spans="1:19" x14ac:dyDescent="0.3">
      <c r="A424" t="s">
        <v>152</v>
      </c>
      <c r="B424">
        <v>2008</v>
      </c>
      <c r="C424">
        <v>5.6939159812332572E-2</v>
      </c>
      <c r="D424">
        <v>0.16784366217840543</v>
      </c>
      <c r="E424">
        <v>8.8430603344364325E-2</v>
      </c>
      <c r="F424">
        <v>3.8334257734200752E-2</v>
      </c>
      <c r="G424">
        <v>0.66242453770122578</v>
      </c>
      <c r="H424">
        <v>13.293248115736308</v>
      </c>
      <c r="I424">
        <v>2.314667081606259E-2</v>
      </c>
      <c r="J424">
        <v>3.4677676309094928E-2</v>
      </c>
      <c r="K424" s="1">
        <f t="shared" si="54"/>
        <v>5.6939159812332572E-2</v>
      </c>
      <c r="L424" s="1">
        <f t="shared" si="55"/>
        <v>0.16784366217840543</v>
      </c>
      <c r="M424">
        <f t="shared" si="56"/>
        <v>8.8430603344364325E-2</v>
      </c>
      <c r="N424">
        <f t="shared" si="57"/>
        <v>3.8334257734200752E-2</v>
      </c>
      <c r="O424">
        <f t="shared" si="58"/>
        <v>0.66242453770122578</v>
      </c>
      <c r="P424">
        <f t="shared" si="59"/>
        <v>13.293248115736308</v>
      </c>
      <c r="Q424">
        <f t="shared" si="60"/>
        <v>2.314667081606259E-2</v>
      </c>
      <c r="R424">
        <f t="shared" si="61"/>
        <v>3.4677676309094928E-2</v>
      </c>
      <c r="S424">
        <f t="shared" si="62"/>
        <v>0</v>
      </c>
    </row>
    <row r="425" spans="1:19" x14ac:dyDescent="0.3">
      <c r="A425" t="s">
        <v>152</v>
      </c>
      <c r="B425">
        <v>2009</v>
      </c>
      <c r="C425">
        <v>4.3428279857129992E-2</v>
      </c>
      <c r="D425">
        <v>0.19745175135816551</v>
      </c>
      <c r="E425">
        <v>-0.10569829216315994</v>
      </c>
      <c r="F425">
        <v>0.22775760122460006</v>
      </c>
      <c r="G425">
        <v>0.94806705285589943</v>
      </c>
      <c r="H425">
        <v>13.40955532976688</v>
      </c>
      <c r="I425">
        <v>5.7946418392665192E-2</v>
      </c>
      <c r="J425">
        <v>0</v>
      </c>
      <c r="K425" s="1">
        <f t="shared" si="54"/>
        <v>4.3428279857129992E-2</v>
      </c>
      <c r="L425" s="1">
        <f t="shared" si="55"/>
        <v>0.19745175135816551</v>
      </c>
      <c r="M425">
        <f t="shared" si="56"/>
        <v>-0.10569829216315994</v>
      </c>
      <c r="N425">
        <f t="shared" si="57"/>
        <v>0.22775760122460006</v>
      </c>
      <c r="O425">
        <f t="shared" si="58"/>
        <v>0.94806705285589943</v>
      </c>
      <c r="P425">
        <f t="shared" si="59"/>
        <v>13.40955532976688</v>
      </c>
      <c r="Q425">
        <f t="shared" si="60"/>
        <v>5.7946418392665192E-2</v>
      </c>
      <c r="R425">
        <f t="shared" si="61"/>
        <v>0</v>
      </c>
      <c r="S425">
        <f t="shared" si="62"/>
        <v>0</v>
      </c>
    </row>
    <row r="426" spans="1:19" x14ac:dyDescent="0.3">
      <c r="A426" t="s">
        <v>152</v>
      </c>
      <c r="B426">
        <v>2010</v>
      </c>
      <c r="C426">
        <v>6.3337414332187061E-3</v>
      </c>
      <c r="D426">
        <v>0.26306914522971808</v>
      </c>
      <c r="E426">
        <v>-0.22349828215698347</v>
      </c>
      <c r="F426">
        <v>0.25986130846342981</v>
      </c>
      <c r="G426">
        <v>0.62098991142749904</v>
      </c>
      <c r="H426">
        <v>14.063580060496939</v>
      </c>
      <c r="I426">
        <v>9.7874363783576779E-2</v>
      </c>
      <c r="J426">
        <v>0</v>
      </c>
      <c r="K426" s="1">
        <f t="shared" si="54"/>
        <v>6.3337414332187061E-3</v>
      </c>
      <c r="L426" s="1">
        <f t="shared" si="55"/>
        <v>0.26306914522971808</v>
      </c>
      <c r="M426">
        <f t="shared" si="56"/>
        <v>-0.22349828215698347</v>
      </c>
      <c r="N426">
        <f t="shared" si="57"/>
        <v>0.25986130846342981</v>
      </c>
      <c r="O426">
        <f t="shared" si="58"/>
        <v>0.62098991142749904</v>
      </c>
      <c r="P426">
        <f t="shared" si="59"/>
        <v>14.063580060496939</v>
      </c>
      <c r="Q426">
        <f t="shared" si="60"/>
        <v>9.7874363783576779E-2</v>
      </c>
      <c r="R426">
        <f t="shared" si="61"/>
        <v>0</v>
      </c>
      <c r="S426">
        <f t="shared" si="62"/>
        <v>0</v>
      </c>
    </row>
    <row r="427" spans="1:19" x14ac:dyDescent="0.3">
      <c r="A427" t="s">
        <v>153</v>
      </c>
      <c r="B427">
        <v>2007</v>
      </c>
      <c r="C427">
        <v>3.0402694190616968E-3</v>
      </c>
      <c r="D427">
        <v>3.4990295352882894E-2</v>
      </c>
      <c r="E427">
        <v>5.950628134130248E-2</v>
      </c>
      <c r="F427">
        <v>0.38157548688557658</v>
      </c>
      <c r="G427">
        <v>1.080407602081719</v>
      </c>
      <c r="H427">
        <v>15.795606375473131</v>
      </c>
      <c r="I427">
        <v>2.326411308078985E-2</v>
      </c>
      <c r="J427">
        <v>0</v>
      </c>
      <c r="K427" s="1">
        <f t="shared" si="54"/>
        <v>3.0402694190616968E-3</v>
      </c>
      <c r="L427" s="1">
        <f t="shared" si="55"/>
        <v>3.4990295352882894E-2</v>
      </c>
      <c r="M427">
        <f t="shared" si="56"/>
        <v>5.950628134130248E-2</v>
      </c>
      <c r="N427">
        <f t="shared" si="57"/>
        <v>0.38157548688557658</v>
      </c>
      <c r="O427">
        <f t="shared" si="58"/>
        <v>1.080407602081719</v>
      </c>
      <c r="P427">
        <f t="shared" si="59"/>
        <v>15.795606375473131</v>
      </c>
      <c r="Q427">
        <f t="shared" si="60"/>
        <v>2.326411308078985E-2</v>
      </c>
      <c r="R427">
        <f t="shared" si="61"/>
        <v>0</v>
      </c>
      <c r="S427">
        <f t="shared" si="62"/>
        <v>0</v>
      </c>
    </row>
    <row r="428" spans="1:19" x14ac:dyDescent="0.3">
      <c r="A428" t="s">
        <v>153</v>
      </c>
      <c r="B428">
        <v>2008</v>
      </c>
      <c r="C428">
        <v>3.9392187426439003E-4</v>
      </c>
      <c r="D428">
        <v>0.10140532680036723</v>
      </c>
      <c r="E428">
        <v>-9.8984553052292895E-2</v>
      </c>
      <c r="F428">
        <v>0.24828246207713414</v>
      </c>
      <c r="G428">
        <v>1.0463633604526503</v>
      </c>
      <c r="H428">
        <v>15.962619276118945</v>
      </c>
      <c r="I428">
        <v>8.5532456668048762E-3</v>
      </c>
      <c r="J428">
        <v>1.5588535284687408E-2</v>
      </c>
      <c r="K428" s="1">
        <f t="shared" si="54"/>
        <v>3.9392187426439003E-4</v>
      </c>
      <c r="L428" s="1">
        <f t="shared" si="55"/>
        <v>0.10140532680036723</v>
      </c>
      <c r="M428">
        <f t="shared" si="56"/>
        <v>-9.8984553052292895E-2</v>
      </c>
      <c r="N428">
        <f t="shared" si="57"/>
        <v>0.24828246207713414</v>
      </c>
      <c r="O428">
        <f t="shared" si="58"/>
        <v>1.0463633604526503</v>
      </c>
      <c r="P428">
        <f t="shared" si="59"/>
        <v>15.962619276118945</v>
      </c>
      <c r="Q428">
        <f t="shared" si="60"/>
        <v>8.5532456668048762E-3</v>
      </c>
      <c r="R428">
        <f t="shared" si="61"/>
        <v>1.5588535284687408E-2</v>
      </c>
      <c r="S428">
        <f t="shared" si="62"/>
        <v>0</v>
      </c>
    </row>
    <row r="429" spans="1:19" x14ac:dyDescent="0.3">
      <c r="A429" t="s">
        <v>153</v>
      </c>
      <c r="B429">
        <v>2009</v>
      </c>
      <c r="C429">
        <v>5.3339400845597352E-4</v>
      </c>
      <c r="D429">
        <v>0.1103771244840905</v>
      </c>
      <c r="E429">
        <v>-0.11498946631975243</v>
      </c>
      <c r="F429">
        <v>0.6832118006410296</v>
      </c>
      <c r="G429">
        <v>1.0221409233781698</v>
      </c>
      <c r="H429">
        <v>16.327736205769408</v>
      </c>
      <c r="I429">
        <v>1.8738998331913604E-2</v>
      </c>
      <c r="J429">
        <v>1.4124075490253397E-2</v>
      </c>
      <c r="K429" s="1">
        <f t="shared" si="54"/>
        <v>5.3339400845597352E-4</v>
      </c>
      <c r="L429" s="1">
        <f t="shared" si="55"/>
        <v>0.1103771244840905</v>
      </c>
      <c r="M429">
        <f t="shared" si="56"/>
        <v>-0.11498946631975243</v>
      </c>
      <c r="N429">
        <f t="shared" si="57"/>
        <v>0.6832118006410296</v>
      </c>
      <c r="O429">
        <f t="shared" si="58"/>
        <v>1.0221409233781698</v>
      </c>
      <c r="P429">
        <f t="shared" si="59"/>
        <v>16.327736205769408</v>
      </c>
      <c r="Q429">
        <f t="shared" si="60"/>
        <v>1.8738998331913604E-2</v>
      </c>
      <c r="R429">
        <f t="shared" si="61"/>
        <v>1.4124075490253397E-2</v>
      </c>
      <c r="S429">
        <f t="shared" si="62"/>
        <v>0</v>
      </c>
    </row>
    <row r="430" spans="1:19" x14ac:dyDescent="0.3">
      <c r="A430" t="s">
        <v>153</v>
      </c>
      <c r="B430">
        <v>2010</v>
      </c>
      <c r="C430">
        <v>8.9897359102814164E-4</v>
      </c>
      <c r="D430">
        <v>0.19658339097406524</v>
      </c>
      <c r="E430">
        <v>-8.5717978132644035E-2</v>
      </c>
      <c r="F430">
        <v>0.54541874694320636</v>
      </c>
      <c r="G430">
        <v>1.0769131373134919</v>
      </c>
      <c r="H430">
        <v>16.314620774489907</v>
      </c>
      <c r="I430">
        <v>6.3332982834232027E-3</v>
      </c>
      <c r="J430">
        <v>2.8173891496631642E-2</v>
      </c>
      <c r="K430" s="1">
        <f t="shared" si="54"/>
        <v>8.9897359102814164E-4</v>
      </c>
      <c r="L430" s="1">
        <f t="shared" si="55"/>
        <v>0.19658339097406524</v>
      </c>
      <c r="M430">
        <f t="shared" si="56"/>
        <v>-8.5717978132644035E-2</v>
      </c>
      <c r="N430">
        <f t="shared" si="57"/>
        <v>0.54541874694320636</v>
      </c>
      <c r="O430">
        <f t="shared" si="58"/>
        <v>1.0769131373134919</v>
      </c>
      <c r="P430">
        <f t="shared" si="59"/>
        <v>16.314620774489907</v>
      </c>
      <c r="Q430">
        <f t="shared" si="60"/>
        <v>6.3332982834232027E-3</v>
      </c>
      <c r="R430">
        <f t="shared" si="61"/>
        <v>2.8173891496631642E-2</v>
      </c>
      <c r="S430">
        <f t="shared" si="62"/>
        <v>0</v>
      </c>
    </row>
    <row r="431" spans="1:19" x14ac:dyDescent="0.3">
      <c r="A431" t="s">
        <v>154</v>
      </c>
      <c r="B431">
        <v>2007</v>
      </c>
      <c r="C431">
        <v>2.8940603666944725E-3</v>
      </c>
      <c r="D431">
        <v>0.18940642952832054</v>
      </c>
      <c r="E431">
        <v>-0.19535562239976534</v>
      </c>
      <c r="F431">
        <v>0.17958626722522469</v>
      </c>
      <c r="G431">
        <v>1.0382827876741838</v>
      </c>
      <c r="H431">
        <v>13.545842586243566</v>
      </c>
      <c r="I431">
        <v>2.5874549285816437E-2</v>
      </c>
      <c r="J431">
        <v>0</v>
      </c>
      <c r="K431" s="1">
        <f t="shared" si="54"/>
        <v>2.8940603666944725E-3</v>
      </c>
      <c r="L431" s="1">
        <f t="shared" si="55"/>
        <v>0.18940642952832054</v>
      </c>
      <c r="M431">
        <f t="shared" si="56"/>
        <v>-0.19535562239976534</v>
      </c>
      <c r="N431">
        <f t="shared" si="57"/>
        <v>0.17958626722522469</v>
      </c>
      <c r="O431">
        <f t="shared" si="58"/>
        <v>1.0382827876741838</v>
      </c>
      <c r="P431">
        <f t="shared" si="59"/>
        <v>13.545842586243566</v>
      </c>
      <c r="Q431">
        <f t="shared" si="60"/>
        <v>2.5874549285816437E-2</v>
      </c>
      <c r="R431">
        <f t="shared" si="61"/>
        <v>0</v>
      </c>
      <c r="S431">
        <f t="shared" si="62"/>
        <v>0</v>
      </c>
    </row>
    <row r="432" spans="1:19" x14ac:dyDescent="0.3">
      <c r="A432" t="s">
        <v>154</v>
      </c>
      <c r="B432">
        <v>2009</v>
      </c>
      <c r="C432">
        <v>1.1989871643104169E-3</v>
      </c>
      <c r="D432">
        <v>0.2523058821004896</v>
      </c>
      <c r="E432">
        <v>-4.6594196937888709E-2</v>
      </c>
      <c r="F432">
        <v>0.17762534378118172</v>
      </c>
      <c r="G432">
        <v>1.3355333302337891</v>
      </c>
      <c r="H432">
        <v>13.927448991604834</v>
      </c>
      <c r="I432">
        <v>1.2313213849226401E-2</v>
      </c>
      <c r="J432">
        <v>3.6965641552013331E-2</v>
      </c>
      <c r="K432" s="1">
        <f t="shared" si="54"/>
        <v>1.1989871643104169E-3</v>
      </c>
      <c r="L432" s="1">
        <f t="shared" si="55"/>
        <v>0.2523058821004896</v>
      </c>
      <c r="M432">
        <f t="shared" si="56"/>
        <v>-4.6594196937888709E-2</v>
      </c>
      <c r="N432">
        <f t="shared" si="57"/>
        <v>0.17762534378118172</v>
      </c>
      <c r="O432">
        <f t="shared" si="58"/>
        <v>1.3355333302337891</v>
      </c>
      <c r="P432">
        <f t="shared" si="59"/>
        <v>13.927448991604834</v>
      </c>
      <c r="Q432">
        <f t="shared" si="60"/>
        <v>1.2313213849226401E-2</v>
      </c>
      <c r="R432">
        <f t="shared" si="61"/>
        <v>3.6965641552013331E-2</v>
      </c>
      <c r="S432">
        <f t="shared" si="62"/>
        <v>0</v>
      </c>
    </row>
    <row r="433" spans="1:19" x14ac:dyDescent="0.3">
      <c r="A433" t="s">
        <v>154</v>
      </c>
      <c r="B433">
        <v>2010</v>
      </c>
      <c r="C433">
        <v>6.5545459207752024E-2</v>
      </c>
      <c r="D433">
        <v>0.21265005984242169</v>
      </c>
      <c r="E433">
        <v>-2.5558505259045367E-2</v>
      </c>
      <c r="F433">
        <v>0.17134178983295406</v>
      </c>
      <c r="G433">
        <v>1.172709988699953</v>
      </c>
      <c r="H433">
        <v>14.366743306203842</v>
      </c>
      <c r="I433">
        <v>1.8236638263139274E-2</v>
      </c>
      <c r="J433">
        <v>2.8826932950556963E-2</v>
      </c>
      <c r="K433" s="1">
        <f t="shared" si="54"/>
        <v>6.5545459207752024E-2</v>
      </c>
      <c r="L433" s="1">
        <f t="shared" si="55"/>
        <v>0.21265005984242169</v>
      </c>
      <c r="M433">
        <f t="shared" si="56"/>
        <v>-2.5558505259045367E-2</v>
      </c>
      <c r="N433">
        <f t="shared" si="57"/>
        <v>0.17134178983295406</v>
      </c>
      <c r="O433">
        <f t="shared" si="58"/>
        <v>1.172709988699953</v>
      </c>
      <c r="P433">
        <f t="shared" si="59"/>
        <v>14.366743306203842</v>
      </c>
      <c r="Q433">
        <f t="shared" si="60"/>
        <v>1.8236638263139274E-2</v>
      </c>
      <c r="R433">
        <f t="shared" si="61"/>
        <v>2.8826932950556963E-2</v>
      </c>
      <c r="S433">
        <f t="shared" si="62"/>
        <v>0</v>
      </c>
    </row>
    <row r="434" spans="1:19" x14ac:dyDescent="0.3">
      <c r="A434" t="s">
        <v>155</v>
      </c>
      <c r="B434">
        <v>2007</v>
      </c>
      <c r="C434">
        <v>1.0021588636888687E-2</v>
      </c>
      <c r="D434">
        <v>7.0913892407332174E-2</v>
      </c>
      <c r="E434">
        <v>-7.1865863664969847E-3</v>
      </c>
      <c r="F434">
        <v>0.40166614885803281</v>
      </c>
      <c r="G434">
        <v>1.9776776681085646</v>
      </c>
      <c r="H434">
        <v>13.819733628237145</v>
      </c>
      <c r="I434">
        <v>3.3540903269749997E-3</v>
      </c>
      <c r="J434">
        <v>0</v>
      </c>
      <c r="K434" s="1">
        <f t="shared" si="54"/>
        <v>1.0021588636888687E-2</v>
      </c>
      <c r="L434" s="1">
        <f t="shared" si="55"/>
        <v>7.0913892407332174E-2</v>
      </c>
      <c r="M434">
        <f t="shared" si="56"/>
        <v>-7.1865863664969847E-3</v>
      </c>
      <c r="N434">
        <f t="shared" si="57"/>
        <v>0.40166614885803281</v>
      </c>
      <c r="O434">
        <f t="shared" si="58"/>
        <v>1.9776776681085646</v>
      </c>
      <c r="P434">
        <f t="shared" si="59"/>
        <v>13.819733628237145</v>
      </c>
      <c r="Q434">
        <f t="shared" si="60"/>
        <v>3.3540903269749997E-3</v>
      </c>
      <c r="R434">
        <f t="shared" si="61"/>
        <v>0</v>
      </c>
      <c r="S434">
        <f t="shared" si="62"/>
        <v>0</v>
      </c>
    </row>
    <row r="435" spans="1:19" x14ac:dyDescent="0.3">
      <c r="A435" t="s">
        <v>155</v>
      </c>
      <c r="B435">
        <v>2009</v>
      </c>
      <c r="C435">
        <v>2.6681186625899089E-2</v>
      </c>
      <c r="D435">
        <v>0.1796083418688863</v>
      </c>
      <c r="E435">
        <v>2.6764194085147377E-2</v>
      </c>
      <c r="F435">
        <v>0.26502834818963777</v>
      </c>
      <c r="G435">
        <v>1.0357079051278049</v>
      </c>
      <c r="H435">
        <v>14.087927965973632</v>
      </c>
      <c r="I435">
        <v>1.6021565741834033E-2</v>
      </c>
      <c r="J435">
        <v>1.2163258157005944E-2</v>
      </c>
      <c r="K435" s="1">
        <f t="shared" si="54"/>
        <v>2.6681186625899089E-2</v>
      </c>
      <c r="L435" s="1">
        <f t="shared" si="55"/>
        <v>0.1796083418688863</v>
      </c>
      <c r="M435">
        <f t="shared" si="56"/>
        <v>2.6764194085147377E-2</v>
      </c>
      <c r="N435">
        <f t="shared" si="57"/>
        <v>0.26502834818963777</v>
      </c>
      <c r="O435">
        <f t="shared" si="58"/>
        <v>1.0357079051278049</v>
      </c>
      <c r="P435">
        <f t="shared" si="59"/>
        <v>14.087927965973632</v>
      </c>
      <c r="Q435">
        <f t="shared" si="60"/>
        <v>1.6021565741834033E-2</v>
      </c>
      <c r="R435">
        <f t="shared" si="61"/>
        <v>1.2163258157005944E-2</v>
      </c>
      <c r="S435">
        <f t="shared" si="62"/>
        <v>0</v>
      </c>
    </row>
    <row r="436" spans="1:19" x14ac:dyDescent="0.3">
      <c r="A436" t="s">
        <v>155</v>
      </c>
      <c r="B436">
        <v>2010</v>
      </c>
      <c r="C436">
        <v>2.0943365782821494E-2</v>
      </c>
      <c r="D436">
        <v>0.12653417952993062</v>
      </c>
      <c r="E436">
        <v>-6.2763540041951268E-2</v>
      </c>
      <c r="F436">
        <v>0.19846985424622168</v>
      </c>
      <c r="G436">
        <v>0.87091499489055024</v>
      </c>
      <c r="H436">
        <v>14.212567079453944</v>
      </c>
      <c r="I436">
        <v>7.3788231400552518E-3</v>
      </c>
      <c r="J436">
        <v>7.0873446996181358E-3</v>
      </c>
      <c r="K436" s="1">
        <f t="shared" si="54"/>
        <v>2.0943365782821494E-2</v>
      </c>
      <c r="L436" s="1">
        <f t="shared" si="55"/>
        <v>0.12653417952993062</v>
      </c>
      <c r="M436">
        <f t="shared" si="56"/>
        <v>-6.2763540041951268E-2</v>
      </c>
      <c r="N436">
        <f t="shared" si="57"/>
        <v>0.19846985424622168</v>
      </c>
      <c r="O436">
        <f t="shared" si="58"/>
        <v>0.87091499489055024</v>
      </c>
      <c r="P436">
        <f t="shared" si="59"/>
        <v>14.212567079453944</v>
      </c>
      <c r="Q436">
        <f t="shared" si="60"/>
        <v>7.3788231400552518E-3</v>
      </c>
      <c r="R436">
        <f t="shared" si="61"/>
        <v>7.0873446996181358E-3</v>
      </c>
      <c r="S436">
        <f t="shared" si="62"/>
        <v>0</v>
      </c>
    </row>
    <row r="437" spans="1:19" x14ac:dyDescent="0.3">
      <c r="A437" t="s">
        <v>156</v>
      </c>
      <c r="B437">
        <v>2007</v>
      </c>
      <c r="C437">
        <v>5.7241710057550016E-3</v>
      </c>
      <c r="D437">
        <v>0.24543710605645383</v>
      </c>
      <c r="E437">
        <v>-2.569275828994245</v>
      </c>
      <c r="F437">
        <v>0.27830570019183337</v>
      </c>
      <c r="G437">
        <v>3.6305960537133464</v>
      </c>
      <c r="H437">
        <v>12.58423507111033</v>
      </c>
      <c r="I437">
        <v>1.5841312678397786E-2</v>
      </c>
      <c r="J437">
        <v>0</v>
      </c>
      <c r="K437" s="1">
        <f t="shared" si="54"/>
        <v>5.7241710057550016E-3</v>
      </c>
      <c r="L437" s="1">
        <f t="shared" si="55"/>
        <v>0.24543710605645383</v>
      </c>
      <c r="M437">
        <f t="shared" si="56"/>
        <v>-2.569275828994245</v>
      </c>
      <c r="N437">
        <f t="shared" si="57"/>
        <v>0.27830570019183337</v>
      </c>
      <c r="O437">
        <f t="shared" si="58"/>
        <v>3.6305960537133464</v>
      </c>
      <c r="P437">
        <f t="shared" si="59"/>
        <v>12.58423507111033</v>
      </c>
      <c r="Q437">
        <f t="shared" si="60"/>
        <v>1.5841312678397786E-2</v>
      </c>
      <c r="R437">
        <f t="shared" si="61"/>
        <v>0</v>
      </c>
      <c r="S437">
        <f t="shared" si="62"/>
        <v>0</v>
      </c>
    </row>
    <row r="438" spans="1:19" x14ac:dyDescent="0.3">
      <c r="A438" t="s">
        <v>156</v>
      </c>
      <c r="B438">
        <v>2008</v>
      </c>
      <c r="C438">
        <v>4.3296211500535942E-3</v>
      </c>
      <c r="D438">
        <v>0.18245289067787554</v>
      </c>
      <c r="E438">
        <v>-2.5824975793628946</v>
      </c>
      <c r="F438">
        <v>1.6856701521682107</v>
      </c>
      <c r="G438">
        <v>3.4850242063710519</v>
      </c>
      <c r="H438">
        <v>12.640458812111474</v>
      </c>
      <c r="I438">
        <v>0.13858324580065251</v>
      </c>
      <c r="J438">
        <v>0</v>
      </c>
      <c r="K438" s="1">
        <f t="shared" si="54"/>
        <v>4.3296211500535942E-3</v>
      </c>
      <c r="L438" s="1">
        <f t="shared" si="55"/>
        <v>0.18245289067787554</v>
      </c>
      <c r="M438">
        <f t="shared" si="56"/>
        <v>-2.5824975793628946</v>
      </c>
      <c r="N438">
        <f t="shared" si="57"/>
        <v>1.6856701521682107</v>
      </c>
      <c r="O438">
        <f t="shared" si="58"/>
        <v>3.4850242063710519</v>
      </c>
      <c r="P438">
        <f t="shared" si="59"/>
        <v>12.640458812111474</v>
      </c>
      <c r="Q438">
        <f t="shared" si="60"/>
        <v>0.13858324580065251</v>
      </c>
      <c r="R438">
        <f t="shared" si="61"/>
        <v>0</v>
      </c>
      <c r="S438">
        <f t="shared" si="62"/>
        <v>0</v>
      </c>
    </row>
    <row r="439" spans="1:19" x14ac:dyDescent="0.3">
      <c r="A439" t="s">
        <v>156</v>
      </c>
      <c r="B439">
        <v>2009</v>
      </c>
      <c r="C439">
        <v>7.8684376976597085E-3</v>
      </c>
      <c r="D439">
        <v>0.59566729917773564</v>
      </c>
      <c r="E439">
        <v>-1.0168722327640733</v>
      </c>
      <c r="F439">
        <v>1.3763820366856421</v>
      </c>
      <c r="G439">
        <v>2.757725173940544</v>
      </c>
      <c r="H439">
        <v>12.664130203757509</v>
      </c>
      <c r="I439">
        <v>3.0959423766054563E-2</v>
      </c>
      <c r="J439">
        <v>0</v>
      </c>
      <c r="K439" s="1">
        <f t="shared" si="54"/>
        <v>7.8684376976597085E-3</v>
      </c>
      <c r="L439" s="1">
        <f t="shared" si="55"/>
        <v>0.59566729917773564</v>
      </c>
      <c r="M439">
        <f t="shared" si="56"/>
        <v>-1.0168722327640733</v>
      </c>
      <c r="N439">
        <f t="shared" si="57"/>
        <v>1.3763820366856421</v>
      </c>
      <c r="O439">
        <f t="shared" si="58"/>
        <v>2.757725173940544</v>
      </c>
      <c r="P439">
        <f t="shared" si="59"/>
        <v>12.664130203757509</v>
      </c>
      <c r="Q439">
        <f t="shared" si="60"/>
        <v>3.0959423766054563E-2</v>
      </c>
      <c r="R439">
        <f t="shared" si="61"/>
        <v>0</v>
      </c>
      <c r="S439">
        <f t="shared" si="62"/>
        <v>0</v>
      </c>
    </row>
    <row r="440" spans="1:19" x14ac:dyDescent="0.3">
      <c r="A440" t="s">
        <v>156</v>
      </c>
      <c r="B440">
        <v>2010</v>
      </c>
      <c r="C440">
        <v>4.8168383765704932E-2</v>
      </c>
      <c r="D440">
        <v>0.45532775111420354</v>
      </c>
      <c r="E440">
        <v>-0.66953948009983688</v>
      </c>
      <c r="F440">
        <v>1.0422909764666504</v>
      </c>
      <c r="G440">
        <v>2.0835123702292191</v>
      </c>
      <c r="H440">
        <v>12.846396414301354</v>
      </c>
      <c r="I440">
        <v>0.12161394388886251</v>
      </c>
      <c r="J440">
        <v>3.7162082025412539E-2</v>
      </c>
      <c r="K440" s="1">
        <f t="shared" si="54"/>
        <v>4.8168383765704932E-2</v>
      </c>
      <c r="L440" s="1">
        <f t="shared" si="55"/>
        <v>0.45532775111420354</v>
      </c>
      <c r="M440">
        <f t="shared" si="56"/>
        <v>-0.66953948009983688</v>
      </c>
      <c r="N440">
        <f t="shared" si="57"/>
        <v>1.0422909764666504</v>
      </c>
      <c r="O440">
        <f t="shared" si="58"/>
        <v>2.0835123702292191</v>
      </c>
      <c r="P440">
        <f t="shared" si="59"/>
        <v>12.846396414301354</v>
      </c>
      <c r="Q440">
        <f t="shared" si="60"/>
        <v>0.12161394388886251</v>
      </c>
      <c r="R440">
        <f t="shared" si="61"/>
        <v>3.7162082025412539E-2</v>
      </c>
      <c r="S440">
        <f t="shared" si="62"/>
        <v>0</v>
      </c>
    </row>
    <row r="441" spans="1:19" x14ac:dyDescent="0.3">
      <c r="A441" t="s">
        <v>157</v>
      </c>
      <c r="B441">
        <v>2007</v>
      </c>
      <c r="C441">
        <v>6.8662259883141051E-3</v>
      </c>
      <c r="D441">
        <v>5.2685897892157364E-2</v>
      </c>
      <c r="E441">
        <v>-5.6181405912460243E-2</v>
      </c>
      <c r="F441">
        <v>0.29830507377865201</v>
      </c>
      <c r="G441">
        <v>0.74762492177512463</v>
      </c>
      <c r="H441">
        <v>14.587299773405761</v>
      </c>
      <c r="I441">
        <v>1.0453079257000269E-2</v>
      </c>
      <c r="J441">
        <v>0</v>
      </c>
      <c r="K441" s="1">
        <f t="shared" si="54"/>
        <v>6.8662259883141051E-3</v>
      </c>
      <c r="L441" s="1">
        <f t="shared" si="55"/>
        <v>5.2685897892157364E-2</v>
      </c>
      <c r="M441">
        <f t="shared" si="56"/>
        <v>-5.6181405912460243E-2</v>
      </c>
      <c r="N441">
        <f t="shared" si="57"/>
        <v>0.29830507377865201</v>
      </c>
      <c r="O441">
        <f t="shared" si="58"/>
        <v>0.74762492177512463</v>
      </c>
      <c r="P441">
        <f t="shared" si="59"/>
        <v>14.587299773405761</v>
      </c>
      <c r="Q441">
        <f t="shared" si="60"/>
        <v>1.0453079257000269E-2</v>
      </c>
      <c r="R441">
        <f t="shared" si="61"/>
        <v>0</v>
      </c>
      <c r="S441">
        <f t="shared" si="62"/>
        <v>0</v>
      </c>
    </row>
    <row r="442" spans="1:19" x14ac:dyDescent="0.3">
      <c r="A442" t="s">
        <v>157</v>
      </c>
      <c r="B442">
        <v>2008</v>
      </c>
      <c r="C442">
        <v>8.4008590072200857E-3</v>
      </c>
      <c r="D442">
        <v>9.6194229928150687E-2</v>
      </c>
      <c r="E442">
        <v>-9.042426147402248E-2</v>
      </c>
      <c r="F442">
        <v>0.28689166148829104</v>
      </c>
      <c r="G442">
        <v>0.63077335464652806</v>
      </c>
      <c r="H442">
        <v>14.475269503354937</v>
      </c>
      <c r="I442">
        <v>7.7692424265730572E-3</v>
      </c>
      <c r="J442">
        <v>0</v>
      </c>
      <c r="K442" s="1">
        <f t="shared" si="54"/>
        <v>8.4008590072200857E-3</v>
      </c>
      <c r="L442" s="1">
        <f t="shared" si="55"/>
        <v>9.6194229928150687E-2</v>
      </c>
      <c r="M442">
        <f t="shared" si="56"/>
        <v>-9.042426147402248E-2</v>
      </c>
      <c r="N442">
        <f t="shared" si="57"/>
        <v>0.28689166148829104</v>
      </c>
      <c r="O442">
        <f t="shared" si="58"/>
        <v>0.63077335464652806</v>
      </c>
      <c r="P442">
        <f t="shared" si="59"/>
        <v>14.475269503354937</v>
      </c>
      <c r="Q442">
        <f t="shared" si="60"/>
        <v>7.7692424265730572E-3</v>
      </c>
      <c r="R442">
        <f t="shared" si="61"/>
        <v>0</v>
      </c>
      <c r="S442">
        <f t="shared" si="62"/>
        <v>0</v>
      </c>
    </row>
    <row r="443" spans="1:19" x14ac:dyDescent="0.3">
      <c r="A443" t="s">
        <v>157</v>
      </c>
      <c r="B443">
        <v>2009</v>
      </c>
      <c r="C443">
        <v>6.108438226338715E-3</v>
      </c>
      <c r="D443">
        <v>0.12819151198544884</v>
      </c>
      <c r="E443">
        <v>-0.12567145284005474</v>
      </c>
      <c r="F443">
        <v>0.32559677052137515</v>
      </c>
      <c r="G443">
        <v>0.65400582447028088</v>
      </c>
      <c r="H443">
        <v>14.284746392531098</v>
      </c>
      <c r="I443">
        <v>2.7881616708260615E-2</v>
      </c>
      <c r="J443">
        <v>9.3922085200391307E-3</v>
      </c>
      <c r="K443" s="1">
        <f t="shared" si="54"/>
        <v>6.108438226338715E-3</v>
      </c>
      <c r="L443" s="1">
        <f t="shared" si="55"/>
        <v>0.12819151198544884</v>
      </c>
      <c r="M443">
        <f t="shared" si="56"/>
        <v>-0.12567145284005474</v>
      </c>
      <c r="N443">
        <f t="shared" si="57"/>
        <v>0.32559677052137515</v>
      </c>
      <c r="O443">
        <f t="shared" si="58"/>
        <v>0.65400582447028088</v>
      </c>
      <c r="P443">
        <f t="shared" si="59"/>
        <v>14.284746392531098</v>
      </c>
      <c r="Q443">
        <f t="shared" si="60"/>
        <v>2.7881616708260615E-2</v>
      </c>
      <c r="R443">
        <f t="shared" si="61"/>
        <v>9.3922085200391307E-3</v>
      </c>
      <c r="S443">
        <f t="shared" si="62"/>
        <v>0</v>
      </c>
    </row>
    <row r="444" spans="1:19" x14ac:dyDescent="0.3">
      <c r="A444" t="s">
        <v>157</v>
      </c>
      <c r="B444">
        <v>2010</v>
      </c>
      <c r="C444">
        <v>2.5142532061984441E-2</v>
      </c>
      <c r="D444">
        <v>0.20141558958056291</v>
      </c>
      <c r="E444">
        <v>-0.29316594643957872</v>
      </c>
      <c r="F444">
        <v>0.42689516058167531</v>
      </c>
      <c r="G444">
        <v>0.67036097273942097</v>
      </c>
      <c r="H444">
        <v>14.244901155230561</v>
      </c>
      <c r="I444">
        <v>3.1946611833488903E-2</v>
      </c>
      <c r="J444">
        <v>0</v>
      </c>
      <c r="K444" s="1">
        <f t="shared" si="54"/>
        <v>2.5142532061984441E-2</v>
      </c>
      <c r="L444" s="1">
        <f t="shared" si="55"/>
        <v>0.20141558958056291</v>
      </c>
      <c r="M444">
        <f t="shared" si="56"/>
        <v>-0.29316594643957872</v>
      </c>
      <c r="N444">
        <f t="shared" si="57"/>
        <v>0.42689516058167531</v>
      </c>
      <c r="O444">
        <f t="shared" si="58"/>
        <v>0.67036097273942097</v>
      </c>
      <c r="P444">
        <f t="shared" si="59"/>
        <v>14.244901155230561</v>
      </c>
      <c r="Q444">
        <f t="shared" si="60"/>
        <v>3.1946611833488903E-2</v>
      </c>
      <c r="R444">
        <f t="shared" si="61"/>
        <v>0</v>
      </c>
      <c r="S444">
        <f t="shared" si="62"/>
        <v>0</v>
      </c>
    </row>
    <row r="445" spans="1:19" x14ac:dyDescent="0.3">
      <c r="A445" t="s">
        <v>158</v>
      </c>
      <c r="B445">
        <v>2007</v>
      </c>
      <c r="C445">
        <v>3.0651869212564051E-3</v>
      </c>
      <c r="D445">
        <v>0.21654373750603156</v>
      </c>
      <c r="E445">
        <v>-3.7898439833643529</v>
      </c>
      <c r="F445">
        <v>0.40545483789434983</v>
      </c>
      <c r="G445">
        <v>3.1280852921578091</v>
      </c>
      <c r="H445">
        <v>12.290436771641112</v>
      </c>
      <c r="I445">
        <v>4.1377223640130904E-2</v>
      </c>
      <c r="J445">
        <v>0</v>
      </c>
      <c r="K445" s="1">
        <f t="shared" si="54"/>
        <v>3.0651869212564051E-3</v>
      </c>
      <c r="L445" s="1">
        <f t="shared" si="55"/>
        <v>0.21654373750603156</v>
      </c>
      <c r="M445">
        <f t="shared" si="56"/>
        <v>-3.7898439833643529</v>
      </c>
      <c r="N445">
        <f t="shared" si="57"/>
        <v>0.40545483789434983</v>
      </c>
      <c r="O445">
        <f t="shared" si="58"/>
        <v>3.1280852921578091</v>
      </c>
      <c r="P445">
        <f t="shared" si="59"/>
        <v>12.290436771641112</v>
      </c>
      <c r="Q445">
        <f t="shared" si="60"/>
        <v>4.1377223640130904E-2</v>
      </c>
      <c r="R445">
        <f t="shared" si="61"/>
        <v>0</v>
      </c>
      <c r="S445">
        <f t="shared" si="62"/>
        <v>0</v>
      </c>
    </row>
    <row r="446" spans="1:19" x14ac:dyDescent="0.3">
      <c r="A446" t="s">
        <v>158</v>
      </c>
      <c r="B446">
        <v>2009</v>
      </c>
      <c r="C446">
        <v>5.954943626249494E-3</v>
      </c>
      <c r="D446">
        <v>0.83971099128284921</v>
      </c>
      <c r="E446">
        <v>-1.1185063620281763</v>
      </c>
      <c r="F446">
        <v>1.06291694196381</v>
      </c>
      <c r="G446">
        <v>3.254253074447452</v>
      </c>
      <c r="H446">
        <v>12.365615902101414</v>
      </c>
      <c r="I446">
        <v>0.14033242112936986</v>
      </c>
      <c r="J446">
        <v>0</v>
      </c>
      <c r="K446" s="1">
        <f t="shared" si="54"/>
        <v>5.954943626249494E-3</v>
      </c>
      <c r="L446" s="1">
        <f t="shared" si="55"/>
        <v>0.83971099128284921</v>
      </c>
      <c r="M446">
        <f t="shared" si="56"/>
        <v>-1.1185063620281763</v>
      </c>
      <c r="N446">
        <f t="shared" si="57"/>
        <v>1.06291694196381</v>
      </c>
      <c r="O446">
        <f t="shared" si="58"/>
        <v>3.254253074447452</v>
      </c>
      <c r="P446">
        <f t="shared" si="59"/>
        <v>12.365615902101414</v>
      </c>
      <c r="Q446">
        <f t="shared" si="60"/>
        <v>0.14033242112936986</v>
      </c>
      <c r="R446">
        <f t="shared" si="61"/>
        <v>0</v>
      </c>
      <c r="S446">
        <f t="shared" si="62"/>
        <v>0</v>
      </c>
    </row>
    <row r="447" spans="1:19" x14ac:dyDescent="0.3">
      <c r="A447" t="s">
        <v>158</v>
      </c>
      <c r="B447">
        <v>2010</v>
      </c>
      <c r="C447">
        <v>5.8137338769705928E-2</v>
      </c>
      <c r="D447">
        <v>0.3459354967726167</v>
      </c>
      <c r="E447">
        <v>-0.6706883973440283</v>
      </c>
      <c r="F447">
        <v>0.88226994478452636</v>
      </c>
      <c r="G447">
        <v>2.6249421367018106</v>
      </c>
      <c r="H447">
        <v>12.506299452734206</v>
      </c>
      <c r="I447">
        <v>7.7014711488414118</v>
      </c>
      <c r="J447">
        <v>4.018027426277529E-2</v>
      </c>
      <c r="K447" s="1">
        <f t="shared" si="54"/>
        <v>5.8137338769705928E-2</v>
      </c>
      <c r="L447" s="1">
        <f t="shared" si="55"/>
        <v>0.3459354967726167</v>
      </c>
      <c r="M447">
        <f t="shared" si="56"/>
        <v>-0.6706883973440283</v>
      </c>
      <c r="N447">
        <f t="shared" si="57"/>
        <v>0.88226994478452636</v>
      </c>
      <c r="O447">
        <f t="shared" si="58"/>
        <v>2.6249421367018106</v>
      </c>
      <c r="P447">
        <f t="shared" si="59"/>
        <v>12.506299452734206</v>
      </c>
      <c r="Q447" t="str">
        <f t="shared" si="60"/>
        <v>out</v>
      </c>
      <c r="R447">
        <f t="shared" si="61"/>
        <v>4.018027426277529E-2</v>
      </c>
      <c r="S447">
        <f t="shared" si="62"/>
        <v>1</v>
      </c>
    </row>
    <row r="448" spans="1:19" x14ac:dyDescent="0.3">
      <c r="A448" t="s">
        <v>159</v>
      </c>
      <c r="B448">
        <v>2007</v>
      </c>
      <c r="C448">
        <v>3.3720506034066955E-2</v>
      </c>
      <c r="D448">
        <v>0.1870805595069914</v>
      </c>
      <c r="E448">
        <v>-0.69973998055975184</v>
      </c>
      <c r="F448">
        <v>0.37205182760368338</v>
      </c>
      <c r="G448">
        <v>1.3012699819553364</v>
      </c>
      <c r="H448">
        <v>13.613225448926414</v>
      </c>
      <c r="I448">
        <v>2.8932367542163911E-3</v>
      </c>
      <c r="J448">
        <v>0</v>
      </c>
      <c r="K448" s="1">
        <f t="shared" si="54"/>
        <v>3.3720506034066955E-2</v>
      </c>
      <c r="L448" s="1">
        <f t="shared" si="55"/>
        <v>0.1870805595069914</v>
      </c>
      <c r="M448">
        <f t="shared" si="56"/>
        <v>-0.69973998055975184</v>
      </c>
      <c r="N448">
        <f t="shared" si="57"/>
        <v>0.37205182760368338</v>
      </c>
      <c r="O448">
        <f t="shared" si="58"/>
        <v>1.3012699819553364</v>
      </c>
      <c r="P448">
        <f t="shared" si="59"/>
        <v>13.613225448926414</v>
      </c>
      <c r="Q448">
        <f t="shared" si="60"/>
        <v>2.8932367542163911E-3</v>
      </c>
      <c r="R448">
        <f t="shared" si="61"/>
        <v>0</v>
      </c>
      <c r="S448">
        <f t="shared" si="62"/>
        <v>0</v>
      </c>
    </row>
    <row r="449" spans="1:19" x14ac:dyDescent="0.3">
      <c r="A449" t="s">
        <v>159</v>
      </c>
      <c r="B449">
        <v>2008</v>
      </c>
      <c r="C449">
        <v>3.3720506034066955E-2</v>
      </c>
      <c r="D449">
        <v>0.1870805595069914</v>
      </c>
      <c r="E449">
        <v>-0.69973998055975184</v>
      </c>
      <c r="F449">
        <v>0.37205182760368338</v>
      </c>
      <c r="G449">
        <v>1.3378711214378929</v>
      </c>
      <c r="H449">
        <v>13.613225448926414</v>
      </c>
      <c r="I449">
        <v>9.9044214049553894E-2</v>
      </c>
      <c r="J449">
        <v>0</v>
      </c>
      <c r="K449" s="1">
        <f t="shared" si="54"/>
        <v>3.3720506034066955E-2</v>
      </c>
      <c r="L449" s="1">
        <f t="shared" si="55"/>
        <v>0.1870805595069914</v>
      </c>
      <c r="M449">
        <f t="shared" si="56"/>
        <v>-0.69973998055975184</v>
      </c>
      <c r="N449">
        <f t="shared" si="57"/>
        <v>0.37205182760368338</v>
      </c>
      <c r="O449">
        <f t="shared" si="58"/>
        <v>1.3378711214378929</v>
      </c>
      <c r="P449">
        <f t="shared" si="59"/>
        <v>13.613225448926414</v>
      </c>
      <c r="Q449">
        <f t="shared" si="60"/>
        <v>9.9044214049553894E-2</v>
      </c>
      <c r="R449">
        <f t="shared" si="61"/>
        <v>0</v>
      </c>
      <c r="S449">
        <f t="shared" si="62"/>
        <v>0</v>
      </c>
    </row>
    <row r="450" spans="1:19" x14ac:dyDescent="0.3">
      <c r="A450" t="s">
        <v>159</v>
      </c>
      <c r="B450">
        <v>2009</v>
      </c>
      <c r="C450">
        <v>1.0692173113881517E-3</v>
      </c>
      <c r="D450">
        <v>0.31917841987990303</v>
      </c>
      <c r="E450">
        <v>-0.12385748715383565</v>
      </c>
      <c r="F450">
        <v>0.18100945602148247</v>
      </c>
      <c r="G450">
        <v>0.71500117272855634</v>
      </c>
      <c r="H450">
        <v>14.32912189801718</v>
      </c>
      <c r="I450">
        <v>0.13892767517529839</v>
      </c>
      <c r="J450">
        <v>0</v>
      </c>
      <c r="K450" s="1">
        <f t="shared" si="54"/>
        <v>1.0692173113881517E-3</v>
      </c>
      <c r="L450" s="1">
        <f t="shared" si="55"/>
        <v>0.31917841987990303</v>
      </c>
      <c r="M450">
        <f t="shared" si="56"/>
        <v>-0.12385748715383565</v>
      </c>
      <c r="N450">
        <f t="shared" si="57"/>
        <v>0.18100945602148247</v>
      </c>
      <c r="O450">
        <f t="shared" si="58"/>
        <v>0.71500117272855634</v>
      </c>
      <c r="P450">
        <f t="shared" si="59"/>
        <v>14.32912189801718</v>
      </c>
      <c r="Q450">
        <f t="shared" si="60"/>
        <v>0.13892767517529839</v>
      </c>
      <c r="R450">
        <f t="shared" si="61"/>
        <v>0</v>
      </c>
      <c r="S450">
        <f t="shared" si="62"/>
        <v>0</v>
      </c>
    </row>
    <row r="451" spans="1:19" x14ac:dyDescent="0.3">
      <c r="A451" t="s">
        <v>159</v>
      </c>
      <c r="B451">
        <v>2010</v>
      </c>
      <c r="C451">
        <v>1.3815739512277927E-2</v>
      </c>
      <c r="D451">
        <v>6.4429524205184566E-2</v>
      </c>
      <c r="E451">
        <v>-3.0990208034593514E-2</v>
      </c>
      <c r="F451">
        <v>0.35110751506542121</v>
      </c>
      <c r="G451">
        <v>0.71387481740575454</v>
      </c>
      <c r="H451">
        <v>14.398204275800383</v>
      </c>
      <c r="I451">
        <v>1.3833512803441103E-2</v>
      </c>
      <c r="J451">
        <v>0</v>
      </c>
      <c r="K451" s="1">
        <f t="shared" ref="K451:K514" si="63">IF(OR(C451&lt;$C$1007-3*$C$1008,C451&gt;$C$1007+3*$C$1008),"out",C451)</f>
        <v>1.3815739512277927E-2</v>
      </c>
      <c r="L451" s="1">
        <f t="shared" ref="L451:L514" si="64">IF(OR(D451&lt;$D$1007-3*$D$1008,D451&gt;$D$1007+3*$D$1008),"out",D451)</f>
        <v>6.4429524205184566E-2</v>
      </c>
      <c r="M451">
        <f t="shared" ref="M451:M514" si="65">IF(OR(E451&lt;$E$1007-3*$E$1008,E451&gt;$E$1007+3*$E$1008),"out",E451)</f>
        <v>-3.0990208034593514E-2</v>
      </c>
      <c r="N451">
        <f t="shared" ref="N451:N514" si="66">IF(OR(F451&lt;$F$1007-3*$F$1008,F451&gt;$F$1007+3*$F$1008),"out",F451)</f>
        <v>0.35110751506542121</v>
      </c>
      <c r="O451">
        <f t="shared" ref="O451:O514" si="67">IF(OR(G451&lt;$G$1007-3*$G$1008,G451&gt;$G$1007+3*$G$1008),"out",G451)</f>
        <v>0.71387481740575454</v>
      </c>
      <c r="P451">
        <f t="shared" ref="P451:P514" si="68">IF(OR(H451&lt;$H$1007-3*$H$1008,H451&gt;$H$1007+3*$H$1008),"out",H451)</f>
        <v>14.398204275800383</v>
      </c>
      <c r="Q451">
        <f t="shared" ref="Q451:Q514" si="69">IF(OR(I451&lt;$I$1007-3*$I$1008,I451&gt;$I$1007+3*$I$1008),"out",I451)</f>
        <v>1.3833512803441103E-2</v>
      </c>
      <c r="R451">
        <f t="shared" ref="R451:R514" si="70">IF(OR(J451&lt;$J$1007-3*$J$1008,J451&gt;$J$1007+3*$J$1008),"out",J451)</f>
        <v>0</v>
      </c>
      <c r="S451">
        <f t="shared" ref="S451:S514" si="71">IF(OR(K451="out",L451="out",M451="out",N451="out",O451="out",P451="out",Q451="out",R451="out"),1,0)</f>
        <v>0</v>
      </c>
    </row>
    <row r="452" spans="1:19" x14ac:dyDescent="0.3">
      <c r="A452" t="s">
        <v>160</v>
      </c>
      <c r="B452">
        <v>2007</v>
      </c>
      <c r="C452">
        <v>4.0592867494268388E-3</v>
      </c>
      <c r="D452">
        <v>6.4276896416878171E-2</v>
      </c>
      <c r="E452">
        <v>-0.51148853293665708</v>
      </c>
      <c r="F452">
        <v>6.0723678661524186E-2</v>
      </c>
      <c r="G452">
        <v>0.99981030080434308</v>
      </c>
      <c r="H452">
        <v>13.387930200509768</v>
      </c>
      <c r="I452">
        <v>6.3987992521934281E-2</v>
      </c>
      <c r="J452">
        <v>0</v>
      </c>
      <c r="K452" s="1">
        <f t="shared" si="63"/>
        <v>4.0592867494268388E-3</v>
      </c>
      <c r="L452" s="1">
        <f t="shared" si="64"/>
        <v>6.4276896416878171E-2</v>
      </c>
      <c r="M452">
        <f t="shared" si="65"/>
        <v>-0.51148853293665708</v>
      </c>
      <c r="N452">
        <f t="shared" si="66"/>
        <v>6.0723678661524186E-2</v>
      </c>
      <c r="O452">
        <f t="shared" si="67"/>
        <v>0.99981030080434308</v>
      </c>
      <c r="P452">
        <f t="shared" si="68"/>
        <v>13.387930200509768</v>
      </c>
      <c r="Q452">
        <f t="shared" si="69"/>
        <v>6.3987992521934281E-2</v>
      </c>
      <c r="R452">
        <f t="shared" si="70"/>
        <v>0</v>
      </c>
      <c r="S452">
        <f t="shared" si="71"/>
        <v>0</v>
      </c>
    </row>
    <row r="453" spans="1:19" x14ac:dyDescent="0.3">
      <c r="A453" t="s">
        <v>160</v>
      </c>
      <c r="B453">
        <v>2009</v>
      </c>
      <c r="C453">
        <v>2.0483928114226897E-2</v>
      </c>
      <c r="D453">
        <v>0.18620965218313337</v>
      </c>
      <c r="E453">
        <v>-5.3262609622183314E-2</v>
      </c>
      <c r="F453">
        <v>0.15646457305861086</v>
      </c>
      <c r="G453">
        <v>0.95846318168769673</v>
      </c>
      <c r="H453">
        <v>13.558471489438935</v>
      </c>
      <c r="I453">
        <v>3.5898813829572468E-2</v>
      </c>
      <c r="J453">
        <v>1.5447320576513763E-2</v>
      </c>
      <c r="K453" s="1">
        <f t="shared" si="63"/>
        <v>2.0483928114226897E-2</v>
      </c>
      <c r="L453" s="1">
        <f t="shared" si="64"/>
        <v>0.18620965218313337</v>
      </c>
      <c r="M453">
        <f t="shared" si="65"/>
        <v>-5.3262609622183314E-2</v>
      </c>
      <c r="N453">
        <f t="shared" si="66"/>
        <v>0.15646457305861086</v>
      </c>
      <c r="O453">
        <f t="shared" si="67"/>
        <v>0.95846318168769673</v>
      </c>
      <c r="P453">
        <f t="shared" si="68"/>
        <v>13.558471489438935</v>
      </c>
      <c r="Q453">
        <f t="shared" si="69"/>
        <v>3.5898813829572468E-2</v>
      </c>
      <c r="R453">
        <f t="shared" si="70"/>
        <v>1.5447320576513763E-2</v>
      </c>
      <c r="S453">
        <f t="shared" si="71"/>
        <v>0</v>
      </c>
    </row>
    <row r="454" spans="1:19" x14ac:dyDescent="0.3">
      <c r="A454" t="s">
        <v>160</v>
      </c>
      <c r="B454">
        <v>2010</v>
      </c>
      <c r="C454">
        <v>8.5377386657630849E-3</v>
      </c>
      <c r="D454">
        <v>0.33419386554866914</v>
      </c>
      <c r="E454">
        <v>8.4981606644660368E-2</v>
      </c>
      <c r="F454">
        <v>0.11644542332491317</v>
      </c>
      <c r="G454">
        <v>0.75049611371801295</v>
      </c>
      <c r="H454">
        <v>13.487141204140237</v>
      </c>
      <c r="I454">
        <v>8.7809286007554388E-2</v>
      </c>
      <c r="J454">
        <v>2.4884147552343642E-2</v>
      </c>
      <c r="K454" s="1">
        <f t="shared" si="63"/>
        <v>8.5377386657630849E-3</v>
      </c>
      <c r="L454" s="1">
        <f t="shared" si="64"/>
        <v>0.33419386554866914</v>
      </c>
      <c r="M454">
        <f t="shared" si="65"/>
        <v>8.4981606644660368E-2</v>
      </c>
      <c r="N454">
        <f t="shared" si="66"/>
        <v>0.11644542332491317</v>
      </c>
      <c r="O454">
        <f t="shared" si="67"/>
        <v>0.75049611371801295</v>
      </c>
      <c r="P454">
        <f t="shared" si="68"/>
        <v>13.487141204140237</v>
      </c>
      <c r="Q454">
        <f t="shared" si="69"/>
        <v>8.7809286007554388E-2</v>
      </c>
      <c r="R454">
        <f t="shared" si="70"/>
        <v>2.4884147552343642E-2</v>
      </c>
      <c r="S454">
        <f t="shared" si="71"/>
        <v>0</v>
      </c>
    </row>
    <row r="455" spans="1:19" x14ac:dyDescent="0.3">
      <c r="A455" t="s">
        <v>161</v>
      </c>
      <c r="B455">
        <v>2007</v>
      </c>
      <c r="C455">
        <v>4.0685917827139366E-2</v>
      </c>
      <c r="D455">
        <v>3.2426134103883016E-2</v>
      </c>
      <c r="E455">
        <v>-0.15291853380276471</v>
      </c>
      <c r="F455">
        <v>0.26266769276148816</v>
      </c>
      <c r="G455">
        <v>0.894901993266078</v>
      </c>
      <c r="H455">
        <v>14.866798507616148</v>
      </c>
      <c r="I455">
        <v>1.6002345296343017E-2</v>
      </c>
      <c r="J455">
        <v>0</v>
      </c>
      <c r="K455" s="1">
        <f t="shared" si="63"/>
        <v>4.0685917827139366E-2</v>
      </c>
      <c r="L455" s="1">
        <f t="shared" si="64"/>
        <v>3.2426134103883016E-2</v>
      </c>
      <c r="M455">
        <f t="shared" si="65"/>
        <v>-0.15291853380276471</v>
      </c>
      <c r="N455">
        <f t="shared" si="66"/>
        <v>0.26266769276148816</v>
      </c>
      <c r="O455">
        <f t="shared" si="67"/>
        <v>0.894901993266078</v>
      </c>
      <c r="P455">
        <f t="shared" si="68"/>
        <v>14.866798507616148</v>
      </c>
      <c r="Q455">
        <f t="shared" si="69"/>
        <v>1.6002345296343017E-2</v>
      </c>
      <c r="R455">
        <f t="shared" si="70"/>
        <v>0</v>
      </c>
      <c r="S455">
        <f t="shared" si="71"/>
        <v>0</v>
      </c>
    </row>
    <row r="456" spans="1:19" x14ac:dyDescent="0.3">
      <c r="A456" t="s">
        <v>161</v>
      </c>
      <c r="B456">
        <v>2008</v>
      </c>
      <c r="C456">
        <v>1.8568675661155517E-3</v>
      </c>
      <c r="D456">
        <v>7.5192471881145639E-2</v>
      </c>
      <c r="E456">
        <v>-7.9387193517934052E-2</v>
      </c>
      <c r="F456">
        <v>0.25889902312753749</v>
      </c>
      <c r="G456">
        <v>0.85241121996848246</v>
      </c>
      <c r="H456">
        <v>14.989545050043853</v>
      </c>
      <c r="I456">
        <v>8.5460277252361362E-3</v>
      </c>
      <c r="J456">
        <v>6.5282480653894356E-3</v>
      </c>
      <c r="K456" s="1">
        <f t="shared" si="63"/>
        <v>1.8568675661155517E-3</v>
      </c>
      <c r="L456" s="1">
        <f t="shared" si="64"/>
        <v>7.5192471881145639E-2</v>
      </c>
      <c r="M456">
        <f t="shared" si="65"/>
        <v>-7.9387193517934052E-2</v>
      </c>
      <c r="N456">
        <f t="shared" si="66"/>
        <v>0.25889902312753749</v>
      </c>
      <c r="O456">
        <f t="shared" si="67"/>
        <v>0.85241121996848246</v>
      </c>
      <c r="P456">
        <f t="shared" si="68"/>
        <v>14.989545050043853</v>
      </c>
      <c r="Q456">
        <f t="shared" si="69"/>
        <v>8.5460277252361362E-3</v>
      </c>
      <c r="R456">
        <f t="shared" si="70"/>
        <v>6.5282480653894356E-3</v>
      </c>
      <c r="S456">
        <f t="shared" si="71"/>
        <v>0</v>
      </c>
    </row>
    <row r="457" spans="1:19" x14ac:dyDescent="0.3">
      <c r="A457" t="s">
        <v>161</v>
      </c>
      <c r="B457">
        <v>2009</v>
      </c>
      <c r="C457">
        <v>3.1509924613387537E-3</v>
      </c>
      <c r="D457">
        <v>5.794865947227084E-2</v>
      </c>
      <c r="E457">
        <v>4.0353548934318272E-2</v>
      </c>
      <c r="F457">
        <v>0.61423148162972052</v>
      </c>
      <c r="G457">
        <v>0.79671949469111347</v>
      </c>
      <c r="H457">
        <v>14.934129047977203</v>
      </c>
      <c r="I457">
        <v>4.5831822649125935E-3</v>
      </c>
      <c r="J457">
        <v>1.0350180339100895E-2</v>
      </c>
      <c r="K457" s="1">
        <f t="shared" si="63"/>
        <v>3.1509924613387537E-3</v>
      </c>
      <c r="L457" s="1">
        <f t="shared" si="64"/>
        <v>5.794865947227084E-2</v>
      </c>
      <c r="M457">
        <f t="shared" si="65"/>
        <v>4.0353548934318272E-2</v>
      </c>
      <c r="N457">
        <f t="shared" si="66"/>
        <v>0.61423148162972052</v>
      </c>
      <c r="O457">
        <f t="shared" si="67"/>
        <v>0.79671949469111347</v>
      </c>
      <c r="P457">
        <f t="shared" si="68"/>
        <v>14.934129047977203</v>
      </c>
      <c r="Q457">
        <f t="shared" si="69"/>
        <v>4.5831822649125935E-3</v>
      </c>
      <c r="R457">
        <f t="shared" si="70"/>
        <v>1.0350180339100895E-2</v>
      </c>
      <c r="S457">
        <f t="shared" si="71"/>
        <v>0</v>
      </c>
    </row>
    <row r="458" spans="1:19" x14ac:dyDescent="0.3">
      <c r="A458" t="s">
        <v>161</v>
      </c>
      <c r="B458">
        <v>2010</v>
      </c>
      <c r="C458">
        <v>4.3917912769480495E-3</v>
      </c>
      <c r="D458">
        <v>3.995925964185456E-2</v>
      </c>
      <c r="E458">
        <v>-4.7660298871364012E-2</v>
      </c>
      <c r="F458">
        <v>0.5408901744090866</v>
      </c>
      <c r="G458">
        <v>0.8000340469541084</v>
      </c>
      <c r="H458">
        <v>15.012676850455252</v>
      </c>
      <c r="I458">
        <v>2.4490846598856642E-3</v>
      </c>
      <c r="J458">
        <v>6.3789711126455194E-3</v>
      </c>
      <c r="K458" s="1">
        <f t="shared" si="63"/>
        <v>4.3917912769480495E-3</v>
      </c>
      <c r="L458" s="1">
        <f t="shared" si="64"/>
        <v>3.995925964185456E-2</v>
      </c>
      <c r="M458">
        <f t="shared" si="65"/>
        <v>-4.7660298871364012E-2</v>
      </c>
      <c r="N458">
        <f t="shared" si="66"/>
        <v>0.5408901744090866</v>
      </c>
      <c r="O458">
        <f t="shared" si="67"/>
        <v>0.8000340469541084</v>
      </c>
      <c r="P458">
        <f t="shared" si="68"/>
        <v>15.012676850455252</v>
      </c>
      <c r="Q458">
        <f t="shared" si="69"/>
        <v>2.4490846598856642E-3</v>
      </c>
      <c r="R458">
        <f t="shared" si="70"/>
        <v>6.3789711126455194E-3</v>
      </c>
      <c r="S458">
        <f t="shared" si="71"/>
        <v>0</v>
      </c>
    </row>
    <row r="459" spans="1:19" x14ac:dyDescent="0.3">
      <c r="A459" t="s">
        <v>162</v>
      </c>
      <c r="B459">
        <v>2007</v>
      </c>
      <c r="C459">
        <v>0.38600740749353102</v>
      </c>
      <c r="D459">
        <v>0.23724519785397136</v>
      </c>
      <c r="E459">
        <v>0.4432378523694549</v>
      </c>
      <c r="F459">
        <v>0</v>
      </c>
      <c r="G459">
        <v>0.48873296205435868</v>
      </c>
      <c r="H459">
        <v>13.559431798259103</v>
      </c>
      <c r="I459">
        <v>8.5732610127575298E-3</v>
      </c>
      <c r="J459">
        <v>6.982473410405371E-2</v>
      </c>
      <c r="K459" s="1" t="str">
        <f t="shared" si="63"/>
        <v>out</v>
      </c>
      <c r="L459" s="1">
        <f t="shared" si="64"/>
        <v>0.23724519785397136</v>
      </c>
      <c r="M459">
        <f t="shared" si="65"/>
        <v>0.4432378523694549</v>
      </c>
      <c r="N459">
        <f t="shared" si="66"/>
        <v>0</v>
      </c>
      <c r="O459">
        <f t="shared" si="67"/>
        <v>0.48873296205435868</v>
      </c>
      <c r="P459">
        <f t="shared" si="68"/>
        <v>13.559431798259103</v>
      </c>
      <c r="Q459">
        <f t="shared" si="69"/>
        <v>8.5732610127575298E-3</v>
      </c>
      <c r="R459">
        <f t="shared" si="70"/>
        <v>6.982473410405371E-2</v>
      </c>
      <c r="S459">
        <f t="shared" si="71"/>
        <v>1</v>
      </c>
    </row>
    <row r="460" spans="1:19" x14ac:dyDescent="0.3">
      <c r="A460" t="s">
        <v>162</v>
      </c>
      <c r="B460">
        <v>2009</v>
      </c>
      <c r="C460">
        <v>3.3637755097911136E-2</v>
      </c>
      <c r="D460">
        <v>0.38405140769771834</v>
      </c>
      <c r="E460">
        <v>0.47174770145784112</v>
      </c>
      <c r="F460">
        <v>0</v>
      </c>
      <c r="G460">
        <v>0.41650943739846874</v>
      </c>
      <c r="H460">
        <v>14.02695150008195</v>
      </c>
      <c r="I460">
        <v>0.1290007381752756</v>
      </c>
      <c r="J460">
        <v>9.7219895148111191E-2</v>
      </c>
      <c r="K460" s="1">
        <f t="shared" si="63"/>
        <v>3.3637755097911136E-2</v>
      </c>
      <c r="L460" s="1">
        <f t="shared" si="64"/>
        <v>0.38405140769771834</v>
      </c>
      <c r="M460">
        <f t="shared" si="65"/>
        <v>0.47174770145784112</v>
      </c>
      <c r="N460">
        <f t="shared" si="66"/>
        <v>0</v>
      </c>
      <c r="O460">
        <f t="shared" si="67"/>
        <v>0.41650943739846874</v>
      </c>
      <c r="P460">
        <f t="shared" si="68"/>
        <v>14.02695150008195</v>
      </c>
      <c r="Q460">
        <f t="shared" si="69"/>
        <v>0.1290007381752756</v>
      </c>
      <c r="R460">
        <f t="shared" si="70"/>
        <v>9.7219895148111191E-2</v>
      </c>
      <c r="S460">
        <f t="shared" si="71"/>
        <v>0</v>
      </c>
    </row>
    <row r="461" spans="1:19" x14ac:dyDescent="0.3">
      <c r="A461" t="s">
        <v>162</v>
      </c>
      <c r="B461">
        <v>2010</v>
      </c>
      <c r="C461">
        <v>0.38531423296142159</v>
      </c>
      <c r="D461">
        <v>8.879937969485957E-2</v>
      </c>
      <c r="E461">
        <v>0.46212947156256495</v>
      </c>
      <c r="F461">
        <v>0</v>
      </c>
      <c r="G461">
        <v>0.41300874767332024</v>
      </c>
      <c r="H461">
        <v>13.746946880074859</v>
      </c>
      <c r="I461">
        <v>0.12890912197734444</v>
      </c>
      <c r="J461">
        <v>0</v>
      </c>
      <c r="K461" s="1" t="str">
        <f t="shared" si="63"/>
        <v>out</v>
      </c>
      <c r="L461" s="1">
        <f t="shared" si="64"/>
        <v>8.879937969485957E-2</v>
      </c>
      <c r="M461">
        <f t="shared" si="65"/>
        <v>0.46212947156256495</v>
      </c>
      <c r="N461">
        <f t="shared" si="66"/>
        <v>0</v>
      </c>
      <c r="O461">
        <f t="shared" si="67"/>
        <v>0.41300874767332024</v>
      </c>
      <c r="P461">
        <f t="shared" si="68"/>
        <v>13.746946880074859</v>
      </c>
      <c r="Q461">
        <f t="shared" si="69"/>
        <v>0.12890912197734444</v>
      </c>
      <c r="R461">
        <f t="shared" si="70"/>
        <v>0</v>
      </c>
      <c r="S461">
        <f t="shared" si="71"/>
        <v>1</v>
      </c>
    </row>
    <row r="462" spans="1:19" x14ac:dyDescent="0.3">
      <c r="A462" t="s">
        <v>163</v>
      </c>
      <c r="B462">
        <v>2007</v>
      </c>
      <c r="C462">
        <v>4.5207865111383853E-2</v>
      </c>
      <c r="D462">
        <v>0.11656106362734731</v>
      </c>
      <c r="E462">
        <v>3.4128367749527454E-2</v>
      </c>
      <c r="F462">
        <v>0.35781333105051982</v>
      </c>
      <c r="G462">
        <v>0.79910902906215309</v>
      </c>
      <c r="H462">
        <v>16.205237377785373</v>
      </c>
      <c r="I462">
        <v>2.6433975310674943E-3</v>
      </c>
      <c r="J462">
        <v>5.3101077831995622E-3</v>
      </c>
      <c r="K462" s="1">
        <f t="shared" si="63"/>
        <v>4.5207865111383853E-2</v>
      </c>
      <c r="L462" s="1">
        <f t="shared" si="64"/>
        <v>0.11656106362734731</v>
      </c>
      <c r="M462">
        <f t="shared" si="65"/>
        <v>3.4128367749527454E-2</v>
      </c>
      <c r="N462">
        <f t="shared" si="66"/>
        <v>0.35781333105051982</v>
      </c>
      <c r="O462">
        <f t="shared" si="67"/>
        <v>0.79910902906215309</v>
      </c>
      <c r="P462">
        <f t="shared" si="68"/>
        <v>16.205237377785373</v>
      </c>
      <c r="Q462">
        <f t="shared" si="69"/>
        <v>2.6433975310674943E-3</v>
      </c>
      <c r="R462">
        <f t="shared" si="70"/>
        <v>5.3101077831995622E-3</v>
      </c>
      <c r="S462">
        <f t="shared" si="71"/>
        <v>0</v>
      </c>
    </row>
    <row r="463" spans="1:19" x14ac:dyDescent="0.3">
      <c r="A463" t="s">
        <v>163</v>
      </c>
      <c r="B463">
        <v>2008</v>
      </c>
      <c r="C463">
        <v>2.7919716206966701E-2</v>
      </c>
      <c r="D463">
        <v>0.10943670513270638</v>
      </c>
      <c r="E463">
        <v>-7.3637511981344411E-2</v>
      </c>
      <c r="F463">
        <v>0.41406010967544543</v>
      </c>
      <c r="G463">
        <v>0.74529989147876141</v>
      </c>
      <c r="H463">
        <v>16.333754300150787</v>
      </c>
      <c r="I463">
        <v>2.4199919972740368E-2</v>
      </c>
      <c r="J463">
        <v>0</v>
      </c>
      <c r="K463" s="1">
        <f t="shared" si="63"/>
        <v>2.7919716206966701E-2</v>
      </c>
      <c r="L463" s="1">
        <f t="shared" si="64"/>
        <v>0.10943670513270638</v>
      </c>
      <c r="M463">
        <f t="shared" si="65"/>
        <v>-7.3637511981344411E-2</v>
      </c>
      <c r="N463">
        <f t="shared" si="66"/>
        <v>0.41406010967544543</v>
      </c>
      <c r="O463">
        <f t="shared" si="67"/>
        <v>0.74529989147876141</v>
      </c>
      <c r="P463">
        <f t="shared" si="68"/>
        <v>16.333754300150787</v>
      </c>
      <c r="Q463">
        <f t="shared" si="69"/>
        <v>2.4199919972740368E-2</v>
      </c>
      <c r="R463">
        <f t="shared" si="70"/>
        <v>0</v>
      </c>
      <c r="S463">
        <f t="shared" si="71"/>
        <v>0</v>
      </c>
    </row>
    <row r="464" spans="1:19" x14ac:dyDescent="0.3">
      <c r="A464" t="s">
        <v>163</v>
      </c>
      <c r="B464">
        <v>2009</v>
      </c>
      <c r="C464">
        <v>2.4090224910578262E-3</v>
      </c>
      <c r="D464">
        <v>0.21964646897046727</v>
      </c>
      <c r="E464">
        <v>-0.56662375419241962</v>
      </c>
      <c r="F464">
        <v>0.71316443111908967</v>
      </c>
      <c r="G464">
        <v>0.92346676009967554</v>
      </c>
      <c r="H464">
        <v>16.135289092975423</v>
      </c>
      <c r="I464">
        <v>2.7707703040835398E-2</v>
      </c>
      <c r="J464">
        <v>0</v>
      </c>
      <c r="K464" s="1">
        <f t="shared" si="63"/>
        <v>2.4090224910578262E-3</v>
      </c>
      <c r="L464" s="1">
        <f t="shared" si="64"/>
        <v>0.21964646897046727</v>
      </c>
      <c r="M464">
        <f t="shared" si="65"/>
        <v>-0.56662375419241962</v>
      </c>
      <c r="N464">
        <f t="shared" si="66"/>
        <v>0.71316443111908967</v>
      </c>
      <c r="O464">
        <f t="shared" si="67"/>
        <v>0.92346676009967554</v>
      </c>
      <c r="P464">
        <f t="shared" si="68"/>
        <v>16.135289092975423</v>
      </c>
      <c r="Q464">
        <f t="shared" si="69"/>
        <v>2.7707703040835398E-2</v>
      </c>
      <c r="R464">
        <f t="shared" si="70"/>
        <v>0</v>
      </c>
      <c r="S464">
        <f t="shared" si="71"/>
        <v>0</v>
      </c>
    </row>
    <row r="465" spans="1:19" x14ac:dyDescent="0.3">
      <c r="A465" t="s">
        <v>163</v>
      </c>
      <c r="B465">
        <v>2010</v>
      </c>
      <c r="C465">
        <v>4.051554869107239E-3</v>
      </c>
      <c r="D465">
        <v>0.12510653555912157</v>
      </c>
      <c r="E465">
        <v>-0.71447031547581774</v>
      </c>
      <c r="F465">
        <v>0.70523010109181872</v>
      </c>
      <c r="G465">
        <v>0.98688541766653937</v>
      </c>
      <c r="H465">
        <v>15.928373094204048</v>
      </c>
      <c r="I465">
        <v>2.2023701802366246E-2</v>
      </c>
      <c r="J465">
        <v>0</v>
      </c>
      <c r="K465" s="1">
        <f t="shared" si="63"/>
        <v>4.051554869107239E-3</v>
      </c>
      <c r="L465" s="1">
        <f t="shared" si="64"/>
        <v>0.12510653555912157</v>
      </c>
      <c r="M465">
        <f t="shared" si="65"/>
        <v>-0.71447031547581774</v>
      </c>
      <c r="N465">
        <f t="shared" si="66"/>
        <v>0.70523010109181872</v>
      </c>
      <c r="O465">
        <f t="shared" si="67"/>
        <v>0.98688541766653937</v>
      </c>
      <c r="P465">
        <f t="shared" si="68"/>
        <v>15.928373094204048</v>
      </c>
      <c r="Q465">
        <f t="shared" si="69"/>
        <v>2.2023701802366246E-2</v>
      </c>
      <c r="R465">
        <f t="shared" si="70"/>
        <v>0</v>
      </c>
      <c r="S465">
        <f t="shared" si="71"/>
        <v>0</v>
      </c>
    </row>
    <row r="466" spans="1:19" x14ac:dyDescent="0.3">
      <c r="A466" t="s">
        <v>164</v>
      </c>
      <c r="B466">
        <v>2007</v>
      </c>
      <c r="C466">
        <v>3.0139272672637361E-2</v>
      </c>
      <c r="D466">
        <v>6.540328322914013E-2</v>
      </c>
      <c r="E466">
        <v>-0.26335077507985966</v>
      </c>
      <c r="F466">
        <v>0.1268135823518268</v>
      </c>
      <c r="G466">
        <v>1.1498495894330452</v>
      </c>
      <c r="H466">
        <v>13.325016833170201</v>
      </c>
      <c r="I466">
        <v>6.4720151253618331E-3</v>
      </c>
      <c r="J466">
        <v>0</v>
      </c>
      <c r="K466" s="1">
        <f t="shared" si="63"/>
        <v>3.0139272672637361E-2</v>
      </c>
      <c r="L466" s="1">
        <f t="shared" si="64"/>
        <v>6.540328322914013E-2</v>
      </c>
      <c r="M466">
        <f t="shared" si="65"/>
        <v>-0.26335077507985966</v>
      </c>
      <c r="N466">
        <f t="shared" si="66"/>
        <v>0.1268135823518268</v>
      </c>
      <c r="O466">
        <f t="shared" si="67"/>
        <v>1.1498495894330452</v>
      </c>
      <c r="P466">
        <f t="shared" si="68"/>
        <v>13.325016833170201</v>
      </c>
      <c r="Q466">
        <f t="shared" si="69"/>
        <v>6.4720151253618331E-3</v>
      </c>
      <c r="R466">
        <f t="shared" si="70"/>
        <v>0</v>
      </c>
      <c r="S466">
        <f t="shared" si="71"/>
        <v>0</v>
      </c>
    </row>
    <row r="467" spans="1:19" x14ac:dyDescent="0.3">
      <c r="A467" t="s">
        <v>164</v>
      </c>
      <c r="B467">
        <v>2009</v>
      </c>
      <c r="C467">
        <v>8.05277104529772E-2</v>
      </c>
      <c r="D467">
        <v>0.1420420998378768</v>
      </c>
      <c r="E467">
        <v>1.0224308475530923E-2</v>
      </c>
      <c r="F467">
        <v>0.21203234634994469</v>
      </c>
      <c r="G467">
        <v>0.79674688013430894</v>
      </c>
      <c r="H467">
        <v>13.731771276372333</v>
      </c>
      <c r="I467">
        <v>1.4342933824954031E-2</v>
      </c>
      <c r="J467">
        <v>0</v>
      </c>
      <c r="K467" s="1">
        <f t="shared" si="63"/>
        <v>8.05277104529772E-2</v>
      </c>
      <c r="L467" s="1">
        <f t="shared" si="64"/>
        <v>0.1420420998378768</v>
      </c>
      <c r="M467">
        <f t="shared" si="65"/>
        <v>1.0224308475530923E-2</v>
      </c>
      <c r="N467">
        <f t="shared" si="66"/>
        <v>0.21203234634994469</v>
      </c>
      <c r="O467">
        <f t="shared" si="67"/>
        <v>0.79674688013430894</v>
      </c>
      <c r="P467">
        <f t="shared" si="68"/>
        <v>13.731771276372333</v>
      </c>
      <c r="Q467">
        <f t="shared" si="69"/>
        <v>1.4342933824954031E-2</v>
      </c>
      <c r="R467">
        <f t="shared" si="70"/>
        <v>0</v>
      </c>
      <c r="S467">
        <f t="shared" si="71"/>
        <v>0</v>
      </c>
    </row>
    <row r="468" spans="1:19" x14ac:dyDescent="0.3">
      <c r="A468" t="s">
        <v>164</v>
      </c>
      <c r="B468">
        <v>2010</v>
      </c>
      <c r="C468">
        <v>5.6882627981190613E-2</v>
      </c>
      <c r="D468">
        <v>0.11583086660088714</v>
      </c>
      <c r="E468">
        <v>4.2598913748811078E-2</v>
      </c>
      <c r="F468">
        <v>0.15555970381432394</v>
      </c>
      <c r="G468">
        <v>0.7330251028916327</v>
      </c>
      <c r="H468">
        <v>13.710123375284219</v>
      </c>
      <c r="I468">
        <v>3.9050576374455373E-3</v>
      </c>
      <c r="J468">
        <v>1.158364223045948E-2</v>
      </c>
      <c r="K468" s="1">
        <f t="shared" si="63"/>
        <v>5.6882627981190613E-2</v>
      </c>
      <c r="L468" s="1">
        <f t="shared" si="64"/>
        <v>0.11583086660088714</v>
      </c>
      <c r="M468">
        <f t="shared" si="65"/>
        <v>4.2598913748811078E-2</v>
      </c>
      <c r="N468">
        <f t="shared" si="66"/>
        <v>0.15555970381432394</v>
      </c>
      <c r="O468">
        <f t="shared" si="67"/>
        <v>0.7330251028916327</v>
      </c>
      <c r="P468">
        <f t="shared" si="68"/>
        <v>13.710123375284219</v>
      </c>
      <c r="Q468">
        <f t="shared" si="69"/>
        <v>3.9050576374455373E-3</v>
      </c>
      <c r="R468">
        <f t="shared" si="70"/>
        <v>1.158364223045948E-2</v>
      </c>
      <c r="S468">
        <f t="shared" si="71"/>
        <v>0</v>
      </c>
    </row>
    <row r="469" spans="1:19" x14ac:dyDescent="0.3">
      <c r="A469" t="s">
        <v>165</v>
      </c>
      <c r="B469">
        <v>2007</v>
      </c>
      <c r="C469">
        <v>8.3641428223621816E-3</v>
      </c>
      <c r="D469">
        <v>7.345722126317436E-2</v>
      </c>
      <c r="E469">
        <v>-3.8073312629650483E-2</v>
      </c>
      <c r="F469">
        <v>0.27243345756277482</v>
      </c>
      <c r="G469">
        <v>0.96304968222894716</v>
      </c>
      <c r="H469">
        <v>15.798142696565989</v>
      </c>
      <c r="I469">
        <v>1.8202464562338372E-2</v>
      </c>
      <c r="J469">
        <v>0</v>
      </c>
      <c r="K469" s="1">
        <f t="shared" si="63"/>
        <v>8.3641428223621816E-3</v>
      </c>
      <c r="L469" s="1">
        <f t="shared" si="64"/>
        <v>7.345722126317436E-2</v>
      </c>
      <c r="M469">
        <f t="shared" si="65"/>
        <v>-3.8073312629650483E-2</v>
      </c>
      <c r="N469">
        <f t="shared" si="66"/>
        <v>0.27243345756277482</v>
      </c>
      <c r="O469">
        <f t="shared" si="67"/>
        <v>0.96304968222894716</v>
      </c>
      <c r="P469">
        <f t="shared" si="68"/>
        <v>15.798142696565989</v>
      </c>
      <c r="Q469">
        <f t="shared" si="69"/>
        <v>1.8202464562338372E-2</v>
      </c>
      <c r="R469">
        <f t="shared" si="70"/>
        <v>0</v>
      </c>
      <c r="S469">
        <f t="shared" si="71"/>
        <v>0</v>
      </c>
    </row>
    <row r="470" spans="1:19" x14ac:dyDescent="0.3">
      <c r="A470" t="s">
        <v>165</v>
      </c>
      <c r="B470">
        <v>2008</v>
      </c>
      <c r="C470">
        <v>1.2727297283401863E-3</v>
      </c>
      <c r="D470">
        <v>3.0054308355832716E-2</v>
      </c>
      <c r="E470">
        <v>-0.25406801942530133</v>
      </c>
      <c r="F470">
        <v>0.27079850227834967</v>
      </c>
      <c r="G470">
        <v>0.879602763959481</v>
      </c>
      <c r="H470">
        <v>15.991509569440582</v>
      </c>
      <c r="I470">
        <v>1.5337215581239586E-3</v>
      </c>
      <c r="J470">
        <v>6.6791639479953601E-4</v>
      </c>
      <c r="K470" s="1">
        <f t="shared" si="63"/>
        <v>1.2727297283401863E-3</v>
      </c>
      <c r="L470" s="1">
        <f t="shared" si="64"/>
        <v>3.0054308355832716E-2</v>
      </c>
      <c r="M470">
        <f t="shared" si="65"/>
        <v>-0.25406801942530133</v>
      </c>
      <c r="N470">
        <f t="shared" si="66"/>
        <v>0.27079850227834967</v>
      </c>
      <c r="O470">
        <f t="shared" si="67"/>
        <v>0.879602763959481</v>
      </c>
      <c r="P470">
        <f t="shared" si="68"/>
        <v>15.991509569440582</v>
      </c>
      <c r="Q470">
        <f t="shared" si="69"/>
        <v>1.5337215581239586E-3</v>
      </c>
      <c r="R470">
        <f t="shared" si="70"/>
        <v>6.6791639479953601E-4</v>
      </c>
      <c r="S470">
        <f t="shared" si="71"/>
        <v>0</v>
      </c>
    </row>
    <row r="471" spans="1:19" x14ac:dyDescent="0.3">
      <c r="A471" t="s">
        <v>165</v>
      </c>
      <c r="B471">
        <v>2009</v>
      </c>
      <c r="C471">
        <v>3.0352887984301004E-3</v>
      </c>
      <c r="D471">
        <v>3.063384630496473E-2</v>
      </c>
      <c r="E471">
        <v>-1.5608715341552146E-2</v>
      </c>
      <c r="F471">
        <v>0.41206510143750991</v>
      </c>
      <c r="G471">
        <v>1.0113349950079942</v>
      </c>
      <c r="H471">
        <v>15.932643037518396</v>
      </c>
      <c r="I471">
        <v>2.7845477811277667E-2</v>
      </c>
      <c r="J471">
        <v>0</v>
      </c>
      <c r="K471" s="1">
        <f t="shared" si="63"/>
        <v>3.0352887984301004E-3</v>
      </c>
      <c r="L471" s="1">
        <f t="shared" si="64"/>
        <v>3.063384630496473E-2</v>
      </c>
      <c r="M471">
        <f t="shared" si="65"/>
        <v>-1.5608715341552146E-2</v>
      </c>
      <c r="N471">
        <f t="shared" si="66"/>
        <v>0.41206510143750991</v>
      </c>
      <c r="O471">
        <f t="shared" si="67"/>
        <v>1.0113349950079942</v>
      </c>
      <c r="P471">
        <f t="shared" si="68"/>
        <v>15.932643037518396</v>
      </c>
      <c r="Q471">
        <f t="shared" si="69"/>
        <v>2.7845477811277667E-2</v>
      </c>
      <c r="R471">
        <f t="shared" si="70"/>
        <v>0</v>
      </c>
      <c r="S471">
        <f t="shared" si="71"/>
        <v>0</v>
      </c>
    </row>
    <row r="472" spans="1:19" x14ac:dyDescent="0.3">
      <c r="A472" t="s">
        <v>165</v>
      </c>
      <c r="B472">
        <v>2010</v>
      </c>
      <c r="C472">
        <v>8.1184852474250752E-3</v>
      </c>
      <c r="D472">
        <v>0.13457089754510959</v>
      </c>
      <c r="E472">
        <v>-0.17946488035313249</v>
      </c>
      <c r="F472">
        <v>0.30190861922094014</v>
      </c>
      <c r="G472">
        <v>1.3263277317432045</v>
      </c>
      <c r="H472">
        <v>15.680597933268844</v>
      </c>
      <c r="I472">
        <v>1.6010738001034988E-3</v>
      </c>
      <c r="J472">
        <v>0</v>
      </c>
      <c r="K472" s="1">
        <f t="shared" si="63"/>
        <v>8.1184852474250752E-3</v>
      </c>
      <c r="L472" s="1">
        <f t="shared" si="64"/>
        <v>0.13457089754510959</v>
      </c>
      <c r="M472">
        <f t="shared" si="65"/>
        <v>-0.17946488035313249</v>
      </c>
      <c r="N472">
        <f t="shared" si="66"/>
        <v>0.30190861922094014</v>
      </c>
      <c r="O472">
        <f t="shared" si="67"/>
        <v>1.3263277317432045</v>
      </c>
      <c r="P472">
        <f t="shared" si="68"/>
        <v>15.680597933268844</v>
      </c>
      <c r="Q472">
        <f t="shared" si="69"/>
        <v>1.6010738001034988E-3</v>
      </c>
      <c r="R472">
        <f t="shared" si="70"/>
        <v>0</v>
      </c>
      <c r="S472">
        <f t="shared" si="71"/>
        <v>0</v>
      </c>
    </row>
    <row r="473" spans="1:19" x14ac:dyDescent="0.3">
      <c r="A473" t="s">
        <v>166</v>
      </c>
      <c r="B473">
        <v>2007</v>
      </c>
      <c r="C473">
        <v>0.30006865189746734</v>
      </c>
      <c r="D473">
        <v>0.11931213417611176</v>
      </c>
      <c r="E473">
        <v>0.63223533945276766</v>
      </c>
      <c r="F473">
        <v>0</v>
      </c>
      <c r="G473">
        <v>0.31775399799094994</v>
      </c>
      <c r="H473">
        <v>13.882385722024223</v>
      </c>
      <c r="I473">
        <v>2.7587373512069888E-2</v>
      </c>
      <c r="J473">
        <v>0</v>
      </c>
      <c r="K473" s="1">
        <f t="shared" si="63"/>
        <v>0.30006865189746734</v>
      </c>
      <c r="L473" s="1">
        <f t="shared" si="64"/>
        <v>0.11931213417611176</v>
      </c>
      <c r="M473">
        <f t="shared" si="65"/>
        <v>0.63223533945276766</v>
      </c>
      <c r="N473">
        <f t="shared" si="66"/>
        <v>0</v>
      </c>
      <c r="O473">
        <f t="shared" si="67"/>
        <v>0.31775399799094994</v>
      </c>
      <c r="P473">
        <f t="shared" si="68"/>
        <v>13.882385722024223</v>
      </c>
      <c r="Q473">
        <f t="shared" si="69"/>
        <v>2.7587373512069888E-2</v>
      </c>
      <c r="R473">
        <f t="shared" si="70"/>
        <v>0</v>
      </c>
      <c r="S473">
        <f t="shared" si="71"/>
        <v>0</v>
      </c>
    </row>
    <row r="474" spans="1:19" x14ac:dyDescent="0.3">
      <c r="A474" t="s">
        <v>166</v>
      </c>
      <c r="B474">
        <v>2009</v>
      </c>
      <c r="C474">
        <v>4.0095973048577198E-2</v>
      </c>
      <c r="D474">
        <v>8.2767002657249802E-2</v>
      </c>
      <c r="E474">
        <v>3.7791179013298988E-2</v>
      </c>
      <c r="F474">
        <v>0.37194153572798933</v>
      </c>
      <c r="G474">
        <v>0.53935653239249604</v>
      </c>
      <c r="H474">
        <v>15.429885065338027</v>
      </c>
      <c r="I474">
        <v>4.8047660197929519E-2</v>
      </c>
      <c r="J474">
        <v>2.2389200325429516E-3</v>
      </c>
      <c r="K474" s="1">
        <f t="shared" si="63"/>
        <v>4.0095973048577198E-2</v>
      </c>
      <c r="L474" s="1">
        <f t="shared" si="64"/>
        <v>8.2767002657249802E-2</v>
      </c>
      <c r="M474">
        <f t="shared" si="65"/>
        <v>3.7791179013298988E-2</v>
      </c>
      <c r="N474">
        <f t="shared" si="66"/>
        <v>0.37194153572798933</v>
      </c>
      <c r="O474">
        <f t="shared" si="67"/>
        <v>0.53935653239249604</v>
      </c>
      <c r="P474">
        <f t="shared" si="68"/>
        <v>15.429885065338027</v>
      </c>
      <c r="Q474">
        <f t="shared" si="69"/>
        <v>4.8047660197929519E-2</v>
      </c>
      <c r="R474">
        <f t="shared" si="70"/>
        <v>2.2389200325429516E-3</v>
      </c>
      <c r="S474">
        <f t="shared" si="71"/>
        <v>0</v>
      </c>
    </row>
    <row r="475" spans="1:19" x14ac:dyDescent="0.3">
      <c r="A475" t="s">
        <v>166</v>
      </c>
      <c r="B475">
        <v>2010</v>
      </c>
      <c r="C475">
        <v>3.3308132550133693E-2</v>
      </c>
      <c r="D475">
        <v>5.0745757618747465E-2</v>
      </c>
      <c r="E475">
        <v>0.28538180982327727</v>
      </c>
      <c r="F475">
        <v>0</v>
      </c>
      <c r="G475">
        <v>0.25063346149218568</v>
      </c>
      <c r="H475">
        <v>14.328683225267492</v>
      </c>
      <c r="I475">
        <v>6.1404764920715553E-2</v>
      </c>
      <c r="J475">
        <v>2.2447253443857625E-3</v>
      </c>
      <c r="K475" s="1">
        <f t="shared" si="63"/>
        <v>3.3308132550133693E-2</v>
      </c>
      <c r="L475" s="1">
        <f t="shared" si="64"/>
        <v>5.0745757618747465E-2</v>
      </c>
      <c r="M475">
        <f t="shared" si="65"/>
        <v>0.28538180982327727</v>
      </c>
      <c r="N475">
        <f t="shared" si="66"/>
        <v>0</v>
      </c>
      <c r="O475">
        <f t="shared" si="67"/>
        <v>0.25063346149218568</v>
      </c>
      <c r="P475">
        <f t="shared" si="68"/>
        <v>14.328683225267492</v>
      </c>
      <c r="Q475">
        <f t="shared" si="69"/>
        <v>6.1404764920715553E-2</v>
      </c>
      <c r="R475">
        <f t="shared" si="70"/>
        <v>2.2447253443857625E-3</v>
      </c>
      <c r="S475">
        <f t="shared" si="71"/>
        <v>0</v>
      </c>
    </row>
    <row r="476" spans="1:19" x14ac:dyDescent="0.3">
      <c r="A476" t="s">
        <v>167</v>
      </c>
      <c r="B476">
        <v>2009</v>
      </c>
      <c r="C476">
        <v>8.348082486749302E-3</v>
      </c>
      <c r="D476">
        <v>0.15033610582667506</v>
      </c>
      <c r="E476">
        <v>1.5588423122412874E-2</v>
      </c>
      <c r="F476">
        <v>0.555778030593718</v>
      </c>
      <c r="G476">
        <v>1.2592892763257675</v>
      </c>
      <c r="H476">
        <v>14.905289614924893</v>
      </c>
      <c r="I476">
        <v>1.9408670175163886E-2</v>
      </c>
      <c r="J476">
        <v>1.0104192974414661E-2</v>
      </c>
      <c r="K476" s="1">
        <f t="shared" si="63"/>
        <v>8.348082486749302E-3</v>
      </c>
      <c r="L476" s="1">
        <f t="shared" si="64"/>
        <v>0.15033610582667506</v>
      </c>
      <c r="M476">
        <f t="shared" si="65"/>
        <v>1.5588423122412874E-2</v>
      </c>
      <c r="N476">
        <f t="shared" si="66"/>
        <v>0.555778030593718</v>
      </c>
      <c r="O476">
        <f t="shared" si="67"/>
        <v>1.2592892763257675</v>
      </c>
      <c r="P476">
        <f t="shared" si="68"/>
        <v>14.905289614924893</v>
      </c>
      <c r="Q476">
        <f t="shared" si="69"/>
        <v>1.9408670175163886E-2</v>
      </c>
      <c r="R476">
        <f t="shared" si="70"/>
        <v>1.0104192974414661E-2</v>
      </c>
      <c r="S476">
        <f t="shared" si="71"/>
        <v>0</v>
      </c>
    </row>
    <row r="477" spans="1:19" x14ac:dyDescent="0.3">
      <c r="A477" t="s">
        <v>167</v>
      </c>
      <c r="B477">
        <v>2010</v>
      </c>
      <c r="C477">
        <v>5.3760496077093775E-3</v>
      </c>
      <c r="D477">
        <v>0.12682232147747585</v>
      </c>
      <c r="E477">
        <v>3.2809338624733814E-2</v>
      </c>
      <c r="F477">
        <v>0.59681320924766845</v>
      </c>
      <c r="G477">
        <v>1.2026618732022434</v>
      </c>
      <c r="H477">
        <v>14.918259279784781</v>
      </c>
      <c r="I477">
        <v>1.1118566550694514E-3</v>
      </c>
      <c r="J477">
        <v>7.4806593337283624E-3</v>
      </c>
      <c r="K477" s="1">
        <f t="shared" si="63"/>
        <v>5.3760496077093775E-3</v>
      </c>
      <c r="L477" s="1">
        <f t="shared" si="64"/>
        <v>0.12682232147747585</v>
      </c>
      <c r="M477">
        <f t="shared" si="65"/>
        <v>3.2809338624733814E-2</v>
      </c>
      <c r="N477">
        <f t="shared" si="66"/>
        <v>0.59681320924766845</v>
      </c>
      <c r="O477">
        <f t="shared" si="67"/>
        <v>1.2026618732022434</v>
      </c>
      <c r="P477">
        <f t="shared" si="68"/>
        <v>14.918259279784781</v>
      </c>
      <c r="Q477">
        <f t="shared" si="69"/>
        <v>1.1118566550694514E-3</v>
      </c>
      <c r="R477">
        <f t="shared" si="70"/>
        <v>7.4806593337283624E-3</v>
      </c>
      <c r="S477">
        <f t="shared" si="71"/>
        <v>0</v>
      </c>
    </row>
    <row r="478" spans="1:19" x14ac:dyDescent="0.3">
      <c r="A478" t="s">
        <v>168</v>
      </c>
      <c r="B478">
        <v>2007</v>
      </c>
      <c r="C478">
        <v>0.16087203910220829</v>
      </c>
      <c r="D478">
        <v>0.25011875781931064</v>
      </c>
      <c r="E478">
        <v>0.44809717782700159</v>
      </c>
      <c r="F478">
        <v>0</v>
      </c>
      <c r="G478">
        <v>2.4659987228096796</v>
      </c>
      <c r="H478">
        <v>13.261601704456039</v>
      </c>
      <c r="I478">
        <v>1.0623716210674816E-2</v>
      </c>
      <c r="J478">
        <v>5.1303377942192349E-2</v>
      </c>
      <c r="K478" s="1">
        <f t="shared" si="63"/>
        <v>0.16087203910220829</v>
      </c>
      <c r="L478" s="1">
        <f t="shared" si="64"/>
        <v>0.25011875781931064</v>
      </c>
      <c r="M478">
        <f t="shared" si="65"/>
        <v>0.44809717782700159</v>
      </c>
      <c r="N478">
        <f t="shared" si="66"/>
        <v>0</v>
      </c>
      <c r="O478">
        <f t="shared" si="67"/>
        <v>2.4659987228096796</v>
      </c>
      <c r="P478">
        <f t="shared" si="68"/>
        <v>13.261601704456039</v>
      </c>
      <c r="Q478">
        <f t="shared" si="69"/>
        <v>1.0623716210674816E-2</v>
      </c>
      <c r="R478">
        <f t="shared" si="70"/>
        <v>5.1303377942192349E-2</v>
      </c>
      <c r="S478">
        <f t="shared" si="71"/>
        <v>0</v>
      </c>
    </row>
    <row r="479" spans="1:19" x14ac:dyDescent="0.3">
      <c r="A479" t="s">
        <v>168</v>
      </c>
      <c r="B479">
        <v>2009</v>
      </c>
      <c r="C479">
        <v>0.19378363099310689</v>
      </c>
      <c r="D479">
        <v>3.686502819025346E-2</v>
      </c>
      <c r="E479">
        <v>0.35011755729622368</v>
      </c>
      <c r="F479">
        <v>0</v>
      </c>
      <c r="G479">
        <v>1.2009462636683681</v>
      </c>
      <c r="H479">
        <v>13.491824034638206</v>
      </c>
      <c r="I479">
        <v>6.4797692133897839E-3</v>
      </c>
      <c r="J479">
        <v>0</v>
      </c>
      <c r="K479" s="1">
        <f t="shared" si="63"/>
        <v>0.19378363099310689</v>
      </c>
      <c r="L479" s="1">
        <f t="shared" si="64"/>
        <v>3.686502819025346E-2</v>
      </c>
      <c r="M479">
        <f t="shared" si="65"/>
        <v>0.35011755729622368</v>
      </c>
      <c r="N479">
        <f t="shared" si="66"/>
        <v>0</v>
      </c>
      <c r="O479">
        <f t="shared" si="67"/>
        <v>1.2009462636683681</v>
      </c>
      <c r="P479">
        <f t="shared" si="68"/>
        <v>13.491824034638206</v>
      </c>
      <c r="Q479">
        <f t="shared" si="69"/>
        <v>6.4797692133897839E-3</v>
      </c>
      <c r="R479">
        <f t="shared" si="70"/>
        <v>0</v>
      </c>
      <c r="S479">
        <f t="shared" si="71"/>
        <v>0</v>
      </c>
    </row>
    <row r="480" spans="1:19" x14ac:dyDescent="0.3">
      <c r="A480" t="s">
        <v>168</v>
      </c>
      <c r="B480">
        <v>2010</v>
      </c>
      <c r="C480">
        <v>0.15330902044802924</v>
      </c>
      <c r="D480">
        <v>5.7848125859877961E-2</v>
      </c>
      <c r="E480">
        <v>0.36207163636745537</v>
      </c>
      <c r="F480">
        <v>0</v>
      </c>
      <c r="G480">
        <v>1.42426835544073</v>
      </c>
      <c r="H480">
        <v>13.543355317945885</v>
      </c>
      <c r="I480">
        <v>1.139892646103295E-2</v>
      </c>
      <c r="J480">
        <v>1.8578615163258663E-2</v>
      </c>
      <c r="K480" s="1">
        <f t="shared" si="63"/>
        <v>0.15330902044802924</v>
      </c>
      <c r="L480" s="1">
        <f t="shared" si="64"/>
        <v>5.7848125859877961E-2</v>
      </c>
      <c r="M480">
        <f t="shared" si="65"/>
        <v>0.36207163636745537</v>
      </c>
      <c r="N480">
        <f t="shared" si="66"/>
        <v>0</v>
      </c>
      <c r="O480">
        <f t="shared" si="67"/>
        <v>1.42426835544073</v>
      </c>
      <c r="P480">
        <f t="shared" si="68"/>
        <v>13.543355317945885</v>
      </c>
      <c r="Q480">
        <f t="shared" si="69"/>
        <v>1.139892646103295E-2</v>
      </c>
      <c r="R480">
        <f t="shared" si="70"/>
        <v>1.8578615163258663E-2</v>
      </c>
      <c r="S480">
        <f t="shared" si="71"/>
        <v>0</v>
      </c>
    </row>
    <row r="481" spans="1:19" x14ac:dyDescent="0.3">
      <c r="A481" t="s">
        <v>169</v>
      </c>
      <c r="B481">
        <v>2007</v>
      </c>
      <c r="C481">
        <v>1.238262190899414E-2</v>
      </c>
      <c r="D481">
        <v>4.9847057287235513E-2</v>
      </c>
      <c r="E481">
        <v>0.10163468653668845</v>
      </c>
      <c r="F481">
        <v>0.32778307592263567</v>
      </c>
      <c r="G481">
        <v>1.0913891340105286</v>
      </c>
      <c r="H481">
        <v>15.148044109198459</v>
      </c>
      <c r="I481">
        <v>1.1467288792254789E-2</v>
      </c>
      <c r="J481">
        <v>6.3466938916566752E-3</v>
      </c>
      <c r="K481" s="1">
        <f t="shared" si="63"/>
        <v>1.238262190899414E-2</v>
      </c>
      <c r="L481" s="1">
        <f t="shared" si="64"/>
        <v>4.9847057287235513E-2</v>
      </c>
      <c r="M481">
        <f t="shared" si="65"/>
        <v>0.10163468653668845</v>
      </c>
      <c r="N481">
        <f t="shared" si="66"/>
        <v>0.32778307592263567</v>
      </c>
      <c r="O481">
        <f t="shared" si="67"/>
        <v>1.0913891340105286</v>
      </c>
      <c r="P481">
        <f t="shared" si="68"/>
        <v>15.148044109198459</v>
      </c>
      <c r="Q481">
        <f t="shared" si="69"/>
        <v>1.1467288792254789E-2</v>
      </c>
      <c r="R481">
        <f t="shared" si="70"/>
        <v>6.3466938916566752E-3</v>
      </c>
      <c r="S481">
        <f t="shared" si="71"/>
        <v>0</v>
      </c>
    </row>
    <row r="482" spans="1:19" x14ac:dyDescent="0.3">
      <c r="A482" t="s">
        <v>169</v>
      </c>
      <c r="B482">
        <v>2008</v>
      </c>
      <c r="C482">
        <v>6.2172121277813009E-3</v>
      </c>
      <c r="D482">
        <v>2.8778808419394553E-2</v>
      </c>
      <c r="E482">
        <v>0.10489147085908541</v>
      </c>
      <c r="F482">
        <v>0.33274213364230731</v>
      </c>
      <c r="G482">
        <v>1.1809396338204101</v>
      </c>
      <c r="H482">
        <v>15.336337123229722</v>
      </c>
      <c r="I482">
        <v>9.6823758074173292E-3</v>
      </c>
      <c r="J482">
        <v>7.8837309216814831E-3</v>
      </c>
      <c r="K482" s="1">
        <f t="shared" si="63"/>
        <v>6.2172121277813009E-3</v>
      </c>
      <c r="L482" s="1">
        <f t="shared" si="64"/>
        <v>2.8778808419394553E-2</v>
      </c>
      <c r="M482">
        <f t="shared" si="65"/>
        <v>0.10489147085908541</v>
      </c>
      <c r="N482">
        <f t="shared" si="66"/>
        <v>0.33274213364230731</v>
      </c>
      <c r="O482">
        <f t="shared" si="67"/>
        <v>1.1809396338204101</v>
      </c>
      <c r="P482">
        <f t="shared" si="68"/>
        <v>15.336337123229722</v>
      </c>
      <c r="Q482">
        <f t="shared" si="69"/>
        <v>9.6823758074173292E-3</v>
      </c>
      <c r="R482">
        <f t="shared" si="70"/>
        <v>7.8837309216814831E-3</v>
      </c>
      <c r="S482">
        <f t="shared" si="71"/>
        <v>0</v>
      </c>
    </row>
    <row r="483" spans="1:19" x14ac:dyDescent="0.3">
      <c r="A483" t="s">
        <v>169</v>
      </c>
      <c r="B483">
        <v>2009</v>
      </c>
      <c r="C483">
        <v>9.049993151720016E-3</v>
      </c>
      <c r="D483">
        <v>5.3738824651118178E-2</v>
      </c>
      <c r="E483">
        <v>1.1654286085392212E-2</v>
      </c>
      <c r="F483">
        <v>0.51341944352327906</v>
      </c>
      <c r="G483">
        <v>1.2423230179715148</v>
      </c>
      <c r="H483">
        <v>15.54735263439715</v>
      </c>
      <c r="I483">
        <v>5.7326040780529344E-3</v>
      </c>
      <c r="J483">
        <v>6.3857114088805384E-3</v>
      </c>
      <c r="K483" s="1">
        <f t="shared" si="63"/>
        <v>9.049993151720016E-3</v>
      </c>
      <c r="L483" s="1">
        <f t="shared" si="64"/>
        <v>5.3738824651118178E-2</v>
      </c>
      <c r="M483">
        <f t="shared" si="65"/>
        <v>1.1654286085392212E-2</v>
      </c>
      <c r="N483">
        <f t="shared" si="66"/>
        <v>0.51341944352327906</v>
      </c>
      <c r="O483">
        <f t="shared" si="67"/>
        <v>1.2423230179715148</v>
      </c>
      <c r="P483">
        <f t="shared" si="68"/>
        <v>15.54735263439715</v>
      </c>
      <c r="Q483">
        <f t="shared" si="69"/>
        <v>5.7326040780529344E-3</v>
      </c>
      <c r="R483">
        <f t="shared" si="70"/>
        <v>6.3857114088805384E-3</v>
      </c>
      <c r="S483">
        <f t="shared" si="71"/>
        <v>0</v>
      </c>
    </row>
    <row r="484" spans="1:19" x14ac:dyDescent="0.3">
      <c r="A484" t="s">
        <v>169</v>
      </c>
      <c r="B484">
        <v>2010</v>
      </c>
      <c r="C484">
        <v>9.1615724065997484E-3</v>
      </c>
      <c r="D484">
        <v>7.1992022098060535E-2</v>
      </c>
      <c r="E484">
        <v>1.1569314808078381E-2</v>
      </c>
      <c r="F484">
        <v>0.56922243983843734</v>
      </c>
      <c r="G484">
        <v>1.3256210222095501</v>
      </c>
      <c r="H484">
        <v>15.684988960068289</v>
      </c>
      <c r="I484">
        <v>7.6404878600216906E-3</v>
      </c>
      <c r="J484">
        <v>1.3633336330032492E-2</v>
      </c>
      <c r="K484" s="1">
        <f t="shared" si="63"/>
        <v>9.1615724065997484E-3</v>
      </c>
      <c r="L484" s="1">
        <f t="shared" si="64"/>
        <v>7.1992022098060535E-2</v>
      </c>
      <c r="M484">
        <f t="shared" si="65"/>
        <v>1.1569314808078381E-2</v>
      </c>
      <c r="N484">
        <f t="shared" si="66"/>
        <v>0.56922243983843734</v>
      </c>
      <c r="O484">
        <f t="shared" si="67"/>
        <v>1.3256210222095501</v>
      </c>
      <c r="P484">
        <f t="shared" si="68"/>
        <v>15.684988960068289</v>
      </c>
      <c r="Q484">
        <f t="shared" si="69"/>
        <v>7.6404878600216906E-3</v>
      </c>
      <c r="R484">
        <f t="shared" si="70"/>
        <v>1.3633336330032492E-2</v>
      </c>
      <c r="S484">
        <f t="shared" si="71"/>
        <v>0</v>
      </c>
    </row>
    <row r="485" spans="1:19" x14ac:dyDescent="0.3">
      <c r="A485" t="s">
        <v>170</v>
      </c>
      <c r="B485">
        <v>2007</v>
      </c>
      <c r="C485">
        <v>4.6103999391411993E-2</v>
      </c>
      <c r="D485">
        <v>0.10716335746938041</v>
      </c>
      <c r="E485">
        <v>2.1317869665345754E-2</v>
      </c>
      <c r="F485">
        <v>0.27766309121212751</v>
      </c>
      <c r="G485">
        <v>1.736777042400603</v>
      </c>
      <c r="H485">
        <v>13.268000202723506</v>
      </c>
      <c r="I485">
        <v>1.9240397823569778E-2</v>
      </c>
      <c r="J485">
        <v>1.7427747463640324E-2</v>
      </c>
      <c r="K485" s="1">
        <f t="shared" si="63"/>
        <v>4.6103999391411993E-2</v>
      </c>
      <c r="L485" s="1">
        <f t="shared" si="64"/>
        <v>0.10716335746938041</v>
      </c>
      <c r="M485">
        <f t="shared" si="65"/>
        <v>2.1317869665345754E-2</v>
      </c>
      <c r="N485">
        <f t="shared" si="66"/>
        <v>0.27766309121212751</v>
      </c>
      <c r="O485">
        <f t="shared" si="67"/>
        <v>1.736777042400603</v>
      </c>
      <c r="P485">
        <f t="shared" si="68"/>
        <v>13.268000202723506</v>
      </c>
      <c r="Q485">
        <f t="shared" si="69"/>
        <v>1.9240397823569778E-2</v>
      </c>
      <c r="R485">
        <f t="shared" si="70"/>
        <v>1.7427747463640324E-2</v>
      </c>
      <c r="S485">
        <f t="shared" si="71"/>
        <v>0</v>
      </c>
    </row>
    <row r="486" spans="1:19" x14ac:dyDescent="0.3">
      <c r="A486" t="s">
        <v>170</v>
      </c>
      <c r="B486">
        <v>2009</v>
      </c>
      <c r="C486">
        <v>1.815886326450147E-2</v>
      </c>
      <c r="D486">
        <v>6.6506939741094007E-2</v>
      </c>
      <c r="E486">
        <v>-1.2640316303274174E-2</v>
      </c>
      <c r="F486">
        <v>0.42267920852743956</v>
      </c>
      <c r="G486">
        <v>1.1449175652451062</v>
      </c>
      <c r="H486">
        <v>13.497931319365671</v>
      </c>
      <c r="I486">
        <v>2.4323650795627885E-2</v>
      </c>
      <c r="J486">
        <v>1.3847884831757817E-2</v>
      </c>
      <c r="K486" s="1">
        <f t="shared" si="63"/>
        <v>1.815886326450147E-2</v>
      </c>
      <c r="L486" s="1">
        <f t="shared" si="64"/>
        <v>6.6506939741094007E-2</v>
      </c>
      <c r="M486">
        <f t="shared" si="65"/>
        <v>-1.2640316303274174E-2</v>
      </c>
      <c r="N486">
        <f t="shared" si="66"/>
        <v>0.42267920852743956</v>
      </c>
      <c r="O486">
        <f t="shared" si="67"/>
        <v>1.1449175652451062</v>
      </c>
      <c r="P486">
        <f t="shared" si="68"/>
        <v>13.497931319365671</v>
      </c>
      <c r="Q486">
        <f t="shared" si="69"/>
        <v>2.4323650795627885E-2</v>
      </c>
      <c r="R486">
        <f t="shared" si="70"/>
        <v>1.3847884831757817E-2</v>
      </c>
      <c r="S486">
        <f t="shared" si="71"/>
        <v>0</v>
      </c>
    </row>
    <row r="487" spans="1:19" x14ac:dyDescent="0.3">
      <c r="A487" t="s">
        <v>170</v>
      </c>
      <c r="B487">
        <v>2010</v>
      </c>
      <c r="C487">
        <v>1.238293872364931E-2</v>
      </c>
      <c r="D487">
        <v>0.15003953460382366</v>
      </c>
      <c r="E487">
        <v>0.10527935501464837</v>
      </c>
      <c r="F487">
        <v>0.25383805590299624</v>
      </c>
      <c r="G487">
        <v>1.1036589694798953</v>
      </c>
      <c r="H487">
        <v>13.394505833004999</v>
      </c>
      <c r="I487">
        <v>2.0269829555665579E-2</v>
      </c>
      <c r="J487">
        <v>3.0713588172830968E-2</v>
      </c>
      <c r="K487" s="1">
        <f t="shared" si="63"/>
        <v>1.238293872364931E-2</v>
      </c>
      <c r="L487" s="1">
        <f t="shared" si="64"/>
        <v>0.15003953460382366</v>
      </c>
      <c r="M487">
        <f t="shared" si="65"/>
        <v>0.10527935501464837</v>
      </c>
      <c r="N487">
        <f t="shared" si="66"/>
        <v>0.25383805590299624</v>
      </c>
      <c r="O487">
        <f t="shared" si="67"/>
        <v>1.1036589694798953</v>
      </c>
      <c r="P487">
        <f t="shared" si="68"/>
        <v>13.394505833004999</v>
      </c>
      <c r="Q487">
        <f t="shared" si="69"/>
        <v>2.0269829555665579E-2</v>
      </c>
      <c r="R487">
        <f t="shared" si="70"/>
        <v>3.0713588172830968E-2</v>
      </c>
      <c r="S487">
        <f t="shared" si="71"/>
        <v>0</v>
      </c>
    </row>
    <row r="488" spans="1:19" x14ac:dyDescent="0.3">
      <c r="A488" t="s">
        <v>171</v>
      </c>
      <c r="B488">
        <v>2007</v>
      </c>
      <c r="C488">
        <v>1.5268524424085664E-2</v>
      </c>
      <c r="D488">
        <v>0.19178969723793352</v>
      </c>
      <c r="E488">
        <v>2.5295803469706123E-2</v>
      </c>
      <c r="F488">
        <v>0.22155852373411597</v>
      </c>
      <c r="G488">
        <v>2.2065277022831267</v>
      </c>
      <c r="H488">
        <v>13.988167226495781</v>
      </c>
      <c r="I488">
        <v>3.0096552843503765E-3</v>
      </c>
      <c r="J488">
        <v>7.1529662806763053E-3</v>
      </c>
      <c r="K488" s="1">
        <f t="shared" si="63"/>
        <v>1.5268524424085664E-2</v>
      </c>
      <c r="L488" s="1">
        <f t="shared" si="64"/>
        <v>0.19178969723793352</v>
      </c>
      <c r="M488">
        <f t="shared" si="65"/>
        <v>2.5295803469706123E-2</v>
      </c>
      <c r="N488">
        <f t="shared" si="66"/>
        <v>0.22155852373411597</v>
      </c>
      <c r="O488">
        <f t="shared" si="67"/>
        <v>2.2065277022831267</v>
      </c>
      <c r="P488">
        <f t="shared" si="68"/>
        <v>13.988167226495781</v>
      </c>
      <c r="Q488">
        <f t="shared" si="69"/>
        <v>3.0096552843503765E-3</v>
      </c>
      <c r="R488">
        <f t="shared" si="70"/>
        <v>7.1529662806763053E-3</v>
      </c>
      <c r="S488">
        <f t="shared" si="71"/>
        <v>0</v>
      </c>
    </row>
    <row r="489" spans="1:19" x14ac:dyDescent="0.3">
      <c r="A489" t="s">
        <v>171</v>
      </c>
      <c r="B489">
        <v>2008</v>
      </c>
      <c r="C489">
        <v>7.7267691673513087E-3</v>
      </c>
      <c r="D489">
        <v>0.16512591210055794</v>
      </c>
      <c r="E489">
        <v>2.6725369348841069E-3</v>
      </c>
      <c r="F489">
        <v>0.33875149929436554</v>
      </c>
      <c r="G489">
        <v>0.8596454365630305</v>
      </c>
      <c r="H489">
        <v>14.373213088217495</v>
      </c>
      <c r="I489">
        <v>1.4626555324987115E-2</v>
      </c>
      <c r="J489">
        <v>0</v>
      </c>
      <c r="K489" s="1">
        <f t="shared" si="63"/>
        <v>7.7267691673513087E-3</v>
      </c>
      <c r="L489" s="1">
        <f t="shared" si="64"/>
        <v>0.16512591210055794</v>
      </c>
      <c r="M489">
        <f t="shared" si="65"/>
        <v>2.6725369348841069E-3</v>
      </c>
      <c r="N489">
        <f t="shared" si="66"/>
        <v>0.33875149929436554</v>
      </c>
      <c r="O489">
        <f t="shared" si="67"/>
        <v>0.8596454365630305</v>
      </c>
      <c r="P489">
        <f t="shared" si="68"/>
        <v>14.373213088217495</v>
      </c>
      <c r="Q489">
        <f t="shared" si="69"/>
        <v>1.4626555324987115E-2</v>
      </c>
      <c r="R489">
        <f t="shared" si="70"/>
        <v>0</v>
      </c>
      <c r="S489">
        <f t="shared" si="71"/>
        <v>0</v>
      </c>
    </row>
    <row r="490" spans="1:19" x14ac:dyDescent="0.3">
      <c r="A490" t="s">
        <v>171</v>
      </c>
      <c r="B490">
        <v>2009</v>
      </c>
      <c r="C490">
        <v>8.2845640129000555E-3</v>
      </c>
      <c r="D490">
        <v>0.16060557683830962</v>
      </c>
      <c r="E490">
        <v>7.6841306329450493E-2</v>
      </c>
      <c r="F490">
        <v>0.29723958654004895</v>
      </c>
      <c r="G490">
        <v>1.8540039970773823</v>
      </c>
      <c r="H490">
        <v>14.422740853269024</v>
      </c>
      <c r="I490">
        <v>1.8204118128358971E-2</v>
      </c>
      <c r="J490">
        <v>4.5161089955490563E-2</v>
      </c>
      <c r="K490" s="1">
        <f t="shared" si="63"/>
        <v>8.2845640129000555E-3</v>
      </c>
      <c r="L490" s="1">
        <f t="shared" si="64"/>
        <v>0.16060557683830962</v>
      </c>
      <c r="M490">
        <f t="shared" si="65"/>
        <v>7.6841306329450493E-2</v>
      </c>
      <c r="N490">
        <f t="shared" si="66"/>
        <v>0.29723958654004895</v>
      </c>
      <c r="O490">
        <f t="shared" si="67"/>
        <v>1.8540039970773823</v>
      </c>
      <c r="P490">
        <f t="shared" si="68"/>
        <v>14.422740853269024</v>
      </c>
      <c r="Q490">
        <f t="shared" si="69"/>
        <v>1.8204118128358971E-2</v>
      </c>
      <c r="R490">
        <f t="shared" si="70"/>
        <v>4.5161089955490563E-2</v>
      </c>
      <c r="S490">
        <f t="shared" si="71"/>
        <v>0</v>
      </c>
    </row>
    <row r="491" spans="1:19" x14ac:dyDescent="0.3">
      <c r="A491" t="s">
        <v>171</v>
      </c>
      <c r="B491">
        <v>2010</v>
      </c>
      <c r="C491">
        <v>5.272663366188546E-3</v>
      </c>
      <c r="D491">
        <v>8.8052468628008196E-2</v>
      </c>
      <c r="E491">
        <v>8.4375327181082579E-3</v>
      </c>
      <c r="F491">
        <v>0.45235832124321335</v>
      </c>
      <c r="G491">
        <v>1.7983330927773373</v>
      </c>
      <c r="H491">
        <v>14.799220657350389</v>
      </c>
      <c r="I491">
        <v>1.6977390642724213E-2</v>
      </c>
      <c r="J491">
        <v>1.8595477048714459E-2</v>
      </c>
      <c r="K491" s="1">
        <f t="shared" si="63"/>
        <v>5.272663366188546E-3</v>
      </c>
      <c r="L491" s="1">
        <f t="shared" si="64"/>
        <v>8.8052468628008196E-2</v>
      </c>
      <c r="M491">
        <f t="shared" si="65"/>
        <v>8.4375327181082579E-3</v>
      </c>
      <c r="N491">
        <f t="shared" si="66"/>
        <v>0.45235832124321335</v>
      </c>
      <c r="O491">
        <f t="shared" si="67"/>
        <v>1.7983330927773373</v>
      </c>
      <c r="P491">
        <f t="shared" si="68"/>
        <v>14.799220657350389</v>
      </c>
      <c r="Q491">
        <f t="shared" si="69"/>
        <v>1.6977390642724213E-2</v>
      </c>
      <c r="R491">
        <f t="shared" si="70"/>
        <v>1.8595477048714459E-2</v>
      </c>
      <c r="S491">
        <f t="shared" si="71"/>
        <v>0</v>
      </c>
    </row>
    <row r="492" spans="1:19" x14ac:dyDescent="0.3">
      <c r="A492" t="s">
        <v>172</v>
      </c>
      <c r="B492">
        <v>2007</v>
      </c>
      <c r="C492">
        <v>2.5916056203582508E-2</v>
      </c>
      <c r="D492">
        <v>0.10394263936998763</v>
      </c>
      <c r="E492">
        <v>-0.30576426603414736</v>
      </c>
      <c r="F492">
        <v>0.31152419314015461</v>
      </c>
      <c r="G492">
        <v>0.90414765372460826</v>
      </c>
      <c r="H492">
        <v>13.223351950031484</v>
      </c>
      <c r="I492">
        <v>1.273978332582645E-2</v>
      </c>
      <c r="J492">
        <v>3.3115061142729038E-2</v>
      </c>
      <c r="K492" s="1">
        <f t="shared" si="63"/>
        <v>2.5916056203582508E-2</v>
      </c>
      <c r="L492" s="1">
        <f t="shared" si="64"/>
        <v>0.10394263936998763</v>
      </c>
      <c r="M492">
        <f t="shared" si="65"/>
        <v>-0.30576426603414736</v>
      </c>
      <c r="N492">
        <f t="shared" si="66"/>
        <v>0.31152419314015461</v>
      </c>
      <c r="O492">
        <f t="shared" si="67"/>
        <v>0.90414765372460826</v>
      </c>
      <c r="P492">
        <f t="shared" si="68"/>
        <v>13.223351950031484</v>
      </c>
      <c r="Q492">
        <f t="shared" si="69"/>
        <v>1.273978332582645E-2</v>
      </c>
      <c r="R492">
        <f t="shared" si="70"/>
        <v>3.3115061142729038E-2</v>
      </c>
      <c r="S492">
        <f t="shared" si="71"/>
        <v>0</v>
      </c>
    </row>
    <row r="493" spans="1:19" x14ac:dyDescent="0.3">
      <c r="A493" t="s">
        <v>172</v>
      </c>
      <c r="B493">
        <v>2009</v>
      </c>
      <c r="C493">
        <v>1.4535826798042764E-2</v>
      </c>
      <c r="D493">
        <v>0.1195375025135733</v>
      </c>
      <c r="E493">
        <v>-9.4539848515316036E-2</v>
      </c>
      <c r="F493">
        <v>0.25755345532542395</v>
      </c>
      <c r="G493">
        <v>0.92020215832160335</v>
      </c>
      <c r="H493">
        <v>13.522413852810994</v>
      </c>
      <c r="I493">
        <v>1.2551966389051719E-3</v>
      </c>
      <c r="J493">
        <v>0</v>
      </c>
      <c r="K493" s="1">
        <f t="shared" si="63"/>
        <v>1.4535826798042764E-2</v>
      </c>
      <c r="L493" s="1">
        <f t="shared" si="64"/>
        <v>0.1195375025135733</v>
      </c>
      <c r="M493">
        <f t="shared" si="65"/>
        <v>-9.4539848515316036E-2</v>
      </c>
      <c r="N493">
        <f t="shared" si="66"/>
        <v>0.25755345532542395</v>
      </c>
      <c r="O493">
        <f t="shared" si="67"/>
        <v>0.92020215832160335</v>
      </c>
      <c r="P493">
        <f t="shared" si="68"/>
        <v>13.522413852810994</v>
      </c>
      <c r="Q493">
        <f t="shared" si="69"/>
        <v>1.2551966389051719E-3</v>
      </c>
      <c r="R493">
        <f t="shared" si="70"/>
        <v>0</v>
      </c>
      <c r="S493">
        <f t="shared" si="71"/>
        <v>0</v>
      </c>
    </row>
    <row r="494" spans="1:19" x14ac:dyDescent="0.3">
      <c r="A494" t="s">
        <v>172</v>
      </c>
      <c r="B494">
        <v>2010</v>
      </c>
      <c r="C494">
        <v>2.5497111783269091E-2</v>
      </c>
      <c r="D494">
        <v>0.1078435012393671</v>
      </c>
      <c r="E494">
        <v>-0.16399938850609855</v>
      </c>
      <c r="F494">
        <v>0.3146212559647954</v>
      </c>
      <c r="G494">
        <v>1.0740398999770691</v>
      </c>
      <c r="H494">
        <v>13.727542359730796</v>
      </c>
      <c r="I494">
        <v>2.2058597051580406E-3</v>
      </c>
      <c r="J494">
        <v>1.6604243330894636E-2</v>
      </c>
      <c r="K494" s="1">
        <f t="shared" si="63"/>
        <v>2.5497111783269091E-2</v>
      </c>
      <c r="L494" s="1">
        <f t="shared" si="64"/>
        <v>0.1078435012393671</v>
      </c>
      <c r="M494">
        <f t="shared" si="65"/>
        <v>-0.16399938850609855</v>
      </c>
      <c r="N494">
        <f t="shared" si="66"/>
        <v>0.3146212559647954</v>
      </c>
      <c r="O494">
        <f t="shared" si="67"/>
        <v>1.0740398999770691</v>
      </c>
      <c r="P494">
        <f t="shared" si="68"/>
        <v>13.727542359730796</v>
      </c>
      <c r="Q494">
        <f t="shared" si="69"/>
        <v>2.2058597051580406E-3</v>
      </c>
      <c r="R494">
        <f t="shared" si="70"/>
        <v>1.6604243330894636E-2</v>
      </c>
      <c r="S494">
        <f t="shared" si="71"/>
        <v>0</v>
      </c>
    </row>
    <row r="495" spans="1:19" x14ac:dyDescent="0.3">
      <c r="A495" t="s">
        <v>173</v>
      </c>
      <c r="B495">
        <v>2010</v>
      </c>
      <c r="C495">
        <v>4.4451444267361771E-2</v>
      </c>
      <c r="D495">
        <v>0.12692589451234754</v>
      </c>
      <c r="E495">
        <v>0.12726400522482195</v>
      </c>
      <c r="F495">
        <v>9.1463282477051097E-4</v>
      </c>
      <c r="G495">
        <v>0.86762452660887956</v>
      </c>
      <c r="H495">
        <v>13.447458279772874</v>
      </c>
      <c r="I495">
        <v>7.1025534254889749E-3</v>
      </c>
      <c r="J495">
        <v>8.2981616313697378E-3</v>
      </c>
      <c r="K495" s="1">
        <f t="shared" si="63"/>
        <v>4.4451444267361771E-2</v>
      </c>
      <c r="L495" s="1">
        <f t="shared" si="64"/>
        <v>0.12692589451234754</v>
      </c>
      <c r="M495">
        <f t="shared" si="65"/>
        <v>0.12726400522482195</v>
      </c>
      <c r="N495">
        <f t="shared" si="66"/>
        <v>9.1463282477051097E-4</v>
      </c>
      <c r="O495">
        <f t="shared" si="67"/>
        <v>0.86762452660887956</v>
      </c>
      <c r="P495">
        <f t="shared" si="68"/>
        <v>13.447458279772874</v>
      </c>
      <c r="Q495">
        <f t="shared" si="69"/>
        <v>7.1025534254889749E-3</v>
      </c>
      <c r="R495">
        <f t="shared" si="70"/>
        <v>8.2981616313697378E-3</v>
      </c>
      <c r="S495">
        <f t="shared" si="71"/>
        <v>0</v>
      </c>
    </row>
    <row r="496" spans="1:19" x14ac:dyDescent="0.3">
      <c r="A496" t="s">
        <v>174</v>
      </c>
      <c r="B496">
        <v>2007</v>
      </c>
      <c r="C496">
        <v>5.1358244226584618E-3</v>
      </c>
      <c r="D496">
        <v>6.0015442570018014E-2</v>
      </c>
      <c r="E496">
        <v>-0.34799597557266199</v>
      </c>
      <c r="F496">
        <v>0.32172020870867357</v>
      </c>
      <c r="G496">
        <v>0.78804809424647271</v>
      </c>
      <c r="H496">
        <v>12.049161492433393</v>
      </c>
      <c r="I496">
        <v>9.7321741789345786E-4</v>
      </c>
      <c r="J496">
        <v>0</v>
      </c>
      <c r="K496" s="1">
        <f t="shared" si="63"/>
        <v>5.1358244226584618E-3</v>
      </c>
      <c r="L496" s="1">
        <f t="shared" si="64"/>
        <v>6.0015442570018014E-2</v>
      </c>
      <c r="M496">
        <f t="shared" si="65"/>
        <v>-0.34799597557266199</v>
      </c>
      <c r="N496">
        <f t="shared" si="66"/>
        <v>0.32172020870867357</v>
      </c>
      <c r="O496">
        <f t="shared" si="67"/>
        <v>0.78804809424647271</v>
      </c>
      <c r="P496">
        <f t="shared" si="68"/>
        <v>12.049161492433393</v>
      </c>
      <c r="Q496">
        <f t="shared" si="69"/>
        <v>9.7321741789345786E-4</v>
      </c>
      <c r="R496">
        <f t="shared" si="70"/>
        <v>0</v>
      </c>
      <c r="S496">
        <f t="shared" si="71"/>
        <v>0</v>
      </c>
    </row>
    <row r="497" spans="1:19" x14ac:dyDescent="0.3">
      <c r="A497" t="s">
        <v>174</v>
      </c>
      <c r="B497">
        <v>2008</v>
      </c>
      <c r="C497">
        <v>1.2381939645243032E-3</v>
      </c>
      <c r="D497">
        <v>5.7135452660677266E-2</v>
      </c>
      <c r="E497">
        <v>-0.28702487906012442</v>
      </c>
      <c r="F497">
        <v>0.26549182216079242</v>
      </c>
      <c r="G497">
        <v>0.58954031329186818</v>
      </c>
      <c r="H497">
        <v>12.06473946941353</v>
      </c>
      <c r="I497">
        <v>0.24375448628970908</v>
      </c>
      <c r="J497">
        <v>0</v>
      </c>
      <c r="K497" s="1">
        <f t="shared" si="63"/>
        <v>1.2381939645243032E-3</v>
      </c>
      <c r="L497" s="1">
        <f t="shared" si="64"/>
        <v>5.7135452660677266E-2</v>
      </c>
      <c r="M497">
        <f t="shared" si="65"/>
        <v>-0.28702487906012442</v>
      </c>
      <c r="N497">
        <f t="shared" si="66"/>
        <v>0.26549182216079242</v>
      </c>
      <c r="O497">
        <f t="shared" si="67"/>
        <v>0.58954031329186818</v>
      </c>
      <c r="P497">
        <f t="shared" si="68"/>
        <v>12.06473946941353</v>
      </c>
      <c r="Q497">
        <f t="shared" si="69"/>
        <v>0.24375448628970908</v>
      </c>
      <c r="R497">
        <f t="shared" si="70"/>
        <v>0</v>
      </c>
      <c r="S497">
        <f t="shared" si="71"/>
        <v>0</v>
      </c>
    </row>
    <row r="498" spans="1:19" x14ac:dyDescent="0.3">
      <c r="A498" t="s">
        <v>174</v>
      </c>
      <c r="B498">
        <v>2009</v>
      </c>
      <c r="C498">
        <v>2.5076676761636541E-4</v>
      </c>
      <c r="D498">
        <v>2.0248066202426651</v>
      </c>
      <c r="E498">
        <v>9.0083138828340511E-3</v>
      </c>
      <c r="F498">
        <v>0.93512856619278173</v>
      </c>
      <c r="G498">
        <v>1.1238593005536157</v>
      </c>
      <c r="H498">
        <v>10.855936620963561</v>
      </c>
      <c r="I498">
        <v>0.22317345523215426</v>
      </c>
      <c r="J498">
        <v>0</v>
      </c>
      <c r="K498" s="1">
        <f t="shared" si="63"/>
        <v>2.5076676761636541E-4</v>
      </c>
      <c r="L498" s="1">
        <f t="shared" si="64"/>
        <v>2.0248066202426651</v>
      </c>
      <c r="M498">
        <f t="shared" si="65"/>
        <v>9.0083138828340511E-3</v>
      </c>
      <c r="N498">
        <f t="shared" si="66"/>
        <v>0.93512856619278173</v>
      </c>
      <c r="O498">
        <f t="shared" si="67"/>
        <v>1.1238593005536157</v>
      </c>
      <c r="P498">
        <f t="shared" si="68"/>
        <v>10.855936620963561</v>
      </c>
      <c r="Q498">
        <f t="shared" si="69"/>
        <v>0.22317345523215426</v>
      </c>
      <c r="R498">
        <f t="shared" si="70"/>
        <v>0</v>
      </c>
      <c r="S498">
        <f t="shared" si="71"/>
        <v>0</v>
      </c>
    </row>
    <row r="499" spans="1:19" x14ac:dyDescent="0.3">
      <c r="A499" t="s">
        <v>174</v>
      </c>
      <c r="B499">
        <v>2010</v>
      </c>
      <c r="C499">
        <v>2.0981155107957579E-3</v>
      </c>
      <c r="D499">
        <v>0.11858167391470206</v>
      </c>
      <c r="E499">
        <v>0.16081101701380943</v>
      </c>
      <c r="F499">
        <v>0.92725261310749985</v>
      </c>
      <c r="G499">
        <v>0.78992904554818022</v>
      </c>
      <c r="H499">
        <v>10.867196078739436</v>
      </c>
      <c r="I499">
        <v>4.5953773155891636E-3</v>
      </c>
      <c r="J499">
        <v>0</v>
      </c>
      <c r="K499" s="1">
        <f t="shared" si="63"/>
        <v>2.0981155107957579E-3</v>
      </c>
      <c r="L499" s="1">
        <f t="shared" si="64"/>
        <v>0.11858167391470206</v>
      </c>
      <c r="M499">
        <f t="shared" si="65"/>
        <v>0.16081101701380943</v>
      </c>
      <c r="N499">
        <f t="shared" si="66"/>
        <v>0.92725261310749985</v>
      </c>
      <c r="O499">
        <f t="shared" si="67"/>
        <v>0.78992904554818022</v>
      </c>
      <c r="P499">
        <f t="shared" si="68"/>
        <v>10.867196078739436</v>
      </c>
      <c r="Q499">
        <f t="shared" si="69"/>
        <v>4.5953773155891636E-3</v>
      </c>
      <c r="R499">
        <f t="shared" si="70"/>
        <v>0</v>
      </c>
      <c r="S499">
        <f t="shared" si="71"/>
        <v>0</v>
      </c>
    </row>
    <row r="500" spans="1:19" x14ac:dyDescent="0.3">
      <c r="A500" t="s">
        <v>175</v>
      </c>
      <c r="B500">
        <v>2007</v>
      </c>
      <c r="C500">
        <v>7.7407529530914218E-2</v>
      </c>
      <c r="D500">
        <v>0.46074613032050044</v>
      </c>
      <c r="E500">
        <v>0.36371223620372106</v>
      </c>
      <c r="F500">
        <v>0</v>
      </c>
      <c r="G500">
        <v>5.5122894781061795</v>
      </c>
      <c r="H500">
        <v>15.188114379863929</v>
      </c>
      <c r="I500">
        <v>2.0628469548838426E-2</v>
      </c>
      <c r="J500">
        <v>0.21068447953941735</v>
      </c>
      <c r="K500" s="1">
        <f t="shared" si="63"/>
        <v>7.7407529530914218E-2</v>
      </c>
      <c r="L500" s="1">
        <f t="shared" si="64"/>
        <v>0.46074613032050044</v>
      </c>
      <c r="M500">
        <f t="shared" si="65"/>
        <v>0.36371223620372106</v>
      </c>
      <c r="N500">
        <f t="shared" si="66"/>
        <v>0</v>
      </c>
      <c r="O500">
        <f t="shared" si="67"/>
        <v>5.5122894781061795</v>
      </c>
      <c r="P500">
        <f t="shared" si="68"/>
        <v>15.188114379863929</v>
      </c>
      <c r="Q500">
        <f t="shared" si="69"/>
        <v>2.0628469548838426E-2</v>
      </c>
      <c r="R500" t="str">
        <f t="shared" si="70"/>
        <v>out</v>
      </c>
      <c r="S500">
        <f t="shared" si="71"/>
        <v>1</v>
      </c>
    </row>
    <row r="501" spans="1:19" x14ac:dyDescent="0.3">
      <c r="A501" t="s">
        <v>175</v>
      </c>
      <c r="B501">
        <v>2008</v>
      </c>
      <c r="C501">
        <v>2.6258625853405339E-3</v>
      </c>
      <c r="D501">
        <v>0.46648668766081736</v>
      </c>
      <c r="E501">
        <v>0.29103010695847847</v>
      </c>
      <c r="F501">
        <v>9.4421849318710102E-2</v>
      </c>
      <c r="G501">
        <v>4.5221278399191549</v>
      </c>
      <c r="H501">
        <v>15.469684331739765</v>
      </c>
      <c r="I501">
        <v>4.8184495199814791E-2</v>
      </c>
      <c r="J501">
        <v>0.17664615574100007</v>
      </c>
      <c r="K501" s="1">
        <f t="shared" si="63"/>
        <v>2.6258625853405339E-3</v>
      </c>
      <c r="L501" s="1">
        <f t="shared" si="64"/>
        <v>0.46648668766081736</v>
      </c>
      <c r="M501">
        <f t="shared" si="65"/>
        <v>0.29103010695847847</v>
      </c>
      <c r="N501">
        <f t="shared" si="66"/>
        <v>9.4421849318710102E-2</v>
      </c>
      <c r="O501">
        <f t="shared" si="67"/>
        <v>4.5221278399191549</v>
      </c>
      <c r="P501">
        <f t="shared" si="68"/>
        <v>15.469684331739765</v>
      </c>
      <c r="Q501">
        <f t="shared" si="69"/>
        <v>4.8184495199814791E-2</v>
      </c>
      <c r="R501" t="str">
        <f t="shared" si="70"/>
        <v>out</v>
      </c>
      <c r="S501">
        <f t="shared" si="71"/>
        <v>1</v>
      </c>
    </row>
    <row r="502" spans="1:19" x14ac:dyDescent="0.3">
      <c r="A502" t="s">
        <v>175</v>
      </c>
      <c r="B502">
        <v>2009</v>
      </c>
      <c r="C502">
        <v>0.12836836156770481</v>
      </c>
      <c r="D502">
        <v>0.41227824871599994</v>
      </c>
      <c r="E502">
        <v>0.28507670069126223</v>
      </c>
      <c r="F502">
        <v>0</v>
      </c>
      <c r="G502">
        <v>2.8505327292056615</v>
      </c>
      <c r="H502">
        <v>15.472959473958143</v>
      </c>
      <c r="I502">
        <v>2.884948660071732E-2</v>
      </c>
      <c r="J502">
        <v>0.1584617047448956</v>
      </c>
      <c r="K502" s="1">
        <f t="shared" si="63"/>
        <v>0.12836836156770481</v>
      </c>
      <c r="L502" s="1">
        <f t="shared" si="64"/>
        <v>0.41227824871599994</v>
      </c>
      <c r="M502">
        <f t="shared" si="65"/>
        <v>0.28507670069126223</v>
      </c>
      <c r="N502">
        <f t="shared" si="66"/>
        <v>0</v>
      </c>
      <c r="O502">
        <f t="shared" si="67"/>
        <v>2.8505327292056615</v>
      </c>
      <c r="P502">
        <f t="shared" si="68"/>
        <v>15.472959473958143</v>
      </c>
      <c r="Q502">
        <f t="shared" si="69"/>
        <v>2.884948660071732E-2</v>
      </c>
      <c r="R502" t="str">
        <f t="shared" si="70"/>
        <v>out</v>
      </c>
      <c r="S502">
        <f t="shared" si="71"/>
        <v>1</v>
      </c>
    </row>
    <row r="503" spans="1:19" x14ac:dyDescent="0.3">
      <c r="A503" t="s">
        <v>175</v>
      </c>
      <c r="B503">
        <v>2010</v>
      </c>
      <c r="C503">
        <v>5.4740069039071497E-3</v>
      </c>
      <c r="D503">
        <v>0.40730531503880124</v>
      </c>
      <c r="E503">
        <v>0.28393664581848876</v>
      </c>
      <c r="F503">
        <v>8.7391822557382301E-2</v>
      </c>
      <c r="G503">
        <v>3.0017879359174384</v>
      </c>
      <c r="H503">
        <v>15.79788308649885</v>
      </c>
      <c r="I503">
        <v>1.7913323958135597E-2</v>
      </c>
      <c r="J503">
        <v>0.15903008658327672</v>
      </c>
      <c r="K503" s="1">
        <f t="shared" si="63"/>
        <v>5.4740069039071497E-3</v>
      </c>
      <c r="L503" s="1">
        <f t="shared" si="64"/>
        <v>0.40730531503880124</v>
      </c>
      <c r="M503">
        <f t="shared" si="65"/>
        <v>0.28393664581848876</v>
      </c>
      <c r="N503">
        <f t="shared" si="66"/>
        <v>8.7391822557382301E-2</v>
      </c>
      <c r="O503">
        <f t="shared" si="67"/>
        <v>3.0017879359174384</v>
      </c>
      <c r="P503">
        <f t="shared" si="68"/>
        <v>15.79788308649885</v>
      </c>
      <c r="Q503">
        <f t="shared" si="69"/>
        <v>1.7913323958135597E-2</v>
      </c>
      <c r="R503" t="str">
        <f t="shared" si="70"/>
        <v>out</v>
      </c>
      <c r="S503">
        <f t="shared" si="71"/>
        <v>1</v>
      </c>
    </row>
    <row r="504" spans="1:19" x14ac:dyDescent="0.3">
      <c r="A504" t="s">
        <v>176</v>
      </c>
      <c r="B504">
        <v>2007</v>
      </c>
      <c r="C504">
        <v>1.9902636274003474E-2</v>
      </c>
      <c r="D504">
        <v>3.3839616883421755E-2</v>
      </c>
      <c r="E504">
        <v>1.1677484858444059E-2</v>
      </c>
      <c r="F504">
        <v>0.37020957556692802</v>
      </c>
      <c r="G504">
        <v>0.72805648152495417</v>
      </c>
      <c r="H504">
        <v>13.432151305038326</v>
      </c>
      <c r="I504">
        <v>1.9668249915114761E-4</v>
      </c>
      <c r="J504">
        <v>0</v>
      </c>
      <c r="K504" s="1">
        <f t="shared" si="63"/>
        <v>1.9902636274003474E-2</v>
      </c>
      <c r="L504" s="1">
        <f t="shared" si="64"/>
        <v>3.3839616883421755E-2</v>
      </c>
      <c r="M504">
        <f t="shared" si="65"/>
        <v>1.1677484858444059E-2</v>
      </c>
      <c r="N504">
        <f t="shared" si="66"/>
        <v>0.37020957556692802</v>
      </c>
      <c r="O504">
        <f t="shared" si="67"/>
        <v>0.72805648152495417</v>
      </c>
      <c r="P504">
        <f t="shared" si="68"/>
        <v>13.432151305038326</v>
      </c>
      <c r="Q504">
        <f t="shared" si="69"/>
        <v>1.9668249915114761E-4</v>
      </c>
      <c r="R504">
        <f t="shared" si="70"/>
        <v>0</v>
      </c>
      <c r="S504">
        <f t="shared" si="71"/>
        <v>0</v>
      </c>
    </row>
    <row r="505" spans="1:19" x14ac:dyDescent="0.3">
      <c r="A505" t="s">
        <v>176</v>
      </c>
      <c r="B505">
        <v>2009</v>
      </c>
      <c r="C505">
        <v>4.2228664232985364E-3</v>
      </c>
      <c r="D505">
        <v>2.7650479454692494E-2</v>
      </c>
      <c r="E505">
        <v>0.14744045160767713</v>
      </c>
      <c r="F505">
        <v>0.31089725287931763</v>
      </c>
      <c r="G505">
        <v>0.53107126684664752</v>
      </c>
      <c r="H505">
        <v>13.531877610065285</v>
      </c>
      <c r="I505">
        <v>2.0138724188059984E-3</v>
      </c>
      <c r="J505">
        <v>0</v>
      </c>
      <c r="K505" s="1">
        <f t="shared" si="63"/>
        <v>4.2228664232985364E-3</v>
      </c>
      <c r="L505" s="1">
        <f t="shared" si="64"/>
        <v>2.7650479454692494E-2</v>
      </c>
      <c r="M505">
        <f t="shared" si="65"/>
        <v>0.14744045160767713</v>
      </c>
      <c r="N505">
        <f t="shared" si="66"/>
        <v>0.31089725287931763</v>
      </c>
      <c r="O505">
        <f t="shared" si="67"/>
        <v>0.53107126684664752</v>
      </c>
      <c r="P505">
        <f t="shared" si="68"/>
        <v>13.531877610065285</v>
      </c>
      <c r="Q505">
        <f t="shared" si="69"/>
        <v>2.0138724188059984E-3</v>
      </c>
      <c r="R505">
        <f t="shared" si="70"/>
        <v>0</v>
      </c>
      <c r="S505">
        <f t="shared" si="71"/>
        <v>0</v>
      </c>
    </row>
    <row r="506" spans="1:19" x14ac:dyDescent="0.3">
      <c r="A506" t="s">
        <v>176</v>
      </c>
      <c r="B506">
        <v>2010</v>
      </c>
      <c r="C506">
        <v>1.0907780097489512E-2</v>
      </c>
      <c r="D506">
        <v>2.7742571306102973E-2</v>
      </c>
      <c r="E506">
        <v>0.13769613727558522</v>
      </c>
      <c r="F506">
        <v>0.39746213009616083</v>
      </c>
      <c r="G506">
        <v>0.57692405453774509</v>
      </c>
      <c r="H506">
        <v>13.671096159680625</v>
      </c>
      <c r="I506">
        <v>2.4593210814582229E-2</v>
      </c>
      <c r="J506">
        <v>0</v>
      </c>
      <c r="K506" s="1">
        <f t="shared" si="63"/>
        <v>1.0907780097489512E-2</v>
      </c>
      <c r="L506" s="1">
        <f t="shared" si="64"/>
        <v>2.7742571306102973E-2</v>
      </c>
      <c r="M506">
        <f t="shared" si="65"/>
        <v>0.13769613727558522</v>
      </c>
      <c r="N506">
        <f t="shared" si="66"/>
        <v>0.39746213009616083</v>
      </c>
      <c r="O506">
        <f t="shared" si="67"/>
        <v>0.57692405453774509</v>
      </c>
      <c r="P506">
        <f t="shared" si="68"/>
        <v>13.671096159680625</v>
      </c>
      <c r="Q506">
        <f t="shared" si="69"/>
        <v>2.4593210814582229E-2</v>
      </c>
      <c r="R506">
        <f t="shared" si="70"/>
        <v>0</v>
      </c>
      <c r="S506">
        <f t="shared" si="71"/>
        <v>0</v>
      </c>
    </row>
    <row r="507" spans="1:19" x14ac:dyDescent="0.3">
      <c r="A507" t="s">
        <v>177</v>
      </c>
      <c r="B507">
        <v>2007</v>
      </c>
      <c r="C507">
        <v>9.6564725036082572E-2</v>
      </c>
      <c r="D507">
        <v>0.26013547588381097</v>
      </c>
      <c r="E507">
        <v>0.35316915205735366</v>
      </c>
      <c r="F507">
        <v>3.4869553807882737E-2</v>
      </c>
      <c r="G507">
        <v>2.1465983306957575</v>
      </c>
      <c r="H507">
        <v>13.929149016715101</v>
      </c>
      <c r="I507">
        <v>7.4498423645966705E-3</v>
      </c>
      <c r="J507">
        <v>4.4629030112991776E-2</v>
      </c>
      <c r="K507" s="1">
        <f t="shared" si="63"/>
        <v>9.6564725036082572E-2</v>
      </c>
      <c r="L507" s="1">
        <f t="shared" si="64"/>
        <v>0.26013547588381097</v>
      </c>
      <c r="M507">
        <f t="shared" si="65"/>
        <v>0.35316915205735366</v>
      </c>
      <c r="N507">
        <f t="shared" si="66"/>
        <v>3.4869553807882737E-2</v>
      </c>
      <c r="O507">
        <f t="shared" si="67"/>
        <v>2.1465983306957575</v>
      </c>
      <c r="P507">
        <f t="shared" si="68"/>
        <v>13.929149016715101</v>
      </c>
      <c r="Q507">
        <f t="shared" si="69"/>
        <v>7.4498423645966705E-3</v>
      </c>
      <c r="R507">
        <f t="shared" si="70"/>
        <v>4.4629030112991776E-2</v>
      </c>
      <c r="S507">
        <f t="shared" si="71"/>
        <v>0</v>
      </c>
    </row>
    <row r="508" spans="1:19" x14ac:dyDescent="0.3">
      <c r="A508" t="s">
        <v>177</v>
      </c>
      <c r="B508">
        <v>2009</v>
      </c>
      <c r="C508">
        <v>5.2307135711042278E-2</v>
      </c>
      <c r="D508">
        <v>0.14755110252993056</v>
      </c>
      <c r="E508">
        <v>0.37841898721559969</v>
      </c>
      <c r="F508">
        <v>2.2318616936838492E-2</v>
      </c>
      <c r="G508">
        <v>0.96674505402821209</v>
      </c>
      <c r="H508">
        <v>14.118858034724967</v>
      </c>
      <c r="I508">
        <v>1.791032859596163E-3</v>
      </c>
      <c r="J508">
        <v>2.6580329817592487E-2</v>
      </c>
      <c r="K508" s="1">
        <f t="shared" si="63"/>
        <v>5.2307135711042278E-2</v>
      </c>
      <c r="L508" s="1">
        <f t="shared" si="64"/>
        <v>0.14755110252993056</v>
      </c>
      <c r="M508">
        <f t="shared" si="65"/>
        <v>0.37841898721559969</v>
      </c>
      <c r="N508">
        <f t="shared" si="66"/>
        <v>2.2318616936838492E-2</v>
      </c>
      <c r="O508">
        <f t="shared" si="67"/>
        <v>0.96674505402821209</v>
      </c>
      <c r="P508">
        <f t="shared" si="68"/>
        <v>14.118858034724967</v>
      </c>
      <c r="Q508">
        <f t="shared" si="69"/>
        <v>1.791032859596163E-3</v>
      </c>
      <c r="R508">
        <f t="shared" si="70"/>
        <v>2.6580329817592487E-2</v>
      </c>
      <c r="S508">
        <f t="shared" si="71"/>
        <v>0</v>
      </c>
    </row>
    <row r="509" spans="1:19" x14ac:dyDescent="0.3">
      <c r="A509" t="s">
        <v>177</v>
      </c>
      <c r="B509">
        <v>2010</v>
      </c>
      <c r="C509">
        <v>6.1446056168348202E-2</v>
      </c>
      <c r="D509">
        <v>0.12973145870858865</v>
      </c>
      <c r="E509">
        <v>0.31601040598276087</v>
      </c>
      <c r="F509">
        <v>9.2732546112792399E-2</v>
      </c>
      <c r="G509">
        <v>0.90720446965734725</v>
      </c>
      <c r="H509">
        <v>14.297598995869524</v>
      </c>
      <c r="I509">
        <v>2.6845767922070649E-3</v>
      </c>
      <c r="J509">
        <v>2.2229728185998606E-2</v>
      </c>
      <c r="K509" s="1">
        <f t="shared" si="63"/>
        <v>6.1446056168348202E-2</v>
      </c>
      <c r="L509" s="1">
        <f t="shared" si="64"/>
        <v>0.12973145870858865</v>
      </c>
      <c r="M509">
        <f t="shared" si="65"/>
        <v>0.31601040598276087</v>
      </c>
      <c r="N509">
        <f t="shared" si="66"/>
        <v>9.2732546112792399E-2</v>
      </c>
      <c r="O509">
        <f t="shared" si="67"/>
        <v>0.90720446965734725</v>
      </c>
      <c r="P509">
        <f t="shared" si="68"/>
        <v>14.297598995869524</v>
      </c>
      <c r="Q509">
        <f t="shared" si="69"/>
        <v>2.6845767922070649E-3</v>
      </c>
      <c r="R509">
        <f t="shared" si="70"/>
        <v>2.2229728185998606E-2</v>
      </c>
      <c r="S509">
        <f t="shared" si="71"/>
        <v>0</v>
      </c>
    </row>
    <row r="510" spans="1:19" x14ac:dyDescent="0.3">
      <c r="A510" t="s">
        <v>178</v>
      </c>
      <c r="B510">
        <v>2007</v>
      </c>
      <c r="C510">
        <v>0.10597714172438484</v>
      </c>
      <c r="D510">
        <v>0.41758263823736991</v>
      </c>
      <c r="E510">
        <v>0.46406349596955421</v>
      </c>
      <c r="F510">
        <v>0</v>
      </c>
      <c r="G510">
        <v>4.6427754344456575</v>
      </c>
      <c r="H510">
        <v>15.359100932872567</v>
      </c>
      <c r="I510">
        <v>8.0503395717695228E-2</v>
      </c>
      <c r="J510">
        <v>0.37642949667703968</v>
      </c>
      <c r="K510" s="1">
        <f t="shared" si="63"/>
        <v>0.10597714172438484</v>
      </c>
      <c r="L510" s="1">
        <f t="shared" si="64"/>
        <v>0.41758263823736991</v>
      </c>
      <c r="M510">
        <f t="shared" si="65"/>
        <v>0.46406349596955421</v>
      </c>
      <c r="N510">
        <f t="shared" si="66"/>
        <v>0</v>
      </c>
      <c r="O510">
        <f t="shared" si="67"/>
        <v>4.6427754344456575</v>
      </c>
      <c r="P510">
        <f t="shared" si="68"/>
        <v>15.359100932872567</v>
      </c>
      <c r="Q510">
        <f t="shared" si="69"/>
        <v>8.0503395717695228E-2</v>
      </c>
      <c r="R510" t="str">
        <f t="shared" si="70"/>
        <v>out</v>
      </c>
      <c r="S510">
        <f t="shared" si="71"/>
        <v>1</v>
      </c>
    </row>
    <row r="511" spans="1:19" x14ac:dyDescent="0.3">
      <c r="A511" t="s">
        <v>178</v>
      </c>
      <c r="B511">
        <v>2008</v>
      </c>
      <c r="C511">
        <v>0.2096316325979303</v>
      </c>
      <c r="D511">
        <v>0.14909101856121618</v>
      </c>
      <c r="E511">
        <v>0.4002634428313705</v>
      </c>
      <c r="F511">
        <v>0</v>
      </c>
      <c r="G511">
        <v>2.0375999588507643</v>
      </c>
      <c r="H511">
        <v>15.428121231863436</v>
      </c>
      <c r="I511">
        <v>2.0159984933718542E-2</v>
      </c>
      <c r="J511">
        <v>9.7590277615792531E-2</v>
      </c>
      <c r="K511" s="1">
        <f t="shared" si="63"/>
        <v>0.2096316325979303</v>
      </c>
      <c r="L511" s="1">
        <f t="shared" si="64"/>
        <v>0.14909101856121618</v>
      </c>
      <c r="M511">
        <f t="shared" si="65"/>
        <v>0.4002634428313705</v>
      </c>
      <c r="N511">
        <f t="shared" si="66"/>
        <v>0</v>
      </c>
      <c r="O511">
        <f t="shared" si="67"/>
        <v>2.0375999588507643</v>
      </c>
      <c r="P511">
        <f t="shared" si="68"/>
        <v>15.428121231863436</v>
      </c>
      <c r="Q511">
        <f t="shared" si="69"/>
        <v>2.0159984933718542E-2</v>
      </c>
      <c r="R511">
        <f t="shared" si="70"/>
        <v>9.7590277615792531E-2</v>
      </c>
      <c r="S511">
        <f t="shared" si="71"/>
        <v>0</v>
      </c>
    </row>
    <row r="512" spans="1:19" x14ac:dyDescent="0.3">
      <c r="A512" t="s">
        <v>178</v>
      </c>
      <c r="B512">
        <v>2009</v>
      </c>
      <c r="C512">
        <v>0.15525676311531941</v>
      </c>
      <c r="D512">
        <v>0.21800008701649445</v>
      </c>
      <c r="E512">
        <v>0.33289771372217891</v>
      </c>
      <c r="F512">
        <v>0</v>
      </c>
      <c r="G512">
        <v>2.7380609260488713</v>
      </c>
      <c r="H512">
        <v>15.417838454030321</v>
      </c>
      <c r="I512">
        <v>5.4892503279173437E-2</v>
      </c>
      <c r="J512">
        <v>0.23663732814242344</v>
      </c>
      <c r="K512" s="1">
        <f t="shared" si="63"/>
        <v>0.15525676311531941</v>
      </c>
      <c r="L512" s="1">
        <f t="shared" si="64"/>
        <v>0.21800008701649445</v>
      </c>
      <c r="M512">
        <f t="shared" si="65"/>
        <v>0.33289771372217891</v>
      </c>
      <c r="N512">
        <f t="shared" si="66"/>
        <v>0</v>
      </c>
      <c r="O512">
        <f t="shared" si="67"/>
        <v>2.7380609260488713</v>
      </c>
      <c r="P512">
        <f t="shared" si="68"/>
        <v>15.417838454030321</v>
      </c>
      <c r="Q512">
        <f t="shared" si="69"/>
        <v>5.4892503279173437E-2</v>
      </c>
      <c r="R512" t="str">
        <f t="shared" si="70"/>
        <v>out</v>
      </c>
      <c r="S512">
        <f t="shared" si="71"/>
        <v>1</v>
      </c>
    </row>
    <row r="513" spans="1:19" x14ac:dyDescent="0.3">
      <c r="A513" t="s">
        <v>178</v>
      </c>
      <c r="B513">
        <v>2010</v>
      </c>
      <c r="C513">
        <v>0.14145551765579739</v>
      </c>
      <c r="D513">
        <v>0.34494193081988339</v>
      </c>
      <c r="E513">
        <v>0.36162707340278022</v>
      </c>
      <c r="F513">
        <v>0</v>
      </c>
      <c r="G513">
        <v>2.1799166485476613</v>
      </c>
      <c r="H513">
        <v>15.571715558477495</v>
      </c>
      <c r="I513">
        <v>1.2233209773299364E-2</v>
      </c>
      <c r="J513">
        <v>8.4536512975481398E-2</v>
      </c>
      <c r="K513" s="1">
        <f t="shared" si="63"/>
        <v>0.14145551765579739</v>
      </c>
      <c r="L513" s="1">
        <f t="shared" si="64"/>
        <v>0.34494193081988339</v>
      </c>
      <c r="M513">
        <f t="shared" si="65"/>
        <v>0.36162707340278022</v>
      </c>
      <c r="N513">
        <f t="shared" si="66"/>
        <v>0</v>
      </c>
      <c r="O513">
        <f t="shared" si="67"/>
        <v>2.1799166485476613</v>
      </c>
      <c r="P513">
        <f t="shared" si="68"/>
        <v>15.571715558477495</v>
      </c>
      <c r="Q513">
        <f t="shared" si="69"/>
        <v>1.2233209773299364E-2</v>
      </c>
      <c r="R513">
        <f t="shared" si="70"/>
        <v>8.4536512975481398E-2</v>
      </c>
      <c r="S513">
        <f t="shared" si="71"/>
        <v>0</v>
      </c>
    </row>
    <row r="514" spans="1:19" x14ac:dyDescent="0.3">
      <c r="A514" t="s">
        <v>179</v>
      </c>
      <c r="B514">
        <v>2007</v>
      </c>
      <c r="C514">
        <v>4.6254358486460222E-3</v>
      </c>
      <c r="D514">
        <v>7.7255912106597574E-2</v>
      </c>
      <c r="E514">
        <v>-0.3928685293239475</v>
      </c>
      <c r="F514">
        <v>8.1856044695677699E-2</v>
      </c>
      <c r="G514">
        <v>1.111445676432038</v>
      </c>
      <c r="H514">
        <v>12.194015246366892</v>
      </c>
      <c r="I514">
        <v>1.8620734276888127E-2</v>
      </c>
      <c r="J514">
        <v>0</v>
      </c>
      <c r="K514" s="1">
        <f t="shared" si="63"/>
        <v>4.6254358486460222E-3</v>
      </c>
      <c r="L514" s="1">
        <f t="shared" si="64"/>
        <v>7.7255912106597574E-2</v>
      </c>
      <c r="M514">
        <f t="shared" si="65"/>
        <v>-0.3928685293239475</v>
      </c>
      <c r="N514">
        <f t="shared" si="66"/>
        <v>8.1856044695677699E-2</v>
      </c>
      <c r="O514">
        <f t="shared" si="67"/>
        <v>1.111445676432038</v>
      </c>
      <c r="P514">
        <f t="shared" si="68"/>
        <v>12.194015246366892</v>
      </c>
      <c r="Q514">
        <f t="shared" si="69"/>
        <v>1.8620734276888127E-2</v>
      </c>
      <c r="R514">
        <f t="shared" si="70"/>
        <v>0</v>
      </c>
      <c r="S514">
        <f t="shared" si="71"/>
        <v>0</v>
      </c>
    </row>
    <row r="515" spans="1:19" x14ac:dyDescent="0.3">
      <c r="A515" t="s">
        <v>179</v>
      </c>
      <c r="B515">
        <v>2008</v>
      </c>
      <c r="C515">
        <v>7.8417167583654766E-3</v>
      </c>
      <c r="D515">
        <v>0.13260920643001195</v>
      </c>
      <c r="E515">
        <v>-0.55545004209660687</v>
      </c>
      <c r="F515">
        <v>0.30854365320227911</v>
      </c>
      <c r="G515">
        <v>0.99398136001409743</v>
      </c>
      <c r="H515">
        <v>12.227305621938182</v>
      </c>
      <c r="I515">
        <v>2.3393978684230588E-2</v>
      </c>
      <c r="J515">
        <v>0</v>
      </c>
      <c r="K515" s="1">
        <f t="shared" ref="K515:K578" si="72">IF(OR(C515&lt;$C$1007-3*$C$1008,C515&gt;$C$1007+3*$C$1008),"out",C515)</f>
        <v>7.8417167583654766E-3</v>
      </c>
      <c r="L515" s="1">
        <f t="shared" ref="L515:L578" si="73">IF(OR(D515&lt;$D$1007-3*$D$1008,D515&gt;$D$1007+3*$D$1008),"out",D515)</f>
        <v>0.13260920643001195</v>
      </c>
      <c r="M515">
        <f t="shared" ref="M515:M578" si="74">IF(OR(E515&lt;$E$1007-3*$E$1008,E515&gt;$E$1007+3*$E$1008),"out",E515)</f>
        <v>-0.55545004209660687</v>
      </c>
      <c r="N515">
        <f t="shared" ref="N515:N578" si="75">IF(OR(F515&lt;$F$1007-3*$F$1008,F515&gt;$F$1007+3*$F$1008),"out",F515)</f>
        <v>0.30854365320227911</v>
      </c>
      <c r="O515">
        <f t="shared" ref="O515:O578" si="76">IF(OR(G515&lt;$G$1007-3*$G$1008,G515&gt;$G$1007+3*$G$1008),"out",G515)</f>
        <v>0.99398136001409743</v>
      </c>
      <c r="P515">
        <f t="shared" ref="P515:P578" si="77">IF(OR(H515&lt;$H$1007-3*$H$1008,H515&gt;$H$1007+3*$H$1008),"out",H515)</f>
        <v>12.227305621938182</v>
      </c>
      <c r="Q515">
        <f t="shared" ref="Q515:Q578" si="78">IF(OR(I515&lt;$I$1007-3*$I$1008,I515&gt;$I$1007+3*$I$1008),"out",I515)</f>
        <v>2.3393978684230588E-2</v>
      </c>
      <c r="R515">
        <f t="shared" ref="R515:R578" si="79">IF(OR(J515&lt;$J$1007-3*$J$1008,J515&gt;$J$1007+3*$J$1008),"out",J515)</f>
        <v>0</v>
      </c>
      <c r="S515">
        <f t="shared" ref="S515:S578" si="80">IF(OR(K515="out",L515="out",M515="out",N515="out",O515="out",P515="out",Q515="out",R515="out"),1,0)</f>
        <v>0</v>
      </c>
    </row>
    <row r="516" spans="1:19" x14ac:dyDescent="0.3">
      <c r="A516" t="s">
        <v>179</v>
      </c>
      <c r="B516">
        <v>2009</v>
      </c>
      <c r="C516">
        <v>3.2093020987274969E-3</v>
      </c>
      <c r="D516">
        <v>6.5229796760458272E-2</v>
      </c>
      <c r="E516">
        <v>-0.55861853688990337</v>
      </c>
      <c r="F516">
        <v>0.50987421291622159</v>
      </c>
      <c r="G516">
        <v>1.0482370786571655</v>
      </c>
      <c r="H516">
        <v>12.230906711530174</v>
      </c>
      <c r="I516">
        <v>4.2208443033149273E-2</v>
      </c>
      <c r="J516">
        <v>0</v>
      </c>
      <c r="K516" s="1">
        <f t="shared" si="72"/>
        <v>3.2093020987274969E-3</v>
      </c>
      <c r="L516" s="1">
        <f t="shared" si="73"/>
        <v>6.5229796760458272E-2</v>
      </c>
      <c r="M516">
        <f t="shared" si="74"/>
        <v>-0.55861853688990337</v>
      </c>
      <c r="N516">
        <f t="shared" si="75"/>
        <v>0.50987421291622159</v>
      </c>
      <c r="O516">
        <f t="shared" si="76"/>
        <v>1.0482370786571655</v>
      </c>
      <c r="P516">
        <f t="shared" si="77"/>
        <v>12.230906711530174</v>
      </c>
      <c r="Q516">
        <f t="shared" si="78"/>
        <v>4.2208443033149273E-2</v>
      </c>
      <c r="R516">
        <f t="shared" si="79"/>
        <v>0</v>
      </c>
      <c r="S516">
        <f t="shared" si="80"/>
        <v>0</v>
      </c>
    </row>
    <row r="517" spans="1:19" x14ac:dyDescent="0.3">
      <c r="A517" t="s">
        <v>179</v>
      </c>
      <c r="B517">
        <v>2010</v>
      </c>
      <c r="C517">
        <v>7.6825506068014583E-4</v>
      </c>
      <c r="D517">
        <v>0.16902011467807312</v>
      </c>
      <c r="E517">
        <v>-0.2180323867524018</v>
      </c>
      <c r="F517">
        <v>0.16812781843572067</v>
      </c>
      <c r="G517">
        <v>0.8468601975855985</v>
      </c>
      <c r="H517">
        <v>12.428884141720182</v>
      </c>
      <c r="I517">
        <v>2.23231561692026E-2</v>
      </c>
      <c r="J517">
        <v>1.3644529983954674E-2</v>
      </c>
      <c r="K517" s="1">
        <f t="shared" si="72"/>
        <v>7.6825506068014583E-4</v>
      </c>
      <c r="L517" s="1">
        <f t="shared" si="73"/>
        <v>0.16902011467807312</v>
      </c>
      <c r="M517">
        <f t="shared" si="74"/>
        <v>-0.2180323867524018</v>
      </c>
      <c r="N517">
        <f t="shared" si="75"/>
        <v>0.16812781843572067</v>
      </c>
      <c r="O517">
        <f t="shared" si="76"/>
        <v>0.8468601975855985</v>
      </c>
      <c r="P517">
        <f t="shared" si="77"/>
        <v>12.428884141720182</v>
      </c>
      <c r="Q517">
        <f t="shared" si="78"/>
        <v>2.23231561692026E-2</v>
      </c>
      <c r="R517">
        <f t="shared" si="79"/>
        <v>1.3644529983954674E-2</v>
      </c>
      <c r="S517">
        <f t="shared" si="80"/>
        <v>0</v>
      </c>
    </row>
    <row r="518" spans="1:19" x14ac:dyDescent="0.3">
      <c r="A518" t="s">
        <v>180</v>
      </c>
      <c r="B518">
        <v>2007</v>
      </c>
      <c r="C518">
        <v>6.8172521950469245E-2</v>
      </c>
      <c r="D518">
        <v>7.1500507840456667E-2</v>
      </c>
      <c r="E518">
        <v>-3.1900380416072044E-2</v>
      </c>
      <c r="F518">
        <v>0.37293727015636152</v>
      </c>
      <c r="G518">
        <v>1.2211724948085039</v>
      </c>
      <c r="H518">
        <v>14.557480759296725</v>
      </c>
      <c r="I518">
        <v>1.118954785062763E-2</v>
      </c>
      <c r="J518">
        <v>8.2587762592562439E-3</v>
      </c>
      <c r="K518" s="1">
        <f t="shared" si="72"/>
        <v>6.8172521950469245E-2</v>
      </c>
      <c r="L518" s="1">
        <f t="shared" si="73"/>
        <v>7.1500507840456667E-2</v>
      </c>
      <c r="M518">
        <f t="shared" si="74"/>
        <v>-3.1900380416072044E-2</v>
      </c>
      <c r="N518">
        <f t="shared" si="75"/>
        <v>0.37293727015636152</v>
      </c>
      <c r="O518">
        <f t="shared" si="76"/>
        <v>1.2211724948085039</v>
      </c>
      <c r="P518">
        <f t="shared" si="77"/>
        <v>14.557480759296725</v>
      </c>
      <c r="Q518">
        <f t="shared" si="78"/>
        <v>1.118954785062763E-2</v>
      </c>
      <c r="R518">
        <f t="shared" si="79"/>
        <v>8.2587762592562439E-3</v>
      </c>
      <c r="S518">
        <f t="shared" si="80"/>
        <v>0</v>
      </c>
    </row>
    <row r="519" spans="1:19" x14ac:dyDescent="0.3">
      <c r="A519" t="s">
        <v>180</v>
      </c>
      <c r="B519">
        <v>2008</v>
      </c>
      <c r="C519">
        <v>6.5934514351003795E-2</v>
      </c>
      <c r="D519">
        <v>9.2618170919971668E-2</v>
      </c>
      <c r="E519">
        <v>-3.4316082135844694E-2</v>
      </c>
      <c r="F519">
        <v>0.45144092979937878</v>
      </c>
      <c r="G519">
        <v>0.9419536513087734</v>
      </c>
      <c r="H519">
        <v>14.885806359064979</v>
      </c>
      <c r="I519">
        <v>2.8251002788223019E-2</v>
      </c>
      <c r="J519">
        <v>0</v>
      </c>
      <c r="K519" s="1">
        <f t="shared" si="72"/>
        <v>6.5934514351003795E-2</v>
      </c>
      <c r="L519" s="1">
        <f t="shared" si="73"/>
        <v>9.2618170919971668E-2</v>
      </c>
      <c r="M519">
        <f t="shared" si="74"/>
        <v>-3.4316082135844694E-2</v>
      </c>
      <c r="N519">
        <f t="shared" si="75"/>
        <v>0.45144092979937878</v>
      </c>
      <c r="O519">
        <f t="shared" si="76"/>
        <v>0.9419536513087734</v>
      </c>
      <c r="P519">
        <f t="shared" si="77"/>
        <v>14.885806359064979</v>
      </c>
      <c r="Q519">
        <f t="shared" si="78"/>
        <v>2.8251002788223019E-2</v>
      </c>
      <c r="R519">
        <f t="shared" si="79"/>
        <v>0</v>
      </c>
      <c r="S519">
        <f t="shared" si="80"/>
        <v>0</v>
      </c>
    </row>
    <row r="520" spans="1:19" x14ac:dyDescent="0.3">
      <c r="A520" t="s">
        <v>180</v>
      </c>
      <c r="B520">
        <v>2009</v>
      </c>
      <c r="C520">
        <v>5.4970288693810161E-2</v>
      </c>
      <c r="D520">
        <v>2.7067710236601223E-2</v>
      </c>
      <c r="E520">
        <v>-0.12885934787004283</v>
      </c>
      <c r="F520">
        <v>0.47995349774806495</v>
      </c>
      <c r="G520">
        <v>0.85190139166181111</v>
      </c>
      <c r="H520">
        <v>14.996991403982973</v>
      </c>
      <c r="I520">
        <v>9.8225577810155482E-3</v>
      </c>
      <c r="J520">
        <v>0</v>
      </c>
      <c r="K520" s="1">
        <f t="shared" si="72"/>
        <v>5.4970288693810161E-2</v>
      </c>
      <c r="L520" s="1">
        <f t="shared" si="73"/>
        <v>2.7067710236601223E-2</v>
      </c>
      <c r="M520">
        <f t="shared" si="74"/>
        <v>-0.12885934787004283</v>
      </c>
      <c r="N520">
        <f t="shared" si="75"/>
        <v>0.47995349774806495</v>
      </c>
      <c r="O520">
        <f t="shared" si="76"/>
        <v>0.85190139166181111</v>
      </c>
      <c r="P520">
        <f t="shared" si="77"/>
        <v>14.996991403982973</v>
      </c>
      <c r="Q520">
        <f t="shared" si="78"/>
        <v>9.8225577810155482E-3</v>
      </c>
      <c r="R520">
        <f t="shared" si="79"/>
        <v>0</v>
      </c>
      <c r="S520">
        <f t="shared" si="80"/>
        <v>0</v>
      </c>
    </row>
    <row r="521" spans="1:19" x14ac:dyDescent="0.3">
      <c r="A521" t="s">
        <v>180</v>
      </c>
      <c r="B521">
        <v>2010</v>
      </c>
      <c r="C521">
        <v>9.5654500352366417E-2</v>
      </c>
      <c r="D521">
        <v>6.1616996396305232E-2</v>
      </c>
      <c r="E521">
        <v>-6.2188124309446167E-2</v>
      </c>
      <c r="F521">
        <v>0.41455651934079868</v>
      </c>
      <c r="G521">
        <v>0.90761613127145246</v>
      </c>
      <c r="H521">
        <v>14.922038435534137</v>
      </c>
      <c r="I521">
        <v>3.8318408523327109E-3</v>
      </c>
      <c r="J521">
        <v>0</v>
      </c>
      <c r="K521" s="1">
        <f t="shared" si="72"/>
        <v>9.5654500352366417E-2</v>
      </c>
      <c r="L521" s="1">
        <f t="shared" si="73"/>
        <v>6.1616996396305232E-2</v>
      </c>
      <c r="M521">
        <f t="shared" si="74"/>
        <v>-6.2188124309446167E-2</v>
      </c>
      <c r="N521">
        <f t="shared" si="75"/>
        <v>0.41455651934079868</v>
      </c>
      <c r="O521">
        <f t="shared" si="76"/>
        <v>0.90761613127145246</v>
      </c>
      <c r="P521">
        <f t="shared" si="77"/>
        <v>14.922038435534137</v>
      </c>
      <c r="Q521">
        <f t="shared" si="78"/>
        <v>3.8318408523327109E-3</v>
      </c>
      <c r="R521">
        <f t="shared" si="79"/>
        <v>0</v>
      </c>
      <c r="S521">
        <f t="shared" si="80"/>
        <v>0</v>
      </c>
    </row>
    <row r="522" spans="1:19" x14ac:dyDescent="0.3">
      <c r="A522" t="s">
        <v>181</v>
      </c>
      <c r="B522">
        <v>2007</v>
      </c>
      <c r="C522">
        <v>6.1755230202063027E-2</v>
      </c>
      <c r="D522">
        <v>0.28091689138439752</v>
      </c>
      <c r="E522">
        <v>0.15792939738344627</v>
      </c>
      <c r="F522">
        <v>3.2286180989418004E-2</v>
      </c>
      <c r="G522">
        <v>2.1095001258993191</v>
      </c>
      <c r="H522">
        <v>13.049054777974773</v>
      </c>
      <c r="I522">
        <v>1.6253837264512971E-2</v>
      </c>
      <c r="J522">
        <v>0.10760625579728703</v>
      </c>
      <c r="K522" s="1">
        <f t="shared" si="72"/>
        <v>6.1755230202063027E-2</v>
      </c>
      <c r="L522" s="1">
        <f t="shared" si="73"/>
        <v>0.28091689138439752</v>
      </c>
      <c r="M522">
        <f t="shared" si="74"/>
        <v>0.15792939738344627</v>
      </c>
      <c r="N522">
        <f t="shared" si="75"/>
        <v>3.2286180989418004E-2</v>
      </c>
      <c r="O522">
        <f t="shared" si="76"/>
        <v>2.1095001258993191</v>
      </c>
      <c r="P522">
        <f t="shared" si="77"/>
        <v>13.049054777974773</v>
      </c>
      <c r="Q522">
        <f t="shared" si="78"/>
        <v>1.6253837264512971E-2</v>
      </c>
      <c r="R522">
        <f t="shared" si="79"/>
        <v>0.10760625579728703</v>
      </c>
      <c r="S522">
        <f t="shared" si="80"/>
        <v>0</v>
      </c>
    </row>
    <row r="523" spans="1:19" x14ac:dyDescent="0.3">
      <c r="A523" t="s">
        <v>181</v>
      </c>
      <c r="B523">
        <v>2008</v>
      </c>
      <c r="C523">
        <v>7.3711384633064231E-2</v>
      </c>
      <c r="D523">
        <v>0.2605795947515524</v>
      </c>
      <c r="E523">
        <v>0.23546601108954127</v>
      </c>
      <c r="F523">
        <v>7.2480125424271404E-3</v>
      </c>
      <c r="G523">
        <v>1.6728575063717663</v>
      </c>
      <c r="H523">
        <v>13.096647541499486</v>
      </c>
      <c r="I523">
        <v>2.3021619301602854E-2</v>
      </c>
      <c r="J523">
        <v>4.1041973626427745E-2</v>
      </c>
      <c r="K523" s="1">
        <f t="shared" si="72"/>
        <v>7.3711384633064231E-2</v>
      </c>
      <c r="L523" s="1">
        <f t="shared" si="73"/>
        <v>0.2605795947515524</v>
      </c>
      <c r="M523">
        <f t="shared" si="74"/>
        <v>0.23546601108954127</v>
      </c>
      <c r="N523">
        <f t="shared" si="75"/>
        <v>7.2480125424271404E-3</v>
      </c>
      <c r="O523">
        <f t="shared" si="76"/>
        <v>1.6728575063717663</v>
      </c>
      <c r="P523">
        <f t="shared" si="77"/>
        <v>13.096647541499486</v>
      </c>
      <c r="Q523">
        <f t="shared" si="78"/>
        <v>2.3021619301602854E-2</v>
      </c>
      <c r="R523">
        <f t="shared" si="79"/>
        <v>4.1041973626427745E-2</v>
      </c>
      <c r="S523">
        <f t="shared" si="80"/>
        <v>0</v>
      </c>
    </row>
    <row r="524" spans="1:19" x14ac:dyDescent="0.3">
      <c r="A524" t="s">
        <v>181</v>
      </c>
      <c r="B524">
        <v>2009</v>
      </c>
      <c r="C524">
        <v>0.13378224223883764</v>
      </c>
      <c r="D524">
        <v>0.32246155962724254</v>
      </c>
      <c r="E524">
        <v>0.37925031958008421</v>
      </c>
      <c r="F524">
        <v>5.420918976655845E-3</v>
      </c>
      <c r="G524">
        <v>1.6438748965783434</v>
      </c>
      <c r="H524">
        <v>13.167992359823367</v>
      </c>
      <c r="I524">
        <v>1.0101404746782144E-2</v>
      </c>
      <c r="J524">
        <v>0.15286341844641085</v>
      </c>
      <c r="K524" s="1">
        <f t="shared" si="72"/>
        <v>0.13378224223883764</v>
      </c>
      <c r="L524" s="1">
        <f t="shared" si="73"/>
        <v>0.32246155962724254</v>
      </c>
      <c r="M524">
        <f t="shared" si="74"/>
        <v>0.37925031958008421</v>
      </c>
      <c r="N524">
        <f t="shared" si="75"/>
        <v>5.420918976655845E-3</v>
      </c>
      <c r="O524">
        <f t="shared" si="76"/>
        <v>1.6438748965783434</v>
      </c>
      <c r="P524">
        <f t="shared" si="77"/>
        <v>13.167992359823367</v>
      </c>
      <c r="Q524">
        <f t="shared" si="78"/>
        <v>1.0101404746782144E-2</v>
      </c>
      <c r="R524" t="str">
        <f t="shared" si="79"/>
        <v>out</v>
      </c>
      <c r="S524">
        <f t="shared" si="80"/>
        <v>1</v>
      </c>
    </row>
    <row r="525" spans="1:19" x14ac:dyDescent="0.3">
      <c r="A525" t="s">
        <v>181</v>
      </c>
      <c r="B525">
        <v>2010</v>
      </c>
      <c r="C525">
        <v>8.8913533123570782E-2</v>
      </c>
      <c r="D525">
        <v>0.28712367393958149</v>
      </c>
      <c r="E525">
        <v>0.4055140042296384</v>
      </c>
      <c r="F525">
        <v>0</v>
      </c>
      <c r="G525">
        <v>2.1466428878458075</v>
      </c>
      <c r="H525">
        <v>13.273555399001363</v>
      </c>
      <c r="I525">
        <v>3.5565075110092756E-2</v>
      </c>
      <c r="J525">
        <v>0.15474286893279002</v>
      </c>
      <c r="K525" s="1">
        <f t="shared" si="72"/>
        <v>8.8913533123570782E-2</v>
      </c>
      <c r="L525" s="1">
        <f t="shared" si="73"/>
        <v>0.28712367393958149</v>
      </c>
      <c r="M525">
        <f t="shared" si="74"/>
        <v>0.4055140042296384</v>
      </c>
      <c r="N525">
        <f t="shared" si="75"/>
        <v>0</v>
      </c>
      <c r="O525">
        <f t="shared" si="76"/>
        <v>2.1466428878458075</v>
      </c>
      <c r="P525">
        <f t="shared" si="77"/>
        <v>13.273555399001363</v>
      </c>
      <c r="Q525">
        <f t="shared" si="78"/>
        <v>3.5565075110092756E-2</v>
      </c>
      <c r="R525" t="str">
        <f t="shared" si="79"/>
        <v>out</v>
      </c>
      <c r="S525">
        <f t="shared" si="80"/>
        <v>1</v>
      </c>
    </row>
    <row r="526" spans="1:19" x14ac:dyDescent="0.3">
      <c r="A526" t="s">
        <v>182</v>
      </c>
      <c r="B526">
        <v>2007</v>
      </c>
      <c r="C526">
        <v>0.14973044526448903</v>
      </c>
      <c r="D526">
        <v>5.0309488770401485E-2</v>
      </c>
      <c r="E526">
        <v>4.3291451897975938E-2</v>
      </c>
      <c r="F526">
        <v>6.8220642937961734E-2</v>
      </c>
      <c r="G526">
        <v>1.2685637798303544</v>
      </c>
      <c r="H526">
        <v>11.814680546465711</v>
      </c>
      <c r="I526">
        <v>8.4923005534678388E-3</v>
      </c>
      <c r="J526">
        <v>0</v>
      </c>
      <c r="K526" s="1">
        <f t="shared" si="72"/>
        <v>0.14973044526448903</v>
      </c>
      <c r="L526" s="1">
        <f t="shared" si="73"/>
        <v>5.0309488770401485E-2</v>
      </c>
      <c r="M526">
        <f t="shared" si="74"/>
        <v>4.3291451897975938E-2</v>
      </c>
      <c r="N526">
        <f t="shared" si="75"/>
        <v>6.8220642937961734E-2</v>
      </c>
      <c r="O526">
        <f t="shared" si="76"/>
        <v>1.2685637798303544</v>
      </c>
      <c r="P526">
        <f t="shared" si="77"/>
        <v>11.814680546465711</v>
      </c>
      <c r="Q526">
        <f t="shared" si="78"/>
        <v>8.4923005534678388E-3</v>
      </c>
      <c r="R526">
        <f t="shared" si="79"/>
        <v>0</v>
      </c>
      <c r="S526">
        <f t="shared" si="80"/>
        <v>0</v>
      </c>
    </row>
    <row r="527" spans="1:19" x14ac:dyDescent="0.3">
      <c r="A527" t="s">
        <v>182</v>
      </c>
      <c r="B527">
        <v>2009</v>
      </c>
      <c r="C527">
        <v>5.2635214478137737E-2</v>
      </c>
      <c r="D527">
        <v>0.1037738021229076</v>
      </c>
      <c r="E527">
        <v>0.13355667610692823</v>
      </c>
      <c r="F527">
        <v>0.38169740507932121</v>
      </c>
      <c r="G527">
        <v>1.1397964587506619</v>
      </c>
      <c r="H527">
        <v>11.372075931382099</v>
      </c>
      <c r="I527">
        <v>1.9988150145827485E-2</v>
      </c>
      <c r="J527">
        <v>0</v>
      </c>
      <c r="K527" s="1">
        <f t="shared" si="72"/>
        <v>5.2635214478137737E-2</v>
      </c>
      <c r="L527" s="1">
        <f t="shared" si="73"/>
        <v>0.1037738021229076</v>
      </c>
      <c r="M527">
        <f t="shared" si="74"/>
        <v>0.13355667610692823</v>
      </c>
      <c r="N527">
        <f t="shared" si="75"/>
        <v>0.38169740507932121</v>
      </c>
      <c r="O527">
        <f t="shared" si="76"/>
        <v>1.1397964587506619</v>
      </c>
      <c r="P527">
        <f t="shared" si="77"/>
        <v>11.372075931382099</v>
      </c>
      <c r="Q527">
        <f t="shared" si="78"/>
        <v>1.9988150145827485E-2</v>
      </c>
      <c r="R527">
        <f t="shared" si="79"/>
        <v>0</v>
      </c>
      <c r="S527">
        <f t="shared" si="80"/>
        <v>0</v>
      </c>
    </row>
    <row r="528" spans="1:19" x14ac:dyDescent="0.3">
      <c r="A528" t="s">
        <v>182</v>
      </c>
      <c r="B528">
        <v>2010</v>
      </c>
      <c r="C528">
        <v>6.3900012694602493E-2</v>
      </c>
      <c r="D528">
        <v>2.6877935626824848E-2</v>
      </c>
      <c r="E528">
        <v>9.8302385431212572E-2</v>
      </c>
      <c r="F528">
        <v>0.50524517893619236</v>
      </c>
      <c r="G528">
        <v>1.1100506630044662</v>
      </c>
      <c r="H528">
        <v>11.36964383575806</v>
      </c>
      <c r="I528">
        <v>1.4861323245957198E-2</v>
      </c>
      <c r="J528">
        <v>0</v>
      </c>
      <c r="K528" s="1">
        <f t="shared" si="72"/>
        <v>6.3900012694602493E-2</v>
      </c>
      <c r="L528" s="1">
        <f t="shared" si="73"/>
        <v>2.6877935626824848E-2</v>
      </c>
      <c r="M528">
        <f t="shared" si="74"/>
        <v>9.8302385431212572E-2</v>
      </c>
      <c r="N528">
        <f t="shared" si="75"/>
        <v>0.50524517893619236</v>
      </c>
      <c r="O528">
        <f t="shared" si="76"/>
        <v>1.1100506630044662</v>
      </c>
      <c r="P528">
        <f t="shared" si="77"/>
        <v>11.36964383575806</v>
      </c>
      <c r="Q528">
        <f t="shared" si="78"/>
        <v>1.4861323245957198E-2</v>
      </c>
      <c r="R528">
        <f t="shared" si="79"/>
        <v>0</v>
      </c>
      <c r="S528">
        <f t="shared" si="80"/>
        <v>0</v>
      </c>
    </row>
    <row r="529" spans="1:19" x14ac:dyDescent="0.3">
      <c r="A529" t="s">
        <v>183</v>
      </c>
      <c r="B529">
        <v>2007</v>
      </c>
      <c r="C529">
        <v>0.15872176266965979</v>
      </c>
      <c r="D529">
        <v>0.37115288480584036</v>
      </c>
      <c r="E529">
        <v>0.31333339621395762</v>
      </c>
      <c r="F529">
        <v>7.2242668905216897E-2</v>
      </c>
      <c r="G529">
        <v>4.734070193640882</v>
      </c>
      <c r="H529">
        <v>14.790268291548122</v>
      </c>
      <c r="I529">
        <v>9.7382816649951021E-3</v>
      </c>
      <c r="J529">
        <v>9.2285867894096457E-2</v>
      </c>
      <c r="K529" s="1">
        <f t="shared" si="72"/>
        <v>0.15872176266965979</v>
      </c>
      <c r="L529" s="1">
        <f t="shared" si="73"/>
        <v>0.37115288480584036</v>
      </c>
      <c r="M529">
        <f t="shared" si="74"/>
        <v>0.31333339621395762</v>
      </c>
      <c r="N529">
        <f t="shared" si="75"/>
        <v>7.2242668905216897E-2</v>
      </c>
      <c r="O529">
        <f t="shared" si="76"/>
        <v>4.734070193640882</v>
      </c>
      <c r="P529">
        <f t="shared" si="77"/>
        <v>14.790268291548122</v>
      </c>
      <c r="Q529">
        <f t="shared" si="78"/>
        <v>9.7382816649951021E-3</v>
      </c>
      <c r="R529">
        <f t="shared" si="79"/>
        <v>9.2285867894096457E-2</v>
      </c>
      <c r="S529">
        <f t="shared" si="80"/>
        <v>0</v>
      </c>
    </row>
    <row r="530" spans="1:19" x14ac:dyDescent="0.3">
      <c r="A530" t="s">
        <v>183</v>
      </c>
      <c r="B530">
        <v>2009</v>
      </c>
      <c r="C530">
        <v>0.26003979271245198</v>
      </c>
      <c r="D530">
        <v>0.32453850097197762</v>
      </c>
      <c r="E530">
        <v>0.41422716360184952</v>
      </c>
      <c r="F530">
        <v>7.9306266844651079E-4</v>
      </c>
      <c r="G530">
        <v>2.4425178026707814</v>
      </c>
      <c r="H530">
        <v>15.18679787457762</v>
      </c>
      <c r="I530">
        <v>2.392284649217704E-2</v>
      </c>
      <c r="J530">
        <v>6.9714395927337691E-2</v>
      </c>
      <c r="K530" s="1">
        <f t="shared" si="72"/>
        <v>0.26003979271245198</v>
      </c>
      <c r="L530" s="1">
        <f t="shared" si="73"/>
        <v>0.32453850097197762</v>
      </c>
      <c r="M530">
        <f t="shared" si="74"/>
        <v>0.41422716360184952</v>
      </c>
      <c r="N530">
        <f t="shared" si="75"/>
        <v>7.9306266844651079E-4</v>
      </c>
      <c r="O530">
        <f t="shared" si="76"/>
        <v>2.4425178026707814</v>
      </c>
      <c r="P530">
        <f t="shared" si="77"/>
        <v>15.18679787457762</v>
      </c>
      <c r="Q530">
        <f t="shared" si="78"/>
        <v>2.392284649217704E-2</v>
      </c>
      <c r="R530">
        <f t="shared" si="79"/>
        <v>6.9714395927337691E-2</v>
      </c>
      <c r="S530">
        <f t="shared" si="80"/>
        <v>0</v>
      </c>
    </row>
    <row r="531" spans="1:19" x14ac:dyDescent="0.3">
      <c r="A531" t="s">
        <v>183</v>
      </c>
      <c r="B531">
        <v>2010</v>
      </c>
      <c r="C531">
        <v>0.22636120976080656</v>
      </c>
      <c r="D531">
        <v>0.39353156200783512</v>
      </c>
      <c r="E531">
        <v>0.38833430075916919</v>
      </c>
      <c r="F531">
        <v>0</v>
      </c>
      <c r="G531">
        <v>5.5308117847030207</v>
      </c>
      <c r="H531">
        <v>15.385494289993735</v>
      </c>
      <c r="I531">
        <v>2.6589274308585247E-2</v>
      </c>
      <c r="J531">
        <v>7.7154811019084293E-2</v>
      </c>
      <c r="K531" s="1">
        <f t="shared" si="72"/>
        <v>0.22636120976080656</v>
      </c>
      <c r="L531" s="1">
        <f t="shared" si="73"/>
        <v>0.39353156200783512</v>
      </c>
      <c r="M531">
        <f t="shared" si="74"/>
        <v>0.38833430075916919</v>
      </c>
      <c r="N531">
        <f t="shared" si="75"/>
        <v>0</v>
      </c>
      <c r="O531">
        <f t="shared" si="76"/>
        <v>5.5308117847030207</v>
      </c>
      <c r="P531">
        <f t="shared" si="77"/>
        <v>15.385494289993735</v>
      </c>
      <c r="Q531">
        <f t="shared" si="78"/>
        <v>2.6589274308585247E-2</v>
      </c>
      <c r="R531">
        <f t="shared" si="79"/>
        <v>7.7154811019084293E-2</v>
      </c>
      <c r="S531">
        <f t="shared" si="80"/>
        <v>0</v>
      </c>
    </row>
    <row r="532" spans="1:19" x14ac:dyDescent="0.3">
      <c r="A532" t="s">
        <v>184</v>
      </c>
      <c r="B532">
        <v>2007</v>
      </c>
      <c r="C532">
        <v>3.7567503594722225E-2</v>
      </c>
      <c r="D532">
        <v>0.38488486160913998</v>
      </c>
      <c r="E532">
        <v>0.82180293178218322</v>
      </c>
      <c r="F532">
        <v>7.8070396157398581E-2</v>
      </c>
      <c r="G532">
        <v>1.4702952632410491</v>
      </c>
      <c r="H532">
        <v>17.190456465141963</v>
      </c>
      <c r="I532">
        <v>0.15668305167930924</v>
      </c>
      <c r="J532">
        <v>8.5070501520684103E-3</v>
      </c>
      <c r="K532" s="1">
        <f t="shared" si="72"/>
        <v>3.7567503594722225E-2</v>
      </c>
      <c r="L532" s="1">
        <f t="shared" si="73"/>
        <v>0.38488486160913998</v>
      </c>
      <c r="M532">
        <f t="shared" si="74"/>
        <v>0.82180293178218322</v>
      </c>
      <c r="N532">
        <f t="shared" si="75"/>
        <v>7.8070396157398581E-2</v>
      </c>
      <c r="O532">
        <f t="shared" si="76"/>
        <v>1.4702952632410491</v>
      </c>
      <c r="P532">
        <f t="shared" si="77"/>
        <v>17.190456465141963</v>
      </c>
      <c r="Q532">
        <f t="shared" si="78"/>
        <v>0.15668305167930924</v>
      </c>
      <c r="R532">
        <f t="shared" si="79"/>
        <v>8.5070501520684103E-3</v>
      </c>
      <c r="S532">
        <f t="shared" si="80"/>
        <v>0</v>
      </c>
    </row>
    <row r="533" spans="1:19" x14ac:dyDescent="0.3">
      <c r="A533" t="s">
        <v>184</v>
      </c>
      <c r="B533">
        <v>2008</v>
      </c>
      <c r="C533">
        <v>3.6439051835066058E-2</v>
      </c>
      <c r="D533">
        <v>8.5479829606861291E-2</v>
      </c>
      <c r="E533">
        <v>0.62373135691026271</v>
      </c>
      <c r="F533">
        <v>2.7365827888571814E-3</v>
      </c>
      <c r="G533">
        <v>1.2620079367494677</v>
      </c>
      <c r="H533">
        <v>17.059279560674145</v>
      </c>
      <c r="I533">
        <v>2.1566189640381372E-2</v>
      </c>
      <c r="J533">
        <v>1.0669391583502861E-2</v>
      </c>
      <c r="K533" s="1">
        <f t="shared" si="72"/>
        <v>3.6439051835066058E-2</v>
      </c>
      <c r="L533" s="1">
        <f t="shared" si="73"/>
        <v>8.5479829606861291E-2</v>
      </c>
      <c r="M533">
        <f t="shared" si="74"/>
        <v>0.62373135691026271</v>
      </c>
      <c r="N533">
        <f t="shared" si="75"/>
        <v>2.7365827888571814E-3</v>
      </c>
      <c r="O533">
        <f t="shared" si="76"/>
        <v>1.2620079367494677</v>
      </c>
      <c r="P533">
        <f t="shared" si="77"/>
        <v>17.059279560674145</v>
      </c>
      <c r="Q533">
        <f t="shared" si="78"/>
        <v>2.1566189640381372E-2</v>
      </c>
      <c r="R533">
        <f t="shared" si="79"/>
        <v>1.0669391583502861E-2</v>
      </c>
      <c r="S533">
        <f t="shared" si="80"/>
        <v>0</v>
      </c>
    </row>
    <row r="534" spans="1:19" x14ac:dyDescent="0.3">
      <c r="A534" t="s">
        <v>184</v>
      </c>
      <c r="B534">
        <v>2009</v>
      </c>
      <c r="C534">
        <v>9.3944393916549542E-3</v>
      </c>
      <c r="D534">
        <v>1.2269260449952255E-2</v>
      </c>
      <c r="E534">
        <v>0.10144765120945407</v>
      </c>
      <c r="F534">
        <v>0.25328468469782967</v>
      </c>
      <c r="G534">
        <v>0.99275938103058525</v>
      </c>
      <c r="H534">
        <v>17.20353515825218</v>
      </c>
      <c r="I534">
        <v>4.4617135116117444E-2</v>
      </c>
      <c r="J534">
        <v>1.4777855596139993E-2</v>
      </c>
      <c r="K534" s="1">
        <f t="shared" si="72"/>
        <v>9.3944393916549542E-3</v>
      </c>
      <c r="L534" s="1">
        <f t="shared" si="73"/>
        <v>1.2269260449952255E-2</v>
      </c>
      <c r="M534">
        <f t="shared" si="74"/>
        <v>0.10144765120945407</v>
      </c>
      <c r="N534">
        <f t="shared" si="75"/>
        <v>0.25328468469782967</v>
      </c>
      <c r="O534">
        <f t="shared" si="76"/>
        <v>0.99275938103058525</v>
      </c>
      <c r="P534">
        <f t="shared" si="77"/>
        <v>17.20353515825218</v>
      </c>
      <c r="Q534">
        <f t="shared" si="78"/>
        <v>4.4617135116117444E-2</v>
      </c>
      <c r="R534">
        <f t="shared" si="79"/>
        <v>1.4777855596139993E-2</v>
      </c>
      <c r="S534">
        <f t="shared" si="80"/>
        <v>0</v>
      </c>
    </row>
    <row r="535" spans="1:19" x14ac:dyDescent="0.3">
      <c r="A535" t="s">
        <v>184</v>
      </c>
      <c r="B535">
        <v>2010</v>
      </c>
      <c r="C535">
        <v>4.118803879505592E-2</v>
      </c>
      <c r="D535">
        <v>0.14490857223465181</v>
      </c>
      <c r="E535">
        <v>0.11103267263826898</v>
      </c>
      <c r="F535">
        <v>0.16760746713177618</v>
      </c>
      <c r="G535">
        <v>1.0496686272661093</v>
      </c>
      <c r="H535">
        <v>17.228471872433673</v>
      </c>
      <c r="I535">
        <v>7.8307531640703504E-3</v>
      </c>
      <c r="J535">
        <v>1.9819105925277157E-2</v>
      </c>
      <c r="K535" s="1">
        <f t="shared" si="72"/>
        <v>4.118803879505592E-2</v>
      </c>
      <c r="L535" s="1">
        <f t="shared" si="73"/>
        <v>0.14490857223465181</v>
      </c>
      <c r="M535">
        <f t="shared" si="74"/>
        <v>0.11103267263826898</v>
      </c>
      <c r="N535">
        <f t="shared" si="75"/>
        <v>0.16760746713177618</v>
      </c>
      <c r="O535">
        <f t="shared" si="76"/>
        <v>1.0496686272661093</v>
      </c>
      <c r="P535">
        <f t="shared" si="77"/>
        <v>17.228471872433673</v>
      </c>
      <c r="Q535">
        <f t="shared" si="78"/>
        <v>7.8307531640703504E-3</v>
      </c>
      <c r="R535">
        <f t="shared" si="79"/>
        <v>1.9819105925277157E-2</v>
      </c>
      <c r="S535">
        <f t="shared" si="80"/>
        <v>0</v>
      </c>
    </row>
    <row r="536" spans="1:19" x14ac:dyDescent="0.3">
      <c r="A536" t="s">
        <v>185</v>
      </c>
      <c r="B536">
        <v>2010</v>
      </c>
      <c r="C536">
        <v>2.0613544314118201E-2</v>
      </c>
      <c r="D536">
        <v>-5.6048231992160752E-3</v>
      </c>
      <c r="E536">
        <v>-3.2052285672411217E-2</v>
      </c>
      <c r="F536">
        <v>0.47502039595412299</v>
      </c>
      <c r="G536">
        <v>5.1098520336679556</v>
      </c>
      <c r="H536">
        <v>14.508243152595348</v>
      </c>
      <c r="I536">
        <v>1.0729097848171212E-2</v>
      </c>
      <c r="J536">
        <v>0</v>
      </c>
      <c r="K536" s="1">
        <f t="shared" si="72"/>
        <v>2.0613544314118201E-2</v>
      </c>
      <c r="L536" s="1">
        <f t="shared" si="73"/>
        <v>-5.6048231992160752E-3</v>
      </c>
      <c r="M536">
        <f t="shared" si="74"/>
        <v>-3.2052285672411217E-2</v>
      </c>
      <c r="N536">
        <f t="shared" si="75"/>
        <v>0.47502039595412299</v>
      </c>
      <c r="O536">
        <f t="shared" si="76"/>
        <v>5.1098520336679556</v>
      </c>
      <c r="P536">
        <f t="shared" si="77"/>
        <v>14.508243152595348</v>
      </c>
      <c r="Q536">
        <f t="shared" si="78"/>
        <v>1.0729097848171212E-2</v>
      </c>
      <c r="R536">
        <f t="shared" si="79"/>
        <v>0</v>
      </c>
      <c r="S536">
        <f t="shared" si="80"/>
        <v>0</v>
      </c>
    </row>
    <row r="537" spans="1:19" x14ac:dyDescent="0.3">
      <c r="A537" t="s">
        <v>186</v>
      </c>
      <c r="B537">
        <v>2007</v>
      </c>
      <c r="C537">
        <v>6.5974401633174563E-3</v>
      </c>
      <c r="D537">
        <v>0.10156015516823193</v>
      </c>
      <c r="E537">
        <v>-8.5278567102352307E-2</v>
      </c>
      <c r="F537">
        <v>0.21741029047262317</v>
      </c>
      <c r="G537">
        <v>0.78557622954311301</v>
      </c>
      <c r="H537">
        <v>16.974457976102062</v>
      </c>
      <c r="I537">
        <v>5.6505728794941569E-2</v>
      </c>
      <c r="J537">
        <v>0</v>
      </c>
      <c r="K537" s="1">
        <f t="shared" si="72"/>
        <v>6.5974401633174563E-3</v>
      </c>
      <c r="L537" s="1">
        <f t="shared" si="73"/>
        <v>0.10156015516823193</v>
      </c>
      <c r="M537">
        <f t="shared" si="74"/>
        <v>-8.5278567102352307E-2</v>
      </c>
      <c r="N537">
        <f t="shared" si="75"/>
        <v>0.21741029047262317</v>
      </c>
      <c r="O537">
        <f t="shared" si="76"/>
        <v>0.78557622954311301</v>
      </c>
      <c r="P537">
        <f t="shared" si="77"/>
        <v>16.974457976102062</v>
      </c>
      <c r="Q537">
        <f t="shared" si="78"/>
        <v>5.6505728794941569E-2</v>
      </c>
      <c r="R537">
        <f t="shared" si="79"/>
        <v>0</v>
      </c>
      <c r="S537">
        <f t="shared" si="80"/>
        <v>0</v>
      </c>
    </row>
    <row r="538" spans="1:19" x14ac:dyDescent="0.3">
      <c r="A538" t="s">
        <v>186</v>
      </c>
      <c r="B538">
        <v>2008</v>
      </c>
      <c r="C538">
        <v>4.0680366935494008E-3</v>
      </c>
      <c r="D538">
        <v>0.28497749195422706</v>
      </c>
      <c r="E538">
        <v>-0.23942495345033799</v>
      </c>
      <c r="F538">
        <v>0.34763350934853943</v>
      </c>
      <c r="G538">
        <v>0.88917459073507354</v>
      </c>
      <c r="H538">
        <v>16.882295992483847</v>
      </c>
      <c r="I538">
        <v>3.6027237398501104E-2</v>
      </c>
      <c r="J538">
        <v>0</v>
      </c>
      <c r="K538" s="1">
        <f t="shared" si="72"/>
        <v>4.0680366935494008E-3</v>
      </c>
      <c r="L538" s="1">
        <f t="shared" si="73"/>
        <v>0.28497749195422706</v>
      </c>
      <c r="M538">
        <f t="shared" si="74"/>
        <v>-0.23942495345033799</v>
      </c>
      <c r="N538">
        <f t="shared" si="75"/>
        <v>0.34763350934853943</v>
      </c>
      <c r="O538">
        <f t="shared" si="76"/>
        <v>0.88917459073507354</v>
      </c>
      <c r="P538">
        <f t="shared" si="77"/>
        <v>16.882295992483847</v>
      </c>
      <c r="Q538">
        <f t="shared" si="78"/>
        <v>3.6027237398501104E-2</v>
      </c>
      <c r="R538">
        <f t="shared" si="79"/>
        <v>0</v>
      </c>
      <c r="S538">
        <f t="shared" si="80"/>
        <v>0</v>
      </c>
    </row>
    <row r="539" spans="1:19" x14ac:dyDescent="0.3">
      <c r="A539" t="s">
        <v>186</v>
      </c>
      <c r="B539">
        <v>2009</v>
      </c>
      <c r="C539">
        <v>1.0219391688782993E-3</v>
      </c>
      <c r="D539">
        <v>0.45698351302301937</v>
      </c>
      <c r="E539">
        <v>-0.68669274897937105</v>
      </c>
      <c r="F539">
        <v>0.63511013051535026</v>
      </c>
      <c r="G539">
        <v>1.1722611515451011</v>
      </c>
      <c r="H539">
        <v>16.60170412567167</v>
      </c>
      <c r="I539">
        <v>7.1104535759056745E-2</v>
      </c>
      <c r="J539">
        <v>0</v>
      </c>
      <c r="K539" s="1">
        <f t="shared" si="72"/>
        <v>1.0219391688782993E-3</v>
      </c>
      <c r="L539" s="1">
        <f t="shared" si="73"/>
        <v>0.45698351302301937</v>
      </c>
      <c r="M539">
        <f t="shared" si="74"/>
        <v>-0.68669274897937105</v>
      </c>
      <c r="N539">
        <f t="shared" si="75"/>
        <v>0.63511013051535026</v>
      </c>
      <c r="O539">
        <f t="shared" si="76"/>
        <v>1.1722611515451011</v>
      </c>
      <c r="P539">
        <f t="shared" si="77"/>
        <v>16.60170412567167</v>
      </c>
      <c r="Q539">
        <f t="shared" si="78"/>
        <v>7.1104535759056745E-2</v>
      </c>
      <c r="R539">
        <f t="shared" si="79"/>
        <v>0</v>
      </c>
      <c r="S539">
        <f t="shared" si="80"/>
        <v>0</v>
      </c>
    </row>
    <row r="540" spans="1:19" x14ac:dyDescent="0.3">
      <c r="A540" t="s">
        <v>186</v>
      </c>
      <c r="B540">
        <v>2010</v>
      </c>
      <c r="C540">
        <v>7.4614434430289318E-4</v>
      </c>
      <c r="D540">
        <v>0.16887124437633924</v>
      </c>
      <c r="E540">
        <v>-0.80335431406025504</v>
      </c>
      <c r="F540">
        <v>0.68013991038696109</v>
      </c>
      <c r="G540">
        <v>1.2114100763885753</v>
      </c>
      <c r="H540">
        <v>16.54467572748062</v>
      </c>
      <c r="I540">
        <v>2.6445357481896872E-3</v>
      </c>
      <c r="J540">
        <v>0</v>
      </c>
      <c r="K540" s="1">
        <f t="shared" si="72"/>
        <v>7.4614434430289318E-4</v>
      </c>
      <c r="L540" s="1">
        <f t="shared" si="73"/>
        <v>0.16887124437633924</v>
      </c>
      <c r="M540">
        <f t="shared" si="74"/>
        <v>-0.80335431406025504</v>
      </c>
      <c r="N540">
        <f t="shared" si="75"/>
        <v>0.68013991038696109</v>
      </c>
      <c r="O540">
        <f t="shared" si="76"/>
        <v>1.2114100763885753</v>
      </c>
      <c r="P540">
        <f t="shared" si="77"/>
        <v>16.54467572748062</v>
      </c>
      <c r="Q540">
        <f t="shared" si="78"/>
        <v>2.6445357481896872E-3</v>
      </c>
      <c r="R540">
        <f t="shared" si="79"/>
        <v>0</v>
      </c>
      <c r="S540">
        <f t="shared" si="80"/>
        <v>0</v>
      </c>
    </row>
    <row r="541" spans="1:19" x14ac:dyDescent="0.3">
      <c r="A541" t="s">
        <v>187</v>
      </c>
      <c r="B541">
        <v>2007</v>
      </c>
      <c r="C541">
        <v>1.7235070997681522E-2</v>
      </c>
      <c r="D541">
        <v>0.10753257546089198</v>
      </c>
      <c r="E541">
        <v>0.2795357893401435</v>
      </c>
      <c r="F541">
        <v>0.28683688459636214</v>
      </c>
      <c r="G541">
        <v>0.76973060778722202</v>
      </c>
      <c r="H541">
        <v>13.206504138114742</v>
      </c>
      <c r="I541">
        <v>1.8064648192609563E-2</v>
      </c>
      <c r="J541">
        <v>0</v>
      </c>
      <c r="K541" s="1">
        <f t="shared" si="72"/>
        <v>1.7235070997681522E-2</v>
      </c>
      <c r="L541" s="1">
        <f t="shared" si="73"/>
        <v>0.10753257546089198</v>
      </c>
      <c r="M541">
        <f t="shared" si="74"/>
        <v>0.2795357893401435</v>
      </c>
      <c r="N541">
        <f t="shared" si="75"/>
        <v>0.28683688459636214</v>
      </c>
      <c r="O541">
        <f t="shared" si="76"/>
        <v>0.76973060778722202</v>
      </c>
      <c r="P541">
        <f t="shared" si="77"/>
        <v>13.206504138114742</v>
      </c>
      <c r="Q541">
        <f t="shared" si="78"/>
        <v>1.8064648192609563E-2</v>
      </c>
      <c r="R541">
        <f t="shared" si="79"/>
        <v>0</v>
      </c>
      <c r="S541">
        <f t="shared" si="80"/>
        <v>0</v>
      </c>
    </row>
    <row r="542" spans="1:19" x14ac:dyDescent="0.3">
      <c r="A542" t="s">
        <v>187</v>
      </c>
      <c r="B542">
        <v>2008</v>
      </c>
      <c r="C542">
        <v>2.7124396933270581E-2</v>
      </c>
      <c r="D542">
        <v>0.13844587768342656</v>
      </c>
      <c r="E542">
        <v>0.32028956401360742</v>
      </c>
      <c r="F542">
        <v>0.24910201121891917</v>
      </c>
      <c r="G542">
        <v>1.0781377023445058</v>
      </c>
      <c r="H542">
        <v>13.388246060356488</v>
      </c>
      <c r="I542">
        <v>3.9555916264307697E-3</v>
      </c>
      <c r="J542">
        <v>0</v>
      </c>
      <c r="K542" s="1">
        <f t="shared" si="72"/>
        <v>2.7124396933270581E-2</v>
      </c>
      <c r="L542" s="1">
        <f t="shared" si="73"/>
        <v>0.13844587768342656</v>
      </c>
      <c r="M542">
        <f t="shared" si="74"/>
        <v>0.32028956401360742</v>
      </c>
      <c r="N542">
        <f t="shared" si="75"/>
        <v>0.24910201121891917</v>
      </c>
      <c r="O542">
        <f t="shared" si="76"/>
        <v>1.0781377023445058</v>
      </c>
      <c r="P542">
        <f t="shared" si="77"/>
        <v>13.388246060356488</v>
      </c>
      <c r="Q542">
        <f t="shared" si="78"/>
        <v>3.9555916264307697E-3</v>
      </c>
      <c r="R542">
        <f t="shared" si="79"/>
        <v>0</v>
      </c>
      <c r="S542">
        <f t="shared" si="80"/>
        <v>0</v>
      </c>
    </row>
    <row r="543" spans="1:19" x14ac:dyDescent="0.3">
      <c r="A543" t="s">
        <v>187</v>
      </c>
      <c r="B543">
        <v>2009</v>
      </c>
      <c r="C543">
        <v>4.9873618516189246E-2</v>
      </c>
      <c r="D543">
        <v>0.20179577873826815</v>
      </c>
      <c r="E543">
        <v>0.54527100916916693</v>
      </c>
      <c r="F543">
        <v>3.36843707564062E-2</v>
      </c>
      <c r="G543">
        <v>0.42053228436034146</v>
      </c>
      <c r="H543">
        <v>13.120926345368208</v>
      </c>
      <c r="I543">
        <v>3.9008666123409586E-3</v>
      </c>
      <c r="J543">
        <v>2.834870874575891E-2</v>
      </c>
      <c r="K543" s="1">
        <f t="shared" si="72"/>
        <v>4.9873618516189246E-2</v>
      </c>
      <c r="L543" s="1">
        <f t="shared" si="73"/>
        <v>0.20179577873826815</v>
      </c>
      <c r="M543">
        <f t="shared" si="74"/>
        <v>0.54527100916916693</v>
      </c>
      <c r="N543">
        <f t="shared" si="75"/>
        <v>3.36843707564062E-2</v>
      </c>
      <c r="O543">
        <f t="shared" si="76"/>
        <v>0.42053228436034146</v>
      </c>
      <c r="P543">
        <f t="shared" si="77"/>
        <v>13.120926345368208</v>
      </c>
      <c r="Q543">
        <f t="shared" si="78"/>
        <v>3.9008666123409586E-3</v>
      </c>
      <c r="R543">
        <f t="shared" si="79"/>
        <v>2.834870874575891E-2</v>
      </c>
      <c r="S543">
        <f t="shared" si="80"/>
        <v>0</v>
      </c>
    </row>
    <row r="544" spans="1:19" x14ac:dyDescent="0.3">
      <c r="A544" t="s">
        <v>187</v>
      </c>
      <c r="B544">
        <v>2010</v>
      </c>
      <c r="C544">
        <v>0.10395560579717268</v>
      </c>
      <c r="D544">
        <v>0.15140167968102033</v>
      </c>
      <c r="E544">
        <v>0.40052774176901007</v>
      </c>
      <c r="F544">
        <v>0.10186675595475797</v>
      </c>
      <c r="G544">
        <v>0.66573364707038807</v>
      </c>
      <c r="H544">
        <v>13.3863816578483</v>
      </c>
      <c r="I544">
        <v>1.2707777921418303E-2</v>
      </c>
      <c r="J544">
        <v>2.1739397551130742E-2</v>
      </c>
      <c r="K544" s="1">
        <f t="shared" si="72"/>
        <v>0.10395560579717268</v>
      </c>
      <c r="L544" s="1">
        <f t="shared" si="73"/>
        <v>0.15140167968102033</v>
      </c>
      <c r="M544">
        <f t="shared" si="74"/>
        <v>0.40052774176901007</v>
      </c>
      <c r="N544">
        <f t="shared" si="75"/>
        <v>0.10186675595475797</v>
      </c>
      <c r="O544">
        <f t="shared" si="76"/>
        <v>0.66573364707038807</v>
      </c>
      <c r="P544">
        <f t="shared" si="77"/>
        <v>13.3863816578483</v>
      </c>
      <c r="Q544">
        <f t="shared" si="78"/>
        <v>1.2707777921418303E-2</v>
      </c>
      <c r="R544">
        <f t="shared" si="79"/>
        <v>2.1739397551130742E-2</v>
      </c>
      <c r="S544">
        <f t="shared" si="80"/>
        <v>0</v>
      </c>
    </row>
    <row r="545" spans="1:19" x14ac:dyDescent="0.3">
      <c r="A545" t="s">
        <v>188</v>
      </c>
      <c r="B545">
        <v>2007</v>
      </c>
      <c r="C545">
        <v>4.2391665872353421E-2</v>
      </c>
      <c r="D545">
        <v>0.12001813261860954</v>
      </c>
      <c r="E545">
        <v>0.4444542839988761</v>
      </c>
      <c r="F545">
        <v>0.33342863345108564</v>
      </c>
      <c r="G545">
        <v>1.9417579650792729</v>
      </c>
      <c r="H545">
        <v>17.457210638638539</v>
      </c>
      <c r="I545">
        <v>9.3862184618743252E-2</v>
      </c>
      <c r="J545">
        <v>3.5492737557077533E-2</v>
      </c>
      <c r="K545" s="1">
        <f t="shared" si="72"/>
        <v>4.2391665872353421E-2</v>
      </c>
      <c r="L545" s="1">
        <f t="shared" si="73"/>
        <v>0.12001813261860954</v>
      </c>
      <c r="M545">
        <f t="shared" si="74"/>
        <v>0.4444542839988761</v>
      </c>
      <c r="N545">
        <f t="shared" si="75"/>
        <v>0.33342863345108564</v>
      </c>
      <c r="O545">
        <f t="shared" si="76"/>
        <v>1.9417579650792729</v>
      </c>
      <c r="P545">
        <f t="shared" si="77"/>
        <v>17.457210638638539</v>
      </c>
      <c r="Q545">
        <f t="shared" si="78"/>
        <v>9.3862184618743252E-2</v>
      </c>
      <c r="R545">
        <f t="shared" si="79"/>
        <v>3.5492737557077533E-2</v>
      </c>
      <c r="S545">
        <f t="shared" si="80"/>
        <v>0</v>
      </c>
    </row>
    <row r="546" spans="1:19" x14ac:dyDescent="0.3">
      <c r="A546" t="s">
        <v>188</v>
      </c>
      <c r="B546">
        <v>2008</v>
      </c>
      <c r="C546">
        <v>2.9511863948158672E-2</v>
      </c>
      <c r="D546">
        <v>0.37166469001109231</v>
      </c>
      <c r="E546">
        <v>0.280812967588289</v>
      </c>
      <c r="F546">
        <v>0.25930210229771189</v>
      </c>
      <c r="G546">
        <v>0.99080440094373567</v>
      </c>
      <c r="H546">
        <v>17.861447815217005</v>
      </c>
      <c r="I546">
        <v>0.13080629305161168</v>
      </c>
      <c r="J546">
        <v>2.2337143881650541E-2</v>
      </c>
      <c r="K546" s="1">
        <f t="shared" si="72"/>
        <v>2.9511863948158672E-2</v>
      </c>
      <c r="L546" s="1">
        <f t="shared" si="73"/>
        <v>0.37166469001109231</v>
      </c>
      <c r="M546">
        <f t="shared" si="74"/>
        <v>0.280812967588289</v>
      </c>
      <c r="N546">
        <f t="shared" si="75"/>
        <v>0.25930210229771189</v>
      </c>
      <c r="O546">
        <f t="shared" si="76"/>
        <v>0.99080440094373567</v>
      </c>
      <c r="P546">
        <f t="shared" si="77"/>
        <v>17.861447815217005</v>
      </c>
      <c r="Q546">
        <f t="shared" si="78"/>
        <v>0.13080629305161168</v>
      </c>
      <c r="R546">
        <f t="shared" si="79"/>
        <v>2.2337143881650541E-2</v>
      </c>
      <c r="S546">
        <f t="shared" si="80"/>
        <v>0</v>
      </c>
    </row>
    <row r="547" spans="1:19" x14ac:dyDescent="0.3">
      <c r="A547" t="s">
        <v>188</v>
      </c>
      <c r="B547">
        <v>2009</v>
      </c>
      <c r="C547">
        <v>4.220857668573362E-2</v>
      </c>
      <c r="D547">
        <v>6.2975535078974645E-2</v>
      </c>
      <c r="E547">
        <v>4.6456387882723188E-2</v>
      </c>
      <c r="F547">
        <v>0.63570125135101119</v>
      </c>
      <c r="G547">
        <v>1.2957394362988284</v>
      </c>
      <c r="H547">
        <v>18.355709467856538</v>
      </c>
      <c r="I547">
        <v>3.5889244739409597E-3</v>
      </c>
      <c r="J547">
        <v>1.907658436709438E-2</v>
      </c>
      <c r="K547" s="1">
        <f t="shared" si="72"/>
        <v>4.220857668573362E-2</v>
      </c>
      <c r="L547" s="1">
        <f t="shared" si="73"/>
        <v>6.2975535078974645E-2</v>
      </c>
      <c r="M547">
        <f t="shared" si="74"/>
        <v>4.6456387882723188E-2</v>
      </c>
      <c r="N547">
        <f t="shared" si="75"/>
        <v>0.63570125135101119</v>
      </c>
      <c r="O547">
        <f t="shared" si="76"/>
        <v>1.2957394362988284</v>
      </c>
      <c r="P547">
        <f t="shared" si="77"/>
        <v>18.355709467856538</v>
      </c>
      <c r="Q547">
        <f t="shared" si="78"/>
        <v>3.5889244739409597E-3</v>
      </c>
      <c r="R547">
        <f t="shared" si="79"/>
        <v>1.907658436709438E-2</v>
      </c>
      <c r="S547">
        <f t="shared" si="80"/>
        <v>0</v>
      </c>
    </row>
    <row r="548" spans="1:19" x14ac:dyDescent="0.3">
      <c r="A548" t="s">
        <v>188</v>
      </c>
      <c r="B548">
        <v>2010</v>
      </c>
      <c r="C548">
        <v>2.5003457369535187E-2</v>
      </c>
      <c r="D548">
        <v>6.8302177034652564E-2</v>
      </c>
      <c r="E548">
        <v>-2.460640909528632E-2</v>
      </c>
      <c r="F548">
        <v>0.57572833612977503</v>
      </c>
      <c r="G548">
        <v>1.1784532084935473</v>
      </c>
      <c r="H548">
        <v>18.920112414463617</v>
      </c>
      <c r="I548">
        <v>2.0278799916199353E-3</v>
      </c>
      <c r="J548">
        <v>1.1933726625857609E-2</v>
      </c>
      <c r="K548" s="1">
        <f t="shared" si="72"/>
        <v>2.5003457369535187E-2</v>
      </c>
      <c r="L548" s="1">
        <f t="shared" si="73"/>
        <v>6.8302177034652564E-2</v>
      </c>
      <c r="M548">
        <f t="shared" si="74"/>
        <v>-2.460640909528632E-2</v>
      </c>
      <c r="N548">
        <f t="shared" si="75"/>
        <v>0.57572833612977503</v>
      </c>
      <c r="O548">
        <f t="shared" si="76"/>
        <v>1.1784532084935473</v>
      </c>
      <c r="P548">
        <f t="shared" si="77"/>
        <v>18.920112414463617</v>
      </c>
      <c r="Q548">
        <f t="shared" si="78"/>
        <v>2.0278799916199353E-3</v>
      </c>
      <c r="R548">
        <f t="shared" si="79"/>
        <v>1.1933726625857609E-2</v>
      </c>
      <c r="S548">
        <f t="shared" si="80"/>
        <v>0</v>
      </c>
    </row>
    <row r="549" spans="1:19" x14ac:dyDescent="0.3">
      <c r="A549" t="s">
        <v>189</v>
      </c>
      <c r="B549">
        <v>2007</v>
      </c>
      <c r="C549">
        <v>0.13084668438180291</v>
      </c>
      <c r="D549">
        <v>0.16835612071636372</v>
      </c>
      <c r="E549">
        <v>-0.23446570266148101</v>
      </c>
      <c r="F549">
        <v>0.21805485518111961</v>
      </c>
      <c r="G549">
        <v>2.0592400594905227</v>
      </c>
      <c r="H549">
        <v>17.184390339733081</v>
      </c>
      <c r="I549">
        <v>4.5787093729087597E-3</v>
      </c>
      <c r="J549">
        <v>3.2159709861309164E-2</v>
      </c>
      <c r="K549" s="1">
        <f t="shared" si="72"/>
        <v>0.13084668438180291</v>
      </c>
      <c r="L549" s="1">
        <f t="shared" si="73"/>
        <v>0.16835612071636372</v>
      </c>
      <c r="M549">
        <f t="shared" si="74"/>
        <v>-0.23446570266148101</v>
      </c>
      <c r="N549">
        <f t="shared" si="75"/>
        <v>0.21805485518111961</v>
      </c>
      <c r="O549">
        <f t="shared" si="76"/>
        <v>2.0592400594905227</v>
      </c>
      <c r="P549">
        <f t="shared" si="77"/>
        <v>17.184390339733081</v>
      </c>
      <c r="Q549">
        <f t="shared" si="78"/>
        <v>4.5787093729087597E-3</v>
      </c>
      <c r="R549">
        <f t="shared" si="79"/>
        <v>3.2159709861309164E-2</v>
      </c>
      <c r="S549">
        <f t="shared" si="80"/>
        <v>0</v>
      </c>
    </row>
    <row r="550" spans="1:19" x14ac:dyDescent="0.3">
      <c r="A550" t="s">
        <v>189</v>
      </c>
      <c r="B550">
        <v>2008</v>
      </c>
      <c r="C550">
        <v>0.16979346322691785</v>
      </c>
      <c r="D550">
        <v>0.11962255956174839</v>
      </c>
      <c r="E550">
        <v>-0.10000284146358594</v>
      </c>
      <c r="F550">
        <v>0.40008630437856285</v>
      </c>
      <c r="G550">
        <v>1.0333410538186671</v>
      </c>
      <c r="H550">
        <v>17.660788257094627</v>
      </c>
      <c r="I550">
        <v>7.8202430428539471E-3</v>
      </c>
      <c r="J550">
        <v>4.4936346191266074E-2</v>
      </c>
      <c r="K550" s="1">
        <f t="shared" si="72"/>
        <v>0.16979346322691785</v>
      </c>
      <c r="L550" s="1">
        <f t="shared" si="73"/>
        <v>0.11962255956174839</v>
      </c>
      <c r="M550">
        <f t="shared" si="74"/>
        <v>-0.10000284146358594</v>
      </c>
      <c r="N550">
        <f t="shared" si="75"/>
        <v>0.40008630437856285</v>
      </c>
      <c r="O550">
        <f t="shared" si="76"/>
        <v>1.0333410538186671</v>
      </c>
      <c r="P550">
        <f t="shared" si="77"/>
        <v>17.660788257094627</v>
      </c>
      <c r="Q550">
        <f t="shared" si="78"/>
        <v>7.8202430428539471E-3</v>
      </c>
      <c r="R550">
        <f t="shared" si="79"/>
        <v>4.4936346191266074E-2</v>
      </c>
      <c r="S550">
        <f t="shared" si="80"/>
        <v>0</v>
      </c>
    </row>
    <row r="551" spans="1:19" x14ac:dyDescent="0.3">
      <c r="A551" t="s">
        <v>189</v>
      </c>
      <c r="B551">
        <v>2009</v>
      </c>
      <c r="C551">
        <v>0.2663349213814854</v>
      </c>
      <c r="D551">
        <v>0.16311622671764631</v>
      </c>
      <c r="E551">
        <v>4.683239410639814E-2</v>
      </c>
      <c r="F551">
        <v>0.35752165441156375</v>
      </c>
      <c r="G551">
        <v>1.3796340567729928</v>
      </c>
      <c r="H551">
        <v>17.405265070312989</v>
      </c>
      <c r="I551">
        <v>5.6292041001172917E-2</v>
      </c>
      <c r="J551">
        <v>0.10314482339936898</v>
      </c>
      <c r="K551" s="1">
        <f t="shared" si="72"/>
        <v>0.2663349213814854</v>
      </c>
      <c r="L551" s="1">
        <f t="shared" si="73"/>
        <v>0.16311622671764631</v>
      </c>
      <c r="M551">
        <f t="shared" si="74"/>
        <v>4.683239410639814E-2</v>
      </c>
      <c r="N551">
        <f t="shared" si="75"/>
        <v>0.35752165441156375</v>
      </c>
      <c r="O551">
        <f t="shared" si="76"/>
        <v>1.3796340567729928</v>
      </c>
      <c r="P551">
        <f t="shared" si="77"/>
        <v>17.405265070312989</v>
      </c>
      <c r="Q551">
        <f t="shared" si="78"/>
        <v>5.6292041001172917E-2</v>
      </c>
      <c r="R551">
        <f t="shared" si="79"/>
        <v>0.10314482339936898</v>
      </c>
      <c r="S551">
        <f t="shared" si="80"/>
        <v>0</v>
      </c>
    </row>
    <row r="552" spans="1:19" x14ac:dyDescent="0.3">
      <c r="A552" t="s">
        <v>189</v>
      </c>
      <c r="B552">
        <v>2010</v>
      </c>
      <c r="C552">
        <v>0.35997435702385261</v>
      </c>
      <c r="D552">
        <v>0.31060361910881124</v>
      </c>
      <c r="E552">
        <v>8.2879744822219797E-2</v>
      </c>
      <c r="F552">
        <v>0.27003421893462054</v>
      </c>
      <c r="G552">
        <v>1.5990787294156055</v>
      </c>
      <c r="H552">
        <v>17.380412605860467</v>
      </c>
      <c r="I552">
        <v>5.5739769862450467E-2</v>
      </c>
      <c r="J552">
        <v>0.17314982978261936</v>
      </c>
      <c r="K552" s="1" t="str">
        <f t="shared" si="72"/>
        <v>out</v>
      </c>
      <c r="L552" s="1">
        <f t="shared" si="73"/>
        <v>0.31060361910881124</v>
      </c>
      <c r="M552">
        <f t="shared" si="74"/>
        <v>8.2879744822219797E-2</v>
      </c>
      <c r="N552">
        <f t="shared" si="75"/>
        <v>0.27003421893462054</v>
      </c>
      <c r="O552">
        <f t="shared" si="76"/>
        <v>1.5990787294156055</v>
      </c>
      <c r="P552">
        <f t="shared" si="77"/>
        <v>17.380412605860467</v>
      </c>
      <c r="Q552">
        <f t="shared" si="78"/>
        <v>5.5739769862450467E-2</v>
      </c>
      <c r="R552" t="str">
        <f t="shared" si="79"/>
        <v>out</v>
      </c>
      <c r="S552">
        <f t="shared" si="80"/>
        <v>1</v>
      </c>
    </row>
    <row r="553" spans="1:19" x14ac:dyDescent="0.3">
      <c r="A553" t="s">
        <v>190</v>
      </c>
      <c r="B553">
        <v>2007</v>
      </c>
      <c r="C553">
        <v>4.6167713830212384E-2</v>
      </c>
      <c r="D553">
        <v>0.38055697687517354</v>
      </c>
      <c r="E553">
        <v>0.11769590004026509</v>
      </c>
      <c r="F553">
        <v>0.14238741934585888</v>
      </c>
      <c r="G553">
        <v>2.5684283405606894</v>
      </c>
      <c r="H553">
        <v>17.191089710451838</v>
      </c>
      <c r="I553">
        <v>3.0222840599693788E-2</v>
      </c>
      <c r="J553">
        <v>0.15188384449428124</v>
      </c>
      <c r="K553" s="1">
        <f t="shared" si="72"/>
        <v>4.6167713830212384E-2</v>
      </c>
      <c r="L553" s="1">
        <f t="shared" si="73"/>
        <v>0.38055697687517354</v>
      </c>
      <c r="M553">
        <f t="shared" si="74"/>
        <v>0.11769590004026509</v>
      </c>
      <c r="N553">
        <f t="shared" si="75"/>
        <v>0.14238741934585888</v>
      </c>
      <c r="O553">
        <f t="shared" si="76"/>
        <v>2.5684283405606894</v>
      </c>
      <c r="P553">
        <f t="shared" si="77"/>
        <v>17.191089710451838</v>
      </c>
      <c r="Q553">
        <f t="shared" si="78"/>
        <v>3.0222840599693788E-2</v>
      </c>
      <c r="R553" t="str">
        <f t="shared" si="79"/>
        <v>out</v>
      </c>
      <c r="S553">
        <f t="shared" si="80"/>
        <v>1</v>
      </c>
    </row>
    <row r="554" spans="1:19" x14ac:dyDescent="0.3">
      <c r="A554" t="s">
        <v>190</v>
      </c>
      <c r="B554">
        <v>2008</v>
      </c>
      <c r="C554">
        <v>2.9194714126520964E-2</v>
      </c>
      <c r="D554">
        <v>0.46034296289638232</v>
      </c>
      <c r="E554">
        <v>0.10537247090389497</v>
      </c>
      <c r="F554">
        <v>0.1208383868861905</v>
      </c>
      <c r="G554">
        <v>1.5229214952879264</v>
      </c>
      <c r="H554">
        <v>17.278710842549483</v>
      </c>
      <c r="I554">
        <v>1.9604868332570944E-2</v>
      </c>
      <c r="J554">
        <v>0.2125780214100314</v>
      </c>
      <c r="K554" s="1">
        <f t="shared" si="72"/>
        <v>2.9194714126520964E-2</v>
      </c>
      <c r="L554" s="1">
        <f t="shared" si="73"/>
        <v>0.46034296289638232</v>
      </c>
      <c r="M554">
        <f t="shared" si="74"/>
        <v>0.10537247090389497</v>
      </c>
      <c r="N554">
        <f t="shared" si="75"/>
        <v>0.1208383868861905</v>
      </c>
      <c r="O554">
        <f t="shared" si="76"/>
        <v>1.5229214952879264</v>
      </c>
      <c r="P554">
        <f t="shared" si="77"/>
        <v>17.278710842549483</v>
      </c>
      <c r="Q554">
        <f t="shared" si="78"/>
        <v>1.9604868332570944E-2</v>
      </c>
      <c r="R554" t="str">
        <f t="shared" si="79"/>
        <v>out</v>
      </c>
      <c r="S554">
        <f t="shared" si="80"/>
        <v>1</v>
      </c>
    </row>
    <row r="555" spans="1:19" x14ac:dyDescent="0.3">
      <c r="A555" t="s">
        <v>190</v>
      </c>
      <c r="B555">
        <v>2009</v>
      </c>
      <c r="C555">
        <v>0.19234790630758153</v>
      </c>
      <c r="D555">
        <v>0.27296515288778039</v>
      </c>
      <c r="E555">
        <v>-1.8251104857846034E-2</v>
      </c>
      <c r="F555">
        <v>0.362223661200612</v>
      </c>
      <c r="G555">
        <v>1.7196273888032094</v>
      </c>
      <c r="H555">
        <v>18.066455611060309</v>
      </c>
      <c r="I555">
        <v>2.153816399370613E-2</v>
      </c>
      <c r="J555">
        <v>0.12715427132965018</v>
      </c>
      <c r="K555" s="1">
        <f t="shared" si="72"/>
        <v>0.19234790630758153</v>
      </c>
      <c r="L555" s="1">
        <f t="shared" si="73"/>
        <v>0.27296515288778039</v>
      </c>
      <c r="M555">
        <f t="shared" si="74"/>
        <v>-1.8251104857846034E-2</v>
      </c>
      <c r="N555">
        <f t="shared" si="75"/>
        <v>0.362223661200612</v>
      </c>
      <c r="O555">
        <f t="shared" si="76"/>
        <v>1.7196273888032094</v>
      </c>
      <c r="P555">
        <f t="shared" si="77"/>
        <v>18.066455611060309</v>
      </c>
      <c r="Q555">
        <f t="shared" si="78"/>
        <v>2.153816399370613E-2</v>
      </c>
      <c r="R555">
        <f t="shared" si="79"/>
        <v>0.12715427132965018</v>
      </c>
      <c r="S555">
        <f t="shared" si="80"/>
        <v>0</v>
      </c>
    </row>
    <row r="556" spans="1:19" x14ac:dyDescent="0.3">
      <c r="A556" t="s">
        <v>190</v>
      </c>
      <c r="B556">
        <v>2010</v>
      </c>
      <c r="C556">
        <v>0.19014791521423863</v>
      </c>
      <c r="D556">
        <v>0.35157228092160947</v>
      </c>
      <c r="E556">
        <v>4.8839681963280205E-3</v>
      </c>
      <c r="F556">
        <v>0.29232755098426083</v>
      </c>
      <c r="G556">
        <v>1.8395292567253119</v>
      </c>
      <c r="H556">
        <v>18.119803490076052</v>
      </c>
      <c r="I556">
        <v>7.3582029768454085E-2</v>
      </c>
      <c r="J556">
        <v>0.11917354723846574</v>
      </c>
      <c r="K556" s="1">
        <f t="shared" si="72"/>
        <v>0.19014791521423863</v>
      </c>
      <c r="L556" s="1">
        <f t="shared" si="73"/>
        <v>0.35157228092160947</v>
      </c>
      <c r="M556">
        <f t="shared" si="74"/>
        <v>4.8839681963280205E-3</v>
      </c>
      <c r="N556">
        <f t="shared" si="75"/>
        <v>0.29232755098426083</v>
      </c>
      <c r="O556">
        <f t="shared" si="76"/>
        <v>1.8395292567253119</v>
      </c>
      <c r="P556">
        <f t="shared" si="77"/>
        <v>18.119803490076052</v>
      </c>
      <c r="Q556">
        <f t="shared" si="78"/>
        <v>7.3582029768454085E-2</v>
      </c>
      <c r="R556">
        <f t="shared" si="79"/>
        <v>0.11917354723846574</v>
      </c>
      <c r="S556">
        <f t="shared" si="80"/>
        <v>0</v>
      </c>
    </row>
    <row r="557" spans="1:19" x14ac:dyDescent="0.3">
      <c r="A557" t="s">
        <v>191</v>
      </c>
      <c r="B557">
        <v>2007</v>
      </c>
      <c r="C557">
        <v>3.4210714230018854E-2</v>
      </c>
      <c r="D557">
        <v>0.24674049809539209</v>
      </c>
      <c r="E557">
        <v>0.39097196971997628</v>
      </c>
      <c r="F557">
        <v>1.7748434166884857E-2</v>
      </c>
      <c r="G557">
        <v>2.4381092713900068</v>
      </c>
      <c r="H557">
        <v>14.0130170708584</v>
      </c>
      <c r="I557">
        <v>1.3696439714298606E-2</v>
      </c>
      <c r="J557">
        <v>6.4319196034672815E-2</v>
      </c>
      <c r="K557" s="1">
        <f t="shared" si="72"/>
        <v>3.4210714230018854E-2</v>
      </c>
      <c r="L557" s="1">
        <f t="shared" si="73"/>
        <v>0.24674049809539209</v>
      </c>
      <c r="M557">
        <f t="shared" si="74"/>
        <v>0.39097196971997628</v>
      </c>
      <c r="N557">
        <f t="shared" si="75"/>
        <v>1.7748434166884857E-2</v>
      </c>
      <c r="O557">
        <f t="shared" si="76"/>
        <v>2.4381092713900068</v>
      </c>
      <c r="P557">
        <f t="shared" si="77"/>
        <v>14.0130170708584</v>
      </c>
      <c r="Q557">
        <f t="shared" si="78"/>
        <v>1.3696439714298606E-2</v>
      </c>
      <c r="R557">
        <f t="shared" si="79"/>
        <v>6.4319196034672815E-2</v>
      </c>
      <c r="S557">
        <f t="shared" si="80"/>
        <v>0</v>
      </c>
    </row>
    <row r="558" spans="1:19" x14ac:dyDescent="0.3">
      <c r="A558" t="s">
        <v>191</v>
      </c>
      <c r="B558">
        <v>2009</v>
      </c>
      <c r="C558">
        <v>2.6093593310949795E-2</v>
      </c>
      <c r="D558">
        <v>0.16801572551985827</v>
      </c>
      <c r="E558">
        <v>0.11733902847227214</v>
      </c>
      <c r="F558">
        <v>0.15412640881103706</v>
      </c>
      <c r="G558">
        <v>1.4822220853198438</v>
      </c>
      <c r="H558">
        <v>14.376881376360959</v>
      </c>
      <c r="I558">
        <v>4.9833924930121898E-3</v>
      </c>
      <c r="J558">
        <v>9.903175792921463E-3</v>
      </c>
      <c r="K558" s="1">
        <f t="shared" si="72"/>
        <v>2.6093593310949795E-2</v>
      </c>
      <c r="L558" s="1">
        <f t="shared" si="73"/>
        <v>0.16801572551985827</v>
      </c>
      <c r="M558">
        <f t="shared" si="74"/>
        <v>0.11733902847227214</v>
      </c>
      <c r="N558">
        <f t="shared" si="75"/>
        <v>0.15412640881103706</v>
      </c>
      <c r="O558">
        <f t="shared" si="76"/>
        <v>1.4822220853198438</v>
      </c>
      <c r="P558">
        <f t="shared" si="77"/>
        <v>14.376881376360959</v>
      </c>
      <c r="Q558">
        <f t="shared" si="78"/>
        <v>4.9833924930121898E-3</v>
      </c>
      <c r="R558">
        <f t="shared" si="79"/>
        <v>9.903175792921463E-3</v>
      </c>
      <c r="S558">
        <f t="shared" si="80"/>
        <v>0</v>
      </c>
    </row>
    <row r="559" spans="1:19" x14ac:dyDescent="0.3">
      <c r="A559" t="s">
        <v>191</v>
      </c>
      <c r="B559">
        <v>2010</v>
      </c>
      <c r="C559">
        <v>2.8502811532707877E-2</v>
      </c>
      <c r="D559">
        <v>0.1867271438409901</v>
      </c>
      <c r="E559">
        <v>0.16163853452168625</v>
      </c>
      <c r="F559">
        <v>5.8761411997386499E-2</v>
      </c>
      <c r="G559">
        <v>1.1678282101800439</v>
      </c>
      <c r="H559">
        <v>14.49962456195645</v>
      </c>
      <c r="I559">
        <v>3.0423800605822636E-2</v>
      </c>
      <c r="J559">
        <v>0</v>
      </c>
      <c r="K559" s="1">
        <f t="shared" si="72"/>
        <v>2.8502811532707877E-2</v>
      </c>
      <c r="L559" s="1">
        <f t="shared" si="73"/>
        <v>0.1867271438409901</v>
      </c>
      <c r="M559">
        <f t="shared" si="74"/>
        <v>0.16163853452168625</v>
      </c>
      <c r="N559">
        <f t="shared" si="75"/>
        <v>5.8761411997386499E-2</v>
      </c>
      <c r="O559">
        <f t="shared" si="76"/>
        <v>1.1678282101800439</v>
      </c>
      <c r="P559">
        <f t="shared" si="77"/>
        <v>14.49962456195645</v>
      </c>
      <c r="Q559">
        <f t="shared" si="78"/>
        <v>3.0423800605822636E-2</v>
      </c>
      <c r="R559">
        <f t="shared" si="79"/>
        <v>0</v>
      </c>
      <c r="S559">
        <f t="shared" si="80"/>
        <v>0</v>
      </c>
    </row>
    <row r="560" spans="1:19" x14ac:dyDescent="0.3">
      <c r="A560" t="s">
        <v>192</v>
      </c>
      <c r="B560">
        <v>2007</v>
      </c>
      <c r="C560">
        <v>3.8483038102878689E-3</v>
      </c>
      <c r="D560">
        <v>8.5461895596099111E-2</v>
      </c>
      <c r="E560">
        <v>3.1250667280819225E-2</v>
      </c>
      <c r="F560">
        <v>0.20094971219225008</v>
      </c>
      <c r="G560">
        <v>1.3189040846737417</v>
      </c>
      <c r="H560">
        <v>15.472817829804812</v>
      </c>
      <c r="I560">
        <v>1.5645815932142093E-3</v>
      </c>
      <c r="J560">
        <v>1.0971431229657467E-2</v>
      </c>
      <c r="K560" s="1">
        <f t="shared" si="72"/>
        <v>3.8483038102878689E-3</v>
      </c>
      <c r="L560" s="1">
        <f t="shared" si="73"/>
        <v>8.5461895596099111E-2</v>
      </c>
      <c r="M560">
        <f t="shared" si="74"/>
        <v>3.1250667280819225E-2</v>
      </c>
      <c r="N560">
        <f t="shared" si="75"/>
        <v>0.20094971219225008</v>
      </c>
      <c r="O560">
        <f t="shared" si="76"/>
        <v>1.3189040846737417</v>
      </c>
      <c r="P560">
        <f t="shared" si="77"/>
        <v>15.472817829804812</v>
      </c>
      <c r="Q560">
        <f t="shared" si="78"/>
        <v>1.5645815932142093E-3</v>
      </c>
      <c r="R560">
        <f t="shared" si="79"/>
        <v>1.0971431229657467E-2</v>
      </c>
      <c r="S560">
        <f t="shared" si="80"/>
        <v>0</v>
      </c>
    </row>
    <row r="561" spans="1:19" x14ac:dyDescent="0.3">
      <c r="A561" t="s">
        <v>192</v>
      </c>
      <c r="B561">
        <v>2008</v>
      </c>
      <c r="C561">
        <v>1.6141011876454611E-2</v>
      </c>
      <c r="D561">
        <v>8.3953913201571889E-2</v>
      </c>
      <c r="E561">
        <v>0.13104636198062342</v>
      </c>
      <c r="F561">
        <v>0.15383826341121301</v>
      </c>
      <c r="G561">
        <v>0.85650305111453895</v>
      </c>
      <c r="H561">
        <v>15.585167386892945</v>
      </c>
      <c r="I561">
        <v>2.8736223627566643E-3</v>
      </c>
      <c r="J561">
        <v>9.8055169003613829E-3</v>
      </c>
      <c r="K561" s="1">
        <f t="shared" si="72"/>
        <v>1.6141011876454611E-2</v>
      </c>
      <c r="L561" s="1">
        <f t="shared" si="73"/>
        <v>8.3953913201571889E-2</v>
      </c>
      <c r="M561">
        <f t="shared" si="74"/>
        <v>0.13104636198062342</v>
      </c>
      <c r="N561">
        <f t="shared" si="75"/>
        <v>0.15383826341121301</v>
      </c>
      <c r="O561">
        <f t="shared" si="76"/>
        <v>0.85650305111453895</v>
      </c>
      <c r="P561">
        <f t="shared" si="77"/>
        <v>15.585167386892945</v>
      </c>
      <c r="Q561">
        <f t="shared" si="78"/>
        <v>2.8736223627566643E-3</v>
      </c>
      <c r="R561">
        <f t="shared" si="79"/>
        <v>9.8055169003613829E-3</v>
      </c>
      <c r="S561">
        <f t="shared" si="80"/>
        <v>0</v>
      </c>
    </row>
    <row r="562" spans="1:19" x14ac:dyDescent="0.3">
      <c r="A562" t="s">
        <v>192</v>
      </c>
      <c r="B562">
        <v>2009</v>
      </c>
      <c r="C562">
        <v>2.1358697613084763E-2</v>
      </c>
      <c r="D562">
        <v>6.6759413989153041E-2</v>
      </c>
      <c r="E562">
        <v>9.7768479156441726E-2</v>
      </c>
      <c r="F562">
        <v>0.25740026264815968</v>
      </c>
      <c r="G562">
        <v>0.61772576670378543</v>
      </c>
      <c r="H562">
        <v>15.906504611665827</v>
      </c>
      <c r="I562">
        <v>1.1018283153233326E-3</v>
      </c>
      <c r="J562">
        <v>7.1107516215335904E-3</v>
      </c>
      <c r="K562" s="1">
        <f t="shared" si="72"/>
        <v>2.1358697613084763E-2</v>
      </c>
      <c r="L562" s="1">
        <f t="shared" si="73"/>
        <v>6.6759413989153041E-2</v>
      </c>
      <c r="M562">
        <f t="shared" si="74"/>
        <v>9.7768479156441726E-2</v>
      </c>
      <c r="N562">
        <f t="shared" si="75"/>
        <v>0.25740026264815968</v>
      </c>
      <c r="O562">
        <f t="shared" si="76"/>
        <v>0.61772576670378543</v>
      </c>
      <c r="P562">
        <f t="shared" si="77"/>
        <v>15.906504611665827</v>
      </c>
      <c r="Q562">
        <f t="shared" si="78"/>
        <v>1.1018283153233326E-3</v>
      </c>
      <c r="R562">
        <f t="shared" si="79"/>
        <v>7.1107516215335904E-3</v>
      </c>
      <c r="S562">
        <f t="shared" si="80"/>
        <v>0</v>
      </c>
    </row>
    <row r="563" spans="1:19" x14ac:dyDescent="0.3">
      <c r="A563" t="s">
        <v>192</v>
      </c>
      <c r="B563">
        <v>2010</v>
      </c>
      <c r="C563">
        <v>1.7215795755730501E-2</v>
      </c>
      <c r="D563">
        <v>7.9543644739110367E-2</v>
      </c>
      <c r="E563">
        <v>0.14320087248842189</v>
      </c>
      <c r="F563">
        <v>9.1873399325239954E-2</v>
      </c>
      <c r="G563">
        <v>0.52130448477928204</v>
      </c>
      <c r="H563">
        <v>15.885406939198326</v>
      </c>
      <c r="I563">
        <v>1.6479368029834296E-2</v>
      </c>
      <c r="J563">
        <v>9.6831121445956226E-3</v>
      </c>
      <c r="K563" s="1">
        <f t="shared" si="72"/>
        <v>1.7215795755730501E-2</v>
      </c>
      <c r="L563" s="1">
        <f t="shared" si="73"/>
        <v>7.9543644739110367E-2</v>
      </c>
      <c r="M563">
        <f t="shared" si="74"/>
        <v>0.14320087248842189</v>
      </c>
      <c r="N563">
        <f t="shared" si="75"/>
        <v>9.1873399325239954E-2</v>
      </c>
      <c r="O563">
        <f t="shared" si="76"/>
        <v>0.52130448477928204</v>
      </c>
      <c r="P563">
        <f t="shared" si="77"/>
        <v>15.885406939198326</v>
      </c>
      <c r="Q563">
        <f t="shared" si="78"/>
        <v>1.6479368029834296E-2</v>
      </c>
      <c r="R563">
        <f t="shared" si="79"/>
        <v>9.6831121445956226E-3</v>
      </c>
      <c r="S563">
        <f t="shared" si="80"/>
        <v>0</v>
      </c>
    </row>
    <row r="564" spans="1:19" x14ac:dyDescent="0.3">
      <c r="A564" t="s">
        <v>193</v>
      </c>
      <c r="B564">
        <v>2008</v>
      </c>
      <c r="C564">
        <v>0.25644580907005471</v>
      </c>
      <c r="D564">
        <v>0.30417796600199987</v>
      </c>
      <c r="E564">
        <v>0.5589916828421857</v>
      </c>
      <c r="F564">
        <v>0</v>
      </c>
      <c r="G564">
        <v>3.3042715887300744</v>
      </c>
      <c r="H564">
        <v>16.178779094574132</v>
      </c>
      <c r="I564">
        <v>4.7894836980323346E-2</v>
      </c>
      <c r="J564">
        <v>0.15259168284218574</v>
      </c>
      <c r="K564" s="1">
        <f t="shared" si="72"/>
        <v>0.25644580907005471</v>
      </c>
      <c r="L564" s="1">
        <f t="shared" si="73"/>
        <v>0.30417796600199987</v>
      </c>
      <c r="M564">
        <f t="shared" si="74"/>
        <v>0.5589916828421857</v>
      </c>
      <c r="N564">
        <f t="shared" si="75"/>
        <v>0</v>
      </c>
      <c r="O564">
        <f t="shared" si="76"/>
        <v>3.3042715887300744</v>
      </c>
      <c r="P564">
        <f t="shared" si="77"/>
        <v>16.178779094574132</v>
      </c>
      <c r="Q564">
        <f t="shared" si="78"/>
        <v>4.7894836980323346E-2</v>
      </c>
      <c r="R564" t="str">
        <f t="shared" si="79"/>
        <v>out</v>
      </c>
      <c r="S564">
        <f t="shared" si="80"/>
        <v>1</v>
      </c>
    </row>
    <row r="565" spans="1:19" x14ac:dyDescent="0.3">
      <c r="A565" t="s">
        <v>193</v>
      </c>
      <c r="B565">
        <v>2009</v>
      </c>
      <c r="C565">
        <v>0.14227469262502401</v>
      </c>
      <c r="D565">
        <v>0.13974907192257063</v>
      </c>
      <c r="E565">
        <v>0.41965994100994891</v>
      </c>
      <c r="F565">
        <v>3.1321660424971179E-4</v>
      </c>
      <c r="G565">
        <v>1.1640363724860554</v>
      </c>
      <c r="H565">
        <v>16.484882853233316</v>
      </c>
      <c r="I565">
        <v>3.8702067625144138E-3</v>
      </c>
      <c r="J565">
        <v>5.9134116855294204E-2</v>
      </c>
      <c r="K565" s="1">
        <f t="shared" si="72"/>
        <v>0.14227469262502401</v>
      </c>
      <c r="L565" s="1">
        <f t="shared" si="73"/>
        <v>0.13974907192257063</v>
      </c>
      <c r="M565">
        <f t="shared" si="74"/>
        <v>0.41965994100994891</v>
      </c>
      <c r="N565">
        <f t="shared" si="75"/>
        <v>3.1321660424971179E-4</v>
      </c>
      <c r="O565">
        <f t="shared" si="76"/>
        <v>1.1640363724860554</v>
      </c>
      <c r="P565">
        <f t="shared" si="77"/>
        <v>16.484882853233316</v>
      </c>
      <c r="Q565">
        <f t="shared" si="78"/>
        <v>3.8702067625144138E-3</v>
      </c>
      <c r="R565">
        <f t="shared" si="79"/>
        <v>5.9134116855294204E-2</v>
      </c>
      <c r="S565">
        <f t="shared" si="80"/>
        <v>0</v>
      </c>
    </row>
    <row r="566" spans="1:19" x14ac:dyDescent="0.3">
      <c r="A566" t="s">
        <v>193</v>
      </c>
      <c r="B566">
        <v>2010</v>
      </c>
      <c r="C566">
        <v>0.18861200047086318</v>
      </c>
      <c r="D566">
        <v>0.15468634783480492</v>
      </c>
      <c r="E566">
        <v>0.40964204526263082</v>
      </c>
      <c r="F566">
        <v>0</v>
      </c>
      <c r="G566">
        <v>1.7154599011173868</v>
      </c>
      <c r="H566">
        <v>16.516321216703965</v>
      </c>
      <c r="I566">
        <v>4.8038965943091524E-3</v>
      </c>
      <c r="J566">
        <v>5.2757024184922181E-2</v>
      </c>
      <c r="K566" s="1">
        <f t="shared" si="72"/>
        <v>0.18861200047086318</v>
      </c>
      <c r="L566" s="1">
        <f t="shared" si="73"/>
        <v>0.15468634783480492</v>
      </c>
      <c r="M566">
        <f t="shared" si="74"/>
        <v>0.40964204526263082</v>
      </c>
      <c r="N566">
        <f t="shared" si="75"/>
        <v>0</v>
      </c>
      <c r="O566">
        <f t="shared" si="76"/>
        <v>1.7154599011173868</v>
      </c>
      <c r="P566">
        <f t="shared" si="77"/>
        <v>16.516321216703965</v>
      </c>
      <c r="Q566">
        <f t="shared" si="78"/>
        <v>4.8038965943091524E-3</v>
      </c>
      <c r="R566">
        <f t="shared" si="79"/>
        <v>5.2757024184922181E-2</v>
      </c>
      <c r="S566">
        <f t="shared" si="80"/>
        <v>0</v>
      </c>
    </row>
    <row r="567" spans="1:19" x14ac:dyDescent="0.3">
      <c r="A567" t="s">
        <v>194</v>
      </c>
      <c r="B567">
        <v>2007</v>
      </c>
      <c r="C567">
        <v>8.8553141593911734E-3</v>
      </c>
      <c r="D567">
        <v>0.11393011045803864</v>
      </c>
      <c r="E567">
        <v>6.131728119375341E-2</v>
      </c>
      <c r="F567">
        <v>0.21230796806500518</v>
      </c>
      <c r="G567">
        <v>1.4452818211012943</v>
      </c>
      <c r="H567">
        <v>14.107411219642632</v>
      </c>
      <c r="I567">
        <v>7.1418499984189643E-4</v>
      </c>
      <c r="J567">
        <v>2.8053653181176575E-2</v>
      </c>
      <c r="K567" s="1">
        <f t="shared" si="72"/>
        <v>8.8553141593911734E-3</v>
      </c>
      <c r="L567" s="1">
        <f t="shared" si="73"/>
        <v>0.11393011045803864</v>
      </c>
      <c r="M567">
        <f t="shared" si="74"/>
        <v>6.131728119375341E-2</v>
      </c>
      <c r="N567">
        <f t="shared" si="75"/>
        <v>0.21230796806500518</v>
      </c>
      <c r="O567">
        <f t="shared" si="76"/>
        <v>1.4452818211012943</v>
      </c>
      <c r="P567">
        <f t="shared" si="77"/>
        <v>14.107411219642632</v>
      </c>
      <c r="Q567">
        <f t="shared" si="78"/>
        <v>7.1418499984189643E-4</v>
      </c>
      <c r="R567">
        <f t="shared" si="79"/>
        <v>2.8053653181176575E-2</v>
      </c>
      <c r="S567">
        <f t="shared" si="80"/>
        <v>0</v>
      </c>
    </row>
    <row r="568" spans="1:19" x14ac:dyDescent="0.3">
      <c r="A568" t="s">
        <v>194</v>
      </c>
      <c r="B568">
        <v>2008</v>
      </c>
      <c r="C568">
        <v>4.8626593421928843E-3</v>
      </c>
      <c r="D568">
        <v>0.11955313393584785</v>
      </c>
      <c r="E568">
        <v>3.0978622047804182E-2</v>
      </c>
      <c r="F568">
        <v>0.26391680503364501</v>
      </c>
      <c r="G568">
        <v>0.86193908872219371</v>
      </c>
      <c r="H568">
        <v>14.204945872679387</v>
      </c>
      <c r="I568">
        <v>3.7012521324951905E-3</v>
      </c>
      <c r="J568">
        <v>2.7991114706055698E-2</v>
      </c>
      <c r="K568" s="1">
        <f t="shared" si="72"/>
        <v>4.8626593421928843E-3</v>
      </c>
      <c r="L568" s="1">
        <f t="shared" si="73"/>
        <v>0.11955313393584785</v>
      </c>
      <c r="M568">
        <f t="shared" si="74"/>
        <v>3.0978622047804182E-2</v>
      </c>
      <c r="N568">
        <f t="shared" si="75"/>
        <v>0.26391680503364501</v>
      </c>
      <c r="O568">
        <f t="shared" si="76"/>
        <v>0.86193908872219371</v>
      </c>
      <c r="P568">
        <f t="shared" si="77"/>
        <v>14.204945872679387</v>
      </c>
      <c r="Q568">
        <f t="shared" si="78"/>
        <v>3.7012521324951905E-3</v>
      </c>
      <c r="R568">
        <f t="shared" si="79"/>
        <v>2.7991114706055698E-2</v>
      </c>
      <c r="S568">
        <f t="shared" si="80"/>
        <v>0</v>
      </c>
    </row>
    <row r="569" spans="1:19" x14ac:dyDescent="0.3">
      <c r="A569" t="s">
        <v>194</v>
      </c>
      <c r="B569">
        <v>2009</v>
      </c>
      <c r="C569">
        <v>1.8428547783242204E-2</v>
      </c>
      <c r="D569">
        <v>0.1242748595250627</v>
      </c>
      <c r="E569">
        <v>0.1149302908694584</v>
      </c>
      <c r="F569">
        <v>0.39062713876707361</v>
      </c>
      <c r="G569">
        <v>0.91821773944598084</v>
      </c>
      <c r="H569">
        <v>14.372861497351114</v>
      </c>
      <c r="I569">
        <v>1.3388779491303545E-2</v>
      </c>
      <c r="J569">
        <v>2.366439276053655E-2</v>
      </c>
      <c r="K569" s="1">
        <f t="shared" si="72"/>
        <v>1.8428547783242204E-2</v>
      </c>
      <c r="L569" s="1">
        <f t="shared" si="73"/>
        <v>0.1242748595250627</v>
      </c>
      <c r="M569">
        <f t="shared" si="74"/>
        <v>0.1149302908694584</v>
      </c>
      <c r="N569">
        <f t="shared" si="75"/>
        <v>0.39062713876707361</v>
      </c>
      <c r="O569">
        <f t="shared" si="76"/>
        <v>0.91821773944598084</v>
      </c>
      <c r="P569">
        <f t="shared" si="77"/>
        <v>14.372861497351114</v>
      </c>
      <c r="Q569">
        <f t="shared" si="78"/>
        <v>1.3388779491303545E-2</v>
      </c>
      <c r="R569">
        <f t="shared" si="79"/>
        <v>2.366439276053655E-2</v>
      </c>
      <c r="S569">
        <f t="shared" si="80"/>
        <v>0</v>
      </c>
    </row>
    <row r="570" spans="1:19" x14ac:dyDescent="0.3">
      <c r="A570" t="s">
        <v>194</v>
      </c>
      <c r="B570">
        <v>2010</v>
      </c>
      <c r="C570">
        <v>3.7582700881071428E-2</v>
      </c>
      <c r="D570">
        <v>9.852251805530686E-2</v>
      </c>
      <c r="E570">
        <v>0.14998186434530286</v>
      </c>
      <c r="F570">
        <v>0.30595251213252345</v>
      </c>
      <c r="G570">
        <v>0.85921403171673483</v>
      </c>
      <c r="H570">
        <v>14.370787805170654</v>
      </c>
      <c r="I570">
        <v>8.6968058832843174E-3</v>
      </c>
      <c r="J570">
        <v>2.3714090255873427E-2</v>
      </c>
      <c r="K570" s="1">
        <f t="shared" si="72"/>
        <v>3.7582700881071428E-2</v>
      </c>
      <c r="L570" s="1">
        <f t="shared" si="73"/>
        <v>9.852251805530686E-2</v>
      </c>
      <c r="M570">
        <f t="shared" si="74"/>
        <v>0.14998186434530286</v>
      </c>
      <c r="N570">
        <f t="shared" si="75"/>
        <v>0.30595251213252345</v>
      </c>
      <c r="O570">
        <f t="shared" si="76"/>
        <v>0.85921403171673483</v>
      </c>
      <c r="P570">
        <f t="shared" si="77"/>
        <v>14.370787805170654</v>
      </c>
      <c r="Q570">
        <f t="shared" si="78"/>
        <v>8.6968058832843174E-3</v>
      </c>
      <c r="R570">
        <f t="shared" si="79"/>
        <v>2.3714090255873427E-2</v>
      </c>
      <c r="S570">
        <f t="shared" si="80"/>
        <v>0</v>
      </c>
    </row>
    <row r="571" spans="1:19" x14ac:dyDescent="0.3">
      <c r="A571" t="s">
        <v>195</v>
      </c>
      <c r="B571">
        <v>2007</v>
      </c>
      <c r="C571">
        <v>0.19222588866672327</v>
      </c>
      <c r="D571">
        <v>0.18326505742147667</v>
      </c>
      <c r="E571">
        <v>0.20547081824906357</v>
      </c>
      <c r="F571">
        <v>0</v>
      </c>
      <c r="G571">
        <v>0.84721831965697014</v>
      </c>
      <c r="H571">
        <v>16.749701999484405</v>
      </c>
      <c r="I571">
        <v>1.4874202658403946E-3</v>
      </c>
      <c r="J571">
        <v>4.4283798437448403E-2</v>
      </c>
      <c r="K571" s="1">
        <f t="shared" si="72"/>
        <v>0.19222588866672327</v>
      </c>
      <c r="L571" s="1">
        <f t="shared" si="73"/>
        <v>0.18326505742147667</v>
      </c>
      <c r="M571">
        <f t="shared" si="74"/>
        <v>0.20547081824906357</v>
      </c>
      <c r="N571">
        <f t="shared" si="75"/>
        <v>0</v>
      </c>
      <c r="O571">
        <f t="shared" si="76"/>
        <v>0.84721831965697014</v>
      </c>
      <c r="P571">
        <f t="shared" si="77"/>
        <v>16.749701999484405</v>
      </c>
      <c r="Q571">
        <f t="shared" si="78"/>
        <v>1.4874202658403946E-3</v>
      </c>
      <c r="R571">
        <f t="shared" si="79"/>
        <v>4.4283798437448403E-2</v>
      </c>
      <c r="S571">
        <f t="shared" si="80"/>
        <v>0</v>
      </c>
    </row>
    <row r="572" spans="1:19" x14ac:dyDescent="0.3">
      <c r="A572" t="s">
        <v>195</v>
      </c>
      <c r="B572">
        <v>2009</v>
      </c>
      <c r="C572">
        <v>0.21574150904200406</v>
      </c>
      <c r="D572">
        <v>0.19126241084149576</v>
      </c>
      <c r="E572">
        <v>0.2440313323120861</v>
      </c>
      <c r="F572">
        <v>1.7096269054040444E-3</v>
      </c>
      <c r="G572">
        <v>1.4470864367305927</v>
      </c>
      <c r="H572">
        <v>16.863809332534156</v>
      </c>
      <c r="I572">
        <v>5.3142534170939892E-3</v>
      </c>
      <c r="J572">
        <v>5.2677742634023757E-2</v>
      </c>
      <c r="K572" s="1">
        <f t="shared" si="72"/>
        <v>0.21574150904200406</v>
      </c>
      <c r="L572" s="1">
        <f t="shared" si="73"/>
        <v>0.19126241084149576</v>
      </c>
      <c r="M572">
        <f t="shared" si="74"/>
        <v>0.2440313323120861</v>
      </c>
      <c r="N572">
        <f t="shared" si="75"/>
        <v>1.7096269054040444E-3</v>
      </c>
      <c r="O572">
        <f t="shared" si="76"/>
        <v>1.4470864367305927</v>
      </c>
      <c r="P572">
        <f t="shared" si="77"/>
        <v>16.863809332534156</v>
      </c>
      <c r="Q572">
        <f t="shared" si="78"/>
        <v>5.3142534170939892E-3</v>
      </c>
      <c r="R572">
        <f t="shared" si="79"/>
        <v>5.2677742634023757E-2</v>
      </c>
      <c r="S572">
        <f t="shared" si="80"/>
        <v>0</v>
      </c>
    </row>
    <row r="573" spans="1:19" x14ac:dyDescent="0.3">
      <c r="A573" t="s">
        <v>195</v>
      </c>
      <c r="B573">
        <v>2010</v>
      </c>
      <c r="C573">
        <v>0.2183051314930026</v>
      </c>
      <c r="D573">
        <v>0.22005472969801662</v>
      </c>
      <c r="E573">
        <v>0.28845004023131637</v>
      </c>
      <c r="F573">
        <v>0</v>
      </c>
      <c r="G573">
        <v>1.185279435268298</v>
      </c>
      <c r="H573">
        <v>16.893315738480332</v>
      </c>
      <c r="I573">
        <v>1.1306337151134077E-2</v>
      </c>
      <c r="J573">
        <v>0.11188216464149772</v>
      </c>
      <c r="K573" s="1">
        <f t="shared" si="72"/>
        <v>0.2183051314930026</v>
      </c>
      <c r="L573" s="1">
        <f t="shared" si="73"/>
        <v>0.22005472969801662</v>
      </c>
      <c r="M573">
        <f t="shared" si="74"/>
        <v>0.28845004023131637</v>
      </c>
      <c r="N573">
        <f t="shared" si="75"/>
        <v>0</v>
      </c>
      <c r="O573">
        <f t="shared" si="76"/>
        <v>1.185279435268298</v>
      </c>
      <c r="P573">
        <f t="shared" si="77"/>
        <v>16.893315738480332</v>
      </c>
      <c r="Q573">
        <f t="shared" si="78"/>
        <v>1.1306337151134077E-2</v>
      </c>
      <c r="R573">
        <f t="shared" si="79"/>
        <v>0.11188216464149772</v>
      </c>
      <c r="S573">
        <f t="shared" si="80"/>
        <v>0</v>
      </c>
    </row>
    <row r="574" spans="1:19" x14ac:dyDescent="0.3">
      <c r="A574" t="s">
        <v>196</v>
      </c>
      <c r="B574">
        <v>2007</v>
      </c>
      <c r="C574">
        <v>8.2440534139946835E-3</v>
      </c>
      <c r="D574">
        <v>0.1215512518055977</v>
      </c>
      <c r="E574">
        <v>-7.9454222721324394E-2</v>
      </c>
      <c r="F574">
        <v>0.23642971640229848</v>
      </c>
      <c r="G574">
        <v>0.9790120069416457</v>
      </c>
      <c r="H574">
        <v>15.077786986792697</v>
      </c>
      <c r="I574">
        <v>1.43874990816183E-2</v>
      </c>
      <c r="J574">
        <v>1.5282488306066355E-2</v>
      </c>
      <c r="K574" s="1">
        <f t="shared" si="72"/>
        <v>8.2440534139946835E-3</v>
      </c>
      <c r="L574" s="1">
        <f t="shared" si="73"/>
        <v>0.1215512518055977</v>
      </c>
      <c r="M574">
        <f t="shared" si="74"/>
        <v>-7.9454222721324394E-2</v>
      </c>
      <c r="N574">
        <f t="shared" si="75"/>
        <v>0.23642971640229848</v>
      </c>
      <c r="O574">
        <f t="shared" si="76"/>
        <v>0.9790120069416457</v>
      </c>
      <c r="P574">
        <f t="shared" si="77"/>
        <v>15.077786986792697</v>
      </c>
      <c r="Q574">
        <f t="shared" si="78"/>
        <v>1.43874990816183E-2</v>
      </c>
      <c r="R574">
        <f t="shared" si="79"/>
        <v>1.5282488306066355E-2</v>
      </c>
      <c r="S574">
        <f t="shared" si="80"/>
        <v>0</v>
      </c>
    </row>
    <row r="575" spans="1:19" x14ac:dyDescent="0.3">
      <c r="A575" t="s">
        <v>196</v>
      </c>
      <c r="B575">
        <v>2008</v>
      </c>
      <c r="C575">
        <v>1.1704394640825847E-2</v>
      </c>
      <c r="D575">
        <v>7.8403602956362964E-2</v>
      </c>
      <c r="E575">
        <v>4.1398076318760343E-2</v>
      </c>
      <c r="F575">
        <v>9.894007610047921E-2</v>
      </c>
      <c r="G575">
        <v>0.93638093322917715</v>
      </c>
      <c r="H575">
        <v>15.065673291634436</v>
      </c>
      <c r="I575">
        <v>1.7045244328282735E-2</v>
      </c>
      <c r="J575">
        <v>1.5468741540531969E-2</v>
      </c>
      <c r="K575" s="1">
        <f t="shared" si="72"/>
        <v>1.1704394640825847E-2</v>
      </c>
      <c r="L575" s="1">
        <f t="shared" si="73"/>
        <v>7.8403602956362964E-2</v>
      </c>
      <c r="M575">
        <f t="shared" si="74"/>
        <v>4.1398076318760343E-2</v>
      </c>
      <c r="N575">
        <f t="shared" si="75"/>
        <v>9.894007610047921E-2</v>
      </c>
      <c r="O575">
        <f t="shared" si="76"/>
        <v>0.93638093322917715</v>
      </c>
      <c r="P575">
        <f t="shared" si="77"/>
        <v>15.065673291634436</v>
      </c>
      <c r="Q575">
        <f t="shared" si="78"/>
        <v>1.7045244328282735E-2</v>
      </c>
      <c r="R575">
        <f t="shared" si="79"/>
        <v>1.5468741540531969E-2</v>
      </c>
      <c r="S575">
        <f t="shared" si="80"/>
        <v>0</v>
      </c>
    </row>
    <row r="576" spans="1:19" x14ac:dyDescent="0.3">
      <c r="A576" t="s">
        <v>196</v>
      </c>
      <c r="B576">
        <v>2009</v>
      </c>
      <c r="C576">
        <v>6.7477376588401502E-3</v>
      </c>
      <c r="D576">
        <v>0.11937668365529029</v>
      </c>
      <c r="E576">
        <v>5.542802697566928E-2</v>
      </c>
      <c r="F576">
        <v>0.36807770467912587</v>
      </c>
      <c r="G576">
        <v>0.85054830780625168</v>
      </c>
      <c r="H576">
        <v>15.183221563174436</v>
      </c>
      <c r="I576">
        <v>1.2622779126098846E-2</v>
      </c>
      <c r="J576">
        <v>1.3753220864247306E-2</v>
      </c>
      <c r="K576" s="1">
        <f t="shared" si="72"/>
        <v>6.7477376588401502E-3</v>
      </c>
      <c r="L576" s="1">
        <f t="shared" si="73"/>
        <v>0.11937668365529029</v>
      </c>
      <c r="M576">
        <f t="shared" si="74"/>
        <v>5.542802697566928E-2</v>
      </c>
      <c r="N576">
        <f t="shared" si="75"/>
        <v>0.36807770467912587</v>
      </c>
      <c r="O576">
        <f t="shared" si="76"/>
        <v>0.85054830780625168</v>
      </c>
      <c r="P576">
        <f t="shared" si="77"/>
        <v>15.183221563174436</v>
      </c>
      <c r="Q576">
        <f t="shared" si="78"/>
        <v>1.2622779126098846E-2</v>
      </c>
      <c r="R576">
        <f t="shared" si="79"/>
        <v>1.3753220864247306E-2</v>
      </c>
      <c r="S576">
        <f t="shared" si="80"/>
        <v>0</v>
      </c>
    </row>
    <row r="577" spans="1:19" x14ac:dyDescent="0.3">
      <c r="A577" t="s">
        <v>196</v>
      </c>
      <c r="B577">
        <v>2010</v>
      </c>
      <c r="C577">
        <v>3.9683102121302631E-3</v>
      </c>
      <c r="D577">
        <v>9.1756382500883263E-2</v>
      </c>
      <c r="E577">
        <v>6.1443223837795866E-2</v>
      </c>
      <c r="F577">
        <v>0.34612200047777436</v>
      </c>
      <c r="G577">
        <v>0.88346751301960857</v>
      </c>
      <c r="H577">
        <v>15.171472765383452</v>
      </c>
      <c r="I577">
        <v>4.5133917267848635E-3</v>
      </c>
      <c r="J577">
        <v>4.6385858704035806E-3</v>
      </c>
      <c r="K577" s="1">
        <f t="shared" si="72"/>
        <v>3.9683102121302631E-3</v>
      </c>
      <c r="L577" s="1">
        <f t="shared" si="73"/>
        <v>9.1756382500883263E-2</v>
      </c>
      <c r="M577">
        <f t="shared" si="74"/>
        <v>6.1443223837795866E-2</v>
      </c>
      <c r="N577">
        <f t="shared" si="75"/>
        <v>0.34612200047777436</v>
      </c>
      <c r="O577">
        <f t="shared" si="76"/>
        <v>0.88346751301960857</v>
      </c>
      <c r="P577">
        <f t="shared" si="77"/>
        <v>15.171472765383452</v>
      </c>
      <c r="Q577">
        <f t="shared" si="78"/>
        <v>4.5133917267848635E-3</v>
      </c>
      <c r="R577">
        <f t="shared" si="79"/>
        <v>4.6385858704035806E-3</v>
      </c>
      <c r="S577">
        <f t="shared" si="80"/>
        <v>0</v>
      </c>
    </row>
    <row r="578" spans="1:19" x14ac:dyDescent="0.3">
      <c r="A578" t="s">
        <v>197</v>
      </c>
      <c r="B578">
        <v>2007</v>
      </c>
      <c r="C578">
        <v>4.2968750000000003E-3</v>
      </c>
      <c r="D578">
        <v>5.5037588443396228E-2</v>
      </c>
      <c r="E578">
        <v>0.15318027712264151</v>
      </c>
      <c r="F578">
        <v>0.22543853183962265</v>
      </c>
      <c r="G578">
        <v>1.2989464180424528</v>
      </c>
      <c r="H578">
        <v>12.511201631585676</v>
      </c>
      <c r="I578">
        <v>7.6259622084074215E-3</v>
      </c>
      <c r="J578">
        <v>0</v>
      </c>
      <c r="K578" s="1">
        <f t="shared" si="72"/>
        <v>4.2968750000000003E-3</v>
      </c>
      <c r="L578" s="1">
        <f t="shared" si="73"/>
        <v>5.5037588443396228E-2</v>
      </c>
      <c r="M578">
        <f t="shared" si="74"/>
        <v>0.15318027712264151</v>
      </c>
      <c r="N578">
        <f t="shared" si="75"/>
        <v>0.22543853183962265</v>
      </c>
      <c r="O578">
        <f t="shared" si="76"/>
        <v>1.2989464180424528</v>
      </c>
      <c r="P578">
        <f t="shared" si="77"/>
        <v>12.511201631585676</v>
      </c>
      <c r="Q578">
        <f t="shared" si="78"/>
        <v>7.6259622084074215E-3</v>
      </c>
      <c r="R578">
        <f t="shared" si="79"/>
        <v>0</v>
      </c>
      <c r="S578">
        <f t="shared" si="80"/>
        <v>0</v>
      </c>
    </row>
    <row r="579" spans="1:19" x14ac:dyDescent="0.3">
      <c r="A579" t="s">
        <v>197</v>
      </c>
      <c r="B579">
        <v>2009</v>
      </c>
      <c r="C579">
        <v>3.2405538116883964E-3</v>
      </c>
      <c r="D579">
        <v>0.10204618570665694</v>
      </c>
      <c r="E579">
        <v>0.17033486591036379</v>
      </c>
      <c r="F579">
        <v>0.22869088398869453</v>
      </c>
      <c r="G579">
        <v>0.92890448962579941</v>
      </c>
      <c r="H579">
        <v>12.858098307550357</v>
      </c>
      <c r="I579">
        <v>2.6053645099111039E-2</v>
      </c>
      <c r="J579">
        <v>2.3444521145655602E-2</v>
      </c>
      <c r="K579" s="1">
        <f t="shared" ref="K579:K642" si="81">IF(OR(C579&lt;$C$1007-3*$C$1008,C579&gt;$C$1007+3*$C$1008),"out",C579)</f>
        <v>3.2405538116883964E-3</v>
      </c>
      <c r="L579" s="1">
        <f t="shared" ref="L579:L642" si="82">IF(OR(D579&lt;$D$1007-3*$D$1008,D579&gt;$D$1007+3*$D$1008),"out",D579)</f>
        <v>0.10204618570665694</v>
      </c>
      <c r="M579">
        <f t="shared" ref="M579:M642" si="83">IF(OR(E579&lt;$E$1007-3*$E$1008,E579&gt;$E$1007+3*$E$1008),"out",E579)</f>
        <v>0.17033486591036379</v>
      </c>
      <c r="N579">
        <f t="shared" ref="N579:N642" si="84">IF(OR(F579&lt;$F$1007-3*$F$1008,F579&gt;$F$1007+3*$F$1008),"out",F579)</f>
        <v>0.22869088398869453</v>
      </c>
      <c r="O579">
        <f t="shared" ref="O579:O642" si="85">IF(OR(G579&lt;$G$1007-3*$G$1008,G579&gt;$G$1007+3*$G$1008),"out",G579)</f>
        <v>0.92890448962579941</v>
      </c>
      <c r="P579">
        <f t="shared" ref="P579:P642" si="86">IF(OR(H579&lt;$H$1007-3*$H$1008,H579&gt;$H$1007+3*$H$1008),"out",H579)</f>
        <v>12.858098307550357</v>
      </c>
      <c r="Q579">
        <f t="shared" ref="Q579:Q642" si="87">IF(OR(I579&lt;$I$1007-3*$I$1008,I579&gt;$I$1007+3*$I$1008),"out",I579)</f>
        <v>2.6053645099111039E-2</v>
      </c>
      <c r="R579">
        <f t="shared" ref="R579:R642" si="88">IF(OR(J579&lt;$J$1007-3*$J$1008,J579&gt;$J$1007+3*$J$1008),"out",J579)</f>
        <v>2.3444521145655602E-2</v>
      </c>
      <c r="S579">
        <f t="shared" ref="S579:S642" si="89">IF(OR(K579="out",L579="out",M579="out",N579="out",O579="out",P579="out",Q579="out",R579="out"),1,0)</f>
        <v>0</v>
      </c>
    </row>
    <row r="580" spans="1:19" x14ac:dyDescent="0.3">
      <c r="A580" t="s">
        <v>197</v>
      </c>
      <c r="B580">
        <v>2010</v>
      </c>
      <c r="C580">
        <v>3.0911224604240582E-3</v>
      </c>
      <c r="D580">
        <v>2.9294540202372779E-2</v>
      </c>
      <c r="E580">
        <v>9.9345393270106663E-2</v>
      </c>
      <c r="F580">
        <v>0.22473007388603333</v>
      </c>
      <c r="G580">
        <v>0.71979965149645886</v>
      </c>
      <c r="H580">
        <v>12.809193909939617</v>
      </c>
      <c r="I580">
        <v>3.9342197902278615E-4</v>
      </c>
      <c r="J580">
        <v>0</v>
      </c>
      <c r="K580" s="1">
        <f t="shared" si="81"/>
        <v>3.0911224604240582E-3</v>
      </c>
      <c r="L580" s="1">
        <f t="shared" si="82"/>
        <v>2.9294540202372779E-2</v>
      </c>
      <c r="M580">
        <f t="shared" si="83"/>
        <v>9.9345393270106663E-2</v>
      </c>
      <c r="N580">
        <f t="shared" si="84"/>
        <v>0.22473007388603333</v>
      </c>
      <c r="O580">
        <f t="shared" si="85"/>
        <v>0.71979965149645886</v>
      </c>
      <c r="P580">
        <f t="shared" si="86"/>
        <v>12.809193909939617</v>
      </c>
      <c r="Q580">
        <f t="shared" si="87"/>
        <v>3.9342197902278615E-4</v>
      </c>
      <c r="R580">
        <f t="shared" si="88"/>
        <v>0</v>
      </c>
      <c r="S580">
        <f t="shared" si="89"/>
        <v>0</v>
      </c>
    </row>
    <row r="581" spans="1:19" x14ac:dyDescent="0.3">
      <c r="A581" t="s">
        <v>198</v>
      </c>
      <c r="B581">
        <v>2010</v>
      </c>
      <c r="C581">
        <v>0.30361734496049525</v>
      </c>
      <c r="D581">
        <v>0.349514903937513</v>
      </c>
      <c r="E581">
        <v>0.25669812180839785</v>
      </c>
      <c r="F581">
        <v>0.15103301087327836</v>
      </c>
      <c r="G581">
        <v>0.70855145612298809</v>
      </c>
      <c r="H581">
        <v>16.940511871962141</v>
      </c>
      <c r="I581">
        <v>2.2627747576986709E-2</v>
      </c>
      <c r="J581">
        <v>3.326478448413165E-2</v>
      </c>
      <c r="K581" s="1">
        <f t="shared" si="81"/>
        <v>0.30361734496049525</v>
      </c>
      <c r="L581" s="1">
        <f t="shared" si="82"/>
        <v>0.349514903937513</v>
      </c>
      <c r="M581">
        <f t="shared" si="83"/>
        <v>0.25669812180839785</v>
      </c>
      <c r="N581">
        <f t="shared" si="84"/>
        <v>0.15103301087327836</v>
      </c>
      <c r="O581">
        <f t="shared" si="85"/>
        <v>0.70855145612298809</v>
      </c>
      <c r="P581">
        <f t="shared" si="86"/>
        <v>16.940511871962141</v>
      </c>
      <c r="Q581">
        <f t="shared" si="87"/>
        <v>2.2627747576986709E-2</v>
      </c>
      <c r="R581">
        <f t="shared" si="88"/>
        <v>3.326478448413165E-2</v>
      </c>
      <c r="S581">
        <f t="shared" si="89"/>
        <v>0</v>
      </c>
    </row>
    <row r="582" spans="1:19" x14ac:dyDescent="0.3">
      <c r="A582" t="s">
        <v>199</v>
      </c>
      <c r="B582">
        <v>2007</v>
      </c>
      <c r="C582">
        <v>1.2222967423003595E-2</v>
      </c>
      <c r="D582">
        <v>0.13867265506665361</v>
      </c>
      <c r="E582">
        <v>-0.42758909126532579</v>
      </c>
      <c r="F582">
        <v>0.14842390034739752</v>
      </c>
      <c r="G582">
        <v>1.4942296968372506</v>
      </c>
      <c r="H582">
        <v>12.489000936646876</v>
      </c>
      <c r="I582">
        <v>7.2314796327705572E-4</v>
      </c>
      <c r="J582">
        <v>0</v>
      </c>
      <c r="K582" s="1">
        <f t="shared" si="81"/>
        <v>1.2222967423003595E-2</v>
      </c>
      <c r="L582" s="1">
        <f t="shared" si="82"/>
        <v>0.13867265506665361</v>
      </c>
      <c r="M582">
        <f t="shared" si="83"/>
        <v>-0.42758909126532579</v>
      </c>
      <c r="N582">
        <f t="shared" si="84"/>
        <v>0.14842390034739752</v>
      </c>
      <c r="O582">
        <f t="shared" si="85"/>
        <v>1.4942296968372506</v>
      </c>
      <c r="P582">
        <f t="shared" si="86"/>
        <v>12.489000936646876</v>
      </c>
      <c r="Q582">
        <f t="shared" si="87"/>
        <v>7.2314796327705572E-4</v>
      </c>
      <c r="R582">
        <f t="shared" si="88"/>
        <v>0</v>
      </c>
      <c r="S582">
        <f t="shared" si="89"/>
        <v>0</v>
      </c>
    </row>
    <row r="583" spans="1:19" x14ac:dyDescent="0.3">
      <c r="A583" t="s">
        <v>199</v>
      </c>
      <c r="B583">
        <v>2008</v>
      </c>
      <c r="C583">
        <v>6.378330481544855E-3</v>
      </c>
      <c r="D583">
        <v>0.14415026888291371</v>
      </c>
      <c r="E583">
        <v>-0.39105276827181618</v>
      </c>
      <c r="F583">
        <v>0.1491001588853581</v>
      </c>
      <c r="G583">
        <v>1.6863842886824738</v>
      </c>
      <c r="H583">
        <v>12.47542780128907</v>
      </c>
      <c r="I583">
        <v>3.3674681501473236E-3</v>
      </c>
      <c r="J583">
        <v>0</v>
      </c>
      <c r="K583" s="1">
        <f t="shared" si="81"/>
        <v>6.378330481544855E-3</v>
      </c>
      <c r="L583" s="1">
        <f t="shared" si="82"/>
        <v>0.14415026888291371</v>
      </c>
      <c r="M583">
        <f t="shared" si="83"/>
        <v>-0.39105276827181618</v>
      </c>
      <c r="N583">
        <f t="shared" si="84"/>
        <v>0.1491001588853581</v>
      </c>
      <c r="O583">
        <f t="shared" si="85"/>
        <v>1.6863842886824738</v>
      </c>
      <c r="P583">
        <f t="shared" si="86"/>
        <v>12.47542780128907</v>
      </c>
      <c r="Q583">
        <f t="shared" si="87"/>
        <v>3.3674681501473236E-3</v>
      </c>
      <c r="R583">
        <f t="shared" si="88"/>
        <v>0</v>
      </c>
      <c r="S583">
        <f t="shared" si="89"/>
        <v>0</v>
      </c>
    </row>
    <row r="584" spans="1:19" x14ac:dyDescent="0.3">
      <c r="A584" t="s">
        <v>199</v>
      </c>
      <c r="B584">
        <v>2009</v>
      </c>
      <c r="C584">
        <v>4.1380844990863688E-3</v>
      </c>
      <c r="D584">
        <v>0.14340367078478108</v>
      </c>
      <c r="E584">
        <v>-0.54884608636486176</v>
      </c>
      <c r="F584">
        <v>0.99315311768506909</v>
      </c>
      <c r="G584">
        <v>1.8329818172481525</v>
      </c>
      <c r="H584">
        <v>12.36172077504837</v>
      </c>
      <c r="I584">
        <v>3.9639361130339654E-3</v>
      </c>
      <c r="J584">
        <v>0</v>
      </c>
      <c r="K584" s="1">
        <f t="shared" si="81"/>
        <v>4.1380844990863688E-3</v>
      </c>
      <c r="L584" s="1">
        <f t="shared" si="82"/>
        <v>0.14340367078478108</v>
      </c>
      <c r="M584">
        <f t="shared" si="83"/>
        <v>-0.54884608636486176</v>
      </c>
      <c r="N584">
        <f t="shared" si="84"/>
        <v>0.99315311768506909</v>
      </c>
      <c r="O584">
        <f t="shared" si="85"/>
        <v>1.8329818172481525</v>
      </c>
      <c r="P584">
        <f t="shared" si="86"/>
        <v>12.36172077504837</v>
      </c>
      <c r="Q584">
        <f t="shared" si="87"/>
        <v>3.9639361130339654E-3</v>
      </c>
      <c r="R584">
        <f t="shared" si="88"/>
        <v>0</v>
      </c>
      <c r="S584">
        <f t="shared" si="89"/>
        <v>0</v>
      </c>
    </row>
    <row r="585" spans="1:19" x14ac:dyDescent="0.3">
      <c r="A585" t="s">
        <v>199</v>
      </c>
      <c r="B585">
        <v>2010</v>
      </c>
      <c r="C585">
        <v>5.5050020303444198E-3</v>
      </c>
      <c r="D585">
        <v>0.12716416257521504</v>
      </c>
      <c r="E585">
        <v>-0.61843829598730116</v>
      </c>
      <c r="F585">
        <v>1.0345158551441545</v>
      </c>
      <c r="G585">
        <v>1.979073332348924</v>
      </c>
      <c r="H585">
        <v>12.286324562087236</v>
      </c>
      <c r="I585">
        <v>4.3657744707918139E-2</v>
      </c>
      <c r="J585">
        <v>0</v>
      </c>
      <c r="K585" s="1">
        <f t="shared" si="81"/>
        <v>5.5050020303444198E-3</v>
      </c>
      <c r="L585" s="1">
        <f t="shared" si="82"/>
        <v>0.12716416257521504</v>
      </c>
      <c r="M585">
        <f t="shared" si="83"/>
        <v>-0.61843829598730116</v>
      </c>
      <c r="N585">
        <f t="shared" si="84"/>
        <v>1.0345158551441545</v>
      </c>
      <c r="O585">
        <f t="shared" si="85"/>
        <v>1.979073332348924</v>
      </c>
      <c r="P585">
        <f t="shared" si="86"/>
        <v>12.286324562087236</v>
      </c>
      <c r="Q585">
        <f t="shared" si="87"/>
        <v>4.3657744707918139E-2</v>
      </c>
      <c r="R585">
        <f t="shared" si="88"/>
        <v>0</v>
      </c>
      <c r="S585">
        <f t="shared" si="89"/>
        <v>0</v>
      </c>
    </row>
    <row r="586" spans="1:19" x14ac:dyDescent="0.3">
      <c r="A586" t="s">
        <v>200</v>
      </c>
      <c r="B586">
        <v>2007</v>
      </c>
      <c r="C586">
        <v>8.1980516526745192E-2</v>
      </c>
      <c r="D586">
        <v>9.2015803180772224E-2</v>
      </c>
      <c r="E586">
        <v>-0.48967116331934724</v>
      </c>
      <c r="F586">
        <v>5.9646454170411853E-2</v>
      </c>
      <c r="G586">
        <v>1.4301407948412828</v>
      </c>
      <c r="H586">
        <v>14.315547391468227</v>
      </c>
      <c r="I586">
        <v>1.5045296525666271E-2</v>
      </c>
      <c r="J586">
        <v>0</v>
      </c>
      <c r="K586" s="1">
        <f t="shared" si="81"/>
        <v>8.1980516526745192E-2</v>
      </c>
      <c r="L586" s="1">
        <f t="shared" si="82"/>
        <v>9.2015803180772224E-2</v>
      </c>
      <c r="M586">
        <f t="shared" si="83"/>
        <v>-0.48967116331934724</v>
      </c>
      <c r="N586">
        <f t="shared" si="84"/>
        <v>5.9646454170411853E-2</v>
      </c>
      <c r="O586">
        <f t="shared" si="85"/>
        <v>1.4301407948412828</v>
      </c>
      <c r="P586">
        <f t="shared" si="86"/>
        <v>14.315547391468227</v>
      </c>
      <c r="Q586">
        <f t="shared" si="87"/>
        <v>1.5045296525666271E-2</v>
      </c>
      <c r="R586">
        <f t="shared" si="88"/>
        <v>0</v>
      </c>
      <c r="S586">
        <f t="shared" si="89"/>
        <v>0</v>
      </c>
    </row>
    <row r="587" spans="1:19" x14ac:dyDescent="0.3">
      <c r="A587" t="s">
        <v>200</v>
      </c>
      <c r="B587">
        <v>2008</v>
      </c>
      <c r="C587">
        <v>2.9334968864056555E-2</v>
      </c>
      <c r="D587">
        <v>5.3892155420324897E-2</v>
      </c>
      <c r="E587">
        <v>-0.47692560403257589</v>
      </c>
      <c r="F587">
        <v>4.1641628511176622E-2</v>
      </c>
      <c r="G587">
        <v>1.0379098827298474</v>
      </c>
      <c r="H587">
        <v>14.341668242684241</v>
      </c>
      <c r="I587">
        <v>2.3737037850700426E-2</v>
      </c>
      <c r="J587">
        <v>0</v>
      </c>
      <c r="K587" s="1">
        <f t="shared" si="81"/>
        <v>2.9334968864056555E-2</v>
      </c>
      <c r="L587" s="1">
        <f t="shared" si="82"/>
        <v>5.3892155420324897E-2</v>
      </c>
      <c r="M587">
        <f t="shared" si="83"/>
        <v>-0.47692560403257589</v>
      </c>
      <c r="N587">
        <f t="shared" si="84"/>
        <v>4.1641628511176622E-2</v>
      </c>
      <c r="O587">
        <f t="shared" si="85"/>
        <v>1.0379098827298474</v>
      </c>
      <c r="P587">
        <f t="shared" si="86"/>
        <v>14.341668242684241</v>
      </c>
      <c r="Q587">
        <f t="shared" si="87"/>
        <v>2.3737037850700426E-2</v>
      </c>
      <c r="R587">
        <f t="shared" si="88"/>
        <v>0</v>
      </c>
      <c r="S587">
        <f t="shared" si="89"/>
        <v>0</v>
      </c>
    </row>
    <row r="588" spans="1:19" x14ac:dyDescent="0.3">
      <c r="A588" t="s">
        <v>200</v>
      </c>
      <c r="B588">
        <v>2009</v>
      </c>
      <c r="C588">
        <v>1.6253346804145381E-3</v>
      </c>
      <c r="D588">
        <v>0.12693314512411538</v>
      </c>
      <c r="E588">
        <v>3.7240585359329136E-2</v>
      </c>
      <c r="F588">
        <v>0.83680732200734209</v>
      </c>
      <c r="G588">
        <v>1.0490530902854904</v>
      </c>
      <c r="H588">
        <v>14.331163710439938</v>
      </c>
      <c r="I588">
        <v>2.592340681154599E-2</v>
      </c>
      <c r="J588">
        <v>0</v>
      </c>
      <c r="K588" s="1">
        <f t="shared" si="81"/>
        <v>1.6253346804145381E-3</v>
      </c>
      <c r="L588" s="1">
        <f t="shared" si="82"/>
        <v>0.12693314512411538</v>
      </c>
      <c r="M588">
        <f t="shared" si="83"/>
        <v>3.7240585359329136E-2</v>
      </c>
      <c r="N588">
        <f t="shared" si="84"/>
        <v>0.83680732200734209</v>
      </c>
      <c r="O588">
        <f t="shared" si="85"/>
        <v>1.0490530902854904</v>
      </c>
      <c r="P588">
        <f t="shared" si="86"/>
        <v>14.331163710439938</v>
      </c>
      <c r="Q588">
        <f t="shared" si="87"/>
        <v>2.592340681154599E-2</v>
      </c>
      <c r="R588">
        <f t="shared" si="88"/>
        <v>0</v>
      </c>
      <c r="S588">
        <f t="shared" si="89"/>
        <v>0</v>
      </c>
    </row>
    <row r="589" spans="1:19" x14ac:dyDescent="0.3">
      <c r="A589" t="s">
        <v>200</v>
      </c>
      <c r="B589">
        <v>2010</v>
      </c>
      <c r="C589">
        <v>2.2966529764433742E-3</v>
      </c>
      <c r="D589">
        <v>4.789748855214087E-2</v>
      </c>
      <c r="E589">
        <v>2.513985271208044E-2</v>
      </c>
      <c r="F589">
        <v>0.79798954350186468</v>
      </c>
      <c r="G589">
        <v>1.1897169900391824</v>
      </c>
      <c r="H589">
        <v>14.342980886858339</v>
      </c>
      <c r="I589">
        <v>0.15449390257697682</v>
      </c>
      <c r="J589">
        <v>0</v>
      </c>
      <c r="K589" s="1">
        <f t="shared" si="81"/>
        <v>2.2966529764433742E-3</v>
      </c>
      <c r="L589" s="1">
        <f t="shared" si="82"/>
        <v>4.789748855214087E-2</v>
      </c>
      <c r="M589">
        <f t="shared" si="83"/>
        <v>2.513985271208044E-2</v>
      </c>
      <c r="N589">
        <f t="shared" si="84"/>
        <v>0.79798954350186468</v>
      </c>
      <c r="O589">
        <f t="shared" si="85"/>
        <v>1.1897169900391824</v>
      </c>
      <c r="P589">
        <f t="shared" si="86"/>
        <v>14.342980886858339</v>
      </c>
      <c r="Q589">
        <f t="shared" si="87"/>
        <v>0.15449390257697682</v>
      </c>
      <c r="R589">
        <f t="shared" si="88"/>
        <v>0</v>
      </c>
      <c r="S589">
        <f t="shared" si="89"/>
        <v>0</v>
      </c>
    </row>
    <row r="590" spans="1:19" x14ac:dyDescent="0.3">
      <c r="A590" t="s">
        <v>201</v>
      </c>
      <c r="B590">
        <v>2007</v>
      </c>
      <c r="C590">
        <v>6.0770856950274213E-3</v>
      </c>
      <c r="D590">
        <v>0.19572290817733387</v>
      </c>
      <c r="E590">
        <v>4.5413462422255586E-2</v>
      </c>
      <c r="F590">
        <v>8.6373663408805423E-2</v>
      </c>
      <c r="G590">
        <v>1.6785555623640429</v>
      </c>
      <c r="H590">
        <v>13.388995444907803</v>
      </c>
      <c r="I590">
        <v>9.1093829096716011E-3</v>
      </c>
      <c r="J590">
        <v>3.8297741965133733E-2</v>
      </c>
      <c r="K590" s="1">
        <f t="shared" si="81"/>
        <v>6.0770856950274213E-3</v>
      </c>
      <c r="L590" s="1">
        <f t="shared" si="82"/>
        <v>0.19572290817733387</v>
      </c>
      <c r="M590">
        <f t="shared" si="83"/>
        <v>4.5413462422255586E-2</v>
      </c>
      <c r="N590">
        <f t="shared" si="84"/>
        <v>8.6373663408805423E-2</v>
      </c>
      <c r="O590">
        <f t="shared" si="85"/>
        <v>1.6785555623640429</v>
      </c>
      <c r="P590">
        <f t="shared" si="86"/>
        <v>13.388995444907803</v>
      </c>
      <c r="Q590">
        <f t="shared" si="87"/>
        <v>9.1093829096716011E-3</v>
      </c>
      <c r="R590">
        <f t="shared" si="88"/>
        <v>3.8297741965133733E-2</v>
      </c>
      <c r="S590">
        <f t="shared" si="89"/>
        <v>0</v>
      </c>
    </row>
    <row r="591" spans="1:19" x14ac:dyDescent="0.3">
      <c r="A591" t="s">
        <v>201</v>
      </c>
      <c r="B591">
        <v>2009</v>
      </c>
      <c r="C591">
        <v>3.2806780396838708E-3</v>
      </c>
      <c r="D591">
        <v>0.11522579944943809</v>
      </c>
      <c r="E591">
        <v>6.1190812128148711E-2</v>
      </c>
      <c r="F591">
        <v>0.18560497676391946</v>
      </c>
      <c r="G591">
        <v>1.0595649894919636</v>
      </c>
      <c r="H591">
        <v>13.605786560309529</v>
      </c>
      <c r="I591">
        <v>2.8581377691757101E-2</v>
      </c>
      <c r="J591">
        <v>1.8500064133555663E-2</v>
      </c>
      <c r="K591" s="1">
        <f t="shared" si="81"/>
        <v>3.2806780396838708E-3</v>
      </c>
      <c r="L591" s="1">
        <f t="shared" si="82"/>
        <v>0.11522579944943809</v>
      </c>
      <c r="M591">
        <f t="shared" si="83"/>
        <v>6.1190812128148711E-2</v>
      </c>
      <c r="N591">
        <f t="shared" si="84"/>
        <v>0.18560497676391946</v>
      </c>
      <c r="O591">
        <f t="shared" si="85"/>
        <v>1.0595649894919636</v>
      </c>
      <c r="P591">
        <f t="shared" si="86"/>
        <v>13.605786560309529</v>
      </c>
      <c r="Q591">
        <f t="shared" si="87"/>
        <v>2.8581377691757101E-2</v>
      </c>
      <c r="R591">
        <f t="shared" si="88"/>
        <v>1.8500064133555663E-2</v>
      </c>
      <c r="S591">
        <f t="shared" si="89"/>
        <v>0</v>
      </c>
    </row>
    <row r="592" spans="1:19" x14ac:dyDescent="0.3">
      <c r="A592" t="s">
        <v>201</v>
      </c>
      <c r="B592">
        <v>2010</v>
      </c>
      <c r="C592">
        <v>4.2021258693140098E-3</v>
      </c>
      <c r="D592">
        <v>0.20155868827854947</v>
      </c>
      <c r="E592">
        <v>0.13852555368711303</v>
      </c>
      <c r="F592">
        <v>0.16517682959513247</v>
      </c>
      <c r="G592">
        <v>0.91683256192557339</v>
      </c>
      <c r="H592">
        <v>13.595129437621836</v>
      </c>
      <c r="I592">
        <v>1.3628243696945612E-2</v>
      </c>
      <c r="J592">
        <v>0</v>
      </c>
      <c r="K592" s="1">
        <f t="shared" si="81"/>
        <v>4.2021258693140098E-3</v>
      </c>
      <c r="L592" s="1">
        <f t="shared" si="82"/>
        <v>0.20155868827854947</v>
      </c>
      <c r="M592">
        <f t="shared" si="83"/>
        <v>0.13852555368711303</v>
      </c>
      <c r="N592">
        <f t="shared" si="84"/>
        <v>0.16517682959513247</v>
      </c>
      <c r="O592">
        <f t="shared" si="85"/>
        <v>0.91683256192557339</v>
      </c>
      <c r="P592">
        <f t="shared" si="86"/>
        <v>13.595129437621836</v>
      </c>
      <c r="Q592">
        <f t="shared" si="87"/>
        <v>1.3628243696945612E-2</v>
      </c>
      <c r="R592">
        <f t="shared" si="88"/>
        <v>0</v>
      </c>
      <c r="S592">
        <f t="shared" si="89"/>
        <v>0</v>
      </c>
    </row>
    <row r="593" spans="1:19" x14ac:dyDescent="0.3">
      <c r="A593" t="s">
        <v>202</v>
      </c>
      <c r="B593">
        <v>2007</v>
      </c>
      <c r="C593">
        <v>5.597455570286973E-2</v>
      </c>
      <c r="D593">
        <v>8.7174973012526538E-2</v>
      </c>
      <c r="E593">
        <v>0.40030211480362538</v>
      </c>
      <c r="F593">
        <v>0.33471712056336805</v>
      </c>
      <c r="G593">
        <v>1.3391619031059141</v>
      </c>
      <c r="H593">
        <v>12.528351777735809</v>
      </c>
      <c r="I593">
        <v>2.1674596442264452E-2</v>
      </c>
      <c r="J593">
        <v>2.5650778470878887E-2</v>
      </c>
      <c r="K593" s="1">
        <f t="shared" si="81"/>
        <v>5.597455570286973E-2</v>
      </c>
      <c r="L593" s="1">
        <f t="shared" si="82"/>
        <v>8.7174973012526538E-2</v>
      </c>
      <c r="M593">
        <f t="shared" si="83"/>
        <v>0.40030211480362538</v>
      </c>
      <c r="N593">
        <f t="shared" si="84"/>
        <v>0.33471712056336805</v>
      </c>
      <c r="O593">
        <f t="shared" si="85"/>
        <v>1.3391619031059141</v>
      </c>
      <c r="P593">
        <f t="shared" si="86"/>
        <v>12.528351777735809</v>
      </c>
      <c r="Q593">
        <f t="shared" si="87"/>
        <v>2.1674596442264452E-2</v>
      </c>
      <c r="R593">
        <f t="shared" si="88"/>
        <v>2.5650778470878887E-2</v>
      </c>
      <c r="S593">
        <f t="shared" si="89"/>
        <v>0</v>
      </c>
    </row>
    <row r="594" spans="1:19" x14ac:dyDescent="0.3">
      <c r="A594" t="s">
        <v>202</v>
      </c>
      <c r="B594">
        <v>2008</v>
      </c>
      <c r="C594">
        <v>8.4610740876646814E-2</v>
      </c>
      <c r="D594">
        <v>0.13163610752713628</v>
      </c>
      <c r="E594">
        <v>0.42324013683550149</v>
      </c>
      <c r="F594">
        <v>0.35510943289023567</v>
      </c>
      <c r="G594">
        <v>0.86735644701175407</v>
      </c>
      <c r="H594">
        <v>12.730576297111133</v>
      </c>
      <c r="I594">
        <v>3.5233574151255526E-2</v>
      </c>
      <c r="J594">
        <v>0</v>
      </c>
      <c r="K594" s="1">
        <f t="shared" si="81"/>
        <v>8.4610740876646814E-2</v>
      </c>
      <c r="L594" s="1">
        <f t="shared" si="82"/>
        <v>0.13163610752713628</v>
      </c>
      <c r="M594">
        <f t="shared" si="83"/>
        <v>0.42324013683550149</v>
      </c>
      <c r="N594">
        <f t="shared" si="84"/>
        <v>0.35510943289023567</v>
      </c>
      <c r="O594">
        <f t="shared" si="85"/>
        <v>0.86735644701175407</v>
      </c>
      <c r="P594">
        <f t="shared" si="86"/>
        <v>12.730576297111133</v>
      </c>
      <c r="Q594">
        <f t="shared" si="87"/>
        <v>3.5233574151255526E-2</v>
      </c>
      <c r="R594">
        <f t="shared" si="88"/>
        <v>0</v>
      </c>
      <c r="S594">
        <f t="shared" si="89"/>
        <v>0</v>
      </c>
    </row>
    <row r="595" spans="1:19" x14ac:dyDescent="0.3">
      <c r="A595" t="s">
        <v>202</v>
      </c>
      <c r="B595">
        <v>2009</v>
      </c>
      <c r="C595">
        <v>2.2900880955472467E-2</v>
      </c>
      <c r="D595">
        <v>3.6677501634048058E-2</v>
      </c>
      <c r="E595">
        <v>0.27538496411696484</v>
      </c>
      <c r="F595">
        <v>0.50718651035557327</v>
      </c>
      <c r="G595">
        <v>0.90404561689990826</v>
      </c>
      <c r="H595">
        <v>13.026717741340844</v>
      </c>
      <c r="I595">
        <v>2.5516386624341584E-2</v>
      </c>
      <c r="J595">
        <v>9.3509363040363731E-3</v>
      </c>
      <c r="K595" s="1">
        <f t="shared" si="81"/>
        <v>2.2900880955472467E-2</v>
      </c>
      <c r="L595" s="1">
        <f t="shared" si="82"/>
        <v>3.6677501634048058E-2</v>
      </c>
      <c r="M595">
        <f t="shared" si="83"/>
        <v>0.27538496411696484</v>
      </c>
      <c r="N595">
        <f t="shared" si="84"/>
        <v>0.50718651035557327</v>
      </c>
      <c r="O595">
        <f t="shared" si="85"/>
        <v>0.90404561689990826</v>
      </c>
      <c r="P595">
        <f t="shared" si="86"/>
        <v>13.026717741340844</v>
      </c>
      <c r="Q595">
        <f t="shared" si="87"/>
        <v>2.5516386624341584E-2</v>
      </c>
      <c r="R595">
        <f t="shared" si="88"/>
        <v>9.3509363040363731E-3</v>
      </c>
      <c r="S595">
        <f t="shared" si="89"/>
        <v>0</v>
      </c>
    </row>
    <row r="596" spans="1:19" x14ac:dyDescent="0.3">
      <c r="A596" t="s">
        <v>202</v>
      </c>
      <c r="B596">
        <v>2010</v>
      </c>
      <c r="C596">
        <v>4.5081400465145513E-2</v>
      </c>
      <c r="D596">
        <v>0.15525803004588598</v>
      </c>
      <c r="E596">
        <v>0.22167955245458545</v>
      </c>
      <c r="F596">
        <v>0.51857439185366772</v>
      </c>
      <c r="G596">
        <v>0.91345590546231703</v>
      </c>
      <c r="H596">
        <v>12.670372539359231</v>
      </c>
      <c r="I596">
        <v>9.1293950657167083E-2</v>
      </c>
      <c r="J596">
        <v>0</v>
      </c>
      <c r="K596" s="1">
        <f t="shared" si="81"/>
        <v>4.5081400465145513E-2</v>
      </c>
      <c r="L596" s="1">
        <f t="shared" si="82"/>
        <v>0.15525803004588598</v>
      </c>
      <c r="M596">
        <f t="shared" si="83"/>
        <v>0.22167955245458545</v>
      </c>
      <c r="N596">
        <f t="shared" si="84"/>
        <v>0.51857439185366772</v>
      </c>
      <c r="O596">
        <f t="shared" si="85"/>
        <v>0.91345590546231703</v>
      </c>
      <c r="P596">
        <f t="shared" si="86"/>
        <v>12.670372539359231</v>
      </c>
      <c r="Q596">
        <f t="shared" si="87"/>
        <v>9.1293950657167083E-2</v>
      </c>
      <c r="R596">
        <f t="shared" si="88"/>
        <v>0</v>
      </c>
      <c r="S596">
        <f t="shared" si="89"/>
        <v>0</v>
      </c>
    </row>
    <row r="597" spans="1:19" x14ac:dyDescent="0.3">
      <c r="A597" t="s">
        <v>203</v>
      </c>
      <c r="B597">
        <v>2007</v>
      </c>
      <c r="C597">
        <v>4.4699590688052982E-4</v>
      </c>
      <c r="D597">
        <v>4.5509394931908288E-2</v>
      </c>
      <c r="E597">
        <v>-0.61607862317242812</v>
      </c>
      <c r="F597">
        <v>0.10224179471863311</v>
      </c>
      <c r="G597">
        <v>0.84465809824288507</v>
      </c>
      <c r="H597">
        <v>13.120132891719573</v>
      </c>
      <c r="I597">
        <v>3.882002924495391E-2</v>
      </c>
      <c r="J597">
        <v>0</v>
      </c>
      <c r="K597" s="1">
        <f t="shared" si="81"/>
        <v>4.4699590688052982E-4</v>
      </c>
      <c r="L597" s="1">
        <f t="shared" si="82"/>
        <v>4.5509394931908288E-2</v>
      </c>
      <c r="M597">
        <f t="shared" si="83"/>
        <v>-0.61607862317242812</v>
      </c>
      <c r="N597">
        <f t="shared" si="84"/>
        <v>0.10224179471863311</v>
      </c>
      <c r="O597">
        <f t="shared" si="85"/>
        <v>0.84465809824288507</v>
      </c>
      <c r="P597">
        <f t="shared" si="86"/>
        <v>13.120132891719573</v>
      </c>
      <c r="Q597">
        <f t="shared" si="87"/>
        <v>3.882002924495391E-2</v>
      </c>
      <c r="R597">
        <f t="shared" si="88"/>
        <v>0</v>
      </c>
      <c r="S597">
        <f t="shared" si="89"/>
        <v>0</v>
      </c>
    </row>
    <row r="598" spans="1:19" x14ac:dyDescent="0.3">
      <c r="A598" t="s">
        <v>203</v>
      </c>
      <c r="B598">
        <v>2009</v>
      </c>
      <c r="C598">
        <v>2.3920334884688387E-4</v>
      </c>
      <c r="D598">
        <v>0.11810405345674839</v>
      </c>
      <c r="E598">
        <v>-1.244372221211097</v>
      </c>
      <c r="F598">
        <v>0.24955669379371312</v>
      </c>
      <c r="G598">
        <v>0.9182496554951769</v>
      </c>
      <c r="H598">
        <v>12.166837932278892</v>
      </c>
      <c r="I598">
        <v>2.3499054466616185E-2</v>
      </c>
      <c r="J598">
        <v>0</v>
      </c>
      <c r="K598" s="1">
        <f t="shared" si="81"/>
        <v>2.3920334884688387E-4</v>
      </c>
      <c r="L598" s="1">
        <f t="shared" si="82"/>
        <v>0.11810405345674839</v>
      </c>
      <c r="M598">
        <f t="shared" si="83"/>
        <v>-1.244372221211097</v>
      </c>
      <c r="N598">
        <f t="shared" si="84"/>
        <v>0.24955669379371312</v>
      </c>
      <c r="O598">
        <f t="shared" si="85"/>
        <v>0.9182496554951769</v>
      </c>
      <c r="P598">
        <f t="shared" si="86"/>
        <v>12.166837932278892</v>
      </c>
      <c r="Q598">
        <f t="shared" si="87"/>
        <v>2.3499054466616185E-2</v>
      </c>
      <c r="R598">
        <f t="shared" si="88"/>
        <v>0</v>
      </c>
      <c r="S598">
        <f t="shared" si="89"/>
        <v>0</v>
      </c>
    </row>
    <row r="599" spans="1:19" x14ac:dyDescent="0.3">
      <c r="A599" t="s">
        <v>203</v>
      </c>
      <c r="B599">
        <v>2010</v>
      </c>
      <c r="C599">
        <v>1.2476295039425091E-3</v>
      </c>
      <c r="D599">
        <v>0.13431147486442427</v>
      </c>
      <c r="E599">
        <v>-1.3704572423506449</v>
      </c>
      <c r="F599">
        <v>9.8435195351055216E-2</v>
      </c>
      <c r="G599">
        <v>1.3050925463840926</v>
      </c>
      <c r="H599">
        <v>12.102610327155428</v>
      </c>
      <c r="I599">
        <v>4.3619319622826905E-3</v>
      </c>
      <c r="J599">
        <v>0</v>
      </c>
      <c r="K599" s="1">
        <f t="shared" si="81"/>
        <v>1.2476295039425091E-3</v>
      </c>
      <c r="L599" s="1">
        <f t="shared" si="82"/>
        <v>0.13431147486442427</v>
      </c>
      <c r="M599">
        <f t="shared" si="83"/>
        <v>-1.3704572423506449</v>
      </c>
      <c r="N599">
        <f t="shared" si="84"/>
        <v>9.8435195351055216E-2</v>
      </c>
      <c r="O599">
        <f t="shared" si="85"/>
        <v>1.3050925463840926</v>
      </c>
      <c r="P599">
        <f t="shared" si="86"/>
        <v>12.102610327155428</v>
      </c>
      <c r="Q599">
        <f t="shared" si="87"/>
        <v>4.3619319622826905E-3</v>
      </c>
      <c r="R599">
        <f t="shared" si="88"/>
        <v>0</v>
      </c>
      <c r="S599">
        <f t="shared" si="89"/>
        <v>0</v>
      </c>
    </row>
    <row r="600" spans="1:19" x14ac:dyDescent="0.3">
      <c r="A600" t="s">
        <v>204</v>
      </c>
      <c r="B600">
        <v>2007</v>
      </c>
      <c r="C600">
        <v>8.6571421628770049E-4</v>
      </c>
      <c r="D600">
        <v>9.1198997715453492E-2</v>
      </c>
      <c r="E600">
        <v>0.13266431993041339</v>
      </c>
      <c r="F600">
        <v>0.22330031510844287</v>
      </c>
      <c r="G600">
        <v>1.6373913584258664</v>
      </c>
      <c r="H600">
        <v>14.702600259588852</v>
      </c>
      <c r="I600">
        <v>1.036433907411112E-2</v>
      </c>
      <c r="J600">
        <v>1.747778981760283E-2</v>
      </c>
      <c r="K600" s="1">
        <f t="shared" si="81"/>
        <v>8.6571421628770049E-4</v>
      </c>
      <c r="L600" s="1">
        <f t="shared" si="82"/>
        <v>9.1198997715453492E-2</v>
      </c>
      <c r="M600">
        <f t="shared" si="83"/>
        <v>0.13266431993041339</v>
      </c>
      <c r="N600">
        <f t="shared" si="84"/>
        <v>0.22330031510844287</v>
      </c>
      <c r="O600">
        <f t="shared" si="85"/>
        <v>1.6373913584258664</v>
      </c>
      <c r="P600">
        <f t="shared" si="86"/>
        <v>14.702600259588852</v>
      </c>
      <c r="Q600">
        <f t="shared" si="87"/>
        <v>1.036433907411112E-2</v>
      </c>
      <c r="R600">
        <f t="shared" si="88"/>
        <v>1.747778981760283E-2</v>
      </c>
      <c r="S600">
        <f t="shared" si="89"/>
        <v>0</v>
      </c>
    </row>
    <row r="601" spans="1:19" x14ac:dyDescent="0.3">
      <c r="A601" t="s">
        <v>204</v>
      </c>
      <c r="B601">
        <v>2009</v>
      </c>
      <c r="C601">
        <v>6.6471014305225244E-4</v>
      </c>
      <c r="D601">
        <v>0.11115925041864236</v>
      </c>
      <c r="E601">
        <v>-1.1085480968383233E-2</v>
      </c>
      <c r="F601">
        <v>0.39982954808142729</v>
      </c>
      <c r="G601">
        <v>1.0311526760107972</v>
      </c>
      <c r="H601">
        <v>15.050718331793739</v>
      </c>
      <c r="I601">
        <v>1.5705255995721468E-2</v>
      </c>
      <c r="J601">
        <v>1.9631338844282489E-2</v>
      </c>
      <c r="K601" s="1">
        <f t="shared" si="81"/>
        <v>6.6471014305225244E-4</v>
      </c>
      <c r="L601" s="1">
        <f t="shared" si="82"/>
        <v>0.11115925041864236</v>
      </c>
      <c r="M601">
        <f t="shared" si="83"/>
        <v>-1.1085480968383233E-2</v>
      </c>
      <c r="N601">
        <f t="shared" si="84"/>
        <v>0.39982954808142729</v>
      </c>
      <c r="O601">
        <f t="shared" si="85"/>
        <v>1.0311526760107972</v>
      </c>
      <c r="P601">
        <f t="shared" si="86"/>
        <v>15.050718331793739</v>
      </c>
      <c r="Q601">
        <f t="shared" si="87"/>
        <v>1.5705255995721468E-2</v>
      </c>
      <c r="R601">
        <f t="shared" si="88"/>
        <v>1.9631338844282489E-2</v>
      </c>
      <c r="S601">
        <f t="shared" si="89"/>
        <v>0</v>
      </c>
    </row>
    <row r="602" spans="1:19" x14ac:dyDescent="0.3">
      <c r="A602" t="s">
        <v>204</v>
      </c>
      <c r="B602">
        <v>2010</v>
      </c>
      <c r="C602">
        <v>6.3014663303097242E-4</v>
      </c>
      <c r="D602">
        <v>0.172072140142222</v>
      </c>
      <c r="E602">
        <v>0.16580770612589135</v>
      </c>
      <c r="F602">
        <v>0.18329322992557401</v>
      </c>
      <c r="G602">
        <v>0.97258025932773806</v>
      </c>
      <c r="H602">
        <v>15.02400124128827</v>
      </c>
      <c r="I602">
        <v>1.2611269140769474E-3</v>
      </c>
      <c r="J602">
        <v>2.8803972731076412E-2</v>
      </c>
      <c r="K602" s="1">
        <f t="shared" si="81"/>
        <v>6.3014663303097242E-4</v>
      </c>
      <c r="L602" s="1">
        <f t="shared" si="82"/>
        <v>0.172072140142222</v>
      </c>
      <c r="M602">
        <f t="shared" si="83"/>
        <v>0.16580770612589135</v>
      </c>
      <c r="N602">
        <f t="shared" si="84"/>
        <v>0.18329322992557401</v>
      </c>
      <c r="O602">
        <f t="shared" si="85"/>
        <v>0.97258025932773806</v>
      </c>
      <c r="P602">
        <f t="shared" si="86"/>
        <v>15.02400124128827</v>
      </c>
      <c r="Q602">
        <f t="shared" si="87"/>
        <v>1.2611269140769474E-3</v>
      </c>
      <c r="R602">
        <f t="shared" si="88"/>
        <v>2.8803972731076412E-2</v>
      </c>
      <c r="S602">
        <f t="shared" si="89"/>
        <v>0</v>
      </c>
    </row>
    <row r="603" spans="1:19" x14ac:dyDescent="0.3">
      <c r="A603" t="s">
        <v>205</v>
      </c>
      <c r="B603">
        <v>2007</v>
      </c>
      <c r="C603">
        <v>4.1607054220561184E-4</v>
      </c>
      <c r="D603">
        <v>1.6985897398464189E-2</v>
      </c>
      <c r="E603">
        <v>0.52793877193494698</v>
      </c>
      <c r="F603">
        <v>0.18245788198195567</v>
      </c>
      <c r="G603">
        <v>0.5756080469502759</v>
      </c>
      <c r="H603">
        <v>12.520854187863673</v>
      </c>
      <c r="I603">
        <v>1.0006574954267095E-2</v>
      </c>
      <c r="J603">
        <v>0</v>
      </c>
      <c r="K603" s="1">
        <f t="shared" si="81"/>
        <v>4.1607054220561184E-4</v>
      </c>
      <c r="L603" s="1">
        <f t="shared" si="82"/>
        <v>1.6985897398464189E-2</v>
      </c>
      <c r="M603">
        <f t="shared" si="83"/>
        <v>0.52793877193494698</v>
      </c>
      <c r="N603">
        <f t="shared" si="84"/>
        <v>0.18245788198195567</v>
      </c>
      <c r="O603">
        <f t="shared" si="85"/>
        <v>0.5756080469502759</v>
      </c>
      <c r="P603">
        <f t="shared" si="86"/>
        <v>12.520854187863673</v>
      </c>
      <c r="Q603">
        <f t="shared" si="87"/>
        <v>1.0006574954267095E-2</v>
      </c>
      <c r="R603">
        <f t="shared" si="88"/>
        <v>0</v>
      </c>
      <c r="S603">
        <f t="shared" si="89"/>
        <v>0</v>
      </c>
    </row>
    <row r="604" spans="1:19" x14ac:dyDescent="0.3">
      <c r="A604" t="s">
        <v>205</v>
      </c>
      <c r="B604">
        <v>2009</v>
      </c>
      <c r="C604">
        <v>1.891175644866214E-3</v>
      </c>
      <c r="D604">
        <v>0.13313814837553256</v>
      </c>
      <c r="E604">
        <v>0.4218771692216563</v>
      </c>
      <c r="F604">
        <v>0.27128035367761161</v>
      </c>
      <c r="G604">
        <v>0.48839256240416862</v>
      </c>
      <c r="H604">
        <v>12.688921544909208</v>
      </c>
      <c r="I604">
        <v>4.2257326110314353E-2</v>
      </c>
      <c r="J604">
        <v>0</v>
      </c>
      <c r="K604" s="1">
        <f t="shared" si="81"/>
        <v>1.891175644866214E-3</v>
      </c>
      <c r="L604" s="1">
        <f t="shared" si="82"/>
        <v>0.13313814837553256</v>
      </c>
      <c r="M604">
        <f t="shared" si="83"/>
        <v>0.4218771692216563</v>
      </c>
      <c r="N604">
        <f t="shared" si="84"/>
        <v>0.27128035367761161</v>
      </c>
      <c r="O604">
        <f t="shared" si="85"/>
        <v>0.48839256240416862</v>
      </c>
      <c r="P604">
        <f t="shared" si="86"/>
        <v>12.688921544909208</v>
      </c>
      <c r="Q604">
        <f t="shared" si="87"/>
        <v>4.2257326110314353E-2</v>
      </c>
      <c r="R604">
        <f t="shared" si="88"/>
        <v>0</v>
      </c>
      <c r="S604">
        <f t="shared" si="89"/>
        <v>0</v>
      </c>
    </row>
    <row r="605" spans="1:19" x14ac:dyDescent="0.3">
      <c r="A605" t="s">
        <v>206</v>
      </c>
      <c r="B605">
        <v>2007</v>
      </c>
      <c r="C605">
        <v>3.9579010085407464E-2</v>
      </c>
      <c r="D605">
        <v>0.12482420510320898</v>
      </c>
      <c r="E605">
        <v>-6.7669699342367717E-2</v>
      </c>
      <c r="F605">
        <v>0.29281575849027286</v>
      </c>
      <c r="G605">
        <v>1.6753667552604552</v>
      </c>
      <c r="H605">
        <v>15.669394856467942</v>
      </c>
      <c r="I605">
        <v>1.5394721278836069E-2</v>
      </c>
      <c r="J605">
        <v>1.5982906290806384E-2</v>
      </c>
      <c r="K605" s="1">
        <f t="shared" si="81"/>
        <v>3.9579010085407464E-2</v>
      </c>
      <c r="L605" s="1">
        <f t="shared" si="82"/>
        <v>0.12482420510320898</v>
      </c>
      <c r="M605">
        <f t="shared" si="83"/>
        <v>-6.7669699342367717E-2</v>
      </c>
      <c r="N605">
        <f t="shared" si="84"/>
        <v>0.29281575849027286</v>
      </c>
      <c r="O605">
        <f t="shared" si="85"/>
        <v>1.6753667552604552</v>
      </c>
      <c r="P605">
        <f t="shared" si="86"/>
        <v>15.669394856467942</v>
      </c>
      <c r="Q605">
        <f t="shared" si="87"/>
        <v>1.5394721278836069E-2</v>
      </c>
      <c r="R605">
        <f t="shared" si="88"/>
        <v>1.5982906290806384E-2</v>
      </c>
      <c r="S605">
        <f t="shared" si="89"/>
        <v>0</v>
      </c>
    </row>
    <row r="606" spans="1:19" x14ac:dyDescent="0.3">
      <c r="A606" t="s">
        <v>206</v>
      </c>
      <c r="B606">
        <v>2009</v>
      </c>
      <c r="C606">
        <v>2.9086625669618293E-2</v>
      </c>
      <c r="D606">
        <v>0.13849323437957778</v>
      </c>
      <c r="E606">
        <v>-1.976415276705357E-2</v>
      </c>
      <c r="F606">
        <v>0.32885472567069607</v>
      </c>
      <c r="G606">
        <v>0.94579546999523711</v>
      </c>
      <c r="H606">
        <v>16.129372922817911</v>
      </c>
      <c r="I606">
        <v>1.6339828033335325E-2</v>
      </c>
      <c r="J606">
        <v>1.5135051863312982E-2</v>
      </c>
      <c r="K606" s="1">
        <f t="shared" si="81"/>
        <v>2.9086625669618293E-2</v>
      </c>
      <c r="L606" s="1">
        <f t="shared" si="82"/>
        <v>0.13849323437957778</v>
      </c>
      <c r="M606">
        <f t="shared" si="83"/>
        <v>-1.976415276705357E-2</v>
      </c>
      <c r="N606">
        <f t="shared" si="84"/>
        <v>0.32885472567069607</v>
      </c>
      <c r="O606">
        <f t="shared" si="85"/>
        <v>0.94579546999523711</v>
      </c>
      <c r="P606">
        <f t="shared" si="86"/>
        <v>16.129372922817911</v>
      </c>
      <c r="Q606">
        <f t="shared" si="87"/>
        <v>1.6339828033335325E-2</v>
      </c>
      <c r="R606">
        <f t="shared" si="88"/>
        <v>1.5135051863312982E-2</v>
      </c>
      <c r="S606">
        <f t="shared" si="89"/>
        <v>0</v>
      </c>
    </row>
    <row r="607" spans="1:19" x14ac:dyDescent="0.3">
      <c r="A607" t="s">
        <v>206</v>
      </c>
      <c r="B607">
        <v>2010</v>
      </c>
      <c r="C607">
        <v>1.3866503311492079E-2</v>
      </c>
      <c r="D607">
        <v>0.10136504120379522</v>
      </c>
      <c r="E607">
        <v>-3.3851745480171683E-2</v>
      </c>
      <c r="F607">
        <v>0.40570923231538308</v>
      </c>
      <c r="G607">
        <v>0.8392987731485837</v>
      </c>
      <c r="H607">
        <v>16.148669277896872</v>
      </c>
      <c r="I607">
        <v>2.2931507551342267E-3</v>
      </c>
      <c r="J607">
        <v>4.9486647440879928E-3</v>
      </c>
      <c r="K607" s="1">
        <f t="shared" si="81"/>
        <v>1.3866503311492079E-2</v>
      </c>
      <c r="L607" s="1">
        <f t="shared" si="82"/>
        <v>0.10136504120379522</v>
      </c>
      <c r="M607">
        <f t="shared" si="83"/>
        <v>-3.3851745480171683E-2</v>
      </c>
      <c r="N607">
        <f t="shared" si="84"/>
        <v>0.40570923231538308</v>
      </c>
      <c r="O607">
        <f t="shared" si="85"/>
        <v>0.8392987731485837</v>
      </c>
      <c r="P607">
        <f t="shared" si="86"/>
        <v>16.148669277896872</v>
      </c>
      <c r="Q607">
        <f t="shared" si="87"/>
        <v>2.2931507551342267E-3</v>
      </c>
      <c r="R607">
        <f t="shared" si="88"/>
        <v>4.9486647440879928E-3</v>
      </c>
      <c r="S607">
        <f t="shared" si="89"/>
        <v>0</v>
      </c>
    </row>
    <row r="608" spans="1:19" x14ac:dyDescent="0.3">
      <c r="A608" t="s">
        <v>207</v>
      </c>
      <c r="B608">
        <v>2007</v>
      </c>
      <c r="C608">
        <v>3.1322552053462717E-2</v>
      </c>
      <c r="D608">
        <v>1.5751750450071919E-2</v>
      </c>
      <c r="E608">
        <v>0.23643267016092179</v>
      </c>
      <c r="F608">
        <v>8.1224563652590481E-2</v>
      </c>
      <c r="G608">
        <v>1.0293781186840418</v>
      </c>
      <c r="H608">
        <v>12.694833625568744</v>
      </c>
      <c r="I608">
        <v>2.0625396475054018E-2</v>
      </c>
      <c r="J608">
        <v>0</v>
      </c>
      <c r="K608" s="1">
        <f t="shared" si="81"/>
        <v>3.1322552053462717E-2</v>
      </c>
      <c r="L608" s="1">
        <f t="shared" si="82"/>
        <v>1.5751750450071919E-2</v>
      </c>
      <c r="M608">
        <f t="shared" si="83"/>
        <v>0.23643267016092179</v>
      </c>
      <c r="N608">
        <f t="shared" si="84"/>
        <v>8.1224563652590481E-2</v>
      </c>
      <c r="O608">
        <f t="shared" si="85"/>
        <v>1.0293781186840418</v>
      </c>
      <c r="P608">
        <f t="shared" si="86"/>
        <v>12.694833625568744</v>
      </c>
      <c r="Q608">
        <f t="shared" si="87"/>
        <v>2.0625396475054018E-2</v>
      </c>
      <c r="R608">
        <f t="shared" si="88"/>
        <v>0</v>
      </c>
      <c r="S608">
        <f t="shared" si="89"/>
        <v>0</v>
      </c>
    </row>
    <row r="609" spans="1:19" x14ac:dyDescent="0.3">
      <c r="A609" t="s">
        <v>207</v>
      </c>
      <c r="B609">
        <v>2009</v>
      </c>
      <c r="C609">
        <v>4.1887671570826228E-2</v>
      </c>
      <c r="D609">
        <v>0.13748514174217277</v>
      </c>
      <c r="E609">
        <v>-2.084501435363775E-2</v>
      </c>
      <c r="F609">
        <v>8.6909594509733554E-2</v>
      </c>
      <c r="G609">
        <v>0.95096379631290939</v>
      </c>
      <c r="H609">
        <v>13.477808765749295</v>
      </c>
      <c r="I609">
        <v>3.864053106011172E-2</v>
      </c>
      <c r="J609">
        <v>1.1702980622589038E-2</v>
      </c>
      <c r="K609" s="1">
        <f t="shared" si="81"/>
        <v>4.1887671570826228E-2</v>
      </c>
      <c r="L609" s="1">
        <f t="shared" si="82"/>
        <v>0.13748514174217277</v>
      </c>
      <c r="M609">
        <f t="shared" si="83"/>
        <v>-2.084501435363775E-2</v>
      </c>
      <c r="N609">
        <f t="shared" si="84"/>
        <v>8.6909594509733554E-2</v>
      </c>
      <c r="O609">
        <f t="shared" si="85"/>
        <v>0.95096379631290939</v>
      </c>
      <c r="P609">
        <f t="shared" si="86"/>
        <v>13.477808765749295</v>
      </c>
      <c r="Q609">
        <f t="shared" si="87"/>
        <v>3.864053106011172E-2</v>
      </c>
      <c r="R609">
        <f t="shared" si="88"/>
        <v>1.1702980622589038E-2</v>
      </c>
      <c r="S609">
        <f t="shared" si="89"/>
        <v>0</v>
      </c>
    </row>
    <row r="610" spans="1:19" x14ac:dyDescent="0.3">
      <c r="A610" t="s">
        <v>207</v>
      </c>
      <c r="B610">
        <v>2010</v>
      </c>
      <c r="C610">
        <v>4.9526186191772972E-2</v>
      </c>
      <c r="D610">
        <v>4.5255820965419025E-2</v>
      </c>
      <c r="E610">
        <v>-0.12287938517005013</v>
      </c>
      <c r="F610">
        <v>0.10061874320392865</v>
      </c>
      <c r="G610">
        <v>0.91730914600179836</v>
      </c>
      <c r="H610">
        <v>13.748604436271142</v>
      </c>
      <c r="I610">
        <v>3.0939232231423947E-2</v>
      </c>
      <c r="J610">
        <v>0</v>
      </c>
      <c r="K610" s="1">
        <f t="shared" si="81"/>
        <v>4.9526186191772972E-2</v>
      </c>
      <c r="L610" s="1">
        <f t="shared" si="82"/>
        <v>4.5255820965419025E-2</v>
      </c>
      <c r="M610">
        <f t="shared" si="83"/>
        <v>-0.12287938517005013</v>
      </c>
      <c r="N610">
        <f t="shared" si="84"/>
        <v>0.10061874320392865</v>
      </c>
      <c r="O610">
        <f t="shared" si="85"/>
        <v>0.91730914600179836</v>
      </c>
      <c r="P610">
        <f t="shared" si="86"/>
        <v>13.748604436271142</v>
      </c>
      <c r="Q610">
        <f t="shared" si="87"/>
        <v>3.0939232231423947E-2</v>
      </c>
      <c r="R610">
        <f t="shared" si="88"/>
        <v>0</v>
      </c>
      <c r="S610">
        <f t="shared" si="89"/>
        <v>0</v>
      </c>
    </row>
    <row r="611" spans="1:19" x14ac:dyDescent="0.3">
      <c r="A611" t="s">
        <v>208</v>
      </c>
      <c r="B611">
        <v>2007</v>
      </c>
      <c r="C611">
        <v>7.1718081513172716E-2</v>
      </c>
      <c r="D611">
        <v>8.3926761990542664E-2</v>
      </c>
      <c r="E611">
        <v>0.22906111611498911</v>
      </c>
      <c r="F611">
        <v>0.24495702919762816</v>
      </c>
      <c r="G611">
        <v>1.348348251144637</v>
      </c>
      <c r="H611">
        <v>12.962983046759938</v>
      </c>
      <c r="I611">
        <v>8.3825608258031925E-2</v>
      </c>
      <c r="J611">
        <v>4.2220220671020041E-2</v>
      </c>
      <c r="K611" s="1">
        <f t="shared" si="81"/>
        <v>7.1718081513172716E-2</v>
      </c>
      <c r="L611" s="1">
        <f t="shared" si="82"/>
        <v>8.3926761990542664E-2</v>
      </c>
      <c r="M611">
        <f t="shared" si="83"/>
        <v>0.22906111611498911</v>
      </c>
      <c r="N611">
        <f t="shared" si="84"/>
        <v>0.24495702919762816</v>
      </c>
      <c r="O611">
        <f t="shared" si="85"/>
        <v>1.348348251144637</v>
      </c>
      <c r="P611">
        <f t="shared" si="86"/>
        <v>12.962983046759938</v>
      </c>
      <c r="Q611">
        <f t="shared" si="87"/>
        <v>8.3825608258031925E-2</v>
      </c>
      <c r="R611">
        <f t="shared" si="88"/>
        <v>4.2220220671020041E-2</v>
      </c>
      <c r="S611">
        <f t="shared" si="89"/>
        <v>0</v>
      </c>
    </row>
    <row r="612" spans="1:19" x14ac:dyDescent="0.3">
      <c r="A612" t="s">
        <v>208</v>
      </c>
      <c r="B612">
        <v>2009</v>
      </c>
      <c r="C612">
        <v>3.4390763739343341E-2</v>
      </c>
      <c r="D612">
        <v>0.28127489011475265</v>
      </c>
      <c r="E612">
        <v>0.41151656391043984</v>
      </c>
      <c r="F612">
        <v>0.11161280568748341</v>
      </c>
      <c r="G612">
        <v>1.2459472071447535</v>
      </c>
      <c r="H612">
        <v>13.20372951664816</v>
      </c>
      <c r="I612">
        <v>1.1584972271294014E-2</v>
      </c>
      <c r="J612">
        <v>8.29670491754919E-2</v>
      </c>
      <c r="K612" s="1">
        <f t="shared" si="81"/>
        <v>3.4390763739343341E-2</v>
      </c>
      <c r="L612" s="1">
        <f t="shared" si="82"/>
        <v>0.28127489011475265</v>
      </c>
      <c r="M612">
        <f t="shared" si="83"/>
        <v>0.41151656391043984</v>
      </c>
      <c r="N612">
        <f t="shared" si="84"/>
        <v>0.11161280568748341</v>
      </c>
      <c r="O612">
        <f t="shared" si="85"/>
        <v>1.2459472071447535</v>
      </c>
      <c r="P612">
        <f t="shared" si="86"/>
        <v>13.20372951664816</v>
      </c>
      <c r="Q612">
        <f t="shared" si="87"/>
        <v>1.1584972271294014E-2</v>
      </c>
      <c r="R612">
        <f t="shared" si="88"/>
        <v>8.29670491754919E-2</v>
      </c>
      <c r="S612">
        <f t="shared" si="89"/>
        <v>0</v>
      </c>
    </row>
    <row r="613" spans="1:19" x14ac:dyDescent="0.3">
      <c r="A613" t="s">
        <v>208</v>
      </c>
      <c r="B613">
        <v>2010</v>
      </c>
      <c r="C613">
        <v>4.9067292632155354E-2</v>
      </c>
      <c r="D613">
        <v>0.2517927388540161</v>
      </c>
      <c r="E613">
        <v>0.51301321050236948</v>
      </c>
      <c r="F613">
        <v>1.3327266943948977E-3</v>
      </c>
      <c r="G613">
        <v>0.8852825702701288</v>
      </c>
      <c r="H613">
        <v>13.115793845205634</v>
      </c>
      <c r="I613">
        <v>1.1169760067181067E-2</v>
      </c>
      <c r="J613">
        <v>9.0593204301767982E-2</v>
      </c>
      <c r="K613" s="1">
        <f t="shared" si="81"/>
        <v>4.9067292632155354E-2</v>
      </c>
      <c r="L613" s="1">
        <f t="shared" si="82"/>
        <v>0.2517927388540161</v>
      </c>
      <c r="M613">
        <f t="shared" si="83"/>
        <v>0.51301321050236948</v>
      </c>
      <c r="N613">
        <f t="shared" si="84"/>
        <v>1.3327266943948977E-3</v>
      </c>
      <c r="O613">
        <f t="shared" si="85"/>
        <v>0.8852825702701288</v>
      </c>
      <c r="P613">
        <f t="shared" si="86"/>
        <v>13.115793845205634</v>
      </c>
      <c r="Q613">
        <f t="shared" si="87"/>
        <v>1.1169760067181067E-2</v>
      </c>
      <c r="R613">
        <f t="shared" si="88"/>
        <v>9.0593204301767982E-2</v>
      </c>
      <c r="S613">
        <f t="shared" si="89"/>
        <v>0</v>
      </c>
    </row>
    <row r="614" spans="1:19" x14ac:dyDescent="0.3">
      <c r="A614" t="s">
        <v>209</v>
      </c>
      <c r="B614">
        <v>2007</v>
      </c>
      <c r="C614">
        <v>2.84934680890475E-2</v>
      </c>
      <c r="D614">
        <v>0.21059179036506143</v>
      </c>
      <c r="E614">
        <v>0.6543392077968625</v>
      </c>
      <c r="F614">
        <v>0</v>
      </c>
      <c r="G614">
        <v>1.8941725204879176</v>
      </c>
      <c r="H614">
        <v>14.41694478095101</v>
      </c>
      <c r="I614">
        <v>2.2928080305020679E-2</v>
      </c>
      <c r="J614">
        <v>5.8742260515779285E-2</v>
      </c>
      <c r="K614" s="1">
        <f t="shared" si="81"/>
        <v>2.84934680890475E-2</v>
      </c>
      <c r="L614" s="1">
        <f t="shared" si="82"/>
        <v>0.21059179036506143</v>
      </c>
      <c r="M614">
        <f t="shared" si="83"/>
        <v>0.6543392077968625</v>
      </c>
      <c r="N614">
        <f t="shared" si="84"/>
        <v>0</v>
      </c>
      <c r="O614">
        <f t="shared" si="85"/>
        <v>1.8941725204879176</v>
      </c>
      <c r="P614">
        <f t="shared" si="86"/>
        <v>14.41694478095101</v>
      </c>
      <c r="Q614">
        <f t="shared" si="87"/>
        <v>2.2928080305020679E-2</v>
      </c>
      <c r="R614">
        <f t="shared" si="88"/>
        <v>5.8742260515779285E-2</v>
      </c>
      <c r="S614">
        <f t="shared" si="89"/>
        <v>0</v>
      </c>
    </row>
    <row r="615" spans="1:19" x14ac:dyDescent="0.3">
      <c r="A615" t="s">
        <v>209</v>
      </c>
      <c r="B615">
        <v>2009</v>
      </c>
      <c r="C615">
        <v>2.4545994130665005E-2</v>
      </c>
      <c r="D615">
        <v>4.4846291453383404E-2</v>
      </c>
      <c r="E615">
        <v>0.54656977168534748</v>
      </c>
      <c r="F615">
        <v>0</v>
      </c>
      <c r="G615">
        <v>12.955992381707835</v>
      </c>
      <c r="H615">
        <v>14.188654933209547</v>
      </c>
      <c r="I615">
        <v>3.9399829699429834E-3</v>
      </c>
      <c r="J615">
        <v>0</v>
      </c>
      <c r="K615" s="1">
        <f t="shared" si="81"/>
        <v>2.4545994130665005E-2</v>
      </c>
      <c r="L615" s="1">
        <f t="shared" si="82"/>
        <v>4.4846291453383404E-2</v>
      </c>
      <c r="M615">
        <f t="shared" si="83"/>
        <v>0.54656977168534748</v>
      </c>
      <c r="N615">
        <f t="shared" si="84"/>
        <v>0</v>
      </c>
      <c r="O615">
        <f t="shared" si="85"/>
        <v>12.955992381707835</v>
      </c>
      <c r="P615">
        <f t="shared" si="86"/>
        <v>14.188654933209547</v>
      </c>
      <c r="Q615">
        <f t="shared" si="87"/>
        <v>3.9399829699429834E-3</v>
      </c>
      <c r="R615">
        <f t="shared" si="88"/>
        <v>0</v>
      </c>
      <c r="S615">
        <f t="shared" si="89"/>
        <v>0</v>
      </c>
    </row>
    <row r="616" spans="1:19" x14ac:dyDescent="0.3">
      <c r="A616" t="s">
        <v>209</v>
      </c>
      <c r="B616">
        <v>2010</v>
      </c>
      <c r="C616">
        <v>0</v>
      </c>
      <c r="D616">
        <v>5.3119627022815231E-2</v>
      </c>
      <c r="E616">
        <v>0.54550617872252738</v>
      </c>
      <c r="F616">
        <v>0</v>
      </c>
      <c r="G616">
        <v>1.3134079888725039</v>
      </c>
      <c r="H616">
        <v>14.255641148101232</v>
      </c>
      <c r="I616">
        <v>4.9058016374296604E-2</v>
      </c>
      <c r="J616">
        <v>9.1544262062836865E-3</v>
      </c>
      <c r="K616" s="1">
        <f t="shared" si="81"/>
        <v>0</v>
      </c>
      <c r="L616" s="1">
        <f t="shared" si="82"/>
        <v>5.3119627022815231E-2</v>
      </c>
      <c r="M616">
        <f t="shared" si="83"/>
        <v>0.54550617872252738</v>
      </c>
      <c r="N616">
        <f t="shared" si="84"/>
        <v>0</v>
      </c>
      <c r="O616">
        <f t="shared" si="85"/>
        <v>1.3134079888725039</v>
      </c>
      <c r="P616">
        <f t="shared" si="86"/>
        <v>14.255641148101232</v>
      </c>
      <c r="Q616">
        <f t="shared" si="87"/>
        <v>4.9058016374296604E-2</v>
      </c>
      <c r="R616">
        <f t="shared" si="88"/>
        <v>9.1544262062836865E-3</v>
      </c>
      <c r="S616">
        <f t="shared" si="89"/>
        <v>0</v>
      </c>
    </row>
    <row r="617" spans="1:19" x14ac:dyDescent="0.3">
      <c r="A617" t="s">
        <v>210</v>
      </c>
      <c r="B617">
        <v>2007</v>
      </c>
      <c r="C617">
        <v>8.5739805855804454E-3</v>
      </c>
      <c r="D617">
        <v>2.8566819206660869E-2</v>
      </c>
      <c r="E617">
        <v>0.36008357565288562</v>
      </c>
      <c r="F617">
        <v>0.15652334727572489</v>
      </c>
      <c r="G617">
        <v>0.71621265360567554</v>
      </c>
      <c r="H617">
        <v>12.445644510089849</v>
      </c>
      <c r="I617">
        <v>6.7969368689989561E-3</v>
      </c>
      <c r="J617">
        <v>0</v>
      </c>
      <c r="K617" s="1">
        <f t="shared" si="81"/>
        <v>8.5739805855804454E-3</v>
      </c>
      <c r="L617" s="1">
        <f t="shared" si="82"/>
        <v>2.8566819206660869E-2</v>
      </c>
      <c r="M617">
        <f t="shared" si="83"/>
        <v>0.36008357565288562</v>
      </c>
      <c r="N617">
        <f t="shared" si="84"/>
        <v>0.15652334727572489</v>
      </c>
      <c r="O617">
        <f t="shared" si="85"/>
        <v>0.71621265360567554</v>
      </c>
      <c r="P617">
        <f t="shared" si="86"/>
        <v>12.445644510089849</v>
      </c>
      <c r="Q617">
        <f t="shared" si="87"/>
        <v>6.7969368689989561E-3</v>
      </c>
      <c r="R617">
        <f t="shared" si="88"/>
        <v>0</v>
      </c>
      <c r="S617">
        <f t="shared" si="89"/>
        <v>0</v>
      </c>
    </row>
    <row r="618" spans="1:19" x14ac:dyDescent="0.3">
      <c r="A618" t="s">
        <v>210</v>
      </c>
      <c r="B618">
        <v>2008</v>
      </c>
      <c r="C618">
        <v>3.3605890663127701E-3</v>
      </c>
      <c r="D618">
        <v>4.9295774647887321E-2</v>
      </c>
      <c r="E618">
        <v>0.3259271943719052</v>
      </c>
      <c r="F618">
        <v>0.17261726386688928</v>
      </c>
      <c r="G618">
        <v>0.61547868772921221</v>
      </c>
      <c r="H618">
        <v>12.543644277594687</v>
      </c>
      <c r="I618">
        <v>3.048150224168808E-5</v>
      </c>
      <c r="J618">
        <v>3.5675043166802235E-2</v>
      </c>
      <c r="K618" s="1">
        <f t="shared" si="81"/>
        <v>3.3605890663127701E-3</v>
      </c>
      <c r="L618" s="1">
        <f t="shared" si="82"/>
        <v>4.9295774647887321E-2</v>
      </c>
      <c r="M618">
        <f t="shared" si="83"/>
        <v>0.3259271943719052</v>
      </c>
      <c r="N618">
        <f t="shared" si="84"/>
        <v>0.17261726386688928</v>
      </c>
      <c r="O618">
        <f t="shared" si="85"/>
        <v>0.61547868772921221</v>
      </c>
      <c r="P618">
        <f t="shared" si="86"/>
        <v>12.543644277594687</v>
      </c>
      <c r="Q618">
        <f t="shared" si="87"/>
        <v>3.048150224168808E-5</v>
      </c>
      <c r="R618">
        <f t="shared" si="88"/>
        <v>3.5675043166802235E-2</v>
      </c>
      <c r="S618">
        <f t="shared" si="89"/>
        <v>0</v>
      </c>
    </row>
    <row r="619" spans="1:19" x14ac:dyDescent="0.3">
      <c r="A619" t="s">
        <v>210</v>
      </c>
      <c r="B619">
        <v>2009</v>
      </c>
      <c r="C619">
        <v>4.4915507595062855E-3</v>
      </c>
      <c r="D619">
        <v>5.2393121022735363E-2</v>
      </c>
      <c r="E619">
        <v>0.2567942713152912</v>
      </c>
      <c r="F619">
        <v>9.6087866406617026E-2</v>
      </c>
      <c r="G619">
        <v>0.66841535811397579</v>
      </c>
      <c r="H619">
        <v>12.546010299222964</v>
      </c>
      <c r="I619">
        <v>4.2429291942027714E-3</v>
      </c>
      <c r="J619">
        <v>0</v>
      </c>
      <c r="K619" s="1">
        <f t="shared" si="81"/>
        <v>4.4915507595062855E-3</v>
      </c>
      <c r="L619" s="1">
        <f t="shared" si="82"/>
        <v>5.2393121022735363E-2</v>
      </c>
      <c r="M619">
        <f t="shared" si="83"/>
        <v>0.2567942713152912</v>
      </c>
      <c r="N619">
        <f t="shared" si="84"/>
        <v>9.6087866406617026E-2</v>
      </c>
      <c r="O619">
        <f t="shared" si="85"/>
        <v>0.66841535811397579</v>
      </c>
      <c r="P619">
        <f t="shared" si="86"/>
        <v>12.546010299222964</v>
      </c>
      <c r="Q619">
        <f t="shared" si="87"/>
        <v>4.2429291942027714E-3</v>
      </c>
      <c r="R619">
        <f t="shared" si="88"/>
        <v>0</v>
      </c>
      <c r="S619">
        <f t="shared" si="89"/>
        <v>0</v>
      </c>
    </row>
    <row r="620" spans="1:19" x14ac:dyDescent="0.3">
      <c r="A620" t="s">
        <v>210</v>
      </c>
      <c r="B620">
        <v>2010</v>
      </c>
      <c r="C620">
        <v>1.0763129382423289E-2</v>
      </c>
      <c r="D620">
        <v>6.3348801711743022E-2</v>
      </c>
      <c r="E620">
        <v>0.33020558633331287</v>
      </c>
      <c r="F620">
        <v>0.35858699429646135</v>
      </c>
      <c r="G620">
        <v>0.70297527785159897</v>
      </c>
      <c r="H620">
        <v>12.589639732537123</v>
      </c>
      <c r="I620">
        <v>1.6526988159675585E-3</v>
      </c>
      <c r="J620">
        <v>0</v>
      </c>
      <c r="K620" s="1">
        <f t="shared" si="81"/>
        <v>1.0763129382423289E-2</v>
      </c>
      <c r="L620" s="1">
        <f t="shared" si="82"/>
        <v>6.3348801711743022E-2</v>
      </c>
      <c r="M620">
        <f t="shared" si="83"/>
        <v>0.33020558633331287</v>
      </c>
      <c r="N620">
        <f t="shared" si="84"/>
        <v>0.35858699429646135</v>
      </c>
      <c r="O620">
        <f t="shared" si="85"/>
        <v>0.70297527785159897</v>
      </c>
      <c r="P620">
        <f t="shared" si="86"/>
        <v>12.589639732537123</v>
      </c>
      <c r="Q620">
        <f t="shared" si="87"/>
        <v>1.6526988159675585E-3</v>
      </c>
      <c r="R620">
        <f t="shared" si="88"/>
        <v>0</v>
      </c>
      <c r="S620">
        <f t="shared" si="89"/>
        <v>0</v>
      </c>
    </row>
    <row r="621" spans="1:19" x14ac:dyDescent="0.3">
      <c r="A621" t="s">
        <v>211</v>
      </c>
      <c r="B621">
        <v>2007</v>
      </c>
      <c r="C621">
        <v>0.13225389493174358</v>
      </c>
      <c r="D621">
        <v>0.28991073731013861</v>
      </c>
      <c r="E621">
        <v>0.30094697788747637</v>
      </c>
      <c r="F621">
        <v>0</v>
      </c>
      <c r="G621">
        <v>2.4399071868771727</v>
      </c>
      <c r="H621">
        <v>14.443057854340106</v>
      </c>
      <c r="I621">
        <v>5.7231652401083938E-3</v>
      </c>
      <c r="J621">
        <v>3.2290253500913767E-2</v>
      </c>
      <c r="K621" s="1">
        <f t="shared" si="81"/>
        <v>0.13225389493174358</v>
      </c>
      <c r="L621" s="1">
        <f t="shared" si="82"/>
        <v>0.28991073731013861</v>
      </c>
      <c r="M621">
        <f t="shared" si="83"/>
        <v>0.30094697788747637</v>
      </c>
      <c r="N621">
        <f t="shared" si="84"/>
        <v>0</v>
      </c>
      <c r="O621">
        <f t="shared" si="85"/>
        <v>2.4399071868771727</v>
      </c>
      <c r="P621">
        <f t="shared" si="86"/>
        <v>14.443057854340106</v>
      </c>
      <c r="Q621">
        <f t="shared" si="87"/>
        <v>5.7231652401083938E-3</v>
      </c>
      <c r="R621">
        <f t="shared" si="88"/>
        <v>3.2290253500913767E-2</v>
      </c>
      <c r="S621">
        <f t="shared" si="89"/>
        <v>0</v>
      </c>
    </row>
    <row r="622" spans="1:19" x14ac:dyDescent="0.3">
      <c r="A622" t="s">
        <v>211</v>
      </c>
      <c r="B622">
        <v>2009</v>
      </c>
      <c r="C622">
        <v>0.1427932810081893</v>
      </c>
      <c r="D622">
        <v>0.27716413941360052</v>
      </c>
      <c r="E622">
        <v>0.44273350118739258</v>
      </c>
      <c r="F622">
        <v>0</v>
      </c>
      <c r="G622">
        <v>2.6842718393702905</v>
      </c>
      <c r="H622">
        <v>14.988050588259846</v>
      </c>
      <c r="I622">
        <v>4.9014804280435448E-3</v>
      </c>
      <c r="J622">
        <v>2.8085061329266695E-2</v>
      </c>
      <c r="K622" s="1">
        <f t="shared" si="81"/>
        <v>0.1427932810081893</v>
      </c>
      <c r="L622" s="1">
        <f t="shared" si="82"/>
        <v>0.27716413941360052</v>
      </c>
      <c r="M622">
        <f t="shared" si="83"/>
        <v>0.44273350118739258</v>
      </c>
      <c r="N622">
        <f t="shared" si="84"/>
        <v>0</v>
      </c>
      <c r="O622">
        <f t="shared" si="85"/>
        <v>2.6842718393702905</v>
      </c>
      <c r="P622">
        <f t="shared" si="86"/>
        <v>14.988050588259846</v>
      </c>
      <c r="Q622">
        <f t="shared" si="87"/>
        <v>4.9014804280435448E-3</v>
      </c>
      <c r="R622">
        <f t="shared" si="88"/>
        <v>2.8085061329266695E-2</v>
      </c>
      <c r="S622">
        <f t="shared" si="89"/>
        <v>0</v>
      </c>
    </row>
    <row r="623" spans="1:19" x14ac:dyDescent="0.3">
      <c r="A623" t="s">
        <v>211</v>
      </c>
      <c r="B623">
        <v>2010</v>
      </c>
      <c r="C623">
        <v>0.12904777294980907</v>
      </c>
      <c r="D623">
        <v>0.30538633724757902</v>
      </c>
      <c r="E623">
        <v>0.51673549514609596</v>
      </c>
      <c r="F623">
        <v>0</v>
      </c>
      <c r="G623">
        <v>1.5909908667600339</v>
      </c>
      <c r="H623">
        <v>15.245115813721291</v>
      </c>
      <c r="I623">
        <v>3.3512599261071217E-2</v>
      </c>
      <c r="J623">
        <v>5.0676913132473876E-2</v>
      </c>
      <c r="K623" s="1">
        <f t="shared" si="81"/>
        <v>0.12904777294980907</v>
      </c>
      <c r="L623" s="1">
        <f t="shared" si="82"/>
        <v>0.30538633724757902</v>
      </c>
      <c r="M623">
        <f t="shared" si="83"/>
        <v>0.51673549514609596</v>
      </c>
      <c r="N623">
        <f t="shared" si="84"/>
        <v>0</v>
      </c>
      <c r="O623">
        <f t="shared" si="85"/>
        <v>1.5909908667600339</v>
      </c>
      <c r="P623">
        <f t="shared" si="86"/>
        <v>15.245115813721291</v>
      </c>
      <c r="Q623">
        <f t="shared" si="87"/>
        <v>3.3512599261071217E-2</v>
      </c>
      <c r="R623">
        <f t="shared" si="88"/>
        <v>5.0676913132473876E-2</v>
      </c>
      <c r="S623">
        <f t="shared" si="89"/>
        <v>0</v>
      </c>
    </row>
    <row r="624" spans="1:19" x14ac:dyDescent="0.3">
      <c r="A624" t="s">
        <v>212</v>
      </c>
      <c r="B624">
        <v>2007</v>
      </c>
      <c r="C624">
        <v>7.8787223177868449E-3</v>
      </c>
      <c r="D624">
        <v>0.19164274948435564</v>
      </c>
      <c r="E624">
        <v>0.47854203923028338</v>
      </c>
      <c r="F624">
        <v>0.14777283794563364</v>
      </c>
      <c r="G624">
        <v>1.2862568371057816</v>
      </c>
      <c r="H624">
        <v>15.362235694905786</v>
      </c>
      <c r="I624">
        <v>1.8109387156783174E-2</v>
      </c>
      <c r="J624">
        <v>2.9808780370633631E-2</v>
      </c>
      <c r="K624" s="1">
        <f t="shared" si="81"/>
        <v>7.8787223177868449E-3</v>
      </c>
      <c r="L624" s="1">
        <f t="shared" si="82"/>
        <v>0.19164274948435564</v>
      </c>
      <c r="M624">
        <f t="shared" si="83"/>
        <v>0.47854203923028338</v>
      </c>
      <c r="N624">
        <f t="shared" si="84"/>
        <v>0.14777283794563364</v>
      </c>
      <c r="O624">
        <f t="shared" si="85"/>
        <v>1.2862568371057816</v>
      </c>
      <c r="P624">
        <f t="shared" si="86"/>
        <v>15.362235694905786</v>
      </c>
      <c r="Q624">
        <f t="shared" si="87"/>
        <v>1.8109387156783174E-2</v>
      </c>
      <c r="R624">
        <f t="shared" si="88"/>
        <v>2.9808780370633631E-2</v>
      </c>
      <c r="S624">
        <f t="shared" si="89"/>
        <v>0</v>
      </c>
    </row>
    <row r="625" spans="1:19" x14ac:dyDescent="0.3">
      <c r="A625" t="s">
        <v>212</v>
      </c>
      <c r="B625">
        <v>2008</v>
      </c>
      <c r="C625">
        <v>1.6916699850826028E-3</v>
      </c>
      <c r="D625">
        <v>0.16484611146988976</v>
      </c>
      <c r="E625">
        <v>0.39785296769547879</v>
      </c>
      <c r="F625">
        <v>0.26954106823419693</v>
      </c>
      <c r="G625">
        <v>0.56261466485374556</v>
      </c>
      <c r="H625">
        <v>15.393806555695313</v>
      </c>
      <c r="I625">
        <v>3.5910366264094259E-2</v>
      </c>
      <c r="J625">
        <v>3.1770548559945037E-2</v>
      </c>
      <c r="K625" s="1">
        <f t="shared" si="81"/>
        <v>1.6916699850826028E-3</v>
      </c>
      <c r="L625" s="1">
        <f t="shared" si="82"/>
        <v>0.16484611146988976</v>
      </c>
      <c r="M625">
        <f t="shared" si="83"/>
        <v>0.39785296769547879</v>
      </c>
      <c r="N625">
        <f t="shared" si="84"/>
        <v>0.26954106823419693</v>
      </c>
      <c r="O625">
        <f t="shared" si="85"/>
        <v>0.56261466485374556</v>
      </c>
      <c r="P625">
        <f t="shared" si="86"/>
        <v>15.393806555695313</v>
      </c>
      <c r="Q625">
        <f t="shared" si="87"/>
        <v>3.5910366264094259E-2</v>
      </c>
      <c r="R625">
        <f t="shared" si="88"/>
        <v>3.1770548559945037E-2</v>
      </c>
      <c r="S625">
        <f t="shared" si="89"/>
        <v>0</v>
      </c>
    </row>
    <row r="626" spans="1:19" x14ac:dyDescent="0.3">
      <c r="A626" t="s">
        <v>212</v>
      </c>
      <c r="B626">
        <v>2009</v>
      </c>
      <c r="C626">
        <v>9.9482112064774755E-4</v>
      </c>
      <c r="D626">
        <v>6.7208760955575625E-2</v>
      </c>
      <c r="E626">
        <v>8.7353648585680774E-2</v>
      </c>
      <c r="F626">
        <v>0.23014720903942867</v>
      </c>
      <c r="G626">
        <v>0.74138866609707721</v>
      </c>
      <c r="H626">
        <v>15.242364399150516</v>
      </c>
      <c r="I626">
        <v>4.6740481721188359E-2</v>
      </c>
      <c r="J626">
        <v>0</v>
      </c>
      <c r="K626" s="1">
        <f t="shared" si="81"/>
        <v>9.9482112064774755E-4</v>
      </c>
      <c r="L626" s="1">
        <f t="shared" si="82"/>
        <v>6.7208760955575625E-2</v>
      </c>
      <c r="M626">
        <f t="shared" si="83"/>
        <v>8.7353648585680774E-2</v>
      </c>
      <c r="N626">
        <f t="shared" si="84"/>
        <v>0.23014720903942867</v>
      </c>
      <c r="O626">
        <f t="shared" si="85"/>
        <v>0.74138866609707721</v>
      </c>
      <c r="P626">
        <f t="shared" si="86"/>
        <v>15.242364399150516</v>
      </c>
      <c r="Q626">
        <f t="shared" si="87"/>
        <v>4.6740481721188359E-2</v>
      </c>
      <c r="R626">
        <f t="shared" si="88"/>
        <v>0</v>
      </c>
      <c r="S626">
        <f t="shared" si="89"/>
        <v>0</v>
      </c>
    </row>
    <row r="627" spans="1:19" x14ac:dyDescent="0.3">
      <c r="A627" t="s">
        <v>212</v>
      </c>
      <c r="B627">
        <v>2010</v>
      </c>
      <c r="C627">
        <v>3.7316288420871563E-2</v>
      </c>
      <c r="D627">
        <v>0.18087746813834099</v>
      </c>
      <c r="E627">
        <v>7.8605133208834707E-2</v>
      </c>
      <c r="F627">
        <v>0.15941054577347175</v>
      </c>
      <c r="G627">
        <v>0.68823309600143667</v>
      </c>
      <c r="H627">
        <v>15.403690716919415</v>
      </c>
      <c r="I627">
        <v>4.7411276461199747E-4</v>
      </c>
      <c r="J627">
        <v>3.4603836331086268E-2</v>
      </c>
      <c r="K627" s="1">
        <f t="shared" si="81"/>
        <v>3.7316288420871563E-2</v>
      </c>
      <c r="L627" s="1">
        <f t="shared" si="82"/>
        <v>0.18087746813834099</v>
      </c>
      <c r="M627">
        <f t="shared" si="83"/>
        <v>7.8605133208834707E-2</v>
      </c>
      <c r="N627">
        <f t="shared" si="84"/>
        <v>0.15941054577347175</v>
      </c>
      <c r="O627">
        <f t="shared" si="85"/>
        <v>0.68823309600143667</v>
      </c>
      <c r="P627">
        <f t="shared" si="86"/>
        <v>15.403690716919415</v>
      </c>
      <c r="Q627">
        <f t="shared" si="87"/>
        <v>4.7411276461199747E-4</v>
      </c>
      <c r="R627">
        <f t="shared" si="88"/>
        <v>3.4603836331086268E-2</v>
      </c>
      <c r="S627">
        <f t="shared" si="89"/>
        <v>0</v>
      </c>
    </row>
    <row r="628" spans="1:19" x14ac:dyDescent="0.3">
      <c r="A628" t="s">
        <v>213</v>
      </c>
      <c r="B628">
        <v>2007</v>
      </c>
      <c r="C628">
        <v>6.9478377397821905E-3</v>
      </c>
      <c r="D628">
        <v>6.8940809511526258E-2</v>
      </c>
      <c r="E628">
        <v>4.3254291979752772E-2</v>
      </c>
      <c r="F628">
        <v>0.34384981094247746</v>
      </c>
      <c r="G628">
        <v>1.1675876623626282</v>
      </c>
      <c r="H628">
        <v>14.173546475358346</v>
      </c>
      <c r="I628">
        <v>1.0967731186184125E-2</v>
      </c>
      <c r="J628">
        <v>2.257365693661802E-2</v>
      </c>
      <c r="K628" s="1">
        <f t="shared" si="81"/>
        <v>6.9478377397821905E-3</v>
      </c>
      <c r="L628" s="1">
        <f t="shared" si="82"/>
        <v>6.8940809511526258E-2</v>
      </c>
      <c r="M628">
        <f t="shared" si="83"/>
        <v>4.3254291979752772E-2</v>
      </c>
      <c r="N628">
        <f t="shared" si="84"/>
        <v>0.34384981094247746</v>
      </c>
      <c r="O628">
        <f t="shared" si="85"/>
        <v>1.1675876623626282</v>
      </c>
      <c r="P628">
        <f t="shared" si="86"/>
        <v>14.173546475358346</v>
      </c>
      <c r="Q628">
        <f t="shared" si="87"/>
        <v>1.0967731186184125E-2</v>
      </c>
      <c r="R628">
        <f t="shared" si="88"/>
        <v>2.257365693661802E-2</v>
      </c>
      <c r="S628">
        <f t="shared" si="89"/>
        <v>0</v>
      </c>
    </row>
    <row r="629" spans="1:19" x14ac:dyDescent="0.3">
      <c r="A629" t="s">
        <v>213</v>
      </c>
      <c r="B629">
        <v>2009</v>
      </c>
      <c r="C629">
        <v>5.5180042741811931E-4</v>
      </c>
      <c r="D629">
        <v>7.2128755164202821E-2</v>
      </c>
      <c r="E629">
        <v>0.10531468204610195</v>
      </c>
      <c r="F629">
        <v>0.34547186077490954</v>
      </c>
      <c r="G629">
        <v>0.90867151125802703</v>
      </c>
      <c r="H629">
        <v>14.247560471076914</v>
      </c>
      <c r="I629">
        <v>4.2899232609583497E-3</v>
      </c>
      <c r="J629">
        <v>0</v>
      </c>
      <c r="K629" s="1">
        <f t="shared" si="81"/>
        <v>5.5180042741811931E-4</v>
      </c>
      <c r="L629" s="1">
        <f t="shared" si="82"/>
        <v>7.2128755164202821E-2</v>
      </c>
      <c r="M629">
        <f t="shared" si="83"/>
        <v>0.10531468204610195</v>
      </c>
      <c r="N629">
        <f t="shared" si="84"/>
        <v>0.34547186077490954</v>
      </c>
      <c r="O629">
        <f t="shared" si="85"/>
        <v>0.90867151125802703</v>
      </c>
      <c r="P629">
        <f t="shared" si="86"/>
        <v>14.247560471076914</v>
      </c>
      <c r="Q629">
        <f t="shared" si="87"/>
        <v>4.2899232609583497E-3</v>
      </c>
      <c r="R629">
        <f t="shared" si="88"/>
        <v>0</v>
      </c>
      <c r="S629">
        <f t="shared" si="89"/>
        <v>0</v>
      </c>
    </row>
    <row r="630" spans="1:19" x14ac:dyDescent="0.3">
      <c r="A630" t="s">
        <v>213</v>
      </c>
      <c r="B630">
        <v>2010</v>
      </c>
      <c r="C630">
        <v>2.642617624683068E-2</v>
      </c>
      <c r="D630">
        <v>5.69552560976797E-2</v>
      </c>
      <c r="E630">
        <v>0.11642997317118288</v>
      </c>
      <c r="F630">
        <v>0.20031627128120466</v>
      </c>
      <c r="G630">
        <v>0.77633100279136535</v>
      </c>
      <c r="H630">
        <v>14.178767989716176</v>
      </c>
      <c r="I630">
        <v>1.3893461500310497E-3</v>
      </c>
      <c r="J630">
        <v>0</v>
      </c>
      <c r="K630" s="1">
        <f t="shared" si="81"/>
        <v>2.642617624683068E-2</v>
      </c>
      <c r="L630" s="1">
        <f t="shared" si="82"/>
        <v>5.69552560976797E-2</v>
      </c>
      <c r="M630">
        <f t="shared" si="83"/>
        <v>0.11642997317118288</v>
      </c>
      <c r="N630">
        <f t="shared" si="84"/>
        <v>0.20031627128120466</v>
      </c>
      <c r="O630">
        <f t="shared" si="85"/>
        <v>0.77633100279136535</v>
      </c>
      <c r="P630">
        <f t="shared" si="86"/>
        <v>14.178767989716176</v>
      </c>
      <c r="Q630">
        <f t="shared" si="87"/>
        <v>1.3893461500310497E-3</v>
      </c>
      <c r="R630">
        <f t="shared" si="88"/>
        <v>0</v>
      </c>
      <c r="S630">
        <f t="shared" si="89"/>
        <v>0</v>
      </c>
    </row>
    <row r="631" spans="1:19" x14ac:dyDescent="0.3">
      <c r="A631" t="s">
        <v>214</v>
      </c>
      <c r="B631">
        <v>2007</v>
      </c>
      <c r="C631">
        <v>1.2229922543823889E-3</v>
      </c>
      <c r="D631">
        <v>3.3718297048087868E-2</v>
      </c>
      <c r="E631">
        <v>0.54171723193729981</v>
      </c>
      <c r="F631">
        <v>0</v>
      </c>
      <c r="G631">
        <v>0.74805475894799101</v>
      </c>
      <c r="H631">
        <v>12.958358638756268</v>
      </c>
      <c r="I631">
        <v>1.6895465120306409E-2</v>
      </c>
      <c r="J631">
        <v>0</v>
      </c>
      <c r="K631" s="1">
        <f t="shared" si="81"/>
        <v>1.2229922543823889E-3</v>
      </c>
      <c r="L631" s="1">
        <f t="shared" si="82"/>
        <v>3.3718297048087868E-2</v>
      </c>
      <c r="M631">
        <f t="shared" si="83"/>
        <v>0.54171723193729981</v>
      </c>
      <c r="N631">
        <f t="shared" si="84"/>
        <v>0</v>
      </c>
      <c r="O631">
        <f t="shared" si="85"/>
        <v>0.74805475894799101</v>
      </c>
      <c r="P631">
        <f t="shared" si="86"/>
        <v>12.958358638756268</v>
      </c>
      <c r="Q631">
        <f t="shared" si="87"/>
        <v>1.6895465120306409E-2</v>
      </c>
      <c r="R631">
        <f t="shared" si="88"/>
        <v>0</v>
      </c>
      <c r="S631">
        <f t="shared" si="89"/>
        <v>0</v>
      </c>
    </row>
    <row r="632" spans="1:19" x14ac:dyDescent="0.3">
      <c r="A632" t="s">
        <v>214</v>
      </c>
      <c r="B632">
        <v>2009</v>
      </c>
      <c r="C632">
        <v>5.1651024862751438E-3</v>
      </c>
      <c r="D632">
        <v>0.30077094372625252</v>
      </c>
      <c r="E632">
        <v>0.47577443465351626</v>
      </c>
      <c r="F632">
        <v>0</v>
      </c>
      <c r="G632">
        <v>0.41487539226998466</v>
      </c>
      <c r="H632">
        <v>13.430340602900392</v>
      </c>
      <c r="I632">
        <v>0.12025585298051833</v>
      </c>
      <c r="J632">
        <v>0</v>
      </c>
      <c r="K632" s="1">
        <f t="shared" si="81"/>
        <v>5.1651024862751438E-3</v>
      </c>
      <c r="L632" s="1">
        <f t="shared" si="82"/>
        <v>0.30077094372625252</v>
      </c>
      <c r="M632">
        <f t="shared" si="83"/>
        <v>0.47577443465351626</v>
      </c>
      <c r="N632">
        <f t="shared" si="84"/>
        <v>0</v>
      </c>
      <c r="O632">
        <f t="shared" si="85"/>
        <v>0.41487539226998466</v>
      </c>
      <c r="P632">
        <f t="shared" si="86"/>
        <v>13.430340602900392</v>
      </c>
      <c r="Q632">
        <f t="shared" si="87"/>
        <v>0.12025585298051833</v>
      </c>
      <c r="R632">
        <f t="shared" si="88"/>
        <v>0</v>
      </c>
      <c r="S632">
        <f t="shared" si="89"/>
        <v>0</v>
      </c>
    </row>
    <row r="633" spans="1:19" x14ac:dyDescent="0.3">
      <c r="A633" t="s">
        <v>214</v>
      </c>
      <c r="B633">
        <v>2010</v>
      </c>
      <c r="C633">
        <v>1.0072360789293332E-3</v>
      </c>
      <c r="D633">
        <v>1.9054414482838417E-2</v>
      </c>
      <c r="E633">
        <v>0.38206882433743444</v>
      </c>
      <c r="F633">
        <v>0</v>
      </c>
      <c r="G633">
        <v>0.19343973346070892</v>
      </c>
      <c r="H633">
        <v>13.421166382416386</v>
      </c>
      <c r="I633">
        <v>4.2810937636480945E-2</v>
      </c>
      <c r="J633">
        <v>0</v>
      </c>
      <c r="K633" s="1">
        <f t="shared" si="81"/>
        <v>1.0072360789293332E-3</v>
      </c>
      <c r="L633" s="1">
        <f t="shared" si="82"/>
        <v>1.9054414482838417E-2</v>
      </c>
      <c r="M633">
        <f t="shared" si="83"/>
        <v>0.38206882433743444</v>
      </c>
      <c r="N633">
        <f t="shared" si="84"/>
        <v>0</v>
      </c>
      <c r="O633">
        <f t="shared" si="85"/>
        <v>0.19343973346070892</v>
      </c>
      <c r="P633">
        <f t="shared" si="86"/>
        <v>13.421166382416386</v>
      </c>
      <c r="Q633">
        <f t="shared" si="87"/>
        <v>4.2810937636480945E-2</v>
      </c>
      <c r="R633">
        <f t="shared" si="88"/>
        <v>0</v>
      </c>
      <c r="S633">
        <f t="shared" si="89"/>
        <v>0</v>
      </c>
    </row>
    <row r="634" spans="1:19" x14ac:dyDescent="0.3">
      <c r="A634" t="s">
        <v>215</v>
      </c>
      <c r="B634">
        <v>2007</v>
      </c>
      <c r="C634">
        <v>1.7293979176705851E-3</v>
      </c>
      <c r="D634">
        <v>3.9802456864394493E-2</v>
      </c>
      <c r="E634">
        <v>-4.7609932900480142E-2</v>
      </c>
      <c r="F634">
        <v>0.17316086366915553</v>
      </c>
      <c r="G634">
        <v>0.94882649997285573</v>
      </c>
      <c r="H634">
        <v>14.39590832540668</v>
      </c>
      <c r="I634">
        <v>1.1591580201239363E-2</v>
      </c>
      <c r="J634">
        <v>0</v>
      </c>
      <c r="K634" s="1">
        <f t="shared" si="81"/>
        <v>1.7293979176705851E-3</v>
      </c>
      <c r="L634" s="1">
        <f t="shared" si="82"/>
        <v>3.9802456864394493E-2</v>
      </c>
      <c r="M634">
        <f t="shared" si="83"/>
        <v>-4.7609932900480142E-2</v>
      </c>
      <c r="N634">
        <f t="shared" si="84"/>
        <v>0.17316086366915553</v>
      </c>
      <c r="O634">
        <f t="shared" si="85"/>
        <v>0.94882649997285573</v>
      </c>
      <c r="P634">
        <f t="shared" si="86"/>
        <v>14.39590832540668</v>
      </c>
      <c r="Q634">
        <f t="shared" si="87"/>
        <v>1.1591580201239363E-2</v>
      </c>
      <c r="R634">
        <f t="shared" si="88"/>
        <v>0</v>
      </c>
      <c r="S634">
        <f t="shared" si="89"/>
        <v>0</v>
      </c>
    </row>
    <row r="635" spans="1:19" x14ac:dyDescent="0.3">
      <c r="A635" t="s">
        <v>215</v>
      </c>
      <c r="B635">
        <v>2008</v>
      </c>
      <c r="C635">
        <v>2.0218829397500717E-2</v>
      </c>
      <c r="D635">
        <v>8.2907002518442782E-2</v>
      </c>
      <c r="E635">
        <v>-9.4901072315285426E-2</v>
      </c>
      <c r="F635">
        <v>0.22605613643477165</v>
      </c>
      <c r="G635">
        <v>0.87431505819373845</v>
      </c>
      <c r="H635">
        <v>14.400824167383995</v>
      </c>
      <c r="I635">
        <v>9.7247530925664745E-3</v>
      </c>
      <c r="J635">
        <v>0</v>
      </c>
      <c r="K635" s="1">
        <f t="shared" si="81"/>
        <v>2.0218829397500717E-2</v>
      </c>
      <c r="L635" s="1">
        <f t="shared" si="82"/>
        <v>8.2907002518442782E-2</v>
      </c>
      <c r="M635">
        <f t="shared" si="83"/>
        <v>-9.4901072315285426E-2</v>
      </c>
      <c r="N635">
        <f t="shared" si="84"/>
        <v>0.22605613643477165</v>
      </c>
      <c r="O635">
        <f t="shared" si="85"/>
        <v>0.87431505819373845</v>
      </c>
      <c r="P635">
        <f t="shared" si="86"/>
        <v>14.400824167383995</v>
      </c>
      <c r="Q635">
        <f t="shared" si="87"/>
        <v>9.7247530925664745E-3</v>
      </c>
      <c r="R635">
        <f t="shared" si="88"/>
        <v>0</v>
      </c>
      <c r="S635">
        <f t="shared" si="89"/>
        <v>0</v>
      </c>
    </row>
    <row r="636" spans="1:19" x14ac:dyDescent="0.3">
      <c r="A636" t="s">
        <v>215</v>
      </c>
      <c r="B636">
        <v>2009</v>
      </c>
      <c r="C636">
        <v>4.4740940644050496E-4</v>
      </c>
      <c r="D636">
        <v>0.11110155810188886</v>
      </c>
      <c r="E636">
        <v>-0.16174205998900371</v>
      </c>
      <c r="F636">
        <v>0.22332519928064015</v>
      </c>
      <c r="G636">
        <v>0.8438131657747685</v>
      </c>
      <c r="H636">
        <v>14.417675579312229</v>
      </c>
      <c r="I636">
        <v>1.7416605469957231E-2</v>
      </c>
      <c r="J636">
        <v>0</v>
      </c>
      <c r="K636" s="1">
        <f t="shared" si="81"/>
        <v>4.4740940644050496E-4</v>
      </c>
      <c r="L636" s="1">
        <f t="shared" si="82"/>
        <v>0.11110155810188886</v>
      </c>
      <c r="M636">
        <f t="shared" si="83"/>
        <v>-0.16174205998900371</v>
      </c>
      <c r="N636">
        <f t="shared" si="84"/>
        <v>0.22332519928064015</v>
      </c>
      <c r="O636">
        <f t="shared" si="85"/>
        <v>0.8438131657747685</v>
      </c>
      <c r="P636">
        <f t="shared" si="86"/>
        <v>14.417675579312229</v>
      </c>
      <c r="Q636">
        <f t="shared" si="87"/>
        <v>1.7416605469957231E-2</v>
      </c>
      <c r="R636">
        <f t="shared" si="88"/>
        <v>0</v>
      </c>
      <c r="S636">
        <f t="shared" si="89"/>
        <v>0</v>
      </c>
    </row>
    <row r="637" spans="1:19" x14ac:dyDescent="0.3">
      <c r="A637" t="s">
        <v>215</v>
      </c>
      <c r="B637">
        <v>2010</v>
      </c>
      <c r="C637">
        <v>1.0967756941623981E-3</v>
      </c>
      <c r="D637">
        <v>6.3672033651153759E-2</v>
      </c>
      <c r="E637">
        <v>-0.23118409430720335</v>
      </c>
      <c r="F637">
        <v>0.46202168144838801</v>
      </c>
      <c r="G637">
        <v>0.81209660094958469</v>
      </c>
      <c r="H637">
        <v>14.332357815249487</v>
      </c>
      <c r="I637">
        <v>1.165389642156796E-2</v>
      </c>
      <c r="J637">
        <v>0</v>
      </c>
      <c r="K637" s="1">
        <f t="shared" si="81"/>
        <v>1.0967756941623981E-3</v>
      </c>
      <c r="L637" s="1">
        <f t="shared" si="82"/>
        <v>6.3672033651153759E-2</v>
      </c>
      <c r="M637">
        <f t="shared" si="83"/>
        <v>-0.23118409430720335</v>
      </c>
      <c r="N637">
        <f t="shared" si="84"/>
        <v>0.46202168144838801</v>
      </c>
      <c r="O637">
        <f t="shared" si="85"/>
        <v>0.81209660094958469</v>
      </c>
      <c r="P637">
        <f t="shared" si="86"/>
        <v>14.332357815249487</v>
      </c>
      <c r="Q637">
        <f t="shared" si="87"/>
        <v>1.165389642156796E-2</v>
      </c>
      <c r="R637">
        <f t="shared" si="88"/>
        <v>0</v>
      </c>
      <c r="S637">
        <f t="shared" si="89"/>
        <v>0</v>
      </c>
    </row>
    <row r="638" spans="1:19" x14ac:dyDescent="0.3">
      <c r="A638" t="s">
        <v>216</v>
      </c>
      <c r="B638">
        <v>2007</v>
      </c>
      <c r="C638">
        <v>2.9959896763474218E-2</v>
      </c>
      <c r="D638">
        <v>8.5631329917109658E-2</v>
      </c>
      <c r="E638">
        <v>-0.17393759748347579</v>
      </c>
      <c r="F638">
        <v>0.314200735176412</v>
      </c>
      <c r="G638">
        <v>0.94170409298190383</v>
      </c>
      <c r="H638">
        <v>14.334550154500713</v>
      </c>
      <c r="I638">
        <v>1.2273146125254635E-2</v>
      </c>
      <c r="J638">
        <v>0</v>
      </c>
      <c r="K638" s="1">
        <f t="shared" si="81"/>
        <v>2.9959896763474218E-2</v>
      </c>
      <c r="L638" s="1">
        <f t="shared" si="82"/>
        <v>8.5631329917109658E-2</v>
      </c>
      <c r="M638">
        <f t="shared" si="83"/>
        <v>-0.17393759748347579</v>
      </c>
      <c r="N638">
        <f t="shared" si="84"/>
        <v>0.314200735176412</v>
      </c>
      <c r="O638">
        <f t="shared" si="85"/>
        <v>0.94170409298190383</v>
      </c>
      <c r="P638">
        <f t="shared" si="86"/>
        <v>14.334550154500713</v>
      </c>
      <c r="Q638">
        <f t="shared" si="87"/>
        <v>1.2273146125254635E-2</v>
      </c>
      <c r="R638">
        <f t="shared" si="88"/>
        <v>0</v>
      </c>
      <c r="S638">
        <f t="shared" si="89"/>
        <v>0</v>
      </c>
    </row>
    <row r="639" spans="1:19" x14ac:dyDescent="0.3">
      <c r="A639" t="s">
        <v>216</v>
      </c>
      <c r="B639">
        <v>2008</v>
      </c>
      <c r="C639">
        <v>2.0044645245883924E-2</v>
      </c>
      <c r="D639">
        <v>5.5907858529532929E-2</v>
      </c>
      <c r="E639">
        <v>-0.19591439375402933</v>
      </c>
      <c r="F639">
        <v>0.33547416482376452</v>
      </c>
      <c r="G639">
        <v>0.82461935434267741</v>
      </c>
      <c r="H639">
        <v>14.470412109821542</v>
      </c>
      <c r="I639">
        <v>1.1238137367493911E-2</v>
      </c>
      <c r="J639">
        <v>0</v>
      </c>
      <c r="K639" s="1">
        <f t="shared" si="81"/>
        <v>2.0044645245883924E-2</v>
      </c>
      <c r="L639" s="1">
        <f t="shared" si="82"/>
        <v>5.5907858529532929E-2</v>
      </c>
      <c r="M639">
        <f t="shared" si="83"/>
        <v>-0.19591439375402933</v>
      </c>
      <c r="N639">
        <f t="shared" si="84"/>
        <v>0.33547416482376452</v>
      </c>
      <c r="O639">
        <f t="shared" si="85"/>
        <v>0.82461935434267741</v>
      </c>
      <c r="P639">
        <f t="shared" si="86"/>
        <v>14.470412109821542</v>
      </c>
      <c r="Q639">
        <f t="shared" si="87"/>
        <v>1.1238137367493911E-2</v>
      </c>
      <c r="R639">
        <f t="shared" si="88"/>
        <v>0</v>
      </c>
      <c r="S639">
        <f t="shared" si="89"/>
        <v>0</v>
      </c>
    </row>
    <row r="640" spans="1:19" x14ac:dyDescent="0.3">
      <c r="A640" t="s">
        <v>216</v>
      </c>
      <c r="B640">
        <v>2009</v>
      </c>
      <c r="C640">
        <v>2.7367897148961443E-2</v>
      </c>
      <c r="D640">
        <v>8.8396482237503127E-2</v>
      </c>
      <c r="E640">
        <v>-5.6032824481654822E-2</v>
      </c>
      <c r="F640">
        <v>0.51106070736235043</v>
      </c>
      <c r="G640">
        <v>0.83427287871600553</v>
      </c>
      <c r="H640">
        <v>14.577164625273049</v>
      </c>
      <c r="I640">
        <v>6.1621937873042459E-3</v>
      </c>
      <c r="J640">
        <v>0</v>
      </c>
      <c r="K640" s="1">
        <f t="shared" si="81"/>
        <v>2.7367897148961443E-2</v>
      </c>
      <c r="L640" s="1">
        <f t="shared" si="82"/>
        <v>8.8396482237503127E-2</v>
      </c>
      <c r="M640">
        <f t="shared" si="83"/>
        <v>-5.6032824481654822E-2</v>
      </c>
      <c r="N640">
        <f t="shared" si="84"/>
        <v>0.51106070736235043</v>
      </c>
      <c r="O640">
        <f t="shared" si="85"/>
        <v>0.83427287871600553</v>
      </c>
      <c r="P640">
        <f t="shared" si="86"/>
        <v>14.577164625273049</v>
      </c>
      <c r="Q640">
        <f t="shared" si="87"/>
        <v>6.1621937873042459E-3</v>
      </c>
      <c r="R640">
        <f t="shared" si="88"/>
        <v>0</v>
      </c>
      <c r="S640">
        <f t="shared" si="89"/>
        <v>0</v>
      </c>
    </row>
    <row r="641" spans="1:19" x14ac:dyDescent="0.3">
      <c r="A641" t="s">
        <v>216</v>
      </c>
      <c r="B641">
        <v>2010</v>
      </c>
      <c r="C641">
        <v>2.3357920939885226E-2</v>
      </c>
      <c r="D641">
        <v>7.5331676249544358E-2</v>
      </c>
      <c r="E641">
        <v>-0.12275913609395922</v>
      </c>
      <c r="F641">
        <v>0.43939799135068203</v>
      </c>
      <c r="G641">
        <v>0.8106749563595933</v>
      </c>
      <c r="H641">
        <v>14.596556887993888</v>
      </c>
      <c r="I641">
        <v>4.5047909425711789E-3</v>
      </c>
      <c r="J641">
        <v>0</v>
      </c>
      <c r="K641" s="1">
        <f t="shared" si="81"/>
        <v>2.3357920939885226E-2</v>
      </c>
      <c r="L641" s="1">
        <f t="shared" si="82"/>
        <v>7.5331676249544358E-2</v>
      </c>
      <c r="M641">
        <f t="shared" si="83"/>
        <v>-0.12275913609395922</v>
      </c>
      <c r="N641">
        <f t="shared" si="84"/>
        <v>0.43939799135068203</v>
      </c>
      <c r="O641">
        <f t="shared" si="85"/>
        <v>0.8106749563595933</v>
      </c>
      <c r="P641">
        <f t="shared" si="86"/>
        <v>14.596556887993888</v>
      </c>
      <c r="Q641">
        <f t="shared" si="87"/>
        <v>4.5047909425711789E-3</v>
      </c>
      <c r="R641">
        <f t="shared" si="88"/>
        <v>0</v>
      </c>
      <c r="S641">
        <f t="shared" si="89"/>
        <v>0</v>
      </c>
    </row>
    <row r="642" spans="1:19" x14ac:dyDescent="0.3">
      <c r="A642" t="s">
        <v>217</v>
      </c>
      <c r="B642">
        <v>2007</v>
      </c>
      <c r="C642">
        <v>0.2452173066372568</v>
      </c>
      <c r="D642">
        <v>5.7454111047239922E-2</v>
      </c>
      <c r="E642">
        <v>0.42217087561158745</v>
      </c>
      <c r="F642">
        <v>0</v>
      </c>
      <c r="G642">
        <v>6.3902560756168301</v>
      </c>
      <c r="H642">
        <v>13.188265343628068</v>
      </c>
      <c r="I642">
        <v>2.4501303241346622E-2</v>
      </c>
      <c r="J642">
        <v>0</v>
      </c>
      <c r="K642" s="1">
        <f t="shared" si="81"/>
        <v>0.2452173066372568</v>
      </c>
      <c r="L642" s="1">
        <f t="shared" si="82"/>
        <v>5.7454111047239922E-2</v>
      </c>
      <c r="M642">
        <f t="shared" si="83"/>
        <v>0.42217087561158745</v>
      </c>
      <c r="N642">
        <f t="shared" si="84"/>
        <v>0</v>
      </c>
      <c r="O642">
        <f t="shared" si="85"/>
        <v>6.3902560756168301</v>
      </c>
      <c r="P642">
        <f t="shared" si="86"/>
        <v>13.188265343628068</v>
      </c>
      <c r="Q642">
        <f t="shared" si="87"/>
        <v>2.4501303241346622E-2</v>
      </c>
      <c r="R642">
        <f t="shared" si="88"/>
        <v>0</v>
      </c>
      <c r="S642">
        <f t="shared" si="89"/>
        <v>0</v>
      </c>
    </row>
    <row r="643" spans="1:19" x14ac:dyDescent="0.3">
      <c r="A643" t="s">
        <v>217</v>
      </c>
      <c r="B643">
        <v>2009</v>
      </c>
      <c r="C643">
        <v>1.2920215150156881E-2</v>
      </c>
      <c r="D643">
        <v>0.20084683357879235</v>
      </c>
      <c r="E643">
        <v>0.57923256707434201</v>
      </c>
      <c r="F643">
        <v>0</v>
      </c>
      <c r="G643">
        <v>2.4551937632067617</v>
      </c>
      <c r="H643">
        <v>13.344994797601782</v>
      </c>
      <c r="I643">
        <v>5.0771402322193668E-2</v>
      </c>
      <c r="J643">
        <v>0</v>
      </c>
      <c r="K643" s="1">
        <f t="shared" ref="K643:K706" si="90">IF(OR(C643&lt;$C$1007-3*$C$1008,C643&gt;$C$1007+3*$C$1008),"out",C643)</f>
        <v>1.2920215150156881E-2</v>
      </c>
      <c r="L643" s="1">
        <f t="shared" ref="L643:L706" si="91">IF(OR(D643&lt;$D$1007-3*$D$1008,D643&gt;$D$1007+3*$D$1008),"out",D643)</f>
        <v>0.20084683357879235</v>
      </c>
      <c r="M643">
        <f t="shared" ref="M643:M706" si="92">IF(OR(E643&lt;$E$1007-3*$E$1008,E643&gt;$E$1007+3*$E$1008),"out",E643)</f>
        <v>0.57923256707434201</v>
      </c>
      <c r="N643">
        <f t="shared" ref="N643:N706" si="93">IF(OR(F643&lt;$F$1007-3*$F$1008,F643&gt;$F$1007+3*$F$1008),"out",F643)</f>
        <v>0</v>
      </c>
      <c r="O643">
        <f t="shared" ref="O643:O706" si="94">IF(OR(G643&lt;$G$1007-3*$G$1008,G643&gt;$G$1007+3*$G$1008),"out",G643)</f>
        <v>2.4551937632067617</v>
      </c>
      <c r="P643">
        <f t="shared" ref="P643:P706" si="95">IF(OR(H643&lt;$H$1007-3*$H$1008,H643&gt;$H$1007+3*$H$1008),"out",H643)</f>
        <v>13.344994797601782</v>
      </c>
      <c r="Q643">
        <f t="shared" ref="Q643:Q706" si="96">IF(OR(I643&lt;$I$1007-3*$I$1008,I643&gt;$I$1007+3*$I$1008),"out",I643)</f>
        <v>5.0771402322193668E-2</v>
      </c>
      <c r="R643">
        <f t="shared" ref="R643:R706" si="97">IF(OR(J643&lt;$J$1007-3*$J$1008,J643&gt;$J$1007+3*$J$1008),"out",J643)</f>
        <v>0</v>
      </c>
      <c r="S643">
        <f t="shared" ref="S643:S706" si="98">IF(OR(K643="out",L643="out",M643="out",N643="out",O643="out",P643="out",Q643="out",R643="out"),1,0)</f>
        <v>0</v>
      </c>
    </row>
    <row r="644" spans="1:19" x14ac:dyDescent="0.3">
      <c r="A644" t="s">
        <v>217</v>
      </c>
      <c r="B644">
        <v>2010</v>
      </c>
      <c r="C644">
        <v>1.4999965862617518E-2</v>
      </c>
      <c r="D644">
        <v>0.10106713457638922</v>
      </c>
      <c r="E644">
        <v>0.66319375695549165</v>
      </c>
      <c r="F644">
        <v>0</v>
      </c>
      <c r="G644">
        <v>2.3833372022366812</v>
      </c>
      <c r="H644">
        <v>13.280849787212516</v>
      </c>
      <c r="I644">
        <v>9.1544147185068717E-3</v>
      </c>
      <c r="J644">
        <v>0</v>
      </c>
      <c r="K644" s="1">
        <f t="shared" si="90"/>
        <v>1.4999965862617518E-2</v>
      </c>
      <c r="L644" s="1">
        <f t="shared" si="91"/>
        <v>0.10106713457638922</v>
      </c>
      <c r="M644">
        <f t="shared" si="92"/>
        <v>0.66319375695549165</v>
      </c>
      <c r="N644">
        <f t="shared" si="93"/>
        <v>0</v>
      </c>
      <c r="O644">
        <f t="shared" si="94"/>
        <v>2.3833372022366812</v>
      </c>
      <c r="P644">
        <f t="shared" si="95"/>
        <v>13.280849787212516</v>
      </c>
      <c r="Q644">
        <f t="shared" si="96"/>
        <v>9.1544147185068717E-3</v>
      </c>
      <c r="R644">
        <f t="shared" si="97"/>
        <v>0</v>
      </c>
      <c r="S644">
        <f t="shared" si="98"/>
        <v>0</v>
      </c>
    </row>
    <row r="645" spans="1:19" x14ac:dyDescent="0.3">
      <c r="A645" t="s">
        <v>218</v>
      </c>
      <c r="B645">
        <v>2007</v>
      </c>
      <c r="C645">
        <v>9.4019717037409953E-2</v>
      </c>
      <c r="D645">
        <v>9.0730095895559706E-2</v>
      </c>
      <c r="E645">
        <v>0.83534653089795619</v>
      </c>
      <c r="F645">
        <v>0</v>
      </c>
      <c r="G645">
        <v>1.2561973496825896</v>
      </c>
      <c r="H645">
        <v>12.577646546736736</v>
      </c>
      <c r="I645">
        <v>1.2572365846949537E-2</v>
      </c>
      <c r="J645">
        <v>9.8554152888073565E-2</v>
      </c>
      <c r="K645" s="1">
        <f t="shared" si="90"/>
        <v>9.4019717037409953E-2</v>
      </c>
      <c r="L645" s="1">
        <f t="shared" si="91"/>
        <v>9.0730095895559706E-2</v>
      </c>
      <c r="M645">
        <f t="shared" si="92"/>
        <v>0.83534653089795619</v>
      </c>
      <c r="N645">
        <f t="shared" si="93"/>
        <v>0</v>
      </c>
      <c r="O645">
        <f t="shared" si="94"/>
        <v>1.2561973496825896</v>
      </c>
      <c r="P645">
        <f t="shared" si="95"/>
        <v>12.577646546736736</v>
      </c>
      <c r="Q645">
        <f t="shared" si="96"/>
        <v>1.2572365846949537E-2</v>
      </c>
      <c r="R645">
        <f t="shared" si="97"/>
        <v>9.8554152888073565E-2</v>
      </c>
      <c r="S645">
        <f t="shared" si="98"/>
        <v>0</v>
      </c>
    </row>
    <row r="646" spans="1:19" x14ac:dyDescent="0.3">
      <c r="A646" t="s">
        <v>218</v>
      </c>
      <c r="B646">
        <v>2009</v>
      </c>
      <c r="C646">
        <v>4.3661774058992131E-2</v>
      </c>
      <c r="D646">
        <v>5.1987742324498008E-2</v>
      </c>
      <c r="E646">
        <v>0.43468079658370984</v>
      </c>
      <c r="F646">
        <v>0</v>
      </c>
      <c r="G646">
        <v>0.61195709813574295</v>
      </c>
      <c r="H646">
        <v>12.397246570901284</v>
      </c>
      <c r="I646">
        <v>2.2011550366865158E-2</v>
      </c>
      <c r="J646">
        <v>1.6862563704395088E-2</v>
      </c>
      <c r="K646" s="1">
        <f t="shared" si="90"/>
        <v>4.3661774058992131E-2</v>
      </c>
      <c r="L646" s="1">
        <f t="shared" si="91"/>
        <v>5.1987742324498008E-2</v>
      </c>
      <c r="M646">
        <f t="shared" si="92"/>
        <v>0.43468079658370984</v>
      </c>
      <c r="N646">
        <f t="shared" si="93"/>
        <v>0</v>
      </c>
      <c r="O646">
        <f t="shared" si="94"/>
        <v>0.61195709813574295</v>
      </c>
      <c r="P646">
        <f t="shared" si="95"/>
        <v>12.397246570901284</v>
      </c>
      <c r="Q646">
        <f t="shared" si="96"/>
        <v>2.2011550366865158E-2</v>
      </c>
      <c r="R646">
        <f t="shared" si="97"/>
        <v>1.6862563704395088E-2</v>
      </c>
      <c r="S646">
        <f t="shared" si="98"/>
        <v>0</v>
      </c>
    </row>
    <row r="647" spans="1:19" x14ac:dyDescent="0.3">
      <c r="A647" t="s">
        <v>218</v>
      </c>
      <c r="B647">
        <v>2010</v>
      </c>
      <c r="C647">
        <v>3.6130158006418465E-2</v>
      </c>
      <c r="D647">
        <v>0.11927204812093366</v>
      </c>
      <c r="E647">
        <v>0.5319827087315645</v>
      </c>
      <c r="F647">
        <v>0</v>
      </c>
      <c r="G647">
        <v>1.6990140820370729</v>
      </c>
      <c r="H647">
        <v>12.337504335320736</v>
      </c>
      <c r="I647">
        <v>3.1662796757588096E-2</v>
      </c>
      <c r="J647">
        <v>8.0550830366694137E-2</v>
      </c>
      <c r="K647" s="1">
        <f t="shared" si="90"/>
        <v>3.6130158006418465E-2</v>
      </c>
      <c r="L647" s="1">
        <f t="shared" si="91"/>
        <v>0.11927204812093366</v>
      </c>
      <c r="M647">
        <f t="shared" si="92"/>
        <v>0.5319827087315645</v>
      </c>
      <c r="N647">
        <f t="shared" si="93"/>
        <v>0</v>
      </c>
      <c r="O647">
        <f t="shared" si="94"/>
        <v>1.6990140820370729</v>
      </c>
      <c r="P647">
        <f t="shared" si="95"/>
        <v>12.337504335320736</v>
      </c>
      <c r="Q647">
        <f t="shared" si="96"/>
        <v>3.1662796757588096E-2</v>
      </c>
      <c r="R647">
        <f t="shared" si="97"/>
        <v>8.0550830366694137E-2</v>
      </c>
      <c r="S647">
        <f t="shared" si="98"/>
        <v>0</v>
      </c>
    </row>
    <row r="648" spans="1:19" x14ac:dyDescent="0.3">
      <c r="A648" t="s">
        <v>219</v>
      </c>
      <c r="B648">
        <v>2007</v>
      </c>
      <c r="C648">
        <v>1.0613166403869811E-2</v>
      </c>
      <c r="D648">
        <v>7.9811461544435178E-2</v>
      </c>
      <c r="E648">
        <v>-7.234791827749322E-2</v>
      </c>
      <c r="F648">
        <v>6.2772996413132413E-3</v>
      </c>
      <c r="G648">
        <v>1.3894226234891993</v>
      </c>
      <c r="H648">
        <v>14.390458491263802</v>
      </c>
      <c r="I648">
        <v>1.8825686306013986E-3</v>
      </c>
      <c r="J648">
        <v>1.5395844095624292E-2</v>
      </c>
      <c r="K648" s="1">
        <f t="shared" si="90"/>
        <v>1.0613166403869811E-2</v>
      </c>
      <c r="L648" s="1">
        <f t="shared" si="91"/>
        <v>7.9811461544435178E-2</v>
      </c>
      <c r="M648">
        <f t="shared" si="92"/>
        <v>-7.234791827749322E-2</v>
      </c>
      <c r="N648">
        <f t="shared" si="93"/>
        <v>6.2772996413132413E-3</v>
      </c>
      <c r="O648">
        <f t="shared" si="94"/>
        <v>1.3894226234891993</v>
      </c>
      <c r="P648">
        <f t="shared" si="95"/>
        <v>14.390458491263802</v>
      </c>
      <c r="Q648">
        <f t="shared" si="96"/>
        <v>1.8825686306013986E-3</v>
      </c>
      <c r="R648">
        <f t="shared" si="97"/>
        <v>1.5395844095624292E-2</v>
      </c>
      <c r="S648">
        <f t="shared" si="98"/>
        <v>0</v>
      </c>
    </row>
    <row r="649" spans="1:19" x14ac:dyDescent="0.3">
      <c r="A649" t="s">
        <v>219</v>
      </c>
      <c r="B649">
        <v>2008</v>
      </c>
      <c r="C649">
        <v>3.4767095419494382E-2</v>
      </c>
      <c r="D649">
        <v>0.11686164658226934</v>
      </c>
      <c r="E649">
        <v>-5.3266505630623011E-2</v>
      </c>
      <c r="F649">
        <v>2.2999510576730067E-3</v>
      </c>
      <c r="G649">
        <v>0.76564792198096876</v>
      </c>
      <c r="H649">
        <v>14.388474574863604</v>
      </c>
      <c r="I649">
        <v>5.2360445616694423E-3</v>
      </c>
      <c r="J649">
        <v>0</v>
      </c>
      <c r="K649" s="1">
        <f t="shared" si="90"/>
        <v>3.4767095419494382E-2</v>
      </c>
      <c r="L649" s="1">
        <f t="shared" si="91"/>
        <v>0.11686164658226934</v>
      </c>
      <c r="M649">
        <f t="shared" si="92"/>
        <v>-5.3266505630623011E-2</v>
      </c>
      <c r="N649">
        <f t="shared" si="93"/>
        <v>2.2999510576730067E-3</v>
      </c>
      <c r="O649">
        <f t="shared" si="94"/>
        <v>0.76564792198096876</v>
      </c>
      <c r="P649">
        <f t="shared" si="95"/>
        <v>14.388474574863604</v>
      </c>
      <c r="Q649">
        <f t="shared" si="96"/>
        <v>5.2360445616694423E-3</v>
      </c>
      <c r="R649">
        <f t="shared" si="97"/>
        <v>0</v>
      </c>
      <c r="S649">
        <f t="shared" si="98"/>
        <v>0</v>
      </c>
    </row>
    <row r="650" spans="1:19" x14ac:dyDescent="0.3">
      <c r="A650" t="s">
        <v>219</v>
      </c>
      <c r="B650">
        <v>2009</v>
      </c>
      <c r="C650">
        <v>4.3625305316501925E-3</v>
      </c>
      <c r="D650">
        <v>9.9980097358869591E-2</v>
      </c>
      <c r="E650">
        <v>0.10521078252334101</v>
      </c>
      <c r="F650">
        <v>0</v>
      </c>
      <c r="G650">
        <v>0.64343784241103019</v>
      </c>
      <c r="H650">
        <v>14.846431984306376</v>
      </c>
      <c r="I650">
        <v>1.9730210932906011E-2</v>
      </c>
      <c r="J650">
        <v>0</v>
      </c>
      <c r="K650" s="1">
        <f t="shared" si="90"/>
        <v>4.3625305316501925E-3</v>
      </c>
      <c r="L650" s="1">
        <f t="shared" si="91"/>
        <v>9.9980097358869591E-2</v>
      </c>
      <c r="M650">
        <f t="shared" si="92"/>
        <v>0.10521078252334101</v>
      </c>
      <c r="N650">
        <f t="shared" si="93"/>
        <v>0</v>
      </c>
      <c r="O650">
        <f t="shared" si="94"/>
        <v>0.64343784241103019</v>
      </c>
      <c r="P650">
        <f t="shared" si="95"/>
        <v>14.846431984306376</v>
      </c>
      <c r="Q650">
        <f t="shared" si="96"/>
        <v>1.9730210932906011E-2</v>
      </c>
      <c r="R650">
        <f t="shared" si="97"/>
        <v>0</v>
      </c>
      <c r="S650">
        <f t="shared" si="98"/>
        <v>0</v>
      </c>
    </row>
    <row r="651" spans="1:19" x14ac:dyDescent="0.3">
      <c r="A651" t="s">
        <v>219</v>
      </c>
      <c r="B651">
        <v>2010</v>
      </c>
      <c r="C651">
        <v>5.1211029641743443E-3</v>
      </c>
      <c r="D651">
        <v>4.6451014605539624E-2</v>
      </c>
      <c r="E651">
        <v>3.628756514319343E-2</v>
      </c>
      <c r="F651">
        <v>0</v>
      </c>
      <c r="G651">
        <v>0.52885477146612969</v>
      </c>
      <c r="H651">
        <v>15.64151266513592</v>
      </c>
      <c r="I651">
        <v>8.4000908759747014E-4</v>
      </c>
      <c r="J651">
        <v>0</v>
      </c>
      <c r="K651" s="1">
        <f t="shared" si="90"/>
        <v>5.1211029641743443E-3</v>
      </c>
      <c r="L651" s="1">
        <f t="shared" si="91"/>
        <v>4.6451014605539624E-2</v>
      </c>
      <c r="M651">
        <f t="shared" si="92"/>
        <v>3.628756514319343E-2</v>
      </c>
      <c r="N651">
        <f t="shared" si="93"/>
        <v>0</v>
      </c>
      <c r="O651">
        <f t="shared" si="94"/>
        <v>0.52885477146612969</v>
      </c>
      <c r="P651">
        <f t="shared" si="95"/>
        <v>15.64151266513592</v>
      </c>
      <c r="Q651">
        <f t="shared" si="96"/>
        <v>8.4000908759747014E-4</v>
      </c>
      <c r="R651">
        <f t="shared" si="97"/>
        <v>0</v>
      </c>
      <c r="S651">
        <f t="shared" si="98"/>
        <v>0</v>
      </c>
    </row>
    <row r="652" spans="1:19" x14ac:dyDescent="0.3">
      <c r="A652" t="s">
        <v>220</v>
      </c>
      <c r="B652">
        <v>2007</v>
      </c>
      <c r="C652">
        <v>4.5614475706774385E-4</v>
      </c>
      <c r="D652">
        <v>0.11598983296009227</v>
      </c>
      <c r="E652">
        <v>7.6973701039726339E-2</v>
      </c>
      <c r="F652">
        <v>0.51488080703786132</v>
      </c>
      <c r="G652">
        <v>1.6614094559052315</v>
      </c>
      <c r="H652">
        <v>15.967312295325975</v>
      </c>
      <c r="I652">
        <v>1.1781892167205073E-2</v>
      </c>
      <c r="J652">
        <v>2.481425152959069E-2</v>
      </c>
      <c r="K652" s="1">
        <f t="shared" si="90"/>
        <v>4.5614475706774385E-4</v>
      </c>
      <c r="L652" s="1">
        <f t="shared" si="91"/>
        <v>0.11598983296009227</v>
      </c>
      <c r="M652">
        <f t="shared" si="92"/>
        <v>7.6973701039726339E-2</v>
      </c>
      <c r="N652">
        <f t="shared" si="93"/>
        <v>0.51488080703786132</v>
      </c>
      <c r="O652">
        <f t="shared" si="94"/>
        <v>1.6614094559052315</v>
      </c>
      <c r="P652">
        <f t="shared" si="95"/>
        <v>15.967312295325975</v>
      </c>
      <c r="Q652">
        <f t="shared" si="96"/>
        <v>1.1781892167205073E-2</v>
      </c>
      <c r="R652">
        <f t="shared" si="97"/>
        <v>2.481425152959069E-2</v>
      </c>
      <c r="S652">
        <f t="shared" si="98"/>
        <v>0</v>
      </c>
    </row>
    <row r="653" spans="1:19" x14ac:dyDescent="0.3">
      <c r="A653" t="s">
        <v>220</v>
      </c>
      <c r="B653">
        <v>2008</v>
      </c>
      <c r="C653">
        <v>2.644969123989727E-3</v>
      </c>
      <c r="D653">
        <v>0.10595234745479833</v>
      </c>
      <c r="E653">
        <v>7.0381719316508967E-2</v>
      </c>
      <c r="F653">
        <v>0.41309691667142689</v>
      </c>
      <c r="G653">
        <v>1.0036036692664958</v>
      </c>
      <c r="H653">
        <v>16.178834242750519</v>
      </c>
      <c r="I653">
        <v>1.8979589042810538E-2</v>
      </c>
      <c r="J653">
        <v>1.9588073302892254E-2</v>
      </c>
      <c r="K653" s="1">
        <f t="shared" si="90"/>
        <v>2.644969123989727E-3</v>
      </c>
      <c r="L653" s="1">
        <f t="shared" si="91"/>
        <v>0.10595234745479833</v>
      </c>
      <c r="M653">
        <f t="shared" si="92"/>
        <v>7.0381719316508967E-2</v>
      </c>
      <c r="N653">
        <f t="shared" si="93"/>
        <v>0.41309691667142689</v>
      </c>
      <c r="O653">
        <f t="shared" si="94"/>
        <v>1.0036036692664958</v>
      </c>
      <c r="P653">
        <f t="shared" si="95"/>
        <v>16.178834242750519</v>
      </c>
      <c r="Q653">
        <f t="shared" si="96"/>
        <v>1.8979589042810538E-2</v>
      </c>
      <c r="R653">
        <f t="shared" si="97"/>
        <v>1.9588073302892254E-2</v>
      </c>
      <c r="S653">
        <f t="shared" si="98"/>
        <v>0</v>
      </c>
    </row>
    <row r="654" spans="1:19" x14ac:dyDescent="0.3">
      <c r="A654" t="s">
        <v>220</v>
      </c>
      <c r="B654">
        <v>2009</v>
      </c>
      <c r="C654">
        <v>0.11051689529871465</v>
      </c>
      <c r="D654">
        <v>6.2316892418282727E-2</v>
      </c>
      <c r="E654">
        <v>2.9494102226171336E-2</v>
      </c>
      <c r="F654">
        <v>0.49634261181286604</v>
      </c>
      <c r="G654">
        <v>1.1632151989479447</v>
      </c>
      <c r="H654">
        <v>16.229536752327707</v>
      </c>
      <c r="I654">
        <v>1.7115142620087002E-2</v>
      </c>
      <c r="J654">
        <v>2.0109261402686263E-2</v>
      </c>
      <c r="K654" s="1">
        <f t="shared" si="90"/>
        <v>0.11051689529871465</v>
      </c>
      <c r="L654" s="1">
        <f t="shared" si="91"/>
        <v>6.2316892418282727E-2</v>
      </c>
      <c r="M654">
        <f t="shared" si="92"/>
        <v>2.9494102226171336E-2</v>
      </c>
      <c r="N654">
        <f t="shared" si="93"/>
        <v>0.49634261181286604</v>
      </c>
      <c r="O654">
        <f t="shared" si="94"/>
        <v>1.1632151989479447</v>
      </c>
      <c r="P654">
        <f t="shared" si="95"/>
        <v>16.229536752327707</v>
      </c>
      <c r="Q654">
        <f t="shared" si="96"/>
        <v>1.7115142620087002E-2</v>
      </c>
      <c r="R654">
        <f t="shared" si="97"/>
        <v>2.0109261402686263E-2</v>
      </c>
      <c r="S654">
        <f t="shared" si="98"/>
        <v>0</v>
      </c>
    </row>
    <row r="655" spans="1:19" x14ac:dyDescent="0.3">
      <c r="A655" t="s">
        <v>220</v>
      </c>
      <c r="B655">
        <v>2010</v>
      </c>
      <c r="C655">
        <v>1.1497924530796397E-3</v>
      </c>
      <c r="D655">
        <v>8.4597067261579062E-2</v>
      </c>
      <c r="E655">
        <v>2.8041117874624003E-5</v>
      </c>
      <c r="F655">
        <v>0.68391502837590534</v>
      </c>
      <c r="G655">
        <v>1.0687022607964702</v>
      </c>
      <c r="H655">
        <v>16.747139842189611</v>
      </c>
      <c r="I655">
        <v>2.370913768863812E-2</v>
      </c>
      <c r="J655">
        <v>2.1304958991730964E-2</v>
      </c>
      <c r="K655" s="1">
        <f t="shared" si="90"/>
        <v>1.1497924530796397E-3</v>
      </c>
      <c r="L655" s="1">
        <f t="shared" si="91"/>
        <v>8.4597067261579062E-2</v>
      </c>
      <c r="M655">
        <f t="shared" si="92"/>
        <v>2.8041117874624003E-5</v>
      </c>
      <c r="N655">
        <f t="shared" si="93"/>
        <v>0.68391502837590534</v>
      </c>
      <c r="O655">
        <f t="shared" si="94"/>
        <v>1.0687022607964702</v>
      </c>
      <c r="P655">
        <f t="shared" si="95"/>
        <v>16.747139842189611</v>
      </c>
      <c r="Q655">
        <f t="shared" si="96"/>
        <v>2.370913768863812E-2</v>
      </c>
      <c r="R655">
        <f t="shared" si="97"/>
        <v>2.1304958991730964E-2</v>
      </c>
      <c r="S655">
        <f t="shared" si="98"/>
        <v>0</v>
      </c>
    </row>
    <row r="656" spans="1:19" x14ac:dyDescent="0.3">
      <c r="A656" t="s">
        <v>221</v>
      </c>
      <c r="B656">
        <v>2007</v>
      </c>
      <c r="C656">
        <v>0.24678613581181438</v>
      </c>
      <c r="D656">
        <v>0.22801452558475277</v>
      </c>
      <c r="E656">
        <v>0.40467746750552008</v>
      </c>
      <c r="F656">
        <v>4.4174746962206309E-2</v>
      </c>
      <c r="G656">
        <v>2.6572401943522501</v>
      </c>
      <c r="H656">
        <v>13.894278299367469</v>
      </c>
      <c r="I656">
        <v>1.3382842241821654E-2</v>
      </c>
      <c r="J656">
        <v>7.763738350926519E-2</v>
      </c>
      <c r="K656" s="1">
        <f t="shared" si="90"/>
        <v>0.24678613581181438</v>
      </c>
      <c r="L656" s="1">
        <f t="shared" si="91"/>
        <v>0.22801452558475277</v>
      </c>
      <c r="M656">
        <f t="shared" si="92"/>
        <v>0.40467746750552008</v>
      </c>
      <c r="N656">
        <f t="shared" si="93"/>
        <v>4.4174746962206309E-2</v>
      </c>
      <c r="O656">
        <f t="shared" si="94"/>
        <v>2.6572401943522501</v>
      </c>
      <c r="P656">
        <f t="shared" si="95"/>
        <v>13.894278299367469</v>
      </c>
      <c r="Q656">
        <f t="shared" si="96"/>
        <v>1.3382842241821654E-2</v>
      </c>
      <c r="R656">
        <f t="shared" si="97"/>
        <v>7.763738350926519E-2</v>
      </c>
      <c r="S656">
        <f t="shared" si="98"/>
        <v>0</v>
      </c>
    </row>
    <row r="657" spans="1:19" x14ac:dyDescent="0.3">
      <c r="A657" t="s">
        <v>221</v>
      </c>
      <c r="B657">
        <v>2009</v>
      </c>
      <c r="C657">
        <v>0.14561237656897991</v>
      </c>
      <c r="D657">
        <v>0.15203853688800453</v>
      </c>
      <c r="E657">
        <v>0.35597252132696072</v>
      </c>
      <c r="F657">
        <v>1.0726995456396018E-4</v>
      </c>
      <c r="G657">
        <v>1.1362786359025638</v>
      </c>
      <c r="H657">
        <v>14.281825517424759</v>
      </c>
      <c r="I657">
        <v>2.3090708450040211E-2</v>
      </c>
      <c r="J657">
        <v>2.8981707022543629E-2</v>
      </c>
      <c r="K657" s="1">
        <f t="shared" si="90"/>
        <v>0.14561237656897991</v>
      </c>
      <c r="L657" s="1">
        <f t="shared" si="91"/>
        <v>0.15203853688800453</v>
      </c>
      <c r="M657">
        <f t="shared" si="92"/>
        <v>0.35597252132696072</v>
      </c>
      <c r="N657">
        <f t="shared" si="93"/>
        <v>1.0726995456396018E-4</v>
      </c>
      <c r="O657">
        <f t="shared" si="94"/>
        <v>1.1362786359025638</v>
      </c>
      <c r="P657">
        <f t="shared" si="95"/>
        <v>14.281825517424759</v>
      </c>
      <c r="Q657">
        <f t="shared" si="96"/>
        <v>2.3090708450040211E-2</v>
      </c>
      <c r="R657">
        <f t="shared" si="97"/>
        <v>2.8981707022543629E-2</v>
      </c>
      <c r="S657">
        <f t="shared" si="98"/>
        <v>0</v>
      </c>
    </row>
    <row r="658" spans="1:19" x14ac:dyDescent="0.3">
      <c r="A658" t="s">
        <v>221</v>
      </c>
      <c r="B658">
        <v>2010</v>
      </c>
      <c r="C658">
        <v>9.0266031657590368E-2</v>
      </c>
      <c r="D658">
        <v>0.10233772665866273</v>
      </c>
      <c r="E658">
        <v>0.31244956077801878</v>
      </c>
      <c r="F658">
        <v>9.1164817136400927E-2</v>
      </c>
      <c r="G658">
        <v>0.98167715802483879</v>
      </c>
      <c r="H658">
        <v>14.408344464087905</v>
      </c>
      <c r="I658">
        <v>2.0194032145252894E-3</v>
      </c>
      <c r="J658">
        <v>9.1205168513985892E-3</v>
      </c>
      <c r="K658" s="1">
        <f t="shared" si="90"/>
        <v>9.0266031657590368E-2</v>
      </c>
      <c r="L658" s="1">
        <f t="shared" si="91"/>
        <v>0.10233772665866273</v>
      </c>
      <c r="M658">
        <f t="shared" si="92"/>
        <v>0.31244956077801878</v>
      </c>
      <c r="N658">
        <f t="shared" si="93"/>
        <v>9.1164817136400927E-2</v>
      </c>
      <c r="O658">
        <f t="shared" si="94"/>
        <v>0.98167715802483879</v>
      </c>
      <c r="P658">
        <f t="shared" si="95"/>
        <v>14.408344464087905</v>
      </c>
      <c r="Q658">
        <f t="shared" si="96"/>
        <v>2.0194032145252894E-3</v>
      </c>
      <c r="R658">
        <f t="shared" si="97"/>
        <v>9.1205168513985892E-3</v>
      </c>
      <c r="S658">
        <f t="shared" si="98"/>
        <v>0</v>
      </c>
    </row>
    <row r="659" spans="1:19" x14ac:dyDescent="0.3">
      <c r="A659" t="s">
        <v>222</v>
      </c>
      <c r="B659">
        <v>2007</v>
      </c>
      <c r="C659">
        <v>0.26342052195416343</v>
      </c>
      <c r="D659">
        <v>0.10562727232583129</v>
      </c>
      <c r="E659">
        <v>0.36215905912831003</v>
      </c>
      <c r="F659">
        <v>0.21335943594801066</v>
      </c>
      <c r="G659">
        <v>0.75457261874972403</v>
      </c>
      <c r="H659">
        <v>11.126336084130871</v>
      </c>
      <c r="I659">
        <v>3.3531598509327805E-3</v>
      </c>
      <c r="J659">
        <v>0</v>
      </c>
      <c r="K659" s="1">
        <f t="shared" si="90"/>
        <v>0.26342052195416343</v>
      </c>
      <c r="L659" s="1">
        <f t="shared" si="91"/>
        <v>0.10562727232583129</v>
      </c>
      <c r="M659">
        <f t="shared" si="92"/>
        <v>0.36215905912831003</v>
      </c>
      <c r="N659">
        <f t="shared" si="93"/>
        <v>0.21335943594801066</v>
      </c>
      <c r="O659">
        <f t="shared" si="94"/>
        <v>0.75457261874972403</v>
      </c>
      <c r="P659">
        <f t="shared" si="95"/>
        <v>11.126336084130871</v>
      </c>
      <c r="Q659">
        <f t="shared" si="96"/>
        <v>3.3531598509327805E-3</v>
      </c>
      <c r="R659">
        <f t="shared" si="97"/>
        <v>0</v>
      </c>
      <c r="S659">
        <f t="shared" si="98"/>
        <v>0</v>
      </c>
    </row>
    <row r="660" spans="1:19" x14ac:dyDescent="0.3">
      <c r="A660" t="s">
        <v>222</v>
      </c>
      <c r="B660">
        <v>2008</v>
      </c>
      <c r="C660">
        <v>0.31305582542410881</v>
      </c>
      <c r="D660">
        <v>9.1413197817801356E-2</v>
      </c>
      <c r="E660">
        <v>0.28574844929377474</v>
      </c>
      <c r="F660">
        <v>0.29474628204170095</v>
      </c>
      <c r="G660">
        <v>0.65577580150960313</v>
      </c>
      <c r="H660">
        <v>11.111028981739089</v>
      </c>
      <c r="I660">
        <v>8.9365674927413333E-3</v>
      </c>
      <c r="J660">
        <v>0</v>
      </c>
      <c r="K660" s="1">
        <f t="shared" si="90"/>
        <v>0.31305582542410881</v>
      </c>
      <c r="L660" s="1">
        <f t="shared" si="91"/>
        <v>9.1413197817801356E-2</v>
      </c>
      <c r="M660">
        <f t="shared" si="92"/>
        <v>0.28574844929377474</v>
      </c>
      <c r="N660">
        <f t="shared" si="93"/>
        <v>0.29474628204170095</v>
      </c>
      <c r="O660">
        <f t="shared" si="94"/>
        <v>0.65577580150960313</v>
      </c>
      <c r="P660">
        <f t="shared" si="95"/>
        <v>11.111028981739089</v>
      </c>
      <c r="Q660">
        <f t="shared" si="96"/>
        <v>8.9365674927413333E-3</v>
      </c>
      <c r="R660">
        <f t="shared" si="97"/>
        <v>0</v>
      </c>
      <c r="S660">
        <f t="shared" si="98"/>
        <v>0</v>
      </c>
    </row>
    <row r="661" spans="1:19" x14ac:dyDescent="0.3">
      <c r="A661" t="s">
        <v>222</v>
      </c>
      <c r="B661">
        <v>2009</v>
      </c>
      <c r="C661">
        <v>7.5048332030767967E-2</v>
      </c>
      <c r="D661">
        <v>7.9634733248323805E-2</v>
      </c>
      <c r="E661">
        <v>0.31261568837151904</v>
      </c>
      <c r="F661">
        <v>0.17070461930813213</v>
      </c>
      <c r="G661">
        <v>0.71101147628645478</v>
      </c>
      <c r="H661">
        <v>10.791831382359332</v>
      </c>
      <c r="I661">
        <v>4.466522748209021E-2</v>
      </c>
      <c r="J661">
        <v>0</v>
      </c>
      <c r="K661" s="1">
        <f t="shared" si="90"/>
        <v>7.5048332030767967E-2</v>
      </c>
      <c r="L661" s="1">
        <f t="shared" si="91"/>
        <v>7.9634733248323805E-2</v>
      </c>
      <c r="M661">
        <f t="shared" si="92"/>
        <v>0.31261568837151904</v>
      </c>
      <c r="N661">
        <f t="shared" si="93"/>
        <v>0.17070461930813213</v>
      </c>
      <c r="O661">
        <f t="shared" si="94"/>
        <v>0.71101147628645478</v>
      </c>
      <c r="P661">
        <f t="shared" si="95"/>
        <v>10.791831382359332</v>
      </c>
      <c r="Q661">
        <f t="shared" si="96"/>
        <v>4.466522748209021E-2</v>
      </c>
      <c r="R661">
        <f t="shared" si="97"/>
        <v>0</v>
      </c>
      <c r="S661">
        <f t="shared" si="98"/>
        <v>0</v>
      </c>
    </row>
    <row r="662" spans="1:19" x14ac:dyDescent="0.3">
      <c r="A662" t="s">
        <v>222</v>
      </c>
      <c r="B662">
        <v>2010</v>
      </c>
      <c r="C662">
        <v>4.1911269367722069E-2</v>
      </c>
      <c r="D662">
        <v>0.22004619382157636</v>
      </c>
      <c r="E662">
        <v>0.16333846598017515</v>
      </c>
      <c r="F662">
        <v>0.19969204118949091</v>
      </c>
      <c r="G662">
        <v>0.68383697430468671</v>
      </c>
      <c r="H662">
        <v>10.634989686972537</v>
      </c>
      <c r="I662">
        <v>4.955830385261837E-2</v>
      </c>
      <c r="J662">
        <v>0</v>
      </c>
      <c r="K662" s="1">
        <f t="shared" si="90"/>
        <v>4.1911269367722069E-2</v>
      </c>
      <c r="L662" s="1">
        <f t="shared" si="91"/>
        <v>0.22004619382157636</v>
      </c>
      <c r="M662">
        <f t="shared" si="92"/>
        <v>0.16333846598017515</v>
      </c>
      <c r="N662">
        <f t="shared" si="93"/>
        <v>0.19969204118949091</v>
      </c>
      <c r="O662">
        <f t="shared" si="94"/>
        <v>0.68383697430468671</v>
      </c>
      <c r="P662">
        <f t="shared" si="95"/>
        <v>10.634989686972537</v>
      </c>
      <c r="Q662">
        <f t="shared" si="96"/>
        <v>4.955830385261837E-2</v>
      </c>
      <c r="R662">
        <f t="shared" si="97"/>
        <v>0</v>
      </c>
      <c r="S662">
        <f t="shared" si="98"/>
        <v>0</v>
      </c>
    </row>
    <row r="663" spans="1:19" x14ac:dyDescent="0.3">
      <c r="A663" t="s">
        <v>223</v>
      </c>
      <c r="B663">
        <v>2007</v>
      </c>
      <c r="C663">
        <v>2.2253668345269574E-2</v>
      </c>
      <c r="D663">
        <v>3.7892578272057685E-2</v>
      </c>
      <c r="E663">
        <v>4.7696239309425424E-2</v>
      </c>
      <c r="F663">
        <v>0.59411913208700384</v>
      </c>
      <c r="G663">
        <v>1.0134886151747475</v>
      </c>
      <c r="H663">
        <v>13.020476820558002</v>
      </c>
      <c r="I663">
        <v>3.609603100704132E-3</v>
      </c>
      <c r="J663">
        <v>7.5293534057037067E-3</v>
      </c>
      <c r="K663" s="1">
        <f t="shared" si="90"/>
        <v>2.2253668345269574E-2</v>
      </c>
      <c r="L663" s="1">
        <f t="shared" si="91"/>
        <v>3.7892578272057685E-2</v>
      </c>
      <c r="M663">
        <f t="shared" si="92"/>
        <v>4.7696239309425424E-2</v>
      </c>
      <c r="N663">
        <f t="shared" si="93"/>
        <v>0.59411913208700384</v>
      </c>
      <c r="O663">
        <f t="shared" si="94"/>
        <v>1.0134886151747475</v>
      </c>
      <c r="P663">
        <f t="shared" si="95"/>
        <v>13.020476820558002</v>
      </c>
      <c r="Q663">
        <f t="shared" si="96"/>
        <v>3.609603100704132E-3</v>
      </c>
      <c r="R663">
        <f t="shared" si="97"/>
        <v>7.5293534057037067E-3</v>
      </c>
      <c r="S663">
        <f t="shared" si="98"/>
        <v>0</v>
      </c>
    </row>
    <row r="664" spans="1:19" x14ac:dyDescent="0.3">
      <c r="A664" t="s">
        <v>223</v>
      </c>
      <c r="B664">
        <v>2009</v>
      </c>
      <c r="C664">
        <v>5.5252624225035265E-3</v>
      </c>
      <c r="D664">
        <v>0.39381829685708136</v>
      </c>
      <c r="E664">
        <v>8.9667429731404139E-2</v>
      </c>
      <c r="F664">
        <v>0.18242373380318203</v>
      </c>
      <c r="G664">
        <v>1.0455663888290838</v>
      </c>
      <c r="H664">
        <v>13.028452617954414</v>
      </c>
      <c r="I664">
        <v>6.2505136147573109E-2</v>
      </c>
      <c r="J664">
        <v>0</v>
      </c>
      <c r="K664" s="1">
        <f t="shared" si="90"/>
        <v>5.5252624225035265E-3</v>
      </c>
      <c r="L664" s="1">
        <f t="shared" si="91"/>
        <v>0.39381829685708136</v>
      </c>
      <c r="M664">
        <f t="shared" si="92"/>
        <v>8.9667429731404139E-2</v>
      </c>
      <c r="N664">
        <f t="shared" si="93"/>
        <v>0.18242373380318203</v>
      </c>
      <c r="O664">
        <f t="shared" si="94"/>
        <v>1.0455663888290838</v>
      </c>
      <c r="P664">
        <f t="shared" si="95"/>
        <v>13.028452617954414</v>
      </c>
      <c r="Q664">
        <f t="shared" si="96"/>
        <v>6.2505136147573109E-2</v>
      </c>
      <c r="R664">
        <f t="shared" si="97"/>
        <v>0</v>
      </c>
      <c r="S664">
        <f t="shared" si="98"/>
        <v>0</v>
      </c>
    </row>
    <row r="665" spans="1:19" x14ac:dyDescent="0.3">
      <c r="A665" t="s">
        <v>223</v>
      </c>
      <c r="B665">
        <v>2010</v>
      </c>
      <c r="C665">
        <v>5.8564337107479497E-4</v>
      </c>
      <c r="D665">
        <v>0.64776897763400076</v>
      </c>
      <c r="E665">
        <v>-0.23292152378827596</v>
      </c>
      <c r="F665">
        <v>0.98249762953873609</v>
      </c>
      <c r="G665">
        <v>1.2852445758268727</v>
      </c>
      <c r="H665">
        <v>12.789907066149418</v>
      </c>
      <c r="I665">
        <v>7.9787703749141833E-2</v>
      </c>
      <c r="J665">
        <v>0</v>
      </c>
      <c r="K665" s="1">
        <f t="shared" si="90"/>
        <v>5.8564337107479497E-4</v>
      </c>
      <c r="L665" s="1">
        <f t="shared" si="91"/>
        <v>0.64776897763400076</v>
      </c>
      <c r="M665">
        <f t="shared" si="92"/>
        <v>-0.23292152378827596</v>
      </c>
      <c r="N665">
        <f t="shared" si="93"/>
        <v>0.98249762953873609</v>
      </c>
      <c r="O665">
        <f t="shared" si="94"/>
        <v>1.2852445758268727</v>
      </c>
      <c r="P665">
        <f t="shared" si="95"/>
        <v>12.789907066149418</v>
      </c>
      <c r="Q665">
        <f t="shared" si="96"/>
        <v>7.9787703749141833E-2</v>
      </c>
      <c r="R665">
        <f t="shared" si="97"/>
        <v>0</v>
      </c>
      <c r="S665">
        <f t="shared" si="98"/>
        <v>0</v>
      </c>
    </row>
    <row r="666" spans="1:19" x14ac:dyDescent="0.3">
      <c r="A666" t="s">
        <v>224</v>
      </c>
      <c r="B666">
        <v>2007</v>
      </c>
      <c r="C666">
        <v>3.9861920716869462E-2</v>
      </c>
      <c r="D666">
        <v>8.1199463092551952E-2</v>
      </c>
      <c r="E666">
        <v>0.24575825259649003</v>
      </c>
      <c r="F666">
        <v>1.5615982760605461E-2</v>
      </c>
      <c r="G666">
        <v>1.5559036074086541</v>
      </c>
      <c r="H666">
        <v>14.783296743790357</v>
      </c>
      <c r="I666">
        <v>5.4693443604750293E-3</v>
      </c>
      <c r="J666">
        <v>1.1890076064421296E-2</v>
      </c>
      <c r="K666" s="1">
        <f t="shared" si="90"/>
        <v>3.9861920716869462E-2</v>
      </c>
      <c r="L666" s="1">
        <f t="shared" si="91"/>
        <v>8.1199463092551952E-2</v>
      </c>
      <c r="M666">
        <f t="shared" si="92"/>
        <v>0.24575825259649003</v>
      </c>
      <c r="N666">
        <f t="shared" si="93"/>
        <v>1.5615982760605461E-2</v>
      </c>
      <c r="O666">
        <f t="shared" si="94"/>
        <v>1.5559036074086541</v>
      </c>
      <c r="P666">
        <f t="shared" si="95"/>
        <v>14.783296743790357</v>
      </c>
      <c r="Q666">
        <f t="shared" si="96"/>
        <v>5.4693443604750293E-3</v>
      </c>
      <c r="R666">
        <f t="shared" si="97"/>
        <v>1.1890076064421296E-2</v>
      </c>
      <c r="S666">
        <f t="shared" si="98"/>
        <v>0</v>
      </c>
    </row>
    <row r="667" spans="1:19" x14ac:dyDescent="0.3">
      <c r="A667" t="s">
        <v>224</v>
      </c>
      <c r="B667">
        <v>2008</v>
      </c>
      <c r="C667">
        <v>8.9937684301168181E-3</v>
      </c>
      <c r="D667">
        <v>6.669319023829702E-2</v>
      </c>
      <c r="E667">
        <v>0.2444025896116501</v>
      </c>
      <c r="F667">
        <v>1.0088141281735068E-2</v>
      </c>
      <c r="G667">
        <v>1.2041343709119443</v>
      </c>
      <c r="H667">
        <v>14.81691677075233</v>
      </c>
      <c r="I667">
        <v>3.8560400074614185E-3</v>
      </c>
      <c r="J667">
        <v>0</v>
      </c>
      <c r="K667" s="1">
        <f t="shared" si="90"/>
        <v>8.9937684301168181E-3</v>
      </c>
      <c r="L667" s="1">
        <f t="shared" si="91"/>
        <v>6.669319023829702E-2</v>
      </c>
      <c r="M667">
        <f t="shared" si="92"/>
        <v>0.2444025896116501</v>
      </c>
      <c r="N667">
        <f t="shared" si="93"/>
        <v>1.0088141281735068E-2</v>
      </c>
      <c r="O667">
        <f t="shared" si="94"/>
        <v>1.2041343709119443</v>
      </c>
      <c r="P667">
        <f t="shared" si="95"/>
        <v>14.81691677075233</v>
      </c>
      <c r="Q667">
        <f t="shared" si="96"/>
        <v>3.8560400074614185E-3</v>
      </c>
      <c r="R667">
        <f t="shared" si="97"/>
        <v>0</v>
      </c>
      <c r="S667">
        <f t="shared" si="98"/>
        <v>0</v>
      </c>
    </row>
    <row r="668" spans="1:19" x14ac:dyDescent="0.3">
      <c r="A668" t="s">
        <v>224</v>
      </c>
      <c r="B668">
        <v>2009</v>
      </c>
      <c r="C668">
        <v>4.6943083048877638E-3</v>
      </c>
      <c r="D668">
        <v>3.5952585658248375E-2</v>
      </c>
      <c r="E668">
        <v>0.12260802143462715</v>
      </c>
      <c r="F668">
        <v>0.30751009567083409</v>
      </c>
      <c r="G668">
        <v>0.66090360699018236</v>
      </c>
      <c r="H668">
        <v>15.610253239652524</v>
      </c>
      <c r="I668">
        <v>7.1386724532115477E-3</v>
      </c>
      <c r="J668">
        <v>1.1819354375577233E-2</v>
      </c>
      <c r="K668" s="1">
        <f t="shared" si="90"/>
        <v>4.6943083048877638E-3</v>
      </c>
      <c r="L668" s="1">
        <f t="shared" si="91"/>
        <v>3.5952585658248375E-2</v>
      </c>
      <c r="M668">
        <f t="shared" si="92"/>
        <v>0.12260802143462715</v>
      </c>
      <c r="N668">
        <f t="shared" si="93"/>
        <v>0.30751009567083409</v>
      </c>
      <c r="O668">
        <f t="shared" si="94"/>
        <v>0.66090360699018236</v>
      </c>
      <c r="P668">
        <f t="shared" si="95"/>
        <v>15.610253239652524</v>
      </c>
      <c r="Q668">
        <f t="shared" si="96"/>
        <v>7.1386724532115477E-3</v>
      </c>
      <c r="R668">
        <f t="shared" si="97"/>
        <v>1.1819354375577233E-2</v>
      </c>
      <c r="S668">
        <f t="shared" si="98"/>
        <v>0</v>
      </c>
    </row>
    <row r="669" spans="1:19" x14ac:dyDescent="0.3">
      <c r="A669" t="s">
        <v>224</v>
      </c>
      <c r="B669">
        <v>2010</v>
      </c>
      <c r="C669">
        <v>1.3635761428603323E-2</v>
      </c>
      <c r="D669">
        <v>3.4758513428884918E-2</v>
      </c>
      <c r="E669">
        <v>0.11675184807784098</v>
      </c>
      <c r="F669">
        <v>0.29760151982127953</v>
      </c>
      <c r="G669">
        <v>0.58421358651520383</v>
      </c>
      <c r="H669">
        <v>15.629766897570851</v>
      </c>
      <c r="I669">
        <v>7.1737345300041206E-3</v>
      </c>
      <c r="J669">
        <v>9.2726958364451727E-3</v>
      </c>
      <c r="K669" s="1">
        <f t="shared" si="90"/>
        <v>1.3635761428603323E-2</v>
      </c>
      <c r="L669" s="1">
        <f t="shared" si="91"/>
        <v>3.4758513428884918E-2</v>
      </c>
      <c r="M669">
        <f t="shared" si="92"/>
        <v>0.11675184807784098</v>
      </c>
      <c r="N669">
        <f t="shared" si="93"/>
        <v>0.29760151982127953</v>
      </c>
      <c r="O669">
        <f t="shared" si="94"/>
        <v>0.58421358651520383</v>
      </c>
      <c r="P669">
        <f t="shared" si="95"/>
        <v>15.629766897570851</v>
      </c>
      <c r="Q669">
        <f t="shared" si="96"/>
        <v>7.1737345300041206E-3</v>
      </c>
      <c r="R669">
        <f t="shared" si="97"/>
        <v>9.2726958364451727E-3</v>
      </c>
      <c r="S669">
        <f t="shared" si="98"/>
        <v>0</v>
      </c>
    </row>
    <row r="670" spans="1:19" x14ac:dyDescent="0.3">
      <c r="A670" t="s">
        <v>225</v>
      </c>
      <c r="B670">
        <v>2007</v>
      </c>
      <c r="C670">
        <v>3.0542979501314961E-3</v>
      </c>
      <c r="D670">
        <v>0.12966667958843489</v>
      </c>
      <c r="E670">
        <v>0.12299251829620365</v>
      </c>
      <c r="F670">
        <v>0.24743077842772004</v>
      </c>
      <c r="G670">
        <v>1.4830457287775258</v>
      </c>
      <c r="H670">
        <v>14.711861813178803</v>
      </c>
      <c r="I670">
        <v>2.6787016277485452E-2</v>
      </c>
      <c r="J670">
        <v>2.2088062530476672E-2</v>
      </c>
      <c r="K670" s="1">
        <f t="shared" si="90"/>
        <v>3.0542979501314961E-3</v>
      </c>
      <c r="L670" s="1">
        <f t="shared" si="91"/>
        <v>0.12966667958843489</v>
      </c>
      <c r="M670">
        <f t="shared" si="92"/>
        <v>0.12299251829620365</v>
      </c>
      <c r="N670">
        <f t="shared" si="93"/>
        <v>0.24743077842772004</v>
      </c>
      <c r="O670">
        <f t="shared" si="94"/>
        <v>1.4830457287775258</v>
      </c>
      <c r="P670">
        <f t="shared" si="95"/>
        <v>14.711861813178803</v>
      </c>
      <c r="Q670">
        <f t="shared" si="96"/>
        <v>2.6787016277485452E-2</v>
      </c>
      <c r="R670">
        <f t="shared" si="97"/>
        <v>2.2088062530476672E-2</v>
      </c>
      <c r="S670">
        <f t="shared" si="98"/>
        <v>0</v>
      </c>
    </row>
    <row r="671" spans="1:19" x14ac:dyDescent="0.3">
      <c r="A671" t="s">
        <v>225</v>
      </c>
      <c r="B671">
        <v>2009</v>
      </c>
      <c r="C671">
        <v>5.708682334949531E-2</v>
      </c>
      <c r="D671">
        <v>0.28445010198917225</v>
      </c>
      <c r="E671">
        <v>0.2245153049487206</v>
      </c>
      <c r="F671">
        <v>0.2314877602038469</v>
      </c>
      <c r="G671">
        <v>1.459346666783518</v>
      </c>
      <c r="H671">
        <v>15.1106124498613</v>
      </c>
      <c r="I671">
        <v>4.8309286899484757E-2</v>
      </c>
      <c r="J671">
        <v>6.588653896293116E-2</v>
      </c>
      <c r="K671" s="1">
        <f t="shared" si="90"/>
        <v>5.708682334949531E-2</v>
      </c>
      <c r="L671" s="1">
        <f t="shared" si="91"/>
        <v>0.28445010198917225</v>
      </c>
      <c r="M671">
        <f t="shared" si="92"/>
        <v>0.2245153049487206</v>
      </c>
      <c r="N671">
        <f t="shared" si="93"/>
        <v>0.2314877602038469</v>
      </c>
      <c r="O671">
        <f t="shared" si="94"/>
        <v>1.459346666783518</v>
      </c>
      <c r="P671">
        <f t="shared" si="95"/>
        <v>15.1106124498613</v>
      </c>
      <c r="Q671">
        <f t="shared" si="96"/>
        <v>4.8309286899484757E-2</v>
      </c>
      <c r="R671">
        <f t="shared" si="97"/>
        <v>6.588653896293116E-2</v>
      </c>
      <c r="S671">
        <f t="shared" si="98"/>
        <v>0</v>
      </c>
    </row>
    <row r="672" spans="1:19" x14ac:dyDescent="0.3">
      <c r="A672" t="s">
        <v>225</v>
      </c>
      <c r="B672">
        <v>2010</v>
      </c>
      <c r="C672">
        <v>5.4580386492294831E-2</v>
      </c>
      <c r="D672">
        <v>0.13607642235869527</v>
      </c>
      <c r="E672">
        <v>0.16011458863240088</v>
      </c>
      <c r="F672">
        <v>0.31085446411609957</v>
      </c>
      <c r="G672">
        <v>1.2614246138830194</v>
      </c>
      <c r="H672">
        <v>15.329067107500039</v>
      </c>
      <c r="I672">
        <v>5.093756043673188E-3</v>
      </c>
      <c r="J672">
        <v>1.9858859806126495E-2</v>
      </c>
      <c r="K672" s="1">
        <f t="shared" si="90"/>
        <v>5.4580386492294831E-2</v>
      </c>
      <c r="L672" s="1">
        <f t="shared" si="91"/>
        <v>0.13607642235869527</v>
      </c>
      <c r="M672">
        <f t="shared" si="92"/>
        <v>0.16011458863240088</v>
      </c>
      <c r="N672">
        <f t="shared" si="93"/>
        <v>0.31085446411609957</v>
      </c>
      <c r="O672">
        <f t="shared" si="94"/>
        <v>1.2614246138830194</v>
      </c>
      <c r="P672">
        <f t="shared" si="95"/>
        <v>15.329067107500039</v>
      </c>
      <c r="Q672">
        <f t="shared" si="96"/>
        <v>5.093756043673188E-3</v>
      </c>
      <c r="R672">
        <f t="shared" si="97"/>
        <v>1.9858859806126495E-2</v>
      </c>
      <c r="S672">
        <f t="shared" si="98"/>
        <v>0</v>
      </c>
    </row>
    <row r="673" spans="1:19" x14ac:dyDescent="0.3">
      <c r="A673" t="s">
        <v>226</v>
      </c>
      <c r="B673">
        <v>2007</v>
      </c>
      <c r="C673">
        <v>2.7466388908941532E-3</v>
      </c>
      <c r="D673">
        <v>9.7493649042113981E-2</v>
      </c>
      <c r="E673">
        <v>1.1536570860877069E-2</v>
      </c>
      <c r="F673">
        <v>0.25905032983729859</v>
      </c>
      <c r="G673">
        <v>1.5685542504150898</v>
      </c>
      <c r="H673">
        <v>12.580738282084809</v>
      </c>
      <c r="I673">
        <v>1.3635567658033386E-2</v>
      </c>
      <c r="J673">
        <v>1.546918023657533E-2</v>
      </c>
      <c r="K673" s="1">
        <f t="shared" si="90"/>
        <v>2.7466388908941532E-3</v>
      </c>
      <c r="L673" s="1">
        <f t="shared" si="91"/>
        <v>9.7493649042113981E-2</v>
      </c>
      <c r="M673">
        <f t="shared" si="92"/>
        <v>1.1536570860877069E-2</v>
      </c>
      <c r="N673">
        <f t="shared" si="93"/>
        <v>0.25905032983729859</v>
      </c>
      <c r="O673">
        <f t="shared" si="94"/>
        <v>1.5685542504150898</v>
      </c>
      <c r="P673">
        <f t="shared" si="95"/>
        <v>12.580738282084809</v>
      </c>
      <c r="Q673">
        <f t="shared" si="96"/>
        <v>1.3635567658033386E-2</v>
      </c>
      <c r="R673">
        <f t="shared" si="97"/>
        <v>1.546918023657533E-2</v>
      </c>
      <c r="S673">
        <f t="shared" si="98"/>
        <v>0</v>
      </c>
    </row>
    <row r="674" spans="1:19" x14ac:dyDescent="0.3">
      <c r="A674" t="s">
        <v>226</v>
      </c>
      <c r="B674">
        <v>2009</v>
      </c>
      <c r="C674">
        <v>1.0384273966178531E-3</v>
      </c>
      <c r="D674">
        <v>7.820307396841171E-2</v>
      </c>
      <c r="E674">
        <v>7.4281056516131913E-3</v>
      </c>
      <c r="F674">
        <v>0.1515126984038366</v>
      </c>
      <c r="G674">
        <v>1.0119865786050459</v>
      </c>
      <c r="H674">
        <v>12.788941683143864</v>
      </c>
      <c r="I674">
        <v>2.450988264181797E-2</v>
      </c>
      <c r="J674">
        <v>0</v>
      </c>
      <c r="K674" s="1">
        <f t="shared" si="90"/>
        <v>1.0384273966178531E-3</v>
      </c>
      <c r="L674" s="1">
        <f t="shared" si="91"/>
        <v>7.820307396841171E-2</v>
      </c>
      <c r="M674">
        <f t="shared" si="92"/>
        <v>7.4281056516131913E-3</v>
      </c>
      <c r="N674">
        <f t="shared" si="93"/>
        <v>0.1515126984038366</v>
      </c>
      <c r="O674">
        <f t="shared" si="94"/>
        <v>1.0119865786050459</v>
      </c>
      <c r="P674">
        <f t="shared" si="95"/>
        <v>12.788941683143864</v>
      </c>
      <c r="Q674">
        <f t="shared" si="96"/>
        <v>2.450988264181797E-2</v>
      </c>
      <c r="R674">
        <f t="shared" si="97"/>
        <v>0</v>
      </c>
      <c r="S674">
        <f t="shared" si="98"/>
        <v>0</v>
      </c>
    </row>
    <row r="675" spans="1:19" x14ac:dyDescent="0.3">
      <c r="A675" t="s">
        <v>226</v>
      </c>
      <c r="B675">
        <v>2010</v>
      </c>
      <c r="C675">
        <v>1.1010294273003651E-3</v>
      </c>
      <c r="D675">
        <v>0.14412686488326507</v>
      </c>
      <c r="E675">
        <v>9.5782517342974192E-3</v>
      </c>
      <c r="F675">
        <v>0.32240207528787579</v>
      </c>
      <c r="G675">
        <v>1.4821945465002992</v>
      </c>
      <c r="H675">
        <v>12.962112462251808</v>
      </c>
      <c r="I675">
        <v>8.9230013121286006E-3</v>
      </c>
      <c r="J675">
        <v>9.1556818048431216E-3</v>
      </c>
      <c r="K675" s="1">
        <f t="shared" si="90"/>
        <v>1.1010294273003651E-3</v>
      </c>
      <c r="L675" s="1">
        <f t="shared" si="91"/>
        <v>0.14412686488326507</v>
      </c>
      <c r="M675">
        <f t="shared" si="92"/>
        <v>9.5782517342974192E-3</v>
      </c>
      <c r="N675">
        <f t="shared" si="93"/>
        <v>0.32240207528787579</v>
      </c>
      <c r="O675">
        <f t="shared" si="94"/>
        <v>1.4821945465002992</v>
      </c>
      <c r="P675">
        <f t="shared" si="95"/>
        <v>12.962112462251808</v>
      </c>
      <c r="Q675">
        <f t="shared" si="96"/>
        <v>8.9230013121286006E-3</v>
      </c>
      <c r="R675">
        <f t="shared" si="97"/>
        <v>9.1556818048431216E-3</v>
      </c>
      <c r="S675">
        <f t="shared" si="98"/>
        <v>0</v>
      </c>
    </row>
    <row r="676" spans="1:19" x14ac:dyDescent="0.3">
      <c r="A676" t="s">
        <v>227</v>
      </c>
      <c r="B676">
        <v>2007</v>
      </c>
      <c r="C676">
        <v>0.16311775943921342</v>
      </c>
      <c r="D676">
        <v>0.14159403661488296</v>
      </c>
      <c r="E676">
        <v>0.33478413881766533</v>
      </c>
      <c r="F676">
        <v>0.21291917146078876</v>
      </c>
      <c r="G676">
        <v>1.2534808782759834</v>
      </c>
      <c r="H676">
        <v>14.616492789991348</v>
      </c>
      <c r="I676">
        <v>1.2019379453230629E-2</v>
      </c>
      <c r="J676">
        <v>5.2870009265044926E-2</v>
      </c>
      <c r="K676" s="1">
        <f t="shared" si="90"/>
        <v>0.16311775943921342</v>
      </c>
      <c r="L676" s="1">
        <f t="shared" si="91"/>
        <v>0.14159403661488296</v>
      </c>
      <c r="M676">
        <f t="shared" si="92"/>
        <v>0.33478413881766533</v>
      </c>
      <c r="N676">
        <f t="shared" si="93"/>
        <v>0.21291917146078876</v>
      </c>
      <c r="O676">
        <f t="shared" si="94"/>
        <v>1.2534808782759834</v>
      </c>
      <c r="P676">
        <f t="shared" si="95"/>
        <v>14.616492789991348</v>
      </c>
      <c r="Q676">
        <f t="shared" si="96"/>
        <v>1.2019379453230629E-2</v>
      </c>
      <c r="R676">
        <f t="shared" si="97"/>
        <v>5.2870009265044926E-2</v>
      </c>
      <c r="S676">
        <f t="shared" si="98"/>
        <v>0</v>
      </c>
    </row>
    <row r="677" spans="1:19" x14ac:dyDescent="0.3">
      <c r="A677" t="s">
        <v>227</v>
      </c>
      <c r="B677">
        <v>2008</v>
      </c>
      <c r="C677">
        <v>8.6910114415584716E-2</v>
      </c>
      <c r="D677">
        <v>7.5842588168695921E-2</v>
      </c>
      <c r="E677">
        <v>0.27880576949743702</v>
      </c>
      <c r="F677">
        <v>0.37454962524589935</v>
      </c>
      <c r="G677">
        <v>0.63910673113630245</v>
      </c>
      <c r="H677">
        <v>14.906881021131417</v>
      </c>
      <c r="I677">
        <v>1.3152708334150942E-2</v>
      </c>
      <c r="J677">
        <v>3.9545346035208047E-2</v>
      </c>
      <c r="K677" s="1">
        <f t="shared" si="90"/>
        <v>8.6910114415584716E-2</v>
      </c>
      <c r="L677" s="1">
        <f t="shared" si="91"/>
        <v>7.5842588168695921E-2</v>
      </c>
      <c r="M677">
        <f t="shared" si="92"/>
        <v>0.27880576949743702</v>
      </c>
      <c r="N677">
        <f t="shared" si="93"/>
        <v>0.37454962524589935</v>
      </c>
      <c r="O677">
        <f t="shared" si="94"/>
        <v>0.63910673113630245</v>
      </c>
      <c r="P677">
        <f t="shared" si="95"/>
        <v>14.906881021131417</v>
      </c>
      <c r="Q677">
        <f t="shared" si="96"/>
        <v>1.3152708334150942E-2</v>
      </c>
      <c r="R677">
        <f t="shared" si="97"/>
        <v>3.9545346035208047E-2</v>
      </c>
      <c r="S677">
        <f t="shared" si="98"/>
        <v>0</v>
      </c>
    </row>
    <row r="678" spans="1:19" x14ac:dyDescent="0.3">
      <c r="A678" t="s">
        <v>227</v>
      </c>
      <c r="B678">
        <v>2009</v>
      </c>
      <c r="C678">
        <v>2.4493997460651461E-2</v>
      </c>
      <c r="D678">
        <v>4.7537950743959452E-2</v>
      </c>
      <c r="E678">
        <v>0.18073743838714468</v>
      </c>
      <c r="F678">
        <v>0</v>
      </c>
      <c r="G678">
        <v>0.85070492752288351</v>
      </c>
      <c r="H678">
        <v>15.035597725707316</v>
      </c>
      <c r="I678">
        <v>5.7009819402795373E-3</v>
      </c>
      <c r="J678">
        <v>2.3179452118283692E-2</v>
      </c>
      <c r="K678" s="1">
        <f t="shared" si="90"/>
        <v>2.4493997460651461E-2</v>
      </c>
      <c r="L678" s="1">
        <f t="shared" si="91"/>
        <v>4.7537950743959452E-2</v>
      </c>
      <c r="M678">
        <f t="shared" si="92"/>
        <v>0.18073743838714468</v>
      </c>
      <c r="N678">
        <f t="shared" si="93"/>
        <v>0</v>
      </c>
      <c r="O678">
        <f t="shared" si="94"/>
        <v>0.85070492752288351</v>
      </c>
      <c r="P678">
        <f t="shared" si="95"/>
        <v>15.035597725707316</v>
      </c>
      <c r="Q678">
        <f t="shared" si="96"/>
        <v>5.7009819402795373E-3</v>
      </c>
      <c r="R678">
        <f t="shared" si="97"/>
        <v>2.3179452118283692E-2</v>
      </c>
      <c r="S678">
        <f t="shared" si="98"/>
        <v>0</v>
      </c>
    </row>
    <row r="679" spans="1:19" x14ac:dyDescent="0.3">
      <c r="A679" t="s">
        <v>227</v>
      </c>
      <c r="B679">
        <v>2010</v>
      </c>
      <c r="C679">
        <v>1.3453748488512697E-2</v>
      </c>
      <c r="D679">
        <v>4.1056907496977026E-2</v>
      </c>
      <c r="E679">
        <v>0.2073477176541717</v>
      </c>
      <c r="F679">
        <v>0.30403756045949215</v>
      </c>
      <c r="G679">
        <v>0.79648452614873033</v>
      </c>
      <c r="H679">
        <v>14.78871078381151</v>
      </c>
      <c r="I679">
        <v>4.9381414089060497E-3</v>
      </c>
      <c r="J679">
        <v>2.2252871825876663E-2</v>
      </c>
      <c r="K679" s="1">
        <f t="shared" si="90"/>
        <v>1.3453748488512697E-2</v>
      </c>
      <c r="L679" s="1">
        <f t="shared" si="91"/>
        <v>4.1056907496977026E-2</v>
      </c>
      <c r="M679">
        <f t="shared" si="92"/>
        <v>0.2073477176541717</v>
      </c>
      <c r="N679">
        <f t="shared" si="93"/>
        <v>0.30403756045949215</v>
      </c>
      <c r="O679">
        <f t="shared" si="94"/>
        <v>0.79648452614873033</v>
      </c>
      <c r="P679">
        <f t="shared" si="95"/>
        <v>14.78871078381151</v>
      </c>
      <c r="Q679">
        <f t="shared" si="96"/>
        <v>4.9381414089060497E-3</v>
      </c>
      <c r="R679">
        <f t="shared" si="97"/>
        <v>2.2252871825876663E-2</v>
      </c>
      <c r="S679">
        <f t="shared" si="98"/>
        <v>0</v>
      </c>
    </row>
    <row r="680" spans="1:19" x14ac:dyDescent="0.3">
      <c r="A680" t="s">
        <v>228</v>
      </c>
      <c r="B680">
        <v>2007</v>
      </c>
      <c r="C680">
        <v>0.23384458923093301</v>
      </c>
      <c r="D680">
        <v>0.30978940753001422</v>
      </c>
      <c r="E680">
        <v>0.74275873920113089</v>
      </c>
      <c r="F680">
        <v>5.1599235034511533E-2</v>
      </c>
      <c r="G680">
        <v>1.9804350727706113</v>
      </c>
      <c r="H680">
        <v>15.124135767296856</v>
      </c>
      <c r="I680">
        <v>2.7002485985861493E-2</v>
      </c>
      <c r="J680">
        <v>2.2150279296702963E-2</v>
      </c>
      <c r="K680" s="1">
        <f t="shared" si="90"/>
        <v>0.23384458923093301</v>
      </c>
      <c r="L680" s="1">
        <f t="shared" si="91"/>
        <v>0.30978940753001422</v>
      </c>
      <c r="M680">
        <f t="shared" si="92"/>
        <v>0.74275873920113089</v>
      </c>
      <c r="N680">
        <f t="shared" si="93"/>
        <v>5.1599235034511533E-2</v>
      </c>
      <c r="O680">
        <f t="shared" si="94"/>
        <v>1.9804350727706113</v>
      </c>
      <c r="P680">
        <f t="shared" si="95"/>
        <v>15.124135767296856</v>
      </c>
      <c r="Q680">
        <f t="shared" si="96"/>
        <v>2.7002485985861493E-2</v>
      </c>
      <c r="R680">
        <f t="shared" si="97"/>
        <v>2.2150279296702963E-2</v>
      </c>
      <c r="S680">
        <f t="shared" si="98"/>
        <v>0</v>
      </c>
    </row>
    <row r="681" spans="1:19" x14ac:dyDescent="0.3">
      <c r="A681" t="s">
        <v>228</v>
      </c>
      <c r="B681">
        <v>2008</v>
      </c>
      <c r="C681">
        <v>1.3543634715272776E-2</v>
      </c>
      <c r="D681">
        <v>0.19943407151403969</v>
      </c>
      <c r="E681">
        <v>0.64071863619255698</v>
      </c>
      <c r="F681">
        <v>0.1368705105866708</v>
      </c>
      <c r="G681">
        <v>0.77782258429436657</v>
      </c>
      <c r="H681">
        <v>15.544568218265715</v>
      </c>
      <c r="I681">
        <v>4.5643570518075827E-2</v>
      </c>
      <c r="J681">
        <v>0</v>
      </c>
      <c r="K681" s="1">
        <f t="shared" si="90"/>
        <v>1.3543634715272776E-2</v>
      </c>
      <c r="L681" s="1">
        <f t="shared" si="91"/>
        <v>0.19943407151403969</v>
      </c>
      <c r="M681">
        <f t="shared" si="92"/>
        <v>0.64071863619255698</v>
      </c>
      <c r="N681">
        <f t="shared" si="93"/>
        <v>0.1368705105866708</v>
      </c>
      <c r="O681">
        <f t="shared" si="94"/>
        <v>0.77782258429436657</v>
      </c>
      <c r="P681">
        <f t="shared" si="95"/>
        <v>15.544568218265715</v>
      </c>
      <c r="Q681">
        <f t="shared" si="96"/>
        <v>4.5643570518075827E-2</v>
      </c>
      <c r="R681">
        <f t="shared" si="97"/>
        <v>0</v>
      </c>
      <c r="S681">
        <f t="shared" si="98"/>
        <v>0</v>
      </c>
    </row>
    <row r="682" spans="1:19" x14ac:dyDescent="0.3">
      <c r="A682" t="s">
        <v>228</v>
      </c>
      <c r="B682">
        <v>2009</v>
      </c>
      <c r="C682">
        <v>5.7842336801767813E-2</v>
      </c>
      <c r="D682">
        <v>8.4729934596063788E-2</v>
      </c>
      <c r="E682">
        <v>0.1545986146230795</v>
      </c>
      <c r="F682">
        <v>0.17915499544423757</v>
      </c>
      <c r="G682">
        <v>0.52883281173154717</v>
      </c>
      <c r="H682">
        <v>16.152451666016539</v>
      </c>
      <c r="I682">
        <v>2.8968961017346487E-2</v>
      </c>
      <c r="J682">
        <v>4.1189310045963443E-3</v>
      </c>
      <c r="K682" s="1">
        <f t="shared" si="90"/>
        <v>5.7842336801767813E-2</v>
      </c>
      <c r="L682" s="1">
        <f t="shared" si="91"/>
        <v>8.4729934596063788E-2</v>
      </c>
      <c r="M682">
        <f t="shared" si="92"/>
        <v>0.1545986146230795</v>
      </c>
      <c r="N682">
        <f t="shared" si="93"/>
        <v>0.17915499544423757</v>
      </c>
      <c r="O682">
        <f t="shared" si="94"/>
        <v>0.52883281173154717</v>
      </c>
      <c r="P682">
        <f t="shared" si="95"/>
        <v>16.152451666016539</v>
      </c>
      <c r="Q682">
        <f t="shared" si="96"/>
        <v>2.8968961017346487E-2</v>
      </c>
      <c r="R682">
        <f t="shared" si="97"/>
        <v>4.1189310045963443E-3</v>
      </c>
      <c r="S682">
        <f t="shared" si="98"/>
        <v>0</v>
      </c>
    </row>
    <row r="683" spans="1:19" x14ac:dyDescent="0.3">
      <c r="A683" t="s">
        <v>228</v>
      </c>
      <c r="B683">
        <v>2010</v>
      </c>
      <c r="C683">
        <v>7.4307216781683047E-2</v>
      </c>
      <c r="D683">
        <v>0.19996139183346648</v>
      </c>
      <c r="E683">
        <v>0.16820535919415874</v>
      </c>
      <c r="F683">
        <v>0.22138810859407818</v>
      </c>
      <c r="G683">
        <v>0.73969327352390601</v>
      </c>
      <c r="H683">
        <v>16.216486081914436</v>
      </c>
      <c r="I683">
        <v>1.4478060376328577E-2</v>
      </c>
      <c r="J683">
        <v>1.8544789324932583E-2</v>
      </c>
      <c r="K683" s="1">
        <f t="shared" si="90"/>
        <v>7.4307216781683047E-2</v>
      </c>
      <c r="L683" s="1">
        <f t="shared" si="91"/>
        <v>0.19996139183346648</v>
      </c>
      <c r="M683">
        <f t="shared" si="92"/>
        <v>0.16820535919415874</v>
      </c>
      <c r="N683">
        <f t="shared" si="93"/>
        <v>0.22138810859407818</v>
      </c>
      <c r="O683">
        <f t="shared" si="94"/>
        <v>0.73969327352390601</v>
      </c>
      <c r="P683">
        <f t="shared" si="95"/>
        <v>16.216486081914436</v>
      </c>
      <c r="Q683">
        <f t="shared" si="96"/>
        <v>1.4478060376328577E-2</v>
      </c>
      <c r="R683">
        <f t="shared" si="97"/>
        <v>1.8544789324932583E-2</v>
      </c>
      <c r="S683">
        <f t="shared" si="98"/>
        <v>0</v>
      </c>
    </row>
    <row r="684" spans="1:19" x14ac:dyDescent="0.3">
      <c r="A684" t="s">
        <v>229</v>
      </c>
      <c r="B684">
        <v>2007</v>
      </c>
      <c r="C684">
        <v>6.0234037851168633E-2</v>
      </c>
      <c r="D684">
        <v>6.4669305049579268E-2</v>
      </c>
      <c r="E684">
        <v>0.25264753454912259</v>
      </c>
      <c r="F684">
        <v>0.24629064964869013</v>
      </c>
      <c r="G684">
        <v>0.9171616459206976</v>
      </c>
      <c r="H684">
        <v>14.60973263401657</v>
      </c>
      <c r="I684">
        <v>1.0341315075456513E-2</v>
      </c>
      <c r="J684">
        <v>3.7799648305998188E-3</v>
      </c>
      <c r="K684" s="1">
        <f t="shared" si="90"/>
        <v>6.0234037851168633E-2</v>
      </c>
      <c r="L684" s="1">
        <f t="shared" si="91"/>
        <v>6.4669305049579268E-2</v>
      </c>
      <c r="M684">
        <f t="shared" si="92"/>
        <v>0.25264753454912259</v>
      </c>
      <c r="N684">
        <f t="shared" si="93"/>
        <v>0.24629064964869013</v>
      </c>
      <c r="O684">
        <f t="shared" si="94"/>
        <v>0.9171616459206976</v>
      </c>
      <c r="P684">
        <f t="shared" si="95"/>
        <v>14.60973263401657</v>
      </c>
      <c r="Q684">
        <f t="shared" si="96"/>
        <v>1.0341315075456513E-2</v>
      </c>
      <c r="R684">
        <f t="shared" si="97"/>
        <v>3.7799648305998188E-3</v>
      </c>
      <c r="S684">
        <f t="shared" si="98"/>
        <v>0</v>
      </c>
    </row>
    <row r="685" spans="1:19" x14ac:dyDescent="0.3">
      <c r="A685" t="s">
        <v>229</v>
      </c>
      <c r="B685">
        <v>2009</v>
      </c>
      <c r="C685">
        <v>2.2567414750510568E-2</v>
      </c>
      <c r="D685">
        <v>1.7140196800999194E-2</v>
      </c>
      <c r="E685">
        <v>-0.14905594031832478</v>
      </c>
      <c r="F685">
        <v>0.3931893239114902</v>
      </c>
      <c r="G685">
        <v>0.80135532763596884</v>
      </c>
      <c r="H685">
        <v>15.083826239290715</v>
      </c>
      <c r="I685">
        <v>1.7369711024459975E-2</v>
      </c>
      <c r="J685">
        <v>0</v>
      </c>
      <c r="K685" s="1">
        <f t="shared" si="90"/>
        <v>2.2567414750510568E-2</v>
      </c>
      <c r="L685" s="1">
        <f t="shared" si="91"/>
        <v>1.7140196800999194E-2</v>
      </c>
      <c r="M685">
        <f t="shared" si="92"/>
        <v>-0.14905594031832478</v>
      </c>
      <c r="N685">
        <f t="shared" si="93"/>
        <v>0.3931893239114902</v>
      </c>
      <c r="O685">
        <f t="shared" si="94"/>
        <v>0.80135532763596884</v>
      </c>
      <c r="P685">
        <f t="shared" si="95"/>
        <v>15.083826239290715</v>
      </c>
      <c r="Q685">
        <f t="shared" si="96"/>
        <v>1.7369711024459975E-2</v>
      </c>
      <c r="R685">
        <f t="shared" si="97"/>
        <v>0</v>
      </c>
      <c r="S685">
        <f t="shared" si="98"/>
        <v>0</v>
      </c>
    </row>
    <row r="686" spans="1:19" x14ac:dyDescent="0.3">
      <c r="A686" t="s">
        <v>229</v>
      </c>
      <c r="B686">
        <v>2010</v>
      </c>
      <c r="C686">
        <v>2.2010299638861031E-2</v>
      </c>
      <c r="D686">
        <v>6.9545077210208098E-2</v>
      </c>
      <c r="E686">
        <v>-8.5562440699731249E-2</v>
      </c>
      <c r="F686">
        <v>0.37681304529096932</v>
      </c>
      <c r="G686">
        <v>1.1358096145502397</v>
      </c>
      <c r="H686">
        <v>15.1439845803379</v>
      </c>
      <c r="I686">
        <v>5.9670083933407898E-3</v>
      </c>
      <c r="J686">
        <v>5.5389563364605203E-2</v>
      </c>
      <c r="K686" s="1">
        <f t="shared" si="90"/>
        <v>2.2010299638861031E-2</v>
      </c>
      <c r="L686" s="1">
        <f t="shared" si="91"/>
        <v>6.9545077210208098E-2</v>
      </c>
      <c r="M686">
        <f t="shared" si="92"/>
        <v>-8.5562440699731249E-2</v>
      </c>
      <c r="N686">
        <f t="shared" si="93"/>
        <v>0.37681304529096932</v>
      </c>
      <c r="O686">
        <f t="shared" si="94"/>
        <v>1.1358096145502397</v>
      </c>
      <c r="P686">
        <f t="shared" si="95"/>
        <v>15.1439845803379</v>
      </c>
      <c r="Q686">
        <f t="shared" si="96"/>
        <v>5.9670083933407898E-3</v>
      </c>
      <c r="R686">
        <f t="shared" si="97"/>
        <v>5.5389563364605203E-2</v>
      </c>
      <c r="S686">
        <f t="shared" si="98"/>
        <v>0</v>
      </c>
    </row>
    <row r="687" spans="1:19" x14ac:dyDescent="0.3">
      <c r="A687" t="s">
        <v>230</v>
      </c>
      <c r="B687">
        <v>2009</v>
      </c>
      <c r="C687">
        <v>0.12030684200495521</v>
      </c>
      <c r="D687">
        <v>0.10818086525633695</v>
      </c>
      <c r="E687">
        <v>0.32906303602058318</v>
      </c>
      <c r="F687">
        <v>8.2308938441013908E-3</v>
      </c>
      <c r="G687">
        <v>0.73173360968172285</v>
      </c>
      <c r="H687">
        <v>12.031147666486438</v>
      </c>
      <c r="I687">
        <v>1.6069941393370261E-2</v>
      </c>
      <c r="J687">
        <v>0</v>
      </c>
      <c r="K687" s="1">
        <f t="shared" si="90"/>
        <v>0.12030684200495521</v>
      </c>
      <c r="L687" s="1">
        <f t="shared" si="91"/>
        <v>0.10818086525633695</v>
      </c>
      <c r="M687">
        <f t="shared" si="92"/>
        <v>0.32906303602058318</v>
      </c>
      <c r="N687">
        <f t="shared" si="93"/>
        <v>8.2308938441013908E-3</v>
      </c>
      <c r="O687">
        <f t="shared" si="94"/>
        <v>0.73173360968172285</v>
      </c>
      <c r="P687">
        <f t="shared" si="95"/>
        <v>12.031147666486438</v>
      </c>
      <c r="Q687">
        <f t="shared" si="96"/>
        <v>1.6069941393370261E-2</v>
      </c>
      <c r="R687">
        <f t="shared" si="97"/>
        <v>0</v>
      </c>
      <c r="S687">
        <f t="shared" si="98"/>
        <v>0</v>
      </c>
    </row>
    <row r="688" spans="1:19" x14ac:dyDescent="0.3">
      <c r="A688" t="s">
        <v>230</v>
      </c>
      <c r="B688">
        <v>2010</v>
      </c>
      <c r="C688">
        <v>0.1591167584413502</v>
      </c>
      <c r="D688">
        <v>5.8682352705390739E-2</v>
      </c>
      <c r="E688">
        <v>0.281341597230225</v>
      </c>
      <c r="F688">
        <v>1.2476012486033379E-3</v>
      </c>
      <c r="G688">
        <v>0.8892490843408507</v>
      </c>
      <c r="H688">
        <v>12.20398546889162</v>
      </c>
      <c r="I688">
        <v>2.9061533246111111E-2</v>
      </c>
      <c r="J688">
        <v>0</v>
      </c>
      <c r="K688" s="1">
        <f t="shared" si="90"/>
        <v>0.1591167584413502</v>
      </c>
      <c r="L688" s="1">
        <f t="shared" si="91"/>
        <v>5.8682352705390739E-2</v>
      </c>
      <c r="M688">
        <f t="shared" si="92"/>
        <v>0.281341597230225</v>
      </c>
      <c r="N688">
        <f t="shared" si="93"/>
        <v>1.2476012486033379E-3</v>
      </c>
      <c r="O688">
        <f t="shared" si="94"/>
        <v>0.8892490843408507</v>
      </c>
      <c r="P688">
        <f t="shared" si="95"/>
        <v>12.20398546889162</v>
      </c>
      <c r="Q688">
        <f t="shared" si="96"/>
        <v>2.9061533246111111E-2</v>
      </c>
      <c r="R688">
        <f t="shared" si="97"/>
        <v>0</v>
      </c>
      <c r="S688">
        <f t="shared" si="98"/>
        <v>0</v>
      </c>
    </row>
    <row r="689" spans="1:19" x14ac:dyDescent="0.3">
      <c r="A689" t="s">
        <v>231</v>
      </c>
      <c r="B689">
        <v>2009</v>
      </c>
      <c r="C689">
        <v>0.17138702239245404</v>
      </c>
      <c r="D689">
        <v>0.14565688750942421</v>
      </c>
      <c r="E689">
        <v>0.22057310153924045</v>
      </c>
      <c r="F689">
        <v>0</v>
      </c>
      <c r="G689">
        <v>0.51768035308425919</v>
      </c>
      <c r="H689">
        <v>13.496478159450053</v>
      </c>
      <c r="I689">
        <v>1.9215126818250973E-2</v>
      </c>
      <c r="J689">
        <v>0</v>
      </c>
      <c r="K689" s="1">
        <f t="shared" si="90"/>
        <v>0.17138702239245404</v>
      </c>
      <c r="L689" s="1">
        <f t="shared" si="91"/>
        <v>0.14565688750942421</v>
      </c>
      <c r="M689">
        <f t="shared" si="92"/>
        <v>0.22057310153924045</v>
      </c>
      <c r="N689">
        <f t="shared" si="93"/>
        <v>0</v>
      </c>
      <c r="O689">
        <f t="shared" si="94"/>
        <v>0.51768035308425919</v>
      </c>
      <c r="P689">
        <f t="shared" si="95"/>
        <v>13.496478159450053</v>
      </c>
      <c r="Q689">
        <f t="shared" si="96"/>
        <v>1.9215126818250973E-2</v>
      </c>
      <c r="R689">
        <f t="shared" si="97"/>
        <v>0</v>
      </c>
      <c r="S689">
        <f t="shared" si="98"/>
        <v>0</v>
      </c>
    </row>
    <row r="690" spans="1:19" x14ac:dyDescent="0.3">
      <c r="A690" t="s">
        <v>231</v>
      </c>
      <c r="B690">
        <v>2010</v>
      </c>
      <c r="C690">
        <v>0.13537618335824614</v>
      </c>
      <c r="D690">
        <v>9.6807227335903287E-2</v>
      </c>
      <c r="E690">
        <v>0.23549419138279182</v>
      </c>
      <c r="F690">
        <v>0</v>
      </c>
      <c r="G690">
        <v>0.88353573020743181</v>
      </c>
      <c r="H690">
        <v>13.54456760151677</v>
      </c>
      <c r="I690">
        <v>7.9547090635240097E-3</v>
      </c>
      <c r="J690">
        <v>2.4432905882044425E-2</v>
      </c>
      <c r="K690" s="1">
        <f t="shared" si="90"/>
        <v>0.13537618335824614</v>
      </c>
      <c r="L690" s="1">
        <f t="shared" si="91"/>
        <v>9.6807227335903287E-2</v>
      </c>
      <c r="M690">
        <f t="shared" si="92"/>
        <v>0.23549419138279182</v>
      </c>
      <c r="N690">
        <f t="shared" si="93"/>
        <v>0</v>
      </c>
      <c r="O690">
        <f t="shared" si="94"/>
        <v>0.88353573020743181</v>
      </c>
      <c r="P690">
        <f t="shared" si="95"/>
        <v>13.54456760151677</v>
      </c>
      <c r="Q690">
        <f t="shared" si="96"/>
        <v>7.9547090635240097E-3</v>
      </c>
      <c r="R690">
        <f t="shared" si="97"/>
        <v>2.4432905882044425E-2</v>
      </c>
      <c r="S690">
        <f t="shared" si="98"/>
        <v>0</v>
      </c>
    </row>
    <row r="691" spans="1:19" x14ac:dyDescent="0.3">
      <c r="A691" t="s">
        <v>232</v>
      </c>
      <c r="B691">
        <v>2007</v>
      </c>
      <c r="C691">
        <v>4.593718240332962E-2</v>
      </c>
      <c r="D691">
        <v>0.26973126568538658</v>
      </c>
      <c r="E691">
        <v>-3.8814893425792134E-2</v>
      </c>
      <c r="F691">
        <v>2.6771454843370827E-3</v>
      </c>
      <c r="G691">
        <v>1.6565750375066546</v>
      </c>
      <c r="H691">
        <v>15.570889543432854</v>
      </c>
      <c r="I691">
        <v>3.8797723807480318E-2</v>
      </c>
      <c r="J691">
        <v>5.6127412006277612E-2</v>
      </c>
      <c r="K691" s="1">
        <f t="shared" si="90"/>
        <v>4.593718240332962E-2</v>
      </c>
      <c r="L691" s="1">
        <f t="shared" si="91"/>
        <v>0.26973126568538658</v>
      </c>
      <c r="M691">
        <f t="shared" si="92"/>
        <v>-3.8814893425792134E-2</v>
      </c>
      <c r="N691">
        <f t="shared" si="93"/>
        <v>2.6771454843370827E-3</v>
      </c>
      <c r="O691">
        <f t="shared" si="94"/>
        <v>1.6565750375066546</v>
      </c>
      <c r="P691">
        <f t="shared" si="95"/>
        <v>15.570889543432854</v>
      </c>
      <c r="Q691">
        <f t="shared" si="96"/>
        <v>3.8797723807480318E-2</v>
      </c>
      <c r="R691">
        <f t="shared" si="97"/>
        <v>5.6127412006277612E-2</v>
      </c>
      <c r="S691">
        <f t="shared" si="98"/>
        <v>0</v>
      </c>
    </row>
    <row r="692" spans="1:19" x14ac:dyDescent="0.3">
      <c r="A692" t="s">
        <v>232</v>
      </c>
      <c r="B692">
        <v>2008</v>
      </c>
      <c r="C692">
        <v>1.8899336001500268E-2</v>
      </c>
      <c r="D692">
        <v>0.18330194430302302</v>
      </c>
      <c r="E692">
        <v>-3.0537492503338898E-2</v>
      </c>
      <c r="F692">
        <v>3.4084620419840277E-2</v>
      </c>
      <c r="G692">
        <v>0.86159770817212289</v>
      </c>
      <c r="H692">
        <v>15.585526507582649</v>
      </c>
      <c r="I692">
        <v>6.9918311233894734E-2</v>
      </c>
      <c r="J692">
        <v>5.5311860250143632E-2</v>
      </c>
      <c r="K692" s="1">
        <f t="shared" si="90"/>
        <v>1.8899336001500268E-2</v>
      </c>
      <c r="L692" s="1">
        <f t="shared" si="91"/>
        <v>0.18330194430302302</v>
      </c>
      <c r="M692">
        <f t="shared" si="92"/>
        <v>-3.0537492503338898E-2</v>
      </c>
      <c r="N692">
        <f t="shared" si="93"/>
        <v>3.4084620419840277E-2</v>
      </c>
      <c r="O692">
        <f t="shared" si="94"/>
        <v>0.86159770817212289</v>
      </c>
      <c r="P692">
        <f t="shared" si="95"/>
        <v>15.585526507582649</v>
      </c>
      <c r="Q692">
        <f t="shared" si="96"/>
        <v>6.9918311233894734E-2</v>
      </c>
      <c r="R692">
        <f t="shared" si="97"/>
        <v>5.5311860250143632E-2</v>
      </c>
      <c r="S692">
        <f t="shared" si="98"/>
        <v>0</v>
      </c>
    </row>
    <row r="693" spans="1:19" x14ac:dyDescent="0.3">
      <c r="A693" t="s">
        <v>232</v>
      </c>
      <c r="B693">
        <v>2009</v>
      </c>
      <c r="C693">
        <v>0.12503239372527625</v>
      </c>
      <c r="D693">
        <v>0.35325330523558612</v>
      </c>
      <c r="E693">
        <v>0.23330437796805042</v>
      </c>
      <c r="F693">
        <v>8.9275457595878613E-2</v>
      </c>
      <c r="G693">
        <v>0.85293671797029624</v>
      </c>
      <c r="H693">
        <v>15.757527567146838</v>
      </c>
      <c r="I693">
        <v>5.2628307059805361E-2</v>
      </c>
      <c r="J693">
        <v>0.29086144864882851</v>
      </c>
      <c r="K693" s="1">
        <f t="shared" si="90"/>
        <v>0.12503239372527625</v>
      </c>
      <c r="L693" s="1">
        <f t="shared" si="91"/>
        <v>0.35325330523558612</v>
      </c>
      <c r="M693">
        <f t="shared" si="92"/>
        <v>0.23330437796805042</v>
      </c>
      <c r="N693">
        <f t="shared" si="93"/>
        <v>8.9275457595878613E-2</v>
      </c>
      <c r="O693">
        <f t="shared" si="94"/>
        <v>0.85293671797029624</v>
      </c>
      <c r="P693">
        <f t="shared" si="95"/>
        <v>15.757527567146838</v>
      </c>
      <c r="Q693">
        <f t="shared" si="96"/>
        <v>5.2628307059805361E-2</v>
      </c>
      <c r="R693" t="str">
        <f t="shared" si="97"/>
        <v>out</v>
      </c>
      <c r="S693">
        <f t="shared" si="98"/>
        <v>1</v>
      </c>
    </row>
    <row r="694" spans="1:19" x14ac:dyDescent="0.3">
      <c r="A694" t="s">
        <v>232</v>
      </c>
      <c r="B694">
        <v>2010</v>
      </c>
      <c r="C694">
        <v>6.263134997207076E-2</v>
      </c>
      <c r="D694">
        <v>0.2350378790830141</v>
      </c>
      <c r="E694">
        <v>0.2447082119913998</v>
      </c>
      <c r="F694">
        <v>0</v>
      </c>
      <c r="G694">
        <v>1.0098139670025497</v>
      </c>
      <c r="H694">
        <v>15.769801064950132</v>
      </c>
      <c r="I694">
        <v>1.9452388319021848E-2</v>
      </c>
      <c r="J694">
        <v>0.32083314857862594</v>
      </c>
      <c r="K694" s="1">
        <f t="shared" si="90"/>
        <v>6.263134997207076E-2</v>
      </c>
      <c r="L694" s="1">
        <f t="shared" si="91"/>
        <v>0.2350378790830141</v>
      </c>
      <c r="M694">
        <f t="shared" si="92"/>
        <v>0.2447082119913998</v>
      </c>
      <c r="N694">
        <f t="shared" si="93"/>
        <v>0</v>
      </c>
      <c r="O694">
        <f t="shared" si="94"/>
        <v>1.0098139670025497</v>
      </c>
      <c r="P694">
        <f t="shared" si="95"/>
        <v>15.769801064950132</v>
      </c>
      <c r="Q694">
        <f t="shared" si="96"/>
        <v>1.9452388319021848E-2</v>
      </c>
      <c r="R694" t="str">
        <f t="shared" si="97"/>
        <v>out</v>
      </c>
      <c r="S694">
        <f t="shared" si="98"/>
        <v>1</v>
      </c>
    </row>
    <row r="695" spans="1:19" x14ac:dyDescent="0.3">
      <c r="A695" t="s">
        <v>233</v>
      </c>
      <c r="B695">
        <v>2007</v>
      </c>
      <c r="C695">
        <v>3.8400043810106754E-2</v>
      </c>
      <c r="D695">
        <v>8.816861969396006E-2</v>
      </c>
      <c r="E695">
        <v>0.1791774877745887</v>
      </c>
      <c r="F695">
        <v>3.277028045746902E-2</v>
      </c>
      <c r="G695">
        <v>1.3320862414429053</v>
      </c>
      <c r="H695">
        <v>16.954539042740116</v>
      </c>
      <c r="I695">
        <v>2.2533904218833868E-2</v>
      </c>
      <c r="J695">
        <v>0</v>
      </c>
      <c r="K695" s="1">
        <f t="shared" si="90"/>
        <v>3.8400043810106754E-2</v>
      </c>
      <c r="L695" s="1">
        <f t="shared" si="91"/>
        <v>8.816861969396006E-2</v>
      </c>
      <c r="M695">
        <f t="shared" si="92"/>
        <v>0.1791774877745887</v>
      </c>
      <c r="N695">
        <f t="shared" si="93"/>
        <v>3.277028045746902E-2</v>
      </c>
      <c r="O695">
        <f t="shared" si="94"/>
        <v>1.3320862414429053</v>
      </c>
      <c r="P695">
        <f t="shared" si="95"/>
        <v>16.954539042740116</v>
      </c>
      <c r="Q695">
        <f t="shared" si="96"/>
        <v>2.2533904218833868E-2</v>
      </c>
      <c r="R695">
        <f t="shared" si="97"/>
        <v>0</v>
      </c>
      <c r="S695">
        <f t="shared" si="98"/>
        <v>0</v>
      </c>
    </row>
    <row r="696" spans="1:19" x14ac:dyDescent="0.3">
      <c r="A696" t="s">
        <v>233</v>
      </c>
      <c r="B696">
        <v>2009</v>
      </c>
      <c r="C696">
        <v>1.2276759625049673E-2</v>
      </c>
      <c r="D696">
        <v>5.8362641822984514E-2</v>
      </c>
      <c r="E696">
        <v>-7.124000412266851E-2</v>
      </c>
      <c r="F696">
        <v>0.6099354186102357</v>
      </c>
      <c r="G696">
        <v>0.88102743699648722</v>
      </c>
      <c r="H696">
        <v>17.443724514426371</v>
      </c>
      <c r="I696">
        <v>4.0711250713067505E-3</v>
      </c>
      <c r="J696">
        <v>0</v>
      </c>
      <c r="K696" s="1">
        <f t="shared" si="90"/>
        <v>1.2276759625049673E-2</v>
      </c>
      <c r="L696" s="1">
        <f t="shared" si="91"/>
        <v>5.8362641822984514E-2</v>
      </c>
      <c r="M696">
        <f t="shared" si="92"/>
        <v>-7.124000412266851E-2</v>
      </c>
      <c r="N696">
        <f t="shared" si="93"/>
        <v>0.6099354186102357</v>
      </c>
      <c r="O696">
        <f t="shared" si="94"/>
        <v>0.88102743699648722</v>
      </c>
      <c r="P696">
        <f t="shared" si="95"/>
        <v>17.443724514426371</v>
      </c>
      <c r="Q696">
        <f t="shared" si="96"/>
        <v>4.0711250713067505E-3</v>
      </c>
      <c r="R696">
        <f t="shared" si="97"/>
        <v>0</v>
      </c>
      <c r="S696">
        <f t="shared" si="98"/>
        <v>0</v>
      </c>
    </row>
    <row r="697" spans="1:19" x14ac:dyDescent="0.3">
      <c r="A697" t="s">
        <v>233</v>
      </c>
      <c r="B697">
        <v>2010</v>
      </c>
      <c r="C697">
        <v>5.4797069914344415E-3</v>
      </c>
      <c r="D697">
        <v>6.1424928287363748E-2</v>
      </c>
      <c r="E697">
        <v>-0.15155101370612215</v>
      </c>
      <c r="F697">
        <v>0.64060517900142044</v>
      </c>
      <c r="G697">
        <v>0.9186491745099572</v>
      </c>
      <c r="H697">
        <v>17.464633179238447</v>
      </c>
      <c r="I697">
        <v>5.5103105080544466E-3</v>
      </c>
      <c r="J697">
        <v>0</v>
      </c>
      <c r="K697" s="1">
        <f t="shared" si="90"/>
        <v>5.4797069914344415E-3</v>
      </c>
      <c r="L697" s="1">
        <f t="shared" si="91"/>
        <v>6.1424928287363748E-2</v>
      </c>
      <c r="M697">
        <f t="shared" si="92"/>
        <v>-0.15155101370612215</v>
      </c>
      <c r="N697">
        <f t="shared" si="93"/>
        <v>0.64060517900142044</v>
      </c>
      <c r="O697">
        <f t="shared" si="94"/>
        <v>0.9186491745099572</v>
      </c>
      <c r="P697">
        <f t="shared" si="95"/>
        <v>17.464633179238447</v>
      </c>
      <c r="Q697">
        <f t="shared" si="96"/>
        <v>5.5103105080544466E-3</v>
      </c>
      <c r="R697">
        <f t="shared" si="97"/>
        <v>0</v>
      </c>
      <c r="S697">
        <f t="shared" si="98"/>
        <v>0</v>
      </c>
    </row>
    <row r="698" spans="1:19" x14ac:dyDescent="0.3">
      <c r="A698" t="s">
        <v>234</v>
      </c>
      <c r="B698">
        <v>2007</v>
      </c>
      <c r="C698">
        <v>2.1359616228225339E-2</v>
      </c>
      <c r="D698">
        <v>0.13684690166555818</v>
      </c>
      <c r="E698">
        <v>0.13503558945476674</v>
      </c>
      <c r="F698">
        <v>8.6933646539403123E-2</v>
      </c>
      <c r="G698">
        <v>1.4409338729534296</v>
      </c>
      <c r="H698">
        <v>15.077756987384193</v>
      </c>
      <c r="I698">
        <v>2.4579158093465964E-2</v>
      </c>
      <c r="J698">
        <v>2.705081579803869E-2</v>
      </c>
      <c r="K698" s="1">
        <f t="shared" si="90"/>
        <v>2.1359616228225339E-2</v>
      </c>
      <c r="L698" s="1">
        <f t="shared" si="91"/>
        <v>0.13684690166555818</v>
      </c>
      <c r="M698">
        <f t="shared" si="92"/>
        <v>0.13503558945476674</v>
      </c>
      <c r="N698">
        <f t="shared" si="93"/>
        <v>8.6933646539403123E-2</v>
      </c>
      <c r="O698">
        <f t="shared" si="94"/>
        <v>1.4409338729534296</v>
      </c>
      <c r="P698">
        <f t="shared" si="95"/>
        <v>15.077756987384193</v>
      </c>
      <c r="Q698">
        <f t="shared" si="96"/>
        <v>2.4579158093465964E-2</v>
      </c>
      <c r="R698">
        <f t="shared" si="97"/>
        <v>2.705081579803869E-2</v>
      </c>
      <c r="S698">
        <f t="shared" si="98"/>
        <v>0</v>
      </c>
    </row>
    <row r="699" spans="1:19" x14ac:dyDescent="0.3">
      <c r="A699" t="s">
        <v>234</v>
      </c>
      <c r="B699">
        <v>2008</v>
      </c>
      <c r="C699">
        <v>1.4953198944931089E-2</v>
      </c>
      <c r="D699">
        <v>5.3218957376685569E-2</v>
      </c>
      <c r="E699">
        <v>3.7802300313102355E-3</v>
      </c>
      <c r="F699">
        <v>0.1533163269380981</v>
      </c>
      <c r="G699">
        <v>0.75638582078295902</v>
      </c>
      <c r="H699">
        <v>15.293078097516453</v>
      </c>
      <c r="I699">
        <v>1.3154052985900409E-2</v>
      </c>
      <c r="J699">
        <v>0</v>
      </c>
      <c r="K699" s="1">
        <f t="shared" si="90"/>
        <v>1.4953198944931089E-2</v>
      </c>
      <c r="L699" s="1">
        <f t="shared" si="91"/>
        <v>5.3218957376685569E-2</v>
      </c>
      <c r="M699">
        <f t="shared" si="92"/>
        <v>3.7802300313102355E-3</v>
      </c>
      <c r="N699">
        <f t="shared" si="93"/>
        <v>0.1533163269380981</v>
      </c>
      <c r="O699">
        <f t="shared" si="94"/>
        <v>0.75638582078295902</v>
      </c>
      <c r="P699">
        <f t="shared" si="95"/>
        <v>15.293078097516453</v>
      </c>
      <c r="Q699">
        <f t="shared" si="96"/>
        <v>1.3154052985900409E-2</v>
      </c>
      <c r="R699">
        <f t="shared" si="97"/>
        <v>0</v>
      </c>
      <c r="S699">
        <f t="shared" si="98"/>
        <v>0</v>
      </c>
    </row>
    <row r="700" spans="1:19" x14ac:dyDescent="0.3">
      <c r="A700" t="s">
        <v>234</v>
      </c>
      <c r="B700">
        <v>2009</v>
      </c>
      <c r="C700">
        <v>1.2794112376699954E-2</v>
      </c>
      <c r="D700">
        <v>9.546728055806776E-2</v>
      </c>
      <c r="E700">
        <v>5.7433630370759207E-2</v>
      </c>
      <c r="F700">
        <v>0.37207405486654399</v>
      </c>
      <c r="G700">
        <v>0.77469755518592776</v>
      </c>
      <c r="H700">
        <v>15.372287925960839</v>
      </c>
      <c r="I700">
        <v>2.4833825217919214E-3</v>
      </c>
      <c r="J700">
        <v>0</v>
      </c>
      <c r="K700" s="1">
        <f t="shared" si="90"/>
        <v>1.2794112376699954E-2</v>
      </c>
      <c r="L700" s="1">
        <f t="shared" si="91"/>
        <v>9.546728055806776E-2</v>
      </c>
      <c r="M700">
        <f t="shared" si="92"/>
        <v>5.7433630370759207E-2</v>
      </c>
      <c r="N700">
        <f t="shared" si="93"/>
        <v>0.37207405486654399</v>
      </c>
      <c r="O700">
        <f t="shared" si="94"/>
        <v>0.77469755518592776</v>
      </c>
      <c r="P700">
        <f t="shared" si="95"/>
        <v>15.372287925960839</v>
      </c>
      <c r="Q700">
        <f t="shared" si="96"/>
        <v>2.4833825217919214E-3</v>
      </c>
      <c r="R700">
        <f t="shared" si="97"/>
        <v>0</v>
      </c>
      <c r="S700">
        <f t="shared" si="98"/>
        <v>0</v>
      </c>
    </row>
    <row r="701" spans="1:19" x14ac:dyDescent="0.3">
      <c r="A701" t="s">
        <v>234</v>
      </c>
      <c r="B701">
        <v>2010</v>
      </c>
      <c r="C701">
        <v>1.1045372038113245E-2</v>
      </c>
      <c r="D701">
        <v>0.10633466044415769</v>
      </c>
      <c r="E701">
        <v>-7.8834870946895869E-2</v>
      </c>
      <c r="F701">
        <v>0.43266351945343812</v>
      </c>
      <c r="G701">
        <v>0.74913524034060064</v>
      </c>
      <c r="H701">
        <v>15.396017784850232</v>
      </c>
      <c r="I701">
        <v>1.5010090311207034E-2</v>
      </c>
      <c r="J701">
        <v>0</v>
      </c>
      <c r="K701" s="1">
        <f t="shared" si="90"/>
        <v>1.1045372038113245E-2</v>
      </c>
      <c r="L701" s="1">
        <f t="shared" si="91"/>
        <v>0.10633466044415769</v>
      </c>
      <c r="M701">
        <f t="shared" si="92"/>
        <v>-7.8834870946895869E-2</v>
      </c>
      <c r="N701">
        <f t="shared" si="93"/>
        <v>0.43266351945343812</v>
      </c>
      <c r="O701">
        <f t="shared" si="94"/>
        <v>0.74913524034060064</v>
      </c>
      <c r="P701">
        <f t="shared" si="95"/>
        <v>15.396017784850232</v>
      </c>
      <c r="Q701">
        <f t="shared" si="96"/>
        <v>1.5010090311207034E-2</v>
      </c>
      <c r="R701">
        <f t="shared" si="97"/>
        <v>0</v>
      </c>
      <c r="S701">
        <f t="shared" si="98"/>
        <v>0</v>
      </c>
    </row>
    <row r="702" spans="1:19" x14ac:dyDescent="0.3">
      <c r="A702" t="s">
        <v>235</v>
      </c>
      <c r="B702">
        <v>2007</v>
      </c>
      <c r="C702">
        <v>2.2451348341908216E-3</v>
      </c>
      <c r="D702">
        <v>4.2800360101283366E-2</v>
      </c>
      <c r="E702">
        <v>0.35661458257137385</v>
      </c>
      <c r="F702">
        <v>0.11560936018285752</v>
      </c>
      <c r="G702">
        <v>0.80841899183120192</v>
      </c>
      <c r="H702">
        <v>17.761825438215443</v>
      </c>
      <c r="I702">
        <v>8.5076497743763572E-3</v>
      </c>
      <c r="J702">
        <v>7.3498292982085321E-3</v>
      </c>
      <c r="K702" s="1">
        <f t="shared" si="90"/>
        <v>2.2451348341908216E-3</v>
      </c>
      <c r="L702" s="1">
        <f t="shared" si="91"/>
        <v>4.2800360101283366E-2</v>
      </c>
      <c r="M702">
        <f t="shared" si="92"/>
        <v>0.35661458257137385</v>
      </c>
      <c r="N702">
        <f t="shared" si="93"/>
        <v>0.11560936018285752</v>
      </c>
      <c r="O702">
        <f t="shared" si="94"/>
        <v>0.80841899183120192</v>
      </c>
      <c r="P702">
        <f t="shared" si="95"/>
        <v>17.761825438215443</v>
      </c>
      <c r="Q702">
        <f t="shared" si="96"/>
        <v>8.5076497743763572E-3</v>
      </c>
      <c r="R702">
        <f t="shared" si="97"/>
        <v>7.3498292982085321E-3</v>
      </c>
      <c r="S702">
        <f t="shared" si="98"/>
        <v>0</v>
      </c>
    </row>
    <row r="703" spans="1:19" x14ac:dyDescent="0.3">
      <c r="A703" t="s">
        <v>235</v>
      </c>
      <c r="B703">
        <v>2008</v>
      </c>
      <c r="C703">
        <v>4.3538993202422464E-3</v>
      </c>
      <c r="D703">
        <v>2.9586905020593759E-2</v>
      </c>
      <c r="E703">
        <v>0.25041810489094535</v>
      </c>
      <c r="F703">
        <v>0.19780818678168846</v>
      </c>
      <c r="G703">
        <v>0.52517742776354959</v>
      </c>
      <c r="H703">
        <v>17.766618382697168</v>
      </c>
      <c r="I703">
        <v>4.1022241625863539E-3</v>
      </c>
      <c r="J703">
        <v>0</v>
      </c>
      <c r="K703" s="1">
        <f t="shared" si="90"/>
        <v>4.3538993202422464E-3</v>
      </c>
      <c r="L703" s="1">
        <f t="shared" si="91"/>
        <v>2.9586905020593759E-2</v>
      </c>
      <c r="M703">
        <f t="shared" si="92"/>
        <v>0.25041810489094535</v>
      </c>
      <c r="N703">
        <f t="shared" si="93"/>
        <v>0.19780818678168846</v>
      </c>
      <c r="O703">
        <f t="shared" si="94"/>
        <v>0.52517742776354959</v>
      </c>
      <c r="P703">
        <f t="shared" si="95"/>
        <v>17.766618382697168</v>
      </c>
      <c r="Q703">
        <f t="shared" si="96"/>
        <v>4.1022241625863539E-3</v>
      </c>
      <c r="R703">
        <f t="shared" si="97"/>
        <v>0</v>
      </c>
      <c r="S703">
        <f t="shared" si="98"/>
        <v>0</v>
      </c>
    </row>
    <row r="704" spans="1:19" x14ac:dyDescent="0.3">
      <c r="A704" t="s">
        <v>235</v>
      </c>
      <c r="B704">
        <v>2009</v>
      </c>
      <c r="C704">
        <v>5.9500172472857753E-3</v>
      </c>
      <c r="D704">
        <v>4.7172876707757119E-2</v>
      </c>
      <c r="E704">
        <v>-6.820836490168683E-2</v>
      </c>
      <c r="F704">
        <v>0.43419184817501105</v>
      </c>
      <c r="G704">
        <v>0.74128632564243302</v>
      </c>
      <c r="H704">
        <v>17.596690485438316</v>
      </c>
      <c r="I704">
        <v>3.2115651120725661E-4</v>
      </c>
      <c r="J704">
        <v>0</v>
      </c>
      <c r="K704" s="1">
        <f t="shared" si="90"/>
        <v>5.9500172472857753E-3</v>
      </c>
      <c r="L704" s="1">
        <f t="shared" si="91"/>
        <v>4.7172876707757119E-2</v>
      </c>
      <c r="M704">
        <f t="shared" si="92"/>
        <v>-6.820836490168683E-2</v>
      </c>
      <c r="N704">
        <f t="shared" si="93"/>
        <v>0.43419184817501105</v>
      </c>
      <c r="O704">
        <f t="shared" si="94"/>
        <v>0.74128632564243302</v>
      </c>
      <c r="P704">
        <f t="shared" si="95"/>
        <v>17.596690485438316</v>
      </c>
      <c r="Q704">
        <f t="shared" si="96"/>
        <v>3.2115651120725661E-4</v>
      </c>
      <c r="R704">
        <f t="shared" si="97"/>
        <v>0</v>
      </c>
      <c r="S704">
        <f t="shared" si="98"/>
        <v>0</v>
      </c>
    </row>
    <row r="705" spans="1:19" x14ac:dyDescent="0.3">
      <c r="A705" t="s">
        <v>235</v>
      </c>
      <c r="B705">
        <v>2010</v>
      </c>
      <c r="C705">
        <v>5.4223069379347516E-3</v>
      </c>
      <c r="D705">
        <v>4.0220718837273545E-2</v>
      </c>
      <c r="E705">
        <v>4.6107859163134104E-2</v>
      </c>
      <c r="F705">
        <v>0.36457440844017497</v>
      </c>
      <c r="G705">
        <v>0.67172179537168564</v>
      </c>
      <c r="H705">
        <v>17.696922674301547</v>
      </c>
      <c r="I705">
        <v>2.3074986514274795E-4</v>
      </c>
      <c r="J705">
        <v>0</v>
      </c>
      <c r="K705" s="1">
        <f t="shared" si="90"/>
        <v>5.4223069379347516E-3</v>
      </c>
      <c r="L705" s="1">
        <f t="shared" si="91"/>
        <v>4.0220718837273545E-2</v>
      </c>
      <c r="M705">
        <f t="shared" si="92"/>
        <v>4.6107859163134104E-2</v>
      </c>
      <c r="N705">
        <f t="shared" si="93"/>
        <v>0.36457440844017497</v>
      </c>
      <c r="O705">
        <f t="shared" si="94"/>
        <v>0.67172179537168564</v>
      </c>
      <c r="P705">
        <f t="shared" si="95"/>
        <v>17.696922674301547</v>
      </c>
      <c r="Q705">
        <f t="shared" si="96"/>
        <v>2.3074986514274795E-4</v>
      </c>
      <c r="R705">
        <f t="shared" si="97"/>
        <v>0</v>
      </c>
      <c r="S705">
        <f t="shared" si="98"/>
        <v>0</v>
      </c>
    </row>
    <row r="706" spans="1:19" x14ac:dyDescent="0.3">
      <c r="A706" t="s">
        <v>236</v>
      </c>
      <c r="B706">
        <v>2007</v>
      </c>
      <c r="C706">
        <v>1.3971109507915636E-3</v>
      </c>
      <c r="D706">
        <v>6.7512153301872047E-2</v>
      </c>
      <c r="E706">
        <v>-0.14987546809612579</v>
      </c>
      <c r="F706">
        <v>2.3445312557739198E-3</v>
      </c>
      <c r="G706">
        <v>0.60192087832371699</v>
      </c>
      <c r="H706">
        <v>15.07339581368951</v>
      </c>
      <c r="I706">
        <v>1.4209464279596115E-4</v>
      </c>
      <c r="J706">
        <v>0</v>
      </c>
      <c r="K706" s="1">
        <f t="shared" si="90"/>
        <v>1.3971109507915636E-3</v>
      </c>
      <c r="L706" s="1">
        <f t="shared" si="91"/>
        <v>6.7512153301872047E-2</v>
      </c>
      <c r="M706">
        <f t="shared" si="92"/>
        <v>-0.14987546809612579</v>
      </c>
      <c r="N706">
        <f t="shared" si="93"/>
        <v>2.3445312557739198E-3</v>
      </c>
      <c r="O706">
        <f t="shared" si="94"/>
        <v>0.60192087832371699</v>
      </c>
      <c r="P706">
        <f t="shared" si="95"/>
        <v>15.07339581368951</v>
      </c>
      <c r="Q706">
        <f t="shared" si="96"/>
        <v>1.4209464279596115E-4</v>
      </c>
      <c r="R706">
        <f t="shared" si="97"/>
        <v>0</v>
      </c>
      <c r="S706">
        <f t="shared" si="98"/>
        <v>0</v>
      </c>
    </row>
    <row r="707" spans="1:19" x14ac:dyDescent="0.3">
      <c r="A707" t="s">
        <v>236</v>
      </c>
      <c r="B707">
        <v>2008</v>
      </c>
      <c r="C707">
        <v>2.0085218527739223E-3</v>
      </c>
      <c r="D707">
        <v>5.717396352560606E-2</v>
      </c>
      <c r="E707">
        <v>-0.28182793201959272</v>
      </c>
      <c r="F707">
        <v>7.204367854577661E-3</v>
      </c>
      <c r="G707">
        <v>0.56562723104589807</v>
      </c>
      <c r="H707">
        <v>15.347910826328317</v>
      </c>
      <c r="I707">
        <v>1.4167076023464439E-2</v>
      </c>
      <c r="J707">
        <v>0</v>
      </c>
      <c r="K707" s="1">
        <f t="shared" ref="K707:K770" si="99">IF(OR(C707&lt;$C$1007-3*$C$1008,C707&gt;$C$1007+3*$C$1008),"out",C707)</f>
        <v>2.0085218527739223E-3</v>
      </c>
      <c r="L707" s="1">
        <f t="shared" ref="L707:L770" si="100">IF(OR(D707&lt;$D$1007-3*$D$1008,D707&gt;$D$1007+3*$D$1008),"out",D707)</f>
        <v>5.717396352560606E-2</v>
      </c>
      <c r="M707">
        <f t="shared" ref="M707:M770" si="101">IF(OR(E707&lt;$E$1007-3*$E$1008,E707&gt;$E$1007+3*$E$1008),"out",E707)</f>
        <v>-0.28182793201959272</v>
      </c>
      <c r="N707">
        <f t="shared" ref="N707:N770" si="102">IF(OR(F707&lt;$F$1007-3*$F$1008,F707&gt;$F$1007+3*$F$1008),"out",F707)</f>
        <v>7.204367854577661E-3</v>
      </c>
      <c r="O707">
        <f t="shared" ref="O707:O770" si="103">IF(OR(G707&lt;$G$1007-3*$G$1008,G707&gt;$G$1007+3*$G$1008),"out",G707)</f>
        <v>0.56562723104589807</v>
      </c>
      <c r="P707">
        <f t="shared" ref="P707:P770" si="104">IF(OR(H707&lt;$H$1007-3*$H$1008,H707&gt;$H$1007+3*$H$1008),"out",H707)</f>
        <v>15.347910826328317</v>
      </c>
      <c r="Q707">
        <f t="shared" ref="Q707:Q770" si="105">IF(OR(I707&lt;$I$1007-3*$I$1008,I707&gt;$I$1007+3*$I$1008),"out",I707)</f>
        <v>1.4167076023464439E-2</v>
      </c>
      <c r="R707">
        <f t="shared" ref="R707:R770" si="106">IF(OR(J707&lt;$J$1007-3*$J$1008,J707&gt;$J$1007+3*$J$1008),"out",J707)</f>
        <v>0</v>
      </c>
      <c r="S707">
        <f t="shared" ref="S707:S770" si="107">IF(OR(K707="out",L707="out",M707="out",N707="out",O707="out",P707="out",Q707="out",R707="out"),1,0)</f>
        <v>0</v>
      </c>
    </row>
    <row r="708" spans="1:19" x14ac:dyDescent="0.3">
      <c r="A708" t="s">
        <v>236</v>
      </c>
      <c r="B708">
        <v>2009</v>
      </c>
      <c r="C708">
        <v>4.8115794037458469E-4</v>
      </c>
      <c r="D708">
        <v>2.6237589638960904E-2</v>
      </c>
      <c r="E708">
        <v>-8.0471251879558281E-2</v>
      </c>
      <c r="F708">
        <v>0.18672834828560261</v>
      </c>
      <c r="G708">
        <v>0.56718276525038291</v>
      </c>
      <c r="H708">
        <v>15.30927697886278</v>
      </c>
      <c r="I708">
        <v>3.438676869519635E-4</v>
      </c>
      <c r="J708">
        <v>0</v>
      </c>
      <c r="K708" s="1">
        <f t="shared" si="99"/>
        <v>4.8115794037458469E-4</v>
      </c>
      <c r="L708" s="1">
        <f t="shared" si="100"/>
        <v>2.6237589638960904E-2</v>
      </c>
      <c r="M708">
        <f t="shared" si="101"/>
        <v>-8.0471251879558281E-2</v>
      </c>
      <c r="N708">
        <f t="shared" si="102"/>
        <v>0.18672834828560261</v>
      </c>
      <c r="O708">
        <f t="shared" si="103"/>
        <v>0.56718276525038291</v>
      </c>
      <c r="P708">
        <f t="shared" si="104"/>
        <v>15.30927697886278</v>
      </c>
      <c r="Q708">
        <f t="shared" si="105"/>
        <v>3.438676869519635E-4</v>
      </c>
      <c r="R708">
        <f t="shared" si="106"/>
        <v>0</v>
      </c>
      <c r="S708">
        <f t="shared" si="107"/>
        <v>0</v>
      </c>
    </row>
    <row r="709" spans="1:19" x14ac:dyDescent="0.3">
      <c r="A709" t="s">
        <v>236</v>
      </c>
      <c r="B709">
        <v>2010</v>
      </c>
      <c r="C709">
        <v>3.4458574246626449E-6</v>
      </c>
      <c r="D709">
        <v>2.4913319456482612E-2</v>
      </c>
      <c r="E709">
        <v>-7.6550411860365583E-2</v>
      </c>
      <c r="F709">
        <v>0.18872524639603516</v>
      </c>
      <c r="G709">
        <v>0.55674723923646241</v>
      </c>
      <c r="H709">
        <v>15.286387995971456</v>
      </c>
      <c r="I709">
        <v>4.7799192226015558E-3</v>
      </c>
      <c r="J709">
        <v>0</v>
      </c>
      <c r="K709" s="1">
        <f t="shared" si="99"/>
        <v>3.4458574246626449E-6</v>
      </c>
      <c r="L709" s="1">
        <f t="shared" si="100"/>
        <v>2.4913319456482612E-2</v>
      </c>
      <c r="M709">
        <f t="shared" si="101"/>
        <v>-7.6550411860365583E-2</v>
      </c>
      <c r="N709">
        <f t="shared" si="102"/>
        <v>0.18872524639603516</v>
      </c>
      <c r="O709">
        <f t="shared" si="103"/>
        <v>0.55674723923646241</v>
      </c>
      <c r="P709">
        <f t="shared" si="104"/>
        <v>15.286387995971456</v>
      </c>
      <c r="Q709">
        <f t="shared" si="105"/>
        <v>4.7799192226015558E-3</v>
      </c>
      <c r="R709">
        <f t="shared" si="106"/>
        <v>0</v>
      </c>
      <c r="S709">
        <f t="shared" si="107"/>
        <v>0</v>
      </c>
    </row>
    <row r="710" spans="1:19" x14ac:dyDescent="0.3">
      <c r="A710" t="s">
        <v>237</v>
      </c>
      <c r="B710">
        <v>2007</v>
      </c>
      <c r="C710">
        <v>4.6315263205405069E-3</v>
      </c>
      <c r="D710">
        <v>0.16713438237883949</v>
      </c>
      <c r="E710">
        <v>-0.41612909945629906</v>
      </c>
      <c r="F710">
        <v>0.12191392774395697</v>
      </c>
      <c r="G710">
        <v>1.3805942783604523</v>
      </c>
      <c r="H710">
        <v>14.922181289984545</v>
      </c>
      <c r="I710">
        <v>3.644689793702055E-3</v>
      </c>
      <c r="J710">
        <v>0</v>
      </c>
      <c r="K710" s="1">
        <f t="shared" si="99"/>
        <v>4.6315263205405069E-3</v>
      </c>
      <c r="L710" s="1">
        <f t="shared" si="100"/>
        <v>0.16713438237883949</v>
      </c>
      <c r="M710">
        <f t="shared" si="101"/>
        <v>-0.41612909945629906</v>
      </c>
      <c r="N710">
        <f t="shared" si="102"/>
        <v>0.12191392774395697</v>
      </c>
      <c r="O710">
        <f t="shared" si="103"/>
        <v>1.3805942783604523</v>
      </c>
      <c r="P710">
        <f t="shared" si="104"/>
        <v>14.922181289984545</v>
      </c>
      <c r="Q710">
        <f t="shared" si="105"/>
        <v>3.644689793702055E-3</v>
      </c>
      <c r="R710">
        <f t="shared" si="106"/>
        <v>0</v>
      </c>
      <c r="S710">
        <f t="shared" si="107"/>
        <v>0</v>
      </c>
    </row>
    <row r="711" spans="1:19" x14ac:dyDescent="0.3">
      <c r="A711" t="s">
        <v>237</v>
      </c>
      <c r="B711">
        <v>2009</v>
      </c>
      <c r="C711">
        <v>1.2511757071957648E-3</v>
      </c>
      <c r="D711">
        <v>0.17534837656150254</v>
      </c>
      <c r="E711">
        <v>-0.27014750413580385</v>
      </c>
      <c r="F711">
        <v>0.61482877788250079</v>
      </c>
      <c r="G711">
        <v>1.1436003996514696</v>
      </c>
      <c r="H711">
        <v>14.943905895573417</v>
      </c>
      <c r="I711">
        <v>1.0820609231491474E-2</v>
      </c>
      <c r="J711">
        <v>0</v>
      </c>
      <c r="K711" s="1">
        <f t="shared" si="99"/>
        <v>1.2511757071957648E-3</v>
      </c>
      <c r="L711" s="1">
        <f t="shared" si="100"/>
        <v>0.17534837656150254</v>
      </c>
      <c r="M711">
        <f t="shared" si="101"/>
        <v>-0.27014750413580385</v>
      </c>
      <c r="N711">
        <f t="shared" si="102"/>
        <v>0.61482877788250079</v>
      </c>
      <c r="O711">
        <f t="shared" si="103"/>
        <v>1.1436003996514696</v>
      </c>
      <c r="P711">
        <f t="shared" si="104"/>
        <v>14.943905895573417</v>
      </c>
      <c r="Q711">
        <f t="shared" si="105"/>
        <v>1.0820609231491474E-2</v>
      </c>
      <c r="R711">
        <f t="shared" si="106"/>
        <v>0</v>
      </c>
      <c r="S711">
        <f t="shared" si="107"/>
        <v>0</v>
      </c>
    </row>
    <row r="712" spans="1:19" x14ac:dyDescent="0.3">
      <c r="A712" t="s">
        <v>237</v>
      </c>
      <c r="B712">
        <v>2010</v>
      </c>
      <c r="C712">
        <v>1.2501765226813498E-3</v>
      </c>
      <c r="D712">
        <v>0.21012369125754099</v>
      </c>
      <c r="E712">
        <v>-0.45683212066100648</v>
      </c>
      <c r="F712">
        <v>0.62710160975487439</v>
      </c>
      <c r="G712">
        <v>1.0613899527909061</v>
      </c>
      <c r="H712">
        <v>14.924327930511792</v>
      </c>
      <c r="I712">
        <v>1.7018389285163457E-2</v>
      </c>
      <c r="J712">
        <v>0</v>
      </c>
      <c r="K712" s="1">
        <f t="shared" si="99"/>
        <v>1.2501765226813498E-3</v>
      </c>
      <c r="L712" s="1">
        <f t="shared" si="100"/>
        <v>0.21012369125754099</v>
      </c>
      <c r="M712">
        <f t="shared" si="101"/>
        <v>-0.45683212066100648</v>
      </c>
      <c r="N712">
        <f t="shared" si="102"/>
        <v>0.62710160975487439</v>
      </c>
      <c r="O712">
        <f t="shared" si="103"/>
        <v>1.0613899527909061</v>
      </c>
      <c r="P712">
        <f t="shared" si="104"/>
        <v>14.924327930511792</v>
      </c>
      <c r="Q712">
        <f t="shared" si="105"/>
        <v>1.7018389285163457E-2</v>
      </c>
      <c r="R712">
        <f t="shared" si="106"/>
        <v>0</v>
      </c>
      <c r="S712">
        <f t="shared" si="107"/>
        <v>0</v>
      </c>
    </row>
    <row r="713" spans="1:19" x14ac:dyDescent="0.3">
      <c r="A713" t="s">
        <v>238</v>
      </c>
      <c r="B713">
        <v>2007</v>
      </c>
      <c r="C713">
        <v>1.0119971991451768E-2</v>
      </c>
      <c r="D713">
        <v>2.8321291724822503E-2</v>
      </c>
      <c r="E713">
        <v>-0.16117715226475146</v>
      </c>
      <c r="F713">
        <v>0.28311096800758911</v>
      </c>
      <c r="G713">
        <v>0.86856532404354314</v>
      </c>
      <c r="H713">
        <v>16.915040166044832</v>
      </c>
      <c r="I713">
        <v>7.607544514948196E-4</v>
      </c>
      <c r="J713">
        <v>0</v>
      </c>
      <c r="K713" s="1">
        <f t="shared" si="99"/>
        <v>1.0119971991451768E-2</v>
      </c>
      <c r="L713" s="1">
        <f t="shared" si="100"/>
        <v>2.8321291724822503E-2</v>
      </c>
      <c r="M713">
        <f t="shared" si="101"/>
        <v>-0.16117715226475146</v>
      </c>
      <c r="N713">
        <f t="shared" si="102"/>
        <v>0.28311096800758911</v>
      </c>
      <c r="O713">
        <f t="shared" si="103"/>
        <v>0.86856532404354314</v>
      </c>
      <c r="P713">
        <f t="shared" si="104"/>
        <v>16.915040166044832</v>
      </c>
      <c r="Q713">
        <f t="shared" si="105"/>
        <v>7.607544514948196E-4</v>
      </c>
      <c r="R713">
        <f t="shared" si="106"/>
        <v>0</v>
      </c>
      <c r="S713">
        <f t="shared" si="107"/>
        <v>0</v>
      </c>
    </row>
    <row r="714" spans="1:19" x14ac:dyDescent="0.3">
      <c r="A714" t="s">
        <v>238</v>
      </c>
      <c r="B714">
        <v>2008</v>
      </c>
      <c r="C714">
        <v>6.1344438620787563E-3</v>
      </c>
      <c r="D714">
        <v>5.1934222466458999E-2</v>
      </c>
      <c r="E714">
        <v>-0.24938236563482438</v>
      </c>
      <c r="F714">
        <v>0.26431076789427577</v>
      </c>
      <c r="G714">
        <v>0.66496152784910822</v>
      </c>
      <c r="H714">
        <v>16.888717028004699</v>
      </c>
      <c r="I714">
        <v>3.985071189259639E-3</v>
      </c>
      <c r="J714">
        <v>0</v>
      </c>
      <c r="K714" s="1">
        <f t="shared" si="99"/>
        <v>6.1344438620787563E-3</v>
      </c>
      <c r="L714" s="1">
        <f t="shared" si="100"/>
        <v>5.1934222466458999E-2</v>
      </c>
      <c r="M714">
        <f t="shared" si="101"/>
        <v>-0.24938236563482438</v>
      </c>
      <c r="N714">
        <f t="shared" si="102"/>
        <v>0.26431076789427577</v>
      </c>
      <c r="O714">
        <f t="shared" si="103"/>
        <v>0.66496152784910822</v>
      </c>
      <c r="P714">
        <f t="shared" si="104"/>
        <v>16.888717028004699</v>
      </c>
      <c r="Q714">
        <f t="shared" si="105"/>
        <v>3.985071189259639E-3</v>
      </c>
      <c r="R714">
        <f t="shared" si="106"/>
        <v>0</v>
      </c>
      <c r="S714">
        <f t="shared" si="107"/>
        <v>0</v>
      </c>
    </row>
    <row r="715" spans="1:19" x14ac:dyDescent="0.3">
      <c r="A715" t="s">
        <v>238</v>
      </c>
      <c r="B715">
        <v>2009</v>
      </c>
      <c r="C715">
        <v>5.6634052460919539E-3</v>
      </c>
      <c r="D715">
        <v>3.908898405147003E-2</v>
      </c>
      <c r="E715">
        <v>-0.1666993568098569</v>
      </c>
      <c r="F715">
        <v>0.37000195029579486</v>
      </c>
      <c r="G715">
        <v>0.66046688331063541</v>
      </c>
      <c r="H715">
        <v>16.888052194485176</v>
      </c>
      <c r="I715">
        <v>1.1572662797484697E-3</v>
      </c>
      <c r="J715">
        <v>0</v>
      </c>
      <c r="K715" s="1">
        <f t="shared" si="99"/>
        <v>5.6634052460919539E-3</v>
      </c>
      <c r="L715" s="1">
        <f t="shared" si="100"/>
        <v>3.908898405147003E-2</v>
      </c>
      <c r="M715">
        <f t="shared" si="101"/>
        <v>-0.1666993568098569</v>
      </c>
      <c r="N715">
        <f t="shared" si="102"/>
        <v>0.37000195029579486</v>
      </c>
      <c r="O715">
        <f t="shared" si="103"/>
        <v>0.66046688331063541</v>
      </c>
      <c r="P715">
        <f t="shared" si="104"/>
        <v>16.888052194485176</v>
      </c>
      <c r="Q715">
        <f t="shared" si="105"/>
        <v>1.1572662797484697E-3</v>
      </c>
      <c r="R715">
        <f t="shared" si="106"/>
        <v>0</v>
      </c>
      <c r="S715">
        <f t="shared" si="107"/>
        <v>0</v>
      </c>
    </row>
    <row r="716" spans="1:19" x14ac:dyDescent="0.3">
      <c r="A716" t="s">
        <v>238</v>
      </c>
      <c r="B716">
        <v>2010</v>
      </c>
      <c r="C716">
        <v>2.9045304752886346E-3</v>
      </c>
      <c r="D716">
        <v>4.3531827790897953E-2</v>
      </c>
      <c r="E716">
        <v>-0.21924686525280523</v>
      </c>
      <c r="F716">
        <v>0.37809194542879054</v>
      </c>
      <c r="G716">
        <v>0.67066611287514499</v>
      </c>
      <c r="H716">
        <v>16.853797691759095</v>
      </c>
      <c r="I716">
        <v>2.860460087023552E-3</v>
      </c>
      <c r="J716">
        <v>0</v>
      </c>
      <c r="K716" s="1">
        <f t="shared" si="99"/>
        <v>2.9045304752886346E-3</v>
      </c>
      <c r="L716" s="1">
        <f t="shared" si="100"/>
        <v>4.3531827790897953E-2</v>
      </c>
      <c r="M716">
        <f t="shared" si="101"/>
        <v>-0.21924686525280523</v>
      </c>
      <c r="N716">
        <f t="shared" si="102"/>
        <v>0.37809194542879054</v>
      </c>
      <c r="O716">
        <f t="shared" si="103"/>
        <v>0.67066611287514499</v>
      </c>
      <c r="P716">
        <f t="shared" si="104"/>
        <v>16.853797691759095</v>
      </c>
      <c r="Q716">
        <f t="shared" si="105"/>
        <v>2.860460087023552E-3</v>
      </c>
      <c r="R716">
        <f t="shared" si="106"/>
        <v>0</v>
      </c>
      <c r="S716">
        <f t="shared" si="107"/>
        <v>0</v>
      </c>
    </row>
    <row r="717" spans="1:19" x14ac:dyDescent="0.3">
      <c r="A717" t="s">
        <v>239</v>
      </c>
      <c r="B717">
        <v>2007</v>
      </c>
      <c r="C717">
        <v>6.6107424701844553E-2</v>
      </c>
      <c r="D717">
        <v>0.16742481433245926</v>
      </c>
      <c r="E717">
        <v>3.4020717772839416E-2</v>
      </c>
      <c r="F717">
        <v>5.8667130783440782E-2</v>
      </c>
      <c r="G717">
        <v>1.2799014105983608</v>
      </c>
      <c r="H717">
        <v>15.671916042552189</v>
      </c>
      <c r="I717">
        <v>2.7029255144006694E-2</v>
      </c>
      <c r="J717">
        <v>0</v>
      </c>
      <c r="K717" s="1">
        <f t="shared" si="99"/>
        <v>6.6107424701844553E-2</v>
      </c>
      <c r="L717" s="1">
        <f t="shared" si="100"/>
        <v>0.16742481433245926</v>
      </c>
      <c r="M717">
        <f t="shared" si="101"/>
        <v>3.4020717772839416E-2</v>
      </c>
      <c r="N717">
        <f t="shared" si="102"/>
        <v>5.8667130783440782E-2</v>
      </c>
      <c r="O717">
        <f t="shared" si="103"/>
        <v>1.2799014105983608</v>
      </c>
      <c r="P717">
        <f t="shared" si="104"/>
        <v>15.671916042552189</v>
      </c>
      <c r="Q717">
        <f t="shared" si="105"/>
        <v>2.7029255144006694E-2</v>
      </c>
      <c r="R717">
        <f t="shared" si="106"/>
        <v>0</v>
      </c>
      <c r="S717">
        <f t="shared" si="107"/>
        <v>0</v>
      </c>
    </row>
    <row r="718" spans="1:19" x14ac:dyDescent="0.3">
      <c r="A718" t="s">
        <v>239</v>
      </c>
      <c r="B718">
        <v>2008</v>
      </c>
      <c r="C718">
        <v>0.30381879053607402</v>
      </c>
      <c r="D718">
        <v>6.0798942197004727E-2</v>
      </c>
      <c r="E718">
        <v>0.200922028700807</v>
      </c>
      <c r="F718">
        <v>0.11067210845114289</v>
      </c>
      <c r="G718">
        <v>0.52067431086917793</v>
      </c>
      <c r="H718">
        <v>16.337591999306326</v>
      </c>
      <c r="I718">
        <v>7.40879880085887E-3</v>
      </c>
      <c r="J718">
        <v>0</v>
      </c>
      <c r="K718" s="1">
        <f t="shared" si="99"/>
        <v>0.30381879053607402</v>
      </c>
      <c r="L718" s="1">
        <f t="shared" si="100"/>
        <v>6.0798942197004727E-2</v>
      </c>
      <c r="M718">
        <f t="shared" si="101"/>
        <v>0.200922028700807</v>
      </c>
      <c r="N718">
        <f t="shared" si="102"/>
        <v>0.11067210845114289</v>
      </c>
      <c r="O718">
        <f t="shared" si="103"/>
        <v>0.52067431086917793</v>
      </c>
      <c r="P718">
        <f t="shared" si="104"/>
        <v>16.337591999306326</v>
      </c>
      <c r="Q718">
        <f t="shared" si="105"/>
        <v>7.40879880085887E-3</v>
      </c>
      <c r="R718">
        <f t="shared" si="106"/>
        <v>0</v>
      </c>
      <c r="S718">
        <f t="shared" si="107"/>
        <v>0</v>
      </c>
    </row>
    <row r="719" spans="1:19" x14ac:dyDescent="0.3">
      <c r="A719" t="s">
        <v>239</v>
      </c>
      <c r="B719">
        <v>2009</v>
      </c>
      <c r="C719">
        <v>8.2039956074886067E-3</v>
      </c>
      <c r="D719">
        <v>8.0818125063850749E-2</v>
      </c>
      <c r="E719">
        <v>-4.5415147207462883E-2</v>
      </c>
      <c r="F719">
        <v>0.34108151255069535</v>
      </c>
      <c r="G719">
        <v>0.74724604820152252</v>
      </c>
      <c r="H719">
        <v>16.881072066489086</v>
      </c>
      <c r="I719">
        <v>2.8032151543749002E-2</v>
      </c>
      <c r="J719">
        <v>0</v>
      </c>
      <c r="K719" s="1">
        <f t="shared" si="99"/>
        <v>8.2039956074886067E-3</v>
      </c>
      <c r="L719" s="1">
        <f t="shared" si="100"/>
        <v>8.0818125063850749E-2</v>
      </c>
      <c r="M719">
        <f t="shared" si="101"/>
        <v>-4.5415147207462883E-2</v>
      </c>
      <c r="N719">
        <f t="shared" si="102"/>
        <v>0.34108151255069535</v>
      </c>
      <c r="O719">
        <f t="shared" si="103"/>
        <v>0.74724604820152252</v>
      </c>
      <c r="P719">
        <f t="shared" si="104"/>
        <v>16.881072066489086</v>
      </c>
      <c r="Q719">
        <f t="shared" si="105"/>
        <v>2.8032151543749002E-2</v>
      </c>
      <c r="R719">
        <f t="shared" si="106"/>
        <v>0</v>
      </c>
      <c r="S719">
        <f t="shared" si="107"/>
        <v>0</v>
      </c>
    </row>
    <row r="720" spans="1:19" x14ac:dyDescent="0.3">
      <c r="A720" t="s">
        <v>239</v>
      </c>
      <c r="B720">
        <v>2010</v>
      </c>
      <c r="C720">
        <v>7.1776328296352812E-3</v>
      </c>
      <c r="D720">
        <v>2.4348059161615355E-2</v>
      </c>
      <c r="E720">
        <v>-7.1478606104503586E-2</v>
      </c>
      <c r="F720">
        <v>0.53196943734015822</v>
      </c>
      <c r="G720">
        <v>0.77110690855514963</v>
      </c>
      <c r="H720">
        <v>17.103165860886001</v>
      </c>
      <c r="I720">
        <v>9.0469056834555431E-4</v>
      </c>
      <c r="J720">
        <v>0</v>
      </c>
      <c r="K720" s="1">
        <f t="shared" si="99"/>
        <v>7.1776328296352812E-3</v>
      </c>
      <c r="L720" s="1">
        <f t="shared" si="100"/>
        <v>2.4348059161615355E-2</v>
      </c>
      <c r="M720">
        <f t="shared" si="101"/>
        <v>-7.1478606104503586E-2</v>
      </c>
      <c r="N720">
        <f t="shared" si="102"/>
        <v>0.53196943734015822</v>
      </c>
      <c r="O720">
        <f t="shared" si="103"/>
        <v>0.77110690855514963</v>
      </c>
      <c r="P720">
        <f t="shared" si="104"/>
        <v>17.103165860886001</v>
      </c>
      <c r="Q720">
        <f t="shared" si="105"/>
        <v>9.0469056834555431E-4</v>
      </c>
      <c r="R720">
        <f t="shared" si="106"/>
        <v>0</v>
      </c>
      <c r="S720">
        <f t="shared" si="107"/>
        <v>0</v>
      </c>
    </row>
    <row r="721" spans="1:19" x14ac:dyDescent="0.3">
      <c r="A721" t="s">
        <v>240</v>
      </c>
      <c r="B721">
        <v>2007</v>
      </c>
      <c r="C721">
        <v>2.0035018433407603E-2</v>
      </c>
      <c r="D721">
        <v>3.9057507718794397E-2</v>
      </c>
      <c r="E721">
        <v>0.10932002114356741</v>
      </c>
      <c r="F721">
        <v>5.5873461222150048E-2</v>
      </c>
      <c r="G721">
        <v>1.0779328130018537</v>
      </c>
      <c r="H721">
        <v>14.54927315170802</v>
      </c>
      <c r="I721">
        <v>1.3912797945319527E-2</v>
      </c>
      <c r="J721">
        <v>6.5677566358106926E-2</v>
      </c>
      <c r="K721" s="1">
        <f t="shared" si="99"/>
        <v>2.0035018433407603E-2</v>
      </c>
      <c r="L721" s="1">
        <f t="shared" si="100"/>
        <v>3.9057507718794397E-2</v>
      </c>
      <c r="M721">
        <f t="shared" si="101"/>
        <v>0.10932002114356741</v>
      </c>
      <c r="N721">
        <f t="shared" si="102"/>
        <v>5.5873461222150048E-2</v>
      </c>
      <c r="O721">
        <f t="shared" si="103"/>
        <v>1.0779328130018537</v>
      </c>
      <c r="P721">
        <f t="shared" si="104"/>
        <v>14.54927315170802</v>
      </c>
      <c r="Q721">
        <f t="shared" si="105"/>
        <v>1.3912797945319527E-2</v>
      </c>
      <c r="R721">
        <f t="shared" si="106"/>
        <v>6.5677566358106926E-2</v>
      </c>
      <c r="S721">
        <f t="shared" si="107"/>
        <v>0</v>
      </c>
    </row>
    <row r="722" spans="1:19" x14ac:dyDescent="0.3">
      <c r="A722" t="s">
        <v>240</v>
      </c>
      <c r="B722">
        <v>2009</v>
      </c>
      <c r="C722">
        <v>7.5009704495706021E-3</v>
      </c>
      <c r="D722">
        <v>0.17645595272422759</v>
      </c>
      <c r="E722">
        <v>3.8657489087001812E-2</v>
      </c>
      <c r="F722">
        <v>0.26656665884675651</v>
      </c>
      <c r="G722">
        <v>2.3880020564699902</v>
      </c>
      <c r="H722">
        <v>14.772737069884865</v>
      </c>
      <c r="I722">
        <v>2.2192214435468052E-2</v>
      </c>
      <c r="J722">
        <v>0</v>
      </c>
      <c r="K722" s="1">
        <f t="shared" si="99"/>
        <v>7.5009704495706021E-3</v>
      </c>
      <c r="L722" s="1">
        <f t="shared" si="100"/>
        <v>0.17645595272422759</v>
      </c>
      <c r="M722">
        <f t="shared" si="101"/>
        <v>3.8657489087001812E-2</v>
      </c>
      <c r="N722">
        <f t="shared" si="102"/>
        <v>0.26656665884675651</v>
      </c>
      <c r="O722">
        <f t="shared" si="103"/>
        <v>2.3880020564699902</v>
      </c>
      <c r="P722">
        <f t="shared" si="104"/>
        <v>14.772737069884865</v>
      </c>
      <c r="Q722">
        <f t="shared" si="105"/>
        <v>2.2192214435468052E-2</v>
      </c>
      <c r="R722">
        <f t="shared" si="106"/>
        <v>0</v>
      </c>
      <c r="S722">
        <f t="shared" si="107"/>
        <v>0</v>
      </c>
    </row>
    <row r="723" spans="1:19" x14ac:dyDescent="0.3">
      <c r="A723" t="s">
        <v>240</v>
      </c>
      <c r="B723">
        <v>2010</v>
      </c>
      <c r="C723">
        <v>6.3195756975262902E-3</v>
      </c>
      <c r="D723">
        <v>0.11438323131619718</v>
      </c>
      <c r="E723">
        <v>-0.12682127327889714</v>
      </c>
      <c r="F723">
        <v>0.42228017105830318</v>
      </c>
      <c r="G723">
        <v>0.80775883712633834</v>
      </c>
      <c r="H723">
        <v>14.954201524961595</v>
      </c>
      <c r="I723">
        <v>2.3709258860795272E-2</v>
      </c>
      <c r="J723">
        <v>0</v>
      </c>
      <c r="K723" s="1">
        <f t="shared" si="99"/>
        <v>6.3195756975262902E-3</v>
      </c>
      <c r="L723" s="1">
        <f t="shared" si="100"/>
        <v>0.11438323131619718</v>
      </c>
      <c r="M723">
        <f t="shared" si="101"/>
        <v>-0.12682127327889714</v>
      </c>
      <c r="N723">
        <f t="shared" si="102"/>
        <v>0.42228017105830318</v>
      </c>
      <c r="O723">
        <f t="shared" si="103"/>
        <v>0.80775883712633834</v>
      </c>
      <c r="P723">
        <f t="shared" si="104"/>
        <v>14.954201524961595</v>
      </c>
      <c r="Q723">
        <f t="shared" si="105"/>
        <v>2.3709258860795272E-2</v>
      </c>
      <c r="R723">
        <f t="shared" si="106"/>
        <v>0</v>
      </c>
      <c r="S723">
        <f t="shared" si="107"/>
        <v>0</v>
      </c>
    </row>
    <row r="724" spans="1:19" x14ac:dyDescent="0.3">
      <c r="A724" t="s">
        <v>241</v>
      </c>
      <c r="B724">
        <v>2007</v>
      </c>
      <c r="C724">
        <v>9.1291431189022346E-2</v>
      </c>
      <c r="D724">
        <v>3.8874098445874902E-2</v>
      </c>
      <c r="E724">
        <v>-0.24051683652746522</v>
      </c>
      <c r="F724">
        <v>7.3796172147708075E-2</v>
      </c>
      <c r="G724">
        <v>0.99456557087172492</v>
      </c>
      <c r="H724">
        <v>15.922768729845052</v>
      </c>
      <c r="I724">
        <v>6.0212369811630806E-3</v>
      </c>
      <c r="J724">
        <v>0</v>
      </c>
      <c r="K724" s="1">
        <f t="shared" si="99"/>
        <v>9.1291431189022346E-2</v>
      </c>
      <c r="L724" s="1">
        <f t="shared" si="100"/>
        <v>3.8874098445874902E-2</v>
      </c>
      <c r="M724">
        <f t="shared" si="101"/>
        <v>-0.24051683652746522</v>
      </c>
      <c r="N724">
        <f t="shared" si="102"/>
        <v>7.3796172147708075E-2</v>
      </c>
      <c r="O724">
        <f t="shared" si="103"/>
        <v>0.99456557087172492</v>
      </c>
      <c r="P724">
        <f t="shared" si="104"/>
        <v>15.922768729845052</v>
      </c>
      <c r="Q724">
        <f t="shared" si="105"/>
        <v>6.0212369811630806E-3</v>
      </c>
      <c r="R724">
        <f t="shared" si="106"/>
        <v>0</v>
      </c>
      <c r="S724">
        <f t="shared" si="107"/>
        <v>0</v>
      </c>
    </row>
    <row r="725" spans="1:19" x14ac:dyDescent="0.3">
      <c r="A725" t="s">
        <v>241</v>
      </c>
      <c r="B725">
        <v>2008</v>
      </c>
      <c r="C725">
        <v>1.5020416906640219E-2</v>
      </c>
      <c r="D725">
        <v>6.4526676821294884E-2</v>
      </c>
      <c r="E725">
        <v>0.60476876594778417</v>
      </c>
      <c r="F725">
        <v>0.10616503532637826</v>
      </c>
      <c r="G725">
        <v>1.1204070386526253</v>
      </c>
      <c r="H725">
        <v>16.159194503149951</v>
      </c>
      <c r="I725">
        <v>9.5440104773555842E-3</v>
      </c>
      <c r="J725">
        <v>0</v>
      </c>
      <c r="K725" s="1">
        <f t="shared" si="99"/>
        <v>1.5020416906640219E-2</v>
      </c>
      <c r="L725" s="1">
        <f t="shared" si="100"/>
        <v>6.4526676821294884E-2</v>
      </c>
      <c r="M725">
        <f t="shared" si="101"/>
        <v>0.60476876594778417</v>
      </c>
      <c r="N725">
        <f t="shared" si="102"/>
        <v>0.10616503532637826</v>
      </c>
      <c r="O725">
        <f t="shared" si="103"/>
        <v>1.1204070386526253</v>
      </c>
      <c r="P725">
        <f t="shared" si="104"/>
        <v>16.159194503149951</v>
      </c>
      <c r="Q725">
        <f t="shared" si="105"/>
        <v>9.5440104773555842E-3</v>
      </c>
      <c r="R725">
        <f t="shared" si="106"/>
        <v>0</v>
      </c>
      <c r="S725">
        <f t="shared" si="107"/>
        <v>0</v>
      </c>
    </row>
    <row r="726" spans="1:19" x14ac:dyDescent="0.3">
      <c r="A726" t="s">
        <v>241</v>
      </c>
      <c r="B726">
        <v>2009</v>
      </c>
      <c r="C726">
        <v>6.1639044958847157E-3</v>
      </c>
      <c r="D726">
        <v>9.9875998355590939E-2</v>
      </c>
      <c r="E726">
        <v>-0.40490952576715361</v>
      </c>
      <c r="F726">
        <v>0.59360229129215769</v>
      </c>
      <c r="G726">
        <v>1.1528087922932562</v>
      </c>
      <c r="H726">
        <v>16.216028388848972</v>
      </c>
      <c r="I726">
        <v>3.2712686867377258E-2</v>
      </c>
      <c r="J726">
        <v>0</v>
      </c>
      <c r="K726" s="1">
        <f t="shared" si="99"/>
        <v>6.1639044958847157E-3</v>
      </c>
      <c r="L726" s="1">
        <f t="shared" si="100"/>
        <v>9.9875998355590939E-2</v>
      </c>
      <c r="M726">
        <f t="shared" si="101"/>
        <v>-0.40490952576715361</v>
      </c>
      <c r="N726">
        <f t="shared" si="102"/>
        <v>0.59360229129215769</v>
      </c>
      <c r="O726">
        <f t="shared" si="103"/>
        <v>1.1528087922932562</v>
      </c>
      <c r="P726">
        <f t="shared" si="104"/>
        <v>16.216028388848972</v>
      </c>
      <c r="Q726">
        <f t="shared" si="105"/>
        <v>3.2712686867377258E-2</v>
      </c>
      <c r="R726">
        <f t="shared" si="106"/>
        <v>0</v>
      </c>
      <c r="S726">
        <f t="shared" si="107"/>
        <v>0</v>
      </c>
    </row>
    <row r="727" spans="1:19" x14ac:dyDescent="0.3">
      <c r="A727" t="s">
        <v>241</v>
      </c>
      <c r="B727">
        <v>2010</v>
      </c>
      <c r="C727">
        <v>1.6359556112774452E-3</v>
      </c>
      <c r="D727">
        <v>0.18211962426263015</v>
      </c>
      <c r="E727">
        <v>-0.31077994918941648</v>
      </c>
      <c r="F727">
        <v>0.39785651121554366</v>
      </c>
      <c r="G727">
        <v>0.83991567941182366</v>
      </c>
      <c r="H727">
        <v>16.374450433064901</v>
      </c>
      <c r="I727">
        <v>3.4505105656767496E-2</v>
      </c>
      <c r="J727">
        <v>0</v>
      </c>
      <c r="K727" s="1">
        <f t="shared" si="99"/>
        <v>1.6359556112774452E-3</v>
      </c>
      <c r="L727" s="1">
        <f t="shared" si="100"/>
        <v>0.18211962426263015</v>
      </c>
      <c r="M727">
        <f t="shared" si="101"/>
        <v>-0.31077994918941648</v>
      </c>
      <c r="N727">
        <f t="shared" si="102"/>
        <v>0.39785651121554366</v>
      </c>
      <c r="O727">
        <f t="shared" si="103"/>
        <v>0.83991567941182366</v>
      </c>
      <c r="P727">
        <f t="shared" si="104"/>
        <v>16.374450433064901</v>
      </c>
      <c r="Q727">
        <f t="shared" si="105"/>
        <v>3.4505105656767496E-2</v>
      </c>
      <c r="R727">
        <f t="shared" si="106"/>
        <v>0</v>
      </c>
      <c r="S727">
        <f t="shared" si="107"/>
        <v>0</v>
      </c>
    </row>
    <row r="728" spans="1:19" x14ac:dyDescent="0.3">
      <c r="A728" t="s">
        <v>242</v>
      </c>
      <c r="B728">
        <v>2007</v>
      </c>
      <c r="C728">
        <v>2.2577588398705321E-2</v>
      </c>
      <c r="D728">
        <v>2.9081165715801906E-2</v>
      </c>
      <c r="E728">
        <v>-3.6712923308467101E-2</v>
      </c>
      <c r="F728">
        <v>6.2164847669231728E-2</v>
      </c>
      <c r="G728">
        <v>1.491284040017659</v>
      </c>
      <c r="H728">
        <v>15.584395556612963</v>
      </c>
      <c r="I728">
        <v>5.6254032023934017E-3</v>
      </c>
      <c r="J728">
        <v>0</v>
      </c>
      <c r="K728" s="1">
        <f t="shared" si="99"/>
        <v>2.2577588398705321E-2</v>
      </c>
      <c r="L728" s="1">
        <f t="shared" si="100"/>
        <v>2.9081165715801906E-2</v>
      </c>
      <c r="M728">
        <f t="shared" si="101"/>
        <v>-3.6712923308467101E-2</v>
      </c>
      <c r="N728">
        <f t="shared" si="102"/>
        <v>6.2164847669231728E-2</v>
      </c>
      <c r="O728">
        <f t="shared" si="103"/>
        <v>1.491284040017659</v>
      </c>
      <c r="P728">
        <f t="shared" si="104"/>
        <v>15.584395556612963</v>
      </c>
      <c r="Q728">
        <f t="shared" si="105"/>
        <v>5.6254032023934017E-3</v>
      </c>
      <c r="R728">
        <f t="shared" si="106"/>
        <v>0</v>
      </c>
      <c r="S728">
        <f t="shared" si="107"/>
        <v>0</v>
      </c>
    </row>
    <row r="729" spans="1:19" x14ac:dyDescent="0.3">
      <c r="A729" t="s">
        <v>242</v>
      </c>
      <c r="B729">
        <v>2008</v>
      </c>
      <c r="C729">
        <v>4.8524899457903616E-3</v>
      </c>
      <c r="D729">
        <v>5.0304954628989464E-2</v>
      </c>
      <c r="E729">
        <v>-0.12252461692611978</v>
      </c>
      <c r="F729">
        <v>0.22594200543263762</v>
      </c>
      <c r="G729">
        <v>0.94550149457214994</v>
      </c>
      <c r="H729">
        <v>15.846801362247799</v>
      </c>
      <c r="I729">
        <v>1.2146634011170755E-2</v>
      </c>
      <c r="J729">
        <v>0</v>
      </c>
      <c r="K729" s="1">
        <f t="shared" si="99"/>
        <v>4.8524899457903616E-3</v>
      </c>
      <c r="L729" s="1">
        <f t="shared" si="100"/>
        <v>5.0304954628989464E-2</v>
      </c>
      <c r="M729">
        <f t="shared" si="101"/>
        <v>-0.12252461692611978</v>
      </c>
      <c r="N729">
        <f t="shared" si="102"/>
        <v>0.22594200543263762</v>
      </c>
      <c r="O729">
        <f t="shared" si="103"/>
        <v>0.94550149457214994</v>
      </c>
      <c r="P729">
        <f t="shared" si="104"/>
        <v>15.846801362247799</v>
      </c>
      <c r="Q729">
        <f t="shared" si="105"/>
        <v>1.2146634011170755E-2</v>
      </c>
      <c r="R729">
        <f t="shared" si="106"/>
        <v>0</v>
      </c>
      <c r="S729">
        <f t="shared" si="107"/>
        <v>0</v>
      </c>
    </row>
    <row r="730" spans="1:19" x14ac:dyDescent="0.3">
      <c r="A730" t="s">
        <v>242</v>
      </c>
      <c r="B730">
        <v>2009</v>
      </c>
      <c r="C730">
        <v>3.9850924544695852E-3</v>
      </c>
      <c r="D730">
        <v>2.1232376884863745E-2</v>
      </c>
      <c r="E730">
        <v>-0.15080962154433433</v>
      </c>
      <c r="F730">
        <v>0.58789812373346273</v>
      </c>
      <c r="G730">
        <v>0.84367986551486895</v>
      </c>
      <c r="H730">
        <v>15.970163230951105</v>
      </c>
      <c r="I730">
        <v>1.693759810607785E-2</v>
      </c>
      <c r="J730">
        <v>0</v>
      </c>
      <c r="K730" s="1">
        <f t="shared" si="99"/>
        <v>3.9850924544695852E-3</v>
      </c>
      <c r="L730" s="1">
        <f t="shared" si="100"/>
        <v>2.1232376884863745E-2</v>
      </c>
      <c r="M730">
        <f t="shared" si="101"/>
        <v>-0.15080962154433433</v>
      </c>
      <c r="N730">
        <f t="shared" si="102"/>
        <v>0.58789812373346273</v>
      </c>
      <c r="O730">
        <f t="shared" si="103"/>
        <v>0.84367986551486895</v>
      </c>
      <c r="P730">
        <f t="shared" si="104"/>
        <v>15.970163230951105</v>
      </c>
      <c r="Q730">
        <f t="shared" si="105"/>
        <v>1.693759810607785E-2</v>
      </c>
      <c r="R730">
        <f t="shared" si="106"/>
        <v>0</v>
      </c>
      <c r="S730">
        <f t="shared" si="107"/>
        <v>0</v>
      </c>
    </row>
    <row r="731" spans="1:19" x14ac:dyDescent="0.3">
      <c r="A731" t="s">
        <v>242</v>
      </c>
      <c r="B731">
        <v>2010</v>
      </c>
      <c r="C731">
        <v>3.2308050610027465E-3</v>
      </c>
      <c r="D731">
        <v>7.3550565062294057E-2</v>
      </c>
      <c r="E731">
        <v>-0.21160193603877611</v>
      </c>
      <c r="F731">
        <v>0.5825393329935965</v>
      </c>
      <c r="G731">
        <v>0.86980856598004463</v>
      </c>
      <c r="H731">
        <v>15.975769122842605</v>
      </c>
      <c r="I731">
        <v>8.1248535197162748E-3</v>
      </c>
      <c r="J731">
        <v>0</v>
      </c>
      <c r="K731" s="1">
        <f t="shared" si="99"/>
        <v>3.2308050610027465E-3</v>
      </c>
      <c r="L731" s="1">
        <f t="shared" si="100"/>
        <v>7.3550565062294057E-2</v>
      </c>
      <c r="M731">
        <f t="shared" si="101"/>
        <v>-0.21160193603877611</v>
      </c>
      <c r="N731">
        <f t="shared" si="102"/>
        <v>0.5825393329935965</v>
      </c>
      <c r="O731">
        <f t="shared" si="103"/>
        <v>0.86980856598004463</v>
      </c>
      <c r="P731">
        <f t="shared" si="104"/>
        <v>15.975769122842605</v>
      </c>
      <c r="Q731">
        <f t="shared" si="105"/>
        <v>8.1248535197162748E-3</v>
      </c>
      <c r="R731">
        <f t="shared" si="106"/>
        <v>0</v>
      </c>
      <c r="S731">
        <f t="shared" si="107"/>
        <v>0</v>
      </c>
    </row>
    <row r="732" spans="1:19" x14ac:dyDescent="0.3">
      <c r="A732" t="s">
        <v>243</v>
      </c>
      <c r="B732">
        <v>2009</v>
      </c>
      <c r="C732">
        <v>3.6165307137148075E-3</v>
      </c>
      <c r="D732">
        <v>9.6943840978818627E-2</v>
      </c>
      <c r="E732">
        <v>-0.2395215588845509</v>
      </c>
      <c r="F732">
        <v>0.34032923771798795</v>
      </c>
      <c r="G732">
        <v>0.65033580026393301</v>
      </c>
      <c r="H732">
        <v>16.796344551227783</v>
      </c>
      <c r="I732">
        <v>3.8331315298536298E-3</v>
      </c>
      <c r="J732">
        <v>0</v>
      </c>
      <c r="K732" s="1">
        <f t="shared" si="99"/>
        <v>3.6165307137148075E-3</v>
      </c>
      <c r="L732" s="1">
        <f t="shared" si="100"/>
        <v>9.6943840978818627E-2</v>
      </c>
      <c r="M732">
        <f t="shared" si="101"/>
        <v>-0.2395215588845509</v>
      </c>
      <c r="N732">
        <f t="shared" si="102"/>
        <v>0.34032923771798795</v>
      </c>
      <c r="O732">
        <f t="shared" si="103"/>
        <v>0.65033580026393301</v>
      </c>
      <c r="P732">
        <f t="shared" si="104"/>
        <v>16.796344551227783</v>
      </c>
      <c r="Q732">
        <f t="shared" si="105"/>
        <v>3.8331315298536298E-3</v>
      </c>
      <c r="R732">
        <f t="shared" si="106"/>
        <v>0</v>
      </c>
      <c r="S732">
        <f t="shared" si="107"/>
        <v>0</v>
      </c>
    </row>
    <row r="733" spans="1:19" x14ac:dyDescent="0.3">
      <c r="A733" t="s">
        <v>243</v>
      </c>
      <c r="B733">
        <v>2010</v>
      </c>
      <c r="C733">
        <v>3.7263486069875293E-4</v>
      </c>
      <c r="D733">
        <v>7.9038171386195524E-2</v>
      </c>
      <c r="E733">
        <v>-0.33676649944925102</v>
      </c>
      <c r="F733">
        <v>0.38849527295144654</v>
      </c>
      <c r="G733">
        <v>0.76392490535956392</v>
      </c>
      <c r="H733">
        <v>16.786147973037863</v>
      </c>
      <c r="I733">
        <v>1.3859509161377029E-2</v>
      </c>
      <c r="J733">
        <v>0</v>
      </c>
      <c r="K733" s="1">
        <f t="shared" si="99"/>
        <v>3.7263486069875293E-4</v>
      </c>
      <c r="L733" s="1">
        <f t="shared" si="100"/>
        <v>7.9038171386195524E-2</v>
      </c>
      <c r="M733">
        <f t="shared" si="101"/>
        <v>-0.33676649944925102</v>
      </c>
      <c r="N733">
        <f t="shared" si="102"/>
        <v>0.38849527295144654</v>
      </c>
      <c r="O733">
        <f t="shared" si="103"/>
        <v>0.76392490535956392</v>
      </c>
      <c r="P733">
        <f t="shared" si="104"/>
        <v>16.786147973037863</v>
      </c>
      <c r="Q733">
        <f t="shared" si="105"/>
        <v>1.3859509161377029E-2</v>
      </c>
      <c r="R733">
        <f t="shared" si="106"/>
        <v>0</v>
      </c>
      <c r="S733">
        <f t="shared" si="107"/>
        <v>0</v>
      </c>
    </row>
    <row r="734" spans="1:19" x14ac:dyDescent="0.3">
      <c r="A734" t="s">
        <v>244</v>
      </c>
      <c r="B734">
        <v>2007</v>
      </c>
      <c r="C734">
        <v>4.817172729913017E-2</v>
      </c>
      <c r="D734">
        <v>0.13891732239309795</v>
      </c>
      <c r="E734">
        <v>-0.10248680198824736</v>
      </c>
      <c r="F734">
        <v>0.17414051545572981</v>
      </c>
      <c r="G734">
        <v>1.829320759122276</v>
      </c>
      <c r="H734">
        <v>17.062925675259194</v>
      </c>
      <c r="I734">
        <v>1.0630281571239563E-2</v>
      </c>
      <c r="J734">
        <v>1.2798245171069658E-2</v>
      </c>
      <c r="K734" s="1">
        <f t="shared" si="99"/>
        <v>4.817172729913017E-2</v>
      </c>
      <c r="L734" s="1">
        <f t="shared" si="100"/>
        <v>0.13891732239309795</v>
      </c>
      <c r="M734">
        <f t="shared" si="101"/>
        <v>-0.10248680198824736</v>
      </c>
      <c r="N734">
        <f t="shared" si="102"/>
        <v>0.17414051545572981</v>
      </c>
      <c r="O734">
        <f t="shared" si="103"/>
        <v>1.829320759122276</v>
      </c>
      <c r="P734">
        <f t="shared" si="104"/>
        <v>17.062925675259194</v>
      </c>
      <c r="Q734">
        <f t="shared" si="105"/>
        <v>1.0630281571239563E-2</v>
      </c>
      <c r="R734">
        <f t="shared" si="106"/>
        <v>1.2798245171069658E-2</v>
      </c>
      <c r="S734">
        <f t="shared" si="107"/>
        <v>0</v>
      </c>
    </row>
    <row r="735" spans="1:19" x14ac:dyDescent="0.3">
      <c r="A735" t="s">
        <v>244</v>
      </c>
      <c r="B735">
        <v>2008</v>
      </c>
      <c r="C735">
        <v>7.8860485537663779E-3</v>
      </c>
      <c r="D735">
        <v>9.5954639427456481E-2</v>
      </c>
      <c r="E735">
        <v>-1.5793768254363422E-2</v>
      </c>
      <c r="F735">
        <v>0.11239719859246193</v>
      </c>
      <c r="G735">
        <v>0.75047461797594173</v>
      </c>
      <c r="H735">
        <v>17.348878064479585</v>
      </c>
      <c r="I735">
        <v>2.0843792571089301E-2</v>
      </c>
      <c r="J735">
        <v>9.4446187417334942E-3</v>
      </c>
      <c r="K735" s="1">
        <f t="shared" si="99"/>
        <v>7.8860485537663779E-3</v>
      </c>
      <c r="L735" s="1">
        <f t="shared" si="100"/>
        <v>9.5954639427456481E-2</v>
      </c>
      <c r="M735">
        <f t="shared" si="101"/>
        <v>-1.5793768254363422E-2</v>
      </c>
      <c r="N735">
        <f t="shared" si="102"/>
        <v>0.11239719859246193</v>
      </c>
      <c r="O735">
        <f t="shared" si="103"/>
        <v>0.75047461797594173</v>
      </c>
      <c r="P735">
        <f t="shared" si="104"/>
        <v>17.348878064479585</v>
      </c>
      <c r="Q735">
        <f t="shared" si="105"/>
        <v>2.0843792571089301E-2</v>
      </c>
      <c r="R735">
        <f t="shared" si="106"/>
        <v>9.4446187417334942E-3</v>
      </c>
      <c r="S735">
        <f t="shared" si="107"/>
        <v>0</v>
      </c>
    </row>
    <row r="736" spans="1:19" x14ac:dyDescent="0.3">
      <c r="A736" t="s">
        <v>244</v>
      </c>
      <c r="B736">
        <v>2009</v>
      </c>
      <c r="C736">
        <v>2.7325513340387863E-2</v>
      </c>
      <c r="D736">
        <v>0.1647520149971497</v>
      </c>
      <c r="E736">
        <v>-3.2317261438616358E-2</v>
      </c>
      <c r="F736">
        <v>0.2731778003135103</v>
      </c>
      <c r="G736">
        <v>0.952323337647212</v>
      </c>
      <c r="H736">
        <v>17.463369091523482</v>
      </c>
      <c r="I736">
        <v>1.7233423346767737E-2</v>
      </c>
      <c r="J736">
        <v>0.13205543331770001</v>
      </c>
      <c r="K736" s="1">
        <f t="shared" si="99"/>
        <v>2.7325513340387863E-2</v>
      </c>
      <c r="L736" s="1">
        <f t="shared" si="100"/>
        <v>0.1647520149971497</v>
      </c>
      <c r="M736">
        <f t="shared" si="101"/>
        <v>-3.2317261438616358E-2</v>
      </c>
      <c r="N736">
        <f t="shared" si="102"/>
        <v>0.2731778003135103</v>
      </c>
      <c r="O736">
        <f t="shared" si="103"/>
        <v>0.952323337647212</v>
      </c>
      <c r="P736">
        <f t="shared" si="104"/>
        <v>17.463369091523482</v>
      </c>
      <c r="Q736">
        <f t="shared" si="105"/>
        <v>1.7233423346767737E-2</v>
      </c>
      <c r="R736" t="str">
        <f t="shared" si="106"/>
        <v>out</v>
      </c>
      <c r="S736">
        <f t="shared" si="107"/>
        <v>1</v>
      </c>
    </row>
    <row r="737" spans="1:19" x14ac:dyDescent="0.3">
      <c r="A737" t="s">
        <v>244</v>
      </c>
      <c r="B737">
        <v>2010</v>
      </c>
      <c r="C737">
        <v>8.7086106786477269E-3</v>
      </c>
      <c r="D737">
        <v>0.12603704638372965</v>
      </c>
      <c r="E737">
        <v>-7.2310346026509251E-2</v>
      </c>
      <c r="F737">
        <v>0.21147009661436769</v>
      </c>
      <c r="G737">
        <v>0.98463725811822023</v>
      </c>
      <c r="H737">
        <v>17.46122788575078</v>
      </c>
      <c r="I737">
        <v>8.0437723674527326E-3</v>
      </c>
      <c r="J737">
        <v>0.15159138636652902</v>
      </c>
      <c r="K737" s="1">
        <f t="shared" si="99"/>
        <v>8.7086106786477269E-3</v>
      </c>
      <c r="L737" s="1">
        <f t="shared" si="100"/>
        <v>0.12603704638372965</v>
      </c>
      <c r="M737">
        <f t="shared" si="101"/>
        <v>-7.2310346026509251E-2</v>
      </c>
      <c r="N737">
        <f t="shared" si="102"/>
        <v>0.21147009661436769</v>
      </c>
      <c r="O737">
        <f t="shared" si="103"/>
        <v>0.98463725811822023</v>
      </c>
      <c r="P737">
        <f t="shared" si="104"/>
        <v>17.46122788575078</v>
      </c>
      <c r="Q737">
        <f t="shared" si="105"/>
        <v>8.0437723674527326E-3</v>
      </c>
      <c r="R737" t="str">
        <f t="shared" si="106"/>
        <v>out</v>
      </c>
      <c r="S737">
        <f t="shared" si="107"/>
        <v>1</v>
      </c>
    </row>
    <row r="738" spans="1:19" x14ac:dyDescent="0.3">
      <c r="A738" t="s">
        <v>245</v>
      </c>
      <c r="B738">
        <v>2007</v>
      </c>
      <c r="C738">
        <v>5.2634354588608576E-3</v>
      </c>
      <c r="D738">
        <v>2.4716202697498406E-2</v>
      </c>
      <c r="E738">
        <v>-3.4903567329127048E-2</v>
      </c>
      <c r="F738">
        <v>7.7073815075273791E-2</v>
      </c>
      <c r="G738">
        <v>0.92122449766765968</v>
      </c>
      <c r="H738">
        <v>16.969825418776395</v>
      </c>
      <c r="I738">
        <v>2.1041823263881959E-2</v>
      </c>
      <c r="J738">
        <v>0</v>
      </c>
      <c r="K738" s="1">
        <f t="shared" si="99"/>
        <v>5.2634354588608576E-3</v>
      </c>
      <c r="L738" s="1">
        <f t="shared" si="100"/>
        <v>2.4716202697498406E-2</v>
      </c>
      <c r="M738">
        <f t="shared" si="101"/>
        <v>-3.4903567329127048E-2</v>
      </c>
      <c r="N738">
        <f t="shared" si="102"/>
        <v>7.7073815075273791E-2</v>
      </c>
      <c r="O738">
        <f t="shared" si="103"/>
        <v>0.92122449766765968</v>
      </c>
      <c r="P738">
        <f t="shared" si="104"/>
        <v>16.969825418776395</v>
      </c>
      <c r="Q738">
        <f t="shared" si="105"/>
        <v>2.1041823263881959E-2</v>
      </c>
      <c r="R738">
        <f t="shared" si="106"/>
        <v>0</v>
      </c>
      <c r="S738">
        <f t="shared" si="107"/>
        <v>0</v>
      </c>
    </row>
    <row r="739" spans="1:19" x14ac:dyDescent="0.3">
      <c r="A739" t="s">
        <v>245</v>
      </c>
      <c r="B739">
        <v>2008</v>
      </c>
      <c r="C739">
        <v>4.5463442889699781E-3</v>
      </c>
      <c r="D739">
        <v>8.5264126298235127E-2</v>
      </c>
      <c r="E739">
        <v>-5.8760087017367721E-2</v>
      </c>
      <c r="F739">
        <v>0.48325027328196585</v>
      </c>
      <c r="G739">
        <v>0.73865287429687276</v>
      </c>
      <c r="H739">
        <v>17.079419440766245</v>
      </c>
      <c r="I739">
        <v>5.326135708292136E-3</v>
      </c>
      <c r="J739">
        <v>0</v>
      </c>
      <c r="K739" s="1">
        <f t="shared" si="99"/>
        <v>4.5463442889699781E-3</v>
      </c>
      <c r="L739" s="1">
        <f t="shared" si="100"/>
        <v>8.5264126298235127E-2</v>
      </c>
      <c r="M739">
        <f t="shared" si="101"/>
        <v>-5.8760087017367721E-2</v>
      </c>
      <c r="N739">
        <f t="shared" si="102"/>
        <v>0.48325027328196585</v>
      </c>
      <c r="O739">
        <f t="shared" si="103"/>
        <v>0.73865287429687276</v>
      </c>
      <c r="P739">
        <f t="shared" si="104"/>
        <v>17.079419440766245</v>
      </c>
      <c r="Q739">
        <f t="shared" si="105"/>
        <v>5.326135708292136E-3</v>
      </c>
      <c r="R739">
        <f t="shared" si="106"/>
        <v>0</v>
      </c>
      <c r="S739">
        <f t="shared" si="107"/>
        <v>0</v>
      </c>
    </row>
    <row r="740" spans="1:19" x14ac:dyDescent="0.3">
      <c r="A740" t="s">
        <v>245</v>
      </c>
      <c r="B740">
        <v>2009</v>
      </c>
      <c r="C740">
        <v>3.8943389144189288E-3</v>
      </c>
      <c r="D740">
        <v>7.6588925116163387E-2</v>
      </c>
      <c r="E740">
        <v>-0.18502930418718205</v>
      </c>
      <c r="F740">
        <v>0.62362141096093593</v>
      </c>
      <c r="G740">
        <v>0.79245186692655945</v>
      </c>
      <c r="H740">
        <v>17.060476574451712</v>
      </c>
      <c r="I740">
        <v>2.1467560638002498E-2</v>
      </c>
      <c r="J740">
        <v>0</v>
      </c>
      <c r="K740" s="1">
        <f t="shared" si="99"/>
        <v>3.8943389144189288E-3</v>
      </c>
      <c r="L740" s="1">
        <f t="shared" si="100"/>
        <v>7.6588925116163387E-2</v>
      </c>
      <c r="M740">
        <f t="shared" si="101"/>
        <v>-0.18502930418718205</v>
      </c>
      <c r="N740">
        <f t="shared" si="102"/>
        <v>0.62362141096093593</v>
      </c>
      <c r="O740">
        <f t="shared" si="103"/>
        <v>0.79245186692655945</v>
      </c>
      <c r="P740">
        <f t="shared" si="104"/>
        <v>17.060476574451712</v>
      </c>
      <c r="Q740">
        <f t="shared" si="105"/>
        <v>2.1467560638002498E-2</v>
      </c>
      <c r="R740">
        <f t="shared" si="106"/>
        <v>0</v>
      </c>
      <c r="S740">
        <f t="shared" si="107"/>
        <v>0</v>
      </c>
    </row>
    <row r="741" spans="1:19" x14ac:dyDescent="0.3">
      <c r="A741" t="s">
        <v>245</v>
      </c>
      <c r="B741">
        <v>2010</v>
      </c>
      <c r="C741">
        <v>2.8141501301096549E-3</v>
      </c>
      <c r="D741">
        <v>0.13847461911348849</v>
      </c>
      <c r="E741">
        <v>-0.16654361585890767</v>
      </c>
      <c r="F741">
        <v>0.63298998670698714</v>
      </c>
      <c r="G741">
        <v>0.84419870164727895</v>
      </c>
      <c r="H741">
        <v>17.077250910760423</v>
      </c>
      <c r="I741">
        <v>9.2615843170277875E-3</v>
      </c>
      <c r="J741">
        <v>0</v>
      </c>
      <c r="K741" s="1">
        <f t="shared" si="99"/>
        <v>2.8141501301096549E-3</v>
      </c>
      <c r="L741" s="1">
        <f t="shared" si="100"/>
        <v>0.13847461911348849</v>
      </c>
      <c r="M741">
        <f t="shared" si="101"/>
        <v>-0.16654361585890767</v>
      </c>
      <c r="N741">
        <f t="shared" si="102"/>
        <v>0.63298998670698714</v>
      </c>
      <c r="O741">
        <f t="shared" si="103"/>
        <v>0.84419870164727895</v>
      </c>
      <c r="P741">
        <f t="shared" si="104"/>
        <v>17.077250910760423</v>
      </c>
      <c r="Q741">
        <f t="shared" si="105"/>
        <v>9.2615843170277875E-3</v>
      </c>
      <c r="R741">
        <f t="shared" si="106"/>
        <v>0</v>
      </c>
      <c r="S741">
        <f t="shared" si="107"/>
        <v>0</v>
      </c>
    </row>
    <row r="742" spans="1:19" x14ac:dyDescent="0.3">
      <c r="A742" t="s">
        <v>246</v>
      </c>
      <c r="B742">
        <v>2007</v>
      </c>
      <c r="C742">
        <v>3.5478904411673333E-2</v>
      </c>
      <c r="D742">
        <v>6.5056523450388523E-2</v>
      </c>
      <c r="E742">
        <v>-0.49138081111926524</v>
      </c>
      <c r="F742">
        <v>0.11648468143011954</v>
      </c>
      <c r="G742">
        <v>1.3128946679849027</v>
      </c>
      <c r="H742">
        <v>15.968492598315208</v>
      </c>
      <c r="I742">
        <v>1.4409866105864947E-2</v>
      </c>
      <c r="J742">
        <v>0</v>
      </c>
      <c r="K742" s="1">
        <f t="shared" si="99"/>
        <v>3.5478904411673333E-2</v>
      </c>
      <c r="L742" s="1">
        <f t="shared" si="100"/>
        <v>6.5056523450388523E-2</v>
      </c>
      <c r="M742">
        <f t="shared" si="101"/>
        <v>-0.49138081111926524</v>
      </c>
      <c r="N742">
        <f t="shared" si="102"/>
        <v>0.11648468143011954</v>
      </c>
      <c r="O742">
        <f t="shared" si="103"/>
        <v>1.3128946679849027</v>
      </c>
      <c r="P742">
        <f t="shared" si="104"/>
        <v>15.968492598315208</v>
      </c>
      <c r="Q742">
        <f t="shared" si="105"/>
        <v>1.4409866105864947E-2</v>
      </c>
      <c r="R742">
        <f t="shared" si="106"/>
        <v>0</v>
      </c>
      <c r="S742">
        <f t="shared" si="107"/>
        <v>0</v>
      </c>
    </row>
    <row r="743" spans="1:19" x14ac:dyDescent="0.3">
      <c r="A743" t="s">
        <v>246</v>
      </c>
      <c r="B743">
        <v>2008</v>
      </c>
      <c r="C743">
        <v>1.3290218875198864E-2</v>
      </c>
      <c r="D743">
        <v>9.6377314148392526E-2</v>
      </c>
      <c r="E743">
        <v>-0.28733353328389</v>
      </c>
      <c r="F743">
        <v>0.16000035903251814</v>
      </c>
      <c r="G743">
        <v>1.0257211497558054</v>
      </c>
      <c r="H743">
        <v>16.164271830215533</v>
      </c>
      <c r="I743">
        <v>1.8722358033075058E-2</v>
      </c>
      <c r="J743">
        <v>0</v>
      </c>
      <c r="K743" s="1">
        <f t="shared" si="99"/>
        <v>1.3290218875198864E-2</v>
      </c>
      <c r="L743" s="1">
        <f t="shared" si="100"/>
        <v>9.6377314148392526E-2</v>
      </c>
      <c r="M743">
        <f t="shared" si="101"/>
        <v>-0.28733353328389</v>
      </c>
      <c r="N743">
        <f t="shared" si="102"/>
        <v>0.16000035903251814</v>
      </c>
      <c r="O743">
        <f t="shared" si="103"/>
        <v>1.0257211497558054</v>
      </c>
      <c r="P743">
        <f t="shared" si="104"/>
        <v>16.164271830215533</v>
      </c>
      <c r="Q743">
        <f t="shared" si="105"/>
        <v>1.8722358033075058E-2</v>
      </c>
      <c r="R743">
        <f t="shared" si="106"/>
        <v>0</v>
      </c>
      <c r="S743">
        <f t="shared" si="107"/>
        <v>0</v>
      </c>
    </row>
    <row r="744" spans="1:19" x14ac:dyDescent="0.3">
      <c r="A744" t="s">
        <v>246</v>
      </c>
      <c r="B744">
        <v>2009</v>
      </c>
      <c r="C744">
        <v>1.5394868093826146E-2</v>
      </c>
      <c r="D744">
        <v>5.3598594629510193E-2</v>
      </c>
      <c r="E744">
        <v>-0.2385598624781039</v>
      </c>
      <c r="F744">
        <v>0.34484941340780501</v>
      </c>
      <c r="G744">
        <v>0.7632000590660718</v>
      </c>
      <c r="H744">
        <v>16.152278116507336</v>
      </c>
      <c r="I744">
        <v>2.2609161547969395E-2</v>
      </c>
      <c r="J744">
        <v>0</v>
      </c>
      <c r="K744" s="1">
        <f t="shared" si="99"/>
        <v>1.5394868093826146E-2</v>
      </c>
      <c r="L744" s="1">
        <f t="shared" si="100"/>
        <v>5.3598594629510193E-2</v>
      </c>
      <c r="M744">
        <f t="shared" si="101"/>
        <v>-0.2385598624781039</v>
      </c>
      <c r="N744">
        <f t="shared" si="102"/>
        <v>0.34484941340780501</v>
      </c>
      <c r="O744">
        <f t="shared" si="103"/>
        <v>0.7632000590660718</v>
      </c>
      <c r="P744">
        <f t="shared" si="104"/>
        <v>16.152278116507336</v>
      </c>
      <c r="Q744">
        <f t="shared" si="105"/>
        <v>2.2609161547969395E-2</v>
      </c>
      <c r="R744">
        <f t="shared" si="106"/>
        <v>0</v>
      </c>
      <c r="S744">
        <f t="shared" si="107"/>
        <v>0</v>
      </c>
    </row>
    <row r="745" spans="1:19" x14ac:dyDescent="0.3">
      <c r="A745" t="s">
        <v>246</v>
      </c>
      <c r="B745">
        <v>2010</v>
      </c>
      <c r="C745">
        <v>5.4110728261524341E-3</v>
      </c>
      <c r="D745">
        <v>0.12117212019105333</v>
      </c>
      <c r="E745">
        <v>-0.34616367991691244</v>
      </c>
      <c r="F745">
        <v>0.35748701224367568</v>
      </c>
      <c r="G745">
        <v>0.72582962229216352</v>
      </c>
      <c r="H745">
        <v>16.150126540703152</v>
      </c>
      <c r="I745">
        <v>2.5548712290129668E-2</v>
      </c>
      <c r="J745">
        <v>0</v>
      </c>
      <c r="K745" s="1">
        <f t="shared" si="99"/>
        <v>5.4110728261524341E-3</v>
      </c>
      <c r="L745" s="1">
        <f t="shared" si="100"/>
        <v>0.12117212019105333</v>
      </c>
      <c r="M745">
        <f t="shared" si="101"/>
        <v>-0.34616367991691244</v>
      </c>
      <c r="N745">
        <f t="shared" si="102"/>
        <v>0.35748701224367568</v>
      </c>
      <c r="O745">
        <f t="shared" si="103"/>
        <v>0.72582962229216352</v>
      </c>
      <c r="P745">
        <f t="shared" si="104"/>
        <v>16.150126540703152</v>
      </c>
      <c r="Q745">
        <f t="shared" si="105"/>
        <v>2.5548712290129668E-2</v>
      </c>
      <c r="R745">
        <f t="shared" si="106"/>
        <v>0</v>
      </c>
      <c r="S745">
        <f t="shared" si="107"/>
        <v>0</v>
      </c>
    </row>
    <row r="746" spans="1:19" x14ac:dyDescent="0.3">
      <c r="A746" t="s">
        <v>247</v>
      </c>
      <c r="B746">
        <v>2007</v>
      </c>
      <c r="C746">
        <v>2.5715033097021048E-4</v>
      </c>
      <c r="D746">
        <v>0.22692408301522063</v>
      </c>
      <c r="E746">
        <v>3.6842991988437102E-2</v>
      </c>
      <c r="F746">
        <v>0.31051656181140241</v>
      </c>
      <c r="G746">
        <v>0.74892715108468677</v>
      </c>
      <c r="H746">
        <v>14.628877802214021</v>
      </c>
      <c r="I746">
        <v>5.1960239988855191E-2</v>
      </c>
      <c r="J746">
        <v>0</v>
      </c>
      <c r="K746" s="1">
        <f t="shared" si="99"/>
        <v>2.5715033097021048E-4</v>
      </c>
      <c r="L746" s="1">
        <f t="shared" si="100"/>
        <v>0.22692408301522063</v>
      </c>
      <c r="M746">
        <f t="shared" si="101"/>
        <v>3.6842991988437102E-2</v>
      </c>
      <c r="N746">
        <f t="shared" si="102"/>
        <v>0.31051656181140241</v>
      </c>
      <c r="O746">
        <f t="shared" si="103"/>
        <v>0.74892715108468677</v>
      </c>
      <c r="P746">
        <f t="shared" si="104"/>
        <v>14.628877802214021</v>
      </c>
      <c r="Q746">
        <f t="shared" si="105"/>
        <v>5.1960239988855191E-2</v>
      </c>
      <c r="R746">
        <f t="shared" si="106"/>
        <v>0</v>
      </c>
      <c r="S746">
        <f t="shared" si="107"/>
        <v>0</v>
      </c>
    </row>
    <row r="747" spans="1:19" x14ac:dyDescent="0.3">
      <c r="A747" t="s">
        <v>247</v>
      </c>
      <c r="B747">
        <v>2008</v>
      </c>
      <c r="C747">
        <v>2.2307639393385221E-3</v>
      </c>
      <c r="D747">
        <v>0.29642349617216612</v>
      </c>
      <c r="E747">
        <v>-0.16357291339850913</v>
      </c>
      <c r="F747">
        <v>0.23821424796444468</v>
      </c>
      <c r="G747">
        <v>0.59641542273949755</v>
      </c>
      <c r="H747">
        <v>14.90748251501596</v>
      </c>
      <c r="I747">
        <v>4.4686101233291899E-2</v>
      </c>
      <c r="J747">
        <v>0</v>
      </c>
      <c r="K747" s="1">
        <f t="shared" si="99"/>
        <v>2.2307639393385221E-3</v>
      </c>
      <c r="L747" s="1">
        <f t="shared" si="100"/>
        <v>0.29642349617216612</v>
      </c>
      <c r="M747">
        <f t="shared" si="101"/>
        <v>-0.16357291339850913</v>
      </c>
      <c r="N747">
        <f t="shared" si="102"/>
        <v>0.23821424796444468</v>
      </c>
      <c r="O747">
        <f t="shared" si="103"/>
        <v>0.59641542273949755</v>
      </c>
      <c r="P747">
        <f t="shared" si="104"/>
        <v>14.90748251501596</v>
      </c>
      <c r="Q747">
        <f t="shared" si="105"/>
        <v>4.4686101233291899E-2</v>
      </c>
      <c r="R747">
        <f t="shared" si="106"/>
        <v>0</v>
      </c>
      <c r="S747">
        <f t="shared" si="107"/>
        <v>0</v>
      </c>
    </row>
    <row r="748" spans="1:19" x14ac:dyDescent="0.3">
      <c r="A748" t="s">
        <v>248</v>
      </c>
      <c r="B748">
        <v>2007</v>
      </c>
      <c r="C748">
        <v>5.0003462194281034E-3</v>
      </c>
      <c r="D748">
        <v>7.9469981333002496E-2</v>
      </c>
      <c r="E748">
        <v>-0.23244306854279129</v>
      </c>
      <c r="F748">
        <v>0.37652805387174304</v>
      </c>
      <c r="G748">
        <v>1.0015461221981472</v>
      </c>
      <c r="H748">
        <v>14.835371083109541</v>
      </c>
      <c r="I748">
        <v>4.6650174783289609E-2</v>
      </c>
      <c r="J748">
        <v>0</v>
      </c>
      <c r="K748" s="1">
        <f t="shared" si="99"/>
        <v>5.0003462194281034E-3</v>
      </c>
      <c r="L748" s="1">
        <f t="shared" si="100"/>
        <v>7.9469981333002496E-2</v>
      </c>
      <c r="M748">
        <f t="shared" si="101"/>
        <v>-0.23244306854279129</v>
      </c>
      <c r="N748">
        <f t="shared" si="102"/>
        <v>0.37652805387174304</v>
      </c>
      <c r="O748">
        <f t="shared" si="103"/>
        <v>1.0015461221981472</v>
      </c>
      <c r="P748">
        <f t="shared" si="104"/>
        <v>14.835371083109541</v>
      </c>
      <c r="Q748">
        <f t="shared" si="105"/>
        <v>4.6650174783289609E-2</v>
      </c>
      <c r="R748">
        <f t="shared" si="106"/>
        <v>0</v>
      </c>
      <c r="S748">
        <f t="shared" si="107"/>
        <v>0</v>
      </c>
    </row>
    <row r="749" spans="1:19" x14ac:dyDescent="0.3">
      <c r="A749" t="s">
        <v>248</v>
      </c>
      <c r="B749">
        <v>2008</v>
      </c>
      <c r="C749">
        <v>6.2527599334890101E-3</v>
      </c>
      <c r="D749">
        <v>0.22920632036126734</v>
      </c>
      <c r="E749">
        <v>-5.0821665137156198E-2</v>
      </c>
      <c r="F749">
        <v>0.28229953569513977</v>
      </c>
      <c r="G749">
        <v>0.95763822382947017</v>
      </c>
      <c r="H749">
        <v>14.827629517251099</v>
      </c>
      <c r="I749">
        <v>1.3915710963752076E-3</v>
      </c>
      <c r="J749">
        <v>0</v>
      </c>
      <c r="K749" s="1">
        <f t="shared" si="99"/>
        <v>6.2527599334890101E-3</v>
      </c>
      <c r="L749" s="1">
        <f t="shared" si="100"/>
        <v>0.22920632036126734</v>
      </c>
      <c r="M749">
        <f t="shared" si="101"/>
        <v>-5.0821665137156198E-2</v>
      </c>
      <c r="N749">
        <f t="shared" si="102"/>
        <v>0.28229953569513977</v>
      </c>
      <c r="O749">
        <f t="shared" si="103"/>
        <v>0.95763822382947017</v>
      </c>
      <c r="P749">
        <f t="shared" si="104"/>
        <v>14.827629517251099</v>
      </c>
      <c r="Q749">
        <f t="shared" si="105"/>
        <v>1.3915710963752076E-3</v>
      </c>
      <c r="R749">
        <f t="shared" si="106"/>
        <v>0</v>
      </c>
      <c r="S749">
        <f t="shared" si="107"/>
        <v>0</v>
      </c>
    </row>
    <row r="750" spans="1:19" x14ac:dyDescent="0.3">
      <c r="A750" t="s">
        <v>248</v>
      </c>
      <c r="B750">
        <v>2009</v>
      </c>
      <c r="C750">
        <v>1.2339887243403597E-2</v>
      </c>
      <c r="D750">
        <v>0.22981268663793181</v>
      </c>
      <c r="E750">
        <v>-4.552811489650261E-2</v>
      </c>
      <c r="F750">
        <v>0.4903759686385652</v>
      </c>
      <c r="G750">
        <v>0.98526703202523513</v>
      </c>
      <c r="H750">
        <v>14.84316912536401</v>
      </c>
      <c r="I750">
        <v>1.0406056198953142E-2</v>
      </c>
      <c r="J750">
        <v>0</v>
      </c>
      <c r="K750" s="1">
        <f t="shared" si="99"/>
        <v>1.2339887243403597E-2</v>
      </c>
      <c r="L750" s="1">
        <f t="shared" si="100"/>
        <v>0.22981268663793181</v>
      </c>
      <c r="M750">
        <f t="shared" si="101"/>
        <v>-4.552811489650261E-2</v>
      </c>
      <c r="N750">
        <f t="shared" si="102"/>
        <v>0.4903759686385652</v>
      </c>
      <c r="O750">
        <f t="shared" si="103"/>
        <v>0.98526703202523513</v>
      </c>
      <c r="P750">
        <f t="shared" si="104"/>
        <v>14.84316912536401</v>
      </c>
      <c r="Q750">
        <f t="shared" si="105"/>
        <v>1.0406056198953142E-2</v>
      </c>
      <c r="R750">
        <f t="shared" si="106"/>
        <v>0</v>
      </c>
      <c r="S750">
        <f t="shared" si="107"/>
        <v>0</v>
      </c>
    </row>
    <row r="751" spans="1:19" x14ac:dyDescent="0.3">
      <c r="A751" t="s">
        <v>248</v>
      </c>
      <c r="B751">
        <v>2010</v>
      </c>
      <c r="C751">
        <v>6.0556973753129843E-3</v>
      </c>
      <c r="D751">
        <v>0.27233454372078142</v>
      </c>
      <c r="E751">
        <v>-0.19921157489869257</v>
      </c>
      <c r="F751">
        <v>0.56763561584806643</v>
      </c>
      <c r="G751">
        <v>1.0812535086759474</v>
      </c>
      <c r="H751">
        <v>14.793640796912239</v>
      </c>
      <c r="I751">
        <v>6.4132720378032304E-3</v>
      </c>
      <c r="J751">
        <v>0</v>
      </c>
      <c r="K751" s="1">
        <f t="shared" si="99"/>
        <v>6.0556973753129843E-3</v>
      </c>
      <c r="L751" s="1">
        <f t="shared" si="100"/>
        <v>0.27233454372078142</v>
      </c>
      <c r="M751">
        <f t="shared" si="101"/>
        <v>-0.19921157489869257</v>
      </c>
      <c r="N751">
        <f t="shared" si="102"/>
        <v>0.56763561584806643</v>
      </c>
      <c r="O751">
        <f t="shared" si="103"/>
        <v>1.0812535086759474</v>
      </c>
      <c r="P751">
        <f t="shared" si="104"/>
        <v>14.793640796912239</v>
      </c>
      <c r="Q751">
        <f t="shared" si="105"/>
        <v>6.4132720378032304E-3</v>
      </c>
      <c r="R751">
        <f t="shared" si="106"/>
        <v>0</v>
      </c>
      <c r="S751">
        <f t="shared" si="107"/>
        <v>0</v>
      </c>
    </row>
    <row r="752" spans="1:19" x14ac:dyDescent="0.3">
      <c r="A752" t="s">
        <v>249</v>
      </c>
      <c r="B752">
        <v>2007</v>
      </c>
      <c r="C752">
        <v>4.8097823573483298E-4</v>
      </c>
      <c r="D752">
        <v>5.7371453941709137E-2</v>
      </c>
      <c r="E752">
        <v>-0.43777529066809728</v>
      </c>
      <c r="F752">
        <v>0</v>
      </c>
      <c r="G752">
        <v>0.84360474688520348</v>
      </c>
      <c r="H752">
        <v>13.20037016785029</v>
      </c>
      <c r="I752">
        <v>5.7804983492808215E-2</v>
      </c>
      <c r="J752">
        <v>0</v>
      </c>
      <c r="K752" s="1">
        <f t="shared" si="99"/>
        <v>4.8097823573483298E-4</v>
      </c>
      <c r="L752" s="1">
        <f t="shared" si="100"/>
        <v>5.7371453941709137E-2</v>
      </c>
      <c r="M752">
        <f t="shared" si="101"/>
        <v>-0.43777529066809728</v>
      </c>
      <c r="N752">
        <f t="shared" si="102"/>
        <v>0</v>
      </c>
      <c r="O752">
        <f t="shared" si="103"/>
        <v>0.84360474688520348</v>
      </c>
      <c r="P752">
        <f t="shared" si="104"/>
        <v>13.20037016785029</v>
      </c>
      <c r="Q752">
        <f t="shared" si="105"/>
        <v>5.7804983492808215E-2</v>
      </c>
      <c r="R752">
        <f t="shared" si="106"/>
        <v>0</v>
      </c>
      <c r="S752">
        <f t="shared" si="107"/>
        <v>0</v>
      </c>
    </row>
    <row r="753" spans="1:19" x14ac:dyDescent="0.3">
      <c r="A753" t="s">
        <v>249</v>
      </c>
      <c r="B753">
        <v>2008</v>
      </c>
      <c r="C753">
        <v>2.1659270909397291E-3</v>
      </c>
      <c r="D753">
        <v>0.26876818513733641</v>
      </c>
      <c r="E753">
        <v>-0.11263045554120092</v>
      </c>
      <c r="F753">
        <v>0</v>
      </c>
      <c r="G753">
        <v>1.0377999213615683</v>
      </c>
      <c r="H753">
        <v>13.005998086273063</v>
      </c>
      <c r="I753">
        <v>0.24444504244406259</v>
      </c>
      <c r="J753">
        <v>0</v>
      </c>
      <c r="K753" s="1">
        <f t="shared" si="99"/>
        <v>2.1659270909397291E-3</v>
      </c>
      <c r="L753" s="1">
        <f t="shared" si="100"/>
        <v>0.26876818513733641</v>
      </c>
      <c r="M753">
        <f t="shared" si="101"/>
        <v>-0.11263045554120092</v>
      </c>
      <c r="N753">
        <f t="shared" si="102"/>
        <v>0</v>
      </c>
      <c r="O753">
        <f t="shared" si="103"/>
        <v>1.0377999213615683</v>
      </c>
      <c r="P753">
        <f t="shared" si="104"/>
        <v>13.005998086273063</v>
      </c>
      <c r="Q753">
        <f t="shared" si="105"/>
        <v>0.24444504244406259</v>
      </c>
      <c r="R753">
        <f t="shared" si="106"/>
        <v>0</v>
      </c>
      <c r="S753">
        <f t="shared" si="107"/>
        <v>0</v>
      </c>
    </row>
    <row r="754" spans="1:19" x14ac:dyDescent="0.3">
      <c r="A754" t="s">
        <v>249</v>
      </c>
      <c r="B754">
        <v>2009</v>
      </c>
      <c r="C754">
        <v>8.1313638965640027E-3</v>
      </c>
      <c r="D754">
        <v>0.97045168734815668</v>
      </c>
      <c r="E754">
        <v>-9.6019057320706577E-2</v>
      </c>
      <c r="F754">
        <v>0.43014193827555586</v>
      </c>
      <c r="G754">
        <v>0.81678062896370185</v>
      </c>
      <c r="H754">
        <v>13.002935489720246</v>
      </c>
      <c r="I754">
        <v>0.31245059923784946</v>
      </c>
      <c r="J754">
        <v>0</v>
      </c>
      <c r="K754" s="1">
        <f t="shared" si="99"/>
        <v>8.1313638965640027E-3</v>
      </c>
      <c r="L754" s="1">
        <f t="shared" si="100"/>
        <v>0.97045168734815668</v>
      </c>
      <c r="M754">
        <f t="shared" si="101"/>
        <v>-9.6019057320706577E-2</v>
      </c>
      <c r="N754">
        <f t="shared" si="102"/>
        <v>0.43014193827555586</v>
      </c>
      <c r="O754">
        <f t="shared" si="103"/>
        <v>0.81678062896370185</v>
      </c>
      <c r="P754">
        <f t="shared" si="104"/>
        <v>13.002935489720246</v>
      </c>
      <c r="Q754">
        <f t="shared" si="105"/>
        <v>0.31245059923784946</v>
      </c>
      <c r="R754">
        <f t="shared" si="106"/>
        <v>0</v>
      </c>
      <c r="S754">
        <f t="shared" si="107"/>
        <v>0</v>
      </c>
    </row>
    <row r="755" spans="1:19" x14ac:dyDescent="0.3">
      <c r="A755" t="s">
        <v>249</v>
      </c>
      <c r="B755">
        <v>2010</v>
      </c>
      <c r="C755">
        <v>1.6907555801464452E-3</v>
      </c>
      <c r="D755">
        <v>2.1303045378502469E-2</v>
      </c>
      <c r="E755">
        <v>-0.13915844540723582</v>
      </c>
      <c r="F755">
        <v>0.30020410174454154</v>
      </c>
      <c r="G755">
        <v>0.73323132599643559</v>
      </c>
      <c r="H755">
        <v>13.643804853089463</v>
      </c>
      <c r="I755">
        <v>9.9475828117018134E-3</v>
      </c>
      <c r="J755">
        <v>0</v>
      </c>
      <c r="K755" s="1">
        <f t="shared" si="99"/>
        <v>1.6907555801464452E-3</v>
      </c>
      <c r="L755" s="1">
        <f t="shared" si="100"/>
        <v>2.1303045378502469E-2</v>
      </c>
      <c r="M755">
        <f t="shared" si="101"/>
        <v>-0.13915844540723582</v>
      </c>
      <c r="N755">
        <f t="shared" si="102"/>
        <v>0.30020410174454154</v>
      </c>
      <c r="O755">
        <f t="shared" si="103"/>
        <v>0.73323132599643559</v>
      </c>
      <c r="P755">
        <f t="shared" si="104"/>
        <v>13.643804853089463</v>
      </c>
      <c r="Q755">
        <f t="shared" si="105"/>
        <v>9.9475828117018134E-3</v>
      </c>
      <c r="R755">
        <f t="shared" si="106"/>
        <v>0</v>
      </c>
      <c r="S755">
        <f t="shared" si="107"/>
        <v>0</v>
      </c>
    </row>
    <row r="756" spans="1:19" x14ac:dyDescent="0.3">
      <c r="A756" t="s">
        <v>250</v>
      </c>
      <c r="B756">
        <v>2010</v>
      </c>
      <c r="C756">
        <v>2.3898195322635069E-2</v>
      </c>
      <c r="D756">
        <v>0.26678528789399819</v>
      </c>
      <c r="E756">
        <v>0.28197778192276768</v>
      </c>
      <c r="F756">
        <v>1.6829648600332391E-2</v>
      </c>
      <c r="G756">
        <v>1.1114595755204348</v>
      </c>
      <c r="H756">
        <v>15.560490739854195</v>
      </c>
      <c r="I756">
        <v>9.1629287312542107E-3</v>
      </c>
      <c r="J756">
        <v>4.2345612516565406E-2</v>
      </c>
      <c r="K756" s="1">
        <f t="shared" si="99"/>
        <v>2.3898195322635069E-2</v>
      </c>
      <c r="L756" s="1">
        <f t="shared" si="100"/>
        <v>0.26678528789399819</v>
      </c>
      <c r="M756">
        <f t="shared" si="101"/>
        <v>0.28197778192276768</v>
      </c>
      <c r="N756">
        <f t="shared" si="102"/>
        <v>1.6829648600332391E-2</v>
      </c>
      <c r="O756">
        <f t="shared" si="103"/>
        <v>1.1114595755204348</v>
      </c>
      <c r="P756">
        <f t="shared" si="104"/>
        <v>15.560490739854195</v>
      </c>
      <c r="Q756">
        <f t="shared" si="105"/>
        <v>9.1629287312542107E-3</v>
      </c>
      <c r="R756">
        <f t="shared" si="106"/>
        <v>4.2345612516565406E-2</v>
      </c>
      <c r="S756">
        <f t="shared" si="107"/>
        <v>0</v>
      </c>
    </row>
    <row r="757" spans="1:19" x14ac:dyDescent="0.3">
      <c r="A757" t="s">
        <v>251</v>
      </c>
      <c r="B757">
        <v>2007</v>
      </c>
      <c r="C757">
        <v>1.7519888664517366E-2</v>
      </c>
      <c r="D757">
        <v>9.5505421328276732E-2</v>
      </c>
      <c r="E757">
        <v>-0.25514220500744128</v>
      </c>
      <c r="F757">
        <v>5.1901840342696987E-2</v>
      </c>
      <c r="G757">
        <v>0.97558380517738963</v>
      </c>
      <c r="H757">
        <v>13.627356424717805</v>
      </c>
      <c r="I757">
        <v>4.3144792464901646E-3</v>
      </c>
      <c r="J757">
        <v>2.1950857406332267E-2</v>
      </c>
      <c r="K757" s="1">
        <f t="shared" si="99"/>
        <v>1.7519888664517366E-2</v>
      </c>
      <c r="L757" s="1">
        <f t="shared" si="100"/>
        <v>9.5505421328276732E-2</v>
      </c>
      <c r="M757">
        <f t="shared" si="101"/>
        <v>-0.25514220500744128</v>
      </c>
      <c r="N757">
        <f t="shared" si="102"/>
        <v>5.1901840342696987E-2</v>
      </c>
      <c r="O757">
        <f t="shared" si="103"/>
        <v>0.97558380517738963</v>
      </c>
      <c r="P757">
        <f t="shared" si="104"/>
        <v>13.627356424717805</v>
      </c>
      <c r="Q757">
        <f t="shared" si="105"/>
        <v>4.3144792464901646E-3</v>
      </c>
      <c r="R757">
        <f t="shared" si="106"/>
        <v>2.1950857406332267E-2</v>
      </c>
      <c r="S757">
        <f t="shared" si="107"/>
        <v>0</v>
      </c>
    </row>
    <row r="758" spans="1:19" x14ac:dyDescent="0.3">
      <c r="A758" t="s">
        <v>251</v>
      </c>
      <c r="B758">
        <v>2010</v>
      </c>
      <c r="C758">
        <v>1.1273555902777012E-2</v>
      </c>
      <c r="D758">
        <v>8.5442556764464106E-2</v>
      </c>
      <c r="E758">
        <v>8.4604009599767282E-3</v>
      </c>
      <c r="F758">
        <v>0.35050830723662896</v>
      </c>
      <c r="G758">
        <v>0.78422385352641588</v>
      </c>
      <c r="H758">
        <v>13.718473087251542</v>
      </c>
      <c r="I758">
        <v>8.6454858458617084E-4</v>
      </c>
      <c r="J758">
        <v>0</v>
      </c>
      <c r="K758" s="1">
        <f t="shared" si="99"/>
        <v>1.1273555902777012E-2</v>
      </c>
      <c r="L758" s="1">
        <f t="shared" si="100"/>
        <v>8.5442556764464106E-2</v>
      </c>
      <c r="M758">
        <f t="shared" si="101"/>
        <v>8.4604009599767282E-3</v>
      </c>
      <c r="N758">
        <f t="shared" si="102"/>
        <v>0.35050830723662896</v>
      </c>
      <c r="O758">
        <f t="shared" si="103"/>
        <v>0.78422385352641588</v>
      </c>
      <c r="P758">
        <f t="shared" si="104"/>
        <v>13.718473087251542</v>
      </c>
      <c r="Q758">
        <f t="shared" si="105"/>
        <v>8.6454858458617084E-4</v>
      </c>
      <c r="R758">
        <f t="shared" si="106"/>
        <v>0</v>
      </c>
      <c r="S758">
        <f t="shared" si="107"/>
        <v>0</v>
      </c>
    </row>
    <row r="759" spans="1:19" x14ac:dyDescent="0.3">
      <c r="A759" t="s">
        <v>252</v>
      </c>
      <c r="B759">
        <v>2007</v>
      </c>
      <c r="C759">
        <v>4.9474478918861239E-2</v>
      </c>
      <c r="D759">
        <v>0.15763147528139734</v>
      </c>
      <c r="E759">
        <v>7.4009271622884815E-2</v>
      </c>
      <c r="F759">
        <v>0.2183859658354656</v>
      </c>
      <c r="G759">
        <v>1.34398700247979</v>
      </c>
      <c r="H759">
        <v>14.12905114844032</v>
      </c>
      <c r="I759">
        <v>6.8150353854571147E-3</v>
      </c>
      <c r="J759">
        <v>0</v>
      </c>
      <c r="K759" s="1">
        <f t="shared" si="99"/>
        <v>4.9474478918861239E-2</v>
      </c>
      <c r="L759" s="1">
        <f t="shared" si="100"/>
        <v>0.15763147528139734</v>
      </c>
      <c r="M759">
        <f t="shared" si="101"/>
        <v>7.4009271622884815E-2</v>
      </c>
      <c r="N759">
        <f t="shared" si="102"/>
        <v>0.2183859658354656</v>
      </c>
      <c r="O759">
        <f t="shared" si="103"/>
        <v>1.34398700247979</v>
      </c>
      <c r="P759">
        <f t="shared" si="104"/>
        <v>14.12905114844032</v>
      </c>
      <c r="Q759">
        <f t="shared" si="105"/>
        <v>6.8150353854571147E-3</v>
      </c>
      <c r="R759">
        <f t="shared" si="106"/>
        <v>0</v>
      </c>
      <c r="S759">
        <f t="shared" si="107"/>
        <v>0</v>
      </c>
    </row>
    <row r="760" spans="1:19" x14ac:dyDescent="0.3">
      <c r="A760" t="s">
        <v>252</v>
      </c>
      <c r="B760">
        <v>2009</v>
      </c>
      <c r="C760">
        <v>2.5960932886967755E-2</v>
      </c>
      <c r="D760">
        <v>4.7109102813265462E-2</v>
      </c>
      <c r="E760">
        <v>1.3961068433026113E-2</v>
      </c>
      <c r="F760">
        <v>0.59639370230538913</v>
      </c>
      <c r="G760">
        <v>0.91719838938976361</v>
      </c>
      <c r="H760">
        <v>15.555183611349548</v>
      </c>
      <c r="I760">
        <v>4.0337878718325684E-3</v>
      </c>
      <c r="J760">
        <v>0</v>
      </c>
      <c r="K760" s="1">
        <f t="shared" si="99"/>
        <v>2.5960932886967755E-2</v>
      </c>
      <c r="L760" s="1">
        <f t="shared" si="100"/>
        <v>4.7109102813265462E-2</v>
      </c>
      <c r="M760">
        <f t="shared" si="101"/>
        <v>1.3961068433026113E-2</v>
      </c>
      <c r="N760">
        <f t="shared" si="102"/>
        <v>0.59639370230538913</v>
      </c>
      <c r="O760">
        <f t="shared" si="103"/>
        <v>0.91719838938976361</v>
      </c>
      <c r="P760">
        <f t="shared" si="104"/>
        <v>15.555183611349548</v>
      </c>
      <c r="Q760">
        <f t="shared" si="105"/>
        <v>4.0337878718325684E-3</v>
      </c>
      <c r="R760">
        <f t="shared" si="106"/>
        <v>0</v>
      </c>
      <c r="S760">
        <f t="shared" si="107"/>
        <v>0</v>
      </c>
    </row>
    <row r="761" spans="1:19" x14ac:dyDescent="0.3">
      <c r="A761" t="s">
        <v>252</v>
      </c>
      <c r="B761">
        <v>2010</v>
      </c>
      <c r="C761">
        <v>1.3350331202921058E-2</v>
      </c>
      <c r="D761">
        <v>6.377377548615705E-2</v>
      </c>
      <c r="E761">
        <v>2.2625574600867119E-3</v>
      </c>
      <c r="F761">
        <v>0.59819730068909516</v>
      </c>
      <c r="G761">
        <v>0.89288177063665342</v>
      </c>
      <c r="H761">
        <v>15.544546036575849</v>
      </c>
      <c r="I761">
        <v>3.4395638941317648E-3</v>
      </c>
      <c r="J761">
        <v>0</v>
      </c>
      <c r="K761" s="1">
        <f t="shared" si="99"/>
        <v>1.3350331202921058E-2</v>
      </c>
      <c r="L761" s="1">
        <f t="shared" si="100"/>
        <v>6.377377548615705E-2</v>
      </c>
      <c r="M761">
        <f t="shared" si="101"/>
        <v>2.2625574600867119E-3</v>
      </c>
      <c r="N761">
        <f t="shared" si="102"/>
        <v>0.59819730068909516</v>
      </c>
      <c r="O761">
        <f t="shared" si="103"/>
        <v>0.89288177063665342</v>
      </c>
      <c r="P761">
        <f t="shared" si="104"/>
        <v>15.544546036575849</v>
      </c>
      <c r="Q761">
        <f t="shared" si="105"/>
        <v>3.4395638941317648E-3</v>
      </c>
      <c r="R761">
        <f t="shared" si="106"/>
        <v>0</v>
      </c>
      <c r="S761">
        <f t="shared" si="107"/>
        <v>0</v>
      </c>
    </row>
    <row r="762" spans="1:19" x14ac:dyDescent="0.3">
      <c r="A762" t="s">
        <v>253</v>
      </c>
      <c r="B762">
        <v>2007</v>
      </c>
      <c r="C762">
        <v>1.1817471612164844E-2</v>
      </c>
      <c r="D762">
        <v>0.13841952798225779</v>
      </c>
      <c r="E762">
        <v>-0.1820392181954594</v>
      </c>
      <c r="F762">
        <v>0.12788070865613541</v>
      </c>
      <c r="G762">
        <v>1.0612727285861863</v>
      </c>
      <c r="H762">
        <v>13.784008538899284</v>
      </c>
      <c r="I762">
        <v>3.1351567550200361E-2</v>
      </c>
      <c r="J762">
        <v>1.1919639954633129E-2</v>
      </c>
      <c r="K762" s="1">
        <f t="shared" si="99"/>
        <v>1.1817471612164844E-2</v>
      </c>
      <c r="L762" s="1">
        <f t="shared" si="100"/>
        <v>0.13841952798225779</v>
      </c>
      <c r="M762">
        <f t="shared" si="101"/>
        <v>-0.1820392181954594</v>
      </c>
      <c r="N762">
        <f t="shared" si="102"/>
        <v>0.12788070865613541</v>
      </c>
      <c r="O762">
        <f t="shared" si="103"/>
        <v>1.0612727285861863</v>
      </c>
      <c r="P762">
        <f t="shared" si="104"/>
        <v>13.784008538899284</v>
      </c>
      <c r="Q762">
        <f t="shared" si="105"/>
        <v>3.1351567550200361E-2</v>
      </c>
      <c r="R762">
        <f t="shared" si="106"/>
        <v>1.1919639954633129E-2</v>
      </c>
      <c r="S762">
        <f t="shared" si="107"/>
        <v>0</v>
      </c>
    </row>
    <row r="763" spans="1:19" x14ac:dyDescent="0.3">
      <c r="A763" t="s">
        <v>253</v>
      </c>
      <c r="B763">
        <v>2008</v>
      </c>
      <c r="C763">
        <v>5.0697302436697022E-3</v>
      </c>
      <c r="D763">
        <v>5.8615967075929247E-2</v>
      </c>
      <c r="E763">
        <v>-9.5732776818598389E-2</v>
      </c>
      <c r="F763">
        <v>0.13324431843535151</v>
      </c>
      <c r="G763">
        <v>0.68447605350504748</v>
      </c>
      <c r="H763">
        <v>13.96853031282261</v>
      </c>
      <c r="I763">
        <v>1.4349111433906466E-2</v>
      </c>
      <c r="J763">
        <v>0</v>
      </c>
      <c r="K763" s="1">
        <f t="shared" si="99"/>
        <v>5.0697302436697022E-3</v>
      </c>
      <c r="L763" s="1">
        <f t="shared" si="100"/>
        <v>5.8615967075929247E-2</v>
      </c>
      <c r="M763">
        <f t="shared" si="101"/>
        <v>-9.5732776818598389E-2</v>
      </c>
      <c r="N763">
        <f t="shared" si="102"/>
        <v>0.13324431843535151</v>
      </c>
      <c r="O763">
        <f t="shared" si="103"/>
        <v>0.68447605350504748</v>
      </c>
      <c r="P763">
        <f t="shared" si="104"/>
        <v>13.96853031282261</v>
      </c>
      <c r="Q763">
        <f t="shared" si="105"/>
        <v>1.4349111433906466E-2</v>
      </c>
      <c r="R763">
        <f t="shared" si="106"/>
        <v>0</v>
      </c>
      <c r="S763">
        <f t="shared" si="107"/>
        <v>0</v>
      </c>
    </row>
    <row r="764" spans="1:19" x14ac:dyDescent="0.3">
      <c r="A764" t="s">
        <v>253</v>
      </c>
      <c r="B764">
        <v>2009</v>
      </c>
      <c r="C764">
        <v>7.7283640654703875E-3</v>
      </c>
      <c r="D764">
        <v>0.10425080051495723</v>
      </c>
      <c r="E764">
        <v>9.0526084730813071E-5</v>
      </c>
      <c r="F764">
        <v>0.2047724070084814</v>
      </c>
      <c r="G764">
        <v>0.75242475319625168</v>
      </c>
      <c r="H764">
        <v>14.037260338430995</v>
      </c>
      <c r="I764">
        <v>3.9944855449443609E-2</v>
      </c>
      <c r="J764">
        <v>0</v>
      </c>
      <c r="K764" s="1">
        <f t="shared" si="99"/>
        <v>7.7283640654703875E-3</v>
      </c>
      <c r="L764" s="1">
        <f t="shared" si="100"/>
        <v>0.10425080051495723</v>
      </c>
      <c r="M764">
        <f t="shared" si="101"/>
        <v>9.0526084730813071E-5</v>
      </c>
      <c r="N764">
        <f t="shared" si="102"/>
        <v>0.2047724070084814</v>
      </c>
      <c r="O764">
        <f t="shared" si="103"/>
        <v>0.75242475319625168</v>
      </c>
      <c r="P764">
        <f t="shared" si="104"/>
        <v>14.037260338430995</v>
      </c>
      <c r="Q764">
        <f t="shared" si="105"/>
        <v>3.9944855449443609E-2</v>
      </c>
      <c r="R764">
        <f t="shared" si="106"/>
        <v>0</v>
      </c>
      <c r="S764">
        <f t="shared" si="107"/>
        <v>0</v>
      </c>
    </row>
    <row r="765" spans="1:19" x14ac:dyDescent="0.3">
      <c r="A765" t="s">
        <v>253</v>
      </c>
      <c r="B765">
        <v>2010</v>
      </c>
      <c r="C765">
        <v>1.0665463052992463E-2</v>
      </c>
      <c r="D765">
        <v>0.21588623506076807</v>
      </c>
      <c r="E765">
        <v>1.7450444357657906E-2</v>
      </c>
      <c r="F765">
        <v>9.7636320605753751E-2</v>
      </c>
      <c r="G765">
        <v>0.8942019477146117</v>
      </c>
      <c r="H765">
        <v>14.126503068731301</v>
      </c>
      <c r="I765">
        <v>1.2259856185287448E-2</v>
      </c>
      <c r="J765">
        <v>2.9620180263617773E-2</v>
      </c>
      <c r="K765" s="1">
        <f t="shared" si="99"/>
        <v>1.0665463052992463E-2</v>
      </c>
      <c r="L765" s="1">
        <f t="shared" si="100"/>
        <v>0.21588623506076807</v>
      </c>
      <c r="M765">
        <f t="shared" si="101"/>
        <v>1.7450444357657906E-2</v>
      </c>
      <c r="N765">
        <f t="shared" si="102"/>
        <v>9.7636320605753751E-2</v>
      </c>
      <c r="O765">
        <f t="shared" si="103"/>
        <v>0.8942019477146117</v>
      </c>
      <c r="P765">
        <f t="shared" si="104"/>
        <v>14.126503068731301</v>
      </c>
      <c r="Q765">
        <f t="shared" si="105"/>
        <v>1.2259856185287448E-2</v>
      </c>
      <c r="R765">
        <f t="shared" si="106"/>
        <v>2.9620180263617773E-2</v>
      </c>
      <c r="S765">
        <f t="shared" si="107"/>
        <v>0</v>
      </c>
    </row>
    <row r="766" spans="1:19" x14ac:dyDescent="0.3">
      <c r="A766" t="s">
        <v>254</v>
      </c>
      <c r="B766">
        <v>2007</v>
      </c>
      <c r="C766">
        <v>4.0837204524820911E-2</v>
      </c>
      <c r="D766">
        <v>0.40405050331011721</v>
      </c>
      <c r="E766">
        <v>0.74253235565039333</v>
      </c>
      <c r="F766">
        <v>6.032928873897456E-3</v>
      </c>
      <c r="G766">
        <v>2.2902623243053393</v>
      </c>
      <c r="H766">
        <v>14.003820813319054</v>
      </c>
      <c r="I766">
        <v>3.3947577437789436E-2</v>
      </c>
      <c r="J766">
        <v>3.4791021928284108E-2</v>
      </c>
      <c r="K766" s="1">
        <f t="shared" si="99"/>
        <v>4.0837204524820911E-2</v>
      </c>
      <c r="L766" s="1">
        <f t="shared" si="100"/>
        <v>0.40405050331011721</v>
      </c>
      <c r="M766">
        <f t="shared" si="101"/>
        <v>0.74253235565039333</v>
      </c>
      <c r="N766">
        <f t="shared" si="102"/>
        <v>6.032928873897456E-3</v>
      </c>
      <c r="O766">
        <f t="shared" si="103"/>
        <v>2.2902623243053393</v>
      </c>
      <c r="P766">
        <f t="shared" si="104"/>
        <v>14.003820813319054</v>
      </c>
      <c r="Q766">
        <f t="shared" si="105"/>
        <v>3.3947577437789436E-2</v>
      </c>
      <c r="R766">
        <f t="shared" si="106"/>
        <v>3.4791021928284108E-2</v>
      </c>
      <c r="S766">
        <f t="shared" si="107"/>
        <v>0</v>
      </c>
    </row>
    <row r="767" spans="1:19" x14ac:dyDescent="0.3">
      <c r="A767" t="s">
        <v>254</v>
      </c>
      <c r="B767">
        <v>2008</v>
      </c>
      <c r="C767">
        <v>0.11100879899315814</v>
      </c>
      <c r="D767">
        <v>0.30508137097936028</v>
      </c>
      <c r="E767">
        <v>0.63648225115050161</v>
      </c>
      <c r="F767">
        <v>5.6410597934669444E-3</v>
      </c>
      <c r="G767">
        <v>0.66270168776486005</v>
      </c>
      <c r="H767">
        <v>14.201814592936373</v>
      </c>
      <c r="I767">
        <v>2.0765108313034152E-2</v>
      </c>
      <c r="J767">
        <v>1.6309533193977432E-2</v>
      </c>
      <c r="K767" s="1">
        <f t="shared" si="99"/>
        <v>0.11100879899315814</v>
      </c>
      <c r="L767" s="1">
        <f t="shared" si="100"/>
        <v>0.30508137097936028</v>
      </c>
      <c r="M767">
        <f t="shared" si="101"/>
        <v>0.63648225115050161</v>
      </c>
      <c r="N767">
        <f t="shared" si="102"/>
        <v>5.6410597934669444E-3</v>
      </c>
      <c r="O767">
        <f t="shared" si="103"/>
        <v>0.66270168776486005</v>
      </c>
      <c r="P767">
        <f t="shared" si="104"/>
        <v>14.201814592936373</v>
      </c>
      <c r="Q767">
        <f t="shared" si="105"/>
        <v>2.0765108313034152E-2</v>
      </c>
      <c r="R767">
        <f t="shared" si="106"/>
        <v>1.6309533193977432E-2</v>
      </c>
      <c r="S767">
        <f t="shared" si="107"/>
        <v>0</v>
      </c>
    </row>
    <row r="768" spans="1:19" x14ac:dyDescent="0.3">
      <c r="A768" t="s">
        <v>254</v>
      </c>
      <c r="B768">
        <v>2009</v>
      </c>
      <c r="C768">
        <v>0.13499982949354797</v>
      </c>
      <c r="D768">
        <v>0.26161672423004373</v>
      </c>
      <c r="E768">
        <v>0.54961348879533301</v>
      </c>
      <c r="F768">
        <v>0</v>
      </c>
      <c r="G768">
        <v>1.1752036056431054</v>
      </c>
      <c r="H768">
        <v>14.329226600442512</v>
      </c>
      <c r="I768">
        <v>3.8331757141515085E-2</v>
      </c>
      <c r="J768">
        <v>3.4460251356423693E-2</v>
      </c>
      <c r="K768" s="1">
        <f t="shared" si="99"/>
        <v>0.13499982949354797</v>
      </c>
      <c r="L768" s="1">
        <f t="shared" si="100"/>
        <v>0.26161672423004373</v>
      </c>
      <c r="M768">
        <f t="shared" si="101"/>
        <v>0.54961348879533301</v>
      </c>
      <c r="N768">
        <f t="shared" si="102"/>
        <v>0</v>
      </c>
      <c r="O768">
        <f t="shared" si="103"/>
        <v>1.1752036056431054</v>
      </c>
      <c r="P768">
        <f t="shared" si="104"/>
        <v>14.329226600442512</v>
      </c>
      <c r="Q768">
        <f t="shared" si="105"/>
        <v>3.8331757141515085E-2</v>
      </c>
      <c r="R768">
        <f t="shared" si="106"/>
        <v>3.4460251356423693E-2</v>
      </c>
      <c r="S768">
        <f t="shared" si="107"/>
        <v>0</v>
      </c>
    </row>
    <row r="769" spans="1:19" x14ac:dyDescent="0.3">
      <c r="A769" t="s">
        <v>254</v>
      </c>
      <c r="B769">
        <v>2010</v>
      </c>
      <c r="C769">
        <v>8.9816768358638083E-2</v>
      </c>
      <c r="D769">
        <v>0.34009253465397205</v>
      </c>
      <c r="E769">
        <v>0.69724698936712159</v>
      </c>
      <c r="F769">
        <v>0</v>
      </c>
      <c r="G769">
        <v>1.1755367963656074</v>
      </c>
      <c r="H769">
        <v>14.580729531929428</v>
      </c>
      <c r="I769">
        <v>2.606396562039787E-2</v>
      </c>
      <c r="J769">
        <v>6.0294073176348537E-2</v>
      </c>
      <c r="K769" s="1">
        <f t="shared" si="99"/>
        <v>8.9816768358638083E-2</v>
      </c>
      <c r="L769" s="1">
        <f t="shared" si="100"/>
        <v>0.34009253465397205</v>
      </c>
      <c r="M769">
        <f t="shared" si="101"/>
        <v>0.69724698936712159</v>
      </c>
      <c r="N769">
        <f t="shared" si="102"/>
        <v>0</v>
      </c>
      <c r="O769">
        <f t="shared" si="103"/>
        <v>1.1755367963656074</v>
      </c>
      <c r="P769">
        <f t="shared" si="104"/>
        <v>14.580729531929428</v>
      </c>
      <c r="Q769">
        <f t="shared" si="105"/>
        <v>2.606396562039787E-2</v>
      </c>
      <c r="R769">
        <f t="shared" si="106"/>
        <v>6.0294073176348537E-2</v>
      </c>
      <c r="S769">
        <f t="shared" si="107"/>
        <v>0</v>
      </c>
    </row>
    <row r="770" spans="1:19" x14ac:dyDescent="0.3">
      <c r="A770" t="s">
        <v>255</v>
      </c>
      <c r="B770">
        <v>2007</v>
      </c>
      <c r="C770">
        <v>0.64220788047060418</v>
      </c>
      <c r="D770">
        <v>0.28455681214323419</v>
      </c>
      <c r="E770">
        <v>0.52821595275912558</v>
      </c>
      <c r="F770">
        <v>0</v>
      </c>
      <c r="G770">
        <v>2.1680957267491081</v>
      </c>
      <c r="H770">
        <v>15.736441010367386</v>
      </c>
      <c r="I770">
        <v>8.3986025414321541E-3</v>
      </c>
      <c r="J770">
        <v>0.11005611582193157</v>
      </c>
      <c r="K770" s="1" t="str">
        <f t="shared" si="99"/>
        <v>out</v>
      </c>
      <c r="L770" s="1">
        <f t="shared" si="100"/>
        <v>0.28455681214323419</v>
      </c>
      <c r="M770">
        <f t="shared" si="101"/>
        <v>0.52821595275912558</v>
      </c>
      <c r="N770">
        <f t="shared" si="102"/>
        <v>0</v>
      </c>
      <c r="O770">
        <f t="shared" si="103"/>
        <v>2.1680957267491081</v>
      </c>
      <c r="P770">
        <f t="shared" si="104"/>
        <v>15.736441010367386</v>
      </c>
      <c r="Q770">
        <f t="shared" si="105"/>
        <v>8.3986025414321541E-3</v>
      </c>
      <c r="R770">
        <f t="shared" si="106"/>
        <v>0.11005611582193157</v>
      </c>
      <c r="S770">
        <f t="shared" si="107"/>
        <v>1</v>
      </c>
    </row>
    <row r="771" spans="1:19" x14ac:dyDescent="0.3">
      <c r="A771" t="s">
        <v>255</v>
      </c>
      <c r="B771">
        <v>2009</v>
      </c>
      <c r="C771">
        <v>0.47725728460190137</v>
      </c>
      <c r="D771">
        <v>0.36411973924864011</v>
      </c>
      <c r="E771">
        <v>0.7068910130257805</v>
      </c>
      <c r="F771">
        <v>0</v>
      </c>
      <c r="G771">
        <v>1.650456371785167</v>
      </c>
      <c r="H771">
        <v>15.814375113852769</v>
      </c>
      <c r="I771">
        <v>6.0365553458573695E-3</v>
      </c>
      <c r="J771">
        <v>0.11634822904313172</v>
      </c>
      <c r="K771" s="1" t="str">
        <f t="shared" ref="K771:K834" si="108">IF(OR(C771&lt;$C$1007-3*$C$1008,C771&gt;$C$1007+3*$C$1008),"out",C771)</f>
        <v>out</v>
      </c>
      <c r="L771" s="1">
        <f t="shared" ref="L771:L834" si="109">IF(OR(D771&lt;$D$1007-3*$D$1008,D771&gt;$D$1007+3*$D$1008),"out",D771)</f>
        <v>0.36411973924864011</v>
      </c>
      <c r="M771">
        <f t="shared" ref="M771:M834" si="110">IF(OR(E771&lt;$E$1007-3*$E$1008,E771&gt;$E$1007+3*$E$1008),"out",E771)</f>
        <v>0.7068910130257805</v>
      </c>
      <c r="N771">
        <f t="shared" ref="N771:N834" si="111">IF(OR(F771&lt;$F$1007-3*$F$1008,F771&gt;$F$1007+3*$F$1008),"out",F771)</f>
        <v>0</v>
      </c>
      <c r="O771">
        <f t="shared" ref="O771:O834" si="112">IF(OR(G771&lt;$G$1007-3*$G$1008,G771&gt;$G$1007+3*$G$1008),"out",G771)</f>
        <v>1.650456371785167</v>
      </c>
      <c r="P771">
        <f t="shared" ref="P771:P834" si="113">IF(OR(H771&lt;$H$1007-3*$H$1008,H771&gt;$H$1007+3*$H$1008),"out",H771)</f>
        <v>15.814375113852769</v>
      </c>
      <c r="Q771">
        <f t="shared" ref="Q771:Q834" si="114">IF(OR(I771&lt;$I$1007-3*$I$1008,I771&gt;$I$1007+3*$I$1008),"out",I771)</f>
        <v>6.0365553458573695E-3</v>
      </c>
      <c r="R771">
        <f t="shared" ref="R771:R834" si="115">IF(OR(J771&lt;$J$1007-3*$J$1008,J771&gt;$J$1007+3*$J$1008),"out",J771)</f>
        <v>0.11634822904313172</v>
      </c>
      <c r="S771">
        <f t="shared" ref="S771:S834" si="116">IF(OR(K771="out",L771="out",M771="out",N771="out",O771="out",P771="out",Q771="out",R771="out"),1,0)</f>
        <v>1</v>
      </c>
    </row>
    <row r="772" spans="1:19" x14ac:dyDescent="0.3">
      <c r="A772" t="s">
        <v>255</v>
      </c>
      <c r="B772">
        <v>2010</v>
      </c>
      <c r="C772">
        <v>0.40604376066538711</v>
      </c>
      <c r="D772">
        <v>0.38244913942506242</v>
      </c>
      <c r="E772">
        <v>0.78466099167848702</v>
      </c>
      <c r="F772">
        <v>0</v>
      </c>
      <c r="G772">
        <v>1.441388341533447</v>
      </c>
      <c r="H772">
        <v>15.852325613424227</v>
      </c>
      <c r="I772">
        <v>4.2874616159312165E-2</v>
      </c>
      <c r="J772">
        <v>0.11201549042714247</v>
      </c>
      <c r="K772" s="1" t="str">
        <f t="shared" si="108"/>
        <v>out</v>
      </c>
      <c r="L772" s="1">
        <f t="shared" si="109"/>
        <v>0.38244913942506242</v>
      </c>
      <c r="M772">
        <f t="shared" si="110"/>
        <v>0.78466099167848702</v>
      </c>
      <c r="N772">
        <f t="shared" si="111"/>
        <v>0</v>
      </c>
      <c r="O772">
        <f t="shared" si="112"/>
        <v>1.441388341533447</v>
      </c>
      <c r="P772">
        <f t="shared" si="113"/>
        <v>15.852325613424227</v>
      </c>
      <c r="Q772">
        <f t="shared" si="114"/>
        <v>4.2874616159312165E-2</v>
      </c>
      <c r="R772">
        <f t="shared" si="115"/>
        <v>0.11201549042714247</v>
      </c>
      <c r="S772">
        <f t="shared" si="116"/>
        <v>1</v>
      </c>
    </row>
    <row r="773" spans="1:19" x14ac:dyDescent="0.3">
      <c r="A773" t="s">
        <v>256</v>
      </c>
      <c r="B773">
        <v>2007</v>
      </c>
      <c r="C773">
        <v>4.9654282998032422E-2</v>
      </c>
      <c r="D773">
        <v>0.20675889317596213</v>
      </c>
      <c r="E773">
        <v>3.3105944849465468E-2</v>
      </c>
      <c r="F773">
        <v>0.22668230845212528</v>
      </c>
      <c r="G773">
        <v>1.7598544572468162</v>
      </c>
      <c r="H773">
        <v>13.534793506673784</v>
      </c>
      <c r="I773">
        <v>9.4805271977441014E-3</v>
      </c>
      <c r="J773">
        <v>4.8306370673241159E-2</v>
      </c>
      <c r="K773" s="1">
        <f t="shared" si="108"/>
        <v>4.9654282998032422E-2</v>
      </c>
      <c r="L773" s="1">
        <f t="shared" si="109"/>
        <v>0.20675889317596213</v>
      </c>
      <c r="M773">
        <f t="shared" si="110"/>
        <v>3.3105944849465468E-2</v>
      </c>
      <c r="N773">
        <f t="shared" si="111"/>
        <v>0.22668230845212528</v>
      </c>
      <c r="O773">
        <f t="shared" si="112"/>
        <v>1.7598544572468162</v>
      </c>
      <c r="P773">
        <f t="shared" si="113"/>
        <v>13.534793506673784</v>
      </c>
      <c r="Q773">
        <f t="shared" si="114"/>
        <v>9.4805271977441014E-3</v>
      </c>
      <c r="R773">
        <f t="shared" si="115"/>
        <v>4.8306370673241159E-2</v>
      </c>
      <c r="S773">
        <f t="shared" si="116"/>
        <v>0</v>
      </c>
    </row>
    <row r="774" spans="1:19" x14ac:dyDescent="0.3">
      <c r="A774" t="s">
        <v>256</v>
      </c>
      <c r="B774">
        <v>2008</v>
      </c>
      <c r="C774">
        <v>4.0832460455310852E-2</v>
      </c>
      <c r="D774">
        <v>0.16557888386523648</v>
      </c>
      <c r="E774">
        <v>5.1573832221794992E-2</v>
      </c>
      <c r="F774">
        <v>0.25937901910608452</v>
      </c>
      <c r="G774">
        <v>1.0598962573421198</v>
      </c>
      <c r="H774">
        <v>14.003429752046699</v>
      </c>
      <c r="I774">
        <v>1.3270344836050076E-2</v>
      </c>
      <c r="J774">
        <v>4.3460210021081663E-2</v>
      </c>
      <c r="K774" s="1">
        <f t="shared" si="108"/>
        <v>4.0832460455310852E-2</v>
      </c>
      <c r="L774" s="1">
        <f t="shared" si="109"/>
        <v>0.16557888386523648</v>
      </c>
      <c r="M774">
        <f t="shared" si="110"/>
        <v>5.1573832221794992E-2</v>
      </c>
      <c r="N774">
        <f t="shared" si="111"/>
        <v>0.25937901910608452</v>
      </c>
      <c r="O774">
        <f t="shared" si="112"/>
        <v>1.0598962573421198</v>
      </c>
      <c r="P774">
        <f t="shared" si="113"/>
        <v>14.003429752046699</v>
      </c>
      <c r="Q774">
        <f t="shared" si="114"/>
        <v>1.3270344836050076E-2</v>
      </c>
      <c r="R774">
        <f t="shared" si="115"/>
        <v>4.3460210021081663E-2</v>
      </c>
      <c r="S774">
        <f t="shared" si="116"/>
        <v>0</v>
      </c>
    </row>
    <row r="775" spans="1:19" x14ac:dyDescent="0.3">
      <c r="A775" t="s">
        <v>256</v>
      </c>
      <c r="B775">
        <v>2009</v>
      </c>
      <c r="C775">
        <v>2.3557786781319128E-2</v>
      </c>
      <c r="D775">
        <v>0.25762721261938093</v>
      </c>
      <c r="E775">
        <v>0.12493650274658745</v>
      </c>
      <c r="F775">
        <v>8.4485796591899587E-2</v>
      </c>
      <c r="G775">
        <v>1.4564467793133082</v>
      </c>
      <c r="H775">
        <v>14.019618883454459</v>
      </c>
      <c r="I775">
        <v>1.29012016579622E-2</v>
      </c>
      <c r="J775">
        <v>5.7015845163731184E-2</v>
      </c>
      <c r="K775" s="1">
        <f t="shared" si="108"/>
        <v>2.3557786781319128E-2</v>
      </c>
      <c r="L775" s="1">
        <f t="shared" si="109"/>
        <v>0.25762721261938093</v>
      </c>
      <c r="M775">
        <f t="shared" si="110"/>
        <v>0.12493650274658745</v>
      </c>
      <c r="N775">
        <f t="shared" si="111"/>
        <v>8.4485796591899587E-2</v>
      </c>
      <c r="O775">
        <f t="shared" si="112"/>
        <v>1.4564467793133082</v>
      </c>
      <c r="P775">
        <f t="shared" si="113"/>
        <v>14.019618883454459</v>
      </c>
      <c r="Q775">
        <f t="shared" si="114"/>
        <v>1.29012016579622E-2</v>
      </c>
      <c r="R775">
        <f t="shared" si="115"/>
        <v>5.7015845163731184E-2</v>
      </c>
      <c r="S775">
        <f t="shared" si="116"/>
        <v>0</v>
      </c>
    </row>
    <row r="776" spans="1:19" x14ac:dyDescent="0.3">
      <c r="A776" t="s">
        <v>256</v>
      </c>
      <c r="B776">
        <v>2010</v>
      </c>
      <c r="C776">
        <v>1.9729315560722355E-2</v>
      </c>
      <c r="D776">
        <v>0.26124879453611105</v>
      </c>
      <c r="E776">
        <v>0.1400716012523614</v>
      </c>
      <c r="F776">
        <v>0.11532689538555028</v>
      </c>
      <c r="G776">
        <v>1.4889848805104562</v>
      </c>
      <c r="H776">
        <v>14.230226082075347</v>
      </c>
      <c r="I776">
        <v>1.6388001079947551E-2</v>
      </c>
      <c r="J776">
        <v>5.5425578292402605E-2</v>
      </c>
      <c r="K776" s="1">
        <f t="shared" si="108"/>
        <v>1.9729315560722355E-2</v>
      </c>
      <c r="L776" s="1">
        <f t="shared" si="109"/>
        <v>0.26124879453611105</v>
      </c>
      <c r="M776">
        <f t="shared" si="110"/>
        <v>0.1400716012523614</v>
      </c>
      <c r="N776">
        <f t="shared" si="111"/>
        <v>0.11532689538555028</v>
      </c>
      <c r="O776">
        <f t="shared" si="112"/>
        <v>1.4889848805104562</v>
      </c>
      <c r="P776">
        <f t="shared" si="113"/>
        <v>14.230226082075347</v>
      </c>
      <c r="Q776">
        <f t="shared" si="114"/>
        <v>1.6388001079947551E-2</v>
      </c>
      <c r="R776">
        <f t="shared" si="115"/>
        <v>5.5425578292402605E-2</v>
      </c>
      <c r="S776">
        <f t="shared" si="116"/>
        <v>0</v>
      </c>
    </row>
    <row r="777" spans="1:19" x14ac:dyDescent="0.3">
      <c r="A777" t="s">
        <v>257</v>
      </c>
      <c r="B777">
        <v>2007</v>
      </c>
      <c r="C777">
        <v>0.1144287199447033</v>
      </c>
      <c r="D777">
        <v>0.15711394493597763</v>
      </c>
      <c r="E777">
        <v>6.1447656329226934E-2</v>
      </c>
      <c r="F777">
        <v>5.7963117694012863E-2</v>
      </c>
      <c r="G777">
        <v>0.74732856558924776</v>
      </c>
      <c r="H777">
        <v>15.899522265508837</v>
      </c>
      <c r="I777">
        <v>4.8594982942407119E-3</v>
      </c>
      <c r="J777">
        <v>3.0706221314989027E-2</v>
      </c>
      <c r="K777" s="1">
        <f t="shared" si="108"/>
        <v>0.1144287199447033</v>
      </c>
      <c r="L777" s="1">
        <f t="shared" si="109"/>
        <v>0.15711394493597763</v>
      </c>
      <c r="M777">
        <f t="shared" si="110"/>
        <v>6.1447656329226934E-2</v>
      </c>
      <c r="N777">
        <f t="shared" si="111"/>
        <v>5.7963117694012863E-2</v>
      </c>
      <c r="O777">
        <f t="shared" si="112"/>
        <v>0.74732856558924776</v>
      </c>
      <c r="P777">
        <f t="shared" si="113"/>
        <v>15.899522265508837</v>
      </c>
      <c r="Q777">
        <f t="shared" si="114"/>
        <v>4.8594982942407119E-3</v>
      </c>
      <c r="R777">
        <f t="shared" si="115"/>
        <v>3.0706221314989027E-2</v>
      </c>
      <c r="S777">
        <f t="shared" si="116"/>
        <v>0</v>
      </c>
    </row>
    <row r="778" spans="1:19" x14ac:dyDescent="0.3">
      <c r="A778" t="s">
        <v>257</v>
      </c>
      <c r="B778">
        <v>2009</v>
      </c>
      <c r="C778">
        <v>8.6228955622219342E-2</v>
      </c>
      <c r="D778">
        <v>8.9649791149915864E-2</v>
      </c>
      <c r="E778">
        <v>0.11100630255886573</v>
      </c>
      <c r="F778">
        <v>5.0808512471728448E-2</v>
      </c>
      <c r="G778">
        <v>1.4396791638896991</v>
      </c>
      <c r="H778">
        <v>15.814372675047144</v>
      </c>
      <c r="I778">
        <v>3.8505197545383112E-2</v>
      </c>
      <c r="J778">
        <v>1.9225399161835681E-2</v>
      </c>
      <c r="K778" s="1">
        <f t="shared" si="108"/>
        <v>8.6228955622219342E-2</v>
      </c>
      <c r="L778" s="1">
        <f t="shared" si="109"/>
        <v>8.9649791149915864E-2</v>
      </c>
      <c r="M778">
        <f t="shared" si="110"/>
        <v>0.11100630255886573</v>
      </c>
      <c r="N778">
        <f t="shared" si="111"/>
        <v>5.0808512471728448E-2</v>
      </c>
      <c r="O778">
        <f t="shared" si="112"/>
        <v>1.4396791638896991</v>
      </c>
      <c r="P778">
        <f t="shared" si="113"/>
        <v>15.814372675047144</v>
      </c>
      <c r="Q778">
        <f t="shared" si="114"/>
        <v>3.8505197545383112E-2</v>
      </c>
      <c r="R778">
        <f t="shared" si="115"/>
        <v>1.9225399161835681E-2</v>
      </c>
      <c r="S778">
        <f t="shared" si="116"/>
        <v>0</v>
      </c>
    </row>
    <row r="779" spans="1:19" x14ac:dyDescent="0.3">
      <c r="A779" t="s">
        <v>257</v>
      </c>
      <c r="B779">
        <v>2010</v>
      </c>
      <c r="C779">
        <v>0.1926671935994563</v>
      </c>
      <c r="D779">
        <v>0.17812213544832389</v>
      </c>
      <c r="E779">
        <v>0.20431666376446855</v>
      </c>
      <c r="F779">
        <v>6.0136517521845102E-2</v>
      </c>
      <c r="G779">
        <v>1.3410137315430761</v>
      </c>
      <c r="H779">
        <v>15.958193999281225</v>
      </c>
      <c r="I779">
        <v>5.0721818713777289E-3</v>
      </c>
      <c r="J779">
        <v>3.1912367071894876E-2</v>
      </c>
      <c r="K779" s="1">
        <f t="shared" si="108"/>
        <v>0.1926671935994563</v>
      </c>
      <c r="L779" s="1">
        <f t="shared" si="109"/>
        <v>0.17812213544832389</v>
      </c>
      <c r="M779">
        <f t="shared" si="110"/>
        <v>0.20431666376446855</v>
      </c>
      <c r="N779">
        <f t="shared" si="111"/>
        <v>6.0136517521845102E-2</v>
      </c>
      <c r="O779">
        <f t="shared" si="112"/>
        <v>1.3410137315430761</v>
      </c>
      <c r="P779">
        <f t="shared" si="113"/>
        <v>15.958193999281225</v>
      </c>
      <c r="Q779">
        <f t="shared" si="114"/>
        <v>5.0721818713777289E-3</v>
      </c>
      <c r="R779">
        <f t="shared" si="115"/>
        <v>3.1912367071894876E-2</v>
      </c>
      <c r="S779">
        <f t="shared" si="116"/>
        <v>0</v>
      </c>
    </row>
    <row r="780" spans="1:19" x14ac:dyDescent="0.3">
      <c r="A780" t="s">
        <v>258</v>
      </c>
      <c r="B780">
        <v>2007</v>
      </c>
      <c r="C780">
        <v>7.1362808788844295E-2</v>
      </c>
      <c r="D780">
        <v>0.23276678942359416</v>
      </c>
      <c r="E780">
        <v>0.34687590515992883</v>
      </c>
      <c r="F780">
        <v>3.181611288120164E-2</v>
      </c>
      <c r="G780">
        <v>1.5465469441800803</v>
      </c>
      <c r="H780">
        <v>13.781622799296917</v>
      </c>
      <c r="I780">
        <v>2.6855941696754312E-2</v>
      </c>
      <c r="J780">
        <v>2.7588240162204659E-2</v>
      </c>
      <c r="K780" s="1">
        <f t="shared" si="108"/>
        <v>7.1362808788844295E-2</v>
      </c>
      <c r="L780" s="1">
        <f t="shared" si="109"/>
        <v>0.23276678942359416</v>
      </c>
      <c r="M780">
        <f t="shared" si="110"/>
        <v>0.34687590515992883</v>
      </c>
      <c r="N780">
        <f t="shared" si="111"/>
        <v>3.181611288120164E-2</v>
      </c>
      <c r="O780">
        <f t="shared" si="112"/>
        <v>1.5465469441800803</v>
      </c>
      <c r="P780">
        <f t="shared" si="113"/>
        <v>13.781622799296917</v>
      </c>
      <c r="Q780">
        <f t="shared" si="114"/>
        <v>2.6855941696754312E-2</v>
      </c>
      <c r="R780">
        <f t="shared" si="115"/>
        <v>2.7588240162204659E-2</v>
      </c>
      <c r="S780">
        <f t="shared" si="116"/>
        <v>0</v>
      </c>
    </row>
    <row r="781" spans="1:19" x14ac:dyDescent="0.3">
      <c r="A781" t="s">
        <v>258</v>
      </c>
      <c r="B781">
        <v>2009</v>
      </c>
      <c r="C781">
        <v>3.1980059369077767E-2</v>
      </c>
      <c r="D781">
        <v>0.10108570781692858</v>
      </c>
      <c r="E781">
        <v>0.41211301088433094</v>
      </c>
      <c r="F781">
        <v>2.9035713686752646E-2</v>
      </c>
      <c r="G781">
        <v>0.246631297482684</v>
      </c>
      <c r="H781">
        <v>13.76845249284481</v>
      </c>
      <c r="I781">
        <v>3.3380846721446922E-2</v>
      </c>
      <c r="J781">
        <v>2.0964705586395425E-2</v>
      </c>
      <c r="K781" s="1">
        <f t="shared" si="108"/>
        <v>3.1980059369077767E-2</v>
      </c>
      <c r="L781" s="1">
        <f t="shared" si="109"/>
        <v>0.10108570781692858</v>
      </c>
      <c r="M781">
        <f t="shared" si="110"/>
        <v>0.41211301088433094</v>
      </c>
      <c r="N781">
        <f t="shared" si="111"/>
        <v>2.9035713686752646E-2</v>
      </c>
      <c r="O781">
        <f t="shared" si="112"/>
        <v>0.246631297482684</v>
      </c>
      <c r="P781">
        <f t="shared" si="113"/>
        <v>13.76845249284481</v>
      </c>
      <c r="Q781">
        <f t="shared" si="114"/>
        <v>3.3380846721446922E-2</v>
      </c>
      <c r="R781">
        <f t="shared" si="115"/>
        <v>2.0964705586395425E-2</v>
      </c>
      <c r="S781">
        <f t="shared" si="116"/>
        <v>0</v>
      </c>
    </row>
    <row r="782" spans="1:19" x14ac:dyDescent="0.3">
      <c r="A782" t="s">
        <v>258</v>
      </c>
      <c r="B782">
        <v>2010</v>
      </c>
      <c r="C782">
        <v>1.2243024581999183E-2</v>
      </c>
      <c r="D782">
        <v>0.19160427442496758</v>
      </c>
      <c r="E782">
        <v>0.43659533722474958</v>
      </c>
      <c r="F782">
        <v>1.957182551340679E-2</v>
      </c>
      <c r="G782">
        <v>0.68451918654167443</v>
      </c>
      <c r="H782">
        <v>13.826394116591247</v>
      </c>
      <c r="I782">
        <v>8.1202256108155735E-3</v>
      </c>
      <c r="J782">
        <v>2.6380320156527123E-2</v>
      </c>
      <c r="K782" s="1">
        <f t="shared" si="108"/>
        <v>1.2243024581999183E-2</v>
      </c>
      <c r="L782" s="1">
        <f t="shared" si="109"/>
        <v>0.19160427442496758</v>
      </c>
      <c r="M782">
        <f t="shared" si="110"/>
        <v>0.43659533722474958</v>
      </c>
      <c r="N782">
        <f t="shared" si="111"/>
        <v>1.957182551340679E-2</v>
      </c>
      <c r="O782">
        <f t="shared" si="112"/>
        <v>0.68451918654167443</v>
      </c>
      <c r="P782">
        <f t="shared" si="113"/>
        <v>13.826394116591247</v>
      </c>
      <c r="Q782">
        <f t="shared" si="114"/>
        <v>8.1202256108155735E-3</v>
      </c>
      <c r="R782">
        <f t="shared" si="115"/>
        <v>2.6380320156527123E-2</v>
      </c>
      <c r="S782">
        <f t="shared" si="116"/>
        <v>0</v>
      </c>
    </row>
    <row r="783" spans="1:19" x14ac:dyDescent="0.3">
      <c r="A783" t="s">
        <v>259</v>
      </c>
      <c r="B783">
        <v>2007</v>
      </c>
      <c r="C783">
        <v>4.0761475310647022E-3</v>
      </c>
      <c r="D783">
        <v>2.6329365458471064E-2</v>
      </c>
      <c r="E783">
        <v>8.3627898682257937E-2</v>
      </c>
      <c r="F783">
        <v>0.1207622395883091</v>
      </c>
      <c r="G783">
        <v>0.56630108718497429</v>
      </c>
      <c r="H783">
        <v>12.657218326130312</v>
      </c>
      <c r="I783">
        <v>2.9994317119429528E-3</v>
      </c>
      <c r="J783">
        <v>0</v>
      </c>
      <c r="K783" s="1">
        <f t="shared" si="108"/>
        <v>4.0761475310647022E-3</v>
      </c>
      <c r="L783" s="1">
        <f t="shared" si="109"/>
        <v>2.6329365458471064E-2</v>
      </c>
      <c r="M783">
        <f t="shared" si="110"/>
        <v>8.3627898682257937E-2</v>
      </c>
      <c r="N783">
        <f t="shared" si="111"/>
        <v>0.1207622395883091</v>
      </c>
      <c r="O783">
        <f t="shared" si="112"/>
        <v>0.56630108718497429</v>
      </c>
      <c r="P783">
        <f t="shared" si="113"/>
        <v>12.657218326130312</v>
      </c>
      <c r="Q783">
        <f t="shared" si="114"/>
        <v>2.9994317119429528E-3</v>
      </c>
      <c r="R783">
        <f t="shared" si="115"/>
        <v>0</v>
      </c>
      <c r="S783">
        <f t="shared" si="116"/>
        <v>0</v>
      </c>
    </row>
    <row r="784" spans="1:19" x14ac:dyDescent="0.3">
      <c r="A784" t="s">
        <v>259</v>
      </c>
      <c r="B784">
        <v>2009</v>
      </c>
      <c r="C784">
        <v>1.6783832077308079E-3</v>
      </c>
      <c r="D784">
        <v>2.0942124405258732E-2</v>
      </c>
      <c r="E784">
        <v>9.3540484591718973E-2</v>
      </c>
      <c r="F784">
        <v>0.23052307098928185</v>
      </c>
      <c r="G784">
        <v>0.46161712372727626</v>
      </c>
      <c r="H784">
        <v>12.712489565226406</v>
      </c>
      <c r="I784">
        <v>1.8520956731198516E-4</v>
      </c>
      <c r="J784">
        <v>0</v>
      </c>
      <c r="K784" s="1">
        <f t="shared" si="108"/>
        <v>1.6783832077308079E-3</v>
      </c>
      <c r="L784" s="1">
        <f t="shared" si="109"/>
        <v>2.0942124405258732E-2</v>
      </c>
      <c r="M784">
        <f t="shared" si="110"/>
        <v>9.3540484591718973E-2</v>
      </c>
      <c r="N784">
        <f t="shared" si="111"/>
        <v>0.23052307098928185</v>
      </c>
      <c r="O784">
        <f t="shared" si="112"/>
        <v>0.46161712372727626</v>
      </c>
      <c r="P784">
        <f t="shared" si="113"/>
        <v>12.712489565226406</v>
      </c>
      <c r="Q784">
        <f t="shared" si="114"/>
        <v>1.8520956731198516E-4</v>
      </c>
      <c r="R784">
        <f t="shared" si="115"/>
        <v>0</v>
      </c>
      <c r="S784">
        <f t="shared" si="116"/>
        <v>0</v>
      </c>
    </row>
    <row r="785" spans="1:19" x14ac:dyDescent="0.3">
      <c r="A785" t="s">
        <v>259</v>
      </c>
      <c r="B785">
        <v>2010</v>
      </c>
      <c r="C785">
        <v>3.9952868337276119E-3</v>
      </c>
      <c r="D785">
        <v>2.1948330854579434E-2</v>
      </c>
      <c r="E785">
        <v>0.108448259672441</v>
      </c>
      <c r="F785">
        <v>0.23172966538336881</v>
      </c>
      <c r="G785">
        <v>0.46909937935233342</v>
      </c>
      <c r="H785">
        <v>12.707269056878951</v>
      </c>
      <c r="I785">
        <v>4.7735575120406906E-4</v>
      </c>
      <c r="J785">
        <v>0</v>
      </c>
      <c r="K785" s="1">
        <f t="shared" si="108"/>
        <v>3.9952868337276119E-3</v>
      </c>
      <c r="L785" s="1">
        <f t="shared" si="109"/>
        <v>2.1948330854579434E-2</v>
      </c>
      <c r="M785">
        <f t="shared" si="110"/>
        <v>0.108448259672441</v>
      </c>
      <c r="N785">
        <f t="shared" si="111"/>
        <v>0.23172966538336881</v>
      </c>
      <c r="O785">
        <f t="shared" si="112"/>
        <v>0.46909937935233342</v>
      </c>
      <c r="P785">
        <f t="shared" si="113"/>
        <v>12.707269056878951</v>
      </c>
      <c r="Q785">
        <f t="shared" si="114"/>
        <v>4.7735575120406906E-4</v>
      </c>
      <c r="R785">
        <f t="shared" si="115"/>
        <v>0</v>
      </c>
      <c r="S785">
        <f t="shared" si="116"/>
        <v>0</v>
      </c>
    </row>
    <row r="786" spans="1:19" x14ac:dyDescent="0.3">
      <c r="A786" t="s">
        <v>260</v>
      </c>
      <c r="B786">
        <v>2007</v>
      </c>
      <c r="C786">
        <v>2.5475134809589753E-2</v>
      </c>
      <c r="D786">
        <v>8.0405064564675763E-2</v>
      </c>
      <c r="E786">
        <v>0.21551927717745958</v>
      </c>
      <c r="F786">
        <v>0.29098749509179905</v>
      </c>
      <c r="G786">
        <v>1.1372380487927574</v>
      </c>
      <c r="H786">
        <v>13.480931128852159</v>
      </c>
      <c r="I786">
        <v>3.7624716489090791E-3</v>
      </c>
      <c r="J786">
        <v>0</v>
      </c>
      <c r="K786" s="1">
        <f t="shared" si="108"/>
        <v>2.5475134809589753E-2</v>
      </c>
      <c r="L786" s="1">
        <f t="shared" si="109"/>
        <v>8.0405064564675763E-2</v>
      </c>
      <c r="M786">
        <f t="shared" si="110"/>
        <v>0.21551927717745958</v>
      </c>
      <c r="N786">
        <f t="shared" si="111"/>
        <v>0.29098749509179905</v>
      </c>
      <c r="O786">
        <f t="shared" si="112"/>
        <v>1.1372380487927574</v>
      </c>
      <c r="P786">
        <f t="shared" si="113"/>
        <v>13.480931128852159</v>
      </c>
      <c r="Q786">
        <f t="shared" si="114"/>
        <v>3.7624716489090791E-3</v>
      </c>
      <c r="R786">
        <f t="shared" si="115"/>
        <v>0</v>
      </c>
      <c r="S786">
        <f t="shared" si="116"/>
        <v>0</v>
      </c>
    </row>
    <row r="787" spans="1:19" x14ac:dyDescent="0.3">
      <c r="A787" t="s">
        <v>260</v>
      </c>
      <c r="B787">
        <v>2009</v>
      </c>
      <c r="C787">
        <v>1.7553899581187762E-2</v>
      </c>
      <c r="D787">
        <v>9.0348093661035925E-2</v>
      </c>
      <c r="E787">
        <v>0.21764935345092565</v>
      </c>
      <c r="F787">
        <v>0.33969059086392456</v>
      </c>
      <c r="G787">
        <v>0.89722726627494065</v>
      </c>
      <c r="H787">
        <v>13.70421356736713</v>
      </c>
      <c r="I787">
        <v>2.1668885646666823E-2</v>
      </c>
      <c r="J787">
        <v>0</v>
      </c>
      <c r="K787" s="1">
        <f t="shared" si="108"/>
        <v>1.7553899581187762E-2</v>
      </c>
      <c r="L787" s="1">
        <f t="shared" si="109"/>
        <v>9.0348093661035925E-2</v>
      </c>
      <c r="M787">
        <f t="shared" si="110"/>
        <v>0.21764935345092565</v>
      </c>
      <c r="N787">
        <f t="shared" si="111"/>
        <v>0.33969059086392456</v>
      </c>
      <c r="O787">
        <f t="shared" si="112"/>
        <v>0.89722726627494065</v>
      </c>
      <c r="P787">
        <f t="shared" si="113"/>
        <v>13.70421356736713</v>
      </c>
      <c r="Q787">
        <f t="shared" si="114"/>
        <v>2.1668885646666823E-2</v>
      </c>
      <c r="R787">
        <f t="shared" si="115"/>
        <v>0</v>
      </c>
      <c r="S787">
        <f t="shared" si="116"/>
        <v>0</v>
      </c>
    </row>
    <row r="788" spans="1:19" x14ac:dyDescent="0.3">
      <c r="A788" t="s">
        <v>260</v>
      </c>
      <c r="B788">
        <v>2010</v>
      </c>
      <c r="C788">
        <v>1.071999723874501E-2</v>
      </c>
      <c r="D788">
        <v>0.14634555572174221</v>
      </c>
      <c r="E788">
        <v>0.27602482828445529</v>
      </c>
      <c r="F788">
        <v>0.22622060893342691</v>
      </c>
      <c r="G788">
        <v>0.95335319902895865</v>
      </c>
      <c r="H788">
        <v>13.857615569066638</v>
      </c>
      <c r="I788">
        <v>4.7731728392825593E-3</v>
      </c>
      <c r="J788">
        <v>2.272666260148571E-2</v>
      </c>
      <c r="K788" s="1">
        <f t="shared" si="108"/>
        <v>1.071999723874501E-2</v>
      </c>
      <c r="L788" s="1">
        <f t="shared" si="109"/>
        <v>0.14634555572174221</v>
      </c>
      <c r="M788">
        <f t="shared" si="110"/>
        <v>0.27602482828445529</v>
      </c>
      <c r="N788">
        <f t="shared" si="111"/>
        <v>0.22622060893342691</v>
      </c>
      <c r="O788">
        <f t="shared" si="112"/>
        <v>0.95335319902895865</v>
      </c>
      <c r="P788">
        <f t="shared" si="113"/>
        <v>13.857615569066638</v>
      </c>
      <c r="Q788">
        <f t="shared" si="114"/>
        <v>4.7731728392825593E-3</v>
      </c>
      <c r="R788">
        <f t="shared" si="115"/>
        <v>2.272666260148571E-2</v>
      </c>
      <c r="S788">
        <f t="shared" si="116"/>
        <v>0</v>
      </c>
    </row>
    <row r="789" spans="1:19" x14ac:dyDescent="0.3">
      <c r="A789" t="s">
        <v>261</v>
      </c>
      <c r="B789">
        <v>2007</v>
      </c>
      <c r="C789">
        <v>2.4448017846735216E-2</v>
      </c>
      <c r="D789">
        <v>0.20478431521303977</v>
      </c>
      <c r="E789">
        <v>-0.46389516683386023</v>
      </c>
      <c r="F789">
        <v>1.3741822083181903E-2</v>
      </c>
      <c r="G789">
        <v>1.076550068611716</v>
      </c>
      <c r="H789">
        <v>14.483767018811928</v>
      </c>
      <c r="I789">
        <v>7.6129107261540513E-2</v>
      </c>
      <c r="J789">
        <v>0</v>
      </c>
      <c r="K789" s="1">
        <f t="shared" si="108"/>
        <v>2.4448017846735216E-2</v>
      </c>
      <c r="L789" s="1">
        <f t="shared" si="109"/>
        <v>0.20478431521303977</v>
      </c>
      <c r="M789">
        <f t="shared" si="110"/>
        <v>-0.46389516683386023</v>
      </c>
      <c r="N789">
        <f t="shared" si="111"/>
        <v>1.3741822083181903E-2</v>
      </c>
      <c r="O789">
        <f t="shared" si="112"/>
        <v>1.076550068611716</v>
      </c>
      <c r="P789">
        <f t="shared" si="113"/>
        <v>14.483767018811928</v>
      </c>
      <c r="Q789">
        <f t="shared" si="114"/>
        <v>7.6129107261540513E-2</v>
      </c>
      <c r="R789">
        <f t="shared" si="115"/>
        <v>0</v>
      </c>
      <c r="S789">
        <f t="shared" si="116"/>
        <v>0</v>
      </c>
    </row>
    <row r="790" spans="1:19" x14ac:dyDescent="0.3">
      <c r="A790" t="s">
        <v>261</v>
      </c>
      <c r="B790">
        <v>2008</v>
      </c>
      <c r="C790">
        <v>2.0882580965484655E-2</v>
      </c>
      <c r="D790">
        <v>0.183883630525015</v>
      </c>
      <c r="E790">
        <v>-0.72902645220349949</v>
      </c>
      <c r="F790">
        <v>0.16352607957733331</v>
      </c>
      <c r="G790">
        <v>1.2275739859388053</v>
      </c>
      <c r="H790">
        <v>14.507647728635911</v>
      </c>
      <c r="I790">
        <v>6.4883325278975057E-2</v>
      </c>
      <c r="J790">
        <v>0</v>
      </c>
      <c r="K790" s="1">
        <f t="shared" si="108"/>
        <v>2.0882580965484655E-2</v>
      </c>
      <c r="L790" s="1">
        <f t="shared" si="109"/>
        <v>0.183883630525015</v>
      </c>
      <c r="M790">
        <f t="shared" si="110"/>
        <v>-0.72902645220349949</v>
      </c>
      <c r="N790">
        <f t="shared" si="111"/>
        <v>0.16352607957733331</v>
      </c>
      <c r="O790">
        <f t="shared" si="112"/>
        <v>1.2275739859388053</v>
      </c>
      <c r="P790">
        <f t="shared" si="113"/>
        <v>14.507647728635911</v>
      </c>
      <c r="Q790">
        <f t="shared" si="114"/>
        <v>6.4883325278975057E-2</v>
      </c>
      <c r="R790">
        <f t="shared" si="115"/>
        <v>0</v>
      </c>
      <c r="S790">
        <f t="shared" si="116"/>
        <v>0</v>
      </c>
    </row>
    <row r="791" spans="1:19" x14ac:dyDescent="0.3">
      <c r="A791" t="s">
        <v>261</v>
      </c>
      <c r="B791">
        <v>2009</v>
      </c>
      <c r="C791">
        <v>5.0169201544828972E-3</v>
      </c>
      <c r="D791">
        <v>0.5532995349578359</v>
      </c>
      <c r="E791">
        <v>-0.79502585198324338</v>
      </c>
      <c r="F791">
        <v>4.1354786495745852E-2</v>
      </c>
      <c r="G791">
        <v>1.8715217236332835</v>
      </c>
      <c r="H791">
        <v>13.991449287789006</v>
      </c>
      <c r="I791">
        <v>3.7896568241180845E-2</v>
      </c>
      <c r="J791">
        <v>0</v>
      </c>
      <c r="K791" s="1">
        <f t="shared" si="108"/>
        <v>5.0169201544828972E-3</v>
      </c>
      <c r="L791" s="1">
        <f t="shared" si="109"/>
        <v>0.5532995349578359</v>
      </c>
      <c r="M791">
        <f t="shared" si="110"/>
        <v>-0.79502585198324338</v>
      </c>
      <c r="N791">
        <f t="shared" si="111"/>
        <v>4.1354786495745852E-2</v>
      </c>
      <c r="O791">
        <f t="shared" si="112"/>
        <v>1.8715217236332835</v>
      </c>
      <c r="P791">
        <f t="shared" si="113"/>
        <v>13.991449287789006</v>
      </c>
      <c r="Q791">
        <f t="shared" si="114"/>
        <v>3.7896568241180845E-2</v>
      </c>
      <c r="R791">
        <f t="shared" si="115"/>
        <v>0</v>
      </c>
      <c r="S791">
        <f t="shared" si="116"/>
        <v>0</v>
      </c>
    </row>
    <row r="792" spans="1:19" x14ac:dyDescent="0.3">
      <c r="A792" t="s">
        <v>261</v>
      </c>
      <c r="B792">
        <v>2010</v>
      </c>
      <c r="C792">
        <v>1.1281209064070228E-3</v>
      </c>
      <c r="D792">
        <v>0.54983674506813696</v>
      </c>
      <c r="E792">
        <v>-1.1126938041331846</v>
      </c>
      <c r="F792">
        <v>0.70634836842825577</v>
      </c>
      <c r="G792">
        <v>2.2405246739789235</v>
      </c>
      <c r="H792">
        <v>13.838191392187332</v>
      </c>
      <c r="I792">
        <v>7.8719889905469936E-2</v>
      </c>
      <c r="J792">
        <v>0</v>
      </c>
      <c r="K792" s="1">
        <f t="shared" si="108"/>
        <v>1.1281209064070228E-3</v>
      </c>
      <c r="L792" s="1">
        <f t="shared" si="109"/>
        <v>0.54983674506813696</v>
      </c>
      <c r="M792">
        <f t="shared" si="110"/>
        <v>-1.1126938041331846</v>
      </c>
      <c r="N792">
        <f t="shared" si="111"/>
        <v>0.70634836842825577</v>
      </c>
      <c r="O792">
        <f t="shared" si="112"/>
        <v>2.2405246739789235</v>
      </c>
      <c r="P792">
        <f t="shared" si="113"/>
        <v>13.838191392187332</v>
      </c>
      <c r="Q792">
        <f t="shared" si="114"/>
        <v>7.8719889905469936E-2</v>
      </c>
      <c r="R792">
        <f t="shared" si="115"/>
        <v>0</v>
      </c>
      <c r="S792">
        <f t="shared" si="116"/>
        <v>0</v>
      </c>
    </row>
    <row r="793" spans="1:19" x14ac:dyDescent="0.3">
      <c r="A793" t="s">
        <v>262</v>
      </c>
      <c r="B793">
        <v>2007</v>
      </c>
      <c r="C793">
        <v>1.2756494385465321E-2</v>
      </c>
      <c r="D793">
        <v>4.2640373522737134E-2</v>
      </c>
      <c r="E793">
        <v>-4.346037791582507E-2</v>
      </c>
      <c r="F793">
        <v>0.32056658647491831</v>
      </c>
      <c r="G793">
        <v>0.84436949177427656</v>
      </c>
      <c r="H793">
        <v>15.74596560410043</v>
      </c>
      <c r="I793">
        <v>2.6510538220443539E-2</v>
      </c>
      <c r="J793">
        <v>0</v>
      </c>
      <c r="K793" s="1">
        <f t="shared" si="108"/>
        <v>1.2756494385465321E-2</v>
      </c>
      <c r="L793" s="1">
        <f t="shared" si="109"/>
        <v>4.2640373522737134E-2</v>
      </c>
      <c r="M793">
        <f t="shared" si="110"/>
        <v>-4.346037791582507E-2</v>
      </c>
      <c r="N793">
        <f t="shared" si="111"/>
        <v>0.32056658647491831</v>
      </c>
      <c r="O793">
        <f t="shared" si="112"/>
        <v>0.84436949177427656</v>
      </c>
      <c r="P793">
        <f t="shared" si="113"/>
        <v>15.74596560410043</v>
      </c>
      <c r="Q793">
        <f t="shared" si="114"/>
        <v>2.6510538220443539E-2</v>
      </c>
      <c r="R793">
        <f t="shared" si="115"/>
        <v>0</v>
      </c>
      <c r="S793">
        <f t="shared" si="116"/>
        <v>0</v>
      </c>
    </row>
    <row r="794" spans="1:19" x14ac:dyDescent="0.3">
      <c r="A794" t="s">
        <v>262</v>
      </c>
      <c r="B794">
        <v>2008</v>
      </c>
      <c r="C794">
        <v>1.5469714038986672E-2</v>
      </c>
      <c r="D794">
        <v>0.13310181310636995</v>
      </c>
      <c r="E794">
        <v>-7.0746605762944142E-2</v>
      </c>
      <c r="F794">
        <v>0.39125221779138381</v>
      </c>
      <c r="G794">
        <v>0.83960833650445332</v>
      </c>
      <c r="H794">
        <v>15.582793574571042</v>
      </c>
      <c r="I794">
        <v>5.349576889246796E-2</v>
      </c>
      <c r="J794">
        <v>0</v>
      </c>
      <c r="K794" s="1">
        <f t="shared" si="108"/>
        <v>1.5469714038986672E-2</v>
      </c>
      <c r="L794" s="1">
        <f t="shared" si="109"/>
        <v>0.13310181310636995</v>
      </c>
      <c r="M794">
        <f t="shared" si="110"/>
        <v>-7.0746605762944142E-2</v>
      </c>
      <c r="N794">
        <f t="shared" si="111"/>
        <v>0.39125221779138381</v>
      </c>
      <c r="O794">
        <f t="shared" si="112"/>
        <v>0.83960833650445332</v>
      </c>
      <c r="P794">
        <f t="shared" si="113"/>
        <v>15.582793574571042</v>
      </c>
      <c r="Q794">
        <f t="shared" si="114"/>
        <v>5.349576889246796E-2</v>
      </c>
      <c r="R794">
        <f t="shared" si="115"/>
        <v>0</v>
      </c>
      <c r="S794">
        <f t="shared" si="116"/>
        <v>0</v>
      </c>
    </row>
    <row r="795" spans="1:19" x14ac:dyDescent="0.3">
      <c r="A795" t="s">
        <v>262</v>
      </c>
      <c r="B795">
        <v>2009</v>
      </c>
      <c r="C795">
        <v>2.3959970797771006E-2</v>
      </c>
      <c r="D795">
        <v>0.33579872610501815</v>
      </c>
      <c r="E795">
        <v>-0.40148150388366072</v>
      </c>
      <c r="F795">
        <v>0.57738179290389391</v>
      </c>
      <c r="G795">
        <v>1.0320385099391427</v>
      </c>
      <c r="H795">
        <v>15.318902608833573</v>
      </c>
      <c r="I795">
        <v>6.0427948991521832E-2</v>
      </c>
      <c r="J795">
        <v>0</v>
      </c>
      <c r="K795" s="1">
        <f t="shared" si="108"/>
        <v>2.3959970797771006E-2</v>
      </c>
      <c r="L795" s="1">
        <f t="shared" si="109"/>
        <v>0.33579872610501815</v>
      </c>
      <c r="M795">
        <f t="shared" si="110"/>
        <v>-0.40148150388366072</v>
      </c>
      <c r="N795">
        <f t="shared" si="111"/>
        <v>0.57738179290389391</v>
      </c>
      <c r="O795">
        <f t="shared" si="112"/>
        <v>1.0320385099391427</v>
      </c>
      <c r="P795">
        <f t="shared" si="113"/>
        <v>15.318902608833573</v>
      </c>
      <c r="Q795">
        <f t="shared" si="114"/>
        <v>6.0427948991521832E-2</v>
      </c>
      <c r="R795">
        <f t="shared" si="115"/>
        <v>0</v>
      </c>
      <c r="S795">
        <f t="shared" si="116"/>
        <v>0</v>
      </c>
    </row>
    <row r="796" spans="1:19" x14ac:dyDescent="0.3">
      <c r="A796" t="s">
        <v>262</v>
      </c>
      <c r="B796">
        <v>2010</v>
      </c>
      <c r="C796">
        <v>2.9598886920122247E-2</v>
      </c>
      <c r="D796">
        <v>0.10279411589825309</v>
      </c>
      <c r="E796">
        <v>-0.51146900381729321</v>
      </c>
      <c r="F796">
        <v>0.56339703416536846</v>
      </c>
      <c r="G796">
        <v>1.0824881378506619</v>
      </c>
      <c r="H796">
        <v>15.251677830204834</v>
      </c>
      <c r="I796">
        <v>6.4111003777906864E-2</v>
      </c>
      <c r="J796">
        <v>0</v>
      </c>
      <c r="K796" s="1">
        <f t="shared" si="108"/>
        <v>2.9598886920122247E-2</v>
      </c>
      <c r="L796" s="1">
        <f t="shared" si="109"/>
        <v>0.10279411589825309</v>
      </c>
      <c r="M796">
        <f t="shared" si="110"/>
        <v>-0.51146900381729321</v>
      </c>
      <c r="N796">
        <f t="shared" si="111"/>
        <v>0.56339703416536846</v>
      </c>
      <c r="O796">
        <f t="shared" si="112"/>
        <v>1.0824881378506619</v>
      </c>
      <c r="P796">
        <f t="shared" si="113"/>
        <v>15.251677830204834</v>
      </c>
      <c r="Q796">
        <f t="shared" si="114"/>
        <v>6.4111003777906864E-2</v>
      </c>
      <c r="R796">
        <f t="shared" si="115"/>
        <v>0</v>
      </c>
      <c r="S796">
        <f t="shared" si="116"/>
        <v>0</v>
      </c>
    </row>
    <row r="797" spans="1:19" x14ac:dyDescent="0.3">
      <c r="A797" t="s">
        <v>263</v>
      </c>
      <c r="B797">
        <v>2007</v>
      </c>
      <c r="C797">
        <v>4.6746298618283832E-2</v>
      </c>
      <c r="D797">
        <v>0.13375620222198006</v>
      </c>
      <c r="E797">
        <v>0.23541125355097831</v>
      </c>
      <c r="F797">
        <v>0.23824359519384389</v>
      </c>
      <c r="G797">
        <v>1.2154045314396829</v>
      </c>
      <c r="H797">
        <v>14.080304176851593</v>
      </c>
      <c r="I797">
        <v>8.8260449507960859E-3</v>
      </c>
      <c r="J797">
        <v>1.0370161192545517E-2</v>
      </c>
      <c r="K797" s="1">
        <f t="shared" si="108"/>
        <v>4.6746298618283832E-2</v>
      </c>
      <c r="L797" s="1">
        <f t="shared" si="109"/>
        <v>0.13375620222198006</v>
      </c>
      <c r="M797">
        <f t="shared" si="110"/>
        <v>0.23541125355097831</v>
      </c>
      <c r="N797">
        <f t="shared" si="111"/>
        <v>0.23824359519384389</v>
      </c>
      <c r="O797">
        <f t="shared" si="112"/>
        <v>1.2154045314396829</v>
      </c>
      <c r="P797">
        <f t="shared" si="113"/>
        <v>14.080304176851593</v>
      </c>
      <c r="Q797">
        <f t="shared" si="114"/>
        <v>8.8260449507960859E-3</v>
      </c>
      <c r="R797">
        <f t="shared" si="115"/>
        <v>1.0370161192545517E-2</v>
      </c>
      <c r="S797">
        <f t="shared" si="116"/>
        <v>0</v>
      </c>
    </row>
    <row r="798" spans="1:19" x14ac:dyDescent="0.3">
      <c r="A798" t="s">
        <v>263</v>
      </c>
      <c r="B798">
        <v>2008</v>
      </c>
      <c r="C798">
        <v>5.9334793354110932E-2</v>
      </c>
      <c r="D798">
        <v>8.9896685635170323E-2</v>
      </c>
      <c r="E798">
        <v>0.18592418383710915</v>
      </c>
      <c r="F798">
        <v>0.26729166145755962</v>
      </c>
      <c r="G798">
        <v>0.76784394937091149</v>
      </c>
      <c r="H798">
        <v>14.528311825377049</v>
      </c>
      <c r="I798">
        <v>2.063917967886679E-3</v>
      </c>
      <c r="J798">
        <v>7.9506907153366405E-3</v>
      </c>
      <c r="K798" s="1">
        <f t="shared" si="108"/>
        <v>5.9334793354110932E-2</v>
      </c>
      <c r="L798" s="1">
        <f t="shared" si="109"/>
        <v>8.9896685635170323E-2</v>
      </c>
      <c r="M798">
        <f t="shared" si="110"/>
        <v>0.18592418383710915</v>
      </c>
      <c r="N798">
        <f t="shared" si="111"/>
        <v>0.26729166145755962</v>
      </c>
      <c r="O798">
        <f t="shared" si="112"/>
        <v>0.76784394937091149</v>
      </c>
      <c r="P798">
        <f t="shared" si="113"/>
        <v>14.528311825377049</v>
      </c>
      <c r="Q798">
        <f t="shared" si="114"/>
        <v>2.063917967886679E-3</v>
      </c>
      <c r="R798">
        <f t="shared" si="115"/>
        <v>7.9506907153366405E-3</v>
      </c>
      <c r="S798">
        <f t="shared" si="116"/>
        <v>0</v>
      </c>
    </row>
    <row r="799" spans="1:19" x14ac:dyDescent="0.3">
      <c r="A799" t="s">
        <v>263</v>
      </c>
      <c r="B799">
        <v>2009</v>
      </c>
      <c r="C799">
        <v>0.11523151232920567</v>
      </c>
      <c r="D799">
        <v>0.12471797178318432</v>
      </c>
      <c r="E799">
        <v>0.16424930533289273</v>
      </c>
      <c r="F799">
        <v>0.24292308651680483</v>
      </c>
      <c r="G799">
        <v>0.97688412034447825</v>
      </c>
      <c r="H799">
        <v>14.526785925511664</v>
      </c>
      <c r="I799">
        <v>1.0969226195550737E-2</v>
      </c>
      <c r="J799">
        <v>1.3271713901738546E-2</v>
      </c>
      <c r="K799" s="1">
        <f t="shared" si="108"/>
        <v>0.11523151232920567</v>
      </c>
      <c r="L799" s="1">
        <f t="shared" si="109"/>
        <v>0.12471797178318432</v>
      </c>
      <c r="M799">
        <f t="shared" si="110"/>
        <v>0.16424930533289273</v>
      </c>
      <c r="N799">
        <f t="shared" si="111"/>
        <v>0.24292308651680483</v>
      </c>
      <c r="O799">
        <f t="shared" si="112"/>
        <v>0.97688412034447825</v>
      </c>
      <c r="P799">
        <f t="shared" si="113"/>
        <v>14.526785925511664</v>
      </c>
      <c r="Q799">
        <f t="shared" si="114"/>
        <v>1.0969226195550737E-2</v>
      </c>
      <c r="R799">
        <f t="shared" si="115"/>
        <v>1.3271713901738546E-2</v>
      </c>
      <c r="S799">
        <f t="shared" si="116"/>
        <v>0</v>
      </c>
    </row>
    <row r="800" spans="1:19" x14ac:dyDescent="0.3">
      <c r="A800" t="s">
        <v>263</v>
      </c>
      <c r="B800">
        <v>2010</v>
      </c>
      <c r="C800">
        <v>9.8535019479365923E-2</v>
      </c>
      <c r="D800">
        <v>0.1261204594623998</v>
      </c>
      <c r="E800">
        <v>0.13675630342365866</v>
      </c>
      <c r="F800">
        <v>0.33975828785393714</v>
      </c>
      <c r="G800">
        <v>0.9858196206584563</v>
      </c>
      <c r="H800">
        <v>14.881810376525122</v>
      </c>
      <c r="I800">
        <v>9.2341398159025145E-4</v>
      </c>
      <c r="J800">
        <v>1.1670749828204249E-2</v>
      </c>
      <c r="K800" s="1">
        <f t="shared" si="108"/>
        <v>9.8535019479365923E-2</v>
      </c>
      <c r="L800" s="1">
        <f t="shared" si="109"/>
        <v>0.1261204594623998</v>
      </c>
      <c r="M800">
        <f t="shared" si="110"/>
        <v>0.13675630342365866</v>
      </c>
      <c r="N800">
        <f t="shared" si="111"/>
        <v>0.33975828785393714</v>
      </c>
      <c r="O800">
        <f t="shared" si="112"/>
        <v>0.9858196206584563</v>
      </c>
      <c r="P800">
        <f t="shared" si="113"/>
        <v>14.881810376525122</v>
      </c>
      <c r="Q800">
        <f t="shared" si="114"/>
        <v>9.2341398159025145E-4</v>
      </c>
      <c r="R800">
        <f t="shared" si="115"/>
        <v>1.1670749828204249E-2</v>
      </c>
      <c r="S800">
        <f t="shared" si="116"/>
        <v>0</v>
      </c>
    </row>
    <row r="801" spans="1:19" x14ac:dyDescent="0.3">
      <c r="A801" t="s">
        <v>264</v>
      </c>
      <c r="B801">
        <v>2007</v>
      </c>
      <c r="C801">
        <v>2.2295088494128118E-2</v>
      </c>
      <c r="D801">
        <v>6.3257340384235292E-2</v>
      </c>
      <c r="E801">
        <v>3.2757971012431976E-2</v>
      </c>
      <c r="F801">
        <v>0.25285872933039655</v>
      </c>
      <c r="G801">
        <v>1.1016701764763597</v>
      </c>
      <c r="H801">
        <v>15.0729298119743</v>
      </c>
      <c r="I801">
        <v>6.8663011244305657E-3</v>
      </c>
      <c r="J801">
        <v>3.3996476444934857E-2</v>
      </c>
      <c r="K801" s="1">
        <f t="shared" si="108"/>
        <v>2.2295088494128118E-2</v>
      </c>
      <c r="L801" s="1">
        <f t="shared" si="109"/>
        <v>6.3257340384235292E-2</v>
      </c>
      <c r="M801">
        <f t="shared" si="110"/>
        <v>3.2757971012431976E-2</v>
      </c>
      <c r="N801">
        <f t="shared" si="111"/>
        <v>0.25285872933039655</v>
      </c>
      <c r="O801">
        <f t="shared" si="112"/>
        <v>1.1016701764763597</v>
      </c>
      <c r="P801">
        <f t="shared" si="113"/>
        <v>15.0729298119743</v>
      </c>
      <c r="Q801">
        <f t="shared" si="114"/>
        <v>6.8663011244305657E-3</v>
      </c>
      <c r="R801">
        <f t="shared" si="115"/>
        <v>3.3996476444934857E-2</v>
      </c>
      <c r="S801">
        <f t="shared" si="116"/>
        <v>0</v>
      </c>
    </row>
    <row r="802" spans="1:19" x14ac:dyDescent="0.3">
      <c r="A802" t="s">
        <v>264</v>
      </c>
      <c r="B802">
        <v>2008</v>
      </c>
      <c r="C802">
        <v>2.5086949667965007E-2</v>
      </c>
      <c r="D802">
        <v>4.0548077230061937E-2</v>
      </c>
      <c r="E802">
        <v>-3.3211979599003898E-2</v>
      </c>
      <c r="F802">
        <v>0.36739152991507568</v>
      </c>
      <c r="G802">
        <v>0.94261082465998347</v>
      </c>
      <c r="H802">
        <v>15.204106268945996</v>
      </c>
      <c r="I802">
        <v>7.7080706929726385E-3</v>
      </c>
      <c r="J802">
        <v>0</v>
      </c>
      <c r="K802" s="1">
        <f t="shared" si="108"/>
        <v>2.5086949667965007E-2</v>
      </c>
      <c r="L802" s="1">
        <f t="shared" si="109"/>
        <v>4.0548077230061937E-2</v>
      </c>
      <c r="M802">
        <f t="shared" si="110"/>
        <v>-3.3211979599003898E-2</v>
      </c>
      <c r="N802">
        <f t="shared" si="111"/>
        <v>0.36739152991507568</v>
      </c>
      <c r="O802">
        <f t="shared" si="112"/>
        <v>0.94261082465998347</v>
      </c>
      <c r="P802">
        <f t="shared" si="113"/>
        <v>15.204106268945996</v>
      </c>
      <c r="Q802">
        <f t="shared" si="114"/>
        <v>7.7080706929726385E-3</v>
      </c>
      <c r="R802">
        <f t="shared" si="115"/>
        <v>0</v>
      </c>
      <c r="S802">
        <f t="shared" si="116"/>
        <v>0</v>
      </c>
    </row>
    <row r="803" spans="1:19" x14ac:dyDescent="0.3">
      <c r="A803" t="s">
        <v>264</v>
      </c>
      <c r="B803">
        <v>2009</v>
      </c>
      <c r="C803">
        <v>3.6884312821289893E-2</v>
      </c>
      <c r="D803">
        <v>6.7778315931036934E-2</v>
      </c>
      <c r="E803">
        <v>-8.0890738051842062E-2</v>
      </c>
      <c r="F803">
        <v>0.45652241329884558</v>
      </c>
      <c r="G803">
        <v>1.0806227663032915</v>
      </c>
      <c r="H803">
        <v>15.193328848475129</v>
      </c>
      <c r="I803">
        <v>2.0994845445443153E-2</v>
      </c>
      <c r="J803">
        <v>0</v>
      </c>
      <c r="K803" s="1">
        <f t="shared" si="108"/>
        <v>3.6884312821289893E-2</v>
      </c>
      <c r="L803" s="1">
        <f t="shared" si="109"/>
        <v>6.7778315931036934E-2</v>
      </c>
      <c r="M803">
        <f t="shared" si="110"/>
        <v>-8.0890738051842062E-2</v>
      </c>
      <c r="N803">
        <f t="shared" si="111"/>
        <v>0.45652241329884558</v>
      </c>
      <c r="O803">
        <f t="shared" si="112"/>
        <v>1.0806227663032915</v>
      </c>
      <c r="P803">
        <f t="shared" si="113"/>
        <v>15.193328848475129</v>
      </c>
      <c r="Q803">
        <f t="shared" si="114"/>
        <v>2.0994845445443153E-2</v>
      </c>
      <c r="R803">
        <f t="shared" si="115"/>
        <v>0</v>
      </c>
      <c r="S803">
        <f t="shared" si="116"/>
        <v>0</v>
      </c>
    </row>
    <row r="804" spans="1:19" x14ac:dyDescent="0.3">
      <c r="A804" t="s">
        <v>264</v>
      </c>
      <c r="B804">
        <v>2010</v>
      </c>
      <c r="C804">
        <v>2.0715203247286259E-2</v>
      </c>
      <c r="D804">
        <v>0.1149912961243602</v>
      </c>
      <c r="E804">
        <v>-1.5144473532385709E-2</v>
      </c>
      <c r="F804">
        <v>0.37542197540061822</v>
      </c>
      <c r="G804">
        <v>1.0042247712778545</v>
      </c>
      <c r="H804">
        <v>15.386908643724118</v>
      </c>
      <c r="I804">
        <v>8.0495766975259425E-3</v>
      </c>
      <c r="J804">
        <v>2.4835598654000011E-2</v>
      </c>
      <c r="K804" s="1">
        <f t="shared" si="108"/>
        <v>2.0715203247286259E-2</v>
      </c>
      <c r="L804" s="1">
        <f t="shared" si="109"/>
        <v>0.1149912961243602</v>
      </c>
      <c r="M804">
        <f t="shared" si="110"/>
        <v>-1.5144473532385709E-2</v>
      </c>
      <c r="N804">
        <f t="shared" si="111"/>
        <v>0.37542197540061822</v>
      </c>
      <c r="O804">
        <f t="shared" si="112"/>
        <v>1.0042247712778545</v>
      </c>
      <c r="P804">
        <f t="shared" si="113"/>
        <v>15.386908643724118</v>
      </c>
      <c r="Q804">
        <f t="shared" si="114"/>
        <v>8.0495766975259425E-3</v>
      </c>
      <c r="R804">
        <f t="shared" si="115"/>
        <v>2.4835598654000011E-2</v>
      </c>
      <c r="S804">
        <f t="shared" si="116"/>
        <v>0</v>
      </c>
    </row>
    <row r="805" spans="1:19" x14ac:dyDescent="0.3">
      <c r="A805" t="s">
        <v>265</v>
      </c>
      <c r="B805">
        <v>2007</v>
      </c>
      <c r="C805">
        <v>5.6188488416949574E-2</v>
      </c>
      <c r="D805">
        <v>0.10205094740193793</v>
      </c>
      <c r="E805">
        <v>7.4969449228860924E-2</v>
      </c>
      <c r="F805">
        <v>3.8768206903730736E-2</v>
      </c>
      <c r="G805">
        <v>0.8084254740508704</v>
      </c>
      <c r="H805">
        <v>14.642470716499865</v>
      </c>
      <c r="I805">
        <v>2.9486581924231391E-2</v>
      </c>
      <c r="J805">
        <v>0</v>
      </c>
      <c r="K805" s="1">
        <f t="shared" si="108"/>
        <v>5.6188488416949574E-2</v>
      </c>
      <c r="L805" s="1">
        <f t="shared" si="109"/>
        <v>0.10205094740193793</v>
      </c>
      <c r="M805">
        <f t="shared" si="110"/>
        <v>7.4969449228860924E-2</v>
      </c>
      <c r="N805">
        <f t="shared" si="111"/>
        <v>3.8768206903730736E-2</v>
      </c>
      <c r="O805">
        <f t="shared" si="112"/>
        <v>0.8084254740508704</v>
      </c>
      <c r="P805">
        <f t="shared" si="113"/>
        <v>14.642470716499865</v>
      </c>
      <c r="Q805">
        <f t="shared" si="114"/>
        <v>2.9486581924231391E-2</v>
      </c>
      <c r="R805">
        <f t="shared" si="115"/>
        <v>0</v>
      </c>
      <c r="S805">
        <f t="shared" si="116"/>
        <v>0</v>
      </c>
    </row>
    <row r="806" spans="1:19" x14ac:dyDescent="0.3">
      <c r="A806" t="s">
        <v>265</v>
      </c>
      <c r="B806">
        <v>2009</v>
      </c>
      <c r="C806">
        <v>1.1183082818760752E-2</v>
      </c>
      <c r="D806">
        <v>8.0972590269210235E-2</v>
      </c>
      <c r="E806">
        <v>3.1274159176184764E-2</v>
      </c>
      <c r="F806">
        <v>0.17029479978850404</v>
      </c>
      <c r="G806">
        <v>0.47815562837643577</v>
      </c>
      <c r="H806">
        <v>14.469626327452168</v>
      </c>
      <c r="I806">
        <v>4.7376344332327527E-3</v>
      </c>
      <c r="J806">
        <v>0</v>
      </c>
      <c r="K806" s="1">
        <f t="shared" si="108"/>
        <v>1.1183082818760752E-2</v>
      </c>
      <c r="L806" s="1">
        <f t="shared" si="109"/>
        <v>8.0972590269210235E-2</v>
      </c>
      <c r="M806">
        <f t="shared" si="110"/>
        <v>3.1274159176184764E-2</v>
      </c>
      <c r="N806">
        <f t="shared" si="111"/>
        <v>0.17029479978850404</v>
      </c>
      <c r="O806">
        <f t="shared" si="112"/>
        <v>0.47815562837643577</v>
      </c>
      <c r="P806">
        <f t="shared" si="113"/>
        <v>14.469626327452168</v>
      </c>
      <c r="Q806">
        <f t="shared" si="114"/>
        <v>4.7376344332327527E-3</v>
      </c>
      <c r="R806">
        <f t="shared" si="115"/>
        <v>0</v>
      </c>
      <c r="S806">
        <f t="shared" si="116"/>
        <v>0</v>
      </c>
    </row>
    <row r="807" spans="1:19" x14ac:dyDescent="0.3">
      <c r="A807" t="s">
        <v>265</v>
      </c>
      <c r="B807">
        <v>2010</v>
      </c>
      <c r="C807">
        <v>5.2855988194902746E-2</v>
      </c>
      <c r="D807">
        <v>4.7994754231731176E-2</v>
      </c>
      <c r="E807">
        <v>6.307139449653372E-2</v>
      </c>
      <c r="F807">
        <v>5.095944663783189E-2</v>
      </c>
      <c r="G807">
        <v>0.49331309319889816</v>
      </c>
      <c r="H807">
        <v>14.856492674473152</v>
      </c>
      <c r="I807">
        <v>1.6467143631279699E-2</v>
      </c>
      <c r="J807">
        <v>0</v>
      </c>
      <c r="K807" s="1">
        <f t="shared" si="108"/>
        <v>5.2855988194902746E-2</v>
      </c>
      <c r="L807" s="1">
        <f t="shared" si="109"/>
        <v>4.7994754231731176E-2</v>
      </c>
      <c r="M807">
        <f t="shared" si="110"/>
        <v>6.307139449653372E-2</v>
      </c>
      <c r="N807">
        <f t="shared" si="111"/>
        <v>5.095944663783189E-2</v>
      </c>
      <c r="O807">
        <f t="shared" si="112"/>
        <v>0.49331309319889816</v>
      </c>
      <c r="P807">
        <f t="shared" si="113"/>
        <v>14.856492674473152</v>
      </c>
      <c r="Q807">
        <f t="shared" si="114"/>
        <v>1.6467143631279699E-2</v>
      </c>
      <c r="R807">
        <f t="shared" si="115"/>
        <v>0</v>
      </c>
      <c r="S807">
        <f t="shared" si="116"/>
        <v>0</v>
      </c>
    </row>
    <row r="808" spans="1:19" x14ac:dyDescent="0.3">
      <c r="A808" t="s">
        <v>266</v>
      </c>
      <c r="B808">
        <v>2007</v>
      </c>
      <c r="C808">
        <v>2.0432173679938333E-2</v>
      </c>
      <c r="D808">
        <v>0.15933960333008285</v>
      </c>
      <c r="E808">
        <v>7.7474163258108103E-2</v>
      </c>
      <c r="F808">
        <v>0.17443745755370069</v>
      </c>
      <c r="G808">
        <v>1.4658999616029056</v>
      </c>
      <c r="H808">
        <v>14.690403713035803</v>
      </c>
      <c r="I808">
        <v>4.2851415346931848E-4</v>
      </c>
      <c r="J808">
        <v>0</v>
      </c>
      <c r="K808" s="1">
        <f t="shared" si="108"/>
        <v>2.0432173679938333E-2</v>
      </c>
      <c r="L808" s="1">
        <f t="shared" si="109"/>
        <v>0.15933960333008285</v>
      </c>
      <c r="M808">
        <f t="shared" si="110"/>
        <v>7.7474163258108103E-2</v>
      </c>
      <c r="N808">
        <f t="shared" si="111"/>
        <v>0.17443745755370069</v>
      </c>
      <c r="O808">
        <f t="shared" si="112"/>
        <v>1.4658999616029056</v>
      </c>
      <c r="P808">
        <f t="shared" si="113"/>
        <v>14.690403713035803</v>
      </c>
      <c r="Q808">
        <f t="shared" si="114"/>
        <v>4.2851415346931848E-4</v>
      </c>
      <c r="R808">
        <f t="shared" si="115"/>
        <v>0</v>
      </c>
      <c r="S808">
        <f t="shared" si="116"/>
        <v>0</v>
      </c>
    </row>
    <row r="809" spans="1:19" x14ac:dyDescent="0.3">
      <c r="A809" t="s">
        <v>266</v>
      </c>
      <c r="B809">
        <v>2008</v>
      </c>
      <c r="C809">
        <v>6.6738421128830105E-2</v>
      </c>
      <c r="D809">
        <v>0.12095861209931136</v>
      </c>
      <c r="E809">
        <v>0.1752723117307905</v>
      </c>
      <c r="F809">
        <v>4.7852896043842019E-2</v>
      </c>
      <c r="G809">
        <v>0.60838199061882414</v>
      </c>
      <c r="H809">
        <v>14.947337417946638</v>
      </c>
      <c r="I809">
        <v>1.2331509338337729E-2</v>
      </c>
      <c r="J809">
        <v>0</v>
      </c>
      <c r="K809" s="1">
        <f t="shared" si="108"/>
        <v>6.6738421128830105E-2</v>
      </c>
      <c r="L809" s="1">
        <f t="shared" si="109"/>
        <v>0.12095861209931136</v>
      </c>
      <c r="M809">
        <f t="shared" si="110"/>
        <v>0.1752723117307905</v>
      </c>
      <c r="N809">
        <f t="shared" si="111"/>
        <v>4.7852896043842019E-2</v>
      </c>
      <c r="O809">
        <f t="shared" si="112"/>
        <v>0.60838199061882414</v>
      </c>
      <c r="P809">
        <f t="shared" si="113"/>
        <v>14.947337417946638</v>
      </c>
      <c r="Q809">
        <f t="shared" si="114"/>
        <v>1.2331509338337729E-2</v>
      </c>
      <c r="R809">
        <f t="shared" si="115"/>
        <v>0</v>
      </c>
      <c r="S809">
        <f t="shared" si="116"/>
        <v>0</v>
      </c>
    </row>
    <row r="810" spans="1:19" x14ac:dyDescent="0.3">
      <c r="A810" t="s">
        <v>266</v>
      </c>
      <c r="B810">
        <v>2010</v>
      </c>
      <c r="C810">
        <v>2.1595116414847633E-2</v>
      </c>
      <c r="D810">
        <v>5.6881125981332437E-2</v>
      </c>
      <c r="E810">
        <v>3.7418739335607215E-2</v>
      </c>
      <c r="F810">
        <v>0.23856190867857646</v>
      </c>
      <c r="G810">
        <v>0.5856760786101517</v>
      </c>
      <c r="H810">
        <v>15.027594974032031</v>
      </c>
      <c r="I810">
        <v>1.0452060204326553E-2</v>
      </c>
      <c r="J810">
        <v>0</v>
      </c>
      <c r="K810" s="1">
        <f t="shared" si="108"/>
        <v>2.1595116414847633E-2</v>
      </c>
      <c r="L810" s="1">
        <f t="shared" si="109"/>
        <v>5.6881125981332437E-2</v>
      </c>
      <c r="M810">
        <f t="shared" si="110"/>
        <v>3.7418739335607215E-2</v>
      </c>
      <c r="N810">
        <f t="shared" si="111"/>
        <v>0.23856190867857646</v>
      </c>
      <c r="O810">
        <f t="shared" si="112"/>
        <v>0.5856760786101517</v>
      </c>
      <c r="P810">
        <f t="shared" si="113"/>
        <v>15.027594974032031</v>
      </c>
      <c r="Q810">
        <f t="shared" si="114"/>
        <v>1.0452060204326553E-2</v>
      </c>
      <c r="R810">
        <f t="shared" si="115"/>
        <v>0</v>
      </c>
      <c r="S810">
        <f t="shared" si="116"/>
        <v>0</v>
      </c>
    </row>
    <row r="811" spans="1:19" x14ac:dyDescent="0.3">
      <c r="A811" t="s">
        <v>267</v>
      </c>
      <c r="B811">
        <v>2007</v>
      </c>
      <c r="C811">
        <v>0.1585212252072693</v>
      </c>
      <c r="D811">
        <v>0.28457833326412824</v>
      </c>
      <c r="E811">
        <v>0.64812661766944868</v>
      </c>
      <c r="F811">
        <v>0</v>
      </c>
      <c r="G811">
        <v>1.5218065301941894</v>
      </c>
      <c r="H811">
        <v>11.881020945608389</v>
      </c>
      <c r="I811">
        <v>0.11780434412936869</v>
      </c>
      <c r="J811">
        <v>0</v>
      </c>
      <c r="K811" s="1">
        <f t="shared" si="108"/>
        <v>0.1585212252072693</v>
      </c>
      <c r="L811" s="1">
        <f t="shared" si="109"/>
        <v>0.28457833326412824</v>
      </c>
      <c r="M811">
        <f t="shared" si="110"/>
        <v>0.64812661766944868</v>
      </c>
      <c r="N811">
        <f t="shared" si="111"/>
        <v>0</v>
      </c>
      <c r="O811">
        <f t="shared" si="112"/>
        <v>1.5218065301941894</v>
      </c>
      <c r="P811">
        <f t="shared" si="113"/>
        <v>11.881020945608389</v>
      </c>
      <c r="Q811">
        <f t="shared" si="114"/>
        <v>0.11780434412936869</v>
      </c>
      <c r="R811">
        <f t="shared" si="115"/>
        <v>0</v>
      </c>
      <c r="S811">
        <f t="shared" si="116"/>
        <v>0</v>
      </c>
    </row>
    <row r="812" spans="1:19" x14ac:dyDescent="0.3">
      <c r="A812" t="s">
        <v>267</v>
      </c>
      <c r="B812">
        <v>2008</v>
      </c>
      <c r="C812">
        <v>1.5892548021774044E-2</v>
      </c>
      <c r="D812">
        <v>1.6119360961061171E-2</v>
      </c>
      <c r="E812">
        <v>0.23206613552464178</v>
      </c>
      <c r="F812">
        <v>0.40659999582872758</v>
      </c>
      <c r="G812">
        <v>0.91192879637933555</v>
      </c>
      <c r="H812">
        <v>12.857293054862083</v>
      </c>
      <c r="I812">
        <v>3.290565521054245E-2</v>
      </c>
      <c r="J812">
        <v>0</v>
      </c>
      <c r="K812" s="1">
        <f t="shared" si="108"/>
        <v>1.5892548021774044E-2</v>
      </c>
      <c r="L812" s="1">
        <f t="shared" si="109"/>
        <v>1.6119360961061171E-2</v>
      </c>
      <c r="M812">
        <f t="shared" si="110"/>
        <v>0.23206613552464178</v>
      </c>
      <c r="N812">
        <f t="shared" si="111"/>
        <v>0.40659999582872758</v>
      </c>
      <c r="O812">
        <f t="shared" si="112"/>
        <v>0.91192879637933555</v>
      </c>
      <c r="P812">
        <f t="shared" si="113"/>
        <v>12.857293054862083</v>
      </c>
      <c r="Q812">
        <f t="shared" si="114"/>
        <v>3.290565521054245E-2</v>
      </c>
      <c r="R812">
        <f t="shared" si="115"/>
        <v>0</v>
      </c>
      <c r="S812">
        <f t="shared" si="116"/>
        <v>0</v>
      </c>
    </row>
    <row r="813" spans="1:19" x14ac:dyDescent="0.3">
      <c r="A813" t="s">
        <v>267</v>
      </c>
      <c r="B813">
        <v>2009</v>
      </c>
      <c r="C813">
        <v>2.5170499928318348E-2</v>
      </c>
      <c r="D813">
        <v>0.13659011846490085</v>
      </c>
      <c r="E813">
        <v>0.12706084748192598</v>
      </c>
      <c r="F813">
        <v>0.25111984294403855</v>
      </c>
      <c r="G813">
        <v>1.0350951610496535</v>
      </c>
      <c r="H813">
        <v>12.741948866582856</v>
      </c>
      <c r="I813">
        <v>3.0811713562581462E-2</v>
      </c>
      <c r="J813">
        <v>0</v>
      </c>
      <c r="K813" s="1">
        <f t="shared" si="108"/>
        <v>2.5170499928318348E-2</v>
      </c>
      <c r="L813" s="1">
        <f t="shared" si="109"/>
        <v>0.13659011846490085</v>
      </c>
      <c r="M813">
        <f t="shared" si="110"/>
        <v>0.12706084748192598</v>
      </c>
      <c r="N813">
        <f t="shared" si="111"/>
        <v>0.25111984294403855</v>
      </c>
      <c r="O813">
        <f t="shared" si="112"/>
        <v>1.0350951610496535</v>
      </c>
      <c r="P813">
        <f t="shared" si="113"/>
        <v>12.741948866582856</v>
      </c>
      <c r="Q813">
        <f t="shared" si="114"/>
        <v>3.0811713562581462E-2</v>
      </c>
      <c r="R813">
        <f t="shared" si="115"/>
        <v>0</v>
      </c>
      <c r="S813">
        <f t="shared" si="116"/>
        <v>0</v>
      </c>
    </row>
    <row r="814" spans="1:19" x14ac:dyDescent="0.3">
      <c r="A814" t="s">
        <v>267</v>
      </c>
      <c r="B814">
        <v>2010</v>
      </c>
      <c r="C814">
        <v>6.0599049553697437E-2</v>
      </c>
      <c r="D814">
        <v>2.9138073842366583E-2</v>
      </c>
      <c r="E814">
        <v>0.11611038873901595</v>
      </c>
      <c r="F814">
        <v>0.21422985622995802</v>
      </c>
      <c r="G814">
        <v>0.93198131498456793</v>
      </c>
      <c r="H814">
        <v>12.976685369573165</v>
      </c>
      <c r="I814">
        <v>7.4656912333393713E-3</v>
      </c>
      <c r="J814">
        <v>0</v>
      </c>
      <c r="K814" s="1">
        <f t="shared" si="108"/>
        <v>6.0599049553697437E-2</v>
      </c>
      <c r="L814" s="1">
        <f t="shared" si="109"/>
        <v>2.9138073842366583E-2</v>
      </c>
      <c r="M814">
        <f t="shared" si="110"/>
        <v>0.11611038873901595</v>
      </c>
      <c r="N814">
        <f t="shared" si="111"/>
        <v>0.21422985622995802</v>
      </c>
      <c r="O814">
        <f t="shared" si="112"/>
        <v>0.93198131498456793</v>
      </c>
      <c r="P814">
        <f t="shared" si="113"/>
        <v>12.976685369573165</v>
      </c>
      <c r="Q814">
        <f t="shared" si="114"/>
        <v>7.4656912333393713E-3</v>
      </c>
      <c r="R814">
        <f t="shared" si="115"/>
        <v>0</v>
      </c>
      <c r="S814">
        <f t="shared" si="116"/>
        <v>0</v>
      </c>
    </row>
    <row r="815" spans="1:19" x14ac:dyDescent="0.3">
      <c r="A815" t="s">
        <v>268</v>
      </c>
      <c r="B815">
        <v>2007</v>
      </c>
      <c r="C815">
        <v>5.3122946796019407E-2</v>
      </c>
      <c r="D815">
        <v>0.20076611549433365</v>
      </c>
      <c r="E815">
        <v>0.26120612900539569</v>
      </c>
      <c r="F815">
        <v>8.7528715587868635E-4</v>
      </c>
      <c r="G815">
        <v>2.0673989434251765</v>
      </c>
      <c r="H815">
        <v>15.407096263794541</v>
      </c>
      <c r="I815">
        <v>5.8823085898890487E-2</v>
      </c>
      <c r="J815">
        <v>6.0513514014265614E-2</v>
      </c>
      <c r="K815" s="1">
        <f t="shared" si="108"/>
        <v>5.3122946796019407E-2</v>
      </c>
      <c r="L815" s="1">
        <f t="shared" si="109"/>
        <v>0.20076611549433365</v>
      </c>
      <c r="M815">
        <f t="shared" si="110"/>
        <v>0.26120612900539569</v>
      </c>
      <c r="N815">
        <f t="shared" si="111"/>
        <v>8.7528715587868635E-4</v>
      </c>
      <c r="O815">
        <f t="shared" si="112"/>
        <v>2.0673989434251765</v>
      </c>
      <c r="P815">
        <f t="shared" si="113"/>
        <v>15.407096263794541</v>
      </c>
      <c r="Q815">
        <f t="shared" si="114"/>
        <v>5.8823085898890487E-2</v>
      </c>
      <c r="R815">
        <f t="shared" si="115"/>
        <v>6.0513514014265614E-2</v>
      </c>
      <c r="S815">
        <f t="shared" si="116"/>
        <v>0</v>
      </c>
    </row>
    <row r="816" spans="1:19" x14ac:dyDescent="0.3">
      <c r="A816" t="s">
        <v>268</v>
      </c>
      <c r="B816">
        <v>2008</v>
      </c>
      <c r="C816">
        <v>1.4021440985363426E-2</v>
      </c>
      <c r="D816">
        <v>4.7085646906379529E-2</v>
      </c>
      <c r="E816">
        <v>0.19802314578296265</v>
      </c>
      <c r="F816">
        <v>0.27072988744261589</v>
      </c>
      <c r="G816">
        <v>1.1046257873404797</v>
      </c>
      <c r="H816">
        <v>15.426356678407886</v>
      </c>
      <c r="I816">
        <v>2.021736485561601E-4</v>
      </c>
      <c r="J816">
        <v>4.3340923969941558E-3</v>
      </c>
      <c r="K816" s="1">
        <f t="shared" si="108"/>
        <v>1.4021440985363426E-2</v>
      </c>
      <c r="L816" s="1">
        <f t="shared" si="109"/>
        <v>4.7085646906379529E-2</v>
      </c>
      <c r="M816">
        <f t="shared" si="110"/>
        <v>0.19802314578296265</v>
      </c>
      <c r="N816">
        <f t="shared" si="111"/>
        <v>0.27072988744261589</v>
      </c>
      <c r="O816">
        <f t="shared" si="112"/>
        <v>1.1046257873404797</v>
      </c>
      <c r="P816">
        <f t="shared" si="113"/>
        <v>15.426356678407886</v>
      </c>
      <c r="Q816">
        <f t="shared" si="114"/>
        <v>2.021736485561601E-4</v>
      </c>
      <c r="R816">
        <f t="shared" si="115"/>
        <v>4.3340923969941558E-3</v>
      </c>
      <c r="S816">
        <f t="shared" si="116"/>
        <v>0</v>
      </c>
    </row>
    <row r="817" spans="1:19" x14ac:dyDescent="0.3">
      <c r="A817" t="s">
        <v>268</v>
      </c>
      <c r="B817">
        <v>2010</v>
      </c>
      <c r="C817">
        <v>1.1014959681343936E-2</v>
      </c>
      <c r="D817">
        <v>3.9618022238159439E-2</v>
      </c>
      <c r="E817">
        <v>0.15806100633234385</v>
      </c>
      <c r="F817">
        <v>8.6047723540756807E-2</v>
      </c>
      <c r="G817">
        <v>0.97560960279250641</v>
      </c>
      <c r="H817">
        <v>15.563556878142993</v>
      </c>
      <c r="I817">
        <v>5.9192778491647773E-3</v>
      </c>
      <c r="J817">
        <v>0</v>
      </c>
      <c r="K817" s="1">
        <f t="shared" si="108"/>
        <v>1.1014959681343936E-2</v>
      </c>
      <c r="L817" s="1">
        <f t="shared" si="109"/>
        <v>3.9618022238159439E-2</v>
      </c>
      <c r="M817">
        <f t="shared" si="110"/>
        <v>0.15806100633234385</v>
      </c>
      <c r="N817">
        <f t="shared" si="111"/>
        <v>8.6047723540756807E-2</v>
      </c>
      <c r="O817">
        <f t="shared" si="112"/>
        <v>0.97560960279250641</v>
      </c>
      <c r="P817">
        <f t="shared" si="113"/>
        <v>15.563556878142993</v>
      </c>
      <c r="Q817">
        <f t="shared" si="114"/>
        <v>5.9192778491647773E-3</v>
      </c>
      <c r="R817">
        <f t="shared" si="115"/>
        <v>0</v>
      </c>
      <c r="S817">
        <f t="shared" si="116"/>
        <v>0</v>
      </c>
    </row>
    <row r="818" spans="1:19" x14ac:dyDescent="0.3">
      <c r="A818" t="s">
        <v>269</v>
      </c>
      <c r="B818">
        <v>2007</v>
      </c>
      <c r="C818">
        <v>2.6472715555963873E-2</v>
      </c>
      <c r="D818">
        <v>7.5199422235713242E-2</v>
      </c>
      <c r="E818">
        <v>7.0200094712693393E-3</v>
      </c>
      <c r="F818">
        <v>7.0237782321429063E-2</v>
      </c>
      <c r="G818">
        <v>1.1712674968937824</v>
      </c>
      <c r="H818">
        <v>15.932382388829154</v>
      </c>
      <c r="I818">
        <v>9.0256112489827192E-4</v>
      </c>
      <c r="J818">
        <v>0</v>
      </c>
      <c r="K818" s="1">
        <f t="shared" si="108"/>
        <v>2.6472715555963873E-2</v>
      </c>
      <c r="L818" s="1">
        <f t="shared" si="109"/>
        <v>7.5199422235713242E-2</v>
      </c>
      <c r="M818">
        <f t="shared" si="110"/>
        <v>7.0200094712693393E-3</v>
      </c>
      <c r="N818">
        <f t="shared" si="111"/>
        <v>7.0237782321429063E-2</v>
      </c>
      <c r="O818">
        <f t="shared" si="112"/>
        <v>1.1712674968937824</v>
      </c>
      <c r="P818">
        <f t="shared" si="113"/>
        <v>15.932382388829154</v>
      </c>
      <c r="Q818">
        <f t="shared" si="114"/>
        <v>9.0256112489827192E-4</v>
      </c>
      <c r="R818">
        <f t="shared" si="115"/>
        <v>0</v>
      </c>
      <c r="S818">
        <f t="shared" si="116"/>
        <v>0</v>
      </c>
    </row>
    <row r="819" spans="1:19" x14ac:dyDescent="0.3">
      <c r="A819" t="s">
        <v>269</v>
      </c>
      <c r="B819">
        <v>2008</v>
      </c>
      <c r="C819">
        <v>3.4016240011360263E-2</v>
      </c>
      <c r="D819">
        <v>7.7425380797635945E-2</v>
      </c>
      <c r="E819">
        <v>-4.1109215778089951E-2</v>
      </c>
      <c r="F819">
        <v>0</v>
      </c>
      <c r="G819">
        <v>0.7675059529886995</v>
      </c>
      <c r="H819">
        <v>15.7348924964639</v>
      </c>
      <c r="I819">
        <v>2.6019097861531015E-2</v>
      </c>
      <c r="J819">
        <v>0</v>
      </c>
      <c r="K819" s="1">
        <f t="shared" si="108"/>
        <v>3.4016240011360263E-2</v>
      </c>
      <c r="L819" s="1">
        <f t="shared" si="109"/>
        <v>7.7425380797635945E-2</v>
      </c>
      <c r="M819">
        <f t="shared" si="110"/>
        <v>-4.1109215778089951E-2</v>
      </c>
      <c r="N819">
        <f t="shared" si="111"/>
        <v>0</v>
      </c>
      <c r="O819">
        <f t="shared" si="112"/>
        <v>0.7675059529886995</v>
      </c>
      <c r="P819">
        <f t="shared" si="113"/>
        <v>15.7348924964639</v>
      </c>
      <c r="Q819">
        <f t="shared" si="114"/>
        <v>2.6019097861531015E-2</v>
      </c>
      <c r="R819">
        <f t="shared" si="115"/>
        <v>0</v>
      </c>
      <c r="S819">
        <f t="shared" si="116"/>
        <v>0</v>
      </c>
    </row>
    <row r="820" spans="1:19" x14ac:dyDescent="0.3">
      <c r="A820" t="s">
        <v>269</v>
      </c>
      <c r="B820">
        <v>2009</v>
      </c>
      <c r="C820">
        <v>2.0606335409624216E-3</v>
      </c>
      <c r="D820">
        <v>0.11512189391202331</v>
      </c>
      <c r="E820">
        <v>-0.16943171293595471</v>
      </c>
      <c r="F820">
        <v>0.36728713324605455</v>
      </c>
      <c r="G820">
        <v>0.99023076440280955</v>
      </c>
      <c r="H820">
        <v>16.11228761693534</v>
      </c>
      <c r="I820">
        <v>1.1953715020249318E-2</v>
      </c>
      <c r="J820">
        <v>0</v>
      </c>
      <c r="K820" s="1">
        <f t="shared" si="108"/>
        <v>2.0606335409624216E-3</v>
      </c>
      <c r="L820" s="1">
        <f t="shared" si="109"/>
        <v>0.11512189391202331</v>
      </c>
      <c r="M820">
        <f t="shared" si="110"/>
        <v>-0.16943171293595471</v>
      </c>
      <c r="N820">
        <f t="shared" si="111"/>
        <v>0.36728713324605455</v>
      </c>
      <c r="O820">
        <f t="shared" si="112"/>
        <v>0.99023076440280955</v>
      </c>
      <c r="P820">
        <f t="shared" si="113"/>
        <v>16.11228761693534</v>
      </c>
      <c r="Q820">
        <f t="shared" si="114"/>
        <v>1.1953715020249318E-2</v>
      </c>
      <c r="R820">
        <f t="shared" si="115"/>
        <v>0</v>
      </c>
      <c r="S820">
        <f t="shared" si="116"/>
        <v>0</v>
      </c>
    </row>
    <row r="821" spans="1:19" x14ac:dyDescent="0.3">
      <c r="A821" t="s">
        <v>269</v>
      </c>
      <c r="B821">
        <v>2010</v>
      </c>
      <c r="C821">
        <v>9.1714721897457156E-3</v>
      </c>
      <c r="D821">
        <v>0.19498214968997124</v>
      </c>
      <c r="E821">
        <v>-0.23759630655024833</v>
      </c>
      <c r="F821">
        <v>0.14904598065926705</v>
      </c>
      <c r="G821">
        <v>0.96425616404958636</v>
      </c>
      <c r="H821">
        <v>16.006692806029715</v>
      </c>
      <c r="I821">
        <v>2.8934693736191092E-2</v>
      </c>
      <c r="J821">
        <v>0</v>
      </c>
      <c r="K821" s="1">
        <f t="shared" si="108"/>
        <v>9.1714721897457156E-3</v>
      </c>
      <c r="L821" s="1">
        <f t="shared" si="109"/>
        <v>0.19498214968997124</v>
      </c>
      <c r="M821">
        <f t="shared" si="110"/>
        <v>-0.23759630655024833</v>
      </c>
      <c r="N821">
        <f t="shared" si="111"/>
        <v>0.14904598065926705</v>
      </c>
      <c r="O821">
        <f t="shared" si="112"/>
        <v>0.96425616404958636</v>
      </c>
      <c r="P821">
        <f t="shared" si="113"/>
        <v>16.006692806029715</v>
      </c>
      <c r="Q821">
        <f t="shared" si="114"/>
        <v>2.8934693736191092E-2</v>
      </c>
      <c r="R821">
        <f t="shared" si="115"/>
        <v>0</v>
      </c>
      <c r="S821">
        <f t="shared" si="116"/>
        <v>0</v>
      </c>
    </row>
    <row r="822" spans="1:19" x14ac:dyDescent="0.3">
      <c r="A822" t="s">
        <v>270</v>
      </c>
      <c r="B822">
        <v>2007</v>
      </c>
      <c r="C822">
        <v>0.54537093721373375</v>
      </c>
      <c r="D822">
        <v>0.29434677833776463</v>
      </c>
      <c r="E822">
        <v>0.37983428077152642</v>
      </c>
      <c r="F822">
        <v>2.3708829528153438E-4</v>
      </c>
      <c r="G822">
        <v>2.088100261409954</v>
      </c>
      <c r="H822">
        <v>16.566942674192255</v>
      </c>
      <c r="I822">
        <v>8.3818121707730231E-3</v>
      </c>
      <c r="J822">
        <v>6.5228007570994034E-2</v>
      </c>
      <c r="K822" s="1" t="str">
        <f t="shared" si="108"/>
        <v>out</v>
      </c>
      <c r="L822" s="1">
        <f t="shared" si="109"/>
        <v>0.29434677833776463</v>
      </c>
      <c r="M822">
        <f t="shared" si="110"/>
        <v>0.37983428077152642</v>
      </c>
      <c r="N822">
        <f t="shared" si="111"/>
        <v>2.3708829528153438E-4</v>
      </c>
      <c r="O822">
        <f t="shared" si="112"/>
        <v>2.088100261409954</v>
      </c>
      <c r="P822">
        <f t="shared" si="113"/>
        <v>16.566942674192255</v>
      </c>
      <c r="Q822">
        <f t="shared" si="114"/>
        <v>8.3818121707730231E-3</v>
      </c>
      <c r="R822">
        <f t="shared" si="115"/>
        <v>6.5228007570994034E-2</v>
      </c>
      <c r="S822">
        <f t="shared" si="116"/>
        <v>1</v>
      </c>
    </row>
    <row r="823" spans="1:19" x14ac:dyDescent="0.3">
      <c r="A823" t="s">
        <v>270</v>
      </c>
      <c r="B823">
        <v>2008</v>
      </c>
      <c r="C823">
        <v>0.31484948220878961</v>
      </c>
      <c r="D823">
        <v>0.29208416953924354</v>
      </c>
      <c r="E823">
        <v>0.3929688075647349</v>
      </c>
      <c r="F823">
        <v>0</v>
      </c>
      <c r="G823">
        <v>1.0161228980654722</v>
      </c>
      <c r="H823">
        <v>16.436411845346385</v>
      </c>
      <c r="I823">
        <v>3.0297519895951697E-2</v>
      </c>
      <c r="J823">
        <v>6.0030073954170718E-2</v>
      </c>
      <c r="K823" s="1">
        <f t="shared" si="108"/>
        <v>0.31484948220878961</v>
      </c>
      <c r="L823" s="1">
        <f t="shared" si="109"/>
        <v>0.29208416953924354</v>
      </c>
      <c r="M823">
        <f t="shared" si="110"/>
        <v>0.3929688075647349</v>
      </c>
      <c r="N823">
        <f t="shared" si="111"/>
        <v>0</v>
      </c>
      <c r="O823">
        <f t="shared" si="112"/>
        <v>1.0161228980654722</v>
      </c>
      <c r="P823">
        <f t="shared" si="113"/>
        <v>16.436411845346385</v>
      </c>
      <c r="Q823">
        <f t="shared" si="114"/>
        <v>3.0297519895951697E-2</v>
      </c>
      <c r="R823">
        <f t="shared" si="115"/>
        <v>6.0030073954170718E-2</v>
      </c>
      <c r="S823">
        <f t="shared" si="116"/>
        <v>0</v>
      </c>
    </row>
    <row r="824" spans="1:19" x14ac:dyDescent="0.3">
      <c r="A824" t="s">
        <v>270</v>
      </c>
      <c r="B824">
        <v>2009</v>
      </c>
      <c r="C824">
        <v>0.47043364579179359</v>
      </c>
      <c r="D824">
        <v>0.13692102442853391</v>
      </c>
      <c r="E824">
        <v>0.33020528414969252</v>
      </c>
      <c r="F824">
        <v>0.28650612314709178</v>
      </c>
      <c r="G824">
        <v>1.2489706719042106</v>
      </c>
      <c r="H824">
        <v>16.844944641580252</v>
      </c>
      <c r="I824">
        <v>3.0314750395819236E-2</v>
      </c>
      <c r="J824">
        <v>3.7997588941792768E-2</v>
      </c>
      <c r="K824" s="1" t="str">
        <f t="shared" si="108"/>
        <v>out</v>
      </c>
      <c r="L824" s="1">
        <f t="shared" si="109"/>
        <v>0.13692102442853391</v>
      </c>
      <c r="M824">
        <f t="shared" si="110"/>
        <v>0.33020528414969252</v>
      </c>
      <c r="N824">
        <f t="shared" si="111"/>
        <v>0.28650612314709178</v>
      </c>
      <c r="O824">
        <f t="shared" si="112"/>
        <v>1.2489706719042106</v>
      </c>
      <c r="P824">
        <f t="shared" si="113"/>
        <v>16.844944641580252</v>
      </c>
      <c r="Q824">
        <f t="shared" si="114"/>
        <v>3.0314750395819236E-2</v>
      </c>
      <c r="R824">
        <f t="shared" si="115"/>
        <v>3.7997588941792768E-2</v>
      </c>
      <c r="S824">
        <f t="shared" si="116"/>
        <v>1</v>
      </c>
    </row>
    <row r="825" spans="1:19" x14ac:dyDescent="0.3">
      <c r="A825" t="s">
        <v>270</v>
      </c>
      <c r="B825">
        <v>2010</v>
      </c>
      <c r="C825">
        <v>0.5805814208255955</v>
      </c>
      <c r="D825">
        <v>0.22492396164561362</v>
      </c>
      <c r="E825">
        <v>0.35250530634257632</v>
      </c>
      <c r="F825">
        <v>0.29759740098469034</v>
      </c>
      <c r="G825">
        <v>1.2673815387254859</v>
      </c>
      <c r="H825">
        <v>17.116455761573956</v>
      </c>
      <c r="I825">
        <v>2.7794217317695255E-2</v>
      </c>
      <c r="J825">
        <v>4.3444171365626075E-2</v>
      </c>
      <c r="K825" s="1" t="str">
        <f t="shared" si="108"/>
        <v>out</v>
      </c>
      <c r="L825" s="1">
        <f t="shared" si="109"/>
        <v>0.22492396164561362</v>
      </c>
      <c r="M825">
        <f t="shared" si="110"/>
        <v>0.35250530634257632</v>
      </c>
      <c r="N825">
        <f t="shared" si="111"/>
        <v>0.29759740098469034</v>
      </c>
      <c r="O825">
        <f t="shared" si="112"/>
        <v>1.2673815387254859</v>
      </c>
      <c r="P825">
        <f t="shared" si="113"/>
        <v>17.116455761573956</v>
      </c>
      <c r="Q825">
        <f t="shared" si="114"/>
        <v>2.7794217317695255E-2</v>
      </c>
      <c r="R825">
        <f t="shared" si="115"/>
        <v>4.3444171365626075E-2</v>
      </c>
      <c r="S825">
        <f t="shared" si="116"/>
        <v>1</v>
      </c>
    </row>
    <row r="826" spans="1:19" x14ac:dyDescent="0.3">
      <c r="A826" t="s">
        <v>271</v>
      </c>
      <c r="B826">
        <v>2007</v>
      </c>
      <c r="C826">
        <v>1.9498033626613183E-2</v>
      </c>
      <c r="D826">
        <v>0.14257324493432971</v>
      </c>
      <c r="E826">
        <v>0.32962886338573805</v>
      </c>
      <c r="F826">
        <v>3.2574943441622752E-3</v>
      </c>
      <c r="G826">
        <v>1.3788327359823662</v>
      </c>
      <c r="H826">
        <v>15.650381239453059</v>
      </c>
      <c r="I826">
        <v>1.7272266211532498E-2</v>
      </c>
      <c r="J826">
        <v>2.4932139525350221E-2</v>
      </c>
      <c r="K826" s="1">
        <f t="shared" si="108"/>
        <v>1.9498033626613183E-2</v>
      </c>
      <c r="L826" s="1">
        <f t="shared" si="109"/>
        <v>0.14257324493432971</v>
      </c>
      <c r="M826">
        <f t="shared" si="110"/>
        <v>0.32962886338573805</v>
      </c>
      <c r="N826">
        <f t="shared" si="111"/>
        <v>3.2574943441622752E-3</v>
      </c>
      <c r="O826">
        <f t="shared" si="112"/>
        <v>1.3788327359823662</v>
      </c>
      <c r="P826">
        <f t="shared" si="113"/>
        <v>15.650381239453059</v>
      </c>
      <c r="Q826">
        <f t="shared" si="114"/>
        <v>1.7272266211532498E-2</v>
      </c>
      <c r="R826">
        <f t="shared" si="115"/>
        <v>2.4932139525350221E-2</v>
      </c>
      <c r="S826">
        <f t="shared" si="116"/>
        <v>0</v>
      </c>
    </row>
    <row r="827" spans="1:19" x14ac:dyDescent="0.3">
      <c r="A827" t="s">
        <v>271</v>
      </c>
      <c r="B827">
        <v>2008</v>
      </c>
      <c r="C827">
        <v>3.4309988887965485E-2</v>
      </c>
      <c r="D827">
        <v>0.16195432563049375</v>
      </c>
      <c r="E827">
        <v>0.34999290018597112</v>
      </c>
      <c r="F827">
        <v>0</v>
      </c>
      <c r="G827">
        <v>0.9271941892700345</v>
      </c>
      <c r="H827">
        <v>15.79896363985992</v>
      </c>
      <c r="I827">
        <v>2.9741949551663274E-2</v>
      </c>
      <c r="J827">
        <v>8.3810139965403541E-2</v>
      </c>
      <c r="K827" s="1">
        <f t="shared" si="108"/>
        <v>3.4309988887965485E-2</v>
      </c>
      <c r="L827" s="1">
        <f t="shared" si="109"/>
        <v>0.16195432563049375</v>
      </c>
      <c r="M827">
        <f t="shared" si="110"/>
        <v>0.34999290018597112</v>
      </c>
      <c r="N827">
        <f t="shared" si="111"/>
        <v>0</v>
      </c>
      <c r="O827">
        <f t="shared" si="112"/>
        <v>0.9271941892700345</v>
      </c>
      <c r="P827">
        <f t="shared" si="113"/>
        <v>15.79896363985992</v>
      </c>
      <c r="Q827">
        <f t="shared" si="114"/>
        <v>2.9741949551663274E-2</v>
      </c>
      <c r="R827">
        <f t="shared" si="115"/>
        <v>8.3810139965403541E-2</v>
      </c>
      <c r="S827">
        <f t="shared" si="116"/>
        <v>0</v>
      </c>
    </row>
    <row r="828" spans="1:19" x14ac:dyDescent="0.3">
      <c r="A828" t="s">
        <v>271</v>
      </c>
      <c r="B828">
        <v>2009</v>
      </c>
      <c r="C828">
        <v>0.14457359622831462</v>
      </c>
      <c r="D828">
        <v>0.27466693139452597</v>
      </c>
      <c r="E828">
        <v>0.34028949650735169</v>
      </c>
      <c r="F828">
        <v>0</v>
      </c>
      <c r="G828">
        <v>1.7637162813498317</v>
      </c>
      <c r="H828">
        <v>15.760109419085801</v>
      </c>
      <c r="I828">
        <v>5.1868094526940432E-2</v>
      </c>
      <c r="J828">
        <v>0.15080304519050464</v>
      </c>
      <c r="K828" s="1">
        <f t="shared" si="108"/>
        <v>0.14457359622831462</v>
      </c>
      <c r="L828" s="1">
        <f t="shared" si="109"/>
        <v>0.27466693139452597</v>
      </c>
      <c r="M828">
        <f t="shared" si="110"/>
        <v>0.34028949650735169</v>
      </c>
      <c r="N828">
        <f t="shared" si="111"/>
        <v>0</v>
      </c>
      <c r="O828">
        <f t="shared" si="112"/>
        <v>1.7637162813498317</v>
      </c>
      <c r="P828">
        <f t="shared" si="113"/>
        <v>15.760109419085801</v>
      </c>
      <c r="Q828">
        <f t="shared" si="114"/>
        <v>5.1868094526940432E-2</v>
      </c>
      <c r="R828" t="str">
        <f t="shared" si="115"/>
        <v>out</v>
      </c>
      <c r="S828">
        <f t="shared" si="116"/>
        <v>1</v>
      </c>
    </row>
    <row r="829" spans="1:19" x14ac:dyDescent="0.3">
      <c r="A829" t="s">
        <v>271</v>
      </c>
      <c r="B829">
        <v>2010</v>
      </c>
      <c r="C829">
        <v>9.3966156641422119E-2</v>
      </c>
      <c r="D829">
        <v>0.3030909647566124</v>
      </c>
      <c r="E829">
        <v>0.25871719947534438</v>
      </c>
      <c r="F829">
        <v>0</v>
      </c>
      <c r="G829">
        <v>1.8271337931750578</v>
      </c>
      <c r="H829">
        <v>16.314757147585219</v>
      </c>
      <c r="I829">
        <v>1.3338964745331056E-2</v>
      </c>
      <c r="J829">
        <v>0.15636540864492254</v>
      </c>
      <c r="K829" s="1">
        <f t="shared" si="108"/>
        <v>9.3966156641422119E-2</v>
      </c>
      <c r="L829" s="1">
        <f t="shared" si="109"/>
        <v>0.3030909647566124</v>
      </c>
      <c r="M829">
        <f t="shared" si="110"/>
        <v>0.25871719947534438</v>
      </c>
      <c r="N829">
        <f t="shared" si="111"/>
        <v>0</v>
      </c>
      <c r="O829">
        <f t="shared" si="112"/>
        <v>1.8271337931750578</v>
      </c>
      <c r="P829">
        <f t="shared" si="113"/>
        <v>16.314757147585219</v>
      </c>
      <c r="Q829">
        <f t="shared" si="114"/>
        <v>1.3338964745331056E-2</v>
      </c>
      <c r="R829" t="str">
        <f t="shared" si="115"/>
        <v>out</v>
      </c>
      <c r="S829">
        <f t="shared" si="116"/>
        <v>1</v>
      </c>
    </row>
    <row r="830" spans="1:19" x14ac:dyDescent="0.3">
      <c r="A830" t="s">
        <v>272</v>
      </c>
      <c r="B830">
        <v>2007</v>
      </c>
      <c r="C830">
        <v>0.25866538511226911</v>
      </c>
      <c r="D830">
        <v>0.25308031281234766</v>
      </c>
      <c r="E830">
        <v>0.43544918888841777</v>
      </c>
      <c r="F830">
        <v>0</v>
      </c>
      <c r="G830">
        <v>1.6203929497465184</v>
      </c>
      <c r="H830">
        <v>16.869574803691396</v>
      </c>
      <c r="I830">
        <v>4.9179923491048251E-2</v>
      </c>
      <c r="J830">
        <v>1.940915330009612E-2</v>
      </c>
      <c r="K830" s="1">
        <f t="shared" si="108"/>
        <v>0.25866538511226911</v>
      </c>
      <c r="L830" s="1">
        <f t="shared" si="109"/>
        <v>0.25308031281234766</v>
      </c>
      <c r="M830">
        <f t="shared" si="110"/>
        <v>0.43544918888841777</v>
      </c>
      <c r="N830">
        <f t="shared" si="111"/>
        <v>0</v>
      </c>
      <c r="O830">
        <f t="shared" si="112"/>
        <v>1.6203929497465184</v>
      </c>
      <c r="P830">
        <f t="shared" si="113"/>
        <v>16.869574803691396</v>
      </c>
      <c r="Q830">
        <f t="shared" si="114"/>
        <v>4.9179923491048251E-2</v>
      </c>
      <c r="R830">
        <f t="shared" si="115"/>
        <v>1.940915330009612E-2</v>
      </c>
      <c r="S830">
        <f t="shared" si="116"/>
        <v>0</v>
      </c>
    </row>
    <row r="831" spans="1:19" x14ac:dyDescent="0.3">
      <c r="A831" t="s">
        <v>272</v>
      </c>
      <c r="B831">
        <v>2008</v>
      </c>
      <c r="C831">
        <v>0.14738858949231556</v>
      </c>
      <c r="D831">
        <v>0.11547673312262111</v>
      </c>
      <c r="E831">
        <v>0.54201223709896762</v>
      </c>
      <c r="F831">
        <v>0</v>
      </c>
      <c r="G831">
        <v>0.5517483675385374</v>
      </c>
      <c r="H831">
        <v>16.64614074501193</v>
      </c>
      <c r="I831">
        <v>2.4749618552102372E-2</v>
      </c>
      <c r="J831">
        <v>4.8536981552939253E-3</v>
      </c>
      <c r="K831" s="1">
        <f t="shared" si="108"/>
        <v>0.14738858949231556</v>
      </c>
      <c r="L831" s="1">
        <f t="shared" si="109"/>
        <v>0.11547673312262111</v>
      </c>
      <c r="M831">
        <f t="shared" si="110"/>
        <v>0.54201223709896762</v>
      </c>
      <c r="N831">
        <f t="shared" si="111"/>
        <v>0</v>
      </c>
      <c r="O831">
        <f t="shared" si="112"/>
        <v>0.5517483675385374</v>
      </c>
      <c r="P831">
        <f t="shared" si="113"/>
        <v>16.64614074501193</v>
      </c>
      <c r="Q831">
        <f t="shared" si="114"/>
        <v>2.4749618552102372E-2</v>
      </c>
      <c r="R831">
        <f t="shared" si="115"/>
        <v>4.8536981552939253E-3</v>
      </c>
      <c r="S831">
        <f t="shared" si="116"/>
        <v>0</v>
      </c>
    </row>
    <row r="832" spans="1:19" x14ac:dyDescent="0.3">
      <c r="A832" t="s">
        <v>272</v>
      </c>
      <c r="B832">
        <v>2009</v>
      </c>
      <c r="C832">
        <v>0.2008198016576371</v>
      </c>
      <c r="D832">
        <v>2.4057906626821633E-2</v>
      </c>
      <c r="E832">
        <v>0.5155548333476252</v>
      </c>
      <c r="F832">
        <v>4.5311058718940827E-3</v>
      </c>
      <c r="G832">
        <v>0.60328072908212127</v>
      </c>
      <c r="H832">
        <v>16.686571161105174</v>
      </c>
      <c r="I832">
        <v>5.3203364975041682E-3</v>
      </c>
      <c r="J832">
        <v>2.3306875828555187E-3</v>
      </c>
      <c r="K832" s="1">
        <f t="shared" si="108"/>
        <v>0.2008198016576371</v>
      </c>
      <c r="L832" s="1">
        <f t="shared" si="109"/>
        <v>2.4057906626821633E-2</v>
      </c>
      <c r="M832">
        <f t="shared" si="110"/>
        <v>0.5155548333476252</v>
      </c>
      <c r="N832">
        <f t="shared" si="111"/>
        <v>4.5311058718940827E-3</v>
      </c>
      <c r="O832">
        <f t="shared" si="112"/>
        <v>0.60328072908212127</v>
      </c>
      <c r="P832">
        <f t="shared" si="113"/>
        <v>16.686571161105174</v>
      </c>
      <c r="Q832">
        <f t="shared" si="114"/>
        <v>5.3203364975041682E-3</v>
      </c>
      <c r="R832">
        <f t="shared" si="115"/>
        <v>2.3306875828555187E-3</v>
      </c>
      <c r="S832">
        <f t="shared" si="116"/>
        <v>0</v>
      </c>
    </row>
    <row r="833" spans="1:19" x14ac:dyDescent="0.3">
      <c r="A833" t="s">
        <v>272</v>
      </c>
      <c r="B833">
        <v>2010</v>
      </c>
      <c r="C833">
        <v>0.15153926440040302</v>
      </c>
      <c r="D833">
        <v>3.8425611068964721E-2</v>
      </c>
      <c r="E833">
        <v>0.4966494659529555</v>
      </c>
      <c r="F833">
        <v>2.5973534838094488E-3</v>
      </c>
      <c r="G833">
        <v>0.54537332384987625</v>
      </c>
      <c r="H833">
        <v>16.773040527610203</v>
      </c>
      <c r="I833">
        <v>1.2152736202507102E-2</v>
      </c>
      <c r="J833">
        <v>2.1376219171751767E-3</v>
      </c>
      <c r="K833" s="1">
        <f t="shared" si="108"/>
        <v>0.15153926440040302</v>
      </c>
      <c r="L833" s="1">
        <f t="shared" si="109"/>
        <v>3.8425611068964721E-2</v>
      </c>
      <c r="M833">
        <f t="shared" si="110"/>
        <v>0.4966494659529555</v>
      </c>
      <c r="N833">
        <f t="shared" si="111"/>
        <v>2.5973534838094488E-3</v>
      </c>
      <c r="O833">
        <f t="shared" si="112"/>
        <v>0.54537332384987625</v>
      </c>
      <c r="P833">
        <f t="shared" si="113"/>
        <v>16.773040527610203</v>
      </c>
      <c r="Q833">
        <f t="shared" si="114"/>
        <v>1.2152736202507102E-2</v>
      </c>
      <c r="R833">
        <f t="shared" si="115"/>
        <v>2.1376219171751767E-3</v>
      </c>
      <c r="S833">
        <f t="shared" si="116"/>
        <v>0</v>
      </c>
    </row>
    <row r="834" spans="1:19" x14ac:dyDescent="0.3">
      <c r="A834" t="s">
        <v>273</v>
      </c>
      <c r="B834">
        <v>2007</v>
      </c>
      <c r="C834">
        <v>4.9690498716042711E-2</v>
      </c>
      <c r="D834">
        <v>0.24923097715907555</v>
      </c>
      <c r="E834">
        <v>0.15150966346803621</v>
      </c>
      <c r="F834">
        <v>3.4818218678199758E-2</v>
      </c>
      <c r="G834">
        <v>2.819459386403568</v>
      </c>
      <c r="H834">
        <v>12.821123140353697</v>
      </c>
      <c r="I834">
        <v>5.102175968355839E-2</v>
      </c>
      <c r="J834">
        <v>2.1297472631436682E-2</v>
      </c>
      <c r="K834" s="1">
        <f t="shared" si="108"/>
        <v>4.9690498716042711E-2</v>
      </c>
      <c r="L834" s="1">
        <f t="shared" si="109"/>
        <v>0.24923097715907555</v>
      </c>
      <c r="M834">
        <f t="shared" si="110"/>
        <v>0.15150966346803621</v>
      </c>
      <c r="N834">
        <f t="shared" si="111"/>
        <v>3.4818218678199758E-2</v>
      </c>
      <c r="O834">
        <f t="shared" si="112"/>
        <v>2.819459386403568</v>
      </c>
      <c r="P834">
        <f t="shared" si="113"/>
        <v>12.821123140353697</v>
      </c>
      <c r="Q834">
        <f t="shared" si="114"/>
        <v>5.102175968355839E-2</v>
      </c>
      <c r="R834">
        <f t="shared" si="115"/>
        <v>2.1297472631436682E-2</v>
      </c>
      <c r="S834">
        <f t="shared" si="116"/>
        <v>0</v>
      </c>
    </row>
    <row r="835" spans="1:19" x14ac:dyDescent="0.3">
      <c r="A835" t="s">
        <v>273</v>
      </c>
      <c r="B835">
        <v>2009</v>
      </c>
      <c r="C835">
        <v>3.2685835588532927E-2</v>
      </c>
      <c r="D835">
        <v>6.8590481025008823E-2</v>
      </c>
      <c r="E835">
        <v>0.22165782716326107</v>
      </c>
      <c r="F835">
        <v>6.9221717160063683E-3</v>
      </c>
      <c r="G835">
        <v>0.94152923958295576</v>
      </c>
      <c r="H835">
        <v>13.315865531066088</v>
      </c>
      <c r="I835">
        <v>2.7658834926606497E-2</v>
      </c>
      <c r="J835">
        <v>0</v>
      </c>
      <c r="K835" s="1">
        <f t="shared" ref="K835:K898" si="117">IF(OR(C835&lt;$C$1007-3*$C$1008,C835&gt;$C$1007+3*$C$1008),"out",C835)</f>
        <v>3.2685835588532927E-2</v>
      </c>
      <c r="L835" s="1">
        <f t="shared" ref="L835:L898" si="118">IF(OR(D835&lt;$D$1007-3*$D$1008,D835&gt;$D$1007+3*$D$1008),"out",D835)</f>
        <v>6.8590481025008823E-2</v>
      </c>
      <c r="M835">
        <f t="shared" ref="M835:M898" si="119">IF(OR(E835&lt;$E$1007-3*$E$1008,E835&gt;$E$1007+3*$E$1008),"out",E835)</f>
        <v>0.22165782716326107</v>
      </c>
      <c r="N835">
        <f t="shared" ref="N835:N898" si="120">IF(OR(F835&lt;$F$1007-3*$F$1008,F835&gt;$F$1007+3*$F$1008),"out",F835)</f>
        <v>6.9221717160063683E-3</v>
      </c>
      <c r="O835">
        <f t="shared" ref="O835:O898" si="121">IF(OR(G835&lt;$G$1007-3*$G$1008,G835&gt;$G$1007+3*$G$1008),"out",G835)</f>
        <v>0.94152923958295576</v>
      </c>
      <c r="P835">
        <f t="shared" ref="P835:P898" si="122">IF(OR(H835&lt;$H$1007-3*$H$1008,H835&gt;$H$1007+3*$H$1008),"out",H835)</f>
        <v>13.315865531066088</v>
      </c>
      <c r="Q835">
        <f t="shared" ref="Q835:Q898" si="123">IF(OR(I835&lt;$I$1007-3*$I$1008,I835&gt;$I$1007+3*$I$1008),"out",I835)</f>
        <v>2.7658834926606497E-2</v>
      </c>
      <c r="R835">
        <f t="shared" ref="R835:R898" si="124">IF(OR(J835&lt;$J$1007-3*$J$1008,J835&gt;$J$1007+3*$J$1008),"out",J835)</f>
        <v>0</v>
      </c>
      <c r="S835">
        <f t="shared" ref="S835:S898" si="125">IF(OR(K835="out",L835="out",M835="out",N835="out",O835="out",P835="out",Q835="out",R835="out"),1,0)</f>
        <v>0</v>
      </c>
    </row>
    <row r="836" spans="1:19" x14ac:dyDescent="0.3">
      <c r="A836" t="s">
        <v>273</v>
      </c>
      <c r="B836">
        <v>2010</v>
      </c>
      <c r="C836">
        <v>1.1748331683980462E-2</v>
      </c>
      <c r="D836">
        <v>0.12714923027259303</v>
      </c>
      <c r="E836">
        <v>0.23501558506162581</v>
      </c>
      <c r="F836">
        <v>9.7053391404666525E-2</v>
      </c>
      <c r="G836">
        <v>0.86922982276953686</v>
      </c>
      <c r="H836">
        <v>13.535600868801005</v>
      </c>
      <c r="I836">
        <v>1.892018936938954E-2</v>
      </c>
      <c r="J836">
        <v>1.6512491863486502E-2</v>
      </c>
      <c r="K836" s="1">
        <f t="shared" si="117"/>
        <v>1.1748331683980462E-2</v>
      </c>
      <c r="L836" s="1">
        <f t="shared" si="118"/>
        <v>0.12714923027259303</v>
      </c>
      <c r="M836">
        <f t="shared" si="119"/>
        <v>0.23501558506162581</v>
      </c>
      <c r="N836">
        <f t="shared" si="120"/>
        <v>9.7053391404666525E-2</v>
      </c>
      <c r="O836">
        <f t="shared" si="121"/>
        <v>0.86922982276953686</v>
      </c>
      <c r="P836">
        <f t="shared" si="122"/>
        <v>13.535600868801005</v>
      </c>
      <c r="Q836">
        <f t="shared" si="123"/>
        <v>1.892018936938954E-2</v>
      </c>
      <c r="R836">
        <f t="shared" si="124"/>
        <v>1.6512491863486502E-2</v>
      </c>
      <c r="S836">
        <f t="shared" si="125"/>
        <v>0</v>
      </c>
    </row>
    <row r="837" spans="1:19" x14ac:dyDescent="0.3">
      <c r="A837" t="s">
        <v>274</v>
      </c>
      <c r="B837">
        <v>2007</v>
      </c>
      <c r="C837">
        <v>6.8544456415781645E-3</v>
      </c>
      <c r="D837">
        <v>0.36763634497973424</v>
      </c>
      <c r="E837">
        <v>-0.65779077522959317</v>
      </c>
      <c r="F837">
        <v>0.24251192858242265</v>
      </c>
      <c r="G837">
        <v>0.75395259350469457</v>
      </c>
      <c r="H837">
        <v>11.487146011982741</v>
      </c>
      <c r="I837">
        <v>4.0265879328096471E-3</v>
      </c>
      <c r="J837">
        <v>0</v>
      </c>
      <c r="K837" s="1">
        <f t="shared" si="117"/>
        <v>6.8544456415781645E-3</v>
      </c>
      <c r="L837" s="1">
        <f t="shared" si="118"/>
        <v>0.36763634497973424</v>
      </c>
      <c r="M837">
        <f t="shared" si="119"/>
        <v>-0.65779077522959317</v>
      </c>
      <c r="N837">
        <f t="shared" si="120"/>
        <v>0.24251192858242265</v>
      </c>
      <c r="O837">
        <f t="shared" si="121"/>
        <v>0.75395259350469457</v>
      </c>
      <c r="P837">
        <f t="shared" si="122"/>
        <v>11.487146011982741</v>
      </c>
      <c r="Q837">
        <f t="shared" si="123"/>
        <v>4.0265879328096471E-3</v>
      </c>
      <c r="R837">
        <f t="shared" si="124"/>
        <v>0</v>
      </c>
      <c r="S837">
        <f t="shared" si="125"/>
        <v>0</v>
      </c>
    </row>
    <row r="838" spans="1:19" x14ac:dyDescent="0.3">
      <c r="A838" t="s">
        <v>274</v>
      </c>
      <c r="B838">
        <v>2010</v>
      </c>
      <c r="C838">
        <v>3.6056380793335265E-4</v>
      </c>
      <c r="D838">
        <v>3.8817540480403832E-2</v>
      </c>
      <c r="E838">
        <v>-9.8163496709855247E-2</v>
      </c>
      <c r="F838">
        <v>0.25121334465630202</v>
      </c>
      <c r="G838">
        <v>0.77190069313647813</v>
      </c>
      <c r="H838">
        <v>12.258574958759812</v>
      </c>
      <c r="I838">
        <v>5.8669879523900147E-2</v>
      </c>
      <c r="J838">
        <v>0</v>
      </c>
      <c r="K838" s="1">
        <f t="shared" si="117"/>
        <v>3.6056380793335265E-4</v>
      </c>
      <c r="L838" s="1">
        <f t="shared" si="118"/>
        <v>3.8817540480403832E-2</v>
      </c>
      <c r="M838">
        <f t="shared" si="119"/>
        <v>-9.8163496709855247E-2</v>
      </c>
      <c r="N838">
        <f t="shared" si="120"/>
        <v>0.25121334465630202</v>
      </c>
      <c r="O838">
        <f t="shared" si="121"/>
        <v>0.77190069313647813</v>
      </c>
      <c r="P838">
        <f t="shared" si="122"/>
        <v>12.258574958759812</v>
      </c>
      <c r="Q838">
        <f t="shared" si="123"/>
        <v>5.8669879523900147E-2</v>
      </c>
      <c r="R838">
        <f t="shared" si="124"/>
        <v>0</v>
      </c>
      <c r="S838">
        <f t="shared" si="125"/>
        <v>0</v>
      </c>
    </row>
    <row r="839" spans="1:19" x14ac:dyDescent="0.3">
      <c r="A839" t="s">
        <v>275</v>
      </c>
      <c r="B839">
        <v>2007</v>
      </c>
      <c r="C839">
        <v>6.167710702478349E-2</v>
      </c>
      <c r="D839">
        <v>2.7378996549388777E-2</v>
      </c>
      <c r="E839">
        <v>-1.7562773589084906E-2</v>
      </c>
      <c r="F839">
        <v>8.1364361105493693E-2</v>
      </c>
      <c r="G839">
        <v>1.0229322160168504</v>
      </c>
      <c r="H839">
        <v>17.155744318689617</v>
      </c>
      <c r="I839">
        <v>1.4435885002924906E-4</v>
      </c>
      <c r="J839">
        <v>0</v>
      </c>
      <c r="K839" s="1">
        <f t="shared" si="117"/>
        <v>6.167710702478349E-2</v>
      </c>
      <c r="L839" s="1">
        <f t="shared" si="118"/>
        <v>2.7378996549388777E-2</v>
      </c>
      <c r="M839">
        <f t="shared" si="119"/>
        <v>-1.7562773589084906E-2</v>
      </c>
      <c r="N839">
        <f t="shared" si="120"/>
        <v>8.1364361105493693E-2</v>
      </c>
      <c r="O839">
        <f t="shared" si="121"/>
        <v>1.0229322160168504</v>
      </c>
      <c r="P839">
        <f t="shared" si="122"/>
        <v>17.155744318689617</v>
      </c>
      <c r="Q839">
        <f t="shared" si="123"/>
        <v>1.4435885002924906E-4</v>
      </c>
      <c r="R839">
        <f t="shared" si="124"/>
        <v>0</v>
      </c>
      <c r="S839">
        <f t="shared" si="125"/>
        <v>0</v>
      </c>
    </row>
    <row r="840" spans="1:19" x14ac:dyDescent="0.3">
      <c r="A840" t="s">
        <v>275</v>
      </c>
      <c r="B840">
        <v>2008</v>
      </c>
      <c r="C840">
        <v>3.4963674197888074E-2</v>
      </c>
      <c r="D840">
        <v>7.4902460607649379E-2</v>
      </c>
      <c r="E840">
        <v>-5.6104795423229339E-2</v>
      </c>
      <c r="F840">
        <v>9.6695137800679884E-2</v>
      </c>
      <c r="G840">
        <v>0.88562390323205409</v>
      </c>
      <c r="H840">
        <v>17.238784450277439</v>
      </c>
      <c r="I840">
        <v>1.0250005210579378E-2</v>
      </c>
      <c r="J840">
        <v>0</v>
      </c>
      <c r="K840" s="1">
        <f t="shared" si="117"/>
        <v>3.4963674197888074E-2</v>
      </c>
      <c r="L840" s="1">
        <f t="shared" si="118"/>
        <v>7.4902460607649379E-2</v>
      </c>
      <c r="M840">
        <f t="shared" si="119"/>
        <v>-5.6104795423229339E-2</v>
      </c>
      <c r="N840">
        <f t="shared" si="120"/>
        <v>9.6695137800679884E-2</v>
      </c>
      <c r="O840">
        <f t="shared" si="121"/>
        <v>0.88562390323205409</v>
      </c>
      <c r="P840">
        <f t="shared" si="122"/>
        <v>17.238784450277439</v>
      </c>
      <c r="Q840">
        <f t="shared" si="123"/>
        <v>1.0250005210579378E-2</v>
      </c>
      <c r="R840">
        <f t="shared" si="124"/>
        <v>0</v>
      </c>
      <c r="S840">
        <f t="shared" si="125"/>
        <v>0</v>
      </c>
    </row>
    <row r="841" spans="1:19" x14ac:dyDescent="0.3">
      <c r="A841" t="s">
        <v>275</v>
      </c>
      <c r="B841">
        <v>2009</v>
      </c>
      <c r="C841">
        <v>5.4247589883690849E-2</v>
      </c>
      <c r="D841">
        <v>0.10358897299391824</v>
      </c>
      <c r="E841">
        <v>3.5925270495086203E-2</v>
      </c>
      <c r="F841">
        <v>0.61451070210517267</v>
      </c>
      <c r="G841">
        <v>0.85487655038593857</v>
      </c>
      <c r="H841">
        <v>17.328223941348117</v>
      </c>
      <c r="I841">
        <v>2.5992943222388279E-3</v>
      </c>
      <c r="J841">
        <v>0</v>
      </c>
      <c r="K841" s="1">
        <f t="shared" si="117"/>
        <v>5.4247589883690849E-2</v>
      </c>
      <c r="L841" s="1">
        <f t="shared" si="118"/>
        <v>0.10358897299391824</v>
      </c>
      <c r="M841">
        <f t="shared" si="119"/>
        <v>3.5925270495086203E-2</v>
      </c>
      <c r="N841">
        <f t="shared" si="120"/>
        <v>0.61451070210517267</v>
      </c>
      <c r="O841">
        <f t="shared" si="121"/>
        <v>0.85487655038593857</v>
      </c>
      <c r="P841">
        <f t="shared" si="122"/>
        <v>17.328223941348117</v>
      </c>
      <c r="Q841">
        <f t="shared" si="123"/>
        <v>2.5992943222388279E-3</v>
      </c>
      <c r="R841">
        <f t="shared" si="124"/>
        <v>0</v>
      </c>
      <c r="S841">
        <f t="shared" si="125"/>
        <v>0</v>
      </c>
    </row>
    <row r="842" spans="1:19" x14ac:dyDescent="0.3">
      <c r="A842" t="s">
        <v>275</v>
      </c>
      <c r="B842">
        <v>2010</v>
      </c>
      <c r="C842">
        <v>9.5397455783520178E-3</v>
      </c>
      <c r="D842">
        <v>0.10160363188033873</v>
      </c>
      <c r="E842">
        <v>9.1615273828646676E-2</v>
      </c>
      <c r="F842">
        <v>0.50880020286631</v>
      </c>
      <c r="G842">
        <v>0.76480401970044642</v>
      </c>
      <c r="H842">
        <v>17.334908902753774</v>
      </c>
      <c r="I842">
        <v>7.5643282355067863E-3</v>
      </c>
      <c r="J842">
        <v>0</v>
      </c>
      <c r="K842" s="1">
        <f t="shared" si="117"/>
        <v>9.5397455783520178E-3</v>
      </c>
      <c r="L842" s="1">
        <f t="shared" si="118"/>
        <v>0.10160363188033873</v>
      </c>
      <c r="M842">
        <f t="shared" si="119"/>
        <v>9.1615273828646676E-2</v>
      </c>
      <c r="N842">
        <f t="shared" si="120"/>
        <v>0.50880020286631</v>
      </c>
      <c r="O842">
        <f t="shared" si="121"/>
        <v>0.76480401970044642</v>
      </c>
      <c r="P842">
        <f t="shared" si="122"/>
        <v>17.334908902753774</v>
      </c>
      <c r="Q842">
        <f t="shared" si="123"/>
        <v>7.5643282355067863E-3</v>
      </c>
      <c r="R842">
        <f t="shared" si="124"/>
        <v>0</v>
      </c>
      <c r="S842">
        <f t="shared" si="125"/>
        <v>0</v>
      </c>
    </row>
    <row r="843" spans="1:19" x14ac:dyDescent="0.3">
      <c r="A843" t="s">
        <v>276</v>
      </c>
      <c r="B843">
        <v>2010</v>
      </c>
      <c r="C843">
        <v>1.5200154270222444E-3</v>
      </c>
      <c r="D843">
        <v>8.2670689792075508E-2</v>
      </c>
      <c r="E843">
        <v>0.21904670077248545</v>
      </c>
      <c r="F843">
        <v>0</v>
      </c>
      <c r="G843">
        <v>0.50093583039350253</v>
      </c>
      <c r="H843">
        <v>12.080021775329573</v>
      </c>
      <c r="I843">
        <v>3.0788548782005772E-3</v>
      </c>
      <c r="J843">
        <v>9.0747189672969811E-3</v>
      </c>
      <c r="K843" s="1">
        <f t="shared" si="117"/>
        <v>1.5200154270222444E-3</v>
      </c>
      <c r="L843" s="1">
        <f t="shared" si="118"/>
        <v>8.2670689792075508E-2</v>
      </c>
      <c r="M843">
        <f t="shared" si="119"/>
        <v>0.21904670077248545</v>
      </c>
      <c r="N843">
        <f t="shared" si="120"/>
        <v>0</v>
      </c>
      <c r="O843">
        <f t="shared" si="121"/>
        <v>0.50093583039350253</v>
      </c>
      <c r="P843">
        <f t="shared" si="122"/>
        <v>12.080021775329573</v>
      </c>
      <c r="Q843">
        <f t="shared" si="123"/>
        <v>3.0788548782005772E-3</v>
      </c>
      <c r="R843">
        <f t="shared" si="124"/>
        <v>9.0747189672969811E-3</v>
      </c>
      <c r="S843">
        <f t="shared" si="125"/>
        <v>0</v>
      </c>
    </row>
    <row r="844" spans="1:19" x14ac:dyDescent="0.3">
      <c r="A844" t="s">
        <v>277</v>
      </c>
      <c r="B844">
        <v>2007</v>
      </c>
      <c r="C844">
        <v>1.1001276193769946E-3</v>
      </c>
      <c r="D844">
        <v>6.7144369956140662E-2</v>
      </c>
      <c r="E844">
        <v>-1.2664472508956937E-2</v>
      </c>
      <c r="F844">
        <v>3.4291741039847827E-2</v>
      </c>
      <c r="G844">
        <v>1.0611983073640525</v>
      </c>
      <c r="H844">
        <v>15.761044922135577</v>
      </c>
      <c r="I844">
        <v>3.3749060105972561E-3</v>
      </c>
      <c r="J844">
        <v>0</v>
      </c>
      <c r="K844" s="1">
        <f t="shared" si="117"/>
        <v>1.1001276193769946E-3</v>
      </c>
      <c r="L844" s="1">
        <f t="shared" si="118"/>
        <v>6.7144369956140662E-2</v>
      </c>
      <c r="M844">
        <f t="shared" si="119"/>
        <v>-1.2664472508956937E-2</v>
      </c>
      <c r="N844">
        <f t="shared" si="120"/>
        <v>3.4291741039847827E-2</v>
      </c>
      <c r="O844">
        <f t="shared" si="121"/>
        <v>1.0611983073640525</v>
      </c>
      <c r="P844">
        <f t="shared" si="122"/>
        <v>15.761044922135577</v>
      </c>
      <c r="Q844">
        <f t="shared" si="123"/>
        <v>3.3749060105972561E-3</v>
      </c>
      <c r="R844">
        <f t="shared" si="124"/>
        <v>0</v>
      </c>
      <c r="S844">
        <f t="shared" si="125"/>
        <v>0</v>
      </c>
    </row>
    <row r="845" spans="1:19" x14ac:dyDescent="0.3">
      <c r="A845" t="s">
        <v>277</v>
      </c>
      <c r="B845">
        <v>2008</v>
      </c>
      <c r="C845">
        <v>2.9367032112761083E-3</v>
      </c>
      <c r="D845">
        <v>5.5509424136080461E-2</v>
      </c>
      <c r="E845">
        <v>-3.8346615575319382E-3</v>
      </c>
      <c r="F845">
        <v>4.6331559104419349E-2</v>
      </c>
      <c r="G845">
        <v>0.97075579144488811</v>
      </c>
      <c r="H845">
        <v>15.777876423125253</v>
      </c>
      <c r="I845">
        <v>2.142481733592231E-2</v>
      </c>
      <c r="J845">
        <v>0</v>
      </c>
      <c r="K845" s="1">
        <f t="shared" si="117"/>
        <v>2.9367032112761083E-3</v>
      </c>
      <c r="L845" s="1">
        <f t="shared" si="118"/>
        <v>5.5509424136080461E-2</v>
      </c>
      <c r="M845">
        <f t="shared" si="119"/>
        <v>-3.8346615575319382E-3</v>
      </c>
      <c r="N845">
        <f t="shared" si="120"/>
        <v>4.6331559104419349E-2</v>
      </c>
      <c r="O845">
        <f t="shared" si="121"/>
        <v>0.97075579144488811</v>
      </c>
      <c r="P845">
        <f t="shared" si="122"/>
        <v>15.777876423125253</v>
      </c>
      <c r="Q845">
        <f t="shared" si="123"/>
        <v>2.142481733592231E-2</v>
      </c>
      <c r="R845">
        <f t="shared" si="124"/>
        <v>0</v>
      </c>
      <c r="S845">
        <f t="shared" si="125"/>
        <v>0</v>
      </c>
    </row>
    <row r="846" spans="1:19" x14ac:dyDescent="0.3">
      <c r="A846" t="s">
        <v>277</v>
      </c>
      <c r="B846">
        <v>2009</v>
      </c>
      <c r="C846">
        <v>3.8642970124252874E-3</v>
      </c>
      <c r="D846">
        <v>0.12897942805418042</v>
      </c>
      <c r="E846">
        <v>-0.12330056317393069</v>
      </c>
      <c r="F846">
        <v>0.8311066111113703</v>
      </c>
      <c r="G846">
        <v>1.0425150063067392</v>
      </c>
      <c r="H846">
        <v>15.67642755178988</v>
      </c>
      <c r="I846">
        <v>6.7916181206368956E-3</v>
      </c>
      <c r="J846">
        <v>0</v>
      </c>
      <c r="K846" s="1">
        <f t="shared" si="117"/>
        <v>3.8642970124252874E-3</v>
      </c>
      <c r="L846" s="1">
        <f t="shared" si="118"/>
        <v>0.12897942805418042</v>
      </c>
      <c r="M846">
        <f t="shared" si="119"/>
        <v>-0.12330056317393069</v>
      </c>
      <c r="N846">
        <f t="shared" si="120"/>
        <v>0.8311066111113703</v>
      </c>
      <c r="O846">
        <f t="shared" si="121"/>
        <v>1.0425150063067392</v>
      </c>
      <c r="P846">
        <f t="shared" si="122"/>
        <v>15.67642755178988</v>
      </c>
      <c r="Q846">
        <f t="shared" si="123"/>
        <v>6.7916181206368956E-3</v>
      </c>
      <c r="R846">
        <f t="shared" si="124"/>
        <v>0</v>
      </c>
      <c r="S846">
        <f t="shared" si="125"/>
        <v>0</v>
      </c>
    </row>
    <row r="847" spans="1:19" x14ac:dyDescent="0.3">
      <c r="A847" t="s">
        <v>277</v>
      </c>
      <c r="B847">
        <v>2010</v>
      </c>
      <c r="C847">
        <v>2.8445045100314141E-2</v>
      </c>
      <c r="D847">
        <v>8.8608139837910563E-2</v>
      </c>
      <c r="E847">
        <v>-0.13211944539746867</v>
      </c>
      <c r="F847">
        <v>0.62229102326791108</v>
      </c>
      <c r="G847">
        <v>0.95882471104892619</v>
      </c>
      <c r="H847">
        <v>15.864354480519097</v>
      </c>
      <c r="I847">
        <v>3.9648321023309563E-2</v>
      </c>
      <c r="J847">
        <v>0</v>
      </c>
      <c r="K847" s="1">
        <f t="shared" si="117"/>
        <v>2.8445045100314141E-2</v>
      </c>
      <c r="L847" s="1">
        <f t="shared" si="118"/>
        <v>8.8608139837910563E-2</v>
      </c>
      <c r="M847">
        <f t="shared" si="119"/>
        <v>-0.13211944539746867</v>
      </c>
      <c r="N847">
        <f t="shared" si="120"/>
        <v>0.62229102326791108</v>
      </c>
      <c r="O847">
        <f t="shared" si="121"/>
        <v>0.95882471104892619</v>
      </c>
      <c r="P847">
        <f t="shared" si="122"/>
        <v>15.864354480519097</v>
      </c>
      <c r="Q847">
        <f t="shared" si="123"/>
        <v>3.9648321023309563E-2</v>
      </c>
      <c r="R847">
        <f t="shared" si="124"/>
        <v>0</v>
      </c>
      <c r="S847">
        <f t="shared" si="125"/>
        <v>0</v>
      </c>
    </row>
    <row r="848" spans="1:19" x14ac:dyDescent="0.3">
      <c r="A848" t="s">
        <v>278</v>
      </c>
      <c r="B848">
        <v>2007</v>
      </c>
      <c r="C848">
        <v>5.0921703211980897E-2</v>
      </c>
      <c r="D848">
        <v>0.19770661643592244</v>
      </c>
      <c r="E848">
        <v>-0.36148735663006287</v>
      </c>
      <c r="F848">
        <v>0.12146365493096904</v>
      </c>
      <c r="G848">
        <v>1.0357982126960297</v>
      </c>
      <c r="H848">
        <v>18.163476649875786</v>
      </c>
      <c r="I848">
        <v>4.3897857501826593E-3</v>
      </c>
      <c r="J848">
        <v>0</v>
      </c>
      <c r="K848" s="1">
        <f t="shared" si="117"/>
        <v>5.0921703211980897E-2</v>
      </c>
      <c r="L848" s="1">
        <f t="shared" si="118"/>
        <v>0.19770661643592244</v>
      </c>
      <c r="M848">
        <f t="shared" si="119"/>
        <v>-0.36148735663006287</v>
      </c>
      <c r="N848">
        <f t="shared" si="120"/>
        <v>0.12146365493096904</v>
      </c>
      <c r="O848">
        <f t="shared" si="121"/>
        <v>1.0357982126960297</v>
      </c>
      <c r="P848">
        <f t="shared" si="122"/>
        <v>18.163476649875786</v>
      </c>
      <c r="Q848">
        <f t="shared" si="123"/>
        <v>4.3897857501826593E-3</v>
      </c>
      <c r="R848">
        <f t="shared" si="124"/>
        <v>0</v>
      </c>
      <c r="S848">
        <f t="shared" si="125"/>
        <v>0</v>
      </c>
    </row>
    <row r="849" spans="1:19" x14ac:dyDescent="0.3">
      <c r="A849" t="s">
        <v>278</v>
      </c>
      <c r="B849">
        <v>2008</v>
      </c>
      <c r="C849">
        <v>2.5077958874260994E-2</v>
      </c>
      <c r="D849">
        <v>0.20692650991944975</v>
      </c>
      <c r="E849">
        <v>-0.5267017289597582</v>
      </c>
      <c r="F849">
        <v>6.7200693044650109E-2</v>
      </c>
      <c r="G849">
        <v>1.0282500907299337</v>
      </c>
      <c r="H849">
        <v>18.348923451400605</v>
      </c>
      <c r="I849">
        <v>1.9787926581282318E-2</v>
      </c>
      <c r="J849">
        <v>0</v>
      </c>
      <c r="K849" s="1">
        <f t="shared" si="117"/>
        <v>2.5077958874260994E-2</v>
      </c>
      <c r="L849" s="1">
        <f t="shared" si="118"/>
        <v>0.20692650991944975</v>
      </c>
      <c r="M849">
        <f t="shared" si="119"/>
        <v>-0.5267017289597582</v>
      </c>
      <c r="N849">
        <f t="shared" si="120"/>
        <v>6.7200693044650109E-2</v>
      </c>
      <c r="O849">
        <f t="shared" si="121"/>
        <v>1.0282500907299337</v>
      </c>
      <c r="P849">
        <f t="shared" si="122"/>
        <v>18.348923451400605</v>
      </c>
      <c r="Q849">
        <f t="shared" si="123"/>
        <v>1.9787926581282318E-2</v>
      </c>
      <c r="R849">
        <f t="shared" si="124"/>
        <v>0</v>
      </c>
      <c r="S849">
        <f t="shared" si="125"/>
        <v>0</v>
      </c>
    </row>
    <row r="850" spans="1:19" x14ac:dyDescent="0.3">
      <c r="A850" t="s">
        <v>278</v>
      </c>
      <c r="B850">
        <v>2009</v>
      </c>
      <c r="C850">
        <v>8.5469145489466426E-3</v>
      </c>
      <c r="D850">
        <v>0.13973989728140426</v>
      </c>
      <c r="E850">
        <v>-8.5973345263176071E-2</v>
      </c>
      <c r="F850">
        <v>0.44140794569334441</v>
      </c>
      <c r="G850">
        <v>1.0823190376101031</v>
      </c>
      <c r="H850">
        <v>18.697825991021681</v>
      </c>
      <c r="I850">
        <v>1.8107322717628296E-2</v>
      </c>
      <c r="J850">
        <v>0</v>
      </c>
      <c r="K850" s="1">
        <f t="shared" si="117"/>
        <v>8.5469145489466426E-3</v>
      </c>
      <c r="L850" s="1">
        <f t="shared" si="118"/>
        <v>0.13973989728140426</v>
      </c>
      <c r="M850">
        <f t="shared" si="119"/>
        <v>-8.5973345263176071E-2</v>
      </c>
      <c r="N850">
        <f t="shared" si="120"/>
        <v>0.44140794569334441</v>
      </c>
      <c r="O850">
        <f t="shared" si="121"/>
        <v>1.0823190376101031</v>
      </c>
      <c r="P850">
        <f t="shared" si="122"/>
        <v>18.697825991021681</v>
      </c>
      <c r="Q850">
        <f t="shared" si="123"/>
        <v>1.8107322717628296E-2</v>
      </c>
      <c r="R850">
        <f t="shared" si="124"/>
        <v>0</v>
      </c>
      <c r="S850">
        <f t="shared" si="125"/>
        <v>0</v>
      </c>
    </row>
    <row r="851" spans="1:19" x14ac:dyDescent="0.3">
      <c r="A851" t="s">
        <v>278</v>
      </c>
      <c r="B851">
        <v>2010</v>
      </c>
      <c r="C851">
        <v>5.7285887191231375E-3</v>
      </c>
      <c r="D851">
        <v>9.0503132652182211E-2</v>
      </c>
      <c r="E851">
        <v>-0.13289974336883481</v>
      </c>
      <c r="F851">
        <v>0.25738345714249139</v>
      </c>
      <c r="G851">
        <v>0.94255422767529884</v>
      </c>
      <c r="H851">
        <v>19.151265789720867</v>
      </c>
      <c r="I851">
        <v>1.1563368986645523E-2</v>
      </c>
      <c r="J851">
        <v>0</v>
      </c>
      <c r="K851" s="1">
        <f t="shared" si="117"/>
        <v>5.7285887191231375E-3</v>
      </c>
      <c r="L851" s="1">
        <f t="shared" si="118"/>
        <v>9.0503132652182211E-2</v>
      </c>
      <c r="M851">
        <f t="shared" si="119"/>
        <v>-0.13289974336883481</v>
      </c>
      <c r="N851">
        <f t="shared" si="120"/>
        <v>0.25738345714249139</v>
      </c>
      <c r="O851">
        <f t="shared" si="121"/>
        <v>0.94255422767529884</v>
      </c>
      <c r="P851">
        <f t="shared" si="122"/>
        <v>19.151265789720867</v>
      </c>
      <c r="Q851">
        <f t="shared" si="123"/>
        <v>1.1563368986645523E-2</v>
      </c>
      <c r="R851">
        <f t="shared" si="124"/>
        <v>0</v>
      </c>
      <c r="S851">
        <f t="shared" si="125"/>
        <v>0</v>
      </c>
    </row>
    <row r="852" spans="1:19" x14ac:dyDescent="0.3">
      <c r="A852" t="s">
        <v>279</v>
      </c>
      <c r="B852">
        <v>2007</v>
      </c>
      <c r="C852">
        <v>5.5325176102646978E-2</v>
      </c>
      <c r="D852">
        <v>0.14897280175460353</v>
      </c>
      <c r="E852">
        <v>0.22374740093235557</v>
      </c>
      <c r="F852">
        <v>7.1111158070581201E-2</v>
      </c>
      <c r="G852">
        <v>0.8692386615587121</v>
      </c>
      <c r="H852">
        <v>15.788613883971127</v>
      </c>
      <c r="I852">
        <v>9.9219861067435453E-3</v>
      </c>
      <c r="J852">
        <v>3.5338422380537422E-2</v>
      </c>
      <c r="K852" s="1">
        <f t="shared" si="117"/>
        <v>5.5325176102646978E-2</v>
      </c>
      <c r="L852" s="1">
        <f t="shared" si="118"/>
        <v>0.14897280175460353</v>
      </c>
      <c r="M852">
        <f t="shared" si="119"/>
        <v>0.22374740093235557</v>
      </c>
      <c r="N852">
        <f t="shared" si="120"/>
        <v>7.1111158070581201E-2</v>
      </c>
      <c r="O852">
        <f t="shared" si="121"/>
        <v>0.8692386615587121</v>
      </c>
      <c r="P852">
        <f t="shared" si="122"/>
        <v>15.788613883971127</v>
      </c>
      <c r="Q852">
        <f t="shared" si="123"/>
        <v>9.9219861067435453E-3</v>
      </c>
      <c r="R852">
        <f t="shared" si="124"/>
        <v>3.5338422380537422E-2</v>
      </c>
      <c r="S852">
        <f t="shared" si="125"/>
        <v>0</v>
      </c>
    </row>
    <row r="853" spans="1:19" x14ac:dyDescent="0.3">
      <c r="A853" t="s">
        <v>279</v>
      </c>
      <c r="B853">
        <v>2008</v>
      </c>
      <c r="C853">
        <v>1.8943412914942174E-2</v>
      </c>
      <c r="D853">
        <v>0.12401395604249152</v>
      </c>
      <c r="E853">
        <v>0.26697363686383963</v>
      </c>
      <c r="F853">
        <v>7.8699247447498247E-2</v>
      </c>
      <c r="G853">
        <v>0.55135271917353856</v>
      </c>
      <c r="H853">
        <v>15.810669813477942</v>
      </c>
      <c r="I853">
        <v>1.2368398453485379E-2</v>
      </c>
      <c r="J853">
        <v>4.608999895830132E-2</v>
      </c>
      <c r="K853" s="1">
        <f t="shared" si="117"/>
        <v>1.8943412914942174E-2</v>
      </c>
      <c r="L853" s="1">
        <f t="shared" si="118"/>
        <v>0.12401395604249152</v>
      </c>
      <c r="M853">
        <f t="shared" si="119"/>
        <v>0.26697363686383963</v>
      </c>
      <c r="N853">
        <f t="shared" si="120"/>
        <v>7.8699247447498247E-2</v>
      </c>
      <c r="O853">
        <f t="shared" si="121"/>
        <v>0.55135271917353856</v>
      </c>
      <c r="P853">
        <f t="shared" si="122"/>
        <v>15.810669813477942</v>
      </c>
      <c r="Q853">
        <f t="shared" si="123"/>
        <v>1.2368398453485379E-2</v>
      </c>
      <c r="R853">
        <f t="shared" si="124"/>
        <v>4.608999895830132E-2</v>
      </c>
      <c r="S853">
        <f t="shared" si="125"/>
        <v>0</v>
      </c>
    </row>
    <row r="854" spans="1:19" x14ac:dyDescent="0.3">
      <c r="A854" t="s">
        <v>279</v>
      </c>
      <c r="B854">
        <v>2009</v>
      </c>
      <c r="C854">
        <v>9.5949087920604623E-2</v>
      </c>
      <c r="D854">
        <v>0.1697340945987261</v>
      </c>
      <c r="E854">
        <v>0.3376215195601629</v>
      </c>
      <c r="F854">
        <v>0</v>
      </c>
      <c r="G854">
        <v>0.79042618609621462</v>
      </c>
      <c r="H854">
        <v>15.750086430383654</v>
      </c>
      <c r="I854">
        <v>8.3129337990732605E-3</v>
      </c>
      <c r="J854">
        <v>0.11017946837413894</v>
      </c>
      <c r="K854" s="1">
        <f t="shared" si="117"/>
        <v>9.5949087920604623E-2</v>
      </c>
      <c r="L854" s="1">
        <f t="shared" si="118"/>
        <v>0.1697340945987261</v>
      </c>
      <c r="M854">
        <f t="shared" si="119"/>
        <v>0.3376215195601629</v>
      </c>
      <c r="N854">
        <f t="shared" si="120"/>
        <v>0</v>
      </c>
      <c r="O854">
        <f t="shared" si="121"/>
        <v>0.79042618609621462</v>
      </c>
      <c r="P854">
        <f t="shared" si="122"/>
        <v>15.750086430383654</v>
      </c>
      <c r="Q854">
        <f t="shared" si="123"/>
        <v>8.3129337990732605E-3</v>
      </c>
      <c r="R854">
        <f t="shared" si="124"/>
        <v>0.11017946837413894</v>
      </c>
      <c r="S854">
        <f t="shared" si="125"/>
        <v>0</v>
      </c>
    </row>
    <row r="855" spans="1:19" x14ac:dyDescent="0.3">
      <c r="A855" t="s">
        <v>279</v>
      </c>
      <c r="B855">
        <v>2010</v>
      </c>
      <c r="C855">
        <v>4.134088838811166E-2</v>
      </c>
      <c r="D855">
        <v>0.13094522709783427</v>
      </c>
      <c r="E855">
        <v>0.38470126751566103</v>
      </c>
      <c r="F855">
        <v>2.6678081328397711E-2</v>
      </c>
      <c r="G855">
        <v>0.55172635331570541</v>
      </c>
      <c r="H855">
        <v>15.829985620278812</v>
      </c>
      <c r="I855">
        <v>7.7364639692696149E-3</v>
      </c>
      <c r="J855">
        <v>5.6510445602658527E-2</v>
      </c>
      <c r="K855" s="1">
        <f t="shared" si="117"/>
        <v>4.134088838811166E-2</v>
      </c>
      <c r="L855" s="1">
        <f t="shared" si="118"/>
        <v>0.13094522709783427</v>
      </c>
      <c r="M855">
        <f t="shared" si="119"/>
        <v>0.38470126751566103</v>
      </c>
      <c r="N855">
        <f t="shared" si="120"/>
        <v>2.6678081328397711E-2</v>
      </c>
      <c r="O855">
        <f t="shared" si="121"/>
        <v>0.55172635331570541</v>
      </c>
      <c r="P855">
        <f t="shared" si="122"/>
        <v>15.829985620278812</v>
      </c>
      <c r="Q855">
        <f t="shared" si="123"/>
        <v>7.7364639692696149E-3</v>
      </c>
      <c r="R855">
        <f t="shared" si="124"/>
        <v>5.6510445602658527E-2</v>
      </c>
      <c r="S855">
        <f t="shared" si="125"/>
        <v>0</v>
      </c>
    </row>
    <row r="856" spans="1:19" x14ac:dyDescent="0.3">
      <c r="A856" t="s">
        <v>280</v>
      </c>
      <c r="B856">
        <v>2007</v>
      </c>
      <c r="C856">
        <v>1.0487535513459285E-3</v>
      </c>
      <c r="D856">
        <v>8.671944156402539E-2</v>
      </c>
      <c r="E856">
        <v>0.52535808526602423</v>
      </c>
      <c r="F856">
        <v>2.460018378478633E-3</v>
      </c>
      <c r="G856">
        <v>0.59164807742566405</v>
      </c>
      <c r="H856">
        <v>13.293093006662286</v>
      </c>
      <c r="I856">
        <v>2.6242822672869377E-3</v>
      </c>
      <c r="J856">
        <v>0</v>
      </c>
      <c r="K856" s="1">
        <f t="shared" si="117"/>
        <v>1.0487535513459285E-3</v>
      </c>
      <c r="L856" s="1">
        <f t="shared" si="118"/>
        <v>8.671944156402539E-2</v>
      </c>
      <c r="M856">
        <f t="shared" si="119"/>
        <v>0.52535808526602423</v>
      </c>
      <c r="N856">
        <f t="shared" si="120"/>
        <v>2.460018378478633E-3</v>
      </c>
      <c r="O856">
        <f t="shared" si="121"/>
        <v>0.59164807742566405</v>
      </c>
      <c r="P856">
        <f t="shared" si="122"/>
        <v>13.293093006662286</v>
      </c>
      <c r="Q856">
        <f t="shared" si="123"/>
        <v>2.6242822672869377E-3</v>
      </c>
      <c r="R856">
        <f t="shared" si="124"/>
        <v>0</v>
      </c>
      <c r="S856">
        <f t="shared" si="125"/>
        <v>0</v>
      </c>
    </row>
    <row r="857" spans="1:19" x14ac:dyDescent="0.3">
      <c r="A857" t="s">
        <v>280</v>
      </c>
      <c r="B857">
        <v>2009</v>
      </c>
      <c r="C857">
        <v>4.4298278276787362E-3</v>
      </c>
      <c r="D857">
        <v>0.12522671637811128</v>
      </c>
      <c r="E857">
        <v>0.34452000989744613</v>
      </c>
      <c r="F857">
        <v>2.0083167374942645E-2</v>
      </c>
      <c r="G857">
        <v>0.31655042772822384</v>
      </c>
      <c r="H857">
        <v>12.939086964880705</v>
      </c>
      <c r="I857">
        <v>1.2912600485209034E-2</v>
      </c>
      <c r="J857">
        <v>0</v>
      </c>
      <c r="K857" s="1">
        <f t="shared" si="117"/>
        <v>4.4298278276787362E-3</v>
      </c>
      <c r="L857" s="1">
        <f t="shared" si="118"/>
        <v>0.12522671637811128</v>
      </c>
      <c r="M857">
        <f t="shared" si="119"/>
        <v>0.34452000989744613</v>
      </c>
      <c r="N857">
        <f t="shared" si="120"/>
        <v>2.0083167374942645E-2</v>
      </c>
      <c r="O857">
        <f t="shared" si="121"/>
        <v>0.31655042772822384</v>
      </c>
      <c r="P857">
        <f t="shared" si="122"/>
        <v>12.939086964880705</v>
      </c>
      <c r="Q857">
        <f t="shared" si="123"/>
        <v>1.2912600485209034E-2</v>
      </c>
      <c r="R857">
        <f t="shared" si="124"/>
        <v>0</v>
      </c>
      <c r="S857">
        <f t="shared" si="125"/>
        <v>0</v>
      </c>
    </row>
    <row r="858" spans="1:19" x14ac:dyDescent="0.3">
      <c r="A858" t="s">
        <v>280</v>
      </c>
      <c r="B858">
        <v>2010</v>
      </c>
      <c r="C858">
        <v>3.2776144101434528E-2</v>
      </c>
      <c r="D858">
        <v>8.9457383409550853E-2</v>
      </c>
      <c r="E858">
        <v>0.39905408276216781</v>
      </c>
      <c r="F858">
        <v>1.8605275221664413E-2</v>
      </c>
      <c r="G858">
        <v>0.21552739917483815</v>
      </c>
      <c r="H858">
        <v>13.010727658221123</v>
      </c>
      <c r="I858">
        <v>1.6791818049690811E-2</v>
      </c>
      <c r="J858">
        <v>0</v>
      </c>
      <c r="K858" s="1">
        <f t="shared" si="117"/>
        <v>3.2776144101434528E-2</v>
      </c>
      <c r="L858" s="1">
        <f t="shared" si="118"/>
        <v>8.9457383409550853E-2</v>
      </c>
      <c r="M858">
        <f t="shared" si="119"/>
        <v>0.39905408276216781</v>
      </c>
      <c r="N858">
        <f t="shared" si="120"/>
        <v>1.8605275221664413E-2</v>
      </c>
      <c r="O858">
        <f t="shared" si="121"/>
        <v>0.21552739917483815</v>
      </c>
      <c r="P858">
        <f t="shared" si="122"/>
        <v>13.010727658221123</v>
      </c>
      <c r="Q858">
        <f t="shared" si="123"/>
        <v>1.6791818049690811E-2</v>
      </c>
      <c r="R858">
        <f t="shared" si="124"/>
        <v>0</v>
      </c>
      <c r="S858">
        <f t="shared" si="125"/>
        <v>0</v>
      </c>
    </row>
    <row r="859" spans="1:19" x14ac:dyDescent="0.3">
      <c r="A859" t="s">
        <v>281</v>
      </c>
      <c r="B859">
        <v>2007</v>
      </c>
      <c r="C859">
        <v>5.3684431537971795E-3</v>
      </c>
      <c r="D859">
        <v>0.23560224176984187</v>
      </c>
      <c r="E859">
        <v>-6.1760766335826854E-2</v>
      </c>
      <c r="F859">
        <v>0.16519839471993367</v>
      </c>
      <c r="G859">
        <v>1.6109262622567411</v>
      </c>
      <c r="H859">
        <v>17.477302074235499</v>
      </c>
      <c r="I859">
        <v>1.399991682935375E-2</v>
      </c>
      <c r="J859">
        <v>0.13566351937398208</v>
      </c>
      <c r="K859" s="1">
        <f t="shared" si="117"/>
        <v>5.3684431537971795E-3</v>
      </c>
      <c r="L859" s="1">
        <f t="shared" si="118"/>
        <v>0.23560224176984187</v>
      </c>
      <c r="M859">
        <f t="shared" si="119"/>
        <v>-6.1760766335826854E-2</v>
      </c>
      <c r="N859">
        <f t="shared" si="120"/>
        <v>0.16519839471993367</v>
      </c>
      <c r="O859">
        <f t="shared" si="121"/>
        <v>1.6109262622567411</v>
      </c>
      <c r="P859">
        <f t="shared" si="122"/>
        <v>17.477302074235499</v>
      </c>
      <c r="Q859">
        <f t="shared" si="123"/>
        <v>1.399991682935375E-2</v>
      </c>
      <c r="R859" t="str">
        <f t="shared" si="124"/>
        <v>out</v>
      </c>
      <c r="S859">
        <f t="shared" si="125"/>
        <v>1</v>
      </c>
    </row>
    <row r="860" spans="1:19" x14ac:dyDescent="0.3">
      <c r="A860" t="s">
        <v>281</v>
      </c>
      <c r="B860">
        <v>2008</v>
      </c>
      <c r="C860">
        <v>3.1500166393218397E-3</v>
      </c>
      <c r="D860">
        <v>0.16883677702137828</v>
      </c>
      <c r="E860">
        <v>2.6386065515479906E-2</v>
      </c>
      <c r="F860">
        <v>0.41505975102617049</v>
      </c>
      <c r="G860">
        <v>1.1132650471317547</v>
      </c>
      <c r="H860">
        <v>17.85793814011927</v>
      </c>
      <c r="I860">
        <v>1.2556836037743725E-2</v>
      </c>
      <c r="J860">
        <v>8.4217070007912481E-2</v>
      </c>
      <c r="K860" s="1">
        <f t="shared" si="117"/>
        <v>3.1500166393218397E-3</v>
      </c>
      <c r="L860" s="1">
        <f t="shared" si="118"/>
        <v>0.16883677702137828</v>
      </c>
      <c r="M860">
        <f t="shared" si="119"/>
        <v>2.6386065515479906E-2</v>
      </c>
      <c r="N860">
        <f t="shared" si="120"/>
        <v>0.41505975102617049</v>
      </c>
      <c r="O860">
        <f t="shared" si="121"/>
        <v>1.1132650471317547</v>
      </c>
      <c r="P860">
        <f t="shared" si="122"/>
        <v>17.85793814011927</v>
      </c>
      <c r="Q860">
        <f t="shared" si="123"/>
        <v>1.2556836037743725E-2</v>
      </c>
      <c r="R860">
        <f t="shared" si="124"/>
        <v>8.4217070007912481E-2</v>
      </c>
      <c r="S860">
        <f t="shared" si="125"/>
        <v>0</v>
      </c>
    </row>
    <row r="861" spans="1:19" x14ac:dyDescent="0.3">
      <c r="A861" t="s">
        <v>281</v>
      </c>
      <c r="B861">
        <v>2009</v>
      </c>
      <c r="C861">
        <v>6.6770844080214871E-3</v>
      </c>
      <c r="D861">
        <v>0.17045959244256106</v>
      </c>
      <c r="E861">
        <v>0.20719959257665213</v>
      </c>
      <c r="F861">
        <v>0.23049292774723315</v>
      </c>
      <c r="G861">
        <v>1.2885166676690141</v>
      </c>
      <c r="H861">
        <v>17.909175789493521</v>
      </c>
      <c r="I861">
        <v>1.1738869728570351E-2</v>
      </c>
      <c r="J861">
        <v>9.4691521679038895E-2</v>
      </c>
      <c r="K861" s="1">
        <f t="shared" si="117"/>
        <v>6.6770844080214871E-3</v>
      </c>
      <c r="L861" s="1">
        <f t="shared" si="118"/>
        <v>0.17045959244256106</v>
      </c>
      <c r="M861">
        <f t="shared" si="119"/>
        <v>0.20719959257665213</v>
      </c>
      <c r="N861">
        <f t="shared" si="120"/>
        <v>0.23049292774723315</v>
      </c>
      <c r="O861">
        <f t="shared" si="121"/>
        <v>1.2885166676690141</v>
      </c>
      <c r="P861">
        <f t="shared" si="122"/>
        <v>17.909175789493521</v>
      </c>
      <c r="Q861">
        <f t="shared" si="123"/>
        <v>1.1738869728570351E-2</v>
      </c>
      <c r="R861">
        <f t="shared" si="124"/>
        <v>9.4691521679038895E-2</v>
      </c>
      <c r="S861">
        <f t="shared" si="125"/>
        <v>0</v>
      </c>
    </row>
    <row r="862" spans="1:19" x14ac:dyDescent="0.3">
      <c r="A862" t="s">
        <v>281</v>
      </c>
      <c r="B862">
        <v>2010</v>
      </c>
      <c r="C862">
        <v>3.1442616956657513E-3</v>
      </c>
      <c r="D862">
        <v>0.11972809104751975</v>
      </c>
      <c r="E862">
        <v>0.15464699249780539</v>
      </c>
      <c r="F862">
        <v>0.28912826174061418</v>
      </c>
      <c r="G862">
        <v>1.1716590416972825</v>
      </c>
      <c r="H862">
        <v>18.167079183606337</v>
      </c>
      <c r="I862">
        <v>1.0299341135550158E-3</v>
      </c>
      <c r="J862">
        <v>5.6717277387799005E-2</v>
      </c>
      <c r="K862" s="1">
        <f t="shared" si="117"/>
        <v>3.1442616956657513E-3</v>
      </c>
      <c r="L862" s="1">
        <f t="shared" si="118"/>
        <v>0.11972809104751975</v>
      </c>
      <c r="M862">
        <f t="shared" si="119"/>
        <v>0.15464699249780539</v>
      </c>
      <c r="N862">
        <f t="shared" si="120"/>
        <v>0.28912826174061418</v>
      </c>
      <c r="O862">
        <f t="shared" si="121"/>
        <v>1.1716590416972825</v>
      </c>
      <c r="P862">
        <f t="shared" si="122"/>
        <v>18.167079183606337</v>
      </c>
      <c r="Q862">
        <f t="shared" si="123"/>
        <v>1.0299341135550158E-3</v>
      </c>
      <c r="R862">
        <f t="shared" si="124"/>
        <v>5.6717277387799005E-2</v>
      </c>
      <c r="S862">
        <f t="shared" si="125"/>
        <v>0</v>
      </c>
    </row>
    <row r="863" spans="1:19" x14ac:dyDescent="0.3">
      <c r="A863" t="s">
        <v>282</v>
      </c>
      <c r="B863">
        <v>2007</v>
      </c>
      <c r="C863">
        <v>3.6495737700699839E-2</v>
      </c>
      <c r="D863">
        <v>0.49474193898457142</v>
      </c>
      <c r="E863">
        <v>0.33942610538828399</v>
      </c>
      <c r="F863">
        <v>0</v>
      </c>
      <c r="G863">
        <v>4.1948867790554516</v>
      </c>
      <c r="H863">
        <v>18.677941020590747</v>
      </c>
      <c r="I863">
        <v>2.7513416136074706E-2</v>
      </c>
      <c r="J863">
        <v>0.29928021558863532</v>
      </c>
      <c r="K863" s="1">
        <f t="shared" si="117"/>
        <v>3.6495737700699839E-2</v>
      </c>
      <c r="L863" s="1">
        <f t="shared" si="118"/>
        <v>0.49474193898457142</v>
      </c>
      <c r="M863">
        <f t="shared" si="119"/>
        <v>0.33942610538828399</v>
      </c>
      <c r="N863">
        <f t="shared" si="120"/>
        <v>0</v>
      </c>
      <c r="O863">
        <f t="shared" si="121"/>
        <v>4.1948867790554516</v>
      </c>
      <c r="P863">
        <f t="shared" si="122"/>
        <v>18.677941020590747</v>
      </c>
      <c r="Q863">
        <f t="shared" si="123"/>
        <v>2.7513416136074706E-2</v>
      </c>
      <c r="R863" t="str">
        <f t="shared" si="124"/>
        <v>out</v>
      </c>
      <c r="S863">
        <f t="shared" si="125"/>
        <v>1</v>
      </c>
    </row>
    <row r="864" spans="1:19" x14ac:dyDescent="0.3">
      <c r="A864" t="s">
        <v>282</v>
      </c>
      <c r="B864">
        <v>2008</v>
      </c>
      <c r="C864">
        <v>4.4597993867065866E-2</v>
      </c>
      <c r="D864">
        <v>0.54235467103728752</v>
      </c>
      <c r="E864">
        <v>0.27671928902313336</v>
      </c>
      <c r="F864">
        <v>0</v>
      </c>
      <c r="G864">
        <v>1.7015394684410081</v>
      </c>
      <c r="H864">
        <v>18.829927937616489</v>
      </c>
      <c r="I864">
        <v>2.2688078444425889E-2</v>
      </c>
      <c r="J864">
        <v>0.27136386869841411</v>
      </c>
      <c r="K864" s="1">
        <f t="shared" si="117"/>
        <v>4.4597993867065866E-2</v>
      </c>
      <c r="L864" s="1">
        <f t="shared" si="118"/>
        <v>0.54235467103728752</v>
      </c>
      <c r="M864">
        <f t="shared" si="119"/>
        <v>0.27671928902313336</v>
      </c>
      <c r="N864">
        <f t="shared" si="120"/>
        <v>0</v>
      </c>
      <c r="O864">
        <f t="shared" si="121"/>
        <v>1.7015394684410081</v>
      </c>
      <c r="P864">
        <f t="shared" si="122"/>
        <v>18.829927937616489</v>
      </c>
      <c r="Q864">
        <f t="shared" si="123"/>
        <v>2.2688078444425889E-2</v>
      </c>
      <c r="R864" t="str">
        <f t="shared" si="124"/>
        <v>out</v>
      </c>
      <c r="S864">
        <f t="shared" si="125"/>
        <v>1</v>
      </c>
    </row>
    <row r="865" spans="1:19" x14ac:dyDescent="0.3">
      <c r="A865" t="s">
        <v>282</v>
      </c>
      <c r="B865">
        <v>2009</v>
      </c>
      <c r="C865">
        <v>2.2325773961714635E-2</v>
      </c>
      <c r="D865">
        <v>0.47606427524016248</v>
      </c>
      <c r="E865">
        <v>0.36053939068273455</v>
      </c>
      <c r="F865">
        <v>0</v>
      </c>
      <c r="G865">
        <v>2.9634939865633361</v>
      </c>
      <c r="H865">
        <v>18.997251388242749</v>
      </c>
      <c r="I865">
        <v>1.8635377459891779E-2</v>
      </c>
      <c r="J865">
        <v>0.19934929692165052</v>
      </c>
      <c r="K865" s="1">
        <f t="shared" si="117"/>
        <v>2.2325773961714635E-2</v>
      </c>
      <c r="L865" s="1">
        <f t="shared" si="118"/>
        <v>0.47606427524016248</v>
      </c>
      <c r="M865">
        <f t="shared" si="119"/>
        <v>0.36053939068273455</v>
      </c>
      <c r="N865">
        <f t="shared" si="120"/>
        <v>0</v>
      </c>
      <c r="O865">
        <f t="shared" si="121"/>
        <v>2.9634939865633361</v>
      </c>
      <c r="P865">
        <f t="shared" si="122"/>
        <v>18.997251388242749</v>
      </c>
      <c r="Q865">
        <f t="shared" si="123"/>
        <v>1.8635377459891779E-2</v>
      </c>
      <c r="R865" t="str">
        <f t="shared" si="124"/>
        <v>out</v>
      </c>
      <c r="S865">
        <f t="shared" si="125"/>
        <v>1</v>
      </c>
    </row>
    <row r="866" spans="1:19" x14ac:dyDescent="0.3">
      <c r="A866" t="s">
        <v>282</v>
      </c>
      <c r="B866">
        <v>2010</v>
      </c>
      <c r="C866">
        <v>3.4272296524771866E-2</v>
      </c>
      <c r="D866">
        <v>0.40431419030031468</v>
      </c>
      <c r="E866">
        <v>0.3739845129969897</v>
      </c>
      <c r="F866">
        <v>0</v>
      </c>
      <c r="G866">
        <v>3.5221334885374436</v>
      </c>
      <c r="H866">
        <v>19.248654451213508</v>
      </c>
      <c r="I866">
        <v>2.5564425116954979E-2</v>
      </c>
      <c r="J866">
        <v>0.10335714067341041</v>
      </c>
      <c r="K866" s="1">
        <f t="shared" si="117"/>
        <v>3.4272296524771866E-2</v>
      </c>
      <c r="L866" s="1">
        <f t="shared" si="118"/>
        <v>0.40431419030031468</v>
      </c>
      <c r="M866">
        <f t="shared" si="119"/>
        <v>0.3739845129969897</v>
      </c>
      <c r="N866">
        <f t="shared" si="120"/>
        <v>0</v>
      </c>
      <c r="O866">
        <f t="shared" si="121"/>
        <v>3.5221334885374436</v>
      </c>
      <c r="P866">
        <f t="shared" si="122"/>
        <v>19.248654451213508</v>
      </c>
      <c r="Q866">
        <f t="shared" si="123"/>
        <v>2.5564425116954979E-2</v>
      </c>
      <c r="R866">
        <f t="shared" si="124"/>
        <v>0.10335714067341041</v>
      </c>
      <c r="S866">
        <f t="shared" si="125"/>
        <v>0</v>
      </c>
    </row>
    <row r="867" spans="1:19" x14ac:dyDescent="0.3">
      <c r="A867" t="s">
        <v>283</v>
      </c>
      <c r="B867">
        <v>2007</v>
      </c>
      <c r="C867">
        <v>2.4194498298426401E-4</v>
      </c>
      <c r="D867">
        <v>6.5048182069966667E-2</v>
      </c>
      <c r="E867">
        <v>0.61238185285288149</v>
      </c>
      <c r="F867">
        <v>0</v>
      </c>
      <c r="G867">
        <v>0.22208400584488144</v>
      </c>
      <c r="H867">
        <v>12.657533540980497</v>
      </c>
      <c r="I867">
        <v>7.0830741209999019E-3</v>
      </c>
      <c r="J867">
        <v>0</v>
      </c>
      <c r="K867" s="1">
        <f t="shared" si="117"/>
        <v>2.4194498298426401E-4</v>
      </c>
      <c r="L867" s="1">
        <f t="shared" si="118"/>
        <v>6.5048182069966667E-2</v>
      </c>
      <c r="M867">
        <f t="shared" si="119"/>
        <v>0.61238185285288149</v>
      </c>
      <c r="N867">
        <f t="shared" si="120"/>
        <v>0</v>
      </c>
      <c r="O867">
        <f t="shared" si="121"/>
        <v>0.22208400584488144</v>
      </c>
      <c r="P867">
        <f t="shared" si="122"/>
        <v>12.657533540980497</v>
      </c>
      <c r="Q867">
        <f t="shared" si="123"/>
        <v>7.0830741209999019E-3</v>
      </c>
      <c r="R867">
        <f t="shared" si="124"/>
        <v>0</v>
      </c>
      <c r="S867">
        <f t="shared" si="125"/>
        <v>0</v>
      </c>
    </row>
    <row r="868" spans="1:19" x14ac:dyDescent="0.3">
      <c r="A868" t="s">
        <v>283</v>
      </c>
      <c r="B868">
        <v>2008</v>
      </c>
      <c r="C868">
        <v>3.8299240170431621E-4</v>
      </c>
      <c r="D868">
        <v>8.6587058960312407E-2</v>
      </c>
      <c r="E868">
        <v>0.62365525212526585</v>
      </c>
      <c r="F868">
        <v>0</v>
      </c>
      <c r="G868">
        <v>7.8132501692689621E-2</v>
      </c>
      <c r="H868">
        <v>12.585994279167641</v>
      </c>
      <c r="I868">
        <v>1.325470487730942E-2</v>
      </c>
      <c r="J868">
        <v>0</v>
      </c>
      <c r="K868" s="1">
        <f t="shared" si="117"/>
        <v>3.8299240170431621E-4</v>
      </c>
      <c r="L868" s="1">
        <f t="shared" si="118"/>
        <v>8.6587058960312407E-2</v>
      </c>
      <c r="M868">
        <f t="shared" si="119"/>
        <v>0.62365525212526585</v>
      </c>
      <c r="N868">
        <f t="shared" si="120"/>
        <v>0</v>
      </c>
      <c r="O868">
        <f t="shared" si="121"/>
        <v>7.8132501692689621E-2</v>
      </c>
      <c r="P868">
        <f t="shared" si="122"/>
        <v>12.585994279167641</v>
      </c>
      <c r="Q868">
        <f t="shared" si="123"/>
        <v>1.325470487730942E-2</v>
      </c>
      <c r="R868">
        <f t="shared" si="124"/>
        <v>0</v>
      </c>
      <c r="S868">
        <f t="shared" si="125"/>
        <v>0</v>
      </c>
    </row>
    <row r="869" spans="1:19" x14ac:dyDescent="0.3">
      <c r="A869" t="s">
        <v>283</v>
      </c>
      <c r="B869">
        <v>2009</v>
      </c>
      <c r="C869">
        <v>1.5332132316301891E-4</v>
      </c>
      <c r="D869">
        <v>4.3285397189341379E-2</v>
      </c>
      <c r="E869">
        <v>0.62764522839650283</v>
      </c>
      <c r="F869">
        <v>0</v>
      </c>
      <c r="G869">
        <v>0.11213134062074227</v>
      </c>
      <c r="H869">
        <v>12.567164321332942</v>
      </c>
      <c r="I869">
        <v>4.4801617042714709E-4</v>
      </c>
      <c r="J869">
        <v>0</v>
      </c>
      <c r="K869" s="1">
        <f t="shared" si="117"/>
        <v>1.5332132316301891E-4</v>
      </c>
      <c r="L869" s="1">
        <f t="shared" si="118"/>
        <v>4.3285397189341379E-2</v>
      </c>
      <c r="M869">
        <f t="shared" si="119"/>
        <v>0.62764522839650283</v>
      </c>
      <c r="N869">
        <f t="shared" si="120"/>
        <v>0</v>
      </c>
      <c r="O869">
        <f t="shared" si="121"/>
        <v>0.11213134062074227</v>
      </c>
      <c r="P869">
        <f t="shared" si="122"/>
        <v>12.567164321332942</v>
      </c>
      <c r="Q869">
        <f t="shared" si="123"/>
        <v>4.4801617042714709E-4</v>
      </c>
      <c r="R869">
        <f t="shared" si="124"/>
        <v>0</v>
      </c>
      <c r="S869">
        <f t="shared" si="125"/>
        <v>0</v>
      </c>
    </row>
    <row r="870" spans="1:19" x14ac:dyDescent="0.3">
      <c r="A870" t="s">
        <v>283</v>
      </c>
      <c r="B870">
        <v>2010</v>
      </c>
      <c r="C870">
        <v>7.5351760588529386E-4</v>
      </c>
      <c r="D870">
        <v>4.4818227269480752E-2</v>
      </c>
      <c r="E870">
        <v>0.61688093707592317</v>
      </c>
      <c r="F870">
        <v>2.1748446539532891E-3</v>
      </c>
      <c r="G870">
        <v>0.12454556817370188</v>
      </c>
      <c r="H870">
        <v>12.542616308171917</v>
      </c>
      <c r="I870">
        <v>4.5089760186640786E-4</v>
      </c>
      <c r="J870">
        <v>0</v>
      </c>
      <c r="K870" s="1">
        <f t="shared" si="117"/>
        <v>7.5351760588529386E-4</v>
      </c>
      <c r="L870" s="1">
        <f t="shared" si="118"/>
        <v>4.4818227269480752E-2</v>
      </c>
      <c r="M870">
        <f t="shared" si="119"/>
        <v>0.61688093707592317</v>
      </c>
      <c r="N870">
        <f t="shared" si="120"/>
        <v>2.1748446539532891E-3</v>
      </c>
      <c r="O870">
        <f t="shared" si="121"/>
        <v>0.12454556817370188</v>
      </c>
      <c r="P870">
        <f t="shared" si="122"/>
        <v>12.542616308171917</v>
      </c>
      <c r="Q870">
        <f t="shared" si="123"/>
        <v>4.5089760186640786E-4</v>
      </c>
      <c r="R870">
        <f t="shared" si="124"/>
        <v>0</v>
      </c>
      <c r="S870">
        <f t="shared" si="125"/>
        <v>0</v>
      </c>
    </row>
    <row r="871" spans="1:19" x14ac:dyDescent="0.3">
      <c r="A871" t="s">
        <v>284</v>
      </c>
      <c r="B871">
        <v>2007</v>
      </c>
      <c r="C871">
        <v>1.033372659971819E-3</v>
      </c>
      <c r="D871">
        <v>1.4497271364988481E-2</v>
      </c>
      <c r="E871">
        <v>-8.8602357361723061E-2</v>
      </c>
      <c r="F871">
        <v>0.29944847185256424</v>
      </c>
      <c r="G871">
        <v>0.81957463627518956</v>
      </c>
      <c r="H871">
        <v>14.866857918698567</v>
      </c>
      <c r="I871">
        <v>1.1162459332579212E-2</v>
      </c>
      <c r="J871">
        <v>0</v>
      </c>
      <c r="K871" s="1">
        <f t="shared" si="117"/>
        <v>1.033372659971819E-3</v>
      </c>
      <c r="L871" s="1">
        <f t="shared" si="118"/>
        <v>1.4497271364988481E-2</v>
      </c>
      <c r="M871">
        <f t="shared" si="119"/>
        <v>-8.8602357361723061E-2</v>
      </c>
      <c r="N871">
        <f t="shared" si="120"/>
        <v>0.29944847185256424</v>
      </c>
      <c r="O871">
        <f t="shared" si="121"/>
        <v>0.81957463627518956</v>
      </c>
      <c r="P871">
        <f t="shared" si="122"/>
        <v>14.866857918698567</v>
      </c>
      <c r="Q871">
        <f t="shared" si="123"/>
        <v>1.1162459332579212E-2</v>
      </c>
      <c r="R871">
        <f t="shared" si="124"/>
        <v>0</v>
      </c>
      <c r="S871">
        <f t="shared" si="125"/>
        <v>0</v>
      </c>
    </row>
    <row r="872" spans="1:19" x14ac:dyDescent="0.3">
      <c r="A872" t="s">
        <v>284</v>
      </c>
      <c r="B872">
        <v>2008</v>
      </c>
      <c r="C872">
        <v>7.9449138096402659E-3</v>
      </c>
      <c r="D872">
        <v>4.6604281956102812E-2</v>
      </c>
      <c r="E872">
        <v>-2.2112843413649177E-2</v>
      </c>
      <c r="F872">
        <v>0.58781907161150204</v>
      </c>
      <c r="G872">
        <v>0.78793625886291097</v>
      </c>
      <c r="H872">
        <v>15.009386661725518</v>
      </c>
      <c r="I872">
        <v>2.9787022703920731E-3</v>
      </c>
      <c r="J872">
        <v>1.4464306981505507E-2</v>
      </c>
      <c r="K872" s="1">
        <f t="shared" si="117"/>
        <v>7.9449138096402659E-3</v>
      </c>
      <c r="L872" s="1">
        <f t="shared" si="118"/>
        <v>4.6604281956102812E-2</v>
      </c>
      <c r="M872">
        <f t="shared" si="119"/>
        <v>-2.2112843413649177E-2</v>
      </c>
      <c r="N872">
        <f t="shared" si="120"/>
        <v>0.58781907161150204</v>
      </c>
      <c r="O872">
        <f t="shared" si="121"/>
        <v>0.78793625886291097</v>
      </c>
      <c r="P872">
        <f t="shared" si="122"/>
        <v>15.009386661725518</v>
      </c>
      <c r="Q872">
        <f t="shared" si="123"/>
        <v>2.9787022703920731E-3</v>
      </c>
      <c r="R872">
        <f t="shared" si="124"/>
        <v>1.4464306981505507E-2</v>
      </c>
      <c r="S872">
        <f t="shared" si="125"/>
        <v>0</v>
      </c>
    </row>
    <row r="873" spans="1:19" x14ac:dyDescent="0.3">
      <c r="A873" t="s">
        <v>284</v>
      </c>
      <c r="B873">
        <v>2009</v>
      </c>
      <c r="C873">
        <v>7.0655410918580592E-3</v>
      </c>
      <c r="D873">
        <v>4.0697941304395226E-2</v>
      </c>
      <c r="E873">
        <v>-8.5618509554417896E-2</v>
      </c>
      <c r="F873">
        <v>0.6184679535952865</v>
      </c>
      <c r="G873">
        <v>0.81032779152995771</v>
      </c>
      <c r="H873">
        <v>15.064124359129023</v>
      </c>
      <c r="I873">
        <v>6.9978284063268422E-3</v>
      </c>
      <c r="J873">
        <v>1.0955074554412154E-2</v>
      </c>
      <c r="K873" s="1">
        <f t="shared" si="117"/>
        <v>7.0655410918580592E-3</v>
      </c>
      <c r="L873" s="1">
        <f t="shared" si="118"/>
        <v>4.0697941304395226E-2</v>
      </c>
      <c r="M873">
        <f t="shared" si="119"/>
        <v>-8.5618509554417896E-2</v>
      </c>
      <c r="N873">
        <f t="shared" si="120"/>
        <v>0.6184679535952865</v>
      </c>
      <c r="O873">
        <f t="shared" si="121"/>
        <v>0.81032779152995771</v>
      </c>
      <c r="P873">
        <f t="shared" si="122"/>
        <v>15.064124359129023</v>
      </c>
      <c r="Q873">
        <f t="shared" si="123"/>
        <v>6.9978284063268422E-3</v>
      </c>
      <c r="R873">
        <f t="shared" si="124"/>
        <v>1.0955074554412154E-2</v>
      </c>
      <c r="S873">
        <f t="shared" si="125"/>
        <v>0</v>
      </c>
    </row>
    <row r="874" spans="1:19" x14ac:dyDescent="0.3">
      <c r="A874" t="s">
        <v>284</v>
      </c>
      <c r="B874">
        <v>2010</v>
      </c>
      <c r="C874">
        <v>3.6988724890590794E-3</v>
      </c>
      <c r="D874">
        <v>6.1633599146333276E-2</v>
      </c>
      <c r="E874">
        <v>-0.12285550635207508</v>
      </c>
      <c r="F874">
        <v>0.59810605129128969</v>
      </c>
      <c r="G874">
        <v>0.77164387486664909</v>
      </c>
      <c r="H874">
        <v>15.10176660424503</v>
      </c>
      <c r="I874">
        <v>5.48612484818649E-3</v>
      </c>
      <c r="J874">
        <v>1.0550365811774997E-2</v>
      </c>
      <c r="K874" s="1">
        <f t="shared" si="117"/>
        <v>3.6988724890590794E-3</v>
      </c>
      <c r="L874" s="1">
        <f t="shared" si="118"/>
        <v>6.1633599146333276E-2</v>
      </c>
      <c r="M874">
        <f t="shared" si="119"/>
        <v>-0.12285550635207508</v>
      </c>
      <c r="N874">
        <f t="shared" si="120"/>
        <v>0.59810605129128969</v>
      </c>
      <c r="O874">
        <f t="shared" si="121"/>
        <v>0.77164387486664909</v>
      </c>
      <c r="P874">
        <f t="shared" si="122"/>
        <v>15.10176660424503</v>
      </c>
      <c r="Q874">
        <f t="shared" si="123"/>
        <v>5.48612484818649E-3</v>
      </c>
      <c r="R874">
        <f t="shared" si="124"/>
        <v>1.0550365811774997E-2</v>
      </c>
      <c r="S874">
        <f t="shared" si="125"/>
        <v>0</v>
      </c>
    </row>
    <row r="875" spans="1:19" x14ac:dyDescent="0.3">
      <c r="A875" t="s">
        <v>285</v>
      </c>
      <c r="B875">
        <v>2007</v>
      </c>
      <c r="C875">
        <v>1.2735789470309299E-2</v>
      </c>
      <c r="D875">
        <v>6.9864539482332427E-2</v>
      </c>
      <c r="E875">
        <v>-0.28755680524785265</v>
      </c>
      <c r="F875">
        <v>0.25023587763987704</v>
      </c>
      <c r="G875">
        <v>0.81863159548443576</v>
      </c>
      <c r="H875">
        <v>15.869310521303136</v>
      </c>
      <c r="I875">
        <v>1.1972415104144728E-3</v>
      </c>
      <c r="J875">
        <v>0</v>
      </c>
      <c r="K875" s="1">
        <f t="shared" si="117"/>
        <v>1.2735789470309299E-2</v>
      </c>
      <c r="L875" s="1">
        <f t="shared" si="118"/>
        <v>6.9864539482332427E-2</v>
      </c>
      <c r="M875">
        <f t="shared" si="119"/>
        <v>-0.28755680524785265</v>
      </c>
      <c r="N875">
        <f t="shared" si="120"/>
        <v>0.25023587763987704</v>
      </c>
      <c r="O875">
        <f t="shared" si="121"/>
        <v>0.81863159548443576</v>
      </c>
      <c r="P875">
        <f t="shared" si="122"/>
        <v>15.869310521303136</v>
      </c>
      <c r="Q875">
        <f t="shared" si="123"/>
        <v>1.1972415104144728E-3</v>
      </c>
      <c r="R875">
        <f t="shared" si="124"/>
        <v>0</v>
      </c>
      <c r="S875">
        <f t="shared" si="125"/>
        <v>0</v>
      </c>
    </row>
    <row r="876" spans="1:19" x14ac:dyDescent="0.3">
      <c r="A876" t="s">
        <v>285</v>
      </c>
      <c r="B876">
        <v>2008</v>
      </c>
      <c r="C876">
        <v>5.1680264665635882E-3</v>
      </c>
      <c r="D876">
        <v>7.2979806287215149E-2</v>
      </c>
      <c r="E876">
        <v>-0.28372099914592397</v>
      </c>
      <c r="F876">
        <v>0.25407029641034423</v>
      </c>
      <c r="G876">
        <v>0.81332346454027427</v>
      </c>
      <c r="H876">
        <v>15.890462285496254</v>
      </c>
      <c r="I876">
        <v>6.0997005908095883E-3</v>
      </c>
      <c r="J876">
        <v>0</v>
      </c>
      <c r="K876" s="1">
        <f t="shared" si="117"/>
        <v>5.1680264665635882E-3</v>
      </c>
      <c r="L876" s="1">
        <f t="shared" si="118"/>
        <v>7.2979806287215149E-2</v>
      </c>
      <c r="M876">
        <f t="shared" si="119"/>
        <v>-0.28372099914592397</v>
      </c>
      <c r="N876">
        <f t="shared" si="120"/>
        <v>0.25407029641034423</v>
      </c>
      <c r="O876">
        <f t="shared" si="121"/>
        <v>0.81332346454027427</v>
      </c>
      <c r="P876">
        <f t="shared" si="122"/>
        <v>15.890462285496254</v>
      </c>
      <c r="Q876">
        <f t="shared" si="123"/>
        <v>6.0997005908095883E-3</v>
      </c>
      <c r="R876">
        <f t="shared" si="124"/>
        <v>0</v>
      </c>
      <c r="S876">
        <f t="shared" si="125"/>
        <v>0</v>
      </c>
    </row>
    <row r="877" spans="1:19" x14ac:dyDescent="0.3">
      <c r="A877" t="s">
        <v>285</v>
      </c>
      <c r="B877">
        <v>2009</v>
      </c>
      <c r="C877">
        <v>4.8645505421286944E-4</v>
      </c>
      <c r="D877">
        <v>5.0555319962865497E-2</v>
      </c>
      <c r="E877">
        <v>-0.24378761538845797</v>
      </c>
      <c r="F877">
        <v>0.59243824594190087</v>
      </c>
      <c r="G877">
        <v>0.83964771528312243</v>
      </c>
      <c r="H877">
        <v>16.039976475443392</v>
      </c>
      <c r="I877">
        <v>3.5604252656954976E-3</v>
      </c>
      <c r="J877">
        <v>0</v>
      </c>
      <c r="K877" s="1">
        <f t="shared" si="117"/>
        <v>4.8645505421286944E-4</v>
      </c>
      <c r="L877" s="1">
        <f t="shared" si="118"/>
        <v>5.0555319962865497E-2</v>
      </c>
      <c r="M877">
        <f t="shared" si="119"/>
        <v>-0.24378761538845797</v>
      </c>
      <c r="N877">
        <f t="shared" si="120"/>
        <v>0.59243824594190087</v>
      </c>
      <c r="O877">
        <f t="shared" si="121"/>
        <v>0.83964771528312243</v>
      </c>
      <c r="P877">
        <f t="shared" si="122"/>
        <v>16.039976475443392</v>
      </c>
      <c r="Q877">
        <f t="shared" si="123"/>
        <v>3.5604252656954976E-3</v>
      </c>
      <c r="R877">
        <f t="shared" si="124"/>
        <v>0</v>
      </c>
      <c r="S877">
        <f t="shared" si="125"/>
        <v>0</v>
      </c>
    </row>
    <row r="878" spans="1:19" x14ac:dyDescent="0.3">
      <c r="A878" t="s">
        <v>285</v>
      </c>
      <c r="B878">
        <v>2010</v>
      </c>
      <c r="C878">
        <v>3.4757330140611658E-3</v>
      </c>
      <c r="D878">
        <v>3.9243647540214567E-2</v>
      </c>
      <c r="E878">
        <v>-0.24138854067652335</v>
      </c>
      <c r="F878">
        <v>0.48930376853978108</v>
      </c>
      <c r="G878">
        <v>0.84496383008601972</v>
      </c>
      <c r="H878">
        <v>16.254174907519143</v>
      </c>
      <c r="I878">
        <v>0.11119442324208141</v>
      </c>
      <c r="J878">
        <v>0</v>
      </c>
      <c r="K878" s="1">
        <f t="shared" si="117"/>
        <v>3.4757330140611658E-3</v>
      </c>
      <c r="L878" s="1">
        <f t="shared" si="118"/>
        <v>3.9243647540214567E-2</v>
      </c>
      <c r="M878">
        <f t="shared" si="119"/>
        <v>-0.24138854067652335</v>
      </c>
      <c r="N878">
        <f t="shared" si="120"/>
        <v>0.48930376853978108</v>
      </c>
      <c r="O878">
        <f t="shared" si="121"/>
        <v>0.84496383008601972</v>
      </c>
      <c r="P878">
        <f t="shared" si="122"/>
        <v>16.254174907519143</v>
      </c>
      <c r="Q878">
        <f t="shared" si="123"/>
        <v>0.11119442324208141</v>
      </c>
      <c r="R878">
        <f t="shared" si="124"/>
        <v>0</v>
      </c>
      <c r="S878">
        <f t="shared" si="125"/>
        <v>0</v>
      </c>
    </row>
    <row r="879" spans="1:19" x14ac:dyDescent="0.3">
      <c r="A879" t="s">
        <v>286</v>
      </c>
      <c r="B879">
        <v>2007</v>
      </c>
      <c r="C879">
        <v>0.16193770540883154</v>
      </c>
      <c r="D879">
        <v>0.10559364495699494</v>
      </c>
      <c r="E879">
        <v>-0.39571566618001697</v>
      </c>
      <c r="F879">
        <v>1.5380404107749858E-2</v>
      </c>
      <c r="G879">
        <v>1.2354897196631265</v>
      </c>
      <c r="H879">
        <v>18.242162242367815</v>
      </c>
      <c r="I879">
        <v>3.4628961386480653E-3</v>
      </c>
      <c r="J879">
        <v>1.9692756767659216E-2</v>
      </c>
      <c r="K879" s="1">
        <f t="shared" si="117"/>
        <v>0.16193770540883154</v>
      </c>
      <c r="L879" s="1">
        <f t="shared" si="118"/>
        <v>0.10559364495699494</v>
      </c>
      <c r="M879">
        <f t="shared" si="119"/>
        <v>-0.39571566618001697</v>
      </c>
      <c r="N879">
        <f t="shared" si="120"/>
        <v>1.5380404107749858E-2</v>
      </c>
      <c r="O879">
        <f t="shared" si="121"/>
        <v>1.2354897196631265</v>
      </c>
      <c r="P879">
        <f t="shared" si="122"/>
        <v>18.242162242367815</v>
      </c>
      <c r="Q879">
        <f t="shared" si="123"/>
        <v>3.4628961386480653E-3</v>
      </c>
      <c r="R879">
        <f t="shared" si="124"/>
        <v>1.9692756767659216E-2</v>
      </c>
      <c r="S879">
        <f t="shared" si="125"/>
        <v>0</v>
      </c>
    </row>
    <row r="880" spans="1:19" x14ac:dyDescent="0.3">
      <c r="A880" t="s">
        <v>286</v>
      </c>
      <c r="B880">
        <v>2008</v>
      </c>
      <c r="C880">
        <v>8.3331740019572206E-2</v>
      </c>
      <c r="D880">
        <v>9.1252279381694862E-2</v>
      </c>
      <c r="E880">
        <v>-0.43293728042160728</v>
      </c>
      <c r="F880">
        <v>1.5995214549111032E-2</v>
      </c>
      <c r="G880">
        <v>0.94516840677864589</v>
      </c>
      <c r="H880">
        <v>18.396876077770873</v>
      </c>
      <c r="I880">
        <v>9.4013729081585933E-3</v>
      </c>
      <c r="J880">
        <v>1.9681673217652577E-2</v>
      </c>
      <c r="K880" s="1">
        <f t="shared" si="117"/>
        <v>8.3331740019572206E-2</v>
      </c>
      <c r="L880" s="1">
        <f t="shared" si="118"/>
        <v>9.1252279381694862E-2</v>
      </c>
      <c r="M880">
        <f t="shared" si="119"/>
        <v>-0.43293728042160728</v>
      </c>
      <c r="N880">
        <f t="shared" si="120"/>
        <v>1.5995214549111032E-2</v>
      </c>
      <c r="O880">
        <f t="shared" si="121"/>
        <v>0.94516840677864589</v>
      </c>
      <c r="P880">
        <f t="shared" si="122"/>
        <v>18.396876077770873</v>
      </c>
      <c r="Q880">
        <f t="shared" si="123"/>
        <v>9.4013729081585933E-3</v>
      </c>
      <c r="R880">
        <f t="shared" si="124"/>
        <v>1.9681673217652577E-2</v>
      </c>
      <c r="S880">
        <f t="shared" si="125"/>
        <v>0</v>
      </c>
    </row>
    <row r="881" spans="1:19" x14ac:dyDescent="0.3">
      <c r="A881" t="s">
        <v>286</v>
      </c>
      <c r="B881">
        <v>2009</v>
      </c>
      <c r="C881">
        <v>1.0745458322405315E-2</v>
      </c>
      <c r="D881">
        <v>6.284183357260327E-2</v>
      </c>
      <c r="E881">
        <v>-7.551797497946218E-2</v>
      </c>
      <c r="F881">
        <v>2.2942676348176295E-2</v>
      </c>
      <c r="G881">
        <v>0.97934651099261882</v>
      </c>
      <c r="H881">
        <v>18.624045677602162</v>
      </c>
      <c r="I881">
        <v>3.8646698009773515E-3</v>
      </c>
      <c r="J881">
        <v>0</v>
      </c>
      <c r="K881" s="1">
        <f t="shared" si="117"/>
        <v>1.0745458322405315E-2</v>
      </c>
      <c r="L881" s="1">
        <f t="shared" si="118"/>
        <v>6.284183357260327E-2</v>
      </c>
      <c r="M881">
        <f t="shared" si="119"/>
        <v>-7.551797497946218E-2</v>
      </c>
      <c r="N881">
        <f t="shared" si="120"/>
        <v>2.2942676348176295E-2</v>
      </c>
      <c r="O881">
        <f t="shared" si="121"/>
        <v>0.97934651099261882</v>
      </c>
      <c r="P881">
        <f t="shared" si="122"/>
        <v>18.624045677602162</v>
      </c>
      <c r="Q881">
        <f t="shared" si="123"/>
        <v>3.8646698009773515E-3</v>
      </c>
      <c r="R881">
        <f t="shared" si="124"/>
        <v>0</v>
      </c>
      <c r="S881">
        <f t="shared" si="125"/>
        <v>0</v>
      </c>
    </row>
    <row r="882" spans="1:19" x14ac:dyDescent="0.3">
      <c r="A882" t="s">
        <v>286</v>
      </c>
      <c r="B882">
        <v>2010</v>
      </c>
      <c r="C882">
        <v>1.442948024799876E-2</v>
      </c>
      <c r="D882">
        <v>7.7550198847925161E-2</v>
      </c>
      <c r="E882">
        <v>-7.4549286211786817E-2</v>
      </c>
      <c r="F882">
        <v>1.6168223992320908E-2</v>
      </c>
      <c r="G882">
        <v>0.97113303216740554</v>
      </c>
      <c r="H882">
        <v>18.751690294377752</v>
      </c>
      <c r="I882">
        <v>5.7410277767140291E-3</v>
      </c>
      <c r="J882">
        <v>7.8873328412286392E-3</v>
      </c>
      <c r="K882" s="1">
        <f t="shared" si="117"/>
        <v>1.442948024799876E-2</v>
      </c>
      <c r="L882" s="1">
        <f t="shared" si="118"/>
        <v>7.7550198847925161E-2</v>
      </c>
      <c r="M882">
        <f t="shared" si="119"/>
        <v>-7.4549286211786817E-2</v>
      </c>
      <c r="N882">
        <f t="shared" si="120"/>
        <v>1.6168223992320908E-2</v>
      </c>
      <c r="O882">
        <f t="shared" si="121"/>
        <v>0.97113303216740554</v>
      </c>
      <c r="P882">
        <f t="shared" si="122"/>
        <v>18.751690294377752</v>
      </c>
      <c r="Q882">
        <f t="shared" si="123"/>
        <v>5.7410277767140291E-3</v>
      </c>
      <c r="R882">
        <f t="shared" si="124"/>
        <v>7.8873328412286392E-3</v>
      </c>
      <c r="S882">
        <f t="shared" si="125"/>
        <v>0</v>
      </c>
    </row>
    <row r="883" spans="1:19" x14ac:dyDescent="0.3">
      <c r="A883" t="s">
        <v>287</v>
      </c>
      <c r="B883">
        <v>2007</v>
      </c>
      <c r="C883">
        <v>8.5071841779302937E-2</v>
      </c>
      <c r="D883">
        <v>5.7874764601079952E-2</v>
      </c>
      <c r="E883">
        <v>-0.14852760798715256</v>
      </c>
      <c r="F883">
        <v>0.1008553487555509</v>
      </c>
      <c r="G883">
        <v>1.1261728828357558</v>
      </c>
      <c r="H883">
        <v>17.941351994608482</v>
      </c>
      <c r="I883">
        <v>5.4943437087961317E-4</v>
      </c>
      <c r="J883">
        <v>5.4196964080475019E-3</v>
      </c>
      <c r="K883" s="1">
        <f t="shared" si="117"/>
        <v>8.5071841779302937E-2</v>
      </c>
      <c r="L883" s="1">
        <f t="shared" si="118"/>
        <v>5.7874764601079952E-2</v>
      </c>
      <c r="M883">
        <f t="shared" si="119"/>
        <v>-0.14852760798715256</v>
      </c>
      <c r="N883">
        <f t="shared" si="120"/>
        <v>0.1008553487555509</v>
      </c>
      <c r="O883">
        <f t="shared" si="121"/>
        <v>1.1261728828357558</v>
      </c>
      <c r="P883">
        <f t="shared" si="122"/>
        <v>17.941351994608482</v>
      </c>
      <c r="Q883">
        <f t="shared" si="123"/>
        <v>5.4943437087961317E-4</v>
      </c>
      <c r="R883">
        <f t="shared" si="124"/>
        <v>5.4196964080475019E-3</v>
      </c>
      <c r="S883">
        <f t="shared" si="125"/>
        <v>0</v>
      </c>
    </row>
    <row r="884" spans="1:19" x14ac:dyDescent="0.3">
      <c r="A884" t="s">
        <v>287</v>
      </c>
      <c r="B884">
        <v>2008</v>
      </c>
      <c r="C884">
        <v>6.0755795887988025E-2</v>
      </c>
      <c r="D884">
        <v>6.4113456269497812E-2</v>
      </c>
      <c r="E884">
        <v>-0.11128405622176753</v>
      </c>
      <c r="F884">
        <v>3.3675274853581939E-2</v>
      </c>
      <c r="G884">
        <v>0.95451168491027916</v>
      </c>
      <c r="H884">
        <v>18.088041806841712</v>
      </c>
      <c r="I884">
        <v>1.0435612321662392E-2</v>
      </c>
      <c r="J884">
        <v>1.1700613966764861E-2</v>
      </c>
      <c r="K884" s="1">
        <f t="shared" si="117"/>
        <v>6.0755795887988025E-2</v>
      </c>
      <c r="L884" s="1">
        <f t="shared" si="118"/>
        <v>6.4113456269497812E-2</v>
      </c>
      <c r="M884">
        <f t="shared" si="119"/>
        <v>-0.11128405622176753</v>
      </c>
      <c r="N884">
        <f t="shared" si="120"/>
        <v>3.3675274853581939E-2</v>
      </c>
      <c r="O884">
        <f t="shared" si="121"/>
        <v>0.95451168491027916</v>
      </c>
      <c r="P884">
        <f t="shared" si="122"/>
        <v>18.088041806841712</v>
      </c>
      <c r="Q884">
        <f t="shared" si="123"/>
        <v>1.0435612321662392E-2</v>
      </c>
      <c r="R884">
        <f t="shared" si="124"/>
        <v>1.1700613966764861E-2</v>
      </c>
      <c r="S884">
        <f t="shared" si="125"/>
        <v>0</v>
      </c>
    </row>
    <row r="885" spans="1:19" x14ac:dyDescent="0.3">
      <c r="A885" t="s">
        <v>287</v>
      </c>
      <c r="B885">
        <v>2009</v>
      </c>
      <c r="C885">
        <v>1.4690852676173996E-2</v>
      </c>
      <c r="D885">
        <v>3.1719434333790798E-2</v>
      </c>
      <c r="E885">
        <v>3.0925343596475526E-2</v>
      </c>
      <c r="F885">
        <v>0.22342487618592996</v>
      </c>
      <c r="G885">
        <v>0.99332627066054058</v>
      </c>
      <c r="H885">
        <v>18.426205454595067</v>
      </c>
      <c r="I885">
        <v>1.8898575980527028E-2</v>
      </c>
      <c r="J885">
        <v>0</v>
      </c>
      <c r="K885" s="1">
        <f t="shared" si="117"/>
        <v>1.4690852676173996E-2</v>
      </c>
      <c r="L885" s="1">
        <f t="shared" si="118"/>
        <v>3.1719434333790798E-2</v>
      </c>
      <c r="M885">
        <f t="shared" si="119"/>
        <v>3.0925343596475526E-2</v>
      </c>
      <c r="N885">
        <f t="shared" si="120"/>
        <v>0.22342487618592996</v>
      </c>
      <c r="O885">
        <f t="shared" si="121"/>
        <v>0.99332627066054058</v>
      </c>
      <c r="P885">
        <f t="shared" si="122"/>
        <v>18.426205454595067</v>
      </c>
      <c r="Q885">
        <f t="shared" si="123"/>
        <v>1.8898575980527028E-2</v>
      </c>
      <c r="R885">
        <f t="shared" si="124"/>
        <v>0</v>
      </c>
      <c r="S885">
        <f t="shared" si="125"/>
        <v>0</v>
      </c>
    </row>
    <row r="886" spans="1:19" x14ac:dyDescent="0.3">
      <c r="A886" t="s">
        <v>287</v>
      </c>
      <c r="B886">
        <v>2010</v>
      </c>
      <c r="C886">
        <v>5.606335409284036E-3</v>
      </c>
      <c r="D886">
        <v>9.0025482645108401E-2</v>
      </c>
      <c r="E886">
        <v>1.0866434762212012E-2</v>
      </c>
      <c r="F886">
        <v>0.18418356966403709</v>
      </c>
      <c r="G886">
        <v>1.034959474743949</v>
      </c>
      <c r="H886">
        <v>18.522873502561545</v>
      </c>
      <c r="I886">
        <v>7.4358437298577586E-3</v>
      </c>
      <c r="J886">
        <v>9.0895970777095398E-3</v>
      </c>
      <c r="K886" s="1">
        <f t="shared" si="117"/>
        <v>5.606335409284036E-3</v>
      </c>
      <c r="L886" s="1">
        <f t="shared" si="118"/>
        <v>9.0025482645108401E-2</v>
      </c>
      <c r="M886">
        <f t="shared" si="119"/>
        <v>1.0866434762212012E-2</v>
      </c>
      <c r="N886">
        <f t="shared" si="120"/>
        <v>0.18418356966403709</v>
      </c>
      <c r="O886">
        <f t="shared" si="121"/>
        <v>1.034959474743949</v>
      </c>
      <c r="P886">
        <f t="shared" si="122"/>
        <v>18.522873502561545</v>
      </c>
      <c r="Q886">
        <f t="shared" si="123"/>
        <v>7.4358437298577586E-3</v>
      </c>
      <c r="R886">
        <f t="shared" si="124"/>
        <v>9.0895970777095398E-3</v>
      </c>
      <c r="S886">
        <f t="shared" si="125"/>
        <v>0</v>
      </c>
    </row>
    <row r="887" spans="1:19" x14ac:dyDescent="0.3">
      <c r="A887" t="s">
        <v>288</v>
      </c>
      <c r="B887">
        <v>2007</v>
      </c>
      <c r="C887">
        <v>1.6510401554535137E-2</v>
      </c>
      <c r="D887">
        <v>9.5820030953349608E-2</v>
      </c>
      <c r="E887">
        <v>0.12138722658143068</v>
      </c>
      <c r="F887">
        <v>6.8211207770719845E-2</v>
      </c>
      <c r="G887">
        <v>1.1386030186794698</v>
      </c>
      <c r="H887">
        <v>17.622028926238478</v>
      </c>
      <c r="I887">
        <v>4.7124552026691809E-3</v>
      </c>
      <c r="J887">
        <v>7.3297007357615865E-2</v>
      </c>
      <c r="K887" s="1">
        <f t="shared" si="117"/>
        <v>1.6510401554535137E-2</v>
      </c>
      <c r="L887" s="1">
        <f t="shared" si="118"/>
        <v>9.5820030953349608E-2</v>
      </c>
      <c r="M887">
        <f t="shared" si="119"/>
        <v>0.12138722658143068</v>
      </c>
      <c r="N887">
        <f t="shared" si="120"/>
        <v>6.8211207770719845E-2</v>
      </c>
      <c r="O887">
        <f t="shared" si="121"/>
        <v>1.1386030186794698</v>
      </c>
      <c r="P887">
        <f t="shared" si="122"/>
        <v>17.622028926238478</v>
      </c>
      <c r="Q887">
        <f t="shared" si="123"/>
        <v>4.7124552026691809E-3</v>
      </c>
      <c r="R887">
        <f t="shared" si="124"/>
        <v>7.3297007357615865E-2</v>
      </c>
      <c r="S887">
        <f t="shared" si="125"/>
        <v>0</v>
      </c>
    </row>
    <row r="888" spans="1:19" x14ac:dyDescent="0.3">
      <c r="A888" t="s">
        <v>288</v>
      </c>
      <c r="B888">
        <v>2008</v>
      </c>
      <c r="C888">
        <v>1.0562365841329349E-2</v>
      </c>
      <c r="D888">
        <v>6.8048249200289471E-2</v>
      </c>
      <c r="E888">
        <v>2.9063580314188219E-2</v>
      </c>
      <c r="F888">
        <v>0.22817514828400431</v>
      </c>
      <c r="G888">
        <v>0.80599163060272871</v>
      </c>
      <c r="H888">
        <v>17.953820154179141</v>
      </c>
      <c r="I888">
        <v>2.9617463751242003E-3</v>
      </c>
      <c r="J888">
        <v>3.9681196229169713E-2</v>
      </c>
      <c r="K888" s="1">
        <f t="shared" si="117"/>
        <v>1.0562365841329349E-2</v>
      </c>
      <c r="L888" s="1">
        <f t="shared" si="118"/>
        <v>6.8048249200289471E-2</v>
      </c>
      <c r="M888">
        <f t="shared" si="119"/>
        <v>2.9063580314188219E-2</v>
      </c>
      <c r="N888">
        <f t="shared" si="120"/>
        <v>0.22817514828400431</v>
      </c>
      <c r="O888">
        <f t="shared" si="121"/>
        <v>0.80599163060272871</v>
      </c>
      <c r="P888">
        <f t="shared" si="122"/>
        <v>17.953820154179141</v>
      </c>
      <c r="Q888">
        <f t="shared" si="123"/>
        <v>2.9617463751242003E-3</v>
      </c>
      <c r="R888">
        <f t="shared" si="124"/>
        <v>3.9681196229169713E-2</v>
      </c>
      <c r="S888">
        <f t="shared" si="125"/>
        <v>0</v>
      </c>
    </row>
    <row r="889" spans="1:19" x14ac:dyDescent="0.3">
      <c r="A889" t="s">
        <v>288</v>
      </c>
      <c r="B889">
        <v>2009</v>
      </c>
      <c r="C889">
        <v>1.1265871942839501E-2</v>
      </c>
      <c r="D889">
        <v>5.9088663193982816E-2</v>
      </c>
      <c r="E889">
        <v>1.0221231428858076E-3</v>
      </c>
      <c r="F889">
        <v>0.1733098791176492</v>
      </c>
      <c r="G889">
        <v>1.0696829252538915</v>
      </c>
      <c r="H889">
        <v>18.335560733564375</v>
      </c>
      <c r="I889">
        <v>1.7583338938384659E-3</v>
      </c>
      <c r="J889">
        <v>4.2208823007213202E-2</v>
      </c>
      <c r="K889" s="1">
        <f t="shared" si="117"/>
        <v>1.1265871942839501E-2</v>
      </c>
      <c r="L889" s="1">
        <f t="shared" si="118"/>
        <v>5.9088663193982816E-2</v>
      </c>
      <c r="M889">
        <f t="shared" si="119"/>
        <v>1.0221231428858076E-3</v>
      </c>
      <c r="N889">
        <f t="shared" si="120"/>
        <v>0.1733098791176492</v>
      </c>
      <c r="O889">
        <f t="shared" si="121"/>
        <v>1.0696829252538915</v>
      </c>
      <c r="P889">
        <f t="shared" si="122"/>
        <v>18.335560733564375</v>
      </c>
      <c r="Q889">
        <f t="shared" si="123"/>
        <v>1.7583338938384659E-3</v>
      </c>
      <c r="R889">
        <f t="shared" si="124"/>
        <v>4.2208823007213202E-2</v>
      </c>
      <c r="S889">
        <f t="shared" si="125"/>
        <v>0</v>
      </c>
    </row>
    <row r="890" spans="1:19" x14ac:dyDescent="0.3">
      <c r="A890" t="s">
        <v>288</v>
      </c>
      <c r="B890">
        <v>2010</v>
      </c>
      <c r="C890">
        <v>7.3627199544548244E-3</v>
      </c>
      <c r="D890">
        <v>5.7067570050415996E-2</v>
      </c>
      <c r="E890">
        <v>-3.411540102266541E-3</v>
      </c>
      <c r="F890">
        <v>0.26862114982209151</v>
      </c>
      <c r="G890">
        <v>1.1045024001321313</v>
      </c>
      <c r="H890">
        <v>18.652048209987971</v>
      </c>
      <c r="I890">
        <v>4.6835157030711318E-3</v>
      </c>
      <c r="J890">
        <v>4.5907083385052908E-2</v>
      </c>
      <c r="K890" s="1">
        <f t="shared" si="117"/>
        <v>7.3627199544548244E-3</v>
      </c>
      <c r="L890" s="1">
        <f t="shared" si="118"/>
        <v>5.7067570050415996E-2</v>
      </c>
      <c r="M890">
        <f t="shared" si="119"/>
        <v>-3.411540102266541E-3</v>
      </c>
      <c r="N890">
        <f t="shared" si="120"/>
        <v>0.26862114982209151</v>
      </c>
      <c r="O890">
        <f t="shared" si="121"/>
        <v>1.1045024001321313</v>
      </c>
      <c r="P890">
        <f t="shared" si="122"/>
        <v>18.652048209987971</v>
      </c>
      <c r="Q890">
        <f t="shared" si="123"/>
        <v>4.6835157030711318E-3</v>
      </c>
      <c r="R890">
        <f t="shared" si="124"/>
        <v>4.5907083385052908E-2</v>
      </c>
      <c r="S890">
        <f t="shared" si="125"/>
        <v>0</v>
      </c>
    </row>
    <row r="891" spans="1:19" x14ac:dyDescent="0.3">
      <c r="A891" t="s">
        <v>289</v>
      </c>
      <c r="B891">
        <v>2007</v>
      </c>
      <c r="C891">
        <v>4.2388531513480668E-2</v>
      </c>
      <c r="D891">
        <v>0.28955693818828243</v>
      </c>
      <c r="E891">
        <v>0.46714196759015153</v>
      </c>
      <c r="F891">
        <v>8.6167437492781357E-2</v>
      </c>
      <c r="G891">
        <v>3.3747657391644945</v>
      </c>
      <c r="H891">
        <v>14.281189850729888</v>
      </c>
      <c r="I891">
        <v>2.536510730698352E-2</v>
      </c>
      <c r="J891">
        <v>0</v>
      </c>
      <c r="K891" s="1">
        <f t="shared" si="117"/>
        <v>4.2388531513480668E-2</v>
      </c>
      <c r="L891" s="1">
        <f t="shared" si="118"/>
        <v>0.28955693818828243</v>
      </c>
      <c r="M891">
        <f t="shared" si="119"/>
        <v>0.46714196759015153</v>
      </c>
      <c r="N891">
        <f t="shared" si="120"/>
        <v>8.6167437492781357E-2</v>
      </c>
      <c r="O891">
        <f t="shared" si="121"/>
        <v>3.3747657391644945</v>
      </c>
      <c r="P891">
        <f t="shared" si="122"/>
        <v>14.281189850729888</v>
      </c>
      <c r="Q891">
        <f t="shared" si="123"/>
        <v>2.536510730698352E-2</v>
      </c>
      <c r="R891">
        <f t="shared" si="124"/>
        <v>0</v>
      </c>
      <c r="S891">
        <f t="shared" si="125"/>
        <v>0</v>
      </c>
    </row>
    <row r="892" spans="1:19" x14ac:dyDescent="0.3">
      <c r="A892" t="s">
        <v>289</v>
      </c>
      <c r="B892">
        <v>2008</v>
      </c>
      <c r="C892">
        <v>5.1637983158815869E-2</v>
      </c>
      <c r="D892">
        <v>0.34281722931764225</v>
      </c>
      <c r="E892">
        <v>0.42135614236620977</v>
      </c>
      <c r="F892">
        <v>8.6683823760907178E-2</v>
      </c>
      <c r="G892">
        <v>0.80249626034006882</v>
      </c>
      <c r="H892">
        <v>14.722759737920565</v>
      </c>
      <c r="I892">
        <v>0.10056316942603946</v>
      </c>
      <c r="J892">
        <v>2.411182572094912E-2</v>
      </c>
      <c r="K892" s="1">
        <f t="shared" si="117"/>
        <v>5.1637983158815869E-2</v>
      </c>
      <c r="L892" s="1">
        <f t="shared" si="118"/>
        <v>0.34281722931764225</v>
      </c>
      <c r="M892">
        <f t="shared" si="119"/>
        <v>0.42135614236620977</v>
      </c>
      <c r="N892">
        <f t="shared" si="120"/>
        <v>8.6683823760907178E-2</v>
      </c>
      <c r="O892">
        <f t="shared" si="121"/>
        <v>0.80249626034006882</v>
      </c>
      <c r="P892">
        <f t="shared" si="122"/>
        <v>14.722759737920565</v>
      </c>
      <c r="Q892">
        <f t="shared" si="123"/>
        <v>0.10056316942603946</v>
      </c>
      <c r="R892">
        <f t="shared" si="124"/>
        <v>2.411182572094912E-2</v>
      </c>
      <c r="S892">
        <f t="shared" si="125"/>
        <v>0</v>
      </c>
    </row>
    <row r="893" spans="1:19" x14ac:dyDescent="0.3">
      <c r="A893" t="s">
        <v>289</v>
      </c>
      <c r="B893">
        <v>2009</v>
      </c>
      <c r="C893">
        <v>7.8168703581417961E-2</v>
      </c>
      <c r="D893">
        <v>0.13331591618649513</v>
      </c>
      <c r="E893">
        <v>0.35861048196811018</v>
      </c>
      <c r="F893">
        <v>0.11040688237871597</v>
      </c>
      <c r="G893">
        <v>0.94657191807358121</v>
      </c>
      <c r="H893">
        <v>14.885951741094233</v>
      </c>
      <c r="I893">
        <v>7.9786745185963084E-2</v>
      </c>
      <c r="J893">
        <v>0</v>
      </c>
      <c r="K893" s="1">
        <f t="shared" si="117"/>
        <v>7.8168703581417961E-2</v>
      </c>
      <c r="L893" s="1">
        <f t="shared" si="118"/>
        <v>0.13331591618649513</v>
      </c>
      <c r="M893">
        <f t="shared" si="119"/>
        <v>0.35861048196811018</v>
      </c>
      <c r="N893">
        <f t="shared" si="120"/>
        <v>0.11040688237871597</v>
      </c>
      <c r="O893">
        <f t="shared" si="121"/>
        <v>0.94657191807358121</v>
      </c>
      <c r="P893">
        <f t="shared" si="122"/>
        <v>14.885951741094233</v>
      </c>
      <c r="Q893">
        <f t="shared" si="123"/>
        <v>7.9786745185963084E-2</v>
      </c>
      <c r="R893">
        <f t="shared" si="124"/>
        <v>0</v>
      </c>
      <c r="S893">
        <f t="shared" si="125"/>
        <v>0</v>
      </c>
    </row>
    <row r="894" spans="1:19" x14ac:dyDescent="0.3">
      <c r="A894" t="s">
        <v>289</v>
      </c>
      <c r="B894">
        <v>2010</v>
      </c>
      <c r="C894">
        <v>4.7112734512918891E-2</v>
      </c>
      <c r="D894">
        <v>0.30934761943925376</v>
      </c>
      <c r="E894">
        <v>0.34270109919114677</v>
      </c>
      <c r="F894">
        <v>6.275832522057459E-2</v>
      </c>
      <c r="G894">
        <v>0.50848194185973117</v>
      </c>
      <c r="H894">
        <v>15.24647039794648</v>
      </c>
      <c r="I894">
        <v>3.6194303626039051E-2</v>
      </c>
      <c r="J894">
        <v>2.328345819650026E-2</v>
      </c>
      <c r="K894" s="1">
        <f t="shared" si="117"/>
        <v>4.7112734512918891E-2</v>
      </c>
      <c r="L894" s="1">
        <f t="shared" si="118"/>
        <v>0.30934761943925376</v>
      </c>
      <c r="M894">
        <f t="shared" si="119"/>
        <v>0.34270109919114677</v>
      </c>
      <c r="N894">
        <f t="shared" si="120"/>
        <v>6.275832522057459E-2</v>
      </c>
      <c r="O894">
        <f t="shared" si="121"/>
        <v>0.50848194185973117</v>
      </c>
      <c r="P894">
        <f t="shared" si="122"/>
        <v>15.24647039794648</v>
      </c>
      <c r="Q894">
        <f t="shared" si="123"/>
        <v>3.6194303626039051E-2</v>
      </c>
      <c r="R894">
        <f t="shared" si="124"/>
        <v>2.328345819650026E-2</v>
      </c>
      <c r="S894">
        <f t="shared" si="125"/>
        <v>0</v>
      </c>
    </row>
    <row r="895" spans="1:19" x14ac:dyDescent="0.3">
      <c r="A895" t="s">
        <v>290</v>
      </c>
      <c r="B895">
        <v>2007</v>
      </c>
      <c r="C895">
        <v>9.381468430733772E-2</v>
      </c>
      <c r="D895">
        <v>0.30876936373911307</v>
      </c>
      <c r="E895">
        <v>0.17058262970103938</v>
      </c>
      <c r="F895">
        <v>0</v>
      </c>
      <c r="G895">
        <v>1.7965546026047323</v>
      </c>
      <c r="H895">
        <v>13.425197574425534</v>
      </c>
      <c r="I895">
        <v>3.3667837481622664E-4</v>
      </c>
      <c r="J895">
        <v>5.7921680739312545E-2</v>
      </c>
      <c r="K895" s="1">
        <f t="shared" si="117"/>
        <v>9.381468430733772E-2</v>
      </c>
      <c r="L895" s="1">
        <f t="shared" si="118"/>
        <v>0.30876936373911307</v>
      </c>
      <c r="M895">
        <f t="shared" si="119"/>
        <v>0.17058262970103938</v>
      </c>
      <c r="N895">
        <f t="shared" si="120"/>
        <v>0</v>
      </c>
      <c r="O895">
        <f t="shared" si="121"/>
        <v>1.7965546026047323</v>
      </c>
      <c r="P895">
        <f t="shared" si="122"/>
        <v>13.425197574425534</v>
      </c>
      <c r="Q895">
        <f t="shared" si="123"/>
        <v>3.3667837481622664E-4</v>
      </c>
      <c r="R895">
        <f t="shared" si="124"/>
        <v>5.7921680739312545E-2</v>
      </c>
      <c r="S895">
        <f t="shared" si="125"/>
        <v>0</v>
      </c>
    </row>
    <row r="896" spans="1:19" x14ac:dyDescent="0.3">
      <c r="A896" t="s">
        <v>290</v>
      </c>
      <c r="B896">
        <v>2008</v>
      </c>
      <c r="C896">
        <v>9.893900032173332E-2</v>
      </c>
      <c r="D896">
        <v>0.29445202091746819</v>
      </c>
      <c r="E896">
        <v>0.14279917597852551</v>
      </c>
      <c r="F896">
        <v>0</v>
      </c>
      <c r="G896">
        <v>0.87037508343457526</v>
      </c>
      <c r="H896">
        <v>13.632774515282911</v>
      </c>
      <c r="I896">
        <v>9.5128653431817423E-3</v>
      </c>
      <c r="J896">
        <v>3.7651202658381636E-2</v>
      </c>
      <c r="K896" s="1">
        <f t="shared" si="117"/>
        <v>9.893900032173332E-2</v>
      </c>
      <c r="L896" s="1">
        <f t="shared" si="118"/>
        <v>0.29445202091746819</v>
      </c>
      <c r="M896">
        <f t="shared" si="119"/>
        <v>0.14279917597852551</v>
      </c>
      <c r="N896">
        <f t="shared" si="120"/>
        <v>0</v>
      </c>
      <c r="O896">
        <f t="shared" si="121"/>
        <v>0.87037508343457526</v>
      </c>
      <c r="P896">
        <f t="shared" si="122"/>
        <v>13.632774515282911</v>
      </c>
      <c r="Q896">
        <f t="shared" si="123"/>
        <v>9.5128653431817423E-3</v>
      </c>
      <c r="R896">
        <f t="shared" si="124"/>
        <v>3.7651202658381636E-2</v>
      </c>
      <c r="S896">
        <f t="shared" si="125"/>
        <v>0</v>
      </c>
    </row>
    <row r="897" spans="1:19" x14ac:dyDescent="0.3">
      <c r="A897" t="s">
        <v>290</v>
      </c>
      <c r="B897">
        <v>2009</v>
      </c>
      <c r="C897">
        <v>0.12716345577600741</v>
      </c>
      <c r="D897">
        <v>0.32415978808920709</v>
      </c>
      <c r="E897">
        <v>0.25534371579023069</v>
      </c>
      <c r="F897">
        <v>0</v>
      </c>
      <c r="G897">
        <v>1.2004312927996676</v>
      </c>
      <c r="H897">
        <v>13.816685867017924</v>
      </c>
      <c r="I897">
        <v>1.6283539962863705E-2</v>
      </c>
      <c r="J897">
        <v>5.4821529880860108E-2</v>
      </c>
      <c r="K897" s="1">
        <f t="shared" si="117"/>
        <v>0.12716345577600741</v>
      </c>
      <c r="L897" s="1">
        <f t="shared" si="118"/>
        <v>0.32415978808920709</v>
      </c>
      <c r="M897">
        <f t="shared" si="119"/>
        <v>0.25534371579023069</v>
      </c>
      <c r="N897">
        <f t="shared" si="120"/>
        <v>0</v>
      </c>
      <c r="O897">
        <f t="shared" si="121"/>
        <v>1.2004312927996676</v>
      </c>
      <c r="P897">
        <f t="shared" si="122"/>
        <v>13.816685867017924</v>
      </c>
      <c r="Q897">
        <f t="shared" si="123"/>
        <v>1.6283539962863705E-2</v>
      </c>
      <c r="R897">
        <f t="shared" si="124"/>
        <v>5.4821529880860108E-2</v>
      </c>
      <c r="S897">
        <f t="shared" si="125"/>
        <v>0</v>
      </c>
    </row>
    <row r="898" spans="1:19" x14ac:dyDescent="0.3">
      <c r="A898" t="s">
        <v>290</v>
      </c>
      <c r="B898">
        <v>2010</v>
      </c>
      <c r="C898">
        <v>0.14026700685152801</v>
      </c>
      <c r="D898">
        <v>0.30077106305609069</v>
      </c>
      <c r="E898">
        <v>0.33351879333121642</v>
      </c>
      <c r="F898">
        <v>0</v>
      </c>
      <c r="G898">
        <v>0.94266860581912371</v>
      </c>
      <c r="H898">
        <v>13.892653989873601</v>
      </c>
      <c r="I898">
        <v>3.9316539001102241E-2</v>
      </c>
      <c r="J898">
        <v>5.8069037407065566E-2</v>
      </c>
      <c r="K898" s="1">
        <f t="shared" si="117"/>
        <v>0.14026700685152801</v>
      </c>
      <c r="L898" s="1">
        <f t="shared" si="118"/>
        <v>0.30077106305609069</v>
      </c>
      <c r="M898">
        <f t="shared" si="119"/>
        <v>0.33351879333121642</v>
      </c>
      <c r="N898">
        <f t="shared" si="120"/>
        <v>0</v>
      </c>
      <c r="O898">
        <f t="shared" si="121"/>
        <v>0.94266860581912371</v>
      </c>
      <c r="P898">
        <f t="shared" si="122"/>
        <v>13.892653989873601</v>
      </c>
      <c r="Q898">
        <f t="shared" si="123"/>
        <v>3.9316539001102241E-2</v>
      </c>
      <c r="R898">
        <f t="shared" si="124"/>
        <v>5.8069037407065566E-2</v>
      </c>
      <c r="S898">
        <f t="shared" si="125"/>
        <v>0</v>
      </c>
    </row>
    <row r="899" spans="1:19" x14ac:dyDescent="0.3">
      <c r="A899" t="s">
        <v>291</v>
      </c>
      <c r="B899">
        <v>2007</v>
      </c>
      <c r="C899">
        <v>5.5388484908308534E-2</v>
      </c>
      <c r="D899">
        <v>0.25047771413678788</v>
      </c>
      <c r="E899">
        <v>0.39364553873379793</v>
      </c>
      <c r="F899">
        <v>1.5786803510724576E-2</v>
      </c>
      <c r="G899">
        <v>0.93425502888613321</v>
      </c>
      <c r="H899">
        <v>16.612279688469453</v>
      </c>
      <c r="I899">
        <v>1.7015014754919823E-2</v>
      </c>
      <c r="J899">
        <v>1.2085151896684656E-2</v>
      </c>
      <c r="K899" s="1">
        <f t="shared" ref="K899:K962" si="126">IF(OR(C899&lt;$C$1007-3*$C$1008,C899&gt;$C$1007+3*$C$1008),"out",C899)</f>
        <v>5.5388484908308534E-2</v>
      </c>
      <c r="L899" s="1">
        <f t="shared" ref="L899:L962" si="127">IF(OR(D899&lt;$D$1007-3*$D$1008,D899&gt;$D$1007+3*$D$1008),"out",D899)</f>
        <v>0.25047771413678788</v>
      </c>
      <c r="M899">
        <f t="shared" ref="M899:M962" si="128">IF(OR(E899&lt;$E$1007-3*$E$1008,E899&gt;$E$1007+3*$E$1008),"out",E899)</f>
        <v>0.39364553873379793</v>
      </c>
      <c r="N899">
        <f t="shared" ref="N899:N962" si="129">IF(OR(F899&lt;$F$1007-3*$F$1008,F899&gt;$F$1007+3*$F$1008),"out",F899)</f>
        <v>1.5786803510724576E-2</v>
      </c>
      <c r="O899">
        <f t="shared" ref="O899:O962" si="130">IF(OR(G899&lt;$G$1007-3*$G$1008,G899&gt;$G$1007+3*$G$1008),"out",G899)</f>
        <v>0.93425502888613321</v>
      </c>
      <c r="P899">
        <f t="shared" ref="P899:P962" si="131">IF(OR(H899&lt;$H$1007-3*$H$1008,H899&gt;$H$1007+3*$H$1008),"out",H899)</f>
        <v>16.612279688469453</v>
      </c>
      <c r="Q899">
        <f t="shared" ref="Q899:Q962" si="132">IF(OR(I899&lt;$I$1007-3*$I$1008,I899&gt;$I$1007+3*$I$1008),"out",I899)</f>
        <v>1.7015014754919823E-2</v>
      </c>
      <c r="R899">
        <f t="shared" ref="R899:R962" si="133">IF(OR(J899&lt;$J$1007-3*$J$1008,J899&gt;$J$1007+3*$J$1008),"out",J899)</f>
        <v>1.2085151896684656E-2</v>
      </c>
      <c r="S899">
        <f t="shared" ref="S899:S962" si="134">IF(OR(K899="out",L899="out",M899="out",N899="out",O899="out",P899="out",Q899="out",R899="out"),1,0)</f>
        <v>0</v>
      </c>
    </row>
    <row r="900" spans="1:19" x14ac:dyDescent="0.3">
      <c r="A900" t="s">
        <v>291</v>
      </c>
      <c r="B900">
        <v>2008</v>
      </c>
      <c r="C900">
        <v>0.24932174437299034</v>
      </c>
      <c r="D900">
        <v>0.26300357211692144</v>
      </c>
      <c r="E900">
        <v>0.37900607124724994</v>
      </c>
      <c r="F900">
        <v>1.8040321613922265E-2</v>
      </c>
      <c r="G900">
        <v>1.0419017534163988</v>
      </c>
      <c r="H900">
        <v>16.426633913161456</v>
      </c>
      <c r="I900">
        <v>3.7655858825033597E-2</v>
      </c>
      <c r="J900">
        <v>3.0071022193076474E-2</v>
      </c>
      <c r="K900" s="1">
        <f t="shared" si="126"/>
        <v>0.24932174437299034</v>
      </c>
      <c r="L900" s="1">
        <f t="shared" si="127"/>
        <v>0.26300357211692144</v>
      </c>
      <c r="M900">
        <f t="shared" si="128"/>
        <v>0.37900607124724994</v>
      </c>
      <c r="N900">
        <f t="shared" si="129"/>
        <v>1.8040321613922265E-2</v>
      </c>
      <c r="O900">
        <f t="shared" si="130"/>
        <v>1.0419017534163988</v>
      </c>
      <c r="P900">
        <f t="shared" si="131"/>
        <v>16.426633913161456</v>
      </c>
      <c r="Q900">
        <f t="shared" si="132"/>
        <v>3.7655858825033597E-2</v>
      </c>
      <c r="R900">
        <f t="shared" si="133"/>
        <v>3.0071022193076474E-2</v>
      </c>
      <c r="S900">
        <f t="shared" si="134"/>
        <v>0</v>
      </c>
    </row>
    <row r="901" spans="1:19" x14ac:dyDescent="0.3">
      <c r="A901" t="s">
        <v>291</v>
      </c>
      <c r="B901">
        <v>2009</v>
      </c>
      <c r="C901">
        <v>0.13200492691092056</v>
      </c>
      <c r="D901">
        <v>0.10356376040708146</v>
      </c>
      <c r="E901">
        <v>-0.10080328076600573</v>
      </c>
      <c r="F901">
        <v>3.4673852866125609E-3</v>
      </c>
      <c r="G901">
        <v>0.96375787136400592</v>
      </c>
      <c r="H901">
        <v>16.636888194372705</v>
      </c>
      <c r="I901">
        <v>1.692349638235633E-2</v>
      </c>
      <c r="J901">
        <v>1.1791383786848781E-2</v>
      </c>
      <c r="K901" s="1">
        <f t="shared" si="126"/>
        <v>0.13200492691092056</v>
      </c>
      <c r="L901" s="1">
        <f t="shared" si="127"/>
        <v>0.10356376040708146</v>
      </c>
      <c r="M901">
        <f t="shared" si="128"/>
        <v>-0.10080328076600573</v>
      </c>
      <c r="N901">
        <f t="shared" si="129"/>
        <v>3.4673852866125609E-3</v>
      </c>
      <c r="O901">
        <f t="shared" si="130"/>
        <v>0.96375787136400592</v>
      </c>
      <c r="P901">
        <f t="shared" si="131"/>
        <v>16.636888194372705</v>
      </c>
      <c r="Q901">
        <f t="shared" si="132"/>
        <v>1.692349638235633E-2</v>
      </c>
      <c r="R901">
        <f t="shared" si="133"/>
        <v>1.1791383786848781E-2</v>
      </c>
      <c r="S901">
        <f t="shared" si="134"/>
        <v>0</v>
      </c>
    </row>
    <row r="902" spans="1:19" x14ac:dyDescent="0.3">
      <c r="A902" t="s">
        <v>291</v>
      </c>
      <c r="B902">
        <v>2010</v>
      </c>
      <c r="C902">
        <v>7.061921453866217E-2</v>
      </c>
      <c r="D902">
        <v>6.3580191022032509E-2</v>
      </c>
      <c r="E902">
        <v>-0.44649174283969734</v>
      </c>
      <c r="F902">
        <v>2.7100661675337487E-3</v>
      </c>
      <c r="G902">
        <v>0.88542426702979415</v>
      </c>
      <c r="H902">
        <v>16.734433004948638</v>
      </c>
      <c r="I902">
        <v>7.706901475294849E-3</v>
      </c>
      <c r="J902">
        <v>1.0695512560417538E-2</v>
      </c>
      <c r="K902" s="1">
        <f t="shared" si="126"/>
        <v>7.061921453866217E-2</v>
      </c>
      <c r="L902" s="1">
        <f t="shared" si="127"/>
        <v>6.3580191022032509E-2</v>
      </c>
      <c r="M902">
        <f t="shared" si="128"/>
        <v>-0.44649174283969734</v>
      </c>
      <c r="N902">
        <f t="shared" si="129"/>
        <v>2.7100661675337487E-3</v>
      </c>
      <c r="O902">
        <f t="shared" si="130"/>
        <v>0.88542426702979415</v>
      </c>
      <c r="P902">
        <f t="shared" si="131"/>
        <v>16.734433004948638</v>
      </c>
      <c r="Q902">
        <f t="shared" si="132"/>
        <v>7.706901475294849E-3</v>
      </c>
      <c r="R902">
        <f t="shared" si="133"/>
        <v>1.0695512560417538E-2</v>
      </c>
      <c r="S902">
        <f t="shared" si="134"/>
        <v>0</v>
      </c>
    </row>
    <row r="903" spans="1:19" x14ac:dyDescent="0.3">
      <c r="A903" t="s">
        <v>292</v>
      </c>
      <c r="B903">
        <v>2007</v>
      </c>
      <c r="C903">
        <v>0.1499102589720232</v>
      </c>
      <c r="D903">
        <v>0.15062068296630157</v>
      </c>
      <c r="E903">
        <v>0.24247139056736047</v>
      </c>
      <c r="F903">
        <v>0.13016546295167189</v>
      </c>
      <c r="G903">
        <v>1.2381361051314239</v>
      </c>
      <c r="H903">
        <v>15.547192120483285</v>
      </c>
      <c r="I903">
        <v>0.10004001936561305</v>
      </c>
      <c r="J903">
        <v>0</v>
      </c>
      <c r="K903" s="1">
        <f t="shared" si="126"/>
        <v>0.1499102589720232</v>
      </c>
      <c r="L903" s="1">
        <f t="shared" si="127"/>
        <v>0.15062068296630157</v>
      </c>
      <c r="M903">
        <f t="shared" si="128"/>
        <v>0.24247139056736047</v>
      </c>
      <c r="N903">
        <f t="shared" si="129"/>
        <v>0.13016546295167189</v>
      </c>
      <c r="O903">
        <f t="shared" si="130"/>
        <v>1.2381361051314239</v>
      </c>
      <c r="P903">
        <f t="shared" si="131"/>
        <v>15.547192120483285</v>
      </c>
      <c r="Q903">
        <f t="shared" si="132"/>
        <v>0.10004001936561305</v>
      </c>
      <c r="R903">
        <f t="shared" si="133"/>
        <v>0</v>
      </c>
      <c r="S903">
        <f t="shared" si="134"/>
        <v>0</v>
      </c>
    </row>
    <row r="904" spans="1:19" x14ac:dyDescent="0.3">
      <c r="A904" t="s">
        <v>292</v>
      </c>
      <c r="B904">
        <v>2008</v>
      </c>
      <c r="C904">
        <v>1.4502422291076144E-3</v>
      </c>
      <c r="D904">
        <v>1.4131570826937982</v>
      </c>
      <c r="E904">
        <v>0.97575376273210712</v>
      </c>
      <c r="F904">
        <v>0</v>
      </c>
      <c r="G904">
        <v>0.48102979194755668</v>
      </c>
      <c r="H904">
        <v>14.22126828992057</v>
      </c>
      <c r="I904">
        <v>8.0066770099982587E-2</v>
      </c>
      <c r="J904">
        <v>0</v>
      </c>
      <c r="K904" s="1">
        <f t="shared" si="126"/>
        <v>1.4502422291076144E-3</v>
      </c>
      <c r="L904" s="1">
        <f t="shared" si="127"/>
        <v>1.4131570826937982</v>
      </c>
      <c r="M904">
        <f t="shared" si="128"/>
        <v>0.97575376273210712</v>
      </c>
      <c r="N904">
        <f t="shared" si="129"/>
        <v>0</v>
      </c>
      <c r="O904">
        <f t="shared" si="130"/>
        <v>0.48102979194755668</v>
      </c>
      <c r="P904">
        <f t="shared" si="131"/>
        <v>14.22126828992057</v>
      </c>
      <c r="Q904">
        <f t="shared" si="132"/>
        <v>8.0066770099982587E-2</v>
      </c>
      <c r="R904">
        <f t="shared" si="133"/>
        <v>0</v>
      </c>
      <c r="S904">
        <f t="shared" si="134"/>
        <v>0</v>
      </c>
    </row>
    <row r="905" spans="1:19" x14ac:dyDescent="0.3">
      <c r="A905" t="s">
        <v>292</v>
      </c>
      <c r="B905">
        <v>2009</v>
      </c>
      <c r="C905">
        <v>5.1324550679221717E-2</v>
      </c>
      <c r="D905">
        <v>0.36356291274081559</v>
      </c>
      <c r="E905">
        <v>-0.4692637208125503</v>
      </c>
      <c r="F905">
        <v>0.21661555448182762</v>
      </c>
      <c r="G905">
        <v>1.1090010435548698</v>
      </c>
      <c r="H905">
        <v>15.649131321453462</v>
      </c>
      <c r="I905">
        <v>0.13781270749009114</v>
      </c>
      <c r="J905">
        <v>6.1599945912242616E-4</v>
      </c>
      <c r="K905" s="1">
        <f t="shared" si="126"/>
        <v>5.1324550679221717E-2</v>
      </c>
      <c r="L905" s="1">
        <f t="shared" si="127"/>
        <v>0.36356291274081559</v>
      </c>
      <c r="M905">
        <f t="shared" si="128"/>
        <v>-0.4692637208125503</v>
      </c>
      <c r="N905">
        <f t="shared" si="129"/>
        <v>0.21661555448182762</v>
      </c>
      <c r="O905">
        <f t="shared" si="130"/>
        <v>1.1090010435548698</v>
      </c>
      <c r="P905">
        <f t="shared" si="131"/>
        <v>15.649131321453462</v>
      </c>
      <c r="Q905">
        <f t="shared" si="132"/>
        <v>0.13781270749009114</v>
      </c>
      <c r="R905">
        <f t="shared" si="133"/>
        <v>6.1599945912242616E-4</v>
      </c>
      <c r="S905">
        <f t="shared" si="134"/>
        <v>0</v>
      </c>
    </row>
    <row r="906" spans="1:19" x14ac:dyDescent="0.3">
      <c r="A906" t="s">
        <v>292</v>
      </c>
      <c r="B906">
        <v>2010</v>
      </c>
      <c r="C906">
        <v>9.591227794466442E-2</v>
      </c>
      <c r="D906">
        <v>0.34656657121335893</v>
      </c>
      <c r="E906">
        <v>-0.47610223114667538</v>
      </c>
      <c r="F906">
        <v>0.21894433791708379</v>
      </c>
      <c r="G906">
        <v>0.90795682132883815</v>
      </c>
      <c r="H906">
        <v>15.548380763354197</v>
      </c>
      <c r="I906">
        <v>2.0866326697240856E-2</v>
      </c>
      <c r="J906">
        <v>0</v>
      </c>
      <c r="K906" s="1">
        <f t="shared" si="126"/>
        <v>9.591227794466442E-2</v>
      </c>
      <c r="L906" s="1">
        <f t="shared" si="127"/>
        <v>0.34656657121335893</v>
      </c>
      <c r="M906">
        <f t="shared" si="128"/>
        <v>-0.47610223114667538</v>
      </c>
      <c r="N906">
        <f t="shared" si="129"/>
        <v>0.21894433791708379</v>
      </c>
      <c r="O906">
        <f t="shared" si="130"/>
        <v>0.90795682132883815</v>
      </c>
      <c r="P906">
        <f t="shared" si="131"/>
        <v>15.548380763354197</v>
      </c>
      <c r="Q906">
        <f t="shared" si="132"/>
        <v>2.0866326697240856E-2</v>
      </c>
      <c r="R906">
        <f t="shared" si="133"/>
        <v>0</v>
      </c>
      <c r="S906">
        <f t="shared" si="134"/>
        <v>0</v>
      </c>
    </row>
    <row r="907" spans="1:19" x14ac:dyDescent="0.3">
      <c r="A907" t="s">
        <v>293</v>
      </c>
      <c r="B907">
        <v>2007</v>
      </c>
      <c r="C907">
        <v>1.3555281886059459E-2</v>
      </c>
      <c r="D907">
        <v>0.11896602490845908</v>
      </c>
      <c r="E907">
        <v>-0.23661870000233226</v>
      </c>
      <c r="F907">
        <v>0.24099573447635927</v>
      </c>
      <c r="G907">
        <v>1.0012490410693045</v>
      </c>
      <c r="H907">
        <v>16.077736882465654</v>
      </c>
      <c r="I907">
        <v>1.0840896099646859E-2</v>
      </c>
      <c r="J907">
        <v>0</v>
      </c>
      <c r="K907" s="1">
        <f t="shared" si="126"/>
        <v>1.3555281886059459E-2</v>
      </c>
      <c r="L907" s="1">
        <f t="shared" si="127"/>
        <v>0.11896602490845908</v>
      </c>
      <c r="M907">
        <f t="shared" si="128"/>
        <v>-0.23661870000233226</v>
      </c>
      <c r="N907">
        <f t="shared" si="129"/>
        <v>0.24099573447635927</v>
      </c>
      <c r="O907">
        <f t="shared" si="130"/>
        <v>1.0012490410693045</v>
      </c>
      <c r="P907">
        <f t="shared" si="131"/>
        <v>16.077736882465654</v>
      </c>
      <c r="Q907">
        <f t="shared" si="132"/>
        <v>1.0840896099646859E-2</v>
      </c>
      <c r="R907">
        <f t="shared" si="133"/>
        <v>0</v>
      </c>
      <c r="S907">
        <f t="shared" si="134"/>
        <v>0</v>
      </c>
    </row>
    <row r="908" spans="1:19" x14ac:dyDescent="0.3">
      <c r="A908" t="s">
        <v>293</v>
      </c>
      <c r="B908">
        <v>2008</v>
      </c>
      <c r="C908">
        <v>3.4086095189431965E-3</v>
      </c>
      <c r="D908">
        <v>0.13213229129432896</v>
      </c>
      <c r="E908">
        <v>-0.37198370377609602</v>
      </c>
      <c r="F908">
        <v>0.19876485519277171</v>
      </c>
      <c r="G908">
        <v>0.79419227997462105</v>
      </c>
      <c r="H908">
        <v>16.156934368083483</v>
      </c>
      <c r="I908">
        <v>1.4706316572132543E-2</v>
      </c>
      <c r="J908">
        <v>0</v>
      </c>
      <c r="K908" s="1">
        <f t="shared" si="126"/>
        <v>3.4086095189431965E-3</v>
      </c>
      <c r="L908" s="1">
        <f t="shared" si="127"/>
        <v>0.13213229129432896</v>
      </c>
      <c r="M908">
        <f t="shared" si="128"/>
        <v>-0.37198370377609602</v>
      </c>
      <c r="N908">
        <f t="shared" si="129"/>
        <v>0.19876485519277171</v>
      </c>
      <c r="O908">
        <f t="shared" si="130"/>
        <v>0.79419227997462105</v>
      </c>
      <c r="P908">
        <f t="shared" si="131"/>
        <v>16.156934368083483</v>
      </c>
      <c r="Q908">
        <f t="shared" si="132"/>
        <v>1.4706316572132543E-2</v>
      </c>
      <c r="R908">
        <f t="shared" si="133"/>
        <v>0</v>
      </c>
      <c r="S908">
        <f t="shared" si="134"/>
        <v>0</v>
      </c>
    </row>
    <row r="909" spans="1:19" x14ac:dyDescent="0.3">
      <c r="A909" t="s">
        <v>293</v>
      </c>
      <c r="B909">
        <v>2009</v>
      </c>
      <c r="C909">
        <v>9.1282072948029058E-4</v>
      </c>
      <c r="D909">
        <v>0.10026542770573249</v>
      </c>
      <c r="E909">
        <v>-9.4636678722796047E-2</v>
      </c>
      <c r="F909">
        <v>9.0718375969963072E-2</v>
      </c>
      <c r="G909">
        <v>0.78549819543083899</v>
      </c>
      <c r="H909">
        <v>16.078291159439601</v>
      </c>
      <c r="I909">
        <v>3.8918878405977589E-2</v>
      </c>
      <c r="J909">
        <v>3.1218219202472315E-4</v>
      </c>
      <c r="K909" s="1">
        <f t="shared" si="126"/>
        <v>9.1282072948029058E-4</v>
      </c>
      <c r="L909" s="1">
        <f t="shared" si="127"/>
        <v>0.10026542770573249</v>
      </c>
      <c r="M909">
        <f t="shared" si="128"/>
        <v>-9.4636678722796047E-2</v>
      </c>
      <c r="N909">
        <f t="shared" si="129"/>
        <v>9.0718375969963072E-2</v>
      </c>
      <c r="O909">
        <f t="shared" si="130"/>
        <v>0.78549819543083899</v>
      </c>
      <c r="P909">
        <f t="shared" si="131"/>
        <v>16.078291159439601</v>
      </c>
      <c r="Q909">
        <f t="shared" si="132"/>
        <v>3.8918878405977589E-2</v>
      </c>
      <c r="R909">
        <f t="shared" si="133"/>
        <v>3.1218219202472315E-4</v>
      </c>
      <c r="S909">
        <f t="shared" si="134"/>
        <v>0</v>
      </c>
    </row>
    <row r="910" spans="1:19" x14ac:dyDescent="0.3">
      <c r="A910" t="s">
        <v>293</v>
      </c>
      <c r="B910">
        <v>2010</v>
      </c>
      <c r="C910">
        <v>7.8277038371880082E-3</v>
      </c>
      <c r="D910">
        <v>0.19931421647995248</v>
      </c>
      <c r="E910">
        <v>0.18935037388829506</v>
      </c>
      <c r="F910">
        <v>7.3190230529439029E-2</v>
      </c>
      <c r="G910">
        <v>0.71439240295173123</v>
      </c>
      <c r="H910">
        <v>16.171136482512942</v>
      </c>
      <c r="I910">
        <v>4.8663342570214145E-2</v>
      </c>
      <c r="J910">
        <v>0</v>
      </c>
      <c r="K910" s="1">
        <f t="shared" si="126"/>
        <v>7.8277038371880082E-3</v>
      </c>
      <c r="L910" s="1">
        <f t="shared" si="127"/>
        <v>0.19931421647995248</v>
      </c>
      <c r="M910">
        <f t="shared" si="128"/>
        <v>0.18935037388829506</v>
      </c>
      <c r="N910">
        <f t="shared" si="129"/>
        <v>7.3190230529439029E-2</v>
      </c>
      <c r="O910">
        <f t="shared" si="130"/>
        <v>0.71439240295173123</v>
      </c>
      <c r="P910">
        <f t="shared" si="131"/>
        <v>16.171136482512942</v>
      </c>
      <c r="Q910">
        <f t="shared" si="132"/>
        <v>4.8663342570214145E-2</v>
      </c>
      <c r="R910">
        <f t="shared" si="133"/>
        <v>0</v>
      </c>
      <c r="S910">
        <f t="shared" si="134"/>
        <v>0</v>
      </c>
    </row>
    <row r="911" spans="1:19" x14ac:dyDescent="0.3">
      <c r="A911" t="s">
        <v>294</v>
      </c>
      <c r="B911">
        <v>2007</v>
      </c>
      <c r="C911">
        <v>3.2248921229503819E-2</v>
      </c>
      <c r="D911">
        <v>8.2687424868053111E-2</v>
      </c>
      <c r="E911">
        <v>-5.3612799630346222E-2</v>
      </c>
      <c r="F911">
        <v>9.3174774627170651E-2</v>
      </c>
      <c r="G911">
        <v>1.024658235934103</v>
      </c>
      <c r="H911">
        <v>16.670989008189501</v>
      </c>
      <c r="I911">
        <v>1.1925307710202402E-2</v>
      </c>
      <c r="J911">
        <v>0</v>
      </c>
      <c r="K911" s="1">
        <f t="shared" si="126"/>
        <v>3.2248921229503819E-2</v>
      </c>
      <c r="L911" s="1">
        <f t="shared" si="127"/>
        <v>8.2687424868053111E-2</v>
      </c>
      <c r="M911">
        <f t="shared" si="128"/>
        <v>-5.3612799630346222E-2</v>
      </c>
      <c r="N911">
        <f t="shared" si="129"/>
        <v>9.3174774627170651E-2</v>
      </c>
      <c r="O911">
        <f t="shared" si="130"/>
        <v>1.024658235934103</v>
      </c>
      <c r="P911">
        <f t="shared" si="131"/>
        <v>16.670989008189501</v>
      </c>
      <c r="Q911">
        <f t="shared" si="132"/>
        <v>1.1925307710202402E-2</v>
      </c>
      <c r="R911">
        <f t="shared" si="133"/>
        <v>0</v>
      </c>
      <c r="S911">
        <f t="shared" si="134"/>
        <v>0</v>
      </c>
    </row>
    <row r="912" spans="1:19" x14ac:dyDescent="0.3">
      <c r="A912" t="s">
        <v>294</v>
      </c>
      <c r="B912">
        <v>2008</v>
      </c>
      <c r="C912">
        <v>4.3798931005644172E-2</v>
      </c>
      <c r="D912">
        <v>4.8244390441490995E-2</v>
      </c>
      <c r="E912">
        <v>4.1831940947172006E-3</v>
      </c>
      <c r="F912">
        <v>0.18714484041948423</v>
      </c>
      <c r="G912">
        <v>0.49408281260285047</v>
      </c>
      <c r="H912">
        <v>16.780007446597111</v>
      </c>
      <c r="I912">
        <v>1.1363143366486816E-2</v>
      </c>
      <c r="J912">
        <v>0</v>
      </c>
      <c r="K912" s="1">
        <f t="shared" si="126"/>
        <v>4.3798931005644172E-2</v>
      </c>
      <c r="L912" s="1">
        <f t="shared" si="127"/>
        <v>4.8244390441490995E-2</v>
      </c>
      <c r="M912">
        <f t="shared" si="128"/>
        <v>4.1831940947172006E-3</v>
      </c>
      <c r="N912">
        <f t="shared" si="129"/>
        <v>0.18714484041948423</v>
      </c>
      <c r="O912">
        <f t="shared" si="130"/>
        <v>0.49408281260285047</v>
      </c>
      <c r="P912">
        <f t="shared" si="131"/>
        <v>16.780007446597111</v>
      </c>
      <c r="Q912">
        <f t="shared" si="132"/>
        <v>1.1363143366486816E-2</v>
      </c>
      <c r="R912">
        <f t="shared" si="133"/>
        <v>0</v>
      </c>
      <c r="S912">
        <f t="shared" si="134"/>
        <v>0</v>
      </c>
    </row>
    <row r="913" spans="1:19" x14ac:dyDescent="0.3">
      <c r="A913" t="s">
        <v>294</v>
      </c>
      <c r="B913">
        <v>2009</v>
      </c>
      <c r="C913">
        <v>1.4747625085811955E-2</v>
      </c>
      <c r="D913">
        <v>7.7289862668877468E-2</v>
      </c>
      <c r="E913">
        <v>-5.1187425317904718E-2</v>
      </c>
      <c r="F913">
        <v>0.14829160413163167</v>
      </c>
      <c r="G913">
        <v>49.190058352786529</v>
      </c>
      <c r="H913">
        <v>16.942967211227913</v>
      </c>
      <c r="I913">
        <v>1.4621447866822035E-2</v>
      </c>
      <c r="J913">
        <v>0</v>
      </c>
      <c r="K913" s="1">
        <f t="shared" si="126"/>
        <v>1.4747625085811955E-2</v>
      </c>
      <c r="L913" s="1">
        <f t="shared" si="127"/>
        <v>7.7289862668877468E-2</v>
      </c>
      <c r="M913">
        <f t="shared" si="128"/>
        <v>-5.1187425317904718E-2</v>
      </c>
      <c r="N913">
        <f t="shared" si="129"/>
        <v>0.14829160413163167</v>
      </c>
      <c r="O913">
        <f t="shared" si="130"/>
        <v>49.190058352786529</v>
      </c>
      <c r="P913">
        <f t="shared" si="131"/>
        <v>16.942967211227913</v>
      </c>
      <c r="Q913">
        <f t="shared" si="132"/>
        <v>1.4621447866822035E-2</v>
      </c>
      <c r="R913">
        <f t="shared" si="133"/>
        <v>0</v>
      </c>
      <c r="S913">
        <f t="shared" si="134"/>
        <v>0</v>
      </c>
    </row>
    <row r="914" spans="1:19" x14ac:dyDescent="0.3">
      <c r="A914" t="s">
        <v>294</v>
      </c>
      <c r="B914">
        <v>2010</v>
      </c>
      <c r="C914">
        <v>8.3594349828994205E-3</v>
      </c>
      <c r="D914">
        <v>0.13294850668027733</v>
      </c>
      <c r="E914">
        <v>-0.21826813737465392</v>
      </c>
      <c r="F914">
        <v>0.10824373160524418</v>
      </c>
      <c r="G914">
        <v>0.64851577313958497</v>
      </c>
      <c r="H914">
        <v>16.90683806160099</v>
      </c>
      <c r="I914">
        <v>2.4190671116701892E-2</v>
      </c>
      <c r="J914">
        <v>0</v>
      </c>
      <c r="K914" s="1">
        <f t="shared" si="126"/>
        <v>8.3594349828994205E-3</v>
      </c>
      <c r="L914" s="1">
        <f t="shared" si="127"/>
        <v>0.13294850668027733</v>
      </c>
      <c r="M914">
        <f t="shared" si="128"/>
        <v>-0.21826813737465392</v>
      </c>
      <c r="N914">
        <f t="shared" si="129"/>
        <v>0.10824373160524418</v>
      </c>
      <c r="O914">
        <f t="shared" si="130"/>
        <v>0.64851577313958497</v>
      </c>
      <c r="P914">
        <f t="shared" si="131"/>
        <v>16.90683806160099</v>
      </c>
      <c r="Q914">
        <f t="shared" si="132"/>
        <v>2.4190671116701892E-2</v>
      </c>
      <c r="R914">
        <f t="shared" si="133"/>
        <v>0</v>
      </c>
      <c r="S914">
        <f t="shared" si="134"/>
        <v>0</v>
      </c>
    </row>
    <row r="915" spans="1:19" x14ac:dyDescent="0.3">
      <c r="A915" t="s">
        <v>295</v>
      </c>
      <c r="B915">
        <v>2007</v>
      </c>
      <c r="C915">
        <v>0.45268415799296663</v>
      </c>
      <c r="D915">
        <v>0.27817217432286478</v>
      </c>
      <c r="E915">
        <v>0.3175695674208826</v>
      </c>
      <c r="F915">
        <v>0</v>
      </c>
      <c r="G915">
        <v>3.1491133897395156</v>
      </c>
      <c r="H915">
        <v>16.010929840068552</v>
      </c>
      <c r="I915">
        <v>5.0876574789536916E-3</v>
      </c>
      <c r="J915">
        <v>6.2334653158302077E-2</v>
      </c>
      <c r="K915" s="1" t="str">
        <f t="shared" si="126"/>
        <v>out</v>
      </c>
      <c r="L915" s="1">
        <f t="shared" si="127"/>
        <v>0.27817217432286478</v>
      </c>
      <c r="M915">
        <f t="shared" si="128"/>
        <v>0.3175695674208826</v>
      </c>
      <c r="N915">
        <f t="shared" si="129"/>
        <v>0</v>
      </c>
      <c r="O915">
        <f t="shared" si="130"/>
        <v>3.1491133897395156</v>
      </c>
      <c r="P915">
        <f t="shared" si="131"/>
        <v>16.010929840068552</v>
      </c>
      <c r="Q915">
        <f t="shared" si="132"/>
        <v>5.0876574789536916E-3</v>
      </c>
      <c r="R915">
        <f t="shared" si="133"/>
        <v>6.2334653158302077E-2</v>
      </c>
      <c r="S915">
        <f t="shared" si="134"/>
        <v>1</v>
      </c>
    </row>
    <row r="916" spans="1:19" x14ac:dyDescent="0.3">
      <c r="A916" t="s">
        <v>295</v>
      </c>
      <c r="B916">
        <v>2008</v>
      </c>
      <c r="C916">
        <v>0.39436334003208595</v>
      </c>
      <c r="D916">
        <v>0.2324928049002484</v>
      </c>
      <c r="E916">
        <v>0.29737175807962901</v>
      </c>
      <c r="F916">
        <v>0</v>
      </c>
      <c r="G916">
        <v>1.0897905518194153</v>
      </c>
      <c r="H916">
        <v>16.557210599065439</v>
      </c>
      <c r="I916">
        <v>1.9223697433809517E-2</v>
      </c>
      <c r="J916">
        <v>6.1882241189129147E-2</v>
      </c>
      <c r="K916" s="1" t="str">
        <f t="shared" si="126"/>
        <v>out</v>
      </c>
      <c r="L916" s="1">
        <f t="shared" si="127"/>
        <v>0.2324928049002484</v>
      </c>
      <c r="M916">
        <f t="shared" si="128"/>
        <v>0.29737175807962901</v>
      </c>
      <c r="N916">
        <f t="shared" si="129"/>
        <v>0</v>
      </c>
      <c r="O916">
        <f t="shared" si="130"/>
        <v>1.0897905518194153</v>
      </c>
      <c r="P916">
        <f t="shared" si="131"/>
        <v>16.557210599065439</v>
      </c>
      <c r="Q916">
        <f t="shared" si="132"/>
        <v>1.9223697433809517E-2</v>
      </c>
      <c r="R916">
        <f t="shared" si="133"/>
        <v>6.1882241189129147E-2</v>
      </c>
      <c r="S916">
        <f t="shared" si="134"/>
        <v>1</v>
      </c>
    </row>
    <row r="917" spans="1:19" x14ac:dyDescent="0.3">
      <c r="A917" t="s">
        <v>295</v>
      </c>
      <c r="B917">
        <v>2009</v>
      </c>
      <c r="C917">
        <v>0.40689219694455558</v>
      </c>
      <c r="D917">
        <v>0.23877790323696374</v>
      </c>
      <c r="E917">
        <v>0.29933256831931293</v>
      </c>
      <c r="F917">
        <v>0</v>
      </c>
      <c r="G917">
        <v>1.7081678432296261</v>
      </c>
      <c r="H917">
        <v>16.720904033890438</v>
      </c>
      <c r="I917">
        <v>2.7313631738147548E-3</v>
      </c>
      <c r="J917">
        <v>7.8807243611578356E-2</v>
      </c>
      <c r="K917" s="1" t="str">
        <f t="shared" si="126"/>
        <v>out</v>
      </c>
      <c r="L917" s="1">
        <f t="shared" si="127"/>
        <v>0.23877790323696374</v>
      </c>
      <c r="M917">
        <f t="shared" si="128"/>
        <v>0.29933256831931293</v>
      </c>
      <c r="N917">
        <f t="shared" si="129"/>
        <v>0</v>
      </c>
      <c r="O917">
        <f t="shared" si="130"/>
        <v>1.7081678432296261</v>
      </c>
      <c r="P917">
        <f t="shared" si="131"/>
        <v>16.720904033890438</v>
      </c>
      <c r="Q917">
        <f t="shared" si="132"/>
        <v>2.7313631738147548E-3</v>
      </c>
      <c r="R917">
        <f t="shared" si="133"/>
        <v>7.8807243611578356E-2</v>
      </c>
      <c r="S917">
        <f t="shared" si="134"/>
        <v>1</v>
      </c>
    </row>
    <row r="918" spans="1:19" x14ac:dyDescent="0.3">
      <c r="A918" t="s">
        <v>295</v>
      </c>
      <c r="B918">
        <v>2010</v>
      </c>
      <c r="C918">
        <v>0.43257722971953283</v>
      </c>
      <c r="D918">
        <v>0.23194924769566749</v>
      </c>
      <c r="E918">
        <v>0.3503328786010238</v>
      </c>
      <c r="F918">
        <v>0</v>
      </c>
      <c r="G918">
        <v>1.4678264834032657</v>
      </c>
      <c r="H918">
        <v>16.880892580547251</v>
      </c>
      <c r="I918">
        <v>7.8829268586833035E-4</v>
      </c>
      <c r="J918">
        <v>8.0587046788802061E-2</v>
      </c>
      <c r="K918" s="1" t="str">
        <f t="shared" si="126"/>
        <v>out</v>
      </c>
      <c r="L918" s="1">
        <f t="shared" si="127"/>
        <v>0.23194924769566749</v>
      </c>
      <c r="M918">
        <f t="shared" si="128"/>
        <v>0.3503328786010238</v>
      </c>
      <c r="N918">
        <f t="shared" si="129"/>
        <v>0</v>
      </c>
      <c r="O918">
        <f t="shared" si="130"/>
        <v>1.4678264834032657</v>
      </c>
      <c r="P918">
        <f t="shared" si="131"/>
        <v>16.880892580547251</v>
      </c>
      <c r="Q918">
        <f t="shared" si="132"/>
        <v>7.8829268586833035E-4</v>
      </c>
      <c r="R918">
        <f t="shared" si="133"/>
        <v>8.0587046788802061E-2</v>
      </c>
      <c r="S918">
        <f t="shared" si="134"/>
        <v>1</v>
      </c>
    </row>
    <row r="919" spans="1:19" x14ac:dyDescent="0.3">
      <c r="A919" t="s">
        <v>296</v>
      </c>
      <c r="B919">
        <v>2007</v>
      </c>
      <c r="C919">
        <v>0.27588315417261855</v>
      </c>
      <c r="D919">
        <v>2.0694916511155587E-2</v>
      </c>
      <c r="E919">
        <v>8.4934540571747444E-2</v>
      </c>
      <c r="F919">
        <v>0</v>
      </c>
      <c r="G919">
        <v>1.2667819634258817</v>
      </c>
      <c r="H919">
        <v>17.287102810075602</v>
      </c>
      <c r="I919">
        <v>2.1275673913586535E-2</v>
      </c>
      <c r="J919">
        <v>7.0662461822284875E-3</v>
      </c>
      <c r="K919" s="1">
        <f t="shared" si="126"/>
        <v>0.27588315417261855</v>
      </c>
      <c r="L919" s="1">
        <f t="shared" si="127"/>
        <v>2.0694916511155587E-2</v>
      </c>
      <c r="M919">
        <f t="shared" si="128"/>
        <v>8.4934540571747444E-2</v>
      </c>
      <c r="N919">
        <f t="shared" si="129"/>
        <v>0</v>
      </c>
      <c r="O919">
        <f t="shared" si="130"/>
        <v>1.2667819634258817</v>
      </c>
      <c r="P919">
        <f t="shared" si="131"/>
        <v>17.287102810075602</v>
      </c>
      <c r="Q919">
        <f t="shared" si="132"/>
        <v>2.1275673913586535E-2</v>
      </c>
      <c r="R919">
        <f t="shared" si="133"/>
        <v>7.0662461822284875E-3</v>
      </c>
      <c r="S919">
        <f t="shared" si="134"/>
        <v>0</v>
      </c>
    </row>
    <row r="920" spans="1:19" x14ac:dyDescent="0.3">
      <c r="A920" t="s">
        <v>296</v>
      </c>
      <c r="B920">
        <v>2008</v>
      </c>
      <c r="C920">
        <v>0.3782784444209315</v>
      </c>
      <c r="D920">
        <v>6.5468281769621939E-2</v>
      </c>
      <c r="E920">
        <v>0.17357173851104915</v>
      </c>
      <c r="F920">
        <v>0</v>
      </c>
      <c r="G920">
        <v>0.8529270292996074</v>
      </c>
      <c r="H920">
        <v>17.729155906681591</v>
      </c>
      <c r="I920">
        <v>2.0463142426312659E-2</v>
      </c>
      <c r="J920">
        <v>1.1353965021153753E-2</v>
      </c>
      <c r="K920" s="1" t="str">
        <f t="shared" si="126"/>
        <v>out</v>
      </c>
      <c r="L920" s="1">
        <f t="shared" si="127"/>
        <v>6.5468281769621939E-2</v>
      </c>
      <c r="M920">
        <f t="shared" si="128"/>
        <v>0.17357173851104915</v>
      </c>
      <c r="N920">
        <f t="shared" si="129"/>
        <v>0</v>
      </c>
      <c r="O920">
        <f t="shared" si="130"/>
        <v>0.8529270292996074</v>
      </c>
      <c r="P920">
        <f t="shared" si="131"/>
        <v>17.729155906681591</v>
      </c>
      <c r="Q920">
        <f t="shared" si="132"/>
        <v>2.0463142426312659E-2</v>
      </c>
      <c r="R920">
        <f t="shared" si="133"/>
        <v>1.1353965021153753E-2</v>
      </c>
      <c r="S920">
        <f t="shared" si="134"/>
        <v>1</v>
      </c>
    </row>
    <row r="921" spans="1:19" x14ac:dyDescent="0.3">
      <c r="A921" t="s">
        <v>296</v>
      </c>
      <c r="B921">
        <v>2009</v>
      </c>
      <c r="C921">
        <v>0.14614771502368898</v>
      </c>
      <c r="D921">
        <v>2.5787680163867708E-2</v>
      </c>
      <c r="E921">
        <v>-8.9405951846440485E-2</v>
      </c>
      <c r="F921">
        <v>0</v>
      </c>
      <c r="G921">
        <v>0.94912491113046049</v>
      </c>
      <c r="H921">
        <v>17.656157919642752</v>
      </c>
      <c r="I921">
        <v>6.2137707664875266E-3</v>
      </c>
      <c r="J921">
        <v>0</v>
      </c>
      <c r="K921" s="1">
        <f t="shared" si="126"/>
        <v>0.14614771502368898</v>
      </c>
      <c r="L921" s="1">
        <f t="shared" si="127"/>
        <v>2.5787680163867708E-2</v>
      </c>
      <c r="M921">
        <f t="shared" si="128"/>
        <v>-8.9405951846440485E-2</v>
      </c>
      <c r="N921">
        <f t="shared" si="129"/>
        <v>0</v>
      </c>
      <c r="O921">
        <f t="shared" si="130"/>
        <v>0.94912491113046049</v>
      </c>
      <c r="P921">
        <f t="shared" si="131"/>
        <v>17.656157919642752</v>
      </c>
      <c r="Q921">
        <f t="shared" si="132"/>
        <v>6.2137707664875266E-3</v>
      </c>
      <c r="R921">
        <f t="shared" si="133"/>
        <v>0</v>
      </c>
      <c r="S921">
        <f t="shared" si="134"/>
        <v>0</v>
      </c>
    </row>
    <row r="922" spans="1:19" x14ac:dyDescent="0.3">
      <c r="A922" t="s">
        <v>296</v>
      </c>
      <c r="B922">
        <v>2010</v>
      </c>
      <c r="C922">
        <v>6.3798228807716045E-2</v>
      </c>
      <c r="D922">
        <v>4.9139602768788048E-3</v>
      </c>
      <c r="E922">
        <v>-6.3647910779391262E-2</v>
      </c>
      <c r="F922">
        <v>0</v>
      </c>
      <c r="G922">
        <v>0.91614012730770822</v>
      </c>
      <c r="H922">
        <v>17.946744190890804</v>
      </c>
      <c r="I922">
        <v>1.14737466554424E-2</v>
      </c>
      <c r="J922">
        <v>0</v>
      </c>
      <c r="K922" s="1">
        <f t="shared" si="126"/>
        <v>6.3798228807716045E-2</v>
      </c>
      <c r="L922" s="1">
        <f t="shared" si="127"/>
        <v>4.9139602768788048E-3</v>
      </c>
      <c r="M922">
        <f t="shared" si="128"/>
        <v>-6.3647910779391262E-2</v>
      </c>
      <c r="N922">
        <f t="shared" si="129"/>
        <v>0</v>
      </c>
      <c r="O922">
        <f t="shared" si="130"/>
        <v>0.91614012730770822</v>
      </c>
      <c r="P922">
        <f t="shared" si="131"/>
        <v>17.946744190890804</v>
      </c>
      <c r="Q922">
        <f t="shared" si="132"/>
        <v>1.14737466554424E-2</v>
      </c>
      <c r="R922">
        <f t="shared" si="133"/>
        <v>0</v>
      </c>
      <c r="S922">
        <f t="shared" si="134"/>
        <v>0</v>
      </c>
    </row>
    <row r="923" spans="1:19" x14ac:dyDescent="0.3">
      <c r="A923" t="s">
        <v>297</v>
      </c>
      <c r="B923">
        <v>2010</v>
      </c>
      <c r="C923">
        <v>3.3948061301253454E-2</v>
      </c>
      <c r="D923">
        <v>0.113004699251444</v>
      </c>
      <c r="E923">
        <v>-0.41217361167911004</v>
      </c>
      <c r="F923">
        <v>0.2855156437370367</v>
      </c>
      <c r="G923">
        <v>1.0441305687278135</v>
      </c>
      <c r="H923">
        <v>17.24374391820988</v>
      </c>
      <c r="I923">
        <v>6.2616632863908006E-3</v>
      </c>
      <c r="J923">
        <v>0</v>
      </c>
      <c r="K923" s="1">
        <f t="shared" si="126"/>
        <v>3.3948061301253454E-2</v>
      </c>
      <c r="L923" s="1">
        <f t="shared" si="127"/>
        <v>0.113004699251444</v>
      </c>
      <c r="M923">
        <f t="shared" si="128"/>
        <v>-0.41217361167911004</v>
      </c>
      <c r="N923">
        <f t="shared" si="129"/>
        <v>0.2855156437370367</v>
      </c>
      <c r="O923">
        <f t="shared" si="130"/>
        <v>1.0441305687278135</v>
      </c>
      <c r="P923">
        <f t="shared" si="131"/>
        <v>17.24374391820988</v>
      </c>
      <c r="Q923">
        <f t="shared" si="132"/>
        <v>6.2616632863908006E-3</v>
      </c>
      <c r="R923">
        <f t="shared" si="133"/>
        <v>0</v>
      </c>
      <c r="S923">
        <f t="shared" si="134"/>
        <v>0</v>
      </c>
    </row>
    <row r="924" spans="1:19" x14ac:dyDescent="0.3">
      <c r="A924" t="s">
        <v>298</v>
      </c>
      <c r="B924">
        <v>2007</v>
      </c>
      <c r="C924">
        <v>0.35207117405145999</v>
      </c>
      <c r="D924">
        <v>0.19271346690272972</v>
      </c>
      <c r="E924">
        <v>0.31814996949134688</v>
      </c>
      <c r="F924">
        <v>0</v>
      </c>
      <c r="G924">
        <v>1.3464775686725012</v>
      </c>
      <c r="H924">
        <v>17.301096850399933</v>
      </c>
      <c r="I924">
        <v>4.8073869053421314E-3</v>
      </c>
      <c r="J924">
        <v>4.0830770368535402E-3</v>
      </c>
      <c r="K924" s="1" t="str">
        <f t="shared" si="126"/>
        <v>out</v>
      </c>
      <c r="L924" s="1">
        <f t="shared" si="127"/>
        <v>0.19271346690272972</v>
      </c>
      <c r="M924">
        <f t="shared" si="128"/>
        <v>0.31814996949134688</v>
      </c>
      <c r="N924">
        <f t="shared" si="129"/>
        <v>0</v>
      </c>
      <c r="O924">
        <f t="shared" si="130"/>
        <v>1.3464775686725012</v>
      </c>
      <c r="P924">
        <f t="shared" si="131"/>
        <v>17.301096850399933</v>
      </c>
      <c r="Q924">
        <f t="shared" si="132"/>
        <v>4.8073869053421314E-3</v>
      </c>
      <c r="R924">
        <f t="shared" si="133"/>
        <v>4.0830770368535402E-3</v>
      </c>
      <c r="S924">
        <f t="shared" si="134"/>
        <v>1</v>
      </c>
    </row>
    <row r="925" spans="1:19" x14ac:dyDescent="0.3">
      <c r="A925" t="s">
        <v>298</v>
      </c>
      <c r="B925">
        <v>2008</v>
      </c>
      <c r="C925">
        <v>0.28156301688148266</v>
      </c>
      <c r="D925">
        <v>0.19462656219775659</v>
      </c>
      <c r="E925">
        <v>0.31769081237984692</v>
      </c>
      <c r="F925">
        <v>0</v>
      </c>
      <c r="G925">
        <v>0.78951697294355938</v>
      </c>
      <c r="H925">
        <v>17.657210128527062</v>
      </c>
      <c r="I925">
        <v>5.8628136400563101E-2</v>
      </c>
      <c r="J925">
        <v>3.4316987706045849E-3</v>
      </c>
      <c r="K925" s="1">
        <f t="shared" si="126"/>
        <v>0.28156301688148266</v>
      </c>
      <c r="L925" s="1">
        <f t="shared" si="127"/>
        <v>0.19462656219775659</v>
      </c>
      <c r="M925">
        <f t="shared" si="128"/>
        <v>0.31769081237984692</v>
      </c>
      <c r="N925">
        <f t="shared" si="129"/>
        <v>0</v>
      </c>
      <c r="O925">
        <f t="shared" si="130"/>
        <v>0.78951697294355938</v>
      </c>
      <c r="P925">
        <f t="shared" si="131"/>
        <v>17.657210128527062</v>
      </c>
      <c r="Q925">
        <f t="shared" si="132"/>
        <v>5.8628136400563101E-2</v>
      </c>
      <c r="R925">
        <f t="shared" si="133"/>
        <v>3.4316987706045849E-3</v>
      </c>
      <c r="S925">
        <f t="shared" si="134"/>
        <v>0</v>
      </c>
    </row>
    <row r="926" spans="1:19" x14ac:dyDescent="0.3">
      <c r="A926" t="s">
        <v>298</v>
      </c>
      <c r="B926">
        <v>2009</v>
      </c>
      <c r="C926">
        <v>0.18420476220693113</v>
      </c>
      <c r="D926">
        <v>7.1834099503240212E-2</v>
      </c>
      <c r="E926">
        <v>0.33769099921593326</v>
      </c>
      <c r="F926">
        <v>0</v>
      </c>
      <c r="G926">
        <v>0.92412314143114926</v>
      </c>
      <c r="H926">
        <v>17.561351721850961</v>
      </c>
      <c r="I926">
        <v>1.6956008108062495E-2</v>
      </c>
      <c r="J926">
        <v>2.3605908199274755E-2</v>
      </c>
      <c r="K926" s="1">
        <f t="shared" si="126"/>
        <v>0.18420476220693113</v>
      </c>
      <c r="L926" s="1">
        <f t="shared" si="127"/>
        <v>7.1834099503240212E-2</v>
      </c>
      <c r="M926">
        <f t="shared" si="128"/>
        <v>0.33769099921593326</v>
      </c>
      <c r="N926">
        <f t="shared" si="129"/>
        <v>0</v>
      </c>
      <c r="O926">
        <f t="shared" si="130"/>
        <v>0.92412314143114926</v>
      </c>
      <c r="P926">
        <f t="shared" si="131"/>
        <v>17.561351721850961</v>
      </c>
      <c r="Q926">
        <f t="shared" si="132"/>
        <v>1.6956008108062495E-2</v>
      </c>
      <c r="R926">
        <f t="shared" si="133"/>
        <v>2.3605908199274755E-2</v>
      </c>
      <c r="S926">
        <f t="shared" si="134"/>
        <v>0</v>
      </c>
    </row>
    <row r="927" spans="1:19" x14ac:dyDescent="0.3">
      <c r="A927" t="s">
        <v>298</v>
      </c>
      <c r="B927">
        <v>2010</v>
      </c>
      <c r="C927">
        <v>0.31389009560755676</v>
      </c>
      <c r="D927">
        <v>0.10400547306006518</v>
      </c>
      <c r="E927">
        <v>0.30995648860701902</v>
      </c>
      <c r="F927">
        <v>0</v>
      </c>
      <c r="G927">
        <v>1.043686224391241</v>
      </c>
      <c r="H927">
        <v>17.759790063378905</v>
      </c>
      <c r="I927">
        <v>2.5045960390873707E-2</v>
      </c>
      <c r="J927">
        <v>3.0971326214918576E-2</v>
      </c>
      <c r="K927" s="1">
        <f t="shared" si="126"/>
        <v>0.31389009560755676</v>
      </c>
      <c r="L927" s="1">
        <f t="shared" si="127"/>
        <v>0.10400547306006518</v>
      </c>
      <c r="M927">
        <f t="shared" si="128"/>
        <v>0.30995648860701902</v>
      </c>
      <c r="N927">
        <f t="shared" si="129"/>
        <v>0</v>
      </c>
      <c r="O927">
        <f t="shared" si="130"/>
        <v>1.043686224391241</v>
      </c>
      <c r="P927">
        <f t="shared" si="131"/>
        <v>17.759790063378905</v>
      </c>
      <c r="Q927">
        <f t="shared" si="132"/>
        <v>2.5045960390873707E-2</v>
      </c>
      <c r="R927">
        <f t="shared" si="133"/>
        <v>3.0971326214918576E-2</v>
      </c>
      <c r="S927">
        <f t="shared" si="134"/>
        <v>0</v>
      </c>
    </row>
    <row r="928" spans="1:19" x14ac:dyDescent="0.3">
      <c r="A928" t="s">
        <v>299</v>
      </c>
      <c r="B928">
        <v>2007</v>
      </c>
      <c r="C928">
        <v>0.12682864811572128</v>
      </c>
      <c r="D928">
        <v>0.34003326725923921</v>
      </c>
      <c r="E928">
        <v>0.45254583500596873</v>
      </c>
      <c r="F928">
        <v>0</v>
      </c>
      <c r="G928">
        <v>2.856221628146892</v>
      </c>
      <c r="H928">
        <v>17.035201890215919</v>
      </c>
      <c r="I928">
        <v>3.5216674377872709E-3</v>
      </c>
      <c r="J928">
        <v>0.11817654684602114</v>
      </c>
      <c r="K928" s="1">
        <f t="shared" si="126"/>
        <v>0.12682864811572128</v>
      </c>
      <c r="L928" s="1">
        <f t="shared" si="127"/>
        <v>0.34003326725923921</v>
      </c>
      <c r="M928">
        <f t="shared" si="128"/>
        <v>0.45254583500596873</v>
      </c>
      <c r="N928">
        <f t="shared" si="129"/>
        <v>0</v>
      </c>
      <c r="O928">
        <f t="shared" si="130"/>
        <v>2.856221628146892</v>
      </c>
      <c r="P928">
        <f t="shared" si="131"/>
        <v>17.035201890215919</v>
      </c>
      <c r="Q928">
        <f t="shared" si="132"/>
        <v>3.5216674377872709E-3</v>
      </c>
      <c r="R928">
        <f t="shared" si="133"/>
        <v>0.11817654684602114</v>
      </c>
      <c r="S928">
        <f t="shared" si="134"/>
        <v>0</v>
      </c>
    </row>
    <row r="929" spans="1:19" x14ac:dyDescent="0.3">
      <c r="A929" t="s">
        <v>299</v>
      </c>
      <c r="B929">
        <v>2008</v>
      </c>
      <c r="C929">
        <v>0.22589533013094687</v>
      </c>
      <c r="D929">
        <v>0.30902022356829384</v>
      </c>
      <c r="E929">
        <v>0.45669664963976497</v>
      </c>
      <c r="F929">
        <v>0</v>
      </c>
      <c r="G929">
        <v>0.84280518661501269</v>
      </c>
      <c r="H929">
        <v>17.308009732936398</v>
      </c>
      <c r="I929">
        <v>4.7750581218788238E-2</v>
      </c>
      <c r="J929">
        <v>9.5957988058167729E-2</v>
      </c>
      <c r="K929" s="1">
        <f t="shared" si="126"/>
        <v>0.22589533013094687</v>
      </c>
      <c r="L929" s="1">
        <f t="shared" si="127"/>
        <v>0.30902022356829384</v>
      </c>
      <c r="M929">
        <f t="shared" si="128"/>
        <v>0.45669664963976497</v>
      </c>
      <c r="N929">
        <f t="shared" si="129"/>
        <v>0</v>
      </c>
      <c r="O929">
        <f t="shared" si="130"/>
        <v>0.84280518661501269</v>
      </c>
      <c r="P929">
        <f t="shared" si="131"/>
        <v>17.308009732936398</v>
      </c>
      <c r="Q929">
        <f t="shared" si="132"/>
        <v>4.7750581218788238E-2</v>
      </c>
      <c r="R929">
        <f t="shared" si="133"/>
        <v>9.5957988058167729E-2</v>
      </c>
      <c r="S929">
        <f t="shared" si="134"/>
        <v>0</v>
      </c>
    </row>
    <row r="930" spans="1:19" x14ac:dyDescent="0.3">
      <c r="A930" t="s">
        <v>299</v>
      </c>
      <c r="B930">
        <v>2009</v>
      </c>
      <c r="C930">
        <v>0.11153973218842644</v>
      </c>
      <c r="D930">
        <v>0.20927305710171656</v>
      </c>
      <c r="E930">
        <v>0.1958258977043037</v>
      </c>
      <c r="F930">
        <v>0</v>
      </c>
      <c r="G930">
        <v>1.7393320702173574</v>
      </c>
      <c r="H930">
        <v>17.413695834623542</v>
      </c>
      <c r="I930">
        <v>2.0455760905883216E-2</v>
      </c>
      <c r="J930">
        <v>0.11655097182381448</v>
      </c>
      <c r="K930" s="1">
        <f t="shared" si="126"/>
        <v>0.11153973218842644</v>
      </c>
      <c r="L930" s="1">
        <f t="shared" si="127"/>
        <v>0.20927305710171656</v>
      </c>
      <c r="M930">
        <f t="shared" si="128"/>
        <v>0.1958258977043037</v>
      </c>
      <c r="N930">
        <f t="shared" si="129"/>
        <v>0</v>
      </c>
      <c r="O930">
        <f t="shared" si="130"/>
        <v>1.7393320702173574</v>
      </c>
      <c r="P930">
        <f t="shared" si="131"/>
        <v>17.413695834623542</v>
      </c>
      <c r="Q930">
        <f t="shared" si="132"/>
        <v>2.0455760905883216E-2</v>
      </c>
      <c r="R930">
        <f t="shared" si="133"/>
        <v>0.11655097182381448</v>
      </c>
      <c r="S930">
        <f t="shared" si="134"/>
        <v>0</v>
      </c>
    </row>
    <row r="931" spans="1:19" x14ac:dyDescent="0.3">
      <c r="A931" t="s">
        <v>299</v>
      </c>
      <c r="B931">
        <v>2010</v>
      </c>
      <c r="C931">
        <v>9.9856332245212148E-2</v>
      </c>
      <c r="D931">
        <v>0.26149508165498253</v>
      </c>
      <c r="E931">
        <v>0.21707283690320359</v>
      </c>
      <c r="F931">
        <v>0</v>
      </c>
      <c r="G931">
        <v>1.9214567648356484</v>
      </c>
      <c r="H931">
        <v>17.549253763682948</v>
      </c>
      <c r="I931">
        <v>2.7918622449593655E-2</v>
      </c>
      <c r="J931">
        <v>0.14418215151402589</v>
      </c>
      <c r="K931" s="1">
        <f t="shared" si="126"/>
        <v>9.9856332245212148E-2</v>
      </c>
      <c r="L931" s="1">
        <f t="shared" si="127"/>
        <v>0.26149508165498253</v>
      </c>
      <c r="M931">
        <f t="shared" si="128"/>
        <v>0.21707283690320359</v>
      </c>
      <c r="N931">
        <f t="shared" si="129"/>
        <v>0</v>
      </c>
      <c r="O931">
        <f t="shared" si="130"/>
        <v>1.9214567648356484</v>
      </c>
      <c r="P931">
        <f t="shared" si="131"/>
        <v>17.549253763682948</v>
      </c>
      <c r="Q931">
        <f t="shared" si="132"/>
        <v>2.7918622449593655E-2</v>
      </c>
      <c r="R931" t="str">
        <f t="shared" si="133"/>
        <v>out</v>
      </c>
      <c r="S931">
        <f t="shared" si="134"/>
        <v>1</v>
      </c>
    </row>
    <row r="932" spans="1:19" x14ac:dyDescent="0.3">
      <c r="A932" t="s">
        <v>300</v>
      </c>
      <c r="B932">
        <v>2007</v>
      </c>
      <c r="C932">
        <v>1.5632274731792541E-2</v>
      </c>
      <c r="D932">
        <v>0.51605258181475255</v>
      </c>
      <c r="E932">
        <v>0.49216767216027674</v>
      </c>
      <c r="F932">
        <v>1.0064895905974147E-3</v>
      </c>
      <c r="G932">
        <v>3.5403319672517641</v>
      </c>
      <c r="H932">
        <v>17.734888946119685</v>
      </c>
      <c r="I932">
        <v>5.322888851838431E-3</v>
      </c>
      <c r="J932">
        <v>6.127303184242331E-2</v>
      </c>
      <c r="K932" s="1">
        <f t="shared" si="126"/>
        <v>1.5632274731792541E-2</v>
      </c>
      <c r="L932" s="1">
        <f t="shared" si="127"/>
        <v>0.51605258181475255</v>
      </c>
      <c r="M932">
        <f t="shared" si="128"/>
        <v>0.49216767216027674</v>
      </c>
      <c r="N932">
        <f t="shared" si="129"/>
        <v>1.0064895905974147E-3</v>
      </c>
      <c r="O932">
        <f t="shared" si="130"/>
        <v>3.5403319672517641</v>
      </c>
      <c r="P932">
        <f t="shared" si="131"/>
        <v>17.734888946119685</v>
      </c>
      <c r="Q932">
        <f t="shared" si="132"/>
        <v>5.322888851838431E-3</v>
      </c>
      <c r="R932">
        <f t="shared" si="133"/>
        <v>6.127303184242331E-2</v>
      </c>
      <c r="S932">
        <f t="shared" si="134"/>
        <v>0</v>
      </c>
    </row>
    <row r="933" spans="1:19" x14ac:dyDescent="0.3">
      <c r="A933" t="s">
        <v>300</v>
      </c>
      <c r="B933">
        <v>2008</v>
      </c>
      <c r="C933">
        <v>1.7942207316649302E-2</v>
      </c>
      <c r="D933">
        <v>0.53412748623840345</v>
      </c>
      <c r="E933">
        <v>0.36648016893099172</v>
      </c>
      <c r="F933">
        <v>7.3406434310352572E-4</v>
      </c>
      <c r="G933">
        <v>1.5286772075323867</v>
      </c>
      <c r="H933">
        <v>17.926765677319445</v>
      </c>
      <c r="I933">
        <v>1.423699586030594E-2</v>
      </c>
      <c r="J933">
        <v>0.19162381374538473</v>
      </c>
      <c r="K933" s="1">
        <f t="shared" si="126"/>
        <v>1.7942207316649302E-2</v>
      </c>
      <c r="L933" s="1">
        <f t="shared" si="127"/>
        <v>0.53412748623840345</v>
      </c>
      <c r="M933">
        <f t="shared" si="128"/>
        <v>0.36648016893099172</v>
      </c>
      <c r="N933">
        <f t="shared" si="129"/>
        <v>7.3406434310352572E-4</v>
      </c>
      <c r="O933">
        <f t="shared" si="130"/>
        <v>1.5286772075323867</v>
      </c>
      <c r="P933">
        <f t="shared" si="131"/>
        <v>17.926765677319445</v>
      </c>
      <c r="Q933">
        <f t="shared" si="132"/>
        <v>1.423699586030594E-2</v>
      </c>
      <c r="R933" t="str">
        <f t="shared" si="133"/>
        <v>out</v>
      </c>
      <c r="S933">
        <f t="shared" si="134"/>
        <v>1</v>
      </c>
    </row>
    <row r="934" spans="1:19" x14ac:dyDescent="0.3">
      <c r="A934" t="s">
        <v>300</v>
      </c>
      <c r="B934">
        <v>2009</v>
      </c>
      <c r="C934">
        <v>1.6695822432911154E-2</v>
      </c>
      <c r="D934">
        <v>0.53327482200055865</v>
      </c>
      <c r="E934">
        <v>0.37134594473540983</v>
      </c>
      <c r="F934">
        <v>1.7614304748493391E-3</v>
      </c>
      <c r="G934">
        <v>2.1405148854569682</v>
      </c>
      <c r="H934">
        <v>18.233340185012491</v>
      </c>
      <c r="I934">
        <v>7.687402663251619E-2</v>
      </c>
      <c r="J934">
        <v>0.13010964054750698</v>
      </c>
      <c r="K934" s="1">
        <f t="shared" si="126"/>
        <v>1.6695822432911154E-2</v>
      </c>
      <c r="L934" s="1">
        <f t="shared" si="127"/>
        <v>0.53327482200055865</v>
      </c>
      <c r="M934">
        <f t="shared" si="128"/>
        <v>0.37134594473540983</v>
      </c>
      <c r="N934">
        <f t="shared" si="129"/>
        <v>1.7614304748493391E-3</v>
      </c>
      <c r="O934">
        <f t="shared" si="130"/>
        <v>2.1405148854569682</v>
      </c>
      <c r="P934">
        <f t="shared" si="131"/>
        <v>18.233340185012491</v>
      </c>
      <c r="Q934">
        <f t="shared" si="132"/>
        <v>7.687402663251619E-2</v>
      </c>
      <c r="R934" t="str">
        <f t="shared" si="133"/>
        <v>out</v>
      </c>
      <c r="S934">
        <f t="shared" si="134"/>
        <v>1</v>
      </c>
    </row>
    <row r="935" spans="1:19" x14ac:dyDescent="0.3">
      <c r="A935" t="s">
        <v>300</v>
      </c>
      <c r="B935">
        <v>2010</v>
      </c>
      <c r="C935">
        <v>1.7423315351575586E-2</v>
      </c>
      <c r="D935">
        <v>0.35290640604174867</v>
      </c>
      <c r="E935">
        <v>0.40373857928041978</v>
      </c>
      <c r="F935">
        <v>1.207114736631764E-2</v>
      </c>
      <c r="G935">
        <v>2.26734479905913</v>
      </c>
      <c r="H935">
        <v>18.493741438616695</v>
      </c>
      <c r="I935">
        <v>1.808022868824459E-2</v>
      </c>
      <c r="J935">
        <v>8.3310120285556413E-2</v>
      </c>
      <c r="K935" s="1">
        <f t="shared" si="126"/>
        <v>1.7423315351575586E-2</v>
      </c>
      <c r="L935" s="1">
        <f t="shared" si="127"/>
        <v>0.35290640604174867</v>
      </c>
      <c r="M935">
        <f t="shared" si="128"/>
        <v>0.40373857928041978</v>
      </c>
      <c r="N935">
        <f t="shared" si="129"/>
        <v>1.207114736631764E-2</v>
      </c>
      <c r="O935">
        <f t="shared" si="130"/>
        <v>2.26734479905913</v>
      </c>
      <c r="P935">
        <f t="shared" si="131"/>
        <v>18.493741438616695</v>
      </c>
      <c r="Q935">
        <f t="shared" si="132"/>
        <v>1.808022868824459E-2</v>
      </c>
      <c r="R935">
        <f t="shared" si="133"/>
        <v>8.3310120285556413E-2</v>
      </c>
      <c r="S935">
        <f t="shared" si="134"/>
        <v>0</v>
      </c>
    </row>
    <row r="936" spans="1:19" x14ac:dyDescent="0.3">
      <c r="A936" t="s">
        <v>301</v>
      </c>
      <c r="B936">
        <v>2007</v>
      </c>
      <c r="C936">
        <v>0.11563498342324904</v>
      </c>
      <c r="D936">
        <v>4.3330512381649228E-2</v>
      </c>
      <c r="E936">
        <v>0.26234680438194635</v>
      </c>
      <c r="F936">
        <v>0</v>
      </c>
      <c r="G936">
        <v>1.1831893885371041</v>
      </c>
      <c r="H936">
        <v>16.502441509403344</v>
      </c>
      <c r="I936">
        <v>4.7500777214102008E-2</v>
      </c>
      <c r="J936">
        <v>6.7408693392783719E-3</v>
      </c>
      <c r="K936" s="1">
        <f t="shared" si="126"/>
        <v>0.11563498342324904</v>
      </c>
      <c r="L936" s="1">
        <f t="shared" si="127"/>
        <v>4.3330512381649228E-2</v>
      </c>
      <c r="M936">
        <f t="shared" si="128"/>
        <v>0.26234680438194635</v>
      </c>
      <c r="N936">
        <f t="shared" si="129"/>
        <v>0</v>
      </c>
      <c r="O936">
        <f t="shared" si="130"/>
        <v>1.1831893885371041</v>
      </c>
      <c r="P936">
        <f t="shared" si="131"/>
        <v>16.502441509403344</v>
      </c>
      <c r="Q936">
        <f t="shared" si="132"/>
        <v>4.7500777214102008E-2</v>
      </c>
      <c r="R936">
        <f t="shared" si="133"/>
        <v>6.7408693392783719E-3</v>
      </c>
      <c r="S936">
        <f t="shared" si="134"/>
        <v>0</v>
      </c>
    </row>
    <row r="937" spans="1:19" x14ac:dyDescent="0.3">
      <c r="A937" t="s">
        <v>301</v>
      </c>
      <c r="B937">
        <v>2008</v>
      </c>
      <c r="C937">
        <v>0.11131190225035457</v>
      </c>
      <c r="D937">
        <v>0.1429597061695411</v>
      </c>
      <c r="E937">
        <v>0.24465848081589509</v>
      </c>
      <c r="F937">
        <v>0</v>
      </c>
      <c r="G937">
        <v>0.85858169896478531</v>
      </c>
      <c r="H937">
        <v>16.984022172502112</v>
      </c>
      <c r="I937">
        <v>6.3585320400255108E-3</v>
      </c>
      <c r="J937">
        <v>0</v>
      </c>
      <c r="K937" s="1">
        <f t="shared" si="126"/>
        <v>0.11131190225035457</v>
      </c>
      <c r="L937" s="1">
        <f t="shared" si="127"/>
        <v>0.1429597061695411</v>
      </c>
      <c r="M937">
        <f t="shared" si="128"/>
        <v>0.24465848081589509</v>
      </c>
      <c r="N937">
        <f t="shared" si="129"/>
        <v>0</v>
      </c>
      <c r="O937">
        <f t="shared" si="130"/>
        <v>0.85858169896478531</v>
      </c>
      <c r="P937">
        <f t="shared" si="131"/>
        <v>16.984022172502112</v>
      </c>
      <c r="Q937">
        <f t="shared" si="132"/>
        <v>6.3585320400255108E-3</v>
      </c>
      <c r="R937">
        <f t="shared" si="133"/>
        <v>0</v>
      </c>
      <c r="S937">
        <f t="shared" si="134"/>
        <v>0</v>
      </c>
    </row>
    <row r="938" spans="1:19" x14ac:dyDescent="0.3">
      <c r="A938" t="s">
        <v>301</v>
      </c>
      <c r="B938">
        <v>2009</v>
      </c>
      <c r="C938">
        <v>0.12005562712629977</v>
      </c>
      <c r="D938">
        <v>0.1729430959615523</v>
      </c>
      <c r="E938">
        <v>-3.7744583486671798E-2</v>
      </c>
      <c r="F938">
        <v>0.12607718064184603</v>
      </c>
      <c r="G938">
        <v>1.0627913634249804</v>
      </c>
      <c r="H938">
        <v>17.298805304276684</v>
      </c>
      <c r="I938">
        <v>4.8744350451449037E-2</v>
      </c>
      <c r="J938">
        <v>0</v>
      </c>
      <c r="K938" s="1">
        <f t="shared" si="126"/>
        <v>0.12005562712629977</v>
      </c>
      <c r="L938" s="1">
        <f t="shared" si="127"/>
        <v>0.1729430959615523</v>
      </c>
      <c r="M938">
        <f t="shared" si="128"/>
        <v>-3.7744583486671798E-2</v>
      </c>
      <c r="N938">
        <f t="shared" si="129"/>
        <v>0.12607718064184603</v>
      </c>
      <c r="O938">
        <f t="shared" si="130"/>
        <v>1.0627913634249804</v>
      </c>
      <c r="P938">
        <f t="shared" si="131"/>
        <v>17.298805304276684</v>
      </c>
      <c r="Q938">
        <f t="shared" si="132"/>
        <v>4.8744350451449037E-2</v>
      </c>
      <c r="R938">
        <f t="shared" si="133"/>
        <v>0</v>
      </c>
      <c r="S938">
        <f t="shared" si="134"/>
        <v>0</v>
      </c>
    </row>
    <row r="939" spans="1:19" x14ac:dyDescent="0.3">
      <c r="A939" t="s">
        <v>301</v>
      </c>
      <c r="B939">
        <v>2010</v>
      </c>
      <c r="C939">
        <v>3.1076112301227918E-4</v>
      </c>
      <c r="D939">
        <v>6.706766193182076E-2</v>
      </c>
      <c r="E939">
        <v>-0.10843635113168248</v>
      </c>
      <c r="F939">
        <v>0.10277832757760959</v>
      </c>
      <c r="G939">
        <v>1.0460561360966512</v>
      </c>
      <c r="H939">
        <v>17.244962202005354</v>
      </c>
      <c r="I939">
        <v>1.1218727229749656E-2</v>
      </c>
      <c r="J939">
        <v>0</v>
      </c>
      <c r="K939" s="1">
        <f t="shared" si="126"/>
        <v>3.1076112301227918E-4</v>
      </c>
      <c r="L939" s="1">
        <f t="shared" si="127"/>
        <v>6.706766193182076E-2</v>
      </c>
      <c r="M939">
        <f t="shared" si="128"/>
        <v>-0.10843635113168248</v>
      </c>
      <c r="N939">
        <f t="shared" si="129"/>
        <v>0.10277832757760959</v>
      </c>
      <c r="O939">
        <f t="shared" si="130"/>
        <v>1.0460561360966512</v>
      </c>
      <c r="P939">
        <f t="shared" si="131"/>
        <v>17.244962202005354</v>
      </c>
      <c r="Q939">
        <f t="shared" si="132"/>
        <v>1.1218727229749656E-2</v>
      </c>
      <c r="R939">
        <f t="shared" si="133"/>
        <v>0</v>
      </c>
      <c r="S939">
        <f t="shared" si="134"/>
        <v>0</v>
      </c>
    </row>
    <row r="940" spans="1:19" x14ac:dyDescent="0.3">
      <c r="A940" t="s">
        <v>302</v>
      </c>
      <c r="B940">
        <v>2007</v>
      </c>
      <c r="C940">
        <v>2.0368352810105635E-2</v>
      </c>
      <c r="D940">
        <v>0.10998705265234641</v>
      </c>
      <c r="E940">
        <v>0.17127572752647055</v>
      </c>
      <c r="F940">
        <v>0.12128855579037058</v>
      </c>
      <c r="G940">
        <v>1.6529645197984433</v>
      </c>
      <c r="H940">
        <v>18.129490056837909</v>
      </c>
      <c r="I940">
        <v>4.3116963666785017E-2</v>
      </c>
      <c r="J940">
        <v>4.8194118292850099E-2</v>
      </c>
      <c r="K940" s="1">
        <f t="shared" si="126"/>
        <v>2.0368352810105635E-2</v>
      </c>
      <c r="L940" s="1">
        <f t="shared" si="127"/>
        <v>0.10998705265234641</v>
      </c>
      <c r="M940">
        <f t="shared" si="128"/>
        <v>0.17127572752647055</v>
      </c>
      <c r="N940">
        <f t="shared" si="129"/>
        <v>0.12128855579037058</v>
      </c>
      <c r="O940">
        <f t="shared" si="130"/>
        <v>1.6529645197984433</v>
      </c>
      <c r="P940">
        <f t="shared" si="131"/>
        <v>18.129490056837909</v>
      </c>
      <c r="Q940">
        <f t="shared" si="132"/>
        <v>4.3116963666785017E-2</v>
      </c>
      <c r="R940">
        <f t="shared" si="133"/>
        <v>4.8194118292850099E-2</v>
      </c>
      <c r="S940">
        <f t="shared" si="134"/>
        <v>0</v>
      </c>
    </row>
    <row r="941" spans="1:19" x14ac:dyDescent="0.3">
      <c r="A941" t="s">
        <v>302</v>
      </c>
      <c r="B941">
        <v>2008</v>
      </c>
      <c r="C941">
        <v>2.374824581099114E-2</v>
      </c>
      <c r="D941">
        <v>0.17698485925814503</v>
      </c>
      <c r="E941">
        <v>0.18408464572659181</v>
      </c>
      <c r="F941">
        <v>8.6522746200496228E-2</v>
      </c>
      <c r="G941">
        <v>0.95148880741266506</v>
      </c>
      <c r="H941">
        <v>18.660563568614872</v>
      </c>
      <c r="I941">
        <v>5.0676282265417455E-2</v>
      </c>
      <c r="J941">
        <v>3.1710293177516613E-2</v>
      </c>
      <c r="K941" s="1">
        <f t="shared" si="126"/>
        <v>2.374824581099114E-2</v>
      </c>
      <c r="L941" s="1">
        <f t="shared" si="127"/>
        <v>0.17698485925814503</v>
      </c>
      <c r="M941">
        <f t="shared" si="128"/>
        <v>0.18408464572659181</v>
      </c>
      <c r="N941">
        <f t="shared" si="129"/>
        <v>8.6522746200496228E-2</v>
      </c>
      <c r="O941">
        <f t="shared" si="130"/>
        <v>0.95148880741266506</v>
      </c>
      <c r="P941">
        <f t="shared" si="131"/>
        <v>18.660563568614872</v>
      </c>
      <c r="Q941">
        <f t="shared" si="132"/>
        <v>5.0676282265417455E-2</v>
      </c>
      <c r="R941">
        <f t="shared" si="133"/>
        <v>3.1710293177516613E-2</v>
      </c>
      <c r="S941">
        <f t="shared" si="134"/>
        <v>0</v>
      </c>
    </row>
    <row r="942" spans="1:19" x14ac:dyDescent="0.3">
      <c r="A942" t="s">
        <v>302</v>
      </c>
      <c r="B942">
        <v>2009</v>
      </c>
      <c r="C942">
        <v>1.8792120483288006E-2</v>
      </c>
      <c r="D942">
        <v>8.1465442264883059E-2</v>
      </c>
      <c r="E942">
        <v>5.6487493097698085E-2</v>
      </c>
      <c r="F942">
        <v>0.12158992457146349</v>
      </c>
      <c r="G942">
        <v>1.1964958664925782</v>
      </c>
      <c r="H942">
        <v>18.848700525602467</v>
      </c>
      <c r="I942">
        <v>6.858740836311137E-3</v>
      </c>
      <c r="J942">
        <v>5.5897915263493818E-3</v>
      </c>
      <c r="K942" s="1">
        <f t="shared" si="126"/>
        <v>1.8792120483288006E-2</v>
      </c>
      <c r="L942" s="1">
        <f t="shared" si="127"/>
        <v>8.1465442264883059E-2</v>
      </c>
      <c r="M942">
        <f t="shared" si="128"/>
        <v>5.6487493097698085E-2</v>
      </c>
      <c r="N942">
        <f t="shared" si="129"/>
        <v>0.12158992457146349</v>
      </c>
      <c r="O942">
        <f t="shared" si="130"/>
        <v>1.1964958664925782</v>
      </c>
      <c r="P942">
        <f t="shared" si="131"/>
        <v>18.848700525602467</v>
      </c>
      <c r="Q942">
        <f t="shared" si="132"/>
        <v>6.858740836311137E-3</v>
      </c>
      <c r="R942">
        <f t="shared" si="133"/>
        <v>5.5897915263493818E-3</v>
      </c>
      <c r="S942">
        <f t="shared" si="134"/>
        <v>0</v>
      </c>
    </row>
    <row r="943" spans="1:19" x14ac:dyDescent="0.3">
      <c r="A943" t="s">
        <v>302</v>
      </c>
      <c r="B943">
        <v>2010</v>
      </c>
      <c r="C943">
        <v>8.7914752036711251E-3</v>
      </c>
      <c r="D943">
        <v>9.4442533229580058E-2</v>
      </c>
      <c r="E943">
        <v>0.11519383052095498</v>
      </c>
      <c r="F943">
        <v>6.4381510199414294E-2</v>
      </c>
      <c r="G943">
        <v>1.1052769972842367</v>
      </c>
      <c r="H943">
        <v>19.125003944495628</v>
      </c>
      <c r="I943">
        <v>8.8978103326125615E-3</v>
      </c>
      <c r="J943">
        <v>6.7845108836098195E-3</v>
      </c>
      <c r="K943" s="1">
        <f t="shared" si="126"/>
        <v>8.7914752036711251E-3</v>
      </c>
      <c r="L943" s="1">
        <f t="shared" si="127"/>
        <v>9.4442533229580058E-2</v>
      </c>
      <c r="M943">
        <f t="shared" si="128"/>
        <v>0.11519383052095498</v>
      </c>
      <c r="N943">
        <f t="shared" si="129"/>
        <v>6.4381510199414294E-2</v>
      </c>
      <c r="O943">
        <f t="shared" si="130"/>
        <v>1.1052769972842367</v>
      </c>
      <c r="P943">
        <f t="shared" si="131"/>
        <v>19.125003944495628</v>
      </c>
      <c r="Q943">
        <f t="shared" si="132"/>
        <v>8.8978103326125615E-3</v>
      </c>
      <c r="R943">
        <f t="shared" si="133"/>
        <v>6.7845108836098195E-3</v>
      </c>
      <c r="S943">
        <f t="shared" si="134"/>
        <v>0</v>
      </c>
    </row>
    <row r="944" spans="1:19" x14ac:dyDescent="0.3">
      <c r="A944" t="s">
        <v>303</v>
      </c>
      <c r="B944">
        <v>2007</v>
      </c>
      <c r="C944">
        <v>2.7883473760563621E-2</v>
      </c>
      <c r="D944">
        <v>3.2761686690508302E-2</v>
      </c>
      <c r="E944">
        <v>9.8635225262612772E-2</v>
      </c>
      <c r="F944">
        <v>0.25907359689074944</v>
      </c>
      <c r="G944">
        <v>1.4382049941450283</v>
      </c>
      <c r="H944">
        <v>17.19008764274599</v>
      </c>
      <c r="I944">
        <v>7.8457911078135462E-2</v>
      </c>
      <c r="J944">
        <v>3.0009831258307609E-2</v>
      </c>
      <c r="K944" s="1">
        <f t="shared" si="126"/>
        <v>2.7883473760563621E-2</v>
      </c>
      <c r="L944" s="1">
        <f t="shared" si="127"/>
        <v>3.2761686690508302E-2</v>
      </c>
      <c r="M944">
        <f t="shared" si="128"/>
        <v>9.8635225262612772E-2</v>
      </c>
      <c r="N944">
        <f t="shared" si="129"/>
        <v>0.25907359689074944</v>
      </c>
      <c r="O944">
        <f t="shared" si="130"/>
        <v>1.4382049941450283</v>
      </c>
      <c r="P944">
        <f t="shared" si="131"/>
        <v>17.19008764274599</v>
      </c>
      <c r="Q944">
        <f t="shared" si="132"/>
        <v>7.8457911078135462E-2</v>
      </c>
      <c r="R944">
        <f t="shared" si="133"/>
        <v>3.0009831258307609E-2</v>
      </c>
      <c r="S944">
        <f t="shared" si="134"/>
        <v>0</v>
      </c>
    </row>
    <row r="945" spans="1:20" x14ac:dyDescent="0.3">
      <c r="A945" t="s">
        <v>303</v>
      </c>
      <c r="B945">
        <v>2009</v>
      </c>
      <c r="C945">
        <v>2.5840313168230104E-2</v>
      </c>
      <c r="D945">
        <v>0.13827411063135256</v>
      </c>
      <c r="E945">
        <v>-0.11309449682743962</v>
      </c>
      <c r="F945">
        <v>0.25238207600922014</v>
      </c>
      <c r="G945">
        <v>1.2568271840749436</v>
      </c>
      <c r="H945">
        <v>17.331634544009038</v>
      </c>
      <c r="I945">
        <v>5.1512421034100794E-3</v>
      </c>
      <c r="J945">
        <v>6.7157601803045142E-2</v>
      </c>
      <c r="K945" s="1">
        <f t="shared" si="126"/>
        <v>2.5840313168230104E-2</v>
      </c>
      <c r="L945" s="1">
        <f t="shared" si="127"/>
        <v>0.13827411063135256</v>
      </c>
      <c r="M945">
        <f t="shared" si="128"/>
        <v>-0.11309449682743962</v>
      </c>
      <c r="N945">
        <f t="shared" si="129"/>
        <v>0.25238207600922014</v>
      </c>
      <c r="O945">
        <f t="shared" si="130"/>
        <v>1.2568271840749436</v>
      </c>
      <c r="P945">
        <f t="shared" si="131"/>
        <v>17.331634544009038</v>
      </c>
      <c r="Q945">
        <f t="shared" si="132"/>
        <v>5.1512421034100794E-3</v>
      </c>
      <c r="R945">
        <f t="shared" si="133"/>
        <v>6.7157601803045142E-2</v>
      </c>
      <c r="S945">
        <f t="shared" si="134"/>
        <v>0</v>
      </c>
    </row>
    <row r="946" spans="1:20" x14ac:dyDescent="0.3">
      <c r="A946" t="s">
        <v>303</v>
      </c>
      <c r="B946">
        <v>2010</v>
      </c>
      <c r="C946">
        <v>2.714526141703031E-2</v>
      </c>
      <c r="D946">
        <v>9.9831415075120056E-2</v>
      </c>
      <c r="E946">
        <v>-0.12774721981376927</v>
      </c>
      <c r="F946">
        <v>0.2181959244066454</v>
      </c>
      <c r="G946">
        <v>1.1652194179514619</v>
      </c>
      <c r="H946">
        <v>17.466104147817504</v>
      </c>
      <c r="I946">
        <v>8.1085975310892164E-3</v>
      </c>
      <c r="J946">
        <v>2.1348289243946186E-2</v>
      </c>
      <c r="K946" s="1">
        <f t="shared" si="126"/>
        <v>2.714526141703031E-2</v>
      </c>
      <c r="L946" s="1">
        <f t="shared" si="127"/>
        <v>9.9831415075120056E-2</v>
      </c>
      <c r="M946">
        <f t="shared" si="128"/>
        <v>-0.12774721981376927</v>
      </c>
      <c r="N946">
        <f t="shared" si="129"/>
        <v>0.2181959244066454</v>
      </c>
      <c r="O946">
        <f t="shared" si="130"/>
        <v>1.1652194179514619</v>
      </c>
      <c r="P946">
        <f t="shared" si="131"/>
        <v>17.466104147817504</v>
      </c>
      <c r="Q946">
        <f t="shared" si="132"/>
        <v>8.1085975310892164E-3</v>
      </c>
      <c r="R946">
        <f t="shared" si="133"/>
        <v>2.1348289243946186E-2</v>
      </c>
      <c r="S946">
        <f t="shared" si="134"/>
        <v>0</v>
      </c>
    </row>
    <row r="947" spans="1:20" x14ac:dyDescent="0.3">
      <c r="A947" t="s">
        <v>304</v>
      </c>
      <c r="B947">
        <v>2008</v>
      </c>
      <c r="C947">
        <v>6.3879116068678158E-4</v>
      </c>
      <c r="D947">
        <v>1.9442597966893106E-2</v>
      </c>
      <c r="E947">
        <v>-0.27722887854861461</v>
      </c>
      <c r="F947">
        <v>0.32922388495273919</v>
      </c>
      <c r="G947">
        <v>1.0332900987370093</v>
      </c>
      <c r="H947">
        <v>12.639136707829119</v>
      </c>
      <c r="I947">
        <v>2.6472814168206783E-3</v>
      </c>
      <c r="J947">
        <v>0</v>
      </c>
      <c r="K947" s="1">
        <f t="shared" si="126"/>
        <v>6.3879116068678158E-4</v>
      </c>
      <c r="L947" s="1">
        <f t="shared" si="127"/>
        <v>1.9442597966893106E-2</v>
      </c>
      <c r="M947">
        <f t="shared" si="128"/>
        <v>-0.27722887854861461</v>
      </c>
      <c r="N947">
        <f t="shared" si="129"/>
        <v>0.32922388495273919</v>
      </c>
      <c r="O947">
        <f t="shared" si="130"/>
        <v>1.0332900987370093</v>
      </c>
      <c r="P947">
        <f t="shared" si="131"/>
        <v>12.639136707829119</v>
      </c>
      <c r="Q947">
        <f t="shared" si="132"/>
        <v>2.6472814168206783E-3</v>
      </c>
      <c r="R947">
        <f t="shared" si="133"/>
        <v>0</v>
      </c>
      <c r="S947">
        <f t="shared" si="134"/>
        <v>0</v>
      </c>
    </row>
    <row r="948" spans="1:20" x14ac:dyDescent="0.3">
      <c r="A948" t="s">
        <v>305</v>
      </c>
      <c r="B948">
        <v>2007</v>
      </c>
      <c r="C948">
        <v>2.262667399098793E-3</v>
      </c>
      <c r="D948">
        <v>3.8461610297824141E-2</v>
      </c>
      <c r="E948">
        <v>-0.2190396104800329</v>
      </c>
      <c r="F948">
        <v>5.8891299200253017E-2</v>
      </c>
      <c r="G948">
        <v>1.2063623745991874</v>
      </c>
      <c r="H948">
        <v>16.081151336841586</v>
      </c>
      <c r="I948">
        <v>1.0048885934489713E-2</v>
      </c>
      <c r="J948">
        <v>0</v>
      </c>
      <c r="K948" s="1">
        <f t="shared" si="126"/>
        <v>2.262667399098793E-3</v>
      </c>
      <c r="L948" s="1">
        <f t="shared" si="127"/>
        <v>3.8461610297824141E-2</v>
      </c>
      <c r="M948">
        <f t="shared" si="128"/>
        <v>-0.2190396104800329</v>
      </c>
      <c r="N948">
        <f t="shared" si="129"/>
        <v>5.8891299200253017E-2</v>
      </c>
      <c r="O948">
        <f t="shared" si="130"/>
        <v>1.2063623745991874</v>
      </c>
      <c r="P948">
        <f t="shared" si="131"/>
        <v>16.081151336841586</v>
      </c>
      <c r="Q948">
        <f t="shared" si="132"/>
        <v>1.0048885934489713E-2</v>
      </c>
      <c r="R948">
        <f t="shared" si="133"/>
        <v>0</v>
      </c>
      <c r="S948">
        <f t="shared" si="134"/>
        <v>0</v>
      </c>
    </row>
    <row r="949" spans="1:20" x14ac:dyDescent="0.3">
      <c r="A949" t="s">
        <v>305</v>
      </c>
      <c r="B949">
        <v>2008</v>
      </c>
      <c r="C949">
        <v>1.2291702682857731E-3</v>
      </c>
      <c r="D949">
        <v>2.4312113445387244E-2</v>
      </c>
      <c r="E949">
        <v>-0.18109235587262323</v>
      </c>
      <c r="F949">
        <v>0.12262939471832833</v>
      </c>
      <c r="G949">
        <v>0.93333967665972495</v>
      </c>
      <c r="H949">
        <v>16.410954575358996</v>
      </c>
      <c r="I949">
        <v>4.6477561709000921E-2</v>
      </c>
      <c r="J949">
        <v>0</v>
      </c>
      <c r="K949" s="1">
        <f t="shared" si="126"/>
        <v>1.2291702682857731E-3</v>
      </c>
      <c r="L949" s="1">
        <f t="shared" si="127"/>
        <v>2.4312113445387244E-2</v>
      </c>
      <c r="M949">
        <f t="shared" si="128"/>
        <v>-0.18109235587262323</v>
      </c>
      <c r="N949">
        <f t="shared" si="129"/>
        <v>0.12262939471832833</v>
      </c>
      <c r="O949">
        <f t="shared" si="130"/>
        <v>0.93333967665972495</v>
      </c>
      <c r="P949">
        <f t="shared" si="131"/>
        <v>16.410954575358996</v>
      </c>
      <c r="Q949">
        <f t="shared" si="132"/>
        <v>4.6477561709000921E-2</v>
      </c>
      <c r="R949">
        <f t="shared" si="133"/>
        <v>0</v>
      </c>
      <c r="S949">
        <f t="shared" si="134"/>
        <v>0</v>
      </c>
    </row>
    <row r="950" spans="1:20" x14ac:dyDescent="0.3">
      <c r="A950" t="s">
        <v>305</v>
      </c>
      <c r="B950">
        <v>2009</v>
      </c>
      <c r="C950">
        <v>2.9530868627842505E-2</v>
      </c>
      <c r="D950">
        <v>0.16627779794402947</v>
      </c>
      <c r="E950">
        <v>5.2545001528981738E-3</v>
      </c>
      <c r="F950">
        <v>0.6456345847611511</v>
      </c>
      <c r="G950">
        <v>0.93157017532590025</v>
      </c>
      <c r="H950">
        <v>16.438521472591074</v>
      </c>
      <c r="I950">
        <v>3.6795315930274707E-2</v>
      </c>
      <c r="J950">
        <v>0</v>
      </c>
      <c r="K950" s="1">
        <f t="shared" si="126"/>
        <v>2.9530868627842505E-2</v>
      </c>
      <c r="L950" s="1">
        <f t="shared" si="127"/>
        <v>0.16627779794402947</v>
      </c>
      <c r="M950">
        <f t="shared" si="128"/>
        <v>5.2545001528981738E-3</v>
      </c>
      <c r="N950">
        <f t="shared" si="129"/>
        <v>0.6456345847611511</v>
      </c>
      <c r="O950">
        <f t="shared" si="130"/>
        <v>0.93157017532590025</v>
      </c>
      <c r="P950">
        <f t="shared" si="131"/>
        <v>16.438521472591074</v>
      </c>
      <c r="Q950">
        <f t="shared" si="132"/>
        <v>3.6795315930274707E-2</v>
      </c>
      <c r="R950">
        <f t="shared" si="133"/>
        <v>0</v>
      </c>
      <c r="S950">
        <f t="shared" si="134"/>
        <v>0</v>
      </c>
    </row>
    <row r="951" spans="1:20" x14ac:dyDescent="0.3">
      <c r="A951" t="s">
        <v>305</v>
      </c>
      <c r="B951">
        <v>2010</v>
      </c>
      <c r="C951">
        <v>1.8830390585785568E-2</v>
      </c>
      <c r="D951">
        <v>5.8145414427094269E-2</v>
      </c>
      <c r="E951">
        <v>-1.4980157475031769E-3</v>
      </c>
      <c r="F951">
        <v>0.30029970265709444</v>
      </c>
      <c r="G951">
        <v>0.66569137023236014</v>
      </c>
      <c r="H951">
        <v>16.459504112919621</v>
      </c>
      <c r="I951">
        <v>1.5374919555639948E-2</v>
      </c>
      <c r="J951">
        <v>0</v>
      </c>
      <c r="K951" s="1">
        <f t="shared" si="126"/>
        <v>1.8830390585785568E-2</v>
      </c>
      <c r="L951" s="1">
        <f t="shared" si="127"/>
        <v>5.8145414427094269E-2</v>
      </c>
      <c r="M951">
        <f t="shared" si="128"/>
        <v>-1.4980157475031769E-3</v>
      </c>
      <c r="N951">
        <f t="shared" si="129"/>
        <v>0.30029970265709444</v>
      </c>
      <c r="O951">
        <f t="shared" si="130"/>
        <v>0.66569137023236014</v>
      </c>
      <c r="P951">
        <f t="shared" si="131"/>
        <v>16.459504112919621</v>
      </c>
      <c r="Q951">
        <f t="shared" si="132"/>
        <v>1.5374919555639948E-2</v>
      </c>
      <c r="R951">
        <f t="shared" si="133"/>
        <v>0</v>
      </c>
      <c r="S951">
        <f t="shared" si="134"/>
        <v>0</v>
      </c>
    </row>
    <row r="952" spans="1:20" x14ac:dyDescent="0.3">
      <c r="A952" t="s">
        <v>306</v>
      </c>
      <c r="B952">
        <v>2007</v>
      </c>
      <c r="C952">
        <v>3.4389373683531787E-3</v>
      </c>
      <c r="D952">
        <v>6.4394102222413277E-2</v>
      </c>
      <c r="E952">
        <v>0.21762025534109961</v>
      </c>
      <c r="F952">
        <v>3.1509263637535999E-2</v>
      </c>
      <c r="G952">
        <v>0.67888922323002188</v>
      </c>
      <c r="H952">
        <v>11.440913755659935</v>
      </c>
      <c r="I952">
        <v>4.6531201385018504E-2</v>
      </c>
      <c r="J952">
        <v>0</v>
      </c>
      <c r="K952" s="1">
        <f t="shared" si="126"/>
        <v>3.4389373683531787E-3</v>
      </c>
      <c r="L952" s="1">
        <f t="shared" si="127"/>
        <v>6.4394102222413277E-2</v>
      </c>
      <c r="M952">
        <f t="shared" si="128"/>
        <v>0.21762025534109961</v>
      </c>
      <c r="N952">
        <f t="shared" si="129"/>
        <v>3.1509263637535999E-2</v>
      </c>
      <c r="O952">
        <f t="shared" si="130"/>
        <v>0.67888922323002188</v>
      </c>
      <c r="P952">
        <f t="shared" si="131"/>
        <v>11.440913755659935</v>
      </c>
      <c r="Q952">
        <f t="shared" si="132"/>
        <v>4.6531201385018504E-2</v>
      </c>
      <c r="R952">
        <f t="shared" si="133"/>
        <v>0</v>
      </c>
      <c r="S952">
        <f t="shared" si="134"/>
        <v>0</v>
      </c>
    </row>
    <row r="953" spans="1:20" x14ac:dyDescent="0.3">
      <c r="A953" t="s">
        <v>307</v>
      </c>
      <c r="B953">
        <v>2007</v>
      </c>
      <c r="C953">
        <v>4.9785920541670818E-4</v>
      </c>
      <c r="D953">
        <v>0.14698463274585946</v>
      </c>
      <c r="E953">
        <v>-0.11395812819690147</v>
      </c>
      <c r="F953">
        <v>0.18574942561799079</v>
      </c>
      <c r="G953">
        <v>1.1329873211855686</v>
      </c>
      <c r="H953">
        <v>13.203615199957614</v>
      </c>
      <c r="I953">
        <v>2.8889672934205426E-2</v>
      </c>
      <c r="J953">
        <v>0</v>
      </c>
      <c r="K953" s="1">
        <f t="shared" si="126"/>
        <v>4.9785920541670818E-4</v>
      </c>
      <c r="L953" s="1">
        <f t="shared" si="127"/>
        <v>0.14698463274585946</v>
      </c>
      <c r="M953">
        <f t="shared" si="128"/>
        <v>-0.11395812819690147</v>
      </c>
      <c r="N953">
        <f t="shared" si="129"/>
        <v>0.18574942561799079</v>
      </c>
      <c r="O953">
        <f t="shared" si="130"/>
        <v>1.1329873211855686</v>
      </c>
      <c r="P953">
        <f t="shared" si="131"/>
        <v>13.203615199957614</v>
      </c>
      <c r="Q953">
        <f t="shared" si="132"/>
        <v>2.8889672934205426E-2</v>
      </c>
      <c r="R953">
        <f t="shared" si="133"/>
        <v>0</v>
      </c>
      <c r="S953">
        <f t="shared" si="134"/>
        <v>0</v>
      </c>
    </row>
    <row r="954" spans="1:20" x14ac:dyDescent="0.3">
      <c r="A954" t="s">
        <v>307</v>
      </c>
      <c r="B954">
        <v>2009</v>
      </c>
      <c r="C954">
        <v>5.9343133602464111E-4</v>
      </c>
      <c r="D954">
        <v>0.10275014199600579</v>
      </c>
      <c r="E954">
        <v>-6.2613622251944681E-2</v>
      </c>
      <c r="F954">
        <v>0</v>
      </c>
      <c r="G954">
        <v>0.83044816789526299</v>
      </c>
      <c r="H954">
        <v>13.797776230261078</v>
      </c>
      <c r="I954">
        <v>1.3031639680332698E-2</v>
      </c>
      <c r="J954">
        <v>0</v>
      </c>
      <c r="K954" s="1">
        <f t="shared" si="126"/>
        <v>5.9343133602464111E-4</v>
      </c>
      <c r="L954" s="1">
        <f t="shared" si="127"/>
        <v>0.10275014199600579</v>
      </c>
      <c r="M954">
        <f t="shared" si="128"/>
        <v>-6.2613622251944681E-2</v>
      </c>
      <c r="N954">
        <f t="shared" si="129"/>
        <v>0</v>
      </c>
      <c r="O954">
        <f t="shared" si="130"/>
        <v>0.83044816789526299</v>
      </c>
      <c r="P954">
        <f t="shared" si="131"/>
        <v>13.797776230261078</v>
      </c>
      <c r="Q954">
        <f t="shared" si="132"/>
        <v>1.3031639680332698E-2</v>
      </c>
      <c r="R954">
        <f t="shared" si="133"/>
        <v>0</v>
      </c>
      <c r="S954">
        <f t="shared" si="134"/>
        <v>0</v>
      </c>
    </row>
    <row r="955" spans="1:20" x14ac:dyDescent="0.3">
      <c r="A955" t="s">
        <v>307</v>
      </c>
      <c r="B955">
        <v>2010</v>
      </c>
      <c r="C955">
        <v>4.2264818307865745E-4</v>
      </c>
      <c r="D955">
        <v>6.6140629195249059E-2</v>
      </c>
      <c r="E955">
        <v>3.4967149479397386E-2</v>
      </c>
      <c r="F955">
        <v>0.62026542983489619</v>
      </c>
      <c r="G955">
        <v>0.89740496556560745</v>
      </c>
      <c r="H955">
        <v>13.981576539229412</v>
      </c>
      <c r="I955">
        <v>6.0219360265690441E-3</v>
      </c>
      <c r="J955">
        <v>0</v>
      </c>
      <c r="K955" s="1">
        <f t="shared" si="126"/>
        <v>4.2264818307865745E-4</v>
      </c>
      <c r="L955" s="1">
        <f t="shared" si="127"/>
        <v>6.6140629195249059E-2</v>
      </c>
      <c r="M955">
        <f t="shared" si="128"/>
        <v>3.4967149479397386E-2</v>
      </c>
      <c r="N955">
        <f t="shared" si="129"/>
        <v>0.62026542983489619</v>
      </c>
      <c r="O955">
        <f t="shared" si="130"/>
        <v>0.89740496556560745</v>
      </c>
      <c r="P955">
        <f t="shared" si="131"/>
        <v>13.981576539229412</v>
      </c>
      <c r="Q955">
        <f t="shared" si="132"/>
        <v>6.0219360265690441E-3</v>
      </c>
      <c r="R955">
        <f t="shared" si="133"/>
        <v>0</v>
      </c>
      <c r="S955">
        <f t="shared" si="134"/>
        <v>0</v>
      </c>
    </row>
    <row r="956" spans="1:20" x14ac:dyDescent="0.3">
      <c r="A956" t="s">
        <v>308</v>
      </c>
      <c r="B956">
        <v>2007</v>
      </c>
      <c r="C956">
        <v>6.2359298957991222E-2</v>
      </c>
      <c r="D956">
        <v>0.15033589108171858</v>
      </c>
      <c r="E956">
        <v>0.20988266204878631</v>
      </c>
      <c r="F956">
        <v>1.1088884244468994E-2</v>
      </c>
      <c r="G956">
        <v>1.1347415877944644</v>
      </c>
      <c r="H956">
        <v>12.721676833749138</v>
      </c>
      <c r="I956">
        <v>8.5021064016476133E-3</v>
      </c>
      <c r="J956">
        <v>5.2249723822888366E-2</v>
      </c>
      <c r="K956" s="1">
        <f t="shared" si="126"/>
        <v>6.2359298957991222E-2</v>
      </c>
      <c r="L956" s="1">
        <f t="shared" si="127"/>
        <v>0.15033589108171858</v>
      </c>
      <c r="M956">
        <f t="shared" si="128"/>
        <v>0.20988266204878631</v>
      </c>
      <c r="N956">
        <f t="shared" si="129"/>
        <v>1.1088884244468994E-2</v>
      </c>
      <c r="O956">
        <f t="shared" si="130"/>
        <v>1.1347415877944644</v>
      </c>
      <c r="P956">
        <f t="shared" si="131"/>
        <v>12.721676833749138</v>
      </c>
      <c r="Q956">
        <f t="shared" si="132"/>
        <v>8.5021064016476133E-3</v>
      </c>
      <c r="R956">
        <f t="shared" si="133"/>
        <v>5.2249723822888366E-2</v>
      </c>
      <c r="S956">
        <f t="shared" si="134"/>
        <v>0</v>
      </c>
    </row>
    <row r="957" spans="1:20" x14ac:dyDescent="0.3">
      <c r="A957" t="s">
        <v>308</v>
      </c>
      <c r="B957">
        <v>2009</v>
      </c>
      <c r="C957">
        <v>3.51953420933908E-2</v>
      </c>
      <c r="D957">
        <v>0.15343625596921967</v>
      </c>
      <c r="E957">
        <v>0.29173488294228972</v>
      </c>
      <c r="F957">
        <v>0</v>
      </c>
      <c r="G957">
        <v>0.66062201893693273</v>
      </c>
      <c r="H957">
        <v>12.772615812246707</v>
      </c>
      <c r="I957">
        <v>4.043074584168041E-3</v>
      </c>
      <c r="J957">
        <v>2.1280640575655516E-2</v>
      </c>
      <c r="K957" s="1">
        <f t="shared" si="126"/>
        <v>3.51953420933908E-2</v>
      </c>
      <c r="L957" s="1">
        <f t="shared" si="127"/>
        <v>0.15343625596921967</v>
      </c>
      <c r="M957">
        <f t="shared" si="128"/>
        <v>0.29173488294228972</v>
      </c>
      <c r="N957">
        <f t="shared" si="129"/>
        <v>0</v>
      </c>
      <c r="O957">
        <f t="shared" si="130"/>
        <v>0.66062201893693273</v>
      </c>
      <c r="P957">
        <f t="shared" si="131"/>
        <v>12.772615812246707</v>
      </c>
      <c r="Q957">
        <f t="shared" si="132"/>
        <v>4.043074584168041E-3</v>
      </c>
      <c r="R957">
        <f t="shared" si="133"/>
        <v>2.1280640575655516E-2</v>
      </c>
      <c r="S957">
        <f t="shared" si="134"/>
        <v>0</v>
      </c>
      <c r="T957" s="2"/>
    </row>
    <row r="958" spans="1:20" x14ac:dyDescent="0.3">
      <c r="A958" t="s">
        <v>308</v>
      </c>
      <c r="B958">
        <v>2010</v>
      </c>
      <c r="C958">
        <v>1.5518745467349148E-2</v>
      </c>
      <c r="D958">
        <v>0.15767055905321464</v>
      </c>
      <c r="E958">
        <v>0.30065007409898786</v>
      </c>
      <c r="F958">
        <v>0</v>
      </c>
      <c r="G958">
        <v>0.59922301167715963</v>
      </c>
      <c r="H958">
        <v>12.849430663087478</v>
      </c>
      <c r="I958">
        <v>5.758102515178401E-3</v>
      </c>
      <c r="J958">
        <v>2.463397202106303E-2</v>
      </c>
      <c r="K958" s="1">
        <f t="shared" si="126"/>
        <v>1.5518745467349148E-2</v>
      </c>
      <c r="L958" s="1">
        <f t="shared" si="127"/>
        <v>0.15767055905321464</v>
      </c>
      <c r="M958">
        <f t="shared" si="128"/>
        <v>0.30065007409898786</v>
      </c>
      <c r="N958">
        <f t="shared" si="129"/>
        <v>0</v>
      </c>
      <c r="O958">
        <f t="shared" si="130"/>
        <v>0.59922301167715963</v>
      </c>
      <c r="P958">
        <f t="shared" si="131"/>
        <v>12.849430663087478</v>
      </c>
      <c r="Q958">
        <f t="shared" si="132"/>
        <v>5.758102515178401E-3</v>
      </c>
      <c r="R958">
        <f t="shared" si="133"/>
        <v>2.463397202106303E-2</v>
      </c>
      <c r="S958">
        <f t="shared" si="134"/>
        <v>0</v>
      </c>
      <c r="T958" s="2"/>
    </row>
    <row r="959" spans="1:20" x14ac:dyDescent="0.3">
      <c r="A959" t="s">
        <v>309</v>
      </c>
      <c r="B959">
        <v>2007</v>
      </c>
      <c r="C959">
        <v>6.3282067093268543E-2</v>
      </c>
      <c r="D959">
        <v>0.19541361736371923</v>
      </c>
      <c r="E959">
        <v>0.4609149429221403</v>
      </c>
      <c r="F959">
        <v>0</v>
      </c>
      <c r="G959">
        <v>1.0110017989973983</v>
      </c>
      <c r="H959">
        <v>14.855165875180452</v>
      </c>
      <c r="I959">
        <v>5.3561425388697487E-3</v>
      </c>
      <c r="J959">
        <v>3.0311762571943984E-2</v>
      </c>
      <c r="K959" s="1">
        <f t="shared" si="126"/>
        <v>6.3282067093268543E-2</v>
      </c>
      <c r="L959" s="1">
        <f t="shared" si="127"/>
        <v>0.19541361736371923</v>
      </c>
      <c r="M959">
        <f t="shared" si="128"/>
        <v>0.4609149429221403</v>
      </c>
      <c r="N959">
        <f t="shared" si="129"/>
        <v>0</v>
      </c>
      <c r="O959">
        <f t="shared" si="130"/>
        <v>1.0110017989973983</v>
      </c>
      <c r="P959">
        <f t="shared" si="131"/>
        <v>14.855165875180452</v>
      </c>
      <c r="Q959">
        <f t="shared" si="132"/>
        <v>5.3561425388697487E-3</v>
      </c>
      <c r="R959">
        <f t="shared" si="133"/>
        <v>3.0311762571943984E-2</v>
      </c>
      <c r="S959">
        <f t="shared" si="134"/>
        <v>0</v>
      </c>
    </row>
    <row r="960" spans="1:20" x14ac:dyDescent="0.3">
      <c r="A960" t="s">
        <v>309</v>
      </c>
      <c r="B960">
        <v>2009</v>
      </c>
      <c r="C960">
        <v>2.0126914309201129E-2</v>
      </c>
      <c r="D960">
        <v>0.17316896798077924</v>
      </c>
      <c r="E960">
        <v>0.53053917261755756</v>
      </c>
      <c r="F960">
        <v>0</v>
      </c>
      <c r="G960">
        <v>0.71268417933687467</v>
      </c>
      <c r="H960">
        <v>15.053166560128428</v>
      </c>
      <c r="I960">
        <v>4.0830708302427854E-4</v>
      </c>
      <c r="J960">
        <v>5.9680530050125843E-2</v>
      </c>
      <c r="K960" s="1">
        <f t="shared" si="126"/>
        <v>2.0126914309201129E-2</v>
      </c>
      <c r="L960" s="1">
        <f t="shared" si="127"/>
        <v>0.17316896798077924</v>
      </c>
      <c r="M960">
        <f t="shared" si="128"/>
        <v>0.53053917261755756</v>
      </c>
      <c r="N960">
        <f t="shared" si="129"/>
        <v>0</v>
      </c>
      <c r="O960">
        <f t="shared" si="130"/>
        <v>0.71268417933687467</v>
      </c>
      <c r="P960">
        <f t="shared" si="131"/>
        <v>15.053166560128428</v>
      </c>
      <c r="Q960">
        <f t="shared" si="132"/>
        <v>4.0830708302427854E-4</v>
      </c>
      <c r="R960">
        <f t="shared" si="133"/>
        <v>5.9680530050125843E-2</v>
      </c>
      <c r="S960">
        <f t="shared" si="134"/>
        <v>0</v>
      </c>
    </row>
    <row r="961" spans="1:19" x14ac:dyDescent="0.3">
      <c r="A961" t="s">
        <v>309</v>
      </c>
      <c r="B961">
        <v>2010</v>
      </c>
      <c r="C961">
        <v>1.3692202954017732E-2</v>
      </c>
      <c r="D961">
        <v>0.17467059405619095</v>
      </c>
      <c r="E961">
        <v>0.55182767257591292</v>
      </c>
      <c r="F961">
        <v>0</v>
      </c>
      <c r="G961">
        <v>0.65200382171985094</v>
      </c>
      <c r="H961">
        <v>15.105835171813032</v>
      </c>
      <c r="I961">
        <v>1.3277460558007628E-2</v>
      </c>
      <c r="J961">
        <v>5.6618581461686766E-2</v>
      </c>
      <c r="K961" s="1">
        <f t="shared" si="126"/>
        <v>1.3692202954017732E-2</v>
      </c>
      <c r="L961" s="1">
        <f t="shared" si="127"/>
        <v>0.17467059405619095</v>
      </c>
      <c r="M961">
        <f t="shared" si="128"/>
        <v>0.55182767257591292</v>
      </c>
      <c r="N961">
        <f t="shared" si="129"/>
        <v>0</v>
      </c>
      <c r="O961">
        <f t="shared" si="130"/>
        <v>0.65200382171985094</v>
      </c>
      <c r="P961">
        <f t="shared" si="131"/>
        <v>15.105835171813032</v>
      </c>
      <c r="Q961">
        <f t="shared" si="132"/>
        <v>1.3277460558007628E-2</v>
      </c>
      <c r="R961">
        <f t="shared" si="133"/>
        <v>5.6618581461686766E-2</v>
      </c>
      <c r="S961">
        <f t="shared" si="134"/>
        <v>0</v>
      </c>
    </row>
    <row r="962" spans="1:19" x14ac:dyDescent="0.3">
      <c r="A962" t="s">
        <v>310</v>
      </c>
      <c r="B962">
        <v>2007</v>
      </c>
      <c r="C962">
        <v>0.68903837613312779</v>
      </c>
      <c r="D962">
        <v>7.1887980354763709E-2</v>
      </c>
      <c r="E962">
        <v>8.2998510932887487E-2</v>
      </c>
      <c r="F962">
        <v>0</v>
      </c>
      <c r="G962">
        <v>1.1433709083309387</v>
      </c>
      <c r="H962">
        <v>12.855241814917731</v>
      </c>
      <c r="I962">
        <v>1.4498518803481584E-2</v>
      </c>
      <c r="J962">
        <v>0</v>
      </c>
      <c r="K962" s="1" t="str">
        <f t="shared" si="126"/>
        <v>out</v>
      </c>
      <c r="L962" s="1">
        <f t="shared" si="127"/>
        <v>7.1887980354763709E-2</v>
      </c>
      <c r="M962">
        <f t="shared" si="128"/>
        <v>8.2998510932887487E-2</v>
      </c>
      <c r="N962">
        <f t="shared" si="129"/>
        <v>0</v>
      </c>
      <c r="O962">
        <f t="shared" si="130"/>
        <v>1.1433709083309387</v>
      </c>
      <c r="P962">
        <f t="shared" si="131"/>
        <v>12.855241814917731</v>
      </c>
      <c r="Q962">
        <f t="shared" si="132"/>
        <v>1.4498518803481584E-2</v>
      </c>
      <c r="R962">
        <f t="shared" si="133"/>
        <v>0</v>
      </c>
      <c r="S962">
        <f t="shared" si="134"/>
        <v>1</v>
      </c>
    </row>
    <row r="963" spans="1:19" x14ac:dyDescent="0.3">
      <c r="A963" t="s">
        <v>310</v>
      </c>
      <c r="B963">
        <v>2009</v>
      </c>
      <c r="C963">
        <v>0.41380910958253231</v>
      </c>
      <c r="D963">
        <v>0.29319230122586826</v>
      </c>
      <c r="E963">
        <v>0.14820067104772625</v>
      </c>
      <c r="F963">
        <v>0</v>
      </c>
      <c r="G963">
        <v>1.0810551275209976</v>
      </c>
      <c r="H963">
        <v>13.212576955205281</v>
      </c>
      <c r="I963">
        <v>9.6597175766327675E-2</v>
      </c>
      <c r="J963">
        <v>2.4058669161775133E-2</v>
      </c>
      <c r="K963" s="1" t="str">
        <f t="shared" ref="K963:K1006" si="135">IF(OR(C963&lt;$C$1007-3*$C$1008,C963&gt;$C$1007+3*$C$1008),"out",C963)</f>
        <v>out</v>
      </c>
      <c r="L963" s="1">
        <f t="shared" ref="L963:L1006" si="136">IF(OR(D963&lt;$D$1007-3*$D$1008,D963&gt;$D$1007+3*$D$1008),"out",D963)</f>
        <v>0.29319230122586826</v>
      </c>
      <c r="M963">
        <f t="shared" ref="M963:M1006" si="137">IF(OR(E963&lt;$E$1007-3*$E$1008,E963&gt;$E$1007+3*$E$1008),"out",E963)</f>
        <v>0.14820067104772625</v>
      </c>
      <c r="N963">
        <f t="shared" ref="N963:N1006" si="138">IF(OR(F963&lt;$F$1007-3*$F$1008,F963&gt;$F$1007+3*$F$1008),"out",F963)</f>
        <v>0</v>
      </c>
      <c r="O963">
        <f t="shared" ref="O963:O1006" si="139">IF(OR(G963&lt;$G$1007-3*$G$1008,G963&gt;$G$1007+3*$G$1008),"out",G963)</f>
        <v>1.0810551275209976</v>
      </c>
      <c r="P963">
        <f t="shared" ref="P963:P1006" si="140">IF(OR(H963&lt;$H$1007-3*$H$1008,H963&gt;$H$1007+3*$H$1008),"out",H963)</f>
        <v>13.212576955205281</v>
      </c>
      <c r="Q963">
        <f t="shared" ref="Q963:Q1006" si="141">IF(OR(I963&lt;$I$1007-3*$I$1008,I963&gt;$I$1007+3*$I$1008),"out",I963)</f>
        <v>9.6597175766327675E-2</v>
      </c>
      <c r="R963">
        <f t="shared" ref="R963:R1006" si="142">IF(OR(J963&lt;$J$1007-3*$J$1008,J963&gt;$J$1007+3*$J$1008),"out",J963)</f>
        <v>2.4058669161775133E-2</v>
      </c>
      <c r="S963">
        <f t="shared" ref="S963:S1006" si="143">IF(OR(K963="out",L963="out",M963="out",N963="out",O963="out",P963="out",Q963="out",R963="out"),1,0)</f>
        <v>1</v>
      </c>
    </row>
    <row r="964" spans="1:19" x14ac:dyDescent="0.3">
      <c r="A964" t="s">
        <v>310</v>
      </c>
      <c r="B964">
        <v>2010</v>
      </c>
      <c r="C964">
        <v>0.32607167955024596</v>
      </c>
      <c r="D964">
        <v>0.1503571151826725</v>
      </c>
      <c r="E964">
        <v>0.22590307522531791</v>
      </c>
      <c r="F964">
        <v>0</v>
      </c>
      <c r="G964">
        <v>0.89819077672886238</v>
      </c>
      <c r="H964">
        <v>12.832676630267617</v>
      </c>
      <c r="I964">
        <v>1.1405331395074955E-2</v>
      </c>
      <c r="J964">
        <v>0</v>
      </c>
      <c r="K964" s="1">
        <f t="shared" si="135"/>
        <v>0.32607167955024596</v>
      </c>
      <c r="L964" s="1">
        <f t="shared" si="136"/>
        <v>0.1503571151826725</v>
      </c>
      <c r="M964">
        <f t="shared" si="137"/>
        <v>0.22590307522531791</v>
      </c>
      <c r="N964">
        <f t="shared" si="138"/>
        <v>0</v>
      </c>
      <c r="O964">
        <f t="shared" si="139"/>
        <v>0.89819077672886238</v>
      </c>
      <c r="P964">
        <f t="shared" si="140"/>
        <v>12.832676630267617</v>
      </c>
      <c r="Q964">
        <f t="shared" si="141"/>
        <v>1.1405331395074955E-2</v>
      </c>
      <c r="R964">
        <f t="shared" si="142"/>
        <v>0</v>
      </c>
      <c r="S964">
        <f t="shared" si="143"/>
        <v>0</v>
      </c>
    </row>
    <row r="965" spans="1:19" x14ac:dyDescent="0.3">
      <c r="A965" t="s">
        <v>311</v>
      </c>
      <c r="B965">
        <v>2007</v>
      </c>
      <c r="C965">
        <v>3.2638351654998746E-2</v>
      </c>
      <c r="D965">
        <v>0.10702654174187941</v>
      </c>
      <c r="E965">
        <v>3.6219910922641506E-2</v>
      </c>
      <c r="F965">
        <v>0</v>
      </c>
      <c r="G965">
        <v>1.6493764903266064</v>
      </c>
      <c r="H965">
        <v>12.657495338411369</v>
      </c>
      <c r="I965">
        <v>9.4037909987368558E-3</v>
      </c>
      <c r="J965">
        <v>0</v>
      </c>
      <c r="K965" s="1">
        <f t="shared" si="135"/>
        <v>3.2638351654998746E-2</v>
      </c>
      <c r="L965" s="1">
        <f t="shared" si="136"/>
        <v>0.10702654174187941</v>
      </c>
      <c r="M965">
        <f t="shared" si="137"/>
        <v>3.6219910922641506E-2</v>
      </c>
      <c r="N965">
        <f t="shared" si="138"/>
        <v>0</v>
      </c>
      <c r="O965">
        <f t="shared" si="139"/>
        <v>1.6493764903266064</v>
      </c>
      <c r="P965">
        <f t="shared" si="140"/>
        <v>12.657495338411369</v>
      </c>
      <c r="Q965">
        <f t="shared" si="141"/>
        <v>9.4037909987368558E-3</v>
      </c>
      <c r="R965">
        <f t="shared" si="142"/>
        <v>0</v>
      </c>
      <c r="S965">
        <f t="shared" si="143"/>
        <v>0</v>
      </c>
    </row>
    <row r="966" spans="1:19" x14ac:dyDescent="0.3">
      <c r="A966" t="s">
        <v>311</v>
      </c>
      <c r="B966">
        <v>2009</v>
      </c>
      <c r="C966">
        <v>1.0699029277854571E-2</v>
      </c>
      <c r="D966">
        <v>7.0246546244015967E-2</v>
      </c>
      <c r="E966">
        <v>-8.9726068406104961E-2</v>
      </c>
      <c r="F966">
        <v>0.34496950386180292</v>
      </c>
      <c r="G966">
        <v>0.95730368843177216</v>
      </c>
      <c r="H966">
        <v>12.858780570815853</v>
      </c>
      <c r="I966">
        <v>7.1213937915658799E-3</v>
      </c>
      <c r="J966">
        <v>0</v>
      </c>
      <c r="K966" s="1">
        <f t="shared" si="135"/>
        <v>1.0699029277854571E-2</v>
      </c>
      <c r="L966" s="1">
        <f t="shared" si="136"/>
        <v>7.0246546244015967E-2</v>
      </c>
      <c r="M966">
        <f t="shared" si="137"/>
        <v>-8.9726068406104961E-2</v>
      </c>
      <c r="N966">
        <f t="shared" si="138"/>
        <v>0.34496950386180292</v>
      </c>
      <c r="O966">
        <f t="shared" si="139"/>
        <v>0.95730368843177216</v>
      </c>
      <c r="P966">
        <f t="shared" si="140"/>
        <v>12.858780570815853</v>
      </c>
      <c r="Q966">
        <f t="shared" si="141"/>
        <v>7.1213937915658799E-3</v>
      </c>
      <c r="R966">
        <f t="shared" si="142"/>
        <v>0</v>
      </c>
      <c r="S966">
        <f t="shared" si="143"/>
        <v>0</v>
      </c>
    </row>
    <row r="967" spans="1:19" x14ac:dyDescent="0.3">
      <c r="A967" t="s">
        <v>311</v>
      </c>
      <c r="B967">
        <v>2010</v>
      </c>
      <c r="C967">
        <v>1.480010302188684E-2</v>
      </c>
      <c r="D967">
        <v>4.4705657441605443E-2</v>
      </c>
      <c r="E967">
        <v>-7.628664512411748E-2</v>
      </c>
      <c r="F967">
        <v>0.37764159535233222</v>
      </c>
      <c r="G967">
        <v>0.88622966446196283</v>
      </c>
      <c r="H967">
        <v>12.838989345339888</v>
      </c>
      <c r="I967">
        <v>5.9343460750260237E-3</v>
      </c>
      <c r="J967">
        <v>0</v>
      </c>
      <c r="K967" s="1">
        <f t="shared" si="135"/>
        <v>1.480010302188684E-2</v>
      </c>
      <c r="L967" s="1">
        <f t="shared" si="136"/>
        <v>4.4705657441605443E-2</v>
      </c>
      <c r="M967">
        <f t="shared" si="137"/>
        <v>-7.628664512411748E-2</v>
      </c>
      <c r="N967">
        <f t="shared" si="138"/>
        <v>0.37764159535233222</v>
      </c>
      <c r="O967">
        <f t="shared" si="139"/>
        <v>0.88622966446196283</v>
      </c>
      <c r="P967">
        <f t="shared" si="140"/>
        <v>12.838989345339888</v>
      </c>
      <c r="Q967">
        <f t="shared" si="141"/>
        <v>5.9343460750260237E-3</v>
      </c>
      <c r="R967">
        <f t="shared" si="142"/>
        <v>0</v>
      </c>
      <c r="S967">
        <f t="shared" si="143"/>
        <v>0</v>
      </c>
    </row>
    <row r="968" spans="1:19" x14ac:dyDescent="0.3">
      <c r="A968" t="s">
        <v>312</v>
      </c>
      <c r="B968">
        <v>2007</v>
      </c>
      <c r="C968">
        <v>4.6469582556312887E-2</v>
      </c>
      <c r="D968">
        <v>7.8692681309653539E-2</v>
      </c>
      <c r="E968">
        <v>8.1215549375284662E-2</v>
      </c>
      <c r="F968">
        <v>0.28485441697637065</v>
      </c>
      <c r="G968">
        <v>1.0933735416604058</v>
      </c>
      <c r="H968">
        <v>16.261917081580489</v>
      </c>
      <c r="I968">
        <v>7.0021201432192322E-3</v>
      </c>
      <c r="J968">
        <v>0</v>
      </c>
      <c r="K968" s="1">
        <f t="shared" si="135"/>
        <v>4.6469582556312887E-2</v>
      </c>
      <c r="L968" s="1">
        <f t="shared" si="136"/>
        <v>7.8692681309653539E-2</v>
      </c>
      <c r="M968">
        <f t="shared" si="137"/>
        <v>8.1215549375284662E-2</v>
      </c>
      <c r="N968">
        <f t="shared" si="138"/>
        <v>0.28485441697637065</v>
      </c>
      <c r="O968">
        <f t="shared" si="139"/>
        <v>1.0933735416604058</v>
      </c>
      <c r="P968">
        <f t="shared" si="140"/>
        <v>16.261917081580489</v>
      </c>
      <c r="Q968">
        <f t="shared" si="141"/>
        <v>7.0021201432192322E-3</v>
      </c>
      <c r="R968">
        <f t="shared" si="142"/>
        <v>0</v>
      </c>
      <c r="S968">
        <f t="shared" si="143"/>
        <v>0</v>
      </c>
    </row>
    <row r="969" spans="1:19" x14ac:dyDescent="0.3">
      <c r="A969" t="s">
        <v>312</v>
      </c>
      <c r="B969">
        <v>2009</v>
      </c>
      <c r="C969">
        <v>5.3743979783058542E-3</v>
      </c>
      <c r="D969">
        <v>1.9117933030509408E-2</v>
      </c>
      <c r="E969">
        <v>7.2403970836120171E-2</v>
      </c>
      <c r="F969">
        <v>0.36682796153688518</v>
      </c>
      <c r="G969">
        <v>0.75702298691706471</v>
      </c>
      <c r="H969">
        <v>16.948184278293542</v>
      </c>
      <c r="I969">
        <v>5.537031688086223E-3</v>
      </c>
      <c r="J969">
        <v>0</v>
      </c>
      <c r="K969" s="1">
        <f t="shared" si="135"/>
        <v>5.3743979783058542E-3</v>
      </c>
      <c r="L969" s="1">
        <f t="shared" si="136"/>
        <v>1.9117933030509408E-2</v>
      </c>
      <c r="M969">
        <f t="shared" si="137"/>
        <v>7.2403970836120171E-2</v>
      </c>
      <c r="N969">
        <f t="shared" si="138"/>
        <v>0.36682796153688518</v>
      </c>
      <c r="O969">
        <f t="shared" si="139"/>
        <v>0.75702298691706471</v>
      </c>
      <c r="P969">
        <f t="shared" si="140"/>
        <v>16.948184278293542</v>
      </c>
      <c r="Q969">
        <f t="shared" si="141"/>
        <v>5.537031688086223E-3</v>
      </c>
      <c r="R969">
        <f t="shared" si="142"/>
        <v>0</v>
      </c>
      <c r="S969">
        <f t="shared" si="143"/>
        <v>0</v>
      </c>
    </row>
    <row r="970" spans="1:19" x14ac:dyDescent="0.3">
      <c r="A970" t="s">
        <v>313</v>
      </c>
      <c r="B970">
        <v>2007</v>
      </c>
      <c r="C970">
        <v>4.2998019808008136E-3</v>
      </c>
      <c r="D970">
        <v>6.4235236458667869E-2</v>
      </c>
      <c r="E970">
        <v>-0.14193151671138968</v>
      </c>
      <c r="F970">
        <v>0.14437136895040692</v>
      </c>
      <c r="G970">
        <v>1.9594899293310424</v>
      </c>
      <c r="H970">
        <v>13.395449951900096</v>
      </c>
      <c r="I970">
        <v>4.2013150852786098E-2</v>
      </c>
      <c r="J970">
        <v>0</v>
      </c>
      <c r="K970" s="1">
        <f t="shared" si="135"/>
        <v>4.2998019808008136E-3</v>
      </c>
      <c r="L970" s="1">
        <f t="shared" si="136"/>
        <v>6.4235236458667869E-2</v>
      </c>
      <c r="M970">
        <f t="shared" si="137"/>
        <v>-0.14193151671138968</v>
      </c>
      <c r="N970">
        <f t="shared" si="138"/>
        <v>0.14437136895040692</v>
      </c>
      <c r="O970">
        <f t="shared" si="139"/>
        <v>1.9594899293310424</v>
      </c>
      <c r="P970">
        <f t="shared" si="140"/>
        <v>13.395449951900096</v>
      </c>
      <c r="Q970">
        <f t="shared" si="141"/>
        <v>4.2013150852786098E-2</v>
      </c>
      <c r="R970">
        <f t="shared" si="142"/>
        <v>0</v>
      </c>
      <c r="S970">
        <f t="shared" si="143"/>
        <v>0</v>
      </c>
    </row>
    <row r="971" spans="1:19" x14ac:dyDescent="0.3">
      <c r="A971" t="s">
        <v>313</v>
      </c>
      <c r="B971">
        <v>2008</v>
      </c>
      <c r="C971">
        <v>7.0433967581077939E-3</v>
      </c>
      <c r="D971">
        <v>0.19107070657567479</v>
      </c>
      <c r="E971">
        <v>0.10841685146840808</v>
      </c>
      <c r="F971">
        <v>0.28710992538502067</v>
      </c>
      <c r="G971">
        <v>1.1467080888028525</v>
      </c>
      <c r="H971">
        <v>13.389258898665533</v>
      </c>
      <c r="I971">
        <v>4.6152361057694227E-3</v>
      </c>
      <c r="J971">
        <v>0</v>
      </c>
      <c r="K971" s="1">
        <f t="shared" si="135"/>
        <v>7.0433967581077939E-3</v>
      </c>
      <c r="L971" s="1">
        <f t="shared" si="136"/>
        <v>0.19107070657567479</v>
      </c>
      <c r="M971">
        <f t="shared" si="137"/>
        <v>0.10841685146840808</v>
      </c>
      <c r="N971">
        <f t="shared" si="138"/>
        <v>0.28710992538502067</v>
      </c>
      <c r="O971">
        <f t="shared" si="139"/>
        <v>1.1467080888028525</v>
      </c>
      <c r="P971">
        <f t="shared" si="140"/>
        <v>13.389258898665533</v>
      </c>
      <c r="Q971">
        <f t="shared" si="141"/>
        <v>4.6152361057694227E-3</v>
      </c>
      <c r="R971">
        <f t="shared" si="142"/>
        <v>0</v>
      </c>
      <c r="S971">
        <f t="shared" si="143"/>
        <v>0</v>
      </c>
    </row>
    <row r="972" spans="1:19" x14ac:dyDescent="0.3">
      <c r="A972" t="s">
        <v>313</v>
      </c>
      <c r="B972">
        <v>2009</v>
      </c>
      <c r="C972">
        <v>2.2146792245522854E-3</v>
      </c>
      <c r="D972">
        <v>0.19107894143155074</v>
      </c>
      <c r="E972">
        <v>-1.6203667825670648E-2</v>
      </c>
      <c r="F972">
        <v>0.29811201179325297</v>
      </c>
      <c r="G972">
        <v>1.3702533792801774</v>
      </c>
      <c r="H972">
        <v>13.271939610385196</v>
      </c>
      <c r="I972">
        <v>1.511023597021709E-2</v>
      </c>
      <c r="J972">
        <v>0</v>
      </c>
      <c r="K972" s="1">
        <f t="shared" si="135"/>
        <v>2.2146792245522854E-3</v>
      </c>
      <c r="L972" s="1">
        <f t="shared" si="136"/>
        <v>0.19107894143155074</v>
      </c>
      <c r="M972">
        <f t="shared" si="137"/>
        <v>-1.6203667825670648E-2</v>
      </c>
      <c r="N972">
        <f t="shared" si="138"/>
        <v>0.29811201179325297</v>
      </c>
      <c r="O972">
        <f t="shared" si="139"/>
        <v>1.3702533792801774</v>
      </c>
      <c r="P972">
        <f t="shared" si="140"/>
        <v>13.271939610385196</v>
      </c>
      <c r="Q972">
        <f t="shared" si="141"/>
        <v>1.511023597021709E-2</v>
      </c>
      <c r="R972">
        <f t="shared" si="142"/>
        <v>0</v>
      </c>
      <c r="S972">
        <f t="shared" si="143"/>
        <v>0</v>
      </c>
    </row>
    <row r="973" spans="1:19" x14ac:dyDescent="0.3">
      <c r="A973" t="s">
        <v>313</v>
      </c>
      <c r="B973">
        <v>2010</v>
      </c>
      <c r="C973">
        <v>5.4104598890905723E-3</v>
      </c>
      <c r="D973">
        <v>0.28856452798487869</v>
      </c>
      <c r="E973">
        <v>-0.30941129996049666</v>
      </c>
      <c r="F973">
        <v>0.61455723736517609</v>
      </c>
      <c r="G973">
        <v>0.15475865448563131</v>
      </c>
      <c r="H973">
        <v>12.899134822477414</v>
      </c>
      <c r="I973">
        <v>2.3200566776768166E-2</v>
      </c>
      <c r="J973">
        <v>9.1882810038853305E-2</v>
      </c>
      <c r="K973" s="1">
        <f t="shared" si="135"/>
        <v>5.4104598890905723E-3</v>
      </c>
      <c r="L973" s="1">
        <f t="shared" si="136"/>
        <v>0.28856452798487869</v>
      </c>
      <c r="M973">
        <f t="shared" si="137"/>
        <v>-0.30941129996049666</v>
      </c>
      <c r="N973">
        <f t="shared" si="138"/>
        <v>0.61455723736517609</v>
      </c>
      <c r="O973">
        <f t="shared" si="139"/>
        <v>0.15475865448563131</v>
      </c>
      <c r="P973">
        <f t="shared" si="140"/>
        <v>12.899134822477414</v>
      </c>
      <c r="Q973">
        <f t="shared" si="141"/>
        <v>2.3200566776768166E-2</v>
      </c>
      <c r="R973">
        <f t="shared" si="142"/>
        <v>9.1882810038853305E-2</v>
      </c>
      <c r="S973">
        <f t="shared" si="143"/>
        <v>0</v>
      </c>
    </row>
    <row r="974" spans="1:19" x14ac:dyDescent="0.3">
      <c r="A974" t="s">
        <v>314</v>
      </c>
      <c r="B974">
        <v>2007</v>
      </c>
      <c r="C974">
        <v>0.18837978419449705</v>
      </c>
      <c r="D974">
        <v>0.12308202210839236</v>
      </c>
      <c r="E974">
        <v>0.21682745752577667</v>
      </c>
      <c r="F974">
        <v>0.13407530031256443</v>
      </c>
      <c r="G974">
        <v>1.4925899049292715</v>
      </c>
      <c r="H974">
        <v>16.682330241497887</v>
      </c>
      <c r="I974">
        <v>5.6913165652841616E-3</v>
      </c>
      <c r="J974">
        <v>4.2217696633687157E-2</v>
      </c>
      <c r="K974" s="1">
        <f t="shared" si="135"/>
        <v>0.18837978419449705</v>
      </c>
      <c r="L974" s="1">
        <f t="shared" si="136"/>
        <v>0.12308202210839236</v>
      </c>
      <c r="M974">
        <f t="shared" si="137"/>
        <v>0.21682745752577667</v>
      </c>
      <c r="N974">
        <f t="shared" si="138"/>
        <v>0.13407530031256443</v>
      </c>
      <c r="O974">
        <f t="shared" si="139"/>
        <v>1.4925899049292715</v>
      </c>
      <c r="P974">
        <f t="shared" si="140"/>
        <v>16.682330241497887</v>
      </c>
      <c r="Q974">
        <f t="shared" si="141"/>
        <v>5.6913165652841616E-3</v>
      </c>
      <c r="R974">
        <f t="shared" si="142"/>
        <v>4.2217696633687157E-2</v>
      </c>
      <c r="S974">
        <f t="shared" si="143"/>
        <v>0</v>
      </c>
    </row>
    <row r="975" spans="1:19" x14ac:dyDescent="0.3">
      <c r="A975" t="s">
        <v>314</v>
      </c>
      <c r="B975">
        <v>2008</v>
      </c>
      <c r="C975">
        <v>0.13752518528271329</v>
      </c>
      <c r="D975">
        <v>0.11180194920909797</v>
      </c>
      <c r="E975">
        <v>0.18940341666578542</v>
      </c>
      <c r="F975">
        <v>3.6645610550020982E-2</v>
      </c>
      <c r="G975">
        <v>1.1224996853731659</v>
      </c>
      <c r="H975">
        <v>17.025361056830377</v>
      </c>
      <c r="I975">
        <v>1.4258538358532044E-2</v>
      </c>
      <c r="J975">
        <v>2.9958367544040288E-2</v>
      </c>
      <c r="K975" s="1">
        <f t="shared" si="135"/>
        <v>0.13752518528271329</v>
      </c>
      <c r="L975" s="1">
        <f t="shared" si="136"/>
        <v>0.11180194920909797</v>
      </c>
      <c r="M975">
        <f t="shared" si="137"/>
        <v>0.18940341666578542</v>
      </c>
      <c r="N975">
        <f t="shared" si="138"/>
        <v>3.6645610550020982E-2</v>
      </c>
      <c r="O975">
        <f t="shared" si="139"/>
        <v>1.1224996853731659</v>
      </c>
      <c r="P975">
        <f t="shared" si="140"/>
        <v>17.025361056830377</v>
      </c>
      <c r="Q975">
        <f t="shared" si="141"/>
        <v>1.4258538358532044E-2</v>
      </c>
      <c r="R975">
        <f t="shared" si="142"/>
        <v>2.9958367544040288E-2</v>
      </c>
      <c r="S975">
        <f t="shared" si="143"/>
        <v>0</v>
      </c>
    </row>
    <row r="976" spans="1:19" x14ac:dyDescent="0.3">
      <c r="A976" t="s">
        <v>314</v>
      </c>
      <c r="B976">
        <v>2009</v>
      </c>
      <c r="C976">
        <v>5.7839403968391212E-2</v>
      </c>
      <c r="D976">
        <v>9.7227707711685554E-2</v>
      </c>
      <c r="E976">
        <v>0.13318528866957466</v>
      </c>
      <c r="F976">
        <v>6.4186307077803212E-3</v>
      </c>
      <c r="G976">
        <v>1.1437486788621447</v>
      </c>
      <c r="H976">
        <v>17.004275362146387</v>
      </c>
      <c r="I976">
        <v>7.1129214363722312E-3</v>
      </c>
      <c r="J976">
        <v>3.0596767435010778E-2</v>
      </c>
      <c r="K976" s="1">
        <f t="shared" si="135"/>
        <v>5.7839403968391212E-2</v>
      </c>
      <c r="L976" s="1">
        <f t="shared" si="136"/>
        <v>9.7227707711685554E-2</v>
      </c>
      <c r="M976">
        <f t="shared" si="137"/>
        <v>0.13318528866957466</v>
      </c>
      <c r="N976">
        <f t="shared" si="138"/>
        <v>6.4186307077803212E-3</v>
      </c>
      <c r="O976">
        <f t="shared" si="139"/>
        <v>1.1437486788621447</v>
      </c>
      <c r="P976">
        <f t="shared" si="140"/>
        <v>17.004275362146387</v>
      </c>
      <c r="Q976">
        <f t="shared" si="141"/>
        <v>7.1129214363722312E-3</v>
      </c>
      <c r="R976">
        <f t="shared" si="142"/>
        <v>3.0596767435010778E-2</v>
      </c>
      <c r="S976">
        <f t="shared" si="143"/>
        <v>0</v>
      </c>
    </row>
    <row r="977" spans="1:19" x14ac:dyDescent="0.3">
      <c r="A977" t="s">
        <v>314</v>
      </c>
      <c r="B977">
        <v>2010</v>
      </c>
      <c r="C977">
        <v>5.6735855512041071E-2</v>
      </c>
      <c r="D977">
        <v>7.3817408738095253E-2</v>
      </c>
      <c r="E977">
        <v>0.13580402877861547</v>
      </c>
      <c r="F977">
        <v>6.5453227435743444E-4</v>
      </c>
      <c r="G977">
        <v>1.1342573760846226</v>
      </c>
      <c r="H977">
        <v>17.018660984330946</v>
      </c>
      <c r="I977">
        <v>1.9391320219192335E-2</v>
      </c>
      <c r="J977">
        <v>3.0159764712957449E-2</v>
      </c>
      <c r="K977" s="1">
        <f t="shared" si="135"/>
        <v>5.6735855512041071E-2</v>
      </c>
      <c r="L977" s="1">
        <f t="shared" si="136"/>
        <v>7.3817408738095253E-2</v>
      </c>
      <c r="M977">
        <f t="shared" si="137"/>
        <v>0.13580402877861547</v>
      </c>
      <c r="N977">
        <f t="shared" si="138"/>
        <v>6.5453227435743444E-4</v>
      </c>
      <c r="O977">
        <f t="shared" si="139"/>
        <v>1.1342573760846226</v>
      </c>
      <c r="P977">
        <f t="shared" si="140"/>
        <v>17.018660984330946</v>
      </c>
      <c r="Q977">
        <f t="shared" si="141"/>
        <v>1.9391320219192335E-2</v>
      </c>
      <c r="R977">
        <f t="shared" si="142"/>
        <v>3.0159764712957449E-2</v>
      </c>
      <c r="S977">
        <f t="shared" si="143"/>
        <v>0</v>
      </c>
    </row>
    <row r="978" spans="1:19" x14ac:dyDescent="0.3">
      <c r="A978" t="s">
        <v>315</v>
      </c>
      <c r="B978">
        <v>2007</v>
      </c>
      <c r="C978">
        <v>6.3619189748538682E-2</v>
      </c>
      <c r="D978">
        <v>4.8559284179323779E-2</v>
      </c>
      <c r="E978">
        <v>0.28755313171545849</v>
      </c>
      <c r="F978">
        <v>0.34963388552347141</v>
      </c>
      <c r="G978">
        <v>2.1063823973234799</v>
      </c>
      <c r="H978">
        <v>14.261878297341463</v>
      </c>
      <c r="I978">
        <v>1.3820059807507085E-3</v>
      </c>
      <c r="J978">
        <v>0</v>
      </c>
      <c r="K978" s="1">
        <f t="shared" si="135"/>
        <v>6.3619189748538682E-2</v>
      </c>
      <c r="L978" s="1">
        <f t="shared" si="136"/>
        <v>4.8559284179323779E-2</v>
      </c>
      <c r="M978">
        <f t="shared" si="137"/>
        <v>0.28755313171545849</v>
      </c>
      <c r="N978">
        <f t="shared" si="138"/>
        <v>0.34963388552347141</v>
      </c>
      <c r="O978">
        <f t="shared" si="139"/>
        <v>2.1063823973234799</v>
      </c>
      <c r="P978">
        <f t="shared" si="140"/>
        <v>14.261878297341463</v>
      </c>
      <c r="Q978">
        <f t="shared" si="141"/>
        <v>1.3820059807507085E-3</v>
      </c>
      <c r="R978">
        <f t="shared" si="142"/>
        <v>0</v>
      </c>
      <c r="S978">
        <f t="shared" si="143"/>
        <v>0</v>
      </c>
    </row>
    <row r="979" spans="1:19" x14ac:dyDescent="0.3">
      <c r="A979" t="s">
        <v>315</v>
      </c>
      <c r="B979">
        <v>2008</v>
      </c>
      <c r="C979">
        <v>6.9407503348220892E-2</v>
      </c>
      <c r="D979">
        <v>4.6688527551650774E-2</v>
      </c>
      <c r="E979">
        <v>0.23401469829989413</v>
      </c>
      <c r="F979">
        <v>0.41010020199543751</v>
      </c>
      <c r="G979">
        <v>1.2961330911753748</v>
      </c>
      <c r="H979">
        <v>14.43605640005852</v>
      </c>
      <c r="I979">
        <v>9.9391570322232229E-3</v>
      </c>
      <c r="J979">
        <v>0</v>
      </c>
      <c r="K979" s="1">
        <f t="shared" si="135"/>
        <v>6.9407503348220892E-2</v>
      </c>
      <c r="L979" s="1">
        <f t="shared" si="136"/>
        <v>4.6688527551650774E-2</v>
      </c>
      <c r="M979">
        <f t="shared" si="137"/>
        <v>0.23401469829989413</v>
      </c>
      <c r="N979">
        <f t="shared" si="138"/>
        <v>0.41010020199543751</v>
      </c>
      <c r="O979">
        <f t="shared" si="139"/>
        <v>1.2961330911753748</v>
      </c>
      <c r="P979">
        <f t="shared" si="140"/>
        <v>14.43605640005852</v>
      </c>
      <c r="Q979">
        <f t="shared" si="141"/>
        <v>9.9391570322232229E-3</v>
      </c>
      <c r="R979">
        <f t="shared" si="142"/>
        <v>0</v>
      </c>
      <c r="S979">
        <f t="shared" si="143"/>
        <v>0</v>
      </c>
    </row>
    <row r="980" spans="1:19" x14ac:dyDescent="0.3">
      <c r="A980" t="s">
        <v>315</v>
      </c>
      <c r="B980">
        <v>2009</v>
      </c>
      <c r="C980">
        <v>7.6157862145541516E-2</v>
      </c>
      <c r="D980">
        <v>2.2333553980184488E-2</v>
      </c>
      <c r="E980">
        <v>0.24003992996241885</v>
      </c>
      <c r="F980">
        <v>0.4356182738298599</v>
      </c>
      <c r="G980">
        <v>1.2442101554492655</v>
      </c>
      <c r="H980">
        <v>14.443201463045604</v>
      </c>
      <c r="I980">
        <v>2.4465514067976944E-3</v>
      </c>
      <c r="J980">
        <v>0</v>
      </c>
      <c r="K980" s="1">
        <f t="shared" si="135"/>
        <v>7.6157862145541516E-2</v>
      </c>
      <c r="L980" s="1">
        <f t="shared" si="136"/>
        <v>2.2333553980184488E-2</v>
      </c>
      <c r="M980">
        <f t="shared" si="137"/>
        <v>0.24003992996241885</v>
      </c>
      <c r="N980">
        <f t="shared" si="138"/>
        <v>0.4356182738298599</v>
      </c>
      <c r="O980">
        <f t="shared" si="139"/>
        <v>1.2442101554492655</v>
      </c>
      <c r="P980">
        <f t="shared" si="140"/>
        <v>14.443201463045604</v>
      </c>
      <c r="Q980">
        <f t="shared" si="141"/>
        <v>2.4465514067976944E-3</v>
      </c>
      <c r="R980">
        <f t="shared" si="142"/>
        <v>0</v>
      </c>
      <c r="S980">
        <f t="shared" si="143"/>
        <v>0</v>
      </c>
    </row>
    <row r="981" spans="1:19" x14ac:dyDescent="0.3">
      <c r="A981" t="s">
        <v>315</v>
      </c>
      <c r="B981">
        <v>2010</v>
      </c>
      <c r="C981">
        <v>6.2414994416020955E-2</v>
      </c>
      <c r="D981">
        <v>2.4520456669813787E-2</v>
      </c>
      <c r="E981">
        <v>0.19326649824475486</v>
      </c>
      <c r="F981">
        <v>0.42451386419982717</v>
      </c>
      <c r="G981">
        <v>0.95394343503787926</v>
      </c>
      <c r="H981">
        <v>14.75096135779639</v>
      </c>
      <c r="I981">
        <v>5.4350395215889066E-4</v>
      </c>
      <c r="J981">
        <v>0</v>
      </c>
      <c r="K981" s="1">
        <f t="shared" si="135"/>
        <v>6.2414994416020955E-2</v>
      </c>
      <c r="L981" s="1">
        <f t="shared" si="136"/>
        <v>2.4520456669813787E-2</v>
      </c>
      <c r="M981">
        <f t="shared" si="137"/>
        <v>0.19326649824475486</v>
      </c>
      <c r="N981">
        <f t="shared" si="138"/>
        <v>0.42451386419982717</v>
      </c>
      <c r="O981">
        <f t="shared" si="139"/>
        <v>0.95394343503787926</v>
      </c>
      <c r="P981">
        <f t="shared" si="140"/>
        <v>14.75096135779639</v>
      </c>
      <c r="Q981">
        <f t="shared" si="141"/>
        <v>5.4350395215889066E-4</v>
      </c>
      <c r="R981">
        <f t="shared" si="142"/>
        <v>0</v>
      </c>
      <c r="S981">
        <f t="shared" si="143"/>
        <v>0</v>
      </c>
    </row>
    <row r="982" spans="1:19" x14ac:dyDescent="0.3">
      <c r="A982" t="s">
        <v>316</v>
      </c>
      <c r="B982">
        <v>2007</v>
      </c>
      <c r="C982">
        <v>2.3720873140893189E-2</v>
      </c>
      <c r="D982">
        <v>0.10018821218878501</v>
      </c>
      <c r="E982">
        <v>-0.1953622061741781</v>
      </c>
      <c r="F982">
        <v>0</v>
      </c>
      <c r="G982">
        <v>6.178126470407725</v>
      </c>
      <c r="H982">
        <v>13.099729144895393</v>
      </c>
      <c r="I982">
        <v>5.0085801948462211E-3</v>
      </c>
      <c r="J982">
        <v>0</v>
      </c>
      <c r="K982" s="1">
        <f t="shared" si="135"/>
        <v>2.3720873140893189E-2</v>
      </c>
      <c r="L982" s="1">
        <f t="shared" si="136"/>
        <v>0.10018821218878501</v>
      </c>
      <c r="M982">
        <f t="shared" si="137"/>
        <v>-0.1953622061741781</v>
      </c>
      <c r="N982">
        <f t="shared" si="138"/>
        <v>0</v>
      </c>
      <c r="O982">
        <f t="shared" si="139"/>
        <v>6.178126470407725</v>
      </c>
      <c r="P982">
        <f t="shared" si="140"/>
        <v>13.099729144895393</v>
      </c>
      <c r="Q982">
        <f t="shared" si="141"/>
        <v>5.0085801948462211E-3</v>
      </c>
      <c r="R982">
        <f t="shared" si="142"/>
        <v>0</v>
      </c>
      <c r="S982">
        <f t="shared" si="143"/>
        <v>0</v>
      </c>
    </row>
    <row r="983" spans="1:19" x14ac:dyDescent="0.3">
      <c r="A983" t="s">
        <v>316</v>
      </c>
      <c r="B983">
        <v>2009</v>
      </c>
      <c r="C983">
        <v>1.4381729390979699E-2</v>
      </c>
      <c r="D983">
        <v>8.1136037867928931E-2</v>
      </c>
      <c r="E983">
        <v>4.0390929697656591E-2</v>
      </c>
      <c r="F983">
        <v>0.19333977799259974</v>
      </c>
      <c r="G983">
        <v>39.611676639221308</v>
      </c>
      <c r="H983">
        <v>13.081508048995172</v>
      </c>
      <c r="I983">
        <v>7.506991451703901E-4</v>
      </c>
      <c r="J983">
        <v>6.6668888962965439E-2</v>
      </c>
      <c r="K983" s="1">
        <f t="shared" si="135"/>
        <v>1.4381729390979699E-2</v>
      </c>
      <c r="L983" s="1">
        <f t="shared" si="136"/>
        <v>8.1136037867928931E-2</v>
      </c>
      <c r="M983">
        <f t="shared" si="137"/>
        <v>4.0390929697656591E-2</v>
      </c>
      <c r="N983">
        <f t="shared" si="138"/>
        <v>0.19333977799259974</v>
      </c>
      <c r="O983">
        <f t="shared" si="139"/>
        <v>39.611676639221308</v>
      </c>
      <c r="P983">
        <f t="shared" si="140"/>
        <v>13.081508048995172</v>
      </c>
      <c r="Q983">
        <f t="shared" si="141"/>
        <v>7.506991451703901E-4</v>
      </c>
      <c r="R983">
        <f t="shared" si="142"/>
        <v>6.6668888962965439E-2</v>
      </c>
      <c r="S983">
        <f t="shared" si="143"/>
        <v>0</v>
      </c>
    </row>
    <row r="984" spans="1:19" x14ac:dyDescent="0.3">
      <c r="A984" t="s">
        <v>316</v>
      </c>
      <c r="B984">
        <v>2010</v>
      </c>
      <c r="C984">
        <v>1.2122060905964552E-2</v>
      </c>
      <c r="D984">
        <v>8.2813705286979178E-2</v>
      </c>
      <c r="E984">
        <v>3.418985819433978E-3</v>
      </c>
      <c r="F984">
        <v>0.12170967075033179</v>
      </c>
      <c r="G984">
        <v>43.603975626943743</v>
      </c>
      <c r="H984">
        <v>13.01664946597624</v>
      </c>
      <c r="I984">
        <v>3.7003470023135414E-3</v>
      </c>
      <c r="J984">
        <v>0</v>
      </c>
      <c r="K984" s="1">
        <f t="shared" si="135"/>
        <v>1.2122060905964552E-2</v>
      </c>
      <c r="L984" s="1">
        <f t="shared" si="136"/>
        <v>8.2813705286979178E-2</v>
      </c>
      <c r="M984">
        <f t="shared" si="137"/>
        <v>3.418985819433978E-3</v>
      </c>
      <c r="N984">
        <f t="shared" si="138"/>
        <v>0.12170967075033179</v>
      </c>
      <c r="O984">
        <f t="shared" si="139"/>
        <v>43.603975626943743</v>
      </c>
      <c r="P984">
        <f t="shared" si="140"/>
        <v>13.01664946597624</v>
      </c>
      <c r="Q984">
        <f t="shared" si="141"/>
        <v>3.7003470023135414E-3</v>
      </c>
      <c r="R984">
        <f t="shared" si="142"/>
        <v>0</v>
      </c>
      <c r="S984">
        <f t="shared" si="143"/>
        <v>0</v>
      </c>
    </row>
    <row r="985" spans="1:19" x14ac:dyDescent="0.3">
      <c r="A985" t="s">
        <v>317</v>
      </c>
      <c r="B985">
        <v>2007</v>
      </c>
      <c r="C985">
        <v>8.7869207480480355E-2</v>
      </c>
      <c r="D985">
        <v>5.4816174872886883E-2</v>
      </c>
      <c r="E985">
        <v>-8.2991105703069543E-2</v>
      </c>
      <c r="F985">
        <v>2.829262816334217E-2</v>
      </c>
      <c r="G985">
        <v>1.1036922558776237</v>
      </c>
      <c r="H985">
        <v>13.22178147179852</v>
      </c>
      <c r="I985">
        <v>2.4130995596209973E-3</v>
      </c>
      <c r="J985">
        <v>0</v>
      </c>
      <c r="K985" s="1">
        <f t="shared" si="135"/>
        <v>8.7869207480480355E-2</v>
      </c>
      <c r="L985" s="1">
        <f t="shared" si="136"/>
        <v>5.4816174872886883E-2</v>
      </c>
      <c r="M985">
        <f t="shared" si="137"/>
        <v>-8.2991105703069543E-2</v>
      </c>
      <c r="N985">
        <f t="shared" si="138"/>
        <v>2.829262816334217E-2</v>
      </c>
      <c r="O985">
        <f t="shared" si="139"/>
        <v>1.1036922558776237</v>
      </c>
      <c r="P985">
        <f t="shared" si="140"/>
        <v>13.22178147179852</v>
      </c>
      <c r="Q985">
        <f t="shared" si="141"/>
        <v>2.4130995596209973E-3</v>
      </c>
      <c r="R985">
        <f t="shared" si="142"/>
        <v>0</v>
      </c>
      <c r="S985">
        <f t="shared" si="143"/>
        <v>0</v>
      </c>
    </row>
    <row r="986" spans="1:19" x14ac:dyDescent="0.3">
      <c r="A986" t="s">
        <v>317</v>
      </c>
      <c r="B986">
        <v>2009</v>
      </c>
      <c r="C986">
        <v>0.10213013353454077</v>
      </c>
      <c r="D986">
        <v>4.2363361477973697E-2</v>
      </c>
      <c r="E986">
        <v>0.21198854694261365</v>
      </c>
      <c r="F986">
        <v>6.9329286661467555E-3</v>
      </c>
      <c r="G986">
        <v>0.47241524934612278</v>
      </c>
      <c r="H986">
        <v>13.473552501712096</v>
      </c>
      <c r="I986">
        <v>2.0371345585775864E-3</v>
      </c>
      <c r="J986">
        <v>0</v>
      </c>
      <c r="K986" s="1">
        <f t="shared" si="135"/>
        <v>0.10213013353454077</v>
      </c>
      <c r="L986" s="1">
        <f t="shared" si="136"/>
        <v>4.2363361477973697E-2</v>
      </c>
      <c r="M986">
        <f t="shared" si="137"/>
        <v>0.21198854694261365</v>
      </c>
      <c r="N986">
        <f t="shared" si="138"/>
        <v>6.9329286661467555E-3</v>
      </c>
      <c r="O986">
        <f t="shared" si="139"/>
        <v>0.47241524934612278</v>
      </c>
      <c r="P986">
        <f t="shared" si="140"/>
        <v>13.473552501712096</v>
      </c>
      <c r="Q986">
        <f t="shared" si="141"/>
        <v>2.0371345585775864E-3</v>
      </c>
      <c r="R986">
        <f t="shared" si="142"/>
        <v>0</v>
      </c>
      <c r="S986">
        <f t="shared" si="143"/>
        <v>0</v>
      </c>
    </row>
    <row r="987" spans="1:19" x14ac:dyDescent="0.3">
      <c r="A987" t="s">
        <v>317</v>
      </c>
      <c r="B987">
        <v>2010</v>
      </c>
      <c r="C987">
        <v>5.6753586028397959E-2</v>
      </c>
      <c r="D987">
        <v>5.7557872330132313E-2</v>
      </c>
      <c r="E987">
        <v>0.18617262523886699</v>
      </c>
      <c r="F987">
        <v>7.4456955564693649E-3</v>
      </c>
      <c r="G987">
        <v>0.41582283628843036</v>
      </c>
      <c r="H987">
        <v>13.402198744829807</v>
      </c>
      <c r="I987">
        <v>1.2483777309821292E-2</v>
      </c>
      <c r="J987">
        <v>0</v>
      </c>
      <c r="K987" s="1">
        <f t="shared" si="135"/>
        <v>5.6753586028397959E-2</v>
      </c>
      <c r="L987" s="1">
        <f t="shared" si="136"/>
        <v>5.7557872330132313E-2</v>
      </c>
      <c r="M987">
        <f t="shared" si="137"/>
        <v>0.18617262523886699</v>
      </c>
      <c r="N987">
        <f t="shared" si="138"/>
        <v>7.4456955564693649E-3</v>
      </c>
      <c r="O987">
        <f t="shared" si="139"/>
        <v>0.41582283628843036</v>
      </c>
      <c r="P987">
        <f t="shared" si="140"/>
        <v>13.402198744829807</v>
      </c>
      <c r="Q987">
        <f t="shared" si="141"/>
        <v>1.2483777309821292E-2</v>
      </c>
      <c r="R987">
        <f t="shared" si="142"/>
        <v>0</v>
      </c>
      <c r="S987">
        <f t="shared" si="143"/>
        <v>0</v>
      </c>
    </row>
    <row r="988" spans="1:19" x14ac:dyDescent="0.3">
      <c r="A988" t="s">
        <v>318</v>
      </c>
      <c r="B988">
        <v>2007</v>
      </c>
      <c r="C988">
        <v>1.3605442176870747E-3</v>
      </c>
      <c r="D988">
        <v>1.3756613756613757E-2</v>
      </c>
      <c r="E988">
        <v>0.67003023431594855</v>
      </c>
      <c r="F988">
        <v>0</v>
      </c>
      <c r="G988">
        <v>1.5510204081632653</v>
      </c>
      <c r="H988">
        <v>10.183389437668946</v>
      </c>
      <c r="I988">
        <v>1.8219978292046512E-3</v>
      </c>
      <c r="J988">
        <v>0</v>
      </c>
      <c r="K988" s="1">
        <f t="shared" si="135"/>
        <v>1.3605442176870747E-3</v>
      </c>
      <c r="L988" s="1">
        <f t="shared" si="136"/>
        <v>1.3756613756613757E-2</v>
      </c>
      <c r="M988">
        <f t="shared" si="137"/>
        <v>0.67003023431594855</v>
      </c>
      <c r="N988">
        <f t="shared" si="138"/>
        <v>0</v>
      </c>
      <c r="O988">
        <f t="shared" si="139"/>
        <v>1.5510204081632653</v>
      </c>
      <c r="P988">
        <f t="shared" si="140"/>
        <v>10.183389437668946</v>
      </c>
      <c r="Q988">
        <f t="shared" si="141"/>
        <v>1.8219978292046512E-3</v>
      </c>
      <c r="R988">
        <f t="shared" si="142"/>
        <v>0</v>
      </c>
      <c r="S988">
        <f t="shared" si="143"/>
        <v>0</v>
      </c>
    </row>
    <row r="989" spans="1:19" x14ac:dyDescent="0.3">
      <c r="A989" t="s">
        <v>318</v>
      </c>
      <c r="B989">
        <v>2008</v>
      </c>
      <c r="C989">
        <v>3.0230888410233154E-3</v>
      </c>
      <c r="D989">
        <v>8.2001284812757442E-3</v>
      </c>
      <c r="E989">
        <v>0.66878282885538298</v>
      </c>
      <c r="F989">
        <v>0</v>
      </c>
      <c r="G989">
        <v>0.37707931829346636</v>
      </c>
      <c r="H989">
        <v>10.183502809926877</v>
      </c>
      <c r="I989">
        <v>1.3233231181406667E-3</v>
      </c>
      <c r="J989">
        <v>0</v>
      </c>
      <c r="K989" s="1">
        <f t="shared" si="135"/>
        <v>3.0230888410233154E-3</v>
      </c>
      <c r="L989" s="1">
        <f t="shared" si="136"/>
        <v>8.2001284812757442E-3</v>
      </c>
      <c r="M989">
        <f t="shared" si="137"/>
        <v>0.66878282885538298</v>
      </c>
      <c r="N989">
        <f t="shared" si="138"/>
        <v>0</v>
      </c>
      <c r="O989">
        <f t="shared" si="139"/>
        <v>0.37707931829346636</v>
      </c>
      <c r="P989">
        <f t="shared" si="140"/>
        <v>10.183502809926877</v>
      </c>
      <c r="Q989">
        <f t="shared" si="141"/>
        <v>1.3233231181406667E-3</v>
      </c>
      <c r="R989">
        <f t="shared" si="142"/>
        <v>0</v>
      </c>
      <c r="S989">
        <f t="shared" si="143"/>
        <v>0</v>
      </c>
    </row>
    <row r="990" spans="1:19" x14ac:dyDescent="0.3">
      <c r="A990" t="s">
        <v>318</v>
      </c>
      <c r="B990">
        <v>2009</v>
      </c>
      <c r="C990">
        <v>1.8873622225577534E-4</v>
      </c>
      <c r="D990">
        <v>4.2276913785293671E-3</v>
      </c>
      <c r="E990">
        <v>0.96968896270572247</v>
      </c>
      <c r="F990">
        <v>0</v>
      </c>
      <c r="G990">
        <v>0.46789370375962558</v>
      </c>
      <c r="H990">
        <v>10.18459807960487</v>
      </c>
      <c r="I990">
        <v>2.440686108097413E-3</v>
      </c>
      <c r="J990">
        <v>0</v>
      </c>
      <c r="K990" s="1">
        <f t="shared" si="135"/>
        <v>1.8873622225577534E-4</v>
      </c>
      <c r="L990" s="1">
        <f t="shared" si="136"/>
        <v>4.2276913785293671E-3</v>
      </c>
      <c r="M990">
        <f t="shared" si="137"/>
        <v>0.96968896270572247</v>
      </c>
      <c r="N990">
        <f t="shared" si="138"/>
        <v>0</v>
      </c>
      <c r="O990">
        <f t="shared" si="139"/>
        <v>0.46789370375962558</v>
      </c>
      <c r="P990">
        <f t="shared" si="140"/>
        <v>10.18459807960487</v>
      </c>
      <c r="Q990">
        <f t="shared" si="141"/>
        <v>2.440686108097413E-3</v>
      </c>
      <c r="R990">
        <f t="shared" si="142"/>
        <v>0</v>
      </c>
      <c r="S990">
        <f t="shared" si="143"/>
        <v>0</v>
      </c>
    </row>
    <row r="991" spans="1:19" x14ac:dyDescent="0.3">
      <c r="A991" t="s">
        <v>318</v>
      </c>
      <c r="B991">
        <v>2010</v>
      </c>
      <c r="C991">
        <v>1.8884314688219963E-4</v>
      </c>
      <c r="D991">
        <v>1.1557200589190618E-2</v>
      </c>
      <c r="E991">
        <v>0.97099369263889412</v>
      </c>
      <c r="F991">
        <v>0</v>
      </c>
      <c r="G991">
        <v>0.48047739547531815</v>
      </c>
      <c r="H991">
        <v>10.184031710581442</v>
      </c>
      <c r="I991">
        <v>1.0698821474433703E-3</v>
      </c>
      <c r="J991">
        <v>0</v>
      </c>
      <c r="K991" s="1">
        <f t="shared" si="135"/>
        <v>1.8884314688219963E-4</v>
      </c>
      <c r="L991" s="1">
        <f t="shared" si="136"/>
        <v>1.1557200589190618E-2</v>
      </c>
      <c r="M991">
        <f t="shared" si="137"/>
        <v>0.97099369263889412</v>
      </c>
      <c r="N991">
        <f t="shared" si="138"/>
        <v>0</v>
      </c>
      <c r="O991">
        <f t="shared" si="139"/>
        <v>0.48047739547531815</v>
      </c>
      <c r="P991">
        <f t="shared" si="140"/>
        <v>10.184031710581442</v>
      </c>
      <c r="Q991">
        <f t="shared" si="141"/>
        <v>1.0698821474433703E-3</v>
      </c>
      <c r="R991">
        <f t="shared" si="142"/>
        <v>0</v>
      </c>
      <c r="S991">
        <f t="shared" si="143"/>
        <v>0</v>
      </c>
    </row>
    <row r="992" spans="1:19" x14ac:dyDescent="0.3">
      <c r="A992" t="s">
        <v>319</v>
      </c>
      <c r="B992">
        <v>2007</v>
      </c>
      <c r="C992">
        <v>6.3355871609543793E-3</v>
      </c>
      <c r="D992">
        <v>0.15127380119686018</v>
      </c>
      <c r="E992">
        <v>8.3429703893681512E-2</v>
      </c>
      <c r="F992">
        <v>0.60231600217610948</v>
      </c>
      <c r="G992">
        <v>5.0688920494287713</v>
      </c>
      <c r="H992">
        <v>14.067591359173081</v>
      </c>
      <c r="I992">
        <v>4.1803446960728366E-2</v>
      </c>
      <c r="J992">
        <v>0</v>
      </c>
      <c r="K992" s="1">
        <f t="shared" si="135"/>
        <v>6.3355871609543793E-3</v>
      </c>
      <c r="L992" s="1">
        <f t="shared" si="136"/>
        <v>0.15127380119686018</v>
      </c>
      <c r="M992">
        <f t="shared" si="137"/>
        <v>8.3429703893681512E-2</v>
      </c>
      <c r="N992">
        <f t="shared" si="138"/>
        <v>0.60231600217610948</v>
      </c>
      <c r="O992">
        <f t="shared" si="139"/>
        <v>5.0688920494287713</v>
      </c>
      <c r="P992">
        <f t="shared" si="140"/>
        <v>14.067591359173081</v>
      </c>
      <c r="Q992">
        <f t="shared" si="141"/>
        <v>4.1803446960728366E-2</v>
      </c>
      <c r="R992">
        <f t="shared" si="142"/>
        <v>0</v>
      </c>
      <c r="S992">
        <f t="shared" si="143"/>
        <v>0</v>
      </c>
    </row>
    <row r="993" spans="1:19" x14ac:dyDescent="0.3">
      <c r="A993" t="s">
        <v>319</v>
      </c>
      <c r="B993">
        <v>2008</v>
      </c>
      <c r="C993">
        <v>5.208738945730431E-2</v>
      </c>
      <c r="D993">
        <v>5.3917439537117869E-2</v>
      </c>
      <c r="E993">
        <v>7.2897360125363908E-2</v>
      </c>
      <c r="F993">
        <v>0.47851608873368573</v>
      </c>
      <c r="G993">
        <v>4.7938587756563154</v>
      </c>
      <c r="H993">
        <v>14.129455960003876</v>
      </c>
      <c r="I993">
        <v>2.606351363933548E-2</v>
      </c>
      <c r="J993">
        <v>0</v>
      </c>
      <c r="K993" s="1">
        <f t="shared" si="135"/>
        <v>5.208738945730431E-2</v>
      </c>
      <c r="L993" s="1">
        <f t="shared" si="136"/>
        <v>5.3917439537117869E-2</v>
      </c>
      <c r="M993">
        <f t="shared" si="137"/>
        <v>7.2897360125363908E-2</v>
      </c>
      <c r="N993">
        <f t="shared" si="138"/>
        <v>0.47851608873368573</v>
      </c>
      <c r="O993">
        <f t="shared" si="139"/>
        <v>4.7938587756563154</v>
      </c>
      <c r="P993">
        <f t="shared" si="140"/>
        <v>14.129455960003876</v>
      </c>
      <c r="Q993">
        <f t="shared" si="141"/>
        <v>2.606351363933548E-2</v>
      </c>
      <c r="R993">
        <f t="shared" si="142"/>
        <v>0</v>
      </c>
      <c r="S993">
        <f t="shared" si="143"/>
        <v>0</v>
      </c>
    </row>
    <row r="994" spans="1:19" x14ac:dyDescent="0.3">
      <c r="A994" t="s">
        <v>319</v>
      </c>
      <c r="B994">
        <v>2009</v>
      </c>
      <c r="C994">
        <v>1.2254959249944422E-2</v>
      </c>
      <c r="D994">
        <v>6.5702544129472046E-2</v>
      </c>
      <c r="E994">
        <v>-3.0564802304776532E-2</v>
      </c>
      <c r="F994">
        <v>0.79613745877777298</v>
      </c>
      <c r="G994">
        <v>1.2333627697583045</v>
      </c>
      <c r="H994">
        <v>15.583868160397751</v>
      </c>
      <c r="I994">
        <v>2.88538702916801E-2</v>
      </c>
      <c r="J994">
        <v>0</v>
      </c>
      <c r="K994" s="1">
        <f t="shared" si="135"/>
        <v>1.2254959249944422E-2</v>
      </c>
      <c r="L994" s="1">
        <f t="shared" si="136"/>
        <v>6.5702544129472046E-2</v>
      </c>
      <c r="M994">
        <f t="shared" si="137"/>
        <v>-3.0564802304776532E-2</v>
      </c>
      <c r="N994">
        <f t="shared" si="138"/>
        <v>0.79613745877777298</v>
      </c>
      <c r="O994">
        <f t="shared" si="139"/>
        <v>1.2333627697583045</v>
      </c>
      <c r="P994">
        <f t="shared" si="140"/>
        <v>15.583868160397751</v>
      </c>
      <c r="Q994">
        <f t="shared" si="141"/>
        <v>2.88538702916801E-2</v>
      </c>
      <c r="R994">
        <f t="shared" si="142"/>
        <v>0</v>
      </c>
      <c r="S994">
        <f t="shared" si="143"/>
        <v>0</v>
      </c>
    </row>
    <row r="995" spans="1:19" x14ac:dyDescent="0.3">
      <c r="A995" t="s">
        <v>319</v>
      </c>
      <c r="B995">
        <v>2010</v>
      </c>
      <c r="C995">
        <v>8.6105180579211862E-3</v>
      </c>
      <c r="D995">
        <v>3.5595757395468344E-2</v>
      </c>
      <c r="E995">
        <v>-7.4167234856960834E-2</v>
      </c>
      <c r="F995">
        <v>0.53030113646833976</v>
      </c>
      <c r="G995">
        <v>0.93720431947475524</v>
      </c>
      <c r="H995">
        <v>16.066436500179798</v>
      </c>
      <c r="I995">
        <v>3.6973045600922662E-3</v>
      </c>
      <c r="J995">
        <v>0</v>
      </c>
      <c r="K995" s="1">
        <f t="shared" si="135"/>
        <v>8.6105180579211862E-3</v>
      </c>
      <c r="L995" s="1">
        <f t="shared" si="136"/>
        <v>3.5595757395468344E-2</v>
      </c>
      <c r="M995">
        <f t="shared" si="137"/>
        <v>-7.4167234856960834E-2</v>
      </c>
      <c r="N995">
        <f t="shared" si="138"/>
        <v>0.53030113646833976</v>
      </c>
      <c r="O995">
        <f t="shared" si="139"/>
        <v>0.93720431947475524</v>
      </c>
      <c r="P995">
        <f t="shared" si="140"/>
        <v>16.066436500179798</v>
      </c>
      <c r="Q995">
        <f t="shared" si="141"/>
        <v>3.6973045600922662E-3</v>
      </c>
      <c r="R995">
        <f t="shared" si="142"/>
        <v>0</v>
      </c>
      <c r="S995">
        <f t="shared" si="143"/>
        <v>0</v>
      </c>
    </row>
    <row r="996" spans="1:19" x14ac:dyDescent="0.3">
      <c r="A996" t="s">
        <v>320</v>
      </c>
      <c r="B996">
        <v>2008</v>
      </c>
      <c r="C996">
        <v>2.9555181426297629E-2</v>
      </c>
      <c r="D996">
        <v>6.4980690372763286E-2</v>
      </c>
      <c r="E996">
        <v>-4.4445937871626803E-2</v>
      </c>
      <c r="F996">
        <v>2.3579412797306268E-3</v>
      </c>
      <c r="G996">
        <v>0.64351094946049303</v>
      </c>
      <c r="H996">
        <v>14.766829766295787</v>
      </c>
      <c r="I996">
        <v>1.3468860754346395E-2</v>
      </c>
      <c r="J996">
        <v>0</v>
      </c>
      <c r="K996" s="1">
        <f t="shared" si="135"/>
        <v>2.9555181426297629E-2</v>
      </c>
      <c r="L996" s="1">
        <f t="shared" si="136"/>
        <v>6.4980690372763286E-2</v>
      </c>
      <c r="M996">
        <f t="shared" si="137"/>
        <v>-4.4445937871626803E-2</v>
      </c>
      <c r="N996">
        <f t="shared" si="138"/>
        <v>2.3579412797306268E-3</v>
      </c>
      <c r="O996">
        <f t="shared" si="139"/>
        <v>0.64351094946049303</v>
      </c>
      <c r="P996">
        <f t="shared" si="140"/>
        <v>14.766829766295787</v>
      </c>
      <c r="Q996">
        <f t="shared" si="141"/>
        <v>1.3468860754346395E-2</v>
      </c>
      <c r="R996">
        <f t="shared" si="142"/>
        <v>0</v>
      </c>
      <c r="S996">
        <f t="shared" si="143"/>
        <v>0</v>
      </c>
    </row>
    <row r="997" spans="1:19" x14ac:dyDescent="0.3">
      <c r="A997" t="s">
        <v>320</v>
      </c>
      <c r="B997">
        <v>2009</v>
      </c>
      <c r="C997">
        <v>2.6181018292315086E-2</v>
      </c>
      <c r="D997">
        <v>2.5222995893447776E-2</v>
      </c>
      <c r="E997">
        <v>2.3060454089832778E-2</v>
      </c>
      <c r="F997">
        <v>4.0913708869058157E-3</v>
      </c>
      <c r="G997">
        <v>0.35594327852204072</v>
      </c>
      <c r="H997">
        <v>14.733029734990618</v>
      </c>
      <c r="I997">
        <v>7.702435969784184E-4</v>
      </c>
      <c r="J997">
        <v>0</v>
      </c>
      <c r="K997" s="1">
        <f t="shared" si="135"/>
        <v>2.6181018292315086E-2</v>
      </c>
      <c r="L997" s="1">
        <f t="shared" si="136"/>
        <v>2.5222995893447776E-2</v>
      </c>
      <c r="M997">
        <f t="shared" si="137"/>
        <v>2.3060454089832778E-2</v>
      </c>
      <c r="N997">
        <f t="shared" si="138"/>
        <v>4.0913708869058157E-3</v>
      </c>
      <c r="O997">
        <f t="shared" si="139"/>
        <v>0.35594327852204072</v>
      </c>
      <c r="P997">
        <f t="shared" si="140"/>
        <v>14.733029734990618</v>
      </c>
      <c r="Q997">
        <f t="shared" si="141"/>
        <v>7.702435969784184E-4</v>
      </c>
      <c r="R997">
        <f t="shared" si="142"/>
        <v>0</v>
      </c>
      <c r="S997">
        <f t="shared" si="143"/>
        <v>0</v>
      </c>
    </row>
    <row r="998" spans="1:19" x14ac:dyDescent="0.3">
      <c r="A998" t="s">
        <v>320</v>
      </c>
      <c r="B998">
        <v>2010</v>
      </c>
      <c r="C998">
        <v>2.974565431465542E-2</v>
      </c>
      <c r="D998">
        <v>2.6938602624302175E-2</v>
      </c>
      <c r="E998">
        <v>4.1608419081091405E-2</v>
      </c>
      <c r="F998">
        <v>2.9530279504653891E-3</v>
      </c>
      <c r="G998">
        <v>0.35507837050609492</v>
      </c>
      <c r="H998">
        <v>14.734699884850038</v>
      </c>
      <c r="I998">
        <v>3.0776336854800943E-3</v>
      </c>
      <c r="J998">
        <v>0</v>
      </c>
      <c r="K998" s="1">
        <f t="shared" si="135"/>
        <v>2.974565431465542E-2</v>
      </c>
      <c r="L998" s="1">
        <f t="shared" si="136"/>
        <v>2.6938602624302175E-2</v>
      </c>
      <c r="M998">
        <f t="shared" si="137"/>
        <v>4.1608419081091405E-2</v>
      </c>
      <c r="N998">
        <f t="shared" si="138"/>
        <v>2.9530279504653891E-3</v>
      </c>
      <c r="O998">
        <f t="shared" si="139"/>
        <v>0.35507837050609492</v>
      </c>
      <c r="P998">
        <f t="shared" si="140"/>
        <v>14.734699884850038</v>
      </c>
      <c r="Q998">
        <f t="shared" si="141"/>
        <v>3.0776336854800943E-3</v>
      </c>
      <c r="R998">
        <f t="shared" si="142"/>
        <v>0</v>
      </c>
      <c r="S998">
        <f t="shared" si="143"/>
        <v>0</v>
      </c>
    </row>
    <row r="999" spans="1:19" x14ac:dyDescent="0.3">
      <c r="A999" t="s">
        <v>321</v>
      </c>
      <c r="B999">
        <v>2007</v>
      </c>
      <c r="C999">
        <v>4.0353898336820043E-2</v>
      </c>
      <c r="D999">
        <v>8.8899546067216145E-2</v>
      </c>
      <c r="E999">
        <v>5.0086837749636029E-2</v>
      </c>
      <c r="F999">
        <v>3.2393121153963873E-2</v>
      </c>
      <c r="G999">
        <v>1.5047633986386817</v>
      </c>
      <c r="H999">
        <v>16.405573302517574</v>
      </c>
      <c r="I999">
        <v>1.2761819377662523E-2</v>
      </c>
      <c r="J999">
        <v>6.0994967371330701E-3</v>
      </c>
      <c r="K999" s="1">
        <f t="shared" si="135"/>
        <v>4.0353898336820043E-2</v>
      </c>
      <c r="L999" s="1">
        <f t="shared" si="136"/>
        <v>8.8899546067216145E-2</v>
      </c>
      <c r="M999">
        <f t="shared" si="137"/>
        <v>5.0086837749636029E-2</v>
      </c>
      <c r="N999">
        <f t="shared" si="138"/>
        <v>3.2393121153963873E-2</v>
      </c>
      <c r="O999">
        <f t="shared" si="139"/>
        <v>1.5047633986386817</v>
      </c>
      <c r="P999">
        <f t="shared" si="140"/>
        <v>16.405573302517574</v>
      </c>
      <c r="Q999">
        <f t="shared" si="141"/>
        <v>1.2761819377662523E-2</v>
      </c>
      <c r="R999">
        <f t="shared" si="142"/>
        <v>6.0994967371330701E-3</v>
      </c>
      <c r="S999">
        <f t="shared" si="143"/>
        <v>0</v>
      </c>
    </row>
    <row r="1000" spans="1:19" x14ac:dyDescent="0.3">
      <c r="A1000" t="s">
        <v>321</v>
      </c>
      <c r="B1000">
        <v>2008</v>
      </c>
      <c r="C1000">
        <v>2.0968951438113195E-2</v>
      </c>
      <c r="D1000">
        <v>5.0068303152670864E-2</v>
      </c>
      <c r="E1000">
        <v>4.2705224000399111E-2</v>
      </c>
      <c r="F1000">
        <v>5.2581678525191015E-2</v>
      </c>
      <c r="G1000">
        <v>1.1886539413484121</v>
      </c>
      <c r="H1000">
        <v>16.466735066339314</v>
      </c>
      <c r="I1000">
        <v>7.7757302448244045E-3</v>
      </c>
      <c r="J1000">
        <v>3.4425720400855782E-3</v>
      </c>
      <c r="K1000" s="1">
        <f t="shared" si="135"/>
        <v>2.0968951438113195E-2</v>
      </c>
      <c r="L1000" s="1">
        <f t="shared" si="136"/>
        <v>5.0068303152670864E-2</v>
      </c>
      <c r="M1000">
        <f t="shared" si="137"/>
        <v>4.2705224000399111E-2</v>
      </c>
      <c r="N1000">
        <f t="shared" si="138"/>
        <v>5.2581678525191015E-2</v>
      </c>
      <c r="O1000">
        <f t="shared" si="139"/>
        <v>1.1886539413484121</v>
      </c>
      <c r="P1000">
        <f t="shared" si="140"/>
        <v>16.466735066339314</v>
      </c>
      <c r="Q1000">
        <f t="shared" si="141"/>
        <v>7.7757302448244045E-3</v>
      </c>
      <c r="R1000">
        <f t="shared" si="142"/>
        <v>3.4425720400855782E-3</v>
      </c>
      <c r="S1000">
        <f t="shared" si="143"/>
        <v>0</v>
      </c>
    </row>
    <row r="1001" spans="1:19" x14ac:dyDescent="0.3">
      <c r="A1001" t="s">
        <v>321</v>
      </c>
      <c r="B1001">
        <v>2009</v>
      </c>
      <c r="C1001">
        <v>8.6411775065529939E-3</v>
      </c>
      <c r="D1001">
        <v>2.8717050540646123E-2</v>
      </c>
      <c r="E1001">
        <v>-7.9605428751205562E-2</v>
      </c>
      <c r="F1001">
        <v>6.7301473253044919E-2</v>
      </c>
      <c r="G1001">
        <v>0.62291036864729477</v>
      </c>
      <c r="H1001">
        <v>16.471221092861434</v>
      </c>
      <c r="I1001">
        <v>5.5145281387523832E-3</v>
      </c>
      <c r="J1001">
        <v>0</v>
      </c>
      <c r="K1001" s="1">
        <f t="shared" si="135"/>
        <v>8.6411775065529939E-3</v>
      </c>
      <c r="L1001" s="1">
        <f t="shared" si="136"/>
        <v>2.8717050540646123E-2</v>
      </c>
      <c r="M1001">
        <f t="shared" si="137"/>
        <v>-7.9605428751205562E-2</v>
      </c>
      <c r="N1001">
        <f t="shared" si="138"/>
        <v>6.7301473253044919E-2</v>
      </c>
      <c r="O1001">
        <f t="shared" si="139"/>
        <v>0.62291036864729477</v>
      </c>
      <c r="P1001">
        <f t="shared" si="140"/>
        <v>16.471221092861434</v>
      </c>
      <c r="Q1001">
        <f t="shared" si="141"/>
        <v>5.5145281387523832E-3</v>
      </c>
      <c r="R1001">
        <f t="shared" si="142"/>
        <v>0</v>
      </c>
      <c r="S1001">
        <f t="shared" si="143"/>
        <v>0</v>
      </c>
    </row>
    <row r="1002" spans="1:19" x14ac:dyDescent="0.3">
      <c r="A1002" t="s">
        <v>321</v>
      </c>
      <c r="B1002">
        <v>2010</v>
      </c>
      <c r="C1002">
        <v>3.88233322756713E-3</v>
      </c>
      <c r="D1002">
        <v>3.1834876047436046E-2</v>
      </c>
      <c r="E1002">
        <v>-4.116598827755108E-2</v>
      </c>
      <c r="F1002">
        <v>3.7861140850706049E-2</v>
      </c>
      <c r="G1002">
        <v>0.32348136755506524</v>
      </c>
      <c r="H1002">
        <v>17.063524164418425</v>
      </c>
      <c r="I1002">
        <v>1.0492476301792383E-3</v>
      </c>
      <c r="J1002">
        <v>0</v>
      </c>
      <c r="K1002" s="1">
        <f t="shared" si="135"/>
        <v>3.88233322756713E-3</v>
      </c>
      <c r="L1002" s="1">
        <f t="shared" si="136"/>
        <v>3.1834876047436046E-2</v>
      </c>
      <c r="M1002">
        <f t="shared" si="137"/>
        <v>-4.116598827755108E-2</v>
      </c>
      <c r="N1002">
        <f t="shared" si="138"/>
        <v>3.7861140850706049E-2</v>
      </c>
      <c r="O1002">
        <f t="shared" si="139"/>
        <v>0.32348136755506524</v>
      </c>
      <c r="P1002">
        <f t="shared" si="140"/>
        <v>17.063524164418425</v>
      </c>
      <c r="Q1002">
        <f t="shared" si="141"/>
        <v>1.0492476301792383E-3</v>
      </c>
      <c r="R1002">
        <f t="shared" si="142"/>
        <v>0</v>
      </c>
      <c r="S1002">
        <f t="shared" si="143"/>
        <v>0</v>
      </c>
    </row>
    <row r="1003" spans="1:19" x14ac:dyDescent="0.3">
      <c r="A1003" t="s">
        <v>322</v>
      </c>
      <c r="B1003">
        <v>2007</v>
      </c>
      <c r="C1003">
        <v>5.7604225732043664E-2</v>
      </c>
      <c r="D1003">
        <v>9.8480677937487493E-2</v>
      </c>
      <c r="E1003">
        <v>-0.13870981948703268</v>
      </c>
      <c r="F1003">
        <v>8.7499334797695921E-2</v>
      </c>
      <c r="G1003">
        <v>1.1277211361838857</v>
      </c>
      <c r="H1003">
        <v>14.594738182329985</v>
      </c>
      <c r="I1003">
        <v>1.3326080803284129E-2</v>
      </c>
      <c r="J1003">
        <v>2.3173813233213506E-2</v>
      </c>
      <c r="K1003" s="1">
        <f t="shared" si="135"/>
        <v>5.7604225732043664E-2</v>
      </c>
      <c r="L1003" s="1">
        <f t="shared" si="136"/>
        <v>9.8480677937487493E-2</v>
      </c>
      <c r="M1003">
        <f t="shared" si="137"/>
        <v>-0.13870981948703268</v>
      </c>
      <c r="N1003">
        <f t="shared" si="138"/>
        <v>8.7499334797695921E-2</v>
      </c>
      <c r="O1003">
        <f t="shared" si="139"/>
        <v>1.1277211361838857</v>
      </c>
      <c r="P1003">
        <f t="shared" si="140"/>
        <v>14.594738182329985</v>
      </c>
      <c r="Q1003">
        <f t="shared" si="141"/>
        <v>1.3326080803284129E-2</v>
      </c>
      <c r="R1003">
        <f t="shared" si="142"/>
        <v>2.3173813233213506E-2</v>
      </c>
      <c r="S1003">
        <f t="shared" si="143"/>
        <v>0</v>
      </c>
    </row>
    <row r="1004" spans="1:19" x14ac:dyDescent="0.3">
      <c r="A1004" t="s">
        <v>322</v>
      </c>
      <c r="B1004">
        <v>2008</v>
      </c>
      <c r="C1004">
        <v>7.2554837182783438E-2</v>
      </c>
      <c r="D1004">
        <v>0.14883698914551891</v>
      </c>
      <c r="E1004">
        <v>-4.9276977527243776E-2</v>
      </c>
      <c r="F1004">
        <v>3.1541035102251577E-2</v>
      </c>
      <c r="G1004">
        <v>0.86286573361876995</v>
      </c>
      <c r="H1004">
        <v>14.658768124488265</v>
      </c>
      <c r="I1004">
        <v>7.3966176947473039E-2</v>
      </c>
      <c r="J1004">
        <v>2.1736501823423734E-2</v>
      </c>
      <c r="K1004" s="1">
        <f t="shared" si="135"/>
        <v>7.2554837182783438E-2</v>
      </c>
      <c r="L1004" s="1">
        <f t="shared" si="136"/>
        <v>0.14883698914551891</v>
      </c>
      <c r="M1004">
        <f t="shared" si="137"/>
        <v>-4.9276977527243776E-2</v>
      </c>
      <c r="N1004">
        <f t="shared" si="138"/>
        <v>3.1541035102251577E-2</v>
      </c>
      <c r="O1004">
        <f t="shared" si="139"/>
        <v>0.86286573361876995</v>
      </c>
      <c r="P1004">
        <f t="shared" si="140"/>
        <v>14.658768124488265</v>
      </c>
      <c r="Q1004">
        <f t="shared" si="141"/>
        <v>7.3966176947473039E-2</v>
      </c>
      <c r="R1004">
        <f t="shared" si="142"/>
        <v>2.1736501823423734E-2</v>
      </c>
      <c r="S1004">
        <f t="shared" si="143"/>
        <v>0</v>
      </c>
    </row>
    <row r="1005" spans="1:19" x14ac:dyDescent="0.3">
      <c r="A1005" t="s">
        <v>322</v>
      </c>
      <c r="B1005">
        <v>2009</v>
      </c>
      <c r="C1005">
        <v>4.7006545210697741E-2</v>
      </c>
      <c r="D1005">
        <v>0.33151365393501558</v>
      </c>
      <c r="E1005">
        <v>-8.8215591858355216E-2</v>
      </c>
      <c r="F1005">
        <v>0.24684749349141769</v>
      </c>
      <c r="G1005">
        <v>0.75483710230026269</v>
      </c>
      <c r="H1005">
        <v>14.859077962420217</v>
      </c>
      <c r="I1005">
        <v>6.9049007317022515E-2</v>
      </c>
      <c r="J1005">
        <v>4.4477073448365247E-2</v>
      </c>
      <c r="K1005" s="1">
        <f t="shared" si="135"/>
        <v>4.7006545210697741E-2</v>
      </c>
      <c r="L1005" s="1">
        <f t="shared" si="136"/>
        <v>0.33151365393501558</v>
      </c>
      <c r="M1005">
        <f t="shared" si="137"/>
        <v>-8.8215591858355216E-2</v>
      </c>
      <c r="N1005">
        <f t="shared" si="138"/>
        <v>0.24684749349141769</v>
      </c>
      <c r="O1005">
        <f t="shared" si="139"/>
        <v>0.75483710230026269</v>
      </c>
      <c r="P1005">
        <f t="shared" si="140"/>
        <v>14.859077962420217</v>
      </c>
      <c r="Q1005">
        <f t="shared" si="141"/>
        <v>6.9049007317022515E-2</v>
      </c>
      <c r="R1005">
        <f t="shared" si="142"/>
        <v>4.4477073448365247E-2</v>
      </c>
      <c r="S1005">
        <f t="shared" si="143"/>
        <v>0</v>
      </c>
    </row>
    <row r="1006" spans="1:19" x14ac:dyDescent="0.3">
      <c r="A1006" t="s">
        <v>322</v>
      </c>
      <c r="B1006">
        <v>2010</v>
      </c>
      <c r="C1006">
        <v>5.6338231703979925E-2</v>
      </c>
      <c r="D1006">
        <v>0.15561432971730804</v>
      </c>
      <c r="E1006">
        <v>-5.6709037767489222E-2</v>
      </c>
      <c r="F1006">
        <v>0.27354480142812604</v>
      </c>
      <c r="G1006">
        <v>0.97763023256242976</v>
      </c>
      <c r="H1006">
        <v>14.994895749187199</v>
      </c>
      <c r="I1006">
        <v>1.1185630809110586E-3</v>
      </c>
      <c r="J1006">
        <v>1.8637770440914851E-2</v>
      </c>
      <c r="K1006" s="1">
        <f t="shared" si="135"/>
        <v>5.6338231703979925E-2</v>
      </c>
      <c r="L1006" s="1">
        <f t="shared" si="136"/>
        <v>0.15561432971730804</v>
      </c>
      <c r="M1006">
        <f t="shared" si="137"/>
        <v>-5.6709037767489222E-2</v>
      </c>
      <c r="N1006">
        <f t="shared" si="138"/>
        <v>0.27354480142812604</v>
      </c>
      <c r="O1006">
        <f t="shared" si="139"/>
        <v>0.97763023256242976</v>
      </c>
      <c r="P1006">
        <f t="shared" si="140"/>
        <v>14.994895749187199</v>
      </c>
      <c r="Q1006">
        <f t="shared" si="141"/>
        <v>1.1185630809110586E-3</v>
      </c>
      <c r="R1006">
        <f t="shared" si="142"/>
        <v>1.8637770440914851E-2</v>
      </c>
      <c r="S1006">
        <f t="shared" si="143"/>
        <v>0</v>
      </c>
    </row>
    <row r="1007" spans="1:19" x14ac:dyDescent="0.3">
      <c r="B1007" t="s">
        <v>323</v>
      </c>
      <c r="C1007" s="2">
        <f>AVERAGE(C2:C1006)</f>
        <v>4.4410839071202281E-2</v>
      </c>
      <c r="D1007" s="2">
        <f t="shared" ref="D1007:J1007" si="144">AVERAGE(D2:D1006)</f>
        <v>0.42726742806741985</v>
      </c>
      <c r="E1007" s="2">
        <f t="shared" si="144"/>
        <v>-18.084493749369443</v>
      </c>
      <c r="F1007" s="2">
        <f t="shared" si="144"/>
        <v>7.7507758217653242</v>
      </c>
      <c r="G1007" s="2">
        <f t="shared" si="144"/>
        <v>21.859357485114582</v>
      </c>
      <c r="H1007" s="2">
        <f t="shared" si="144"/>
        <v>14.638202999343889</v>
      </c>
      <c r="I1007" s="2">
        <f t="shared" si="144"/>
        <v>3.3607798569477931E-2</v>
      </c>
      <c r="J1007" s="2">
        <f t="shared" si="144"/>
        <v>1.6125129629126118E-2</v>
      </c>
      <c r="K1007" s="1"/>
      <c r="L1007" s="1"/>
    </row>
    <row r="1008" spans="1:19" x14ac:dyDescent="0.3">
      <c r="B1008" t="s">
        <v>324</v>
      </c>
      <c r="C1008" s="2">
        <f>_xlfn.STDEV.P(C2:C1007)</f>
        <v>9.9332702786211535E-2</v>
      </c>
      <c r="D1008" s="2">
        <f t="shared" ref="D1008:J1008" si="145">_xlfn.STDEV.P(D2:D1007)</f>
        <v>8.7689206279724772</v>
      </c>
      <c r="E1008" s="2">
        <f t="shared" si="145"/>
        <v>301.45568887985405</v>
      </c>
      <c r="F1008" s="2">
        <f t="shared" si="145"/>
        <v>162.65279106624902</v>
      </c>
      <c r="G1008" s="2">
        <f t="shared" si="145"/>
        <v>328.83256950800836</v>
      </c>
      <c r="H1008" s="2">
        <f t="shared" si="145"/>
        <v>1.8063152030486536</v>
      </c>
      <c r="I1008" s="2">
        <f t="shared" si="145"/>
        <v>0.25089331032210532</v>
      </c>
      <c r="J1008" s="2">
        <f t="shared" si="145"/>
        <v>3.778066812733296E-2</v>
      </c>
      <c r="K1008" s="1"/>
      <c r="L1008" s="1"/>
    </row>
  </sheetData>
  <autoFilter ref="A1:T100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56"/>
  <sheetViews>
    <sheetView workbookViewId="0">
      <selection activeCell="K2" sqref="K2"/>
    </sheetView>
  </sheetViews>
  <sheetFormatPr defaultRowHeight="14.4" x14ac:dyDescent="0.3"/>
  <sheetData>
    <row r="1" spans="1:11" x14ac:dyDescent="0.3">
      <c r="A1" s="4" t="s">
        <v>0</v>
      </c>
      <c r="B1" s="4" t="s">
        <v>326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325</v>
      </c>
    </row>
    <row r="2" spans="1:11" x14ac:dyDescent="0.3">
      <c r="A2" t="s">
        <v>10</v>
      </c>
      <c r="B2">
        <v>2007</v>
      </c>
      <c r="C2">
        <v>3.5167926850712152E-4</v>
      </c>
      <c r="D2">
        <v>4.1895483626624826E-2</v>
      </c>
      <c r="E2">
        <v>-0.51715281816829206</v>
      </c>
      <c r="F2">
        <v>0</v>
      </c>
      <c r="G2">
        <v>0.92417270833615128</v>
      </c>
      <c r="H2">
        <v>13.290329046448173</v>
      </c>
      <c r="I2">
        <v>4.8274800251918246E-3</v>
      </c>
      <c r="J2">
        <v>0</v>
      </c>
      <c r="K2">
        <v>0</v>
      </c>
    </row>
    <row r="3" spans="1:11" x14ac:dyDescent="0.3">
      <c r="A3" t="s">
        <v>11</v>
      </c>
      <c r="B3">
        <v>2007</v>
      </c>
      <c r="C3">
        <v>3.0521376473793055E-3</v>
      </c>
      <c r="D3">
        <v>5.2933773792669496E-2</v>
      </c>
      <c r="E3">
        <v>4.6386353434086491E-3</v>
      </c>
      <c r="F3">
        <v>0.16179398934149794</v>
      </c>
      <c r="G3">
        <v>0.85116464661579128</v>
      </c>
      <c r="H3">
        <v>13.164031094200661</v>
      </c>
      <c r="I3">
        <v>1.2474213673298725E-2</v>
      </c>
      <c r="J3">
        <v>0</v>
      </c>
      <c r="K3">
        <v>0</v>
      </c>
    </row>
    <row r="4" spans="1:11" x14ac:dyDescent="0.3">
      <c r="A4" t="s">
        <v>11</v>
      </c>
      <c r="B4">
        <v>2008</v>
      </c>
      <c r="C4">
        <v>6.8907064457346271E-3</v>
      </c>
      <c r="D4">
        <v>9.7355596050345383E-2</v>
      </c>
      <c r="E4">
        <v>-0.1935373140653473</v>
      </c>
      <c r="F4">
        <v>0.15529516463957282</v>
      </c>
      <c r="G4">
        <v>0.87315018858329452</v>
      </c>
      <c r="H4">
        <v>13.064607137843366</v>
      </c>
      <c r="I4">
        <v>3.5104309464043838E-3</v>
      </c>
      <c r="J4">
        <v>0</v>
      </c>
      <c r="K4">
        <v>0</v>
      </c>
    </row>
    <row r="5" spans="1:11" x14ac:dyDescent="0.3">
      <c r="A5" t="s">
        <v>11</v>
      </c>
      <c r="B5">
        <v>2009</v>
      </c>
      <c r="C5">
        <v>8.666031391362447E-3</v>
      </c>
      <c r="D5">
        <v>0.10383465317254297</v>
      </c>
      <c r="E5">
        <v>-0.16498099650598583</v>
      </c>
      <c r="F5">
        <v>0.7033330047426587</v>
      </c>
      <c r="G5">
        <v>0.94645505427222643</v>
      </c>
      <c r="H5">
        <v>13.031333026054657</v>
      </c>
      <c r="I5">
        <v>2.1431432313637103E-2</v>
      </c>
      <c r="J5">
        <v>0</v>
      </c>
      <c r="K5">
        <v>0</v>
      </c>
    </row>
    <row r="6" spans="1:11" x14ac:dyDescent="0.3">
      <c r="A6" t="s">
        <v>11</v>
      </c>
      <c r="B6">
        <v>2010</v>
      </c>
      <c r="C6">
        <v>7.7212628805345129E-3</v>
      </c>
      <c r="D6">
        <v>3.0196521275427782E-2</v>
      </c>
      <c r="E6">
        <v>-0.10294703492840226</v>
      </c>
      <c r="F6">
        <v>0.46389058799542027</v>
      </c>
      <c r="G6">
        <v>0.68420659044213372</v>
      </c>
      <c r="H6">
        <v>13.365450722520846</v>
      </c>
      <c r="I6">
        <v>2.4477883673132139E-3</v>
      </c>
      <c r="J6">
        <v>0</v>
      </c>
      <c r="K6">
        <v>0</v>
      </c>
    </row>
    <row r="7" spans="1:11" x14ac:dyDescent="0.3">
      <c r="A7" t="s">
        <v>12</v>
      </c>
      <c r="B7">
        <v>2007</v>
      </c>
      <c r="C7">
        <v>3.6028046448466036E-4</v>
      </c>
      <c r="D7">
        <v>0.1034854825448734</v>
      </c>
      <c r="E7">
        <v>-0.64293804099806928</v>
      </c>
      <c r="F7">
        <v>0.14251771378950384</v>
      </c>
      <c r="G7">
        <v>0.93049912701272064</v>
      </c>
      <c r="H7">
        <v>13.201627320380879</v>
      </c>
      <c r="I7">
        <v>3.5324003042282136E-3</v>
      </c>
      <c r="J7">
        <v>0</v>
      </c>
      <c r="K7">
        <v>0</v>
      </c>
    </row>
    <row r="8" spans="1:11" x14ac:dyDescent="0.3">
      <c r="A8" t="s">
        <v>13</v>
      </c>
      <c r="B8">
        <v>2009</v>
      </c>
      <c r="C8">
        <v>1.2530050517707121E-2</v>
      </c>
      <c r="D8">
        <v>6.2940604103980405E-2</v>
      </c>
      <c r="E8">
        <v>-8.4858686954402719E-4</v>
      </c>
      <c r="F8">
        <v>0.26097070733431382</v>
      </c>
      <c r="G8">
        <v>0.57009958365666624</v>
      </c>
      <c r="H8">
        <v>13.268382226190615</v>
      </c>
      <c r="I8">
        <v>2.2852149119231856E-2</v>
      </c>
      <c r="J8">
        <v>0</v>
      </c>
      <c r="K8">
        <v>0</v>
      </c>
    </row>
    <row r="9" spans="1:11" x14ac:dyDescent="0.3">
      <c r="A9" t="s">
        <v>13</v>
      </c>
      <c r="B9">
        <v>2010</v>
      </c>
      <c r="C9">
        <v>8.0399963311823072E-2</v>
      </c>
      <c r="D9">
        <v>0.12052843411440804</v>
      </c>
      <c r="E9">
        <v>8.1813079956906939E-2</v>
      </c>
      <c r="F9">
        <v>0</v>
      </c>
      <c r="G9">
        <v>0.40862047791014194</v>
      </c>
      <c r="H9">
        <v>13.374302721495781</v>
      </c>
      <c r="I9">
        <v>1.4279484213181875E-2</v>
      </c>
      <c r="J9">
        <v>1.1752653285845981E-2</v>
      </c>
      <c r="K9">
        <v>0</v>
      </c>
    </row>
    <row r="10" spans="1:11" x14ac:dyDescent="0.3">
      <c r="A10" t="s">
        <v>14</v>
      </c>
      <c r="B10">
        <v>2007</v>
      </c>
      <c r="C10">
        <v>8.1640240551017311E-3</v>
      </c>
      <c r="D10">
        <v>4.9268215349974692E-2</v>
      </c>
      <c r="E10">
        <v>-0.1275342072205542</v>
      </c>
      <c r="F10">
        <v>0.14633520219338236</v>
      </c>
      <c r="G10">
        <v>0.71824045766818734</v>
      </c>
      <c r="H10">
        <v>14.032754339814016</v>
      </c>
      <c r="I10">
        <v>5.9008736252033275E-4</v>
      </c>
      <c r="J10">
        <v>0</v>
      </c>
      <c r="K10">
        <v>0</v>
      </c>
    </row>
    <row r="11" spans="1:11" x14ac:dyDescent="0.3">
      <c r="A11" t="s">
        <v>14</v>
      </c>
      <c r="B11">
        <v>2008</v>
      </c>
      <c r="C11">
        <v>1.2481573277607686E-3</v>
      </c>
      <c r="D11">
        <v>5.2339991252369149E-2</v>
      </c>
      <c r="E11">
        <v>-9.5911292543454665E-2</v>
      </c>
      <c r="F11">
        <v>0.17659360774975297</v>
      </c>
      <c r="G11">
        <v>0.68031888354311454</v>
      </c>
      <c r="H11">
        <v>14.026273788389531</v>
      </c>
      <c r="I11">
        <v>4.4592721396375393E-2</v>
      </c>
      <c r="J11">
        <v>0</v>
      </c>
      <c r="K11">
        <v>0</v>
      </c>
    </row>
    <row r="12" spans="1:11" x14ac:dyDescent="0.3">
      <c r="A12" t="s">
        <v>14</v>
      </c>
      <c r="B12">
        <v>2009</v>
      </c>
      <c r="C12">
        <v>5.2190785507691775E-4</v>
      </c>
      <c r="D12">
        <v>0.20108273148750103</v>
      </c>
      <c r="E12">
        <v>-0.27240407670045125</v>
      </c>
      <c r="F12">
        <v>0.60844636032918387</v>
      </c>
      <c r="G12">
        <v>0.8149382030185186</v>
      </c>
      <c r="H12">
        <v>13.910648904824345</v>
      </c>
      <c r="I12">
        <v>4.5914135743021937E-2</v>
      </c>
      <c r="J12">
        <v>0</v>
      </c>
      <c r="K12">
        <v>0</v>
      </c>
    </row>
    <row r="13" spans="1:11" x14ac:dyDescent="0.3">
      <c r="A13" t="s">
        <v>14</v>
      </c>
      <c r="B13">
        <v>2010</v>
      </c>
      <c r="C13">
        <v>1.6745499865406734E-3</v>
      </c>
      <c r="D13">
        <v>4.6904879268092309E-2</v>
      </c>
      <c r="E13">
        <v>-9.9245054134460414E-2</v>
      </c>
      <c r="F13">
        <v>0.61262572234632773</v>
      </c>
      <c r="G13">
        <v>0.80093462787583858</v>
      </c>
      <c r="H13">
        <v>13.950205773084591</v>
      </c>
      <c r="I13">
        <v>7.1067933303937958E-2</v>
      </c>
      <c r="J13">
        <v>0</v>
      </c>
      <c r="K13">
        <v>0</v>
      </c>
    </row>
    <row r="14" spans="1:11" x14ac:dyDescent="0.3">
      <c r="A14" t="s">
        <v>15</v>
      </c>
      <c r="B14">
        <v>2010</v>
      </c>
      <c r="C14">
        <v>9.9582050757308829E-4</v>
      </c>
      <c r="D14">
        <v>0.21709520001856614</v>
      </c>
      <c r="E14">
        <v>5.1067447851285176E-2</v>
      </c>
      <c r="F14">
        <v>0.41073587337889073</v>
      </c>
      <c r="G14">
        <v>0.80775178751890897</v>
      </c>
      <c r="H14">
        <v>13.068922515485628</v>
      </c>
      <c r="I14">
        <v>2.9601781431227848E-3</v>
      </c>
      <c r="J14">
        <v>1.2236777423567611E-2</v>
      </c>
      <c r="K14">
        <v>0</v>
      </c>
    </row>
    <row r="15" spans="1:11" x14ac:dyDescent="0.3">
      <c r="A15" t="s">
        <v>16</v>
      </c>
      <c r="B15">
        <v>2007</v>
      </c>
      <c r="C15">
        <v>6.1228164955879705E-3</v>
      </c>
      <c r="D15">
        <v>0.13565382933292172</v>
      </c>
      <c r="E15">
        <v>-1.0149726016824883</v>
      </c>
      <c r="F15">
        <v>0</v>
      </c>
      <c r="G15">
        <v>1.1790203493607059</v>
      </c>
      <c r="H15">
        <v>10.568003750296921</v>
      </c>
      <c r="I15">
        <v>1.3582931524903023E-2</v>
      </c>
      <c r="J15">
        <v>0</v>
      </c>
      <c r="K15">
        <v>0</v>
      </c>
    </row>
    <row r="16" spans="1:11" x14ac:dyDescent="0.3">
      <c r="A16" t="s">
        <v>16</v>
      </c>
      <c r="B16">
        <v>2010</v>
      </c>
      <c r="C16">
        <v>7.5969131910038137E-3</v>
      </c>
      <c r="D16">
        <v>0.12125033780740474</v>
      </c>
      <c r="E16">
        <v>-0.63504789358316072</v>
      </c>
      <c r="F16">
        <v>0.59553193405999461</v>
      </c>
      <c r="G16">
        <v>0.61028285740023425</v>
      </c>
      <c r="H16">
        <v>10.413402762000757</v>
      </c>
      <c r="I16">
        <v>3.8197785313031293E-3</v>
      </c>
      <c r="J16">
        <v>0</v>
      </c>
      <c r="K16">
        <v>0</v>
      </c>
    </row>
    <row r="17" spans="1:11" x14ac:dyDescent="0.3">
      <c r="A17" t="s">
        <v>17</v>
      </c>
      <c r="B17">
        <v>2009</v>
      </c>
      <c r="C17">
        <v>3.909915646623287E-3</v>
      </c>
      <c r="D17">
        <v>5.9550403205015832E-2</v>
      </c>
      <c r="E17">
        <v>-9.4274630567271298E-2</v>
      </c>
      <c r="F17">
        <v>0.59725548606313095</v>
      </c>
      <c r="G17">
        <v>0.79111518154537863</v>
      </c>
      <c r="H17">
        <v>14.947923771023088</v>
      </c>
      <c r="I17">
        <v>7.2367326595571243E-3</v>
      </c>
      <c r="J17">
        <v>0</v>
      </c>
      <c r="K17">
        <v>0</v>
      </c>
    </row>
    <row r="18" spans="1:11" x14ac:dyDescent="0.3">
      <c r="A18" t="s">
        <v>18</v>
      </c>
      <c r="B18">
        <v>2007</v>
      </c>
      <c r="C18">
        <v>2.3436935412094496E-3</v>
      </c>
      <c r="D18">
        <v>0.14825222602153565</v>
      </c>
      <c r="E18">
        <v>-2.6344028252691956E-2</v>
      </c>
      <c r="F18">
        <v>0.22230143621654311</v>
      </c>
      <c r="G18">
        <v>1.5852875998904581</v>
      </c>
      <c r="H18">
        <v>15.252167180194709</v>
      </c>
      <c r="I18">
        <v>1.2802938340789445E-2</v>
      </c>
      <c r="J18">
        <v>0</v>
      </c>
      <c r="K18">
        <v>0</v>
      </c>
    </row>
    <row r="19" spans="1:11" x14ac:dyDescent="0.3">
      <c r="A19" t="s">
        <v>18</v>
      </c>
      <c r="B19">
        <v>2008</v>
      </c>
      <c r="C19">
        <v>1.4681016298153811E-2</v>
      </c>
      <c r="D19">
        <v>0.11907094129797378</v>
      </c>
      <c r="E19">
        <v>1.1882502118251571E-2</v>
      </c>
      <c r="F19">
        <v>0.22835068339388961</v>
      </c>
      <c r="G19">
        <v>1.0469225181434274</v>
      </c>
      <c r="H19">
        <v>15.337818322719421</v>
      </c>
      <c r="I19">
        <v>2.1765300579402042E-3</v>
      </c>
      <c r="J19">
        <v>0</v>
      </c>
      <c r="K19">
        <v>0</v>
      </c>
    </row>
    <row r="20" spans="1:11" x14ac:dyDescent="0.3">
      <c r="A20" t="s">
        <v>18</v>
      </c>
      <c r="B20">
        <v>2009</v>
      </c>
      <c r="C20">
        <v>1.6082009002141545E-3</v>
      </c>
      <c r="D20">
        <v>0.13118370551328501</v>
      </c>
      <c r="E20">
        <v>-5.5716712434073654E-2</v>
      </c>
      <c r="F20">
        <v>0.35900091620802521</v>
      </c>
      <c r="G20">
        <v>0.95557692514395565</v>
      </c>
      <c r="H20">
        <v>15.352760929957736</v>
      </c>
      <c r="I20">
        <v>1.8117918686571394E-3</v>
      </c>
      <c r="J20">
        <v>3.6115191984491105E-2</v>
      </c>
      <c r="K20">
        <v>0</v>
      </c>
    </row>
    <row r="21" spans="1:11" x14ac:dyDescent="0.3">
      <c r="A21" t="s">
        <v>18</v>
      </c>
      <c r="B21">
        <v>2010</v>
      </c>
      <c r="C21">
        <v>6.8139949888440686E-3</v>
      </c>
      <c r="D21">
        <v>0.119141917986121</v>
      </c>
      <c r="E21">
        <v>-3.989222331506849E-2</v>
      </c>
      <c r="F21">
        <v>0.38734360600161633</v>
      </c>
      <c r="G21">
        <v>0.82974230373248681</v>
      </c>
      <c r="H21">
        <v>15.450879535302194</v>
      </c>
      <c r="I21">
        <v>3.03204410800198E-3</v>
      </c>
      <c r="J21">
        <v>3.273991586231384E-2</v>
      </c>
      <c r="K21">
        <v>0</v>
      </c>
    </row>
    <row r="22" spans="1:11" x14ac:dyDescent="0.3">
      <c r="A22" t="s">
        <v>19</v>
      </c>
      <c r="B22">
        <v>2007</v>
      </c>
      <c r="C22">
        <v>3.5737570972394758E-2</v>
      </c>
      <c r="D22">
        <v>4.8020276636012708E-2</v>
      </c>
      <c r="E22">
        <v>-0.37369373275193635</v>
      </c>
      <c r="F22">
        <v>0.356186791839321</v>
      </c>
      <c r="G22">
        <v>0.89591215681043179</v>
      </c>
      <c r="H22">
        <v>13.304193146623929</v>
      </c>
      <c r="I22">
        <v>2.9177531270925209E-3</v>
      </c>
      <c r="J22">
        <v>0</v>
      </c>
      <c r="K22">
        <v>0</v>
      </c>
    </row>
    <row r="23" spans="1:11" x14ac:dyDescent="0.3">
      <c r="A23" t="s">
        <v>19</v>
      </c>
      <c r="B23">
        <v>2008</v>
      </c>
      <c r="C23">
        <v>4.5808175126244655E-3</v>
      </c>
      <c r="D23">
        <v>4.0920853187729776E-2</v>
      </c>
      <c r="E23">
        <v>-0.30385140397450822</v>
      </c>
      <c r="F23">
        <v>0.3520278701292176</v>
      </c>
      <c r="G23">
        <v>0.79314384771922186</v>
      </c>
      <c r="H23">
        <v>13.299764515434463</v>
      </c>
      <c r="I23">
        <v>5.0437119106263983E-3</v>
      </c>
      <c r="J23">
        <v>0</v>
      </c>
      <c r="K23">
        <v>0</v>
      </c>
    </row>
    <row r="24" spans="1:11" x14ac:dyDescent="0.3">
      <c r="A24" t="s">
        <v>19</v>
      </c>
      <c r="B24">
        <v>2009</v>
      </c>
      <c r="C24">
        <v>6.3370381759873477E-3</v>
      </c>
      <c r="D24">
        <v>5.9394631639063396E-2</v>
      </c>
      <c r="E24">
        <v>-4.2814362488834218E-2</v>
      </c>
      <c r="F24">
        <v>0.6302186296475274</v>
      </c>
      <c r="G24">
        <v>0.74862349719574162</v>
      </c>
      <c r="H24">
        <v>13.210945520095335</v>
      </c>
      <c r="I24">
        <v>1.4725023772645595E-2</v>
      </c>
      <c r="J24">
        <v>0</v>
      </c>
      <c r="K24">
        <v>0</v>
      </c>
    </row>
    <row r="25" spans="1:11" x14ac:dyDescent="0.3">
      <c r="A25" t="s">
        <v>19</v>
      </c>
      <c r="B25">
        <v>2010</v>
      </c>
      <c r="C25">
        <v>4.4039005976722239E-3</v>
      </c>
      <c r="D25">
        <v>9.2183479726732326E-2</v>
      </c>
      <c r="E25">
        <v>-5.4818076963405682E-2</v>
      </c>
      <c r="F25">
        <v>0.4555907760060009</v>
      </c>
      <c r="G25">
        <v>0.61812540631225754</v>
      </c>
      <c r="H25">
        <v>13.33732151947455</v>
      </c>
      <c r="I25">
        <v>5.5123132770459049E-3</v>
      </c>
      <c r="J25">
        <v>0</v>
      </c>
      <c r="K25">
        <v>0</v>
      </c>
    </row>
    <row r="26" spans="1:11" x14ac:dyDescent="0.3">
      <c r="A26" t="s">
        <v>20</v>
      </c>
      <c r="B26">
        <v>2007</v>
      </c>
      <c r="C26">
        <v>1.9347857366712462E-2</v>
      </c>
      <c r="D26">
        <v>4.8720490871067501E-2</v>
      </c>
      <c r="E26">
        <v>-0.27157366909566111</v>
      </c>
      <c r="F26">
        <v>0</v>
      </c>
      <c r="G26">
        <v>0.60471367496939943</v>
      </c>
      <c r="H26">
        <v>13.136942582430613</v>
      </c>
      <c r="I26">
        <v>5.1264242051975509E-4</v>
      </c>
      <c r="J26">
        <v>0</v>
      </c>
      <c r="K26">
        <v>0</v>
      </c>
    </row>
    <row r="27" spans="1:11" x14ac:dyDescent="0.3">
      <c r="A27" t="s">
        <v>20</v>
      </c>
      <c r="B27">
        <v>2008</v>
      </c>
      <c r="C27">
        <v>0.26597179621385653</v>
      </c>
      <c r="D27">
        <v>4.4509979382758434E-2</v>
      </c>
      <c r="E27">
        <v>-0.1840412419871344</v>
      </c>
      <c r="F27">
        <v>4.7725443627133716E-3</v>
      </c>
      <c r="G27">
        <v>0.62388073141493561</v>
      </c>
      <c r="H27">
        <v>13.186368631380239</v>
      </c>
      <c r="I27">
        <v>1.968395167369667E-2</v>
      </c>
      <c r="J27">
        <v>0</v>
      </c>
      <c r="K27">
        <v>0</v>
      </c>
    </row>
    <row r="28" spans="1:11" x14ac:dyDescent="0.3">
      <c r="A28" t="s">
        <v>21</v>
      </c>
      <c r="B28">
        <v>2007</v>
      </c>
      <c r="C28">
        <v>1.8698952567584057E-2</v>
      </c>
      <c r="D28">
        <v>7.8522827796868672E-2</v>
      </c>
      <c r="E28">
        <v>-3.6654436571198483E-2</v>
      </c>
      <c r="F28">
        <v>0.46988943412818668</v>
      </c>
      <c r="G28">
        <v>1.1359485628490313</v>
      </c>
      <c r="H28">
        <v>17.332893017746972</v>
      </c>
      <c r="I28">
        <v>6.6726863536381957E-3</v>
      </c>
      <c r="J28">
        <v>1.020832907962794E-2</v>
      </c>
      <c r="K28">
        <v>0</v>
      </c>
    </row>
    <row r="29" spans="1:11" x14ac:dyDescent="0.3">
      <c r="A29" t="s">
        <v>21</v>
      </c>
      <c r="B29">
        <v>2008</v>
      </c>
      <c r="C29">
        <v>2.9985014069107137E-3</v>
      </c>
      <c r="D29">
        <v>7.2928717217979333E-2</v>
      </c>
      <c r="E29">
        <v>0.30435826849166292</v>
      </c>
      <c r="F29">
        <v>0.41154663801514801</v>
      </c>
      <c r="G29">
        <v>0.84971131285983137</v>
      </c>
      <c r="H29">
        <v>17.125019204468479</v>
      </c>
      <c r="I29">
        <v>8.865136083141793E-3</v>
      </c>
      <c r="J29">
        <v>0</v>
      </c>
      <c r="K29">
        <v>0</v>
      </c>
    </row>
    <row r="30" spans="1:11" x14ac:dyDescent="0.3">
      <c r="A30" t="s">
        <v>21</v>
      </c>
      <c r="B30">
        <v>2009</v>
      </c>
      <c r="C30">
        <v>7.4846284529053106E-3</v>
      </c>
      <c r="D30">
        <v>2.3616837707808903E-2</v>
      </c>
      <c r="E30">
        <v>-0.15080572235398637</v>
      </c>
      <c r="F30">
        <v>0.55524205724761022</v>
      </c>
      <c r="G30">
        <v>0.89136579946678596</v>
      </c>
      <c r="H30">
        <v>17.884453342864791</v>
      </c>
      <c r="I30">
        <v>1.326758641833117E-3</v>
      </c>
      <c r="J30">
        <v>5.0587153574330895E-4</v>
      </c>
      <c r="K30">
        <v>0</v>
      </c>
    </row>
    <row r="31" spans="1:11" x14ac:dyDescent="0.3">
      <c r="A31" t="s">
        <v>21</v>
      </c>
      <c r="B31">
        <v>2010</v>
      </c>
      <c r="C31">
        <v>7.4846283249522024E-3</v>
      </c>
      <c r="D31">
        <v>4.0579218539183691E-2</v>
      </c>
      <c r="E31">
        <v>-0.15052509792745164</v>
      </c>
      <c r="F31">
        <v>0.5552420648509484</v>
      </c>
      <c r="G31">
        <v>0.81028787391023538</v>
      </c>
      <c r="H31">
        <v>17.884453359960247</v>
      </c>
      <c r="I31">
        <v>2.5897395307782629E-2</v>
      </c>
      <c r="J31">
        <v>0</v>
      </c>
      <c r="K31">
        <v>0</v>
      </c>
    </row>
    <row r="32" spans="1:11" x14ac:dyDescent="0.3">
      <c r="A32" t="s">
        <v>22</v>
      </c>
      <c r="B32">
        <v>2007</v>
      </c>
      <c r="C32">
        <v>4.9101487023052047E-4</v>
      </c>
      <c r="D32">
        <v>4.1164740354875468E-2</v>
      </c>
      <c r="E32">
        <v>-0.3706056380893063</v>
      </c>
      <c r="F32">
        <v>0.25536754453637578</v>
      </c>
      <c r="G32">
        <v>0.75456245709149328</v>
      </c>
      <c r="H32">
        <v>13.938004258772914</v>
      </c>
      <c r="I32">
        <v>7.3864701534367277E-3</v>
      </c>
      <c r="J32">
        <v>0</v>
      </c>
      <c r="K32">
        <v>0</v>
      </c>
    </row>
    <row r="33" spans="1:11" x14ac:dyDescent="0.3">
      <c r="A33" t="s">
        <v>22</v>
      </c>
      <c r="B33">
        <v>2009</v>
      </c>
      <c r="C33">
        <v>3.9275542108730235E-4</v>
      </c>
      <c r="D33">
        <v>0.10143494951700609</v>
      </c>
      <c r="E33">
        <v>-0.12978075307920983</v>
      </c>
      <c r="F33">
        <v>0.51376439217801195</v>
      </c>
      <c r="G33">
        <v>0.6671324237918923</v>
      </c>
      <c r="H33">
        <v>14.126457639098863</v>
      </c>
      <c r="I33">
        <v>8.7704969784319076E-3</v>
      </c>
      <c r="J33">
        <v>0</v>
      </c>
      <c r="K33">
        <v>0</v>
      </c>
    </row>
    <row r="34" spans="1:11" x14ac:dyDescent="0.3">
      <c r="A34" t="s">
        <v>22</v>
      </c>
      <c r="B34">
        <v>2010</v>
      </c>
      <c r="C34">
        <v>7.51409709955852E-4</v>
      </c>
      <c r="D34">
        <v>0.13695839513405947</v>
      </c>
      <c r="E34">
        <v>-3.9613448709208798E-2</v>
      </c>
      <c r="F34">
        <v>0.42133974536285829</v>
      </c>
      <c r="G34">
        <v>0.56565388253760129</v>
      </c>
      <c r="H34">
        <v>14.13571620812154</v>
      </c>
      <c r="I34">
        <v>6.8750452147297025E-3</v>
      </c>
      <c r="J34">
        <v>0</v>
      </c>
      <c r="K34">
        <v>0</v>
      </c>
    </row>
    <row r="35" spans="1:11" x14ac:dyDescent="0.3">
      <c r="A35" t="s">
        <v>23</v>
      </c>
      <c r="B35">
        <v>2009</v>
      </c>
      <c r="C35">
        <v>7.2321779270202863E-3</v>
      </c>
      <c r="D35">
        <v>8.8258032979063192E-2</v>
      </c>
      <c r="E35">
        <v>8.6909936634685676E-3</v>
      </c>
      <c r="F35">
        <v>0.54591297072891964</v>
      </c>
      <c r="G35">
        <v>0.78680741749730143</v>
      </c>
      <c r="H35">
        <v>14.95783633674716</v>
      </c>
      <c r="I35">
        <v>3.387486108356607E-2</v>
      </c>
      <c r="J35">
        <v>1.9144563470449888E-3</v>
      </c>
      <c r="K35">
        <v>0</v>
      </c>
    </row>
    <row r="36" spans="1:11" x14ac:dyDescent="0.3">
      <c r="A36" t="s">
        <v>23</v>
      </c>
      <c r="B36">
        <v>2010</v>
      </c>
      <c r="C36">
        <v>1.13652377704662E-2</v>
      </c>
      <c r="D36">
        <v>0.18308763734185698</v>
      </c>
      <c r="E36">
        <v>3.1001980779751165E-2</v>
      </c>
      <c r="F36">
        <v>0.42082546194916137</v>
      </c>
      <c r="G36">
        <v>0.80523232183104276</v>
      </c>
      <c r="H36">
        <v>14.974314119664836</v>
      </c>
      <c r="I36">
        <v>4.5011982324424528E-2</v>
      </c>
      <c r="J36">
        <v>1.8831688333047197E-2</v>
      </c>
      <c r="K36">
        <v>0</v>
      </c>
    </row>
    <row r="37" spans="1:11" x14ac:dyDescent="0.3">
      <c r="A37" t="s">
        <v>24</v>
      </c>
      <c r="B37">
        <v>2007</v>
      </c>
      <c r="C37">
        <v>3.6468542726511691E-2</v>
      </c>
      <c r="D37">
        <v>0.1290308455148432</v>
      </c>
      <c r="E37">
        <v>-0.19859875072445102</v>
      </c>
      <c r="F37">
        <v>0.11030974306136905</v>
      </c>
      <c r="G37">
        <v>0.91388447420954344</v>
      </c>
      <c r="H37">
        <v>13.562487527997336</v>
      </c>
      <c r="I37">
        <v>9.341903936585667E-3</v>
      </c>
      <c r="J37">
        <v>0</v>
      </c>
      <c r="K37">
        <v>0</v>
      </c>
    </row>
    <row r="38" spans="1:11" x14ac:dyDescent="0.3">
      <c r="A38" t="s">
        <v>24</v>
      </c>
      <c r="B38">
        <v>2008</v>
      </c>
      <c r="C38">
        <v>3.4030308089686803E-3</v>
      </c>
      <c r="D38">
        <v>8.8613350880466707E-2</v>
      </c>
      <c r="E38">
        <v>-0.17439329804264347</v>
      </c>
      <c r="F38">
        <v>0.18847389045481777</v>
      </c>
      <c r="G38">
        <v>0.81948006796240469</v>
      </c>
      <c r="H38">
        <v>13.833556741655336</v>
      </c>
      <c r="I38">
        <v>6.8549281791623826E-3</v>
      </c>
      <c r="J38">
        <v>0</v>
      </c>
      <c r="K38">
        <v>0</v>
      </c>
    </row>
    <row r="39" spans="1:11" x14ac:dyDescent="0.3">
      <c r="A39" t="s">
        <v>24</v>
      </c>
      <c r="B39">
        <v>2010</v>
      </c>
      <c r="C39">
        <v>1.7054806896182002E-2</v>
      </c>
      <c r="D39">
        <v>4.7440538002267489E-2</v>
      </c>
      <c r="E39">
        <v>-5.3736689427588302E-2</v>
      </c>
      <c r="F39">
        <v>0.8001076163378279</v>
      </c>
      <c r="G39">
        <v>0.91863233930517962</v>
      </c>
      <c r="H39">
        <v>13.822766172218842</v>
      </c>
      <c r="I39">
        <v>2.8198630258133364E-3</v>
      </c>
      <c r="J39">
        <v>0</v>
      </c>
      <c r="K39">
        <v>0</v>
      </c>
    </row>
    <row r="40" spans="1:11" x14ac:dyDescent="0.3">
      <c r="A40" t="s">
        <v>25</v>
      </c>
      <c r="B40">
        <v>2007</v>
      </c>
      <c r="C40">
        <v>1.5920247874434617E-2</v>
      </c>
      <c r="D40">
        <v>0.11654925225559264</v>
      </c>
      <c r="E40">
        <v>-0.15692709935524418</v>
      </c>
      <c r="F40">
        <v>0.27995977927728244</v>
      </c>
      <c r="G40">
        <v>0.88741940552399423</v>
      </c>
      <c r="H40">
        <v>14.75740938568512</v>
      </c>
      <c r="I40">
        <v>3.6713101531430717E-3</v>
      </c>
      <c r="J40">
        <v>1.8808139432878452E-3</v>
      </c>
      <c r="K40">
        <v>0</v>
      </c>
    </row>
    <row r="41" spans="1:11" x14ac:dyDescent="0.3">
      <c r="A41" t="s">
        <v>25</v>
      </c>
      <c r="B41">
        <v>2009</v>
      </c>
      <c r="C41">
        <v>5.2132979186694595E-3</v>
      </c>
      <c r="D41">
        <v>0.10866484383712402</v>
      </c>
      <c r="E41">
        <v>-3.3446263023069731E-2</v>
      </c>
      <c r="F41">
        <v>0.55242276512768085</v>
      </c>
      <c r="G41">
        <v>0.76676026644026463</v>
      </c>
      <c r="H41">
        <v>14.714445953481384</v>
      </c>
      <c r="I41">
        <v>4.7412258086312851E-2</v>
      </c>
      <c r="J41">
        <v>1.9633811507269476E-3</v>
      </c>
      <c r="K41">
        <v>0</v>
      </c>
    </row>
    <row r="42" spans="1:11" x14ac:dyDescent="0.3">
      <c r="A42" t="s">
        <v>25</v>
      </c>
      <c r="B42">
        <v>2010</v>
      </c>
      <c r="C42">
        <v>1.2774780629944723E-2</v>
      </c>
      <c r="D42">
        <v>0.24494534787735114</v>
      </c>
      <c r="E42">
        <v>0.10727561959615906</v>
      </c>
      <c r="F42">
        <v>0.3743055131887647</v>
      </c>
      <c r="G42">
        <v>0.60596054057396664</v>
      </c>
      <c r="H42">
        <v>14.694935210358199</v>
      </c>
      <c r="I42">
        <v>2.7199308323433809E-2</v>
      </c>
      <c r="J42">
        <v>1.3347095450408443E-2</v>
      </c>
      <c r="K42">
        <v>0</v>
      </c>
    </row>
    <row r="43" spans="1:11" x14ac:dyDescent="0.3">
      <c r="A43" t="s">
        <v>26</v>
      </c>
      <c r="B43">
        <v>2007</v>
      </c>
      <c r="C43">
        <v>5.1690619736489999E-3</v>
      </c>
      <c r="D43">
        <v>0.15837754025847278</v>
      </c>
      <c r="E43">
        <v>-0.19325247532545217</v>
      </c>
      <c r="F43">
        <v>0.14992247390873173</v>
      </c>
      <c r="G43">
        <v>0.96256080091929419</v>
      </c>
      <c r="H43">
        <v>13.138661833040448</v>
      </c>
      <c r="I43">
        <v>2.1240670318872626E-2</v>
      </c>
      <c r="J43">
        <v>0</v>
      </c>
      <c r="K43">
        <v>0</v>
      </c>
    </row>
    <row r="44" spans="1:11" x14ac:dyDescent="0.3">
      <c r="A44" t="s">
        <v>26</v>
      </c>
      <c r="B44">
        <v>2008</v>
      </c>
      <c r="C44">
        <v>1.8157866628689429E-3</v>
      </c>
      <c r="D44">
        <v>9.6716155754144856E-2</v>
      </c>
      <c r="E44">
        <v>-0.26174386726955529</v>
      </c>
      <c r="F44">
        <v>0.11591127567913982</v>
      </c>
      <c r="G44">
        <v>1.0097186361424622</v>
      </c>
      <c r="H44">
        <v>12.951112315924217</v>
      </c>
      <c r="I44">
        <v>2.2306831152475899E-3</v>
      </c>
      <c r="J44">
        <v>0</v>
      </c>
      <c r="K44">
        <v>0</v>
      </c>
    </row>
    <row r="45" spans="1:11" x14ac:dyDescent="0.3">
      <c r="A45" t="s">
        <v>26</v>
      </c>
      <c r="B45">
        <v>2009</v>
      </c>
      <c r="C45">
        <v>1.998800719568259E-4</v>
      </c>
      <c r="D45">
        <v>9.336349409866275E-2</v>
      </c>
      <c r="E45">
        <v>-0.11962578550430718</v>
      </c>
      <c r="F45">
        <v>0.98677135182305253</v>
      </c>
      <c r="G45">
        <v>0.92907194707565699</v>
      </c>
      <c r="H45">
        <v>12.924512258752458</v>
      </c>
      <c r="I45">
        <v>7.6218711998764172E-3</v>
      </c>
      <c r="J45">
        <v>0</v>
      </c>
      <c r="K45">
        <v>0</v>
      </c>
    </row>
    <row r="46" spans="1:11" x14ac:dyDescent="0.3">
      <c r="A46" t="s">
        <v>26</v>
      </c>
      <c r="B46">
        <v>2010</v>
      </c>
      <c r="C46">
        <v>6.7128110269109136E-5</v>
      </c>
      <c r="D46">
        <v>6.9765996380054499E-2</v>
      </c>
      <c r="E46">
        <v>-1.805994788869662E-2</v>
      </c>
      <c r="F46">
        <v>1.0241810370547169</v>
      </c>
      <c r="G46">
        <v>0.89205225550450506</v>
      </c>
      <c r="H46">
        <v>12.904744536732819</v>
      </c>
      <c r="I46">
        <v>8.5436663690228645E-3</v>
      </c>
      <c r="J46">
        <v>0</v>
      </c>
      <c r="K46">
        <v>0</v>
      </c>
    </row>
    <row r="47" spans="1:11" x14ac:dyDescent="0.3">
      <c r="A47" t="s">
        <v>27</v>
      </c>
      <c r="B47">
        <v>2007</v>
      </c>
      <c r="C47">
        <v>3.6552399355640315E-2</v>
      </c>
      <c r="D47">
        <v>4.818974163902779E-2</v>
      </c>
      <c r="E47">
        <v>-0.44835037104102404</v>
      </c>
      <c r="F47">
        <v>0.18900941210928326</v>
      </c>
      <c r="G47">
        <v>0.89534036578188481</v>
      </c>
      <c r="H47">
        <v>13.897762208740989</v>
      </c>
      <c r="I47">
        <v>3.9313685665519696E-3</v>
      </c>
      <c r="J47">
        <v>0</v>
      </c>
      <c r="K47">
        <v>0</v>
      </c>
    </row>
    <row r="48" spans="1:11" x14ac:dyDescent="0.3">
      <c r="A48" t="s">
        <v>27</v>
      </c>
      <c r="B48">
        <v>2008</v>
      </c>
      <c r="C48">
        <v>2.968842136889463E-2</v>
      </c>
      <c r="D48">
        <v>6.0770308643201071E-2</v>
      </c>
      <c r="E48">
        <v>-0.36408311411138922</v>
      </c>
      <c r="F48">
        <v>0.19471052774715242</v>
      </c>
      <c r="G48">
        <v>0.86311640793153199</v>
      </c>
      <c r="H48">
        <v>13.96243202704496</v>
      </c>
      <c r="I48">
        <v>6.6954132115599474E-3</v>
      </c>
      <c r="J48">
        <v>0</v>
      </c>
      <c r="K48">
        <v>0</v>
      </c>
    </row>
    <row r="49" spans="1:11" x14ac:dyDescent="0.3">
      <c r="A49" t="s">
        <v>27</v>
      </c>
      <c r="B49">
        <v>2009</v>
      </c>
      <c r="C49">
        <v>2.8635292642856448E-2</v>
      </c>
      <c r="D49">
        <v>8.4757358776725578E-2</v>
      </c>
      <c r="E49">
        <v>-9.9423268591929639E-2</v>
      </c>
      <c r="F49">
        <v>0.61607767909086009</v>
      </c>
      <c r="G49">
        <v>0.88623657375814713</v>
      </c>
      <c r="H49">
        <v>13.940170338958785</v>
      </c>
      <c r="I49">
        <v>7.5685982791275017E-3</v>
      </c>
      <c r="J49">
        <v>0</v>
      </c>
      <c r="K49">
        <v>0</v>
      </c>
    </row>
    <row r="50" spans="1:11" x14ac:dyDescent="0.3">
      <c r="A50" t="s">
        <v>27</v>
      </c>
      <c r="B50">
        <v>2010</v>
      </c>
      <c r="C50">
        <v>2.8118415865365787E-2</v>
      </c>
      <c r="D50">
        <v>0.10520517044668336</v>
      </c>
      <c r="E50">
        <v>-5.2045612578530964E-2</v>
      </c>
      <c r="F50">
        <v>0.53519675493812813</v>
      </c>
      <c r="G50">
        <v>0.8429295629766359</v>
      </c>
      <c r="H50">
        <v>13.954462607247152</v>
      </c>
      <c r="I50">
        <v>1.069097603655288E-2</v>
      </c>
      <c r="J50">
        <v>1.7405395150334749E-2</v>
      </c>
      <c r="K50">
        <v>0</v>
      </c>
    </row>
    <row r="51" spans="1:11" x14ac:dyDescent="0.3">
      <c r="A51" t="s">
        <v>28</v>
      </c>
      <c r="B51">
        <v>2007</v>
      </c>
      <c r="C51">
        <v>4.3547766387427552E-3</v>
      </c>
      <c r="D51">
        <v>2.8514186011774256E-2</v>
      </c>
      <c r="E51">
        <v>-7.8965842164425509E-2</v>
      </c>
      <c r="F51">
        <v>0.36532876437859851</v>
      </c>
      <c r="G51">
        <v>0.82470804301822787</v>
      </c>
      <c r="H51">
        <v>16.522417305572642</v>
      </c>
      <c r="I51">
        <v>2.2163038908926763E-2</v>
      </c>
      <c r="J51">
        <v>4.9389775969311059E-3</v>
      </c>
      <c r="K51">
        <v>0</v>
      </c>
    </row>
    <row r="52" spans="1:11" x14ac:dyDescent="0.3">
      <c r="A52" t="s">
        <v>28</v>
      </c>
      <c r="B52">
        <v>2008</v>
      </c>
      <c r="C52">
        <v>3.6751778385634326E-3</v>
      </c>
      <c r="D52">
        <v>1.767134400758686E-2</v>
      </c>
      <c r="E52">
        <v>-9.6164861240209509E-2</v>
      </c>
      <c r="F52">
        <v>0.49144166399635342</v>
      </c>
      <c r="G52">
        <v>0.78654790603338109</v>
      </c>
      <c r="H52">
        <v>16.605884125597836</v>
      </c>
      <c r="I52">
        <v>2.2242111196458993E-4</v>
      </c>
      <c r="J52">
        <v>0</v>
      </c>
      <c r="K52">
        <v>0</v>
      </c>
    </row>
    <row r="53" spans="1:11" x14ac:dyDescent="0.3">
      <c r="A53" t="s">
        <v>28</v>
      </c>
      <c r="B53">
        <v>2009</v>
      </c>
      <c r="C53">
        <v>3.7395100021208579E-3</v>
      </c>
      <c r="D53">
        <v>1.753730552579422E-2</v>
      </c>
      <c r="E53">
        <v>-4.9986609612261944E-2</v>
      </c>
      <c r="F53">
        <v>0.62156627456864622</v>
      </c>
      <c r="G53">
        <v>0.81040615817350503</v>
      </c>
      <c r="H53">
        <v>16.64526244750493</v>
      </c>
      <c r="I53">
        <v>3.5709661051896872E-2</v>
      </c>
      <c r="J53">
        <v>0</v>
      </c>
      <c r="K53">
        <v>0</v>
      </c>
    </row>
    <row r="54" spans="1:11" x14ac:dyDescent="0.3">
      <c r="A54" t="s">
        <v>28</v>
      </c>
      <c r="B54">
        <v>2010</v>
      </c>
      <c r="C54">
        <v>8.9857186908829203E-4</v>
      </c>
      <c r="D54">
        <v>0.114608508949456</v>
      </c>
      <c r="E54">
        <v>-0.18694519505973234</v>
      </c>
      <c r="F54">
        <v>0.55281988049509967</v>
      </c>
      <c r="G54">
        <v>0.72107741139911152</v>
      </c>
      <c r="H54">
        <v>16.780078117490373</v>
      </c>
      <c r="I54">
        <v>1.3476116481526927E-2</v>
      </c>
      <c r="J54">
        <v>0</v>
      </c>
      <c r="K54">
        <v>0</v>
      </c>
    </row>
    <row r="55" spans="1:11" x14ac:dyDescent="0.3">
      <c r="A55" t="s">
        <v>29</v>
      </c>
      <c r="B55">
        <v>2007</v>
      </c>
      <c r="C55">
        <v>1.0297567445526734E-3</v>
      </c>
      <c r="D55">
        <v>1.8403460108529595E-2</v>
      </c>
      <c r="E55">
        <v>-0.19471842564432565</v>
      </c>
      <c r="F55">
        <v>0.11868713488476007</v>
      </c>
      <c r="G55">
        <v>0.57061031770630932</v>
      </c>
      <c r="H55">
        <v>14.055451440880308</v>
      </c>
      <c r="I55">
        <v>5.0460734917895456E-3</v>
      </c>
      <c r="J55">
        <v>0</v>
      </c>
      <c r="K55">
        <v>0</v>
      </c>
    </row>
    <row r="56" spans="1:11" x14ac:dyDescent="0.3">
      <c r="A56" t="s">
        <v>29</v>
      </c>
      <c r="B56">
        <v>2009</v>
      </c>
      <c r="C56">
        <v>5.199900937480445E-4</v>
      </c>
      <c r="D56">
        <v>8.7638601596810251E-2</v>
      </c>
      <c r="E56">
        <v>-0.23851240528909246</v>
      </c>
      <c r="F56">
        <v>0.27355004287714924</v>
      </c>
      <c r="G56">
        <v>0.57581358619540879</v>
      </c>
      <c r="H56">
        <v>13.941823333954559</v>
      </c>
      <c r="I56">
        <v>1.6321638964994088E-2</v>
      </c>
      <c r="J56">
        <v>0</v>
      </c>
      <c r="K56">
        <v>0</v>
      </c>
    </row>
    <row r="57" spans="1:11" x14ac:dyDescent="0.3">
      <c r="A57" t="s">
        <v>29</v>
      </c>
      <c r="B57">
        <v>2010</v>
      </c>
      <c r="C57">
        <v>5.7923506329941952E-3</v>
      </c>
      <c r="D57">
        <v>3.7903181969362362E-2</v>
      </c>
      <c r="E57">
        <v>-0.27173283139717541</v>
      </c>
      <c r="F57">
        <v>0.26249473694878461</v>
      </c>
      <c r="G57">
        <v>0.53601393775733674</v>
      </c>
      <c r="H57">
        <v>13.897456376649634</v>
      </c>
      <c r="I57">
        <v>2.008991696836563E-2</v>
      </c>
      <c r="J57">
        <v>0</v>
      </c>
      <c r="K57">
        <v>0</v>
      </c>
    </row>
    <row r="58" spans="1:11" x14ac:dyDescent="0.3">
      <c r="A58" t="s">
        <v>30</v>
      </c>
      <c r="B58">
        <v>2007</v>
      </c>
      <c r="C58">
        <v>1.929846153846154E-3</v>
      </c>
      <c r="D58">
        <v>0.2367483076923077</v>
      </c>
      <c r="E58">
        <v>-0.38264123076923079</v>
      </c>
      <c r="F58">
        <v>5.7161846153846153E-2</v>
      </c>
      <c r="G58">
        <v>0.89365710769230777</v>
      </c>
      <c r="H58">
        <v>12.914724012626085</v>
      </c>
      <c r="I58">
        <v>0.12076369286788063</v>
      </c>
      <c r="J58">
        <v>0</v>
      </c>
      <c r="K58">
        <v>0</v>
      </c>
    </row>
    <row r="59" spans="1:11" x14ac:dyDescent="0.3">
      <c r="A59" t="s">
        <v>30</v>
      </c>
      <c r="B59">
        <v>2008</v>
      </c>
      <c r="C59">
        <v>3.971251471862434E-3</v>
      </c>
      <c r="D59">
        <v>1.0568916487080935</v>
      </c>
      <c r="E59">
        <v>-0.26820110639621425</v>
      </c>
      <c r="F59">
        <v>0</v>
      </c>
      <c r="G59">
        <v>0.89859151096398659</v>
      </c>
      <c r="H59">
        <v>12.100956544445117</v>
      </c>
      <c r="I59">
        <v>0.17013598175828948</v>
      </c>
      <c r="J59">
        <v>0</v>
      </c>
      <c r="K59">
        <v>0</v>
      </c>
    </row>
    <row r="60" spans="1:11" x14ac:dyDescent="0.3">
      <c r="A60" t="s">
        <v>30</v>
      </c>
      <c r="B60">
        <v>2009</v>
      </c>
      <c r="C60">
        <v>5.4524936377978147E-3</v>
      </c>
      <c r="D60">
        <v>6.6322359254269297E-2</v>
      </c>
      <c r="E60">
        <v>-0.58563927177254982</v>
      </c>
      <c r="F60">
        <v>0.22582651051922478</v>
      </c>
      <c r="G60">
        <v>0.92050477309105139</v>
      </c>
      <c r="H60">
        <v>12.064981319916548</v>
      </c>
      <c r="I60">
        <v>1.4072434204552529E-3</v>
      </c>
      <c r="J60">
        <v>0</v>
      </c>
      <c r="K60">
        <v>0</v>
      </c>
    </row>
    <row r="61" spans="1:11" x14ac:dyDescent="0.3">
      <c r="A61" t="s">
        <v>30</v>
      </c>
      <c r="B61">
        <v>2010</v>
      </c>
      <c r="C61">
        <v>6.3841686896092152E-3</v>
      </c>
      <c r="D61">
        <v>6.1866342995858921E-2</v>
      </c>
      <c r="E61">
        <v>-0.61277904707506303</v>
      </c>
      <c r="F61">
        <v>0.23336427245466229</v>
      </c>
      <c r="G61">
        <v>0.94238183635584749</v>
      </c>
      <c r="H61">
        <v>12.032147738003463</v>
      </c>
      <c r="I61">
        <v>4.4890175075957411E-4</v>
      </c>
      <c r="J61">
        <v>0</v>
      </c>
      <c r="K61">
        <v>0</v>
      </c>
    </row>
    <row r="62" spans="1:11" x14ac:dyDescent="0.3">
      <c r="A62" t="s">
        <v>31</v>
      </c>
      <c r="B62">
        <v>2007</v>
      </c>
      <c r="C62">
        <v>4.9705743040315614E-3</v>
      </c>
      <c r="D62">
        <v>1.1592907352281967E-2</v>
      </c>
      <c r="E62">
        <v>0.78164990565708248</v>
      </c>
      <c r="F62">
        <v>7.2961409316063638E-2</v>
      </c>
      <c r="G62">
        <v>0.65553295161277758</v>
      </c>
      <c r="H62">
        <v>15.751222885543141</v>
      </c>
      <c r="I62">
        <v>6.2922872263648346E-3</v>
      </c>
      <c r="J62">
        <v>0</v>
      </c>
      <c r="K62">
        <v>0</v>
      </c>
    </row>
    <row r="63" spans="1:11" x14ac:dyDescent="0.3">
      <c r="A63" t="s">
        <v>31</v>
      </c>
      <c r="B63">
        <v>2009</v>
      </c>
      <c r="C63">
        <v>5.0829186502665824E-3</v>
      </c>
      <c r="D63">
        <v>4.6572569695179152E-2</v>
      </c>
      <c r="E63">
        <v>0.23453235859302141</v>
      </c>
      <c r="F63">
        <v>0</v>
      </c>
      <c r="G63">
        <v>0.68159885813961207</v>
      </c>
      <c r="H63">
        <v>15.369843077080608</v>
      </c>
      <c r="I63">
        <v>2.0585747669175199E-2</v>
      </c>
      <c r="J63">
        <v>0</v>
      </c>
      <c r="K63">
        <v>0</v>
      </c>
    </row>
    <row r="64" spans="1:11" x14ac:dyDescent="0.3">
      <c r="A64" t="s">
        <v>31</v>
      </c>
      <c r="B64">
        <v>2010</v>
      </c>
      <c r="C64">
        <v>5.1032354662314235E-3</v>
      </c>
      <c r="D64">
        <v>0.13248925145520676</v>
      </c>
      <c r="E64">
        <v>0.25451220442220368</v>
      </c>
      <c r="F64">
        <v>0</v>
      </c>
      <c r="G64">
        <v>0.46371484807177676</v>
      </c>
      <c r="H64">
        <v>15.467786862621693</v>
      </c>
      <c r="I64">
        <v>2.3480923248814026E-3</v>
      </c>
      <c r="J64">
        <v>4.9200532071649559E-3</v>
      </c>
      <c r="K64">
        <v>0</v>
      </c>
    </row>
    <row r="65" spans="1:11" x14ac:dyDescent="0.3">
      <c r="A65" t="s">
        <v>32</v>
      </c>
      <c r="B65">
        <v>2007</v>
      </c>
      <c r="C65">
        <v>9.6391387676393288E-4</v>
      </c>
      <c r="D65">
        <v>7.8561664458144623E-2</v>
      </c>
      <c r="E65">
        <v>-0.19301033631255712</v>
      </c>
      <c r="F65">
        <v>0.10678137027120006</v>
      </c>
      <c r="G65">
        <v>0.92398444212947684</v>
      </c>
      <c r="H65">
        <v>14.437825855663382</v>
      </c>
      <c r="I65">
        <v>3.4027372357205016E-3</v>
      </c>
      <c r="J65">
        <v>0</v>
      </c>
      <c r="K65">
        <v>0</v>
      </c>
    </row>
    <row r="66" spans="1:11" x14ac:dyDescent="0.3">
      <c r="A66" t="s">
        <v>32</v>
      </c>
      <c r="B66">
        <v>2008</v>
      </c>
      <c r="C66">
        <v>1.1020384700662154E-3</v>
      </c>
      <c r="D66">
        <v>9.0224814752972032E-2</v>
      </c>
      <c r="E66">
        <v>3.5301363450973525E-2</v>
      </c>
      <c r="F66">
        <v>0.29196081276021496</v>
      </c>
      <c r="G66">
        <v>0.69540729710420635</v>
      </c>
      <c r="H66">
        <v>14.417975085184537</v>
      </c>
      <c r="I66">
        <v>3.2311690458141848E-2</v>
      </c>
      <c r="J66">
        <v>0</v>
      </c>
      <c r="K66">
        <v>0</v>
      </c>
    </row>
    <row r="67" spans="1:11" x14ac:dyDescent="0.3">
      <c r="A67" t="s">
        <v>32</v>
      </c>
      <c r="B67">
        <v>2009</v>
      </c>
      <c r="C67">
        <v>3.6381214915127227E-3</v>
      </c>
      <c r="D67">
        <v>0.18825842984809657</v>
      </c>
      <c r="E67">
        <v>-0.14064726781257736</v>
      </c>
      <c r="F67">
        <v>0.59973917038563529</v>
      </c>
      <c r="G67">
        <v>0.89124951212930181</v>
      </c>
      <c r="H67">
        <v>14.39968403649652</v>
      </c>
      <c r="I67">
        <v>2.5148705421452543E-2</v>
      </c>
      <c r="J67">
        <v>0</v>
      </c>
      <c r="K67">
        <v>0</v>
      </c>
    </row>
    <row r="68" spans="1:11" x14ac:dyDescent="0.3">
      <c r="A68" t="s">
        <v>32</v>
      </c>
      <c r="B68">
        <v>2010</v>
      </c>
      <c r="C68">
        <v>1.1413911238086225E-3</v>
      </c>
      <c r="D68">
        <v>0.11309754970215924</v>
      </c>
      <c r="E68">
        <v>-0.11931749657957741</v>
      </c>
      <c r="F68">
        <v>0.56296260818835608</v>
      </c>
      <c r="G68">
        <v>0.89540633350894672</v>
      </c>
      <c r="H68">
        <v>14.365348988657159</v>
      </c>
      <c r="I68">
        <v>1.4720925577127859E-2</v>
      </c>
      <c r="J68">
        <v>0</v>
      </c>
      <c r="K68">
        <v>0</v>
      </c>
    </row>
    <row r="69" spans="1:11" x14ac:dyDescent="0.3">
      <c r="A69" t="s">
        <v>33</v>
      </c>
      <c r="B69">
        <v>2007</v>
      </c>
      <c r="C69">
        <v>1.3536048981545462E-3</v>
      </c>
      <c r="D69">
        <v>1.7044216607217336E-2</v>
      </c>
      <c r="E69">
        <v>0.20268936462187251</v>
      </c>
      <c r="F69">
        <v>0.27054667792711007</v>
      </c>
      <c r="G69">
        <v>0.67947455644712262</v>
      </c>
      <c r="H69">
        <v>14.184151917901946</v>
      </c>
      <c r="I69">
        <v>1.6811800878145121E-2</v>
      </c>
      <c r="J69">
        <v>0</v>
      </c>
      <c r="K69">
        <v>0</v>
      </c>
    </row>
    <row r="70" spans="1:11" x14ac:dyDescent="0.3">
      <c r="A70" t="s">
        <v>33</v>
      </c>
      <c r="B70">
        <v>2009</v>
      </c>
      <c r="C70">
        <v>2.5041344928446291E-3</v>
      </c>
      <c r="D70">
        <v>0.14699716445197392</v>
      </c>
      <c r="E70">
        <v>-0.21191715097739738</v>
      </c>
      <c r="F70">
        <v>0.4202269092526516</v>
      </c>
      <c r="G70">
        <v>0.92381114661451269</v>
      </c>
      <c r="H70">
        <v>13.729171318675846</v>
      </c>
      <c r="I70">
        <v>2.8398938625698648E-2</v>
      </c>
      <c r="J70">
        <v>0</v>
      </c>
      <c r="K70">
        <v>0</v>
      </c>
    </row>
    <row r="71" spans="1:11" x14ac:dyDescent="0.3">
      <c r="A71" t="s">
        <v>33</v>
      </c>
      <c r="B71">
        <v>2010</v>
      </c>
      <c r="C71">
        <v>2.2977535840206617E-3</v>
      </c>
      <c r="D71">
        <v>5.1070739600742703E-2</v>
      </c>
      <c r="E71">
        <v>-0.21601823728828892</v>
      </c>
      <c r="F71">
        <v>0.4018445352589835</v>
      </c>
      <c r="G71">
        <v>0.92778122038758759</v>
      </c>
      <c r="H71">
        <v>13.692599144629904</v>
      </c>
      <c r="I71">
        <v>5.7991282637359799E-3</v>
      </c>
      <c r="J71">
        <v>0</v>
      </c>
      <c r="K71">
        <v>0</v>
      </c>
    </row>
    <row r="72" spans="1:11" x14ac:dyDescent="0.3">
      <c r="A72" t="s">
        <v>34</v>
      </c>
      <c r="B72">
        <v>2007</v>
      </c>
      <c r="C72">
        <v>8.3468331495137535E-3</v>
      </c>
      <c r="D72">
        <v>3.9235040188053585E-2</v>
      </c>
      <c r="E72">
        <v>-1.9066785527810829E-2</v>
      </c>
      <c r="F72">
        <v>0.19876846916067473</v>
      </c>
      <c r="G72">
        <v>0.80734146194862277</v>
      </c>
      <c r="H72">
        <v>14.138233707585874</v>
      </c>
      <c r="I72">
        <v>5.0883290048832804E-3</v>
      </c>
      <c r="J72">
        <v>0</v>
      </c>
      <c r="K72">
        <v>0</v>
      </c>
    </row>
    <row r="73" spans="1:11" x14ac:dyDescent="0.3">
      <c r="A73" t="s">
        <v>34</v>
      </c>
      <c r="B73">
        <v>2009</v>
      </c>
      <c r="C73">
        <v>8.3055009958866149E-3</v>
      </c>
      <c r="D73">
        <v>0.15640116136125684</v>
      </c>
      <c r="E73">
        <v>-3.1630795410910275E-3</v>
      </c>
      <c r="F73">
        <v>0.58197486663959397</v>
      </c>
      <c r="G73">
        <v>0.89270762371232282</v>
      </c>
      <c r="H73">
        <v>13.492516284165836</v>
      </c>
      <c r="I73">
        <v>1.4256706571519704E-2</v>
      </c>
      <c r="J73">
        <v>0</v>
      </c>
      <c r="K73">
        <v>0</v>
      </c>
    </row>
    <row r="74" spans="1:11" x14ac:dyDescent="0.3">
      <c r="A74" t="s">
        <v>34</v>
      </c>
      <c r="B74">
        <v>2010</v>
      </c>
      <c r="C74">
        <v>3.4471021443822137E-3</v>
      </c>
      <c r="D74">
        <v>8.5830986787139893E-2</v>
      </c>
      <c r="E74">
        <v>-4.7661602252684343E-2</v>
      </c>
      <c r="F74">
        <v>0.51729430330785653</v>
      </c>
      <c r="G74">
        <v>0.86355614691957794</v>
      </c>
      <c r="H74">
        <v>13.602224511412846</v>
      </c>
      <c r="I74">
        <v>1.8537942053398527E-2</v>
      </c>
      <c r="J74">
        <v>0</v>
      </c>
      <c r="K74">
        <v>0</v>
      </c>
    </row>
    <row r="75" spans="1:11" x14ac:dyDescent="0.3">
      <c r="A75" t="s">
        <v>35</v>
      </c>
      <c r="B75">
        <v>2007</v>
      </c>
      <c r="C75">
        <v>3.2795020657574543E-3</v>
      </c>
      <c r="D75">
        <v>2.9291534648752244E-2</v>
      </c>
      <c r="E75">
        <v>0.15693869600871652</v>
      </c>
      <c r="F75">
        <v>0.34521973652681393</v>
      </c>
      <c r="G75">
        <v>0.67152536284708886</v>
      </c>
      <c r="H75">
        <v>15.285347495067326</v>
      </c>
      <c r="I75">
        <v>1.4963231793850305E-2</v>
      </c>
      <c r="J75">
        <v>0</v>
      </c>
      <c r="K75">
        <v>0</v>
      </c>
    </row>
    <row r="76" spans="1:11" x14ac:dyDescent="0.3">
      <c r="A76" t="s">
        <v>35</v>
      </c>
      <c r="B76">
        <v>2009</v>
      </c>
      <c r="C76">
        <v>1.6818360932793471E-3</v>
      </c>
      <c r="D76">
        <v>0.19754933919993314</v>
      </c>
      <c r="E76">
        <v>-0.18874046628392932</v>
      </c>
      <c r="F76">
        <v>0.75312979185483708</v>
      </c>
      <c r="G76">
        <v>0.99799256454110097</v>
      </c>
      <c r="H76">
        <v>15.176615051633085</v>
      </c>
      <c r="I76">
        <v>4.5187117960021325E-2</v>
      </c>
      <c r="J76">
        <v>0</v>
      </c>
      <c r="K76">
        <v>0</v>
      </c>
    </row>
    <row r="77" spans="1:11" x14ac:dyDescent="0.3">
      <c r="A77" t="s">
        <v>35</v>
      </c>
      <c r="B77">
        <v>2010</v>
      </c>
      <c r="C77">
        <v>1.0419739808881542E-3</v>
      </c>
      <c r="D77">
        <v>5.0891643695567076E-2</v>
      </c>
      <c r="E77">
        <v>-0.22263374519227758</v>
      </c>
      <c r="F77">
        <v>0.73510324531990234</v>
      </c>
      <c r="G77">
        <v>1.0273497684638471</v>
      </c>
      <c r="H77">
        <v>15.115952052580221</v>
      </c>
      <c r="I77">
        <v>6.4371019224571113E-4</v>
      </c>
      <c r="J77">
        <v>0</v>
      </c>
      <c r="K77">
        <v>0</v>
      </c>
    </row>
    <row r="78" spans="1:11" x14ac:dyDescent="0.3">
      <c r="A78" t="s">
        <v>36</v>
      </c>
      <c r="B78">
        <v>2007</v>
      </c>
      <c r="C78">
        <v>2.7102842161522817E-3</v>
      </c>
      <c r="D78">
        <v>9.5267280829087642E-2</v>
      </c>
      <c r="E78">
        <v>-0.19324168334898784</v>
      </c>
      <c r="F78">
        <v>0.24421589927989298</v>
      </c>
      <c r="G78">
        <v>0</v>
      </c>
      <c r="H78">
        <v>14.96672478437258</v>
      </c>
      <c r="I78">
        <v>2.6329263950330695E-3</v>
      </c>
      <c r="J78">
        <v>0</v>
      </c>
      <c r="K78">
        <v>0</v>
      </c>
    </row>
    <row r="79" spans="1:11" x14ac:dyDescent="0.3">
      <c r="A79" t="s">
        <v>36</v>
      </c>
      <c r="B79">
        <v>2009</v>
      </c>
      <c r="C79">
        <v>4.5479892917161101E-3</v>
      </c>
      <c r="D79">
        <v>8.592330529534617E-2</v>
      </c>
      <c r="E79">
        <v>1.3656282780541439E-2</v>
      </c>
      <c r="F79">
        <v>0.55388813139940896</v>
      </c>
      <c r="G79">
        <v>0.81101485872277379</v>
      </c>
      <c r="H79">
        <v>14.968261854799604</v>
      </c>
      <c r="I79">
        <v>3.1041606242743932E-2</v>
      </c>
      <c r="J79">
        <v>0</v>
      </c>
      <c r="K79">
        <v>0</v>
      </c>
    </row>
    <row r="80" spans="1:11" x14ac:dyDescent="0.3">
      <c r="A80" t="s">
        <v>36</v>
      </c>
      <c r="B80">
        <v>2010</v>
      </c>
      <c r="C80">
        <v>7.2175968205821775E-3</v>
      </c>
      <c r="D80">
        <v>0.1709569124158993</v>
      </c>
      <c r="E80">
        <v>1.2645571401860026E-2</v>
      </c>
      <c r="F80">
        <v>0.38424471123614146</v>
      </c>
      <c r="G80">
        <v>0.71789426188470395</v>
      </c>
      <c r="H80">
        <v>15.044414287945182</v>
      </c>
      <c r="I80">
        <v>2.7609450136663379E-2</v>
      </c>
      <c r="J80">
        <v>1.0844537248341687E-2</v>
      </c>
      <c r="K80">
        <v>0</v>
      </c>
    </row>
    <row r="81" spans="1:11" x14ac:dyDescent="0.3">
      <c r="A81" t="s">
        <v>37</v>
      </c>
      <c r="B81">
        <v>2007</v>
      </c>
      <c r="C81">
        <v>2.0943515972075312E-2</v>
      </c>
      <c r="D81">
        <v>0.12633421158913014</v>
      </c>
      <c r="E81">
        <v>-1.767217339461892</v>
      </c>
      <c r="F81">
        <v>0.45931496047848913</v>
      </c>
      <c r="G81">
        <v>1.8462795930534455</v>
      </c>
      <c r="H81">
        <v>10.858941303591607</v>
      </c>
      <c r="I81">
        <v>7.0008892004120818E-2</v>
      </c>
      <c r="J81">
        <v>0</v>
      </c>
      <c r="K81">
        <v>0</v>
      </c>
    </row>
    <row r="82" spans="1:11" x14ac:dyDescent="0.3">
      <c r="A82" t="s">
        <v>37</v>
      </c>
      <c r="B82">
        <v>2008</v>
      </c>
      <c r="C82">
        <v>1.1267158613028645E-2</v>
      </c>
      <c r="D82">
        <v>0.33962151868602714</v>
      </c>
      <c r="E82">
        <v>-1.4215464571927319</v>
      </c>
      <c r="F82">
        <v>0</v>
      </c>
      <c r="G82">
        <v>1.5579822264540188</v>
      </c>
      <c r="H82">
        <v>10.827984520957383</v>
      </c>
      <c r="I82">
        <v>6.7890367321976439E-2</v>
      </c>
      <c r="J82">
        <v>0</v>
      </c>
      <c r="K82">
        <v>0</v>
      </c>
    </row>
    <row r="83" spans="1:11" x14ac:dyDescent="0.3">
      <c r="A83" t="s">
        <v>37</v>
      </c>
      <c r="B83">
        <v>2009</v>
      </c>
      <c r="C83">
        <v>1.1768330252618607E-2</v>
      </c>
      <c r="D83">
        <v>0.13201889505031833</v>
      </c>
      <c r="E83">
        <v>-0.16635859519408502</v>
      </c>
      <c r="F83">
        <v>1.3719038817005544</v>
      </c>
      <c r="G83">
        <v>1.7050934483466831</v>
      </c>
      <c r="H83">
        <v>10.793228949176747</v>
      </c>
      <c r="I83">
        <v>5.7315275270589522E-3</v>
      </c>
      <c r="J83">
        <v>0</v>
      </c>
      <c r="K83">
        <v>0</v>
      </c>
    </row>
    <row r="84" spans="1:11" x14ac:dyDescent="0.3">
      <c r="A84" t="s">
        <v>37</v>
      </c>
      <c r="B84">
        <v>2010</v>
      </c>
      <c r="C84">
        <v>5.2059575169684812E-2</v>
      </c>
      <c r="D84">
        <v>0.11391552856475502</v>
      </c>
      <c r="E84">
        <v>-1.02360473743508E-2</v>
      </c>
      <c r="F84">
        <v>1.0802670990079966</v>
      </c>
      <c r="G84">
        <v>1.3349317138853014</v>
      </c>
      <c r="H84">
        <v>11.195223950865525</v>
      </c>
      <c r="I84">
        <v>3.0787289576759667E-2</v>
      </c>
      <c r="J84">
        <v>0</v>
      </c>
      <c r="K84">
        <v>0</v>
      </c>
    </row>
    <row r="85" spans="1:11" x14ac:dyDescent="0.3">
      <c r="A85" t="s">
        <v>38</v>
      </c>
      <c r="B85">
        <v>2007</v>
      </c>
      <c r="C85">
        <v>6.7697956858930375E-2</v>
      </c>
      <c r="D85">
        <v>9.1259590637631241E-2</v>
      </c>
      <c r="E85">
        <v>3.0121662481786743E-2</v>
      </c>
      <c r="F85">
        <v>0.27900133628021506</v>
      </c>
      <c r="G85">
        <v>0.89444333597589609</v>
      </c>
      <c r="H85">
        <v>14.339657260866579</v>
      </c>
      <c r="I85">
        <v>1.2860282280272722E-4</v>
      </c>
      <c r="J85">
        <v>0</v>
      </c>
      <c r="K85">
        <v>0</v>
      </c>
    </row>
    <row r="86" spans="1:11" x14ac:dyDescent="0.3">
      <c r="A86" t="s">
        <v>38</v>
      </c>
      <c r="B86">
        <v>2009</v>
      </c>
      <c r="C86">
        <v>8.9478988650804076E-3</v>
      </c>
      <c r="D86">
        <v>5.6203168134612853E-2</v>
      </c>
      <c r="E86">
        <v>5.4253757504053287E-3</v>
      </c>
      <c r="F86">
        <v>0.64909129748915473</v>
      </c>
      <c r="G86">
        <v>0.86014252223828924</v>
      </c>
      <c r="H86">
        <v>14.417463078339292</v>
      </c>
      <c r="I86">
        <v>2.9102213762340026E-2</v>
      </c>
      <c r="J86">
        <v>4.4985977827439643E-3</v>
      </c>
      <c r="K86">
        <v>0</v>
      </c>
    </row>
    <row r="87" spans="1:11" x14ac:dyDescent="0.3">
      <c r="A87" t="s">
        <v>38</v>
      </c>
      <c r="B87">
        <v>2010</v>
      </c>
      <c r="C87">
        <v>7.6833569182663281E-3</v>
      </c>
      <c r="D87">
        <v>0.14946589108744504</v>
      </c>
      <c r="E87">
        <v>8.1306014215861824E-2</v>
      </c>
      <c r="F87">
        <v>0.48924364800385706</v>
      </c>
      <c r="G87">
        <v>0.78573433166558304</v>
      </c>
      <c r="H87">
        <v>14.361130574704504</v>
      </c>
      <c r="I87">
        <v>4.2531086075310552E-2</v>
      </c>
      <c r="J87">
        <v>2.2208662334456369E-2</v>
      </c>
      <c r="K87">
        <v>0</v>
      </c>
    </row>
    <row r="88" spans="1:11" x14ac:dyDescent="0.3">
      <c r="A88" t="s">
        <v>39</v>
      </c>
      <c r="B88">
        <v>2007</v>
      </c>
      <c r="C88">
        <v>8.132353446249763E-3</v>
      </c>
      <c r="D88">
        <v>9.8319587483071624E-2</v>
      </c>
      <c r="E88">
        <v>-2.2213460135911856E-2</v>
      </c>
      <c r="F88">
        <v>0.26735212969204669</v>
      </c>
      <c r="G88">
        <v>0.82342132608003193</v>
      </c>
      <c r="H88">
        <v>14.904027391915925</v>
      </c>
      <c r="I88">
        <v>2.864729697715826E-3</v>
      </c>
      <c r="J88">
        <v>0</v>
      </c>
      <c r="K88">
        <v>0</v>
      </c>
    </row>
    <row r="89" spans="1:11" x14ac:dyDescent="0.3">
      <c r="A89" t="s">
        <v>39</v>
      </c>
      <c r="B89">
        <v>2009</v>
      </c>
      <c r="C89">
        <v>4.7074822723218619E-3</v>
      </c>
      <c r="D89">
        <v>9.1375738469282333E-2</v>
      </c>
      <c r="E89">
        <v>-1.3141530011215019E-2</v>
      </c>
      <c r="F89">
        <v>0.52124371914765855</v>
      </c>
      <c r="G89">
        <v>0.72152135710564191</v>
      </c>
      <c r="H89">
        <v>14.856149394856882</v>
      </c>
      <c r="I89">
        <v>3.9319033242381465E-2</v>
      </c>
      <c r="J89">
        <v>2.6492171563303043E-3</v>
      </c>
      <c r="K89">
        <v>0</v>
      </c>
    </row>
    <row r="90" spans="1:11" x14ac:dyDescent="0.3">
      <c r="A90" t="s">
        <v>39</v>
      </c>
      <c r="B90">
        <v>2010</v>
      </c>
      <c r="C90">
        <v>2.5420981355074347E-2</v>
      </c>
      <c r="D90">
        <v>0.20065831771609921</v>
      </c>
      <c r="E90">
        <v>3.3774947676565942E-2</v>
      </c>
      <c r="F90">
        <v>0.37221967634707193</v>
      </c>
      <c r="G90">
        <v>0.62210476998208009</v>
      </c>
      <c r="H90">
        <v>14.888504138681384</v>
      </c>
      <c r="I90">
        <v>2.6399826655642611E-2</v>
      </c>
      <c r="J90">
        <v>1.7099161457122144E-2</v>
      </c>
      <c r="K90">
        <v>0</v>
      </c>
    </row>
    <row r="91" spans="1:11" x14ac:dyDescent="0.3">
      <c r="A91" t="s">
        <v>40</v>
      </c>
      <c r="B91">
        <v>2009</v>
      </c>
      <c r="C91">
        <v>1.144019770491234E-3</v>
      </c>
      <c r="D91">
        <v>1.2906996338409053E-2</v>
      </c>
      <c r="E91">
        <v>0.14509694748912869</v>
      </c>
      <c r="F91">
        <v>0.53389318400193608</v>
      </c>
      <c r="G91">
        <v>0.76801035886252522</v>
      </c>
      <c r="H91">
        <v>16.079312098236493</v>
      </c>
      <c r="I91">
        <v>4.5626026909266655E-4</v>
      </c>
      <c r="J91">
        <v>1.2994318156420197E-4</v>
      </c>
      <c r="K91">
        <v>0</v>
      </c>
    </row>
    <row r="92" spans="1:11" x14ac:dyDescent="0.3">
      <c r="A92" t="s">
        <v>41</v>
      </c>
      <c r="B92">
        <v>2009</v>
      </c>
      <c r="C92">
        <v>1.9010213185004603E-2</v>
      </c>
      <c r="D92">
        <v>7.2392446855935155E-2</v>
      </c>
      <c r="E92">
        <v>-6.0490378363743311E-2</v>
      </c>
      <c r="F92">
        <v>0.65069856814106453</v>
      </c>
      <c r="G92">
        <v>0.82176100991057055</v>
      </c>
      <c r="H92">
        <v>16.023860463143006</v>
      </c>
      <c r="I92">
        <v>8.7810061855977672E-3</v>
      </c>
      <c r="J92">
        <v>0</v>
      </c>
      <c r="K92">
        <v>0</v>
      </c>
    </row>
    <row r="93" spans="1:11" x14ac:dyDescent="0.3">
      <c r="A93" t="s">
        <v>41</v>
      </c>
      <c r="B93">
        <v>2010</v>
      </c>
      <c r="C93">
        <v>9.5275127997458305E-3</v>
      </c>
      <c r="D93">
        <v>5.2197469721371452E-2</v>
      </c>
      <c r="E93">
        <v>-3.7017874649019976E-2</v>
      </c>
      <c r="F93">
        <v>0.60858879714017078</v>
      </c>
      <c r="G93">
        <v>0.77595572907528887</v>
      </c>
      <c r="H93">
        <v>15.941201180852312</v>
      </c>
      <c r="I93">
        <v>1.4922039761034352E-3</v>
      </c>
      <c r="J93">
        <v>0</v>
      </c>
      <c r="K93">
        <v>0</v>
      </c>
    </row>
    <row r="94" spans="1:11" x14ac:dyDescent="0.3">
      <c r="A94" t="s">
        <v>42</v>
      </c>
      <c r="B94">
        <v>2007</v>
      </c>
      <c r="C94">
        <v>3.5181195301124984E-2</v>
      </c>
      <c r="D94">
        <v>5.1663382398526657E-2</v>
      </c>
      <c r="E94">
        <v>-0.48414759707036575</v>
      </c>
      <c r="F94">
        <v>0.17527271882304862</v>
      </c>
      <c r="G94">
        <v>0.92595460571294974</v>
      </c>
      <c r="H94">
        <v>15.937639393411551</v>
      </c>
      <c r="I94">
        <v>5.6677326166339262E-3</v>
      </c>
      <c r="J94">
        <v>0</v>
      </c>
      <c r="K94">
        <v>0</v>
      </c>
    </row>
    <row r="95" spans="1:11" x14ac:dyDescent="0.3">
      <c r="A95" t="s">
        <v>42</v>
      </c>
      <c r="B95">
        <v>2009</v>
      </c>
      <c r="C95">
        <v>7.8985991313990141E-3</v>
      </c>
      <c r="D95">
        <v>4.500089088850668E-2</v>
      </c>
      <c r="E95">
        <v>4.4948641757301559E-2</v>
      </c>
      <c r="F95">
        <v>0.44443376330694551</v>
      </c>
      <c r="G95">
        <v>0.6395003227812539</v>
      </c>
      <c r="H95">
        <v>16.097811919950306</v>
      </c>
      <c r="I95">
        <v>1.7565829278794295E-2</v>
      </c>
      <c r="J95">
        <v>0</v>
      </c>
      <c r="K95">
        <v>0</v>
      </c>
    </row>
    <row r="96" spans="1:11" x14ac:dyDescent="0.3">
      <c r="A96" t="s">
        <v>42</v>
      </c>
      <c r="B96">
        <v>2010</v>
      </c>
      <c r="C96">
        <v>1.1337603685671369E-2</v>
      </c>
      <c r="D96">
        <v>9.1405424768594382E-2</v>
      </c>
      <c r="E96">
        <v>7.2269167699920075E-2</v>
      </c>
      <c r="F96">
        <v>0.39159735009746827</v>
      </c>
      <c r="G96">
        <v>0.69837859543268022</v>
      </c>
      <c r="H96">
        <v>16.203610558796317</v>
      </c>
      <c r="I96">
        <v>4.586578876125888E-3</v>
      </c>
      <c r="J96">
        <v>1.7218013623338326E-2</v>
      </c>
      <c r="K96">
        <v>0</v>
      </c>
    </row>
    <row r="97" spans="1:11" x14ac:dyDescent="0.3">
      <c r="A97" t="s">
        <v>43</v>
      </c>
      <c r="B97">
        <v>2007</v>
      </c>
      <c r="C97">
        <v>8.2991327570716667E-4</v>
      </c>
      <c r="D97">
        <v>4.2624323913945557E-2</v>
      </c>
      <c r="E97">
        <v>-1.7463260989087792E-2</v>
      </c>
      <c r="F97">
        <v>0.40963565491613985</v>
      </c>
      <c r="G97">
        <v>1.9640997277292445</v>
      </c>
      <c r="H97">
        <v>14.416699783729982</v>
      </c>
      <c r="I97">
        <v>6.9891744171908868E-5</v>
      </c>
      <c r="J97">
        <v>0</v>
      </c>
      <c r="K97">
        <v>0</v>
      </c>
    </row>
    <row r="98" spans="1:11" x14ac:dyDescent="0.3">
      <c r="A98" t="s">
        <v>43</v>
      </c>
      <c r="B98">
        <v>2009</v>
      </c>
      <c r="C98">
        <v>1.2523985513807781E-3</v>
      </c>
      <c r="D98">
        <v>4.0657505770226844E-2</v>
      </c>
      <c r="E98">
        <v>-6.8215477772701108E-2</v>
      </c>
      <c r="F98">
        <v>0.47069127196164123</v>
      </c>
      <c r="G98">
        <v>1.6463209144660358</v>
      </c>
      <c r="H98">
        <v>14.874157776514181</v>
      </c>
      <c r="I98">
        <v>6.6038652789319308E-2</v>
      </c>
      <c r="J98">
        <v>3.2198091289099727E-3</v>
      </c>
      <c r="K98">
        <v>0</v>
      </c>
    </row>
    <row r="99" spans="1:11" x14ac:dyDescent="0.3">
      <c r="A99" t="s">
        <v>43</v>
      </c>
      <c r="B99">
        <v>2010</v>
      </c>
      <c r="C99">
        <v>8.1319228416441625E-2</v>
      </c>
      <c r="D99">
        <v>0.20102930709826763</v>
      </c>
      <c r="E99">
        <v>-0.23660991744835325</v>
      </c>
      <c r="F99">
        <v>0.42523568811744905</v>
      </c>
      <c r="G99">
        <v>1.3053294008272829</v>
      </c>
      <c r="H99">
        <v>15.118357275356169</v>
      </c>
      <c r="I99">
        <v>3.9394549322823921E-2</v>
      </c>
      <c r="J99">
        <v>1.6814969031922488E-2</v>
      </c>
      <c r="K99">
        <v>0</v>
      </c>
    </row>
    <row r="100" spans="1:11" x14ac:dyDescent="0.3">
      <c r="A100" t="s">
        <v>44</v>
      </c>
      <c r="B100">
        <v>2010</v>
      </c>
      <c r="C100">
        <v>4.6968206530541264E-3</v>
      </c>
      <c r="D100">
        <v>9.8036115226393578E-2</v>
      </c>
      <c r="E100">
        <v>0.13522069942564105</v>
      </c>
      <c r="F100">
        <v>0.2962227673905965</v>
      </c>
      <c r="G100">
        <v>1.0265519454725547</v>
      </c>
      <c r="H100">
        <v>14.668336538670156</v>
      </c>
      <c r="I100">
        <v>1.4942379669796654E-3</v>
      </c>
      <c r="J100">
        <v>0.10023364764809477</v>
      </c>
      <c r="K100">
        <v>0</v>
      </c>
    </row>
    <row r="101" spans="1:11" x14ac:dyDescent="0.3">
      <c r="A101" t="s">
        <v>45</v>
      </c>
      <c r="B101">
        <v>2007</v>
      </c>
      <c r="C101">
        <v>1.6320282403153256E-2</v>
      </c>
      <c r="D101">
        <v>0.10720308096045635</v>
      </c>
      <c r="E101">
        <v>-6.163133808549344E-2</v>
      </c>
      <c r="F101">
        <v>0.3218202184271679</v>
      </c>
      <c r="G101">
        <v>0.79896951685233364</v>
      </c>
      <c r="H101">
        <v>15.582594576954683</v>
      </c>
      <c r="I101">
        <v>1.1742336383790686E-2</v>
      </c>
      <c r="J101">
        <v>0</v>
      </c>
      <c r="K101">
        <v>0</v>
      </c>
    </row>
    <row r="102" spans="1:11" x14ac:dyDescent="0.3">
      <c r="A102" t="s">
        <v>45</v>
      </c>
      <c r="B102">
        <v>2009</v>
      </c>
      <c r="C102">
        <v>1.9674630964164136E-2</v>
      </c>
      <c r="D102">
        <v>9.9399012727587402E-2</v>
      </c>
      <c r="E102">
        <v>4.175440233683813E-2</v>
      </c>
      <c r="F102">
        <v>0.44949767709368499</v>
      </c>
      <c r="G102">
        <v>0.77987338596977163</v>
      </c>
      <c r="H102">
        <v>15.614530605287797</v>
      </c>
      <c r="I102">
        <v>3.3629634532096851E-2</v>
      </c>
      <c r="J102">
        <v>0</v>
      </c>
      <c r="K102">
        <v>0</v>
      </c>
    </row>
    <row r="103" spans="1:11" x14ac:dyDescent="0.3">
      <c r="A103" t="s">
        <v>45</v>
      </c>
      <c r="B103">
        <v>2010</v>
      </c>
      <c r="C103">
        <v>1.9173438577703907E-2</v>
      </c>
      <c r="D103">
        <v>0.1766574728060574</v>
      </c>
      <c r="E103">
        <v>0.13960710567542031</v>
      </c>
      <c r="F103">
        <v>0.33471422013478386</v>
      </c>
      <c r="G103">
        <v>0.80837797536982314</v>
      </c>
      <c r="H103">
        <v>15.694370080805626</v>
      </c>
      <c r="I103">
        <v>3.9439309043226609E-2</v>
      </c>
      <c r="J103">
        <v>2.5062957958519927E-2</v>
      </c>
      <c r="K103">
        <v>0</v>
      </c>
    </row>
    <row r="104" spans="1:11" x14ac:dyDescent="0.3">
      <c r="A104" t="s">
        <v>46</v>
      </c>
      <c r="B104">
        <v>2007</v>
      </c>
      <c r="C104">
        <v>1.6839052010872869E-3</v>
      </c>
      <c r="D104">
        <v>0.15001867146045558</v>
      </c>
      <c r="E104">
        <v>-0.4200613987094981</v>
      </c>
      <c r="F104">
        <v>0.1287974711026583</v>
      </c>
      <c r="G104">
        <v>0.92191323849968299</v>
      </c>
      <c r="H104">
        <v>14.649714494440319</v>
      </c>
      <c r="I104">
        <v>4.2965991427501432E-3</v>
      </c>
      <c r="J104">
        <v>0</v>
      </c>
      <c r="K104">
        <v>0</v>
      </c>
    </row>
    <row r="105" spans="1:11" x14ac:dyDescent="0.3">
      <c r="A105" t="s">
        <v>46</v>
      </c>
      <c r="B105">
        <v>2009</v>
      </c>
      <c r="C105">
        <v>2.9962202255283781E-3</v>
      </c>
      <c r="D105">
        <v>0.10995510977229356</v>
      </c>
      <c r="E105">
        <v>-6.659149578264606E-2</v>
      </c>
      <c r="F105">
        <v>0.90274059204147927</v>
      </c>
      <c r="G105">
        <v>0.98198788459224906</v>
      </c>
      <c r="H105">
        <v>14.749066583176603</v>
      </c>
      <c r="I105">
        <v>1.7754480358159672E-3</v>
      </c>
      <c r="J105">
        <v>0</v>
      </c>
      <c r="K105">
        <v>0</v>
      </c>
    </row>
    <row r="106" spans="1:11" x14ac:dyDescent="0.3">
      <c r="A106" t="s">
        <v>46</v>
      </c>
      <c r="B106">
        <v>2010</v>
      </c>
      <c r="C106">
        <v>7.8052220162785077E-3</v>
      </c>
      <c r="D106">
        <v>0.1093653799661536</v>
      </c>
      <c r="E106">
        <v>-9.2031589975018133E-2</v>
      </c>
      <c r="F106">
        <v>0.8206591989684906</v>
      </c>
      <c r="G106">
        <v>1.0252899105487951</v>
      </c>
      <c r="H106">
        <v>14.724494661322657</v>
      </c>
      <c r="I106">
        <v>1.9939866715038192E-2</v>
      </c>
      <c r="J106">
        <v>1.3150132968007091E-2</v>
      </c>
      <c r="K106">
        <v>0</v>
      </c>
    </row>
    <row r="107" spans="1:11" x14ac:dyDescent="0.3">
      <c r="A107" t="s">
        <v>47</v>
      </c>
      <c r="B107">
        <v>2009</v>
      </c>
      <c r="C107">
        <v>2.1242852178308532E-3</v>
      </c>
      <c r="D107">
        <v>7.6579155214355668E-2</v>
      </c>
      <c r="E107">
        <v>-6.7198685748586229E-2</v>
      </c>
      <c r="F107">
        <v>0.71474931286134014</v>
      </c>
      <c r="G107">
        <v>0.81305001105740382</v>
      </c>
      <c r="H107">
        <v>13.581464034678403</v>
      </c>
      <c r="I107">
        <v>3.5711044515436663E-2</v>
      </c>
      <c r="J107">
        <v>0</v>
      </c>
      <c r="K107">
        <v>0</v>
      </c>
    </row>
    <row r="108" spans="1:11" x14ac:dyDescent="0.3">
      <c r="A108" t="s">
        <v>47</v>
      </c>
      <c r="B108">
        <v>2010</v>
      </c>
      <c r="C108">
        <v>9.6729699984277398E-3</v>
      </c>
      <c r="D108">
        <v>0.171336992410274</v>
      </c>
      <c r="E108">
        <v>8.9347226391092438E-2</v>
      </c>
      <c r="F108">
        <v>0.53314966482283488</v>
      </c>
      <c r="G108">
        <v>0.69373930982566978</v>
      </c>
      <c r="H108">
        <v>13.640628459647802</v>
      </c>
      <c r="I108">
        <v>2.2744430712994465E-3</v>
      </c>
      <c r="J108">
        <v>0</v>
      </c>
      <c r="K108">
        <v>0</v>
      </c>
    </row>
    <row r="109" spans="1:11" x14ac:dyDescent="0.3">
      <c r="A109" t="s">
        <v>48</v>
      </c>
      <c r="B109">
        <v>2007</v>
      </c>
      <c r="C109">
        <v>2.3398938174846234E-3</v>
      </c>
      <c r="D109">
        <v>7.360694906385952E-2</v>
      </c>
      <c r="E109">
        <v>-0.11621350662085671</v>
      </c>
      <c r="F109">
        <v>0.58632909261881505</v>
      </c>
      <c r="G109">
        <v>0.99811354064902325</v>
      </c>
      <c r="H109">
        <v>13.211483529364267</v>
      </c>
      <c r="I109">
        <v>0</v>
      </c>
      <c r="J109">
        <v>0</v>
      </c>
      <c r="K109">
        <v>0</v>
      </c>
    </row>
    <row r="110" spans="1:11" x14ac:dyDescent="0.3">
      <c r="A110" t="s">
        <v>49</v>
      </c>
      <c r="B110">
        <v>2009</v>
      </c>
      <c r="C110">
        <v>1.2822331856380154E-2</v>
      </c>
      <c r="D110">
        <v>1.1338115526656101</v>
      </c>
      <c r="E110">
        <v>0.39109328317367914</v>
      </c>
      <c r="F110">
        <v>0</v>
      </c>
      <c r="G110">
        <v>0.52852918164902563</v>
      </c>
      <c r="H110">
        <v>13.108990355822229</v>
      </c>
      <c r="I110">
        <v>0.24621540012484716</v>
      </c>
      <c r="J110">
        <v>0</v>
      </c>
      <c r="K110">
        <v>0</v>
      </c>
    </row>
    <row r="111" spans="1:11" x14ac:dyDescent="0.3">
      <c r="A111" t="s">
        <v>50</v>
      </c>
      <c r="B111">
        <v>2007</v>
      </c>
      <c r="C111">
        <v>5.1780197495770286E-2</v>
      </c>
      <c r="D111">
        <v>0.24781006270981323</v>
      </c>
      <c r="E111">
        <v>-0.13942154731781001</v>
      </c>
      <c r="F111">
        <v>0.36662642613533308</v>
      </c>
      <c r="G111">
        <v>0.81628842053932227</v>
      </c>
      <c r="H111">
        <v>14.112085967204198</v>
      </c>
      <c r="I111">
        <v>6.9440695138441866E-3</v>
      </c>
      <c r="J111">
        <v>0</v>
      </c>
      <c r="K111">
        <v>0</v>
      </c>
    </row>
    <row r="112" spans="1:11" x14ac:dyDescent="0.3">
      <c r="A112" t="s">
        <v>50</v>
      </c>
      <c r="B112">
        <v>2009</v>
      </c>
      <c r="C112">
        <v>3.5010826217614421E-2</v>
      </c>
      <c r="D112">
        <v>2.7816380201275321E-2</v>
      </c>
      <c r="E112">
        <v>-2.1646478575406764E-2</v>
      </c>
      <c r="F112">
        <v>0.68961487257229148</v>
      </c>
      <c r="G112">
        <v>0.84875754335699116</v>
      </c>
      <c r="H112">
        <v>14.333586832119291</v>
      </c>
      <c r="I112">
        <v>1.2338998198251339E-2</v>
      </c>
      <c r="J112">
        <v>0</v>
      </c>
      <c r="K112">
        <v>0</v>
      </c>
    </row>
    <row r="113" spans="1:11" x14ac:dyDescent="0.3">
      <c r="A113" t="s">
        <v>50</v>
      </c>
      <c r="B113">
        <v>2010</v>
      </c>
      <c r="C113">
        <v>5.7912754067069604E-2</v>
      </c>
      <c r="D113">
        <v>6.65077725219234E-2</v>
      </c>
      <c r="E113">
        <v>1.1737095802708813E-3</v>
      </c>
      <c r="F113">
        <v>0.61028736482234358</v>
      </c>
      <c r="G113">
        <v>0.82060786008616948</v>
      </c>
      <c r="H113">
        <v>14.391068871515884</v>
      </c>
      <c r="I113">
        <v>3.0553028501879125E-3</v>
      </c>
      <c r="J113">
        <v>8.2339635671997945E-3</v>
      </c>
      <c r="K113">
        <v>0</v>
      </c>
    </row>
    <row r="114" spans="1:11" x14ac:dyDescent="0.3">
      <c r="A114" t="s">
        <v>51</v>
      </c>
      <c r="B114">
        <v>2007</v>
      </c>
      <c r="C114">
        <v>8.3446725406622416E-3</v>
      </c>
      <c r="D114">
        <v>2.9931591217383525E-2</v>
      </c>
      <c r="E114">
        <v>0.18947130123692502</v>
      </c>
      <c r="F114">
        <v>0.38021007331298351</v>
      </c>
      <c r="G114">
        <v>0.69202296178187572</v>
      </c>
      <c r="H114">
        <v>15.708502935989307</v>
      </c>
      <c r="I114">
        <v>8.0541248093492918E-4</v>
      </c>
      <c r="J114">
        <v>0</v>
      </c>
      <c r="K114">
        <v>0</v>
      </c>
    </row>
    <row r="115" spans="1:11" x14ac:dyDescent="0.3">
      <c r="A115" t="s">
        <v>51</v>
      </c>
      <c r="B115">
        <v>2009</v>
      </c>
      <c r="C115">
        <v>6.1235823404030103E-3</v>
      </c>
      <c r="D115">
        <v>1.3298680210574744E-2</v>
      </c>
      <c r="E115">
        <v>-2.3315079756725334E-2</v>
      </c>
      <c r="F115">
        <v>0.63353966967644793</v>
      </c>
      <c r="G115">
        <v>0.76933918689554026</v>
      </c>
      <c r="H115">
        <v>16.043058046830662</v>
      </c>
      <c r="I115">
        <v>9.6157745177649027E-3</v>
      </c>
      <c r="J115">
        <v>0</v>
      </c>
      <c r="K115">
        <v>0</v>
      </c>
    </row>
    <row r="116" spans="1:11" x14ac:dyDescent="0.3">
      <c r="A116" t="s">
        <v>51</v>
      </c>
      <c r="B116">
        <v>2010</v>
      </c>
      <c r="C116">
        <v>6.5766273437734644E-3</v>
      </c>
      <c r="D116">
        <v>4.2948605797009522E-2</v>
      </c>
      <c r="E116">
        <v>2.4244625123315044E-2</v>
      </c>
      <c r="F116">
        <v>0.61480076678486573</v>
      </c>
      <c r="G116">
        <v>0.74987465499616801</v>
      </c>
      <c r="H116">
        <v>16.069153065173303</v>
      </c>
      <c r="I116">
        <v>1.2894739343431716E-4</v>
      </c>
      <c r="J116">
        <v>1.9936238482107056E-3</v>
      </c>
      <c r="K116">
        <v>0</v>
      </c>
    </row>
    <row r="117" spans="1:11" x14ac:dyDescent="0.3">
      <c r="A117" t="s">
        <v>52</v>
      </c>
      <c r="B117">
        <v>2007</v>
      </c>
      <c r="C117">
        <v>2.6186382915720296E-2</v>
      </c>
      <c r="D117">
        <v>4.3320329654610613E-2</v>
      </c>
      <c r="E117">
        <v>-2.3727215912090531E-2</v>
      </c>
      <c r="F117">
        <v>0.36389743462694718</v>
      </c>
      <c r="G117">
        <v>0.78807843734064309</v>
      </c>
      <c r="H117">
        <v>15.036511261232755</v>
      </c>
      <c r="I117">
        <v>2.7660757821268839E-3</v>
      </c>
      <c r="J117">
        <v>0</v>
      </c>
      <c r="K117">
        <v>0</v>
      </c>
    </row>
    <row r="118" spans="1:11" x14ac:dyDescent="0.3">
      <c r="A118" t="s">
        <v>52</v>
      </c>
      <c r="B118">
        <v>2009</v>
      </c>
      <c r="C118">
        <v>3.7535724250393865E-2</v>
      </c>
      <c r="D118">
        <v>2.5317745078089291E-2</v>
      </c>
      <c r="E118">
        <v>-2.8509239647164099E-2</v>
      </c>
      <c r="F118">
        <v>0.68241202586481187</v>
      </c>
      <c r="G118">
        <v>0.80149449215447566</v>
      </c>
      <c r="H118">
        <v>15.271832954603907</v>
      </c>
      <c r="I118">
        <v>8.0488855587174616E-3</v>
      </c>
      <c r="J118">
        <v>0</v>
      </c>
      <c r="K118">
        <v>0</v>
      </c>
    </row>
    <row r="119" spans="1:11" x14ac:dyDescent="0.3">
      <c r="A119" t="s">
        <v>52</v>
      </c>
      <c r="B119">
        <v>2010</v>
      </c>
      <c r="C119">
        <v>9.2060806709169975E-3</v>
      </c>
      <c r="D119">
        <v>5.0645474175514411E-2</v>
      </c>
      <c r="E119">
        <v>-1.3890464747587171E-2</v>
      </c>
      <c r="F119">
        <v>0.66455849884264517</v>
      </c>
      <c r="G119">
        <v>0.78842548096556453</v>
      </c>
      <c r="H119">
        <v>15.326267375438169</v>
      </c>
      <c r="I119">
        <v>5.3349552731772332E-3</v>
      </c>
      <c r="J119">
        <v>4.0883783744408032E-3</v>
      </c>
      <c r="K119">
        <v>0</v>
      </c>
    </row>
    <row r="120" spans="1:11" x14ac:dyDescent="0.3">
      <c r="A120" t="s">
        <v>53</v>
      </c>
      <c r="B120">
        <v>2007</v>
      </c>
      <c r="C120">
        <v>6.266181702179777E-3</v>
      </c>
      <c r="D120">
        <v>0.15333346625233912</v>
      </c>
      <c r="E120">
        <v>-0.12622938212600152</v>
      </c>
      <c r="F120">
        <v>0.22865866684136021</v>
      </c>
      <c r="G120">
        <v>0.58774050032612624</v>
      </c>
      <c r="H120">
        <v>12.768800728105388</v>
      </c>
      <c r="I120">
        <v>2.0236523565554117E-2</v>
      </c>
      <c r="J120">
        <v>0</v>
      </c>
      <c r="K120">
        <v>0</v>
      </c>
    </row>
    <row r="121" spans="1:11" x14ac:dyDescent="0.3">
      <c r="A121" t="s">
        <v>53</v>
      </c>
      <c r="B121">
        <v>2009</v>
      </c>
      <c r="C121">
        <v>2.6088764569496153E-3</v>
      </c>
      <c r="D121">
        <v>8.3601740297137295E-2</v>
      </c>
      <c r="E121">
        <v>-6.1934334775734699E-2</v>
      </c>
      <c r="F121">
        <v>0.34680402826217444</v>
      </c>
      <c r="G121">
        <v>0.5782859093209467</v>
      </c>
      <c r="H121">
        <v>12.44862266724941</v>
      </c>
      <c r="I121">
        <v>1.0555059600675371E-2</v>
      </c>
      <c r="J121">
        <v>0</v>
      </c>
      <c r="K121">
        <v>0</v>
      </c>
    </row>
    <row r="122" spans="1:11" x14ac:dyDescent="0.3">
      <c r="A122" t="s">
        <v>53</v>
      </c>
      <c r="B122">
        <v>2010</v>
      </c>
      <c r="C122">
        <v>1.4262602010597574E-2</v>
      </c>
      <c r="D122">
        <v>4.5510738689891757E-2</v>
      </c>
      <c r="E122">
        <v>-6.5517337329617953E-2</v>
      </c>
      <c r="F122">
        <v>0.34624573175336987</v>
      </c>
      <c r="G122">
        <v>0.52342890760711858</v>
      </c>
      <c r="H122">
        <v>12.435464634633785</v>
      </c>
      <c r="I122">
        <v>1.150483349536564E-2</v>
      </c>
      <c r="J122">
        <v>0</v>
      </c>
      <c r="K122">
        <v>0</v>
      </c>
    </row>
    <row r="123" spans="1:11" x14ac:dyDescent="0.3">
      <c r="A123" t="s">
        <v>54</v>
      </c>
      <c r="B123">
        <v>2007</v>
      </c>
      <c r="C123">
        <v>6.0071314464433763E-2</v>
      </c>
      <c r="D123">
        <v>0.148702117190291</v>
      </c>
      <c r="E123">
        <v>-0.72466078445910875</v>
      </c>
      <c r="F123">
        <v>0.11854176075277877</v>
      </c>
      <c r="G123">
        <v>0.95721132133974129</v>
      </c>
      <c r="H123">
        <v>13.293671171435118</v>
      </c>
      <c r="I123">
        <v>1.6732804369852545E-2</v>
      </c>
      <c r="J123">
        <v>0</v>
      </c>
      <c r="K123">
        <v>0</v>
      </c>
    </row>
    <row r="124" spans="1:11" x14ac:dyDescent="0.3">
      <c r="A124" t="s">
        <v>54</v>
      </c>
      <c r="B124">
        <v>2009</v>
      </c>
      <c r="C124">
        <v>1.578474836967491E-3</v>
      </c>
      <c r="D124">
        <v>0.14147950697020525</v>
      </c>
      <c r="E124">
        <v>-0.14946931787337403</v>
      </c>
      <c r="F124">
        <v>0.86518377261053847</v>
      </c>
      <c r="G124">
        <v>1.1955453324332035</v>
      </c>
      <c r="H124">
        <v>13.484802675484888</v>
      </c>
      <c r="I124">
        <v>2.5876200214319561E-2</v>
      </c>
      <c r="J124">
        <v>0</v>
      </c>
      <c r="K124">
        <v>0</v>
      </c>
    </row>
    <row r="125" spans="1:11" x14ac:dyDescent="0.3">
      <c r="A125" t="s">
        <v>54</v>
      </c>
      <c r="B125">
        <v>2010</v>
      </c>
      <c r="C125">
        <v>1.4188220938976461E-3</v>
      </c>
      <c r="D125">
        <v>7.0023126800130536E-2</v>
      </c>
      <c r="E125">
        <v>-0.14669769157645324</v>
      </c>
      <c r="F125">
        <v>0.90697492941360081</v>
      </c>
      <c r="G125">
        <v>1.2270162171365333</v>
      </c>
      <c r="H125">
        <v>13.465683541925699</v>
      </c>
      <c r="I125">
        <v>9.7258360437317698E-3</v>
      </c>
      <c r="J125">
        <v>0</v>
      </c>
      <c r="K125">
        <v>0</v>
      </c>
    </row>
    <row r="126" spans="1:11" x14ac:dyDescent="0.3">
      <c r="A126" t="s">
        <v>55</v>
      </c>
      <c r="B126">
        <v>2007</v>
      </c>
      <c r="C126">
        <v>2.3945823709090029E-3</v>
      </c>
      <c r="D126">
        <v>5.0328611777954703E-2</v>
      </c>
      <c r="E126">
        <v>-1.1201378020095116</v>
      </c>
      <c r="F126">
        <v>0.38672051197442547</v>
      </c>
      <c r="G126">
        <v>1.5793769242179767</v>
      </c>
      <c r="H126">
        <v>12.707844406495409</v>
      </c>
      <c r="I126">
        <v>1.6221337478277299E-3</v>
      </c>
      <c r="J126">
        <v>0</v>
      </c>
      <c r="K126">
        <v>0</v>
      </c>
    </row>
    <row r="127" spans="1:11" x14ac:dyDescent="0.3">
      <c r="A127" t="s">
        <v>56</v>
      </c>
      <c r="B127">
        <v>2009</v>
      </c>
      <c r="C127">
        <v>6.4429747401843307E-4</v>
      </c>
      <c r="D127">
        <v>3.5055505290047334E-2</v>
      </c>
      <c r="E127">
        <v>0.10326026361929419</v>
      </c>
      <c r="F127">
        <v>0.61581025094054609</v>
      </c>
      <c r="G127">
        <v>0.85708714888007675</v>
      </c>
      <c r="H127">
        <v>14.522074332169042</v>
      </c>
      <c r="I127">
        <v>2.4473443904587892E-2</v>
      </c>
      <c r="J127">
        <v>0</v>
      </c>
      <c r="K127">
        <v>0</v>
      </c>
    </row>
    <row r="128" spans="1:11" x14ac:dyDescent="0.3">
      <c r="A128" t="s">
        <v>56</v>
      </c>
      <c r="B128">
        <v>2010</v>
      </c>
      <c r="C128">
        <v>4.5374676387699838E-3</v>
      </c>
      <c r="D128">
        <v>0.11613916126614275</v>
      </c>
      <c r="E128">
        <v>9.9340255450234144E-2</v>
      </c>
      <c r="F128">
        <v>0.69423363036890851</v>
      </c>
      <c r="G128">
        <v>0.90916552238475024</v>
      </c>
      <c r="H128">
        <v>14.430182010829371</v>
      </c>
      <c r="I128">
        <v>2.3342296268798052E-3</v>
      </c>
      <c r="J128">
        <v>0</v>
      </c>
      <c r="K128">
        <v>0</v>
      </c>
    </row>
    <row r="129" spans="1:11" x14ac:dyDescent="0.3">
      <c r="A129" t="s">
        <v>57</v>
      </c>
      <c r="B129">
        <v>2007</v>
      </c>
      <c r="C129">
        <v>8.7465429657221511E-3</v>
      </c>
      <c r="D129">
        <v>0.10731473765081834</v>
      </c>
      <c r="E129">
        <v>-0.25044816182988777</v>
      </c>
      <c r="F129">
        <v>0.4208781316726436</v>
      </c>
      <c r="G129">
        <v>0.82184100511585401</v>
      </c>
      <c r="H129">
        <v>13.970415524674214</v>
      </c>
      <c r="I129">
        <v>2.4807448767315127E-2</v>
      </c>
      <c r="J129">
        <v>0</v>
      </c>
      <c r="K129">
        <v>0</v>
      </c>
    </row>
    <row r="130" spans="1:11" x14ac:dyDescent="0.3">
      <c r="A130" t="s">
        <v>57</v>
      </c>
      <c r="B130">
        <v>2008</v>
      </c>
      <c r="C130">
        <v>1.1360403641713524E-2</v>
      </c>
      <c r="D130">
        <v>0.1926377073391024</v>
      </c>
      <c r="E130">
        <v>-0.37771370468396015</v>
      </c>
      <c r="F130">
        <v>0.43719058156816759</v>
      </c>
      <c r="G130">
        <v>0.93278443493258401</v>
      </c>
      <c r="H130">
        <v>13.878582066064226</v>
      </c>
      <c r="I130">
        <v>4.0563358513548461E-2</v>
      </c>
      <c r="J130">
        <v>0</v>
      </c>
      <c r="K130">
        <v>0</v>
      </c>
    </row>
    <row r="131" spans="1:11" x14ac:dyDescent="0.3">
      <c r="A131" t="s">
        <v>57</v>
      </c>
      <c r="B131">
        <v>2009</v>
      </c>
      <c r="C131">
        <v>4.0568591376739117E-3</v>
      </c>
      <c r="D131">
        <v>4.8683681603097315E-2</v>
      </c>
      <c r="E131">
        <v>-0.14880729438913196</v>
      </c>
      <c r="F131">
        <v>0.56628032526214556</v>
      </c>
      <c r="G131">
        <v>0.79590088477120657</v>
      </c>
      <c r="H131">
        <v>14.19242391658301</v>
      </c>
      <c r="I131">
        <v>1.4009936970480483E-2</v>
      </c>
      <c r="J131">
        <v>0</v>
      </c>
      <c r="K131">
        <v>0</v>
      </c>
    </row>
    <row r="132" spans="1:11" x14ac:dyDescent="0.3">
      <c r="A132" t="s">
        <v>57</v>
      </c>
      <c r="B132">
        <v>2010</v>
      </c>
      <c r="C132">
        <v>4.4244136729075052E-3</v>
      </c>
      <c r="D132">
        <v>0.10509303355693039</v>
      </c>
      <c r="E132">
        <v>-0.25660151760356442</v>
      </c>
      <c r="F132">
        <v>0.59425094017885838</v>
      </c>
      <c r="G132">
        <v>0.88579251504720435</v>
      </c>
      <c r="H132">
        <v>14.138790442628046</v>
      </c>
      <c r="I132">
        <v>1.221315913128615E-3</v>
      </c>
      <c r="J132">
        <v>0</v>
      </c>
      <c r="K132">
        <v>0</v>
      </c>
    </row>
    <row r="133" spans="1:11" x14ac:dyDescent="0.3">
      <c r="A133" t="s">
        <v>58</v>
      </c>
      <c r="B133">
        <v>2007</v>
      </c>
      <c r="C133">
        <v>5.3909963115743968E-2</v>
      </c>
      <c r="D133">
        <v>7.7894963791204822E-2</v>
      </c>
      <c r="E133">
        <v>-0.16868508923588321</v>
      </c>
      <c r="F133">
        <v>0.11858090451712737</v>
      </c>
      <c r="G133">
        <v>0.90332449548532889</v>
      </c>
      <c r="H133">
        <v>13.504673124079206</v>
      </c>
      <c r="I133">
        <v>1.295807446988053E-2</v>
      </c>
      <c r="J133">
        <v>0</v>
      </c>
      <c r="K133">
        <v>0</v>
      </c>
    </row>
    <row r="134" spans="1:11" x14ac:dyDescent="0.3">
      <c r="A134" t="s">
        <v>58</v>
      </c>
      <c r="B134">
        <v>2009</v>
      </c>
      <c r="C134">
        <v>4.4026321228684247E-3</v>
      </c>
      <c r="D134">
        <v>7.0642049392155778E-2</v>
      </c>
      <c r="E134">
        <v>-0.10329501687968345</v>
      </c>
      <c r="F134">
        <v>0.85008220318032424</v>
      </c>
      <c r="G134">
        <v>0.98014614198927652</v>
      </c>
      <c r="H134">
        <v>13.514728386008782</v>
      </c>
      <c r="I134">
        <v>3.1502310701827393E-2</v>
      </c>
      <c r="J134">
        <v>0</v>
      </c>
      <c r="K134">
        <v>0</v>
      </c>
    </row>
    <row r="135" spans="1:11" x14ac:dyDescent="0.3">
      <c r="A135" t="s">
        <v>58</v>
      </c>
      <c r="B135">
        <v>2010</v>
      </c>
      <c r="C135">
        <v>3.4617574346296275E-2</v>
      </c>
      <c r="D135">
        <v>0.15366012535519014</v>
      </c>
      <c r="E135">
        <v>-6.4279156365725301E-2</v>
      </c>
      <c r="F135">
        <v>0.69500964270693355</v>
      </c>
      <c r="G135">
        <v>0.93334094149749192</v>
      </c>
      <c r="H135">
        <v>13.566874824489123</v>
      </c>
      <c r="I135">
        <v>3.8213462733719929E-2</v>
      </c>
      <c r="J135">
        <v>0</v>
      </c>
      <c r="K135">
        <v>0</v>
      </c>
    </row>
    <row r="136" spans="1:11" x14ac:dyDescent="0.3">
      <c r="A136" t="s">
        <v>59</v>
      </c>
      <c r="B136">
        <v>2007</v>
      </c>
      <c r="C136">
        <v>3.7343753114969798E-2</v>
      </c>
      <c r="D136">
        <v>4.4957522491861919E-2</v>
      </c>
      <c r="E136">
        <v>-0.11437343183520493</v>
      </c>
      <c r="F136">
        <v>0.17792137887431045</v>
      </c>
      <c r="G136">
        <v>0.74258931953395779</v>
      </c>
      <c r="H136">
        <v>14.378341172801639</v>
      </c>
      <c r="I136">
        <v>2.8266810686927712E-4</v>
      </c>
      <c r="J136">
        <v>0</v>
      </c>
      <c r="K136">
        <v>0</v>
      </c>
    </row>
    <row r="137" spans="1:11" x14ac:dyDescent="0.3">
      <c r="A137" t="s">
        <v>59</v>
      </c>
      <c r="B137">
        <v>2008</v>
      </c>
      <c r="C137">
        <v>5.1307085500017689E-2</v>
      </c>
      <c r="D137">
        <v>4.5494559916718462E-2</v>
      </c>
      <c r="E137">
        <v>-3.0610512272403391E-2</v>
      </c>
      <c r="F137">
        <v>0.22029482067686462</v>
      </c>
      <c r="G137">
        <v>0.72762592036708562</v>
      </c>
      <c r="H137">
        <v>14.498016318924225</v>
      </c>
      <c r="I137">
        <v>2.2756764733858677E-3</v>
      </c>
      <c r="J137">
        <v>0</v>
      </c>
      <c r="K137">
        <v>0</v>
      </c>
    </row>
    <row r="138" spans="1:11" x14ac:dyDescent="0.3">
      <c r="A138" t="s">
        <v>59</v>
      </c>
      <c r="B138">
        <v>2009</v>
      </c>
      <c r="C138">
        <v>1.6869508887443256E-2</v>
      </c>
      <c r="D138">
        <v>4.4753166766503004E-2</v>
      </c>
      <c r="E138">
        <v>8.5062748917191372E-3</v>
      </c>
      <c r="F138">
        <v>0.48163349414929851</v>
      </c>
      <c r="G138">
        <v>0.71388440432235611</v>
      </c>
      <c r="H138">
        <v>14.416900389934099</v>
      </c>
      <c r="I138">
        <v>7.3957001103907337E-3</v>
      </c>
      <c r="J138">
        <v>0</v>
      </c>
      <c r="K138">
        <v>0</v>
      </c>
    </row>
    <row r="139" spans="1:11" x14ac:dyDescent="0.3">
      <c r="A139" t="s">
        <v>59</v>
      </c>
      <c r="B139">
        <v>2010</v>
      </c>
      <c r="C139">
        <v>2.5078811813934451E-2</v>
      </c>
      <c r="D139">
        <v>6.4257753819760427E-2</v>
      </c>
      <c r="E139">
        <v>3.6838535929043244E-2</v>
      </c>
      <c r="F139">
        <v>0.41243561161886433</v>
      </c>
      <c r="G139">
        <v>0.63945255180461635</v>
      </c>
      <c r="H139">
        <v>14.42380112926336</v>
      </c>
      <c r="I139">
        <v>9.5045313440088198E-3</v>
      </c>
      <c r="J139">
        <v>9.8231741566918197E-3</v>
      </c>
      <c r="K139">
        <v>0</v>
      </c>
    </row>
    <row r="140" spans="1:11" x14ac:dyDescent="0.3">
      <c r="A140" t="s">
        <v>60</v>
      </c>
      <c r="B140">
        <v>2007</v>
      </c>
      <c r="C140">
        <v>6.1631336224883156E-3</v>
      </c>
      <c r="D140">
        <v>0.13020622229324169</v>
      </c>
      <c r="E140">
        <v>0.10122937997756602</v>
      </c>
      <c r="F140">
        <v>0.1737240022724236</v>
      </c>
      <c r="G140">
        <v>0.89810262802469265</v>
      </c>
      <c r="H140">
        <v>15.715169267559782</v>
      </c>
      <c r="I140">
        <v>2.076829954232106E-2</v>
      </c>
      <c r="J140">
        <v>0</v>
      </c>
      <c r="K140">
        <v>0</v>
      </c>
    </row>
    <row r="141" spans="1:11" x14ac:dyDescent="0.3">
      <c r="A141" t="s">
        <v>60</v>
      </c>
      <c r="B141">
        <v>2009</v>
      </c>
      <c r="C141">
        <v>9.3798086347410478E-3</v>
      </c>
      <c r="D141">
        <v>8.1755799667456663E-2</v>
      </c>
      <c r="E141">
        <v>6.2272652446779186E-3</v>
      </c>
      <c r="F141">
        <v>0.53997180476694062</v>
      </c>
      <c r="G141">
        <v>1.1444467786231112</v>
      </c>
      <c r="H141">
        <v>15.780060473581276</v>
      </c>
      <c r="I141">
        <v>8.0007544573702613E-2</v>
      </c>
      <c r="J141">
        <v>3.8014768424143352E-3</v>
      </c>
      <c r="K141">
        <v>0</v>
      </c>
    </row>
    <row r="142" spans="1:11" x14ac:dyDescent="0.3">
      <c r="A142" t="s">
        <v>60</v>
      </c>
      <c r="B142">
        <v>2010</v>
      </c>
      <c r="C142">
        <v>9.9808058101580645E-3</v>
      </c>
      <c r="D142">
        <v>0.32940333461044846</v>
      </c>
      <c r="E142">
        <v>0.13554057630983668</v>
      </c>
      <c r="F142">
        <v>0.25593141675771935</v>
      </c>
      <c r="G142">
        <v>1.2336404221194415</v>
      </c>
      <c r="H142">
        <v>15.752829767489498</v>
      </c>
      <c r="I142">
        <v>9.189348794247626E-3</v>
      </c>
      <c r="J142">
        <v>1.3021242713203415E-2</v>
      </c>
      <c r="K142">
        <v>0</v>
      </c>
    </row>
    <row r="143" spans="1:11" x14ac:dyDescent="0.3">
      <c r="A143" t="s">
        <v>61</v>
      </c>
      <c r="B143">
        <v>2007</v>
      </c>
      <c r="C143">
        <v>4.5367156327943754E-2</v>
      </c>
      <c r="D143">
        <v>3.7318891636985069E-2</v>
      </c>
      <c r="E143">
        <v>-5.6606742457023719E-2</v>
      </c>
      <c r="F143">
        <v>0.37633791258995974</v>
      </c>
      <c r="G143">
        <v>0.83083882606775328</v>
      </c>
      <c r="H143">
        <v>14.512778735539772</v>
      </c>
      <c r="I143">
        <v>2.0878861817615751E-4</v>
      </c>
      <c r="J143">
        <v>0</v>
      </c>
      <c r="K143">
        <v>0</v>
      </c>
    </row>
    <row r="144" spans="1:11" x14ac:dyDescent="0.3">
      <c r="A144" t="s">
        <v>61</v>
      </c>
      <c r="B144">
        <v>2009</v>
      </c>
      <c r="C144">
        <v>4.846197139756734E-3</v>
      </c>
      <c r="D144">
        <v>4.2607056670391788E-2</v>
      </c>
      <c r="E144">
        <v>-4.5450496412548788E-4</v>
      </c>
      <c r="F144">
        <v>0.67286625609380823</v>
      </c>
      <c r="G144">
        <v>0.80223922145020488</v>
      </c>
      <c r="H144">
        <v>14.496471790540296</v>
      </c>
      <c r="I144">
        <v>1.3486661991625737E-2</v>
      </c>
      <c r="J144">
        <v>0</v>
      </c>
      <c r="K144">
        <v>0</v>
      </c>
    </row>
    <row r="145" spans="1:11" x14ac:dyDescent="0.3">
      <c r="A145" t="s">
        <v>61</v>
      </c>
      <c r="B145">
        <v>2010</v>
      </c>
      <c r="C145">
        <v>6.286451415421784E-3</v>
      </c>
      <c r="D145">
        <v>8.5262559511120592E-2</v>
      </c>
      <c r="E145">
        <v>4.4391059803551812E-2</v>
      </c>
      <c r="F145">
        <v>0.56480822524310048</v>
      </c>
      <c r="G145">
        <v>0.77708093512399634</v>
      </c>
      <c r="H145">
        <v>14.41954779745215</v>
      </c>
      <c r="I145">
        <v>1.1535701026417926E-2</v>
      </c>
      <c r="J145">
        <v>4.2241280356820751E-3</v>
      </c>
      <c r="K145">
        <v>0</v>
      </c>
    </row>
    <row r="146" spans="1:11" x14ac:dyDescent="0.3">
      <c r="A146" t="s">
        <v>62</v>
      </c>
      <c r="B146">
        <v>2007</v>
      </c>
      <c r="C146">
        <v>1.4107029149749493E-3</v>
      </c>
      <c r="D146">
        <v>5.4659107428405289E-2</v>
      </c>
      <c r="E146">
        <v>-0.31718088733008604</v>
      </c>
      <c r="F146">
        <v>0.1854634128363728</v>
      </c>
      <c r="G146">
        <v>0.81342583777121225</v>
      </c>
      <c r="H146">
        <v>13.098908448567329</v>
      </c>
      <c r="I146">
        <v>3.7808941987230449E-3</v>
      </c>
      <c r="J146">
        <v>0</v>
      </c>
      <c r="K146">
        <v>0</v>
      </c>
    </row>
    <row r="147" spans="1:11" x14ac:dyDescent="0.3">
      <c r="A147" t="s">
        <v>63</v>
      </c>
      <c r="B147">
        <v>2007</v>
      </c>
      <c r="C147">
        <v>2.6621358619187706E-2</v>
      </c>
      <c r="D147">
        <v>5.2440723315553495E-2</v>
      </c>
      <c r="E147">
        <v>-7.2612714138714993E-2</v>
      </c>
      <c r="F147">
        <v>0.39841122238392696</v>
      </c>
      <c r="G147">
        <v>0.79688582072439873</v>
      </c>
      <c r="H147">
        <v>13.673759187989676</v>
      </c>
      <c r="I147">
        <v>2.2317591700902334E-4</v>
      </c>
      <c r="J147">
        <v>1.4403626487462507E-3</v>
      </c>
      <c r="K147">
        <v>0</v>
      </c>
    </row>
    <row r="148" spans="1:11" x14ac:dyDescent="0.3">
      <c r="A148" t="s">
        <v>63</v>
      </c>
      <c r="B148">
        <v>2009</v>
      </c>
      <c r="C148">
        <v>8.3630802210097124E-3</v>
      </c>
      <c r="D148">
        <v>-9.0674468238472361E-2</v>
      </c>
      <c r="E148">
        <v>-5.7630350914031236E-2</v>
      </c>
      <c r="F148">
        <v>0.52399625800345362</v>
      </c>
      <c r="G148">
        <v>0.76238165230772126</v>
      </c>
      <c r="H148">
        <v>14.059494629150326</v>
      </c>
      <c r="I148">
        <v>9.8639443622771009E-2</v>
      </c>
      <c r="J148">
        <v>0</v>
      </c>
      <c r="K148">
        <v>0</v>
      </c>
    </row>
    <row r="149" spans="1:11" x14ac:dyDescent="0.3">
      <c r="A149" t="s">
        <v>63</v>
      </c>
      <c r="B149">
        <v>2010</v>
      </c>
      <c r="C149">
        <v>2.3298586558330309E-2</v>
      </c>
      <c r="D149">
        <v>0.22201175221163563</v>
      </c>
      <c r="E149">
        <v>4.8092150967033301E-2</v>
      </c>
      <c r="F149">
        <v>0.28192798021838211</v>
      </c>
      <c r="G149">
        <v>0.60759093857104962</v>
      </c>
      <c r="H149">
        <v>13.935164730839933</v>
      </c>
      <c r="I149">
        <v>5.3897906641391789E-2</v>
      </c>
      <c r="J149">
        <v>2.218068027259169E-3</v>
      </c>
      <c r="K149">
        <v>0</v>
      </c>
    </row>
    <row r="150" spans="1:11" x14ac:dyDescent="0.3">
      <c r="A150" t="s">
        <v>64</v>
      </c>
      <c r="B150">
        <v>2007</v>
      </c>
      <c r="C150">
        <v>4.4362834171751367E-2</v>
      </c>
      <c r="D150">
        <v>7.1285723090394007E-2</v>
      </c>
      <c r="E150">
        <v>-0.44963434772351968</v>
      </c>
      <c r="F150">
        <v>0</v>
      </c>
      <c r="G150">
        <v>0.83794877680227997</v>
      </c>
      <c r="H150">
        <v>13.061612872664972</v>
      </c>
      <c r="I150">
        <v>1.7939402264534478E-2</v>
      </c>
      <c r="J150">
        <v>0</v>
      </c>
      <c r="K150">
        <v>0</v>
      </c>
    </row>
    <row r="151" spans="1:11" x14ac:dyDescent="0.3">
      <c r="A151" t="s">
        <v>64</v>
      </c>
      <c r="B151">
        <v>2008</v>
      </c>
      <c r="C151">
        <v>3.4906071701492257E-2</v>
      </c>
      <c r="D151">
        <v>0.16678309056216334</v>
      </c>
      <c r="E151">
        <v>-0.47970942470968259</v>
      </c>
      <c r="F151">
        <v>0</v>
      </c>
      <c r="G151">
        <v>0.91963703873868385</v>
      </c>
      <c r="H151">
        <v>12.963606773240933</v>
      </c>
      <c r="I151">
        <v>4.551114799262769E-3</v>
      </c>
      <c r="J151">
        <v>0</v>
      </c>
      <c r="K151">
        <v>0</v>
      </c>
    </row>
    <row r="152" spans="1:11" x14ac:dyDescent="0.3">
      <c r="A152" t="s">
        <v>64</v>
      </c>
      <c r="B152">
        <v>2009</v>
      </c>
      <c r="C152">
        <v>2.7347896609608138E-2</v>
      </c>
      <c r="D152">
        <v>0.19321298862320707</v>
      </c>
      <c r="E152">
        <v>-3.705737651551394E-2</v>
      </c>
      <c r="F152">
        <v>0.54438760923164897</v>
      </c>
      <c r="G152">
        <v>0.8575907751448637</v>
      </c>
      <c r="H152">
        <v>12.774968101001971</v>
      </c>
      <c r="I152">
        <v>3.0137490440971793E-2</v>
      </c>
      <c r="J152">
        <v>0</v>
      </c>
      <c r="K152">
        <v>0</v>
      </c>
    </row>
    <row r="153" spans="1:11" x14ac:dyDescent="0.3">
      <c r="A153" t="s">
        <v>64</v>
      </c>
      <c r="B153">
        <v>2010</v>
      </c>
      <c r="C153">
        <v>5.821596497282374E-2</v>
      </c>
      <c r="D153">
        <v>7.6794495729445258E-2</v>
      </c>
      <c r="E153">
        <v>-7.1553360365801053E-3</v>
      </c>
      <c r="F153">
        <v>0.51219696316107322</v>
      </c>
      <c r="G153">
        <v>0.91132371020619451</v>
      </c>
      <c r="H153">
        <v>12.823720116688472</v>
      </c>
      <c r="I153">
        <v>6.0540763987603219E-3</v>
      </c>
      <c r="J153">
        <v>0</v>
      </c>
      <c r="K153">
        <v>0</v>
      </c>
    </row>
    <row r="154" spans="1:11" x14ac:dyDescent="0.3">
      <c r="A154" t="s">
        <v>65</v>
      </c>
      <c r="B154">
        <v>2007</v>
      </c>
      <c r="C154">
        <v>7.0450260340984413E-3</v>
      </c>
      <c r="D154">
        <v>3.130892031146431E-2</v>
      </c>
      <c r="E154">
        <v>-0.30673135702290744</v>
      </c>
      <c r="F154">
        <v>0.206647177479968</v>
      </c>
      <c r="G154">
        <v>0.71133431733683417</v>
      </c>
      <c r="H154">
        <v>14.149847659663473</v>
      </c>
      <c r="I154">
        <v>2.229753494149939E-3</v>
      </c>
      <c r="J154">
        <v>0</v>
      </c>
      <c r="K154">
        <v>0</v>
      </c>
    </row>
    <row r="155" spans="1:11" x14ac:dyDescent="0.3">
      <c r="A155" t="s">
        <v>65</v>
      </c>
      <c r="B155">
        <v>2009</v>
      </c>
      <c r="C155">
        <v>3.9024448817183968E-3</v>
      </c>
      <c r="D155">
        <v>3.6694989410865908E-2</v>
      </c>
      <c r="E155">
        <v>-3.9591053795202696E-2</v>
      </c>
      <c r="F155">
        <v>0.49611181405150329</v>
      </c>
      <c r="G155">
        <v>0.71715304638355926</v>
      </c>
      <c r="H155">
        <v>14.102565934082923</v>
      </c>
      <c r="I155">
        <v>2.9496544182393298E-2</v>
      </c>
      <c r="J155">
        <v>0</v>
      </c>
      <c r="K155">
        <v>0</v>
      </c>
    </row>
    <row r="156" spans="1:11" x14ac:dyDescent="0.3">
      <c r="A156" t="s">
        <v>65</v>
      </c>
      <c r="B156">
        <v>2010</v>
      </c>
      <c r="C156">
        <v>1.8927552228016089E-2</v>
      </c>
      <c r="D156">
        <v>0.12702373645392068</v>
      </c>
      <c r="E156">
        <v>9.5434987720388643E-3</v>
      </c>
      <c r="F156">
        <v>0.39032135971250309</v>
      </c>
      <c r="G156">
        <v>0.62140174104997059</v>
      </c>
      <c r="H156">
        <v>14.071685709322619</v>
      </c>
      <c r="I156">
        <v>4.7187677523224336E-2</v>
      </c>
      <c r="J156">
        <v>2.7090223602705618E-2</v>
      </c>
      <c r="K156">
        <v>0</v>
      </c>
    </row>
    <row r="157" spans="1:11" x14ac:dyDescent="0.3">
      <c r="A157" t="s">
        <v>66</v>
      </c>
      <c r="B157">
        <v>2007</v>
      </c>
      <c r="C157">
        <v>2.3125211281882648E-3</v>
      </c>
      <c r="D157">
        <v>2.7354486499542394E-2</v>
      </c>
      <c r="E157">
        <v>-0.13623407292298695</v>
      </c>
      <c r="F157">
        <v>0.23536789601803068</v>
      </c>
      <c r="G157">
        <v>0.6245235396511527</v>
      </c>
      <c r="H157">
        <v>14.539099160850773</v>
      </c>
      <c r="I157">
        <v>1.3784294691785628E-3</v>
      </c>
      <c r="J157">
        <v>0</v>
      </c>
      <c r="K157">
        <v>0</v>
      </c>
    </row>
    <row r="158" spans="1:11" x14ac:dyDescent="0.3">
      <c r="A158" t="s">
        <v>66</v>
      </c>
      <c r="B158">
        <v>2009</v>
      </c>
      <c r="C158">
        <v>1.6067990307618311E-3</v>
      </c>
      <c r="D158">
        <v>0.10253825693915153</v>
      </c>
      <c r="E158">
        <v>-0.11938410588992744</v>
      </c>
      <c r="F158">
        <v>0.4457458769192954</v>
      </c>
      <c r="G158">
        <v>0.59487144343354292</v>
      </c>
      <c r="H158">
        <v>14.497203892959057</v>
      </c>
      <c r="I158">
        <v>3.1051976592789757E-3</v>
      </c>
      <c r="J158">
        <v>0</v>
      </c>
      <c r="K158">
        <v>0</v>
      </c>
    </row>
    <row r="159" spans="1:11" x14ac:dyDescent="0.3">
      <c r="A159" t="s">
        <v>66</v>
      </c>
      <c r="B159">
        <v>2010</v>
      </c>
      <c r="C159">
        <v>2.3926752235822069E-3</v>
      </c>
      <c r="D159">
        <v>9.3241530952219293E-2</v>
      </c>
      <c r="E159">
        <v>-4.0492244869245408E-2</v>
      </c>
      <c r="F159">
        <v>0.29256528322321573</v>
      </c>
      <c r="G159">
        <v>0.46883877949841346</v>
      </c>
      <c r="H159">
        <v>14.709540138848043</v>
      </c>
      <c r="I159">
        <v>1.316776511744481E-2</v>
      </c>
      <c r="J159">
        <v>0</v>
      </c>
      <c r="K159">
        <v>0</v>
      </c>
    </row>
    <row r="160" spans="1:11" x14ac:dyDescent="0.3">
      <c r="A160" t="s">
        <v>67</v>
      </c>
      <c r="B160">
        <v>2007</v>
      </c>
      <c r="C160">
        <v>7.1160188317054944E-3</v>
      </c>
      <c r="D160">
        <v>4.4034822284360862E-2</v>
      </c>
      <c r="E160">
        <v>-0.28202010440348224</v>
      </c>
      <c r="F160">
        <v>8.8177903111244897E-3</v>
      </c>
      <c r="G160">
        <v>0.83713974329523166</v>
      </c>
      <c r="H160">
        <v>13.5377075266959</v>
      </c>
      <c r="I160">
        <v>7.1491426216040488E-2</v>
      </c>
      <c r="J160">
        <v>0</v>
      </c>
      <c r="K160">
        <v>0</v>
      </c>
    </row>
    <row r="161" spans="1:11" x14ac:dyDescent="0.3">
      <c r="A161" t="s">
        <v>67</v>
      </c>
      <c r="B161">
        <v>2008</v>
      </c>
      <c r="C161">
        <v>6.6400834304643887E-3</v>
      </c>
      <c r="D161">
        <v>0.24620698116679959</v>
      </c>
      <c r="E161">
        <v>-0.18851481504202197</v>
      </c>
      <c r="F161">
        <v>0</v>
      </c>
      <c r="G161">
        <v>0.57611189497576831</v>
      </c>
      <c r="H161">
        <v>13.611004740034435</v>
      </c>
      <c r="I161">
        <v>6.8238550032509504E-2</v>
      </c>
      <c r="J161">
        <v>0</v>
      </c>
      <c r="K161">
        <v>0</v>
      </c>
    </row>
    <row r="162" spans="1:11" x14ac:dyDescent="0.3">
      <c r="A162" t="s">
        <v>67</v>
      </c>
      <c r="B162">
        <v>2009</v>
      </c>
      <c r="C162">
        <v>8.5426456678727464E-3</v>
      </c>
      <c r="D162">
        <v>4.915935476537215E-2</v>
      </c>
      <c r="E162">
        <v>-1.0574821608196479E-2</v>
      </c>
      <c r="F162">
        <v>0.10485384419055055</v>
      </c>
      <c r="G162">
        <v>0.45197791308935781</v>
      </c>
      <c r="H162">
        <v>13.745622285725689</v>
      </c>
      <c r="I162">
        <v>4.0189225340894405E-4</v>
      </c>
      <c r="J162">
        <v>0</v>
      </c>
      <c r="K162">
        <v>0</v>
      </c>
    </row>
    <row r="163" spans="1:11" x14ac:dyDescent="0.3">
      <c r="A163" t="s">
        <v>67</v>
      </c>
      <c r="B163">
        <v>2010</v>
      </c>
      <c r="C163">
        <v>4.1145362684727148E-3</v>
      </c>
      <c r="D163">
        <v>5.1243832077235277E-2</v>
      </c>
      <c r="E163">
        <v>-3.1175246121726098E-2</v>
      </c>
      <c r="F163">
        <v>7.8138925376285986E-2</v>
      </c>
      <c r="G163">
        <v>0.32782497849572556</v>
      </c>
      <c r="H163">
        <v>13.781009171251108</v>
      </c>
      <c r="I163">
        <v>2.6561438844450093E-2</v>
      </c>
      <c r="J163">
        <v>0</v>
      </c>
      <c r="K163">
        <v>0</v>
      </c>
    </row>
    <row r="164" spans="1:11" x14ac:dyDescent="0.3">
      <c r="A164" t="s">
        <v>68</v>
      </c>
      <c r="B164">
        <v>2009</v>
      </c>
      <c r="C164">
        <v>3.0471269422456758E-3</v>
      </c>
      <c r="D164">
        <v>0.19018433010847258</v>
      </c>
      <c r="E164">
        <v>1.4991937848138376E-2</v>
      </c>
      <c r="F164">
        <v>0.46755716798592789</v>
      </c>
      <c r="G164">
        <v>0.71994383978305476</v>
      </c>
      <c r="H164">
        <v>13.209934597652472</v>
      </c>
      <c r="I164">
        <v>1.5088074723036849E-2</v>
      </c>
      <c r="J164">
        <v>0</v>
      </c>
      <c r="K164">
        <v>0</v>
      </c>
    </row>
    <row r="165" spans="1:11" x14ac:dyDescent="0.3">
      <c r="A165" t="s">
        <v>68</v>
      </c>
      <c r="B165">
        <v>2010</v>
      </c>
      <c r="C165">
        <v>2.3069321589786144E-2</v>
      </c>
      <c r="D165">
        <v>0.11303967578995211</v>
      </c>
      <c r="E165">
        <v>1.097858684910942E-2</v>
      </c>
      <c r="F165">
        <v>0.45997300545055764</v>
      </c>
      <c r="G165">
        <v>0.70041831222088702</v>
      </c>
      <c r="H165">
        <v>13.272261599765773</v>
      </c>
      <c r="I165">
        <v>1.4245849291869566E-2</v>
      </c>
      <c r="J165">
        <v>0</v>
      </c>
      <c r="K165">
        <v>0</v>
      </c>
    </row>
    <row r="166" spans="1:11" x14ac:dyDescent="0.3">
      <c r="A166" t="s">
        <v>69</v>
      </c>
      <c r="B166">
        <v>2007</v>
      </c>
      <c r="C166">
        <v>8.5991022915190181E-3</v>
      </c>
      <c r="D166">
        <v>0.26080990629183398</v>
      </c>
      <c r="E166">
        <v>-0.52758681785967398</v>
      </c>
      <c r="F166">
        <v>0.19584809827545477</v>
      </c>
      <c r="G166">
        <v>0.9875605362626978</v>
      </c>
      <c r="H166">
        <v>13.138157983302969</v>
      </c>
      <c r="I166">
        <v>1.2664866834915446E-2</v>
      </c>
      <c r="J166">
        <v>0</v>
      </c>
      <c r="K166">
        <v>0</v>
      </c>
    </row>
    <row r="167" spans="1:11" x14ac:dyDescent="0.3">
      <c r="A167" t="s">
        <v>69</v>
      </c>
      <c r="B167">
        <v>2008</v>
      </c>
      <c r="C167">
        <v>6.5224006227993566E-3</v>
      </c>
      <c r="D167">
        <v>0.21645439061691121</v>
      </c>
      <c r="E167">
        <v>-0.31101438050037344</v>
      </c>
      <c r="F167">
        <v>0.21802719609881013</v>
      </c>
      <c r="G167">
        <v>1.0413518421187824</v>
      </c>
      <c r="H167">
        <v>13.134493508982546</v>
      </c>
      <c r="I167">
        <v>2.2288999236347518E-2</v>
      </c>
      <c r="J167">
        <v>0</v>
      </c>
      <c r="K167">
        <v>0</v>
      </c>
    </row>
    <row r="168" spans="1:11" x14ac:dyDescent="0.3">
      <c r="A168" t="s">
        <v>69</v>
      </c>
      <c r="B168">
        <v>2009</v>
      </c>
      <c r="C168">
        <v>1.3958203190250309E-3</v>
      </c>
      <c r="D168">
        <v>0.3125951045606713</v>
      </c>
      <c r="E168">
        <v>-2.7650971696882746E-2</v>
      </c>
      <c r="F168">
        <v>0.95850066015436397</v>
      </c>
      <c r="G168">
        <v>1.1874649614776474</v>
      </c>
      <c r="H168">
        <v>12.987731951393444</v>
      </c>
      <c r="I168">
        <v>1.5779207491479447E-2</v>
      </c>
      <c r="J168">
        <v>0</v>
      </c>
      <c r="K168">
        <v>0</v>
      </c>
    </row>
    <row r="169" spans="1:11" x14ac:dyDescent="0.3">
      <c r="A169" t="s">
        <v>69</v>
      </c>
      <c r="B169">
        <v>2010</v>
      </c>
      <c r="C169">
        <v>4.8165523142983755E-3</v>
      </c>
      <c r="D169">
        <v>0.40399443773780963</v>
      </c>
      <c r="E169">
        <v>-0.24346510597331947</v>
      </c>
      <c r="F169">
        <v>1.2125701013126327</v>
      </c>
      <c r="G169">
        <v>1.3941767393530049</v>
      </c>
      <c r="H169">
        <v>12.698342164767567</v>
      </c>
      <c r="I169">
        <v>2.6951672019953042E-2</v>
      </c>
      <c r="J169">
        <v>0</v>
      </c>
      <c r="K169">
        <v>0</v>
      </c>
    </row>
    <row r="170" spans="1:11" x14ac:dyDescent="0.3">
      <c r="A170" t="s">
        <v>70</v>
      </c>
      <c r="B170">
        <v>2007</v>
      </c>
      <c r="C170">
        <v>9.5479502211388292E-5</v>
      </c>
      <c r="D170">
        <v>7.5908695027676595E-2</v>
      </c>
      <c r="E170">
        <v>-2.6322453374868302E-2</v>
      </c>
      <c r="F170">
        <v>0.35394500546723934</v>
      </c>
      <c r="G170">
        <v>0.78919433565777486</v>
      </c>
      <c r="H170">
        <v>14.001531098408522</v>
      </c>
      <c r="I170">
        <v>0.10460776576218531</v>
      </c>
      <c r="J170">
        <v>0</v>
      </c>
      <c r="K170">
        <v>0</v>
      </c>
    </row>
    <row r="171" spans="1:11" x14ac:dyDescent="0.3">
      <c r="A171" t="s">
        <v>70</v>
      </c>
      <c r="B171">
        <v>2009</v>
      </c>
      <c r="C171">
        <v>6.5098000183012872E-4</v>
      </c>
      <c r="D171">
        <v>0.20070331526214988</v>
      </c>
      <c r="E171">
        <v>-0.12128375503887419</v>
      </c>
      <c r="F171">
        <v>0.61466318407081633</v>
      </c>
      <c r="G171">
        <v>0.78786699298611185</v>
      </c>
      <c r="H171">
        <v>14.03529968949791</v>
      </c>
      <c r="I171">
        <v>4.8799759318661873E-2</v>
      </c>
      <c r="J171">
        <v>0</v>
      </c>
      <c r="K171">
        <v>0</v>
      </c>
    </row>
    <row r="172" spans="1:11" x14ac:dyDescent="0.3">
      <c r="A172" t="s">
        <v>70</v>
      </c>
      <c r="B172">
        <v>2010</v>
      </c>
      <c r="C172">
        <v>3.7457282412275045E-4</v>
      </c>
      <c r="D172">
        <v>4.2409460862677044E-2</v>
      </c>
      <c r="E172">
        <v>-8.2723268203262104E-2</v>
      </c>
      <c r="F172">
        <v>0.64851258760118347</v>
      </c>
      <c r="G172">
        <v>0.81427637090396476</v>
      </c>
      <c r="H172">
        <v>14.244094357772067</v>
      </c>
      <c r="I172">
        <v>4.8644868441933067E-4</v>
      </c>
      <c r="J172">
        <v>0</v>
      </c>
      <c r="K172">
        <v>0</v>
      </c>
    </row>
    <row r="173" spans="1:11" x14ac:dyDescent="0.3">
      <c r="A173" t="s">
        <v>71</v>
      </c>
      <c r="B173">
        <v>2007</v>
      </c>
      <c r="C173">
        <v>2.3160549619678818E-2</v>
      </c>
      <c r="D173">
        <v>3.5045738369140537E-2</v>
      </c>
      <c r="E173">
        <v>-0.1228334717407857</v>
      </c>
      <c r="F173">
        <v>0.48131013678115947</v>
      </c>
      <c r="G173">
        <v>0.91860716386066166</v>
      </c>
      <c r="H173">
        <v>15.872645011301859</v>
      </c>
      <c r="I173">
        <v>0</v>
      </c>
      <c r="J173">
        <v>0</v>
      </c>
      <c r="K173">
        <v>0</v>
      </c>
    </row>
    <row r="174" spans="1:11" x14ac:dyDescent="0.3">
      <c r="A174" t="s">
        <v>71</v>
      </c>
      <c r="B174">
        <v>2008</v>
      </c>
      <c r="C174">
        <v>2.3160549619678818E-2</v>
      </c>
      <c r="D174">
        <v>3.5045738369140537E-2</v>
      </c>
      <c r="E174">
        <v>-0.1228334717407857</v>
      </c>
      <c r="F174">
        <v>0.48131013678115947</v>
      </c>
      <c r="G174">
        <v>0.84232830520383473</v>
      </c>
      <c r="H174">
        <v>15.872645011301859</v>
      </c>
      <c r="I174">
        <v>2.7505145138943827E-2</v>
      </c>
      <c r="J174">
        <v>0</v>
      </c>
      <c r="K174">
        <v>0</v>
      </c>
    </row>
    <row r="175" spans="1:11" x14ac:dyDescent="0.3">
      <c r="A175" t="s">
        <v>71</v>
      </c>
      <c r="B175">
        <v>2009</v>
      </c>
      <c r="C175">
        <v>3.1095743230490233E-2</v>
      </c>
      <c r="D175">
        <v>0.10698486317570015</v>
      </c>
      <c r="E175">
        <v>-0.30241262383525996</v>
      </c>
      <c r="F175">
        <v>0.63366932512278074</v>
      </c>
      <c r="G175">
        <v>0.82009241294559654</v>
      </c>
      <c r="H175">
        <v>16.017608905829082</v>
      </c>
      <c r="I175">
        <v>1.4756447809590265E-2</v>
      </c>
      <c r="J175">
        <v>0</v>
      </c>
      <c r="K175">
        <v>0</v>
      </c>
    </row>
    <row r="176" spans="1:11" x14ac:dyDescent="0.3">
      <c r="A176" t="s">
        <v>71</v>
      </c>
      <c r="B176">
        <v>2010</v>
      </c>
      <c r="C176">
        <v>8.8399504080341387E-3</v>
      </c>
      <c r="D176">
        <v>0.16664198772582675</v>
      </c>
      <c r="E176">
        <v>-0.47619444726141141</v>
      </c>
      <c r="F176">
        <v>0.66745096417657312</v>
      </c>
      <c r="G176">
        <v>0.91851478899967598</v>
      </c>
      <c r="H176">
        <v>15.973977443825017</v>
      </c>
      <c r="I176">
        <v>1.0444297464448242E-2</v>
      </c>
      <c r="J176">
        <v>0</v>
      </c>
      <c r="K176">
        <v>0</v>
      </c>
    </row>
    <row r="177" spans="1:11" x14ac:dyDescent="0.3">
      <c r="A177" t="s">
        <v>72</v>
      </c>
      <c r="B177">
        <v>2007</v>
      </c>
      <c r="C177">
        <v>7.7486207270451302E-2</v>
      </c>
      <c r="D177">
        <v>5.2585217543471653E-2</v>
      </c>
      <c r="E177">
        <v>-0.20816259048878707</v>
      </c>
      <c r="F177">
        <v>0.26207420751522598</v>
      </c>
      <c r="G177">
        <v>1.1347222773919476</v>
      </c>
      <c r="H177">
        <v>14.437665369373477</v>
      </c>
      <c r="I177">
        <v>3.267892694906219E-3</v>
      </c>
      <c r="J177">
        <v>0</v>
      </c>
      <c r="K177">
        <v>0</v>
      </c>
    </row>
    <row r="178" spans="1:11" x14ac:dyDescent="0.3">
      <c r="A178" t="s">
        <v>72</v>
      </c>
      <c r="B178">
        <v>2009</v>
      </c>
      <c r="C178">
        <v>5.2330863717627745E-4</v>
      </c>
      <c r="D178">
        <v>9.898785862259922E-2</v>
      </c>
      <c r="E178">
        <v>8.170093431994558E-3</v>
      </c>
      <c r="F178">
        <v>0.74135827321261372</v>
      </c>
      <c r="G178">
        <v>0.98297940778584525</v>
      </c>
      <c r="H178">
        <v>14.76837079934741</v>
      </c>
      <c r="I178">
        <v>5.3546583449783323E-3</v>
      </c>
      <c r="J178">
        <v>0</v>
      </c>
      <c r="K178">
        <v>0</v>
      </c>
    </row>
    <row r="179" spans="1:11" x14ac:dyDescent="0.3">
      <c r="A179" t="s">
        <v>72</v>
      </c>
      <c r="B179">
        <v>2010</v>
      </c>
      <c r="C179">
        <v>1.1195637428312887E-3</v>
      </c>
      <c r="D179">
        <v>8.9318377989168113E-2</v>
      </c>
      <c r="E179">
        <v>-2.066906977818923E-2</v>
      </c>
      <c r="F179">
        <v>0.69738758521579558</v>
      </c>
      <c r="G179">
        <v>0.91475356180781953</v>
      </c>
      <c r="H179">
        <v>14.802516197769167</v>
      </c>
      <c r="I179">
        <v>2.3321288596636718E-2</v>
      </c>
      <c r="J179">
        <v>2.4224914541955314E-2</v>
      </c>
      <c r="K179">
        <v>0</v>
      </c>
    </row>
    <row r="180" spans="1:11" x14ac:dyDescent="0.3">
      <c r="A180" t="s">
        <v>73</v>
      </c>
      <c r="B180">
        <v>2008</v>
      </c>
      <c r="C180">
        <v>5.5778915219334025E-3</v>
      </c>
      <c r="D180">
        <v>3.65997939227789E-2</v>
      </c>
      <c r="E180">
        <v>0.30023206254353391</v>
      </c>
      <c r="F180">
        <v>0.29555522243569188</v>
      </c>
      <c r="G180">
        <v>0.68494964455896801</v>
      </c>
      <c r="H180">
        <v>16.419334562788073</v>
      </c>
      <c r="I180">
        <v>1.0841633533436033E-2</v>
      </c>
      <c r="J180">
        <v>0</v>
      </c>
      <c r="K180">
        <v>0</v>
      </c>
    </row>
    <row r="181" spans="1:11" x14ac:dyDescent="0.3">
      <c r="A181" t="s">
        <v>73</v>
      </c>
      <c r="B181">
        <v>2009</v>
      </c>
      <c r="C181">
        <v>6.0484926450067302E-3</v>
      </c>
      <c r="D181">
        <v>6.8267811950987453E-2</v>
      </c>
      <c r="E181">
        <v>-0.12283064363714347</v>
      </c>
      <c r="F181">
        <v>0.58355468655547615</v>
      </c>
      <c r="G181">
        <v>0.69201464739021135</v>
      </c>
      <c r="H181">
        <v>16.401433726904546</v>
      </c>
      <c r="I181">
        <v>5.3310042820405718E-3</v>
      </c>
      <c r="J181">
        <v>0</v>
      </c>
      <c r="K181">
        <v>0</v>
      </c>
    </row>
    <row r="182" spans="1:11" x14ac:dyDescent="0.3">
      <c r="A182" t="s">
        <v>73</v>
      </c>
      <c r="B182">
        <v>2010</v>
      </c>
      <c r="C182">
        <v>4.6227131270900508E-3</v>
      </c>
      <c r="D182">
        <v>4.3856064198675299E-2</v>
      </c>
      <c r="E182">
        <v>-9.4565382244867727E-2</v>
      </c>
      <c r="F182">
        <v>0.50031168475149557</v>
      </c>
      <c r="G182">
        <v>0.63039210838714854</v>
      </c>
      <c r="H182">
        <v>16.652088763929417</v>
      </c>
      <c r="I182">
        <v>3.6032923073539731E-3</v>
      </c>
      <c r="J182">
        <v>0</v>
      </c>
      <c r="K182">
        <v>0</v>
      </c>
    </row>
    <row r="183" spans="1:11" x14ac:dyDescent="0.3">
      <c r="A183" t="s">
        <v>74</v>
      </c>
      <c r="B183">
        <v>2007</v>
      </c>
      <c r="C183">
        <v>4.8216321876527122E-4</v>
      </c>
      <c r="D183">
        <v>5.2647010913829612E-3</v>
      </c>
      <c r="E183">
        <v>-1.2962045935820166</v>
      </c>
      <c r="F183">
        <v>0</v>
      </c>
      <c r="G183">
        <v>1.1027072813161753</v>
      </c>
      <c r="H183">
        <v>11.941292966295697</v>
      </c>
      <c r="I183">
        <v>1.2553142660727394E-4</v>
      </c>
      <c r="J183">
        <v>0</v>
      </c>
      <c r="K183">
        <v>0</v>
      </c>
    </row>
    <row r="184" spans="1:11" x14ac:dyDescent="0.3">
      <c r="A184" t="s">
        <v>74</v>
      </c>
      <c r="B184">
        <v>2009</v>
      </c>
      <c r="C184">
        <v>3.1511995289785967E-4</v>
      </c>
      <c r="D184">
        <v>3.8643657381684897E-3</v>
      </c>
      <c r="E184">
        <v>-3.5948552521374256E-3</v>
      </c>
      <c r="F184">
        <v>0.8288193782185771</v>
      </c>
      <c r="G184">
        <v>0.9262118435346508</v>
      </c>
      <c r="H184">
        <v>12.393290529061629</v>
      </c>
      <c r="I184">
        <v>4.1445692291224544E-5</v>
      </c>
      <c r="J184">
        <v>0</v>
      </c>
      <c r="K184">
        <v>0</v>
      </c>
    </row>
    <row r="185" spans="1:11" x14ac:dyDescent="0.3">
      <c r="A185" t="s">
        <v>74</v>
      </c>
      <c r="B185">
        <v>2010</v>
      </c>
      <c r="C185">
        <v>3.1512779261274113E-4</v>
      </c>
      <c r="D185">
        <v>3.7400693281143746E-3</v>
      </c>
      <c r="E185">
        <v>8.6245501136118622E-4</v>
      </c>
      <c r="F185">
        <v>0.83699185643441198</v>
      </c>
      <c r="G185">
        <v>0.91400743038163634</v>
      </c>
      <c r="H185">
        <v>12.393265650861149</v>
      </c>
      <c r="I185">
        <v>1.7278222136791533E-4</v>
      </c>
      <c r="J185">
        <v>0</v>
      </c>
      <c r="K185">
        <v>0</v>
      </c>
    </row>
    <row r="186" spans="1:11" x14ac:dyDescent="0.3">
      <c r="A186" t="s">
        <v>75</v>
      </c>
      <c r="B186">
        <v>2007</v>
      </c>
      <c r="C186">
        <v>2.3846687010952929E-3</v>
      </c>
      <c r="D186">
        <v>0.11567893396227431</v>
      </c>
      <c r="E186">
        <v>0.17429990611158599</v>
      </c>
      <c r="F186">
        <v>0.27772888130499507</v>
      </c>
      <c r="G186">
        <v>0.8230867675544925</v>
      </c>
      <c r="H186">
        <v>15.126754810951994</v>
      </c>
      <c r="I186">
        <v>2.0726964791853403E-2</v>
      </c>
      <c r="J186">
        <v>0</v>
      </c>
      <c r="K186">
        <v>0</v>
      </c>
    </row>
    <row r="187" spans="1:11" x14ac:dyDescent="0.3">
      <c r="A187" t="s">
        <v>75</v>
      </c>
      <c r="B187">
        <v>2009</v>
      </c>
      <c r="C187">
        <v>2.0881017805899783E-3</v>
      </c>
      <c r="D187">
        <v>8.3815355311136444E-2</v>
      </c>
      <c r="E187">
        <v>0.10615958339359316</v>
      </c>
      <c r="F187">
        <v>0.49506435296117324</v>
      </c>
      <c r="G187">
        <v>0.7254178976078719</v>
      </c>
      <c r="H187">
        <v>15.301280728774248</v>
      </c>
      <c r="I187">
        <v>3.0532524122041611E-2</v>
      </c>
      <c r="J187">
        <v>9.0395388160376903E-3</v>
      </c>
      <c r="K187">
        <v>0</v>
      </c>
    </row>
    <row r="188" spans="1:11" x14ac:dyDescent="0.3">
      <c r="A188" t="s">
        <v>75</v>
      </c>
      <c r="B188">
        <v>2010</v>
      </c>
      <c r="C188">
        <v>3.062585585587382E-3</v>
      </c>
      <c r="D188">
        <v>0.16225940566536456</v>
      </c>
      <c r="E188">
        <v>0.14300288530738625</v>
      </c>
      <c r="F188">
        <v>0.42900267353072963</v>
      </c>
      <c r="G188">
        <v>0.72561442649704855</v>
      </c>
      <c r="H188">
        <v>15.427887547078024</v>
      </c>
      <c r="I188">
        <v>3.0066749602481666E-2</v>
      </c>
      <c r="J188">
        <v>1.7947174287203046E-2</v>
      </c>
      <c r="K188">
        <v>0</v>
      </c>
    </row>
    <row r="189" spans="1:11" x14ac:dyDescent="0.3">
      <c r="A189" t="s">
        <v>76</v>
      </c>
      <c r="B189">
        <v>2007</v>
      </c>
      <c r="C189">
        <v>2.3486270399996844E-3</v>
      </c>
      <c r="D189">
        <v>0.10199554352953251</v>
      </c>
      <c r="E189">
        <v>-0.11158840212442198</v>
      </c>
      <c r="F189">
        <v>0.33802565332291251</v>
      </c>
      <c r="G189">
        <v>1.0150809486874333</v>
      </c>
      <c r="H189">
        <v>13.828780126523293</v>
      </c>
      <c r="I189">
        <v>1.6249701557283946E-2</v>
      </c>
      <c r="J189">
        <v>0</v>
      </c>
      <c r="K189">
        <v>0</v>
      </c>
    </row>
    <row r="190" spans="1:11" x14ac:dyDescent="0.3">
      <c r="A190" t="s">
        <v>76</v>
      </c>
      <c r="B190">
        <v>2008</v>
      </c>
      <c r="C190">
        <v>2.3430062033309284E-3</v>
      </c>
      <c r="D190">
        <v>5.1676777854151278E-2</v>
      </c>
      <c r="E190">
        <v>-0.14129932672726264</v>
      </c>
      <c r="F190">
        <v>0.49781880125859734</v>
      </c>
      <c r="G190">
        <v>1.0629921999410834</v>
      </c>
      <c r="H190">
        <v>13.973492460703998</v>
      </c>
      <c r="I190">
        <v>9.2754593069088731E-4</v>
      </c>
      <c r="J190">
        <v>0</v>
      </c>
      <c r="K190">
        <v>0</v>
      </c>
    </row>
    <row r="191" spans="1:11" x14ac:dyDescent="0.3">
      <c r="A191" t="s">
        <v>76</v>
      </c>
      <c r="B191">
        <v>2009</v>
      </c>
      <c r="C191">
        <v>6.1357125390632886E-3</v>
      </c>
      <c r="D191">
        <v>5.4626910539740794E-2</v>
      </c>
      <c r="E191">
        <v>-0.20528127437366003</v>
      </c>
      <c r="F191">
        <v>0.54189297014102789</v>
      </c>
      <c r="G191">
        <v>0.91770816741484218</v>
      </c>
      <c r="H191">
        <v>14.106128067800963</v>
      </c>
      <c r="I191">
        <v>2.8148550035176273E-2</v>
      </c>
      <c r="J191">
        <v>0</v>
      </c>
      <c r="K191">
        <v>0</v>
      </c>
    </row>
    <row r="192" spans="1:11" x14ac:dyDescent="0.3">
      <c r="A192" t="s">
        <v>76</v>
      </c>
      <c r="B192">
        <v>2010</v>
      </c>
      <c r="C192">
        <v>4.8662998881933124E-4</v>
      </c>
      <c r="D192">
        <v>0.17446670180122051</v>
      </c>
      <c r="E192">
        <v>-0.13144723167626299</v>
      </c>
      <c r="F192">
        <v>0.40486629988819334</v>
      </c>
      <c r="G192">
        <v>0.74764866102872007</v>
      </c>
      <c r="H192">
        <v>13.830542017397772</v>
      </c>
      <c r="I192">
        <v>2.5411821293336818E-2</v>
      </c>
      <c r="J192">
        <v>3.7236059873220081E-2</v>
      </c>
      <c r="K192">
        <v>0</v>
      </c>
    </row>
    <row r="193" spans="1:11" x14ac:dyDescent="0.3">
      <c r="A193" t="s">
        <v>77</v>
      </c>
      <c r="B193">
        <v>2007</v>
      </c>
      <c r="C193">
        <v>1.0314856461772734E-2</v>
      </c>
      <c r="D193">
        <v>4.4906507281059091E-2</v>
      </c>
      <c r="E193">
        <v>-3.9777334069328811E-2</v>
      </c>
      <c r="F193">
        <v>0.50290221361012877</v>
      </c>
      <c r="G193">
        <v>0.836339558173399</v>
      </c>
      <c r="H193">
        <v>15.806958240176591</v>
      </c>
      <c r="I193">
        <v>1.1555614674328221E-2</v>
      </c>
      <c r="J193">
        <v>1.5075895438411429E-2</v>
      </c>
      <c r="K193">
        <v>0</v>
      </c>
    </row>
    <row r="194" spans="1:11" x14ac:dyDescent="0.3">
      <c r="A194" t="s">
        <v>77</v>
      </c>
      <c r="B194">
        <v>2009</v>
      </c>
      <c r="C194">
        <v>3.3364654767708828E-2</v>
      </c>
      <c r="D194">
        <v>6.6238234065588347E-2</v>
      </c>
      <c r="E194">
        <v>0.13547280798200825</v>
      </c>
      <c r="F194">
        <v>0.56700166154995479</v>
      </c>
      <c r="G194">
        <v>1.0841986048467953</v>
      </c>
      <c r="H194">
        <v>16.079535575535871</v>
      </c>
      <c r="I194">
        <v>1.8174958577260154E-2</v>
      </c>
      <c r="J194">
        <v>1.4030727709408872E-2</v>
      </c>
      <c r="K194">
        <v>0</v>
      </c>
    </row>
    <row r="195" spans="1:11" x14ac:dyDescent="0.3">
      <c r="A195" t="s">
        <v>77</v>
      </c>
      <c r="B195">
        <v>2010</v>
      </c>
      <c r="C195">
        <v>3.9202203118373698E-2</v>
      </c>
      <c r="D195">
        <v>0.10927001983798638</v>
      </c>
      <c r="E195">
        <v>0.12093364988454609</v>
      </c>
      <c r="F195">
        <v>0.51506235405621559</v>
      </c>
      <c r="G195">
        <v>0.88691274335484382</v>
      </c>
      <c r="H195">
        <v>16.324875239985296</v>
      </c>
      <c r="I195">
        <v>9.3293496901500125E-3</v>
      </c>
      <c r="J195">
        <v>1.3926030617750586E-2</v>
      </c>
      <c r="K195">
        <v>0</v>
      </c>
    </row>
    <row r="196" spans="1:11" x14ac:dyDescent="0.3">
      <c r="A196" t="s">
        <v>78</v>
      </c>
      <c r="B196">
        <v>2007</v>
      </c>
      <c r="C196">
        <v>3.9147112801972321E-3</v>
      </c>
      <c r="D196">
        <v>2.8484710046183616E-2</v>
      </c>
      <c r="E196">
        <v>1.4416954821973844E-2</v>
      </c>
      <c r="F196">
        <v>3.2596338392789158E-2</v>
      </c>
      <c r="G196">
        <v>0.91133218333766552</v>
      </c>
      <c r="H196">
        <v>12.850216014099617</v>
      </c>
      <c r="I196">
        <v>3.9062514459231187E-2</v>
      </c>
      <c r="J196">
        <v>0</v>
      </c>
      <c r="K196">
        <v>0</v>
      </c>
    </row>
    <row r="197" spans="1:11" x14ac:dyDescent="0.3">
      <c r="A197" t="s">
        <v>79</v>
      </c>
      <c r="B197">
        <v>2007</v>
      </c>
      <c r="C197">
        <v>5.691157175002578E-3</v>
      </c>
      <c r="D197">
        <v>0.18073821283512626</v>
      </c>
      <c r="E197">
        <v>-0.22097560383885231</v>
      </c>
      <c r="F197">
        <v>0.30165053666702385</v>
      </c>
      <c r="G197">
        <v>0.98636664597767609</v>
      </c>
      <c r="H197">
        <v>13.804706402706769</v>
      </c>
      <c r="I197">
        <v>1.6159265875033135E-3</v>
      </c>
      <c r="J197">
        <v>0</v>
      </c>
      <c r="K197">
        <v>0</v>
      </c>
    </row>
    <row r="198" spans="1:11" x14ac:dyDescent="0.3">
      <c r="A198" t="s">
        <v>79</v>
      </c>
      <c r="B198">
        <v>2008</v>
      </c>
      <c r="C198">
        <v>1.7496639427892903E-3</v>
      </c>
      <c r="D198">
        <v>0.16421875338507358</v>
      </c>
      <c r="E198">
        <v>-0.14008350106104325</v>
      </c>
      <c r="F198">
        <v>0.13938095321609073</v>
      </c>
      <c r="G198">
        <v>0.88044755702140343</v>
      </c>
      <c r="H198">
        <v>13.784359358531034</v>
      </c>
      <c r="I198">
        <v>1.268233679894795E-2</v>
      </c>
      <c r="J198">
        <v>0</v>
      </c>
      <c r="K198">
        <v>0</v>
      </c>
    </row>
    <row r="199" spans="1:11" x14ac:dyDescent="0.3">
      <c r="A199" t="s">
        <v>79</v>
      </c>
      <c r="B199">
        <v>2009</v>
      </c>
      <c r="C199">
        <v>5.1825708909656481E-4</v>
      </c>
      <c r="D199">
        <v>0.1309768866293029</v>
      </c>
      <c r="E199">
        <v>-0.16784925546716456</v>
      </c>
      <c r="F199">
        <v>0.6967748290479181</v>
      </c>
      <c r="G199">
        <v>0.96593752483548423</v>
      </c>
      <c r="H199">
        <v>13.702766181915363</v>
      </c>
      <c r="I199">
        <v>1.2728588909919311E-2</v>
      </c>
      <c r="J199">
        <v>0</v>
      </c>
      <c r="K199">
        <v>0</v>
      </c>
    </row>
    <row r="200" spans="1:11" x14ac:dyDescent="0.3">
      <c r="A200" t="s">
        <v>79</v>
      </c>
      <c r="B200">
        <v>2010</v>
      </c>
      <c r="C200">
        <v>1.7642259458662511E-3</v>
      </c>
      <c r="D200">
        <v>9.2411954255070594E-2</v>
      </c>
      <c r="E200">
        <v>-0.16766643635105097</v>
      </c>
      <c r="F200">
        <v>0.7153811265307346</v>
      </c>
      <c r="G200">
        <v>0.98550635908495143</v>
      </c>
      <c r="H200">
        <v>13.592805660427427</v>
      </c>
      <c r="I200">
        <v>2.1021592247871639E-3</v>
      </c>
      <c r="J200">
        <v>0</v>
      </c>
      <c r="K200">
        <v>0</v>
      </c>
    </row>
    <row r="201" spans="1:11" x14ac:dyDescent="0.3">
      <c r="A201" t="s">
        <v>80</v>
      </c>
      <c r="B201">
        <v>2007</v>
      </c>
      <c r="C201">
        <v>4.0509945705538943E-4</v>
      </c>
      <c r="D201">
        <v>6.9794011636546138E-2</v>
      </c>
      <c r="E201">
        <v>-0.15739184465420736</v>
      </c>
      <c r="F201">
        <v>0.30982571730652542</v>
      </c>
      <c r="G201">
        <v>0.67554638110437992</v>
      </c>
      <c r="H201">
        <v>14.663620517081451</v>
      </c>
      <c r="I201">
        <v>1.2511531771730346E-3</v>
      </c>
      <c r="J201">
        <v>0</v>
      </c>
      <c r="K201">
        <v>0</v>
      </c>
    </row>
    <row r="202" spans="1:11" x14ac:dyDescent="0.3">
      <c r="A202" t="s">
        <v>80</v>
      </c>
      <c r="B202">
        <v>2008</v>
      </c>
      <c r="C202">
        <v>2.6396419447205235E-3</v>
      </c>
      <c r="D202">
        <v>7.2960234794843801E-2</v>
      </c>
      <c r="E202">
        <v>-0.17390650293086402</v>
      </c>
      <c r="F202">
        <v>0.32876935426703541</v>
      </c>
      <c r="G202">
        <v>0.68368204979190161</v>
      </c>
      <c r="H202">
        <v>14.66278170370893</v>
      </c>
      <c r="I202">
        <v>4.4966129820413682E-2</v>
      </c>
      <c r="J202">
        <v>0</v>
      </c>
      <c r="K202">
        <v>0</v>
      </c>
    </row>
    <row r="203" spans="1:11" x14ac:dyDescent="0.3">
      <c r="A203" t="s">
        <v>80</v>
      </c>
      <c r="B203">
        <v>2009</v>
      </c>
      <c r="C203">
        <v>3.8418684325550725E-3</v>
      </c>
      <c r="D203">
        <v>0.2326207626636887</v>
      </c>
      <c r="E203">
        <v>-0.39057041867421938</v>
      </c>
      <c r="F203">
        <v>0.51966336278445768</v>
      </c>
      <c r="G203">
        <v>0.83340595810478602</v>
      </c>
      <c r="H203">
        <v>14.498094644970328</v>
      </c>
      <c r="I203">
        <v>1.2969070992670742E-2</v>
      </c>
      <c r="J203">
        <v>0</v>
      </c>
      <c r="K203">
        <v>0</v>
      </c>
    </row>
    <row r="204" spans="1:11" x14ac:dyDescent="0.3">
      <c r="A204" t="s">
        <v>80</v>
      </c>
      <c r="B204">
        <v>2010</v>
      </c>
      <c r="C204">
        <v>4.1654649239841556E-4</v>
      </c>
      <c r="D204">
        <v>0.25109609307401975</v>
      </c>
      <c r="E204">
        <v>-0.21192827308020309</v>
      </c>
      <c r="F204">
        <v>0.64387297977544877</v>
      </c>
      <c r="G204">
        <v>0.93740833383477995</v>
      </c>
      <c r="H204">
        <v>14.471867190127142</v>
      </c>
      <c r="I204">
        <v>1.1230895358903398E-3</v>
      </c>
      <c r="J204">
        <v>0</v>
      </c>
      <c r="K204">
        <v>0</v>
      </c>
    </row>
    <row r="205" spans="1:11" x14ac:dyDescent="0.3">
      <c r="A205" t="s">
        <v>81</v>
      </c>
      <c r="B205">
        <v>2009</v>
      </c>
      <c r="C205">
        <v>6.9772753225990636E-3</v>
      </c>
      <c r="D205">
        <v>0.10990065090784515</v>
      </c>
      <c r="E205">
        <v>-0.81972136576453125</v>
      </c>
      <c r="F205">
        <v>0.55972364965170718</v>
      </c>
      <c r="G205">
        <v>1.0962620760534429</v>
      </c>
      <c r="H205">
        <v>11.38019375251627</v>
      </c>
      <c r="I205">
        <v>1.3021794826209779E-2</v>
      </c>
      <c r="J205">
        <v>0</v>
      </c>
      <c r="K205">
        <v>0</v>
      </c>
    </row>
    <row r="206" spans="1:11" x14ac:dyDescent="0.3">
      <c r="A206" t="s">
        <v>81</v>
      </c>
      <c r="B206">
        <v>2010</v>
      </c>
      <c r="C206">
        <v>5.3603711804194746E-3</v>
      </c>
      <c r="D206">
        <v>6.5727758884435966E-2</v>
      </c>
      <c r="E206">
        <v>-0.8651816078585064</v>
      </c>
      <c r="F206">
        <v>0.58106929291141485</v>
      </c>
      <c r="G206">
        <v>1.1216387059254858</v>
      </c>
      <c r="H206">
        <v>11.278455511450799</v>
      </c>
      <c r="I206">
        <v>5.3681574616548607E-2</v>
      </c>
      <c r="J206">
        <v>0</v>
      </c>
      <c r="K206">
        <v>0</v>
      </c>
    </row>
    <row r="207" spans="1:11" x14ac:dyDescent="0.3">
      <c r="A207" t="s">
        <v>82</v>
      </c>
      <c r="B207">
        <v>2007</v>
      </c>
      <c r="C207">
        <v>5.91633604788752E-4</v>
      </c>
      <c r="D207">
        <v>7.5464606389642933E-2</v>
      </c>
      <c r="E207">
        <v>0.17998886336743927</v>
      </c>
      <c r="F207">
        <v>2.0881186051367718E-3</v>
      </c>
      <c r="G207">
        <v>0.46910837335560662</v>
      </c>
      <c r="H207">
        <v>11.875274282004765</v>
      </c>
      <c r="I207">
        <v>0.22765628620802225</v>
      </c>
      <c r="J207">
        <v>0</v>
      </c>
      <c r="K207">
        <v>0</v>
      </c>
    </row>
    <row r="208" spans="1:11" x14ac:dyDescent="0.3">
      <c r="A208" t="s">
        <v>82</v>
      </c>
      <c r="B208">
        <v>2008</v>
      </c>
      <c r="C208">
        <v>3.7832130916769311E-4</v>
      </c>
      <c r="D208">
        <v>0.88889670948442723</v>
      </c>
      <c r="E208">
        <v>0.15036952313918706</v>
      </c>
      <c r="F208">
        <v>0</v>
      </c>
      <c r="G208">
        <v>0.26933292275206761</v>
      </c>
      <c r="H208">
        <v>11.640966814851112</v>
      </c>
      <c r="I208">
        <v>0.13594104675859117</v>
      </c>
      <c r="J208">
        <v>0</v>
      </c>
      <c r="K208">
        <v>0</v>
      </c>
    </row>
    <row r="209" spans="1:11" x14ac:dyDescent="0.3">
      <c r="A209" t="s">
        <v>82</v>
      </c>
      <c r="B209">
        <v>2009</v>
      </c>
      <c r="C209">
        <v>4.9043047534973823E-4</v>
      </c>
      <c r="D209">
        <v>0.43933988058017925</v>
      </c>
      <c r="E209">
        <v>-0.25417785461188558</v>
      </c>
      <c r="F209">
        <v>0</v>
      </c>
      <c r="G209">
        <v>0.38638209438334498</v>
      </c>
      <c r="H209">
        <v>11.309106485525438</v>
      </c>
      <c r="I209">
        <v>6.2775652701070619E-2</v>
      </c>
      <c r="J209">
        <v>0</v>
      </c>
      <c r="K209">
        <v>0</v>
      </c>
    </row>
    <row r="210" spans="1:11" x14ac:dyDescent="0.3">
      <c r="A210" t="s">
        <v>82</v>
      </c>
      <c r="B210">
        <v>2010</v>
      </c>
      <c r="C210">
        <v>3.3409060537217692E-4</v>
      </c>
      <c r="D210">
        <v>0.16927702792997462</v>
      </c>
      <c r="E210">
        <v>-0.28725110249899771</v>
      </c>
      <c r="F210">
        <v>0</v>
      </c>
      <c r="G210">
        <v>0.46926500066818116</v>
      </c>
      <c r="H210">
        <v>11.222974153074404</v>
      </c>
      <c r="I210">
        <v>4.0236288931185943E-3</v>
      </c>
      <c r="J210">
        <v>0</v>
      </c>
      <c r="K210">
        <v>0</v>
      </c>
    </row>
    <row r="211" spans="1:11" x14ac:dyDescent="0.3">
      <c r="A211" t="s">
        <v>83</v>
      </c>
      <c r="B211">
        <v>2007</v>
      </c>
      <c r="C211">
        <v>6.756594163179637E-2</v>
      </c>
      <c r="D211">
        <v>0.27060371614588802</v>
      </c>
      <c r="E211">
        <v>6.8828338811360426E-2</v>
      </c>
      <c r="F211">
        <v>9.3344817773635569E-2</v>
      </c>
      <c r="G211">
        <v>1.1566501211786702</v>
      </c>
      <c r="H211">
        <v>13.168496681912474</v>
      </c>
      <c r="I211">
        <v>2.2543519896069352E-2</v>
      </c>
      <c r="J211">
        <v>9.264582024304488E-2</v>
      </c>
      <c r="K211">
        <v>0</v>
      </c>
    </row>
    <row r="212" spans="1:11" x14ac:dyDescent="0.3">
      <c r="A212" t="s">
        <v>83</v>
      </c>
      <c r="B212">
        <v>2009</v>
      </c>
      <c r="C212">
        <v>4.3556304315510677E-2</v>
      </c>
      <c r="D212">
        <v>5.5437185415591082E-2</v>
      </c>
      <c r="E212">
        <v>0.15050181657760933</v>
      </c>
      <c r="F212">
        <v>0.19434263546809841</v>
      </c>
      <c r="G212">
        <v>0.85526951362393244</v>
      </c>
      <c r="H212">
        <v>13.346509625849709</v>
      </c>
      <c r="I212">
        <v>5.4377912624110916E-2</v>
      </c>
      <c r="J212">
        <v>0</v>
      </c>
      <c r="K212">
        <v>0</v>
      </c>
    </row>
    <row r="213" spans="1:11" x14ac:dyDescent="0.3">
      <c r="A213" t="s">
        <v>83</v>
      </c>
      <c r="B213">
        <v>2010</v>
      </c>
      <c r="C213">
        <v>9.8451042224469969E-3</v>
      </c>
      <c r="D213">
        <v>0.19232066004244264</v>
      </c>
      <c r="E213">
        <v>0.23627456813629241</v>
      </c>
      <c r="F213">
        <v>7.2665489908305403E-2</v>
      </c>
      <c r="G213">
        <v>0.93954582416056809</v>
      </c>
      <c r="H213">
        <v>13.536213235046887</v>
      </c>
      <c r="I213">
        <v>2.7338433770746139E-2</v>
      </c>
      <c r="J213">
        <v>3.8872691933916424E-2</v>
      </c>
      <c r="K213">
        <v>0</v>
      </c>
    </row>
    <row r="214" spans="1:11" x14ac:dyDescent="0.3">
      <c r="A214" t="s">
        <v>84</v>
      </c>
      <c r="B214">
        <v>2010</v>
      </c>
      <c r="C214">
        <v>2.6956377656377905E-4</v>
      </c>
      <c r="D214">
        <v>0.21583814962191</v>
      </c>
      <c r="E214">
        <v>1.7318854378680224E-2</v>
      </c>
      <c r="F214">
        <v>0.44170126892819961</v>
      </c>
      <c r="G214">
        <v>0.72596962585042424</v>
      </c>
      <c r="H214">
        <v>14.008665718777115</v>
      </c>
      <c r="I214">
        <v>6.0134401110040328E-2</v>
      </c>
      <c r="J214">
        <v>1.9809227984182293E-2</v>
      </c>
      <c r="K214">
        <v>0</v>
      </c>
    </row>
    <row r="215" spans="1:11" x14ac:dyDescent="0.3">
      <c r="A215" t="s">
        <v>85</v>
      </c>
      <c r="B215">
        <v>2007</v>
      </c>
      <c r="C215">
        <v>6.9603805162213378E-3</v>
      </c>
      <c r="D215">
        <v>9.835812339021581E-2</v>
      </c>
      <c r="E215">
        <v>0.17086057265774851</v>
      </c>
      <c r="F215">
        <v>0.16489889853176118</v>
      </c>
      <c r="G215">
        <v>0.77602006003803181</v>
      </c>
      <c r="H215">
        <v>14.006598576798341</v>
      </c>
      <c r="I215">
        <v>1.7354754169846519E-3</v>
      </c>
      <c r="J215">
        <v>0</v>
      </c>
      <c r="K215">
        <v>0</v>
      </c>
    </row>
    <row r="216" spans="1:11" x14ac:dyDescent="0.3">
      <c r="A216" t="s">
        <v>85</v>
      </c>
      <c r="B216">
        <v>2009</v>
      </c>
      <c r="C216">
        <v>3.7879668686605617E-3</v>
      </c>
      <c r="D216">
        <v>5.4329846884596841E-2</v>
      </c>
      <c r="E216">
        <v>1.8252310993087561E-2</v>
      </c>
      <c r="F216">
        <v>0.5403739754971949</v>
      </c>
      <c r="G216">
        <v>0.88924124395994841</v>
      </c>
      <c r="H216">
        <v>14.070259747360437</v>
      </c>
      <c r="I216">
        <v>6.3983087728160373E-2</v>
      </c>
      <c r="J216">
        <v>0</v>
      </c>
      <c r="K216">
        <v>0</v>
      </c>
    </row>
    <row r="217" spans="1:11" x14ac:dyDescent="0.3">
      <c r="A217" t="s">
        <v>85</v>
      </c>
      <c r="B217">
        <v>2010</v>
      </c>
      <c r="C217">
        <v>1.4126003312523888E-3</v>
      </c>
      <c r="D217">
        <v>0.25384204994266785</v>
      </c>
      <c r="E217">
        <v>0.13382198369219009</v>
      </c>
      <c r="F217">
        <v>0.29071458147534718</v>
      </c>
      <c r="G217">
        <v>0.7134757134666837</v>
      </c>
      <c r="H217">
        <v>14.04331522936064</v>
      </c>
      <c r="I217">
        <v>3.6552396748927907E-2</v>
      </c>
      <c r="J217">
        <v>0</v>
      </c>
      <c r="K217">
        <v>0</v>
      </c>
    </row>
    <row r="218" spans="1:11" x14ac:dyDescent="0.3">
      <c r="A218" t="s">
        <v>86</v>
      </c>
      <c r="B218">
        <v>2007</v>
      </c>
      <c r="C218">
        <v>1.9389748985420112E-3</v>
      </c>
      <c r="D218">
        <v>0.17364346911167894</v>
      </c>
      <c r="E218">
        <v>-0.92507891176912671</v>
      </c>
      <c r="F218">
        <v>7.5154065834961675E-2</v>
      </c>
      <c r="G218">
        <v>1.4671892379377725</v>
      </c>
      <c r="H218">
        <v>11.798555433295878</v>
      </c>
      <c r="I218">
        <v>2.6203151739025213E-2</v>
      </c>
      <c r="J218">
        <v>0</v>
      </c>
      <c r="K218">
        <v>0</v>
      </c>
    </row>
    <row r="219" spans="1:11" x14ac:dyDescent="0.3">
      <c r="A219" t="s">
        <v>86</v>
      </c>
      <c r="B219">
        <v>2008</v>
      </c>
      <c r="C219">
        <v>1.4999922680810924E-3</v>
      </c>
      <c r="D219">
        <v>7.4759923917917942E-2</v>
      </c>
      <c r="E219">
        <v>-1.0490744893067561</v>
      </c>
      <c r="F219">
        <v>7.7319189076344969E-2</v>
      </c>
      <c r="G219">
        <v>1.6910000463915134</v>
      </c>
      <c r="H219">
        <v>11.77015348456319</v>
      </c>
      <c r="I219">
        <v>1.0148781492614879E-2</v>
      </c>
      <c r="J219">
        <v>0</v>
      </c>
      <c r="K219">
        <v>0</v>
      </c>
    </row>
    <row r="220" spans="1:11" x14ac:dyDescent="0.3">
      <c r="A220" t="s">
        <v>87</v>
      </c>
      <c r="B220">
        <v>2007</v>
      </c>
      <c r="C220">
        <v>6.2192967646351209E-3</v>
      </c>
      <c r="D220">
        <v>7.9192679494792723E-2</v>
      </c>
      <c r="E220">
        <v>-8.9582434461409274E-2</v>
      </c>
      <c r="F220">
        <v>0.26894063452592815</v>
      </c>
      <c r="G220">
        <v>0.75316445458322434</v>
      </c>
      <c r="H220">
        <v>16.093319542382254</v>
      </c>
      <c r="I220">
        <v>3.7657393468185675E-3</v>
      </c>
      <c r="J220">
        <v>1.1562965420890403E-3</v>
      </c>
      <c r="K220">
        <v>0</v>
      </c>
    </row>
    <row r="221" spans="1:11" x14ac:dyDescent="0.3">
      <c r="A221" t="s">
        <v>87</v>
      </c>
      <c r="B221">
        <v>2008</v>
      </c>
      <c r="C221">
        <v>1.6835029261543242E-3</v>
      </c>
      <c r="D221">
        <v>6.4868285225956251E-2</v>
      </c>
      <c r="E221">
        <v>-9.8573128392425394E-2</v>
      </c>
      <c r="F221">
        <v>0.29439766099569337</v>
      </c>
      <c r="G221">
        <v>0.82717771059102896</v>
      </c>
      <c r="H221">
        <v>16.198579738132668</v>
      </c>
      <c r="I221">
        <v>6.6452055065988206E-3</v>
      </c>
      <c r="J221">
        <v>1.3563242910483704E-3</v>
      </c>
      <c r="K221">
        <v>0</v>
      </c>
    </row>
    <row r="222" spans="1:11" x14ac:dyDescent="0.3">
      <c r="A222" t="s">
        <v>87</v>
      </c>
      <c r="B222">
        <v>2009</v>
      </c>
      <c r="C222">
        <v>1.7253890757666355E-3</v>
      </c>
      <c r="D222">
        <v>3.4597940527864357E-2</v>
      </c>
      <c r="E222">
        <v>-7.0290207524743881E-2</v>
      </c>
      <c r="F222">
        <v>0.78125237733818387</v>
      </c>
      <c r="G222">
        <v>0.9138883699164716</v>
      </c>
      <c r="H222">
        <v>16.801669402128816</v>
      </c>
      <c r="I222">
        <v>1.4133556425134957E-2</v>
      </c>
      <c r="J222">
        <v>0</v>
      </c>
      <c r="K222">
        <v>0</v>
      </c>
    </row>
    <row r="223" spans="1:11" x14ac:dyDescent="0.3">
      <c r="A223" t="s">
        <v>87</v>
      </c>
      <c r="B223">
        <v>2010</v>
      </c>
      <c r="C223">
        <v>6.3443146763305725E-3</v>
      </c>
      <c r="D223">
        <v>0.11553488006711729</v>
      </c>
      <c r="E223">
        <v>-7.1027878921052057E-2</v>
      </c>
      <c r="F223">
        <v>0.62486366100958579</v>
      </c>
      <c r="G223">
        <v>0.93805421074488926</v>
      </c>
      <c r="H223">
        <v>16.476335389966408</v>
      </c>
      <c r="I223">
        <v>1.8373595522014695E-2</v>
      </c>
      <c r="J223">
        <v>0</v>
      </c>
      <c r="K223">
        <v>0</v>
      </c>
    </row>
    <row r="224" spans="1:11" x14ac:dyDescent="0.3">
      <c r="A224" t="s">
        <v>88</v>
      </c>
      <c r="B224">
        <v>2007</v>
      </c>
      <c r="C224">
        <v>1.7675446781344234E-3</v>
      </c>
      <c r="D224">
        <v>7.095706499469015E-2</v>
      </c>
      <c r="E224">
        <v>0.53694143491962043</v>
      </c>
      <c r="F224">
        <v>0.12743995351824985</v>
      </c>
      <c r="G224">
        <v>0.66611841556469265</v>
      </c>
      <c r="H224">
        <v>17.488784298904214</v>
      </c>
      <c r="I224">
        <v>3.293794321157964E-2</v>
      </c>
      <c r="J224">
        <v>5.5329249920081239E-3</v>
      </c>
      <c r="K224">
        <v>0</v>
      </c>
    </row>
    <row r="225" spans="1:11" x14ac:dyDescent="0.3">
      <c r="A225" t="s">
        <v>88</v>
      </c>
      <c r="B225">
        <v>2008</v>
      </c>
      <c r="C225">
        <v>1.9005499600531705E-3</v>
      </c>
      <c r="D225">
        <v>0.17852125052408568</v>
      </c>
      <c r="E225">
        <v>0.40577145100307022</v>
      </c>
      <c r="F225">
        <v>0.25740309880339762</v>
      </c>
      <c r="G225">
        <v>0.43191374672709476</v>
      </c>
      <c r="H225">
        <v>17.51129831967674</v>
      </c>
      <c r="I225">
        <v>3.6503354402928651E-2</v>
      </c>
      <c r="J225">
        <v>9.9178472513380932E-3</v>
      </c>
      <c r="K225">
        <v>0</v>
      </c>
    </row>
    <row r="226" spans="1:11" x14ac:dyDescent="0.3">
      <c r="A226" t="s">
        <v>88</v>
      </c>
      <c r="B226">
        <v>2009</v>
      </c>
      <c r="C226">
        <v>3.5380671771362174E-3</v>
      </c>
      <c r="D226">
        <v>8.4995357107927896E-2</v>
      </c>
      <c r="E226">
        <v>-4.1488910212223735E-2</v>
      </c>
      <c r="F226">
        <v>0.32083345735745916</v>
      </c>
      <c r="G226">
        <v>0.92443661260737986</v>
      </c>
      <c r="H226">
        <v>17.265900752880569</v>
      </c>
      <c r="I226">
        <v>1.6259510677303541E-2</v>
      </c>
      <c r="J226">
        <v>1.5389516463306238E-2</v>
      </c>
      <c r="K226">
        <v>0</v>
      </c>
    </row>
    <row r="227" spans="1:11" x14ac:dyDescent="0.3">
      <c r="A227" t="s">
        <v>88</v>
      </c>
      <c r="B227">
        <v>2010</v>
      </c>
      <c r="C227">
        <v>2.3945313783973665E-3</v>
      </c>
      <c r="D227">
        <v>9.4966029636366855E-2</v>
      </c>
      <c r="E227">
        <v>2.5215561957332842E-2</v>
      </c>
      <c r="F227">
        <v>0.23296305594388361</v>
      </c>
      <c r="G227">
        <v>0.80913771774190457</v>
      </c>
      <c r="H227">
        <v>17.648107468907224</v>
      </c>
      <c r="I227">
        <v>4.7711170507315909E-3</v>
      </c>
      <c r="J227">
        <v>1.9033260221651086E-2</v>
      </c>
      <c r="K227">
        <v>0</v>
      </c>
    </row>
    <row r="228" spans="1:11" x14ac:dyDescent="0.3">
      <c r="A228" t="s">
        <v>89</v>
      </c>
      <c r="B228">
        <v>2007</v>
      </c>
      <c r="C228">
        <v>3.0694014689310136E-3</v>
      </c>
      <c r="D228">
        <v>3.6812860530495109E-2</v>
      </c>
      <c r="E228">
        <v>-7.9973851768442683E-2</v>
      </c>
      <c r="F228">
        <v>0.26279948395382902</v>
      </c>
      <c r="G228">
        <v>0.71740174566942094</v>
      </c>
      <c r="H228">
        <v>14.628588244492567</v>
      </c>
      <c r="I228">
        <v>3.7308818874119583E-3</v>
      </c>
      <c r="J228">
        <v>0</v>
      </c>
      <c r="K228">
        <v>0</v>
      </c>
    </row>
    <row r="229" spans="1:11" x14ac:dyDescent="0.3">
      <c r="A229" t="s">
        <v>89</v>
      </c>
      <c r="B229">
        <v>2008</v>
      </c>
      <c r="C229">
        <v>8.8102492566352185E-4</v>
      </c>
      <c r="D229">
        <v>2.4604660458703995E-2</v>
      </c>
      <c r="E229">
        <v>-0.12360290248767176</v>
      </c>
      <c r="F229">
        <v>0.2148974788819141</v>
      </c>
      <c r="G229">
        <v>0.67014426783157743</v>
      </c>
      <c r="H229">
        <v>14.712288140639421</v>
      </c>
      <c r="I229">
        <v>6.0825644672445452E-2</v>
      </c>
      <c r="J229">
        <v>0</v>
      </c>
      <c r="K229">
        <v>0</v>
      </c>
    </row>
    <row r="230" spans="1:11" x14ac:dyDescent="0.3">
      <c r="A230" t="s">
        <v>89</v>
      </c>
      <c r="B230">
        <v>2009</v>
      </c>
      <c r="C230">
        <v>6.1420351017666091E-4</v>
      </c>
      <c r="D230">
        <v>0.19216649307436939</v>
      </c>
      <c r="E230">
        <v>-0.34376423225821318</v>
      </c>
      <c r="F230">
        <v>0.49381386177396808</v>
      </c>
      <c r="G230">
        <v>0.732397363029197</v>
      </c>
      <c r="H230">
        <v>14.837090962986984</v>
      </c>
      <c r="I230">
        <v>4.747204865419883E-2</v>
      </c>
      <c r="J230">
        <v>0</v>
      </c>
      <c r="K230">
        <v>0</v>
      </c>
    </row>
    <row r="231" spans="1:11" x14ac:dyDescent="0.3">
      <c r="A231" t="s">
        <v>89</v>
      </c>
      <c r="B231">
        <v>2010</v>
      </c>
      <c r="C231">
        <v>1.447317069578728E-3</v>
      </c>
      <c r="D231">
        <v>6.7054483332474241E-2</v>
      </c>
      <c r="E231">
        <v>-0.35238175887130624</v>
      </c>
      <c r="F231">
        <v>0.51012974676553535</v>
      </c>
      <c r="G231">
        <v>0.80995836248094655</v>
      </c>
      <c r="H231">
        <v>14.814692858727465</v>
      </c>
      <c r="I231">
        <v>2.5705135876663912E-3</v>
      </c>
      <c r="J231">
        <v>0</v>
      </c>
      <c r="K231">
        <v>0</v>
      </c>
    </row>
    <row r="232" spans="1:11" x14ac:dyDescent="0.3">
      <c r="A232" t="s">
        <v>90</v>
      </c>
      <c r="B232">
        <v>2007</v>
      </c>
      <c r="C232">
        <v>1.8721825080584731E-2</v>
      </c>
      <c r="D232">
        <v>0.11985714795475361</v>
      </c>
      <c r="E232">
        <v>4.9177500505513068E-2</v>
      </c>
      <c r="F232">
        <v>0.15391088696727845</v>
      </c>
      <c r="G232">
        <v>1.0575541493701901</v>
      </c>
      <c r="H232">
        <v>12.725735109161144</v>
      </c>
      <c r="I232">
        <v>1.4950065320673576E-2</v>
      </c>
      <c r="J232">
        <v>0</v>
      </c>
      <c r="K232">
        <v>0</v>
      </c>
    </row>
    <row r="233" spans="1:11" x14ac:dyDescent="0.3">
      <c r="A233" t="s">
        <v>90</v>
      </c>
      <c r="B233">
        <v>2009</v>
      </c>
      <c r="C233">
        <v>3.5098568001328363E-3</v>
      </c>
      <c r="D233">
        <v>0.39433498806190631</v>
      </c>
      <c r="E233">
        <v>0.1240817401560827</v>
      </c>
      <c r="F233">
        <v>1.3920160777779687</v>
      </c>
      <c r="G233">
        <v>1.4566764576211988</v>
      </c>
      <c r="H233">
        <v>12.070544975955775</v>
      </c>
      <c r="I233">
        <v>3.362051867865061E-2</v>
      </c>
      <c r="J233">
        <v>0</v>
      </c>
      <c r="K233">
        <v>0</v>
      </c>
    </row>
    <row r="234" spans="1:11" x14ac:dyDescent="0.3">
      <c r="A234" t="s">
        <v>90</v>
      </c>
      <c r="B234">
        <v>2010</v>
      </c>
      <c r="C234">
        <v>4.1686684652056617E-3</v>
      </c>
      <c r="D234">
        <v>0.21546250785320964</v>
      </c>
      <c r="E234">
        <v>0.2481022949850327</v>
      </c>
      <c r="F234">
        <v>1.7307217561624597</v>
      </c>
      <c r="G234">
        <v>1.662951328578292</v>
      </c>
      <c r="H234">
        <v>11.815212858561026</v>
      </c>
      <c r="I234">
        <v>3.6914278869457917E-3</v>
      </c>
      <c r="J234">
        <v>0</v>
      </c>
      <c r="K234">
        <v>0</v>
      </c>
    </row>
    <row r="235" spans="1:11" x14ac:dyDescent="0.3">
      <c r="A235" t="s">
        <v>91</v>
      </c>
      <c r="B235">
        <v>2007</v>
      </c>
      <c r="C235">
        <v>2.0108157639203917E-2</v>
      </c>
      <c r="D235">
        <v>4.1946146560222684E-2</v>
      </c>
      <c r="E235">
        <v>7.0669735890215343E-2</v>
      </c>
      <c r="F235">
        <v>0.38554961625794637</v>
      </c>
      <c r="G235">
        <v>0.77515907168188869</v>
      </c>
      <c r="H235">
        <v>14.703998756453478</v>
      </c>
      <c r="I235">
        <v>4.6324348221552306E-4</v>
      </c>
      <c r="J235">
        <v>0</v>
      </c>
      <c r="K235">
        <v>0</v>
      </c>
    </row>
    <row r="236" spans="1:11" x14ac:dyDescent="0.3">
      <c r="A236" t="s">
        <v>91</v>
      </c>
      <c r="B236">
        <v>2009</v>
      </c>
      <c r="C236">
        <v>2.0381957082697043E-2</v>
      </c>
      <c r="D236">
        <v>2.6576423612311391E-2</v>
      </c>
      <c r="E236">
        <v>-2.1513553742199303E-2</v>
      </c>
      <c r="F236">
        <v>0.59907486296462731</v>
      </c>
      <c r="G236">
        <v>0.78999836648820043</v>
      </c>
      <c r="H236">
        <v>14.897552310497723</v>
      </c>
      <c r="I236">
        <v>9.4799512008057387E-3</v>
      </c>
      <c r="J236">
        <v>0</v>
      </c>
      <c r="K236">
        <v>0</v>
      </c>
    </row>
    <row r="237" spans="1:11" x14ac:dyDescent="0.3">
      <c r="A237" t="s">
        <v>91</v>
      </c>
      <c r="B237">
        <v>2010</v>
      </c>
      <c r="C237">
        <v>1.9358317114788363E-2</v>
      </c>
      <c r="D237">
        <v>5.2838543678284354E-2</v>
      </c>
      <c r="E237">
        <v>5.6559231759082543E-3</v>
      </c>
      <c r="F237">
        <v>0.56316408896994496</v>
      </c>
      <c r="G237">
        <v>0.77015197388955559</v>
      </c>
      <c r="H237">
        <v>14.973845414661783</v>
      </c>
      <c r="I237">
        <v>5.2301000140039626E-3</v>
      </c>
      <c r="J237">
        <v>4.9534859038392574E-3</v>
      </c>
      <c r="K237">
        <v>0</v>
      </c>
    </row>
    <row r="238" spans="1:11" x14ac:dyDescent="0.3">
      <c r="A238" t="s">
        <v>92</v>
      </c>
      <c r="B238">
        <v>2009</v>
      </c>
      <c r="C238">
        <v>1.5758248591340345E-3</v>
      </c>
      <c r="D238">
        <v>4.5296446727891959E-2</v>
      </c>
      <c r="E238">
        <v>-2.5136535996240734E-2</v>
      </c>
      <c r="F238">
        <v>0.74741586018032546</v>
      </c>
      <c r="G238">
        <v>0.95480931809373459</v>
      </c>
      <c r="H238">
        <v>14.158238898579265</v>
      </c>
      <c r="I238">
        <v>6.2075853169185957E-2</v>
      </c>
      <c r="J238">
        <v>3.280838963476355E-3</v>
      </c>
      <c r="K238">
        <v>0</v>
      </c>
    </row>
    <row r="239" spans="1:11" x14ac:dyDescent="0.3">
      <c r="A239" t="s">
        <v>92</v>
      </c>
      <c r="B239">
        <v>2010</v>
      </c>
      <c r="C239">
        <v>4.0472244809733101E-3</v>
      </c>
      <c r="D239">
        <v>0.22364449202117623</v>
      </c>
      <c r="E239">
        <v>4.1107668660085979E-2</v>
      </c>
      <c r="F239">
        <v>0.5608123269482157</v>
      </c>
      <c r="G239">
        <v>0.83990331401672269</v>
      </c>
      <c r="H239">
        <v>14.192092535513364</v>
      </c>
      <c r="I239">
        <v>5.0900900180543968E-3</v>
      </c>
      <c r="J239">
        <v>2.1145341197218132E-2</v>
      </c>
      <c r="K239">
        <v>0</v>
      </c>
    </row>
    <row r="240" spans="1:11" x14ac:dyDescent="0.3">
      <c r="A240" t="s">
        <v>93</v>
      </c>
      <c r="B240">
        <v>2007</v>
      </c>
      <c r="C240">
        <v>2.7815060493369539E-2</v>
      </c>
      <c r="D240">
        <v>7.54308988267548E-2</v>
      </c>
      <c r="E240">
        <v>-4.7824381348879112E-2</v>
      </c>
      <c r="F240">
        <v>0.15181804367577412</v>
      </c>
      <c r="G240">
        <v>0.89340527219632038</v>
      </c>
      <c r="H240">
        <v>14.268378837065354</v>
      </c>
      <c r="I240">
        <v>7.3671469310387476E-3</v>
      </c>
      <c r="J240">
        <v>0</v>
      </c>
      <c r="K240">
        <v>0</v>
      </c>
    </row>
    <row r="241" spans="1:11" x14ac:dyDescent="0.3">
      <c r="A241" t="s">
        <v>93</v>
      </c>
      <c r="B241">
        <v>2009</v>
      </c>
      <c r="C241">
        <v>4.0929034158783979E-3</v>
      </c>
      <c r="D241">
        <v>0.13366123939705427</v>
      </c>
      <c r="E241">
        <v>0.15180892117268305</v>
      </c>
      <c r="F241">
        <v>0.60252383865884562</v>
      </c>
      <c r="G241">
        <v>0.89467043890009124</v>
      </c>
      <c r="H241">
        <v>14.252345771896591</v>
      </c>
      <c r="I241">
        <v>1.342617364310702E-2</v>
      </c>
      <c r="J241">
        <v>2.3879038713633085E-2</v>
      </c>
      <c r="K241">
        <v>0</v>
      </c>
    </row>
    <row r="242" spans="1:11" x14ac:dyDescent="0.3">
      <c r="A242" t="s">
        <v>93</v>
      </c>
      <c r="B242">
        <v>2010</v>
      </c>
      <c r="C242">
        <v>5.2961184962831184E-2</v>
      </c>
      <c r="D242">
        <v>0.17599514853323064</v>
      </c>
      <c r="E242">
        <v>0.1105360196965323</v>
      </c>
      <c r="F242">
        <v>0.50695251389082485</v>
      </c>
      <c r="G242">
        <v>0.848351644141213</v>
      </c>
      <c r="H242">
        <v>14.230113125380909</v>
      </c>
      <c r="I242">
        <v>4.3352811414453657E-3</v>
      </c>
      <c r="J242">
        <v>3.6623817768761287E-2</v>
      </c>
      <c r="K242">
        <v>0</v>
      </c>
    </row>
    <row r="243" spans="1:11" x14ac:dyDescent="0.3">
      <c r="A243" t="s">
        <v>94</v>
      </c>
      <c r="B243">
        <v>2009</v>
      </c>
      <c r="C243">
        <v>2.0315740466415543E-3</v>
      </c>
      <c r="D243">
        <v>5.6956024886782072E-2</v>
      </c>
      <c r="E243">
        <v>3.9933127354298045E-3</v>
      </c>
      <c r="F243">
        <v>0.39748381089431584</v>
      </c>
      <c r="G243">
        <v>0.74290536250899397</v>
      </c>
      <c r="H243">
        <v>13.759024858977412</v>
      </c>
      <c r="I243">
        <v>3.6189733182639273E-2</v>
      </c>
      <c r="J243">
        <v>0</v>
      </c>
      <c r="K243">
        <v>0</v>
      </c>
    </row>
    <row r="244" spans="1:11" x14ac:dyDescent="0.3">
      <c r="A244" t="s">
        <v>94</v>
      </c>
      <c r="B244">
        <v>2010</v>
      </c>
      <c r="C244">
        <v>1.1724239354227262E-3</v>
      </c>
      <c r="D244">
        <v>0.16357764959639204</v>
      </c>
      <c r="E244">
        <v>1.9805590051962481E-2</v>
      </c>
      <c r="F244">
        <v>0.2272265842020981</v>
      </c>
      <c r="G244">
        <v>0.69065288081309839</v>
      </c>
      <c r="H244">
        <v>13.794458510467642</v>
      </c>
      <c r="I244">
        <v>3.5288092169184403E-2</v>
      </c>
      <c r="J244">
        <v>2.4476902839962091E-2</v>
      </c>
      <c r="K244">
        <v>0</v>
      </c>
    </row>
    <row r="245" spans="1:11" x14ac:dyDescent="0.3">
      <c r="A245" t="s">
        <v>95</v>
      </c>
      <c r="B245">
        <v>2007</v>
      </c>
      <c r="C245">
        <v>1.0126812135005084E-3</v>
      </c>
      <c r="D245">
        <v>5.2251206411916606E-2</v>
      </c>
      <c r="E245">
        <v>-0.10268089378081607</v>
      </c>
      <c r="F245">
        <v>0.24505154287714867</v>
      </c>
      <c r="G245">
        <v>0.92522480622072067</v>
      </c>
      <c r="H245">
        <v>15.54914803160951</v>
      </c>
      <c r="I245">
        <v>6.5207498940032561E-3</v>
      </c>
      <c r="J245">
        <v>8.2791502663123729E-4</v>
      </c>
      <c r="K245">
        <v>0</v>
      </c>
    </row>
    <row r="246" spans="1:11" x14ac:dyDescent="0.3">
      <c r="A246" t="s">
        <v>95</v>
      </c>
      <c r="B246">
        <v>2009</v>
      </c>
      <c r="C246">
        <v>3.4930250584433697E-4</v>
      </c>
      <c r="D246">
        <v>3.4788868908441448E-2</v>
      </c>
      <c r="E246">
        <v>-6.1895214634215309E-2</v>
      </c>
      <c r="F246">
        <v>0.78591481686696862</v>
      </c>
      <c r="G246">
        <v>0.87479659552924216</v>
      </c>
      <c r="H246">
        <v>16.002914402715774</v>
      </c>
      <c r="I246">
        <v>1.0191719251048741E-2</v>
      </c>
      <c r="J246">
        <v>0</v>
      </c>
      <c r="K246">
        <v>0</v>
      </c>
    </row>
    <row r="247" spans="1:11" x14ac:dyDescent="0.3">
      <c r="A247" t="s">
        <v>95</v>
      </c>
      <c r="B247">
        <v>2010</v>
      </c>
      <c r="C247">
        <v>3.7834529702926656E-4</v>
      </c>
      <c r="D247">
        <v>7.1627264415408329E-2</v>
      </c>
      <c r="E247">
        <v>-6.0727182246661154E-2</v>
      </c>
      <c r="F247">
        <v>0.6407610817031909</v>
      </c>
      <c r="G247">
        <v>0.78766718918828071</v>
      </c>
      <c r="H247">
        <v>15.956529326411868</v>
      </c>
      <c r="I247">
        <v>1.466212542517673E-2</v>
      </c>
      <c r="J247">
        <v>3.0559110664060054E-3</v>
      </c>
      <c r="K247">
        <v>0</v>
      </c>
    </row>
    <row r="248" spans="1:11" x14ac:dyDescent="0.3">
      <c r="A248" t="s">
        <v>96</v>
      </c>
      <c r="B248">
        <v>2007</v>
      </c>
      <c r="C248">
        <v>8.2990851128327708E-4</v>
      </c>
      <c r="D248">
        <v>0.38572358580111021</v>
      </c>
      <c r="E248">
        <v>-0.64013278536180529</v>
      </c>
      <c r="F248">
        <v>8.9232558255104927E-2</v>
      </c>
      <c r="G248">
        <v>1.1739746654276015</v>
      </c>
      <c r="H248">
        <v>12.212188903035415</v>
      </c>
      <c r="I248">
        <v>5.795061717518106E-2</v>
      </c>
      <c r="J248">
        <v>0</v>
      </c>
      <c r="K248">
        <v>0</v>
      </c>
    </row>
    <row r="249" spans="1:11" x14ac:dyDescent="0.3">
      <c r="A249" t="s">
        <v>96</v>
      </c>
      <c r="B249">
        <v>2009</v>
      </c>
      <c r="C249">
        <v>4.7114225109433604E-3</v>
      </c>
      <c r="D249">
        <v>4.0679781155682881E-2</v>
      </c>
      <c r="E249">
        <v>1.3660608251739612E-3</v>
      </c>
      <c r="F249">
        <v>0.26053548669063187</v>
      </c>
      <c r="G249">
        <v>1.0937753848195633</v>
      </c>
      <c r="H249">
        <v>12.987741104271681</v>
      </c>
      <c r="I249">
        <v>2.8242589320007356E-2</v>
      </c>
      <c r="J249">
        <v>0</v>
      </c>
      <c r="K249">
        <v>0</v>
      </c>
    </row>
    <row r="250" spans="1:11" x14ac:dyDescent="0.3">
      <c r="A250" t="s">
        <v>96</v>
      </c>
      <c r="B250">
        <v>2010</v>
      </c>
      <c r="C250">
        <v>1.1028057256882028E-3</v>
      </c>
      <c r="D250">
        <v>0.13600611241200428</v>
      </c>
      <c r="E250">
        <v>-6.0763111890273301E-2</v>
      </c>
      <c r="F250">
        <v>0.26285102479334754</v>
      </c>
      <c r="G250">
        <v>0.58782366482618442</v>
      </c>
      <c r="H250">
        <v>12.910216638892967</v>
      </c>
      <c r="I250">
        <v>6.9379796923410217E-2</v>
      </c>
      <c r="J250">
        <v>0</v>
      </c>
      <c r="K250">
        <v>0</v>
      </c>
    </row>
    <row r="251" spans="1:11" x14ac:dyDescent="0.3">
      <c r="A251" t="s">
        <v>97</v>
      </c>
      <c r="B251">
        <v>2007</v>
      </c>
      <c r="C251">
        <v>6.6679884379793591E-3</v>
      </c>
      <c r="D251">
        <v>0.1191017140970705</v>
      </c>
      <c r="E251">
        <v>3.1917931282437549E-2</v>
      </c>
      <c r="F251">
        <v>0.35383312099614755</v>
      </c>
      <c r="G251">
        <v>0.96476088113449721</v>
      </c>
      <c r="H251">
        <v>13.868236775227302</v>
      </c>
      <c r="I251">
        <v>5.4459100405100658E-5</v>
      </c>
      <c r="J251">
        <v>9.7633997728956562E-3</v>
      </c>
      <c r="K251">
        <v>0</v>
      </c>
    </row>
    <row r="252" spans="1:11" x14ac:dyDescent="0.3">
      <c r="A252" t="s">
        <v>97</v>
      </c>
      <c r="B252">
        <v>2008</v>
      </c>
      <c r="C252">
        <v>6.6679884379793591E-3</v>
      </c>
      <c r="D252">
        <v>0.1191017140970705</v>
      </c>
      <c r="E252">
        <v>3.1917931282437549E-2</v>
      </c>
      <c r="F252">
        <v>0.35383312099614755</v>
      </c>
      <c r="G252">
        <v>0.89642372320211428</v>
      </c>
      <c r="H252">
        <v>13.868236775227302</v>
      </c>
      <c r="I252">
        <v>1.8928631341092707E-2</v>
      </c>
      <c r="J252">
        <v>9.7633997728956562E-3</v>
      </c>
      <c r="K252">
        <v>0</v>
      </c>
    </row>
    <row r="253" spans="1:11" x14ac:dyDescent="0.3">
      <c r="A253" t="s">
        <v>97</v>
      </c>
      <c r="B253">
        <v>2009</v>
      </c>
      <c r="C253">
        <v>5.9166215194868602E-3</v>
      </c>
      <c r="D253">
        <v>0.14130331547511554</v>
      </c>
      <c r="E253">
        <v>4.6959086622388985E-2</v>
      </c>
      <c r="F253">
        <v>0.47525800777200339</v>
      </c>
      <c r="G253">
        <v>0.7539866631886617</v>
      </c>
      <c r="H253">
        <v>14.21771034069547</v>
      </c>
      <c r="I253">
        <v>1.4551538467282236E-2</v>
      </c>
      <c r="J253">
        <v>1.0325661657001826E-2</v>
      </c>
      <c r="K253">
        <v>0</v>
      </c>
    </row>
    <row r="254" spans="1:11" x14ac:dyDescent="0.3">
      <c r="A254" t="s">
        <v>97</v>
      </c>
      <c r="B254">
        <v>2010</v>
      </c>
      <c r="C254">
        <v>1.7889714361851205E-3</v>
      </c>
      <c r="D254">
        <v>0.1197726426927265</v>
      </c>
      <c r="E254">
        <v>6.5254097117889487E-2</v>
      </c>
      <c r="F254">
        <v>0.43981245376815392</v>
      </c>
      <c r="G254">
        <v>0.76357688614445929</v>
      </c>
      <c r="H254">
        <v>14.370098872162806</v>
      </c>
      <c r="I254">
        <v>5.1290507831582788E-2</v>
      </c>
      <c r="J254">
        <v>1.1821569195003056E-2</v>
      </c>
      <c r="K254">
        <v>0</v>
      </c>
    </row>
    <row r="255" spans="1:11" x14ac:dyDescent="0.3">
      <c r="A255" t="s">
        <v>98</v>
      </c>
      <c r="B255">
        <v>2007</v>
      </c>
      <c r="C255">
        <v>1.2184804125935493E-2</v>
      </c>
      <c r="D255">
        <v>1.4516575753423459E-2</v>
      </c>
      <c r="E255">
        <v>-7.7958956387882256E-4</v>
      </c>
      <c r="F255">
        <v>0.3896918667875604</v>
      </c>
      <c r="G255">
        <v>0.86500870259853468</v>
      </c>
      <c r="H255">
        <v>15.048073734589767</v>
      </c>
      <c r="I255">
        <v>1.8336341912535348E-2</v>
      </c>
      <c r="J255">
        <v>0</v>
      </c>
      <c r="K255">
        <v>0</v>
      </c>
    </row>
    <row r="256" spans="1:11" x14ac:dyDescent="0.3">
      <c r="A256" t="s">
        <v>98</v>
      </c>
      <c r="B256">
        <v>2009</v>
      </c>
      <c r="C256">
        <v>4.4182778530460383E-3</v>
      </c>
      <c r="D256">
        <v>6.335490090073935E-2</v>
      </c>
      <c r="E256">
        <v>-0.11731590286816095</v>
      </c>
      <c r="F256">
        <v>0.67927320504584632</v>
      </c>
      <c r="G256">
        <v>0.8238584386974549</v>
      </c>
      <c r="H256">
        <v>15.232993702863354</v>
      </c>
      <c r="I256">
        <v>2.4428672513796705E-2</v>
      </c>
      <c r="J256">
        <v>0</v>
      </c>
      <c r="K256">
        <v>0</v>
      </c>
    </row>
    <row r="257" spans="1:11" x14ac:dyDescent="0.3">
      <c r="A257" t="s">
        <v>98</v>
      </c>
      <c r="B257">
        <v>2010</v>
      </c>
      <c r="C257">
        <v>8.4246682994122534E-3</v>
      </c>
      <c r="D257">
        <v>0.13340630633386805</v>
      </c>
      <c r="E257">
        <v>-9.2929177811319097E-2</v>
      </c>
      <c r="F257">
        <v>0.57350402818903257</v>
      </c>
      <c r="G257">
        <v>0.71764054172527514</v>
      </c>
      <c r="H257">
        <v>15.269918837738558</v>
      </c>
      <c r="I257">
        <v>4.8946243657490354E-3</v>
      </c>
      <c r="J257">
        <v>3.5976607848435373E-3</v>
      </c>
      <c r="K257">
        <v>0</v>
      </c>
    </row>
    <row r="258" spans="1:11" x14ac:dyDescent="0.3">
      <c r="A258" t="s">
        <v>99</v>
      </c>
      <c r="B258">
        <v>2007</v>
      </c>
      <c r="C258">
        <v>4.7702961102186435E-3</v>
      </c>
      <c r="D258">
        <v>9.7159453059882508E-2</v>
      </c>
      <c r="E258">
        <v>-8.1258466025820361E-2</v>
      </c>
      <c r="F258">
        <v>0.17852943749537342</v>
      </c>
      <c r="G258">
        <v>0.9060000749865168</v>
      </c>
      <c r="H258">
        <v>13.854911062646398</v>
      </c>
      <c r="I258">
        <v>4.964407636370044E-3</v>
      </c>
      <c r="J258">
        <v>0</v>
      </c>
      <c r="K258">
        <v>0</v>
      </c>
    </row>
    <row r="259" spans="1:11" x14ac:dyDescent="0.3">
      <c r="A259" t="s">
        <v>100</v>
      </c>
      <c r="B259">
        <v>2009</v>
      </c>
      <c r="C259">
        <v>6.486592336029961E-4</v>
      </c>
      <c r="D259">
        <v>0.10698049806694108</v>
      </c>
      <c r="E259">
        <v>1.0935415570269377E-2</v>
      </c>
      <c r="F259">
        <v>0.54320791228277732</v>
      </c>
      <c r="G259">
        <v>0.93550125584235266</v>
      </c>
      <c r="H259">
        <v>14.201266714388561</v>
      </c>
      <c r="I259">
        <v>1.6790425413079027E-2</v>
      </c>
      <c r="J259">
        <v>0</v>
      </c>
      <c r="K259">
        <v>0</v>
      </c>
    </row>
    <row r="260" spans="1:11" x14ac:dyDescent="0.3">
      <c r="A260" t="s">
        <v>100</v>
      </c>
      <c r="B260">
        <v>2010</v>
      </c>
      <c r="C260">
        <v>1.5516165046406025E-3</v>
      </c>
      <c r="D260">
        <v>5.3059974251973195E-2</v>
      </c>
      <c r="E260">
        <v>7.1735064719763555E-2</v>
      </c>
      <c r="F260">
        <v>0.53153032387080401</v>
      </c>
      <c r="G260">
        <v>0.78043266528342259</v>
      </c>
      <c r="H260">
        <v>14.250013944515459</v>
      </c>
      <c r="I260">
        <v>1.4056778047909427E-2</v>
      </c>
      <c r="J260">
        <v>0</v>
      </c>
      <c r="K260">
        <v>0</v>
      </c>
    </row>
    <row r="261" spans="1:11" x14ac:dyDescent="0.3">
      <c r="A261" t="s">
        <v>101</v>
      </c>
      <c r="B261">
        <v>2007</v>
      </c>
      <c r="C261">
        <v>3.2013083023432948E-2</v>
      </c>
      <c r="D261">
        <v>0.1162163776752244</v>
      </c>
      <c r="E261">
        <v>-1.2761921830428484E-2</v>
      </c>
      <c r="F261">
        <v>0.33073465059665158</v>
      </c>
      <c r="G261">
        <v>0.81215556252520271</v>
      </c>
      <c r="H261">
        <v>11.80495308185224</v>
      </c>
      <c r="I261">
        <v>3.4324533574356761E-2</v>
      </c>
      <c r="J261">
        <v>0</v>
      </c>
      <c r="K261">
        <v>0</v>
      </c>
    </row>
    <row r="262" spans="1:11" x14ac:dyDescent="0.3">
      <c r="A262" t="s">
        <v>101</v>
      </c>
      <c r="B262">
        <v>2009</v>
      </c>
      <c r="C262">
        <v>3.1589372117370756E-2</v>
      </c>
      <c r="D262">
        <v>7.3133188081831307E-2</v>
      </c>
      <c r="E262">
        <v>5.9647434990520928E-3</v>
      </c>
      <c r="F262">
        <v>0.46719108118049857</v>
      </c>
      <c r="G262">
        <v>0.99022942191788565</v>
      </c>
      <c r="H262">
        <v>12.082236954455269</v>
      </c>
      <c r="I262">
        <v>4.4534321893508512E-3</v>
      </c>
      <c r="J262">
        <v>0</v>
      </c>
      <c r="K262">
        <v>0</v>
      </c>
    </row>
    <row r="263" spans="1:11" x14ac:dyDescent="0.3">
      <c r="A263" t="s">
        <v>102</v>
      </c>
      <c r="B263">
        <v>2007</v>
      </c>
      <c r="C263">
        <v>7.5415178009947915E-4</v>
      </c>
      <c r="D263">
        <v>4.1193090114203544E-2</v>
      </c>
      <c r="E263">
        <v>-5.2131877570129659E-2</v>
      </c>
      <c r="F263">
        <v>0.35780006704634087</v>
      </c>
      <c r="G263">
        <v>0.84247199189322708</v>
      </c>
      <c r="H263">
        <v>15.246343677870717</v>
      </c>
      <c r="I263">
        <v>4.2929772646630917E-3</v>
      </c>
      <c r="J263">
        <v>3.3917701333896996E-3</v>
      </c>
      <c r="K263">
        <v>0</v>
      </c>
    </row>
    <row r="264" spans="1:11" x14ac:dyDescent="0.3">
      <c r="A264" t="s">
        <v>102</v>
      </c>
      <c r="B264">
        <v>2009</v>
      </c>
      <c r="C264">
        <v>8.0143989200809937E-4</v>
      </c>
      <c r="D264">
        <v>0.21234032447566434</v>
      </c>
      <c r="E264">
        <v>-7.9425543084268677E-2</v>
      </c>
      <c r="F264">
        <v>0.77303777216708747</v>
      </c>
      <c r="G264">
        <v>0.91153081518886092</v>
      </c>
      <c r="H264">
        <v>15.201879916271805</v>
      </c>
      <c r="I264">
        <v>4.7025753481287048E-2</v>
      </c>
      <c r="J264">
        <v>0</v>
      </c>
      <c r="K264">
        <v>0</v>
      </c>
    </row>
    <row r="265" spans="1:11" x14ac:dyDescent="0.3">
      <c r="A265" t="s">
        <v>102</v>
      </c>
      <c r="B265">
        <v>2010</v>
      </c>
      <c r="C265">
        <v>1.5044001162182973E-3</v>
      </c>
      <c r="D265">
        <v>5.5119195755829763E-2</v>
      </c>
      <c r="E265">
        <v>-0.10349802674545568</v>
      </c>
      <c r="F265">
        <v>0.78631927673592605</v>
      </c>
      <c r="G265">
        <v>0.90294480393244769</v>
      </c>
      <c r="H265">
        <v>15.367774338787843</v>
      </c>
      <c r="I265">
        <v>3.7744188507890075E-2</v>
      </c>
      <c r="J265">
        <v>0</v>
      </c>
      <c r="K265">
        <v>0</v>
      </c>
    </row>
    <row r="266" spans="1:11" x14ac:dyDescent="0.3">
      <c r="A266" t="s">
        <v>103</v>
      </c>
      <c r="B266">
        <v>2008</v>
      </c>
      <c r="C266">
        <v>7.823767557240251E-3</v>
      </c>
      <c r="D266">
        <v>0.1382131064650009</v>
      </c>
      <c r="E266">
        <v>-0.26697016075119029</v>
      </c>
      <c r="F266">
        <v>0.30532206231187159</v>
      </c>
      <c r="G266">
        <v>0.95335113801797888</v>
      </c>
      <c r="H266">
        <v>13.286789087839331</v>
      </c>
      <c r="I266">
        <v>1.0617492426896937E-2</v>
      </c>
      <c r="J266">
        <v>0</v>
      </c>
      <c r="K266">
        <v>0</v>
      </c>
    </row>
    <row r="267" spans="1:11" x14ac:dyDescent="0.3">
      <c r="A267" t="s">
        <v>103</v>
      </c>
      <c r="B267">
        <v>2009</v>
      </c>
      <c r="C267">
        <v>4.4659095501758074E-3</v>
      </c>
      <c r="D267">
        <v>0.22834741138907974</v>
      </c>
      <c r="E267">
        <v>-0.52112971345431036</v>
      </c>
      <c r="F267">
        <v>0.79912247908499379</v>
      </c>
      <c r="G267">
        <v>0.91786818494119549</v>
      </c>
      <c r="H267">
        <v>12.888886621950327</v>
      </c>
      <c r="I267">
        <v>1.9772734436483735E-2</v>
      </c>
      <c r="J267">
        <v>0</v>
      </c>
      <c r="K267">
        <v>0</v>
      </c>
    </row>
    <row r="268" spans="1:11" x14ac:dyDescent="0.3">
      <c r="A268" t="s">
        <v>103</v>
      </c>
      <c r="B268">
        <v>2010</v>
      </c>
      <c r="C268">
        <v>2.6637882311519611E-3</v>
      </c>
      <c r="D268">
        <v>0.21874102419182981</v>
      </c>
      <c r="E268">
        <v>-2.5498244216105033E-2</v>
      </c>
      <c r="F268">
        <v>0.46196342039674232</v>
      </c>
      <c r="G268">
        <v>0.62972037172585682</v>
      </c>
      <c r="H268">
        <v>12.975523243631837</v>
      </c>
      <c r="I268">
        <v>6.2395254299317707E-2</v>
      </c>
      <c r="J268">
        <v>0</v>
      </c>
      <c r="K268">
        <v>0</v>
      </c>
    </row>
    <row r="269" spans="1:11" x14ac:dyDescent="0.3">
      <c r="A269" t="s">
        <v>104</v>
      </c>
      <c r="B269">
        <v>2007</v>
      </c>
      <c r="C269">
        <v>1.8271700181701908E-4</v>
      </c>
      <c r="D269">
        <v>1.9521687493021225</v>
      </c>
      <c r="E269">
        <v>-0.57619806522996964</v>
      </c>
      <c r="F269">
        <v>0.12443027823738999</v>
      </c>
      <c r="G269">
        <v>0.92317765168048882</v>
      </c>
      <c r="H269">
        <v>11.497943798147057</v>
      </c>
      <c r="I269">
        <v>0</v>
      </c>
      <c r="J269">
        <v>0</v>
      </c>
      <c r="K269">
        <v>0</v>
      </c>
    </row>
    <row r="270" spans="1:11" x14ac:dyDescent="0.3">
      <c r="A270" t="s">
        <v>105</v>
      </c>
      <c r="B270">
        <v>2007</v>
      </c>
      <c r="C270">
        <v>1.5957106453814072E-2</v>
      </c>
      <c r="D270">
        <v>4.5399772676318721E-2</v>
      </c>
      <c r="E270">
        <v>0.1076006898839008</v>
      </c>
      <c r="F270">
        <v>0.13505048842353909</v>
      </c>
      <c r="G270">
        <v>0.66448753749448664</v>
      </c>
      <c r="H270">
        <v>14.532032898288751</v>
      </c>
      <c r="I270">
        <v>1.6959755116068252E-3</v>
      </c>
      <c r="J270">
        <v>0</v>
      </c>
      <c r="K270">
        <v>0</v>
      </c>
    </row>
    <row r="271" spans="1:11" x14ac:dyDescent="0.3">
      <c r="A271" t="s">
        <v>105</v>
      </c>
      <c r="B271">
        <v>2009</v>
      </c>
      <c r="C271">
        <v>6.9281834177716351E-3</v>
      </c>
      <c r="D271">
        <v>9.8466614944076283E-2</v>
      </c>
      <c r="E271">
        <v>-3.332941043282598E-2</v>
      </c>
      <c r="F271">
        <v>0.50285614873080309</v>
      </c>
      <c r="G271">
        <v>0.63855300616769506</v>
      </c>
      <c r="H271">
        <v>14.955564808932893</v>
      </c>
      <c r="I271">
        <v>2.0598475517775067E-2</v>
      </c>
      <c r="J271">
        <v>0</v>
      </c>
      <c r="K271">
        <v>0</v>
      </c>
    </row>
    <row r="272" spans="1:11" x14ac:dyDescent="0.3">
      <c r="A272" t="s">
        <v>105</v>
      </c>
      <c r="B272">
        <v>2010</v>
      </c>
      <c r="C272">
        <v>1.1117920420401793E-2</v>
      </c>
      <c r="D272">
        <v>0.16836913182960628</v>
      </c>
      <c r="E272">
        <v>1.2334026039759671E-2</v>
      </c>
      <c r="F272">
        <v>0.27753791601817746</v>
      </c>
      <c r="G272">
        <v>0.54468300262892899</v>
      </c>
      <c r="H272">
        <v>14.85270868404398</v>
      </c>
      <c r="I272">
        <v>3.8048039823515706E-3</v>
      </c>
      <c r="J272">
        <v>2.9617541694416868E-3</v>
      </c>
      <c r="K272">
        <v>0</v>
      </c>
    </row>
    <row r="273" spans="1:11" x14ac:dyDescent="0.3">
      <c r="A273" t="s">
        <v>106</v>
      </c>
      <c r="B273">
        <v>2007</v>
      </c>
      <c r="C273">
        <v>1.6579425713075208E-2</v>
      </c>
      <c r="D273">
        <v>4.3635966051196545E-2</v>
      </c>
      <c r="E273">
        <v>-0.67218357501127524</v>
      </c>
      <c r="F273">
        <v>0.55830611324468016</v>
      </c>
      <c r="G273">
        <v>1.1489222894941846</v>
      </c>
      <c r="H273">
        <v>13.503112205975395</v>
      </c>
      <c r="I273">
        <v>2.0105602456197864E-2</v>
      </c>
      <c r="J273">
        <v>0</v>
      </c>
      <c r="K273">
        <v>0</v>
      </c>
    </row>
    <row r="274" spans="1:11" x14ac:dyDescent="0.3">
      <c r="A274" t="s">
        <v>106</v>
      </c>
      <c r="B274">
        <v>2008</v>
      </c>
      <c r="C274">
        <v>1.246154516958883E-2</v>
      </c>
      <c r="D274">
        <v>8.39102567208143E-2</v>
      </c>
      <c r="E274">
        <v>-0.60862454035879876</v>
      </c>
      <c r="F274">
        <v>0.60375076909660819</v>
      </c>
      <c r="G274">
        <v>1.1877392677715819</v>
      </c>
      <c r="H274">
        <v>13.847062518177184</v>
      </c>
      <c r="I274">
        <v>2.3623978015576898E-2</v>
      </c>
      <c r="J274">
        <v>0</v>
      </c>
      <c r="K274">
        <v>0</v>
      </c>
    </row>
    <row r="275" spans="1:11" x14ac:dyDescent="0.3">
      <c r="A275" t="s">
        <v>106</v>
      </c>
      <c r="B275">
        <v>2009</v>
      </c>
      <c r="C275">
        <v>2.359770758897916E-3</v>
      </c>
      <c r="D275">
        <v>3.6005850923525991E-2</v>
      </c>
      <c r="E275">
        <v>-0.4448925405084897</v>
      </c>
      <c r="F275">
        <v>0.84584538651192098</v>
      </c>
      <c r="G275">
        <v>1.0883540680703943</v>
      </c>
      <c r="H275">
        <v>13.729366441159426</v>
      </c>
      <c r="I275">
        <v>4.7076972941397767E-2</v>
      </c>
      <c r="J275">
        <v>0</v>
      </c>
      <c r="K275">
        <v>0</v>
      </c>
    </row>
    <row r="276" spans="1:11" x14ac:dyDescent="0.3">
      <c r="A276" t="s">
        <v>106</v>
      </c>
      <c r="B276">
        <v>2010</v>
      </c>
      <c r="C276">
        <v>2.1549990754813507E-3</v>
      </c>
      <c r="D276">
        <v>0.14663860773295589</v>
      </c>
      <c r="E276">
        <v>-0.27116670936864912</v>
      </c>
      <c r="F276">
        <v>0.59584356315291542</v>
      </c>
      <c r="G276">
        <v>0.9063518577020695</v>
      </c>
      <c r="H276">
        <v>14.002847019078983</v>
      </c>
      <c r="I276">
        <v>1.3080147020113059E-2</v>
      </c>
      <c r="J276">
        <v>7.2759203106382659E-3</v>
      </c>
      <c r="K276">
        <v>0</v>
      </c>
    </row>
    <row r="277" spans="1:11" x14ac:dyDescent="0.3">
      <c r="A277" t="s">
        <v>107</v>
      </c>
      <c r="B277">
        <v>2007</v>
      </c>
      <c r="C277">
        <v>1.6433421785826117E-3</v>
      </c>
      <c r="D277">
        <v>4.1337255412858293E-2</v>
      </c>
      <c r="E277">
        <v>-0.33151857159509329</v>
      </c>
      <c r="F277">
        <v>6.344352182628113E-2</v>
      </c>
      <c r="G277">
        <v>0</v>
      </c>
      <c r="H277">
        <v>12.988884554826548</v>
      </c>
      <c r="I277">
        <v>1.9942923685480653E-3</v>
      </c>
      <c r="J277">
        <v>0</v>
      </c>
      <c r="K277">
        <v>0</v>
      </c>
    </row>
    <row r="278" spans="1:11" x14ac:dyDescent="0.3">
      <c r="A278" t="s">
        <v>107</v>
      </c>
      <c r="B278">
        <v>2009</v>
      </c>
      <c r="C278">
        <v>8.4368010934005467E-3</v>
      </c>
      <c r="D278">
        <v>0.12361549930774965</v>
      </c>
      <c r="E278">
        <v>-4.7973836486918241E-2</v>
      </c>
      <c r="F278">
        <v>0.48561583655791829</v>
      </c>
      <c r="G278">
        <v>0.72991861620930809</v>
      </c>
      <c r="H278">
        <v>13.711713264282505</v>
      </c>
      <c r="I278">
        <v>2.2522920958076217E-2</v>
      </c>
      <c r="J278">
        <v>0</v>
      </c>
      <c r="K278">
        <v>0</v>
      </c>
    </row>
    <row r="279" spans="1:11" x14ac:dyDescent="0.3">
      <c r="A279" t="s">
        <v>107</v>
      </c>
      <c r="B279">
        <v>2010</v>
      </c>
      <c r="C279">
        <v>7.6924523896727279E-3</v>
      </c>
      <c r="D279">
        <v>6.6423751000007747E-2</v>
      </c>
      <c r="E279">
        <v>-3.042679168745982E-2</v>
      </c>
      <c r="F279">
        <v>0.42215430714262792</v>
      </c>
      <c r="G279">
        <v>0.72473811692040768</v>
      </c>
      <c r="H279">
        <v>13.714300306920274</v>
      </c>
      <c r="I279">
        <v>3.8810681005341657E-3</v>
      </c>
      <c r="J279">
        <v>0</v>
      </c>
      <c r="K279">
        <v>0</v>
      </c>
    </row>
    <row r="280" spans="1:11" x14ac:dyDescent="0.3">
      <c r="A280" t="s">
        <v>108</v>
      </c>
      <c r="B280">
        <v>2007</v>
      </c>
      <c r="C280">
        <v>7.5665187925776237E-3</v>
      </c>
      <c r="D280">
        <v>6.56262457851957E-2</v>
      </c>
      <c r="E280">
        <v>-0.28416045287830793</v>
      </c>
      <c r="F280">
        <v>0.40631335298441856</v>
      </c>
      <c r="G280">
        <v>1.2222745902041763</v>
      </c>
      <c r="H280">
        <v>14.239241819479272</v>
      </c>
      <c r="I280">
        <v>8.5639959322114483E-3</v>
      </c>
      <c r="J280">
        <v>0</v>
      </c>
      <c r="K280">
        <v>0</v>
      </c>
    </row>
    <row r="281" spans="1:11" x14ac:dyDescent="0.3">
      <c r="A281" t="s">
        <v>108</v>
      </c>
      <c r="B281">
        <v>2008</v>
      </c>
      <c r="C281">
        <v>8.724526111383692E-3</v>
      </c>
      <c r="D281">
        <v>3.0810150472640883E-2</v>
      </c>
      <c r="E281">
        <v>0.29145445624606964</v>
      </c>
      <c r="F281">
        <v>0.26547475626994932</v>
      </c>
      <c r="G281">
        <v>0.62926701695303078</v>
      </c>
      <c r="H281">
        <v>14.772838045295904</v>
      </c>
      <c r="I281">
        <v>3.3705606927172099E-3</v>
      </c>
      <c r="J281">
        <v>0</v>
      </c>
      <c r="K281">
        <v>0</v>
      </c>
    </row>
    <row r="282" spans="1:11" x14ac:dyDescent="0.3">
      <c r="A282" t="s">
        <v>108</v>
      </c>
      <c r="B282">
        <v>2009</v>
      </c>
      <c r="C282">
        <v>3.6511236647830412E-3</v>
      </c>
      <c r="D282">
        <v>5.6967532249149092E-2</v>
      </c>
      <c r="E282">
        <v>0.29330837162816487</v>
      </c>
      <c r="F282">
        <v>0.38926505829811414</v>
      </c>
      <c r="G282">
        <v>0.71870351047693126</v>
      </c>
      <c r="H282">
        <v>14.656769937654399</v>
      </c>
      <c r="I282">
        <v>7.0664121948636506E-3</v>
      </c>
      <c r="J282">
        <v>0</v>
      </c>
      <c r="K282">
        <v>0</v>
      </c>
    </row>
    <row r="283" spans="1:11" x14ac:dyDescent="0.3">
      <c r="A283" t="s">
        <v>108</v>
      </c>
      <c r="B283">
        <v>2010</v>
      </c>
      <c r="C283">
        <v>7.2143431168009628E-3</v>
      </c>
      <c r="D283">
        <v>3.1755183928345664E-2</v>
      </c>
      <c r="E283">
        <v>0.17493305591804933</v>
      </c>
      <c r="F283">
        <v>0.38698819658045996</v>
      </c>
      <c r="G283">
        <v>0.67311054949487348</v>
      </c>
      <c r="H283">
        <v>14.642254191532269</v>
      </c>
      <c r="I283">
        <v>9.0648124302883711E-3</v>
      </c>
      <c r="J283">
        <v>0</v>
      </c>
      <c r="K283">
        <v>0</v>
      </c>
    </row>
    <row r="284" spans="1:11" x14ac:dyDescent="0.3">
      <c r="A284" t="s">
        <v>109</v>
      </c>
      <c r="B284">
        <v>2007</v>
      </c>
      <c r="C284">
        <v>4.3141029429561273E-2</v>
      </c>
      <c r="D284">
        <v>0.21140202013379375</v>
      </c>
      <c r="E284">
        <v>-0.27901374242590543</v>
      </c>
      <c r="F284">
        <v>0.29014727445169608</v>
      </c>
      <c r="G284">
        <v>0</v>
      </c>
      <c r="H284">
        <v>12.780782513941544</v>
      </c>
      <c r="I284">
        <v>4.4364544318374145E-2</v>
      </c>
      <c r="J284">
        <v>0</v>
      </c>
      <c r="K284">
        <v>0</v>
      </c>
    </row>
    <row r="285" spans="1:11" x14ac:dyDescent="0.3">
      <c r="A285" t="s">
        <v>109</v>
      </c>
      <c r="B285">
        <v>2009</v>
      </c>
      <c r="C285">
        <v>5.4015262062531398E-2</v>
      </c>
      <c r="D285">
        <v>0.16320997695540193</v>
      </c>
      <c r="E285">
        <v>0.15562944711570409</v>
      </c>
      <c r="F285">
        <v>0.31247092845542718</v>
      </c>
      <c r="G285">
        <v>0.97146576402012619</v>
      </c>
      <c r="H285">
        <v>12.837947963608627</v>
      </c>
      <c r="I285">
        <v>1.8513028976105343E-2</v>
      </c>
      <c r="J285">
        <v>5.1165918448170915E-2</v>
      </c>
      <c r="K285">
        <v>0</v>
      </c>
    </row>
    <row r="286" spans="1:11" x14ac:dyDescent="0.3">
      <c r="A286" t="s">
        <v>109</v>
      </c>
      <c r="B286">
        <v>2010</v>
      </c>
      <c r="C286">
        <v>2.479845363254915E-2</v>
      </c>
      <c r="D286">
        <v>0.21378430754648159</v>
      </c>
      <c r="E286">
        <v>0.19452667310159327</v>
      </c>
      <c r="F286">
        <v>0.30698570007121428</v>
      </c>
      <c r="G286">
        <v>1.0619638767372441</v>
      </c>
      <c r="H286">
        <v>12.906714173185657</v>
      </c>
      <c r="I286">
        <v>2.7917454373095608E-2</v>
      </c>
      <c r="J286">
        <v>8.1884027403854504E-2</v>
      </c>
      <c r="K286">
        <v>0</v>
      </c>
    </row>
    <row r="287" spans="1:11" x14ac:dyDescent="0.3">
      <c r="A287" t="s">
        <v>110</v>
      </c>
      <c r="B287">
        <v>2007</v>
      </c>
      <c r="C287">
        <v>2.5475550884598778E-3</v>
      </c>
      <c r="D287">
        <v>7.2974947633438425E-2</v>
      </c>
      <c r="E287">
        <v>0.50367356335372759</v>
      </c>
      <c r="F287">
        <v>0.17467137347933465</v>
      </c>
      <c r="G287">
        <v>0.56852478926183858</v>
      </c>
      <c r="H287">
        <v>16.214044172433788</v>
      </c>
      <c r="I287">
        <v>1.6507664900772011E-2</v>
      </c>
      <c r="J287">
        <v>0</v>
      </c>
      <c r="K287">
        <v>0</v>
      </c>
    </row>
    <row r="288" spans="1:11" x14ac:dyDescent="0.3">
      <c r="A288" t="s">
        <v>110</v>
      </c>
      <c r="B288">
        <v>2008</v>
      </c>
      <c r="C288">
        <v>3.3143666746301751E-3</v>
      </c>
      <c r="D288">
        <v>0.13431411200976473</v>
      </c>
      <c r="E288">
        <v>0.43635772611724577</v>
      </c>
      <c r="F288">
        <v>0.25643219286018776</v>
      </c>
      <c r="G288">
        <v>0.72948962857635935</v>
      </c>
      <c r="H288">
        <v>16.26206706887255</v>
      </c>
      <c r="I288">
        <v>2.6747535529144641E-2</v>
      </c>
      <c r="J288">
        <v>7.0827312715899043E-3</v>
      </c>
      <c r="K288">
        <v>0</v>
      </c>
    </row>
    <row r="289" spans="1:11" x14ac:dyDescent="0.3">
      <c r="A289" t="s">
        <v>110</v>
      </c>
      <c r="B289">
        <v>2009</v>
      </c>
      <c r="C289">
        <v>4.805859109980817E-3</v>
      </c>
      <c r="D289">
        <v>3.9470729627265791E-2</v>
      </c>
      <c r="E289">
        <v>-2.8293311715960244E-2</v>
      </c>
      <c r="F289">
        <v>0.58209656788023001</v>
      </c>
      <c r="G289">
        <v>0.76779705635291173</v>
      </c>
      <c r="H289">
        <v>16.928167009573134</v>
      </c>
      <c r="I289">
        <v>7.746330843604321E-4</v>
      </c>
      <c r="J289">
        <v>0</v>
      </c>
      <c r="K289">
        <v>0</v>
      </c>
    </row>
    <row r="290" spans="1:11" x14ac:dyDescent="0.3">
      <c r="A290" t="s">
        <v>110</v>
      </c>
      <c r="B290">
        <v>2010</v>
      </c>
      <c r="C290">
        <v>2.3681466230657939E-2</v>
      </c>
      <c r="D290">
        <v>4.8771817181086134E-2</v>
      </c>
      <c r="E290">
        <v>-1.1888632332941683E-2</v>
      </c>
      <c r="F290">
        <v>0.5777394639703588</v>
      </c>
      <c r="G290">
        <v>0.74955840213649472</v>
      </c>
      <c r="H290">
        <v>17.145716250405044</v>
      </c>
      <c r="I290">
        <v>1.9444295234953939E-2</v>
      </c>
      <c r="J290">
        <v>1.0567887899297773E-3</v>
      </c>
      <c r="K290">
        <v>0</v>
      </c>
    </row>
    <row r="291" spans="1:11" x14ac:dyDescent="0.3">
      <c r="A291" t="s">
        <v>111</v>
      </c>
      <c r="B291">
        <v>2007</v>
      </c>
      <c r="C291">
        <v>4.8331817964473141E-3</v>
      </c>
      <c r="D291">
        <v>6.3531345126246586E-2</v>
      </c>
      <c r="E291">
        <v>0.23772425391901711</v>
      </c>
      <c r="F291">
        <v>0.27907980259579268</v>
      </c>
      <c r="G291">
        <v>0.6366439559072602</v>
      </c>
      <c r="H291">
        <v>16.224795629135556</v>
      </c>
      <c r="I291">
        <v>6.7898261806644614E-3</v>
      </c>
      <c r="J291">
        <v>0</v>
      </c>
      <c r="K291">
        <v>0</v>
      </c>
    </row>
    <row r="292" spans="1:11" x14ac:dyDescent="0.3">
      <c r="A292" t="s">
        <v>111</v>
      </c>
      <c r="B292">
        <v>2009</v>
      </c>
      <c r="C292">
        <v>7.4336090652615166E-3</v>
      </c>
      <c r="D292">
        <v>5.4312257058975862E-2</v>
      </c>
      <c r="E292">
        <v>-3.4614600695683721E-2</v>
      </c>
      <c r="F292">
        <v>0.38843418520619671</v>
      </c>
      <c r="G292">
        <v>0.63052798981287539</v>
      </c>
      <c r="H292">
        <v>16.300895676601129</v>
      </c>
      <c r="I292">
        <v>3.360240285023279E-2</v>
      </c>
      <c r="J292">
        <v>2.5092157978060998E-3</v>
      </c>
      <c r="K292">
        <v>0</v>
      </c>
    </row>
    <row r="293" spans="1:11" x14ac:dyDescent="0.3">
      <c r="A293" t="s">
        <v>111</v>
      </c>
      <c r="B293">
        <v>2010</v>
      </c>
      <c r="C293">
        <v>8.7012151259190269E-3</v>
      </c>
      <c r="D293">
        <v>0.13965604418265162</v>
      </c>
      <c r="E293">
        <v>3.2289319605161147E-2</v>
      </c>
      <c r="F293">
        <v>0.30728552687417238</v>
      </c>
      <c r="G293">
        <v>0.55313652451084139</v>
      </c>
      <c r="H293">
        <v>16.45318772130236</v>
      </c>
      <c r="I293">
        <v>1.4579339232954997E-2</v>
      </c>
      <c r="J293">
        <v>7.1824776042900881E-3</v>
      </c>
      <c r="K293">
        <v>0</v>
      </c>
    </row>
    <row r="294" spans="1:11" x14ac:dyDescent="0.3">
      <c r="A294" t="s">
        <v>112</v>
      </c>
      <c r="B294">
        <v>2007</v>
      </c>
      <c r="C294">
        <v>9.0866042975798922E-4</v>
      </c>
      <c r="D294">
        <v>0.13315531877160811</v>
      </c>
      <c r="E294">
        <v>-0.19999396664100966</v>
      </c>
      <c r="F294">
        <v>0.18004731616080913</v>
      </c>
      <c r="G294">
        <v>0.76950808927177361</v>
      </c>
      <c r="H294">
        <v>13.905276304858688</v>
      </c>
      <c r="I294">
        <v>1.200027331462165E-2</v>
      </c>
      <c r="J294">
        <v>0</v>
      </c>
      <c r="K294">
        <v>0</v>
      </c>
    </row>
    <row r="295" spans="1:11" x14ac:dyDescent="0.3">
      <c r="A295" t="s">
        <v>112</v>
      </c>
      <c r="B295">
        <v>2008</v>
      </c>
      <c r="C295">
        <v>1.2299292953920099E-3</v>
      </c>
      <c r="D295">
        <v>8.0239281111769006E-2</v>
      </c>
      <c r="E295">
        <v>-0.15439567297087062</v>
      </c>
      <c r="F295">
        <v>0.16497741864326101</v>
      </c>
      <c r="G295">
        <v>0.52026517130484251</v>
      </c>
      <c r="H295">
        <v>14.136236614485727</v>
      </c>
      <c r="I295">
        <v>1.3464853562465753E-2</v>
      </c>
      <c r="J295">
        <v>0</v>
      </c>
      <c r="K295">
        <v>0</v>
      </c>
    </row>
    <row r="296" spans="1:11" x14ac:dyDescent="0.3">
      <c r="A296" t="s">
        <v>112</v>
      </c>
      <c r="B296">
        <v>2009</v>
      </c>
      <c r="C296">
        <v>2.0363282931003734E-3</v>
      </c>
      <c r="D296">
        <v>0.14476420643738269</v>
      </c>
      <c r="E296">
        <v>-0.24896629136266279</v>
      </c>
      <c r="F296">
        <v>0.34759690353743522</v>
      </c>
      <c r="G296">
        <v>0.57520593177768442</v>
      </c>
      <c r="H296">
        <v>14.016243251504505</v>
      </c>
      <c r="I296">
        <v>4.0917600495189166E-3</v>
      </c>
      <c r="J296">
        <v>0</v>
      </c>
      <c r="K296">
        <v>0</v>
      </c>
    </row>
    <row r="297" spans="1:11" x14ac:dyDescent="0.3">
      <c r="A297" t="s">
        <v>112</v>
      </c>
      <c r="B297">
        <v>2010</v>
      </c>
      <c r="C297">
        <v>2.6069444851622913E-3</v>
      </c>
      <c r="D297">
        <v>0.13781400037435362</v>
      </c>
      <c r="E297">
        <v>-8.5321805045956045E-2</v>
      </c>
      <c r="F297">
        <v>0.36000264603361815</v>
      </c>
      <c r="G297">
        <v>0.55879499478686268</v>
      </c>
      <c r="H297">
        <v>14.100909776687169</v>
      </c>
      <c r="I297">
        <v>2.5948738127599222E-2</v>
      </c>
      <c r="J297">
        <v>1.1726739898653906E-2</v>
      </c>
      <c r="K297">
        <v>0</v>
      </c>
    </row>
    <row r="298" spans="1:11" x14ac:dyDescent="0.3">
      <c r="A298" t="s">
        <v>113</v>
      </c>
      <c r="B298">
        <v>2007</v>
      </c>
      <c r="C298">
        <v>1.1033257771428287E-2</v>
      </c>
      <c r="D298">
        <v>3.0753085536852645E-2</v>
      </c>
      <c r="E298">
        <v>-8.5636640926833568E-2</v>
      </c>
      <c r="F298">
        <v>0.25721427704220878</v>
      </c>
      <c r="G298">
        <v>0.92953799688327932</v>
      </c>
      <c r="H298">
        <v>13.30680435330871</v>
      </c>
      <c r="I298">
        <v>3.3914268169841551E-3</v>
      </c>
      <c r="J298">
        <v>0</v>
      </c>
      <c r="K298">
        <v>0</v>
      </c>
    </row>
    <row r="299" spans="1:11" x14ac:dyDescent="0.3">
      <c r="A299" t="s">
        <v>113</v>
      </c>
      <c r="B299">
        <v>2008</v>
      </c>
      <c r="C299">
        <v>1.0219959335248946E-2</v>
      </c>
      <c r="D299">
        <v>4.1325133168657893E-2</v>
      </c>
      <c r="E299">
        <v>-4.893213019441784E-2</v>
      </c>
      <c r="F299">
        <v>0.281048881719346</v>
      </c>
      <c r="G299">
        <v>0.85150812454840286</v>
      </c>
      <c r="H299">
        <v>13.296501541390263</v>
      </c>
      <c r="I299">
        <v>1.0373166056952538E-2</v>
      </c>
      <c r="J299">
        <v>0</v>
      </c>
      <c r="K299">
        <v>0</v>
      </c>
    </row>
    <row r="300" spans="1:11" x14ac:dyDescent="0.3">
      <c r="A300" t="s">
        <v>113</v>
      </c>
      <c r="B300">
        <v>2009</v>
      </c>
      <c r="C300">
        <v>6.1713460196571399E-3</v>
      </c>
      <c r="D300">
        <v>7.4247253575698918E-2</v>
      </c>
      <c r="E300">
        <v>-0.17681432313308018</v>
      </c>
      <c r="F300">
        <v>0.55246170083698876</v>
      </c>
      <c r="G300">
        <v>0.99440195799978259</v>
      </c>
      <c r="H300">
        <v>13.25405457791344</v>
      </c>
      <c r="I300">
        <v>2.5196643557489795E-2</v>
      </c>
      <c r="J300">
        <v>0</v>
      </c>
      <c r="K300">
        <v>0</v>
      </c>
    </row>
    <row r="301" spans="1:11" x14ac:dyDescent="0.3">
      <c r="A301" t="s">
        <v>113</v>
      </c>
      <c r="B301">
        <v>2010</v>
      </c>
      <c r="C301">
        <v>2.394955319144848E-2</v>
      </c>
      <c r="D301">
        <v>0.15719668222314873</v>
      </c>
      <c r="E301">
        <v>-7.9981708804943236E-2</v>
      </c>
      <c r="F301">
        <v>0.47059479046782804</v>
      </c>
      <c r="G301">
        <v>0.83973301003517986</v>
      </c>
      <c r="H301">
        <v>13.16248560714631</v>
      </c>
      <c r="I301">
        <v>3.1484915100102318E-3</v>
      </c>
      <c r="J301">
        <v>0</v>
      </c>
      <c r="K301">
        <v>0</v>
      </c>
    </row>
    <row r="302" spans="1:11" x14ac:dyDescent="0.3">
      <c r="A302" t="s">
        <v>115</v>
      </c>
      <c r="B302">
        <v>2007</v>
      </c>
      <c r="C302">
        <v>1.4977954209207964E-3</v>
      </c>
      <c r="D302">
        <v>0.33663043637482237</v>
      </c>
      <c r="E302">
        <v>-1.2738072568005039</v>
      </c>
      <c r="F302">
        <v>0.70796651383538167</v>
      </c>
      <c r="G302">
        <v>-1.0497897959482621</v>
      </c>
      <c r="H302">
        <v>12.517476127399849</v>
      </c>
      <c r="I302">
        <v>4.1212754959017862E-2</v>
      </c>
      <c r="J302">
        <v>0</v>
      </c>
      <c r="K302">
        <v>0</v>
      </c>
    </row>
    <row r="303" spans="1:11" x14ac:dyDescent="0.3">
      <c r="A303" t="s">
        <v>115</v>
      </c>
      <c r="B303">
        <v>2008</v>
      </c>
      <c r="C303">
        <v>6.078068703024601E-3</v>
      </c>
      <c r="D303">
        <v>0.27319769493120077</v>
      </c>
      <c r="E303">
        <v>-1.2676007398458298</v>
      </c>
      <c r="F303">
        <v>0.66211390632183298</v>
      </c>
      <c r="G303">
        <v>0.56336694001047749</v>
      </c>
      <c r="H303">
        <v>12.139216774744108</v>
      </c>
      <c r="I303">
        <v>0.17478056730869906</v>
      </c>
      <c r="J303">
        <v>0</v>
      </c>
      <c r="K303">
        <v>0</v>
      </c>
    </row>
    <row r="304" spans="1:11" x14ac:dyDescent="0.3">
      <c r="A304" t="s">
        <v>115</v>
      </c>
      <c r="B304">
        <v>2009</v>
      </c>
      <c r="C304">
        <v>6.6340204480031762E-3</v>
      </c>
      <c r="D304">
        <v>0.74889432992533278</v>
      </c>
      <c r="E304">
        <v>-0.64341175043289323</v>
      </c>
      <c r="F304">
        <v>1.6986345939626555</v>
      </c>
      <c r="G304">
        <v>-4.5301177910862584</v>
      </c>
      <c r="H304">
        <v>12.108117972132941</v>
      </c>
      <c r="I304">
        <v>0.19783940896236213</v>
      </c>
      <c r="J304">
        <v>0</v>
      </c>
      <c r="K304">
        <v>0</v>
      </c>
    </row>
    <row r="305" spans="1:11" x14ac:dyDescent="0.3">
      <c r="A305" t="s">
        <v>115</v>
      </c>
      <c r="B305">
        <v>2010</v>
      </c>
      <c r="C305">
        <v>3.179173511246524E-2</v>
      </c>
      <c r="D305">
        <v>8.5454770710398559E-2</v>
      </c>
      <c r="E305">
        <v>-0.30994934246147915</v>
      </c>
      <c r="F305">
        <v>0.69124138500646981</v>
      </c>
      <c r="G305">
        <v>3.2916157185202857</v>
      </c>
      <c r="H305">
        <v>12.985094724198866</v>
      </c>
      <c r="I305">
        <v>2.5911878576702768E-3</v>
      </c>
      <c r="J305">
        <v>0</v>
      </c>
      <c r="K305">
        <v>0</v>
      </c>
    </row>
    <row r="306" spans="1:11" x14ac:dyDescent="0.3">
      <c r="A306" t="s">
        <v>116</v>
      </c>
      <c r="B306">
        <v>2007</v>
      </c>
      <c r="C306">
        <v>4.3154526781482069E-3</v>
      </c>
      <c r="D306">
        <v>7.2947938062885131E-2</v>
      </c>
      <c r="E306">
        <v>-0.15384539421709592</v>
      </c>
      <c r="F306">
        <v>0.19227958603254858</v>
      </c>
      <c r="G306">
        <v>0.95356938299889393</v>
      </c>
      <c r="H306">
        <v>12.911780608134977</v>
      </c>
      <c r="I306">
        <v>3.4619607768638996E-3</v>
      </c>
      <c r="J306">
        <v>0</v>
      </c>
      <c r="K306">
        <v>0</v>
      </c>
    </row>
    <row r="307" spans="1:11" x14ac:dyDescent="0.3">
      <c r="A307" t="s">
        <v>116</v>
      </c>
      <c r="B307">
        <v>2009</v>
      </c>
      <c r="C307">
        <v>4.533855207236006E-3</v>
      </c>
      <c r="D307">
        <v>0.16171809727923281</v>
      </c>
      <c r="E307">
        <v>-0.2359602600893603</v>
      </c>
      <c r="F307">
        <v>0.61279241890370151</v>
      </c>
      <c r="G307">
        <v>0.86430219041737799</v>
      </c>
      <c r="H307">
        <v>12.99558399570653</v>
      </c>
      <c r="I307">
        <v>2.2807479471993478E-2</v>
      </c>
      <c r="J307">
        <v>0</v>
      </c>
      <c r="K307">
        <v>0</v>
      </c>
    </row>
    <row r="308" spans="1:11" x14ac:dyDescent="0.3">
      <c r="A308" t="s">
        <v>116</v>
      </c>
      <c r="B308">
        <v>2010</v>
      </c>
      <c r="C308">
        <v>6.3212940251031807E-3</v>
      </c>
      <c r="D308">
        <v>0.20886356237070769</v>
      </c>
      <c r="E308">
        <v>-0.1091100645273488</v>
      </c>
      <c r="F308">
        <v>0.45824932914609956</v>
      </c>
      <c r="G308">
        <v>0.81607986750761852</v>
      </c>
      <c r="H308">
        <v>13.111340851955914</v>
      </c>
      <c r="I308">
        <v>3.4097337291693203E-3</v>
      </c>
      <c r="J308">
        <v>6.0665009837842431E-3</v>
      </c>
      <c r="K308">
        <v>0</v>
      </c>
    </row>
    <row r="309" spans="1:11" x14ac:dyDescent="0.3">
      <c r="A309" t="s">
        <v>117</v>
      </c>
      <c r="B309">
        <v>2007</v>
      </c>
      <c r="C309">
        <v>3.9573546644089764E-3</v>
      </c>
      <c r="D309">
        <v>9.4095332931584424E-2</v>
      </c>
      <c r="E309">
        <v>-0.17318978578083044</v>
      </c>
      <c r="F309">
        <v>0.49889263159972647</v>
      </c>
      <c r="G309">
        <v>0.90311582048074979</v>
      </c>
      <c r="H309">
        <v>14.416374124046952</v>
      </c>
      <c r="I309">
        <v>5.3667738267934445E-3</v>
      </c>
      <c r="J309">
        <v>0</v>
      </c>
      <c r="K309">
        <v>0</v>
      </c>
    </row>
    <row r="310" spans="1:11" x14ac:dyDescent="0.3">
      <c r="A310" t="s">
        <v>117</v>
      </c>
      <c r="B310">
        <v>2009</v>
      </c>
      <c r="C310">
        <v>5.3059278910844044E-3</v>
      </c>
      <c r="D310">
        <v>9.9244110831152157E-2</v>
      </c>
      <c r="E310">
        <v>-0.18160747466943505</v>
      </c>
      <c r="F310">
        <v>0.57652576908361819</v>
      </c>
      <c r="G310">
        <v>0.80418363117912262</v>
      </c>
      <c r="H310">
        <v>14.808761960604119</v>
      </c>
      <c r="I310">
        <v>9.5825359585962489E-3</v>
      </c>
      <c r="J310">
        <v>0</v>
      </c>
      <c r="K310">
        <v>0</v>
      </c>
    </row>
    <row r="311" spans="1:11" x14ac:dyDescent="0.3">
      <c r="A311" t="s">
        <v>117</v>
      </c>
      <c r="B311">
        <v>2010</v>
      </c>
      <c r="C311">
        <v>1.1698486912972098E-2</v>
      </c>
      <c r="D311">
        <v>8.6130255303869849E-2</v>
      </c>
      <c r="E311">
        <v>-0.18032498295828639</v>
      </c>
      <c r="F311">
        <v>0.48587999996897979</v>
      </c>
      <c r="G311">
        <v>0.78062985320473399</v>
      </c>
      <c r="H311">
        <v>14.76289910137216</v>
      </c>
      <c r="I311">
        <v>1.4004477719566404E-2</v>
      </c>
      <c r="J311">
        <v>3.4191997878219409E-3</v>
      </c>
      <c r="K311">
        <v>0</v>
      </c>
    </row>
    <row r="312" spans="1:11" x14ac:dyDescent="0.3">
      <c r="A312" t="s">
        <v>118</v>
      </c>
      <c r="B312">
        <v>2007</v>
      </c>
      <c r="C312">
        <v>2.771464838405643E-3</v>
      </c>
      <c r="D312">
        <v>6.1554642607400199E-2</v>
      </c>
      <c r="E312">
        <v>-2.829231400687118E-2</v>
      </c>
      <c r="F312">
        <v>0.16576628104952723</v>
      </c>
      <c r="G312">
        <v>0.67547163357757445</v>
      </c>
      <c r="H312">
        <v>13.866690245898855</v>
      </c>
      <c r="I312">
        <v>8.7250143429395913E-3</v>
      </c>
      <c r="J312">
        <v>0</v>
      </c>
      <c r="K312">
        <v>0</v>
      </c>
    </row>
    <row r="313" spans="1:11" x14ac:dyDescent="0.3">
      <c r="A313" t="s">
        <v>118</v>
      </c>
      <c r="B313">
        <v>2009</v>
      </c>
      <c r="C313">
        <v>3.163115648020859E-3</v>
      </c>
      <c r="D313">
        <v>6.8319477665084616E-2</v>
      </c>
      <c r="E313">
        <v>-3.5963055000247726E-2</v>
      </c>
      <c r="F313">
        <v>0.30556389595086575</v>
      </c>
      <c r="G313">
        <v>0.57167152067724936</v>
      </c>
      <c r="H313">
        <v>14.331471175056318</v>
      </c>
      <c r="I313">
        <v>1.3781041761368608E-2</v>
      </c>
      <c r="J313">
        <v>0</v>
      </c>
      <c r="K313">
        <v>0</v>
      </c>
    </row>
    <row r="314" spans="1:11" x14ac:dyDescent="0.3">
      <c r="A314" t="s">
        <v>118</v>
      </c>
      <c r="B314">
        <v>2010</v>
      </c>
      <c r="C314">
        <v>1.154443255394328E-2</v>
      </c>
      <c r="D314">
        <v>0.11948266989360992</v>
      </c>
      <c r="E314">
        <v>9.7115129956957345E-3</v>
      </c>
      <c r="F314">
        <v>0.26062016739050392</v>
      </c>
      <c r="G314">
        <v>0.50820211315977026</v>
      </c>
      <c r="H314">
        <v>14.434845414969836</v>
      </c>
      <c r="I314">
        <v>2.7868521995570369E-3</v>
      </c>
      <c r="J314">
        <v>3.6475368360309461E-3</v>
      </c>
      <c r="K314">
        <v>0</v>
      </c>
    </row>
    <row r="315" spans="1:11" x14ac:dyDescent="0.3">
      <c r="A315" t="s">
        <v>119</v>
      </c>
      <c r="B315">
        <v>2007</v>
      </c>
      <c r="C315">
        <v>1.1576284514132135E-4</v>
      </c>
      <c r="D315">
        <v>0.16622851052161564</v>
      </c>
      <c r="E315">
        <v>-1.3887273662298975E-2</v>
      </c>
      <c r="F315">
        <v>0.24476799952201148</v>
      </c>
      <c r="G315">
        <v>0.72901838442013489</v>
      </c>
      <c r="H315">
        <v>14.44386425155229</v>
      </c>
      <c r="I315">
        <v>3.6993480972892311E-2</v>
      </c>
      <c r="J315">
        <v>0</v>
      </c>
      <c r="K315">
        <v>0</v>
      </c>
    </row>
    <row r="316" spans="1:11" x14ac:dyDescent="0.3">
      <c r="A316" t="s">
        <v>119</v>
      </c>
      <c r="B316">
        <v>2009</v>
      </c>
      <c r="C316">
        <v>8.7641979640263237E-3</v>
      </c>
      <c r="D316">
        <v>0.12658025127538702</v>
      </c>
      <c r="E316">
        <v>-0.16572757268758551</v>
      </c>
      <c r="F316">
        <v>0.5650260945467348</v>
      </c>
      <c r="G316">
        <v>0.85142428913906942</v>
      </c>
      <c r="H316">
        <v>14.307748903598005</v>
      </c>
      <c r="I316">
        <v>1.1132878115849098E-2</v>
      </c>
      <c r="J316">
        <v>0</v>
      </c>
      <c r="K316">
        <v>0</v>
      </c>
    </row>
    <row r="317" spans="1:11" x14ac:dyDescent="0.3">
      <c r="A317" t="s">
        <v>119</v>
      </c>
      <c r="B317">
        <v>2010</v>
      </c>
      <c r="C317">
        <v>8.979724194652438E-3</v>
      </c>
      <c r="D317">
        <v>0.16217702249736363</v>
      </c>
      <c r="E317">
        <v>-0.13539083538567048</v>
      </c>
      <c r="F317">
        <v>0.44742889607906078</v>
      </c>
      <c r="G317">
        <v>0.76158037915553334</v>
      </c>
      <c r="H317">
        <v>14.24048870895944</v>
      </c>
      <c r="I317">
        <v>2.7412778405735902E-2</v>
      </c>
      <c r="J317">
        <v>1.1297388721047989E-2</v>
      </c>
      <c r="K317">
        <v>0</v>
      </c>
    </row>
    <row r="318" spans="1:11" x14ac:dyDescent="0.3">
      <c r="A318" t="s">
        <v>121</v>
      </c>
      <c r="B318">
        <v>2007</v>
      </c>
      <c r="C318">
        <v>9.6912380157544321E-3</v>
      </c>
      <c r="D318">
        <v>6.0083880905267652E-2</v>
      </c>
      <c r="E318">
        <v>-0.55805544498352322</v>
      </c>
      <c r="F318">
        <v>0.27438529962456787</v>
      </c>
      <c r="G318">
        <v>1.0530745755476201</v>
      </c>
      <c r="H318">
        <v>14.260240609016799</v>
      </c>
      <c r="I318">
        <v>8.223128821882586E-4</v>
      </c>
      <c r="J318">
        <v>0</v>
      </c>
      <c r="K318">
        <v>0</v>
      </c>
    </row>
    <row r="319" spans="1:11" x14ac:dyDescent="0.3">
      <c r="A319" t="s">
        <v>121</v>
      </c>
      <c r="B319">
        <v>2009</v>
      </c>
      <c r="C319">
        <v>1.9978034939590557E-2</v>
      </c>
      <c r="D319">
        <v>8.8590936400261541E-2</v>
      </c>
      <c r="E319">
        <v>3.308577041039952E-2</v>
      </c>
      <c r="F319">
        <v>0.51727551448483533</v>
      </c>
      <c r="G319">
        <v>0.75343252431826235</v>
      </c>
      <c r="H319">
        <v>14.408415767404785</v>
      </c>
      <c r="I319">
        <v>5.6787384146475141E-2</v>
      </c>
      <c r="J319">
        <v>3.8137623760734498E-3</v>
      </c>
      <c r="K319">
        <v>0</v>
      </c>
    </row>
    <row r="320" spans="1:11" x14ac:dyDescent="0.3">
      <c r="A320" t="s">
        <v>121</v>
      </c>
      <c r="B320">
        <v>2010</v>
      </c>
      <c r="C320">
        <v>6.8968197834077035E-3</v>
      </c>
      <c r="D320">
        <v>0.26139600678198077</v>
      </c>
      <c r="E320">
        <v>0.1820487164824629</v>
      </c>
      <c r="F320">
        <v>0.26215335544917079</v>
      </c>
      <c r="G320">
        <v>0.56377541255184682</v>
      </c>
      <c r="H320">
        <v>14.344978724623958</v>
      </c>
      <c r="I320">
        <v>1.9484676810866866E-2</v>
      </c>
      <c r="J320">
        <v>1.2190604518532959E-2</v>
      </c>
      <c r="K320">
        <v>0</v>
      </c>
    </row>
    <row r="321" spans="1:11" x14ac:dyDescent="0.3">
      <c r="A321" t="s">
        <v>122</v>
      </c>
      <c r="B321">
        <v>2007</v>
      </c>
      <c r="C321">
        <v>0.10392836063700911</v>
      </c>
      <c r="D321">
        <v>0.17322696962019729</v>
      </c>
      <c r="E321">
        <v>-8.2445937101872799E-2</v>
      </c>
      <c r="F321">
        <v>0.24329400512787136</v>
      </c>
      <c r="G321">
        <v>0.85932741589975314</v>
      </c>
      <c r="H321">
        <v>15.090885369477935</v>
      </c>
      <c r="I321">
        <v>2.3355551494598066E-2</v>
      </c>
      <c r="J321">
        <v>0</v>
      </c>
      <c r="K321">
        <v>0</v>
      </c>
    </row>
    <row r="322" spans="1:11" x14ac:dyDescent="0.3">
      <c r="A322" t="s">
        <v>122</v>
      </c>
      <c r="B322">
        <v>2009</v>
      </c>
      <c r="C322">
        <v>4.0421351475336048E-3</v>
      </c>
      <c r="D322">
        <v>8.8942493516556101E-2</v>
      </c>
      <c r="E322">
        <v>-1.9927430795261662E-2</v>
      </c>
      <c r="F322">
        <v>0.41025627250252727</v>
      </c>
      <c r="G322">
        <v>0.72481701749940386</v>
      </c>
      <c r="H322">
        <v>15.024607312407619</v>
      </c>
      <c r="I322">
        <v>5.9886985017082978E-2</v>
      </c>
      <c r="J322">
        <v>8.0586021548702154E-3</v>
      </c>
      <c r="K322">
        <v>0</v>
      </c>
    </row>
    <row r="323" spans="1:11" x14ac:dyDescent="0.3">
      <c r="A323" t="s">
        <v>122</v>
      </c>
      <c r="B323">
        <v>2010</v>
      </c>
      <c r="C323">
        <v>6.127112023035142E-3</v>
      </c>
      <c r="D323">
        <v>0.24920907609288548</v>
      </c>
      <c r="E323">
        <v>0.1406037358275582</v>
      </c>
      <c r="F323">
        <v>0.29079387713048066</v>
      </c>
      <c r="G323">
        <v>0.65755171171250593</v>
      </c>
      <c r="H323">
        <v>15.104724473283204</v>
      </c>
      <c r="I323">
        <v>1.3970192301322392E-2</v>
      </c>
      <c r="J323">
        <v>2.4793852887602302E-2</v>
      </c>
      <c r="K323">
        <v>0</v>
      </c>
    </row>
    <row r="324" spans="1:11" x14ac:dyDescent="0.3">
      <c r="A324" t="s">
        <v>123</v>
      </c>
      <c r="B324">
        <v>2009</v>
      </c>
      <c r="C324">
        <v>1.1610226042057898E-2</v>
      </c>
      <c r="D324">
        <v>0.1276249721959882</v>
      </c>
      <c r="E324">
        <v>-0.21517934955021314</v>
      </c>
      <c r="F324">
        <v>0.64306577061781423</v>
      </c>
      <c r="G324">
        <v>0.88802148475246223</v>
      </c>
      <c r="H324">
        <v>12.521762560825977</v>
      </c>
      <c r="I324">
        <v>9.8862158657125384E-3</v>
      </c>
      <c r="J324">
        <v>0</v>
      </c>
      <c r="K324">
        <v>0</v>
      </c>
    </row>
    <row r="325" spans="1:11" x14ac:dyDescent="0.3">
      <c r="A325" t="s">
        <v>124</v>
      </c>
      <c r="B325">
        <v>2007</v>
      </c>
      <c r="C325">
        <v>5.0982002247993902E-2</v>
      </c>
      <c r="D325">
        <v>7.2669546429661253E-2</v>
      </c>
      <c r="E325">
        <v>3.6177597652027105E-2</v>
      </c>
      <c r="F325">
        <v>0.3050171973067009</v>
      </c>
      <c r="G325">
        <v>0.95523486629343224</v>
      </c>
      <c r="H325">
        <v>14.774304302655384</v>
      </c>
      <c r="I325">
        <v>1.0650875253067502E-2</v>
      </c>
      <c r="J325">
        <v>0</v>
      </c>
      <c r="K325">
        <v>0</v>
      </c>
    </row>
    <row r="326" spans="1:11" x14ac:dyDescent="0.3">
      <c r="A326" t="s">
        <v>124</v>
      </c>
      <c r="B326">
        <v>2009</v>
      </c>
      <c r="C326">
        <v>1.0849271935187733E-2</v>
      </c>
      <c r="D326">
        <v>8.899263066825161E-2</v>
      </c>
      <c r="E326">
        <v>-0.13362098019328536</v>
      </c>
      <c r="F326">
        <v>0.50690635299889431</v>
      </c>
      <c r="G326">
        <v>0.73655710339982083</v>
      </c>
      <c r="H326">
        <v>15.146057244976932</v>
      </c>
      <c r="I326">
        <v>2.3514521349336494E-2</v>
      </c>
      <c r="J326">
        <v>0</v>
      </c>
      <c r="K326">
        <v>0</v>
      </c>
    </row>
    <row r="327" spans="1:11" x14ac:dyDescent="0.3">
      <c r="A327" t="s">
        <v>124</v>
      </c>
      <c r="B327">
        <v>2010</v>
      </c>
      <c r="C327">
        <v>1.4691530073262569E-2</v>
      </c>
      <c r="D327">
        <v>0.158296771655101</v>
      </c>
      <c r="E327">
        <v>-4.7762996797372836E-2</v>
      </c>
      <c r="F327">
        <v>0.44197216549911089</v>
      </c>
      <c r="G327">
        <v>0.68406691611402848</v>
      </c>
      <c r="H327">
        <v>15.107360164691217</v>
      </c>
      <c r="I327">
        <v>1.234211409628958E-2</v>
      </c>
      <c r="J327">
        <v>1.1900496550086934E-2</v>
      </c>
      <c r="K327">
        <v>0</v>
      </c>
    </row>
    <row r="328" spans="1:11" x14ac:dyDescent="0.3">
      <c r="A328" t="s">
        <v>125</v>
      </c>
      <c r="B328">
        <v>2007</v>
      </c>
      <c r="C328">
        <v>7.1846235593805475E-4</v>
      </c>
      <c r="D328">
        <v>3.6939890795672913E-2</v>
      </c>
      <c r="E328">
        <v>0.11077440877084016</v>
      </c>
      <c r="F328">
        <v>0.29956378165416858</v>
      </c>
      <c r="G328">
        <v>0.85821406354211793</v>
      </c>
      <c r="H328">
        <v>16.14289157528502</v>
      </c>
      <c r="I328">
        <v>4.6931745397543138E-3</v>
      </c>
      <c r="J328">
        <v>0</v>
      </c>
      <c r="K328">
        <v>0</v>
      </c>
    </row>
    <row r="329" spans="1:11" x14ac:dyDescent="0.3">
      <c r="A329" t="s">
        <v>125</v>
      </c>
      <c r="B329">
        <v>2009</v>
      </c>
      <c r="C329">
        <v>1.7502880472458505E-3</v>
      </c>
      <c r="D329">
        <v>4.7557797597507528E-2</v>
      </c>
      <c r="E329">
        <v>-0.15902584094910344</v>
      </c>
      <c r="F329">
        <v>0.58691842979071429</v>
      </c>
      <c r="G329">
        <v>0.79358208361848359</v>
      </c>
      <c r="H329">
        <v>16.196530975175257</v>
      </c>
      <c r="I329">
        <v>6.7111812456297345E-3</v>
      </c>
      <c r="J329">
        <v>0</v>
      </c>
      <c r="K329">
        <v>0</v>
      </c>
    </row>
    <row r="330" spans="1:11" x14ac:dyDescent="0.3">
      <c r="A330" t="s">
        <v>125</v>
      </c>
      <c r="B330">
        <v>2010</v>
      </c>
      <c r="C330">
        <v>1.4941715569942863E-3</v>
      </c>
      <c r="D330">
        <v>6.6044494079280369E-2</v>
      </c>
      <c r="E330">
        <v>-0.16451312066270271</v>
      </c>
      <c r="F330">
        <v>0.54128678393017993</v>
      </c>
      <c r="G330">
        <v>0.71374578862755167</v>
      </c>
      <c r="H330">
        <v>16.212377848023941</v>
      </c>
      <c r="I330">
        <v>1.4372248295812922E-2</v>
      </c>
      <c r="J330">
        <v>6.7173563237428128E-3</v>
      </c>
      <c r="K330">
        <v>0</v>
      </c>
    </row>
    <row r="331" spans="1:11" x14ac:dyDescent="0.3">
      <c r="A331" t="s">
        <v>126</v>
      </c>
      <c r="B331">
        <v>2009</v>
      </c>
      <c r="C331">
        <v>1.3881365966719992E-2</v>
      </c>
      <c r="D331">
        <v>5.6257978937521803E-2</v>
      </c>
      <c r="E331">
        <v>-3.9590865003086145E-2</v>
      </c>
      <c r="F331">
        <v>0.50741442170194329</v>
      </c>
      <c r="G331">
        <v>0.78073674312024588</v>
      </c>
      <c r="H331">
        <v>15.110731302359738</v>
      </c>
      <c r="I331">
        <v>5.4781718853250186E-3</v>
      </c>
      <c r="J331">
        <v>2.3276179814787331E-3</v>
      </c>
      <c r="K331">
        <v>0</v>
      </c>
    </row>
    <row r="332" spans="1:11" x14ac:dyDescent="0.3">
      <c r="A332" t="s">
        <v>126</v>
      </c>
      <c r="B332">
        <v>2010</v>
      </c>
      <c r="C332">
        <v>2.3059291505703555E-2</v>
      </c>
      <c r="D332">
        <v>3.9955770818899672E-2</v>
      </c>
      <c r="E332">
        <v>-3.9863866707093999E-2</v>
      </c>
      <c r="F332">
        <v>0.47121411353902048</v>
      </c>
      <c r="G332">
        <v>0.73647903565094031</v>
      </c>
      <c r="H332">
        <v>15.155551010896687</v>
      </c>
      <c r="I332">
        <v>3.0876222242361449E-2</v>
      </c>
      <c r="J332">
        <v>0</v>
      </c>
      <c r="K332">
        <v>0</v>
      </c>
    </row>
    <row r="333" spans="1:11" x14ac:dyDescent="0.3">
      <c r="A333" t="s">
        <v>127</v>
      </c>
      <c r="B333">
        <v>2007</v>
      </c>
      <c r="C333">
        <v>9.9190900423854381E-2</v>
      </c>
      <c r="D333">
        <v>7.2599668435125553E-2</v>
      </c>
      <c r="E333">
        <v>-0.33796841158749807</v>
      </c>
      <c r="F333">
        <v>0.1132637803475843</v>
      </c>
      <c r="G333">
        <v>1.0118591594373219</v>
      </c>
      <c r="H333">
        <v>13.981927978461353</v>
      </c>
      <c r="I333">
        <v>1.0726766475123639E-2</v>
      </c>
      <c r="J333">
        <v>0</v>
      </c>
      <c r="K333">
        <v>0</v>
      </c>
    </row>
    <row r="334" spans="1:11" x14ac:dyDescent="0.3">
      <c r="A334" t="s">
        <v>127</v>
      </c>
      <c r="B334">
        <v>2008</v>
      </c>
      <c r="C334">
        <v>2.9364502648765245E-3</v>
      </c>
      <c r="D334">
        <v>4.7632692326794901E-2</v>
      </c>
      <c r="E334">
        <v>-0.35714203846039233</v>
      </c>
      <c r="F334">
        <v>0.21129681376425721</v>
      </c>
      <c r="G334">
        <v>0.90249208579661233</v>
      </c>
      <c r="H334">
        <v>14.084562410581581</v>
      </c>
      <c r="I334">
        <v>2.4434704325212789E-3</v>
      </c>
      <c r="J334">
        <v>0</v>
      </c>
      <c r="K334">
        <v>0</v>
      </c>
    </row>
    <row r="335" spans="1:11" x14ac:dyDescent="0.3">
      <c r="A335" t="s">
        <v>127</v>
      </c>
      <c r="B335">
        <v>2009</v>
      </c>
      <c r="C335">
        <v>5.1643748076968593E-3</v>
      </c>
      <c r="D335">
        <v>5.9538630249382656E-2</v>
      </c>
      <c r="E335">
        <v>-9.3891268845707795E-2</v>
      </c>
      <c r="F335">
        <v>0.62149929390231395</v>
      </c>
      <c r="G335">
        <v>0.97065899820911528</v>
      </c>
      <c r="H335">
        <v>14.052580682806431</v>
      </c>
      <c r="I335">
        <v>3.6285491763953584E-3</v>
      </c>
      <c r="J335">
        <v>0</v>
      </c>
      <c r="K335">
        <v>0</v>
      </c>
    </row>
    <row r="336" spans="1:11" x14ac:dyDescent="0.3">
      <c r="A336" t="s">
        <v>127</v>
      </c>
      <c r="B336">
        <v>2010</v>
      </c>
      <c r="C336">
        <v>4.8663447560651349E-3</v>
      </c>
      <c r="D336">
        <v>6.3840329736206847E-2</v>
      </c>
      <c r="E336">
        <v>-0.10629819324825197</v>
      </c>
      <c r="F336">
        <v>0.59605918893323551</v>
      </c>
      <c r="G336">
        <v>0.9162103087229212</v>
      </c>
      <c r="H336">
        <v>14.175213014358723</v>
      </c>
      <c r="I336">
        <v>1.7344448880900802E-2</v>
      </c>
      <c r="J336">
        <v>0</v>
      </c>
      <c r="K336">
        <v>0</v>
      </c>
    </row>
    <row r="337" spans="1:11" x14ac:dyDescent="0.3">
      <c r="A337" t="s">
        <v>128</v>
      </c>
      <c r="B337">
        <v>2007</v>
      </c>
      <c r="C337">
        <v>5.6128403164873442E-2</v>
      </c>
      <c r="D337">
        <v>9.9533390144448008E-2</v>
      </c>
      <c r="E337">
        <v>-8.0703638303803588E-2</v>
      </c>
      <c r="F337">
        <v>0.51961867026302966</v>
      </c>
      <c r="G337">
        <v>0.66292856669840317</v>
      </c>
      <c r="H337">
        <v>14.740486266012477</v>
      </c>
      <c r="I337">
        <v>4.7938289913503837E-2</v>
      </c>
      <c r="J337">
        <v>0</v>
      </c>
      <c r="K337">
        <v>0</v>
      </c>
    </row>
    <row r="338" spans="1:11" x14ac:dyDescent="0.3">
      <c r="A338" t="s">
        <v>128</v>
      </c>
      <c r="B338">
        <v>2009</v>
      </c>
      <c r="C338">
        <v>2.7717074806322389E-3</v>
      </c>
      <c r="D338">
        <v>8.2154159730351353E-2</v>
      </c>
      <c r="E338">
        <v>-0.11583818140106707</v>
      </c>
      <c r="F338">
        <v>0.70363980082235777</v>
      </c>
      <c r="G338">
        <v>0.81443558123871318</v>
      </c>
      <c r="H338">
        <v>14.816136555901938</v>
      </c>
      <c r="I338">
        <v>3.7260573561512869E-3</v>
      </c>
      <c r="J338">
        <v>0</v>
      </c>
      <c r="K338">
        <v>0</v>
      </c>
    </row>
    <row r="339" spans="1:11" x14ac:dyDescent="0.3">
      <c r="A339" t="s">
        <v>128</v>
      </c>
      <c r="B339">
        <v>2010</v>
      </c>
      <c r="C339">
        <v>3.1117109847320422E-3</v>
      </c>
      <c r="D339">
        <v>6.9475131929500972E-2</v>
      </c>
      <c r="E339">
        <v>-5.2325497617583767E-2</v>
      </c>
      <c r="F339">
        <v>0.6337059060866892</v>
      </c>
      <c r="G339">
        <v>0.77650257934983091</v>
      </c>
      <c r="H339">
        <v>14.731122659621024</v>
      </c>
      <c r="I339">
        <v>4.9047300708992825E-2</v>
      </c>
      <c r="J339">
        <v>0</v>
      </c>
      <c r="K339">
        <v>0</v>
      </c>
    </row>
    <row r="340" spans="1:11" x14ac:dyDescent="0.3">
      <c r="A340" t="s">
        <v>129</v>
      </c>
      <c r="B340">
        <v>2007</v>
      </c>
      <c r="C340">
        <v>1.9547384936486601E-2</v>
      </c>
      <c r="D340">
        <v>5.2024201679793665E-2</v>
      </c>
      <c r="E340">
        <v>-0.12343961048338667</v>
      </c>
      <c r="F340">
        <v>0.39590062647560259</v>
      </c>
      <c r="G340">
        <v>0.89628746062064679</v>
      </c>
      <c r="H340">
        <v>14.934126107395095</v>
      </c>
      <c r="I340">
        <v>3.8322229068957665E-2</v>
      </c>
      <c r="J340">
        <v>0</v>
      </c>
      <c r="K340">
        <v>0</v>
      </c>
    </row>
    <row r="341" spans="1:11" x14ac:dyDescent="0.3">
      <c r="A341" t="s">
        <v>129</v>
      </c>
      <c r="B341">
        <v>2008</v>
      </c>
      <c r="C341">
        <v>6.9475577811801265E-4</v>
      </c>
      <c r="D341">
        <v>0.15746228045689215</v>
      </c>
      <c r="E341">
        <v>-0.22376465148016253</v>
      </c>
      <c r="F341">
        <v>0.44746529745641561</v>
      </c>
      <c r="G341">
        <v>0.81035812066306312</v>
      </c>
      <c r="H341">
        <v>15.081491497199123</v>
      </c>
      <c r="I341">
        <v>2.4003552888349589E-2</v>
      </c>
      <c r="J341">
        <v>0</v>
      </c>
      <c r="K341">
        <v>0</v>
      </c>
    </row>
    <row r="342" spans="1:11" x14ac:dyDescent="0.3">
      <c r="A342" t="s">
        <v>129</v>
      </c>
      <c r="B342">
        <v>2009</v>
      </c>
      <c r="C342">
        <v>8.6906174442722122E-3</v>
      </c>
      <c r="D342">
        <v>0.10571190861571179</v>
      </c>
      <c r="E342">
        <v>-0.19385238870291843</v>
      </c>
      <c r="F342">
        <v>0.63516503129181145</v>
      </c>
      <c r="G342">
        <v>0.86434118635761759</v>
      </c>
      <c r="H342">
        <v>15.017938269248489</v>
      </c>
      <c r="I342">
        <v>9.5357721190705708E-3</v>
      </c>
      <c r="J342">
        <v>0</v>
      </c>
      <c r="K342">
        <v>0</v>
      </c>
    </row>
    <row r="343" spans="1:11" x14ac:dyDescent="0.3">
      <c r="A343" t="s">
        <v>129</v>
      </c>
      <c r="B343">
        <v>2010</v>
      </c>
      <c r="C343">
        <v>2.4003532606731229E-3</v>
      </c>
      <c r="D343">
        <v>7.2794650968334249E-2</v>
      </c>
      <c r="E343">
        <v>-0.23869041738254565</v>
      </c>
      <c r="F343">
        <v>0.62684612437378162</v>
      </c>
      <c r="G343">
        <v>0.89417031935632341</v>
      </c>
      <c r="H343">
        <v>15.015453653910523</v>
      </c>
      <c r="I343">
        <v>4.4822144604634989E-2</v>
      </c>
      <c r="J343">
        <v>0</v>
      </c>
      <c r="K343">
        <v>0</v>
      </c>
    </row>
    <row r="344" spans="1:11" x14ac:dyDescent="0.3">
      <c r="A344" t="s">
        <v>130</v>
      </c>
      <c r="B344">
        <v>2007</v>
      </c>
      <c r="C344">
        <v>2.7612393199685846E-3</v>
      </c>
      <c r="D344">
        <v>6.6883275288965746E-2</v>
      </c>
      <c r="E344">
        <v>-2.9953967775459528E-2</v>
      </c>
      <c r="F344">
        <v>0.39767092016850053</v>
      </c>
      <c r="G344">
        <v>0.94487253377547542</v>
      </c>
      <c r="H344">
        <v>16.126484367086064</v>
      </c>
      <c r="I344">
        <v>3.9259091673549129E-4</v>
      </c>
      <c r="J344">
        <v>0</v>
      </c>
      <c r="K344">
        <v>0</v>
      </c>
    </row>
    <row r="345" spans="1:11" x14ac:dyDescent="0.3">
      <c r="A345" t="s">
        <v>130</v>
      </c>
      <c r="B345">
        <v>2008</v>
      </c>
      <c r="C345">
        <v>5.56828999438767E-3</v>
      </c>
      <c r="D345">
        <v>5.7789338701640026E-2</v>
      </c>
      <c r="E345">
        <v>-4.9141849029763741E-2</v>
      </c>
      <c r="F345">
        <v>0.42059286470992768</v>
      </c>
      <c r="G345">
        <v>0.89742155441387439</v>
      </c>
      <c r="H345">
        <v>16.333021690820267</v>
      </c>
      <c r="I345">
        <v>1.4355010632314397E-4</v>
      </c>
      <c r="J345">
        <v>0</v>
      </c>
      <c r="K345">
        <v>0</v>
      </c>
    </row>
    <row r="346" spans="1:11" x14ac:dyDescent="0.3">
      <c r="A346" t="s">
        <v>130</v>
      </c>
      <c r="B346">
        <v>2009</v>
      </c>
      <c r="C346">
        <v>1.1777515855643487E-2</v>
      </c>
      <c r="D346">
        <v>6.1104092322120773E-2</v>
      </c>
      <c r="E346">
        <v>-1.6031155456821773E-2</v>
      </c>
      <c r="F346">
        <v>0.61514906930133784</v>
      </c>
      <c r="G346">
        <v>0.89991225632641536</v>
      </c>
      <c r="H346">
        <v>16.440771366037318</v>
      </c>
      <c r="I346">
        <v>1.0905259740450878E-2</v>
      </c>
      <c r="J346">
        <v>0</v>
      </c>
      <c r="K346">
        <v>0</v>
      </c>
    </row>
    <row r="347" spans="1:11" x14ac:dyDescent="0.3">
      <c r="A347" t="s">
        <v>130</v>
      </c>
      <c r="B347">
        <v>2010</v>
      </c>
      <c r="C347">
        <v>1.0630190517430211E-2</v>
      </c>
      <c r="D347">
        <v>9.3947963950082716E-2</v>
      </c>
      <c r="E347">
        <v>-3.662961798522088E-3</v>
      </c>
      <c r="F347">
        <v>0.58998490627642319</v>
      </c>
      <c r="G347">
        <v>0.82297620177154962</v>
      </c>
      <c r="H347">
        <v>16.509254984356456</v>
      </c>
      <c r="I347">
        <v>1.2273326781330805E-2</v>
      </c>
      <c r="J347">
        <v>5.3660861972736618E-3</v>
      </c>
      <c r="K347">
        <v>0</v>
      </c>
    </row>
    <row r="348" spans="1:11" x14ac:dyDescent="0.3">
      <c r="A348" t="s">
        <v>131</v>
      </c>
      <c r="B348">
        <v>2007</v>
      </c>
      <c r="C348">
        <v>1.0272717435695163E-2</v>
      </c>
      <c r="D348">
        <v>0.75593307898787732</v>
      </c>
      <c r="E348">
        <v>0.63714932963799409</v>
      </c>
      <c r="F348">
        <v>0</v>
      </c>
      <c r="G348">
        <v>0.3902236401651733</v>
      </c>
      <c r="H348">
        <v>12.565448438889295</v>
      </c>
      <c r="I348">
        <v>1.4986674065348704E-2</v>
      </c>
      <c r="J348">
        <v>0</v>
      </c>
      <c r="K348">
        <v>0</v>
      </c>
    </row>
    <row r="349" spans="1:11" x14ac:dyDescent="0.3">
      <c r="A349" t="s">
        <v>131</v>
      </c>
      <c r="B349">
        <v>2009</v>
      </c>
      <c r="C349">
        <v>1.5714115082564423E-3</v>
      </c>
      <c r="D349">
        <v>0.85924855922840337</v>
      </c>
      <c r="E349">
        <v>0.40251276538564901</v>
      </c>
      <c r="F349">
        <v>6.1583654334259011E-2</v>
      </c>
      <c r="G349">
        <v>0.28586028248081458</v>
      </c>
      <c r="H349">
        <v>12.498413847362677</v>
      </c>
      <c r="I349">
        <v>0.10015574311999982</v>
      </c>
      <c r="J349">
        <v>4.0311744154797099E-3</v>
      </c>
      <c r="K349">
        <v>0</v>
      </c>
    </row>
    <row r="350" spans="1:11" x14ac:dyDescent="0.3">
      <c r="A350" t="s">
        <v>131</v>
      </c>
      <c r="B350">
        <v>2010</v>
      </c>
      <c r="C350">
        <v>3.386550556361877E-3</v>
      </c>
      <c r="D350">
        <v>1.3242124135575857</v>
      </c>
      <c r="E350">
        <v>0.38988019010216568</v>
      </c>
      <c r="F350">
        <v>7.3517554094690615E-2</v>
      </c>
      <c r="G350">
        <v>0.2223645142624055</v>
      </c>
      <c r="H350">
        <v>12.258826372966039</v>
      </c>
      <c r="I350">
        <v>0.33579241931213288</v>
      </c>
      <c r="J350">
        <v>0</v>
      </c>
      <c r="K350">
        <v>0</v>
      </c>
    </row>
    <row r="351" spans="1:11" x14ac:dyDescent="0.3">
      <c r="A351" t="s">
        <v>132</v>
      </c>
      <c r="B351">
        <v>2007</v>
      </c>
      <c r="C351">
        <v>7.405024609476462E-3</v>
      </c>
      <c r="D351">
        <v>4.5973991947444573E-2</v>
      </c>
      <c r="E351">
        <v>-0.10228116302936557</v>
      </c>
      <c r="F351">
        <v>0.39783983581040255</v>
      </c>
      <c r="G351">
        <v>0.85834480546152747</v>
      </c>
      <c r="H351">
        <v>15.564360612470105</v>
      </c>
      <c r="I351">
        <v>1.4654703270912967E-3</v>
      </c>
      <c r="J351">
        <v>0</v>
      </c>
      <c r="K351">
        <v>0</v>
      </c>
    </row>
    <row r="352" spans="1:11" x14ac:dyDescent="0.3">
      <c r="A352" t="s">
        <v>132</v>
      </c>
      <c r="B352">
        <v>2009</v>
      </c>
      <c r="C352">
        <v>4.7166205877145415E-3</v>
      </c>
      <c r="D352">
        <v>4.0603625004025472E-2</v>
      </c>
      <c r="E352">
        <v>-5.5582765639867152E-2</v>
      </c>
      <c r="F352">
        <v>0.38609346407451922</v>
      </c>
      <c r="G352">
        <v>0.84297398389734945</v>
      </c>
      <c r="H352">
        <v>15.860880576627567</v>
      </c>
      <c r="I352">
        <v>6.2888345421904301E-2</v>
      </c>
      <c r="J352">
        <v>9.2912342817574553E-4</v>
      </c>
      <c r="K352">
        <v>0</v>
      </c>
    </row>
    <row r="353" spans="1:11" x14ac:dyDescent="0.3">
      <c r="A353" t="s">
        <v>132</v>
      </c>
      <c r="B353">
        <v>2010</v>
      </c>
      <c r="C353">
        <v>7.2806036109333777E-3</v>
      </c>
      <c r="D353">
        <v>0.21384273818463789</v>
      </c>
      <c r="E353">
        <v>-3.820925067753729E-2</v>
      </c>
      <c r="F353">
        <v>0.36102394641479402</v>
      </c>
      <c r="G353">
        <v>0.85262104816593653</v>
      </c>
      <c r="H353">
        <v>15.984277245721046</v>
      </c>
      <c r="I353">
        <v>1.7410172993213152E-3</v>
      </c>
      <c r="J353">
        <v>0</v>
      </c>
      <c r="K353">
        <v>0</v>
      </c>
    </row>
    <row r="354" spans="1:11" x14ac:dyDescent="0.3">
      <c r="A354" t="s">
        <v>133</v>
      </c>
      <c r="B354">
        <v>2007</v>
      </c>
      <c r="C354">
        <v>1.0622125292048652E-2</v>
      </c>
      <c r="D354">
        <v>9.6757605970872115E-2</v>
      </c>
      <c r="E354">
        <v>0.25011024229387679</v>
      </c>
      <c r="F354">
        <v>3.4045809970686763E-2</v>
      </c>
      <c r="G354">
        <v>0.71117266409658875</v>
      </c>
      <c r="H354">
        <v>13.413510938109154</v>
      </c>
      <c r="I354">
        <v>7.8034983250565085E-2</v>
      </c>
      <c r="J354">
        <v>0</v>
      </c>
      <c r="K354">
        <v>0</v>
      </c>
    </row>
    <row r="355" spans="1:11" x14ac:dyDescent="0.3">
      <c r="A355" t="s">
        <v>133</v>
      </c>
      <c r="B355">
        <v>2009</v>
      </c>
      <c r="C355">
        <v>9.5396644282748171E-4</v>
      </c>
      <c r="D355">
        <v>2.8873384336245114E-2</v>
      </c>
      <c r="E355">
        <v>0.16949676711372152</v>
      </c>
      <c r="F355">
        <v>0.14061091262789696</v>
      </c>
      <c r="G355">
        <v>0.43197402467842605</v>
      </c>
      <c r="H355">
        <v>13.594757896194434</v>
      </c>
      <c r="I355">
        <v>3.3096867138322571E-2</v>
      </c>
      <c r="J355">
        <v>0</v>
      </c>
      <c r="K355">
        <v>0</v>
      </c>
    </row>
    <row r="356" spans="1:11" x14ac:dyDescent="0.3">
      <c r="A356" t="s">
        <v>133</v>
      </c>
      <c r="B356">
        <v>2010</v>
      </c>
      <c r="C356">
        <v>2.158410255400946E-3</v>
      </c>
      <c r="D356">
        <v>0.11974256529355036</v>
      </c>
      <c r="E356">
        <v>0.21057730367104691</v>
      </c>
      <c r="F356">
        <v>0.10299575097150331</v>
      </c>
      <c r="G356">
        <v>0.39674401516791646</v>
      </c>
      <c r="H356">
        <v>13.72620054112514</v>
      </c>
      <c r="I356">
        <v>5.6982865617934211E-3</v>
      </c>
      <c r="J356">
        <v>1.6630911846326438E-2</v>
      </c>
      <c r="K356">
        <v>0</v>
      </c>
    </row>
    <row r="357" spans="1:11" x14ac:dyDescent="0.3">
      <c r="A357" t="s">
        <v>134</v>
      </c>
      <c r="B357">
        <v>2007</v>
      </c>
      <c r="C357">
        <v>1.8353372277246968E-2</v>
      </c>
      <c r="D357">
        <v>0.43426270618080731</v>
      </c>
      <c r="E357">
        <v>-0.50572251975545035</v>
      </c>
      <c r="F357">
        <v>0.3159535588969995</v>
      </c>
      <c r="G357">
        <v>0.97180535171019511</v>
      </c>
      <c r="H357">
        <v>12.927642060352811</v>
      </c>
      <c r="I357">
        <v>9.594960144503116E-2</v>
      </c>
      <c r="J357">
        <v>0</v>
      </c>
      <c r="K357">
        <v>0</v>
      </c>
    </row>
    <row r="358" spans="1:11" x14ac:dyDescent="0.3">
      <c r="A358" t="s">
        <v>134</v>
      </c>
      <c r="B358">
        <v>2008</v>
      </c>
      <c r="C358">
        <v>3.5886474867323271E-3</v>
      </c>
      <c r="D358">
        <v>5.5544490727809287E-2</v>
      </c>
      <c r="E358">
        <v>-0.22066235138384563</v>
      </c>
      <c r="F358">
        <v>0.23278117144140972</v>
      </c>
      <c r="G358">
        <v>0.63453001469463099</v>
      </c>
      <c r="H358">
        <v>13.621233821951046</v>
      </c>
      <c r="I358">
        <v>1.4523286560879608E-2</v>
      </c>
      <c r="J358">
        <v>0</v>
      </c>
      <c r="K358">
        <v>0</v>
      </c>
    </row>
    <row r="359" spans="1:11" x14ac:dyDescent="0.3">
      <c r="A359" t="s">
        <v>134</v>
      </c>
      <c r="B359">
        <v>2009</v>
      </c>
      <c r="C359">
        <v>3.4422584290955294E-2</v>
      </c>
      <c r="D359">
        <v>4.3015619610607209E-2</v>
      </c>
      <c r="E359">
        <v>-1.9293770560639998E-2</v>
      </c>
      <c r="F359">
        <v>0.37123739435938058</v>
      </c>
      <c r="G359">
        <v>0.5870135146373352</v>
      </c>
      <c r="H359">
        <v>13.50558423989076</v>
      </c>
      <c r="I359">
        <v>2.3140064073149818E-2</v>
      </c>
      <c r="J359">
        <v>0</v>
      </c>
      <c r="K359">
        <v>0</v>
      </c>
    </row>
    <row r="360" spans="1:11" x14ac:dyDescent="0.3">
      <c r="A360" t="s">
        <v>134</v>
      </c>
      <c r="B360">
        <v>2010</v>
      </c>
      <c r="C360">
        <v>1.1474297356516932E-2</v>
      </c>
      <c r="D360">
        <v>7.7850987870383456E-2</v>
      </c>
      <c r="E360">
        <v>-9.4966931227201644E-3</v>
      </c>
      <c r="F360">
        <v>0.34676323566178696</v>
      </c>
      <c r="G360">
        <v>0.64894304158171068</v>
      </c>
      <c r="H360">
        <v>14.068540624806454</v>
      </c>
      <c r="I360">
        <v>9.8782261359207924E-4</v>
      </c>
      <c r="J360">
        <v>0</v>
      </c>
      <c r="K360">
        <v>0</v>
      </c>
    </row>
    <row r="361" spans="1:11" x14ac:dyDescent="0.3">
      <c r="A361" t="s">
        <v>135</v>
      </c>
      <c r="B361">
        <v>2007</v>
      </c>
      <c r="C361">
        <v>1.4393414678931488E-2</v>
      </c>
      <c r="D361">
        <v>0.1226962153902801</v>
      </c>
      <c r="E361">
        <v>0.31522511967295963</v>
      </c>
      <c r="F361">
        <v>8.7136091264738813E-2</v>
      </c>
      <c r="G361">
        <v>0</v>
      </c>
      <c r="H361">
        <v>16.844086765780432</v>
      </c>
      <c r="I361">
        <v>1.8640224272380157E-4</v>
      </c>
      <c r="J361">
        <v>0</v>
      </c>
      <c r="K361">
        <v>0</v>
      </c>
    </row>
    <row r="362" spans="1:11" x14ac:dyDescent="0.3">
      <c r="A362" t="s">
        <v>135</v>
      </c>
      <c r="B362">
        <v>2008</v>
      </c>
      <c r="C362">
        <v>1.0251254663700499E-2</v>
      </c>
      <c r="D362">
        <v>0.11956997042997591</v>
      </c>
      <c r="E362">
        <v>0.31966129110142805</v>
      </c>
      <c r="F362">
        <v>9.6500204220284269E-2</v>
      </c>
      <c r="G362">
        <v>1.0740610662243795</v>
      </c>
      <c r="H362">
        <v>16.987571131238784</v>
      </c>
      <c r="I362">
        <v>8.0451530020867607E-3</v>
      </c>
      <c r="J362">
        <v>0</v>
      </c>
      <c r="K362">
        <v>0</v>
      </c>
    </row>
    <row r="363" spans="1:11" x14ac:dyDescent="0.3">
      <c r="A363" t="s">
        <v>135</v>
      </c>
      <c r="B363">
        <v>2009</v>
      </c>
      <c r="C363">
        <v>6.4019485580405384E-3</v>
      </c>
      <c r="D363">
        <v>0.10005926660102134</v>
      </c>
      <c r="E363">
        <v>-4.9910235250979686E-2</v>
      </c>
      <c r="F363">
        <v>0.35653945742036691</v>
      </c>
      <c r="G363">
        <v>0.98111950390837421</v>
      </c>
      <c r="H363">
        <v>17.091849570224245</v>
      </c>
      <c r="I363">
        <v>2.2458366389963149E-2</v>
      </c>
      <c r="J363">
        <v>0</v>
      </c>
      <c r="K363">
        <v>0</v>
      </c>
    </row>
    <row r="364" spans="1:11" x14ac:dyDescent="0.3">
      <c r="A364" t="s">
        <v>135</v>
      </c>
      <c r="B364">
        <v>2010</v>
      </c>
      <c r="C364">
        <v>2.6929039423463754E-3</v>
      </c>
      <c r="D364">
        <v>0.17218902472675376</v>
      </c>
      <c r="E364">
        <v>8.6005697686387852E-3</v>
      </c>
      <c r="F364">
        <v>0.18496804836937253</v>
      </c>
      <c r="G364">
        <v>0.92034503548904201</v>
      </c>
      <c r="H364">
        <v>17.111974301513886</v>
      </c>
      <c r="I364">
        <v>8.2647351343414222E-3</v>
      </c>
      <c r="J364">
        <v>2.2986104528304862E-2</v>
      </c>
      <c r="K364">
        <v>0</v>
      </c>
    </row>
    <row r="365" spans="1:11" x14ac:dyDescent="0.3">
      <c r="A365" t="s">
        <v>136</v>
      </c>
      <c r="B365">
        <v>2007</v>
      </c>
      <c r="C365">
        <v>2.8566676238582353E-3</v>
      </c>
      <c r="D365">
        <v>0.14692812118986759</v>
      </c>
      <c r="E365">
        <v>0.32544199497552884</v>
      </c>
      <c r="F365">
        <v>5.8221569448955797E-2</v>
      </c>
      <c r="G365">
        <v>0.61615911976035687</v>
      </c>
      <c r="H365">
        <v>14.058113148143153</v>
      </c>
      <c r="I365">
        <v>1.9859124047261523E-2</v>
      </c>
      <c r="J365">
        <v>0</v>
      </c>
      <c r="K365">
        <v>0</v>
      </c>
    </row>
    <row r="366" spans="1:11" x14ac:dyDescent="0.3">
      <c r="A366" t="s">
        <v>136</v>
      </c>
      <c r="B366">
        <v>2008</v>
      </c>
      <c r="C366">
        <v>8.8583141487715584E-3</v>
      </c>
      <c r="D366">
        <v>7.1746329773181863E-2</v>
      </c>
      <c r="E366">
        <v>0.28350084443521906</v>
      </c>
      <c r="F366">
        <v>0.10855533173566818</v>
      </c>
      <c r="G366">
        <v>0.58088132618787025</v>
      </c>
      <c r="H366">
        <v>14.343669881378357</v>
      </c>
      <c r="I366">
        <v>6.7572560423835235E-3</v>
      </c>
      <c r="J366">
        <v>0</v>
      </c>
      <c r="K366">
        <v>0</v>
      </c>
    </row>
    <row r="367" spans="1:11" x14ac:dyDescent="0.3">
      <c r="A367" t="s">
        <v>136</v>
      </c>
      <c r="B367">
        <v>2009</v>
      </c>
      <c r="C367">
        <v>9.2933619830344205E-2</v>
      </c>
      <c r="D367">
        <v>0.12767189436677046</v>
      </c>
      <c r="E367">
        <v>0.44102979190057184</v>
      </c>
      <c r="F367">
        <v>3.1651110534294397E-2</v>
      </c>
      <c r="G367">
        <v>0.68629498850376991</v>
      </c>
      <c r="H367">
        <v>14.079539589783462</v>
      </c>
      <c r="I367">
        <v>1.1619914580878314E-2</v>
      </c>
      <c r="J367">
        <v>5.3794984664013654E-2</v>
      </c>
      <c r="K367">
        <v>0</v>
      </c>
    </row>
    <row r="368" spans="1:11" x14ac:dyDescent="0.3">
      <c r="A368" t="s">
        <v>136</v>
      </c>
      <c r="B368">
        <v>2010</v>
      </c>
      <c r="C368">
        <v>0.13096783891433203</v>
      </c>
      <c r="D368">
        <v>0.13957519901923682</v>
      </c>
      <c r="E368">
        <v>0.44651237624323287</v>
      </c>
      <c r="F368">
        <v>0</v>
      </c>
      <c r="G368">
        <v>0.72013140292793754</v>
      </c>
      <c r="H368">
        <v>14.096067557261128</v>
      </c>
      <c r="I368">
        <v>6.0654106656238868E-2</v>
      </c>
      <c r="J368">
        <v>0</v>
      </c>
      <c r="K368">
        <v>0</v>
      </c>
    </row>
    <row r="369" spans="1:11" x14ac:dyDescent="0.3">
      <c r="A369" t="s">
        <v>137</v>
      </c>
      <c r="B369">
        <v>2007</v>
      </c>
      <c r="C369">
        <v>0.16800393424010088</v>
      </c>
      <c r="D369">
        <v>8.6621493316962672E-2</v>
      </c>
      <c r="E369">
        <v>0.40525386813767933</v>
      </c>
      <c r="F369">
        <v>0</v>
      </c>
      <c r="G369">
        <v>0.7546096583247428</v>
      </c>
      <c r="H369">
        <v>14.818649953590977</v>
      </c>
      <c r="I369">
        <v>6.0274985951483256E-3</v>
      </c>
      <c r="J369">
        <v>3.1234448511439479E-2</v>
      </c>
      <c r="K369">
        <v>0</v>
      </c>
    </row>
    <row r="370" spans="1:11" x14ac:dyDescent="0.3">
      <c r="A370" t="s">
        <v>137</v>
      </c>
      <c r="B370">
        <v>2009</v>
      </c>
      <c r="C370">
        <v>0.19368393060925707</v>
      </c>
      <c r="D370">
        <v>0.12826217186369995</v>
      </c>
      <c r="E370">
        <v>0.50665188673666561</v>
      </c>
      <c r="F370">
        <v>0</v>
      </c>
      <c r="G370">
        <v>0.65415874687937414</v>
      </c>
      <c r="H370">
        <v>14.817101904307986</v>
      </c>
      <c r="I370">
        <v>4.3695283587383282E-3</v>
      </c>
      <c r="J370">
        <v>5.0052688393604522E-2</v>
      </c>
      <c r="K370">
        <v>0</v>
      </c>
    </row>
    <row r="371" spans="1:11" x14ac:dyDescent="0.3">
      <c r="A371" t="s">
        <v>137</v>
      </c>
      <c r="B371">
        <v>2010</v>
      </c>
      <c r="C371">
        <v>6.0024164581627501E-2</v>
      </c>
      <c r="D371">
        <v>0.13251398664243552</v>
      </c>
      <c r="E371">
        <v>0.47016266158459175</v>
      </c>
      <c r="F371">
        <v>0</v>
      </c>
      <c r="G371">
        <v>0.61689794672380194</v>
      </c>
      <c r="H371">
        <v>14.846594616320418</v>
      </c>
      <c r="I371">
        <v>1.6299638166627176E-2</v>
      </c>
      <c r="J371">
        <v>4.8598054851032628E-2</v>
      </c>
      <c r="K371">
        <v>0</v>
      </c>
    </row>
    <row r="372" spans="1:11" x14ac:dyDescent="0.3">
      <c r="A372" t="s">
        <v>138</v>
      </c>
      <c r="B372">
        <v>2007</v>
      </c>
      <c r="C372">
        <v>6.2051925847050908E-3</v>
      </c>
      <c r="D372">
        <v>2.0289446753149899E-2</v>
      </c>
      <c r="E372">
        <v>0.26585790619980637</v>
      </c>
      <c r="F372">
        <v>0.30436932289789259</v>
      </c>
      <c r="G372">
        <v>0.55314499544934126</v>
      </c>
      <c r="H372">
        <v>13.492644732858011</v>
      </c>
      <c r="I372">
        <v>4.7869156018673243E-3</v>
      </c>
      <c r="J372">
        <v>0</v>
      </c>
      <c r="K372">
        <v>0</v>
      </c>
    </row>
    <row r="373" spans="1:11" x14ac:dyDescent="0.3">
      <c r="A373" t="s">
        <v>138</v>
      </c>
      <c r="B373">
        <v>2009</v>
      </c>
      <c r="C373">
        <v>2.611711976211871E-3</v>
      </c>
      <c r="D373">
        <v>2.9892338549837534E-2</v>
      </c>
      <c r="E373">
        <v>5.0959028150538207E-3</v>
      </c>
      <c r="F373">
        <v>0</v>
      </c>
      <c r="G373">
        <v>0.26146034438615379</v>
      </c>
      <c r="H373">
        <v>13.827040828174498</v>
      </c>
      <c r="I373">
        <v>4.8224082292015252E-3</v>
      </c>
      <c r="J373">
        <v>0</v>
      </c>
      <c r="K373">
        <v>0</v>
      </c>
    </row>
    <row r="374" spans="1:11" x14ac:dyDescent="0.3">
      <c r="A374" t="s">
        <v>138</v>
      </c>
      <c r="B374">
        <v>2010</v>
      </c>
      <c r="C374">
        <v>1.5474670585117914E-3</v>
      </c>
      <c r="D374">
        <v>1.1870980174884976E-2</v>
      </c>
      <c r="E374">
        <v>6.7429479921952157E-3</v>
      </c>
      <c r="F374">
        <v>0.14944908823741959</v>
      </c>
      <c r="G374">
        <v>0.28328089995904898</v>
      </c>
      <c r="H374">
        <v>13.852637735045558</v>
      </c>
      <c r="I374">
        <v>1.7543228676588158E-2</v>
      </c>
      <c r="J374">
        <v>0</v>
      </c>
      <c r="K374">
        <v>0</v>
      </c>
    </row>
    <row r="375" spans="1:11" x14ac:dyDescent="0.3">
      <c r="A375" t="s">
        <v>139</v>
      </c>
      <c r="B375">
        <v>2009</v>
      </c>
      <c r="C375">
        <v>8.199347169190541E-3</v>
      </c>
      <c r="D375">
        <v>6.1274318813475677E-2</v>
      </c>
      <c r="E375">
        <v>5.3135579279115476E-2</v>
      </c>
      <c r="F375">
        <v>0.43420608327489024</v>
      </c>
      <c r="G375">
        <v>0.82661411118903516</v>
      </c>
      <c r="H375">
        <v>12.350147015140626</v>
      </c>
      <c r="I375">
        <v>5.8399832955582584E-4</v>
      </c>
      <c r="J375">
        <v>0</v>
      </c>
      <c r="K375">
        <v>0</v>
      </c>
    </row>
    <row r="376" spans="1:11" x14ac:dyDescent="0.3">
      <c r="A376" t="s">
        <v>139</v>
      </c>
      <c r="B376">
        <v>2010</v>
      </c>
      <c r="C376">
        <v>9.7437276978218045E-3</v>
      </c>
      <c r="D376">
        <v>5.3169184027090963E-2</v>
      </c>
      <c r="E376">
        <v>2.3182397202288173E-3</v>
      </c>
      <c r="F376">
        <v>0.43430994785938648</v>
      </c>
      <c r="G376">
        <v>0.77778869205389711</v>
      </c>
      <c r="H376">
        <v>12.440266912151461</v>
      </c>
      <c r="I376">
        <v>5.7822103819691814E-4</v>
      </c>
      <c r="J376">
        <v>4.3951609712870581E-3</v>
      </c>
      <c r="K376">
        <v>0</v>
      </c>
    </row>
    <row r="377" spans="1:11" x14ac:dyDescent="0.3">
      <c r="A377" t="s">
        <v>140</v>
      </c>
      <c r="B377">
        <v>2007</v>
      </c>
      <c r="C377">
        <v>1.9177498401875133E-5</v>
      </c>
      <c r="D377">
        <v>3.5810782015768164E-2</v>
      </c>
      <c r="E377">
        <v>1.6565096952908587E-2</v>
      </c>
      <c r="F377">
        <v>0</v>
      </c>
      <c r="G377">
        <v>0.43584998934583419</v>
      </c>
      <c r="H377">
        <v>13.058997501782509</v>
      </c>
      <c r="I377">
        <v>5.5761539541283245E-3</v>
      </c>
      <c r="J377">
        <v>0</v>
      </c>
      <c r="K377">
        <v>0</v>
      </c>
    </row>
    <row r="378" spans="1:11" x14ac:dyDescent="0.3">
      <c r="A378" t="s">
        <v>140</v>
      </c>
      <c r="B378">
        <v>2009</v>
      </c>
      <c r="C378">
        <v>4.0590980256913439E-4</v>
      </c>
      <c r="D378">
        <v>6.1036016102106155E-2</v>
      </c>
      <c r="E378">
        <v>-3.6104608754833531E-3</v>
      </c>
      <c r="F378">
        <v>0.46737614410103184</v>
      </c>
      <c r="G378">
        <v>0.61682450352348017</v>
      </c>
      <c r="H378">
        <v>12.699728712425509</v>
      </c>
      <c r="I378">
        <v>4.4015184634662793E-4</v>
      </c>
      <c r="J378">
        <v>0</v>
      </c>
      <c r="K378">
        <v>0</v>
      </c>
    </row>
    <row r="379" spans="1:11" x14ac:dyDescent="0.3">
      <c r="A379" t="s">
        <v>140</v>
      </c>
      <c r="B379">
        <v>2010</v>
      </c>
      <c r="C379">
        <v>4.0590980256913439E-4</v>
      </c>
      <c r="D379">
        <v>6.1036016102106155E-2</v>
      </c>
      <c r="E379">
        <v>-3.6104608754833531E-3</v>
      </c>
      <c r="F379">
        <v>0.46737614410103184</v>
      </c>
      <c r="G379">
        <v>0.55656356150754294</v>
      </c>
      <c r="H379">
        <v>12.699728712425509</v>
      </c>
      <c r="I379">
        <v>0</v>
      </c>
      <c r="J379">
        <v>0</v>
      </c>
      <c r="K379">
        <v>0</v>
      </c>
    </row>
    <row r="380" spans="1:11" x14ac:dyDescent="0.3">
      <c r="A380" t="s">
        <v>141</v>
      </c>
      <c r="B380">
        <v>2009</v>
      </c>
      <c r="C380">
        <v>6.5836979284551206E-2</v>
      </c>
      <c r="D380">
        <v>0.12899525568537656</v>
      </c>
      <c r="E380">
        <v>6.7747670143779762E-2</v>
      </c>
      <c r="F380">
        <v>0.47855279725581285</v>
      </c>
      <c r="G380">
        <v>1.4287635885389314</v>
      </c>
      <c r="H380">
        <v>13.721355910275484</v>
      </c>
      <c r="I380">
        <v>4.365054593519499E-2</v>
      </c>
      <c r="J380">
        <v>0</v>
      </c>
      <c r="K380">
        <v>0</v>
      </c>
    </row>
    <row r="381" spans="1:11" x14ac:dyDescent="0.3">
      <c r="A381" t="s">
        <v>141</v>
      </c>
      <c r="B381">
        <v>2010</v>
      </c>
      <c r="C381">
        <v>7.1087827951592339E-2</v>
      </c>
      <c r="D381">
        <v>4.4123479418229729E-2</v>
      </c>
      <c r="E381">
        <v>1.8694743886490115E-3</v>
      </c>
      <c r="F381">
        <v>0.67957896120560557</v>
      </c>
      <c r="G381">
        <v>1.2036068980094541</v>
      </c>
      <c r="H381">
        <v>14.107343254645327</v>
      </c>
      <c r="I381">
        <v>9.8283686629003983E-3</v>
      </c>
      <c r="J381">
        <v>0</v>
      </c>
      <c r="K381">
        <v>0</v>
      </c>
    </row>
    <row r="382" spans="1:11" x14ac:dyDescent="0.3">
      <c r="A382" t="s">
        <v>142</v>
      </c>
      <c r="B382">
        <v>2007</v>
      </c>
      <c r="C382">
        <v>1.8712368055220561E-2</v>
      </c>
      <c r="D382">
        <v>0.18541163262889696</v>
      </c>
      <c r="E382">
        <v>-0.27460389157614534</v>
      </c>
      <c r="F382">
        <v>0.20734900079375174</v>
      </c>
      <c r="G382">
        <v>0.71980300923997176</v>
      </c>
      <c r="H382">
        <v>13.946674776040568</v>
      </c>
      <c r="I382">
        <v>3.2604990418762581E-2</v>
      </c>
      <c r="J382">
        <v>0</v>
      </c>
      <c r="K382">
        <v>0</v>
      </c>
    </row>
    <row r="383" spans="1:11" x14ac:dyDescent="0.3">
      <c r="A383" t="s">
        <v>142</v>
      </c>
      <c r="B383">
        <v>2009</v>
      </c>
      <c r="C383">
        <v>4.329171665460671E-2</v>
      </c>
      <c r="D383">
        <v>0.17789264201092544</v>
      </c>
      <c r="E383">
        <v>9.6258898638992396E-2</v>
      </c>
      <c r="F383">
        <v>0.28593573102599218</v>
      </c>
      <c r="G383">
        <v>0.71445443024747657</v>
      </c>
      <c r="H383">
        <v>14.056735255676323</v>
      </c>
      <c r="I383">
        <v>1.0027348092480425E-2</v>
      </c>
      <c r="J383">
        <v>4.5285734600768223E-3</v>
      </c>
      <c r="K383">
        <v>0</v>
      </c>
    </row>
    <row r="384" spans="1:11" x14ac:dyDescent="0.3">
      <c r="A384" t="s">
        <v>142</v>
      </c>
      <c r="B384">
        <v>2010</v>
      </c>
      <c r="C384">
        <v>2.8915439835355477E-2</v>
      </c>
      <c r="D384">
        <v>0.15130108875093104</v>
      </c>
      <c r="E384">
        <v>0.19260982946804414</v>
      </c>
      <c r="F384">
        <v>0.24952620586334029</v>
      </c>
      <c r="G384">
        <v>0.6193128161101884</v>
      </c>
      <c r="H384">
        <v>13.979992259963229</v>
      </c>
      <c r="I384">
        <v>1.5857795495455764E-2</v>
      </c>
      <c r="J384">
        <v>1.2223634225836499E-2</v>
      </c>
      <c r="K384">
        <v>0</v>
      </c>
    </row>
    <row r="385" spans="1:11" x14ac:dyDescent="0.3">
      <c r="A385" t="s">
        <v>143</v>
      </c>
      <c r="B385">
        <v>2007</v>
      </c>
      <c r="C385">
        <v>2.2129996814942703E-2</v>
      </c>
      <c r="D385">
        <v>0.16177015368926689</v>
      </c>
      <c r="E385">
        <v>-4.1254010369890411E-2</v>
      </c>
      <c r="F385">
        <v>0.24164674297134406</v>
      </c>
      <c r="G385">
        <v>1.1809891721721681</v>
      </c>
      <c r="H385">
        <v>14.196055727645506</v>
      </c>
      <c r="I385">
        <v>1.5517217843026348E-2</v>
      </c>
      <c r="J385">
        <v>0</v>
      </c>
      <c r="K385">
        <v>0</v>
      </c>
    </row>
    <row r="386" spans="1:11" x14ac:dyDescent="0.3">
      <c r="A386" t="s">
        <v>143</v>
      </c>
      <c r="B386">
        <v>2009</v>
      </c>
      <c r="C386">
        <v>3.349966176165248E-3</v>
      </c>
      <c r="D386">
        <v>0.12922794585507325</v>
      </c>
      <c r="E386">
        <v>-3.884717654702183E-5</v>
      </c>
      <c r="F386">
        <v>0.49948226090567505</v>
      </c>
      <c r="G386">
        <v>1.1426737573926846</v>
      </c>
      <c r="H386">
        <v>15.132608901964536</v>
      </c>
      <c r="I386">
        <v>8.0960849550868255E-3</v>
      </c>
      <c r="J386">
        <v>1.8606190096649097E-2</v>
      </c>
      <c r="K386">
        <v>0</v>
      </c>
    </row>
    <row r="387" spans="1:11" x14ac:dyDescent="0.3">
      <c r="A387" t="s">
        <v>143</v>
      </c>
      <c r="B387">
        <v>2010</v>
      </c>
      <c r="C387">
        <v>7.3319758626392839E-3</v>
      </c>
      <c r="D387">
        <v>9.8847107270226137E-2</v>
      </c>
      <c r="E387">
        <v>-3.0202650038971161E-2</v>
      </c>
      <c r="F387">
        <v>0.42861889571475686</v>
      </c>
      <c r="G387">
        <v>1.0992001503385589</v>
      </c>
      <c r="H387">
        <v>15.21147897415293</v>
      </c>
      <c r="I387">
        <v>1.5776092904800434E-3</v>
      </c>
      <c r="J387">
        <v>2.1494056278912689E-2</v>
      </c>
      <c r="K387">
        <v>0</v>
      </c>
    </row>
    <row r="388" spans="1:11" x14ac:dyDescent="0.3">
      <c r="A388" t="s">
        <v>144</v>
      </c>
      <c r="B388">
        <v>2007</v>
      </c>
      <c r="C388">
        <v>2.0357441028132677E-2</v>
      </c>
      <c r="D388">
        <v>6.5651752903256713E-2</v>
      </c>
      <c r="E388">
        <v>-0.11313591073640414</v>
      </c>
      <c r="F388">
        <v>0.16664813281415736</v>
      </c>
      <c r="G388">
        <v>0.79571474519089302</v>
      </c>
      <c r="H388">
        <v>14.664833794463275</v>
      </c>
      <c r="I388">
        <v>1.8956077847841216E-2</v>
      </c>
      <c r="J388">
        <v>1.2831128660293303E-2</v>
      </c>
      <c r="K388">
        <v>0</v>
      </c>
    </row>
    <row r="389" spans="1:11" x14ac:dyDescent="0.3">
      <c r="A389" t="s">
        <v>144</v>
      </c>
      <c r="B389">
        <v>2008</v>
      </c>
      <c r="C389">
        <v>2.2846731992734643E-2</v>
      </c>
      <c r="D389">
        <v>9.5413438369203699E-2</v>
      </c>
      <c r="E389">
        <v>-0.13946589344671725</v>
      </c>
      <c r="F389">
        <v>0.26127213680229977</v>
      </c>
      <c r="G389">
        <v>0.69078052803619749</v>
      </c>
      <c r="H389">
        <v>15.144103240055344</v>
      </c>
      <c r="I389">
        <v>9.1291165692179172E-3</v>
      </c>
      <c r="J389">
        <v>1.4755043136075022E-2</v>
      </c>
      <c r="K389">
        <v>0</v>
      </c>
    </row>
    <row r="390" spans="1:11" x14ac:dyDescent="0.3">
      <c r="A390" t="s">
        <v>144</v>
      </c>
      <c r="B390">
        <v>2009</v>
      </c>
      <c r="C390">
        <v>2.8339962795071529E-2</v>
      </c>
      <c r="D390">
        <v>0.10001020321758992</v>
      </c>
      <c r="E390">
        <v>1.0391503770194087E-2</v>
      </c>
      <c r="F390">
        <v>0.3190151686081707</v>
      </c>
      <c r="G390">
        <v>0.69747959487966782</v>
      </c>
      <c r="H390">
        <v>15.151227684054383</v>
      </c>
      <c r="I390">
        <v>1.5449707250057584E-2</v>
      </c>
      <c r="J390">
        <v>1.9533639324673221E-2</v>
      </c>
      <c r="K390">
        <v>0</v>
      </c>
    </row>
    <row r="391" spans="1:11" x14ac:dyDescent="0.3">
      <c r="A391" t="s">
        <v>144</v>
      </c>
      <c r="B391">
        <v>2010</v>
      </c>
      <c r="C391">
        <v>3.3239993372310463E-2</v>
      </c>
      <c r="D391">
        <v>0.13705730584420195</v>
      </c>
      <c r="E391">
        <v>-9.8451961085994268E-3</v>
      </c>
      <c r="F391">
        <v>0.26640400501810779</v>
      </c>
      <c r="G391">
        <v>0.79071116765687499</v>
      </c>
      <c r="H391">
        <v>15.256458810335213</v>
      </c>
      <c r="I391">
        <v>2.9613998825728918E-2</v>
      </c>
      <c r="J391">
        <v>2.1978365327715577E-2</v>
      </c>
      <c r="K391">
        <v>0</v>
      </c>
    </row>
    <row r="392" spans="1:11" x14ac:dyDescent="0.3">
      <c r="A392" t="s">
        <v>145</v>
      </c>
      <c r="B392">
        <v>2007</v>
      </c>
      <c r="C392">
        <v>7.4936368348053076E-2</v>
      </c>
      <c r="D392">
        <v>0.15870667749401454</v>
      </c>
      <c r="E392">
        <v>-0.29509453995312346</v>
      </c>
      <c r="F392">
        <v>0.65865002276680706</v>
      </c>
      <c r="G392">
        <v>0.98561578442666475</v>
      </c>
      <c r="H392">
        <v>13.767519174684427</v>
      </c>
      <c r="I392">
        <v>4.6678269231129763E-2</v>
      </c>
      <c r="J392">
        <v>0</v>
      </c>
      <c r="K392">
        <v>0</v>
      </c>
    </row>
    <row r="393" spans="1:11" x14ac:dyDescent="0.3">
      <c r="A393" t="s">
        <v>145</v>
      </c>
      <c r="B393">
        <v>2009</v>
      </c>
      <c r="C393">
        <v>6.5159086835480089E-3</v>
      </c>
      <c r="D393">
        <v>0.15009858138184951</v>
      </c>
      <c r="E393">
        <v>-0.19348343355910855</v>
      </c>
      <c r="F393">
        <v>0.28751806777202787</v>
      </c>
      <c r="G393">
        <v>0.74703413102855165</v>
      </c>
      <c r="H393">
        <v>14.011286201274476</v>
      </c>
      <c r="I393">
        <v>5.142523248930482E-2</v>
      </c>
      <c r="J393">
        <v>0</v>
      </c>
      <c r="K393">
        <v>0</v>
      </c>
    </row>
    <row r="394" spans="1:11" x14ac:dyDescent="0.3">
      <c r="A394" t="s">
        <v>145</v>
      </c>
      <c r="B394">
        <v>2010</v>
      </c>
      <c r="C394">
        <v>1.7962005820100838E-3</v>
      </c>
      <c r="D394">
        <v>0.30688831793263993</v>
      </c>
      <c r="E394">
        <v>-6.5754810915214706E-2</v>
      </c>
      <c r="F394">
        <v>0.66390758385337245</v>
      </c>
      <c r="G394">
        <v>1.4494741447285622</v>
      </c>
      <c r="H394">
        <v>13.970821421660736</v>
      </c>
      <c r="I394">
        <v>5.3843890194501871E-2</v>
      </c>
      <c r="J394">
        <v>0</v>
      </c>
      <c r="K394">
        <v>0</v>
      </c>
    </row>
    <row r="395" spans="1:11" x14ac:dyDescent="0.3">
      <c r="A395" t="s">
        <v>146</v>
      </c>
      <c r="B395">
        <v>2007</v>
      </c>
      <c r="C395">
        <v>1.2306957895698026E-2</v>
      </c>
      <c r="D395">
        <v>0.16036899490383871</v>
      </c>
      <c r="E395">
        <v>-0.23824611835253784</v>
      </c>
      <c r="F395">
        <v>0.60597073839435667</v>
      </c>
      <c r="G395">
        <v>1.0243338812082374</v>
      </c>
      <c r="H395">
        <v>15.056965256882025</v>
      </c>
      <c r="I395">
        <v>4.1919587319146003E-2</v>
      </c>
      <c r="J395">
        <v>0</v>
      </c>
      <c r="K395">
        <v>0</v>
      </c>
    </row>
    <row r="396" spans="1:11" x14ac:dyDescent="0.3">
      <c r="A396" t="s">
        <v>146</v>
      </c>
      <c r="B396">
        <v>2008</v>
      </c>
      <c r="C396">
        <v>1.027179974270603E-2</v>
      </c>
      <c r="D396">
        <v>6.3135486941366378E-2</v>
      </c>
      <c r="E396">
        <v>-0.14938640422474833</v>
      </c>
      <c r="F396">
        <v>0.35094702232460956</v>
      </c>
      <c r="G396">
        <v>0.77265299089269834</v>
      </c>
      <c r="H396">
        <v>15.32163896109941</v>
      </c>
      <c r="I396">
        <v>6.7903665101942644E-3</v>
      </c>
      <c r="J396">
        <v>0</v>
      </c>
      <c r="K396">
        <v>0</v>
      </c>
    </row>
    <row r="397" spans="1:11" x14ac:dyDescent="0.3">
      <c r="A397" t="s">
        <v>146</v>
      </c>
      <c r="B397">
        <v>2009</v>
      </c>
      <c r="C397">
        <v>5.9316151609040066E-3</v>
      </c>
      <c r="D397">
        <v>0.11255077837069101</v>
      </c>
      <c r="E397">
        <v>-0.11015590041697521</v>
      </c>
      <c r="F397">
        <v>0.61983723767926224</v>
      </c>
      <c r="G397">
        <v>0.87444186926630807</v>
      </c>
      <c r="H397">
        <v>15.078354541842522</v>
      </c>
      <c r="I397">
        <v>2.647941945078704E-2</v>
      </c>
      <c r="J397">
        <v>0</v>
      </c>
      <c r="K397">
        <v>0</v>
      </c>
    </row>
    <row r="398" spans="1:11" x14ac:dyDescent="0.3">
      <c r="A398" t="s">
        <v>146</v>
      </c>
      <c r="B398">
        <v>2010</v>
      </c>
      <c r="C398">
        <v>1.5393442501725994E-2</v>
      </c>
      <c r="D398">
        <v>0.19644361294989274</v>
      </c>
      <c r="E398">
        <v>-3.2126336678657309E-2</v>
      </c>
      <c r="F398">
        <v>0.4344387983185764</v>
      </c>
      <c r="G398">
        <v>0.79899128028723754</v>
      </c>
      <c r="H398">
        <v>14.905787537595788</v>
      </c>
      <c r="I398">
        <v>2.4966238424917242E-2</v>
      </c>
      <c r="J398">
        <v>9.6440520614783105E-3</v>
      </c>
      <c r="K398">
        <v>0</v>
      </c>
    </row>
    <row r="399" spans="1:11" x14ac:dyDescent="0.3">
      <c r="A399" t="s">
        <v>147</v>
      </c>
      <c r="B399">
        <v>2007</v>
      </c>
      <c r="C399">
        <v>2.15545393327763E-3</v>
      </c>
      <c r="D399">
        <v>9.5920022566601884E-2</v>
      </c>
      <c r="E399">
        <v>-0.27716691177629788</v>
      </c>
      <c r="F399">
        <v>0.33740490271812695</v>
      </c>
      <c r="G399">
        <v>0.81083588202306656</v>
      </c>
      <c r="H399">
        <v>15.77621135553135</v>
      </c>
      <c r="I399">
        <v>1.7506837454407009E-2</v>
      </c>
      <c r="J399">
        <v>0</v>
      </c>
      <c r="K399">
        <v>0</v>
      </c>
    </row>
    <row r="400" spans="1:11" x14ac:dyDescent="0.3">
      <c r="A400" t="s">
        <v>147</v>
      </c>
      <c r="B400">
        <v>2008</v>
      </c>
      <c r="C400">
        <v>5.0884672371773569E-3</v>
      </c>
      <c r="D400">
        <v>0.15129942925852075</v>
      </c>
      <c r="E400">
        <v>-0.38546253600310182</v>
      </c>
      <c r="F400">
        <v>0.46250628900336027</v>
      </c>
      <c r="G400">
        <v>0.86534800113548249</v>
      </c>
      <c r="H400">
        <v>15.751765098445826</v>
      </c>
      <c r="I400">
        <v>1.4185985827748739E-2</v>
      </c>
      <c r="J400">
        <v>0</v>
      </c>
      <c r="K400">
        <v>0</v>
      </c>
    </row>
    <row r="401" spans="1:11" x14ac:dyDescent="0.3">
      <c r="A401" t="s">
        <v>147</v>
      </c>
      <c r="B401">
        <v>2009</v>
      </c>
      <c r="C401">
        <v>1.6746126481932786E-3</v>
      </c>
      <c r="D401">
        <v>0.11293986589528977</v>
      </c>
      <c r="E401">
        <v>-0.31327153797542756</v>
      </c>
      <c r="F401">
        <v>0.60676535304851931</v>
      </c>
      <c r="G401">
        <v>0.8856471195258131</v>
      </c>
      <c r="H401">
        <v>15.66200833902043</v>
      </c>
      <c r="I401">
        <v>2.1819294586517875E-2</v>
      </c>
      <c r="J401">
        <v>0</v>
      </c>
      <c r="K401">
        <v>0</v>
      </c>
    </row>
    <row r="402" spans="1:11" x14ac:dyDescent="0.3">
      <c r="A402" t="s">
        <v>147</v>
      </c>
      <c r="B402">
        <v>2010</v>
      </c>
      <c r="C402">
        <v>2.0591425946855776E-3</v>
      </c>
      <c r="D402">
        <v>4.0608589642274845E-2</v>
      </c>
      <c r="E402">
        <v>-0.36230689081833073</v>
      </c>
      <c r="F402">
        <v>0.53669589002588325</v>
      </c>
      <c r="G402">
        <v>0.8113400595110366</v>
      </c>
      <c r="H402">
        <v>15.670098806303638</v>
      </c>
      <c r="I402">
        <v>2.8989510765500659E-2</v>
      </c>
      <c r="J402">
        <v>0</v>
      </c>
      <c r="K402">
        <v>0</v>
      </c>
    </row>
    <row r="403" spans="1:11" x14ac:dyDescent="0.3">
      <c r="A403" t="s">
        <v>148</v>
      </c>
      <c r="B403">
        <v>2007</v>
      </c>
      <c r="C403">
        <v>3.9741434761266903E-2</v>
      </c>
      <c r="D403">
        <v>4.610816497951209E-2</v>
      </c>
      <c r="E403">
        <v>-0.15046583596363577</v>
      </c>
      <c r="F403">
        <v>2.1049170020241998E-2</v>
      </c>
      <c r="G403">
        <v>1.0148945998516807</v>
      </c>
      <c r="H403">
        <v>13.851797163137292</v>
      </c>
      <c r="I403">
        <v>2.3411599762191697E-2</v>
      </c>
      <c r="J403">
        <v>0</v>
      </c>
      <c r="K403">
        <v>0</v>
      </c>
    </row>
    <row r="404" spans="1:11" x14ac:dyDescent="0.3">
      <c r="A404" t="s">
        <v>148</v>
      </c>
      <c r="B404">
        <v>2009</v>
      </c>
      <c r="C404">
        <v>5.1021108912833762E-2</v>
      </c>
      <c r="D404">
        <v>9.8335813208195039E-2</v>
      </c>
      <c r="E404">
        <v>7.7404143298615086E-2</v>
      </c>
      <c r="F404">
        <v>0.14377605912457692</v>
      </c>
      <c r="G404">
        <v>0.96246701221406494</v>
      </c>
      <c r="H404">
        <v>14.240108134221609</v>
      </c>
      <c r="I404">
        <v>6.5608683251761751E-3</v>
      </c>
      <c r="J404">
        <v>2.4780653705914094E-2</v>
      </c>
      <c r="K404">
        <v>0</v>
      </c>
    </row>
    <row r="405" spans="1:11" x14ac:dyDescent="0.3">
      <c r="A405" t="s">
        <v>148</v>
      </c>
      <c r="B405">
        <v>2010</v>
      </c>
      <c r="C405">
        <v>0.14197853972383806</v>
      </c>
      <c r="D405">
        <v>0.1085732316688016</v>
      </c>
      <c r="E405">
        <v>7.3315680445905335E-2</v>
      </c>
      <c r="F405">
        <v>0</v>
      </c>
      <c r="G405">
        <v>0.96190227423792896</v>
      </c>
      <c r="H405">
        <v>14.378383321904668</v>
      </c>
      <c r="I405">
        <v>1.3172626674202785E-2</v>
      </c>
      <c r="J405">
        <v>3.0829710390503209E-2</v>
      </c>
      <c r="K405">
        <v>0</v>
      </c>
    </row>
    <row r="406" spans="1:11" x14ac:dyDescent="0.3">
      <c r="A406" t="s">
        <v>149</v>
      </c>
      <c r="B406">
        <v>2007</v>
      </c>
      <c r="C406">
        <v>2.7660535149885156E-2</v>
      </c>
      <c r="D406">
        <v>0.24701898349005674</v>
      </c>
      <c r="E406">
        <v>0.30948978189599324</v>
      </c>
      <c r="F406">
        <v>6.0692200475078034E-2</v>
      </c>
      <c r="G406">
        <v>0.99371797640314885</v>
      </c>
      <c r="H406">
        <v>13.140969210396445</v>
      </c>
      <c r="I406">
        <v>1.2908582622717421E-2</v>
      </c>
      <c r="J406">
        <v>4.7115176976383517E-2</v>
      </c>
      <c r="K406">
        <v>0</v>
      </c>
    </row>
    <row r="407" spans="1:11" x14ac:dyDescent="0.3">
      <c r="A407" t="s">
        <v>149</v>
      </c>
      <c r="B407">
        <v>2008</v>
      </c>
      <c r="C407">
        <v>1.545336118674303E-2</v>
      </c>
      <c r="D407">
        <v>0.24535988404844616</v>
      </c>
      <c r="E407">
        <v>0.24793446624730073</v>
      </c>
      <c r="F407">
        <v>0.12036428504365787</v>
      </c>
      <c r="G407">
        <v>0.54017793223640964</v>
      </c>
      <c r="H407">
        <v>13.432292146802837</v>
      </c>
      <c r="I407">
        <v>1.4725359836197263E-2</v>
      </c>
      <c r="J407">
        <v>0.11735987231245892</v>
      </c>
      <c r="K407">
        <v>0</v>
      </c>
    </row>
    <row r="408" spans="1:11" x14ac:dyDescent="0.3">
      <c r="A408" t="s">
        <v>149</v>
      </c>
      <c r="B408">
        <v>2009</v>
      </c>
      <c r="C408">
        <v>7.6069313830478866E-2</v>
      </c>
      <c r="D408">
        <v>0.33832056696971868</v>
      </c>
      <c r="E408">
        <v>0.36657847332504484</v>
      </c>
      <c r="F408">
        <v>0</v>
      </c>
      <c r="G408">
        <v>1.0777455619659275</v>
      </c>
      <c r="H408">
        <v>13.436416165838178</v>
      </c>
      <c r="I408">
        <v>3.4956989441536912E-4</v>
      </c>
      <c r="J408">
        <v>0.11687687459549644</v>
      </c>
      <c r="K408">
        <v>0</v>
      </c>
    </row>
    <row r="409" spans="1:11" x14ac:dyDescent="0.3">
      <c r="A409" t="s">
        <v>149</v>
      </c>
      <c r="B409">
        <v>2010</v>
      </c>
      <c r="C409">
        <v>0.1132952930885409</v>
      </c>
      <c r="D409">
        <v>0.30781754840145015</v>
      </c>
      <c r="E409">
        <v>0.41346518483311673</v>
      </c>
      <c r="F409">
        <v>2.8972610012489067E-3</v>
      </c>
      <c r="G409">
        <v>0.83764842774291737</v>
      </c>
      <c r="H409">
        <v>13.581169548456776</v>
      </c>
      <c r="I409">
        <v>2.4291370485874965E-2</v>
      </c>
      <c r="J409">
        <v>0.10112603843800722</v>
      </c>
      <c r="K409">
        <v>0</v>
      </c>
    </row>
    <row r="410" spans="1:11" x14ac:dyDescent="0.3">
      <c r="A410" t="s">
        <v>150</v>
      </c>
      <c r="B410">
        <v>2007</v>
      </c>
      <c r="C410">
        <v>0.21722908748481001</v>
      </c>
      <c r="D410">
        <v>0.10825171903725749</v>
      </c>
      <c r="E410">
        <v>0.44199873717270932</v>
      </c>
      <c r="F410">
        <v>0.16608288120578232</v>
      </c>
      <c r="G410">
        <v>1.3777984450078178</v>
      </c>
      <c r="H410">
        <v>14.893728284177151</v>
      </c>
      <c r="I410">
        <v>2.0587569452928584E-2</v>
      </c>
      <c r="J410">
        <v>1.9595595889823764E-2</v>
      </c>
      <c r="K410">
        <v>0</v>
      </c>
    </row>
    <row r="411" spans="1:11" x14ac:dyDescent="0.3">
      <c r="A411" t="s">
        <v>150</v>
      </c>
      <c r="B411">
        <v>2008</v>
      </c>
      <c r="C411">
        <v>0.21956796323010133</v>
      </c>
      <c r="D411">
        <v>0.16996180931607047</v>
      </c>
      <c r="E411">
        <v>0.36954219174758079</v>
      </c>
      <c r="F411">
        <v>0.1386669719298026</v>
      </c>
      <c r="G411">
        <v>1.0435704876131433</v>
      </c>
      <c r="H411">
        <v>15.025808218152891</v>
      </c>
      <c r="I411">
        <v>7.911830387495683E-3</v>
      </c>
      <c r="J411">
        <v>2.6829767806246147E-2</v>
      </c>
      <c r="K411">
        <v>0</v>
      </c>
    </row>
    <row r="412" spans="1:11" x14ac:dyDescent="0.3">
      <c r="A412" t="s">
        <v>151</v>
      </c>
      <c r="B412">
        <v>2007</v>
      </c>
      <c r="C412">
        <v>1.5917290686927273E-2</v>
      </c>
      <c r="D412">
        <v>0.12393284260430962</v>
      </c>
      <c r="E412">
        <v>-0.34814219768860011</v>
      </c>
      <c r="F412">
        <v>0.47574023103814395</v>
      </c>
      <c r="G412">
        <v>1.5160870874273391</v>
      </c>
      <c r="H412">
        <v>14.267220371085568</v>
      </c>
      <c r="I412">
        <v>8.5394340266613314E-3</v>
      </c>
      <c r="J412">
        <v>0</v>
      </c>
      <c r="K412">
        <v>0</v>
      </c>
    </row>
    <row r="413" spans="1:11" x14ac:dyDescent="0.3">
      <c r="A413" t="s">
        <v>151</v>
      </c>
      <c r="B413">
        <v>2009</v>
      </c>
      <c r="C413">
        <v>0.10735276830845186</v>
      </c>
      <c r="D413">
        <v>7.0893088045139302E-2</v>
      </c>
      <c r="E413">
        <v>-2.9507317503232631E-2</v>
      </c>
      <c r="F413">
        <v>0.3660617726578112</v>
      </c>
      <c r="G413">
        <v>1.0742476783825086</v>
      </c>
      <c r="H413">
        <v>14.123818448209711</v>
      </c>
      <c r="I413">
        <v>2.4507698338843628E-3</v>
      </c>
      <c r="J413">
        <v>0</v>
      </c>
      <c r="K413">
        <v>0</v>
      </c>
    </row>
    <row r="414" spans="1:11" x14ac:dyDescent="0.3">
      <c r="A414" t="s">
        <v>151</v>
      </c>
      <c r="B414">
        <v>2010</v>
      </c>
      <c r="C414">
        <v>1.3022833757844472E-2</v>
      </c>
      <c r="D414">
        <v>5.4128218407290679E-2</v>
      </c>
      <c r="E414">
        <v>-6.7411598683919216E-2</v>
      </c>
      <c r="F414">
        <v>0.44447952624171916</v>
      </c>
      <c r="G414">
        <v>1.0440892198556984</v>
      </c>
      <c r="H414">
        <v>14.259082297328419</v>
      </c>
      <c r="I414">
        <v>6.970192938988492E-3</v>
      </c>
      <c r="J414">
        <v>2.0792382287200557E-2</v>
      </c>
      <c r="K414">
        <v>0</v>
      </c>
    </row>
    <row r="415" spans="1:11" x14ac:dyDescent="0.3">
      <c r="A415" t="s">
        <v>152</v>
      </c>
      <c r="B415">
        <v>2007</v>
      </c>
      <c r="C415">
        <v>8.1805670837442005E-3</v>
      </c>
      <c r="D415">
        <v>0.14868695239235513</v>
      </c>
      <c r="E415">
        <v>5.1195471294025532E-2</v>
      </c>
      <c r="F415">
        <v>0.3702483496940191</v>
      </c>
      <c r="G415">
        <v>0.94676241378521742</v>
      </c>
      <c r="H415">
        <v>13.518918240249402</v>
      </c>
      <c r="I415">
        <v>1.3642123642801651E-3</v>
      </c>
      <c r="J415">
        <v>0</v>
      </c>
      <c r="K415">
        <v>0</v>
      </c>
    </row>
    <row r="416" spans="1:11" x14ac:dyDescent="0.3">
      <c r="A416" t="s">
        <v>152</v>
      </c>
      <c r="B416">
        <v>2008</v>
      </c>
      <c r="C416">
        <v>5.6939159812332572E-2</v>
      </c>
      <c r="D416">
        <v>0.16784366217840543</v>
      </c>
      <c r="E416">
        <v>8.8430603344364325E-2</v>
      </c>
      <c r="F416">
        <v>3.8334257734200752E-2</v>
      </c>
      <c r="G416">
        <v>0.66242453770122578</v>
      </c>
      <c r="H416">
        <v>13.293248115736308</v>
      </c>
      <c r="I416">
        <v>2.314667081606259E-2</v>
      </c>
      <c r="J416">
        <v>3.4677676309094928E-2</v>
      </c>
      <c r="K416">
        <v>0</v>
      </c>
    </row>
    <row r="417" spans="1:11" x14ac:dyDescent="0.3">
      <c r="A417" t="s">
        <v>152</v>
      </c>
      <c r="B417">
        <v>2009</v>
      </c>
      <c r="C417">
        <v>4.3428279857129992E-2</v>
      </c>
      <c r="D417">
        <v>0.19745175135816551</v>
      </c>
      <c r="E417">
        <v>-0.10569829216315994</v>
      </c>
      <c r="F417">
        <v>0.22775760122460006</v>
      </c>
      <c r="G417">
        <v>0.94806705285589943</v>
      </c>
      <c r="H417">
        <v>13.40955532976688</v>
      </c>
      <c r="I417">
        <v>5.7946418392665192E-2</v>
      </c>
      <c r="J417">
        <v>0</v>
      </c>
      <c r="K417">
        <v>0</v>
      </c>
    </row>
    <row r="418" spans="1:11" x14ac:dyDescent="0.3">
      <c r="A418" t="s">
        <v>152</v>
      </c>
      <c r="B418">
        <v>2010</v>
      </c>
      <c r="C418">
        <v>6.3337414332187061E-3</v>
      </c>
      <c r="D418">
        <v>0.26306914522971808</v>
      </c>
      <c r="E418">
        <v>-0.22349828215698347</v>
      </c>
      <c r="F418">
        <v>0.25986130846342981</v>
      </c>
      <c r="G418">
        <v>0.62098991142749904</v>
      </c>
      <c r="H418">
        <v>14.063580060496939</v>
      </c>
      <c r="I418">
        <v>9.7874363783576779E-2</v>
      </c>
      <c r="J418">
        <v>0</v>
      </c>
      <c r="K418">
        <v>0</v>
      </c>
    </row>
    <row r="419" spans="1:11" x14ac:dyDescent="0.3">
      <c r="A419" t="s">
        <v>153</v>
      </c>
      <c r="B419">
        <v>2007</v>
      </c>
      <c r="C419">
        <v>3.0402694190616968E-3</v>
      </c>
      <c r="D419">
        <v>3.4990295352882894E-2</v>
      </c>
      <c r="E419">
        <v>5.950628134130248E-2</v>
      </c>
      <c r="F419">
        <v>0.38157548688557658</v>
      </c>
      <c r="G419">
        <v>1.080407602081719</v>
      </c>
      <c r="H419">
        <v>15.795606375473131</v>
      </c>
      <c r="I419">
        <v>2.326411308078985E-2</v>
      </c>
      <c r="J419">
        <v>0</v>
      </c>
      <c r="K419">
        <v>0</v>
      </c>
    </row>
    <row r="420" spans="1:11" x14ac:dyDescent="0.3">
      <c r="A420" t="s">
        <v>153</v>
      </c>
      <c r="B420">
        <v>2008</v>
      </c>
      <c r="C420">
        <v>3.9392187426439003E-4</v>
      </c>
      <c r="D420">
        <v>0.10140532680036723</v>
      </c>
      <c r="E420">
        <v>-9.8984553052292895E-2</v>
      </c>
      <c r="F420">
        <v>0.24828246207713414</v>
      </c>
      <c r="G420">
        <v>1.0463633604526503</v>
      </c>
      <c r="H420">
        <v>15.962619276118945</v>
      </c>
      <c r="I420">
        <v>8.5532456668048762E-3</v>
      </c>
      <c r="J420">
        <v>1.5588535284687408E-2</v>
      </c>
      <c r="K420">
        <v>0</v>
      </c>
    </row>
    <row r="421" spans="1:11" x14ac:dyDescent="0.3">
      <c r="A421" t="s">
        <v>153</v>
      </c>
      <c r="B421">
        <v>2009</v>
      </c>
      <c r="C421">
        <v>5.3339400845597352E-4</v>
      </c>
      <c r="D421">
        <v>0.1103771244840905</v>
      </c>
      <c r="E421">
        <v>-0.11498946631975243</v>
      </c>
      <c r="F421">
        <v>0.6832118006410296</v>
      </c>
      <c r="G421">
        <v>1.0221409233781698</v>
      </c>
      <c r="H421">
        <v>16.327736205769408</v>
      </c>
      <c r="I421">
        <v>1.8738998331913604E-2</v>
      </c>
      <c r="J421">
        <v>1.4124075490253397E-2</v>
      </c>
      <c r="K421">
        <v>0</v>
      </c>
    </row>
    <row r="422" spans="1:11" x14ac:dyDescent="0.3">
      <c r="A422" t="s">
        <v>153</v>
      </c>
      <c r="B422">
        <v>2010</v>
      </c>
      <c r="C422">
        <v>8.9897359102814164E-4</v>
      </c>
      <c r="D422">
        <v>0.19658339097406524</v>
      </c>
      <c r="E422">
        <v>-8.5717978132644035E-2</v>
      </c>
      <c r="F422">
        <v>0.54541874694320636</v>
      </c>
      <c r="G422">
        <v>1.0769131373134919</v>
      </c>
      <c r="H422">
        <v>16.314620774489907</v>
      </c>
      <c r="I422">
        <v>6.3332982834232027E-3</v>
      </c>
      <c r="J422">
        <v>2.8173891496631642E-2</v>
      </c>
      <c r="K422">
        <v>0</v>
      </c>
    </row>
    <row r="423" spans="1:11" x14ac:dyDescent="0.3">
      <c r="A423" t="s">
        <v>154</v>
      </c>
      <c r="B423">
        <v>2007</v>
      </c>
      <c r="C423">
        <v>2.8940603666944725E-3</v>
      </c>
      <c r="D423">
        <v>0.18940642952832054</v>
      </c>
      <c r="E423">
        <v>-0.19535562239976534</v>
      </c>
      <c r="F423">
        <v>0.17958626722522469</v>
      </c>
      <c r="G423">
        <v>1.0382827876741838</v>
      </c>
      <c r="H423">
        <v>13.545842586243566</v>
      </c>
      <c r="I423">
        <v>2.5874549285816437E-2</v>
      </c>
      <c r="J423">
        <v>0</v>
      </c>
      <c r="K423">
        <v>0</v>
      </c>
    </row>
    <row r="424" spans="1:11" x14ac:dyDescent="0.3">
      <c r="A424" t="s">
        <v>154</v>
      </c>
      <c r="B424">
        <v>2009</v>
      </c>
      <c r="C424">
        <v>1.1989871643104169E-3</v>
      </c>
      <c r="D424">
        <v>0.2523058821004896</v>
      </c>
      <c r="E424">
        <v>-4.6594196937888709E-2</v>
      </c>
      <c r="F424">
        <v>0.17762534378118172</v>
      </c>
      <c r="G424">
        <v>1.3355333302337891</v>
      </c>
      <c r="H424">
        <v>13.927448991604834</v>
      </c>
      <c r="I424">
        <v>1.2313213849226401E-2</v>
      </c>
      <c r="J424">
        <v>3.6965641552013331E-2</v>
      </c>
      <c r="K424">
        <v>0</v>
      </c>
    </row>
    <row r="425" spans="1:11" x14ac:dyDescent="0.3">
      <c r="A425" t="s">
        <v>154</v>
      </c>
      <c r="B425">
        <v>2010</v>
      </c>
      <c r="C425">
        <v>6.5545459207752024E-2</v>
      </c>
      <c r="D425">
        <v>0.21265005984242169</v>
      </c>
      <c r="E425">
        <v>-2.5558505259045367E-2</v>
      </c>
      <c r="F425">
        <v>0.17134178983295406</v>
      </c>
      <c r="G425">
        <v>1.172709988699953</v>
      </c>
      <c r="H425">
        <v>14.366743306203842</v>
      </c>
      <c r="I425">
        <v>1.8236638263139274E-2</v>
      </c>
      <c r="J425">
        <v>2.8826932950556963E-2</v>
      </c>
      <c r="K425">
        <v>0</v>
      </c>
    </row>
    <row r="426" spans="1:11" x14ac:dyDescent="0.3">
      <c r="A426" t="s">
        <v>155</v>
      </c>
      <c r="B426">
        <v>2007</v>
      </c>
      <c r="C426">
        <v>1.0021588636888687E-2</v>
      </c>
      <c r="D426">
        <v>7.0913892407332174E-2</v>
      </c>
      <c r="E426">
        <v>-7.1865863664969847E-3</v>
      </c>
      <c r="F426">
        <v>0.40166614885803281</v>
      </c>
      <c r="G426">
        <v>1.9776776681085646</v>
      </c>
      <c r="H426">
        <v>13.819733628237145</v>
      </c>
      <c r="I426">
        <v>3.3540903269749997E-3</v>
      </c>
      <c r="J426">
        <v>0</v>
      </c>
      <c r="K426">
        <v>0</v>
      </c>
    </row>
    <row r="427" spans="1:11" x14ac:dyDescent="0.3">
      <c r="A427" t="s">
        <v>155</v>
      </c>
      <c r="B427">
        <v>2009</v>
      </c>
      <c r="C427">
        <v>2.6681186625899089E-2</v>
      </c>
      <c r="D427">
        <v>0.1796083418688863</v>
      </c>
      <c r="E427">
        <v>2.6764194085147377E-2</v>
      </c>
      <c r="F427">
        <v>0.26502834818963777</v>
      </c>
      <c r="G427">
        <v>1.0357079051278049</v>
      </c>
      <c r="H427">
        <v>14.087927965973632</v>
      </c>
      <c r="I427">
        <v>1.6021565741834033E-2</v>
      </c>
      <c r="J427">
        <v>1.2163258157005944E-2</v>
      </c>
      <c r="K427">
        <v>0</v>
      </c>
    </row>
    <row r="428" spans="1:11" x14ac:dyDescent="0.3">
      <c r="A428" t="s">
        <v>155</v>
      </c>
      <c r="B428">
        <v>2010</v>
      </c>
      <c r="C428">
        <v>2.0943365782821494E-2</v>
      </c>
      <c r="D428">
        <v>0.12653417952993062</v>
      </c>
      <c r="E428">
        <v>-6.2763540041951268E-2</v>
      </c>
      <c r="F428">
        <v>0.19846985424622168</v>
      </c>
      <c r="G428">
        <v>0.87091499489055024</v>
      </c>
      <c r="H428">
        <v>14.212567079453944</v>
      </c>
      <c r="I428">
        <v>7.3788231400552518E-3</v>
      </c>
      <c r="J428">
        <v>7.0873446996181358E-3</v>
      </c>
      <c r="K428">
        <v>0</v>
      </c>
    </row>
    <row r="429" spans="1:11" x14ac:dyDescent="0.3">
      <c r="A429" t="s">
        <v>156</v>
      </c>
      <c r="B429">
        <v>2007</v>
      </c>
      <c r="C429">
        <v>5.7241710057550016E-3</v>
      </c>
      <c r="D429">
        <v>0.24543710605645383</v>
      </c>
      <c r="E429">
        <v>-2.569275828994245</v>
      </c>
      <c r="F429">
        <v>0.27830570019183337</v>
      </c>
      <c r="G429">
        <v>3.6305960537133464</v>
      </c>
      <c r="H429">
        <v>12.58423507111033</v>
      </c>
      <c r="I429">
        <v>1.5841312678397786E-2</v>
      </c>
      <c r="J429">
        <v>0</v>
      </c>
      <c r="K429">
        <v>0</v>
      </c>
    </row>
    <row r="430" spans="1:11" x14ac:dyDescent="0.3">
      <c r="A430" t="s">
        <v>156</v>
      </c>
      <c r="B430">
        <v>2008</v>
      </c>
      <c r="C430">
        <v>4.3296211500535942E-3</v>
      </c>
      <c r="D430">
        <v>0.18245289067787554</v>
      </c>
      <c r="E430">
        <v>-2.5824975793628946</v>
      </c>
      <c r="F430">
        <v>1.6856701521682107</v>
      </c>
      <c r="G430">
        <v>3.4850242063710519</v>
      </c>
      <c r="H430">
        <v>12.640458812111474</v>
      </c>
      <c r="I430">
        <v>0.13858324580065251</v>
      </c>
      <c r="J430">
        <v>0</v>
      </c>
      <c r="K430">
        <v>0</v>
      </c>
    </row>
    <row r="431" spans="1:11" x14ac:dyDescent="0.3">
      <c r="A431" t="s">
        <v>156</v>
      </c>
      <c r="B431">
        <v>2009</v>
      </c>
      <c r="C431">
        <v>7.8684376976597085E-3</v>
      </c>
      <c r="D431">
        <v>0.59566729917773564</v>
      </c>
      <c r="E431">
        <v>-1.0168722327640733</v>
      </c>
      <c r="F431">
        <v>1.3763820366856421</v>
      </c>
      <c r="G431">
        <v>2.757725173940544</v>
      </c>
      <c r="H431">
        <v>12.664130203757509</v>
      </c>
      <c r="I431">
        <v>3.0959423766054563E-2</v>
      </c>
      <c r="J431">
        <v>0</v>
      </c>
      <c r="K431">
        <v>0</v>
      </c>
    </row>
    <row r="432" spans="1:11" x14ac:dyDescent="0.3">
      <c r="A432" t="s">
        <v>156</v>
      </c>
      <c r="B432">
        <v>2010</v>
      </c>
      <c r="C432">
        <v>4.8168383765704932E-2</v>
      </c>
      <c r="D432">
        <v>0.45532775111420354</v>
      </c>
      <c r="E432">
        <v>-0.66953948009983688</v>
      </c>
      <c r="F432">
        <v>1.0422909764666504</v>
      </c>
      <c r="G432">
        <v>2.0835123702292191</v>
      </c>
      <c r="H432">
        <v>12.846396414301354</v>
      </c>
      <c r="I432">
        <v>0.12161394388886251</v>
      </c>
      <c r="J432">
        <v>3.7162082025412539E-2</v>
      </c>
      <c r="K432">
        <v>0</v>
      </c>
    </row>
    <row r="433" spans="1:11" x14ac:dyDescent="0.3">
      <c r="A433" t="s">
        <v>157</v>
      </c>
      <c r="B433">
        <v>2007</v>
      </c>
      <c r="C433">
        <v>6.8662259883141051E-3</v>
      </c>
      <c r="D433">
        <v>5.2685897892157364E-2</v>
      </c>
      <c r="E433">
        <v>-5.6181405912460243E-2</v>
      </c>
      <c r="F433">
        <v>0.29830507377865201</v>
      </c>
      <c r="G433">
        <v>0.74762492177512463</v>
      </c>
      <c r="H433">
        <v>14.587299773405761</v>
      </c>
      <c r="I433">
        <v>1.0453079257000269E-2</v>
      </c>
      <c r="J433">
        <v>0</v>
      </c>
      <c r="K433">
        <v>0</v>
      </c>
    </row>
    <row r="434" spans="1:11" x14ac:dyDescent="0.3">
      <c r="A434" t="s">
        <v>157</v>
      </c>
      <c r="B434">
        <v>2008</v>
      </c>
      <c r="C434">
        <v>8.4008590072200857E-3</v>
      </c>
      <c r="D434">
        <v>9.6194229928150687E-2</v>
      </c>
      <c r="E434">
        <v>-9.042426147402248E-2</v>
      </c>
      <c r="F434">
        <v>0.28689166148829104</v>
      </c>
      <c r="G434">
        <v>0.63077335464652806</v>
      </c>
      <c r="H434">
        <v>14.475269503354937</v>
      </c>
      <c r="I434">
        <v>7.7692424265730572E-3</v>
      </c>
      <c r="J434">
        <v>0</v>
      </c>
      <c r="K434">
        <v>0</v>
      </c>
    </row>
    <row r="435" spans="1:11" x14ac:dyDescent="0.3">
      <c r="A435" t="s">
        <v>157</v>
      </c>
      <c r="B435">
        <v>2009</v>
      </c>
      <c r="C435">
        <v>6.108438226338715E-3</v>
      </c>
      <c r="D435">
        <v>0.12819151198544884</v>
      </c>
      <c r="E435">
        <v>-0.12567145284005474</v>
      </c>
      <c r="F435">
        <v>0.32559677052137515</v>
      </c>
      <c r="G435">
        <v>0.65400582447028088</v>
      </c>
      <c r="H435">
        <v>14.284746392531098</v>
      </c>
      <c r="I435">
        <v>2.7881616708260615E-2</v>
      </c>
      <c r="J435">
        <v>9.3922085200391307E-3</v>
      </c>
      <c r="K435">
        <v>0</v>
      </c>
    </row>
    <row r="436" spans="1:11" x14ac:dyDescent="0.3">
      <c r="A436" t="s">
        <v>157</v>
      </c>
      <c r="B436">
        <v>2010</v>
      </c>
      <c r="C436">
        <v>2.5142532061984441E-2</v>
      </c>
      <c r="D436">
        <v>0.20141558958056291</v>
      </c>
      <c r="E436">
        <v>-0.29316594643957872</v>
      </c>
      <c r="F436">
        <v>0.42689516058167531</v>
      </c>
      <c r="G436">
        <v>0.67036097273942097</v>
      </c>
      <c r="H436">
        <v>14.244901155230561</v>
      </c>
      <c r="I436">
        <v>3.1946611833488903E-2</v>
      </c>
      <c r="J436">
        <v>0</v>
      </c>
      <c r="K436">
        <v>0</v>
      </c>
    </row>
    <row r="437" spans="1:11" x14ac:dyDescent="0.3">
      <c r="A437" t="s">
        <v>158</v>
      </c>
      <c r="B437">
        <v>2007</v>
      </c>
      <c r="C437">
        <v>3.0651869212564051E-3</v>
      </c>
      <c r="D437">
        <v>0.21654373750603156</v>
      </c>
      <c r="E437">
        <v>-3.7898439833643529</v>
      </c>
      <c r="F437">
        <v>0.40545483789434983</v>
      </c>
      <c r="G437">
        <v>3.1280852921578091</v>
      </c>
      <c r="H437">
        <v>12.290436771641112</v>
      </c>
      <c r="I437">
        <v>4.1377223640130904E-2</v>
      </c>
      <c r="J437">
        <v>0</v>
      </c>
      <c r="K437">
        <v>0</v>
      </c>
    </row>
    <row r="438" spans="1:11" x14ac:dyDescent="0.3">
      <c r="A438" t="s">
        <v>158</v>
      </c>
      <c r="B438">
        <v>2009</v>
      </c>
      <c r="C438">
        <v>5.954943626249494E-3</v>
      </c>
      <c r="D438">
        <v>0.83971099128284921</v>
      </c>
      <c r="E438">
        <v>-1.1185063620281763</v>
      </c>
      <c r="F438">
        <v>1.06291694196381</v>
      </c>
      <c r="G438">
        <v>3.254253074447452</v>
      </c>
      <c r="H438">
        <v>12.365615902101414</v>
      </c>
      <c r="I438">
        <v>0.14033242112936986</v>
      </c>
      <c r="J438">
        <v>0</v>
      </c>
      <c r="K438">
        <v>0</v>
      </c>
    </row>
    <row r="439" spans="1:11" x14ac:dyDescent="0.3">
      <c r="A439" t="s">
        <v>159</v>
      </c>
      <c r="B439">
        <v>2007</v>
      </c>
      <c r="C439">
        <v>3.3720506034066955E-2</v>
      </c>
      <c r="D439">
        <v>0.1870805595069914</v>
      </c>
      <c r="E439">
        <v>-0.69973998055975184</v>
      </c>
      <c r="F439">
        <v>0.37205182760368338</v>
      </c>
      <c r="G439">
        <v>1.3012699819553364</v>
      </c>
      <c r="H439">
        <v>13.613225448926414</v>
      </c>
      <c r="I439">
        <v>2.8932367542163911E-3</v>
      </c>
      <c r="J439">
        <v>0</v>
      </c>
      <c r="K439">
        <v>0</v>
      </c>
    </row>
    <row r="440" spans="1:11" x14ac:dyDescent="0.3">
      <c r="A440" t="s">
        <v>159</v>
      </c>
      <c r="B440">
        <v>2008</v>
      </c>
      <c r="C440">
        <v>3.3720506034066955E-2</v>
      </c>
      <c r="D440">
        <v>0.1870805595069914</v>
      </c>
      <c r="E440">
        <v>-0.69973998055975184</v>
      </c>
      <c r="F440">
        <v>0.37205182760368338</v>
      </c>
      <c r="G440">
        <v>1.3378711214378929</v>
      </c>
      <c r="H440">
        <v>13.613225448926414</v>
      </c>
      <c r="I440">
        <v>9.9044214049553894E-2</v>
      </c>
      <c r="J440">
        <v>0</v>
      </c>
      <c r="K440">
        <v>0</v>
      </c>
    </row>
    <row r="441" spans="1:11" x14ac:dyDescent="0.3">
      <c r="A441" t="s">
        <v>159</v>
      </c>
      <c r="B441">
        <v>2009</v>
      </c>
      <c r="C441">
        <v>1.0692173113881517E-3</v>
      </c>
      <c r="D441">
        <v>0.31917841987990303</v>
      </c>
      <c r="E441">
        <v>-0.12385748715383565</v>
      </c>
      <c r="F441">
        <v>0.18100945602148247</v>
      </c>
      <c r="G441">
        <v>0.71500117272855634</v>
      </c>
      <c r="H441">
        <v>14.32912189801718</v>
      </c>
      <c r="I441">
        <v>0.13892767517529839</v>
      </c>
      <c r="J441">
        <v>0</v>
      </c>
      <c r="K441">
        <v>0</v>
      </c>
    </row>
    <row r="442" spans="1:11" x14ac:dyDescent="0.3">
      <c r="A442" t="s">
        <v>159</v>
      </c>
      <c r="B442">
        <v>2010</v>
      </c>
      <c r="C442">
        <v>1.3815739512277927E-2</v>
      </c>
      <c r="D442">
        <v>6.4429524205184566E-2</v>
      </c>
      <c r="E442">
        <v>-3.0990208034593514E-2</v>
      </c>
      <c r="F442">
        <v>0.35110751506542121</v>
      </c>
      <c r="G442">
        <v>0.71387481740575454</v>
      </c>
      <c r="H442">
        <v>14.398204275800383</v>
      </c>
      <c r="I442">
        <v>1.3833512803441103E-2</v>
      </c>
      <c r="J442">
        <v>0</v>
      </c>
      <c r="K442">
        <v>0</v>
      </c>
    </row>
    <row r="443" spans="1:11" x14ac:dyDescent="0.3">
      <c r="A443" t="s">
        <v>160</v>
      </c>
      <c r="B443">
        <v>2007</v>
      </c>
      <c r="C443">
        <v>4.0592867494268388E-3</v>
      </c>
      <c r="D443">
        <v>6.4276896416878171E-2</v>
      </c>
      <c r="E443">
        <v>-0.51148853293665708</v>
      </c>
      <c r="F443">
        <v>6.0723678661524186E-2</v>
      </c>
      <c r="G443">
        <v>0.99981030080434308</v>
      </c>
      <c r="H443">
        <v>13.387930200509768</v>
      </c>
      <c r="I443">
        <v>6.3987992521934281E-2</v>
      </c>
      <c r="J443">
        <v>0</v>
      </c>
      <c r="K443">
        <v>0</v>
      </c>
    </row>
    <row r="444" spans="1:11" x14ac:dyDescent="0.3">
      <c r="A444" t="s">
        <v>160</v>
      </c>
      <c r="B444">
        <v>2009</v>
      </c>
      <c r="C444">
        <v>2.0483928114226897E-2</v>
      </c>
      <c r="D444">
        <v>0.18620965218313337</v>
      </c>
      <c r="E444">
        <v>-5.3262609622183314E-2</v>
      </c>
      <c r="F444">
        <v>0.15646457305861086</v>
      </c>
      <c r="G444">
        <v>0.95846318168769673</v>
      </c>
      <c r="H444">
        <v>13.558471489438935</v>
      </c>
      <c r="I444">
        <v>3.5898813829572468E-2</v>
      </c>
      <c r="J444">
        <v>1.5447320576513763E-2</v>
      </c>
      <c r="K444">
        <v>0</v>
      </c>
    </row>
    <row r="445" spans="1:11" x14ac:dyDescent="0.3">
      <c r="A445" t="s">
        <v>160</v>
      </c>
      <c r="B445">
        <v>2010</v>
      </c>
      <c r="C445">
        <v>8.5377386657630849E-3</v>
      </c>
      <c r="D445">
        <v>0.33419386554866914</v>
      </c>
      <c r="E445">
        <v>8.4981606644660368E-2</v>
      </c>
      <c r="F445">
        <v>0.11644542332491317</v>
      </c>
      <c r="G445">
        <v>0.75049611371801295</v>
      </c>
      <c r="H445">
        <v>13.487141204140237</v>
      </c>
      <c r="I445">
        <v>8.7809286007554388E-2</v>
      </c>
      <c r="J445">
        <v>2.4884147552343642E-2</v>
      </c>
      <c r="K445">
        <v>0</v>
      </c>
    </row>
    <row r="446" spans="1:11" x14ac:dyDescent="0.3">
      <c r="A446" t="s">
        <v>161</v>
      </c>
      <c r="B446">
        <v>2007</v>
      </c>
      <c r="C446">
        <v>4.0685917827139366E-2</v>
      </c>
      <c r="D446">
        <v>3.2426134103883016E-2</v>
      </c>
      <c r="E446">
        <v>-0.15291853380276471</v>
      </c>
      <c r="F446">
        <v>0.26266769276148816</v>
      </c>
      <c r="G446">
        <v>0.894901993266078</v>
      </c>
      <c r="H446">
        <v>14.866798507616148</v>
      </c>
      <c r="I446">
        <v>1.6002345296343017E-2</v>
      </c>
      <c r="J446">
        <v>0</v>
      </c>
      <c r="K446">
        <v>0</v>
      </c>
    </row>
    <row r="447" spans="1:11" x14ac:dyDescent="0.3">
      <c r="A447" t="s">
        <v>161</v>
      </c>
      <c r="B447">
        <v>2008</v>
      </c>
      <c r="C447">
        <v>1.8568675661155517E-3</v>
      </c>
      <c r="D447">
        <v>7.5192471881145639E-2</v>
      </c>
      <c r="E447">
        <v>-7.9387193517934052E-2</v>
      </c>
      <c r="F447">
        <v>0.25889902312753749</v>
      </c>
      <c r="G447">
        <v>0.85241121996848246</v>
      </c>
      <c r="H447">
        <v>14.989545050043853</v>
      </c>
      <c r="I447">
        <v>8.5460277252361362E-3</v>
      </c>
      <c r="J447">
        <v>6.5282480653894356E-3</v>
      </c>
      <c r="K447">
        <v>0</v>
      </c>
    </row>
    <row r="448" spans="1:11" x14ac:dyDescent="0.3">
      <c r="A448" t="s">
        <v>161</v>
      </c>
      <c r="B448">
        <v>2009</v>
      </c>
      <c r="C448">
        <v>3.1509924613387537E-3</v>
      </c>
      <c r="D448">
        <v>5.794865947227084E-2</v>
      </c>
      <c r="E448">
        <v>4.0353548934318272E-2</v>
      </c>
      <c r="F448">
        <v>0.61423148162972052</v>
      </c>
      <c r="G448">
        <v>0.79671949469111347</v>
      </c>
      <c r="H448">
        <v>14.934129047977203</v>
      </c>
      <c r="I448">
        <v>4.5831822649125935E-3</v>
      </c>
      <c r="J448">
        <v>1.0350180339100895E-2</v>
      </c>
      <c r="K448">
        <v>0</v>
      </c>
    </row>
    <row r="449" spans="1:11" x14ac:dyDescent="0.3">
      <c r="A449" t="s">
        <v>161</v>
      </c>
      <c r="B449">
        <v>2010</v>
      </c>
      <c r="C449">
        <v>4.3917912769480495E-3</v>
      </c>
      <c r="D449">
        <v>3.995925964185456E-2</v>
      </c>
      <c r="E449">
        <v>-4.7660298871364012E-2</v>
      </c>
      <c r="F449">
        <v>0.5408901744090866</v>
      </c>
      <c r="G449">
        <v>0.8000340469541084</v>
      </c>
      <c r="H449">
        <v>15.012676850455252</v>
      </c>
      <c r="I449">
        <v>2.4490846598856642E-3</v>
      </c>
      <c r="J449">
        <v>6.3789711126455194E-3</v>
      </c>
      <c r="K449">
        <v>0</v>
      </c>
    </row>
    <row r="450" spans="1:11" x14ac:dyDescent="0.3">
      <c r="A450" t="s">
        <v>162</v>
      </c>
      <c r="B450">
        <v>2009</v>
      </c>
      <c r="C450">
        <v>3.3637755097911136E-2</v>
      </c>
      <c r="D450">
        <v>0.38405140769771834</v>
      </c>
      <c r="E450">
        <v>0.47174770145784112</v>
      </c>
      <c r="F450">
        <v>0</v>
      </c>
      <c r="G450">
        <v>0.41650943739846874</v>
      </c>
      <c r="H450">
        <v>14.02695150008195</v>
      </c>
      <c r="I450">
        <v>0.1290007381752756</v>
      </c>
      <c r="J450">
        <v>9.7219895148111191E-2</v>
      </c>
      <c r="K450">
        <v>0</v>
      </c>
    </row>
    <row r="451" spans="1:11" x14ac:dyDescent="0.3">
      <c r="A451" t="s">
        <v>163</v>
      </c>
      <c r="B451">
        <v>2007</v>
      </c>
      <c r="C451">
        <v>4.5207865111383853E-2</v>
      </c>
      <c r="D451">
        <v>0.11656106362734731</v>
      </c>
      <c r="E451">
        <v>3.4128367749527454E-2</v>
      </c>
      <c r="F451">
        <v>0.35781333105051982</v>
      </c>
      <c r="G451">
        <v>0.79910902906215309</v>
      </c>
      <c r="H451">
        <v>16.205237377785373</v>
      </c>
      <c r="I451">
        <v>2.6433975310674943E-3</v>
      </c>
      <c r="J451">
        <v>5.3101077831995622E-3</v>
      </c>
      <c r="K451">
        <v>0</v>
      </c>
    </row>
    <row r="452" spans="1:11" x14ac:dyDescent="0.3">
      <c r="A452" t="s">
        <v>163</v>
      </c>
      <c r="B452">
        <v>2008</v>
      </c>
      <c r="C452">
        <v>2.7919716206966701E-2</v>
      </c>
      <c r="D452">
        <v>0.10943670513270638</v>
      </c>
      <c r="E452">
        <v>-7.3637511981344411E-2</v>
      </c>
      <c r="F452">
        <v>0.41406010967544543</v>
      </c>
      <c r="G452">
        <v>0.74529989147876141</v>
      </c>
      <c r="H452">
        <v>16.333754300150787</v>
      </c>
      <c r="I452">
        <v>2.4199919972740368E-2</v>
      </c>
      <c r="J452">
        <v>0</v>
      </c>
      <c r="K452">
        <v>0</v>
      </c>
    </row>
    <row r="453" spans="1:11" x14ac:dyDescent="0.3">
      <c r="A453" t="s">
        <v>163</v>
      </c>
      <c r="B453">
        <v>2009</v>
      </c>
      <c r="C453">
        <v>2.4090224910578262E-3</v>
      </c>
      <c r="D453">
        <v>0.21964646897046727</v>
      </c>
      <c r="E453">
        <v>-0.56662375419241962</v>
      </c>
      <c r="F453">
        <v>0.71316443111908967</v>
      </c>
      <c r="G453">
        <v>0.92346676009967554</v>
      </c>
      <c r="H453">
        <v>16.135289092975423</v>
      </c>
      <c r="I453">
        <v>2.7707703040835398E-2</v>
      </c>
      <c r="J453">
        <v>0</v>
      </c>
      <c r="K453">
        <v>0</v>
      </c>
    </row>
    <row r="454" spans="1:11" x14ac:dyDescent="0.3">
      <c r="A454" t="s">
        <v>163</v>
      </c>
      <c r="B454">
        <v>2010</v>
      </c>
      <c r="C454">
        <v>4.051554869107239E-3</v>
      </c>
      <c r="D454">
        <v>0.12510653555912157</v>
      </c>
      <c r="E454">
        <v>-0.71447031547581774</v>
      </c>
      <c r="F454">
        <v>0.70523010109181872</v>
      </c>
      <c r="G454">
        <v>0.98688541766653937</v>
      </c>
      <c r="H454">
        <v>15.928373094204048</v>
      </c>
      <c r="I454">
        <v>2.2023701802366246E-2</v>
      </c>
      <c r="J454">
        <v>0</v>
      </c>
      <c r="K454">
        <v>0</v>
      </c>
    </row>
    <row r="455" spans="1:11" x14ac:dyDescent="0.3">
      <c r="A455" t="s">
        <v>164</v>
      </c>
      <c r="B455">
        <v>2007</v>
      </c>
      <c r="C455">
        <v>3.0139272672637361E-2</v>
      </c>
      <c r="D455">
        <v>6.540328322914013E-2</v>
      </c>
      <c r="E455">
        <v>-0.26335077507985966</v>
      </c>
      <c r="F455">
        <v>0.1268135823518268</v>
      </c>
      <c r="G455">
        <v>1.1498495894330452</v>
      </c>
      <c r="H455">
        <v>13.325016833170201</v>
      </c>
      <c r="I455">
        <v>6.4720151253618331E-3</v>
      </c>
      <c r="J455">
        <v>0</v>
      </c>
      <c r="K455">
        <v>0</v>
      </c>
    </row>
    <row r="456" spans="1:11" x14ac:dyDescent="0.3">
      <c r="A456" t="s">
        <v>164</v>
      </c>
      <c r="B456">
        <v>2009</v>
      </c>
      <c r="C456">
        <v>8.05277104529772E-2</v>
      </c>
      <c r="D456">
        <v>0.1420420998378768</v>
      </c>
      <c r="E456">
        <v>1.0224308475530923E-2</v>
      </c>
      <c r="F456">
        <v>0.21203234634994469</v>
      </c>
      <c r="G456">
        <v>0.79674688013430894</v>
      </c>
      <c r="H456">
        <v>13.731771276372333</v>
      </c>
      <c r="I456">
        <v>1.4342933824954031E-2</v>
      </c>
      <c r="J456">
        <v>0</v>
      </c>
      <c r="K456">
        <v>0</v>
      </c>
    </row>
    <row r="457" spans="1:11" x14ac:dyDescent="0.3">
      <c r="A457" t="s">
        <v>164</v>
      </c>
      <c r="B457">
        <v>2010</v>
      </c>
      <c r="C457">
        <v>5.6882627981190613E-2</v>
      </c>
      <c r="D457">
        <v>0.11583086660088714</v>
      </c>
      <c r="E457">
        <v>4.2598913748811078E-2</v>
      </c>
      <c r="F457">
        <v>0.15555970381432394</v>
      </c>
      <c r="G457">
        <v>0.7330251028916327</v>
      </c>
      <c r="H457">
        <v>13.710123375284219</v>
      </c>
      <c r="I457">
        <v>3.9050576374455373E-3</v>
      </c>
      <c r="J457">
        <v>1.158364223045948E-2</v>
      </c>
      <c r="K457">
        <v>0</v>
      </c>
    </row>
    <row r="458" spans="1:11" x14ac:dyDescent="0.3">
      <c r="A458" t="s">
        <v>165</v>
      </c>
      <c r="B458">
        <v>2007</v>
      </c>
      <c r="C458">
        <v>8.3641428223621816E-3</v>
      </c>
      <c r="D458">
        <v>7.345722126317436E-2</v>
      </c>
      <c r="E458">
        <v>-3.8073312629650483E-2</v>
      </c>
      <c r="F458">
        <v>0.27243345756277482</v>
      </c>
      <c r="G458">
        <v>0.96304968222894716</v>
      </c>
      <c r="H458">
        <v>15.798142696565989</v>
      </c>
      <c r="I458">
        <v>1.8202464562338372E-2</v>
      </c>
      <c r="J458">
        <v>0</v>
      </c>
      <c r="K458">
        <v>0</v>
      </c>
    </row>
    <row r="459" spans="1:11" x14ac:dyDescent="0.3">
      <c r="A459" t="s">
        <v>165</v>
      </c>
      <c r="B459">
        <v>2008</v>
      </c>
      <c r="C459">
        <v>1.2727297283401863E-3</v>
      </c>
      <c r="D459">
        <v>3.0054308355832716E-2</v>
      </c>
      <c r="E459">
        <v>-0.25406801942530133</v>
      </c>
      <c r="F459">
        <v>0.27079850227834967</v>
      </c>
      <c r="G459">
        <v>0.879602763959481</v>
      </c>
      <c r="H459">
        <v>15.991509569440582</v>
      </c>
      <c r="I459">
        <v>1.5337215581239586E-3</v>
      </c>
      <c r="J459">
        <v>6.6791639479953601E-4</v>
      </c>
      <c r="K459">
        <v>0</v>
      </c>
    </row>
    <row r="460" spans="1:11" x14ac:dyDescent="0.3">
      <c r="A460" t="s">
        <v>165</v>
      </c>
      <c r="B460">
        <v>2009</v>
      </c>
      <c r="C460">
        <v>3.0352887984301004E-3</v>
      </c>
      <c r="D460">
        <v>3.063384630496473E-2</v>
      </c>
      <c r="E460">
        <v>-1.5608715341552146E-2</v>
      </c>
      <c r="F460">
        <v>0.41206510143750991</v>
      </c>
      <c r="G460">
        <v>1.0113349950079942</v>
      </c>
      <c r="H460">
        <v>15.932643037518396</v>
      </c>
      <c r="I460">
        <v>2.7845477811277667E-2</v>
      </c>
      <c r="J460">
        <v>0</v>
      </c>
      <c r="K460">
        <v>0</v>
      </c>
    </row>
    <row r="461" spans="1:11" x14ac:dyDescent="0.3">
      <c r="A461" t="s">
        <v>165</v>
      </c>
      <c r="B461">
        <v>2010</v>
      </c>
      <c r="C461">
        <v>8.1184852474250752E-3</v>
      </c>
      <c r="D461">
        <v>0.13457089754510959</v>
      </c>
      <c r="E461">
        <v>-0.17946488035313249</v>
      </c>
      <c r="F461">
        <v>0.30190861922094014</v>
      </c>
      <c r="G461">
        <v>1.3263277317432045</v>
      </c>
      <c r="H461">
        <v>15.680597933268844</v>
      </c>
      <c r="I461">
        <v>1.6010738001034988E-3</v>
      </c>
      <c r="J461">
        <v>0</v>
      </c>
      <c r="K461">
        <v>0</v>
      </c>
    </row>
    <row r="462" spans="1:11" x14ac:dyDescent="0.3">
      <c r="A462" t="s">
        <v>166</v>
      </c>
      <c r="B462">
        <v>2007</v>
      </c>
      <c r="C462">
        <v>0.30006865189746734</v>
      </c>
      <c r="D462">
        <v>0.11931213417611176</v>
      </c>
      <c r="E462">
        <v>0.63223533945276766</v>
      </c>
      <c r="F462">
        <v>0</v>
      </c>
      <c r="G462">
        <v>0.31775399799094994</v>
      </c>
      <c r="H462">
        <v>13.882385722024223</v>
      </c>
      <c r="I462">
        <v>2.7587373512069888E-2</v>
      </c>
      <c r="J462">
        <v>0</v>
      </c>
      <c r="K462">
        <v>0</v>
      </c>
    </row>
    <row r="463" spans="1:11" x14ac:dyDescent="0.3">
      <c r="A463" t="s">
        <v>166</v>
      </c>
      <c r="B463">
        <v>2009</v>
      </c>
      <c r="C463">
        <v>4.0095973048577198E-2</v>
      </c>
      <c r="D463">
        <v>8.2767002657249802E-2</v>
      </c>
      <c r="E463">
        <v>3.7791179013298988E-2</v>
      </c>
      <c r="F463">
        <v>0.37194153572798933</v>
      </c>
      <c r="G463">
        <v>0.53935653239249604</v>
      </c>
      <c r="H463">
        <v>15.429885065338027</v>
      </c>
      <c r="I463">
        <v>4.8047660197929519E-2</v>
      </c>
      <c r="J463">
        <v>2.2389200325429516E-3</v>
      </c>
      <c r="K463">
        <v>0</v>
      </c>
    </row>
    <row r="464" spans="1:11" x14ac:dyDescent="0.3">
      <c r="A464" t="s">
        <v>166</v>
      </c>
      <c r="B464">
        <v>2010</v>
      </c>
      <c r="C464">
        <v>3.3308132550133693E-2</v>
      </c>
      <c r="D464">
        <v>5.0745757618747465E-2</v>
      </c>
      <c r="E464">
        <v>0.28538180982327727</v>
      </c>
      <c r="F464">
        <v>0</v>
      </c>
      <c r="G464">
        <v>0.25063346149218568</v>
      </c>
      <c r="H464">
        <v>14.328683225267492</v>
      </c>
      <c r="I464">
        <v>6.1404764920715553E-2</v>
      </c>
      <c r="J464">
        <v>2.2447253443857625E-3</v>
      </c>
      <c r="K464">
        <v>0</v>
      </c>
    </row>
    <row r="465" spans="1:11" x14ac:dyDescent="0.3">
      <c r="A465" t="s">
        <v>167</v>
      </c>
      <c r="B465">
        <v>2009</v>
      </c>
      <c r="C465">
        <v>8.348082486749302E-3</v>
      </c>
      <c r="D465">
        <v>0.15033610582667506</v>
      </c>
      <c r="E465">
        <v>1.5588423122412874E-2</v>
      </c>
      <c r="F465">
        <v>0.555778030593718</v>
      </c>
      <c r="G465">
        <v>1.2592892763257675</v>
      </c>
      <c r="H465">
        <v>14.905289614924893</v>
      </c>
      <c r="I465">
        <v>1.9408670175163886E-2</v>
      </c>
      <c r="J465">
        <v>1.0104192974414661E-2</v>
      </c>
      <c r="K465">
        <v>0</v>
      </c>
    </row>
    <row r="466" spans="1:11" x14ac:dyDescent="0.3">
      <c r="A466" t="s">
        <v>167</v>
      </c>
      <c r="B466">
        <v>2010</v>
      </c>
      <c r="C466">
        <v>5.3760496077093775E-3</v>
      </c>
      <c r="D466">
        <v>0.12682232147747585</v>
      </c>
      <c r="E466">
        <v>3.2809338624733814E-2</v>
      </c>
      <c r="F466">
        <v>0.59681320924766845</v>
      </c>
      <c r="G466">
        <v>1.2026618732022434</v>
      </c>
      <c r="H466">
        <v>14.918259279784781</v>
      </c>
      <c r="I466">
        <v>1.1118566550694514E-3</v>
      </c>
      <c r="J466">
        <v>7.4806593337283624E-3</v>
      </c>
      <c r="K466">
        <v>0</v>
      </c>
    </row>
    <row r="467" spans="1:11" x14ac:dyDescent="0.3">
      <c r="A467" t="s">
        <v>168</v>
      </c>
      <c r="B467">
        <v>2007</v>
      </c>
      <c r="C467">
        <v>0.16087203910220829</v>
      </c>
      <c r="D467">
        <v>0.25011875781931064</v>
      </c>
      <c r="E467">
        <v>0.44809717782700159</v>
      </c>
      <c r="F467">
        <v>0</v>
      </c>
      <c r="G467">
        <v>2.4659987228096796</v>
      </c>
      <c r="H467">
        <v>13.261601704456039</v>
      </c>
      <c r="I467">
        <v>1.0623716210674816E-2</v>
      </c>
      <c r="J467">
        <v>5.1303377942192349E-2</v>
      </c>
      <c r="K467">
        <v>0</v>
      </c>
    </row>
    <row r="468" spans="1:11" x14ac:dyDescent="0.3">
      <c r="A468" t="s">
        <v>168</v>
      </c>
      <c r="B468">
        <v>2009</v>
      </c>
      <c r="C468">
        <v>0.19378363099310689</v>
      </c>
      <c r="D468">
        <v>3.686502819025346E-2</v>
      </c>
      <c r="E468">
        <v>0.35011755729622368</v>
      </c>
      <c r="F468">
        <v>0</v>
      </c>
      <c r="G468">
        <v>1.2009462636683681</v>
      </c>
      <c r="H468">
        <v>13.491824034638206</v>
      </c>
      <c r="I468">
        <v>6.4797692133897839E-3</v>
      </c>
      <c r="J468">
        <v>0</v>
      </c>
      <c r="K468">
        <v>0</v>
      </c>
    </row>
    <row r="469" spans="1:11" x14ac:dyDescent="0.3">
      <c r="A469" t="s">
        <v>168</v>
      </c>
      <c r="B469">
        <v>2010</v>
      </c>
      <c r="C469">
        <v>0.15330902044802924</v>
      </c>
      <c r="D469">
        <v>5.7848125859877961E-2</v>
      </c>
      <c r="E469">
        <v>0.36207163636745537</v>
      </c>
      <c r="F469">
        <v>0</v>
      </c>
      <c r="G469">
        <v>1.42426835544073</v>
      </c>
      <c r="H469">
        <v>13.543355317945885</v>
      </c>
      <c r="I469">
        <v>1.139892646103295E-2</v>
      </c>
      <c r="J469">
        <v>1.8578615163258663E-2</v>
      </c>
      <c r="K469">
        <v>0</v>
      </c>
    </row>
    <row r="470" spans="1:11" x14ac:dyDescent="0.3">
      <c r="A470" t="s">
        <v>169</v>
      </c>
      <c r="B470">
        <v>2007</v>
      </c>
      <c r="C470">
        <v>1.238262190899414E-2</v>
      </c>
      <c r="D470">
        <v>4.9847057287235513E-2</v>
      </c>
      <c r="E470">
        <v>0.10163468653668845</v>
      </c>
      <c r="F470">
        <v>0.32778307592263567</v>
      </c>
      <c r="G470">
        <v>1.0913891340105286</v>
      </c>
      <c r="H470">
        <v>15.148044109198459</v>
      </c>
      <c r="I470">
        <v>1.1467288792254789E-2</v>
      </c>
      <c r="J470">
        <v>6.3466938916566752E-3</v>
      </c>
      <c r="K470">
        <v>0</v>
      </c>
    </row>
    <row r="471" spans="1:11" x14ac:dyDescent="0.3">
      <c r="A471" t="s">
        <v>169</v>
      </c>
      <c r="B471">
        <v>2008</v>
      </c>
      <c r="C471">
        <v>6.2172121277813009E-3</v>
      </c>
      <c r="D471">
        <v>2.8778808419394553E-2</v>
      </c>
      <c r="E471">
        <v>0.10489147085908541</v>
      </c>
      <c r="F471">
        <v>0.33274213364230731</v>
      </c>
      <c r="G471">
        <v>1.1809396338204101</v>
      </c>
      <c r="H471">
        <v>15.336337123229722</v>
      </c>
      <c r="I471">
        <v>9.6823758074173292E-3</v>
      </c>
      <c r="J471">
        <v>7.8837309216814831E-3</v>
      </c>
      <c r="K471">
        <v>0</v>
      </c>
    </row>
    <row r="472" spans="1:11" x14ac:dyDescent="0.3">
      <c r="A472" t="s">
        <v>169</v>
      </c>
      <c r="B472">
        <v>2009</v>
      </c>
      <c r="C472">
        <v>9.049993151720016E-3</v>
      </c>
      <c r="D472">
        <v>5.3738824651118178E-2</v>
      </c>
      <c r="E472">
        <v>1.1654286085392212E-2</v>
      </c>
      <c r="F472">
        <v>0.51341944352327906</v>
      </c>
      <c r="G472">
        <v>1.2423230179715148</v>
      </c>
      <c r="H472">
        <v>15.54735263439715</v>
      </c>
      <c r="I472">
        <v>5.7326040780529344E-3</v>
      </c>
      <c r="J472">
        <v>6.3857114088805384E-3</v>
      </c>
      <c r="K472">
        <v>0</v>
      </c>
    </row>
    <row r="473" spans="1:11" x14ac:dyDescent="0.3">
      <c r="A473" t="s">
        <v>169</v>
      </c>
      <c r="B473">
        <v>2010</v>
      </c>
      <c r="C473">
        <v>9.1615724065997484E-3</v>
      </c>
      <c r="D473">
        <v>7.1992022098060535E-2</v>
      </c>
      <c r="E473">
        <v>1.1569314808078381E-2</v>
      </c>
      <c r="F473">
        <v>0.56922243983843734</v>
      </c>
      <c r="G473">
        <v>1.3256210222095501</v>
      </c>
      <c r="H473">
        <v>15.684988960068289</v>
      </c>
      <c r="I473">
        <v>7.6404878600216906E-3</v>
      </c>
      <c r="J473">
        <v>1.3633336330032492E-2</v>
      </c>
      <c r="K473">
        <v>0</v>
      </c>
    </row>
    <row r="474" spans="1:11" x14ac:dyDescent="0.3">
      <c r="A474" t="s">
        <v>170</v>
      </c>
      <c r="B474">
        <v>2007</v>
      </c>
      <c r="C474">
        <v>4.6103999391411993E-2</v>
      </c>
      <c r="D474">
        <v>0.10716335746938041</v>
      </c>
      <c r="E474">
        <v>2.1317869665345754E-2</v>
      </c>
      <c r="F474">
        <v>0.27766309121212751</v>
      </c>
      <c r="G474">
        <v>1.736777042400603</v>
      </c>
      <c r="H474">
        <v>13.268000202723506</v>
      </c>
      <c r="I474">
        <v>1.9240397823569778E-2</v>
      </c>
      <c r="J474">
        <v>1.7427747463640324E-2</v>
      </c>
      <c r="K474">
        <v>0</v>
      </c>
    </row>
    <row r="475" spans="1:11" x14ac:dyDescent="0.3">
      <c r="A475" t="s">
        <v>170</v>
      </c>
      <c r="B475">
        <v>2009</v>
      </c>
      <c r="C475">
        <v>1.815886326450147E-2</v>
      </c>
      <c r="D475">
        <v>6.6506939741094007E-2</v>
      </c>
      <c r="E475">
        <v>-1.2640316303274174E-2</v>
      </c>
      <c r="F475">
        <v>0.42267920852743956</v>
      </c>
      <c r="G475">
        <v>1.1449175652451062</v>
      </c>
      <c r="H475">
        <v>13.497931319365671</v>
      </c>
      <c r="I475">
        <v>2.4323650795627885E-2</v>
      </c>
      <c r="J475">
        <v>1.3847884831757817E-2</v>
      </c>
      <c r="K475">
        <v>0</v>
      </c>
    </row>
    <row r="476" spans="1:11" x14ac:dyDescent="0.3">
      <c r="A476" t="s">
        <v>170</v>
      </c>
      <c r="B476">
        <v>2010</v>
      </c>
      <c r="C476">
        <v>1.238293872364931E-2</v>
      </c>
      <c r="D476">
        <v>0.15003953460382366</v>
      </c>
      <c r="E476">
        <v>0.10527935501464837</v>
      </c>
      <c r="F476">
        <v>0.25383805590299624</v>
      </c>
      <c r="G476">
        <v>1.1036589694798953</v>
      </c>
      <c r="H476">
        <v>13.394505833004999</v>
      </c>
      <c r="I476">
        <v>2.0269829555665579E-2</v>
      </c>
      <c r="J476">
        <v>3.0713588172830968E-2</v>
      </c>
      <c r="K476">
        <v>0</v>
      </c>
    </row>
    <row r="477" spans="1:11" x14ac:dyDescent="0.3">
      <c r="A477" t="s">
        <v>171</v>
      </c>
      <c r="B477">
        <v>2007</v>
      </c>
      <c r="C477">
        <v>1.5268524424085664E-2</v>
      </c>
      <c r="D477">
        <v>0.19178969723793352</v>
      </c>
      <c r="E477">
        <v>2.5295803469706123E-2</v>
      </c>
      <c r="F477">
        <v>0.22155852373411597</v>
      </c>
      <c r="G477">
        <v>2.2065277022831267</v>
      </c>
      <c r="H477">
        <v>13.988167226495781</v>
      </c>
      <c r="I477">
        <v>3.0096552843503765E-3</v>
      </c>
      <c r="J477">
        <v>7.1529662806763053E-3</v>
      </c>
      <c r="K477">
        <v>0</v>
      </c>
    </row>
    <row r="478" spans="1:11" x14ac:dyDescent="0.3">
      <c r="A478" t="s">
        <v>171</v>
      </c>
      <c r="B478">
        <v>2008</v>
      </c>
      <c r="C478">
        <v>7.7267691673513087E-3</v>
      </c>
      <c r="D478">
        <v>0.16512591210055794</v>
      </c>
      <c r="E478">
        <v>2.6725369348841069E-3</v>
      </c>
      <c r="F478">
        <v>0.33875149929436554</v>
      </c>
      <c r="G478">
        <v>0.8596454365630305</v>
      </c>
      <c r="H478">
        <v>14.373213088217495</v>
      </c>
      <c r="I478">
        <v>1.4626555324987115E-2</v>
      </c>
      <c r="J478">
        <v>0</v>
      </c>
      <c r="K478">
        <v>0</v>
      </c>
    </row>
    <row r="479" spans="1:11" x14ac:dyDescent="0.3">
      <c r="A479" t="s">
        <v>171</v>
      </c>
      <c r="B479">
        <v>2009</v>
      </c>
      <c r="C479">
        <v>8.2845640129000555E-3</v>
      </c>
      <c r="D479">
        <v>0.16060557683830962</v>
      </c>
      <c r="E479">
        <v>7.6841306329450493E-2</v>
      </c>
      <c r="F479">
        <v>0.29723958654004895</v>
      </c>
      <c r="G479">
        <v>1.8540039970773823</v>
      </c>
      <c r="H479">
        <v>14.422740853269024</v>
      </c>
      <c r="I479">
        <v>1.8204118128358971E-2</v>
      </c>
      <c r="J479">
        <v>4.5161089955490563E-2</v>
      </c>
      <c r="K479">
        <v>0</v>
      </c>
    </row>
    <row r="480" spans="1:11" x14ac:dyDescent="0.3">
      <c r="A480" t="s">
        <v>171</v>
      </c>
      <c r="B480">
        <v>2010</v>
      </c>
      <c r="C480">
        <v>5.272663366188546E-3</v>
      </c>
      <c r="D480">
        <v>8.8052468628008196E-2</v>
      </c>
      <c r="E480">
        <v>8.4375327181082579E-3</v>
      </c>
      <c r="F480">
        <v>0.45235832124321335</v>
      </c>
      <c r="G480">
        <v>1.7983330927773373</v>
      </c>
      <c r="H480">
        <v>14.799220657350389</v>
      </c>
      <c r="I480">
        <v>1.6977390642724213E-2</v>
      </c>
      <c r="J480">
        <v>1.8595477048714459E-2</v>
      </c>
      <c r="K480">
        <v>0</v>
      </c>
    </row>
    <row r="481" spans="1:11" x14ac:dyDescent="0.3">
      <c r="A481" t="s">
        <v>172</v>
      </c>
      <c r="B481">
        <v>2007</v>
      </c>
      <c r="C481">
        <v>2.5916056203582508E-2</v>
      </c>
      <c r="D481">
        <v>0.10394263936998763</v>
      </c>
      <c r="E481">
        <v>-0.30576426603414736</v>
      </c>
      <c r="F481">
        <v>0.31152419314015461</v>
      </c>
      <c r="G481">
        <v>0.90414765372460826</v>
      </c>
      <c r="H481">
        <v>13.223351950031484</v>
      </c>
      <c r="I481">
        <v>1.273978332582645E-2</v>
      </c>
      <c r="J481">
        <v>3.3115061142729038E-2</v>
      </c>
      <c r="K481">
        <v>0</v>
      </c>
    </row>
    <row r="482" spans="1:11" x14ac:dyDescent="0.3">
      <c r="A482" t="s">
        <v>172</v>
      </c>
      <c r="B482">
        <v>2009</v>
      </c>
      <c r="C482">
        <v>1.4535826798042764E-2</v>
      </c>
      <c r="D482">
        <v>0.1195375025135733</v>
      </c>
      <c r="E482">
        <v>-9.4539848515316036E-2</v>
      </c>
      <c r="F482">
        <v>0.25755345532542395</v>
      </c>
      <c r="G482">
        <v>0.92020215832160335</v>
      </c>
      <c r="H482">
        <v>13.522413852810994</v>
      </c>
      <c r="I482">
        <v>1.2551966389051719E-3</v>
      </c>
      <c r="J482">
        <v>0</v>
      </c>
      <c r="K482">
        <v>0</v>
      </c>
    </row>
    <row r="483" spans="1:11" x14ac:dyDescent="0.3">
      <c r="A483" t="s">
        <v>172</v>
      </c>
      <c r="B483">
        <v>2010</v>
      </c>
      <c r="C483">
        <v>2.5497111783269091E-2</v>
      </c>
      <c r="D483">
        <v>0.1078435012393671</v>
      </c>
      <c r="E483">
        <v>-0.16399938850609855</v>
      </c>
      <c r="F483">
        <v>0.3146212559647954</v>
      </c>
      <c r="G483">
        <v>1.0740398999770691</v>
      </c>
      <c r="H483">
        <v>13.727542359730796</v>
      </c>
      <c r="I483">
        <v>2.2058597051580406E-3</v>
      </c>
      <c r="J483">
        <v>1.6604243330894636E-2</v>
      </c>
      <c r="K483">
        <v>0</v>
      </c>
    </row>
    <row r="484" spans="1:11" x14ac:dyDescent="0.3">
      <c r="A484" t="s">
        <v>173</v>
      </c>
      <c r="B484">
        <v>2010</v>
      </c>
      <c r="C484">
        <v>4.4451444267361771E-2</v>
      </c>
      <c r="D484">
        <v>0.12692589451234754</v>
      </c>
      <c r="E484">
        <v>0.12726400522482195</v>
      </c>
      <c r="F484">
        <v>9.1463282477051097E-4</v>
      </c>
      <c r="G484">
        <v>0.86762452660887956</v>
      </c>
      <c r="H484">
        <v>13.447458279772874</v>
      </c>
      <c r="I484">
        <v>7.1025534254889749E-3</v>
      </c>
      <c r="J484">
        <v>8.2981616313697378E-3</v>
      </c>
      <c r="K484">
        <v>0</v>
      </c>
    </row>
    <row r="485" spans="1:11" x14ac:dyDescent="0.3">
      <c r="A485" t="s">
        <v>174</v>
      </c>
      <c r="B485">
        <v>2007</v>
      </c>
      <c r="C485">
        <v>5.1358244226584618E-3</v>
      </c>
      <c r="D485">
        <v>6.0015442570018014E-2</v>
      </c>
      <c r="E485">
        <v>-0.34799597557266199</v>
      </c>
      <c r="F485">
        <v>0.32172020870867357</v>
      </c>
      <c r="G485">
        <v>0.78804809424647271</v>
      </c>
      <c r="H485">
        <v>12.049161492433393</v>
      </c>
      <c r="I485">
        <v>9.7321741789345786E-4</v>
      </c>
      <c r="J485">
        <v>0</v>
      </c>
      <c r="K485">
        <v>0</v>
      </c>
    </row>
    <row r="486" spans="1:11" x14ac:dyDescent="0.3">
      <c r="A486" t="s">
        <v>174</v>
      </c>
      <c r="B486">
        <v>2008</v>
      </c>
      <c r="C486">
        <v>1.2381939645243032E-3</v>
      </c>
      <c r="D486">
        <v>5.7135452660677266E-2</v>
      </c>
      <c r="E486">
        <v>-0.28702487906012442</v>
      </c>
      <c r="F486">
        <v>0.26549182216079242</v>
      </c>
      <c r="G486">
        <v>0.58954031329186818</v>
      </c>
      <c r="H486">
        <v>12.06473946941353</v>
      </c>
      <c r="I486">
        <v>0.24375448628970908</v>
      </c>
      <c r="J486">
        <v>0</v>
      </c>
      <c r="K486">
        <v>0</v>
      </c>
    </row>
    <row r="487" spans="1:11" x14ac:dyDescent="0.3">
      <c r="A487" t="s">
        <v>174</v>
      </c>
      <c r="B487">
        <v>2009</v>
      </c>
      <c r="C487">
        <v>2.5076676761636541E-4</v>
      </c>
      <c r="D487">
        <v>2.0248066202426651</v>
      </c>
      <c r="E487">
        <v>9.0083138828340511E-3</v>
      </c>
      <c r="F487">
        <v>0.93512856619278173</v>
      </c>
      <c r="G487">
        <v>1.1238593005536157</v>
      </c>
      <c r="H487">
        <v>10.855936620963561</v>
      </c>
      <c r="I487">
        <v>0.22317345523215426</v>
      </c>
      <c r="J487">
        <v>0</v>
      </c>
      <c r="K487">
        <v>0</v>
      </c>
    </row>
    <row r="488" spans="1:11" x14ac:dyDescent="0.3">
      <c r="A488" t="s">
        <v>174</v>
      </c>
      <c r="B488">
        <v>2010</v>
      </c>
      <c r="C488">
        <v>2.0981155107957579E-3</v>
      </c>
      <c r="D488">
        <v>0.11858167391470206</v>
      </c>
      <c r="E488">
        <v>0.16081101701380943</v>
      </c>
      <c r="F488">
        <v>0.92725261310749985</v>
      </c>
      <c r="G488">
        <v>0.78992904554818022</v>
      </c>
      <c r="H488">
        <v>10.867196078739436</v>
      </c>
      <c r="I488">
        <v>4.5953773155891636E-3</v>
      </c>
      <c r="J488">
        <v>0</v>
      </c>
      <c r="K488">
        <v>0</v>
      </c>
    </row>
    <row r="489" spans="1:11" x14ac:dyDescent="0.3">
      <c r="A489" t="s">
        <v>176</v>
      </c>
      <c r="B489">
        <v>2007</v>
      </c>
      <c r="C489">
        <v>1.9902636274003474E-2</v>
      </c>
      <c r="D489">
        <v>3.3839616883421755E-2</v>
      </c>
      <c r="E489">
        <v>1.1677484858444059E-2</v>
      </c>
      <c r="F489">
        <v>0.37020957556692802</v>
      </c>
      <c r="G489">
        <v>0.72805648152495417</v>
      </c>
      <c r="H489">
        <v>13.432151305038326</v>
      </c>
      <c r="I489">
        <v>1.9668249915114761E-4</v>
      </c>
      <c r="J489">
        <v>0</v>
      </c>
      <c r="K489">
        <v>0</v>
      </c>
    </row>
    <row r="490" spans="1:11" x14ac:dyDescent="0.3">
      <c r="A490" t="s">
        <v>176</v>
      </c>
      <c r="B490">
        <v>2009</v>
      </c>
      <c r="C490">
        <v>4.2228664232985364E-3</v>
      </c>
      <c r="D490">
        <v>2.7650479454692494E-2</v>
      </c>
      <c r="E490">
        <v>0.14744045160767713</v>
      </c>
      <c r="F490">
        <v>0.31089725287931763</v>
      </c>
      <c r="G490">
        <v>0.53107126684664752</v>
      </c>
      <c r="H490">
        <v>13.531877610065285</v>
      </c>
      <c r="I490">
        <v>2.0138724188059984E-3</v>
      </c>
      <c r="J490">
        <v>0</v>
      </c>
      <c r="K490">
        <v>0</v>
      </c>
    </row>
    <row r="491" spans="1:11" x14ac:dyDescent="0.3">
      <c r="A491" t="s">
        <v>176</v>
      </c>
      <c r="B491">
        <v>2010</v>
      </c>
      <c r="C491">
        <v>1.0907780097489512E-2</v>
      </c>
      <c r="D491">
        <v>2.7742571306102973E-2</v>
      </c>
      <c r="E491">
        <v>0.13769613727558522</v>
      </c>
      <c r="F491">
        <v>0.39746213009616083</v>
      </c>
      <c r="G491">
        <v>0.57692405453774509</v>
      </c>
      <c r="H491">
        <v>13.671096159680625</v>
      </c>
      <c r="I491">
        <v>2.4593210814582229E-2</v>
      </c>
      <c r="J491">
        <v>0</v>
      </c>
      <c r="K491">
        <v>0</v>
      </c>
    </row>
    <row r="492" spans="1:11" x14ac:dyDescent="0.3">
      <c r="A492" t="s">
        <v>177</v>
      </c>
      <c r="B492">
        <v>2007</v>
      </c>
      <c r="C492">
        <v>9.6564725036082572E-2</v>
      </c>
      <c r="D492">
        <v>0.26013547588381097</v>
      </c>
      <c r="E492">
        <v>0.35316915205735366</v>
      </c>
      <c r="F492">
        <v>3.4869553807882737E-2</v>
      </c>
      <c r="G492">
        <v>2.1465983306957575</v>
      </c>
      <c r="H492">
        <v>13.929149016715101</v>
      </c>
      <c r="I492">
        <v>7.4498423645966705E-3</v>
      </c>
      <c r="J492">
        <v>4.4629030112991776E-2</v>
      </c>
      <c r="K492">
        <v>0</v>
      </c>
    </row>
    <row r="493" spans="1:11" x14ac:dyDescent="0.3">
      <c r="A493" t="s">
        <v>177</v>
      </c>
      <c r="B493">
        <v>2009</v>
      </c>
      <c r="C493">
        <v>5.2307135711042278E-2</v>
      </c>
      <c r="D493">
        <v>0.14755110252993056</v>
      </c>
      <c r="E493">
        <v>0.37841898721559969</v>
      </c>
      <c r="F493">
        <v>2.2318616936838492E-2</v>
      </c>
      <c r="G493">
        <v>0.96674505402821209</v>
      </c>
      <c r="H493">
        <v>14.118858034724967</v>
      </c>
      <c r="I493">
        <v>1.791032859596163E-3</v>
      </c>
      <c r="J493">
        <v>2.6580329817592487E-2</v>
      </c>
      <c r="K493">
        <v>0</v>
      </c>
    </row>
    <row r="494" spans="1:11" x14ac:dyDescent="0.3">
      <c r="A494" t="s">
        <v>177</v>
      </c>
      <c r="B494">
        <v>2010</v>
      </c>
      <c r="C494">
        <v>6.1446056168348202E-2</v>
      </c>
      <c r="D494">
        <v>0.12973145870858865</v>
      </c>
      <c r="E494">
        <v>0.31601040598276087</v>
      </c>
      <c r="F494">
        <v>9.2732546112792399E-2</v>
      </c>
      <c r="G494">
        <v>0.90720446965734725</v>
      </c>
      <c r="H494">
        <v>14.297598995869524</v>
      </c>
      <c r="I494">
        <v>2.6845767922070649E-3</v>
      </c>
      <c r="J494">
        <v>2.2229728185998606E-2</v>
      </c>
      <c r="K494">
        <v>0</v>
      </c>
    </row>
    <row r="495" spans="1:11" x14ac:dyDescent="0.3">
      <c r="A495" t="s">
        <v>178</v>
      </c>
      <c r="B495">
        <v>2008</v>
      </c>
      <c r="C495">
        <v>0.2096316325979303</v>
      </c>
      <c r="D495">
        <v>0.14909101856121618</v>
      </c>
      <c r="E495">
        <v>0.4002634428313705</v>
      </c>
      <c r="F495">
        <v>0</v>
      </c>
      <c r="G495">
        <v>2.0375999588507643</v>
      </c>
      <c r="H495">
        <v>15.428121231863436</v>
      </c>
      <c r="I495">
        <v>2.0159984933718542E-2</v>
      </c>
      <c r="J495">
        <v>9.7590277615792531E-2</v>
      </c>
      <c r="K495">
        <v>0</v>
      </c>
    </row>
    <row r="496" spans="1:11" x14ac:dyDescent="0.3">
      <c r="A496" t="s">
        <v>178</v>
      </c>
      <c r="B496">
        <v>2010</v>
      </c>
      <c r="C496">
        <v>0.14145551765579739</v>
      </c>
      <c r="D496">
        <v>0.34494193081988339</v>
      </c>
      <c r="E496">
        <v>0.36162707340278022</v>
      </c>
      <c r="F496">
        <v>0</v>
      </c>
      <c r="G496">
        <v>2.1799166485476613</v>
      </c>
      <c r="H496">
        <v>15.571715558477495</v>
      </c>
      <c r="I496">
        <v>1.2233209773299364E-2</v>
      </c>
      <c r="J496">
        <v>8.4536512975481398E-2</v>
      </c>
      <c r="K496">
        <v>0</v>
      </c>
    </row>
    <row r="497" spans="1:11" x14ac:dyDescent="0.3">
      <c r="A497" t="s">
        <v>179</v>
      </c>
      <c r="B497">
        <v>2007</v>
      </c>
      <c r="C497">
        <v>4.6254358486460222E-3</v>
      </c>
      <c r="D497">
        <v>7.7255912106597574E-2</v>
      </c>
      <c r="E497">
        <v>-0.3928685293239475</v>
      </c>
      <c r="F497">
        <v>8.1856044695677699E-2</v>
      </c>
      <c r="G497">
        <v>1.111445676432038</v>
      </c>
      <c r="H497">
        <v>12.194015246366892</v>
      </c>
      <c r="I497">
        <v>1.8620734276888127E-2</v>
      </c>
      <c r="J497">
        <v>0</v>
      </c>
      <c r="K497">
        <v>0</v>
      </c>
    </row>
    <row r="498" spans="1:11" x14ac:dyDescent="0.3">
      <c r="A498" t="s">
        <v>179</v>
      </c>
      <c r="B498">
        <v>2008</v>
      </c>
      <c r="C498">
        <v>7.8417167583654766E-3</v>
      </c>
      <c r="D498">
        <v>0.13260920643001195</v>
      </c>
      <c r="E498">
        <v>-0.55545004209660687</v>
      </c>
      <c r="F498">
        <v>0.30854365320227911</v>
      </c>
      <c r="G498">
        <v>0.99398136001409743</v>
      </c>
      <c r="H498">
        <v>12.227305621938182</v>
      </c>
      <c r="I498">
        <v>2.3393978684230588E-2</v>
      </c>
      <c r="J498">
        <v>0</v>
      </c>
      <c r="K498">
        <v>0</v>
      </c>
    </row>
    <row r="499" spans="1:11" x14ac:dyDescent="0.3">
      <c r="A499" t="s">
        <v>179</v>
      </c>
      <c r="B499">
        <v>2009</v>
      </c>
      <c r="C499">
        <v>3.2093020987274969E-3</v>
      </c>
      <c r="D499">
        <v>6.5229796760458272E-2</v>
      </c>
      <c r="E499">
        <v>-0.55861853688990337</v>
      </c>
      <c r="F499">
        <v>0.50987421291622159</v>
      </c>
      <c r="G499">
        <v>1.0482370786571655</v>
      </c>
      <c r="H499">
        <v>12.230906711530174</v>
      </c>
      <c r="I499">
        <v>4.2208443033149273E-2</v>
      </c>
      <c r="J499">
        <v>0</v>
      </c>
      <c r="K499">
        <v>0</v>
      </c>
    </row>
    <row r="500" spans="1:11" x14ac:dyDescent="0.3">
      <c r="A500" t="s">
        <v>179</v>
      </c>
      <c r="B500">
        <v>2010</v>
      </c>
      <c r="C500">
        <v>7.6825506068014583E-4</v>
      </c>
      <c r="D500">
        <v>0.16902011467807312</v>
      </c>
      <c r="E500">
        <v>-0.2180323867524018</v>
      </c>
      <c r="F500">
        <v>0.16812781843572067</v>
      </c>
      <c r="G500">
        <v>0.8468601975855985</v>
      </c>
      <c r="H500">
        <v>12.428884141720182</v>
      </c>
      <c r="I500">
        <v>2.23231561692026E-2</v>
      </c>
      <c r="J500">
        <v>1.3644529983954674E-2</v>
      </c>
      <c r="K500">
        <v>0</v>
      </c>
    </row>
    <row r="501" spans="1:11" x14ac:dyDescent="0.3">
      <c r="A501" t="s">
        <v>180</v>
      </c>
      <c r="B501">
        <v>2007</v>
      </c>
      <c r="C501">
        <v>6.8172521950469245E-2</v>
      </c>
      <c r="D501">
        <v>7.1500507840456667E-2</v>
      </c>
      <c r="E501">
        <v>-3.1900380416072044E-2</v>
      </c>
      <c r="F501">
        <v>0.37293727015636152</v>
      </c>
      <c r="G501">
        <v>1.2211724948085039</v>
      </c>
      <c r="H501">
        <v>14.557480759296725</v>
      </c>
      <c r="I501">
        <v>1.118954785062763E-2</v>
      </c>
      <c r="J501">
        <v>8.2587762592562439E-3</v>
      </c>
      <c r="K501">
        <v>0</v>
      </c>
    </row>
    <row r="502" spans="1:11" x14ac:dyDescent="0.3">
      <c r="A502" t="s">
        <v>180</v>
      </c>
      <c r="B502">
        <v>2008</v>
      </c>
      <c r="C502">
        <v>6.5934514351003795E-2</v>
      </c>
      <c r="D502">
        <v>9.2618170919971668E-2</v>
      </c>
      <c r="E502">
        <v>-3.4316082135844694E-2</v>
      </c>
      <c r="F502">
        <v>0.45144092979937878</v>
      </c>
      <c r="G502">
        <v>0.9419536513087734</v>
      </c>
      <c r="H502">
        <v>14.885806359064979</v>
      </c>
      <c r="I502">
        <v>2.8251002788223019E-2</v>
      </c>
      <c r="J502">
        <v>0</v>
      </c>
      <c r="K502">
        <v>0</v>
      </c>
    </row>
    <row r="503" spans="1:11" x14ac:dyDescent="0.3">
      <c r="A503" t="s">
        <v>180</v>
      </c>
      <c r="B503">
        <v>2009</v>
      </c>
      <c r="C503">
        <v>5.4970288693810161E-2</v>
      </c>
      <c r="D503">
        <v>2.7067710236601223E-2</v>
      </c>
      <c r="E503">
        <v>-0.12885934787004283</v>
      </c>
      <c r="F503">
        <v>0.47995349774806495</v>
      </c>
      <c r="G503">
        <v>0.85190139166181111</v>
      </c>
      <c r="H503">
        <v>14.996991403982973</v>
      </c>
      <c r="I503">
        <v>9.8225577810155482E-3</v>
      </c>
      <c r="J503">
        <v>0</v>
      </c>
      <c r="K503">
        <v>0</v>
      </c>
    </row>
    <row r="504" spans="1:11" x14ac:dyDescent="0.3">
      <c r="A504" t="s">
        <v>180</v>
      </c>
      <c r="B504">
        <v>2010</v>
      </c>
      <c r="C504">
        <v>9.5654500352366417E-2</v>
      </c>
      <c r="D504">
        <v>6.1616996396305232E-2</v>
      </c>
      <c r="E504">
        <v>-6.2188124309446167E-2</v>
      </c>
      <c r="F504">
        <v>0.41455651934079868</v>
      </c>
      <c r="G504">
        <v>0.90761613127145246</v>
      </c>
      <c r="H504">
        <v>14.922038435534137</v>
      </c>
      <c r="I504">
        <v>3.8318408523327109E-3</v>
      </c>
      <c r="J504">
        <v>0</v>
      </c>
      <c r="K504">
        <v>0</v>
      </c>
    </row>
    <row r="505" spans="1:11" x14ac:dyDescent="0.3">
      <c r="A505" t="s">
        <v>181</v>
      </c>
      <c r="B505">
        <v>2007</v>
      </c>
      <c r="C505">
        <v>6.1755230202063027E-2</v>
      </c>
      <c r="D505">
        <v>0.28091689138439752</v>
      </c>
      <c r="E505">
        <v>0.15792939738344627</v>
      </c>
      <c r="F505">
        <v>3.2286180989418004E-2</v>
      </c>
      <c r="G505">
        <v>2.1095001258993191</v>
      </c>
      <c r="H505">
        <v>13.049054777974773</v>
      </c>
      <c r="I505">
        <v>1.6253837264512971E-2</v>
      </c>
      <c r="J505">
        <v>0.10760625579728703</v>
      </c>
      <c r="K505">
        <v>0</v>
      </c>
    </row>
    <row r="506" spans="1:11" x14ac:dyDescent="0.3">
      <c r="A506" t="s">
        <v>181</v>
      </c>
      <c r="B506">
        <v>2008</v>
      </c>
      <c r="C506">
        <v>7.3711384633064231E-2</v>
      </c>
      <c r="D506">
        <v>0.2605795947515524</v>
      </c>
      <c r="E506">
        <v>0.23546601108954127</v>
      </c>
      <c r="F506">
        <v>7.2480125424271404E-3</v>
      </c>
      <c r="G506">
        <v>1.6728575063717663</v>
      </c>
      <c r="H506">
        <v>13.096647541499486</v>
      </c>
      <c r="I506">
        <v>2.3021619301602854E-2</v>
      </c>
      <c r="J506">
        <v>4.1041973626427745E-2</v>
      </c>
      <c r="K506">
        <v>0</v>
      </c>
    </row>
    <row r="507" spans="1:11" x14ac:dyDescent="0.3">
      <c r="A507" t="s">
        <v>182</v>
      </c>
      <c r="B507">
        <v>2007</v>
      </c>
      <c r="C507">
        <v>0.14973044526448903</v>
      </c>
      <c r="D507">
        <v>5.0309488770401485E-2</v>
      </c>
      <c r="E507">
        <v>4.3291451897975938E-2</v>
      </c>
      <c r="F507">
        <v>6.8220642937961734E-2</v>
      </c>
      <c r="G507">
        <v>1.2685637798303544</v>
      </c>
      <c r="H507">
        <v>11.814680546465711</v>
      </c>
      <c r="I507">
        <v>8.4923005534678388E-3</v>
      </c>
      <c r="J507">
        <v>0</v>
      </c>
      <c r="K507">
        <v>0</v>
      </c>
    </row>
    <row r="508" spans="1:11" x14ac:dyDescent="0.3">
      <c r="A508" t="s">
        <v>182</v>
      </c>
      <c r="B508">
        <v>2009</v>
      </c>
      <c r="C508">
        <v>5.2635214478137737E-2</v>
      </c>
      <c r="D508">
        <v>0.1037738021229076</v>
      </c>
      <c r="E508">
        <v>0.13355667610692823</v>
      </c>
      <c r="F508">
        <v>0.38169740507932121</v>
      </c>
      <c r="G508">
        <v>1.1397964587506619</v>
      </c>
      <c r="H508">
        <v>11.372075931382099</v>
      </c>
      <c r="I508">
        <v>1.9988150145827485E-2</v>
      </c>
      <c r="J508">
        <v>0</v>
      </c>
      <c r="K508">
        <v>0</v>
      </c>
    </row>
    <row r="509" spans="1:11" x14ac:dyDescent="0.3">
      <c r="A509" t="s">
        <v>182</v>
      </c>
      <c r="B509">
        <v>2010</v>
      </c>
      <c r="C509">
        <v>6.3900012694602493E-2</v>
      </c>
      <c r="D509">
        <v>2.6877935626824848E-2</v>
      </c>
      <c r="E509">
        <v>9.8302385431212572E-2</v>
      </c>
      <c r="F509">
        <v>0.50524517893619236</v>
      </c>
      <c r="G509">
        <v>1.1100506630044662</v>
      </c>
      <c r="H509">
        <v>11.36964383575806</v>
      </c>
      <c r="I509">
        <v>1.4861323245957198E-2</v>
      </c>
      <c r="J509">
        <v>0</v>
      </c>
      <c r="K509">
        <v>0</v>
      </c>
    </row>
    <row r="510" spans="1:11" x14ac:dyDescent="0.3">
      <c r="A510" t="s">
        <v>183</v>
      </c>
      <c r="B510">
        <v>2007</v>
      </c>
      <c r="C510">
        <v>0.15872176266965979</v>
      </c>
      <c r="D510">
        <v>0.37115288480584036</v>
      </c>
      <c r="E510">
        <v>0.31333339621395762</v>
      </c>
      <c r="F510">
        <v>7.2242668905216897E-2</v>
      </c>
      <c r="G510">
        <v>4.734070193640882</v>
      </c>
      <c r="H510">
        <v>14.790268291548122</v>
      </c>
      <c r="I510">
        <v>9.7382816649951021E-3</v>
      </c>
      <c r="J510">
        <v>9.2285867894096457E-2</v>
      </c>
      <c r="K510">
        <v>0</v>
      </c>
    </row>
    <row r="511" spans="1:11" x14ac:dyDescent="0.3">
      <c r="A511" t="s">
        <v>183</v>
      </c>
      <c r="B511">
        <v>2009</v>
      </c>
      <c r="C511">
        <v>0.26003979271245198</v>
      </c>
      <c r="D511">
        <v>0.32453850097197762</v>
      </c>
      <c r="E511">
        <v>0.41422716360184952</v>
      </c>
      <c r="F511">
        <v>7.9306266844651079E-4</v>
      </c>
      <c r="G511">
        <v>2.4425178026707814</v>
      </c>
      <c r="H511">
        <v>15.18679787457762</v>
      </c>
      <c r="I511">
        <v>2.392284649217704E-2</v>
      </c>
      <c r="J511">
        <v>6.9714395927337691E-2</v>
      </c>
      <c r="K511">
        <v>0</v>
      </c>
    </row>
    <row r="512" spans="1:11" x14ac:dyDescent="0.3">
      <c r="A512" t="s">
        <v>183</v>
      </c>
      <c r="B512">
        <v>2010</v>
      </c>
      <c r="C512">
        <v>0.22636120976080656</v>
      </c>
      <c r="D512">
        <v>0.39353156200783512</v>
      </c>
      <c r="E512">
        <v>0.38833430075916919</v>
      </c>
      <c r="F512">
        <v>0</v>
      </c>
      <c r="G512">
        <v>5.5308117847030207</v>
      </c>
      <c r="H512">
        <v>15.385494289993735</v>
      </c>
      <c r="I512">
        <v>2.6589274308585247E-2</v>
      </c>
      <c r="J512">
        <v>7.7154811019084293E-2</v>
      </c>
      <c r="K512">
        <v>0</v>
      </c>
    </row>
    <row r="513" spans="1:11" x14ac:dyDescent="0.3">
      <c r="A513" t="s">
        <v>184</v>
      </c>
      <c r="B513">
        <v>2007</v>
      </c>
      <c r="C513">
        <v>3.7567503594722225E-2</v>
      </c>
      <c r="D513">
        <v>0.38488486160913998</v>
      </c>
      <c r="E513">
        <v>0.82180293178218322</v>
      </c>
      <c r="F513">
        <v>7.8070396157398581E-2</v>
      </c>
      <c r="G513">
        <v>1.4702952632410491</v>
      </c>
      <c r="H513">
        <v>17.190456465141963</v>
      </c>
      <c r="I513">
        <v>0.15668305167930924</v>
      </c>
      <c r="J513">
        <v>8.5070501520684103E-3</v>
      </c>
      <c r="K513">
        <v>0</v>
      </c>
    </row>
    <row r="514" spans="1:11" x14ac:dyDescent="0.3">
      <c r="A514" t="s">
        <v>184</v>
      </c>
      <c r="B514">
        <v>2008</v>
      </c>
      <c r="C514">
        <v>3.6439051835066058E-2</v>
      </c>
      <c r="D514">
        <v>8.5479829606861291E-2</v>
      </c>
      <c r="E514">
        <v>0.62373135691026271</v>
      </c>
      <c r="F514">
        <v>2.7365827888571814E-3</v>
      </c>
      <c r="G514">
        <v>1.2620079367494677</v>
      </c>
      <c r="H514">
        <v>17.059279560674145</v>
      </c>
      <c r="I514">
        <v>2.1566189640381372E-2</v>
      </c>
      <c r="J514">
        <v>1.0669391583502861E-2</v>
      </c>
      <c r="K514">
        <v>0</v>
      </c>
    </row>
    <row r="515" spans="1:11" x14ac:dyDescent="0.3">
      <c r="A515" t="s">
        <v>184</v>
      </c>
      <c r="B515">
        <v>2009</v>
      </c>
      <c r="C515">
        <v>9.3944393916549542E-3</v>
      </c>
      <c r="D515">
        <v>1.2269260449952255E-2</v>
      </c>
      <c r="E515">
        <v>0.10144765120945407</v>
      </c>
      <c r="F515">
        <v>0.25328468469782967</v>
      </c>
      <c r="G515">
        <v>0.99275938103058525</v>
      </c>
      <c r="H515">
        <v>17.20353515825218</v>
      </c>
      <c r="I515">
        <v>4.4617135116117444E-2</v>
      </c>
      <c r="J515">
        <v>1.4777855596139993E-2</v>
      </c>
      <c r="K515">
        <v>0</v>
      </c>
    </row>
    <row r="516" spans="1:11" x14ac:dyDescent="0.3">
      <c r="A516" t="s">
        <v>184</v>
      </c>
      <c r="B516">
        <v>2010</v>
      </c>
      <c r="C516">
        <v>4.118803879505592E-2</v>
      </c>
      <c r="D516">
        <v>0.14490857223465181</v>
      </c>
      <c r="E516">
        <v>0.11103267263826898</v>
      </c>
      <c r="F516">
        <v>0.16760746713177618</v>
      </c>
      <c r="G516">
        <v>1.0496686272661093</v>
      </c>
      <c r="H516">
        <v>17.228471872433673</v>
      </c>
      <c r="I516">
        <v>7.8307531640703504E-3</v>
      </c>
      <c r="J516">
        <v>1.9819105925277157E-2</v>
      </c>
      <c r="K516">
        <v>0</v>
      </c>
    </row>
    <row r="517" spans="1:11" x14ac:dyDescent="0.3">
      <c r="A517" t="s">
        <v>185</v>
      </c>
      <c r="B517">
        <v>2010</v>
      </c>
      <c r="C517">
        <v>2.0613544314118201E-2</v>
      </c>
      <c r="D517">
        <v>-5.6048231992160752E-3</v>
      </c>
      <c r="E517">
        <v>-3.2052285672411217E-2</v>
      </c>
      <c r="F517">
        <v>0.47502039595412299</v>
      </c>
      <c r="G517">
        <v>5.1098520336679556</v>
      </c>
      <c r="H517">
        <v>14.508243152595348</v>
      </c>
      <c r="I517">
        <v>1.0729097848171212E-2</v>
      </c>
      <c r="J517">
        <v>0</v>
      </c>
      <c r="K517">
        <v>0</v>
      </c>
    </row>
    <row r="518" spans="1:11" x14ac:dyDescent="0.3">
      <c r="A518" t="s">
        <v>186</v>
      </c>
      <c r="B518">
        <v>2007</v>
      </c>
      <c r="C518">
        <v>6.5974401633174563E-3</v>
      </c>
      <c r="D518">
        <v>0.10156015516823193</v>
      </c>
      <c r="E518">
        <v>-8.5278567102352307E-2</v>
      </c>
      <c r="F518">
        <v>0.21741029047262317</v>
      </c>
      <c r="G518">
        <v>0.78557622954311301</v>
      </c>
      <c r="H518">
        <v>16.974457976102062</v>
      </c>
      <c r="I518">
        <v>5.6505728794941569E-2</v>
      </c>
      <c r="J518">
        <v>0</v>
      </c>
      <c r="K518">
        <v>0</v>
      </c>
    </row>
    <row r="519" spans="1:11" x14ac:dyDescent="0.3">
      <c r="A519" t="s">
        <v>186</v>
      </c>
      <c r="B519">
        <v>2008</v>
      </c>
      <c r="C519">
        <v>4.0680366935494008E-3</v>
      </c>
      <c r="D519">
        <v>0.28497749195422706</v>
      </c>
      <c r="E519">
        <v>-0.23942495345033799</v>
      </c>
      <c r="F519">
        <v>0.34763350934853943</v>
      </c>
      <c r="G519">
        <v>0.88917459073507354</v>
      </c>
      <c r="H519">
        <v>16.882295992483847</v>
      </c>
      <c r="I519">
        <v>3.6027237398501104E-2</v>
      </c>
      <c r="J519">
        <v>0</v>
      </c>
      <c r="K519">
        <v>0</v>
      </c>
    </row>
    <row r="520" spans="1:11" x14ac:dyDescent="0.3">
      <c r="A520" t="s">
        <v>186</v>
      </c>
      <c r="B520">
        <v>2009</v>
      </c>
      <c r="C520">
        <v>1.0219391688782993E-3</v>
      </c>
      <c r="D520">
        <v>0.45698351302301937</v>
      </c>
      <c r="E520">
        <v>-0.68669274897937105</v>
      </c>
      <c r="F520">
        <v>0.63511013051535026</v>
      </c>
      <c r="G520">
        <v>1.1722611515451011</v>
      </c>
      <c r="H520">
        <v>16.60170412567167</v>
      </c>
      <c r="I520">
        <v>7.1104535759056745E-2</v>
      </c>
      <c r="J520">
        <v>0</v>
      </c>
      <c r="K520">
        <v>0</v>
      </c>
    </row>
    <row r="521" spans="1:11" x14ac:dyDescent="0.3">
      <c r="A521" t="s">
        <v>186</v>
      </c>
      <c r="B521">
        <v>2010</v>
      </c>
      <c r="C521">
        <v>7.4614434430289318E-4</v>
      </c>
      <c r="D521">
        <v>0.16887124437633924</v>
      </c>
      <c r="E521">
        <v>-0.80335431406025504</v>
      </c>
      <c r="F521">
        <v>0.68013991038696109</v>
      </c>
      <c r="G521">
        <v>1.2114100763885753</v>
      </c>
      <c r="H521">
        <v>16.54467572748062</v>
      </c>
      <c r="I521">
        <v>2.6445357481896872E-3</v>
      </c>
      <c r="J521">
        <v>0</v>
      </c>
      <c r="K521">
        <v>0</v>
      </c>
    </row>
    <row r="522" spans="1:11" x14ac:dyDescent="0.3">
      <c r="A522" t="s">
        <v>187</v>
      </c>
      <c r="B522">
        <v>2007</v>
      </c>
      <c r="C522">
        <v>1.7235070997681522E-2</v>
      </c>
      <c r="D522">
        <v>0.10753257546089198</v>
      </c>
      <c r="E522">
        <v>0.2795357893401435</v>
      </c>
      <c r="F522">
        <v>0.28683688459636214</v>
      </c>
      <c r="G522">
        <v>0.76973060778722202</v>
      </c>
      <c r="H522">
        <v>13.206504138114742</v>
      </c>
      <c r="I522">
        <v>1.8064648192609563E-2</v>
      </c>
      <c r="J522">
        <v>0</v>
      </c>
      <c r="K522">
        <v>0</v>
      </c>
    </row>
    <row r="523" spans="1:11" x14ac:dyDescent="0.3">
      <c r="A523" t="s">
        <v>187</v>
      </c>
      <c r="B523">
        <v>2008</v>
      </c>
      <c r="C523">
        <v>2.7124396933270581E-2</v>
      </c>
      <c r="D523">
        <v>0.13844587768342656</v>
      </c>
      <c r="E523">
        <v>0.32028956401360742</v>
      </c>
      <c r="F523">
        <v>0.24910201121891917</v>
      </c>
      <c r="G523">
        <v>1.0781377023445058</v>
      </c>
      <c r="H523">
        <v>13.388246060356488</v>
      </c>
      <c r="I523">
        <v>3.9555916264307697E-3</v>
      </c>
      <c r="J523">
        <v>0</v>
      </c>
      <c r="K523">
        <v>0</v>
      </c>
    </row>
    <row r="524" spans="1:11" x14ac:dyDescent="0.3">
      <c r="A524" t="s">
        <v>187</v>
      </c>
      <c r="B524">
        <v>2009</v>
      </c>
      <c r="C524">
        <v>4.9873618516189246E-2</v>
      </c>
      <c r="D524">
        <v>0.20179577873826815</v>
      </c>
      <c r="E524">
        <v>0.54527100916916693</v>
      </c>
      <c r="F524">
        <v>3.36843707564062E-2</v>
      </c>
      <c r="G524">
        <v>0.42053228436034146</v>
      </c>
      <c r="H524">
        <v>13.120926345368208</v>
      </c>
      <c r="I524">
        <v>3.9008666123409586E-3</v>
      </c>
      <c r="J524">
        <v>2.834870874575891E-2</v>
      </c>
      <c r="K524">
        <v>0</v>
      </c>
    </row>
    <row r="525" spans="1:11" x14ac:dyDescent="0.3">
      <c r="A525" t="s">
        <v>187</v>
      </c>
      <c r="B525">
        <v>2010</v>
      </c>
      <c r="C525">
        <v>0.10395560579717268</v>
      </c>
      <c r="D525">
        <v>0.15140167968102033</v>
      </c>
      <c r="E525">
        <v>0.40052774176901007</v>
      </c>
      <c r="F525">
        <v>0.10186675595475797</v>
      </c>
      <c r="G525">
        <v>0.66573364707038807</v>
      </c>
      <c r="H525">
        <v>13.3863816578483</v>
      </c>
      <c r="I525">
        <v>1.2707777921418303E-2</v>
      </c>
      <c r="J525">
        <v>2.1739397551130742E-2</v>
      </c>
      <c r="K525">
        <v>0</v>
      </c>
    </row>
    <row r="526" spans="1:11" x14ac:dyDescent="0.3">
      <c r="A526" t="s">
        <v>188</v>
      </c>
      <c r="B526">
        <v>2007</v>
      </c>
      <c r="C526">
        <v>4.2391665872353421E-2</v>
      </c>
      <c r="D526">
        <v>0.12001813261860954</v>
      </c>
      <c r="E526">
        <v>0.4444542839988761</v>
      </c>
      <c r="F526">
        <v>0.33342863345108564</v>
      </c>
      <c r="G526">
        <v>1.9417579650792729</v>
      </c>
      <c r="H526">
        <v>17.457210638638539</v>
      </c>
      <c r="I526">
        <v>9.3862184618743252E-2</v>
      </c>
      <c r="J526">
        <v>3.5492737557077533E-2</v>
      </c>
      <c r="K526">
        <v>0</v>
      </c>
    </row>
    <row r="527" spans="1:11" x14ac:dyDescent="0.3">
      <c r="A527" t="s">
        <v>188</v>
      </c>
      <c r="B527">
        <v>2008</v>
      </c>
      <c r="C527">
        <v>2.9511863948158672E-2</v>
      </c>
      <c r="D527">
        <v>0.37166469001109231</v>
      </c>
      <c r="E527">
        <v>0.280812967588289</v>
      </c>
      <c r="F527">
        <v>0.25930210229771189</v>
      </c>
      <c r="G527">
        <v>0.99080440094373567</v>
      </c>
      <c r="H527">
        <v>17.861447815217005</v>
      </c>
      <c r="I527">
        <v>0.13080629305161168</v>
      </c>
      <c r="J527">
        <v>2.2337143881650541E-2</v>
      </c>
      <c r="K527">
        <v>0</v>
      </c>
    </row>
    <row r="528" spans="1:11" x14ac:dyDescent="0.3">
      <c r="A528" t="s">
        <v>188</v>
      </c>
      <c r="B528">
        <v>2009</v>
      </c>
      <c r="C528">
        <v>4.220857668573362E-2</v>
      </c>
      <c r="D528">
        <v>6.2975535078974645E-2</v>
      </c>
      <c r="E528">
        <v>4.6456387882723188E-2</v>
      </c>
      <c r="F528">
        <v>0.63570125135101119</v>
      </c>
      <c r="G528">
        <v>1.2957394362988284</v>
      </c>
      <c r="H528">
        <v>18.355709467856538</v>
      </c>
      <c r="I528">
        <v>3.5889244739409597E-3</v>
      </c>
      <c r="J528">
        <v>1.907658436709438E-2</v>
      </c>
      <c r="K528">
        <v>0</v>
      </c>
    </row>
    <row r="529" spans="1:11" x14ac:dyDescent="0.3">
      <c r="A529" t="s">
        <v>188</v>
      </c>
      <c r="B529">
        <v>2010</v>
      </c>
      <c r="C529">
        <v>2.5003457369535187E-2</v>
      </c>
      <c r="D529">
        <v>6.8302177034652564E-2</v>
      </c>
      <c r="E529">
        <v>-2.460640909528632E-2</v>
      </c>
      <c r="F529">
        <v>0.57572833612977503</v>
      </c>
      <c r="G529">
        <v>1.1784532084935473</v>
      </c>
      <c r="H529">
        <v>18.920112414463617</v>
      </c>
      <c r="I529">
        <v>2.0278799916199353E-3</v>
      </c>
      <c r="J529">
        <v>1.1933726625857609E-2</v>
      </c>
      <c r="K529">
        <v>0</v>
      </c>
    </row>
    <row r="530" spans="1:11" x14ac:dyDescent="0.3">
      <c r="A530" t="s">
        <v>189</v>
      </c>
      <c r="B530">
        <v>2007</v>
      </c>
      <c r="C530">
        <v>0.13084668438180291</v>
      </c>
      <c r="D530">
        <v>0.16835612071636372</v>
      </c>
      <c r="E530">
        <v>-0.23446570266148101</v>
      </c>
      <c r="F530">
        <v>0.21805485518111961</v>
      </c>
      <c r="G530">
        <v>2.0592400594905227</v>
      </c>
      <c r="H530">
        <v>17.184390339733081</v>
      </c>
      <c r="I530">
        <v>4.5787093729087597E-3</v>
      </c>
      <c r="J530">
        <v>3.2159709861309164E-2</v>
      </c>
      <c r="K530">
        <v>0</v>
      </c>
    </row>
    <row r="531" spans="1:11" x14ac:dyDescent="0.3">
      <c r="A531" t="s">
        <v>189</v>
      </c>
      <c r="B531">
        <v>2008</v>
      </c>
      <c r="C531">
        <v>0.16979346322691785</v>
      </c>
      <c r="D531">
        <v>0.11962255956174839</v>
      </c>
      <c r="E531">
        <v>-0.10000284146358594</v>
      </c>
      <c r="F531">
        <v>0.40008630437856285</v>
      </c>
      <c r="G531">
        <v>1.0333410538186671</v>
      </c>
      <c r="H531">
        <v>17.660788257094627</v>
      </c>
      <c r="I531">
        <v>7.8202430428539471E-3</v>
      </c>
      <c r="J531">
        <v>4.4936346191266074E-2</v>
      </c>
      <c r="K531">
        <v>0</v>
      </c>
    </row>
    <row r="532" spans="1:11" x14ac:dyDescent="0.3">
      <c r="A532" t="s">
        <v>189</v>
      </c>
      <c r="B532">
        <v>2009</v>
      </c>
      <c r="C532">
        <v>0.2663349213814854</v>
      </c>
      <c r="D532">
        <v>0.16311622671764631</v>
      </c>
      <c r="E532">
        <v>4.683239410639814E-2</v>
      </c>
      <c r="F532">
        <v>0.35752165441156375</v>
      </c>
      <c r="G532">
        <v>1.3796340567729928</v>
      </c>
      <c r="H532">
        <v>17.405265070312989</v>
      </c>
      <c r="I532">
        <v>5.6292041001172917E-2</v>
      </c>
      <c r="J532">
        <v>0.10314482339936898</v>
      </c>
      <c r="K532">
        <v>0</v>
      </c>
    </row>
    <row r="533" spans="1:11" x14ac:dyDescent="0.3">
      <c r="A533" t="s">
        <v>190</v>
      </c>
      <c r="B533">
        <v>2009</v>
      </c>
      <c r="C533">
        <v>0.19234790630758153</v>
      </c>
      <c r="D533">
        <v>0.27296515288778039</v>
      </c>
      <c r="E533">
        <v>-1.8251104857846034E-2</v>
      </c>
      <c r="F533">
        <v>0.362223661200612</v>
      </c>
      <c r="G533">
        <v>1.7196273888032094</v>
      </c>
      <c r="H533">
        <v>18.066455611060309</v>
      </c>
      <c r="I533">
        <v>2.153816399370613E-2</v>
      </c>
      <c r="J533">
        <v>0.12715427132965018</v>
      </c>
      <c r="K533">
        <v>0</v>
      </c>
    </row>
    <row r="534" spans="1:11" x14ac:dyDescent="0.3">
      <c r="A534" t="s">
        <v>190</v>
      </c>
      <c r="B534">
        <v>2010</v>
      </c>
      <c r="C534">
        <v>0.19014791521423863</v>
      </c>
      <c r="D534">
        <v>0.35157228092160947</v>
      </c>
      <c r="E534">
        <v>4.8839681963280205E-3</v>
      </c>
      <c r="F534">
        <v>0.29232755098426083</v>
      </c>
      <c r="G534">
        <v>1.8395292567253119</v>
      </c>
      <c r="H534">
        <v>18.119803490076052</v>
      </c>
      <c r="I534">
        <v>7.3582029768454085E-2</v>
      </c>
      <c r="J534">
        <v>0.11917354723846574</v>
      </c>
      <c r="K534">
        <v>0</v>
      </c>
    </row>
    <row r="535" spans="1:11" x14ac:dyDescent="0.3">
      <c r="A535" t="s">
        <v>191</v>
      </c>
      <c r="B535">
        <v>2007</v>
      </c>
      <c r="C535">
        <v>3.4210714230018854E-2</v>
      </c>
      <c r="D535">
        <v>0.24674049809539209</v>
      </c>
      <c r="E535">
        <v>0.39097196971997628</v>
      </c>
      <c r="F535">
        <v>1.7748434166884857E-2</v>
      </c>
      <c r="G535">
        <v>2.4381092713900068</v>
      </c>
      <c r="H535">
        <v>14.0130170708584</v>
      </c>
      <c r="I535">
        <v>1.3696439714298606E-2</v>
      </c>
      <c r="J535">
        <v>6.4319196034672815E-2</v>
      </c>
      <c r="K535">
        <v>0</v>
      </c>
    </row>
    <row r="536" spans="1:11" x14ac:dyDescent="0.3">
      <c r="A536" t="s">
        <v>191</v>
      </c>
      <c r="B536">
        <v>2009</v>
      </c>
      <c r="C536">
        <v>2.6093593310949795E-2</v>
      </c>
      <c r="D536">
        <v>0.16801572551985827</v>
      </c>
      <c r="E536">
        <v>0.11733902847227214</v>
      </c>
      <c r="F536">
        <v>0.15412640881103706</v>
      </c>
      <c r="G536">
        <v>1.4822220853198438</v>
      </c>
      <c r="H536">
        <v>14.376881376360959</v>
      </c>
      <c r="I536">
        <v>4.9833924930121898E-3</v>
      </c>
      <c r="J536">
        <v>9.903175792921463E-3</v>
      </c>
      <c r="K536">
        <v>0</v>
      </c>
    </row>
    <row r="537" spans="1:11" x14ac:dyDescent="0.3">
      <c r="A537" t="s">
        <v>191</v>
      </c>
      <c r="B537">
        <v>2010</v>
      </c>
      <c r="C537">
        <v>2.8502811532707877E-2</v>
      </c>
      <c r="D537">
        <v>0.1867271438409901</v>
      </c>
      <c r="E537">
        <v>0.16163853452168625</v>
      </c>
      <c r="F537">
        <v>5.8761411997386499E-2</v>
      </c>
      <c r="G537">
        <v>1.1678282101800439</v>
      </c>
      <c r="H537">
        <v>14.49962456195645</v>
      </c>
      <c r="I537">
        <v>3.0423800605822636E-2</v>
      </c>
      <c r="J537">
        <v>0</v>
      </c>
      <c r="K537">
        <v>0</v>
      </c>
    </row>
    <row r="538" spans="1:11" x14ac:dyDescent="0.3">
      <c r="A538" t="s">
        <v>192</v>
      </c>
      <c r="B538">
        <v>2007</v>
      </c>
      <c r="C538">
        <v>3.8483038102878689E-3</v>
      </c>
      <c r="D538">
        <v>8.5461895596099111E-2</v>
      </c>
      <c r="E538">
        <v>3.1250667280819225E-2</v>
      </c>
      <c r="F538">
        <v>0.20094971219225008</v>
      </c>
      <c r="G538">
        <v>1.3189040846737417</v>
      </c>
      <c r="H538">
        <v>15.472817829804812</v>
      </c>
      <c r="I538">
        <v>1.5645815932142093E-3</v>
      </c>
      <c r="J538">
        <v>1.0971431229657467E-2</v>
      </c>
      <c r="K538">
        <v>0</v>
      </c>
    </row>
    <row r="539" spans="1:11" x14ac:dyDescent="0.3">
      <c r="A539" t="s">
        <v>192</v>
      </c>
      <c r="B539">
        <v>2008</v>
      </c>
      <c r="C539">
        <v>1.6141011876454611E-2</v>
      </c>
      <c r="D539">
        <v>8.3953913201571889E-2</v>
      </c>
      <c r="E539">
        <v>0.13104636198062342</v>
      </c>
      <c r="F539">
        <v>0.15383826341121301</v>
      </c>
      <c r="G539">
        <v>0.85650305111453895</v>
      </c>
      <c r="H539">
        <v>15.585167386892945</v>
      </c>
      <c r="I539">
        <v>2.8736223627566643E-3</v>
      </c>
      <c r="J539">
        <v>9.8055169003613829E-3</v>
      </c>
      <c r="K539">
        <v>0</v>
      </c>
    </row>
    <row r="540" spans="1:11" x14ac:dyDescent="0.3">
      <c r="A540" t="s">
        <v>192</v>
      </c>
      <c r="B540">
        <v>2009</v>
      </c>
      <c r="C540">
        <v>2.1358697613084763E-2</v>
      </c>
      <c r="D540">
        <v>6.6759413989153041E-2</v>
      </c>
      <c r="E540">
        <v>9.7768479156441726E-2</v>
      </c>
      <c r="F540">
        <v>0.25740026264815968</v>
      </c>
      <c r="G540">
        <v>0.61772576670378543</v>
      </c>
      <c r="H540">
        <v>15.906504611665827</v>
      </c>
      <c r="I540">
        <v>1.1018283153233326E-3</v>
      </c>
      <c r="J540">
        <v>7.1107516215335904E-3</v>
      </c>
      <c r="K540">
        <v>0</v>
      </c>
    </row>
    <row r="541" spans="1:11" x14ac:dyDescent="0.3">
      <c r="A541" t="s">
        <v>192</v>
      </c>
      <c r="B541">
        <v>2010</v>
      </c>
      <c r="C541">
        <v>1.7215795755730501E-2</v>
      </c>
      <c r="D541">
        <v>7.9543644739110367E-2</v>
      </c>
      <c r="E541">
        <v>0.14320087248842189</v>
      </c>
      <c r="F541">
        <v>9.1873399325239954E-2</v>
      </c>
      <c r="G541">
        <v>0.52130448477928204</v>
      </c>
      <c r="H541">
        <v>15.885406939198326</v>
      </c>
      <c r="I541">
        <v>1.6479368029834296E-2</v>
      </c>
      <c r="J541">
        <v>9.6831121445956226E-3</v>
      </c>
      <c r="K541">
        <v>0</v>
      </c>
    </row>
    <row r="542" spans="1:11" x14ac:dyDescent="0.3">
      <c r="A542" t="s">
        <v>193</v>
      </c>
      <c r="B542">
        <v>2009</v>
      </c>
      <c r="C542">
        <v>0.14227469262502401</v>
      </c>
      <c r="D542">
        <v>0.13974907192257063</v>
      </c>
      <c r="E542">
        <v>0.41965994100994891</v>
      </c>
      <c r="F542">
        <v>3.1321660424971179E-4</v>
      </c>
      <c r="G542">
        <v>1.1640363724860554</v>
      </c>
      <c r="H542">
        <v>16.484882853233316</v>
      </c>
      <c r="I542">
        <v>3.8702067625144138E-3</v>
      </c>
      <c r="J542">
        <v>5.9134116855294204E-2</v>
      </c>
      <c r="K542">
        <v>0</v>
      </c>
    </row>
    <row r="543" spans="1:11" x14ac:dyDescent="0.3">
      <c r="A543" t="s">
        <v>193</v>
      </c>
      <c r="B543">
        <v>2010</v>
      </c>
      <c r="C543">
        <v>0.18861200047086318</v>
      </c>
      <c r="D543">
        <v>0.15468634783480492</v>
      </c>
      <c r="E543">
        <v>0.40964204526263082</v>
      </c>
      <c r="F543">
        <v>0</v>
      </c>
      <c r="G543">
        <v>1.7154599011173868</v>
      </c>
      <c r="H543">
        <v>16.516321216703965</v>
      </c>
      <c r="I543">
        <v>4.8038965943091524E-3</v>
      </c>
      <c r="J543">
        <v>5.2757024184922181E-2</v>
      </c>
      <c r="K543">
        <v>0</v>
      </c>
    </row>
    <row r="544" spans="1:11" x14ac:dyDescent="0.3">
      <c r="A544" t="s">
        <v>194</v>
      </c>
      <c r="B544">
        <v>2007</v>
      </c>
      <c r="C544">
        <v>8.8553141593911734E-3</v>
      </c>
      <c r="D544">
        <v>0.11393011045803864</v>
      </c>
      <c r="E544">
        <v>6.131728119375341E-2</v>
      </c>
      <c r="F544">
        <v>0.21230796806500518</v>
      </c>
      <c r="G544">
        <v>1.4452818211012943</v>
      </c>
      <c r="H544">
        <v>14.107411219642632</v>
      </c>
      <c r="I544">
        <v>7.1418499984189643E-4</v>
      </c>
      <c r="J544">
        <v>2.8053653181176575E-2</v>
      </c>
      <c r="K544">
        <v>0</v>
      </c>
    </row>
    <row r="545" spans="1:11" x14ac:dyDescent="0.3">
      <c r="A545" t="s">
        <v>194</v>
      </c>
      <c r="B545">
        <v>2008</v>
      </c>
      <c r="C545">
        <v>4.8626593421928843E-3</v>
      </c>
      <c r="D545">
        <v>0.11955313393584785</v>
      </c>
      <c r="E545">
        <v>3.0978622047804182E-2</v>
      </c>
      <c r="F545">
        <v>0.26391680503364501</v>
      </c>
      <c r="G545">
        <v>0.86193908872219371</v>
      </c>
      <c r="H545">
        <v>14.204945872679387</v>
      </c>
      <c r="I545">
        <v>3.7012521324951905E-3</v>
      </c>
      <c r="J545">
        <v>2.7991114706055698E-2</v>
      </c>
      <c r="K545">
        <v>0</v>
      </c>
    </row>
    <row r="546" spans="1:11" x14ac:dyDescent="0.3">
      <c r="A546" t="s">
        <v>194</v>
      </c>
      <c r="B546">
        <v>2009</v>
      </c>
      <c r="C546">
        <v>1.8428547783242204E-2</v>
      </c>
      <c r="D546">
        <v>0.1242748595250627</v>
      </c>
      <c r="E546">
        <v>0.1149302908694584</v>
      </c>
      <c r="F546">
        <v>0.39062713876707361</v>
      </c>
      <c r="G546">
        <v>0.91821773944598084</v>
      </c>
      <c r="H546">
        <v>14.372861497351114</v>
      </c>
      <c r="I546">
        <v>1.3388779491303545E-2</v>
      </c>
      <c r="J546">
        <v>2.366439276053655E-2</v>
      </c>
      <c r="K546">
        <v>0</v>
      </c>
    </row>
    <row r="547" spans="1:11" x14ac:dyDescent="0.3">
      <c r="A547" t="s">
        <v>194</v>
      </c>
      <c r="B547">
        <v>2010</v>
      </c>
      <c r="C547">
        <v>3.7582700881071428E-2</v>
      </c>
      <c r="D547">
        <v>9.852251805530686E-2</v>
      </c>
      <c r="E547">
        <v>0.14998186434530286</v>
      </c>
      <c r="F547">
        <v>0.30595251213252345</v>
      </c>
      <c r="G547">
        <v>0.85921403171673483</v>
      </c>
      <c r="H547">
        <v>14.370787805170654</v>
      </c>
      <c r="I547">
        <v>8.6968058832843174E-3</v>
      </c>
      <c r="J547">
        <v>2.3714090255873427E-2</v>
      </c>
      <c r="K547">
        <v>0</v>
      </c>
    </row>
    <row r="548" spans="1:11" x14ac:dyDescent="0.3">
      <c r="A548" t="s">
        <v>195</v>
      </c>
      <c r="B548">
        <v>2007</v>
      </c>
      <c r="C548">
        <v>0.19222588866672327</v>
      </c>
      <c r="D548">
        <v>0.18326505742147667</v>
      </c>
      <c r="E548">
        <v>0.20547081824906357</v>
      </c>
      <c r="F548">
        <v>0</v>
      </c>
      <c r="G548">
        <v>0.84721831965697014</v>
      </c>
      <c r="H548">
        <v>16.749701999484405</v>
      </c>
      <c r="I548">
        <v>1.4874202658403946E-3</v>
      </c>
      <c r="J548">
        <v>4.4283798437448403E-2</v>
      </c>
      <c r="K548">
        <v>0</v>
      </c>
    </row>
    <row r="549" spans="1:11" x14ac:dyDescent="0.3">
      <c r="A549" t="s">
        <v>195</v>
      </c>
      <c r="B549">
        <v>2009</v>
      </c>
      <c r="C549">
        <v>0.21574150904200406</v>
      </c>
      <c r="D549">
        <v>0.19126241084149576</v>
      </c>
      <c r="E549">
        <v>0.2440313323120861</v>
      </c>
      <c r="F549">
        <v>1.7096269054040444E-3</v>
      </c>
      <c r="G549">
        <v>1.4470864367305927</v>
      </c>
      <c r="H549">
        <v>16.863809332534156</v>
      </c>
      <c r="I549">
        <v>5.3142534170939892E-3</v>
      </c>
      <c r="J549">
        <v>5.2677742634023757E-2</v>
      </c>
      <c r="K549">
        <v>0</v>
      </c>
    </row>
    <row r="550" spans="1:11" x14ac:dyDescent="0.3">
      <c r="A550" t="s">
        <v>195</v>
      </c>
      <c r="B550">
        <v>2010</v>
      </c>
      <c r="C550">
        <v>0.2183051314930026</v>
      </c>
      <c r="D550">
        <v>0.22005472969801662</v>
      </c>
      <c r="E550">
        <v>0.28845004023131637</v>
      </c>
      <c r="F550">
        <v>0</v>
      </c>
      <c r="G550">
        <v>1.185279435268298</v>
      </c>
      <c r="H550">
        <v>16.893315738480332</v>
      </c>
      <c r="I550">
        <v>1.1306337151134077E-2</v>
      </c>
      <c r="J550">
        <v>0.11188216464149772</v>
      </c>
      <c r="K550">
        <v>0</v>
      </c>
    </row>
    <row r="551" spans="1:11" x14ac:dyDescent="0.3">
      <c r="A551" t="s">
        <v>196</v>
      </c>
      <c r="B551">
        <v>2007</v>
      </c>
      <c r="C551">
        <v>8.2440534139946835E-3</v>
      </c>
      <c r="D551">
        <v>0.1215512518055977</v>
      </c>
      <c r="E551">
        <v>-7.9454222721324394E-2</v>
      </c>
      <c r="F551">
        <v>0.23642971640229848</v>
      </c>
      <c r="G551">
        <v>0.9790120069416457</v>
      </c>
      <c r="H551">
        <v>15.077786986792697</v>
      </c>
      <c r="I551">
        <v>1.43874990816183E-2</v>
      </c>
      <c r="J551">
        <v>1.5282488306066355E-2</v>
      </c>
      <c r="K551">
        <v>0</v>
      </c>
    </row>
    <row r="552" spans="1:11" x14ac:dyDescent="0.3">
      <c r="A552" t="s">
        <v>196</v>
      </c>
      <c r="B552">
        <v>2008</v>
      </c>
      <c r="C552">
        <v>1.1704394640825847E-2</v>
      </c>
      <c r="D552">
        <v>7.8403602956362964E-2</v>
      </c>
      <c r="E552">
        <v>4.1398076318760343E-2</v>
      </c>
      <c r="F552">
        <v>9.894007610047921E-2</v>
      </c>
      <c r="G552">
        <v>0.93638093322917715</v>
      </c>
      <c r="H552">
        <v>15.065673291634436</v>
      </c>
      <c r="I552">
        <v>1.7045244328282735E-2</v>
      </c>
      <c r="J552">
        <v>1.5468741540531969E-2</v>
      </c>
      <c r="K552">
        <v>0</v>
      </c>
    </row>
    <row r="553" spans="1:11" x14ac:dyDescent="0.3">
      <c r="A553" t="s">
        <v>196</v>
      </c>
      <c r="B553">
        <v>2009</v>
      </c>
      <c r="C553">
        <v>6.7477376588401502E-3</v>
      </c>
      <c r="D553">
        <v>0.11937668365529029</v>
      </c>
      <c r="E553">
        <v>5.542802697566928E-2</v>
      </c>
      <c r="F553">
        <v>0.36807770467912587</v>
      </c>
      <c r="G553">
        <v>0.85054830780625168</v>
      </c>
      <c r="H553">
        <v>15.183221563174436</v>
      </c>
      <c r="I553">
        <v>1.2622779126098846E-2</v>
      </c>
      <c r="J553">
        <v>1.3753220864247306E-2</v>
      </c>
      <c r="K553">
        <v>0</v>
      </c>
    </row>
    <row r="554" spans="1:11" x14ac:dyDescent="0.3">
      <c r="A554" t="s">
        <v>196</v>
      </c>
      <c r="B554">
        <v>2010</v>
      </c>
      <c r="C554">
        <v>3.9683102121302631E-3</v>
      </c>
      <c r="D554">
        <v>9.1756382500883263E-2</v>
      </c>
      <c r="E554">
        <v>6.1443223837795866E-2</v>
      </c>
      <c r="F554">
        <v>0.34612200047777436</v>
      </c>
      <c r="G554">
        <v>0.88346751301960857</v>
      </c>
      <c r="H554">
        <v>15.171472765383452</v>
      </c>
      <c r="I554">
        <v>4.5133917267848635E-3</v>
      </c>
      <c r="J554">
        <v>4.6385858704035806E-3</v>
      </c>
      <c r="K554">
        <v>0</v>
      </c>
    </row>
    <row r="555" spans="1:11" x14ac:dyDescent="0.3">
      <c r="A555" t="s">
        <v>197</v>
      </c>
      <c r="B555">
        <v>2007</v>
      </c>
      <c r="C555">
        <v>4.2968750000000003E-3</v>
      </c>
      <c r="D555">
        <v>5.5037588443396228E-2</v>
      </c>
      <c r="E555">
        <v>0.15318027712264151</v>
      </c>
      <c r="F555">
        <v>0.22543853183962265</v>
      </c>
      <c r="G555">
        <v>1.2989464180424528</v>
      </c>
      <c r="H555">
        <v>12.511201631585676</v>
      </c>
      <c r="I555">
        <v>7.6259622084074215E-3</v>
      </c>
      <c r="J555">
        <v>0</v>
      </c>
      <c r="K555">
        <v>0</v>
      </c>
    </row>
    <row r="556" spans="1:11" x14ac:dyDescent="0.3">
      <c r="A556" t="s">
        <v>197</v>
      </c>
      <c r="B556">
        <v>2009</v>
      </c>
      <c r="C556">
        <v>3.2405538116883964E-3</v>
      </c>
      <c r="D556">
        <v>0.10204618570665694</v>
      </c>
      <c r="E556">
        <v>0.17033486591036379</v>
      </c>
      <c r="F556">
        <v>0.22869088398869453</v>
      </c>
      <c r="G556">
        <v>0.92890448962579941</v>
      </c>
      <c r="H556">
        <v>12.858098307550357</v>
      </c>
      <c r="I556">
        <v>2.6053645099111039E-2</v>
      </c>
      <c r="J556">
        <v>2.3444521145655602E-2</v>
      </c>
      <c r="K556">
        <v>0</v>
      </c>
    </row>
    <row r="557" spans="1:11" x14ac:dyDescent="0.3">
      <c r="A557" t="s">
        <v>197</v>
      </c>
      <c r="B557">
        <v>2010</v>
      </c>
      <c r="C557">
        <v>3.0911224604240582E-3</v>
      </c>
      <c r="D557">
        <v>2.9294540202372779E-2</v>
      </c>
      <c r="E557">
        <v>9.9345393270106663E-2</v>
      </c>
      <c r="F557">
        <v>0.22473007388603333</v>
      </c>
      <c r="G557">
        <v>0.71979965149645886</v>
      </c>
      <c r="H557">
        <v>12.809193909939617</v>
      </c>
      <c r="I557">
        <v>3.9342197902278615E-4</v>
      </c>
      <c r="J557">
        <v>0</v>
      </c>
      <c r="K557">
        <v>0</v>
      </c>
    </row>
    <row r="558" spans="1:11" x14ac:dyDescent="0.3">
      <c r="A558" t="s">
        <v>198</v>
      </c>
      <c r="B558">
        <v>2010</v>
      </c>
      <c r="C558">
        <v>0.30361734496049525</v>
      </c>
      <c r="D558">
        <v>0.349514903937513</v>
      </c>
      <c r="E558">
        <v>0.25669812180839785</v>
      </c>
      <c r="F558">
        <v>0.15103301087327836</v>
      </c>
      <c r="G558">
        <v>0.70855145612298809</v>
      </c>
      <c r="H558">
        <v>16.940511871962141</v>
      </c>
      <c r="I558">
        <v>2.2627747576986709E-2</v>
      </c>
      <c r="J558">
        <v>3.326478448413165E-2</v>
      </c>
      <c r="K558">
        <v>0</v>
      </c>
    </row>
    <row r="559" spans="1:11" x14ac:dyDescent="0.3">
      <c r="A559" t="s">
        <v>199</v>
      </c>
      <c r="B559">
        <v>2007</v>
      </c>
      <c r="C559">
        <v>1.2222967423003595E-2</v>
      </c>
      <c r="D559">
        <v>0.13867265506665361</v>
      </c>
      <c r="E559">
        <v>-0.42758909126532579</v>
      </c>
      <c r="F559">
        <v>0.14842390034739752</v>
      </c>
      <c r="G559">
        <v>1.4942296968372506</v>
      </c>
      <c r="H559">
        <v>12.489000936646876</v>
      </c>
      <c r="I559">
        <v>7.2314796327705572E-4</v>
      </c>
      <c r="J559">
        <v>0</v>
      </c>
      <c r="K559">
        <v>0</v>
      </c>
    </row>
    <row r="560" spans="1:11" x14ac:dyDescent="0.3">
      <c r="A560" t="s">
        <v>199</v>
      </c>
      <c r="B560">
        <v>2008</v>
      </c>
      <c r="C560">
        <v>6.378330481544855E-3</v>
      </c>
      <c r="D560">
        <v>0.14415026888291371</v>
      </c>
      <c r="E560">
        <v>-0.39105276827181618</v>
      </c>
      <c r="F560">
        <v>0.1491001588853581</v>
      </c>
      <c r="G560">
        <v>1.6863842886824738</v>
      </c>
      <c r="H560">
        <v>12.47542780128907</v>
      </c>
      <c r="I560">
        <v>3.3674681501473236E-3</v>
      </c>
      <c r="J560">
        <v>0</v>
      </c>
      <c r="K560">
        <v>0</v>
      </c>
    </row>
    <row r="561" spans="1:11" x14ac:dyDescent="0.3">
      <c r="A561" t="s">
        <v>199</v>
      </c>
      <c r="B561">
        <v>2009</v>
      </c>
      <c r="C561">
        <v>4.1380844990863688E-3</v>
      </c>
      <c r="D561">
        <v>0.14340367078478108</v>
      </c>
      <c r="E561">
        <v>-0.54884608636486176</v>
      </c>
      <c r="F561">
        <v>0.99315311768506909</v>
      </c>
      <c r="G561">
        <v>1.8329818172481525</v>
      </c>
      <c r="H561">
        <v>12.36172077504837</v>
      </c>
      <c r="I561">
        <v>3.9639361130339654E-3</v>
      </c>
      <c r="J561">
        <v>0</v>
      </c>
      <c r="K561">
        <v>0</v>
      </c>
    </row>
    <row r="562" spans="1:11" x14ac:dyDescent="0.3">
      <c r="A562" t="s">
        <v>199</v>
      </c>
      <c r="B562">
        <v>2010</v>
      </c>
      <c r="C562">
        <v>5.5050020303444198E-3</v>
      </c>
      <c r="D562">
        <v>0.12716416257521504</v>
      </c>
      <c r="E562">
        <v>-0.61843829598730116</v>
      </c>
      <c r="F562">
        <v>1.0345158551441545</v>
      </c>
      <c r="G562">
        <v>1.979073332348924</v>
      </c>
      <c r="H562">
        <v>12.286324562087236</v>
      </c>
      <c r="I562">
        <v>4.3657744707918139E-2</v>
      </c>
      <c r="J562">
        <v>0</v>
      </c>
      <c r="K562">
        <v>0</v>
      </c>
    </row>
    <row r="563" spans="1:11" x14ac:dyDescent="0.3">
      <c r="A563" t="s">
        <v>200</v>
      </c>
      <c r="B563">
        <v>2007</v>
      </c>
      <c r="C563">
        <v>8.1980516526745192E-2</v>
      </c>
      <c r="D563">
        <v>9.2015803180772224E-2</v>
      </c>
      <c r="E563">
        <v>-0.48967116331934724</v>
      </c>
      <c r="F563">
        <v>5.9646454170411853E-2</v>
      </c>
      <c r="G563">
        <v>1.4301407948412828</v>
      </c>
      <c r="H563">
        <v>14.315547391468227</v>
      </c>
      <c r="I563">
        <v>1.5045296525666271E-2</v>
      </c>
      <c r="J563">
        <v>0</v>
      </c>
      <c r="K563">
        <v>0</v>
      </c>
    </row>
    <row r="564" spans="1:11" x14ac:dyDescent="0.3">
      <c r="A564" t="s">
        <v>200</v>
      </c>
      <c r="B564">
        <v>2008</v>
      </c>
      <c r="C564">
        <v>2.9334968864056555E-2</v>
      </c>
      <c r="D564">
        <v>5.3892155420324897E-2</v>
      </c>
      <c r="E564">
        <v>-0.47692560403257589</v>
      </c>
      <c r="F564">
        <v>4.1641628511176622E-2</v>
      </c>
      <c r="G564">
        <v>1.0379098827298474</v>
      </c>
      <c r="H564">
        <v>14.341668242684241</v>
      </c>
      <c r="I564">
        <v>2.3737037850700426E-2</v>
      </c>
      <c r="J564">
        <v>0</v>
      </c>
      <c r="K564">
        <v>0</v>
      </c>
    </row>
    <row r="565" spans="1:11" x14ac:dyDescent="0.3">
      <c r="A565" t="s">
        <v>200</v>
      </c>
      <c r="B565">
        <v>2009</v>
      </c>
      <c r="C565">
        <v>1.6253346804145381E-3</v>
      </c>
      <c r="D565">
        <v>0.12693314512411538</v>
      </c>
      <c r="E565">
        <v>3.7240585359329136E-2</v>
      </c>
      <c r="F565">
        <v>0.83680732200734209</v>
      </c>
      <c r="G565">
        <v>1.0490530902854904</v>
      </c>
      <c r="H565">
        <v>14.331163710439938</v>
      </c>
      <c r="I565">
        <v>2.592340681154599E-2</v>
      </c>
      <c r="J565">
        <v>0</v>
      </c>
      <c r="K565">
        <v>0</v>
      </c>
    </row>
    <row r="566" spans="1:11" x14ac:dyDescent="0.3">
      <c r="A566" t="s">
        <v>200</v>
      </c>
      <c r="B566">
        <v>2010</v>
      </c>
      <c r="C566">
        <v>2.2966529764433742E-3</v>
      </c>
      <c r="D566">
        <v>4.789748855214087E-2</v>
      </c>
      <c r="E566">
        <v>2.513985271208044E-2</v>
      </c>
      <c r="F566">
        <v>0.79798954350186468</v>
      </c>
      <c r="G566">
        <v>1.1897169900391824</v>
      </c>
      <c r="H566">
        <v>14.342980886858339</v>
      </c>
      <c r="I566">
        <v>0.15449390257697682</v>
      </c>
      <c r="J566">
        <v>0</v>
      </c>
      <c r="K566">
        <v>0</v>
      </c>
    </row>
    <row r="567" spans="1:11" x14ac:dyDescent="0.3">
      <c r="A567" t="s">
        <v>201</v>
      </c>
      <c r="B567">
        <v>2007</v>
      </c>
      <c r="C567">
        <v>6.0770856950274213E-3</v>
      </c>
      <c r="D567">
        <v>0.19572290817733387</v>
      </c>
      <c r="E567">
        <v>4.5413462422255586E-2</v>
      </c>
      <c r="F567">
        <v>8.6373663408805423E-2</v>
      </c>
      <c r="G567">
        <v>1.6785555623640429</v>
      </c>
      <c r="H567">
        <v>13.388995444907803</v>
      </c>
      <c r="I567">
        <v>9.1093829096716011E-3</v>
      </c>
      <c r="J567">
        <v>3.8297741965133733E-2</v>
      </c>
      <c r="K567">
        <v>0</v>
      </c>
    </row>
    <row r="568" spans="1:11" x14ac:dyDescent="0.3">
      <c r="A568" t="s">
        <v>201</v>
      </c>
      <c r="B568">
        <v>2009</v>
      </c>
      <c r="C568">
        <v>3.2806780396838708E-3</v>
      </c>
      <c r="D568">
        <v>0.11522579944943809</v>
      </c>
      <c r="E568">
        <v>6.1190812128148711E-2</v>
      </c>
      <c r="F568">
        <v>0.18560497676391946</v>
      </c>
      <c r="G568">
        <v>1.0595649894919636</v>
      </c>
      <c r="H568">
        <v>13.605786560309529</v>
      </c>
      <c r="I568">
        <v>2.8581377691757101E-2</v>
      </c>
      <c r="J568">
        <v>1.8500064133555663E-2</v>
      </c>
      <c r="K568">
        <v>0</v>
      </c>
    </row>
    <row r="569" spans="1:11" x14ac:dyDescent="0.3">
      <c r="A569" t="s">
        <v>201</v>
      </c>
      <c r="B569">
        <v>2010</v>
      </c>
      <c r="C569">
        <v>4.2021258693140098E-3</v>
      </c>
      <c r="D569">
        <v>0.20155868827854947</v>
      </c>
      <c r="E569">
        <v>0.13852555368711303</v>
      </c>
      <c r="F569">
        <v>0.16517682959513247</v>
      </c>
      <c r="G569">
        <v>0.91683256192557339</v>
      </c>
      <c r="H569">
        <v>13.595129437621836</v>
      </c>
      <c r="I569">
        <v>1.3628243696945612E-2</v>
      </c>
      <c r="J569">
        <v>0</v>
      </c>
      <c r="K569">
        <v>0</v>
      </c>
    </row>
    <row r="570" spans="1:11" x14ac:dyDescent="0.3">
      <c r="A570" t="s">
        <v>202</v>
      </c>
      <c r="B570">
        <v>2007</v>
      </c>
      <c r="C570">
        <v>5.597455570286973E-2</v>
      </c>
      <c r="D570">
        <v>8.7174973012526538E-2</v>
      </c>
      <c r="E570">
        <v>0.40030211480362538</v>
      </c>
      <c r="F570">
        <v>0.33471712056336805</v>
      </c>
      <c r="G570">
        <v>1.3391619031059141</v>
      </c>
      <c r="H570">
        <v>12.528351777735809</v>
      </c>
      <c r="I570">
        <v>2.1674596442264452E-2</v>
      </c>
      <c r="J570">
        <v>2.5650778470878887E-2</v>
      </c>
      <c r="K570">
        <v>0</v>
      </c>
    </row>
    <row r="571" spans="1:11" x14ac:dyDescent="0.3">
      <c r="A571" t="s">
        <v>202</v>
      </c>
      <c r="B571">
        <v>2008</v>
      </c>
      <c r="C571">
        <v>8.4610740876646814E-2</v>
      </c>
      <c r="D571">
        <v>0.13163610752713628</v>
      </c>
      <c r="E571">
        <v>0.42324013683550149</v>
      </c>
      <c r="F571">
        <v>0.35510943289023567</v>
      </c>
      <c r="G571">
        <v>0.86735644701175407</v>
      </c>
      <c r="H571">
        <v>12.730576297111133</v>
      </c>
      <c r="I571">
        <v>3.5233574151255526E-2</v>
      </c>
      <c r="J571">
        <v>0</v>
      </c>
      <c r="K571">
        <v>0</v>
      </c>
    </row>
    <row r="572" spans="1:11" x14ac:dyDescent="0.3">
      <c r="A572" t="s">
        <v>202</v>
      </c>
      <c r="B572">
        <v>2009</v>
      </c>
      <c r="C572">
        <v>2.2900880955472467E-2</v>
      </c>
      <c r="D572">
        <v>3.6677501634048058E-2</v>
      </c>
      <c r="E572">
        <v>0.27538496411696484</v>
      </c>
      <c r="F572">
        <v>0.50718651035557327</v>
      </c>
      <c r="G572">
        <v>0.90404561689990826</v>
      </c>
      <c r="H572">
        <v>13.026717741340844</v>
      </c>
      <c r="I572">
        <v>2.5516386624341584E-2</v>
      </c>
      <c r="J572">
        <v>9.3509363040363731E-3</v>
      </c>
      <c r="K572">
        <v>0</v>
      </c>
    </row>
    <row r="573" spans="1:11" x14ac:dyDescent="0.3">
      <c r="A573" t="s">
        <v>202</v>
      </c>
      <c r="B573">
        <v>2010</v>
      </c>
      <c r="C573">
        <v>4.5081400465145513E-2</v>
      </c>
      <c r="D573">
        <v>0.15525803004588598</v>
      </c>
      <c r="E573">
        <v>0.22167955245458545</v>
      </c>
      <c r="F573">
        <v>0.51857439185366772</v>
      </c>
      <c r="G573">
        <v>0.91345590546231703</v>
      </c>
      <c r="H573">
        <v>12.670372539359231</v>
      </c>
      <c r="I573">
        <v>9.1293950657167083E-2</v>
      </c>
      <c r="J573">
        <v>0</v>
      </c>
      <c r="K573">
        <v>0</v>
      </c>
    </row>
    <row r="574" spans="1:11" x14ac:dyDescent="0.3">
      <c r="A574" t="s">
        <v>203</v>
      </c>
      <c r="B574">
        <v>2007</v>
      </c>
      <c r="C574">
        <v>4.4699590688052982E-4</v>
      </c>
      <c r="D574">
        <v>4.5509394931908288E-2</v>
      </c>
      <c r="E574">
        <v>-0.61607862317242812</v>
      </c>
      <c r="F574">
        <v>0.10224179471863311</v>
      </c>
      <c r="G574">
        <v>0.84465809824288507</v>
      </c>
      <c r="H574">
        <v>13.120132891719573</v>
      </c>
      <c r="I574">
        <v>3.882002924495391E-2</v>
      </c>
      <c r="J574">
        <v>0</v>
      </c>
      <c r="K574">
        <v>0</v>
      </c>
    </row>
    <row r="575" spans="1:11" x14ac:dyDescent="0.3">
      <c r="A575" t="s">
        <v>203</v>
      </c>
      <c r="B575">
        <v>2009</v>
      </c>
      <c r="C575">
        <v>2.3920334884688387E-4</v>
      </c>
      <c r="D575">
        <v>0.11810405345674839</v>
      </c>
      <c r="E575">
        <v>-1.244372221211097</v>
      </c>
      <c r="F575">
        <v>0.24955669379371312</v>
      </c>
      <c r="G575">
        <v>0.9182496554951769</v>
      </c>
      <c r="H575">
        <v>12.166837932278892</v>
      </c>
      <c r="I575">
        <v>2.3499054466616185E-2</v>
      </c>
      <c r="J575">
        <v>0</v>
      </c>
      <c r="K575">
        <v>0</v>
      </c>
    </row>
    <row r="576" spans="1:11" x14ac:dyDescent="0.3">
      <c r="A576" t="s">
        <v>203</v>
      </c>
      <c r="B576">
        <v>2010</v>
      </c>
      <c r="C576">
        <v>1.2476295039425091E-3</v>
      </c>
      <c r="D576">
        <v>0.13431147486442427</v>
      </c>
      <c r="E576">
        <v>-1.3704572423506449</v>
      </c>
      <c r="F576">
        <v>9.8435195351055216E-2</v>
      </c>
      <c r="G576">
        <v>1.3050925463840926</v>
      </c>
      <c r="H576">
        <v>12.102610327155428</v>
      </c>
      <c r="I576">
        <v>4.3619319622826905E-3</v>
      </c>
      <c r="J576">
        <v>0</v>
      </c>
      <c r="K576">
        <v>0</v>
      </c>
    </row>
    <row r="577" spans="1:11" x14ac:dyDescent="0.3">
      <c r="A577" t="s">
        <v>204</v>
      </c>
      <c r="B577">
        <v>2007</v>
      </c>
      <c r="C577">
        <v>8.6571421628770049E-4</v>
      </c>
      <c r="D577">
        <v>9.1198997715453492E-2</v>
      </c>
      <c r="E577">
        <v>0.13266431993041339</v>
      </c>
      <c r="F577">
        <v>0.22330031510844287</v>
      </c>
      <c r="G577">
        <v>1.6373913584258664</v>
      </c>
      <c r="H577">
        <v>14.702600259588852</v>
      </c>
      <c r="I577">
        <v>1.036433907411112E-2</v>
      </c>
      <c r="J577">
        <v>1.747778981760283E-2</v>
      </c>
      <c r="K577">
        <v>0</v>
      </c>
    </row>
    <row r="578" spans="1:11" x14ac:dyDescent="0.3">
      <c r="A578" t="s">
        <v>204</v>
      </c>
      <c r="B578">
        <v>2009</v>
      </c>
      <c r="C578">
        <v>6.6471014305225244E-4</v>
      </c>
      <c r="D578">
        <v>0.11115925041864236</v>
      </c>
      <c r="E578">
        <v>-1.1085480968383233E-2</v>
      </c>
      <c r="F578">
        <v>0.39982954808142729</v>
      </c>
      <c r="G578">
        <v>1.0311526760107972</v>
      </c>
      <c r="H578">
        <v>15.050718331793739</v>
      </c>
      <c r="I578">
        <v>1.5705255995721468E-2</v>
      </c>
      <c r="J578">
        <v>1.9631338844282489E-2</v>
      </c>
      <c r="K578">
        <v>0</v>
      </c>
    </row>
    <row r="579" spans="1:11" x14ac:dyDescent="0.3">
      <c r="A579" t="s">
        <v>204</v>
      </c>
      <c r="B579">
        <v>2010</v>
      </c>
      <c r="C579">
        <v>6.3014663303097242E-4</v>
      </c>
      <c r="D579">
        <v>0.172072140142222</v>
      </c>
      <c r="E579">
        <v>0.16580770612589135</v>
      </c>
      <c r="F579">
        <v>0.18329322992557401</v>
      </c>
      <c r="G579">
        <v>0.97258025932773806</v>
      </c>
      <c r="H579">
        <v>15.02400124128827</v>
      </c>
      <c r="I579">
        <v>1.2611269140769474E-3</v>
      </c>
      <c r="J579">
        <v>2.8803972731076412E-2</v>
      </c>
      <c r="K579">
        <v>0</v>
      </c>
    </row>
    <row r="580" spans="1:11" x14ac:dyDescent="0.3">
      <c r="A580" t="s">
        <v>205</v>
      </c>
      <c r="B580">
        <v>2007</v>
      </c>
      <c r="C580">
        <v>4.1607054220561184E-4</v>
      </c>
      <c r="D580">
        <v>1.6985897398464189E-2</v>
      </c>
      <c r="E580">
        <v>0.52793877193494698</v>
      </c>
      <c r="F580">
        <v>0.18245788198195567</v>
      </c>
      <c r="G580">
        <v>0.5756080469502759</v>
      </c>
      <c r="H580">
        <v>12.520854187863673</v>
      </c>
      <c r="I580">
        <v>1.0006574954267095E-2</v>
      </c>
      <c r="J580">
        <v>0</v>
      </c>
      <c r="K580">
        <v>0</v>
      </c>
    </row>
    <row r="581" spans="1:11" x14ac:dyDescent="0.3">
      <c r="A581" t="s">
        <v>205</v>
      </c>
      <c r="B581">
        <v>2009</v>
      </c>
      <c r="C581">
        <v>1.891175644866214E-3</v>
      </c>
      <c r="D581">
        <v>0.13313814837553256</v>
      </c>
      <c r="E581">
        <v>0.4218771692216563</v>
      </c>
      <c r="F581">
        <v>0.27128035367761161</v>
      </c>
      <c r="G581">
        <v>0.48839256240416862</v>
      </c>
      <c r="H581">
        <v>12.688921544909208</v>
      </c>
      <c r="I581">
        <v>4.2257326110314353E-2</v>
      </c>
      <c r="J581">
        <v>0</v>
      </c>
      <c r="K581">
        <v>0</v>
      </c>
    </row>
    <row r="582" spans="1:11" x14ac:dyDescent="0.3">
      <c r="A582" t="s">
        <v>206</v>
      </c>
      <c r="B582">
        <v>2007</v>
      </c>
      <c r="C582">
        <v>3.9579010085407464E-2</v>
      </c>
      <c r="D582">
        <v>0.12482420510320898</v>
      </c>
      <c r="E582">
        <v>-6.7669699342367717E-2</v>
      </c>
      <c r="F582">
        <v>0.29281575849027286</v>
      </c>
      <c r="G582">
        <v>1.6753667552604552</v>
      </c>
      <c r="H582">
        <v>15.669394856467942</v>
      </c>
      <c r="I582">
        <v>1.5394721278836069E-2</v>
      </c>
      <c r="J582">
        <v>1.5982906290806384E-2</v>
      </c>
      <c r="K582">
        <v>0</v>
      </c>
    </row>
    <row r="583" spans="1:11" x14ac:dyDescent="0.3">
      <c r="A583" t="s">
        <v>206</v>
      </c>
      <c r="B583">
        <v>2009</v>
      </c>
      <c r="C583">
        <v>2.9086625669618293E-2</v>
      </c>
      <c r="D583">
        <v>0.13849323437957778</v>
      </c>
      <c r="E583">
        <v>-1.976415276705357E-2</v>
      </c>
      <c r="F583">
        <v>0.32885472567069607</v>
      </c>
      <c r="G583">
        <v>0.94579546999523711</v>
      </c>
      <c r="H583">
        <v>16.129372922817911</v>
      </c>
      <c r="I583">
        <v>1.6339828033335325E-2</v>
      </c>
      <c r="J583">
        <v>1.5135051863312982E-2</v>
      </c>
      <c r="K583">
        <v>0</v>
      </c>
    </row>
    <row r="584" spans="1:11" x14ac:dyDescent="0.3">
      <c r="A584" t="s">
        <v>206</v>
      </c>
      <c r="B584">
        <v>2010</v>
      </c>
      <c r="C584">
        <v>1.3866503311492079E-2</v>
      </c>
      <c r="D584">
        <v>0.10136504120379522</v>
      </c>
      <c r="E584">
        <v>-3.3851745480171683E-2</v>
      </c>
      <c r="F584">
        <v>0.40570923231538308</v>
      </c>
      <c r="G584">
        <v>0.8392987731485837</v>
      </c>
      <c r="H584">
        <v>16.148669277896872</v>
      </c>
      <c r="I584">
        <v>2.2931507551342267E-3</v>
      </c>
      <c r="J584">
        <v>4.9486647440879928E-3</v>
      </c>
      <c r="K584">
        <v>0</v>
      </c>
    </row>
    <row r="585" spans="1:11" x14ac:dyDescent="0.3">
      <c r="A585" t="s">
        <v>207</v>
      </c>
      <c r="B585">
        <v>2007</v>
      </c>
      <c r="C585">
        <v>3.1322552053462717E-2</v>
      </c>
      <c r="D585">
        <v>1.5751750450071919E-2</v>
      </c>
      <c r="E585">
        <v>0.23643267016092179</v>
      </c>
      <c r="F585">
        <v>8.1224563652590481E-2</v>
      </c>
      <c r="G585">
        <v>1.0293781186840418</v>
      </c>
      <c r="H585">
        <v>12.694833625568744</v>
      </c>
      <c r="I585">
        <v>2.0625396475054018E-2</v>
      </c>
      <c r="J585">
        <v>0</v>
      </c>
      <c r="K585">
        <v>0</v>
      </c>
    </row>
    <row r="586" spans="1:11" x14ac:dyDescent="0.3">
      <c r="A586" t="s">
        <v>207</v>
      </c>
      <c r="B586">
        <v>2009</v>
      </c>
      <c r="C586">
        <v>4.1887671570826228E-2</v>
      </c>
      <c r="D586">
        <v>0.13748514174217277</v>
      </c>
      <c r="E586">
        <v>-2.084501435363775E-2</v>
      </c>
      <c r="F586">
        <v>8.6909594509733554E-2</v>
      </c>
      <c r="G586">
        <v>0.95096379631290939</v>
      </c>
      <c r="H586">
        <v>13.477808765749295</v>
      </c>
      <c r="I586">
        <v>3.864053106011172E-2</v>
      </c>
      <c r="J586">
        <v>1.1702980622589038E-2</v>
      </c>
      <c r="K586">
        <v>0</v>
      </c>
    </row>
    <row r="587" spans="1:11" x14ac:dyDescent="0.3">
      <c r="A587" t="s">
        <v>207</v>
      </c>
      <c r="B587">
        <v>2010</v>
      </c>
      <c r="C587">
        <v>4.9526186191772972E-2</v>
      </c>
      <c r="D587">
        <v>4.5255820965419025E-2</v>
      </c>
      <c r="E587">
        <v>-0.12287938517005013</v>
      </c>
      <c r="F587">
        <v>0.10061874320392865</v>
      </c>
      <c r="G587">
        <v>0.91730914600179836</v>
      </c>
      <c r="H587">
        <v>13.748604436271142</v>
      </c>
      <c r="I587">
        <v>3.0939232231423947E-2</v>
      </c>
      <c r="J587">
        <v>0</v>
      </c>
      <c r="K587">
        <v>0</v>
      </c>
    </row>
    <row r="588" spans="1:11" x14ac:dyDescent="0.3">
      <c r="A588" t="s">
        <v>208</v>
      </c>
      <c r="B588">
        <v>2007</v>
      </c>
      <c r="C588">
        <v>7.1718081513172716E-2</v>
      </c>
      <c r="D588">
        <v>8.3926761990542664E-2</v>
      </c>
      <c r="E588">
        <v>0.22906111611498911</v>
      </c>
      <c r="F588">
        <v>0.24495702919762816</v>
      </c>
      <c r="G588">
        <v>1.348348251144637</v>
      </c>
      <c r="H588">
        <v>12.962983046759938</v>
      </c>
      <c r="I588">
        <v>8.3825608258031925E-2</v>
      </c>
      <c r="J588">
        <v>4.2220220671020041E-2</v>
      </c>
      <c r="K588">
        <v>0</v>
      </c>
    </row>
    <row r="589" spans="1:11" x14ac:dyDescent="0.3">
      <c r="A589" t="s">
        <v>208</v>
      </c>
      <c r="B589">
        <v>2009</v>
      </c>
      <c r="C589">
        <v>3.4390763739343341E-2</v>
      </c>
      <c r="D589">
        <v>0.28127489011475265</v>
      </c>
      <c r="E589">
        <v>0.41151656391043984</v>
      </c>
      <c r="F589">
        <v>0.11161280568748341</v>
      </c>
      <c r="G589">
        <v>1.2459472071447535</v>
      </c>
      <c r="H589">
        <v>13.20372951664816</v>
      </c>
      <c r="I589">
        <v>1.1584972271294014E-2</v>
      </c>
      <c r="J589">
        <v>8.29670491754919E-2</v>
      </c>
      <c r="K589">
        <v>0</v>
      </c>
    </row>
    <row r="590" spans="1:11" x14ac:dyDescent="0.3">
      <c r="A590" t="s">
        <v>208</v>
      </c>
      <c r="B590">
        <v>2010</v>
      </c>
      <c r="C590">
        <v>4.9067292632155354E-2</v>
      </c>
      <c r="D590">
        <v>0.2517927388540161</v>
      </c>
      <c r="E590">
        <v>0.51301321050236948</v>
      </c>
      <c r="F590">
        <v>1.3327266943948977E-3</v>
      </c>
      <c r="G590">
        <v>0.8852825702701288</v>
      </c>
      <c r="H590">
        <v>13.115793845205634</v>
      </c>
      <c r="I590">
        <v>1.1169760067181067E-2</v>
      </c>
      <c r="J590">
        <v>9.0593204301767982E-2</v>
      </c>
      <c r="K590">
        <v>0</v>
      </c>
    </row>
    <row r="591" spans="1:11" x14ac:dyDescent="0.3">
      <c r="A591" t="s">
        <v>209</v>
      </c>
      <c r="B591">
        <v>2007</v>
      </c>
      <c r="C591">
        <v>2.84934680890475E-2</v>
      </c>
      <c r="D591">
        <v>0.21059179036506143</v>
      </c>
      <c r="E591">
        <v>0.6543392077968625</v>
      </c>
      <c r="F591">
        <v>0</v>
      </c>
      <c r="G591">
        <v>1.8941725204879176</v>
      </c>
      <c r="H591">
        <v>14.41694478095101</v>
      </c>
      <c r="I591">
        <v>2.2928080305020679E-2</v>
      </c>
      <c r="J591">
        <v>5.8742260515779285E-2</v>
      </c>
      <c r="K591">
        <v>0</v>
      </c>
    </row>
    <row r="592" spans="1:11" x14ac:dyDescent="0.3">
      <c r="A592" t="s">
        <v>209</v>
      </c>
      <c r="B592">
        <v>2009</v>
      </c>
      <c r="C592">
        <v>2.4545994130665005E-2</v>
      </c>
      <c r="D592">
        <v>4.4846291453383404E-2</v>
      </c>
      <c r="E592">
        <v>0.54656977168534748</v>
      </c>
      <c r="F592">
        <v>0</v>
      </c>
      <c r="G592">
        <v>12.955992381707835</v>
      </c>
      <c r="H592">
        <v>14.188654933209547</v>
      </c>
      <c r="I592">
        <v>3.9399829699429834E-3</v>
      </c>
      <c r="J592">
        <v>0</v>
      </c>
      <c r="K592">
        <v>0</v>
      </c>
    </row>
    <row r="593" spans="1:11" x14ac:dyDescent="0.3">
      <c r="A593" t="s">
        <v>209</v>
      </c>
      <c r="B593">
        <v>2010</v>
      </c>
      <c r="C593">
        <v>0</v>
      </c>
      <c r="D593">
        <v>5.3119627022815231E-2</v>
      </c>
      <c r="E593">
        <v>0.54550617872252738</v>
      </c>
      <c r="F593">
        <v>0</v>
      </c>
      <c r="G593">
        <v>1.3134079888725039</v>
      </c>
      <c r="H593">
        <v>14.255641148101232</v>
      </c>
      <c r="I593">
        <v>4.9058016374296604E-2</v>
      </c>
      <c r="J593">
        <v>9.1544262062836865E-3</v>
      </c>
      <c r="K593">
        <v>0</v>
      </c>
    </row>
    <row r="594" spans="1:11" x14ac:dyDescent="0.3">
      <c r="A594" t="s">
        <v>210</v>
      </c>
      <c r="B594">
        <v>2007</v>
      </c>
      <c r="C594">
        <v>8.5739805855804454E-3</v>
      </c>
      <c r="D594">
        <v>2.8566819206660869E-2</v>
      </c>
      <c r="E594">
        <v>0.36008357565288562</v>
      </c>
      <c r="F594">
        <v>0.15652334727572489</v>
      </c>
      <c r="G594">
        <v>0.71621265360567554</v>
      </c>
      <c r="H594">
        <v>12.445644510089849</v>
      </c>
      <c r="I594">
        <v>6.7969368689989561E-3</v>
      </c>
      <c r="J594">
        <v>0</v>
      </c>
      <c r="K594">
        <v>0</v>
      </c>
    </row>
    <row r="595" spans="1:11" x14ac:dyDescent="0.3">
      <c r="A595" t="s">
        <v>210</v>
      </c>
      <c r="B595">
        <v>2008</v>
      </c>
      <c r="C595">
        <v>3.3605890663127701E-3</v>
      </c>
      <c r="D595">
        <v>4.9295774647887321E-2</v>
      </c>
      <c r="E595">
        <v>0.3259271943719052</v>
      </c>
      <c r="F595">
        <v>0.17261726386688928</v>
      </c>
      <c r="G595">
        <v>0.61547868772921221</v>
      </c>
      <c r="H595">
        <v>12.543644277594687</v>
      </c>
      <c r="I595">
        <v>3.048150224168808E-5</v>
      </c>
      <c r="J595">
        <v>3.5675043166802235E-2</v>
      </c>
      <c r="K595">
        <v>0</v>
      </c>
    </row>
    <row r="596" spans="1:11" x14ac:dyDescent="0.3">
      <c r="A596" t="s">
        <v>210</v>
      </c>
      <c r="B596">
        <v>2009</v>
      </c>
      <c r="C596">
        <v>4.4915507595062855E-3</v>
      </c>
      <c r="D596">
        <v>5.2393121022735363E-2</v>
      </c>
      <c r="E596">
        <v>0.2567942713152912</v>
      </c>
      <c r="F596">
        <v>9.6087866406617026E-2</v>
      </c>
      <c r="G596">
        <v>0.66841535811397579</v>
      </c>
      <c r="H596">
        <v>12.546010299222964</v>
      </c>
      <c r="I596">
        <v>4.2429291942027714E-3</v>
      </c>
      <c r="J596">
        <v>0</v>
      </c>
      <c r="K596">
        <v>0</v>
      </c>
    </row>
    <row r="597" spans="1:11" x14ac:dyDescent="0.3">
      <c r="A597" t="s">
        <v>210</v>
      </c>
      <c r="B597">
        <v>2010</v>
      </c>
      <c r="C597">
        <v>1.0763129382423289E-2</v>
      </c>
      <c r="D597">
        <v>6.3348801711743022E-2</v>
      </c>
      <c r="E597">
        <v>0.33020558633331287</v>
      </c>
      <c r="F597">
        <v>0.35858699429646135</v>
      </c>
      <c r="G597">
        <v>0.70297527785159897</v>
      </c>
      <c r="H597">
        <v>12.589639732537123</v>
      </c>
      <c r="I597">
        <v>1.6526988159675585E-3</v>
      </c>
      <c r="J597">
        <v>0</v>
      </c>
      <c r="K597">
        <v>0</v>
      </c>
    </row>
    <row r="598" spans="1:11" x14ac:dyDescent="0.3">
      <c r="A598" t="s">
        <v>211</v>
      </c>
      <c r="B598">
        <v>2007</v>
      </c>
      <c r="C598">
        <v>0.13225389493174358</v>
      </c>
      <c r="D598">
        <v>0.28991073731013861</v>
      </c>
      <c r="E598">
        <v>0.30094697788747637</v>
      </c>
      <c r="F598">
        <v>0</v>
      </c>
      <c r="G598">
        <v>2.4399071868771727</v>
      </c>
      <c r="H598">
        <v>14.443057854340106</v>
      </c>
      <c r="I598">
        <v>5.7231652401083938E-3</v>
      </c>
      <c r="J598">
        <v>3.2290253500913767E-2</v>
      </c>
      <c r="K598">
        <v>0</v>
      </c>
    </row>
    <row r="599" spans="1:11" x14ac:dyDescent="0.3">
      <c r="A599" t="s">
        <v>211</v>
      </c>
      <c r="B599">
        <v>2009</v>
      </c>
      <c r="C599">
        <v>0.1427932810081893</v>
      </c>
      <c r="D599">
        <v>0.27716413941360052</v>
      </c>
      <c r="E599">
        <v>0.44273350118739258</v>
      </c>
      <c r="F599">
        <v>0</v>
      </c>
      <c r="G599">
        <v>2.6842718393702905</v>
      </c>
      <c r="H599">
        <v>14.988050588259846</v>
      </c>
      <c r="I599">
        <v>4.9014804280435448E-3</v>
      </c>
      <c r="J599">
        <v>2.8085061329266695E-2</v>
      </c>
      <c r="K599">
        <v>0</v>
      </c>
    </row>
    <row r="600" spans="1:11" x14ac:dyDescent="0.3">
      <c r="A600" t="s">
        <v>211</v>
      </c>
      <c r="B600">
        <v>2010</v>
      </c>
      <c r="C600">
        <v>0.12904777294980907</v>
      </c>
      <c r="D600">
        <v>0.30538633724757902</v>
      </c>
      <c r="E600">
        <v>0.51673549514609596</v>
      </c>
      <c r="F600">
        <v>0</v>
      </c>
      <c r="G600">
        <v>1.5909908667600339</v>
      </c>
      <c r="H600">
        <v>15.245115813721291</v>
      </c>
      <c r="I600">
        <v>3.3512599261071217E-2</v>
      </c>
      <c r="J600">
        <v>5.0676913132473876E-2</v>
      </c>
      <c r="K600">
        <v>0</v>
      </c>
    </row>
    <row r="601" spans="1:11" x14ac:dyDescent="0.3">
      <c r="A601" t="s">
        <v>212</v>
      </c>
      <c r="B601">
        <v>2007</v>
      </c>
      <c r="C601">
        <v>7.8787223177868449E-3</v>
      </c>
      <c r="D601">
        <v>0.19164274948435564</v>
      </c>
      <c r="E601">
        <v>0.47854203923028338</v>
      </c>
      <c r="F601">
        <v>0.14777283794563364</v>
      </c>
      <c r="G601">
        <v>1.2862568371057816</v>
      </c>
      <c r="H601">
        <v>15.362235694905786</v>
      </c>
      <c r="I601">
        <v>1.8109387156783174E-2</v>
      </c>
      <c r="J601">
        <v>2.9808780370633631E-2</v>
      </c>
      <c r="K601">
        <v>0</v>
      </c>
    </row>
    <row r="602" spans="1:11" x14ac:dyDescent="0.3">
      <c r="A602" t="s">
        <v>212</v>
      </c>
      <c r="B602">
        <v>2008</v>
      </c>
      <c r="C602">
        <v>1.6916699850826028E-3</v>
      </c>
      <c r="D602">
        <v>0.16484611146988976</v>
      </c>
      <c r="E602">
        <v>0.39785296769547879</v>
      </c>
      <c r="F602">
        <v>0.26954106823419693</v>
      </c>
      <c r="G602">
        <v>0.56261466485374556</v>
      </c>
      <c r="H602">
        <v>15.393806555695313</v>
      </c>
      <c r="I602">
        <v>3.5910366264094259E-2</v>
      </c>
      <c r="J602">
        <v>3.1770548559945037E-2</v>
      </c>
      <c r="K602">
        <v>0</v>
      </c>
    </row>
    <row r="603" spans="1:11" x14ac:dyDescent="0.3">
      <c r="A603" t="s">
        <v>212</v>
      </c>
      <c r="B603">
        <v>2009</v>
      </c>
      <c r="C603">
        <v>9.9482112064774755E-4</v>
      </c>
      <c r="D603">
        <v>6.7208760955575625E-2</v>
      </c>
      <c r="E603">
        <v>8.7353648585680774E-2</v>
      </c>
      <c r="F603">
        <v>0.23014720903942867</v>
      </c>
      <c r="G603">
        <v>0.74138866609707721</v>
      </c>
      <c r="H603">
        <v>15.242364399150516</v>
      </c>
      <c r="I603">
        <v>4.6740481721188359E-2</v>
      </c>
      <c r="J603">
        <v>0</v>
      </c>
      <c r="K603">
        <v>0</v>
      </c>
    </row>
    <row r="604" spans="1:11" x14ac:dyDescent="0.3">
      <c r="A604" t="s">
        <v>212</v>
      </c>
      <c r="B604">
        <v>2010</v>
      </c>
      <c r="C604">
        <v>3.7316288420871563E-2</v>
      </c>
      <c r="D604">
        <v>0.18087746813834099</v>
      </c>
      <c r="E604">
        <v>7.8605133208834707E-2</v>
      </c>
      <c r="F604">
        <v>0.15941054577347175</v>
      </c>
      <c r="G604">
        <v>0.68823309600143667</v>
      </c>
      <c r="H604">
        <v>15.403690716919415</v>
      </c>
      <c r="I604">
        <v>4.7411276461199747E-4</v>
      </c>
      <c r="J604">
        <v>3.4603836331086268E-2</v>
      </c>
      <c r="K604">
        <v>0</v>
      </c>
    </row>
    <row r="605" spans="1:11" x14ac:dyDescent="0.3">
      <c r="A605" t="s">
        <v>213</v>
      </c>
      <c r="B605">
        <v>2007</v>
      </c>
      <c r="C605">
        <v>6.9478377397821905E-3</v>
      </c>
      <c r="D605">
        <v>6.8940809511526258E-2</v>
      </c>
      <c r="E605">
        <v>4.3254291979752772E-2</v>
      </c>
      <c r="F605">
        <v>0.34384981094247746</v>
      </c>
      <c r="G605">
        <v>1.1675876623626282</v>
      </c>
      <c r="H605">
        <v>14.173546475358346</v>
      </c>
      <c r="I605">
        <v>1.0967731186184125E-2</v>
      </c>
      <c r="J605">
        <v>2.257365693661802E-2</v>
      </c>
      <c r="K605">
        <v>0</v>
      </c>
    </row>
    <row r="606" spans="1:11" x14ac:dyDescent="0.3">
      <c r="A606" t="s">
        <v>213</v>
      </c>
      <c r="B606">
        <v>2009</v>
      </c>
      <c r="C606">
        <v>5.5180042741811931E-4</v>
      </c>
      <c r="D606">
        <v>7.2128755164202821E-2</v>
      </c>
      <c r="E606">
        <v>0.10531468204610195</v>
      </c>
      <c r="F606">
        <v>0.34547186077490954</v>
      </c>
      <c r="G606">
        <v>0.90867151125802703</v>
      </c>
      <c r="H606">
        <v>14.247560471076914</v>
      </c>
      <c r="I606">
        <v>4.2899232609583497E-3</v>
      </c>
      <c r="J606">
        <v>0</v>
      </c>
      <c r="K606">
        <v>0</v>
      </c>
    </row>
    <row r="607" spans="1:11" x14ac:dyDescent="0.3">
      <c r="A607" t="s">
        <v>213</v>
      </c>
      <c r="B607">
        <v>2010</v>
      </c>
      <c r="C607">
        <v>2.642617624683068E-2</v>
      </c>
      <c r="D607">
        <v>5.69552560976797E-2</v>
      </c>
      <c r="E607">
        <v>0.11642997317118288</v>
      </c>
      <c r="F607">
        <v>0.20031627128120466</v>
      </c>
      <c r="G607">
        <v>0.77633100279136535</v>
      </c>
      <c r="H607">
        <v>14.178767989716176</v>
      </c>
      <c r="I607">
        <v>1.3893461500310497E-3</v>
      </c>
      <c r="J607">
        <v>0</v>
      </c>
      <c r="K607">
        <v>0</v>
      </c>
    </row>
    <row r="608" spans="1:11" x14ac:dyDescent="0.3">
      <c r="A608" t="s">
        <v>214</v>
      </c>
      <c r="B608">
        <v>2007</v>
      </c>
      <c r="C608">
        <v>1.2229922543823889E-3</v>
      </c>
      <c r="D608">
        <v>3.3718297048087868E-2</v>
      </c>
      <c r="E608">
        <v>0.54171723193729981</v>
      </c>
      <c r="F608">
        <v>0</v>
      </c>
      <c r="G608">
        <v>0.74805475894799101</v>
      </c>
      <c r="H608">
        <v>12.958358638756268</v>
      </c>
      <c r="I608">
        <v>1.6895465120306409E-2</v>
      </c>
      <c r="J608">
        <v>0</v>
      </c>
      <c r="K608">
        <v>0</v>
      </c>
    </row>
    <row r="609" spans="1:11" x14ac:dyDescent="0.3">
      <c r="A609" t="s">
        <v>214</v>
      </c>
      <c r="B609">
        <v>2009</v>
      </c>
      <c r="C609">
        <v>5.1651024862751438E-3</v>
      </c>
      <c r="D609">
        <v>0.30077094372625252</v>
      </c>
      <c r="E609">
        <v>0.47577443465351626</v>
      </c>
      <c r="F609">
        <v>0</v>
      </c>
      <c r="G609">
        <v>0.41487539226998466</v>
      </c>
      <c r="H609">
        <v>13.430340602900392</v>
      </c>
      <c r="I609">
        <v>0.12025585298051833</v>
      </c>
      <c r="J609">
        <v>0</v>
      </c>
      <c r="K609">
        <v>0</v>
      </c>
    </row>
    <row r="610" spans="1:11" x14ac:dyDescent="0.3">
      <c r="A610" t="s">
        <v>214</v>
      </c>
      <c r="B610">
        <v>2010</v>
      </c>
      <c r="C610">
        <v>1.0072360789293332E-3</v>
      </c>
      <c r="D610">
        <v>1.9054414482838417E-2</v>
      </c>
      <c r="E610">
        <v>0.38206882433743444</v>
      </c>
      <c r="F610">
        <v>0</v>
      </c>
      <c r="G610">
        <v>0.19343973346070892</v>
      </c>
      <c r="H610">
        <v>13.421166382416386</v>
      </c>
      <c r="I610">
        <v>4.2810937636480945E-2</v>
      </c>
      <c r="J610">
        <v>0</v>
      </c>
      <c r="K610">
        <v>0</v>
      </c>
    </row>
    <row r="611" spans="1:11" x14ac:dyDescent="0.3">
      <c r="A611" t="s">
        <v>215</v>
      </c>
      <c r="B611">
        <v>2007</v>
      </c>
      <c r="C611">
        <v>1.7293979176705851E-3</v>
      </c>
      <c r="D611">
        <v>3.9802456864394493E-2</v>
      </c>
      <c r="E611">
        <v>-4.7609932900480142E-2</v>
      </c>
      <c r="F611">
        <v>0.17316086366915553</v>
      </c>
      <c r="G611">
        <v>0.94882649997285573</v>
      </c>
      <c r="H611">
        <v>14.39590832540668</v>
      </c>
      <c r="I611">
        <v>1.1591580201239363E-2</v>
      </c>
      <c r="J611">
        <v>0</v>
      </c>
      <c r="K611">
        <v>0</v>
      </c>
    </row>
    <row r="612" spans="1:11" x14ac:dyDescent="0.3">
      <c r="A612" t="s">
        <v>215</v>
      </c>
      <c r="B612">
        <v>2008</v>
      </c>
      <c r="C612">
        <v>2.0218829397500717E-2</v>
      </c>
      <c r="D612">
        <v>8.2907002518442782E-2</v>
      </c>
      <c r="E612">
        <v>-9.4901072315285426E-2</v>
      </c>
      <c r="F612">
        <v>0.22605613643477165</v>
      </c>
      <c r="G612">
        <v>0.87431505819373845</v>
      </c>
      <c r="H612">
        <v>14.400824167383995</v>
      </c>
      <c r="I612">
        <v>9.7247530925664745E-3</v>
      </c>
      <c r="J612">
        <v>0</v>
      </c>
      <c r="K612">
        <v>0</v>
      </c>
    </row>
    <row r="613" spans="1:11" x14ac:dyDescent="0.3">
      <c r="A613" t="s">
        <v>215</v>
      </c>
      <c r="B613">
        <v>2009</v>
      </c>
      <c r="C613">
        <v>4.4740940644050496E-4</v>
      </c>
      <c r="D613">
        <v>0.11110155810188886</v>
      </c>
      <c r="E613">
        <v>-0.16174205998900371</v>
      </c>
      <c r="F613">
        <v>0.22332519928064015</v>
      </c>
      <c r="G613">
        <v>0.8438131657747685</v>
      </c>
      <c r="H613">
        <v>14.417675579312229</v>
      </c>
      <c r="I613">
        <v>1.7416605469957231E-2</v>
      </c>
      <c r="J613">
        <v>0</v>
      </c>
      <c r="K613">
        <v>0</v>
      </c>
    </row>
    <row r="614" spans="1:11" x14ac:dyDescent="0.3">
      <c r="A614" t="s">
        <v>215</v>
      </c>
      <c r="B614">
        <v>2010</v>
      </c>
      <c r="C614">
        <v>1.0967756941623981E-3</v>
      </c>
      <c r="D614">
        <v>6.3672033651153759E-2</v>
      </c>
      <c r="E614">
        <v>-0.23118409430720335</v>
      </c>
      <c r="F614">
        <v>0.46202168144838801</v>
      </c>
      <c r="G614">
        <v>0.81209660094958469</v>
      </c>
      <c r="H614">
        <v>14.332357815249487</v>
      </c>
      <c r="I614">
        <v>1.165389642156796E-2</v>
      </c>
      <c r="J614">
        <v>0</v>
      </c>
      <c r="K614">
        <v>0</v>
      </c>
    </row>
    <row r="615" spans="1:11" x14ac:dyDescent="0.3">
      <c r="A615" t="s">
        <v>216</v>
      </c>
      <c r="B615">
        <v>2007</v>
      </c>
      <c r="C615">
        <v>2.9959896763474218E-2</v>
      </c>
      <c r="D615">
        <v>8.5631329917109658E-2</v>
      </c>
      <c r="E615">
        <v>-0.17393759748347579</v>
      </c>
      <c r="F615">
        <v>0.314200735176412</v>
      </c>
      <c r="G615">
        <v>0.94170409298190383</v>
      </c>
      <c r="H615">
        <v>14.334550154500713</v>
      </c>
      <c r="I615">
        <v>1.2273146125254635E-2</v>
      </c>
      <c r="J615">
        <v>0</v>
      </c>
      <c r="K615">
        <v>0</v>
      </c>
    </row>
    <row r="616" spans="1:11" x14ac:dyDescent="0.3">
      <c r="A616" t="s">
        <v>216</v>
      </c>
      <c r="B616">
        <v>2008</v>
      </c>
      <c r="C616">
        <v>2.0044645245883924E-2</v>
      </c>
      <c r="D616">
        <v>5.5907858529532929E-2</v>
      </c>
      <c r="E616">
        <v>-0.19591439375402933</v>
      </c>
      <c r="F616">
        <v>0.33547416482376452</v>
      </c>
      <c r="G616">
        <v>0.82461935434267741</v>
      </c>
      <c r="H616">
        <v>14.470412109821542</v>
      </c>
      <c r="I616">
        <v>1.1238137367493911E-2</v>
      </c>
      <c r="J616">
        <v>0</v>
      </c>
      <c r="K616">
        <v>0</v>
      </c>
    </row>
    <row r="617" spans="1:11" x14ac:dyDescent="0.3">
      <c r="A617" t="s">
        <v>216</v>
      </c>
      <c r="B617">
        <v>2009</v>
      </c>
      <c r="C617">
        <v>2.7367897148961443E-2</v>
      </c>
      <c r="D617">
        <v>8.8396482237503127E-2</v>
      </c>
      <c r="E617">
        <v>-5.6032824481654822E-2</v>
      </c>
      <c r="F617">
        <v>0.51106070736235043</v>
      </c>
      <c r="G617">
        <v>0.83427287871600553</v>
      </c>
      <c r="H617">
        <v>14.577164625273049</v>
      </c>
      <c r="I617">
        <v>6.1621937873042459E-3</v>
      </c>
      <c r="J617">
        <v>0</v>
      </c>
      <c r="K617">
        <v>0</v>
      </c>
    </row>
    <row r="618" spans="1:11" x14ac:dyDescent="0.3">
      <c r="A618" t="s">
        <v>216</v>
      </c>
      <c r="B618">
        <v>2010</v>
      </c>
      <c r="C618">
        <v>2.3357920939885226E-2</v>
      </c>
      <c r="D618">
        <v>7.5331676249544358E-2</v>
      </c>
      <c r="E618">
        <v>-0.12275913609395922</v>
      </c>
      <c r="F618">
        <v>0.43939799135068203</v>
      </c>
      <c r="G618">
        <v>0.8106749563595933</v>
      </c>
      <c r="H618">
        <v>14.596556887993888</v>
      </c>
      <c r="I618">
        <v>4.5047909425711789E-3</v>
      </c>
      <c r="J618">
        <v>0</v>
      </c>
      <c r="K618">
        <v>0</v>
      </c>
    </row>
    <row r="619" spans="1:11" x14ac:dyDescent="0.3">
      <c r="A619" t="s">
        <v>217</v>
      </c>
      <c r="B619">
        <v>2007</v>
      </c>
      <c r="C619">
        <v>0.2452173066372568</v>
      </c>
      <c r="D619">
        <v>5.7454111047239922E-2</v>
      </c>
      <c r="E619">
        <v>0.42217087561158745</v>
      </c>
      <c r="F619">
        <v>0</v>
      </c>
      <c r="G619">
        <v>6.3902560756168301</v>
      </c>
      <c r="H619">
        <v>13.188265343628068</v>
      </c>
      <c r="I619">
        <v>2.4501303241346622E-2</v>
      </c>
      <c r="J619">
        <v>0</v>
      </c>
      <c r="K619">
        <v>0</v>
      </c>
    </row>
    <row r="620" spans="1:11" x14ac:dyDescent="0.3">
      <c r="A620" t="s">
        <v>217</v>
      </c>
      <c r="B620">
        <v>2009</v>
      </c>
      <c r="C620">
        <v>1.2920215150156881E-2</v>
      </c>
      <c r="D620">
        <v>0.20084683357879235</v>
      </c>
      <c r="E620">
        <v>0.57923256707434201</v>
      </c>
      <c r="F620">
        <v>0</v>
      </c>
      <c r="G620">
        <v>2.4551937632067617</v>
      </c>
      <c r="H620">
        <v>13.344994797601782</v>
      </c>
      <c r="I620">
        <v>5.0771402322193668E-2</v>
      </c>
      <c r="J620">
        <v>0</v>
      </c>
      <c r="K620">
        <v>0</v>
      </c>
    </row>
    <row r="621" spans="1:11" x14ac:dyDescent="0.3">
      <c r="A621" t="s">
        <v>217</v>
      </c>
      <c r="B621">
        <v>2010</v>
      </c>
      <c r="C621">
        <v>1.4999965862617518E-2</v>
      </c>
      <c r="D621">
        <v>0.10106713457638922</v>
      </c>
      <c r="E621">
        <v>0.66319375695549165</v>
      </c>
      <c r="F621">
        <v>0</v>
      </c>
      <c r="G621">
        <v>2.3833372022366812</v>
      </c>
      <c r="H621">
        <v>13.280849787212516</v>
      </c>
      <c r="I621">
        <v>9.1544147185068717E-3</v>
      </c>
      <c r="J621">
        <v>0</v>
      </c>
      <c r="K621">
        <v>0</v>
      </c>
    </row>
    <row r="622" spans="1:11" x14ac:dyDescent="0.3">
      <c r="A622" t="s">
        <v>218</v>
      </c>
      <c r="B622">
        <v>2007</v>
      </c>
      <c r="C622">
        <v>9.4019717037409953E-2</v>
      </c>
      <c r="D622">
        <v>9.0730095895559706E-2</v>
      </c>
      <c r="E622">
        <v>0.83534653089795619</v>
      </c>
      <c r="F622">
        <v>0</v>
      </c>
      <c r="G622">
        <v>1.2561973496825896</v>
      </c>
      <c r="H622">
        <v>12.577646546736736</v>
      </c>
      <c r="I622">
        <v>1.2572365846949537E-2</v>
      </c>
      <c r="J622">
        <v>9.8554152888073565E-2</v>
      </c>
      <c r="K622">
        <v>0</v>
      </c>
    </row>
    <row r="623" spans="1:11" x14ac:dyDescent="0.3">
      <c r="A623" t="s">
        <v>218</v>
      </c>
      <c r="B623">
        <v>2009</v>
      </c>
      <c r="C623">
        <v>4.3661774058992131E-2</v>
      </c>
      <c r="D623">
        <v>5.1987742324498008E-2</v>
      </c>
      <c r="E623">
        <v>0.43468079658370984</v>
      </c>
      <c r="F623">
        <v>0</v>
      </c>
      <c r="G623">
        <v>0.61195709813574295</v>
      </c>
      <c r="H623">
        <v>12.397246570901284</v>
      </c>
      <c r="I623">
        <v>2.2011550366865158E-2</v>
      </c>
      <c r="J623">
        <v>1.6862563704395088E-2</v>
      </c>
      <c r="K623">
        <v>0</v>
      </c>
    </row>
    <row r="624" spans="1:11" x14ac:dyDescent="0.3">
      <c r="A624" t="s">
        <v>218</v>
      </c>
      <c r="B624">
        <v>2010</v>
      </c>
      <c r="C624">
        <v>3.6130158006418465E-2</v>
      </c>
      <c r="D624">
        <v>0.11927204812093366</v>
      </c>
      <c r="E624">
        <v>0.5319827087315645</v>
      </c>
      <c r="F624">
        <v>0</v>
      </c>
      <c r="G624">
        <v>1.6990140820370729</v>
      </c>
      <c r="H624">
        <v>12.337504335320736</v>
      </c>
      <c r="I624">
        <v>3.1662796757588096E-2</v>
      </c>
      <c r="J624">
        <v>8.0550830366694137E-2</v>
      </c>
      <c r="K624">
        <v>0</v>
      </c>
    </row>
    <row r="625" spans="1:11" x14ac:dyDescent="0.3">
      <c r="A625" t="s">
        <v>219</v>
      </c>
      <c r="B625">
        <v>2007</v>
      </c>
      <c r="C625">
        <v>1.0613166403869811E-2</v>
      </c>
      <c r="D625">
        <v>7.9811461544435178E-2</v>
      </c>
      <c r="E625">
        <v>-7.234791827749322E-2</v>
      </c>
      <c r="F625">
        <v>6.2772996413132413E-3</v>
      </c>
      <c r="G625">
        <v>1.3894226234891993</v>
      </c>
      <c r="H625">
        <v>14.390458491263802</v>
      </c>
      <c r="I625">
        <v>1.8825686306013986E-3</v>
      </c>
      <c r="J625">
        <v>1.5395844095624292E-2</v>
      </c>
      <c r="K625">
        <v>0</v>
      </c>
    </row>
    <row r="626" spans="1:11" x14ac:dyDescent="0.3">
      <c r="A626" t="s">
        <v>219</v>
      </c>
      <c r="B626">
        <v>2008</v>
      </c>
      <c r="C626">
        <v>3.4767095419494382E-2</v>
      </c>
      <c r="D626">
        <v>0.11686164658226934</v>
      </c>
      <c r="E626">
        <v>-5.3266505630623011E-2</v>
      </c>
      <c r="F626">
        <v>2.2999510576730067E-3</v>
      </c>
      <c r="G626">
        <v>0.76564792198096876</v>
      </c>
      <c r="H626">
        <v>14.388474574863604</v>
      </c>
      <c r="I626">
        <v>5.2360445616694423E-3</v>
      </c>
      <c r="J626">
        <v>0</v>
      </c>
      <c r="K626">
        <v>0</v>
      </c>
    </row>
    <row r="627" spans="1:11" x14ac:dyDescent="0.3">
      <c r="A627" t="s">
        <v>219</v>
      </c>
      <c r="B627">
        <v>2009</v>
      </c>
      <c r="C627">
        <v>4.3625305316501925E-3</v>
      </c>
      <c r="D627">
        <v>9.9980097358869591E-2</v>
      </c>
      <c r="E627">
        <v>0.10521078252334101</v>
      </c>
      <c r="F627">
        <v>0</v>
      </c>
      <c r="G627">
        <v>0.64343784241103019</v>
      </c>
      <c r="H627">
        <v>14.846431984306376</v>
      </c>
      <c r="I627">
        <v>1.9730210932906011E-2</v>
      </c>
      <c r="J627">
        <v>0</v>
      </c>
      <c r="K627">
        <v>0</v>
      </c>
    </row>
    <row r="628" spans="1:11" x14ac:dyDescent="0.3">
      <c r="A628" t="s">
        <v>219</v>
      </c>
      <c r="B628">
        <v>2010</v>
      </c>
      <c r="C628">
        <v>5.1211029641743443E-3</v>
      </c>
      <c r="D628">
        <v>4.6451014605539624E-2</v>
      </c>
      <c r="E628">
        <v>3.628756514319343E-2</v>
      </c>
      <c r="F628">
        <v>0</v>
      </c>
      <c r="G628">
        <v>0.52885477146612969</v>
      </c>
      <c r="H628">
        <v>15.64151266513592</v>
      </c>
      <c r="I628">
        <v>8.4000908759747014E-4</v>
      </c>
      <c r="J628">
        <v>0</v>
      </c>
      <c r="K628">
        <v>0</v>
      </c>
    </row>
    <row r="629" spans="1:11" x14ac:dyDescent="0.3">
      <c r="A629" t="s">
        <v>220</v>
      </c>
      <c r="B629">
        <v>2007</v>
      </c>
      <c r="C629">
        <v>4.5614475706774385E-4</v>
      </c>
      <c r="D629">
        <v>0.11598983296009227</v>
      </c>
      <c r="E629">
        <v>7.6973701039726339E-2</v>
      </c>
      <c r="F629">
        <v>0.51488080703786132</v>
      </c>
      <c r="G629">
        <v>1.6614094559052315</v>
      </c>
      <c r="H629">
        <v>15.967312295325975</v>
      </c>
      <c r="I629">
        <v>1.1781892167205073E-2</v>
      </c>
      <c r="J629">
        <v>2.481425152959069E-2</v>
      </c>
      <c r="K629">
        <v>0</v>
      </c>
    </row>
    <row r="630" spans="1:11" x14ac:dyDescent="0.3">
      <c r="A630" t="s">
        <v>220</v>
      </c>
      <c r="B630">
        <v>2008</v>
      </c>
      <c r="C630">
        <v>2.644969123989727E-3</v>
      </c>
      <c r="D630">
        <v>0.10595234745479833</v>
      </c>
      <c r="E630">
        <v>7.0381719316508967E-2</v>
      </c>
      <c r="F630">
        <v>0.41309691667142689</v>
      </c>
      <c r="G630">
        <v>1.0036036692664958</v>
      </c>
      <c r="H630">
        <v>16.178834242750519</v>
      </c>
      <c r="I630">
        <v>1.8979589042810538E-2</v>
      </c>
      <c r="J630">
        <v>1.9588073302892254E-2</v>
      </c>
      <c r="K630">
        <v>0</v>
      </c>
    </row>
    <row r="631" spans="1:11" x14ac:dyDescent="0.3">
      <c r="A631" t="s">
        <v>220</v>
      </c>
      <c r="B631">
        <v>2009</v>
      </c>
      <c r="C631">
        <v>0.11051689529871465</v>
      </c>
      <c r="D631">
        <v>6.2316892418282727E-2</v>
      </c>
      <c r="E631">
        <v>2.9494102226171336E-2</v>
      </c>
      <c r="F631">
        <v>0.49634261181286604</v>
      </c>
      <c r="G631">
        <v>1.1632151989479447</v>
      </c>
      <c r="H631">
        <v>16.229536752327707</v>
      </c>
      <c r="I631">
        <v>1.7115142620087002E-2</v>
      </c>
      <c r="J631">
        <v>2.0109261402686263E-2</v>
      </c>
      <c r="K631">
        <v>0</v>
      </c>
    </row>
    <row r="632" spans="1:11" x14ac:dyDescent="0.3">
      <c r="A632" t="s">
        <v>220</v>
      </c>
      <c r="B632">
        <v>2010</v>
      </c>
      <c r="C632">
        <v>1.1497924530796397E-3</v>
      </c>
      <c r="D632">
        <v>8.4597067261579062E-2</v>
      </c>
      <c r="E632">
        <v>2.8041117874624003E-5</v>
      </c>
      <c r="F632">
        <v>0.68391502837590534</v>
      </c>
      <c r="G632">
        <v>1.0687022607964702</v>
      </c>
      <c r="H632">
        <v>16.747139842189611</v>
      </c>
      <c r="I632">
        <v>2.370913768863812E-2</v>
      </c>
      <c r="J632">
        <v>2.1304958991730964E-2</v>
      </c>
      <c r="K632">
        <v>0</v>
      </c>
    </row>
    <row r="633" spans="1:11" x14ac:dyDescent="0.3">
      <c r="A633" t="s">
        <v>221</v>
      </c>
      <c r="B633">
        <v>2007</v>
      </c>
      <c r="C633">
        <v>0.24678613581181438</v>
      </c>
      <c r="D633">
        <v>0.22801452558475277</v>
      </c>
      <c r="E633">
        <v>0.40467746750552008</v>
      </c>
      <c r="F633">
        <v>4.4174746962206309E-2</v>
      </c>
      <c r="G633">
        <v>2.6572401943522501</v>
      </c>
      <c r="H633">
        <v>13.894278299367469</v>
      </c>
      <c r="I633">
        <v>1.3382842241821654E-2</v>
      </c>
      <c r="J633">
        <v>7.763738350926519E-2</v>
      </c>
      <c r="K633">
        <v>0</v>
      </c>
    </row>
    <row r="634" spans="1:11" x14ac:dyDescent="0.3">
      <c r="A634" t="s">
        <v>221</v>
      </c>
      <c r="B634">
        <v>2009</v>
      </c>
      <c r="C634">
        <v>0.14561237656897991</v>
      </c>
      <c r="D634">
        <v>0.15203853688800453</v>
      </c>
      <c r="E634">
        <v>0.35597252132696072</v>
      </c>
      <c r="F634">
        <v>1.0726995456396018E-4</v>
      </c>
      <c r="G634">
        <v>1.1362786359025638</v>
      </c>
      <c r="H634">
        <v>14.281825517424759</v>
      </c>
      <c r="I634">
        <v>2.3090708450040211E-2</v>
      </c>
      <c r="J634">
        <v>2.8981707022543629E-2</v>
      </c>
      <c r="K634">
        <v>0</v>
      </c>
    </row>
    <row r="635" spans="1:11" x14ac:dyDescent="0.3">
      <c r="A635" t="s">
        <v>221</v>
      </c>
      <c r="B635">
        <v>2010</v>
      </c>
      <c r="C635">
        <v>9.0266031657590368E-2</v>
      </c>
      <c r="D635">
        <v>0.10233772665866273</v>
      </c>
      <c r="E635">
        <v>0.31244956077801878</v>
      </c>
      <c r="F635">
        <v>9.1164817136400927E-2</v>
      </c>
      <c r="G635">
        <v>0.98167715802483879</v>
      </c>
      <c r="H635">
        <v>14.408344464087905</v>
      </c>
      <c r="I635">
        <v>2.0194032145252894E-3</v>
      </c>
      <c r="J635">
        <v>9.1205168513985892E-3</v>
      </c>
      <c r="K635">
        <v>0</v>
      </c>
    </row>
    <row r="636" spans="1:11" x14ac:dyDescent="0.3">
      <c r="A636" t="s">
        <v>222</v>
      </c>
      <c r="B636">
        <v>2007</v>
      </c>
      <c r="C636">
        <v>0.26342052195416343</v>
      </c>
      <c r="D636">
        <v>0.10562727232583129</v>
      </c>
      <c r="E636">
        <v>0.36215905912831003</v>
      </c>
      <c r="F636">
        <v>0.21335943594801066</v>
      </c>
      <c r="G636">
        <v>0.75457261874972403</v>
      </c>
      <c r="H636">
        <v>11.126336084130871</v>
      </c>
      <c r="I636">
        <v>3.3531598509327805E-3</v>
      </c>
      <c r="J636">
        <v>0</v>
      </c>
      <c r="K636">
        <v>0</v>
      </c>
    </row>
    <row r="637" spans="1:11" x14ac:dyDescent="0.3">
      <c r="A637" t="s">
        <v>222</v>
      </c>
      <c r="B637">
        <v>2008</v>
      </c>
      <c r="C637">
        <v>0.31305582542410881</v>
      </c>
      <c r="D637">
        <v>9.1413197817801356E-2</v>
      </c>
      <c r="E637">
        <v>0.28574844929377474</v>
      </c>
      <c r="F637">
        <v>0.29474628204170095</v>
      </c>
      <c r="G637">
        <v>0.65577580150960313</v>
      </c>
      <c r="H637">
        <v>11.111028981739089</v>
      </c>
      <c r="I637">
        <v>8.9365674927413333E-3</v>
      </c>
      <c r="J637">
        <v>0</v>
      </c>
      <c r="K637">
        <v>0</v>
      </c>
    </row>
    <row r="638" spans="1:11" x14ac:dyDescent="0.3">
      <c r="A638" t="s">
        <v>222</v>
      </c>
      <c r="B638">
        <v>2009</v>
      </c>
      <c r="C638">
        <v>7.5048332030767967E-2</v>
      </c>
      <c r="D638">
        <v>7.9634733248323805E-2</v>
      </c>
      <c r="E638">
        <v>0.31261568837151904</v>
      </c>
      <c r="F638">
        <v>0.17070461930813213</v>
      </c>
      <c r="G638">
        <v>0.71101147628645478</v>
      </c>
      <c r="H638">
        <v>10.791831382359332</v>
      </c>
      <c r="I638">
        <v>4.466522748209021E-2</v>
      </c>
      <c r="J638">
        <v>0</v>
      </c>
      <c r="K638">
        <v>0</v>
      </c>
    </row>
    <row r="639" spans="1:11" x14ac:dyDescent="0.3">
      <c r="A639" t="s">
        <v>222</v>
      </c>
      <c r="B639">
        <v>2010</v>
      </c>
      <c r="C639">
        <v>4.1911269367722069E-2</v>
      </c>
      <c r="D639">
        <v>0.22004619382157636</v>
      </c>
      <c r="E639">
        <v>0.16333846598017515</v>
      </c>
      <c r="F639">
        <v>0.19969204118949091</v>
      </c>
      <c r="G639">
        <v>0.68383697430468671</v>
      </c>
      <c r="H639">
        <v>10.634989686972537</v>
      </c>
      <c r="I639">
        <v>4.955830385261837E-2</v>
      </c>
      <c r="J639">
        <v>0</v>
      </c>
      <c r="K639">
        <v>0</v>
      </c>
    </row>
    <row r="640" spans="1:11" x14ac:dyDescent="0.3">
      <c r="A640" t="s">
        <v>223</v>
      </c>
      <c r="B640">
        <v>2007</v>
      </c>
      <c r="C640">
        <v>2.2253668345269574E-2</v>
      </c>
      <c r="D640">
        <v>3.7892578272057685E-2</v>
      </c>
      <c r="E640">
        <v>4.7696239309425424E-2</v>
      </c>
      <c r="F640">
        <v>0.59411913208700384</v>
      </c>
      <c r="G640">
        <v>1.0134886151747475</v>
      </c>
      <c r="H640">
        <v>13.020476820558002</v>
      </c>
      <c r="I640">
        <v>3.609603100704132E-3</v>
      </c>
      <c r="J640">
        <v>7.5293534057037067E-3</v>
      </c>
      <c r="K640">
        <v>0</v>
      </c>
    </row>
    <row r="641" spans="1:11" x14ac:dyDescent="0.3">
      <c r="A641" t="s">
        <v>223</v>
      </c>
      <c r="B641">
        <v>2009</v>
      </c>
      <c r="C641">
        <v>5.5252624225035265E-3</v>
      </c>
      <c r="D641">
        <v>0.39381829685708136</v>
      </c>
      <c r="E641">
        <v>8.9667429731404139E-2</v>
      </c>
      <c r="F641">
        <v>0.18242373380318203</v>
      </c>
      <c r="G641">
        <v>1.0455663888290838</v>
      </c>
      <c r="H641">
        <v>13.028452617954414</v>
      </c>
      <c r="I641">
        <v>6.2505136147573109E-2</v>
      </c>
      <c r="J641">
        <v>0</v>
      </c>
      <c r="K641">
        <v>0</v>
      </c>
    </row>
    <row r="642" spans="1:11" x14ac:dyDescent="0.3">
      <c r="A642" t="s">
        <v>223</v>
      </c>
      <c r="B642">
        <v>2010</v>
      </c>
      <c r="C642">
        <v>5.8564337107479497E-4</v>
      </c>
      <c r="D642">
        <v>0.64776897763400076</v>
      </c>
      <c r="E642">
        <v>-0.23292152378827596</v>
      </c>
      <c r="F642">
        <v>0.98249762953873609</v>
      </c>
      <c r="G642">
        <v>1.2852445758268727</v>
      </c>
      <c r="H642">
        <v>12.789907066149418</v>
      </c>
      <c r="I642">
        <v>7.9787703749141833E-2</v>
      </c>
      <c r="J642">
        <v>0</v>
      </c>
      <c r="K642">
        <v>0</v>
      </c>
    </row>
    <row r="643" spans="1:11" x14ac:dyDescent="0.3">
      <c r="A643" t="s">
        <v>224</v>
      </c>
      <c r="B643">
        <v>2007</v>
      </c>
      <c r="C643">
        <v>3.9861920716869462E-2</v>
      </c>
      <c r="D643">
        <v>8.1199463092551952E-2</v>
      </c>
      <c r="E643">
        <v>0.24575825259649003</v>
      </c>
      <c r="F643">
        <v>1.5615982760605461E-2</v>
      </c>
      <c r="G643">
        <v>1.5559036074086541</v>
      </c>
      <c r="H643">
        <v>14.783296743790357</v>
      </c>
      <c r="I643">
        <v>5.4693443604750293E-3</v>
      </c>
      <c r="J643">
        <v>1.1890076064421296E-2</v>
      </c>
      <c r="K643">
        <v>0</v>
      </c>
    </row>
    <row r="644" spans="1:11" x14ac:dyDescent="0.3">
      <c r="A644" t="s">
        <v>224</v>
      </c>
      <c r="B644">
        <v>2008</v>
      </c>
      <c r="C644">
        <v>8.9937684301168181E-3</v>
      </c>
      <c r="D644">
        <v>6.669319023829702E-2</v>
      </c>
      <c r="E644">
        <v>0.2444025896116501</v>
      </c>
      <c r="F644">
        <v>1.0088141281735068E-2</v>
      </c>
      <c r="G644">
        <v>1.2041343709119443</v>
      </c>
      <c r="H644">
        <v>14.81691677075233</v>
      </c>
      <c r="I644">
        <v>3.8560400074614185E-3</v>
      </c>
      <c r="J644">
        <v>0</v>
      </c>
      <c r="K644">
        <v>0</v>
      </c>
    </row>
    <row r="645" spans="1:11" x14ac:dyDescent="0.3">
      <c r="A645" t="s">
        <v>224</v>
      </c>
      <c r="B645">
        <v>2009</v>
      </c>
      <c r="C645">
        <v>4.6943083048877638E-3</v>
      </c>
      <c r="D645">
        <v>3.5952585658248375E-2</v>
      </c>
      <c r="E645">
        <v>0.12260802143462715</v>
      </c>
      <c r="F645">
        <v>0.30751009567083409</v>
      </c>
      <c r="G645">
        <v>0.66090360699018236</v>
      </c>
      <c r="H645">
        <v>15.610253239652524</v>
      </c>
      <c r="I645">
        <v>7.1386724532115477E-3</v>
      </c>
      <c r="J645">
        <v>1.1819354375577233E-2</v>
      </c>
      <c r="K645">
        <v>0</v>
      </c>
    </row>
    <row r="646" spans="1:11" x14ac:dyDescent="0.3">
      <c r="A646" t="s">
        <v>224</v>
      </c>
      <c r="B646">
        <v>2010</v>
      </c>
      <c r="C646">
        <v>1.3635761428603323E-2</v>
      </c>
      <c r="D646">
        <v>3.4758513428884918E-2</v>
      </c>
      <c r="E646">
        <v>0.11675184807784098</v>
      </c>
      <c r="F646">
        <v>0.29760151982127953</v>
      </c>
      <c r="G646">
        <v>0.58421358651520383</v>
      </c>
      <c r="H646">
        <v>15.629766897570851</v>
      </c>
      <c r="I646">
        <v>7.1737345300041206E-3</v>
      </c>
      <c r="J646">
        <v>9.2726958364451727E-3</v>
      </c>
      <c r="K646">
        <v>0</v>
      </c>
    </row>
    <row r="647" spans="1:11" x14ac:dyDescent="0.3">
      <c r="A647" t="s">
        <v>225</v>
      </c>
      <c r="B647">
        <v>2007</v>
      </c>
      <c r="C647">
        <v>3.0542979501314961E-3</v>
      </c>
      <c r="D647">
        <v>0.12966667958843489</v>
      </c>
      <c r="E647">
        <v>0.12299251829620365</v>
      </c>
      <c r="F647">
        <v>0.24743077842772004</v>
      </c>
      <c r="G647">
        <v>1.4830457287775258</v>
      </c>
      <c r="H647">
        <v>14.711861813178803</v>
      </c>
      <c r="I647">
        <v>2.6787016277485452E-2</v>
      </c>
      <c r="J647">
        <v>2.2088062530476672E-2</v>
      </c>
      <c r="K647">
        <v>0</v>
      </c>
    </row>
    <row r="648" spans="1:11" x14ac:dyDescent="0.3">
      <c r="A648" t="s">
        <v>225</v>
      </c>
      <c r="B648">
        <v>2009</v>
      </c>
      <c r="C648">
        <v>5.708682334949531E-2</v>
      </c>
      <c r="D648">
        <v>0.28445010198917225</v>
      </c>
      <c r="E648">
        <v>0.2245153049487206</v>
      </c>
      <c r="F648">
        <v>0.2314877602038469</v>
      </c>
      <c r="G648">
        <v>1.459346666783518</v>
      </c>
      <c r="H648">
        <v>15.1106124498613</v>
      </c>
      <c r="I648">
        <v>4.8309286899484757E-2</v>
      </c>
      <c r="J648">
        <v>6.588653896293116E-2</v>
      </c>
      <c r="K648">
        <v>0</v>
      </c>
    </row>
    <row r="649" spans="1:11" x14ac:dyDescent="0.3">
      <c r="A649" t="s">
        <v>225</v>
      </c>
      <c r="B649">
        <v>2010</v>
      </c>
      <c r="C649">
        <v>5.4580386492294831E-2</v>
      </c>
      <c r="D649">
        <v>0.13607642235869527</v>
      </c>
      <c r="E649">
        <v>0.16011458863240088</v>
      </c>
      <c r="F649">
        <v>0.31085446411609957</v>
      </c>
      <c r="G649">
        <v>1.2614246138830194</v>
      </c>
      <c r="H649">
        <v>15.329067107500039</v>
      </c>
      <c r="I649">
        <v>5.093756043673188E-3</v>
      </c>
      <c r="J649">
        <v>1.9858859806126495E-2</v>
      </c>
      <c r="K649">
        <v>0</v>
      </c>
    </row>
    <row r="650" spans="1:11" x14ac:dyDescent="0.3">
      <c r="A650" t="s">
        <v>226</v>
      </c>
      <c r="B650">
        <v>2007</v>
      </c>
      <c r="C650">
        <v>2.7466388908941532E-3</v>
      </c>
      <c r="D650">
        <v>9.7493649042113981E-2</v>
      </c>
      <c r="E650">
        <v>1.1536570860877069E-2</v>
      </c>
      <c r="F650">
        <v>0.25905032983729859</v>
      </c>
      <c r="G650">
        <v>1.5685542504150898</v>
      </c>
      <c r="H650">
        <v>12.580738282084809</v>
      </c>
      <c r="I650">
        <v>1.3635567658033386E-2</v>
      </c>
      <c r="J650">
        <v>1.546918023657533E-2</v>
      </c>
      <c r="K650">
        <v>0</v>
      </c>
    </row>
    <row r="651" spans="1:11" x14ac:dyDescent="0.3">
      <c r="A651" t="s">
        <v>226</v>
      </c>
      <c r="B651">
        <v>2009</v>
      </c>
      <c r="C651">
        <v>1.0384273966178531E-3</v>
      </c>
      <c r="D651">
        <v>7.820307396841171E-2</v>
      </c>
      <c r="E651">
        <v>7.4281056516131913E-3</v>
      </c>
      <c r="F651">
        <v>0.1515126984038366</v>
      </c>
      <c r="G651">
        <v>1.0119865786050459</v>
      </c>
      <c r="H651">
        <v>12.788941683143864</v>
      </c>
      <c r="I651">
        <v>2.450988264181797E-2</v>
      </c>
      <c r="J651">
        <v>0</v>
      </c>
      <c r="K651">
        <v>0</v>
      </c>
    </row>
    <row r="652" spans="1:11" x14ac:dyDescent="0.3">
      <c r="A652" t="s">
        <v>226</v>
      </c>
      <c r="B652">
        <v>2010</v>
      </c>
      <c r="C652">
        <v>1.1010294273003651E-3</v>
      </c>
      <c r="D652">
        <v>0.14412686488326507</v>
      </c>
      <c r="E652">
        <v>9.5782517342974192E-3</v>
      </c>
      <c r="F652">
        <v>0.32240207528787579</v>
      </c>
      <c r="G652">
        <v>1.4821945465002992</v>
      </c>
      <c r="H652">
        <v>12.962112462251808</v>
      </c>
      <c r="I652">
        <v>8.9230013121286006E-3</v>
      </c>
      <c r="J652">
        <v>9.1556818048431216E-3</v>
      </c>
      <c r="K652">
        <v>0</v>
      </c>
    </row>
    <row r="653" spans="1:11" x14ac:dyDescent="0.3">
      <c r="A653" t="s">
        <v>227</v>
      </c>
      <c r="B653">
        <v>2007</v>
      </c>
      <c r="C653">
        <v>0.16311775943921342</v>
      </c>
      <c r="D653">
        <v>0.14159403661488296</v>
      </c>
      <c r="E653">
        <v>0.33478413881766533</v>
      </c>
      <c r="F653">
        <v>0.21291917146078876</v>
      </c>
      <c r="G653">
        <v>1.2534808782759834</v>
      </c>
      <c r="H653">
        <v>14.616492789991348</v>
      </c>
      <c r="I653">
        <v>1.2019379453230629E-2</v>
      </c>
      <c r="J653">
        <v>5.2870009265044926E-2</v>
      </c>
      <c r="K653">
        <v>0</v>
      </c>
    </row>
    <row r="654" spans="1:11" x14ac:dyDescent="0.3">
      <c r="A654" t="s">
        <v>227</v>
      </c>
      <c r="B654">
        <v>2008</v>
      </c>
      <c r="C654">
        <v>8.6910114415584716E-2</v>
      </c>
      <c r="D654">
        <v>7.5842588168695921E-2</v>
      </c>
      <c r="E654">
        <v>0.27880576949743702</v>
      </c>
      <c r="F654">
        <v>0.37454962524589935</v>
      </c>
      <c r="G654">
        <v>0.63910673113630245</v>
      </c>
      <c r="H654">
        <v>14.906881021131417</v>
      </c>
      <c r="I654">
        <v>1.3152708334150942E-2</v>
      </c>
      <c r="J654">
        <v>3.9545346035208047E-2</v>
      </c>
      <c r="K654">
        <v>0</v>
      </c>
    </row>
    <row r="655" spans="1:11" x14ac:dyDescent="0.3">
      <c r="A655" t="s">
        <v>227</v>
      </c>
      <c r="B655">
        <v>2009</v>
      </c>
      <c r="C655">
        <v>2.4493997460651461E-2</v>
      </c>
      <c r="D655">
        <v>4.7537950743959452E-2</v>
      </c>
      <c r="E655">
        <v>0.18073743838714468</v>
      </c>
      <c r="F655">
        <v>0</v>
      </c>
      <c r="G655">
        <v>0.85070492752288351</v>
      </c>
      <c r="H655">
        <v>15.035597725707316</v>
      </c>
      <c r="I655">
        <v>5.7009819402795373E-3</v>
      </c>
      <c r="J655">
        <v>2.3179452118283692E-2</v>
      </c>
      <c r="K655">
        <v>0</v>
      </c>
    </row>
    <row r="656" spans="1:11" x14ac:dyDescent="0.3">
      <c r="A656" t="s">
        <v>227</v>
      </c>
      <c r="B656">
        <v>2010</v>
      </c>
      <c r="C656">
        <v>1.3453748488512697E-2</v>
      </c>
      <c r="D656">
        <v>4.1056907496977026E-2</v>
      </c>
      <c r="E656">
        <v>0.2073477176541717</v>
      </c>
      <c r="F656">
        <v>0.30403756045949215</v>
      </c>
      <c r="G656">
        <v>0.79648452614873033</v>
      </c>
      <c r="H656">
        <v>14.78871078381151</v>
      </c>
      <c r="I656">
        <v>4.9381414089060497E-3</v>
      </c>
      <c r="J656">
        <v>2.2252871825876663E-2</v>
      </c>
      <c r="K656">
        <v>0</v>
      </c>
    </row>
    <row r="657" spans="1:11" x14ac:dyDescent="0.3">
      <c r="A657" t="s">
        <v>228</v>
      </c>
      <c r="B657">
        <v>2007</v>
      </c>
      <c r="C657">
        <v>0.23384458923093301</v>
      </c>
      <c r="D657">
        <v>0.30978940753001422</v>
      </c>
      <c r="E657">
        <v>0.74275873920113089</v>
      </c>
      <c r="F657">
        <v>5.1599235034511533E-2</v>
      </c>
      <c r="G657">
        <v>1.9804350727706113</v>
      </c>
      <c r="H657">
        <v>15.124135767296856</v>
      </c>
      <c r="I657">
        <v>2.7002485985861493E-2</v>
      </c>
      <c r="J657">
        <v>2.2150279296702963E-2</v>
      </c>
      <c r="K657">
        <v>0</v>
      </c>
    </row>
    <row r="658" spans="1:11" x14ac:dyDescent="0.3">
      <c r="A658" t="s">
        <v>228</v>
      </c>
      <c r="B658">
        <v>2008</v>
      </c>
      <c r="C658">
        <v>1.3543634715272776E-2</v>
      </c>
      <c r="D658">
        <v>0.19943407151403969</v>
      </c>
      <c r="E658">
        <v>0.64071863619255698</v>
      </c>
      <c r="F658">
        <v>0.1368705105866708</v>
      </c>
      <c r="G658">
        <v>0.77782258429436657</v>
      </c>
      <c r="H658">
        <v>15.544568218265715</v>
      </c>
      <c r="I658">
        <v>4.5643570518075827E-2</v>
      </c>
      <c r="J658">
        <v>0</v>
      </c>
      <c r="K658">
        <v>0</v>
      </c>
    </row>
    <row r="659" spans="1:11" x14ac:dyDescent="0.3">
      <c r="A659" t="s">
        <v>228</v>
      </c>
      <c r="B659">
        <v>2009</v>
      </c>
      <c r="C659">
        <v>5.7842336801767813E-2</v>
      </c>
      <c r="D659">
        <v>8.4729934596063788E-2</v>
      </c>
      <c r="E659">
        <v>0.1545986146230795</v>
      </c>
      <c r="F659">
        <v>0.17915499544423757</v>
      </c>
      <c r="G659">
        <v>0.52883281173154717</v>
      </c>
      <c r="H659">
        <v>16.152451666016539</v>
      </c>
      <c r="I659">
        <v>2.8968961017346487E-2</v>
      </c>
      <c r="J659">
        <v>4.1189310045963443E-3</v>
      </c>
      <c r="K659">
        <v>0</v>
      </c>
    </row>
    <row r="660" spans="1:11" x14ac:dyDescent="0.3">
      <c r="A660" t="s">
        <v>228</v>
      </c>
      <c r="B660">
        <v>2010</v>
      </c>
      <c r="C660">
        <v>7.4307216781683047E-2</v>
      </c>
      <c r="D660">
        <v>0.19996139183346648</v>
      </c>
      <c r="E660">
        <v>0.16820535919415874</v>
      </c>
      <c r="F660">
        <v>0.22138810859407818</v>
      </c>
      <c r="G660">
        <v>0.73969327352390601</v>
      </c>
      <c r="H660">
        <v>16.216486081914436</v>
      </c>
      <c r="I660">
        <v>1.4478060376328577E-2</v>
      </c>
      <c r="J660">
        <v>1.8544789324932583E-2</v>
      </c>
      <c r="K660">
        <v>0</v>
      </c>
    </row>
    <row r="661" spans="1:11" x14ac:dyDescent="0.3">
      <c r="A661" t="s">
        <v>229</v>
      </c>
      <c r="B661">
        <v>2007</v>
      </c>
      <c r="C661">
        <v>6.0234037851168633E-2</v>
      </c>
      <c r="D661">
        <v>6.4669305049579268E-2</v>
      </c>
      <c r="E661">
        <v>0.25264753454912259</v>
      </c>
      <c r="F661">
        <v>0.24629064964869013</v>
      </c>
      <c r="G661">
        <v>0.9171616459206976</v>
      </c>
      <c r="H661">
        <v>14.60973263401657</v>
      </c>
      <c r="I661">
        <v>1.0341315075456513E-2</v>
      </c>
      <c r="J661">
        <v>3.7799648305998188E-3</v>
      </c>
      <c r="K661">
        <v>0</v>
      </c>
    </row>
    <row r="662" spans="1:11" x14ac:dyDescent="0.3">
      <c r="A662" t="s">
        <v>229</v>
      </c>
      <c r="B662">
        <v>2009</v>
      </c>
      <c r="C662">
        <v>2.2567414750510568E-2</v>
      </c>
      <c r="D662">
        <v>1.7140196800999194E-2</v>
      </c>
      <c r="E662">
        <v>-0.14905594031832478</v>
      </c>
      <c r="F662">
        <v>0.3931893239114902</v>
      </c>
      <c r="G662">
        <v>0.80135532763596884</v>
      </c>
      <c r="H662">
        <v>15.083826239290715</v>
      </c>
      <c r="I662">
        <v>1.7369711024459975E-2</v>
      </c>
      <c r="J662">
        <v>0</v>
      </c>
      <c r="K662">
        <v>0</v>
      </c>
    </row>
    <row r="663" spans="1:11" x14ac:dyDescent="0.3">
      <c r="A663" t="s">
        <v>229</v>
      </c>
      <c r="B663">
        <v>2010</v>
      </c>
      <c r="C663">
        <v>2.2010299638861031E-2</v>
      </c>
      <c r="D663">
        <v>6.9545077210208098E-2</v>
      </c>
      <c r="E663">
        <v>-8.5562440699731249E-2</v>
      </c>
      <c r="F663">
        <v>0.37681304529096932</v>
      </c>
      <c r="G663">
        <v>1.1358096145502397</v>
      </c>
      <c r="H663">
        <v>15.1439845803379</v>
      </c>
      <c r="I663">
        <v>5.9670083933407898E-3</v>
      </c>
      <c r="J663">
        <v>5.5389563364605203E-2</v>
      </c>
      <c r="K663">
        <v>0</v>
      </c>
    </row>
    <row r="664" spans="1:11" x14ac:dyDescent="0.3">
      <c r="A664" t="s">
        <v>230</v>
      </c>
      <c r="B664">
        <v>2009</v>
      </c>
      <c r="C664">
        <v>0.12030684200495521</v>
      </c>
      <c r="D664">
        <v>0.10818086525633695</v>
      </c>
      <c r="E664">
        <v>0.32906303602058318</v>
      </c>
      <c r="F664">
        <v>8.2308938441013908E-3</v>
      </c>
      <c r="G664">
        <v>0.73173360968172285</v>
      </c>
      <c r="H664">
        <v>12.031147666486438</v>
      </c>
      <c r="I664">
        <v>1.6069941393370261E-2</v>
      </c>
      <c r="J664">
        <v>0</v>
      </c>
      <c r="K664">
        <v>0</v>
      </c>
    </row>
    <row r="665" spans="1:11" x14ac:dyDescent="0.3">
      <c r="A665" t="s">
        <v>230</v>
      </c>
      <c r="B665">
        <v>2010</v>
      </c>
      <c r="C665">
        <v>0.1591167584413502</v>
      </c>
      <c r="D665">
        <v>5.8682352705390739E-2</v>
      </c>
      <c r="E665">
        <v>0.281341597230225</v>
      </c>
      <c r="F665">
        <v>1.2476012486033379E-3</v>
      </c>
      <c r="G665">
        <v>0.8892490843408507</v>
      </c>
      <c r="H665">
        <v>12.20398546889162</v>
      </c>
      <c r="I665">
        <v>2.9061533246111111E-2</v>
      </c>
      <c r="J665">
        <v>0</v>
      </c>
      <c r="K665">
        <v>0</v>
      </c>
    </row>
    <row r="666" spans="1:11" x14ac:dyDescent="0.3">
      <c r="A666" t="s">
        <v>231</v>
      </c>
      <c r="B666">
        <v>2009</v>
      </c>
      <c r="C666">
        <v>0.17138702239245404</v>
      </c>
      <c r="D666">
        <v>0.14565688750942421</v>
      </c>
      <c r="E666">
        <v>0.22057310153924045</v>
      </c>
      <c r="F666">
        <v>0</v>
      </c>
      <c r="G666">
        <v>0.51768035308425919</v>
      </c>
      <c r="H666">
        <v>13.496478159450053</v>
      </c>
      <c r="I666">
        <v>1.9215126818250973E-2</v>
      </c>
      <c r="J666">
        <v>0</v>
      </c>
      <c r="K666">
        <v>0</v>
      </c>
    </row>
    <row r="667" spans="1:11" x14ac:dyDescent="0.3">
      <c r="A667" t="s">
        <v>231</v>
      </c>
      <c r="B667">
        <v>2010</v>
      </c>
      <c r="C667">
        <v>0.13537618335824614</v>
      </c>
      <c r="D667">
        <v>9.6807227335903287E-2</v>
      </c>
      <c r="E667">
        <v>0.23549419138279182</v>
      </c>
      <c r="F667">
        <v>0</v>
      </c>
      <c r="G667">
        <v>0.88353573020743181</v>
      </c>
      <c r="H667">
        <v>13.54456760151677</v>
      </c>
      <c r="I667">
        <v>7.9547090635240097E-3</v>
      </c>
      <c r="J667">
        <v>2.4432905882044425E-2</v>
      </c>
      <c r="K667">
        <v>0</v>
      </c>
    </row>
    <row r="668" spans="1:11" x14ac:dyDescent="0.3">
      <c r="A668" t="s">
        <v>232</v>
      </c>
      <c r="B668">
        <v>2007</v>
      </c>
      <c r="C668">
        <v>4.593718240332962E-2</v>
      </c>
      <c r="D668">
        <v>0.26973126568538658</v>
      </c>
      <c r="E668">
        <v>-3.8814893425792134E-2</v>
      </c>
      <c r="F668">
        <v>2.6771454843370827E-3</v>
      </c>
      <c r="G668">
        <v>1.6565750375066546</v>
      </c>
      <c r="H668">
        <v>15.570889543432854</v>
      </c>
      <c r="I668">
        <v>3.8797723807480318E-2</v>
      </c>
      <c r="J668">
        <v>5.6127412006277612E-2</v>
      </c>
      <c r="K668">
        <v>0</v>
      </c>
    </row>
    <row r="669" spans="1:11" x14ac:dyDescent="0.3">
      <c r="A669" t="s">
        <v>232</v>
      </c>
      <c r="B669">
        <v>2008</v>
      </c>
      <c r="C669">
        <v>1.8899336001500268E-2</v>
      </c>
      <c r="D669">
        <v>0.18330194430302302</v>
      </c>
      <c r="E669">
        <v>-3.0537492503338898E-2</v>
      </c>
      <c r="F669">
        <v>3.4084620419840277E-2</v>
      </c>
      <c r="G669">
        <v>0.86159770817212289</v>
      </c>
      <c r="H669">
        <v>15.585526507582649</v>
      </c>
      <c r="I669">
        <v>6.9918311233894734E-2</v>
      </c>
      <c r="J669">
        <v>5.5311860250143632E-2</v>
      </c>
      <c r="K669">
        <v>0</v>
      </c>
    </row>
    <row r="670" spans="1:11" x14ac:dyDescent="0.3">
      <c r="A670" t="s">
        <v>233</v>
      </c>
      <c r="B670">
        <v>2007</v>
      </c>
      <c r="C670">
        <v>3.8400043810106754E-2</v>
      </c>
      <c r="D670">
        <v>8.816861969396006E-2</v>
      </c>
      <c r="E670">
        <v>0.1791774877745887</v>
      </c>
      <c r="F670">
        <v>3.277028045746902E-2</v>
      </c>
      <c r="G670">
        <v>1.3320862414429053</v>
      </c>
      <c r="H670">
        <v>16.954539042740116</v>
      </c>
      <c r="I670">
        <v>2.2533904218833868E-2</v>
      </c>
      <c r="J670">
        <v>0</v>
      </c>
      <c r="K670">
        <v>0</v>
      </c>
    </row>
    <row r="671" spans="1:11" x14ac:dyDescent="0.3">
      <c r="A671" t="s">
        <v>233</v>
      </c>
      <c r="B671">
        <v>2009</v>
      </c>
      <c r="C671">
        <v>1.2276759625049673E-2</v>
      </c>
      <c r="D671">
        <v>5.8362641822984514E-2</v>
      </c>
      <c r="E671">
        <v>-7.124000412266851E-2</v>
      </c>
      <c r="F671">
        <v>0.6099354186102357</v>
      </c>
      <c r="G671">
        <v>0.88102743699648722</v>
      </c>
      <c r="H671">
        <v>17.443724514426371</v>
      </c>
      <c r="I671">
        <v>4.0711250713067505E-3</v>
      </c>
      <c r="J671">
        <v>0</v>
      </c>
      <c r="K671">
        <v>0</v>
      </c>
    </row>
    <row r="672" spans="1:11" x14ac:dyDescent="0.3">
      <c r="A672" t="s">
        <v>233</v>
      </c>
      <c r="B672">
        <v>2010</v>
      </c>
      <c r="C672">
        <v>5.4797069914344415E-3</v>
      </c>
      <c r="D672">
        <v>6.1424928287363748E-2</v>
      </c>
      <c r="E672">
        <v>-0.15155101370612215</v>
      </c>
      <c r="F672">
        <v>0.64060517900142044</v>
      </c>
      <c r="G672">
        <v>0.9186491745099572</v>
      </c>
      <c r="H672">
        <v>17.464633179238447</v>
      </c>
      <c r="I672">
        <v>5.5103105080544466E-3</v>
      </c>
      <c r="J672">
        <v>0</v>
      </c>
      <c r="K672">
        <v>0</v>
      </c>
    </row>
    <row r="673" spans="1:11" x14ac:dyDescent="0.3">
      <c r="A673" t="s">
        <v>234</v>
      </c>
      <c r="B673">
        <v>2007</v>
      </c>
      <c r="C673">
        <v>2.1359616228225339E-2</v>
      </c>
      <c r="D673">
        <v>0.13684690166555818</v>
      </c>
      <c r="E673">
        <v>0.13503558945476674</v>
      </c>
      <c r="F673">
        <v>8.6933646539403123E-2</v>
      </c>
      <c r="G673">
        <v>1.4409338729534296</v>
      </c>
      <c r="H673">
        <v>15.077756987384193</v>
      </c>
      <c r="I673">
        <v>2.4579158093465964E-2</v>
      </c>
      <c r="J673">
        <v>2.705081579803869E-2</v>
      </c>
      <c r="K673">
        <v>0</v>
      </c>
    </row>
    <row r="674" spans="1:11" x14ac:dyDescent="0.3">
      <c r="A674" t="s">
        <v>234</v>
      </c>
      <c r="B674">
        <v>2008</v>
      </c>
      <c r="C674">
        <v>1.4953198944931089E-2</v>
      </c>
      <c r="D674">
        <v>5.3218957376685569E-2</v>
      </c>
      <c r="E674">
        <v>3.7802300313102355E-3</v>
      </c>
      <c r="F674">
        <v>0.1533163269380981</v>
      </c>
      <c r="G674">
        <v>0.75638582078295902</v>
      </c>
      <c r="H674">
        <v>15.293078097516453</v>
      </c>
      <c r="I674">
        <v>1.3154052985900409E-2</v>
      </c>
      <c r="J674">
        <v>0</v>
      </c>
      <c r="K674">
        <v>0</v>
      </c>
    </row>
    <row r="675" spans="1:11" x14ac:dyDescent="0.3">
      <c r="A675" t="s">
        <v>234</v>
      </c>
      <c r="B675">
        <v>2009</v>
      </c>
      <c r="C675">
        <v>1.2794112376699954E-2</v>
      </c>
      <c r="D675">
        <v>9.546728055806776E-2</v>
      </c>
      <c r="E675">
        <v>5.7433630370759207E-2</v>
      </c>
      <c r="F675">
        <v>0.37207405486654399</v>
      </c>
      <c r="G675">
        <v>0.77469755518592776</v>
      </c>
      <c r="H675">
        <v>15.372287925960839</v>
      </c>
      <c r="I675">
        <v>2.4833825217919214E-3</v>
      </c>
      <c r="J675">
        <v>0</v>
      </c>
      <c r="K675">
        <v>0</v>
      </c>
    </row>
    <row r="676" spans="1:11" x14ac:dyDescent="0.3">
      <c r="A676" t="s">
        <v>234</v>
      </c>
      <c r="B676">
        <v>2010</v>
      </c>
      <c r="C676">
        <v>1.1045372038113245E-2</v>
      </c>
      <c r="D676">
        <v>0.10633466044415769</v>
      </c>
      <c r="E676">
        <v>-7.8834870946895869E-2</v>
      </c>
      <c r="F676">
        <v>0.43266351945343812</v>
      </c>
      <c r="G676">
        <v>0.74913524034060064</v>
      </c>
      <c r="H676">
        <v>15.396017784850232</v>
      </c>
      <c r="I676">
        <v>1.5010090311207034E-2</v>
      </c>
      <c r="J676">
        <v>0</v>
      </c>
      <c r="K676">
        <v>0</v>
      </c>
    </row>
    <row r="677" spans="1:11" x14ac:dyDescent="0.3">
      <c r="A677" t="s">
        <v>235</v>
      </c>
      <c r="B677">
        <v>2007</v>
      </c>
      <c r="C677">
        <v>2.2451348341908216E-3</v>
      </c>
      <c r="D677">
        <v>4.2800360101283366E-2</v>
      </c>
      <c r="E677">
        <v>0.35661458257137385</v>
      </c>
      <c r="F677">
        <v>0.11560936018285752</v>
      </c>
      <c r="G677">
        <v>0.80841899183120192</v>
      </c>
      <c r="H677">
        <v>17.761825438215443</v>
      </c>
      <c r="I677">
        <v>8.5076497743763572E-3</v>
      </c>
      <c r="J677">
        <v>7.3498292982085321E-3</v>
      </c>
      <c r="K677">
        <v>0</v>
      </c>
    </row>
    <row r="678" spans="1:11" x14ac:dyDescent="0.3">
      <c r="A678" t="s">
        <v>235</v>
      </c>
      <c r="B678">
        <v>2008</v>
      </c>
      <c r="C678">
        <v>4.3538993202422464E-3</v>
      </c>
      <c r="D678">
        <v>2.9586905020593759E-2</v>
      </c>
      <c r="E678">
        <v>0.25041810489094535</v>
      </c>
      <c r="F678">
        <v>0.19780818678168846</v>
      </c>
      <c r="G678">
        <v>0.52517742776354959</v>
      </c>
      <c r="H678">
        <v>17.766618382697168</v>
      </c>
      <c r="I678">
        <v>4.1022241625863539E-3</v>
      </c>
      <c r="J678">
        <v>0</v>
      </c>
      <c r="K678">
        <v>0</v>
      </c>
    </row>
    <row r="679" spans="1:11" x14ac:dyDescent="0.3">
      <c r="A679" t="s">
        <v>235</v>
      </c>
      <c r="B679">
        <v>2009</v>
      </c>
      <c r="C679">
        <v>5.9500172472857753E-3</v>
      </c>
      <c r="D679">
        <v>4.7172876707757119E-2</v>
      </c>
      <c r="E679">
        <v>-6.820836490168683E-2</v>
      </c>
      <c r="F679">
        <v>0.43419184817501105</v>
      </c>
      <c r="G679">
        <v>0.74128632564243302</v>
      </c>
      <c r="H679">
        <v>17.596690485438316</v>
      </c>
      <c r="I679">
        <v>3.2115651120725661E-4</v>
      </c>
      <c r="J679">
        <v>0</v>
      </c>
      <c r="K679">
        <v>0</v>
      </c>
    </row>
    <row r="680" spans="1:11" x14ac:dyDescent="0.3">
      <c r="A680" t="s">
        <v>235</v>
      </c>
      <c r="B680">
        <v>2010</v>
      </c>
      <c r="C680">
        <v>5.4223069379347516E-3</v>
      </c>
      <c r="D680">
        <v>4.0220718837273545E-2</v>
      </c>
      <c r="E680">
        <v>4.6107859163134104E-2</v>
      </c>
      <c r="F680">
        <v>0.36457440844017497</v>
      </c>
      <c r="G680">
        <v>0.67172179537168564</v>
      </c>
      <c r="H680">
        <v>17.696922674301547</v>
      </c>
      <c r="I680">
        <v>2.3074986514274795E-4</v>
      </c>
      <c r="J680">
        <v>0</v>
      </c>
      <c r="K680">
        <v>0</v>
      </c>
    </row>
    <row r="681" spans="1:11" x14ac:dyDescent="0.3">
      <c r="A681" t="s">
        <v>236</v>
      </c>
      <c r="B681">
        <v>2007</v>
      </c>
      <c r="C681">
        <v>1.3971109507915636E-3</v>
      </c>
      <c r="D681">
        <v>6.7512153301872047E-2</v>
      </c>
      <c r="E681">
        <v>-0.14987546809612579</v>
      </c>
      <c r="F681">
        <v>2.3445312557739198E-3</v>
      </c>
      <c r="G681">
        <v>0.60192087832371699</v>
      </c>
      <c r="H681">
        <v>15.07339581368951</v>
      </c>
      <c r="I681">
        <v>1.4209464279596115E-4</v>
      </c>
      <c r="J681">
        <v>0</v>
      </c>
      <c r="K681">
        <v>0</v>
      </c>
    </row>
    <row r="682" spans="1:11" x14ac:dyDescent="0.3">
      <c r="A682" t="s">
        <v>236</v>
      </c>
      <c r="B682">
        <v>2008</v>
      </c>
      <c r="C682">
        <v>2.0085218527739223E-3</v>
      </c>
      <c r="D682">
        <v>5.717396352560606E-2</v>
      </c>
      <c r="E682">
        <v>-0.28182793201959272</v>
      </c>
      <c r="F682">
        <v>7.204367854577661E-3</v>
      </c>
      <c r="G682">
        <v>0.56562723104589807</v>
      </c>
      <c r="H682">
        <v>15.347910826328317</v>
      </c>
      <c r="I682">
        <v>1.4167076023464439E-2</v>
      </c>
      <c r="J682">
        <v>0</v>
      </c>
      <c r="K682">
        <v>0</v>
      </c>
    </row>
    <row r="683" spans="1:11" x14ac:dyDescent="0.3">
      <c r="A683" t="s">
        <v>236</v>
      </c>
      <c r="B683">
        <v>2009</v>
      </c>
      <c r="C683">
        <v>4.8115794037458469E-4</v>
      </c>
      <c r="D683">
        <v>2.6237589638960904E-2</v>
      </c>
      <c r="E683">
        <v>-8.0471251879558281E-2</v>
      </c>
      <c r="F683">
        <v>0.18672834828560261</v>
      </c>
      <c r="G683">
        <v>0.56718276525038291</v>
      </c>
      <c r="H683">
        <v>15.30927697886278</v>
      </c>
      <c r="I683">
        <v>3.438676869519635E-4</v>
      </c>
      <c r="J683">
        <v>0</v>
      </c>
      <c r="K683">
        <v>0</v>
      </c>
    </row>
    <row r="684" spans="1:11" x14ac:dyDescent="0.3">
      <c r="A684" t="s">
        <v>236</v>
      </c>
      <c r="B684">
        <v>2010</v>
      </c>
      <c r="C684">
        <v>3.4458574246626449E-6</v>
      </c>
      <c r="D684">
        <v>2.4913319456482612E-2</v>
      </c>
      <c r="E684">
        <v>-7.6550411860365583E-2</v>
      </c>
      <c r="F684">
        <v>0.18872524639603516</v>
      </c>
      <c r="G684">
        <v>0.55674723923646241</v>
      </c>
      <c r="H684">
        <v>15.286387995971456</v>
      </c>
      <c r="I684">
        <v>4.7799192226015558E-3</v>
      </c>
      <c r="J684">
        <v>0</v>
      </c>
      <c r="K684">
        <v>0</v>
      </c>
    </row>
    <row r="685" spans="1:11" x14ac:dyDescent="0.3">
      <c r="A685" t="s">
        <v>237</v>
      </c>
      <c r="B685">
        <v>2007</v>
      </c>
      <c r="C685">
        <v>4.6315263205405069E-3</v>
      </c>
      <c r="D685">
        <v>0.16713438237883949</v>
      </c>
      <c r="E685">
        <v>-0.41612909945629906</v>
      </c>
      <c r="F685">
        <v>0.12191392774395697</v>
      </c>
      <c r="G685">
        <v>1.3805942783604523</v>
      </c>
      <c r="H685">
        <v>14.922181289984545</v>
      </c>
      <c r="I685">
        <v>3.644689793702055E-3</v>
      </c>
      <c r="J685">
        <v>0</v>
      </c>
      <c r="K685">
        <v>0</v>
      </c>
    </row>
    <row r="686" spans="1:11" x14ac:dyDescent="0.3">
      <c r="A686" t="s">
        <v>237</v>
      </c>
      <c r="B686">
        <v>2009</v>
      </c>
      <c r="C686">
        <v>1.2511757071957648E-3</v>
      </c>
      <c r="D686">
        <v>0.17534837656150254</v>
      </c>
      <c r="E686">
        <v>-0.27014750413580385</v>
      </c>
      <c r="F686">
        <v>0.61482877788250079</v>
      </c>
      <c r="G686">
        <v>1.1436003996514696</v>
      </c>
      <c r="H686">
        <v>14.943905895573417</v>
      </c>
      <c r="I686">
        <v>1.0820609231491474E-2</v>
      </c>
      <c r="J686">
        <v>0</v>
      </c>
      <c r="K686">
        <v>0</v>
      </c>
    </row>
    <row r="687" spans="1:11" x14ac:dyDescent="0.3">
      <c r="A687" t="s">
        <v>237</v>
      </c>
      <c r="B687">
        <v>2010</v>
      </c>
      <c r="C687">
        <v>1.2501765226813498E-3</v>
      </c>
      <c r="D687">
        <v>0.21012369125754099</v>
      </c>
      <c r="E687">
        <v>-0.45683212066100648</v>
      </c>
      <c r="F687">
        <v>0.62710160975487439</v>
      </c>
      <c r="G687">
        <v>1.0613899527909061</v>
      </c>
      <c r="H687">
        <v>14.924327930511792</v>
      </c>
      <c r="I687">
        <v>1.7018389285163457E-2</v>
      </c>
      <c r="J687">
        <v>0</v>
      </c>
      <c r="K687">
        <v>0</v>
      </c>
    </row>
    <row r="688" spans="1:11" x14ac:dyDescent="0.3">
      <c r="A688" t="s">
        <v>238</v>
      </c>
      <c r="B688">
        <v>2007</v>
      </c>
      <c r="C688">
        <v>1.0119971991451768E-2</v>
      </c>
      <c r="D688">
        <v>2.8321291724822503E-2</v>
      </c>
      <c r="E688">
        <v>-0.16117715226475146</v>
      </c>
      <c r="F688">
        <v>0.28311096800758911</v>
      </c>
      <c r="G688">
        <v>0.86856532404354314</v>
      </c>
      <c r="H688">
        <v>16.915040166044832</v>
      </c>
      <c r="I688">
        <v>7.607544514948196E-4</v>
      </c>
      <c r="J688">
        <v>0</v>
      </c>
      <c r="K688">
        <v>0</v>
      </c>
    </row>
    <row r="689" spans="1:11" x14ac:dyDescent="0.3">
      <c r="A689" t="s">
        <v>238</v>
      </c>
      <c r="B689">
        <v>2008</v>
      </c>
      <c r="C689">
        <v>6.1344438620787563E-3</v>
      </c>
      <c r="D689">
        <v>5.1934222466458999E-2</v>
      </c>
      <c r="E689">
        <v>-0.24938236563482438</v>
      </c>
      <c r="F689">
        <v>0.26431076789427577</v>
      </c>
      <c r="G689">
        <v>0.66496152784910822</v>
      </c>
      <c r="H689">
        <v>16.888717028004699</v>
      </c>
      <c r="I689">
        <v>3.985071189259639E-3</v>
      </c>
      <c r="J689">
        <v>0</v>
      </c>
      <c r="K689">
        <v>0</v>
      </c>
    </row>
    <row r="690" spans="1:11" x14ac:dyDescent="0.3">
      <c r="A690" t="s">
        <v>238</v>
      </c>
      <c r="B690">
        <v>2009</v>
      </c>
      <c r="C690">
        <v>5.6634052460919539E-3</v>
      </c>
      <c r="D690">
        <v>3.908898405147003E-2</v>
      </c>
      <c r="E690">
        <v>-0.1666993568098569</v>
      </c>
      <c r="F690">
        <v>0.37000195029579486</v>
      </c>
      <c r="G690">
        <v>0.66046688331063541</v>
      </c>
      <c r="H690">
        <v>16.888052194485176</v>
      </c>
      <c r="I690">
        <v>1.1572662797484697E-3</v>
      </c>
      <c r="J690">
        <v>0</v>
      </c>
      <c r="K690">
        <v>0</v>
      </c>
    </row>
    <row r="691" spans="1:11" x14ac:dyDescent="0.3">
      <c r="A691" t="s">
        <v>238</v>
      </c>
      <c r="B691">
        <v>2010</v>
      </c>
      <c r="C691">
        <v>2.9045304752886346E-3</v>
      </c>
      <c r="D691">
        <v>4.3531827790897953E-2</v>
      </c>
      <c r="E691">
        <v>-0.21924686525280523</v>
      </c>
      <c r="F691">
        <v>0.37809194542879054</v>
      </c>
      <c r="G691">
        <v>0.67066611287514499</v>
      </c>
      <c r="H691">
        <v>16.853797691759095</v>
      </c>
      <c r="I691">
        <v>2.860460087023552E-3</v>
      </c>
      <c r="J691">
        <v>0</v>
      </c>
      <c r="K691">
        <v>0</v>
      </c>
    </row>
    <row r="692" spans="1:11" x14ac:dyDescent="0.3">
      <c r="A692" t="s">
        <v>239</v>
      </c>
      <c r="B692">
        <v>2007</v>
      </c>
      <c r="C692">
        <v>6.6107424701844553E-2</v>
      </c>
      <c r="D692">
        <v>0.16742481433245926</v>
      </c>
      <c r="E692">
        <v>3.4020717772839416E-2</v>
      </c>
      <c r="F692">
        <v>5.8667130783440782E-2</v>
      </c>
      <c r="G692">
        <v>1.2799014105983608</v>
      </c>
      <c r="H692">
        <v>15.671916042552189</v>
      </c>
      <c r="I692">
        <v>2.7029255144006694E-2</v>
      </c>
      <c r="J692">
        <v>0</v>
      </c>
      <c r="K692">
        <v>0</v>
      </c>
    </row>
    <row r="693" spans="1:11" x14ac:dyDescent="0.3">
      <c r="A693" t="s">
        <v>239</v>
      </c>
      <c r="B693">
        <v>2008</v>
      </c>
      <c r="C693">
        <v>0.30381879053607402</v>
      </c>
      <c r="D693">
        <v>6.0798942197004727E-2</v>
      </c>
      <c r="E693">
        <v>0.200922028700807</v>
      </c>
      <c r="F693">
        <v>0.11067210845114289</v>
      </c>
      <c r="G693">
        <v>0.52067431086917793</v>
      </c>
      <c r="H693">
        <v>16.337591999306326</v>
      </c>
      <c r="I693">
        <v>7.40879880085887E-3</v>
      </c>
      <c r="J693">
        <v>0</v>
      </c>
      <c r="K693">
        <v>0</v>
      </c>
    </row>
    <row r="694" spans="1:11" x14ac:dyDescent="0.3">
      <c r="A694" t="s">
        <v>239</v>
      </c>
      <c r="B694">
        <v>2009</v>
      </c>
      <c r="C694">
        <v>8.2039956074886067E-3</v>
      </c>
      <c r="D694">
        <v>8.0818125063850749E-2</v>
      </c>
      <c r="E694">
        <v>-4.5415147207462883E-2</v>
      </c>
      <c r="F694">
        <v>0.34108151255069535</v>
      </c>
      <c r="G694">
        <v>0.74724604820152252</v>
      </c>
      <c r="H694">
        <v>16.881072066489086</v>
      </c>
      <c r="I694">
        <v>2.8032151543749002E-2</v>
      </c>
      <c r="J694">
        <v>0</v>
      </c>
      <c r="K694">
        <v>0</v>
      </c>
    </row>
    <row r="695" spans="1:11" x14ac:dyDescent="0.3">
      <c r="A695" t="s">
        <v>239</v>
      </c>
      <c r="B695">
        <v>2010</v>
      </c>
      <c r="C695">
        <v>7.1776328296352812E-3</v>
      </c>
      <c r="D695">
        <v>2.4348059161615355E-2</v>
      </c>
      <c r="E695">
        <v>-7.1478606104503586E-2</v>
      </c>
      <c r="F695">
        <v>0.53196943734015822</v>
      </c>
      <c r="G695">
        <v>0.77110690855514963</v>
      </c>
      <c r="H695">
        <v>17.103165860886001</v>
      </c>
      <c r="I695">
        <v>9.0469056834555431E-4</v>
      </c>
      <c r="J695">
        <v>0</v>
      </c>
      <c r="K695">
        <v>0</v>
      </c>
    </row>
    <row r="696" spans="1:11" x14ac:dyDescent="0.3">
      <c r="A696" t="s">
        <v>240</v>
      </c>
      <c r="B696">
        <v>2007</v>
      </c>
      <c r="C696">
        <v>2.0035018433407603E-2</v>
      </c>
      <c r="D696">
        <v>3.9057507718794397E-2</v>
      </c>
      <c r="E696">
        <v>0.10932002114356741</v>
      </c>
      <c r="F696">
        <v>5.5873461222150048E-2</v>
      </c>
      <c r="G696">
        <v>1.0779328130018537</v>
      </c>
      <c r="H696">
        <v>14.54927315170802</v>
      </c>
      <c r="I696">
        <v>1.3912797945319527E-2</v>
      </c>
      <c r="J696">
        <v>6.5677566358106926E-2</v>
      </c>
      <c r="K696">
        <v>0</v>
      </c>
    </row>
    <row r="697" spans="1:11" x14ac:dyDescent="0.3">
      <c r="A697" t="s">
        <v>240</v>
      </c>
      <c r="B697">
        <v>2009</v>
      </c>
      <c r="C697">
        <v>7.5009704495706021E-3</v>
      </c>
      <c r="D697">
        <v>0.17645595272422759</v>
      </c>
      <c r="E697">
        <v>3.8657489087001812E-2</v>
      </c>
      <c r="F697">
        <v>0.26656665884675651</v>
      </c>
      <c r="G697">
        <v>2.3880020564699902</v>
      </c>
      <c r="H697">
        <v>14.772737069884865</v>
      </c>
      <c r="I697">
        <v>2.2192214435468052E-2</v>
      </c>
      <c r="J697">
        <v>0</v>
      </c>
      <c r="K697">
        <v>0</v>
      </c>
    </row>
    <row r="698" spans="1:11" x14ac:dyDescent="0.3">
      <c r="A698" t="s">
        <v>240</v>
      </c>
      <c r="B698">
        <v>2010</v>
      </c>
      <c r="C698">
        <v>6.3195756975262902E-3</v>
      </c>
      <c r="D698">
        <v>0.11438323131619718</v>
      </c>
      <c r="E698">
        <v>-0.12682127327889714</v>
      </c>
      <c r="F698">
        <v>0.42228017105830318</v>
      </c>
      <c r="G698">
        <v>0.80775883712633834</v>
      </c>
      <c r="H698">
        <v>14.954201524961595</v>
      </c>
      <c r="I698">
        <v>2.3709258860795272E-2</v>
      </c>
      <c r="J698">
        <v>0</v>
      </c>
      <c r="K698">
        <v>0</v>
      </c>
    </row>
    <row r="699" spans="1:11" x14ac:dyDescent="0.3">
      <c r="A699" t="s">
        <v>241</v>
      </c>
      <c r="B699">
        <v>2007</v>
      </c>
      <c r="C699">
        <v>9.1291431189022346E-2</v>
      </c>
      <c r="D699">
        <v>3.8874098445874902E-2</v>
      </c>
      <c r="E699">
        <v>-0.24051683652746522</v>
      </c>
      <c r="F699">
        <v>7.3796172147708075E-2</v>
      </c>
      <c r="G699">
        <v>0.99456557087172492</v>
      </c>
      <c r="H699">
        <v>15.922768729845052</v>
      </c>
      <c r="I699">
        <v>6.0212369811630806E-3</v>
      </c>
      <c r="J699">
        <v>0</v>
      </c>
      <c r="K699">
        <v>0</v>
      </c>
    </row>
    <row r="700" spans="1:11" x14ac:dyDescent="0.3">
      <c r="A700" t="s">
        <v>241</v>
      </c>
      <c r="B700">
        <v>2008</v>
      </c>
      <c r="C700">
        <v>1.5020416906640219E-2</v>
      </c>
      <c r="D700">
        <v>6.4526676821294884E-2</v>
      </c>
      <c r="E700">
        <v>0.60476876594778417</v>
      </c>
      <c r="F700">
        <v>0.10616503532637826</v>
      </c>
      <c r="G700">
        <v>1.1204070386526253</v>
      </c>
      <c r="H700">
        <v>16.159194503149951</v>
      </c>
      <c r="I700">
        <v>9.5440104773555842E-3</v>
      </c>
      <c r="J700">
        <v>0</v>
      </c>
      <c r="K700">
        <v>0</v>
      </c>
    </row>
    <row r="701" spans="1:11" x14ac:dyDescent="0.3">
      <c r="A701" t="s">
        <v>241</v>
      </c>
      <c r="B701">
        <v>2009</v>
      </c>
      <c r="C701">
        <v>6.1639044958847157E-3</v>
      </c>
      <c r="D701">
        <v>9.9875998355590939E-2</v>
      </c>
      <c r="E701">
        <v>-0.40490952576715361</v>
      </c>
      <c r="F701">
        <v>0.59360229129215769</v>
      </c>
      <c r="G701">
        <v>1.1528087922932562</v>
      </c>
      <c r="H701">
        <v>16.216028388848972</v>
      </c>
      <c r="I701">
        <v>3.2712686867377258E-2</v>
      </c>
      <c r="J701">
        <v>0</v>
      </c>
      <c r="K701">
        <v>0</v>
      </c>
    </row>
    <row r="702" spans="1:11" x14ac:dyDescent="0.3">
      <c r="A702" t="s">
        <v>241</v>
      </c>
      <c r="B702">
        <v>2010</v>
      </c>
      <c r="C702">
        <v>1.6359556112774452E-3</v>
      </c>
      <c r="D702">
        <v>0.18211962426263015</v>
      </c>
      <c r="E702">
        <v>-0.31077994918941648</v>
      </c>
      <c r="F702">
        <v>0.39785651121554366</v>
      </c>
      <c r="G702">
        <v>0.83991567941182366</v>
      </c>
      <c r="H702">
        <v>16.374450433064901</v>
      </c>
      <c r="I702">
        <v>3.4505105656767496E-2</v>
      </c>
      <c r="J702">
        <v>0</v>
      </c>
      <c r="K702">
        <v>0</v>
      </c>
    </row>
    <row r="703" spans="1:11" x14ac:dyDescent="0.3">
      <c r="A703" t="s">
        <v>242</v>
      </c>
      <c r="B703">
        <v>2007</v>
      </c>
      <c r="C703">
        <v>2.2577588398705321E-2</v>
      </c>
      <c r="D703">
        <v>2.9081165715801906E-2</v>
      </c>
      <c r="E703">
        <v>-3.6712923308467101E-2</v>
      </c>
      <c r="F703">
        <v>6.2164847669231728E-2</v>
      </c>
      <c r="G703">
        <v>1.491284040017659</v>
      </c>
      <c r="H703">
        <v>15.584395556612963</v>
      </c>
      <c r="I703">
        <v>5.6254032023934017E-3</v>
      </c>
      <c r="J703">
        <v>0</v>
      </c>
      <c r="K703">
        <v>0</v>
      </c>
    </row>
    <row r="704" spans="1:11" x14ac:dyDescent="0.3">
      <c r="A704" t="s">
        <v>242</v>
      </c>
      <c r="B704">
        <v>2008</v>
      </c>
      <c r="C704">
        <v>4.8524899457903616E-3</v>
      </c>
      <c r="D704">
        <v>5.0304954628989464E-2</v>
      </c>
      <c r="E704">
        <v>-0.12252461692611978</v>
      </c>
      <c r="F704">
        <v>0.22594200543263762</v>
      </c>
      <c r="G704">
        <v>0.94550149457214994</v>
      </c>
      <c r="H704">
        <v>15.846801362247799</v>
      </c>
      <c r="I704">
        <v>1.2146634011170755E-2</v>
      </c>
      <c r="J704">
        <v>0</v>
      </c>
      <c r="K704">
        <v>0</v>
      </c>
    </row>
    <row r="705" spans="1:11" x14ac:dyDescent="0.3">
      <c r="A705" t="s">
        <v>242</v>
      </c>
      <c r="B705">
        <v>2009</v>
      </c>
      <c r="C705">
        <v>3.9850924544695852E-3</v>
      </c>
      <c r="D705">
        <v>2.1232376884863745E-2</v>
      </c>
      <c r="E705">
        <v>-0.15080962154433433</v>
      </c>
      <c r="F705">
        <v>0.58789812373346273</v>
      </c>
      <c r="G705">
        <v>0.84367986551486895</v>
      </c>
      <c r="H705">
        <v>15.970163230951105</v>
      </c>
      <c r="I705">
        <v>1.693759810607785E-2</v>
      </c>
      <c r="J705">
        <v>0</v>
      </c>
      <c r="K705">
        <v>0</v>
      </c>
    </row>
    <row r="706" spans="1:11" x14ac:dyDescent="0.3">
      <c r="A706" t="s">
        <v>242</v>
      </c>
      <c r="B706">
        <v>2010</v>
      </c>
      <c r="C706">
        <v>3.2308050610027465E-3</v>
      </c>
      <c r="D706">
        <v>7.3550565062294057E-2</v>
      </c>
      <c r="E706">
        <v>-0.21160193603877611</v>
      </c>
      <c r="F706">
        <v>0.5825393329935965</v>
      </c>
      <c r="G706">
        <v>0.86980856598004463</v>
      </c>
      <c r="H706">
        <v>15.975769122842605</v>
      </c>
      <c r="I706">
        <v>8.1248535197162748E-3</v>
      </c>
      <c r="J706">
        <v>0</v>
      </c>
      <c r="K706">
        <v>0</v>
      </c>
    </row>
    <row r="707" spans="1:11" x14ac:dyDescent="0.3">
      <c r="A707" t="s">
        <v>243</v>
      </c>
      <c r="B707">
        <v>2009</v>
      </c>
      <c r="C707">
        <v>3.6165307137148075E-3</v>
      </c>
      <c r="D707">
        <v>9.6943840978818627E-2</v>
      </c>
      <c r="E707">
        <v>-0.2395215588845509</v>
      </c>
      <c r="F707">
        <v>0.34032923771798795</v>
      </c>
      <c r="G707">
        <v>0.65033580026393301</v>
      </c>
      <c r="H707">
        <v>16.796344551227783</v>
      </c>
      <c r="I707">
        <v>3.8331315298536298E-3</v>
      </c>
      <c r="J707">
        <v>0</v>
      </c>
      <c r="K707">
        <v>0</v>
      </c>
    </row>
    <row r="708" spans="1:11" x14ac:dyDescent="0.3">
      <c r="A708" t="s">
        <v>243</v>
      </c>
      <c r="B708">
        <v>2010</v>
      </c>
      <c r="C708">
        <v>3.7263486069875293E-4</v>
      </c>
      <c r="D708">
        <v>7.9038171386195524E-2</v>
      </c>
      <c r="E708">
        <v>-0.33676649944925102</v>
      </c>
      <c r="F708">
        <v>0.38849527295144654</v>
      </c>
      <c r="G708">
        <v>0.76392490535956392</v>
      </c>
      <c r="H708">
        <v>16.786147973037863</v>
      </c>
      <c r="I708">
        <v>1.3859509161377029E-2</v>
      </c>
      <c r="J708">
        <v>0</v>
      </c>
      <c r="K708">
        <v>0</v>
      </c>
    </row>
    <row r="709" spans="1:11" x14ac:dyDescent="0.3">
      <c r="A709" t="s">
        <v>244</v>
      </c>
      <c r="B709">
        <v>2007</v>
      </c>
      <c r="C709">
        <v>4.817172729913017E-2</v>
      </c>
      <c r="D709">
        <v>0.13891732239309795</v>
      </c>
      <c r="E709">
        <v>-0.10248680198824736</v>
      </c>
      <c r="F709">
        <v>0.17414051545572981</v>
      </c>
      <c r="G709">
        <v>1.829320759122276</v>
      </c>
      <c r="H709">
        <v>17.062925675259194</v>
      </c>
      <c r="I709">
        <v>1.0630281571239563E-2</v>
      </c>
      <c r="J709">
        <v>1.2798245171069658E-2</v>
      </c>
      <c r="K709">
        <v>0</v>
      </c>
    </row>
    <row r="710" spans="1:11" x14ac:dyDescent="0.3">
      <c r="A710" t="s">
        <v>244</v>
      </c>
      <c r="B710">
        <v>2008</v>
      </c>
      <c r="C710">
        <v>7.8860485537663779E-3</v>
      </c>
      <c r="D710">
        <v>9.5954639427456481E-2</v>
      </c>
      <c r="E710">
        <v>-1.5793768254363422E-2</v>
      </c>
      <c r="F710">
        <v>0.11239719859246193</v>
      </c>
      <c r="G710">
        <v>0.75047461797594173</v>
      </c>
      <c r="H710">
        <v>17.348878064479585</v>
      </c>
      <c r="I710">
        <v>2.0843792571089301E-2</v>
      </c>
      <c r="J710">
        <v>9.4446187417334942E-3</v>
      </c>
      <c r="K710">
        <v>0</v>
      </c>
    </row>
    <row r="711" spans="1:11" x14ac:dyDescent="0.3">
      <c r="A711" t="s">
        <v>245</v>
      </c>
      <c r="B711">
        <v>2007</v>
      </c>
      <c r="C711">
        <v>5.2634354588608576E-3</v>
      </c>
      <c r="D711">
        <v>2.4716202697498406E-2</v>
      </c>
      <c r="E711">
        <v>-3.4903567329127048E-2</v>
      </c>
      <c r="F711">
        <v>7.7073815075273791E-2</v>
      </c>
      <c r="G711">
        <v>0.92122449766765968</v>
      </c>
      <c r="H711">
        <v>16.969825418776395</v>
      </c>
      <c r="I711">
        <v>2.1041823263881959E-2</v>
      </c>
      <c r="J711">
        <v>0</v>
      </c>
      <c r="K711">
        <v>0</v>
      </c>
    </row>
    <row r="712" spans="1:11" x14ac:dyDescent="0.3">
      <c r="A712" t="s">
        <v>245</v>
      </c>
      <c r="B712">
        <v>2008</v>
      </c>
      <c r="C712">
        <v>4.5463442889699781E-3</v>
      </c>
      <c r="D712">
        <v>8.5264126298235127E-2</v>
      </c>
      <c r="E712">
        <v>-5.8760087017367721E-2</v>
      </c>
      <c r="F712">
        <v>0.48325027328196585</v>
      </c>
      <c r="G712">
        <v>0.73865287429687276</v>
      </c>
      <c r="H712">
        <v>17.079419440766245</v>
      </c>
      <c r="I712">
        <v>5.326135708292136E-3</v>
      </c>
      <c r="J712">
        <v>0</v>
      </c>
      <c r="K712">
        <v>0</v>
      </c>
    </row>
    <row r="713" spans="1:11" x14ac:dyDescent="0.3">
      <c r="A713" t="s">
        <v>245</v>
      </c>
      <c r="B713">
        <v>2009</v>
      </c>
      <c r="C713">
        <v>3.8943389144189288E-3</v>
      </c>
      <c r="D713">
        <v>7.6588925116163387E-2</v>
      </c>
      <c r="E713">
        <v>-0.18502930418718205</v>
      </c>
      <c r="F713">
        <v>0.62362141096093593</v>
      </c>
      <c r="G713">
        <v>0.79245186692655945</v>
      </c>
      <c r="H713">
        <v>17.060476574451712</v>
      </c>
      <c r="I713">
        <v>2.1467560638002498E-2</v>
      </c>
      <c r="J713">
        <v>0</v>
      </c>
      <c r="K713">
        <v>0</v>
      </c>
    </row>
    <row r="714" spans="1:11" x14ac:dyDescent="0.3">
      <c r="A714" t="s">
        <v>245</v>
      </c>
      <c r="B714">
        <v>2010</v>
      </c>
      <c r="C714">
        <v>2.8141501301096549E-3</v>
      </c>
      <c r="D714">
        <v>0.13847461911348849</v>
      </c>
      <c r="E714">
        <v>-0.16654361585890767</v>
      </c>
      <c r="F714">
        <v>0.63298998670698714</v>
      </c>
      <c r="G714">
        <v>0.84419870164727895</v>
      </c>
      <c r="H714">
        <v>17.077250910760423</v>
      </c>
      <c r="I714">
        <v>9.2615843170277875E-3</v>
      </c>
      <c r="J714">
        <v>0</v>
      </c>
      <c r="K714">
        <v>0</v>
      </c>
    </row>
    <row r="715" spans="1:11" x14ac:dyDescent="0.3">
      <c r="A715" t="s">
        <v>246</v>
      </c>
      <c r="B715">
        <v>2007</v>
      </c>
      <c r="C715">
        <v>3.5478904411673333E-2</v>
      </c>
      <c r="D715">
        <v>6.5056523450388523E-2</v>
      </c>
      <c r="E715">
        <v>-0.49138081111926524</v>
      </c>
      <c r="F715">
        <v>0.11648468143011954</v>
      </c>
      <c r="G715">
        <v>1.3128946679849027</v>
      </c>
      <c r="H715">
        <v>15.968492598315208</v>
      </c>
      <c r="I715">
        <v>1.4409866105864947E-2</v>
      </c>
      <c r="J715">
        <v>0</v>
      </c>
      <c r="K715">
        <v>0</v>
      </c>
    </row>
    <row r="716" spans="1:11" x14ac:dyDescent="0.3">
      <c r="A716" t="s">
        <v>246</v>
      </c>
      <c r="B716">
        <v>2008</v>
      </c>
      <c r="C716">
        <v>1.3290218875198864E-2</v>
      </c>
      <c r="D716">
        <v>9.6377314148392526E-2</v>
      </c>
      <c r="E716">
        <v>-0.28733353328389</v>
      </c>
      <c r="F716">
        <v>0.16000035903251814</v>
      </c>
      <c r="G716">
        <v>1.0257211497558054</v>
      </c>
      <c r="H716">
        <v>16.164271830215533</v>
      </c>
      <c r="I716">
        <v>1.8722358033075058E-2</v>
      </c>
      <c r="J716">
        <v>0</v>
      </c>
      <c r="K716">
        <v>0</v>
      </c>
    </row>
    <row r="717" spans="1:11" x14ac:dyDescent="0.3">
      <c r="A717" t="s">
        <v>246</v>
      </c>
      <c r="B717">
        <v>2009</v>
      </c>
      <c r="C717">
        <v>1.5394868093826146E-2</v>
      </c>
      <c r="D717">
        <v>5.3598594629510193E-2</v>
      </c>
      <c r="E717">
        <v>-0.2385598624781039</v>
      </c>
      <c r="F717">
        <v>0.34484941340780501</v>
      </c>
      <c r="G717">
        <v>0.7632000590660718</v>
      </c>
      <c r="H717">
        <v>16.152278116507336</v>
      </c>
      <c r="I717">
        <v>2.2609161547969395E-2</v>
      </c>
      <c r="J717">
        <v>0</v>
      </c>
      <c r="K717">
        <v>0</v>
      </c>
    </row>
    <row r="718" spans="1:11" x14ac:dyDescent="0.3">
      <c r="A718" t="s">
        <v>246</v>
      </c>
      <c r="B718">
        <v>2010</v>
      </c>
      <c r="C718">
        <v>5.4110728261524341E-3</v>
      </c>
      <c r="D718">
        <v>0.12117212019105333</v>
      </c>
      <c r="E718">
        <v>-0.34616367991691244</v>
      </c>
      <c r="F718">
        <v>0.35748701224367568</v>
      </c>
      <c r="G718">
        <v>0.72582962229216352</v>
      </c>
      <c r="H718">
        <v>16.150126540703152</v>
      </c>
      <c r="I718">
        <v>2.5548712290129668E-2</v>
      </c>
      <c r="J718">
        <v>0</v>
      </c>
      <c r="K718">
        <v>0</v>
      </c>
    </row>
    <row r="719" spans="1:11" x14ac:dyDescent="0.3">
      <c r="A719" t="s">
        <v>247</v>
      </c>
      <c r="B719">
        <v>2007</v>
      </c>
      <c r="C719">
        <v>2.5715033097021048E-4</v>
      </c>
      <c r="D719">
        <v>0.22692408301522063</v>
      </c>
      <c r="E719">
        <v>3.6842991988437102E-2</v>
      </c>
      <c r="F719">
        <v>0.31051656181140241</v>
      </c>
      <c r="G719">
        <v>0.74892715108468677</v>
      </c>
      <c r="H719">
        <v>14.628877802214021</v>
      </c>
      <c r="I719">
        <v>5.1960239988855191E-2</v>
      </c>
      <c r="J719">
        <v>0</v>
      </c>
      <c r="K719">
        <v>0</v>
      </c>
    </row>
    <row r="720" spans="1:11" x14ac:dyDescent="0.3">
      <c r="A720" t="s">
        <v>247</v>
      </c>
      <c r="B720">
        <v>2008</v>
      </c>
      <c r="C720">
        <v>2.2307639393385221E-3</v>
      </c>
      <c r="D720">
        <v>0.29642349617216612</v>
      </c>
      <c r="E720">
        <v>-0.16357291339850913</v>
      </c>
      <c r="F720">
        <v>0.23821424796444468</v>
      </c>
      <c r="G720">
        <v>0.59641542273949755</v>
      </c>
      <c r="H720">
        <v>14.90748251501596</v>
      </c>
      <c r="I720">
        <v>4.4686101233291899E-2</v>
      </c>
      <c r="J720">
        <v>0</v>
      </c>
      <c r="K720">
        <v>0</v>
      </c>
    </row>
    <row r="721" spans="1:11" x14ac:dyDescent="0.3">
      <c r="A721" t="s">
        <v>248</v>
      </c>
      <c r="B721">
        <v>2007</v>
      </c>
      <c r="C721">
        <v>5.0003462194281034E-3</v>
      </c>
      <c r="D721">
        <v>7.9469981333002496E-2</v>
      </c>
      <c r="E721">
        <v>-0.23244306854279129</v>
      </c>
      <c r="F721">
        <v>0.37652805387174304</v>
      </c>
      <c r="G721">
        <v>1.0015461221981472</v>
      </c>
      <c r="H721">
        <v>14.835371083109541</v>
      </c>
      <c r="I721">
        <v>4.6650174783289609E-2</v>
      </c>
      <c r="J721">
        <v>0</v>
      </c>
      <c r="K721">
        <v>0</v>
      </c>
    </row>
    <row r="722" spans="1:11" x14ac:dyDescent="0.3">
      <c r="A722" t="s">
        <v>248</v>
      </c>
      <c r="B722">
        <v>2008</v>
      </c>
      <c r="C722">
        <v>6.2527599334890101E-3</v>
      </c>
      <c r="D722">
        <v>0.22920632036126734</v>
      </c>
      <c r="E722">
        <v>-5.0821665137156198E-2</v>
      </c>
      <c r="F722">
        <v>0.28229953569513977</v>
      </c>
      <c r="G722">
        <v>0.95763822382947017</v>
      </c>
      <c r="H722">
        <v>14.827629517251099</v>
      </c>
      <c r="I722">
        <v>1.3915710963752076E-3</v>
      </c>
      <c r="J722">
        <v>0</v>
      </c>
      <c r="K722">
        <v>0</v>
      </c>
    </row>
    <row r="723" spans="1:11" x14ac:dyDescent="0.3">
      <c r="A723" t="s">
        <v>248</v>
      </c>
      <c r="B723">
        <v>2009</v>
      </c>
      <c r="C723">
        <v>1.2339887243403597E-2</v>
      </c>
      <c r="D723">
        <v>0.22981268663793181</v>
      </c>
      <c r="E723">
        <v>-4.552811489650261E-2</v>
      </c>
      <c r="F723">
        <v>0.4903759686385652</v>
      </c>
      <c r="G723">
        <v>0.98526703202523513</v>
      </c>
      <c r="H723">
        <v>14.84316912536401</v>
      </c>
      <c r="I723">
        <v>1.0406056198953142E-2</v>
      </c>
      <c r="J723">
        <v>0</v>
      </c>
      <c r="K723">
        <v>0</v>
      </c>
    </row>
    <row r="724" spans="1:11" x14ac:dyDescent="0.3">
      <c r="A724" t="s">
        <v>248</v>
      </c>
      <c r="B724">
        <v>2010</v>
      </c>
      <c r="C724">
        <v>6.0556973753129843E-3</v>
      </c>
      <c r="D724">
        <v>0.27233454372078142</v>
      </c>
      <c r="E724">
        <v>-0.19921157489869257</v>
      </c>
      <c r="F724">
        <v>0.56763561584806643</v>
      </c>
      <c r="G724">
        <v>1.0812535086759474</v>
      </c>
      <c r="H724">
        <v>14.793640796912239</v>
      </c>
      <c r="I724">
        <v>6.4132720378032304E-3</v>
      </c>
      <c r="J724">
        <v>0</v>
      </c>
      <c r="K724">
        <v>0</v>
      </c>
    </row>
    <row r="725" spans="1:11" x14ac:dyDescent="0.3">
      <c r="A725" t="s">
        <v>249</v>
      </c>
      <c r="B725">
        <v>2007</v>
      </c>
      <c r="C725">
        <v>4.8097823573483298E-4</v>
      </c>
      <c r="D725">
        <v>5.7371453941709137E-2</v>
      </c>
      <c r="E725">
        <v>-0.43777529066809728</v>
      </c>
      <c r="F725">
        <v>0</v>
      </c>
      <c r="G725">
        <v>0.84360474688520348</v>
      </c>
      <c r="H725">
        <v>13.20037016785029</v>
      </c>
      <c r="I725">
        <v>5.7804983492808215E-2</v>
      </c>
      <c r="J725">
        <v>0</v>
      </c>
      <c r="K725">
        <v>0</v>
      </c>
    </row>
    <row r="726" spans="1:11" x14ac:dyDescent="0.3">
      <c r="A726" t="s">
        <v>249</v>
      </c>
      <c r="B726">
        <v>2008</v>
      </c>
      <c r="C726">
        <v>2.1659270909397291E-3</v>
      </c>
      <c r="D726">
        <v>0.26876818513733641</v>
      </c>
      <c r="E726">
        <v>-0.11263045554120092</v>
      </c>
      <c r="F726">
        <v>0</v>
      </c>
      <c r="G726">
        <v>1.0377999213615683</v>
      </c>
      <c r="H726">
        <v>13.005998086273063</v>
      </c>
      <c r="I726">
        <v>0.24444504244406259</v>
      </c>
      <c r="J726">
        <v>0</v>
      </c>
      <c r="K726">
        <v>0</v>
      </c>
    </row>
    <row r="727" spans="1:11" x14ac:dyDescent="0.3">
      <c r="A727" t="s">
        <v>249</v>
      </c>
      <c r="B727">
        <v>2009</v>
      </c>
      <c r="C727">
        <v>8.1313638965640027E-3</v>
      </c>
      <c r="D727">
        <v>0.97045168734815668</v>
      </c>
      <c r="E727">
        <v>-9.6019057320706577E-2</v>
      </c>
      <c r="F727">
        <v>0.43014193827555586</v>
      </c>
      <c r="G727">
        <v>0.81678062896370185</v>
      </c>
      <c r="H727">
        <v>13.002935489720246</v>
      </c>
      <c r="I727">
        <v>0.31245059923784946</v>
      </c>
      <c r="J727">
        <v>0</v>
      </c>
      <c r="K727">
        <v>0</v>
      </c>
    </row>
    <row r="728" spans="1:11" x14ac:dyDescent="0.3">
      <c r="A728" t="s">
        <v>249</v>
      </c>
      <c r="B728">
        <v>2010</v>
      </c>
      <c r="C728">
        <v>1.6907555801464452E-3</v>
      </c>
      <c r="D728">
        <v>2.1303045378502469E-2</v>
      </c>
      <c r="E728">
        <v>-0.13915844540723582</v>
      </c>
      <c r="F728">
        <v>0.30020410174454154</v>
      </c>
      <c r="G728">
        <v>0.73323132599643559</v>
      </c>
      <c r="H728">
        <v>13.643804853089463</v>
      </c>
      <c r="I728">
        <v>9.9475828117018134E-3</v>
      </c>
      <c r="J728">
        <v>0</v>
      </c>
      <c r="K728">
        <v>0</v>
      </c>
    </row>
    <row r="729" spans="1:11" x14ac:dyDescent="0.3">
      <c r="A729" t="s">
        <v>250</v>
      </c>
      <c r="B729">
        <v>2010</v>
      </c>
      <c r="C729">
        <v>2.3898195322635069E-2</v>
      </c>
      <c r="D729">
        <v>0.26678528789399819</v>
      </c>
      <c r="E729">
        <v>0.28197778192276768</v>
      </c>
      <c r="F729">
        <v>1.6829648600332391E-2</v>
      </c>
      <c r="G729">
        <v>1.1114595755204348</v>
      </c>
      <c r="H729">
        <v>15.560490739854195</v>
      </c>
      <c r="I729">
        <v>9.1629287312542107E-3</v>
      </c>
      <c r="J729">
        <v>4.2345612516565406E-2</v>
      </c>
      <c r="K729">
        <v>0</v>
      </c>
    </row>
    <row r="730" spans="1:11" x14ac:dyDescent="0.3">
      <c r="A730" t="s">
        <v>251</v>
      </c>
      <c r="B730">
        <v>2007</v>
      </c>
      <c r="C730">
        <v>1.7519888664517366E-2</v>
      </c>
      <c r="D730">
        <v>9.5505421328276732E-2</v>
      </c>
      <c r="E730">
        <v>-0.25514220500744128</v>
      </c>
      <c r="F730">
        <v>5.1901840342696987E-2</v>
      </c>
      <c r="G730">
        <v>0.97558380517738963</v>
      </c>
      <c r="H730">
        <v>13.627356424717805</v>
      </c>
      <c r="I730">
        <v>4.3144792464901646E-3</v>
      </c>
      <c r="J730">
        <v>2.1950857406332267E-2</v>
      </c>
      <c r="K730">
        <v>0</v>
      </c>
    </row>
    <row r="731" spans="1:11" x14ac:dyDescent="0.3">
      <c r="A731" t="s">
        <v>251</v>
      </c>
      <c r="B731">
        <v>2010</v>
      </c>
      <c r="C731">
        <v>1.1273555902777012E-2</v>
      </c>
      <c r="D731">
        <v>8.5442556764464106E-2</v>
      </c>
      <c r="E731">
        <v>8.4604009599767282E-3</v>
      </c>
      <c r="F731">
        <v>0.35050830723662896</v>
      </c>
      <c r="G731">
        <v>0.78422385352641588</v>
      </c>
      <c r="H731">
        <v>13.718473087251542</v>
      </c>
      <c r="I731">
        <v>8.6454858458617084E-4</v>
      </c>
      <c r="J731">
        <v>0</v>
      </c>
      <c r="K731">
        <v>0</v>
      </c>
    </row>
    <row r="732" spans="1:11" x14ac:dyDescent="0.3">
      <c r="A732" t="s">
        <v>252</v>
      </c>
      <c r="B732">
        <v>2007</v>
      </c>
      <c r="C732">
        <v>4.9474478918861239E-2</v>
      </c>
      <c r="D732">
        <v>0.15763147528139734</v>
      </c>
      <c r="E732">
        <v>7.4009271622884815E-2</v>
      </c>
      <c r="F732">
        <v>0.2183859658354656</v>
      </c>
      <c r="G732">
        <v>1.34398700247979</v>
      </c>
      <c r="H732">
        <v>14.12905114844032</v>
      </c>
      <c r="I732">
        <v>6.8150353854571147E-3</v>
      </c>
      <c r="J732">
        <v>0</v>
      </c>
      <c r="K732">
        <v>0</v>
      </c>
    </row>
    <row r="733" spans="1:11" x14ac:dyDescent="0.3">
      <c r="A733" t="s">
        <v>252</v>
      </c>
      <c r="B733">
        <v>2009</v>
      </c>
      <c r="C733">
        <v>2.5960932886967755E-2</v>
      </c>
      <c r="D733">
        <v>4.7109102813265462E-2</v>
      </c>
      <c r="E733">
        <v>1.3961068433026113E-2</v>
      </c>
      <c r="F733">
        <v>0.59639370230538913</v>
      </c>
      <c r="G733">
        <v>0.91719838938976361</v>
      </c>
      <c r="H733">
        <v>15.555183611349548</v>
      </c>
      <c r="I733">
        <v>4.0337878718325684E-3</v>
      </c>
      <c r="J733">
        <v>0</v>
      </c>
      <c r="K733">
        <v>0</v>
      </c>
    </row>
    <row r="734" spans="1:11" x14ac:dyDescent="0.3">
      <c r="A734" t="s">
        <v>252</v>
      </c>
      <c r="B734">
        <v>2010</v>
      </c>
      <c r="C734">
        <v>1.3350331202921058E-2</v>
      </c>
      <c r="D734">
        <v>6.377377548615705E-2</v>
      </c>
      <c r="E734">
        <v>2.2625574600867119E-3</v>
      </c>
      <c r="F734">
        <v>0.59819730068909516</v>
      </c>
      <c r="G734">
        <v>0.89288177063665342</v>
      </c>
      <c r="H734">
        <v>15.544546036575849</v>
      </c>
      <c r="I734">
        <v>3.4395638941317648E-3</v>
      </c>
      <c r="J734">
        <v>0</v>
      </c>
      <c r="K734">
        <v>0</v>
      </c>
    </row>
    <row r="735" spans="1:11" x14ac:dyDescent="0.3">
      <c r="A735" t="s">
        <v>253</v>
      </c>
      <c r="B735">
        <v>2007</v>
      </c>
      <c r="C735">
        <v>1.1817471612164844E-2</v>
      </c>
      <c r="D735">
        <v>0.13841952798225779</v>
      </c>
      <c r="E735">
        <v>-0.1820392181954594</v>
      </c>
      <c r="F735">
        <v>0.12788070865613541</v>
      </c>
      <c r="G735">
        <v>1.0612727285861863</v>
      </c>
      <c r="H735">
        <v>13.784008538899284</v>
      </c>
      <c r="I735">
        <v>3.1351567550200361E-2</v>
      </c>
      <c r="J735">
        <v>1.1919639954633129E-2</v>
      </c>
      <c r="K735">
        <v>0</v>
      </c>
    </row>
    <row r="736" spans="1:11" x14ac:dyDescent="0.3">
      <c r="A736" t="s">
        <v>253</v>
      </c>
      <c r="B736">
        <v>2008</v>
      </c>
      <c r="C736">
        <v>5.0697302436697022E-3</v>
      </c>
      <c r="D736">
        <v>5.8615967075929247E-2</v>
      </c>
      <c r="E736">
        <v>-9.5732776818598389E-2</v>
      </c>
      <c r="F736">
        <v>0.13324431843535151</v>
      </c>
      <c r="G736">
        <v>0.68447605350504748</v>
      </c>
      <c r="H736">
        <v>13.96853031282261</v>
      </c>
      <c r="I736">
        <v>1.4349111433906466E-2</v>
      </c>
      <c r="J736">
        <v>0</v>
      </c>
      <c r="K736">
        <v>0</v>
      </c>
    </row>
    <row r="737" spans="1:11" x14ac:dyDescent="0.3">
      <c r="A737" t="s">
        <v>253</v>
      </c>
      <c r="B737">
        <v>2009</v>
      </c>
      <c r="C737">
        <v>7.7283640654703875E-3</v>
      </c>
      <c r="D737">
        <v>0.10425080051495723</v>
      </c>
      <c r="E737">
        <v>9.0526084730813071E-5</v>
      </c>
      <c r="F737">
        <v>0.2047724070084814</v>
      </c>
      <c r="G737">
        <v>0.75242475319625168</v>
      </c>
      <c r="H737">
        <v>14.037260338430995</v>
      </c>
      <c r="I737">
        <v>3.9944855449443609E-2</v>
      </c>
      <c r="J737">
        <v>0</v>
      </c>
      <c r="K737">
        <v>0</v>
      </c>
    </row>
    <row r="738" spans="1:11" x14ac:dyDescent="0.3">
      <c r="A738" t="s">
        <v>253</v>
      </c>
      <c r="B738">
        <v>2010</v>
      </c>
      <c r="C738">
        <v>1.0665463052992463E-2</v>
      </c>
      <c r="D738">
        <v>0.21588623506076807</v>
      </c>
      <c r="E738">
        <v>1.7450444357657906E-2</v>
      </c>
      <c r="F738">
        <v>9.7636320605753751E-2</v>
      </c>
      <c r="G738">
        <v>0.8942019477146117</v>
      </c>
      <c r="H738">
        <v>14.126503068731301</v>
      </c>
      <c r="I738">
        <v>1.2259856185287448E-2</v>
      </c>
      <c r="J738">
        <v>2.9620180263617773E-2</v>
      </c>
      <c r="K738">
        <v>0</v>
      </c>
    </row>
    <row r="739" spans="1:11" x14ac:dyDescent="0.3">
      <c r="A739" t="s">
        <v>254</v>
      </c>
      <c r="B739">
        <v>2007</v>
      </c>
      <c r="C739">
        <v>4.0837204524820911E-2</v>
      </c>
      <c r="D739">
        <v>0.40405050331011721</v>
      </c>
      <c r="E739">
        <v>0.74253235565039333</v>
      </c>
      <c r="F739">
        <v>6.032928873897456E-3</v>
      </c>
      <c r="G739">
        <v>2.2902623243053393</v>
      </c>
      <c r="H739">
        <v>14.003820813319054</v>
      </c>
      <c r="I739">
        <v>3.3947577437789436E-2</v>
      </c>
      <c r="J739">
        <v>3.4791021928284108E-2</v>
      </c>
      <c r="K739">
        <v>0</v>
      </c>
    </row>
    <row r="740" spans="1:11" x14ac:dyDescent="0.3">
      <c r="A740" t="s">
        <v>254</v>
      </c>
      <c r="B740">
        <v>2008</v>
      </c>
      <c r="C740">
        <v>0.11100879899315814</v>
      </c>
      <c r="D740">
        <v>0.30508137097936028</v>
      </c>
      <c r="E740">
        <v>0.63648225115050161</v>
      </c>
      <c r="F740">
        <v>5.6410597934669444E-3</v>
      </c>
      <c r="G740">
        <v>0.66270168776486005</v>
      </c>
      <c r="H740">
        <v>14.201814592936373</v>
      </c>
      <c r="I740">
        <v>2.0765108313034152E-2</v>
      </c>
      <c r="J740">
        <v>1.6309533193977432E-2</v>
      </c>
      <c r="K740">
        <v>0</v>
      </c>
    </row>
    <row r="741" spans="1:11" x14ac:dyDescent="0.3">
      <c r="A741" t="s">
        <v>254</v>
      </c>
      <c r="B741">
        <v>2009</v>
      </c>
      <c r="C741">
        <v>0.13499982949354797</v>
      </c>
      <c r="D741">
        <v>0.26161672423004373</v>
      </c>
      <c r="E741">
        <v>0.54961348879533301</v>
      </c>
      <c r="F741">
        <v>0</v>
      </c>
      <c r="G741">
        <v>1.1752036056431054</v>
      </c>
      <c r="H741">
        <v>14.329226600442512</v>
      </c>
      <c r="I741">
        <v>3.8331757141515085E-2</v>
      </c>
      <c r="J741">
        <v>3.4460251356423693E-2</v>
      </c>
      <c r="K741">
        <v>0</v>
      </c>
    </row>
    <row r="742" spans="1:11" x14ac:dyDescent="0.3">
      <c r="A742" t="s">
        <v>254</v>
      </c>
      <c r="B742">
        <v>2010</v>
      </c>
      <c r="C742">
        <v>8.9816768358638083E-2</v>
      </c>
      <c r="D742">
        <v>0.34009253465397205</v>
      </c>
      <c r="E742">
        <v>0.69724698936712159</v>
      </c>
      <c r="F742">
        <v>0</v>
      </c>
      <c r="G742">
        <v>1.1755367963656074</v>
      </c>
      <c r="H742">
        <v>14.580729531929428</v>
      </c>
      <c r="I742">
        <v>2.606396562039787E-2</v>
      </c>
      <c r="J742">
        <v>6.0294073176348537E-2</v>
      </c>
      <c r="K742">
        <v>0</v>
      </c>
    </row>
    <row r="743" spans="1:11" x14ac:dyDescent="0.3">
      <c r="A743" t="s">
        <v>256</v>
      </c>
      <c r="B743">
        <v>2007</v>
      </c>
      <c r="C743">
        <v>4.9654282998032422E-2</v>
      </c>
      <c r="D743">
        <v>0.20675889317596213</v>
      </c>
      <c r="E743">
        <v>3.3105944849465468E-2</v>
      </c>
      <c r="F743">
        <v>0.22668230845212528</v>
      </c>
      <c r="G743">
        <v>1.7598544572468162</v>
      </c>
      <c r="H743">
        <v>13.534793506673784</v>
      </c>
      <c r="I743">
        <v>9.4805271977441014E-3</v>
      </c>
      <c r="J743">
        <v>4.8306370673241159E-2</v>
      </c>
      <c r="K743">
        <v>0</v>
      </c>
    </row>
    <row r="744" spans="1:11" x14ac:dyDescent="0.3">
      <c r="A744" t="s">
        <v>256</v>
      </c>
      <c r="B744">
        <v>2008</v>
      </c>
      <c r="C744">
        <v>4.0832460455310852E-2</v>
      </c>
      <c r="D744">
        <v>0.16557888386523648</v>
      </c>
      <c r="E744">
        <v>5.1573832221794992E-2</v>
      </c>
      <c r="F744">
        <v>0.25937901910608452</v>
      </c>
      <c r="G744">
        <v>1.0598962573421198</v>
      </c>
      <c r="H744">
        <v>14.003429752046699</v>
      </c>
      <c r="I744">
        <v>1.3270344836050076E-2</v>
      </c>
      <c r="J744">
        <v>4.3460210021081663E-2</v>
      </c>
      <c r="K744">
        <v>0</v>
      </c>
    </row>
    <row r="745" spans="1:11" x14ac:dyDescent="0.3">
      <c r="A745" t="s">
        <v>256</v>
      </c>
      <c r="B745">
        <v>2009</v>
      </c>
      <c r="C745">
        <v>2.3557786781319128E-2</v>
      </c>
      <c r="D745">
        <v>0.25762721261938093</v>
      </c>
      <c r="E745">
        <v>0.12493650274658745</v>
      </c>
      <c r="F745">
        <v>8.4485796591899587E-2</v>
      </c>
      <c r="G745">
        <v>1.4564467793133082</v>
      </c>
      <c r="H745">
        <v>14.019618883454459</v>
      </c>
      <c r="I745">
        <v>1.29012016579622E-2</v>
      </c>
      <c r="J745">
        <v>5.7015845163731184E-2</v>
      </c>
      <c r="K745">
        <v>0</v>
      </c>
    </row>
    <row r="746" spans="1:11" x14ac:dyDescent="0.3">
      <c r="A746" t="s">
        <v>256</v>
      </c>
      <c r="B746">
        <v>2010</v>
      </c>
      <c r="C746">
        <v>1.9729315560722355E-2</v>
      </c>
      <c r="D746">
        <v>0.26124879453611105</v>
      </c>
      <c r="E746">
        <v>0.1400716012523614</v>
      </c>
      <c r="F746">
        <v>0.11532689538555028</v>
      </c>
      <c r="G746">
        <v>1.4889848805104562</v>
      </c>
      <c r="H746">
        <v>14.230226082075347</v>
      </c>
      <c r="I746">
        <v>1.6388001079947551E-2</v>
      </c>
      <c r="J746">
        <v>5.5425578292402605E-2</v>
      </c>
      <c r="K746">
        <v>0</v>
      </c>
    </row>
    <row r="747" spans="1:11" x14ac:dyDescent="0.3">
      <c r="A747" t="s">
        <v>257</v>
      </c>
      <c r="B747">
        <v>2007</v>
      </c>
      <c r="C747">
        <v>0.1144287199447033</v>
      </c>
      <c r="D747">
        <v>0.15711394493597763</v>
      </c>
      <c r="E747">
        <v>6.1447656329226934E-2</v>
      </c>
      <c r="F747">
        <v>5.7963117694012863E-2</v>
      </c>
      <c r="G747">
        <v>0.74732856558924776</v>
      </c>
      <c r="H747">
        <v>15.899522265508837</v>
      </c>
      <c r="I747">
        <v>4.8594982942407119E-3</v>
      </c>
      <c r="J747">
        <v>3.0706221314989027E-2</v>
      </c>
      <c r="K747">
        <v>0</v>
      </c>
    </row>
    <row r="748" spans="1:11" x14ac:dyDescent="0.3">
      <c r="A748" t="s">
        <v>257</v>
      </c>
      <c r="B748">
        <v>2009</v>
      </c>
      <c r="C748">
        <v>8.6228955622219342E-2</v>
      </c>
      <c r="D748">
        <v>8.9649791149915864E-2</v>
      </c>
      <c r="E748">
        <v>0.11100630255886573</v>
      </c>
      <c r="F748">
        <v>5.0808512471728448E-2</v>
      </c>
      <c r="G748">
        <v>1.4396791638896991</v>
      </c>
      <c r="H748">
        <v>15.814372675047144</v>
      </c>
      <c r="I748">
        <v>3.8505197545383112E-2</v>
      </c>
      <c r="J748">
        <v>1.9225399161835681E-2</v>
      </c>
      <c r="K748">
        <v>0</v>
      </c>
    </row>
    <row r="749" spans="1:11" x14ac:dyDescent="0.3">
      <c r="A749" t="s">
        <v>257</v>
      </c>
      <c r="B749">
        <v>2010</v>
      </c>
      <c r="C749">
        <v>0.1926671935994563</v>
      </c>
      <c r="D749">
        <v>0.17812213544832389</v>
      </c>
      <c r="E749">
        <v>0.20431666376446855</v>
      </c>
      <c r="F749">
        <v>6.0136517521845102E-2</v>
      </c>
      <c r="G749">
        <v>1.3410137315430761</v>
      </c>
      <c r="H749">
        <v>15.958193999281225</v>
      </c>
      <c r="I749">
        <v>5.0721818713777289E-3</v>
      </c>
      <c r="J749">
        <v>3.1912367071894876E-2</v>
      </c>
      <c r="K749">
        <v>0</v>
      </c>
    </row>
    <row r="750" spans="1:11" x14ac:dyDescent="0.3">
      <c r="A750" t="s">
        <v>258</v>
      </c>
      <c r="B750">
        <v>2007</v>
      </c>
      <c r="C750">
        <v>7.1362808788844295E-2</v>
      </c>
      <c r="D750">
        <v>0.23276678942359416</v>
      </c>
      <c r="E750">
        <v>0.34687590515992883</v>
      </c>
      <c r="F750">
        <v>3.181611288120164E-2</v>
      </c>
      <c r="G750">
        <v>1.5465469441800803</v>
      </c>
      <c r="H750">
        <v>13.781622799296917</v>
      </c>
      <c r="I750">
        <v>2.6855941696754312E-2</v>
      </c>
      <c r="J750">
        <v>2.7588240162204659E-2</v>
      </c>
      <c r="K750">
        <v>0</v>
      </c>
    </row>
    <row r="751" spans="1:11" x14ac:dyDescent="0.3">
      <c r="A751" t="s">
        <v>258</v>
      </c>
      <c r="B751">
        <v>2009</v>
      </c>
      <c r="C751">
        <v>3.1980059369077767E-2</v>
      </c>
      <c r="D751">
        <v>0.10108570781692858</v>
      </c>
      <c r="E751">
        <v>0.41211301088433094</v>
      </c>
      <c r="F751">
        <v>2.9035713686752646E-2</v>
      </c>
      <c r="G751">
        <v>0.246631297482684</v>
      </c>
      <c r="H751">
        <v>13.76845249284481</v>
      </c>
      <c r="I751">
        <v>3.3380846721446922E-2</v>
      </c>
      <c r="J751">
        <v>2.0964705586395425E-2</v>
      </c>
      <c r="K751">
        <v>0</v>
      </c>
    </row>
    <row r="752" spans="1:11" x14ac:dyDescent="0.3">
      <c r="A752" t="s">
        <v>258</v>
      </c>
      <c r="B752">
        <v>2010</v>
      </c>
      <c r="C752">
        <v>1.2243024581999183E-2</v>
      </c>
      <c r="D752">
        <v>0.19160427442496758</v>
      </c>
      <c r="E752">
        <v>0.43659533722474958</v>
      </c>
      <c r="F752">
        <v>1.957182551340679E-2</v>
      </c>
      <c r="G752">
        <v>0.68451918654167443</v>
      </c>
      <c r="H752">
        <v>13.826394116591247</v>
      </c>
      <c r="I752">
        <v>8.1202256108155735E-3</v>
      </c>
      <c r="J752">
        <v>2.6380320156527123E-2</v>
      </c>
      <c r="K752">
        <v>0</v>
      </c>
    </row>
    <row r="753" spans="1:11" x14ac:dyDescent="0.3">
      <c r="A753" t="s">
        <v>259</v>
      </c>
      <c r="B753">
        <v>2007</v>
      </c>
      <c r="C753">
        <v>4.0761475310647022E-3</v>
      </c>
      <c r="D753">
        <v>2.6329365458471064E-2</v>
      </c>
      <c r="E753">
        <v>8.3627898682257937E-2</v>
      </c>
      <c r="F753">
        <v>0.1207622395883091</v>
      </c>
      <c r="G753">
        <v>0.56630108718497429</v>
      </c>
      <c r="H753">
        <v>12.657218326130312</v>
      </c>
      <c r="I753">
        <v>2.9994317119429528E-3</v>
      </c>
      <c r="J753">
        <v>0</v>
      </c>
      <c r="K753">
        <v>0</v>
      </c>
    </row>
    <row r="754" spans="1:11" x14ac:dyDescent="0.3">
      <c r="A754" t="s">
        <v>259</v>
      </c>
      <c r="B754">
        <v>2009</v>
      </c>
      <c r="C754">
        <v>1.6783832077308079E-3</v>
      </c>
      <c r="D754">
        <v>2.0942124405258732E-2</v>
      </c>
      <c r="E754">
        <v>9.3540484591718973E-2</v>
      </c>
      <c r="F754">
        <v>0.23052307098928185</v>
      </c>
      <c r="G754">
        <v>0.46161712372727626</v>
      </c>
      <c r="H754">
        <v>12.712489565226406</v>
      </c>
      <c r="I754">
        <v>1.8520956731198516E-4</v>
      </c>
      <c r="J754">
        <v>0</v>
      </c>
      <c r="K754">
        <v>0</v>
      </c>
    </row>
    <row r="755" spans="1:11" x14ac:dyDescent="0.3">
      <c r="A755" t="s">
        <v>259</v>
      </c>
      <c r="B755">
        <v>2010</v>
      </c>
      <c r="C755">
        <v>3.9952868337276119E-3</v>
      </c>
      <c r="D755">
        <v>2.1948330854579434E-2</v>
      </c>
      <c r="E755">
        <v>0.108448259672441</v>
      </c>
      <c r="F755">
        <v>0.23172966538336881</v>
      </c>
      <c r="G755">
        <v>0.46909937935233342</v>
      </c>
      <c r="H755">
        <v>12.707269056878951</v>
      </c>
      <c r="I755">
        <v>4.7735575120406906E-4</v>
      </c>
      <c r="J755">
        <v>0</v>
      </c>
      <c r="K755">
        <v>0</v>
      </c>
    </row>
    <row r="756" spans="1:11" x14ac:dyDescent="0.3">
      <c r="A756" t="s">
        <v>260</v>
      </c>
      <c r="B756">
        <v>2007</v>
      </c>
      <c r="C756">
        <v>2.5475134809589753E-2</v>
      </c>
      <c r="D756">
        <v>8.0405064564675763E-2</v>
      </c>
      <c r="E756">
        <v>0.21551927717745958</v>
      </c>
      <c r="F756">
        <v>0.29098749509179905</v>
      </c>
      <c r="G756">
        <v>1.1372380487927574</v>
      </c>
      <c r="H756">
        <v>13.480931128852159</v>
      </c>
      <c r="I756">
        <v>3.7624716489090791E-3</v>
      </c>
      <c r="J756">
        <v>0</v>
      </c>
      <c r="K756">
        <v>0</v>
      </c>
    </row>
    <row r="757" spans="1:11" x14ac:dyDescent="0.3">
      <c r="A757" t="s">
        <v>260</v>
      </c>
      <c r="B757">
        <v>2009</v>
      </c>
      <c r="C757">
        <v>1.7553899581187762E-2</v>
      </c>
      <c r="D757">
        <v>9.0348093661035925E-2</v>
      </c>
      <c r="E757">
        <v>0.21764935345092565</v>
      </c>
      <c r="F757">
        <v>0.33969059086392456</v>
      </c>
      <c r="G757">
        <v>0.89722726627494065</v>
      </c>
      <c r="H757">
        <v>13.70421356736713</v>
      </c>
      <c r="I757">
        <v>2.1668885646666823E-2</v>
      </c>
      <c r="J757">
        <v>0</v>
      </c>
      <c r="K757">
        <v>0</v>
      </c>
    </row>
    <row r="758" spans="1:11" x14ac:dyDescent="0.3">
      <c r="A758" t="s">
        <v>260</v>
      </c>
      <c r="B758">
        <v>2010</v>
      </c>
      <c r="C758">
        <v>1.071999723874501E-2</v>
      </c>
      <c r="D758">
        <v>0.14634555572174221</v>
      </c>
      <c r="E758">
        <v>0.27602482828445529</v>
      </c>
      <c r="F758">
        <v>0.22622060893342691</v>
      </c>
      <c r="G758">
        <v>0.95335319902895865</v>
      </c>
      <c r="H758">
        <v>13.857615569066638</v>
      </c>
      <c r="I758">
        <v>4.7731728392825593E-3</v>
      </c>
      <c r="J758">
        <v>2.272666260148571E-2</v>
      </c>
      <c r="K758">
        <v>0</v>
      </c>
    </row>
    <row r="759" spans="1:11" x14ac:dyDescent="0.3">
      <c r="A759" t="s">
        <v>261</v>
      </c>
      <c r="B759">
        <v>2007</v>
      </c>
      <c r="C759">
        <v>2.4448017846735216E-2</v>
      </c>
      <c r="D759">
        <v>0.20478431521303977</v>
      </c>
      <c r="E759">
        <v>-0.46389516683386023</v>
      </c>
      <c r="F759">
        <v>1.3741822083181903E-2</v>
      </c>
      <c r="G759">
        <v>1.076550068611716</v>
      </c>
      <c r="H759">
        <v>14.483767018811928</v>
      </c>
      <c r="I759">
        <v>7.6129107261540513E-2</v>
      </c>
      <c r="J759">
        <v>0</v>
      </c>
      <c r="K759">
        <v>0</v>
      </c>
    </row>
    <row r="760" spans="1:11" x14ac:dyDescent="0.3">
      <c r="A760" t="s">
        <v>261</v>
      </c>
      <c r="B760">
        <v>2008</v>
      </c>
      <c r="C760">
        <v>2.0882580965484655E-2</v>
      </c>
      <c r="D760">
        <v>0.183883630525015</v>
      </c>
      <c r="E760">
        <v>-0.72902645220349949</v>
      </c>
      <c r="F760">
        <v>0.16352607957733331</v>
      </c>
      <c r="G760">
        <v>1.2275739859388053</v>
      </c>
      <c r="H760">
        <v>14.507647728635911</v>
      </c>
      <c r="I760">
        <v>6.4883325278975057E-2</v>
      </c>
      <c r="J760">
        <v>0</v>
      </c>
      <c r="K760">
        <v>0</v>
      </c>
    </row>
    <row r="761" spans="1:11" x14ac:dyDescent="0.3">
      <c r="A761" t="s">
        <v>261</v>
      </c>
      <c r="B761">
        <v>2009</v>
      </c>
      <c r="C761">
        <v>5.0169201544828972E-3</v>
      </c>
      <c r="D761">
        <v>0.5532995349578359</v>
      </c>
      <c r="E761">
        <v>-0.79502585198324338</v>
      </c>
      <c r="F761">
        <v>4.1354786495745852E-2</v>
      </c>
      <c r="G761">
        <v>1.8715217236332835</v>
      </c>
      <c r="H761">
        <v>13.991449287789006</v>
      </c>
      <c r="I761">
        <v>3.7896568241180845E-2</v>
      </c>
      <c r="J761">
        <v>0</v>
      </c>
      <c r="K761">
        <v>0</v>
      </c>
    </row>
    <row r="762" spans="1:11" x14ac:dyDescent="0.3">
      <c r="A762" t="s">
        <v>261</v>
      </c>
      <c r="B762">
        <v>2010</v>
      </c>
      <c r="C762">
        <v>1.1281209064070228E-3</v>
      </c>
      <c r="D762">
        <v>0.54983674506813696</v>
      </c>
      <c r="E762">
        <v>-1.1126938041331846</v>
      </c>
      <c r="F762">
        <v>0.70634836842825577</v>
      </c>
      <c r="G762">
        <v>2.2405246739789235</v>
      </c>
      <c r="H762">
        <v>13.838191392187332</v>
      </c>
      <c r="I762">
        <v>7.8719889905469936E-2</v>
      </c>
      <c r="J762">
        <v>0</v>
      </c>
      <c r="K762">
        <v>0</v>
      </c>
    </row>
    <row r="763" spans="1:11" x14ac:dyDescent="0.3">
      <c r="A763" t="s">
        <v>262</v>
      </c>
      <c r="B763">
        <v>2007</v>
      </c>
      <c r="C763">
        <v>1.2756494385465321E-2</v>
      </c>
      <c r="D763">
        <v>4.2640373522737134E-2</v>
      </c>
      <c r="E763">
        <v>-4.346037791582507E-2</v>
      </c>
      <c r="F763">
        <v>0.32056658647491831</v>
      </c>
      <c r="G763">
        <v>0.84436949177427656</v>
      </c>
      <c r="H763">
        <v>15.74596560410043</v>
      </c>
      <c r="I763">
        <v>2.6510538220443539E-2</v>
      </c>
      <c r="J763">
        <v>0</v>
      </c>
      <c r="K763">
        <v>0</v>
      </c>
    </row>
    <row r="764" spans="1:11" x14ac:dyDescent="0.3">
      <c r="A764" t="s">
        <v>262</v>
      </c>
      <c r="B764">
        <v>2008</v>
      </c>
      <c r="C764">
        <v>1.5469714038986672E-2</v>
      </c>
      <c r="D764">
        <v>0.13310181310636995</v>
      </c>
      <c r="E764">
        <v>-7.0746605762944142E-2</v>
      </c>
      <c r="F764">
        <v>0.39125221779138381</v>
      </c>
      <c r="G764">
        <v>0.83960833650445332</v>
      </c>
      <c r="H764">
        <v>15.582793574571042</v>
      </c>
      <c r="I764">
        <v>5.349576889246796E-2</v>
      </c>
      <c r="J764">
        <v>0</v>
      </c>
      <c r="K764">
        <v>0</v>
      </c>
    </row>
    <row r="765" spans="1:11" x14ac:dyDescent="0.3">
      <c r="A765" t="s">
        <v>262</v>
      </c>
      <c r="B765">
        <v>2009</v>
      </c>
      <c r="C765">
        <v>2.3959970797771006E-2</v>
      </c>
      <c r="D765">
        <v>0.33579872610501815</v>
      </c>
      <c r="E765">
        <v>-0.40148150388366072</v>
      </c>
      <c r="F765">
        <v>0.57738179290389391</v>
      </c>
      <c r="G765">
        <v>1.0320385099391427</v>
      </c>
      <c r="H765">
        <v>15.318902608833573</v>
      </c>
      <c r="I765">
        <v>6.0427948991521832E-2</v>
      </c>
      <c r="J765">
        <v>0</v>
      </c>
      <c r="K765">
        <v>0</v>
      </c>
    </row>
    <row r="766" spans="1:11" x14ac:dyDescent="0.3">
      <c r="A766" t="s">
        <v>262</v>
      </c>
      <c r="B766">
        <v>2010</v>
      </c>
      <c r="C766">
        <v>2.9598886920122247E-2</v>
      </c>
      <c r="D766">
        <v>0.10279411589825309</v>
      </c>
      <c r="E766">
        <v>-0.51146900381729321</v>
      </c>
      <c r="F766">
        <v>0.56339703416536846</v>
      </c>
      <c r="G766">
        <v>1.0824881378506619</v>
      </c>
      <c r="H766">
        <v>15.251677830204834</v>
      </c>
      <c r="I766">
        <v>6.4111003777906864E-2</v>
      </c>
      <c r="J766">
        <v>0</v>
      </c>
      <c r="K766">
        <v>0</v>
      </c>
    </row>
    <row r="767" spans="1:11" x14ac:dyDescent="0.3">
      <c r="A767" t="s">
        <v>263</v>
      </c>
      <c r="B767">
        <v>2007</v>
      </c>
      <c r="C767">
        <v>4.6746298618283832E-2</v>
      </c>
      <c r="D767">
        <v>0.13375620222198006</v>
      </c>
      <c r="E767">
        <v>0.23541125355097831</v>
      </c>
      <c r="F767">
        <v>0.23824359519384389</v>
      </c>
      <c r="G767">
        <v>1.2154045314396829</v>
      </c>
      <c r="H767">
        <v>14.080304176851593</v>
      </c>
      <c r="I767">
        <v>8.8260449507960859E-3</v>
      </c>
      <c r="J767">
        <v>1.0370161192545517E-2</v>
      </c>
      <c r="K767">
        <v>0</v>
      </c>
    </row>
    <row r="768" spans="1:11" x14ac:dyDescent="0.3">
      <c r="A768" t="s">
        <v>263</v>
      </c>
      <c r="B768">
        <v>2008</v>
      </c>
      <c r="C768">
        <v>5.9334793354110932E-2</v>
      </c>
      <c r="D768">
        <v>8.9896685635170323E-2</v>
      </c>
      <c r="E768">
        <v>0.18592418383710915</v>
      </c>
      <c r="F768">
        <v>0.26729166145755962</v>
      </c>
      <c r="G768">
        <v>0.76784394937091149</v>
      </c>
      <c r="H768">
        <v>14.528311825377049</v>
      </c>
      <c r="I768">
        <v>2.063917967886679E-3</v>
      </c>
      <c r="J768">
        <v>7.9506907153366405E-3</v>
      </c>
      <c r="K768">
        <v>0</v>
      </c>
    </row>
    <row r="769" spans="1:11" x14ac:dyDescent="0.3">
      <c r="A769" t="s">
        <v>263</v>
      </c>
      <c r="B769">
        <v>2009</v>
      </c>
      <c r="C769">
        <v>0.11523151232920567</v>
      </c>
      <c r="D769">
        <v>0.12471797178318432</v>
      </c>
      <c r="E769">
        <v>0.16424930533289273</v>
      </c>
      <c r="F769">
        <v>0.24292308651680483</v>
      </c>
      <c r="G769">
        <v>0.97688412034447825</v>
      </c>
      <c r="H769">
        <v>14.526785925511664</v>
      </c>
      <c r="I769">
        <v>1.0969226195550737E-2</v>
      </c>
      <c r="J769">
        <v>1.3271713901738546E-2</v>
      </c>
      <c r="K769">
        <v>0</v>
      </c>
    </row>
    <row r="770" spans="1:11" x14ac:dyDescent="0.3">
      <c r="A770" t="s">
        <v>263</v>
      </c>
      <c r="B770">
        <v>2010</v>
      </c>
      <c r="C770">
        <v>9.8535019479365923E-2</v>
      </c>
      <c r="D770">
        <v>0.1261204594623998</v>
      </c>
      <c r="E770">
        <v>0.13675630342365866</v>
      </c>
      <c r="F770">
        <v>0.33975828785393714</v>
      </c>
      <c r="G770">
        <v>0.9858196206584563</v>
      </c>
      <c r="H770">
        <v>14.881810376525122</v>
      </c>
      <c r="I770">
        <v>9.2341398159025145E-4</v>
      </c>
      <c r="J770">
        <v>1.1670749828204249E-2</v>
      </c>
      <c r="K770">
        <v>0</v>
      </c>
    </row>
    <row r="771" spans="1:11" x14ac:dyDescent="0.3">
      <c r="A771" t="s">
        <v>264</v>
      </c>
      <c r="B771">
        <v>2007</v>
      </c>
      <c r="C771">
        <v>2.2295088494128118E-2</v>
      </c>
      <c r="D771">
        <v>6.3257340384235292E-2</v>
      </c>
      <c r="E771">
        <v>3.2757971012431976E-2</v>
      </c>
      <c r="F771">
        <v>0.25285872933039655</v>
      </c>
      <c r="G771">
        <v>1.1016701764763597</v>
      </c>
      <c r="H771">
        <v>15.0729298119743</v>
      </c>
      <c r="I771">
        <v>6.8663011244305657E-3</v>
      </c>
      <c r="J771">
        <v>3.3996476444934857E-2</v>
      </c>
      <c r="K771">
        <v>0</v>
      </c>
    </row>
    <row r="772" spans="1:11" x14ac:dyDescent="0.3">
      <c r="A772" t="s">
        <v>264</v>
      </c>
      <c r="B772">
        <v>2008</v>
      </c>
      <c r="C772">
        <v>2.5086949667965007E-2</v>
      </c>
      <c r="D772">
        <v>4.0548077230061937E-2</v>
      </c>
      <c r="E772">
        <v>-3.3211979599003898E-2</v>
      </c>
      <c r="F772">
        <v>0.36739152991507568</v>
      </c>
      <c r="G772">
        <v>0.94261082465998347</v>
      </c>
      <c r="H772">
        <v>15.204106268945996</v>
      </c>
      <c r="I772">
        <v>7.7080706929726385E-3</v>
      </c>
      <c r="J772">
        <v>0</v>
      </c>
      <c r="K772">
        <v>0</v>
      </c>
    </row>
    <row r="773" spans="1:11" x14ac:dyDescent="0.3">
      <c r="A773" t="s">
        <v>264</v>
      </c>
      <c r="B773">
        <v>2009</v>
      </c>
      <c r="C773">
        <v>3.6884312821289893E-2</v>
      </c>
      <c r="D773">
        <v>6.7778315931036934E-2</v>
      </c>
      <c r="E773">
        <v>-8.0890738051842062E-2</v>
      </c>
      <c r="F773">
        <v>0.45652241329884558</v>
      </c>
      <c r="G773">
        <v>1.0806227663032915</v>
      </c>
      <c r="H773">
        <v>15.193328848475129</v>
      </c>
      <c r="I773">
        <v>2.0994845445443153E-2</v>
      </c>
      <c r="J773">
        <v>0</v>
      </c>
      <c r="K773">
        <v>0</v>
      </c>
    </row>
    <row r="774" spans="1:11" x14ac:dyDescent="0.3">
      <c r="A774" t="s">
        <v>264</v>
      </c>
      <c r="B774">
        <v>2010</v>
      </c>
      <c r="C774">
        <v>2.0715203247286259E-2</v>
      </c>
      <c r="D774">
        <v>0.1149912961243602</v>
      </c>
      <c r="E774">
        <v>-1.5144473532385709E-2</v>
      </c>
      <c r="F774">
        <v>0.37542197540061822</v>
      </c>
      <c r="G774">
        <v>1.0042247712778545</v>
      </c>
      <c r="H774">
        <v>15.386908643724118</v>
      </c>
      <c r="I774">
        <v>8.0495766975259425E-3</v>
      </c>
      <c r="J774">
        <v>2.4835598654000011E-2</v>
      </c>
      <c r="K774">
        <v>0</v>
      </c>
    </row>
    <row r="775" spans="1:11" x14ac:dyDescent="0.3">
      <c r="A775" t="s">
        <v>265</v>
      </c>
      <c r="B775">
        <v>2007</v>
      </c>
      <c r="C775">
        <v>5.6188488416949574E-2</v>
      </c>
      <c r="D775">
        <v>0.10205094740193793</v>
      </c>
      <c r="E775">
        <v>7.4969449228860924E-2</v>
      </c>
      <c r="F775">
        <v>3.8768206903730736E-2</v>
      </c>
      <c r="G775">
        <v>0.8084254740508704</v>
      </c>
      <c r="H775">
        <v>14.642470716499865</v>
      </c>
      <c r="I775">
        <v>2.9486581924231391E-2</v>
      </c>
      <c r="J775">
        <v>0</v>
      </c>
      <c r="K775">
        <v>0</v>
      </c>
    </row>
    <row r="776" spans="1:11" x14ac:dyDescent="0.3">
      <c r="A776" t="s">
        <v>265</v>
      </c>
      <c r="B776">
        <v>2009</v>
      </c>
      <c r="C776">
        <v>1.1183082818760752E-2</v>
      </c>
      <c r="D776">
        <v>8.0972590269210235E-2</v>
      </c>
      <c r="E776">
        <v>3.1274159176184764E-2</v>
      </c>
      <c r="F776">
        <v>0.17029479978850404</v>
      </c>
      <c r="G776">
        <v>0.47815562837643577</v>
      </c>
      <c r="H776">
        <v>14.469626327452168</v>
      </c>
      <c r="I776">
        <v>4.7376344332327527E-3</v>
      </c>
      <c r="J776">
        <v>0</v>
      </c>
      <c r="K776">
        <v>0</v>
      </c>
    </row>
    <row r="777" spans="1:11" x14ac:dyDescent="0.3">
      <c r="A777" t="s">
        <v>265</v>
      </c>
      <c r="B777">
        <v>2010</v>
      </c>
      <c r="C777">
        <v>5.2855988194902746E-2</v>
      </c>
      <c r="D777">
        <v>4.7994754231731176E-2</v>
      </c>
      <c r="E777">
        <v>6.307139449653372E-2</v>
      </c>
      <c r="F777">
        <v>5.095944663783189E-2</v>
      </c>
      <c r="G777">
        <v>0.49331309319889816</v>
      </c>
      <c r="H777">
        <v>14.856492674473152</v>
      </c>
      <c r="I777">
        <v>1.6467143631279699E-2</v>
      </c>
      <c r="J777">
        <v>0</v>
      </c>
      <c r="K777">
        <v>0</v>
      </c>
    </row>
    <row r="778" spans="1:11" x14ac:dyDescent="0.3">
      <c r="A778" t="s">
        <v>266</v>
      </c>
      <c r="B778">
        <v>2007</v>
      </c>
      <c r="C778">
        <v>2.0432173679938333E-2</v>
      </c>
      <c r="D778">
        <v>0.15933960333008285</v>
      </c>
      <c r="E778">
        <v>7.7474163258108103E-2</v>
      </c>
      <c r="F778">
        <v>0.17443745755370069</v>
      </c>
      <c r="G778">
        <v>1.4658999616029056</v>
      </c>
      <c r="H778">
        <v>14.690403713035803</v>
      </c>
      <c r="I778">
        <v>4.2851415346931848E-4</v>
      </c>
      <c r="J778">
        <v>0</v>
      </c>
      <c r="K778">
        <v>0</v>
      </c>
    </row>
    <row r="779" spans="1:11" x14ac:dyDescent="0.3">
      <c r="A779" t="s">
        <v>266</v>
      </c>
      <c r="B779">
        <v>2008</v>
      </c>
      <c r="C779">
        <v>6.6738421128830105E-2</v>
      </c>
      <c r="D779">
        <v>0.12095861209931136</v>
      </c>
      <c r="E779">
        <v>0.1752723117307905</v>
      </c>
      <c r="F779">
        <v>4.7852896043842019E-2</v>
      </c>
      <c r="G779">
        <v>0.60838199061882414</v>
      </c>
      <c r="H779">
        <v>14.947337417946638</v>
      </c>
      <c r="I779">
        <v>1.2331509338337729E-2</v>
      </c>
      <c r="J779">
        <v>0</v>
      </c>
      <c r="K779">
        <v>0</v>
      </c>
    </row>
    <row r="780" spans="1:11" x14ac:dyDescent="0.3">
      <c r="A780" t="s">
        <v>266</v>
      </c>
      <c r="B780">
        <v>2010</v>
      </c>
      <c r="C780">
        <v>2.1595116414847633E-2</v>
      </c>
      <c r="D780">
        <v>5.6881125981332437E-2</v>
      </c>
      <c r="E780">
        <v>3.7418739335607215E-2</v>
      </c>
      <c r="F780">
        <v>0.23856190867857646</v>
      </c>
      <c r="G780">
        <v>0.5856760786101517</v>
      </c>
      <c r="H780">
        <v>15.027594974032031</v>
      </c>
      <c r="I780">
        <v>1.0452060204326553E-2</v>
      </c>
      <c r="J780">
        <v>0</v>
      </c>
      <c r="K780">
        <v>0</v>
      </c>
    </row>
    <row r="781" spans="1:11" x14ac:dyDescent="0.3">
      <c r="A781" t="s">
        <v>267</v>
      </c>
      <c r="B781">
        <v>2007</v>
      </c>
      <c r="C781">
        <v>0.1585212252072693</v>
      </c>
      <c r="D781">
        <v>0.28457833326412824</v>
      </c>
      <c r="E781">
        <v>0.64812661766944868</v>
      </c>
      <c r="F781">
        <v>0</v>
      </c>
      <c r="G781">
        <v>1.5218065301941894</v>
      </c>
      <c r="H781">
        <v>11.881020945608389</v>
      </c>
      <c r="I781">
        <v>0.11780434412936869</v>
      </c>
      <c r="J781">
        <v>0</v>
      </c>
      <c r="K781">
        <v>0</v>
      </c>
    </row>
    <row r="782" spans="1:11" x14ac:dyDescent="0.3">
      <c r="A782" t="s">
        <v>267</v>
      </c>
      <c r="B782">
        <v>2008</v>
      </c>
      <c r="C782">
        <v>1.5892548021774044E-2</v>
      </c>
      <c r="D782">
        <v>1.6119360961061171E-2</v>
      </c>
      <c r="E782">
        <v>0.23206613552464178</v>
      </c>
      <c r="F782">
        <v>0.40659999582872758</v>
      </c>
      <c r="G782">
        <v>0.91192879637933555</v>
      </c>
      <c r="H782">
        <v>12.857293054862083</v>
      </c>
      <c r="I782">
        <v>3.290565521054245E-2</v>
      </c>
      <c r="J782">
        <v>0</v>
      </c>
      <c r="K782">
        <v>0</v>
      </c>
    </row>
    <row r="783" spans="1:11" x14ac:dyDescent="0.3">
      <c r="A783" t="s">
        <v>267</v>
      </c>
      <c r="B783">
        <v>2009</v>
      </c>
      <c r="C783">
        <v>2.5170499928318348E-2</v>
      </c>
      <c r="D783">
        <v>0.13659011846490085</v>
      </c>
      <c r="E783">
        <v>0.12706084748192598</v>
      </c>
      <c r="F783">
        <v>0.25111984294403855</v>
      </c>
      <c r="G783">
        <v>1.0350951610496535</v>
      </c>
      <c r="H783">
        <v>12.741948866582856</v>
      </c>
      <c r="I783">
        <v>3.0811713562581462E-2</v>
      </c>
      <c r="J783">
        <v>0</v>
      </c>
      <c r="K783">
        <v>0</v>
      </c>
    </row>
    <row r="784" spans="1:11" x14ac:dyDescent="0.3">
      <c r="A784" t="s">
        <v>267</v>
      </c>
      <c r="B784">
        <v>2010</v>
      </c>
      <c r="C784">
        <v>6.0599049553697437E-2</v>
      </c>
      <c r="D784">
        <v>2.9138073842366583E-2</v>
      </c>
      <c r="E784">
        <v>0.11611038873901595</v>
      </c>
      <c r="F784">
        <v>0.21422985622995802</v>
      </c>
      <c r="G784">
        <v>0.93198131498456793</v>
      </c>
      <c r="H784">
        <v>12.976685369573165</v>
      </c>
      <c r="I784">
        <v>7.4656912333393713E-3</v>
      </c>
      <c r="J784">
        <v>0</v>
      </c>
      <c r="K784">
        <v>0</v>
      </c>
    </row>
    <row r="785" spans="1:11" x14ac:dyDescent="0.3">
      <c r="A785" t="s">
        <v>268</v>
      </c>
      <c r="B785">
        <v>2007</v>
      </c>
      <c r="C785">
        <v>5.3122946796019407E-2</v>
      </c>
      <c r="D785">
        <v>0.20076611549433365</v>
      </c>
      <c r="E785">
        <v>0.26120612900539569</v>
      </c>
      <c r="F785">
        <v>8.7528715587868635E-4</v>
      </c>
      <c r="G785">
        <v>2.0673989434251765</v>
      </c>
      <c r="H785">
        <v>15.407096263794541</v>
      </c>
      <c r="I785">
        <v>5.8823085898890487E-2</v>
      </c>
      <c r="J785">
        <v>6.0513514014265614E-2</v>
      </c>
      <c r="K785">
        <v>0</v>
      </c>
    </row>
    <row r="786" spans="1:11" x14ac:dyDescent="0.3">
      <c r="A786" t="s">
        <v>268</v>
      </c>
      <c r="B786">
        <v>2008</v>
      </c>
      <c r="C786">
        <v>1.4021440985363426E-2</v>
      </c>
      <c r="D786">
        <v>4.7085646906379529E-2</v>
      </c>
      <c r="E786">
        <v>0.19802314578296265</v>
      </c>
      <c r="F786">
        <v>0.27072988744261589</v>
      </c>
      <c r="G786">
        <v>1.1046257873404797</v>
      </c>
      <c r="H786">
        <v>15.426356678407886</v>
      </c>
      <c r="I786">
        <v>2.021736485561601E-4</v>
      </c>
      <c r="J786">
        <v>4.3340923969941558E-3</v>
      </c>
      <c r="K786">
        <v>0</v>
      </c>
    </row>
    <row r="787" spans="1:11" x14ac:dyDescent="0.3">
      <c r="A787" t="s">
        <v>268</v>
      </c>
      <c r="B787">
        <v>2010</v>
      </c>
      <c r="C787">
        <v>1.1014959681343936E-2</v>
      </c>
      <c r="D787">
        <v>3.9618022238159439E-2</v>
      </c>
      <c r="E787">
        <v>0.15806100633234385</v>
      </c>
      <c r="F787">
        <v>8.6047723540756807E-2</v>
      </c>
      <c r="G787">
        <v>0.97560960279250641</v>
      </c>
      <c r="H787">
        <v>15.563556878142993</v>
      </c>
      <c r="I787">
        <v>5.9192778491647773E-3</v>
      </c>
      <c r="J787">
        <v>0</v>
      </c>
      <c r="K787">
        <v>0</v>
      </c>
    </row>
    <row r="788" spans="1:11" x14ac:dyDescent="0.3">
      <c r="A788" t="s">
        <v>269</v>
      </c>
      <c r="B788">
        <v>2007</v>
      </c>
      <c r="C788">
        <v>2.6472715555963873E-2</v>
      </c>
      <c r="D788">
        <v>7.5199422235713242E-2</v>
      </c>
      <c r="E788">
        <v>7.0200094712693393E-3</v>
      </c>
      <c r="F788">
        <v>7.0237782321429063E-2</v>
      </c>
      <c r="G788">
        <v>1.1712674968937824</v>
      </c>
      <c r="H788">
        <v>15.932382388829154</v>
      </c>
      <c r="I788">
        <v>9.0256112489827192E-4</v>
      </c>
      <c r="J788">
        <v>0</v>
      </c>
      <c r="K788">
        <v>0</v>
      </c>
    </row>
    <row r="789" spans="1:11" x14ac:dyDescent="0.3">
      <c r="A789" t="s">
        <v>269</v>
      </c>
      <c r="B789">
        <v>2008</v>
      </c>
      <c r="C789">
        <v>3.4016240011360263E-2</v>
      </c>
      <c r="D789">
        <v>7.7425380797635945E-2</v>
      </c>
      <c r="E789">
        <v>-4.1109215778089951E-2</v>
      </c>
      <c r="F789">
        <v>0</v>
      </c>
      <c r="G789">
        <v>0.7675059529886995</v>
      </c>
      <c r="H789">
        <v>15.7348924964639</v>
      </c>
      <c r="I789">
        <v>2.6019097861531015E-2</v>
      </c>
      <c r="J789">
        <v>0</v>
      </c>
      <c r="K789">
        <v>0</v>
      </c>
    </row>
    <row r="790" spans="1:11" x14ac:dyDescent="0.3">
      <c r="A790" t="s">
        <v>269</v>
      </c>
      <c r="B790">
        <v>2009</v>
      </c>
      <c r="C790">
        <v>2.0606335409624216E-3</v>
      </c>
      <c r="D790">
        <v>0.11512189391202331</v>
      </c>
      <c r="E790">
        <v>-0.16943171293595471</v>
      </c>
      <c r="F790">
        <v>0.36728713324605455</v>
      </c>
      <c r="G790">
        <v>0.99023076440280955</v>
      </c>
      <c r="H790">
        <v>16.11228761693534</v>
      </c>
      <c r="I790">
        <v>1.1953715020249318E-2</v>
      </c>
      <c r="J790">
        <v>0</v>
      </c>
      <c r="K790">
        <v>0</v>
      </c>
    </row>
    <row r="791" spans="1:11" x14ac:dyDescent="0.3">
      <c r="A791" t="s">
        <v>269</v>
      </c>
      <c r="B791">
        <v>2010</v>
      </c>
      <c r="C791">
        <v>9.1714721897457156E-3</v>
      </c>
      <c r="D791">
        <v>0.19498214968997124</v>
      </c>
      <c r="E791">
        <v>-0.23759630655024833</v>
      </c>
      <c r="F791">
        <v>0.14904598065926705</v>
      </c>
      <c r="G791">
        <v>0.96425616404958636</v>
      </c>
      <c r="H791">
        <v>16.006692806029715</v>
      </c>
      <c r="I791">
        <v>2.8934693736191092E-2</v>
      </c>
      <c r="J791">
        <v>0</v>
      </c>
      <c r="K791">
        <v>0</v>
      </c>
    </row>
    <row r="792" spans="1:11" x14ac:dyDescent="0.3">
      <c r="A792" t="s">
        <v>270</v>
      </c>
      <c r="B792">
        <v>2008</v>
      </c>
      <c r="C792">
        <v>0.31484948220878961</v>
      </c>
      <c r="D792">
        <v>0.29208416953924354</v>
      </c>
      <c r="E792">
        <v>0.3929688075647349</v>
      </c>
      <c r="F792">
        <v>0</v>
      </c>
      <c r="G792">
        <v>1.0161228980654722</v>
      </c>
      <c r="H792">
        <v>16.436411845346385</v>
      </c>
      <c r="I792">
        <v>3.0297519895951697E-2</v>
      </c>
      <c r="J792">
        <v>6.0030073954170718E-2</v>
      </c>
      <c r="K792">
        <v>0</v>
      </c>
    </row>
    <row r="793" spans="1:11" x14ac:dyDescent="0.3">
      <c r="A793" t="s">
        <v>271</v>
      </c>
      <c r="B793">
        <v>2007</v>
      </c>
      <c r="C793">
        <v>1.9498033626613183E-2</v>
      </c>
      <c r="D793">
        <v>0.14257324493432971</v>
      </c>
      <c r="E793">
        <v>0.32962886338573805</v>
      </c>
      <c r="F793">
        <v>3.2574943441622752E-3</v>
      </c>
      <c r="G793">
        <v>1.3788327359823662</v>
      </c>
      <c r="H793">
        <v>15.650381239453059</v>
      </c>
      <c r="I793">
        <v>1.7272266211532498E-2</v>
      </c>
      <c r="J793">
        <v>2.4932139525350221E-2</v>
      </c>
      <c r="K793">
        <v>0</v>
      </c>
    </row>
    <row r="794" spans="1:11" x14ac:dyDescent="0.3">
      <c r="A794" t="s">
        <v>271</v>
      </c>
      <c r="B794">
        <v>2008</v>
      </c>
      <c r="C794">
        <v>3.4309988887965485E-2</v>
      </c>
      <c r="D794">
        <v>0.16195432563049375</v>
      </c>
      <c r="E794">
        <v>0.34999290018597112</v>
      </c>
      <c r="F794">
        <v>0</v>
      </c>
      <c r="G794">
        <v>0.9271941892700345</v>
      </c>
      <c r="H794">
        <v>15.79896363985992</v>
      </c>
      <c r="I794">
        <v>2.9741949551663274E-2</v>
      </c>
      <c r="J794">
        <v>8.3810139965403541E-2</v>
      </c>
      <c r="K794">
        <v>0</v>
      </c>
    </row>
    <row r="795" spans="1:11" x14ac:dyDescent="0.3">
      <c r="A795" t="s">
        <v>272</v>
      </c>
      <c r="B795">
        <v>2007</v>
      </c>
      <c r="C795">
        <v>0.25866538511226911</v>
      </c>
      <c r="D795">
        <v>0.25308031281234766</v>
      </c>
      <c r="E795">
        <v>0.43544918888841777</v>
      </c>
      <c r="F795">
        <v>0</v>
      </c>
      <c r="G795">
        <v>1.6203929497465184</v>
      </c>
      <c r="H795">
        <v>16.869574803691396</v>
      </c>
      <c r="I795">
        <v>4.9179923491048251E-2</v>
      </c>
      <c r="J795">
        <v>1.940915330009612E-2</v>
      </c>
      <c r="K795">
        <v>0</v>
      </c>
    </row>
    <row r="796" spans="1:11" x14ac:dyDescent="0.3">
      <c r="A796" t="s">
        <v>272</v>
      </c>
      <c r="B796">
        <v>2008</v>
      </c>
      <c r="C796">
        <v>0.14738858949231556</v>
      </c>
      <c r="D796">
        <v>0.11547673312262111</v>
      </c>
      <c r="E796">
        <v>0.54201223709896762</v>
      </c>
      <c r="F796">
        <v>0</v>
      </c>
      <c r="G796">
        <v>0.5517483675385374</v>
      </c>
      <c r="H796">
        <v>16.64614074501193</v>
      </c>
      <c r="I796">
        <v>2.4749618552102372E-2</v>
      </c>
      <c r="J796">
        <v>4.8536981552939253E-3</v>
      </c>
      <c r="K796">
        <v>0</v>
      </c>
    </row>
    <row r="797" spans="1:11" x14ac:dyDescent="0.3">
      <c r="A797" t="s">
        <v>272</v>
      </c>
      <c r="B797">
        <v>2009</v>
      </c>
      <c r="C797">
        <v>0.2008198016576371</v>
      </c>
      <c r="D797">
        <v>2.4057906626821633E-2</v>
      </c>
      <c r="E797">
        <v>0.5155548333476252</v>
      </c>
      <c r="F797">
        <v>4.5311058718940827E-3</v>
      </c>
      <c r="G797">
        <v>0.60328072908212127</v>
      </c>
      <c r="H797">
        <v>16.686571161105174</v>
      </c>
      <c r="I797">
        <v>5.3203364975041682E-3</v>
      </c>
      <c r="J797">
        <v>2.3306875828555187E-3</v>
      </c>
      <c r="K797">
        <v>0</v>
      </c>
    </row>
    <row r="798" spans="1:11" x14ac:dyDescent="0.3">
      <c r="A798" t="s">
        <v>272</v>
      </c>
      <c r="B798">
        <v>2010</v>
      </c>
      <c r="C798">
        <v>0.15153926440040302</v>
      </c>
      <c r="D798">
        <v>3.8425611068964721E-2</v>
      </c>
      <c r="E798">
        <v>0.4966494659529555</v>
      </c>
      <c r="F798">
        <v>2.5973534838094488E-3</v>
      </c>
      <c r="G798">
        <v>0.54537332384987625</v>
      </c>
      <c r="H798">
        <v>16.773040527610203</v>
      </c>
      <c r="I798">
        <v>1.2152736202507102E-2</v>
      </c>
      <c r="J798">
        <v>2.1376219171751767E-3</v>
      </c>
      <c r="K798">
        <v>0</v>
      </c>
    </row>
    <row r="799" spans="1:11" x14ac:dyDescent="0.3">
      <c r="A799" t="s">
        <v>273</v>
      </c>
      <c r="B799">
        <v>2007</v>
      </c>
      <c r="C799">
        <v>4.9690498716042711E-2</v>
      </c>
      <c r="D799">
        <v>0.24923097715907555</v>
      </c>
      <c r="E799">
        <v>0.15150966346803621</v>
      </c>
      <c r="F799">
        <v>3.4818218678199758E-2</v>
      </c>
      <c r="G799">
        <v>2.819459386403568</v>
      </c>
      <c r="H799">
        <v>12.821123140353697</v>
      </c>
      <c r="I799">
        <v>5.102175968355839E-2</v>
      </c>
      <c r="J799">
        <v>2.1297472631436682E-2</v>
      </c>
      <c r="K799">
        <v>0</v>
      </c>
    </row>
    <row r="800" spans="1:11" x14ac:dyDescent="0.3">
      <c r="A800" t="s">
        <v>273</v>
      </c>
      <c r="B800">
        <v>2009</v>
      </c>
      <c r="C800">
        <v>3.2685835588532927E-2</v>
      </c>
      <c r="D800">
        <v>6.8590481025008823E-2</v>
      </c>
      <c r="E800">
        <v>0.22165782716326107</v>
      </c>
      <c r="F800">
        <v>6.9221717160063683E-3</v>
      </c>
      <c r="G800">
        <v>0.94152923958295576</v>
      </c>
      <c r="H800">
        <v>13.315865531066088</v>
      </c>
      <c r="I800">
        <v>2.7658834926606497E-2</v>
      </c>
      <c r="J800">
        <v>0</v>
      </c>
      <c r="K800">
        <v>0</v>
      </c>
    </row>
    <row r="801" spans="1:11" x14ac:dyDescent="0.3">
      <c r="A801" t="s">
        <v>273</v>
      </c>
      <c r="B801">
        <v>2010</v>
      </c>
      <c r="C801">
        <v>1.1748331683980462E-2</v>
      </c>
      <c r="D801">
        <v>0.12714923027259303</v>
      </c>
      <c r="E801">
        <v>0.23501558506162581</v>
      </c>
      <c r="F801">
        <v>9.7053391404666525E-2</v>
      </c>
      <c r="G801">
        <v>0.86922982276953686</v>
      </c>
      <c r="H801">
        <v>13.535600868801005</v>
      </c>
      <c r="I801">
        <v>1.892018936938954E-2</v>
      </c>
      <c r="J801">
        <v>1.6512491863486502E-2</v>
      </c>
      <c r="K801">
        <v>0</v>
      </c>
    </row>
    <row r="802" spans="1:11" x14ac:dyDescent="0.3">
      <c r="A802" t="s">
        <v>274</v>
      </c>
      <c r="B802">
        <v>2007</v>
      </c>
      <c r="C802">
        <v>6.8544456415781645E-3</v>
      </c>
      <c r="D802">
        <v>0.36763634497973424</v>
      </c>
      <c r="E802">
        <v>-0.65779077522959317</v>
      </c>
      <c r="F802">
        <v>0.24251192858242265</v>
      </c>
      <c r="G802">
        <v>0.75395259350469457</v>
      </c>
      <c r="H802">
        <v>11.487146011982741</v>
      </c>
      <c r="I802">
        <v>4.0265879328096471E-3</v>
      </c>
      <c r="J802">
        <v>0</v>
      </c>
      <c r="K802">
        <v>0</v>
      </c>
    </row>
    <row r="803" spans="1:11" x14ac:dyDescent="0.3">
      <c r="A803" t="s">
        <v>274</v>
      </c>
      <c r="B803">
        <v>2010</v>
      </c>
      <c r="C803">
        <v>3.6056380793335265E-4</v>
      </c>
      <c r="D803">
        <v>3.8817540480403832E-2</v>
      </c>
      <c r="E803">
        <v>-9.8163496709855247E-2</v>
      </c>
      <c r="F803">
        <v>0.25121334465630202</v>
      </c>
      <c r="G803">
        <v>0.77190069313647813</v>
      </c>
      <c r="H803">
        <v>12.258574958759812</v>
      </c>
      <c r="I803">
        <v>5.8669879523900147E-2</v>
      </c>
      <c r="J803">
        <v>0</v>
      </c>
      <c r="K803">
        <v>0</v>
      </c>
    </row>
    <row r="804" spans="1:11" x14ac:dyDescent="0.3">
      <c r="A804" t="s">
        <v>275</v>
      </c>
      <c r="B804">
        <v>2007</v>
      </c>
      <c r="C804">
        <v>6.167710702478349E-2</v>
      </c>
      <c r="D804">
        <v>2.7378996549388777E-2</v>
      </c>
      <c r="E804">
        <v>-1.7562773589084906E-2</v>
      </c>
      <c r="F804">
        <v>8.1364361105493693E-2</v>
      </c>
      <c r="G804">
        <v>1.0229322160168504</v>
      </c>
      <c r="H804">
        <v>17.155744318689617</v>
      </c>
      <c r="I804">
        <v>1.4435885002924906E-4</v>
      </c>
      <c r="J804">
        <v>0</v>
      </c>
      <c r="K804">
        <v>0</v>
      </c>
    </row>
    <row r="805" spans="1:11" x14ac:dyDescent="0.3">
      <c r="A805" t="s">
        <v>275</v>
      </c>
      <c r="B805">
        <v>2008</v>
      </c>
      <c r="C805">
        <v>3.4963674197888074E-2</v>
      </c>
      <c r="D805">
        <v>7.4902460607649379E-2</v>
      </c>
      <c r="E805">
        <v>-5.6104795423229339E-2</v>
      </c>
      <c r="F805">
        <v>9.6695137800679884E-2</v>
      </c>
      <c r="G805">
        <v>0.88562390323205409</v>
      </c>
      <c r="H805">
        <v>17.238784450277439</v>
      </c>
      <c r="I805">
        <v>1.0250005210579378E-2</v>
      </c>
      <c r="J805">
        <v>0</v>
      </c>
      <c r="K805">
        <v>0</v>
      </c>
    </row>
    <row r="806" spans="1:11" x14ac:dyDescent="0.3">
      <c r="A806" t="s">
        <v>275</v>
      </c>
      <c r="B806">
        <v>2009</v>
      </c>
      <c r="C806">
        <v>5.4247589883690849E-2</v>
      </c>
      <c r="D806">
        <v>0.10358897299391824</v>
      </c>
      <c r="E806">
        <v>3.5925270495086203E-2</v>
      </c>
      <c r="F806">
        <v>0.61451070210517267</v>
      </c>
      <c r="G806">
        <v>0.85487655038593857</v>
      </c>
      <c r="H806">
        <v>17.328223941348117</v>
      </c>
      <c r="I806">
        <v>2.5992943222388279E-3</v>
      </c>
      <c r="J806">
        <v>0</v>
      </c>
      <c r="K806">
        <v>0</v>
      </c>
    </row>
    <row r="807" spans="1:11" x14ac:dyDescent="0.3">
      <c r="A807" t="s">
        <v>275</v>
      </c>
      <c r="B807">
        <v>2010</v>
      </c>
      <c r="C807">
        <v>9.5397455783520178E-3</v>
      </c>
      <c r="D807">
        <v>0.10160363188033873</v>
      </c>
      <c r="E807">
        <v>9.1615273828646676E-2</v>
      </c>
      <c r="F807">
        <v>0.50880020286631</v>
      </c>
      <c r="G807">
        <v>0.76480401970044642</v>
      </c>
      <c r="H807">
        <v>17.334908902753774</v>
      </c>
      <c r="I807">
        <v>7.5643282355067863E-3</v>
      </c>
      <c r="J807">
        <v>0</v>
      </c>
      <c r="K807">
        <v>0</v>
      </c>
    </row>
    <row r="808" spans="1:11" x14ac:dyDescent="0.3">
      <c r="A808" t="s">
        <v>276</v>
      </c>
      <c r="B808">
        <v>2010</v>
      </c>
      <c r="C808">
        <v>1.5200154270222444E-3</v>
      </c>
      <c r="D808">
        <v>8.2670689792075508E-2</v>
      </c>
      <c r="E808">
        <v>0.21904670077248545</v>
      </c>
      <c r="F808">
        <v>0</v>
      </c>
      <c r="G808">
        <v>0.50093583039350253</v>
      </c>
      <c r="H808">
        <v>12.080021775329573</v>
      </c>
      <c r="I808">
        <v>3.0788548782005772E-3</v>
      </c>
      <c r="J808">
        <v>9.0747189672969811E-3</v>
      </c>
      <c r="K808">
        <v>0</v>
      </c>
    </row>
    <row r="809" spans="1:11" x14ac:dyDescent="0.3">
      <c r="A809" t="s">
        <v>277</v>
      </c>
      <c r="B809">
        <v>2007</v>
      </c>
      <c r="C809">
        <v>1.1001276193769946E-3</v>
      </c>
      <c r="D809">
        <v>6.7144369956140662E-2</v>
      </c>
      <c r="E809">
        <v>-1.2664472508956937E-2</v>
      </c>
      <c r="F809">
        <v>3.4291741039847827E-2</v>
      </c>
      <c r="G809">
        <v>1.0611983073640525</v>
      </c>
      <c r="H809">
        <v>15.761044922135577</v>
      </c>
      <c r="I809">
        <v>3.3749060105972561E-3</v>
      </c>
      <c r="J809">
        <v>0</v>
      </c>
      <c r="K809">
        <v>0</v>
      </c>
    </row>
    <row r="810" spans="1:11" x14ac:dyDescent="0.3">
      <c r="A810" t="s">
        <v>277</v>
      </c>
      <c r="B810">
        <v>2008</v>
      </c>
      <c r="C810">
        <v>2.9367032112761083E-3</v>
      </c>
      <c r="D810">
        <v>5.5509424136080461E-2</v>
      </c>
      <c r="E810">
        <v>-3.8346615575319382E-3</v>
      </c>
      <c r="F810">
        <v>4.6331559104419349E-2</v>
      </c>
      <c r="G810">
        <v>0.97075579144488811</v>
      </c>
      <c r="H810">
        <v>15.777876423125253</v>
      </c>
      <c r="I810">
        <v>2.142481733592231E-2</v>
      </c>
      <c r="J810">
        <v>0</v>
      </c>
      <c r="K810">
        <v>0</v>
      </c>
    </row>
    <row r="811" spans="1:11" x14ac:dyDescent="0.3">
      <c r="A811" t="s">
        <v>277</v>
      </c>
      <c r="B811">
        <v>2009</v>
      </c>
      <c r="C811">
        <v>3.8642970124252874E-3</v>
      </c>
      <c r="D811">
        <v>0.12897942805418042</v>
      </c>
      <c r="E811">
        <v>-0.12330056317393069</v>
      </c>
      <c r="F811">
        <v>0.8311066111113703</v>
      </c>
      <c r="G811">
        <v>1.0425150063067392</v>
      </c>
      <c r="H811">
        <v>15.67642755178988</v>
      </c>
      <c r="I811">
        <v>6.7916181206368956E-3</v>
      </c>
      <c r="J811">
        <v>0</v>
      </c>
      <c r="K811">
        <v>0</v>
      </c>
    </row>
    <row r="812" spans="1:11" x14ac:dyDescent="0.3">
      <c r="A812" t="s">
        <v>277</v>
      </c>
      <c r="B812">
        <v>2010</v>
      </c>
      <c r="C812">
        <v>2.8445045100314141E-2</v>
      </c>
      <c r="D812">
        <v>8.8608139837910563E-2</v>
      </c>
      <c r="E812">
        <v>-0.13211944539746867</v>
      </c>
      <c r="F812">
        <v>0.62229102326791108</v>
      </c>
      <c r="G812">
        <v>0.95882471104892619</v>
      </c>
      <c r="H812">
        <v>15.864354480519097</v>
      </c>
      <c r="I812">
        <v>3.9648321023309563E-2</v>
      </c>
      <c r="J812">
        <v>0</v>
      </c>
      <c r="K812">
        <v>0</v>
      </c>
    </row>
    <row r="813" spans="1:11" x14ac:dyDescent="0.3">
      <c r="A813" t="s">
        <v>278</v>
      </c>
      <c r="B813">
        <v>2007</v>
      </c>
      <c r="C813">
        <v>5.0921703211980897E-2</v>
      </c>
      <c r="D813">
        <v>0.19770661643592244</v>
      </c>
      <c r="E813">
        <v>-0.36148735663006287</v>
      </c>
      <c r="F813">
        <v>0.12146365493096904</v>
      </c>
      <c r="G813">
        <v>1.0357982126960297</v>
      </c>
      <c r="H813">
        <v>18.163476649875786</v>
      </c>
      <c r="I813">
        <v>4.3897857501826593E-3</v>
      </c>
      <c r="J813">
        <v>0</v>
      </c>
      <c r="K813">
        <v>0</v>
      </c>
    </row>
    <row r="814" spans="1:11" x14ac:dyDescent="0.3">
      <c r="A814" t="s">
        <v>278</v>
      </c>
      <c r="B814">
        <v>2008</v>
      </c>
      <c r="C814">
        <v>2.5077958874260994E-2</v>
      </c>
      <c r="D814">
        <v>0.20692650991944975</v>
      </c>
      <c r="E814">
        <v>-0.5267017289597582</v>
      </c>
      <c r="F814">
        <v>6.7200693044650109E-2</v>
      </c>
      <c r="G814">
        <v>1.0282500907299337</v>
      </c>
      <c r="H814">
        <v>18.348923451400605</v>
      </c>
      <c r="I814">
        <v>1.9787926581282318E-2</v>
      </c>
      <c r="J814">
        <v>0</v>
      </c>
      <c r="K814">
        <v>0</v>
      </c>
    </row>
    <row r="815" spans="1:11" x14ac:dyDescent="0.3">
      <c r="A815" t="s">
        <v>278</v>
      </c>
      <c r="B815">
        <v>2009</v>
      </c>
      <c r="C815">
        <v>8.5469145489466426E-3</v>
      </c>
      <c r="D815">
        <v>0.13973989728140426</v>
      </c>
      <c r="E815">
        <v>-8.5973345263176071E-2</v>
      </c>
      <c r="F815">
        <v>0.44140794569334441</v>
      </c>
      <c r="G815">
        <v>1.0823190376101031</v>
      </c>
      <c r="H815">
        <v>18.697825991021681</v>
      </c>
      <c r="I815">
        <v>1.8107322717628296E-2</v>
      </c>
      <c r="J815">
        <v>0</v>
      </c>
      <c r="K815">
        <v>0</v>
      </c>
    </row>
    <row r="816" spans="1:11" x14ac:dyDescent="0.3">
      <c r="A816" t="s">
        <v>278</v>
      </c>
      <c r="B816">
        <v>2010</v>
      </c>
      <c r="C816">
        <v>5.7285887191231375E-3</v>
      </c>
      <c r="D816">
        <v>9.0503132652182211E-2</v>
      </c>
      <c r="E816">
        <v>-0.13289974336883481</v>
      </c>
      <c r="F816">
        <v>0.25738345714249139</v>
      </c>
      <c r="G816">
        <v>0.94255422767529884</v>
      </c>
      <c r="H816">
        <v>19.151265789720867</v>
      </c>
      <c r="I816">
        <v>1.1563368986645523E-2</v>
      </c>
      <c r="J816">
        <v>0</v>
      </c>
      <c r="K816">
        <v>0</v>
      </c>
    </row>
    <row r="817" spans="1:11" x14ac:dyDescent="0.3">
      <c r="A817" t="s">
        <v>279</v>
      </c>
      <c r="B817">
        <v>2007</v>
      </c>
      <c r="C817">
        <v>5.5325176102646978E-2</v>
      </c>
      <c r="D817">
        <v>0.14897280175460353</v>
      </c>
      <c r="E817">
        <v>0.22374740093235557</v>
      </c>
      <c r="F817">
        <v>7.1111158070581201E-2</v>
      </c>
      <c r="G817">
        <v>0.8692386615587121</v>
      </c>
      <c r="H817">
        <v>15.788613883971127</v>
      </c>
      <c r="I817">
        <v>9.9219861067435453E-3</v>
      </c>
      <c r="J817">
        <v>3.5338422380537422E-2</v>
      </c>
      <c r="K817">
        <v>0</v>
      </c>
    </row>
    <row r="818" spans="1:11" x14ac:dyDescent="0.3">
      <c r="A818" t="s">
        <v>279</v>
      </c>
      <c r="B818">
        <v>2008</v>
      </c>
      <c r="C818">
        <v>1.8943412914942174E-2</v>
      </c>
      <c r="D818">
        <v>0.12401395604249152</v>
      </c>
      <c r="E818">
        <v>0.26697363686383963</v>
      </c>
      <c r="F818">
        <v>7.8699247447498247E-2</v>
      </c>
      <c r="G818">
        <v>0.55135271917353856</v>
      </c>
      <c r="H818">
        <v>15.810669813477942</v>
      </c>
      <c r="I818">
        <v>1.2368398453485379E-2</v>
      </c>
      <c r="J818">
        <v>4.608999895830132E-2</v>
      </c>
      <c r="K818">
        <v>0</v>
      </c>
    </row>
    <row r="819" spans="1:11" x14ac:dyDescent="0.3">
      <c r="A819" t="s">
        <v>279</v>
      </c>
      <c r="B819">
        <v>2009</v>
      </c>
      <c r="C819">
        <v>9.5949087920604623E-2</v>
      </c>
      <c r="D819">
        <v>0.1697340945987261</v>
      </c>
      <c r="E819">
        <v>0.3376215195601629</v>
      </c>
      <c r="F819">
        <v>0</v>
      </c>
      <c r="G819">
        <v>0.79042618609621462</v>
      </c>
      <c r="H819">
        <v>15.750086430383654</v>
      </c>
      <c r="I819">
        <v>8.3129337990732605E-3</v>
      </c>
      <c r="J819">
        <v>0.11017946837413894</v>
      </c>
      <c r="K819">
        <v>0</v>
      </c>
    </row>
    <row r="820" spans="1:11" x14ac:dyDescent="0.3">
      <c r="A820" t="s">
        <v>279</v>
      </c>
      <c r="B820">
        <v>2010</v>
      </c>
      <c r="C820">
        <v>4.134088838811166E-2</v>
      </c>
      <c r="D820">
        <v>0.13094522709783427</v>
      </c>
      <c r="E820">
        <v>0.38470126751566103</v>
      </c>
      <c r="F820">
        <v>2.6678081328397711E-2</v>
      </c>
      <c r="G820">
        <v>0.55172635331570541</v>
      </c>
      <c r="H820">
        <v>15.829985620278812</v>
      </c>
      <c r="I820">
        <v>7.7364639692696149E-3</v>
      </c>
      <c r="J820">
        <v>5.6510445602658527E-2</v>
      </c>
      <c r="K820">
        <v>0</v>
      </c>
    </row>
    <row r="821" spans="1:11" x14ac:dyDescent="0.3">
      <c r="A821" t="s">
        <v>280</v>
      </c>
      <c r="B821">
        <v>2007</v>
      </c>
      <c r="C821">
        <v>1.0487535513459285E-3</v>
      </c>
      <c r="D821">
        <v>8.671944156402539E-2</v>
      </c>
      <c r="E821">
        <v>0.52535808526602423</v>
      </c>
      <c r="F821">
        <v>2.460018378478633E-3</v>
      </c>
      <c r="G821">
        <v>0.59164807742566405</v>
      </c>
      <c r="H821">
        <v>13.293093006662286</v>
      </c>
      <c r="I821">
        <v>2.6242822672869377E-3</v>
      </c>
      <c r="J821">
        <v>0</v>
      </c>
      <c r="K821">
        <v>0</v>
      </c>
    </row>
    <row r="822" spans="1:11" x14ac:dyDescent="0.3">
      <c r="A822" t="s">
        <v>280</v>
      </c>
      <c r="B822">
        <v>2009</v>
      </c>
      <c r="C822">
        <v>4.4298278276787362E-3</v>
      </c>
      <c r="D822">
        <v>0.12522671637811128</v>
      </c>
      <c r="E822">
        <v>0.34452000989744613</v>
      </c>
      <c r="F822">
        <v>2.0083167374942645E-2</v>
      </c>
      <c r="G822">
        <v>0.31655042772822384</v>
      </c>
      <c r="H822">
        <v>12.939086964880705</v>
      </c>
      <c r="I822">
        <v>1.2912600485209034E-2</v>
      </c>
      <c r="J822">
        <v>0</v>
      </c>
      <c r="K822">
        <v>0</v>
      </c>
    </row>
    <row r="823" spans="1:11" x14ac:dyDescent="0.3">
      <c r="A823" t="s">
        <v>280</v>
      </c>
      <c r="B823">
        <v>2010</v>
      </c>
      <c r="C823">
        <v>3.2776144101434528E-2</v>
      </c>
      <c r="D823">
        <v>8.9457383409550853E-2</v>
      </c>
      <c r="E823">
        <v>0.39905408276216781</v>
      </c>
      <c r="F823">
        <v>1.8605275221664413E-2</v>
      </c>
      <c r="G823">
        <v>0.21552739917483815</v>
      </c>
      <c r="H823">
        <v>13.010727658221123</v>
      </c>
      <c r="I823">
        <v>1.6791818049690811E-2</v>
      </c>
      <c r="J823">
        <v>0</v>
      </c>
      <c r="K823">
        <v>0</v>
      </c>
    </row>
    <row r="824" spans="1:11" x14ac:dyDescent="0.3">
      <c r="A824" t="s">
        <v>281</v>
      </c>
      <c r="B824">
        <v>2008</v>
      </c>
      <c r="C824">
        <v>3.1500166393218397E-3</v>
      </c>
      <c r="D824">
        <v>0.16883677702137828</v>
      </c>
      <c r="E824">
        <v>2.6386065515479906E-2</v>
      </c>
      <c r="F824">
        <v>0.41505975102617049</v>
      </c>
      <c r="G824">
        <v>1.1132650471317547</v>
      </c>
      <c r="H824">
        <v>17.85793814011927</v>
      </c>
      <c r="I824">
        <v>1.2556836037743725E-2</v>
      </c>
      <c r="J824">
        <v>8.4217070007912481E-2</v>
      </c>
      <c r="K824">
        <v>0</v>
      </c>
    </row>
    <row r="825" spans="1:11" x14ac:dyDescent="0.3">
      <c r="A825" t="s">
        <v>281</v>
      </c>
      <c r="B825">
        <v>2009</v>
      </c>
      <c r="C825">
        <v>6.6770844080214871E-3</v>
      </c>
      <c r="D825">
        <v>0.17045959244256106</v>
      </c>
      <c r="E825">
        <v>0.20719959257665213</v>
      </c>
      <c r="F825">
        <v>0.23049292774723315</v>
      </c>
      <c r="G825">
        <v>1.2885166676690141</v>
      </c>
      <c r="H825">
        <v>17.909175789493521</v>
      </c>
      <c r="I825">
        <v>1.1738869728570351E-2</v>
      </c>
      <c r="J825">
        <v>9.4691521679038895E-2</v>
      </c>
      <c r="K825">
        <v>0</v>
      </c>
    </row>
    <row r="826" spans="1:11" x14ac:dyDescent="0.3">
      <c r="A826" t="s">
        <v>281</v>
      </c>
      <c r="B826">
        <v>2010</v>
      </c>
      <c r="C826">
        <v>3.1442616956657513E-3</v>
      </c>
      <c r="D826">
        <v>0.11972809104751975</v>
      </c>
      <c r="E826">
        <v>0.15464699249780539</v>
      </c>
      <c r="F826">
        <v>0.28912826174061418</v>
      </c>
      <c r="G826">
        <v>1.1716590416972825</v>
      </c>
      <c r="H826">
        <v>18.167079183606337</v>
      </c>
      <c r="I826">
        <v>1.0299341135550158E-3</v>
      </c>
      <c r="J826">
        <v>5.6717277387799005E-2</v>
      </c>
      <c r="K826">
        <v>0</v>
      </c>
    </row>
    <row r="827" spans="1:11" x14ac:dyDescent="0.3">
      <c r="A827" t="s">
        <v>282</v>
      </c>
      <c r="B827">
        <v>2010</v>
      </c>
      <c r="C827">
        <v>3.4272296524771866E-2</v>
      </c>
      <c r="D827">
        <v>0.40431419030031468</v>
      </c>
      <c r="E827">
        <v>0.3739845129969897</v>
      </c>
      <c r="F827">
        <v>0</v>
      </c>
      <c r="G827">
        <v>3.5221334885374436</v>
      </c>
      <c r="H827">
        <v>19.248654451213508</v>
      </c>
      <c r="I827">
        <v>2.5564425116954979E-2</v>
      </c>
      <c r="J827">
        <v>0.10335714067341041</v>
      </c>
      <c r="K827">
        <v>0</v>
      </c>
    </row>
    <row r="828" spans="1:11" x14ac:dyDescent="0.3">
      <c r="A828" t="s">
        <v>283</v>
      </c>
      <c r="B828">
        <v>2007</v>
      </c>
      <c r="C828">
        <v>2.4194498298426401E-4</v>
      </c>
      <c r="D828">
        <v>6.5048182069966667E-2</v>
      </c>
      <c r="E828">
        <v>0.61238185285288149</v>
      </c>
      <c r="F828">
        <v>0</v>
      </c>
      <c r="G828">
        <v>0.22208400584488144</v>
      </c>
      <c r="H828">
        <v>12.657533540980497</v>
      </c>
      <c r="I828">
        <v>7.0830741209999019E-3</v>
      </c>
      <c r="J828">
        <v>0</v>
      </c>
      <c r="K828">
        <v>0</v>
      </c>
    </row>
    <row r="829" spans="1:11" x14ac:dyDescent="0.3">
      <c r="A829" t="s">
        <v>283</v>
      </c>
      <c r="B829">
        <v>2008</v>
      </c>
      <c r="C829">
        <v>3.8299240170431621E-4</v>
      </c>
      <c r="D829">
        <v>8.6587058960312407E-2</v>
      </c>
      <c r="E829">
        <v>0.62365525212526585</v>
      </c>
      <c r="F829">
        <v>0</v>
      </c>
      <c r="G829">
        <v>7.8132501692689621E-2</v>
      </c>
      <c r="H829">
        <v>12.585994279167641</v>
      </c>
      <c r="I829">
        <v>1.325470487730942E-2</v>
      </c>
      <c r="J829">
        <v>0</v>
      </c>
      <c r="K829">
        <v>0</v>
      </c>
    </row>
    <row r="830" spans="1:11" x14ac:dyDescent="0.3">
      <c r="A830" t="s">
        <v>283</v>
      </c>
      <c r="B830">
        <v>2009</v>
      </c>
      <c r="C830">
        <v>1.5332132316301891E-4</v>
      </c>
      <c r="D830">
        <v>4.3285397189341379E-2</v>
      </c>
      <c r="E830">
        <v>0.62764522839650283</v>
      </c>
      <c r="F830">
        <v>0</v>
      </c>
      <c r="G830">
        <v>0.11213134062074227</v>
      </c>
      <c r="H830">
        <v>12.567164321332942</v>
      </c>
      <c r="I830">
        <v>4.4801617042714709E-4</v>
      </c>
      <c r="J830">
        <v>0</v>
      </c>
      <c r="K830">
        <v>0</v>
      </c>
    </row>
    <row r="831" spans="1:11" x14ac:dyDescent="0.3">
      <c r="A831" t="s">
        <v>283</v>
      </c>
      <c r="B831">
        <v>2010</v>
      </c>
      <c r="C831">
        <v>7.5351760588529386E-4</v>
      </c>
      <c r="D831">
        <v>4.4818227269480752E-2</v>
      </c>
      <c r="E831">
        <v>0.61688093707592317</v>
      </c>
      <c r="F831">
        <v>2.1748446539532891E-3</v>
      </c>
      <c r="G831">
        <v>0.12454556817370188</v>
      </c>
      <c r="H831">
        <v>12.542616308171917</v>
      </c>
      <c r="I831">
        <v>4.5089760186640786E-4</v>
      </c>
      <c r="J831">
        <v>0</v>
      </c>
      <c r="K831">
        <v>0</v>
      </c>
    </row>
    <row r="832" spans="1:11" x14ac:dyDescent="0.3">
      <c r="A832" t="s">
        <v>284</v>
      </c>
      <c r="B832">
        <v>2007</v>
      </c>
      <c r="C832">
        <v>1.033372659971819E-3</v>
      </c>
      <c r="D832">
        <v>1.4497271364988481E-2</v>
      </c>
      <c r="E832">
        <v>-8.8602357361723061E-2</v>
      </c>
      <c r="F832">
        <v>0.29944847185256424</v>
      </c>
      <c r="G832">
        <v>0.81957463627518956</v>
      </c>
      <c r="H832">
        <v>14.866857918698567</v>
      </c>
      <c r="I832">
        <v>1.1162459332579212E-2</v>
      </c>
      <c r="J832">
        <v>0</v>
      </c>
      <c r="K832">
        <v>0</v>
      </c>
    </row>
    <row r="833" spans="1:11" x14ac:dyDescent="0.3">
      <c r="A833" t="s">
        <v>284</v>
      </c>
      <c r="B833">
        <v>2008</v>
      </c>
      <c r="C833">
        <v>7.9449138096402659E-3</v>
      </c>
      <c r="D833">
        <v>4.6604281956102812E-2</v>
      </c>
      <c r="E833">
        <v>-2.2112843413649177E-2</v>
      </c>
      <c r="F833">
        <v>0.58781907161150204</v>
      </c>
      <c r="G833">
        <v>0.78793625886291097</v>
      </c>
      <c r="H833">
        <v>15.009386661725518</v>
      </c>
      <c r="I833">
        <v>2.9787022703920731E-3</v>
      </c>
      <c r="J833">
        <v>1.4464306981505507E-2</v>
      </c>
      <c r="K833">
        <v>0</v>
      </c>
    </row>
    <row r="834" spans="1:11" x14ac:dyDescent="0.3">
      <c r="A834" t="s">
        <v>284</v>
      </c>
      <c r="B834">
        <v>2009</v>
      </c>
      <c r="C834">
        <v>7.0655410918580592E-3</v>
      </c>
      <c r="D834">
        <v>4.0697941304395226E-2</v>
      </c>
      <c r="E834">
        <v>-8.5618509554417896E-2</v>
      </c>
      <c r="F834">
        <v>0.6184679535952865</v>
      </c>
      <c r="G834">
        <v>0.81032779152995771</v>
      </c>
      <c r="H834">
        <v>15.064124359129023</v>
      </c>
      <c r="I834">
        <v>6.9978284063268422E-3</v>
      </c>
      <c r="J834">
        <v>1.0955074554412154E-2</v>
      </c>
      <c r="K834">
        <v>0</v>
      </c>
    </row>
    <row r="835" spans="1:11" x14ac:dyDescent="0.3">
      <c r="A835" t="s">
        <v>284</v>
      </c>
      <c r="B835">
        <v>2010</v>
      </c>
      <c r="C835">
        <v>3.6988724890590794E-3</v>
      </c>
      <c r="D835">
        <v>6.1633599146333276E-2</v>
      </c>
      <c r="E835">
        <v>-0.12285550635207508</v>
      </c>
      <c r="F835">
        <v>0.59810605129128969</v>
      </c>
      <c r="G835">
        <v>0.77164387486664909</v>
      </c>
      <c r="H835">
        <v>15.10176660424503</v>
      </c>
      <c r="I835">
        <v>5.48612484818649E-3</v>
      </c>
      <c r="J835">
        <v>1.0550365811774997E-2</v>
      </c>
      <c r="K835">
        <v>0</v>
      </c>
    </row>
    <row r="836" spans="1:11" x14ac:dyDescent="0.3">
      <c r="A836" t="s">
        <v>285</v>
      </c>
      <c r="B836">
        <v>2007</v>
      </c>
      <c r="C836">
        <v>1.2735789470309299E-2</v>
      </c>
      <c r="D836">
        <v>6.9864539482332427E-2</v>
      </c>
      <c r="E836">
        <v>-0.28755680524785265</v>
      </c>
      <c r="F836">
        <v>0.25023587763987704</v>
      </c>
      <c r="G836">
        <v>0.81863159548443576</v>
      </c>
      <c r="H836">
        <v>15.869310521303136</v>
      </c>
      <c r="I836">
        <v>1.1972415104144728E-3</v>
      </c>
      <c r="J836">
        <v>0</v>
      </c>
      <c r="K836">
        <v>0</v>
      </c>
    </row>
    <row r="837" spans="1:11" x14ac:dyDescent="0.3">
      <c r="A837" t="s">
        <v>285</v>
      </c>
      <c r="B837">
        <v>2008</v>
      </c>
      <c r="C837">
        <v>5.1680264665635882E-3</v>
      </c>
      <c r="D837">
        <v>7.2979806287215149E-2</v>
      </c>
      <c r="E837">
        <v>-0.28372099914592397</v>
      </c>
      <c r="F837">
        <v>0.25407029641034423</v>
      </c>
      <c r="G837">
        <v>0.81332346454027427</v>
      </c>
      <c r="H837">
        <v>15.890462285496254</v>
      </c>
      <c r="I837">
        <v>6.0997005908095883E-3</v>
      </c>
      <c r="J837">
        <v>0</v>
      </c>
      <c r="K837">
        <v>0</v>
      </c>
    </row>
    <row r="838" spans="1:11" x14ac:dyDescent="0.3">
      <c r="A838" t="s">
        <v>285</v>
      </c>
      <c r="B838">
        <v>2009</v>
      </c>
      <c r="C838">
        <v>4.8645505421286944E-4</v>
      </c>
      <c r="D838">
        <v>5.0555319962865497E-2</v>
      </c>
      <c r="E838">
        <v>-0.24378761538845797</v>
      </c>
      <c r="F838">
        <v>0.59243824594190087</v>
      </c>
      <c r="G838">
        <v>0.83964771528312243</v>
      </c>
      <c r="H838">
        <v>16.039976475443392</v>
      </c>
      <c r="I838">
        <v>3.5604252656954976E-3</v>
      </c>
      <c r="J838">
        <v>0</v>
      </c>
      <c r="K838">
        <v>0</v>
      </c>
    </row>
    <row r="839" spans="1:11" x14ac:dyDescent="0.3">
      <c r="A839" t="s">
        <v>285</v>
      </c>
      <c r="B839">
        <v>2010</v>
      </c>
      <c r="C839">
        <v>3.4757330140611658E-3</v>
      </c>
      <c r="D839">
        <v>3.9243647540214567E-2</v>
      </c>
      <c r="E839">
        <v>-0.24138854067652335</v>
      </c>
      <c r="F839">
        <v>0.48930376853978108</v>
      </c>
      <c r="G839">
        <v>0.84496383008601972</v>
      </c>
      <c r="H839">
        <v>16.254174907519143</v>
      </c>
      <c r="I839">
        <v>0.11119442324208141</v>
      </c>
      <c r="J839">
        <v>0</v>
      </c>
      <c r="K839">
        <v>0</v>
      </c>
    </row>
    <row r="840" spans="1:11" x14ac:dyDescent="0.3">
      <c r="A840" t="s">
        <v>286</v>
      </c>
      <c r="B840">
        <v>2007</v>
      </c>
      <c r="C840">
        <v>0.16193770540883154</v>
      </c>
      <c r="D840">
        <v>0.10559364495699494</v>
      </c>
      <c r="E840">
        <v>-0.39571566618001697</v>
      </c>
      <c r="F840">
        <v>1.5380404107749858E-2</v>
      </c>
      <c r="G840">
        <v>1.2354897196631265</v>
      </c>
      <c r="H840">
        <v>18.242162242367815</v>
      </c>
      <c r="I840">
        <v>3.4628961386480653E-3</v>
      </c>
      <c r="J840">
        <v>1.9692756767659216E-2</v>
      </c>
      <c r="K840">
        <v>0</v>
      </c>
    </row>
    <row r="841" spans="1:11" x14ac:dyDescent="0.3">
      <c r="A841" t="s">
        <v>286</v>
      </c>
      <c r="B841">
        <v>2008</v>
      </c>
      <c r="C841">
        <v>8.3331740019572206E-2</v>
      </c>
      <c r="D841">
        <v>9.1252279381694862E-2</v>
      </c>
      <c r="E841">
        <v>-0.43293728042160728</v>
      </c>
      <c r="F841">
        <v>1.5995214549111032E-2</v>
      </c>
      <c r="G841">
        <v>0.94516840677864589</v>
      </c>
      <c r="H841">
        <v>18.396876077770873</v>
      </c>
      <c r="I841">
        <v>9.4013729081585933E-3</v>
      </c>
      <c r="J841">
        <v>1.9681673217652577E-2</v>
      </c>
      <c r="K841">
        <v>0</v>
      </c>
    </row>
    <row r="842" spans="1:11" x14ac:dyDescent="0.3">
      <c r="A842" t="s">
        <v>286</v>
      </c>
      <c r="B842">
        <v>2009</v>
      </c>
      <c r="C842">
        <v>1.0745458322405315E-2</v>
      </c>
      <c r="D842">
        <v>6.284183357260327E-2</v>
      </c>
      <c r="E842">
        <v>-7.551797497946218E-2</v>
      </c>
      <c r="F842">
        <v>2.2942676348176295E-2</v>
      </c>
      <c r="G842">
        <v>0.97934651099261882</v>
      </c>
      <c r="H842">
        <v>18.624045677602162</v>
      </c>
      <c r="I842">
        <v>3.8646698009773515E-3</v>
      </c>
      <c r="J842">
        <v>0</v>
      </c>
      <c r="K842">
        <v>0</v>
      </c>
    </row>
    <row r="843" spans="1:11" x14ac:dyDescent="0.3">
      <c r="A843" t="s">
        <v>286</v>
      </c>
      <c r="B843">
        <v>2010</v>
      </c>
      <c r="C843">
        <v>1.442948024799876E-2</v>
      </c>
      <c r="D843">
        <v>7.7550198847925161E-2</v>
      </c>
      <c r="E843">
        <v>-7.4549286211786817E-2</v>
      </c>
      <c r="F843">
        <v>1.6168223992320908E-2</v>
      </c>
      <c r="G843">
        <v>0.97113303216740554</v>
      </c>
      <c r="H843">
        <v>18.751690294377752</v>
      </c>
      <c r="I843">
        <v>5.7410277767140291E-3</v>
      </c>
      <c r="J843">
        <v>7.8873328412286392E-3</v>
      </c>
      <c r="K843">
        <v>0</v>
      </c>
    </row>
    <row r="844" spans="1:11" x14ac:dyDescent="0.3">
      <c r="A844" t="s">
        <v>287</v>
      </c>
      <c r="B844">
        <v>2007</v>
      </c>
      <c r="C844">
        <v>8.5071841779302937E-2</v>
      </c>
      <c r="D844">
        <v>5.7874764601079952E-2</v>
      </c>
      <c r="E844">
        <v>-0.14852760798715256</v>
      </c>
      <c r="F844">
        <v>0.1008553487555509</v>
      </c>
      <c r="G844">
        <v>1.1261728828357558</v>
      </c>
      <c r="H844">
        <v>17.941351994608482</v>
      </c>
      <c r="I844">
        <v>5.4943437087961317E-4</v>
      </c>
      <c r="J844">
        <v>5.4196964080475019E-3</v>
      </c>
      <c r="K844">
        <v>0</v>
      </c>
    </row>
    <row r="845" spans="1:11" x14ac:dyDescent="0.3">
      <c r="A845" t="s">
        <v>287</v>
      </c>
      <c r="B845">
        <v>2008</v>
      </c>
      <c r="C845">
        <v>6.0755795887988025E-2</v>
      </c>
      <c r="D845">
        <v>6.4113456269497812E-2</v>
      </c>
      <c r="E845">
        <v>-0.11128405622176753</v>
      </c>
      <c r="F845">
        <v>3.3675274853581939E-2</v>
      </c>
      <c r="G845">
        <v>0.95451168491027916</v>
      </c>
      <c r="H845">
        <v>18.088041806841712</v>
      </c>
      <c r="I845">
        <v>1.0435612321662392E-2</v>
      </c>
      <c r="J845">
        <v>1.1700613966764861E-2</v>
      </c>
      <c r="K845">
        <v>0</v>
      </c>
    </row>
    <row r="846" spans="1:11" x14ac:dyDescent="0.3">
      <c r="A846" t="s">
        <v>287</v>
      </c>
      <c r="B846">
        <v>2009</v>
      </c>
      <c r="C846">
        <v>1.4690852676173996E-2</v>
      </c>
      <c r="D846">
        <v>3.1719434333790798E-2</v>
      </c>
      <c r="E846">
        <v>3.0925343596475526E-2</v>
      </c>
      <c r="F846">
        <v>0.22342487618592996</v>
      </c>
      <c r="G846">
        <v>0.99332627066054058</v>
      </c>
      <c r="H846">
        <v>18.426205454595067</v>
      </c>
      <c r="I846">
        <v>1.8898575980527028E-2</v>
      </c>
      <c r="J846">
        <v>0</v>
      </c>
      <c r="K846">
        <v>0</v>
      </c>
    </row>
    <row r="847" spans="1:11" x14ac:dyDescent="0.3">
      <c r="A847" t="s">
        <v>287</v>
      </c>
      <c r="B847">
        <v>2010</v>
      </c>
      <c r="C847">
        <v>5.606335409284036E-3</v>
      </c>
      <c r="D847">
        <v>9.0025482645108401E-2</v>
      </c>
      <c r="E847">
        <v>1.0866434762212012E-2</v>
      </c>
      <c r="F847">
        <v>0.18418356966403709</v>
      </c>
      <c r="G847">
        <v>1.034959474743949</v>
      </c>
      <c r="H847">
        <v>18.522873502561545</v>
      </c>
      <c r="I847">
        <v>7.4358437298577586E-3</v>
      </c>
      <c r="J847">
        <v>9.0895970777095398E-3</v>
      </c>
      <c r="K847">
        <v>0</v>
      </c>
    </row>
    <row r="848" spans="1:11" x14ac:dyDescent="0.3">
      <c r="A848" t="s">
        <v>288</v>
      </c>
      <c r="B848">
        <v>2007</v>
      </c>
      <c r="C848">
        <v>1.6510401554535137E-2</v>
      </c>
      <c r="D848">
        <v>9.5820030953349608E-2</v>
      </c>
      <c r="E848">
        <v>0.12138722658143068</v>
      </c>
      <c r="F848">
        <v>6.8211207770719845E-2</v>
      </c>
      <c r="G848">
        <v>1.1386030186794698</v>
      </c>
      <c r="H848">
        <v>17.622028926238478</v>
      </c>
      <c r="I848">
        <v>4.7124552026691809E-3</v>
      </c>
      <c r="J848">
        <v>7.3297007357615865E-2</v>
      </c>
      <c r="K848">
        <v>0</v>
      </c>
    </row>
    <row r="849" spans="1:11" x14ac:dyDescent="0.3">
      <c r="A849" t="s">
        <v>288</v>
      </c>
      <c r="B849">
        <v>2008</v>
      </c>
      <c r="C849">
        <v>1.0562365841329349E-2</v>
      </c>
      <c r="D849">
        <v>6.8048249200289471E-2</v>
      </c>
      <c r="E849">
        <v>2.9063580314188219E-2</v>
      </c>
      <c r="F849">
        <v>0.22817514828400431</v>
      </c>
      <c r="G849">
        <v>0.80599163060272871</v>
      </c>
      <c r="H849">
        <v>17.953820154179141</v>
      </c>
      <c r="I849">
        <v>2.9617463751242003E-3</v>
      </c>
      <c r="J849">
        <v>3.9681196229169713E-2</v>
      </c>
      <c r="K849">
        <v>0</v>
      </c>
    </row>
    <row r="850" spans="1:11" x14ac:dyDescent="0.3">
      <c r="A850" t="s">
        <v>288</v>
      </c>
      <c r="B850">
        <v>2009</v>
      </c>
      <c r="C850">
        <v>1.1265871942839501E-2</v>
      </c>
      <c r="D850">
        <v>5.9088663193982816E-2</v>
      </c>
      <c r="E850">
        <v>1.0221231428858076E-3</v>
      </c>
      <c r="F850">
        <v>0.1733098791176492</v>
      </c>
      <c r="G850">
        <v>1.0696829252538915</v>
      </c>
      <c r="H850">
        <v>18.335560733564375</v>
      </c>
      <c r="I850">
        <v>1.7583338938384659E-3</v>
      </c>
      <c r="J850">
        <v>4.2208823007213202E-2</v>
      </c>
      <c r="K850">
        <v>0</v>
      </c>
    </row>
    <row r="851" spans="1:11" x14ac:dyDescent="0.3">
      <c r="A851" t="s">
        <v>288</v>
      </c>
      <c r="B851">
        <v>2010</v>
      </c>
      <c r="C851">
        <v>7.3627199544548244E-3</v>
      </c>
      <c r="D851">
        <v>5.7067570050415996E-2</v>
      </c>
      <c r="E851">
        <v>-3.411540102266541E-3</v>
      </c>
      <c r="F851">
        <v>0.26862114982209151</v>
      </c>
      <c r="G851">
        <v>1.1045024001321313</v>
      </c>
      <c r="H851">
        <v>18.652048209987971</v>
      </c>
      <c r="I851">
        <v>4.6835157030711318E-3</v>
      </c>
      <c r="J851">
        <v>4.5907083385052908E-2</v>
      </c>
      <c r="K851">
        <v>0</v>
      </c>
    </row>
    <row r="852" spans="1:11" x14ac:dyDescent="0.3">
      <c r="A852" t="s">
        <v>289</v>
      </c>
      <c r="B852">
        <v>2007</v>
      </c>
      <c r="C852">
        <v>4.2388531513480668E-2</v>
      </c>
      <c r="D852">
        <v>0.28955693818828243</v>
      </c>
      <c r="E852">
        <v>0.46714196759015153</v>
      </c>
      <c r="F852">
        <v>8.6167437492781357E-2</v>
      </c>
      <c r="G852">
        <v>3.3747657391644945</v>
      </c>
      <c r="H852">
        <v>14.281189850729888</v>
      </c>
      <c r="I852">
        <v>2.536510730698352E-2</v>
      </c>
      <c r="J852">
        <v>0</v>
      </c>
      <c r="K852">
        <v>0</v>
      </c>
    </row>
    <row r="853" spans="1:11" x14ac:dyDescent="0.3">
      <c r="A853" t="s">
        <v>289</v>
      </c>
      <c r="B853">
        <v>2008</v>
      </c>
      <c r="C853">
        <v>5.1637983158815869E-2</v>
      </c>
      <c r="D853">
        <v>0.34281722931764225</v>
      </c>
      <c r="E853">
        <v>0.42135614236620977</v>
      </c>
      <c r="F853">
        <v>8.6683823760907178E-2</v>
      </c>
      <c r="G853">
        <v>0.80249626034006882</v>
      </c>
      <c r="H853">
        <v>14.722759737920565</v>
      </c>
      <c r="I853">
        <v>0.10056316942603946</v>
      </c>
      <c r="J853">
        <v>2.411182572094912E-2</v>
      </c>
      <c r="K853">
        <v>0</v>
      </c>
    </row>
    <row r="854" spans="1:11" x14ac:dyDescent="0.3">
      <c r="A854" t="s">
        <v>289</v>
      </c>
      <c r="B854">
        <v>2009</v>
      </c>
      <c r="C854">
        <v>7.8168703581417961E-2</v>
      </c>
      <c r="D854">
        <v>0.13331591618649513</v>
      </c>
      <c r="E854">
        <v>0.35861048196811018</v>
      </c>
      <c r="F854">
        <v>0.11040688237871597</v>
      </c>
      <c r="G854">
        <v>0.94657191807358121</v>
      </c>
      <c r="H854">
        <v>14.885951741094233</v>
      </c>
      <c r="I854">
        <v>7.9786745185963084E-2</v>
      </c>
      <c r="J854">
        <v>0</v>
      </c>
      <c r="K854">
        <v>0</v>
      </c>
    </row>
    <row r="855" spans="1:11" x14ac:dyDescent="0.3">
      <c r="A855" t="s">
        <v>289</v>
      </c>
      <c r="B855">
        <v>2010</v>
      </c>
      <c r="C855">
        <v>4.7112734512918891E-2</v>
      </c>
      <c r="D855">
        <v>0.30934761943925376</v>
      </c>
      <c r="E855">
        <v>0.34270109919114677</v>
      </c>
      <c r="F855">
        <v>6.275832522057459E-2</v>
      </c>
      <c r="G855">
        <v>0.50848194185973117</v>
      </c>
      <c r="H855">
        <v>15.24647039794648</v>
      </c>
      <c r="I855">
        <v>3.6194303626039051E-2</v>
      </c>
      <c r="J855">
        <v>2.328345819650026E-2</v>
      </c>
      <c r="K855">
        <v>0</v>
      </c>
    </row>
    <row r="856" spans="1:11" x14ac:dyDescent="0.3">
      <c r="A856" t="s">
        <v>290</v>
      </c>
      <c r="B856">
        <v>2007</v>
      </c>
      <c r="C856">
        <v>9.381468430733772E-2</v>
      </c>
      <c r="D856">
        <v>0.30876936373911307</v>
      </c>
      <c r="E856">
        <v>0.17058262970103938</v>
      </c>
      <c r="F856">
        <v>0</v>
      </c>
      <c r="G856">
        <v>1.7965546026047323</v>
      </c>
      <c r="H856">
        <v>13.425197574425534</v>
      </c>
      <c r="I856">
        <v>3.3667837481622664E-4</v>
      </c>
      <c r="J856">
        <v>5.7921680739312545E-2</v>
      </c>
      <c r="K856">
        <v>0</v>
      </c>
    </row>
    <row r="857" spans="1:11" x14ac:dyDescent="0.3">
      <c r="A857" t="s">
        <v>290</v>
      </c>
      <c r="B857">
        <v>2008</v>
      </c>
      <c r="C857">
        <v>9.893900032173332E-2</v>
      </c>
      <c r="D857">
        <v>0.29445202091746819</v>
      </c>
      <c r="E857">
        <v>0.14279917597852551</v>
      </c>
      <c r="F857">
        <v>0</v>
      </c>
      <c r="G857">
        <v>0.87037508343457526</v>
      </c>
      <c r="H857">
        <v>13.632774515282911</v>
      </c>
      <c r="I857">
        <v>9.5128653431817423E-3</v>
      </c>
      <c r="J857">
        <v>3.7651202658381636E-2</v>
      </c>
      <c r="K857">
        <v>0</v>
      </c>
    </row>
    <row r="858" spans="1:11" x14ac:dyDescent="0.3">
      <c r="A858" t="s">
        <v>290</v>
      </c>
      <c r="B858">
        <v>2009</v>
      </c>
      <c r="C858">
        <v>0.12716345577600741</v>
      </c>
      <c r="D858">
        <v>0.32415978808920709</v>
      </c>
      <c r="E858">
        <v>0.25534371579023069</v>
      </c>
      <c r="F858">
        <v>0</v>
      </c>
      <c r="G858">
        <v>1.2004312927996676</v>
      </c>
      <c r="H858">
        <v>13.816685867017924</v>
      </c>
      <c r="I858">
        <v>1.6283539962863705E-2</v>
      </c>
      <c r="J858">
        <v>5.4821529880860108E-2</v>
      </c>
      <c r="K858">
        <v>0</v>
      </c>
    </row>
    <row r="859" spans="1:11" x14ac:dyDescent="0.3">
      <c r="A859" t="s">
        <v>290</v>
      </c>
      <c r="B859">
        <v>2010</v>
      </c>
      <c r="C859">
        <v>0.14026700685152801</v>
      </c>
      <c r="D859">
        <v>0.30077106305609069</v>
      </c>
      <c r="E859">
        <v>0.33351879333121642</v>
      </c>
      <c r="F859">
        <v>0</v>
      </c>
      <c r="G859">
        <v>0.94266860581912371</v>
      </c>
      <c r="H859">
        <v>13.892653989873601</v>
      </c>
      <c r="I859">
        <v>3.9316539001102241E-2</v>
      </c>
      <c r="J859">
        <v>5.8069037407065566E-2</v>
      </c>
      <c r="K859">
        <v>0</v>
      </c>
    </row>
    <row r="860" spans="1:11" x14ac:dyDescent="0.3">
      <c r="A860" t="s">
        <v>291</v>
      </c>
      <c r="B860">
        <v>2007</v>
      </c>
      <c r="C860">
        <v>5.5388484908308534E-2</v>
      </c>
      <c r="D860">
        <v>0.25047771413678788</v>
      </c>
      <c r="E860">
        <v>0.39364553873379793</v>
      </c>
      <c r="F860">
        <v>1.5786803510724576E-2</v>
      </c>
      <c r="G860">
        <v>0.93425502888613321</v>
      </c>
      <c r="H860">
        <v>16.612279688469453</v>
      </c>
      <c r="I860">
        <v>1.7015014754919823E-2</v>
      </c>
      <c r="J860">
        <v>1.2085151896684656E-2</v>
      </c>
      <c r="K860">
        <v>0</v>
      </c>
    </row>
    <row r="861" spans="1:11" x14ac:dyDescent="0.3">
      <c r="A861" t="s">
        <v>291</v>
      </c>
      <c r="B861">
        <v>2008</v>
      </c>
      <c r="C861">
        <v>0.24932174437299034</v>
      </c>
      <c r="D861">
        <v>0.26300357211692144</v>
      </c>
      <c r="E861">
        <v>0.37900607124724994</v>
      </c>
      <c r="F861">
        <v>1.8040321613922265E-2</v>
      </c>
      <c r="G861">
        <v>1.0419017534163988</v>
      </c>
      <c r="H861">
        <v>16.426633913161456</v>
      </c>
      <c r="I861">
        <v>3.7655858825033597E-2</v>
      </c>
      <c r="J861">
        <v>3.0071022193076474E-2</v>
      </c>
      <c r="K861">
        <v>0</v>
      </c>
    </row>
    <row r="862" spans="1:11" x14ac:dyDescent="0.3">
      <c r="A862" t="s">
        <v>291</v>
      </c>
      <c r="B862">
        <v>2009</v>
      </c>
      <c r="C862">
        <v>0.13200492691092056</v>
      </c>
      <c r="D862">
        <v>0.10356376040708146</v>
      </c>
      <c r="E862">
        <v>-0.10080328076600573</v>
      </c>
      <c r="F862">
        <v>3.4673852866125609E-3</v>
      </c>
      <c r="G862">
        <v>0.96375787136400592</v>
      </c>
      <c r="H862">
        <v>16.636888194372705</v>
      </c>
      <c r="I862">
        <v>1.692349638235633E-2</v>
      </c>
      <c r="J862">
        <v>1.1791383786848781E-2</v>
      </c>
      <c r="K862">
        <v>0</v>
      </c>
    </row>
    <row r="863" spans="1:11" x14ac:dyDescent="0.3">
      <c r="A863" t="s">
        <v>291</v>
      </c>
      <c r="B863">
        <v>2010</v>
      </c>
      <c r="C863">
        <v>7.061921453866217E-2</v>
      </c>
      <c r="D863">
        <v>6.3580191022032509E-2</v>
      </c>
      <c r="E863">
        <v>-0.44649174283969734</v>
      </c>
      <c r="F863">
        <v>2.7100661675337487E-3</v>
      </c>
      <c r="G863">
        <v>0.88542426702979415</v>
      </c>
      <c r="H863">
        <v>16.734433004948638</v>
      </c>
      <c r="I863">
        <v>7.706901475294849E-3</v>
      </c>
      <c r="J863">
        <v>1.0695512560417538E-2</v>
      </c>
      <c r="K863">
        <v>0</v>
      </c>
    </row>
    <row r="864" spans="1:11" x14ac:dyDescent="0.3">
      <c r="A864" t="s">
        <v>292</v>
      </c>
      <c r="B864">
        <v>2007</v>
      </c>
      <c r="C864">
        <v>0.1499102589720232</v>
      </c>
      <c r="D864">
        <v>0.15062068296630157</v>
      </c>
      <c r="E864">
        <v>0.24247139056736047</v>
      </c>
      <c r="F864">
        <v>0.13016546295167189</v>
      </c>
      <c r="G864">
        <v>1.2381361051314239</v>
      </c>
      <c r="H864">
        <v>15.547192120483285</v>
      </c>
      <c r="I864">
        <v>0.10004001936561305</v>
      </c>
      <c r="J864">
        <v>0</v>
      </c>
      <c r="K864">
        <v>0</v>
      </c>
    </row>
    <row r="865" spans="1:11" x14ac:dyDescent="0.3">
      <c r="A865" t="s">
        <v>292</v>
      </c>
      <c r="B865">
        <v>2008</v>
      </c>
      <c r="C865">
        <v>1.4502422291076144E-3</v>
      </c>
      <c r="D865">
        <v>1.4131570826937982</v>
      </c>
      <c r="E865">
        <v>0.97575376273210712</v>
      </c>
      <c r="F865">
        <v>0</v>
      </c>
      <c r="G865">
        <v>0.48102979194755668</v>
      </c>
      <c r="H865">
        <v>14.22126828992057</v>
      </c>
      <c r="I865">
        <v>8.0066770099982587E-2</v>
      </c>
      <c r="J865">
        <v>0</v>
      </c>
      <c r="K865">
        <v>0</v>
      </c>
    </row>
    <row r="866" spans="1:11" x14ac:dyDescent="0.3">
      <c r="A866" t="s">
        <v>292</v>
      </c>
      <c r="B866">
        <v>2009</v>
      </c>
      <c r="C866">
        <v>5.1324550679221717E-2</v>
      </c>
      <c r="D866">
        <v>0.36356291274081559</v>
      </c>
      <c r="E866">
        <v>-0.4692637208125503</v>
      </c>
      <c r="F866">
        <v>0.21661555448182762</v>
      </c>
      <c r="G866">
        <v>1.1090010435548698</v>
      </c>
      <c r="H866">
        <v>15.649131321453462</v>
      </c>
      <c r="I866">
        <v>0.13781270749009114</v>
      </c>
      <c r="J866">
        <v>6.1599945912242616E-4</v>
      </c>
      <c r="K866">
        <v>0</v>
      </c>
    </row>
    <row r="867" spans="1:11" x14ac:dyDescent="0.3">
      <c r="A867" t="s">
        <v>292</v>
      </c>
      <c r="B867">
        <v>2010</v>
      </c>
      <c r="C867">
        <v>9.591227794466442E-2</v>
      </c>
      <c r="D867">
        <v>0.34656657121335893</v>
      </c>
      <c r="E867">
        <v>-0.47610223114667538</v>
      </c>
      <c r="F867">
        <v>0.21894433791708379</v>
      </c>
      <c r="G867">
        <v>0.90795682132883815</v>
      </c>
      <c r="H867">
        <v>15.548380763354197</v>
      </c>
      <c r="I867">
        <v>2.0866326697240856E-2</v>
      </c>
      <c r="J867">
        <v>0</v>
      </c>
      <c r="K867">
        <v>0</v>
      </c>
    </row>
    <row r="868" spans="1:11" x14ac:dyDescent="0.3">
      <c r="A868" t="s">
        <v>293</v>
      </c>
      <c r="B868">
        <v>2007</v>
      </c>
      <c r="C868">
        <v>1.3555281886059459E-2</v>
      </c>
      <c r="D868">
        <v>0.11896602490845908</v>
      </c>
      <c r="E868">
        <v>-0.23661870000233226</v>
      </c>
      <c r="F868">
        <v>0.24099573447635927</v>
      </c>
      <c r="G868">
        <v>1.0012490410693045</v>
      </c>
      <c r="H868">
        <v>16.077736882465654</v>
      </c>
      <c r="I868">
        <v>1.0840896099646859E-2</v>
      </c>
      <c r="J868">
        <v>0</v>
      </c>
      <c r="K868">
        <v>0</v>
      </c>
    </row>
    <row r="869" spans="1:11" x14ac:dyDescent="0.3">
      <c r="A869" t="s">
        <v>293</v>
      </c>
      <c r="B869">
        <v>2008</v>
      </c>
      <c r="C869">
        <v>3.4086095189431965E-3</v>
      </c>
      <c r="D869">
        <v>0.13213229129432896</v>
      </c>
      <c r="E869">
        <v>-0.37198370377609602</v>
      </c>
      <c r="F869">
        <v>0.19876485519277171</v>
      </c>
      <c r="G869">
        <v>0.79419227997462105</v>
      </c>
      <c r="H869">
        <v>16.156934368083483</v>
      </c>
      <c r="I869">
        <v>1.4706316572132543E-2</v>
      </c>
      <c r="J869">
        <v>0</v>
      </c>
      <c r="K869">
        <v>0</v>
      </c>
    </row>
    <row r="870" spans="1:11" x14ac:dyDescent="0.3">
      <c r="A870" t="s">
        <v>293</v>
      </c>
      <c r="B870">
        <v>2009</v>
      </c>
      <c r="C870">
        <v>9.1282072948029058E-4</v>
      </c>
      <c r="D870">
        <v>0.10026542770573249</v>
      </c>
      <c r="E870">
        <v>-9.4636678722796047E-2</v>
      </c>
      <c r="F870">
        <v>9.0718375969963072E-2</v>
      </c>
      <c r="G870">
        <v>0.78549819543083899</v>
      </c>
      <c r="H870">
        <v>16.078291159439601</v>
      </c>
      <c r="I870">
        <v>3.8918878405977589E-2</v>
      </c>
      <c r="J870">
        <v>3.1218219202472315E-4</v>
      </c>
      <c r="K870">
        <v>0</v>
      </c>
    </row>
    <row r="871" spans="1:11" x14ac:dyDescent="0.3">
      <c r="A871" t="s">
        <v>293</v>
      </c>
      <c r="B871">
        <v>2010</v>
      </c>
      <c r="C871">
        <v>7.8277038371880082E-3</v>
      </c>
      <c r="D871">
        <v>0.19931421647995248</v>
      </c>
      <c r="E871">
        <v>0.18935037388829506</v>
      </c>
      <c r="F871">
        <v>7.3190230529439029E-2</v>
      </c>
      <c r="G871">
        <v>0.71439240295173123</v>
      </c>
      <c r="H871">
        <v>16.171136482512942</v>
      </c>
      <c r="I871">
        <v>4.8663342570214145E-2</v>
      </c>
      <c r="J871">
        <v>0</v>
      </c>
      <c r="K871">
        <v>0</v>
      </c>
    </row>
    <row r="872" spans="1:11" x14ac:dyDescent="0.3">
      <c r="A872" t="s">
        <v>294</v>
      </c>
      <c r="B872">
        <v>2007</v>
      </c>
      <c r="C872">
        <v>3.2248921229503819E-2</v>
      </c>
      <c r="D872">
        <v>8.2687424868053111E-2</v>
      </c>
      <c r="E872">
        <v>-5.3612799630346222E-2</v>
      </c>
      <c r="F872">
        <v>9.3174774627170651E-2</v>
      </c>
      <c r="G872">
        <v>1.024658235934103</v>
      </c>
      <c r="H872">
        <v>16.670989008189501</v>
      </c>
      <c r="I872">
        <v>1.1925307710202402E-2</v>
      </c>
      <c r="J872">
        <v>0</v>
      </c>
      <c r="K872">
        <v>0</v>
      </c>
    </row>
    <row r="873" spans="1:11" x14ac:dyDescent="0.3">
      <c r="A873" t="s">
        <v>294</v>
      </c>
      <c r="B873">
        <v>2008</v>
      </c>
      <c r="C873">
        <v>4.3798931005644172E-2</v>
      </c>
      <c r="D873">
        <v>4.8244390441490995E-2</v>
      </c>
      <c r="E873">
        <v>4.1831940947172006E-3</v>
      </c>
      <c r="F873">
        <v>0.18714484041948423</v>
      </c>
      <c r="G873">
        <v>0.49408281260285047</v>
      </c>
      <c r="H873">
        <v>16.780007446597111</v>
      </c>
      <c r="I873">
        <v>1.1363143366486816E-2</v>
      </c>
      <c r="J873">
        <v>0</v>
      </c>
      <c r="K873">
        <v>0</v>
      </c>
    </row>
    <row r="874" spans="1:11" x14ac:dyDescent="0.3">
      <c r="A874" t="s">
        <v>294</v>
      </c>
      <c r="B874">
        <v>2009</v>
      </c>
      <c r="C874">
        <v>1.4747625085811955E-2</v>
      </c>
      <c r="D874">
        <v>7.7289862668877468E-2</v>
      </c>
      <c r="E874">
        <v>-5.1187425317904718E-2</v>
      </c>
      <c r="F874">
        <v>0.14829160413163167</v>
      </c>
      <c r="G874">
        <v>49.190058352786529</v>
      </c>
      <c r="H874">
        <v>16.942967211227913</v>
      </c>
      <c r="I874">
        <v>1.4621447866822035E-2</v>
      </c>
      <c r="J874">
        <v>0</v>
      </c>
      <c r="K874">
        <v>0</v>
      </c>
    </row>
    <row r="875" spans="1:11" x14ac:dyDescent="0.3">
      <c r="A875" t="s">
        <v>294</v>
      </c>
      <c r="B875">
        <v>2010</v>
      </c>
      <c r="C875">
        <v>8.3594349828994205E-3</v>
      </c>
      <c r="D875">
        <v>0.13294850668027733</v>
      </c>
      <c r="E875">
        <v>-0.21826813737465392</v>
      </c>
      <c r="F875">
        <v>0.10824373160524418</v>
      </c>
      <c r="G875">
        <v>0.64851577313958497</v>
      </c>
      <c r="H875">
        <v>16.90683806160099</v>
      </c>
      <c r="I875">
        <v>2.4190671116701892E-2</v>
      </c>
      <c r="J875">
        <v>0</v>
      </c>
      <c r="K875">
        <v>0</v>
      </c>
    </row>
    <row r="876" spans="1:11" x14ac:dyDescent="0.3">
      <c r="A876" t="s">
        <v>296</v>
      </c>
      <c r="B876">
        <v>2007</v>
      </c>
      <c r="C876">
        <v>0.27588315417261855</v>
      </c>
      <c r="D876">
        <v>2.0694916511155587E-2</v>
      </c>
      <c r="E876">
        <v>8.4934540571747444E-2</v>
      </c>
      <c r="F876">
        <v>0</v>
      </c>
      <c r="G876">
        <v>1.2667819634258817</v>
      </c>
      <c r="H876">
        <v>17.287102810075602</v>
      </c>
      <c r="I876">
        <v>2.1275673913586535E-2</v>
      </c>
      <c r="J876">
        <v>7.0662461822284875E-3</v>
      </c>
      <c r="K876">
        <v>0</v>
      </c>
    </row>
    <row r="877" spans="1:11" x14ac:dyDescent="0.3">
      <c r="A877" t="s">
        <v>296</v>
      </c>
      <c r="B877">
        <v>2009</v>
      </c>
      <c r="C877">
        <v>0.14614771502368898</v>
      </c>
      <c r="D877">
        <v>2.5787680163867708E-2</v>
      </c>
      <c r="E877">
        <v>-8.9405951846440485E-2</v>
      </c>
      <c r="F877">
        <v>0</v>
      </c>
      <c r="G877">
        <v>0.94912491113046049</v>
      </c>
      <c r="H877">
        <v>17.656157919642752</v>
      </c>
      <c r="I877">
        <v>6.2137707664875266E-3</v>
      </c>
      <c r="J877">
        <v>0</v>
      </c>
      <c r="K877">
        <v>0</v>
      </c>
    </row>
    <row r="878" spans="1:11" x14ac:dyDescent="0.3">
      <c r="A878" t="s">
        <v>296</v>
      </c>
      <c r="B878">
        <v>2010</v>
      </c>
      <c r="C878">
        <v>6.3798228807716045E-2</v>
      </c>
      <c r="D878">
        <v>4.9139602768788048E-3</v>
      </c>
      <c r="E878">
        <v>-6.3647910779391262E-2</v>
      </c>
      <c r="F878">
        <v>0</v>
      </c>
      <c r="G878">
        <v>0.91614012730770822</v>
      </c>
      <c r="H878">
        <v>17.946744190890804</v>
      </c>
      <c r="I878">
        <v>1.14737466554424E-2</v>
      </c>
      <c r="J878">
        <v>0</v>
      </c>
      <c r="K878">
        <v>0</v>
      </c>
    </row>
    <row r="879" spans="1:11" x14ac:dyDescent="0.3">
      <c r="A879" t="s">
        <v>297</v>
      </c>
      <c r="B879">
        <v>2010</v>
      </c>
      <c r="C879">
        <v>3.3948061301253454E-2</v>
      </c>
      <c r="D879">
        <v>0.113004699251444</v>
      </c>
      <c r="E879">
        <v>-0.41217361167911004</v>
      </c>
      <c r="F879">
        <v>0.2855156437370367</v>
      </c>
      <c r="G879">
        <v>1.0441305687278135</v>
      </c>
      <c r="H879">
        <v>17.24374391820988</v>
      </c>
      <c r="I879">
        <v>6.2616632863908006E-3</v>
      </c>
      <c r="J879">
        <v>0</v>
      </c>
      <c r="K879">
        <v>0</v>
      </c>
    </row>
    <row r="880" spans="1:11" x14ac:dyDescent="0.3">
      <c r="A880" t="s">
        <v>298</v>
      </c>
      <c r="B880">
        <v>2008</v>
      </c>
      <c r="C880">
        <v>0.28156301688148266</v>
      </c>
      <c r="D880">
        <v>0.19462656219775659</v>
      </c>
      <c r="E880">
        <v>0.31769081237984692</v>
      </c>
      <c r="F880">
        <v>0</v>
      </c>
      <c r="G880">
        <v>0.78951697294355938</v>
      </c>
      <c r="H880">
        <v>17.657210128527062</v>
      </c>
      <c r="I880">
        <v>5.8628136400563101E-2</v>
      </c>
      <c r="J880">
        <v>3.4316987706045849E-3</v>
      </c>
      <c r="K880">
        <v>0</v>
      </c>
    </row>
    <row r="881" spans="1:11" x14ac:dyDescent="0.3">
      <c r="A881" t="s">
        <v>298</v>
      </c>
      <c r="B881">
        <v>2009</v>
      </c>
      <c r="C881">
        <v>0.18420476220693113</v>
      </c>
      <c r="D881">
        <v>7.1834099503240212E-2</v>
      </c>
      <c r="E881">
        <v>0.33769099921593326</v>
      </c>
      <c r="F881">
        <v>0</v>
      </c>
      <c r="G881">
        <v>0.92412314143114926</v>
      </c>
      <c r="H881">
        <v>17.561351721850961</v>
      </c>
      <c r="I881">
        <v>1.6956008108062495E-2</v>
      </c>
      <c r="J881">
        <v>2.3605908199274755E-2</v>
      </c>
      <c r="K881">
        <v>0</v>
      </c>
    </row>
    <row r="882" spans="1:11" x14ac:dyDescent="0.3">
      <c r="A882" t="s">
        <v>298</v>
      </c>
      <c r="B882">
        <v>2010</v>
      </c>
      <c r="C882">
        <v>0.31389009560755676</v>
      </c>
      <c r="D882">
        <v>0.10400547306006518</v>
      </c>
      <c r="E882">
        <v>0.30995648860701902</v>
      </c>
      <c r="F882">
        <v>0</v>
      </c>
      <c r="G882">
        <v>1.043686224391241</v>
      </c>
      <c r="H882">
        <v>17.759790063378905</v>
      </c>
      <c r="I882">
        <v>2.5045960390873707E-2</v>
      </c>
      <c r="J882">
        <v>3.0971326214918576E-2</v>
      </c>
      <c r="K882">
        <v>0</v>
      </c>
    </row>
    <row r="883" spans="1:11" x14ac:dyDescent="0.3">
      <c r="A883" t="s">
        <v>299</v>
      </c>
      <c r="B883">
        <v>2007</v>
      </c>
      <c r="C883">
        <v>0.12682864811572128</v>
      </c>
      <c r="D883">
        <v>0.34003326725923921</v>
      </c>
      <c r="E883">
        <v>0.45254583500596873</v>
      </c>
      <c r="F883">
        <v>0</v>
      </c>
      <c r="G883">
        <v>2.856221628146892</v>
      </c>
      <c r="H883">
        <v>17.035201890215919</v>
      </c>
      <c r="I883">
        <v>3.5216674377872709E-3</v>
      </c>
      <c r="J883">
        <v>0.11817654684602114</v>
      </c>
      <c r="K883">
        <v>0</v>
      </c>
    </row>
    <row r="884" spans="1:11" x14ac:dyDescent="0.3">
      <c r="A884" t="s">
        <v>299</v>
      </c>
      <c r="B884">
        <v>2008</v>
      </c>
      <c r="C884">
        <v>0.22589533013094687</v>
      </c>
      <c r="D884">
        <v>0.30902022356829384</v>
      </c>
      <c r="E884">
        <v>0.45669664963976497</v>
      </c>
      <c r="F884">
        <v>0</v>
      </c>
      <c r="G884">
        <v>0.84280518661501269</v>
      </c>
      <c r="H884">
        <v>17.308009732936398</v>
      </c>
      <c r="I884">
        <v>4.7750581218788238E-2</v>
      </c>
      <c r="J884">
        <v>9.5957988058167729E-2</v>
      </c>
      <c r="K884">
        <v>0</v>
      </c>
    </row>
    <row r="885" spans="1:11" x14ac:dyDescent="0.3">
      <c r="A885" t="s">
        <v>299</v>
      </c>
      <c r="B885">
        <v>2009</v>
      </c>
      <c r="C885">
        <v>0.11153973218842644</v>
      </c>
      <c r="D885">
        <v>0.20927305710171656</v>
      </c>
      <c r="E885">
        <v>0.1958258977043037</v>
      </c>
      <c r="F885">
        <v>0</v>
      </c>
      <c r="G885">
        <v>1.7393320702173574</v>
      </c>
      <c r="H885">
        <v>17.413695834623542</v>
      </c>
      <c r="I885">
        <v>2.0455760905883216E-2</v>
      </c>
      <c r="J885">
        <v>0.11655097182381448</v>
      </c>
      <c r="K885">
        <v>0</v>
      </c>
    </row>
    <row r="886" spans="1:11" x14ac:dyDescent="0.3">
      <c r="A886" t="s">
        <v>300</v>
      </c>
      <c r="B886">
        <v>2007</v>
      </c>
      <c r="C886">
        <v>1.5632274731792541E-2</v>
      </c>
      <c r="D886">
        <v>0.51605258181475255</v>
      </c>
      <c r="E886">
        <v>0.49216767216027674</v>
      </c>
      <c r="F886">
        <v>1.0064895905974147E-3</v>
      </c>
      <c r="G886">
        <v>3.5403319672517641</v>
      </c>
      <c r="H886">
        <v>17.734888946119685</v>
      </c>
      <c r="I886">
        <v>5.322888851838431E-3</v>
      </c>
      <c r="J886">
        <v>6.127303184242331E-2</v>
      </c>
      <c r="K886">
        <v>0</v>
      </c>
    </row>
    <row r="887" spans="1:11" x14ac:dyDescent="0.3">
      <c r="A887" t="s">
        <v>300</v>
      </c>
      <c r="B887">
        <v>2010</v>
      </c>
      <c r="C887">
        <v>1.7423315351575586E-2</v>
      </c>
      <c r="D887">
        <v>0.35290640604174867</v>
      </c>
      <c r="E887">
        <v>0.40373857928041978</v>
      </c>
      <c r="F887">
        <v>1.207114736631764E-2</v>
      </c>
      <c r="G887">
        <v>2.26734479905913</v>
      </c>
      <c r="H887">
        <v>18.493741438616695</v>
      </c>
      <c r="I887">
        <v>1.808022868824459E-2</v>
      </c>
      <c r="J887">
        <v>8.3310120285556413E-2</v>
      </c>
      <c r="K887">
        <v>0</v>
      </c>
    </row>
    <row r="888" spans="1:11" x14ac:dyDescent="0.3">
      <c r="A888" t="s">
        <v>301</v>
      </c>
      <c r="B888">
        <v>2007</v>
      </c>
      <c r="C888">
        <v>0.11563498342324904</v>
      </c>
      <c r="D888">
        <v>4.3330512381649228E-2</v>
      </c>
      <c r="E888">
        <v>0.26234680438194635</v>
      </c>
      <c r="F888">
        <v>0</v>
      </c>
      <c r="G888">
        <v>1.1831893885371041</v>
      </c>
      <c r="H888">
        <v>16.502441509403344</v>
      </c>
      <c r="I888">
        <v>4.7500777214102008E-2</v>
      </c>
      <c r="J888">
        <v>6.7408693392783719E-3</v>
      </c>
      <c r="K888">
        <v>0</v>
      </c>
    </row>
    <row r="889" spans="1:11" x14ac:dyDescent="0.3">
      <c r="A889" t="s">
        <v>301</v>
      </c>
      <c r="B889">
        <v>2008</v>
      </c>
      <c r="C889">
        <v>0.11131190225035457</v>
      </c>
      <c r="D889">
        <v>0.1429597061695411</v>
      </c>
      <c r="E889">
        <v>0.24465848081589509</v>
      </c>
      <c r="F889">
        <v>0</v>
      </c>
      <c r="G889">
        <v>0.85858169896478531</v>
      </c>
      <c r="H889">
        <v>16.984022172502112</v>
      </c>
      <c r="I889">
        <v>6.3585320400255108E-3</v>
      </c>
      <c r="J889">
        <v>0</v>
      </c>
      <c r="K889">
        <v>0</v>
      </c>
    </row>
    <row r="890" spans="1:11" x14ac:dyDescent="0.3">
      <c r="A890" t="s">
        <v>301</v>
      </c>
      <c r="B890">
        <v>2009</v>
      </c>
      <c r="C890">
        <v>0.12005562712629977</v>
      </c>
      <c r="D890">
        <v>0.1729430959615523</v>
      </c>
      <c r="E890">
        <v>-3.7744583486671798E-2</v>
      </c>
      <c r="F890">
        <v>0.12607718064184603</v>
      </c>
      <c r="G890">
        <v>1.0627913634249804</v>
      </c>
      <c r="H890">
        <v>17.298805304276684</v>
      </c>
      <c r="I890">
        <v>4.8744350451449037E-2</v>
      </c>
      <c r="J890">
        <v>0</v>
      </c>
      <c r="K890">
        <v>0</v>
      </c>
    </row>
    <row r="891" spans="1:11" x14ac:dyDescent="0.3">
      <c r="A891" t="s">
        <v>301</v>
      </c>
      <c r="B891">
        <v>2010</v>
      </c>
      <c r="C891">
        <v>3.1076112301227918E-4</v>
      </c>
      <c r="D891">
        <v>6.706766193182076E-2</v>
      </c>
      <c r="E891">
        <v>-0.10843635113168248</v>
      </c>
      <c r="F891">
        <v>0.10277832757760959</v>
      </c>
      <c r="G891">
        <v>1.0460561360966512</v>
      </c>
      <c r="H891">
        <v>17.244962202005354</v>
      </c>
      <c r="I891">
        <v>1.1218727229749656E-2</v>
      </c>
      <c r="J891">
        <v>0</v>
      </c>
      <c r="K891">
        <v>0</v>
      </c>
    </row>
    <row r="892" spans="1:11" x14ac:dyDescent="0.3">
      <c r="A892" t="s">
        <v>302</v>
      </c>
      <c r="B892">
        <v>2007</v>
      </c>
      <c r="C892">
        <v>2.0368352810105635E-2</v>
      </c>
      <c r="D892">
        <v>0.10998705265234641</v>
      </c>
      <c r="E892">
        <v>0.17127572752647055</v>
      </c>
      <c r="F892">
        <v>0.12128855579037058</v>
      </c>
      <c r="G892">
        <v>1.6529645197984433</v>
      </c>
      <c r="H892">
        <v>18.129490056837909</v>
      </c>
      <c r="I892">
        <v>4.3116963666785017E-2</v>
      </c>
      <c r="J892">
        <v>4.8194118292850099E-2</v>
      </c>
      <c r="K892">
        <v>0</v>
      </c>
    </row>
    <row r="893" spans="1:11" x14ac:dyDescent="0.3">
      <c r="A893" t="s">
        <v>302</v>
      </c>
      <c r="B893">
        <v>2008</v>
      </c>
      <c r="C893">
        <v>2.374824581099114E-2</v>
      </c>
      <c r="D893">
        <v>0.17698485925814503</v>
      </c>
      <c r="E893">
        <v>0.18408464572659181</v>
      </c>
      <c r="F893">
        <v>8.6522746200496228E-2</v>
      </c>
      <c r="G893">
        <v>0.95148880741266506</v>
      </c>
      <c r="H893">
        <v>18.660563568614872</v>
      </c>
      <c r="I893">
        <v>5.0676282265417455E-2</v>
      </c>
      <c r="J893">
        <v>3.1710293177516613E-2</v>
      </c>
      <c r="K893">
        <v>0</v>
      </c>
    </row>
    <row r="894" spans="1:11" x14ac:dyDescent="0.3">
      <c r="A894" t="s">
        <v>302</v>
      </c>
      <c r="B894">
        <v>2009</v>
      </c>
      <c r="C894">
        <v>1.8792120483288006E-2</v>
      </c>
      <c r="D894">
        <v>8.1465442264883059E-2</v>
      </c>
      <c r="E894">
        <v>5.6487493097698085E-2</v>
      </c>
      <c r="F894">
        <v>0.12158992457146349</v>
      </c>
      <c r="G894">
        <v>1.1964958664925782</v>
      </c>
      <c r="H894">
        <v>18.848700525602467</v>
      </c>
      <c r="I894">
        <v>6.858740836311137E-3</v>
      </c>
      <c r="J894">
        <v>5.5897915263493818E-3</v>
      </c>
      <c r="K894">
        <v>0</v>
      </c>
    </row>
    <row r="895" spans="1:11" x14ac:dyDescent="0.3">
      <c r="A895" t="s">
        <v>302</v>
      </c>
      <c r="B895">
        <v>2010</v>
      </c>
      <c r="C895">
        <v>8.7914752036711251E-3</v>
      </c>
      <c r="D895">
        <v>9.4442533229580058E-2</v>
      </c>
      <c r="E895">
        <v>0.11519383052095498</v>
      </c>
      <c r="F895">
        <v>6.4381510199414294E-2</v>
      </c>
      <c r="G895">
        <v>1.1052769972842367</v>
      </c>
      <c r="H895">
        <v>19.125003944495628</v>
      </c>
      <c r="I895">
        <v>8.8978103326125615E-3</v>
      </c>
      <c r="J895">
        <v>6.7845108836098195E-3</v>
      </c>
      <c r="K895">
        <v>0</v>
      </c>
    </row>
    <row r="896" spans="1:11" x14ac:dyDescent="0.3">
      <c r="A896" t="s">
        <v>303</v>
      </c>
      <c r="B896">
        <v>2007</v>
      </c>
      <c r="C896">
        <v>2.7883473760563621E-2</v>
      </c>
      <c r="D896">
        <v>3.2761686690508302E-2</v>
      </c>
      <c r="E896">
        <v>9.8635225262612772E-2</v>
      </c>
      <c r="F896">
        <v>0.25907359689074944</v>
      </c>
      <c r="G896">
        <v>1.4382049941450283</v>
      </c>
      <c r="H896">
        <v>17.19008764274599</v>
      </c>
      <c r="I896">
        <v>7.8457911078135462E-2</v>
      </c>
      <c r="J896">
        <v>3.0009831258307609E-2</v>
      </c>
      <c r="K896">
        <v>0</v>
      </c>
    </row>
    <row r="897" spans="1:11" x14ac:dyDescent="0.3">
      <c r="A897" t="s">
        <v>303</v>
      </c>
      <c r="B897">
        <v>2009</v>
      </c>
      <c r="C897">
        <v>2.5840313168230104E-2</v>
      </c>
      <c r="D897">
        <v>0.13827411063135256</v>
      </c>
      <c r="E897">
        <v>-0.11309449682743962</v>
      </c>
      <c r="F897">
        <v>0.25238207600922014</v>
      </c>
      <c r="G897">
        <v>1.2568271840749436</v>
      </c>
      <c r="H897">
        <v>17.331634544009038</v>
      </c>
      <c r="I897">
        <v>5.1512421034100794E-3</v>
      </c>
      <c r="J897">
        <v>6.7157601803045142E-2</v>
      </c>
      <c r="K897">
        <v>0</v>
      </c>
    </row>
    <row r="898" spans="1:11" x14ac:dyDescent="0.3">
      <c r="A898" t="s">
        <v>303</v>
      </c>
      <c r="B898">
        <v>2010</v>
      </c>
      <c r="C898">
        <v>2.714526141703031E-2</v>
      </c>
      <c r="D898">
        <v>9.9831415075120056E-2</v>
      </c>
      <c r="E898">
        <v>-0.12774721981376927</v>
      </c>
      <c r="F898">
        <v>0.2181959244066454</v>
      </c>
      <c r="G898">
        <v>1.1652194179514619</v>
      </c>
      <c r="H898">
        <v>17.466104147817504</v>
      </c>
      <c r="I898">
        <v>8.1085975310892164E-3</v>
      </c>
      <c r="J898">
        <v>2.1348289243946186E-2</v>
      </c>
      <c r="K898">
        <v>0</v>
      </c>
    </row>
    <row r="899" spans="1:11" x14ac:dyDescent="0.3">
      <c r="A899" t="s">
        <v>304</v>
      </c>
      <c r="B899">
        <v>2008</v>
      </c>
      <c r="C899">
        <v>6.3879116068678158E-4</v>
      </c>
      <c r="D899">
        <v>1.9442597966893106E-2</v>
      </c>
      <c r="E899">
        <v>-0.27722887854861461</v>
      </c>
      <c r="F899">
        <v>0.32922388495273919</v>
      </c>
      <c r="G899">
        <v>1.0332900987370093</v>
      </c>
      <c r="H899">
        <v>12.639136707829119</v>
      </c>
      <c r="I899">
        <v>2.6472814168206783E-3</v>
      </c>
      <c r="J899">
        <v>0</v>
      </c>
      <c r="K899">
        <v>0</v>
      </c>
    </row>
    <row r="900" spans="1:11" x14ac:dyDescent="0.3">
      <c r="A900" t="s">
        <v>305</v>
      </c>
      <c r="B900">
        <v>2007</v>
      </c>
      <c r="C900">
        <v>2.262667399098793E-3</v>
      </c>
      <c r="D900">
        <v>3.8461610297824141E-2</v>
      </c>
      <c r="E900">
        <v>-0.2190396104800329</v>
      </c>
      <c r="F900">
        <v>5.8891299200253017E-2</v>
      </c>
      <c r="G900">
        <v>1.2063623745991874</v>
      </c>
      <c r="H900">
        <v>16.081151336841586</v>
      </c>
      <c r="I900">
        <v>1.0048885934489713E-2</v>
      </c>
      <c r="J900">
        <v>0</v>
      </c>
      <c r="K900">
        <v>0</v>
      </c>
    </row>
    <row r="901" spans="1:11" x14ac:dyDescent="0.3">
      <c r="A901" t="s">
        <v>305</v>
      </c>
      <c r="B901">
        <v>2008</v>
      </c>
      <c r="C901">
        <v>1.2291702682857731E-3</v>
      </c>
      <c r="D901">
        <v>2.4312113445387244E-2</v>
      </c>
      <c r="E901">
        <v>-0.18109235587262323</v>
      </c>
      <c r="F901">
        <v>0.12262939471832833</v>
      </c>
      <c r="G901">
        <v>0.93333967665972495</v>
      </c>
      <c r="H901">
        <v>16.410954575358996</v>
      </c>
      <c r="I901">
        <v>4.6477561709000921E-2</v>
      </c>
      <c r="J901">
        <v>0</v>
      </c>
      <c r="K901">
        <v>0</v>
      </c>
    </row>
    <row r="902" spans="1:11" x14ac:dyDescent="0.3">
      <c r="A902" t="s">
        <v>305</v>
      </c>
      <c r="B902">
        <v>2009</v>
      </c>
      <c r="C902">
        <v>2.9530868627842505E-2</v>
      </c>
      <c r="D902">
        <v>0.16627779794402947</v>
      </c>
      <c r="E902">
        <v>5.2545001528981738E-3</v>
      </c>
      <c r="F902">
        <v>0.6456345847611511</v>
      </c>
      <c r="G902">
        <v>0.93157017532590025</v>
      </c>
      <c r="H902">
        <v>16.438521472591074</v>
      </c>
      <c r="I902">
        <v>3.6795315930274707E-2</v>
      </c>
      <c r="J902">
        <v>0</v>
      </c>
      <c r="K902">
        <v>0</v>
      </c>
    </row>
    <row r="903" spans="1:11" x14ac:dyDescent="0.3">
      <c r="A903" t="s">
        <v>305</v>
      </c>
      <c r="B903">
        <v>2010</v>
      </c>
      <c r="C903">
        <v>1.8830390585785568E-2</v>
      </c>
      <c r="D903">
        <v>5.8145414427094269E-2</v>
      </c>
      <c r="E903">
        <v>-1.4980157475031769E-3</v>
      </c>
      <c r="F903">
        <v>0.30029970265709444</v>
      </c>
      <c r="G903">
        <v>0.66569137023236014</v>
      </c>
      <c r="H903">
        <v>16.459504112919621</v>
      </c>
      <c r="I903">
        <v>1.5374919555639948E-2</v>
      </c>
      <c r="J903">
        <v>0</v>
      </c>
      <c r="K903">
        <v>0</v>
      </c>
    </row>
    <row r="904" spans="1:11" x14ac:dyDescent="0.3">
      <c r="A904" t="s">
        <v>306</v>
      </c>
      <c r="B904">
        <v>2007</v>
      </c>
      <c r="C904">
        <v>3.4389373683531787E-3</v>
      </c>
      <c r="D904">
        <v>6.4394102222413277E-2</v>
      </c>
      <c r="E904">
        <v>0.21762025534109961</v>
      </c>
      <c r="F904">
        <v>3.1509263637535999E-2</v>
      </c>
      <c r="G904">
        <v>0.67888922323002188</v>
      </c>
      <c r="H904">
        <v>11.440913755659935</v>
      </c>
      <c r="I904">
        <v>4.6531201385018504E-2</v>
      </c>
      <c r="J904">
        <v>0</v>
      </c>
      <c r="K904">
        <v>0</v>
      </c>
    </row>
    <row r="905" spans="1:11" x14ac:dyDescent="0.3">
      <c r="A905" t="s">
        <v>307</v>
      </c>
      <c r="B905">
        <v>2007</v>
      </c>
      <c r="C905">
        <v>4.9785920541670818E-4</v>
      </c>
      <c r="D905">
        <v>0.14698463274585946</v>
      </c>
      <c r="E905">
        <v>-0.11395812819690147</v>
      </c>
      <c r="F905">
        <v>0.18574942561799079</v>
      </c>
      <c r="G905">
        <v>1.1329873211855686</v>
      </c>
      <c r="H905">
        <v>13.203615199957614</v>
      </c>
      <c r="I905">
        <v>2.8889672934205426E-2</v>
      </c>
      <c r="J905">
        <v>0</v>
      </c>
      <c r="K905">
        <v>0</v>
      </c>
    </row>
    <row r="906" spans="1:11" x14ac:dyDescent="0.3">
      <c r="A906" t="s">
        <v>307</v>
      </c>
      <c r="B906">
        <v>2009</v>
      </c>
      <c r="C906">
        <v>5.9343133602464111E-4</v>
      </c>
      <c r="D906">
        <v>0.10275014199600579</v>
      </c>
      <c r="E906">
        <v>-6.2613622251944681E-2</v>
      </c>
      <c r="F906">
        <v>0</v>
      </c>
      <c r="G906">
        <v>0.83044816789526299</v>
      </c>
      <c r="H906">
        <v>13.797776230261078</v>
      </c>
      <c r="I906">
        <v>1.3031639680332698E-2</v>
      </c>
      <c r="J906">
        <v>0</v>
      </c>
      <c r="K906">
        <v>0</v>
      </c>
    </row>
    <row r="907" spans="1:11" x14ac:dyDescent="0.3">
      <c r="A907" t="s">
        <v>307</v>
      </c>
      <c r="B907">
        <v>2010</v>
      </c>
      <c r="C907">
        <v>4.2264818307865745E-4</v>
      </c>
      <c r="D907">
        <v>6.6140629195249059E-2</v>
      </c>
      <c r="E907">
        <v>3.4967149479397386E-2</v>
      </c>
      <c r="F907">
        <v>0.62026542983489619</v>
      </c>
      <c r="G907">
        <v>0.89740496556560745</v>
      </c>
      <c r="H907">
        <v>13.981576539229412</v>
      </c>
      <c r="I907">
        <v>6.0219360265690441E-3</v>
      </c>
      <c r="J907">
        <v>0</v>
      </c>
      <c r="K907">
        <v>0</v>
      </c>
    </row>
    <row r="908" spans="1:11" x14ac:dyDescent="0.3">
      <c r="A908" t="s">
        <v>308</v>
      </c>
      <c r="B908">
        <v>2007</v>
      </c>
      <c r="C908">
        <v>6.2359298957991222E-2</v>
      </c>
      <c r="D908">
        <v>0.15033589108171858</v>
      </c>
      <c r="E908">
        <v>0.20988266204878631</v>
      </c>
      <c r="F908">
        <v>1.1088884244468994E-2</v>
      </c>
      <c r="G908">
        <v>1.1347415877944644</v>
      </c>
      <c r="H908">
        <v>12.721676833749138</v>
      </c>
      <c r="I908">
        <v>8.5021064016476133E-3</v>
      </c>
      <c r="J908">
        <v>5.2249723822888366E-2</v>
      </c>
      <c r="K908">
        <v>0</v>
      </c>
    </row>
    <row r="909" spans="1:11" x14ac:dyDescent="0.3">
      <c r="A909" t="s">
        <v>308</v>
      </c>
      <c r="B909">
        <v>2009</v>
      </c>
      <c r="C909">
        <v>3.51953420933908E-2</v>
      </c>
      <c r="D909">
        <v>0.15343625596921967</v>
      </c>
      <c r="E909">
        <v>0.29173488294228972</v>
      </c>
      <c r="F909">
        <v>0</v>
      </c>
      <c r="G909">
        <v>0.66062201893693273</v>
      </c>
      <c r="H909">
        <v>12.772615812246707</v>
      </c>
      <c r="I909">
        <v>4.043074584168041E-3</v>
      </c>
      <c r="J909">
        <v>2.1280640575655516E-2</v>
      </c>
      <c r="K909">
        <v>0</v>
      </c>
    </row>
    <row r="910" spans="1:11" x14ac:dyDescent="0.3">
      <c r="A910" t="s">
        <v>308</v>
      </c>
      <c r="B910">
        <v>2010</v>
      </c>
      <c r="C910">
        <v>1.5518745467349148E-2</v>
      </c>
      <c r="D910">
        <v>0.15767055905321464</v>
      </c>
      <c r="E910">
        <v>0.30065007409898786</v>
      </c>
      <c r="F910">
        <v>0</v>
      </c>
      <c r="G910">
        <v>0.59922301167715963</v>
      </c>
      <c r="H910">
        <v>12.849430663087478</v>
      </c>
      <c r="I910">
        <v>5.758102515178401E-3</v>
      </c>
      <c r="J910">
        <v>2.463397202106303E-2</v>
      </c>
      <c r="K910">
        <v>0</v>
      </c>
    </row>
    <row r="911" spans="1:11" x14ac:dyDescent="0.3">
      <c r="A911" t="s">
        <v>309</v>
      </c>
      <c r="B911">
        <v>2007</v>
      </c>
      <c r="C911">
        <v>6.3282067093268543E-2</v>
      </c>
      <c r="D911">
        <v>0.19541361736371923</v>
      </c>
      <c r="E911">
        <v>0.4609149429221403</v>
      </c>
      <c r="F911">
        <v>0</v>
      </c>
      <c r="G911">
        <v>1.0110017989973983</v>
      </c>
      <c r="H911">
        <v>14.855165875180452</v>
      </c>
      <c r="I911">
        <v>5.3561425388697487E-3</v>
      </c>
      <c r="J911">
        <v>3.0311762571943984E-2</v>
      </c>
      <c r="K911">
        <v>0</v>
      </c>
    </row>
    <row r="912" spans="1:11" x14ac:dyDescent="0.3">
      <c r="A912" t="s">
        <v>309</v>
      </c>
      <c r="B912">
        <v>2009</v>
      </c>
      <c r="C912">
        <v>2.0126914309201129E-2</v>
      </c>
      <c r="D912">
        <v>0.17316896798077924</v>
      </c>
      <c r="E912">
        <v>0.53053917261755756</v>
      </c>
      <c r="F912">
        <v>0</v>
      </c>
      <c r="G912">
        <v>0.71268417933687467</v>
      </c>
      <c r="H912">
        <v>15.053166560128428</v>
      </c>
      <c r="I912">
        <v>4.0830708302427854E-4</v>
      </c>
      <c r="J912">
        <v>5.9680530050125843E-2</v>
      </c>
      <c r="K912">
        <v>0</v>
      </c>
    </row>
    <row r="913" spans="1:11" x14ac:dyDescent="0.3">
      <c r="A913" t="s">
        <v>309</v>
      </c>
      <c r="B913">
        <v>2010</v>
      </c>
      <c r="C913">
        <v>1.3692202954017732E-2</v>
      </c>
      <c r="D913">
        <v>0.17467059405619095</v>
      </c>
      <c r="E913">
        <v>0.55182767257591292</v>
      </c>
      <c r="F913">
        <v>0</v>
      </c>
      <c r="G913">
        <v>0.65200382171985094</v>
      </c>
      <c r="H913">
        <v>15.105835171813032</v>
      </c>
      <c r="I913">
        <v>1.3277460558007628E-2</v>
      </c>
      <c r="J913">
        <v>5.6618581461686766E-2</v>
      </c>
      <c r="K913">
        <v>0</v>
      </c>
    </row>
    <row r="914" spans="1:11" x14ac:dyDescent="0.3">
      <c r="A914" t="s">
        <v>310</v>
      </c>
      <c r="B914">
        <v>2010</v>
      </c>
      <c r="C914">
        <v>0.32607167955024596</v>
      </c>
      <c r="D914">
        <v>0.1503571151826725</v>
      </c>
      <c r="E914">
        <v>0.22590307522531791</v>
      </c>
      <c r="F914">
        <v>0</v>
      </c>
      <c r="G914">
        <v>0.89819077672886238</v>
      </c>
      <c r="H914">
        <v>12.832676630267617</v>
      </c>
      <c r="I914">
        <v>1.1405331395074955E-2</v>
      </c>
      <c r="J914">
        <v>0</v>
      </c>
      <c r="K914">
        <v>0</v>
      </c>
    </row>
    <row r="915" spans="1:11" x14ac:dyDescent="0.3">
      <c r="A915" t="s">
        <v>311</v>
      </c>
      <c r="B915">
        <v>2007</v>
      </c>
      <c r="C915">
        <v>3.2638351654998746E-2</v>
      </c>
      <c r="D915">
        <v>0.10702654174187941</v>
      </c>
      <c r="E915">
        <v>3.6219910922641506E-2</v>
      </c>
      <c r="F915">
        <v>0</v>
      </c>
      <c r="G915">
        <v>1.6493764903266064</v>
      </c>
      <c r="H915">
        <v>12.657495338411369</v>
      </c>
      <c r="I915">
        <v>9.4037909987368558E-3</v>
      </c>
      <c r="J915">
        <v>0</v>
      </c>
      <c r="K915">
        <v>0</v>
      </c>
    </row>
    <row r="916" spans="1:11" x14ac:dyDescent="0.3">
      <c r="A916" t="s">
        <v>311</v>
      </c>
      <c r="B916">
        <v>2009</v>
      </c>
      <c r="C916">
        <v>1.0699029277854571E-2</v>
      </c>
      <c r="D916">
        <v>7.0246546244015967E-2</v>
      </c>
      <c r="E916">
        <v>-8.9726068406104961E-2</v>
      </c>
      <c r="F916">
        <v>0.34496950386180292</v>
      </c>
      <c r="G916">
        <v>0.95730368843177216</v>
      </c>
      <c r="H916">
        <v>12.858780570815853</v>
      </c>
      <c r="I916">
        <v>7.1213937915658799E-3</v>
      </c>
      <c r="J916">
        <v>0</v>
      </c>
      <c r="K916">
        <v>0</v>
      </c>
    </row>
    <row r="917" spans="1:11" x14ac:dyDescent="0.3">
      <c r="A917" t="s">
        <v>311</v>
      </c>
      <c r="B917">
        <v>2010</v>
      </c>
      <c r="C917">
        <v>1.480010302188684E-2</v>
      </c>
      <c r="D917">
        <v>4.4705657441605443E-2</v>
      </c>
      <c r="E917">
        <v>-7.628664512411748E-2</v>
      </c>
      <c r="F917">
        <v>0.37764159535233222</v>
      </c>
      <c r="G917">
        <v>0.88622966446196283</v>
      </c>
      <c r="H917">
        <v>12.838989345339888</v>
      </c>
      <c r="I917">
        <v>5.9343460750260237E-3</v>
      </c>
      <c r="J917">
        <v>0</v>
      </c>
      <c r="K917">
        <v>0</v>
      </c>
    </row>
    <row r="918" spans="1:11" x14ac:dyDescent="0.3">
      <c r="A918" t="s">
        <v>312</v>
      </c>
      <c r="B918">
        <v>2007</v>
      </c>
      <c r="C918">
        <v>4.6469582556312887E-2</v>
      </c>
      <c r="D918">
        <v>7.8692681309653539E-2</v>
      </c>
      <c r="E918">
        <v>8.1215549375284662E-2</v>
      </c>
      <c r="F918">
        <v>0.28485441697637065</v>
      </c>
      <c r="G918">
        <v>1.0933735416604058</v>
      </c>
      <c r="H918">
        <v>16.261917081580489</v>
      </c>
      <c r="I918">
        <v>7.0021201432192322E-3</v>
      </c>
      <c r="J918">
        <v>0</v>
      </c>
      <c r="K918">
        <v>0</v>
      </c>
    </row>
    <row r="919" spans="1:11" x14ac:dyDescent="0.3">
      <c r="A919" t="s">
        <v>312</v>
      </c>
      <c r="B919">
        <v>2009</v>
      </c>
      <c r="C919">
        <v>5.3743979783058542E-3</v>
      </c>
      <c r="D919">
        <v>1.9117933030509408E-2</v>
      </c>
      <c r="E919">
        <v>7.2403970836120171E-2</v>
      </c>
      <c r="F919">
        <v>0.36682796153688518</v>
      </c>
      <c r="G919">
        <v>0.75702298691706471</v>
      </c>
      <c r="H919">
        <v>16.948184278293542</v>
      </c>
      <c r="I919">
        <v>5.537031688086223E-3</v>
      </c>
      <c r="J919">
        <v>0</v>
      </c>
      <c r="K919">
        <v>0</v>
      </c>
    </row>
    <row r="920" spans="1:11" x14ac:dyDescent="0.3">
      <c r="A920" t="s">
        <v>313</v>
      </c>
      <c r="B920">
        <v>2007</v>
      </c>
      <c r="C920">
        <v>4.2998019808008136E-3</v>
      </c>
      <c r="D920">
        <v>6.4235236458667869E-2</v>
      </c>
      <c r="E920">
        <v>-0.14193151671138968</v>
      </c>
      <c r="F920">
        <v>0.14437136895040692</v>
      </c>
      <c r="G920">
        <v>1.9594899293310424</v>
      </c>
      <c r="H920">
        <v>13.395449951900096</v>
      </c>
      <c r="I920">
        <v>4.2013150852786098E-2</v>
      </c>
      <c r="J920">
        <v>0</v>
      </c>
      <c r="K920">
        <v>0</v>
      </c>
    </row>
    <row r="921" spans="1:11" x14ac:dyDescent="0.3">
      <c r="A921" t="s">
        <v>313</v>
      </c>
      <c r="B921">
        <v>2008</v>
      </c>
      <c r="C921">
        <v>7.0433967581077939E-3</v>
      </c>
      <c r="D921">
        <v>0.19107070657567479</v>
      </c>
      <c r="E921">
        <v>0.10841685146840808</v>
      </c>
      <c r="F921">
        <v>0.28710992538502067</v>
      </c>
      <c r="G921">
        <v>1.1467080888028525</v>
      </c>
      <c r="H921">
        <v>13.389258898665533</v>
      </c>
      <c r="I921">
        <v>4.6152361057694227E-3</v>
      </c>
      <c r="J921">
        <v>0</v>
      </c>
      <c r="K921">
        <v>0</v>
      </c>
    </row>
    <row r="922" spans="1:11" x14ac:dyDescent="0.3">
      <c r="A922" t="s">
        <v>313</v>
      </c>
      <c r="B922">
        <v>2009</v>
      </c>
      <c r="C922">
        <v>2.2146792245522854E-3</v>
      </c>
      <c r="D922">
        <v>0.19107894143155074</v>
      </c>
      <c r="E922">
        <v>-1.6203667825670648E-2</v>
      </c>
      <c r="F922">
        <v>0.29811201179325297</v>
      </c>
      <c r="G922">
        <v>1.3702533792801774</v>
      </c>
      <c r="H922">
        <v>13.271939610385196</v>
      </c>
      <c r="I922">
        <v>1.511023597021709E-2</v>
      </c>
      <c r="J922">
        <v>0</v>
      </c>
      <c r="K922">
        <v>0</v>
      </c>
    </row>
    <row r="923" spans="1:11" x14ac:dyDescent="0.3">
      <c r="A923" t="s">
        <v>313</v>
      </c>
      <c r="B923">
        <v>2010</v>
      </c>
      <c r="C923">
        <v>5.4104598890905723E-3</v>
      </c>
      <c r="D923">
        <v>0.28856452798487869</v>
      </c>
      <c r="E923">
        <v>-0.30941129996049666</v>
      </c>
      <c r="F923">
        <v>0.61455723736517609</v>
      </c>
      <c r="G923">
        <v>0.15475865448563131</v>
      </c>
      <c r="H923">
        <v>12.899134822477414</v>
      </c>
      <c r="I923">
        <v>2.3200566776768166E-2</v>
      </c>
      <c r="J923">
        <v>9.1882810038853305E-2</v>
      </c>
      <c r="K923">
        <v>0</v>
      </c>
    </row>
    <row r="924" spans="1:11" x14ac:dyDescent="0.3">
      <c r="A924" t="s">
        <v>314</v>
      </c>
      <c r="B924">
        <v>2007</v>
      </c>
      <c r="C924">
        <v>0.18837978419449705</v>
      </c>
      <c r="D924">
        <v>0.12308202210839236</v>
      </c>
      <c r="E924">
        <v>0.21682745752577667</v>
      </c>
      <c r="F924">
        <v>0.13407530031256443</v>
      </c>
      <c r="G924">
        <v>1.4925899049292715</v>
      </c>
      <c r="H924">
        <v>16.682330241497887</v>
      </c>
      <c r="I924">
        <v>5.6913165652841616E-3</v>
      </c>
      <c r="J924">
        <v>4.2217696633687157E-2</v>
      </c>
      <c r="K924">
        <v>0</v>
      </c>
    </row>
    <row r="925" spans="1:11" x14ac:dyDescent="0.3">
      <c r="A925" t="s">
        <v>314</v>
      </c>
      <c r="B925">
        <v>2008</v>
      </c>
      <c r="C925">
        <v>0.13752518528271329</v>
      </c>
      <c r="D925">
        <v>0.11180194920909797</v>
      </c>
      <c r="E925">
        <v>0.18940341666578542</v>
      </c>
      <c r="F925">
        <v>3.6645610550020982E-2</v>
      </c>
      <c r="G925">
        <v>1.1224996853731659</v>
      </c>
      <c r="H925">
        <v>17.025361056830377</v>
      </c>
      <c r="I925">
        <v>1.4258538358532044E-2</v>
      </c>
      <c r="J925">
        <v>2.9958367544040288E-2</v>
      </c>
      <c r="K925">
        <v>0</v>
      </c>
    </row>
    <row r="926" spans="1:11" x14ac:dyDescent="0.3">
      <c r="A926" t="s">
        <v>314</v>
      </c>
      <c r="B926">
        <v>2009</v>
      </c>
      <c r="C926">
        <v>5.7839403968391212E-2</v>
      </c>
      <c r="D926">
        <v>9.7227707711685554E-2</v>
      </c>
      <c r="E926">
        <v>0.13318528866957466</v>
      </c>
      <c r="F926">
        <v>6.4186307077803212E-3</v>
      </c>
      <c r="G926">
        <v>1.1437486788621447</v>
      </c>
      <c r="H926">
        <v>17.004275362146387</v>
      </c>
      <c r="I926">
        <v>7.1129214363722312E-3</v>
      </c>
      <c r="J926">
        <v>3.0596767435010778E-2</v>
      </c>
      <c r="K926">
        <v>0</v>
      </c>
    </row>
    <row r="927" spans="1:11" x14ac:dyDescent="0.3">
      <c r="A927" t="s">
        <v>314</v>
      </c>
      <c r="B927">
        <v>2010</v>
      </c>
      <c r="C927">
        <v>5.6735855512041071E-2</v>
      </c>
      <c r="D927">
        <v>7.3817408738095253E-2</v>
      </c>
      <c r="E927">
        <v>0.13580402877861547</v>
      </c>
      <c r="F927">
        <v>6.5453227435743444E-4</v>
      </c>
      <c r="G927">
        <v>1.1342573760846226</v>
      </c>
      <c r="H927">
        <v>17.018660984330946</v>
      </c>
      <c r="I927">
        <v>1.9391320219192335E-2</v>
      </c>
      <c r="J927">
        <v>3.0159764712957449E-2</v>
      </c>
      <c r="K927">
        <v>0</v>
      </c>
    </row>
    <row r="928" spans="1:11" x14ac:dyDescent="0.3">
      <c r="A928" t="s">
        <v>315</v>
      </c>
      <c r="B928">
        <v>2007</v>
      </c>
      <c r="C928">
        <v>6.3619189748538682E-2</v>
      </c>
      <c r="D928">
        <v>4.8559284179323779E-2</v>
      </c>
      <c r="E928">
        <v>0.28755313171545849</v>
      </c>
      <c r="F928">
        <v>0.34963388552347141</v>
      </c>
      <c r="G928">
        <v>2.1063823973234799</v>
      </c>
      <c r="H928">
        <v>14.261878297341463</v>
      </c>
      <c r="I928">
        <v>1.3820059807507085E-3</v>
      </c>
      <c r="J928">
        <v>0</v>
      </c>
      <c r="K928">
        <v>0</v>
      </c>
    </row>
    <row r="929" spans="1:11" x14ac:dyDescent="0.3">
      <c r="A929" t="s">
        <v>315</v>
      </c>
      <c r="B929">
        <v>2008</v>
      </c>
      <c r="C929">
        <v>6.9407503348220892E-2</v>
      </c>
      <c r="D929">
        <v>4.6688527551650774E-2</v>
      </c>
      <c r="E929">
        <v>0.23401469829989413</v>
      </c>
      <c r="F929">
        <v>0.41010020199543751</v>
      </c>
      <c r="G929">
        <v>1.2961330911753748</v>
      </c>
      <c r="H929">
        <v>14.43605640005852</v>
      </c>
      <c r="I929">
        <v>9.9391570322232229E-3</v>
      </c>
      <c r="J929">
        <v>0</v>
      </c>
      <c r="K929">
        <v>0</v>
      </c>
    </row>
    <row r="930" spans="1:11" x14ac:dyDescent="0.3">
      <c r="A930" t="s">
        <v>315</v>
      </c>
      <c r="B930">
        <v>2009</v>
      </c>
      <c r="C930">
        <v>7.6157862145541516E-2</v>
      </c>
      <c r="D930">
        <v>2.2333553980184488E-2</v>
      </c>
      <c r="E930">
        <v>0.24003992996241885</v>
      </c>
      <c r="F930">
        <v>0.4356182738298599</v>
      </c>
      <c r="G930">
        <v>1.2442101554492655</v>
      </c>
      <c r="H930">
        <v>14.443201463045604</v>
      </c>
      <c r="I930">
        <v>2.4465514067976944E-3</v>
      </c>
      <c r="J930">
        <v>0</v>
      </c>
      <c r="K930">
        <v>0</v>
      </c>
    </row>
    <row r="931" spans="1:11" x14ac:dyDescent="0.3">
      <c r="A931" t="s">
        <v>315</v>
      </c>
      <c r="B931">
        <v>2010</v>
      </c>
      <c r="C931">
        <v>6.2414994416020955E-2</v>
      </c>
      <c r="D931">
        <v>2.4520456669813787E-2</v>
      </c>
      <c r="E931">
        <v>0.19326649824475486</v>
      </c>
      <c r="F931">
        <v>0.42451386419982717</v>
      </c>
      <c r="G931">
        <v>0.95394343503787926</v>
      </c>
      <c r="H931">
        <v>14.75096135779639</v>
      </c>
      <c r="I931">
        <v>5.4350395215889066E-4</v>
      </c>
      <c r="J931">
        <v>0</v>
      </c>
      <c r="K931">
        <v>0</v>
      </c>
    </row>
    <row r="932" spans="1:11" x14ac:dyDescent="0.3">
      <c r="A932" t="s">
        <v>316</v>
      </c>
      <c r="B932">
        <v>2007</v>
      </c>
      <c r="C932">
        <v>2.3720873140893189E-2</v>
      </c>
      <c r="D932">
        <v>0.10018821218878501</v>
      </c>
      <c r="E932">
        <v>-0.1953622061741781</v>
      </c>
      <c r="F932">
        <v>0</v>
      </c>
      <c r="G932">
        <v>6.178126470407725</v>
      </c>
      <c r="H932">
        <v>13.099729144895393</v>
      </c>
      <c r="I932">
        <v>5.0085801948462211E-3</v>
      </c>
      <c r="J932">
        <v>0</v>
      </c>
      <c r="K932">
        <v>0</v>
      </c>
    </row>
    <row r="933" spans="1:11" x14ac:dyDescent="0.3">
      <c r="A933" t="s">
        <v>316</v>
      </c>
      <c r="B933">
        <v>2009</v>
      </c>
      <c r="C933">
        <v>1.4381729390979699E-2</v>
      </c>
      <c r="D933">
        <v>8.1136037867928931E-2</v>
      </c>
      <c r="E933">
        <v>4.0390929697656591E-2</v>
      </c>
      <c r="F933">
        <v>0.19333977799259974</v>
      </c>
      <c r="G933">
        <v>39.611676639221308</v>
      </c>
      <c r="H933">
        <v>13.081508048995172</v>
      </c>
      <c r="I933">
        <v>7.506991451703901E-4</v>
      </c>
      <c r="J933">
        <v>6.6668888962965439E-2</v>
      </c>
      <c r="K933">
        <v>0</v>
      </c>
    </row>
    <row r="934" spans="1:11" x14ac:dyDescent="0.3">
      <c r="A934" t="s">
        <v>316</v>
      </c>
      <c r="B934">
        <v>2010</v>
      </c>
      <c r="C934">
        <v>1.2122060905964552E-2</v>
      </c>
      <c r="D934">
        <v>8.2813705286979178E-2</v>
      </c>
      <c r="E934">
        <v>3.418985819433978E-3</v>
      </c>
      <c r="F934">
        <v>0.12170967075033179</v>
      </c>
      <c r="G934">
        <v>43.603975626943743</v>
      </c>
      <c r="H934">
        <v>13.01664946597624</v>
      </c>
      <c r="I934">
        <v>3.7003470023135414E-3</v>
      </c>
      <c r="J934">
        <v>0</v>
      </c>
      <c r="K934">
        <v>0</v>
      </c>
    </row>
    <row r="935" spans="1:11" x14ac:dyDescent="0.3">
      <c r="A935" t="s">
        <v>317</v>
      </c>
      <c r="B935">
        <v>2007</v>
      </c>
      <c r="C935">
        <v>8.7869207480480355E-2</v>
      </c>
      <c r="D935">
        <v>5.4816174872886883E-2</v>
      </c>
      <c r="E935">
        <v>-8.2991105703069543E-2</v>
      </c>
      <c r="F935">
        <v>2.829262816334217E-2</v>
      </c>
      <c r="G935">
        <v>1.1036922558776237</v>
      </c>
      <c r="H935">
        <v>13.22178147179852</v>
      </c>
      <c r="I935">
        <v>2.4130995596209973E-3</v>
      </c>
      <c r="J935">
        <v>0</v>
      </c>
      <c r="K935">
        <v>0</v>
      </c>
    </row>
    <row r="936" spans="1:11" x14ac:dyDescent="0.3">
      <c r="A936" t="s">
        <v>317</v>
      </c>
      <c r="B936">
        <v>2009</v>
      </c>
      <c r="C936">
        <v>0.10213013353454077</v>
      </c>
      <c r="D936">
        <v>4.2363361477973697E-2</v>
      </c>
      <c r="E936">
        <v>0.21198854694261365</v>
      </c>
      <c r="F936">
        <v>6.9329286661467555E-3</v>
      </c>
      <c r="G936">
        <v>0.47241524934612278</v>
      </c>
      <c r="H936">
        <v>13.473552501712096</v>
      </c>
      <c r="I936">
        <v>2.0371345585775864E-3</v>
      </c>
      <c r="J936">
        <v>0</v>
      </c>
      <c r="K936">
        <v>0</v>
      </c>
    </row>
    <row r="937" spans="1:11" x14ac:dyDescent="0.3">
      <c r="A937" t="s">
        <v>317</v>
      </c>
      <c r="B937">
        <v>2010</v>
      </c>
      <c r="C937">
        <v>5.6753586028397959E-2</v>
      </c>
      <c r="D937">
        <v>5.7557872330132313E-2</v>
      </c>
      <c r="E937">
        <v>0.18617262523886699</v>
      </c>
      <c r="F937">
        <v>7.4456955564693649E-3</v>
      </c>
      <c r="G937">
        <v>0.41582283628843036</v>
      </c>
      <c r="H937">
        <v>13.402198744829807</v>
      </c>
      <c r="I937">
        <v>1.2483777309821292E-2</v>
      </c>
      <c r="J937">
        <v>0</v>
      </c>
      <c r="K937">
        <v>0</v>
      </c>
    </row>
    <row r="938" spans="1:11" x14ac:dyDescent="0.3">
      <c r="A938" t="s">
        <v>318</v>
      </c>
      <c r="B938">
        <v>2007</v>
      </c>
      <c r="C938">
        <v>1.3605442176870747E-3</v>
      </c>
      <c r="D938">
        <v>1.3756613756613757E-2</v>
      </c>
      <c r="E938">
        <v>0.67003023431594855</v>
      </c>
      <c r="F938">
        <v>0</v>
      </c>
      <c r="G938">
        <v>1.5510204081632653</v>
      </c>
      <c r="H938">
        <v>10.183389437668946</v>
      </c>
      <c r="I938">
        <v>1.8219978292046512E-3</v>
      </c>
      <c r="J938">
        <v>0</v>
      </c>
      <c r="K938">
        <v>0</v>
      </c>
    </row>
    <row r="939" spans="1:11" x14ac:dyDescent="0.3">
      <c r="A939" t="s">
        <v>318</v>
      </c>
      <c r="B939">
        <v>2008</v>
      </c>
      <c r="C939">
        <v>3.0230888410233154E-3</v>
      </c>
      <c r="D939">
        <v>8.2001284812757442E-3</v>
      </c>
      <c r="E939">
        <v>0.66878282885538298</v>
      </c>
      <c r="F939">
        <v>0</v>
      </c>
      <c r="G939">
        <v>0.37707931829346636</v>
      </c>
      <c r="H939">
        <v>10.183502809926877</v>
      </c>
      <c r="I939">
        <v>1.3233231181406667E-3</v>
      </c>
      <c r="J939">
        <v>0</v>
      </c>
      <c r="K939">
        <v>0</v>
      </c>
    </row>
    <row r="940" spans="1:11" x14ac:dyDescent="0.3">
      <c r="A940" t="s">
        <v>318</v>
      </c>
      <c r="B940">
        <v>2009</v>
      </c>
      <c r="C940">
        <v>1.8873622225577534E-4</v>
      </c>
      <c r="D940">
        <v>4.2276913785293671E-3</v>
      </c>
      <c r="E940">
        <v>0.96968896270572247</v>
      </c>
      <c r="F940">
        <v>0</v>
      </c>
      <c r="G940">
        <v>0.46789370375962558</v>
      </c>
      <c r="H940">
        <v>10.18459807960487</v>
      </c>
      <c r="I940">
        <v>2.440686108097413E-3</v>
      </c>
      <c r="J940">
        <v>0</v>
      </c>
      <c r="K940">
        <v>0</v>
      </c>
    </row>
    <row r="941" spans="1:11" x14ac:dyDescent="0.3">
      <c r="A941" t="s">
        <v>318</v>
      </c>
      <c r="B941">
        <v>2010</v>
      </c>
      <c r="C941">
        <v>1.8884314688219963E-4</v>
      </c>
      <c r="D941">
        <v>1.1557200589190618E-2</v>
      </c>
      <c r="E941">
        <v>0.97099369263889412</v>
      </c>
      <c r="F941">
        <v>0</v>
      </c>
      <c r="G941">
        <v>0.48047739547531815</v>
      </c>
      <c r="H941">
        <v>10.184031710581442</v>
      </c>
      <c r="I941">
        <v>1.0698821474433703E-3</v>
      </c>
      <c r="J941">
        <v>0</v>
      </c>
      <c r="K941">
        <v>0</v>
      </c>
    </row>
    <row r="942" spans="1:11" x14ac:dyDescent="0.3">
      <c r="A942" t="s">
        <v>319</v>
      </c>
      <c r="B942">
        <v>2007</v>
      </c>
      <c r="C942">
        <v>6.3355871609543793E-3</v>
      </c>
      <c r="D942">
        <v>0.15127380119686018</v>
      </c>
      <c r="E942">
        <v>8.3429703893681512E-2</v>
      </c>
      <c r="F942">
        <v>0.60231600217610948</v>
      </c>
      <c r="G942">
        <v>5.0688920494287713</v>
      </c>
      <c r="H942">
        <v>14.067591359173081</v>
      </c>
      <c r="I942">
        <v>4.1803446960728366E-2</v>
      </c>
      <c r="J942">
        <v>0</v>
      </c>
      <c r="K942">
        <v>0</v>
      </c>
    </row>
    <row r="943" spans="1:11" x14ac:dyDescent="0.3">
      <c r="A943" t="s">
        <v>319</v>
      </c>
      <c r="B943">
        <v>2008</v>
      </c>
      <c r="C943">
        <v>5.208738945730431E-2</v>
      </c>
      <c r="D943">
        <v>5.3917439537117869E-2</v>
      </c>
      <c r="E943">
        <v>7.2897360125363908E-2</v>
      </c>
      <c r="F943">
        <v>0.47851608873368573</v>
      </c>
      <c r="G943">
        <v>4.7938587756563154</v>
      </c>
      <c r="H943">
        <v>14.129455960003876</v>
      </c>
      <c r="I943">
        <v>2.606351363933548E-2</v>
      </c>
      <c r="J943">
        <v>0</v>
      </c>
      <c r="K943">
        <v>0</v>
      </c>
    </row>
    <row r="944" spans="1:11" x14ac:dyDescent="0.3">
      <c r="A944" t="s">
        <v>319</v>
      </c>
      <c r="B944">
        <v>2009</v>
      </c>
      <c r="C944">
        <v>1.2254959249944422E-2</v>
      </c>
      <c r="D944">
        <v>6.5702544129472046E-2</v>
      </c>
      <c r="E944">
        <v>-3.0564802304776532E-2</v>
      </c>
      <c r="F944">
        <v>0.79613745877777298</v>
      </c>
      <c r="G944">
        <v>1.2333627697583045</v>
      </c>
      <c r="H944">
        <v>15.583868160397751</v>
      </c>
      <c r="I944">
        <v>2.88538702916801E-2</v>
      </c>
      <c r="J944">
        <v>0</v>
      </c>
      <c r="K944">
        <v>0</v>
      </c>
    </row>
    <row r="945" spans="1:11" x14ac:dyDescent="0.3">
      <c r="A945" t="s">
        <v>319</v>
      </c>
      <c r="B945">
        <v>2010</v>
      </c>
      <c r="C945">
        <v>8.6105180579211862E-3</v>
      </c>
      <c r="D945">
        <v>3.5595757395468344E-2</v>
      </c>
      <c r="E945">
        <v>-7.4167234856960834E-2</v>
      </c>
      <c r="F945">
        <v>0.53030113646833976</v>
      </c>
      <c r="G945">
        <v>0.93720431947475524</v>
      </c>
      <c r="H945">
        <v>16.066436500179798</v>
      </c>
      <c r="I945">
        <v>3.6973045600922662E-3</v>
      </c>
      <c r="J945">
        <v>0</v>
      </c>
      <c r="K945">
        <v>0</v>
      </c>
    </row>
    <row r="946" spans="1:11" x14ac:dyDescent="0.3">
      <c r="A946" t="s">
        <v>320</v>
      </c>
      <c r="B946">
        <v>2008</v>
      </c>
      <c r="C946">
        <v>2.9555181426297629E-2</v>
      </c>
      <c r="D946">
        <v>6.4980690372763286E-2</v>
      </c>
      <c r="E946">
        <v>-4.4445937871626803E-2</v>
      </c>
      <c r="F946">
        <v>2.3579412797306268E-3</v>
      </c>
      <c r="G946">
        <v>0.64351094946049303</v>
      </c>
      <c r="H946">
        <v>14.766829766295787</v>
      </c>
      <c r="I946">
        <v>1.3468860754346395E-2</v>
      </c>
      <c r="J946">
        <v>0</v>
      </c>
      <c r="K946">
        <v>0</v>
      </c>
    </row>
    <row r="947" spans="1:11" x14ac:dyDescent="0.3">
      <c r="A947" t="s">
        <v>320</v>
      </c>
      <c r="B947">
        <v>2009</v>
      </c>
      <c r="C947">
        <v>2.6181018292315086E-2</v>
      </c>
      <c r="D947">
        <v>2.5222995893447776E-2</v>
      </c>
      <c r="E947">
        <v>2.3060454089832778E-2</v>
      </c>
      <c r="F947">
        <v>4.0913708869058157E-3</v>
      </c>
      <c r="G947">
        <v>0.35594327852204072</v>
      </c>
      <c r="H947">
        <v>14.733029734990618</v>
      </c>
      <c r="I947">
        <v>7.702435969784184E-4</v>
      </c>
      <c r="J947">
        <v>0</v>
      </c>
      <c r="K947">
        <v>0</v>
      </c>
    </row>
    <row r="948" spans="1:11" x14ac:dyDescent="0.3">
      <c r="A948" t="s">
        <v>320</v>
      </c>
      <c r="B948">
        <v>2010</v>
      </c>
      <c r="C948">
        <v>2.974565431465542E-2</v>
      </c>
      <c r="D948">
        <v>2.6938602624302175E-2</v>
      </c>
      <c r="E948">
        <v>4.1608419081091405E-2</v>
      </c>
      <c r="F948">
        <v>2.9530279504653891E-3</v>
      </c>
      <c r="G948">
        <v>0.35507837050609492</v>
      </c>
      <c r="H948">
        <v>14.734699884850038</v>
      </c>
      <c r="I948">
        <v>3.0776336854800943E-3</v>
      </c>
      <c r="J948">
        <v>0</v>
      </c>
      <c r="K948">
        <v>0</v>
      </c>
    </row>
    <row r="949" spans="1:11" x14ac:dyDescent="0.3">
      <c r="A949" t="s">
        <v>321</v>
      </c>
      <c r="B949">
        <v>2007</v>
      </c>
      <c r="C949">
        <v>4.0353898336820043E-2</v>
      </c>
      <c r="D949">
        <v>8.8899546067216145E-2</v>
      </c>
      <c r="E949">
        <v>5.0086837749636029E-2</v>
      </c>
      <c r="F949">
        <v>3.2393121153963873E-2</v>
      </c>
      <c r="G949">
        <v>1.5047633986386817</v>
      </c>
      <c r="H949">
        <v>16.405573302517574</v>
      </c>
      <c r="I949">
        <v>1.2761819377662523E-2</v>
      </c>
      <c r="J949">
        <v>6.0994967371330701E-3</v>
      </c>
      <c r="K949">
        <v>0</v>
      </c>
    </row>
    <row r="950" spans="1:11" x14ac:dyDescent="0.3">
      <c r="A950" t="s">
        <v>321</v>
      </c>
      <c r="B950">
        <v>2008</v>
      </c>
      <c r="C950">
        <v>2.0968951438113195E-2</v>
      </c>
      <c r="D950">
        <v>5.0068303152670864E-2</v>
      </c>
      <c r="E950">
        <v>4.2705224000399111E-2</v>
      </c>
      <c r="F950">
        <v>5.2581678525191015E-2</v>
      </c>
      <c r="G950">
        <v>1.1886539413484121</v>
      </c>
      <c r="H950">
        <v>16.466735066339314</v>
      </c>
      <c r="I950">
        <v>7.7757302448244045E-3</v>
      </c>
      <c r="J950">
        <v>3.4425720400855782E-3</v>
      </c>
      <c r="K950">
        <v>0</v>
      </c>
    </row>
    <row r="951" spans="1:11" x14ac:dyDescent="0.3">
      <c r="A951" t="s">
        <v>321</v>
      </c>
      <c r="B951">
        <v>2009</v>
      </c>
      <c r="C951">
        <v>8.6411775065529939E-3</v>
      </c>
      <c r="D951">
        <v>2.8717050540646123E-2</v>
      </c>
      <c r="E951">
        <v>-7.9605428751205562E-2</v>
      </c>
      <c r="F951">
        <v>6.7301473253044919E-2</v>
      </c>
      <c r="G951">
        <v>0.62291036864729477</v>
      </c>
      <c r="H951">
        <v>16.471221092861434</v>
      </c>
      <c r="I951">
        <v>5.5145281387523832E-3</v>
      </c>
      <c r="J951">
        <v>0</v>
      </c>
      <c r="K951">
        <v>0</v>
      </c>
    </row>
    <row r="952" spans="1:11" x14ac:dyDescent="0.3">
      <c r="A952" t="s">
        <v>321</v>
      </c>
      <c r="B952">
        <v>2010</v>
      </c>
      <c r="C952">
        <v>3.88233322756713E-3</v>
      </c>
      <c r="D952">
        <v>3.1834876047436046E-2</v>
      </c>
      <c r="E952">
        <v>-4.116598827755108E-2</v>
      </c>
      <c r="F952">
        <v>3.7861140850706049E-2</v>
      </c>
      <c r="G952">
        <v>0.32348136755506524</v>
      </c>
      <c r="H952">
        <v>17.063524164418425</v>
      </c>
      <c r="I952">
        <v>1.0492476301792383E-3</v>
      </c>
      <c r="J952">
        <v>0</v>
      </c>
      <c r="K952">
        <v>0</v>
      </c>
    </row>
    <row r="953" spans="1:11" x14ac:dyDescent="0.3">
      <c r="A953" t="s">
        <v>322</v>
      </c>
      <c r="B953">
        <v>2007</v>
      </c>
      <c r="C953">
        <v>5.7604225732043664E-2</v>
      </c>
      <c r="D953">
        <v>9.8480677937487493E-2</v>
      </c>
      <c r="E953">
        <v>-0.13870981948703268</v>
      </c>
      <c r="F953">
        <v>8.7499334797695921E-2</v>
      </c>
      <c r="G953">
        <v>1.1277211361838857</v>
      </c>
      <c r="H953">
        <v>14.594738182329985</v>
      </c>
      <c r="I953">
        <v>1.3326080803284129E-2</v>
      </c>
      <c r="J953">
        <v>2.3173813233213506E-2</v>
      </c>
      <c r="K953">
        <v>0</v>
      </c>
    </row>
    <row r="954" spans="1:11" x14ac:dyDescent="0.3">
      <c r="A954" t="s">
        <v>322</v>
      </c>
      <c r="B954">
        <v>2008</v>
      </c>
      <c r="C954">
        <v>7.2554837182783438E-2</v>
      </c>
      <c r="D954">
        <v>0.14883698914551891</v>
      </c>
      <c r="E954">
        <v>-4.9276977527243776E-2</v>
      </c>
      <c r="F954">
        <v>3.1541035102251577E-2</v>
      </c>
      <c r="G954">
        <v>0.86286573361876995</v>
      </c>
      <c r="H954">
        <v>14.658768124488265</v>
      </c>
      <c r="I954">
        <v>7.3966176947473039E-2</v>
      </c>
      <c r="J954">
        <v>2.1736501823423734E-2</v>
      </c>
      <c r="K954">
        <v>0</v>
      </c>
    </row>
    <row r="955" spans="1:11" x14ac:dyDescent="0.3">
      <c r="A955" t="s">
        <v>322</v>
      </c>
      <c r="B955">
        <v>2009</v>
      </c>
      <c r="C955">
        <v>4.7006545210697741E-2</v>
      </c>
      <c r="D955">
        <v>0.33151365393501558</v>
      </c>
      <c r="E955">
        <v>-8.8215591858355216E-2</v>
      </c>
      <c r="F955">
        <v>0.24684749349141769</v>
      </c>
      <c r="G955">
        <v>0.75483710230026269</v>
      </c>
      <c r="H955">
        <v>14.859077962420217</v>
      </c>
      <c r="I955">
        <v>6.9049007317022515E-2</v>
      </c>
      <c r="J955">
        <v>4.4477073448365247E-2</v>
      </c>
      <c r="K955">
        <v>0</v>
      </c>
    </row>
    <row r="956" spans="1:11" x14ac:dyDescent="0.3">
      <c r="A956" t="s">
        <v>322</v>
      </c>
      <c r="B956">
        <v>2010</v>
      </c>
      <c r="C956">
        <v>5.6338231703979925E-2</v>
      </c>
      <c r="D956">
        <v>0.15561432971730804</v>
      </c>
      <c r="E956">
        <v>-5.6709037767489222E-2</v>
      </c>
      <c r="F956">
        <v>0.27354480142812604</v>
      </c>
      <c r="G956">
        <v>0.97763023256242976</v>
      </c>
      <c r="H956">
        <v>14.994895749187199</v>
      </c>
      <c r="I956">
        <v>1.1185630809110586E-3</v>
      </c>
      <c r="J956">
        <v>1.8637770440914851E-2</v>
      </c>
      <c r="K956"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008"/>
  <sheetViews>
    <sheetView tabSelected="1" topLeftCell="B1" workbookViewId="0">
      <selection activeCell="E16" sqref="E16"/>
    </sheetView>
  </sheetViews>
  <sheetFormatPr defaultRowHeight="14.4" x14ac:dyDescent="0.3"/>
  <cols>
    <col min="1" max="1" width="36.5546875" customWidth="1"/>
    <col min="5" max="5" width="14.5546875" customWidth="1"/>
    <col min="6" max="6" width="11.88671875" customWidth="1"/>
    <col min="7" max="7" width="16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5" t="s">
        <v>2</v>
      </c>
      <c r="L1" s="5" t="s">
        <v>3</v>
      </c>
      <c r="M1" s="5" t="s">
        <v>4</v>
      </c>
      <c r="N1" s="5" t="s">
        <v>5</v>
      </c>
      <c r="O1" s="5" t="s">
        <v>6</v>
      </c>
      <c r="P1" s="5" t="s">
        <v>7</v>
      </c>
      <c r="Q1" s="5" t="s">
        <v>8</v>
      </c>
      <c r="R1" s="5" t="s">
        <v>9</v>
      </c>
      <c r="S1" s="5" t="s">
        <v>327</v>
      </c>
    </row>
    <row r="2" spans="1:19" x14ac:dyDescent="0.3">
      <c r="A2" t="s">
        <v>10</v>
      </c>
      <c r="B2">
        <v>2007</v>
      </c>
      <c r="C2">
        <v>3.5167926850712152E-4</v>
      </c>
      <c r="D2">
        <v>4.1895483626624826E-2</v>
      </c>
      <c r="E2">
        <v>-0.51715281816829206</v>
      </c>
      <c r="F2">
        <v>0</v>
      </c>
      <c r="G2">
        <v>0.92417270833615128</v>
      </c>
      <c r="H2">
        <v>13.290329046448173</v>
      </c>
      <c r="I2">
        <v>4.8274800251918246E-3</v>
      </c>
      <c r="J2">
        <v>0</v>
      </c>
      <c r="K2">
        <f>IF(OR(C2&lt;$C$1007-3*$C$1008,C2&gt;$C$1007+3*$C$1008),"out",C2)</f>
        <v>3.5167926850712152E-4</v>
      </c>
      <c r="L2">
        <f>IF(OR(D2&lt;$D$1007-3*$D$1008,D2&gt;$D$1007+3*$D$1008),"out",D2)</f>
        <v>4.1895483626624826E-2</v>
      </c>
      <c r="M2">
        <f>IF(OR(E2&lt;$E$1007-3*$E$1008,E2&gt;$E$1007+3*$E$1008),"out",E2)</f>
        <v>-0.51715281816829206</v>
      </c>
      <c r="N2">
        <f>IF(OR(F2&lt;$F$1007-3*$F$1008,F2&gt;$F$1007+3*$F$1008),"out",F2)</f>
        <v>0</v>
      </c>
      <c r="O2">
        <f>IF(OR(G2&lt;$G$1007-3*$G$1008,G2&gt;$G$1007+3*$G$1008),"out",G2)</f>
        <v>0.92417270833615128</v>
      </c>
      <c r="P2">
        <f>IF(OR(H2&lt;$H$1007-3*$H$1008,H2&gt;$H$1007+3*$H$1008),"out",H2)</f>
        <v>13.290329046448173</v>
      </c>
      <c r="Q2">
        <f>IF(OR(I2&lt;$I$1007-3*$I$1008,I2&gt;$I$1007+3*$I$1008),"out",I2)</f>
        <v>4.8274800251918246E-3</v>
      </c>
      <c r="R2">
        <f>IF(OR(J2&lt;$J$1007-3*$J$1008,J2&gt;$J$1007+3*$J$1008),"out",J2)</f>
        <v>0</v>
      </c>
      <c r="S2">
        <f>IF(OR(K2="ot",L2="out",M2="out",N2="out",O2="out",P2="out",Q2="out",R2="out"),1,0)</f>
        <v>0</v>
      </c>
    </row>
    <row r="3" spans="1:19" x14ac:dyDescent="0.3">
      <c r="A3" t="s">
        <v>11</v>
      </c>
      <c r="B3">
        <v>2007</v>
      </c>
      <c r="C3">
        <v>3.0521376473793055E-3</v>
      </c>
      <c r="D3">
        <v>5.2933773792669496E-2</v>
      </c>
      <c r="E3">
        <v>4.6386353434086491E-3</v>
      </c>
      <c r="F3">
        <v>0.16179398934149794</v>
      </c>
      <c r="G3">
        <v>0.85116464661579128</v>
      </c>
      <c r="H3">
        <v>13.164031094200661</v>
      </c>
      <c r="I3">
        <v>1.2474213673298725E-2</v>
      </c>
      <c r="J3">
        <v>0</v>
      </c>
      <c r="K3">
        <f t="shared" ref="K3:K66" si="0">IF(OR(C3&lt;$C$1007-3*$C$1008,C3&gt;$C$1007+3*$C$1008),"out",C3)</f>
        <v>3.0521376473793055E-3</v>
      </c>
      <c r="L3">
        <f t="shared" ref="L3:L66" si="1">IF(OR(D3&lt;$D$1007-3*$D$1008,D3&gt;$D$1007+3*$D$1008),"out",D3)</f>
        <v>5.2933773792669496E-2</v>
      </c>
      <c r="M3">
        <f t="shared" ref="M3:M66" si="2">IF(OR(E3&lt;$E$1007-3*$E$1008,E3&gt;$E$1007+3*$E$1008),"out",E3)</f>
        <v>4.6386353434086491E-3</v>
      </c>
      <c r="N3">
        <f t="shared" ref="N3:N66" si="3">IF(OR(F3&lt;$F$1007-3*$F$1008,F3&gt;$F$1007+3*$F$1008),"out",F3)</f>
        <v>0.16179398934149794</v>
      </c>
      <c r="O3">
        <f t="shared" ref="O3:O66" si="4">IF(OR(G3&lt;$G$1007-3*$G$1008,G3&gt;$G$1007+3*$G$1008),"out",G3)</f>
        <v>0.85116464661579128</v>
      </c>
      <c r="P3">
        <f t="shared" ref="P3:P66" si="5">IF(OR(H3&lt;$H$1007-3*$H$1008,H3&gt;$H$1007+3*$H$1008),"out",H3)</f>
        <v>13.164031094200661</v>
      </c>
      <c r="Q3">
        <f t="shared" ref="Q3:Q66" si="6">IF(OR(I3&lt;$I$1007-3*$I$1008,I3&gt;$I$1007+3*$I$1008),"out",I3)</f>
        <v>1.2474213673298725E-2</v>
      </c>
      <c r="R3">
        <f t="shared" ref="R3:R66" si="7">IF(OR(J3&lt;$J$1007-3*$J$1008,J3&gt;$J$1007+3*$J$1008),"out",J3)</f>
        <v>0</v>
      </c>
      <c r="S3">
        <f t="shared" ref="S3:S66" si="8">IF(OR(K3="ot",L3="out",M3="out",N3="out",O3="out",P3="out",Q3="out",R3="out"),1,0)</f>
        <v>0</v>
      </c>
    </row>
    <row r="4" spans="1:19" x14ac:dyDescent="0.3">
      <c r="A4" t="s">
        <v>11</v>
      </c>
      <c r="B4">
        <v>2008</v>
      </c>
      <c r="C4">
        <v>6.8907064457346271E-3</v>
      </c>
      <c r="D4">
        <v>9.7355596050345383E-2</v>
      </c>
      <c r="E4">
        <v>-0.1935373140653473</v>
      </c>
      <c r="F4">
        <v>0.15529516463957282</v>
      </c>
      <c r="G4">
        <v>0.87315018858329452</v>
      </c>
      <c r="H4">
        <v>13.064607137843366</v>
      </c>
      <c r="I4">
        <v>3.5104309464043838E-3</v>
      </c>
      <c r="J4">
        <v>0</v>
      </c>
      <c r="K4">
        <f t="shared" si="0"/>
        <v>6.8907064457346271E-3</v>
      </c>
      <c r="L4">
        <f t="shared" si="1"/>
        <v>9.7355596050345383E-2</v>
      </c>
      <c r="M4">
        <f t="shared" si="2"/>
        <v>-0.1935373140653473</v>
      </c>
      <c r="N4">
        <f t="shared" si="3"/>
        <v>0.15529516463957282</v>
      </c>
      <c r="O4">
        <f t="shared" si="4"/>
        <v>0.87315018858329452</v>
      </c>
      <c r="P4">
        <f t="shared" si="5"/>
        <v>13.064607137843366</v>
      </c>
      <c r="Q4">
        <f t="shared" si="6"/>
        <v>3.5104309464043838E-3</v>
      </c>
      <c r="R4">
        <f t="shared" si="7"/>
        <v>0</v>
      </c>
      <c r="S4">
        <f t="shared" si="8"/>
        <v>0</v>
      </c>
    </row>
    <row r="5" spans="1:19" x14ac:dyDescent="0.3">
      <c r="A5" t="s">
        <v>11</v>
      </c>
      <c r="B5">
        <v>2009</v>
      </c>
      <c r="C5">
        <v>8.666031391362447E-3</v>
      </c>
      <c r="D5">
        <v>0.10383465317254297</v>
      </c>
      <c r="E5">
        <v>-0.16498099650598583</v>
      </c>
      <c r="F5">
        <v>0.7033330047426587</v>
      </c>
      <c r="G5">
        <v>0.94645505427222643</v>
      </c>
      <c r="H5">
        <v>13.031333026054657</v>
      </c>
      <c r="I5">
        <v>2.1431432313637103E-2</v>
      </c>
      <c r="J5">
        <v>0</v>
      </c>
      <c r="K5">
        <f t="shared" si="0"/>
        <v>8.666031391362447E-3</v>
      </c>
      <c r="L5">
        <f t="shared" si="1"/>
        <v>0.10383465317254297</v>
      </c>
      <c r="M5">
        <f t="shared" si="2"/>
        <v>-0.16498099650598583</v>
      </c>
      <c r="N5">
        <f t="shared" si="3"/>
        <v>0.7033330047426587</v>
      </c>
      <c r="O5">
        <f t="shared" si="4"/>
        <v>0.94645505427222643</v>
      </c>
      <c r="P5">
        <f t="shared" si="5"/>
        <v>13.031333026054657</v>
      </c>
      <c r="Q5">
        <f t="shared" si="6"/>
        <v>2.1431432313637103E-2</v>
      </c>
      <c r="R5">
        <f t="shared" si="7"/>
        <v>0</v>
      </c>
      <c r="S5">
        <f t="shared" si="8"/>
        <v>0</v>
      </c>
    </row>
    <row r="6" spans="1:19" x14ac:dyDescent="0.3">
      <c r="A6" t="s">
        <v>11</v>
      </c>
      <c r="B6">
        <v>2010</v>
      </c>
      <c r="C6">
        <v>7.7212628805345129E-3</v>
      </c>
      <c r="D6">
        <v>3.0196521275427782E-2</v>
      </c>
      <c r="E6">
        <v>-0.10294703492840226</v>
      </c>
      <c r="F6">
        <v>0.46389058799542027</v>
      </c>
      <c r="G6">
        <v>0.68420659044213372</v>
      </c>
      <c r="H6">
        <v>13.365450722520846</v>
      </c>
      <c r="I6">
        <v>2.4477883673132139E-3</v>
      </c>
      <c r="J6">
        <v>0</v>
      </c>
      <c r="K6">
        <f t="shared" si="0"/>
        <v>7.7212628805345129E-3</v>
      </c>
      <c r="L6">
        <f t="shared" si="1"/>
        <v>3.0196521275427782E-2</v>
      </c>
      <c r="M6">
        <f t="shared" si="2"/>
        <v>-0.10294703492840226</v>
      </c>
      <c r="N6">
        <f t="shared" si="3"/>
        <v>0.46389058799542027</v>
      </c>
      <c r="O6">
        <f t="shared" si="4"/>
        <v>0.68420659044213372</v>
      </c>
      <c r="P6">
        <f t="shared" si="5"/>
        <v>13.365450722520846</v>
      </c>
      <c r="Q6">
        <f t="shared" si="6"/>
        <v>2.4477883673132139E-3</v>
      </c>
      <c r="R6">
        <f t="shared" si="7"/>
        <v>0</v>
      </c>
      <c r="S6">
        <f t="shared" si="8"/>
        <v>0</v>
      </c>
    </row>
    <row r="7" spans="1:19" x14ac:dyDescent="0.3">
      <c r="A7" t="s">
        <v>12</v>
      </c>
      <c r="B7">
        <v>2007</v>
      </c>
      <c r="C7">
        <v>3.6028046448466036E-4</v>
      </c>
      <c r="D7">
        <v>0.1034854825448734</v>
      </c>
      <c r="E7">
        <v>-0.64293804099806928</v>
      </c>
      <c r="F7">
        <v>0.14251771378950384</v>
      </c>
      <c r="G7">
        <v>0.93049912701272064</v>
      </c>
      <c r="H7">
        <v>13.201627320380879</v>
      </c>
      <c r="I7">
        <v>3.5324003042282136E-3</v>
      </c>
      <c r="J7">
        <v>0</v>
      </c>
      <c r="K7">
        <f t="shared" si="0"/>
        <v>3.6028046448466036E-4</v>
      </c>
      <c r="L7">
        <f t="shared" si="1"/>
        <v>0.1034854825448734</v>
      </c>
      <c r="M7">
        <f t="shared" si="2"/>
        <v>-0.64293804099806928</v>
      </c>
      <c r="N7">
        <f t="shared" si="3"/>
        <v>0.14251771378950384</v>
      </c>
      <c r="O7">
        <f t="shared" si="4"/>
        <v>0.93049912701272064</v>
      </c>
      <c r="P7">
        <f t="shared" si="5"/>
        <v>13.201627320380879</v>
      </c>
      <c r="Q7">
        <f t="shared" si="6"/>
        <v>3.5324003042282136E-3</v>
      </c>
      <c r="R7">
        <f t="shared" si="7"/>
        <v>0</v>
      </c>
      <c r="S7">
        <f t="shared" si="8"/>
        <v>0</v>
      </c>
    </row>
    <row r="8" spans="1:19" x14ac:dyDescent="0.3">
      <c r="A8" t="s">
        <v>13</v>
      </c>
      <c r="B8">
        <v>2009</v>
      </c>
      <c r="C8">
        <v>1.2530050517707121E-2</v>
      </c>
      <c r="D8">
        <v>6.2940604103980405E-2</v>
      </c>
      <c r="E8">
        <v>-8.4858686954402719E-4</v>
      </c>
      <c r="F8">
        <v>0.26097070733431382</v>
      </c>
      <c r="G8">
        <v>0.57009958365666624</v>
      </c>
      <c r="H8">
        <v>13.268382226190615</v>
      </c>
      <c r="I8">
        <v>2.2852149119231856E-2</v>
      </c>
      <c r="J8">
        <v>0</v>
      </c>
      <c r="K8">
        <f t="shared" si="0"/>
        <v>1.2530050517707121E-2</v>
      </c>
      <c r="L8">
        <f t="shared" si="1"/>
        <v>6.2940604103980405E-2</v>
      </c>
      <c r="M8">
        <f t="shared" si="2"/>
        <v>-8.4858686954402719E-4</v>
      </c>
      <c r="N8">
        <f t="shared" si="3"/>
        <v>0.26097070733431382</v>
      </c>
      <c r="O8">
        <f t="shared" si="4"/>
        <v>0.57009958365666624</v>
      </c>
      <c r="P8">
        <f t="shared" si="5"/>
        <v>13.268382226190615</v>
      </c>
      <c r="Q8">
        <f t="shared" si="6"/>
        <v>2.2852149119231856E-2</v>
      </c>
      <c r="R8">
        <f t="shared" si="7"/>
        <v>0</v>
      </c>
      <c r="S8">
        <f t="shared" si="8"/>
        <v>0</v>
      </c>
    </row>
    <row r="9" spans="1:19" x14ac:dyDescent="0.3">
      <c r="A9" t="s">
        <v>13</v>
      </c>
      <c r="B9">
        <v>2010</v>
      </c>
      <c r="C9">
        <v>8.0399963311823072E-2</v>
      </c>
      <c r="D9">
        <v>0.12052843411440804</v>
      </c>
      <c r="E9">
        <v>8.1813079956906939E-2</v>
      </c>
      <c r="F9">
        <v>0</v>
      </c>
      <c r="G9">
        <v>0.40862047791014194</v>
      </c>
      <c r="H9">
        <v>13.374302721495781</v>
      </c>
      <c r="I9">
        <v>1.4279484213181875E-2</v>
      </c>
      <c r="J9">
        <v>1.1752653285845981E-2</v>
      </c>
      <c r="K9">
        <f t="shared" si="0"/>
        <v>8.0399963311823072E-2</v>
      </c>
      <c r="L9">
        <f t="shared" si="1"/>
        <v>0.12052843411440804</v>
      </c>
      <c r="M9">
        <f t="shared" si="2"/>
        <v>8.1813079956906939E-2</v>
      </c>
      <c r="N9">
        <f t="shared" si="3"/>
        <v>0</v>
      </c>
      <c r="O9">
        <f t="shared" si="4"/>
        <v>0.40862047791014194</v>
      </c>
      <c r="P9">
        <f t="shared" si="5"/>
        <v>13.374302721495781</v>
      </c>
      <c r="Q9">
        <f t="shared" si="6"/>
        <v>1.4279484213181875E-2</v>
      </c>
      <c r="R9">
        <f t="shared" si="7"/>
        <v>1.1752653285845981E-2</v>
      </c>
      <c r="S9">
        <f t="shared" si="8"/>
        <v>0</v>
      </c>
    </row>
    <row r="10" spans="1:19" x14ac:dyDescent="0.3">
      <c r="A10" t="s">
        <v>14</v>
      </c>
      <c r="B10">
        <v>2007</v>
      </c>
      <c r="C10">
        <v>8.1640240551017311E-3</v>
      </c>
      <c r="D10">
        <v>4.9268215349974692E-2</v>
      </c>
      <c r="E10">
        <v>-0.1275342072205542</v>
      </c>
      <c r="F10">
        <v>0.14633520219338236</v>
      </c>
      <c r="G10">
        <v>0.71824045766818734</v>
      </c>
      <c r="H10">
        <v>14.032754339814016</v>
      </c>
      <c r="I10">
        <v>5.9008736252033275E-4</v>
      </c>
      <c r="J10">
        <v>0</v>
      </c>
      <c r="K10">
        <f t="shared" si="0"/>
        <v>8.1640240551017311E-3</v>
      </c>
      <c r="L10">
        <f t="shared" si="1"/>
        <v>4.9268215349974692E-2</v>
      </c>
      <c r="M10">
        <f t="shared" si="2"/>
        <v>-0.1275342072205542</v>
      </c>
      <c r="N10">
        <f t="shared" si="3"/>
        <v>0.14633520219338236</v>
      </c>
      <c r="O10">
        <f t="shared" si="4"/>
        <v>0.71824045766818734</v>
      </c>
      <c r="P10">
        <f t="shared" si="5"/>
        <v>14.032754339814016</v>
      </c>
      <c r="Q10">
        <f t="shared" si="6"/>
        <v>5.9008736252033275E-4</v>
      </c>
      <c r="R10">
        <f t="shared" si="7"/>
        <v>0</v>
      </c>
      <c r="S10">
        <f t="shared" si="8"/>
        <v>0</v>
      </c>
    </row>
    <row r="11" spans="1:19" x14ac:dyDescent="0.3">
      <c r="A11" t="s">
        <v>14</v>
      </c>
      <c r="B11">
        <v>2008</v>
      </c>
      <c r="C11">
        <v>1.2481573277607686E-3</v>
      </c>
      <c r="D11">
        <v>5.2339991252369149E-2</v>
      </c>
      <c r="E11">
        <v>-9.5911292543454665E-2</v>
      </c>
      <c r="F11">
        <v>0.17659360774975297</v>
      </c>
      <c r="G11">
        <v>0.68031888354311454</v>
      </c>
      <c r="H11">
        <v>14.026273788389531</v>
      </c>
      <c r="I11">
        <v>4.4592721396375393E-2</v>
      </c>
      <c r="J11">
        <v>0</v>
      </c>
      <c r="K11">
        <f t="shared" si="0"/>
        <v>1.2481573277607686E-3</v>
      </c>
      <c r="L11">
        <f t="shared" si="1"/>
        <v>5.2339991252369149E-2</v>
      </c>
      <c r="M11">
        <f t="shared" si="2"/>
        <v>-9.5911292543454665E-2</v>
      </c>
      <c r="N11">
        <f t="shared" si="3"/>
        <v>0.17659360774975297</v>
      </c>
      <c r="O11">
        <f t="shared" si="4"/>
        <v>0.68031888354311454</v>
      </c>
      <c r="P11">
        <f t="shared" si="5"/>
        <v>14.026273788389531</v>
      </c>
      <c r="Q11">
        <f t="shared" si="6"/>
        <v>4.4592721396375393E-2</v>
      </c>
      <c r="R11">
        <f t="shared" si="7"/>
        <v>0</v>
      </c>
      <c r="S11">
        <f t="shared" si="8"/>
        <v>0</v>
      </c>
    </row>
    <row r="12" spans="1:19" x14ac:dyDescent="0.3">
      <c r="A12" t="s">
        <v>14</v>
      </c>
      <c r="B12">
        <v>2009</v>
      </c>
      <c r="C12">
        <v>5.2190785507691775E-4</v>
      </c>
      <c r="D12">
        <v>0.20108273148750103</v>
      </c>
      <c r="E12">
        <v>-0.27240407670045125</v>
      </c>
      <c r="F12">
        <v>0.60844636032918387</v>
      </c>
      <c r="G12">
        <v>0.8149382030185186</v>
      </c>
      <c r="H12">
        <v>13.910648904824345</v>
      </c>
      <c r="I12">
        <v>4.5914135743021937E-2</v>
      </c>
      <c r="J12">
        <v>0</v>
      </c>
      <c r="K12">
        <f t="shared" si="0"/>
        <v>5.2190785507691775E-4</v>
      </c>
      <c r="L12">
        <f t="shared" si="1"/>
        <v>0.20108273148750103</v>
      </c>
      <c r="M12">
        <f t="shared" si="2"/>
        <v>-0.27240407670045125</v>
      </c>
      <c r="N12">
        <f t="shared" si="3"/>
        <v>0.60844636032918387</v>
      </c>
      <c r="O12">
        <f t="shared" si="4"/>
        <v>0.8149382030185186</v>
      </c>
      <c r="P12">
        <f t="shared" si="5"/>
        <v>13.910648904824345</v>
      </c>
      <c r="Q12">
        <f t="shared" si="6"/>
        <v>4.5914135743021937E-2</v>
      </c>
      <c r="R12">
        <f t="shared" si="7"/>
        <v>0</v>
      </c>
      <c r="S12">
        <f t="shared" si="8"/>
        <v>0</v>
      </c>
    </row>
    <row r="13" spans="1:19" x14ac:dyDescent="0.3">
      <c r="A13" t="s">
        <v>14</v>
      </c>
      <c r="B13">
        <v>2010</v>
      </c>
      <c r="C13">
        <v>1.6745499865406734E-3</v>
      </c>
      <c r="D13">
        <v>4.6904879268092309E-2</v>
      </c>
      <c r="E13">
        <v>-9.9245054134460414E-2</v>
      </c>
      <c r="F13">
        <v>0.61262572234632773</v>
      </c>
      <c r="G13">
        <v>0.80093462787583858</v>
      </c>
      <c r="H13">
        <v>13.950205773084591</v>
      </c>
      <c r="I13">
        <v>7.1067933303937958E-2</v>
      </c>
      <c r="J13">
        <v>0</v>
      </c>
      <c r="K13">
        <f t="shared" si="0"/>
        <v>1.6745499865406734E-3</v>
      </c>
      <c r="L13">
        <f t="shared" si="1"/>
        <v>4.6904879268092309E-2</v>
      </c>
      <c r="M13">
        <f t="shared" si="2"/>
        <v>-9.9245054134460414E-2</v>
      </c>
      <c r="N13">
        <f t="shared" si="3"/>
        <v>0.61262572234632773</v>
      </c>
      <c r="O13">
        <f t="shared" si="4"/>
        <v>0.80093462787583858</v>
      </c>
      <c r="P13">
        <f t="shared" si="5"/>
        <v>13.950205773084591</v>
      </c>
      <c r="Q13">
        <f t="shared" si="6"/>
        <v>7.1067933303937958E-2</v>
      </c>
      <c r="R13">
        <f t="shared" si="7"/>
        <v>0</v>
      </c>
      <c r="S13">
        <f t="shared" si="8"/>
        <v>0</v>
      </c>
    </row>
    <row r="14" spans="1:19" x14ac:dyDescent="0.3">
      <c r="A14" t="s">
        <v>15</v>
      </c>
      <c r="B14">
        <v>2010</v>
      </c>
      <c r="C14">
        <v>9.9582050757308829E-4</v>
      </c>
      <c r="D14">
        <v>0.21709520001856614</v>
      </c>
      <c r="E14">
        <v>5.1067447851285176E-2</v>
      </c>
      <c r="F14">
        <v>0.41073587337889073</v>
      </c>
      <c r="G14">
        <v>0.80775178751890897</v>
      </c>
      <c r="H14">
        <v>13.068922515485628</v>
      </c>
      <c r="I14">
        <v>2.9601781431227848E-3</v>
      </c>
      <c r="J14">
        <v>1.2236777423567611E-2</v>
      </c>
      <c r="K14">
        <f t="shared" si="0"/>
        <v>9.9582050757308829E-4</v>
      </c>
      <c r="L14">
        <f t="shared" si="1"/>
        <v>0.21709520001856614</v>
      </c>
      <c r="M14">
        <f t="shared" si="2"/>
        <v>5.1067447851285176E-2</v>
      </c>
      <c r="N14">
        <f t="shared" si="3"/>
        <v>0.41073587337889073</v>
      </c>
      <c r="O14">
        <f t="shared" si="4"/>
        <v>0.80775178751890897</v>
      </c>
      <c r="P14">
        <f t="shared" si="5"/>
        <v>13.068922515485628</v>
      </c>
      <c r="Q14">
        <f t="shared" si="6"/>
        <v>2.9601781431227848E-3</v>
      </c>
      <c r="R14">
        <f t="shared" si="7"/>
        <v>1.2236777423567611E-2</v>
      </c>
      <c r="S14">
        <f t="shared" si="8"/>
        <v>0</v>
      </c>
    </row>
    <row r="15" spans="1:19" x14ac:dyDescent="0.3">
      <c r="A15" t="s">
        <v>16</v>
      </c>
      <c r="B15">
        <v>2007</v>
      </c>
      <c r="C15">
        <v>6.1228164955879705E-3</v>
      </c>
      <c r="D15">
        <v>0.13565382933292172</v>
      </c>
      <c r="E15">
        <v>-1.0149726016824883</v>
      </c>
      <c r="F15">
        <v>0</v>
      </c>
      <c r="G15">
        <v>1.1790203493607059</v>
      </c>
      <c r="H15">
        <v>10.568003750296921</v>
      </c>
      <c r="I15">
        <v>1.3582931524903023E-2</v>
      </c>
      <c r="J15">
        <v>0</v>
      </c>
      <c r="K15">
        <f t="shared" si="0"/>
        <v>6.1228164955879705E-3</v>
      </c>
      <c r="L15">
        <f t="shared" si="1"/>
        <v>0.13565382933292172</v>
      </c>
      <c r="M15">
        <f t="shared" si="2"/>
        <v>-1.0149726016824883</v>
      </c>
      <c r="N15">
        <f t="shared" si="3"/>
        <v>0</v>
      </c>
      <c r="O15">
        <f t="shared" si="4"/>
        <v>1.1790203493607059</v>
      </c>
      <c r="P15">
        <f t="shared" si="5"/>
        <v>10.568003750296921</v>
      </c>
      <c r="Q15">
        <f t="shared" si="6"/>
        <v>1.3582931524903023E-2</v>
      </c>
      <c r="R15">
        <f t="shared" si="7"/>
        <v>0</v>
      </c>
      <c r="S15">
        <f t="shared" si="8"/>
        <v>0</v>
      </c>
    </row>
    <row r="16" spans="1:19" x14ac:dyDescent="0.3">
      <c r="A16" t="s">
        <v>16</v>
      </c>
      <c r="B16">
        <v>2010</v>
      </c>
      <c r="C16">
        <v>7.5969131910038137E-3</v>
      </c>
      <c r="D16">
        <v>0.12125033780740474</v>
      </c>
      <c r="E16">
        <v>-0.63504789358316072</v>
      </c>
      <c r="F16">
        <v>0.59553193405999461</v>
      </c>
      <c r="G16">
        <v>0.61028285740023425</v>
      </c>
      <c r="H16">
        <v>10.413402762000757</v>
      </c>
      <c r="I16">
        <v>3.8197785313031293E-3</v>
      </c>
      <c r="J16">
        <v>0</v>
      </c>
      <c r="K16">
        <f t="shared" si="0"/>
        <v>7.5969131910038137E-3</v>
      </c>
      <c r="L16">
        <f t="shared" si="1"/>
        <v>0.12125033780740474</v>
      </c>
      <c r="M16">
        <f t="shared" si="2"/>
        <v>-0.63504789358316072</v>
      </c>
      <c r="N16">
        <f t="shared" si="3"/>
        <v>0.59553193405999461</v>
      </c>
      <c r="O16">
        <f t="shared" si="4"/>
        <v>0.61028285740023425</v>
      </c>
      <c r="P16">
        <f t="shared" si="5"/>
        <v>10.413402762000757</v>
      </c>
      <c r="Q16">
        <f t="shared" si="6"/>
        <v>3.8197785313031293E-3</v>
      </c>
      <c r="R16">
        <f t="shared" si="7"/>
        <v>0</v>
      </c>
      <c r="S16">
        <f t="shared" si="8"/>
        <v>0</v>
      </c>
    </row>
    <row r="17" spans="1:19" x14ac:dyDescent="0.3">
      <c r="A17" t="s">
        <v>17</v>
      </c>
      <c r="B17">
        <v>2009</v>
      </c>
      <c r="C17">
        <v>3.909915646623287E-3</v>
      </c>
      <c r="D17">
        <v>5.9550403205015832E-2</v>
      </c>
      <c r="E17">
        <v>-9.4274630567271298E-2</v>
      </c>
      <c r="F17">
        <v>0.59725548606313095</v>
      </c>
      <c r="G17">
        <v>0.79111518154537863</v>
      </c>
      <c r="H17">
        <v>14.947923771023088</v>
      </c>
      <c r="I17">
        <v>7.2367326595571243E-3</v>
      </c>
      <c r="J17">
        <v>0</v>
      </c>
      <c r="K17">
        <f t="shared" si="0"/>
        <v>3.909915646623287E-3</v>
      </c>
      <c r="L17">
        <f t="shared" si="1"/>
        <v>5.9550403205015832E-2</v>
      </c>
      <c r="M17">
        <f t="shared" si="2"/>
        <v>-9.4274630567271298E-2</v>
      </c>
      <c r="N17">
        <f t="shared" si="3"/>
        <v>0.59725548606313095</v>
      </c>
      <c r="O17">
        <f t="shared" si="4"/>
        <v>0.79111518154537863</v>
      </c>
      <c r="P17">
        <f t="shared" si="5"/>
        <v>14.947923771023088</v>
      </c>
      <c r="Q17">
        <f t="shared" si="6"/>
        <v>7.2367326595571243E-3</v>
      </c>
      <c r="R17">
        <f t="shared" si="7"/>
        <v>0</v>
      </c>
      <c r="S17">
        <f t="shared" si="8"/>
        <v>0</v>
      </c>
    </row>
    <row r="18" spans="1:19" x14ac:dyDescent="0.3">
      <c r="A18" t="s">
        <v>18</v>
      </c>
      <c r="B18">
        <v>2007</v>
      </c>
      <c r="C18">
        <v>2.3436935412094496E-3</v>
      </c>
      <c r="D18">
        <v>0.14825222602153565</v>
      </c>
      <c r="E18">
        <v>-2.6344028252691956E-2</v>
      </c>
      <c r="F18">
        <v>0.22230143621654311</v>
      </c>
      <c r="G18">
        <v>1.5852875998904581</v>
      </c>
      <c r="H18">
        <v>15.252167180194709</v>
      </c>
      <c r="I18">
        <v>1.2802938340789445E-2</v>
      </c>
      <c r="J18">
        <v>0</v>
      </c>
      <c r="K18">
        <f t="shared" si="0"/>
        <v>2.3436935412094496E-3</v>
      </c>
      <c r="L18">
        <f t="shared" si="1"/>
        <v>0.14825222602153565</v>
      </c>
      <c r="M18">
        <f t="shared" si="2"/>
        <v>-2.6344028252691956E-2</v>
      </c>
      <c r="N18">
        <f t="shared" si="3"/>
        <v>0.22230143621654311</v>
      </c>
      <c r="O18">
        <f t="shared" si="4"/>
        <v>1.5852875998904581</v>
      </c>
      <c r="P18">
        <f t="shared" si="5"/>
        <v>15.252167180194709</v>
      </c>
      <c r="Q18">
        <f t="shared" si="6"/>
        <v>1.2802938340789445E-2</v>
      </c>
      <c r="R18">
        <f t="shared" si="7"/>
        <v>0</v>
      </c>
      <c r="S18">
        <f t="shared" si="8"/>
        <v>0</v>
      </c>
    </row>
    <row r="19" spans="1:19" x14ac:dyDescent="0.3">
      <c r="A19" t="s">
        <v>18</v>
      </c>
      <c r="B19">
        <v>2008</v>
      </c>
      <c r="C19">
        <v>1.4681016298153811E-2</v>
      </c>
      <c r="D19">
        <v>0.11907094129797378</v>
      </c>
      <c r="E19">
        <v>1.1882502118251571E-2</v>
      </c>
      <c r="F19">
        <v>0.22835068339388961</v>
      </c>
      <c r="G19">
        <v>1.0469225181434274</v>
      </c>
      <c r="H19">
        <v>15.337818322719421</v>
      </c>
      <c r="I19">
        <v>2.1765300579402042E-3</v>
      </c>
      <c r="J19">
        <v>0</v>
      </c>
      <c r="K19">
        <f t="shared" si="0"/>
        <v>1.4681016298153811E-2</v>
      </c>
      <c r="L19">
        <f t="shared" si="1"/>
        <v>0.11907094129797378</v>
      </c>
      <c r="M19">
        <f t="shared" si="2"/>
        <v>1.1882502118251571E-2</v>
      </c>
      <c r="N19">
        <f t="shared" si="3"/>
        <v>0.22835068339388961</v>
      </c>
      <c r="O19">
        <f t="shared" si="4"/>
        <v>1.0469225181434274</v>
      </c>
      <c r="P19">
        <f t="shared" si="5"/>
        <v>15.337818322719421</v>
      </c>
      <c r="Q19">
        <f t="shared" si="6"/>
        <v>2.1765300579402042E-3</v>
      </c>
      <c r="R19">
        <f t="shared" si="7"/>
        <v>0</v>
      </c>
      <c r="S19">
        <f t="shared" si="8"/>
        <v>0</v>
      </c>
    </row>
    <row r="20" spans="1:19" x14ac:dyDescent="0.3">
      <c r="A20" t="s">
        <v>18</v>
      </c>
      <c r="B20">
        <v>2009</v>
      </c>
      <c r="C20">
        <v>1.6082009002141545E-3</v>
      </c>
      <c r="D20">
        <v>0.13118370551328501</v>
      </c>
      <c r="E20">
        <v>-5.5716712434073654E-2</v>
      </c>
      <c r="F20">
        <v>0.35900091620802521</v>
      </c>
      <c r="G20">
        <v>0.95557692514395565</v>
      </c>
      <c r="H20">
        <v>15.352760929957736</v>
      </c>
      <c r="I20">
        <v>1.8117918686571394E-3</v>
      </c>
      <c r="J20">
        <v>3.6115191984491105E-2</v>
      </c>
      <c r="K20">
        <f t="shared" si="0"/>
        <v>1.6082009002141545E-3</v>
      </c>
      <c r="L20">
        <f t="shared" si="1"/>
        <v>0.13118370551328501</v>
      </c>
      <c r="M20">
        <f t="shared" si="2"/>
        <v>-5.5716712434073654E-2</v>
      </c>
      <c r="N20">
        <f t="shared" si="3"/>
        <v>0.35900091620802521</v>
      </c>
      <c r="O20">
        <f t="shared" si="4"/>
        <v>0.95557692514395565</v>
      </c>
      <c r="P20">
        <f t="shared" si="5"/>
        <v>15.352760929957736</v>
      </c>
      <c r="Q20">
        <f t="shared" si="6"/>
        <v>1.8117918686571394E-3</v>
      </c>
      <c r="R20">
        <f t="shared" si="7"/>
        <v>3.6115191984491105E-2</v>
      </c>
      <c r="S20">
        <f t="shared" si="8"/>
        <v>0</v>
      </c>
    </row>
    <row r="21" spans="1:19" x14ac:dyDescent="0.3">
      <c r="A21" t="s">
        <v>18</v>
      </c>
      <c r="B21">
        <v>2010</v>
      </c>
      <c r="C21">
        <v>6.8139949888440686E-3</v>
      </c>
      <c r="D21">
        <v>0.119141917986121</v>
      </c>
      <c r="E21">
        <v>-3.989222331506849E-2</v>
      </c>
      <c r="F21">
        <v>0.38734360600161633</v>
      </c>
      <c r="G21">
        <v>0.82974230373248681</v>
      </c>
      <c r="H21">
        <v>15.450879535302194</v>
      </c>
      <c r="I21">
        <v>3.03204410800198E-3</v>
      </c>
      <c r="J21">
        <v>3.273991586231384E-2</v>
      </c>
      <c r="K21">
        <f t="shared" si="0"/>
        <v>6.8139949888440686E-3</v>
      </c>
      <c r="L21">
        <f t="shared" si="1"/>
        <v>0.119141917986121</v>
      </c>
      <c r="M21">
        <f t="shared" si="2"/>
        <v>-3.989222331506849E-2</v>
      </c>
      <c r="N21">
        <f t="shared" si="3"/>
        <v>0.38734360600161633</v>
      </c>
      <c r="O21">
        <f t="shared" si="4"/>
        <v>0.82974230373248681</v>
      </c>
      <c r="P21">
        <f t="shared" si="5"/>
        <v>15.450879535302194</v>
      </c>
      <c r="Q21">
        <f t="shared" si="6"/>
        <v>3.03204410800198E-3</v>
      </c>
      <c r="R21">
        <f t="shared" si="7"/>
        <v>3.273991586231384E-2</v>
      </c>
      <c r="S21">
        <f t="shared" si="8"/>
        <v>0</v>
      </c>
    </row>
    <row r="22" spans="1:19" x14ac:dyDescent="0.3">
      <c r="A22" t="s">
        <v>19</v>
      </c>
      <c r="B22">
        <v>2007</v>
      </c>
      <c r="C22">
        <v>3.5737570972394758E-2</v>
      </c>
      <c r="D22">
        <v>4.8020276636012708E-2</v>
      </c>
      <c r="E22">
        <v>-0.37369373275193635</v>
      </c>
      <c r="F22">
        <v>0.356186791839321</v>
      </c>
      <c r="G22">
        <v>0.89591215681043179</v>
      </c>
      <c r="H22">
        <v>13.304193146623929</v>
      </c>
      <c r="I22">
        <v>2.9177531270925209E-3</v>
      </c>
      <c r="J22">
        <v>0</v>
      </c>
      <c r="K22">
        <f t="shared" si="0"/>
        <v>3.5737570972394758E-2</v>
      </c>
      <c r="L22">
        <f t="shared" si="1"/>
        <v>4.8020276636012708E-2</v>
      </c>
      <c r="M22">
        <f t="shared" si="2"/>
        <v>-0.37369373275193635</v>
      </c>
      <c r="N22">
        <f t="shared" si="3"/>
        <v>0.356186791839321</v>
      </c>
      <c r="O22">
        <f t="shared" si="4"/>
        <v>0.89591215681043179</v>
      </c>
      <c r="P22">
        <f t="shared" si="5"/>
        <v>13.304193146623929</v>
      </c>
      <c r="Q22">
        <f t="shared" si="6"/>
        <v>2.9177531270925209E-3</v>
      </c>
      <c r="R22">
        <f t="shared" si="7"/>
        <v>0</v>
      </c>
      <c r="S22">
        <f t="shared" si="8"/>
        <v>0</v>
      </c>
    </row>
    <row r="23" spans="1:19" x14ac:dyDescent="0.3">
      <c r="A23" t="s">
        <v>19</v>
      </c>
      <c r="B23">
        <v>2008</v>
      </c>
      <c r="C23">
        <v>4.5808175126244655E-3</v>
      </c>
      <c r="D23">
        <v>4.0920853187729776E-2</v>
      </c>
      <c r="E23">
        <v>-0.30385140397450822</v>
      </c>
      <c r="F23">
        <v>0.3520278701292176</v>
      </c>
      <c r="G23">
        <v>0.79314384771922186</v>
      </c>
      <c r="H23">
        <v>13.299764515434463</v>
      </c>
      <c r="I23">
        <v>5.0437119106263983E-3</v>
      </c>
      <c r="J23">
        <v>0</v>
      </c>
      <c r="K23">
        <f t="shared" si="0"/>
        <v>4.5808175126244655E-3</v>
      </c>
      <c r="L23">
        <f t="shared" si="1"/>
        <v>4.0920853187729776E-2</v>
      </c>
      <c r="M23">
        <f t="shared" si="2"/>
        <v>-0.30385140397450822</v>
      </c>
      <c r="N23">
        <f t="shared" si="3"/>
        <v>0.3520278701292176</v>
      </c>
      <c r="O23">
        <f t="shared" si="4"/>
        <v>0.79314384771922186</v>
      </c>
      <c r="P23">
        <f t="shared" si="5"/>
        <v>13.299764515434463</v>
      </c>
      <c r="Q23">
        <f t="shared" si="6"/>
        <v>5.0437119106263983E-3</v>
      </c>
      <c r="R23">
        <f t="shared" si="7"/>
        <v>0</v>
      </c>
      <c r="S23">
        <f t="shared" si="8"/>
        <v>0</v>
      </c>
    </row>
    <row r="24" spans="1:19" x14ac:dyDescent="0.3">
      <c r="A24" t="s">
        <v>19</v>
      </c>
      <c r="B24">
        <v>2009</v>
      </c>
      <c r="C24">
        <v>6.3370381759873477E-3</v>
      </c>
      <c r="D24">
        <v>5.9394631639063396E-2</v>
      </c>
      <c r="E24">
        <v>-4.2814362488834218E-2</v>
      </c>
      <c r="F24">
        <v>0.6302186296475274</v>
      </c>
      <c r="G24">
        <v>0.74862349719574162</v>
      </c>
      <c r="H24">
        <v>13.210945520095335</v>
      </c>
      <c r="I24">
        <v>1.4725023772645595E-2</v>
      </c>
      <c r="J24">
        <v>0</v>
      </c>
      <c r="K24">
        <f t="shared" si="0"/>
        <v>6.3370381759873477E-3</v>
      </c>
      <c r="L24">
        <f t="shared" si="1"/>
        <v>5.9394631639063396E-2</v>
      </c>
      <c r="M24">
        <f t="shared" si="2"/>
        <v>-4.2814362488834218E-2</v>
      </c>
      <c r="N24">
        <f t="shared" si="3"/>
        <v>0.6302186296475274</v>
      </c>
      <c r="O24">
        <f t="shared" si="4"/>
        <v>0.74862349719574162</v>
      </c>
      <c r="P24">
        <f t="shared" si="5"/>
        <v>13.210945520095335</v>
      </c>
      <c r="Q24">
        <f t="shared" si="6"/>
        <v>1.4725023772645595E-2</v>
      </c>
      <c r="R24">
        <f t="shared" si="7"/>
        <v>0</v>
      </c>
      <c r="S24">
        <f t="shared" si="8"/>
        <v>0</v>
      </c>
    </row>
    <row r="25" spans="1:19" x14ac:dyDescent="0.3">
      <c r="A25" t="s">
        <v>19</v>
      </c>
      <c r="B25">
        <v>2010</v>
      </c>
      <c r="C25">
        <v>4.4039005976722239E-3</v>
      </c>
      <c r="D25">
        <v>9.2183479726732326E-2</v>
      </c>
      <c r="E25">
        <v>-5.4818076963405682E-2</v>
      </c>
      <c r="F25">
        <v>0.4555907760060009</v>
      </c>
      <c r="G25">
        <v>0.61812540631225754</v>
      </c>
      <c r="H25">
        <v>13.33732151947455</v>
      </c>
      <c r="I25">
        <v>5.5123132770459049E-3</v>
      </c>
      <c r="J25">
        <v>0</v>
      </c>
      <c r="K25">
        <f t="shared" si="0"/>
        <v>4.4039005976722239E-3</v>
      </c>
      <c r="L25">
        <f t="shared" si="1"/>
        <v>9.2183479726732326E-2</v>
      </c>
      <c r="M25">
        <f t="shared" si="2"/>
        <v>-5.4818076963405682E-2</v>
      </c>
      <c r="N25">
        <f t="shared" si="3"/>
        <v>0.4555907760060009</v>
      </c>
      <c r="O25">
        <f t="shared" si="4"/>
        <v>0.61812540631225754</v>
      </c>
      <c r="P25">
        <f t="shared" si="5"/>
        <v>13.33732151947455</v>
      </c>
      <c r="Q25">
        <f t="shared" si="6"/>
        <v>5.5123132770459049E-3</v>
      </c>
      <c r="R25">
        <f t="shared" si="7"/>
        <v>0</v>
      </c>
      <c r="S25">
        <f t="shared" si="8"/>
        <v>0</v>
      </c>
    </row>
    <row r="26" spans="1:19" x14ac:dyDescent="0.3">
      <c r="A26" t="s">
        <v>20</v>
      </c>
      <c r="B26">
        <v>2007</v>
      </c>
      <c r="C26">
        <v>1.9347857366712462E-2</v>
      </c>
      <c r="D26">
        <v>4.8720490871067501E-2</v>
      </c>
      <c r="E26">
        <v>-0.27157366909566111</v>
      </c>
      <c r="F26">
        <v>0</v>
      </c>
      <c r="G26">
        <v>0.60471367496939943</v>
      </c>
      <c r="H26">
        <v>13.136942582430613</v>
      </c>
      <c r="I26">
        <v>5.1264242051975509E-4</v>
      </c>
      <c r="J26">
        <v>0</v>
      </c>
      <c r="K26">
        <f t="shared" si="0"/>
        <v>1.9347857366712462E-2</v>
      </c>
      <c r="L26">
        <f t="shared" si="1"/>
        <v>4.8720490871067501E-2</v>
      </c>
      <c r="M26">
        <f t="shared" si="2"/>
        <v>-0.27157366909566111</v>
      </c>
      <c r="N26">
        <f t="shared" si="3"/>
        <v>0</v>
      </c>
      <c r="O26">
        <f t="shared" si="4"/>
        <v>0.60471367496939943</v>
      </c>
      <c r="P26">
        <f t="shared" si="5"/>
        <v>13.136942582430613</v>
      </c>
      <c r="Q26">
        <f t="shared" si="6"/>
        <v>5.1264242051975509E-4</v>
      </c>
      <c r="R26">
        <f t="shared" si="7"/>
        <v>0</v>
      </c>
      <c r="S26">
        <f t="shared" si="8"/>
        <v>0</v>
      </c>
    </row>
    <row r="27" spans="1:19" x14ac:dyDescent="0.3">
      <c r="A27" t="s">
        <v>20</v>
      </c>
      <c r="B27">
        <v>2008</v>
      </c>
      <c r="C27">
        <v>0.26597179621385653</v>
      </c>
      <c r="D27">
        <v>4.4509979382758434E-2</v>
      </c>
      <c r="E27">
        <v>-0.1840412419871344</v>
      </c>
      <c r="F27">
        <v>4.7725443627133716E-3</v>
      </c>
      <c r="G27">
        <v>0.62388073141493561</v>
      </c>
      <c r="H27">
        <v>13.186368631380239</v>
      </c>
      <c r="I27">
        <v>1.968395167369667E-2</v>
      </c>
      <c r="J27">
        <v>0</v>
      </c>
      <c r="K27">
        <f t="shared" si="0"/>
        <v>0.26597179621385653</v>
      </c>
      <c r="L27">
        <f t="shared" si="1"/>
        <v>4.4509979382758434E-2</v>
      </c>
      <c r="M27">
        <f t="shared" si="2"/>
        <v>-0.1840412419871344</v>
      </c>
      <c r="N27">
        <f t="shared" si="3"/>
        <v>4.7725443627133716E-3</v>
      </c>
      <c r="O27">
        <f t="shared" si="4"/>
        <v>0.62388073141493561</v>
      </c>
      <c r="P27">
        <f t="shared" si="5"/>
        <v>13.186368631380239</v>
      </c>
      <c r="Q27">
        <f t="shared" si="6"/>
        <v>1.968395167369667E-2</v>
      </c>
      <c r="R27">
        <f t="shared" si="7"/>
        <v>0</v>
      </c>
      <c r="S27">
        <f t="shared" si="8"/>
        <v>0</v>
      </c>
    </row>
    <row r="28" spans="1:19" x14ac:dyDescent="0.3">
      <c r="A28" t="s">
        <v>21</v>
      </c>
      <c r="B28">
        <v>2007</v>
      </c>
      <c r="C28">
        <v>1.8698952567584057E-2</v>
      </c>
      <c r="D28">
        <v>7.8522827796868672E-2</v>
      </c>
      <c r="E28">
        <v>-3.6654436571198483E-2</v>
      </c>
      <c r="F28">
        <v>0.46988943412818668</v>
      </c>
      <c r="G28">
        <v>1.1359485628490313</v>
      </c>
      <c r="H28">
        <v>17.332893017746972</v>
      </c>
      <c r="I28">
        <v>6.6726863536381957E-3</v>
      </c>
      <c r="J28">
        <v>1.020832907962794E-2</v>
      </c>
      <c r="K28">
        <f t="shared" si="0"/>
        <v>1.8698952567584057E-2</v>
      </c>
      <c r="L28">
        <f t="shared" si="1"/>
        <v>7.8522827796868672E-2</v>
      </c>
      <c r="M28">
        <f t="shared" si="2"/>
        <v>-3.6654436571198483E-2</v>
      </c>
      <c r="N28">
        <f t="shared" si="3"/>
        <v>0.46988943412818668</v>
      </c>
      <c r="O28">
        <f t="shared" si="4"/>
        <v>1.1359485628490313</v>
      </c>
      <c r="P28">
        <f t="shared" si="5"/>
        <v>17.332893017746972</v>
      </c>
      <c r="Q28">
        <f t="shared" si="6"/>
        <v>6.6726863536381957E-3</v>
      </c>
      <c r="R28">
        <f t="shared" si="7"/>
        <v>1.020832907962794E-2</v>
      </c>
      <c r="S28">
        <f t="shared" si="8"/>
        <v>0</v>
      </c>
    </row>
    <row r="29" spans="1:19" x14ac:dyDescent="0.3">
      <c r="A29" t="s">
        <v>21</v>
      </c>
      <c r="B29">
        <v>2008</v>
      </c>
      <c r="C29">
        <v>2.9985014069107137E-3</v>
      </c>
      <c r="D29">
        <v>7.2928717217979333E-2</v>
      </c>
      <c r="E29">
        <v>0.30435826849166292</v>
      </c>
      <c r="F29">
        <v>0.41154663801514801</v>
      </c>
      <c r="G29">
        <v>0.84971131285983137</v>
      </c>
      <c r="H29">
        <v>17.125019204468479</v>
      </c>
      <c r="I29">
        <v>8.865136083141793E-3</v>
      </c>
      <c r="J29">
        <v>0</v>
      </c>
      <c r="K29">
        <f t="shared" si="0"/>
        <v>2.9985014069107137E-3</v>
      </c>
      <c r="L29">
        <f t="shared" si="1"/>
        <v>7.2928717217979333E-2</v>
      </c>
      <c r="M29">
        <f t="shared" si="2"/>
        <v>0.30435826849166292</v>
      </c>
      <c r="N29">
        <f t="shared" si="3"/>
        <v>0.41154663801514801</v>
      </c>
      <c r="O29">
        <f t="shared" si="4"/>
        <v>0.84971131285983137</v>
      </c>
      <c r="P29">
        <f t="shared" si="5"/>
        <v>17.125019204468479</v>
      </c>
      <c r="Q29">
        <f t="shared" si="6"/>
        <v>8.865136083141793E-3</v>
      </c>
      <c r="R29">
        <f t="shared" si="7"/>
        <v>0</v>
      </c>
      <c r="S29">
        <f t="shared" si="8"/>
        <v>0</v>
      </c>
    </row>
    <row r="30" spans="1:19" x14ac:dyDescent="0.3">
      <c r="A30" t="s">
        <v>21</v>
      </c>
      <c r="B30">
        <v>2009</v>
      </c>
      <c r="C30">
        <v>7.4846284529053106E-3</v>
      </c>
      <c r="D30">
        <v>2.3616837707808903E-2</v>
      </c>
      <c r="E30">
        <v>-0.15080572235398637</v>
      </c>
      <c r="F30">
        <v>0.55524205724761022</v>
      </c>
      <c r="G30">
        <v>0.89136579946678596</v>
      </c>
      <c r="H30">
        <v>17.884453342864791</v>
      </c>
      <c r="I30">
        <v>1.326758641833117E-3</v>
      </c>
      <c r="J30">
        <v>5.0587153574330895E-4</v>
      </c>
      <c r="K30">
        <f t="shared" si="0"/>
        <v>7.4846284529053106E-3</v>
      </c>
      <c r="L30">
        <f t="shared" si="1"/>
        <v>2.3616837707808903E-2</v>
      </c>
      <c r="M30">
        <f t="shared" si="2"/>
        <v>-0.15080572235398637</v>
      </c>
      <c r="N30">
        <f t="shared" si="3"/>
        <v>0.55524205724761022</v>
      </c>
      <c r="O30">
        <f t="shared" si="4"/>
        <v>0.89136579946678596</v>
      </c>
      <c r="P30">
        <f t="shared" si="5"/>
        <v>17.884453342864791</v>
      </c>
      <c r="Q30">
        <f t="shared" si="6"/>
        <v>1.326758641833117E-3</v>
      </c>
      <c r="R30">
        <f t="shared" si="7"/>
        <v>5.0587153574330895E-4</v>
      </c>
      <c r="S30">
        <f t="shared" si="8"/>
        <v>0</v>
      </c>
    </row>
    <row r="31" spans="1:19" x14ac:dyDescent="0.3">
      <c r="A31" t="s">
        <v>21</v>
      </c>
      <c r="B31">
        <v>2010</v>
      </c>
      <c r="C31">
        <v>7.4846283249522024E-3</v>
      </c>
      <c r="D31">
        <v>4.0579218539183691E-2</v>
      </c>
      <c r="E31">
        <v>-0.15052509792745164</v>
      </c>
      <c r="F31">
        <v>0.5552420648509484</v>
      </c>
      <c r="G31">
        <v>0.81028787391023538</v>
      </c>
      <c r="H31">
        <v>17.884453359960247</v>
      </c>
      <c r="I31">
        <v>2.5897395307782629E-2</v>
      </c>
      <c r="J31">
        <v>0</v>
      </c>
      <c r="K31">
        <f t="shared" si="0"/>
        <v>7.4846283249522024E-3</v>
      </c>
      <c r="L31">
        <f t="shared" si="1"/>
        <v>4.0579218539183691E-2</v>
      </c>
      <c r="M31">
        <f t="shared" si="2"/>
        <v>-0.15052509792745164</v>
      </c>
      <c r="N31">
        <f t="shared" si="3"/>
        <v>0.5552420648509484</v>
      </c>
      <c r="O31">
        <f t="shared" si="4"/>
        <v>0.81028787391023538</v>
      </c>
      <c r="P31">
        <f t="shared" si="5"/>
        <v>17.884453359960247</v>
      </c>
      <c r="Q31">
        <f t="shared" si="6"/>
        <v>2.5897395307782629E-2</v>
      </c>
      <c r="R31">
        <f t="shared" si="7"/>
        <v>0</v>
      </c>
      <c r="S31">
        <f t="shared" si="8"/>
        <v>0</v>
      </c>
    </row>
    <row r="32" spans="1:19" x14ac:dyDescent="0.3">
      <c r="A32" t="s">
        <v>22</v>
      </c>
      <c r="B32">
        <v>2007</v>
      </c>
      <c r="C32">
        <v>4.9101487023052047E-4</v>
      </c>
      <c r="D32">
        <v>4.1164740354875468E-2</v>
      </c>
      <c r="E32">
        <v>-0.3706056380893063</v>
      </c>
      <c r="F32">
        <v>0.25536754453637578</v>
      </c>
      <c r="G32">
        <v>0.75456245709149328</v>
      </c>
      <c r="H32">
        <v>13.938004258772914</v>
      </c>
      <c r="I32">
        <v>7.3864701534367277E-3</v>
      </c>
      <c r="J32">
        <v>0</v>
      </c>
      <c r="K32">
        <f t="shared" si="0"/>
        <v>4.9101487023052047E-4</v>
      </c>
      <c r="L32">
        <f t="shared" si="1"/>
        <v>4.1164740354875468E-2</v>
      </c>
      <c r="M32">
        <f t="shared" si="2"/>
        <v>-0.3706056380893063</v>
      </c>
      <c r="N32">
        <f t="shared" si="3"/>
        <v>0.25536754453637578</v>
      </c>
      <c r="O32">
        <f t="shared" si="4"/>
        <v>0.75456245709149328</v>
      </c>
      <c r="P32">
        <f t="shared" si="5"/>
        <v>13.938004258772914</v>
      </c>
      <c r="Q32">
        <f t="shared" si="6"/>
        <v>7.3864701534367277E-3</v>
      </c>
      <c r="R32">
        <f t="shared" si="7"/>
        <v>0</v>
      </c>
      <c r="S32">
        <f t="shared" si="8"/>
        <v>0</v>
      </c>
    </row>
    <row r="33" spans="1:19" x14ac:dyDescent="0.3">
      <c r="A33" t="s">
        <v>22</v>
      </c>
      <c r="B33">
        <v>2009</v>
      </c>
      <c r="C33">
        <v>3.9275542108730235E-4</v>
      </c>
      <c r="D33">
        <v>0.10143494951700609</v>
      </c>
      <c r="E33">
        <v>-0.12978075307920983</v>
      </c>
      <c r="F33">
        <v>0.51376439217801195</v>
      </c>
      <c r="G33">
        <v>0.6671324237918923</v>
      </c>
      <c r="H33">
        <v>14.126457639098863</v>
      </c>
      <c r="I33">
        <v>8.7704969784319076E-3</v>
      </c>
      <c r="J33">
        <v>0</v>
      </c>
      <c r="K33">
        <f t="shared" si="0"/>
        <v>3.9275542108730235E-4</v>
      </c>
      <c r="L33">
        <f t="shared" si="1"/>
        <v>0.10143494951700609</v>
      </c>
      <c r="M33">
        <f t="shared" si="2"/>
        <v>-0.12978075307920983</v>
      </c>
      <c r="N33">
        <f t="shared" si="3"/>
        <v>0.51376439217801195</v>
      </c>
      <c r="O33">
        <f t="shared" si="4"/>
        <v>0.6671324237918923</v>
      </c>
      <c r="P33">
        <f t="shared" si="5"/>
        <v>14.126457639098863</v>
      </c>
      <c r="Q33">
        <f t="shared" si="6"/>
        <v>8.7704969784319076E-3</v>
      </c>
      <c r="R33">
        <f t="shared" si="7"/>
        <v>0</v>
      </c>
      <c r="S33">
        <f t="shared" si="8"/>
        <v>0</v>
      </c>
    </row>
    <row r="34" spans="1:19" x14ac:dyDescent="0.3">
      <c r="A34" t="s">
        <v>22</v>
      </c>
      <c r="B34">
        <v>2010</v>
      </c>
      <c r="C34">
        <v>7.51409709955852E-4</v>
      </c>
      <c r="D34">
        <v>0.13695839513405947</v>
      </c>
      <c r="E34">
        <v>-3.9613448709208798E-2</v>
      </c>
      <c r="F34">
        <v>0.42133974536285829</v>
      </c>
      <c r="G34">
        <v>0.56565388253760129</v>
      </c>
      <c r="H34">
        <v>14.13571620812154</v>
      </c>
      <c r="I34">
        <v>6.8750452147297025E-3</v>
      </c>
      <c r="J34">
        <v>0</v>
      </c>
      <c r="K34">
        <f t="shared" si="0"/>
        <v>7.51409709955852E-4</v>
      </c>
      <c r="L34">
        <f t="shared" si="1"/>
        <v>0.13695839513405947</v>
      </c>
      <c r="M34">
        <f t="shared" si="2"/>
        <v>-3.9613448709208798E-2</v>
      </c>
      <c r="N34">
        <f t="shared" si="3"/>
        <v>0.42133974536285829</v>
      </c>
      <c r="O34">
        <f t="shared" si="4"/>
        <v>0.56565388253760129</v>
      </c>
      <c r="P34">
        <f t="shared" si="5"/>
        <v>14.13571620812154</v>
      </c>
      <c r="Q34">
        <f t="shared" si="6"/>
        <v>6.8750452147297025E-3</v>
      </c>
      <c r="R34">
        <f t="shared" si="7"/>
        <v>0</v>
      </c>
      <c r="S34">
        <f t="shared" si="8"/>
        <v>0</v>
      </c>
    </row>
    <row r="35" spans="1:19" x14ac:dyDescent="0.3">
      <c r="A35" t="s">
        <v>23</v>
      </c>
      <c r="B35">
        <v>2009</v>
      </c>
      <c r="C35">
        <v>7.2321779270202863E-3</v>
      </c>
      <c r="D35">
        <v>8.8258032979063192E-2</v>
      </c>
      <c r="E35">
        <v>8.6909936634685676E-3</v>
      </c>
      <c r="F35">
        <v>0.54591297072891964</v>
      </c>
      <c r="G35">
        <v>0.78680741749730143</v>
      </c>
      <c r="H35">
        <v>14.95783633674716</v>
      </c>
      <c r="I35">
        <v>3.387486108356607E-2</v>
      </c>
      <c r="J35">
        <v>1.9144563470449888E-3</v>
      </c>
      <c r="K35">
        <f t="shared" si="0"/>
        <v>7.2321779270202863E-3</v>
      </c>
      <c r="L35">
        <f t="shared" si="1"/>
        <v>8.8258032979063192E-2</v>
      </c>
      <c r="M35">
        <f t="shared" si="2"/>
        <v>8.6909936634685676E-3</v>
      </c>
      <c r="N35">
        <f t="shared" si="3"/>
        <v>0.54591297072891964</v>
      </c>
      <c r="O35">
        <f t="shared" si="4"/>
        <v>0.78680741749730143</v>
      </c>
      <c r="P35">
        <f t="shared" si="5"/>
        <v>14.95783633674716</v>
      </c>
      <c r="Q35">
        <f t="shared" si="6"/>
        <v>3.387486108356607E-2</v>
      </c>
      <c r="R35">
        <f t="shared" si="7"/>
        <v>1.9144563470449888E-3</v>
      </c>
      <c r="S35">
        <f t="shared" si="8"/>
        <v>0</v>
      </c>
    </row>
    <row r="36" spans="1:19" x14ac:dyDescent="0.3">
      <c r="A36" t="s">
        <v>23</v>
      </c>
      <c r="B36">
        <v>2010</v>
      </c>
      <c r="C36">
        <v>1.13652377704662E-2</v>
      </c>
      <c r="D36">
        <v>0.18308763734185698</v>
      </c>
      <c r="E36">
        <v>3.1001980779751165E-2</v>
      </c>
      <c r="F36">
        <v>0.42082546194916137</v>
      </c>
      <c r="G36">
        <v>0.80523232183104276</v>
      </c>
      <c r="H36">
        <v>14.974314119664836</v>
      </c>
      <c r="I36">
        <v>4.5011982324424528E-2</v>
      </c>
      <c r="J36">
        <v>1.8831688333047197E-2</v>
      </c>
      <c r="K36">
        <f t="shared" si="0"/>
        <v>1.13652377704662E-2</v>
      </c>
      <c r="L36">
        <f t="shared" si="1"/>
        <v>0.18308763734185698</v>
      </c>
      <c r="M36">
        <f t="shared" si="2"/>
        <v>3.1001980779751165E-2</v>
      </c>
      <c r="N36">
        <f t="shared" si="3"/>
        <v>0.42082546194916137</v>
      </c>
      <c r="O36">
        <f t="shared" si="4"/>
        <v>0.80523232183104276</v>
      </c>
      <c r="P36">
        <f t="shared" si="5"/>
        <v>14.974314119664836</v>
      </c>
      <c r="Q36">
        <f t="shared" si="6"/>
        <v>4.5011982324424528E-2</v>
      </c>
      <c r="R36">
        <f t="shared" si="7"/>
        <v>1.8831688333047197E-2</v>
      </c>
      <c r="S36">
        <f t="shared" si="8"/>
        <v>0</v>
      </c>
    </row>
    <row r="37" spans="1:19" x14ac:dyDescent="0.3">
      <c r="A37" t="s">
        <v>24</v>
      </c>
      <c r="B37">
        <v>2007</v>
      </c>
      <c r="C37">
        <v>3.6468542726511691E-2</v>
      </c>
      <c r="D37">
        <v>0.1290308455148432</v>
      </c>
      <c r="E37">
        <v>-0.19859875072445102</v>
      </c>
      <c r="F37">
        <v>0.11030974306136905</v>
      </c>
      <c r="G37">
        <v>0.91388447420954344</v>
      </c>
      <c r="H37">
        <v>13.562487527997336</v>
      </c>
      <c r="I37">
        <v>9.341903936585667E-3</v>
      </c>
      <c r="J37">
        <v>0</v>
      </c>
      <c r="K37">
        <f t="shared" si="0"/>
        <v>3.6468542726511691E-2</v>
      </c>
      <c r="L37">
        <f t="shared" si="1"/>
        <v>0.1290308455148432</v>
      </c>
      <c r="M37">
        <f t="shared" si="2"/>
        <v>-0.19859875072445102</v>
      </c>
      <c r="N37">
        <f t="shared" si="3"/>
        <v>0.11030974306136905</v>
      </c>
      <c r="O37">
        <f t="shared" si="4"/>
        <v>0.91388447420954344</v>
      </c>
      <c r="P37">
        <f t="shared" si="5"/>
        <v>13.562487527997336</v>
      </c>
      <c r="Q37">
        <f t="shared" si="6"/>
        <v>9.341903936585667E-3</v>
      </c>
      <c r="R37">
        <f t="shared" si="7"/>
        <v>0</v>
      </c>
      <c r="S37">
        <f t="shared" si="8"/>
        <v>0</v>
      </c>
    </row>
    <row r="38" spans="1:19" x14ac:dyDescent="0.3">
      <c r="A38" t="s">
        <v>24</v>
      </c>
      <c r="B38">
        <v>2008</v>
      </c>
      <c r="C38">
        <v>3.4030308089686803E-3</v>
      </c>
      <c r="D38">
        <v>8.8613350880466707E-2</v>
      </c>
      <c r="E38">
        <v>-0.17439329804264347</v>
      </c>
      <c r="F38">
        <v>0.18847389045481777</v>
      </c>
      <c r="G38">
        <v>0.81948006796240469</v>
      </c>
      <c r="H38">
        <v>13.833556741655336</v>
      </c>
      <c r="I38">
        <v>6.8549281791623826E-3</v>
      </c>
      <c r="J38">
        <v>0</v>
      </c>
      <c r="K38">
        <f t="shared" si="0"/>
        <v>3.4030308089686803E-3</v>
      </c>
      <c r="L38">
        <f t="shared" si="1"/>
        <v>8.8613350880466707E-2</v>
      </c>
      <c r="M38">
        <f t="shared" si="2"/>
        <v>-0.17439329804264347</v>
      </c>
      <c r="N38">
        <f t="shared" si="3"/>
        <v>0.18847389045481777</v>
      </c>
      <c r="O38">
        <f t="shared" si="4"/>
        <v>0.81948006796240469</v>
      </c>
      <c r="P38">
        <f t="shared" si="5"/>
        <v>13.833556741655336</v>
      </c>
      <c r="Q38">
        <f t="shared" si="6"/>
        <v>6.8549281791623826E-3</v>
      </c>
      <c r="R38">
        <f t="shared" si="7"/>
        <v>0</v>
      </c>
      <c r="S38">
        <f t="shared" si="8"/>
        <v>0</v>
      </c>
    </row>
    <row r="39" spans="1:19" x14ac:dyDescent="0.3">
      <c r="A39" t="s">
        <v>24</v>
      </c>
      <c r="B39">
        <v>2010</v>
      </c>
      <c r="C39">
        <v>1.7054806896182002E-2</v>
      </c>
      <c r="D39">
        <v>4.7440538002267489E-2</v>
      </c>
      <c r="E39">
        <v>-5.3736689427588302E-2</v>
      </c>
      <c r="F39">
        <v>0.8001076163378279</v>
      </c>
      <c r="G39">
        <v>0.91863233930517962</v>
      </c>
      <c r="H39">
        <v>13.822766172218842</v>
      </c>
      <c r="I39">
        <v>2.8198630258133364E-3</v>
      </c>
      <c r="J39">
        <v>0</v>
      </c>
      <c r="K39">
        <f t="shared" si="0"/>
        <v>1.7054806896182002E-2</v>
      </c>
      <c r="L39">
        <f t="shared" si="1"/>
        <v>4.7440538002267489E-2</v>
      </c>
      <c r="M39">
        <f t="shared" si="2"/>
        <v>-5.3736689427588302E-2</v>
      </c>
      <c r="N39">
        <f t="shared" si="3"/>
        <v>0.8001076163378279</v>
      </c>
      <c r="O39">
        <f t="shared" si="4"/>
        <v>0.91863233930517962</v>
      </c>
      <c r="P39">
        <f t="shared" si="5"/>
        <v>13.822766172218842</v>
      </c>
      <c r="Q39">
        <f t="shared" si="6"/>
        <v>2.8198630258133364E-3</v>
      </c>
      <c r="R39">
        <f t="shared" si="7"/>
        <v>0</v>
      </c>
      <c r="S39">
        <f t="shared" si="8"/>
        <v>0</v>
      </c>
    </row>
    <row r="40" spans="1:19" x14ac:dyDescent="0.3">
      <c r="A40" t="s">
        <v>25</v>
      </c>
      <c r="B40">
        <v>2007</v>
      </c>
      <c r="C40">
        <v>1.5920247874434617E-2</v>
      </c>
      <c r="D40">
        <v>0.11654925225559264</v>
      </c>
      <c r="E40">
        <v>-0.15692709935524418</v>
      </c>
      <c r="F40">
        <v>0.27995977927728244</v>
      </c>
      <c r="G40">
        <v>0.88741940552399423</v>
      </c>
      <c r="H40">
        <v>14.75740938568512</v>
      </c>
      <c r="I40">
        <v>3.6713101531430717E-3</v>
      </c>
      <c r="J40">
        <v>1.8808139432878452E-3</v>
      </c>
      <c r="K40">
        <f t="shared" si="0"/>
        <v>1.5920247874434617E-2</v>
      </c>
      <c r="L40">
        <f t="shared" si="1"/>
        <v>0.11654925225559264</v>
      </c>
      <c r="M40">
        <f t="shared" si="2"/>
        <v>-0.15692709935524418</v>
      </c>
      <c r="N40">
        <f t="shared" si="3"/>
        <v>0.27995977927728244</v>
      </c>
      <c r="O40">
        <f t="shared" si="4"/>
        <v>0.88741940552399423</v>
      </c>
      <c r="P40">
        <f t="shared" si="5"/>
        <v>14.75740938568512</v>
      </c>
      <c r="Q40">
        <f t="shared" si="6"/>
        <v>3.6713101531430717E-3</v>
      </c>
      <c r="R40">
        <f t="shared" si="7"/>
        <v>1.8808139432878452E-3</v>
      </c>
      <c r="S40">
        <f t="shared" si="8"/>
        <v>0</v>
      </c>
    </row>
    <row r="41" spans="1:19" x14ac:dyDescent="0.3">
      <c r="A41" t="s">
        <v>25</v>
      </c>
      <c r="B41">
        <v>2009</v>
      </c>
      <c r="C41">
        <v>5.2132979186694595E-3</v>
      </c>
      <c r="D41">
        <v>0.10866484383712402</v>
      </c>
      <c r="E41">
        <v>-3.3446263023069731E-2</v>
      </c>
      <c r="F41">
        <v>0.55242276512768085</v>
      </c>
      <c r="G41">
        <v>0.76676026644026463</v>
      </c>
      <c r="H41">
        <v>14.714445953481384</v>
      </c>
      <c r="I41">
        <v>4.7412258086312851E-2</v>
      </c>
      <c r="J41">
        <v>1.9633811507269476E-3</v>
      </c>
      <c r="K41">
        <f t="shared" si="0"/>
        <v>5.2132979186694595E-3</v>
      </c>
      <c r="L41">
        <f t="shared" si="1"/>
        <v>0.10866484383712402</v>
      </c>
      <c r="M41">
        <f t="shared" si="2"/>
        <v>-3.3446263023069731E-2</v>
      </c>
      <c r="N41">
        <f t="shared" si="3"/>
        <v>0.55242276512768085</v>
      </c>
      <c r="O41">
        <f t="shared" si="4"/>
        <v>0.76676026644026463</v>
      </c>
      <c r="P41">
        <f t="shared" si="5"/>
        <v>14.714445953481384</v>
      </c>
      <c r="Q41">
        <f t="shared" si="6"/>
        <v>4.7412258086312851E-2</v>
      </c>
      <c r="R41">
        <f t="shared" si="7"/>
        <v>1.9633811507269476E-3</v>
      </c>
      <c r="S41">
        <f t="shared" si="8"/>
        <v>0</v>
      </c>
    </row>
    <row r="42" spans="1:19" x14ac:dyDescent="0.3">
      <c r="A42" t="s">
        <v>25</v>
      </c>
      <c r="B42">
        <v>2010</v>
      </c>
      <c r="C42">
        <v>1.2774780629944723E-2</v>
      </c>
      <c r="D42">
        <v>0.24494534787735114</v>
      </c>
      <c r="E42">
        <v>0.10727561959615906</v>
      </c>
      <c r="F42">
        <v>0.3743055131887647</v>
      </c>
      <c r="G42">
        <v>0.60596054057396664</v>
      </c>
      <c r="H42">
        <v>14.694935210358199</v>
      </c>
      <c r="I42">
        <v>2.7199308323433809E-2</v>
      </c>
      <c r="J42">
        <v>1.3347095450408443E-2</v>
      </c>
      <c r="K42">
        <f t="shared" si="0"/>
        <v>1.2774780629944723E-2</v>
      </c>
      <c r="L42">
        <f t="shared" si="1"/>
        <v>0.24494534787735114</v>
      </c>
      <c r="M42">
        <f t="shared" si="2"/>
        <v>0.10727561959615906</v>
      </c>
      <c r="N42">
        <f t="shared" si="3"/>
        <v>0.3743055131887647</v>
      </c>
      <c r="O42">
        <f t="shared" si="4"/>
        <v>0.60596054057396664</v>
      </c>
      <c r="P42">
        <f t="shared" si="5"/>
        <v>14.694935210358199</v>
      </c>
      <c r="Q42">
        <f t="shared" si="6"/>
        <v>2.7199308323433809E-2</v>
      </c>
      <c r="R42">
        <f t="shared" si="7"/>
        <v>1.3347095450408443E-2</v>
      </c>
      <c r="S42">
        <f t="shared" si="8"/>
        <v>0</v>
      </c>
    </row>
    <row r="43" spans="1:19" x14ac:dyDescent="0.3">
      <c r="A43" t="s">
        <v>26</v>
      </c>
      <c r="B43">
        <v>2007</v>
      </c>
      <c r="C43">
        <v>5.1690619736489999E-3</v>
      </c>
      <c r="D43">
        <v>0.15837754025847278</v>
      </c>
      <c r="E43">
        <v>-0.19325247532545217</v>
      </c>
      <c r="F43">
        <v>0.14992247390873173</v>
      </c>
      <c r="G43">
        <v>0.96256080091929419</v>
      </c>
      <c r="H43">
        <v>13.138661833040448</v>
      </c>
      <c r="I43">
        <v>2.1240670318872626E-2</v>
      </c>
      <c r="J43">
        <v>0</v>
      </c>
      <c r="K43">
        <f t="shared" si="0"/>
        <v>5.1690619736489999E-3</v>
      </c>
      <c r="L43">
        <f t="shared" si="1"/>
        <v>0.15837754025847278</v>
      </c>
      <c r="M43">
        <f t="shared" si="2"/>
        <v>-0.19325247532545217</v>
      </c>
      <c r="N43">
        <f t="shared" si="3"/>
        <v>0.14992247390873173</v>
      </c>
      <c r="O43">
        <f t="shared" si="4"/>
        <v>0.96256080091929419</v>
      </c>
      <c r="P43">
        <f t="shared" si="5"/>
        <v>13.138661833040448</v>
      </c>
      <c r="Q43">
        <f t="shared" si="6"/>
        <v>2.1240670318872626E-2</v>
      </c>
      <c r="R43">
        <f t="shared" si="7"/>
        <v>0</v>
      </c>
      <c r="S43">
        <f t="shared" si="8"/>
        <v>0</v>
      </c>
    </row>
    <row r="44" spans="1:19" x14ac:dyDescent="0.3">
      <c r="A44" t="s">
        <v>26</v>
      </c>
      <c r="B44">
        <v>2008</v>
      </c>
      <c r="C44">
        <v>1.8157866628689429E-3</v>
      </c>
      <c r="D44">
        <v>9.6716155754144856E-2</v>
      </c>
      <c r="E44">
        <v>-0.26174386726955529</v>
      </c>
      <c r="F44">
        <v>0.11591127567913982</v>
      </c>
      <c r="G44">
        <v>1.0097186361424622</v>
      </c>
      <c r="H44">
        <v>12.951112315924217</v>
      </c>
      <c r="I44">
        <v>2.2306831152475899E-3</v>
      </c>
      <c r="J44">
        <v>0</v>
      </c>
      <c r="K44">
        <f t="shared" si="0"/>
        <v>1.8157866628689429E-3</v>
      </c>
      <c r="L44">
        <f t="shared" si="1"/>
        <v>9.6716155754144856E-2</v>
      </c>
      <c r="M44">
        <f t="shared" si="2"/>
        <v>-0.26174386726955529</v>
      </c>
      <c r="N44">
        <f t="shared" si="3"/>
        <v>0.11591127567913982</v>
      </c>
      <c r="O44">
        <f t="shared" si="4"/>
        <v>1.0097186361424622</v>
      </c>
      <c r="P44">
        <f t="shared" si="5"/>
        <v>12.951112315924217</v>
      </c>
      <c r="Q44">
        <f t="shared" si="6"/>
        <v>2.2306831152475899E-3</v>
      </c>
      <c r="R44">
        <f t="shared" si="7"/>
        <v>0</v>
      </c>
      <c r="S44">
        <f t="shared" si="8"/>
        <v>0</v>
      </c>
    </row>
    <row r="45" spans="1:19" x14ac:dyDescent="0.3">
      <c r="A45" t="s">
        <v>26</v>
      </c>
      <c r="B45">
        <v>2009</v>
      </c>
      <c r="C45">
        <v>1.998800719568259E-4</v>
      </c>
      <c r="D45">
        <v>9.336349409866275E-2</v>
      </c>
      <c r="E45">
        <v>-0.11962578550430718</v>
      </c>
      <c r="F45">
        <v>0.98677135182305253</v>
      </c>
      <c r="G45">
        <v>0.92907194707565699</v>
      </c>
      <c r="H45">
        <v>12.924512258752458</v>
      </c>
      <c r="I45">
        <v>7.6218711998764172E-3</v>
      </c>
      <c r="J45">
        <v>0</v>
      </c>
      <c r="K45">
        <f t="shared" si="0"/>
        <v>1.998800719568259E-4</v>
      </c>
      <c r="L45">
        <f t="shared" si="1"/>
        <v>9.336349409866275E-2</v>
      </c>
      <c r="M45">
        <f t="shared" si="2"/>
        <v>-0.11962578550430718</v>
      </c>
      <c r="N45">
        <f t="shared" si="3"/>
        <v>0.98677135182305253</v>
      </c>
      <c r="O45">
        <f t="shared" si="4"/>
        <v>0.92907194707565699</v>
      </c>
      <c r="P45">
        <f t="shared" si="5"/>
        <v>12.924512258752458</v>
      </c>
      <c r="Q45">
        <f t="shared" si="6"/>
        <v>7.6218711998764172E-3</v>
      </c>
      <c r="R45">
        <f t="shared" si="7"/>
        <v>0</v>
      </c>
      <c r="S45">
        <f t="shared" si="8"/>
        <v>0</v>
      </c>
    </row>
    <row r="46" spans="1:19" x14ac:dyDescent="0.3">
      <c r="A46" t="s">
        <v>26</v>
      </c>
      <c r="B46">
        <v>2010</v>
      </c>
      <c r="C46">
        <v>6.7128110269109136E-5</v>
      </c>
      <c r="D46">
        <v>6.9765996380054499E-2</v>
      </c>
      <c r="E46">
        <v>-1.805994788869662E-2</v>
      </c>
      <c r="F46">
        <v>1.0241810370547169</v>
      </c>
      <c r="G46">
        <v>0.89205225550450506</v>
      </c>
      <c r="H46">
        <v>12.904744536732819</v>
      </c>
      <c r="I46">
        <v>8.5436663690228645E-3</v>
      </c>
      <c r="J46">
        <v>0</v>
      </c>
      <c r="K46">
        <f t="shared" si="0"/>
        <v>6.7128110269109136E-5</v>
      </c>
      <c r="L46">
        <f t="shared" si="1"/>
        <v>6.9765996380054499E-2</v>
      </c>
      <c r="M46">
        <f t="shared" si="2"/>
        <v>-1.805994788869662E-2</v>
      </c>
      <c r="N46">
        <f t="shared" si="3"/>
        <v>1.0241810370547169</v>
      </c>
      <c r="O46">
        <f t="shared" si="4"/>
        <v>0.89205225550450506</v>
      </c>
      <c r="P46">
        <f t="shared" si="5"/>
        <v>12.904744536732819</v>
      </c>
      <c r="Q46">
        <f t="shared" si="6"/>
        <v>8.5436663690228645E-3</v>
      </c>
      <c r="R46">
        <f t="shared" si="7"/>
        <v>0</v>
      </c>
      <c r="S46">
        <f t="shared" si="8"/>
        <v>0</v>
      </c>
    </row>
    <row r="47" spans="1:19" x14ac:dyDescent="0.3">
      <c r="A47" t="s">
        <v>27</v>
      </c>
      <c r="B47">
        <v>2007</v>
      </c>
      <c r="C47">
        <v>3.6552399355640315E-2</v>
      </c>
      <c r="D47">
        <v>4.818974163902779E-2</v>
      </c>
      <c r="E47">
        <v>-0.44835037104102404</v>
      </c>
      <c r="F47">
        <v>0.18900941210928326</v>
      </c>
      <c r="G47">
        <v>0.89534036578188481</v>
      </c>
      <c r="H47">
        <v>13.897762208740989</v>
      </c>
      <c r="I47">
        <v>3.9313685665519696E-3</v>
      </c>
      <c r="J47">
        <v>0</v>
      </c>
      <c r="K47">
        <f t="shared" si="0"/>
        <v>3.6552399355640315E-2</v>
      </c>
      <c r="L47">
        <f t="shared" si="1"/>
        <v>4.818974163902779E-2</v>
      </c>
      <c r="M47">
        <f t="shared" si="2"/>
        <v>-0.44835037104102404</v>
      </c>
      <c r="N47">
        <f t="shared" si="3"/>
        <v>0.18900941210928326</v>
      </c>
      <c r="O47">
        <f t="shared" si="4"/>
        <v>0.89534036578188481</v>
      </c>
      <c r="P47">
        <f t="shared" si="5"/>
        <v>13.897762208740989</v>
      </c>
      <c r="Q47">
        <f t="shared" si="6"/>
        <v>3.9313685665519696E-3</v>
      </c>
      <c r="R47">
        <f t="shared" si="7"/>
        <v>0</v>
      </c>
      <c r="S47">
        <f t="shared" si="8"/>
        <v>0</v>
      </c>
    </row>
    <row r="48" spans="1:19" x14ac:dyDescent="0.3">
      <c r="A48" t="s">
        <v>27</v>
      </c>
      <c r="B48">
        <v>2008</v>
      </c>
      <c r="C48">
        <v>2.968842136889463E-2</v>
      </c>
      <c r="D48">
        <v>6.0770308643201071E-2</v>
      </c>
      <c r="E48">
        <v>-0.36408311411138922</v>
      </c>
      <c r="F48">
        <v>0.19471052774715242</v>
      </c>
      <c r="G48">
        <v>0.86311640793153199</v>
      </c>
      <c r="H48">
        <v>13.96243202704496</v>
      </c>
      <c r="I48">
        <v>6.6954132115599474E-3</v>
      </c>
      <c r="J48">
        <v>0</v>
      </c>
      <c r="K48">
        <f t="shared" si="0"/>
        <v>2.968842136889463E-2</v>
      </c>
      <c r="L48">
        <f t="shared" si="1"/>
        <v>6.0770308643201071E-2</v>
      </c>
      <c r="M48">
        <f t="shared" si="2"/>
        <v>-0.36408311411138922</v>
      </c>
      <c r="N48">
        <f t="shared" si="3"/>
        <v>0.19471052774715242</v>
      </c>
      <c r="O48">
        <f t="shared" si="4"/>
        <v>0.86311640793153199</v>
      </c>
      <c r="P48">
        <f t="shared" si="5"/>
        <v>13.96243202704496</v>
      </c>
      <c r="Q48">
        <f t="shared" si="6"/>
        <v>6.6954132115599474E-3</v>
      </c>
      <c r="R48">
        <f t="shared" si="7"/>
        <v>0</v>
      </c>
      <c r="S48">
        <f t="shared" si="8"/>
        <v>0</v>
      </c>
    </row>
    <row r="49" spans="1:19" x14ac:dyDescent="0.3">
      <c r="A49" t="s">
        <v>27</v>
      </c>
      <c r="B49">
        <v>2009</v>
      </c>
      <c r="C49">
        <v>2.8635292642856448E-2</v>
      </c>
      <c r="D49">
        <v>8.4757358776725578E-2</v>
      </c>
      <c r="E49">
        <v>-9.9423268591929639E-2</v>
      </c>
      <c r="F49">
        <v>0.61607767909086009</v>
      </c>
      <c r="G49">
        <v>0.88623657375814713</v>
      </c>
      <c r="H49">
        <v>13.940170338958785</v>
      </c>
      <c r="I49">
        <v>7.5685982791275017E-3</v>
      </c>
      <c r="J49">
        <v>0</v>
      </c>
      <c r="K49">
        <f t="shared" si="0"/>
        <v>2.8635292642856448E-2</v>
      </c>
      <c r="L49">
        <f t="shared" si="1"/>
        <v>8.4757358776725578E-2</v>
      </c>
      <c r="M49">
        <f t="shared" si="2"/>
        <v>-9.9423268591929639E-2</v>
      </c>
      <c r="N49">
        <f t="shared" si="3"/>
        <v>0.61607767909086009</v>
      </c>
      <c r="O49">
        <f t="shared" si="4"/>
        <v>0.88623657375814713</v>
      </c>
      <c r="P49">
        <f t="shared" si="5"/>
        <v>13.940170338958785</v>
      </c>
      <c r="Q49">
        <f t="shared" si="6"/>
        <v>7.5685982791275017E-3</v>
      </c>
      <c r="R49">
        <f t="shared" si="7"/>
        <v>0</v>
      </c>
      <c r="S49">
        <f t="shared" si="8"/>
        <v>0</v>
      </c>
    </row>
    <row r="50" spans="1:19" x14ac:dyDescent="0.3">
      <c r="A50" t="s">
        <v>27</v>
      </c>
      <c r="B50">
        <v>2010</v>
      </c>
      <c r="C50">
        <v>2.8118415865365787E-2</v>
      </c>
      <c r="D50">
        <v>0.10520517044668336</v>
      </c>
      <c r="E50">
        <v>-5.2045612578530964E-2</v>
      </c>
      <c r="F50">
        <v>0.53519675493812813</v>
      </c>
      <c r="G50">
        <v>0.8429295629766359</v>
      </c>
      <c r="H50">
        <v>13.954462607247152</v>
      </c>
      <c r="I50">
        <v>1.069097603655288E-2</v>
      </c>
      <c r="J50">
        <v>1.7405395150334749E-2</v>
      </c>
      <c r="K50">
        <f t="shared" si="0"/>
        <v>2.8118415865365787E-2</v>
      </c>
      <c r="L50">
        <f t="shared" si="1"/>
        <v>0.10520517044668336</v>
      </c>
      <c r="M50">
        <f t="shared" si="2"/>
        <v>-5.2045612578530964E-2</v>
      </c>
      <c r="N50">
        <f t="shared" si="3"/>
        <v>0.53519675493812813</v>
      </c>
      <c r="O50">
        <f t="shared" si="4"/>
        <v>0.8429295629766359</v>
      </c>
      <c r="P50">
        <f t="shared" si="5"/>
        <v>13.954462607247152</v>
      </c>
      <c r="Q50">
        <f t="shared" si="6"/>
        <v>1.069097603655288E-2</v>
      </c>
      <c r="R50">
        <f t="shared" si="7"/>
        <v>1.7405395150334749E-2</v>
      </c>
      <c r="S50">
        <f t="shared" si="8"/>
        <v>0</v>
      </c>
    </row>
    <row r="51" spans="1:19" x14ac:dyDescent="0.3">
      <c r="A51" t="s">
        <v>28</v>
      </c>
      <c r="B51">
        <v>2007</v>
      </c>
      <c r="C51">
        <v>4.3547766387427552E-3</v>
      </c>
      <c r="D51">
        <v>2.8514186011774256E-2</v>
      </c>
      <c r="E51">
        <v>-7.8965842164425509E-2</v>
      </c>
      <c r="F51">
        <v>0.36532876437859851</v>
      </c>
      <c r="G51">
        <v>0.82470804301822787</v>
      </c>
      <c r="H51">
        <v>16.522417305572642</v>
      </c>
      <c r="I51">
        <v>2.2163038908926763E-2</v>
      </c>
      <c r="J51">
        <v>4.9389775969311059E-3</v>
      </c>
      <c r="K51">
        <f t="shared" si="0"/>
        <v>4.3547766387427552E-3</v>
      </c>
      <c r="L51">
        <f t="shared" si="1"/>
        <v>2.8514186011774256E-2</v>
      </c>
      <c r="M51">
        <f t="shared" si="2"/>
        <v>-7.8965842164425509E-2</v>
      </c>
      <c r="N51">
        <f t="shared" si="3"/>
        <v>0.36532876437859851</v>
      </c>
      <c r="O51">
        <f t="shared" si="4"/>
        <v>0.82470804301822787</v>
      </c>
      <c r="P51">
        <f t="shared" si="5"/>
        <v>16.522417305572642</v>
      </c>
      <c r="Q51">
        <f t="shared" si="6"/>
        <v>2.2163038908926763E-2</v>
      </c>
      <c r="R51">
        <f t="shared" si="7"/>
        <v>4.9389775969311059E-3</v>
      </c>
      <c r="S51">
        <f t="shared" si="8"/>
        <v>0</v>
      </c>
    </row>
    <row r="52" spans="1:19" x14ac:dyDescent="0.3">
      <c r="A52" t="s">
        <v>28</v>
      </c>
      <c r="B52">
        <v>2008</v>
      </c>
      <c r="C52">
        <v>3.6751778385634326E-3</v>
      </c>
      <c r="D52">
        <v>1.767134400758686E-2</v>
      </c>
      <c r="E52">
        <v>-9.6164861240209509E-2</v>
      </c>
      <c r="F52">
        <v>0.49144166399635342</v>
      </c>
      <c r="G52">
        <v>0.78654790603338109</v>
      </c>
      <c r="H52">
        <v>16.605884125597836</v>
      </c>
      <c r="I52">
        <v>2.2242111196458993E-4</v>
      </c>
      <c r="J52">
        <v>0</v>
      </c>
      <c r="K52">
        <f t="shared" si="0"/>
        <v>3.6751778385634326E-3</v>
      </c>
      <c r="L52">
        <f t="shared" si="1"/>
        <v>1.767134400758686E-2</v>
      </c>
      <c r="M52">
        <f t="shared" si="2"/>
        <v>-9.6164861240209509E-2</v>
      </c>
      <c r="N52">
        <f t="shared" si="3"/>
        <v>0.49144166399635342</v>
      </c>
      <c r="O52">
        <f t="shared" si="4"/>
        <v>0.78654790603338109</v>
      </c>
      <c r="P52">
        <f t="shared" si="5"/>
        <v>16.605884125597836</v>
      </c>
      <c r="Q52">
        <f t="shared" si="6"/>
        <v>2.2242111196458993E-4</v>
      </c>
      <c r="R52">
        <f t="shared" si="7"/>
        <v>0</v>
      </c>
      <c r="S52">
        <f t="shared" si="8"/>
        <v>0</v>
      </c>
    </row>
    <row r="53" spans="1:19" x14ac:dyDescent="0.3">
      <c r="A53" t="s">
        <v>28</v>
      </c>
      <c r="B53">
        <v>2009</v>
      </c>
      <c r="C53">
        <v>3.7395100021208579E-3</v>
      </c>
      <c r="D53">
        <v>1.753730552579422E-2</v>
      </c>
      <c r="E53">
        <v>-4.9986609612261944E-2</v>
      </c>
      <c r="F53">
        <v>0.62156627456864622</v>
      </c>
      <c r="G53">
        <v>0.81040615817350503</v>
      </c>
      <c r="H53">
        <v>16.64526244750493</v>
      </c>
      <c r="I53">
        <v>3.5709661051896872E-2</v>
      </c>
      <c r="J53">
        <v>0</v>
      </c>
      <c r="K53">
        <f t="shared" si="0"/>
        <v>3.7395100021208579E-3</v>
      </c>
      <c r="L53">
        <f t="shared" si="1"/>
        <v>1.753730552579422E-2</v>
      </c>
      <c r="M53">
        <f t="shared" si="2"/>
        <v>-4.9986609612261944E-2</v>
      </c>
      <c r="N53">
        <f t="shared" si="3"/>
        <v>0.62156627456864622</v>
      </c>
      <c r="O53">
        <f t="shared" si="4"/>
        <v>0.81040615817350503</v>
      </c>
      <c r="P53">
        <f t="shared" si="5"/>
        <v>16.64526244750493</v>
      </c>
      <c r="Q53">
        <f t="shared" si="6"/>
        <v>3.5709661051896872E-2</v>
      </c>
      <c r="R53">
        <f t="shared" si="7"/>
        <v>0</v>
      </c>
      <c r="S53">
        <f t="shared" si="8"/>
        <v>0</v>
      </c>
    </row>
    <row r="54" spans="1:19" x14ac:dyDescent="0.3">
      <c r="A54" t="s">
        <v>28</v>
      </c>
      <c r="B54">
        <v>2010</v>
      </c>
      <c r="C54">
        <v>8.9857186908829203E-4</v>
      </c>
      <c r="D54">
        <v>0.114608508949456</v>
      </c>
      <c r="E54">
        <v>-0.18694519505973234</v>
      </c>
      <c r="F54">
        <v>0.55281988049509967</v>
      </c>
      <c r="G54">
        <v>0.72107741139911152</v>
      </c>
      <c r="H54">
        <v>16.780078117490373</v>
      </c>
      <c r="I54">
        <v>1.3476116481526927E-2</v>
      </c>
      <c r="J54">
        <v>0</v>
      </c>
      <c r="K54">
        <f t="shared" si="0"/>
        <v>8.9857186908829203E-4</v>
      </c>
      <c r="L54">
        <f t="shared" si="1"/>
        <v>0.114608508949456</v>
      </c>
      <c r="M54">
        <f t="shared" si="2"/>
        <v>-0.18694519505973234</v>
      </c>
      <c r="N54">
        <f t="shared" si="3"/>
        <v>0.55281988049509967</v>
      </c>
      <c r="O54">
        <f t="shared" si="4"/>
        <v>0.72107741139911152</v>
      </c>
      <c r="P54">
        <f t="shared" si="5"/>
        <v>16.780078117490373</v>
      </c>
      <c r="Q54">
        <f t="shared" si="6"/>
        <v>1.3476116481526927E-2</v>
      </c>
      <c r="R54">
        <f t="shared" si="7"/>
        <v>0</v>
      </c>
      <c r="S54">
        <f t="shared" si="8"/>
        <v>0</v>
      </c>
    </row>
    <row r="55" spans="1:19" x14ac:dyDescent="0.3">
      <c r="A55" t="s">
        <v>29</v>
      </c>
      <c r="B55">
        <v>2007</v>
      </c>
      <c r="C55">
        <v>1.0297567445526734E-3</v>
      </c>
      <c r="D55">
        <v>1.8403460108529595E-2</v>
      </c>
      <c r="E55">
        <v>-0.19471842564432565</v>
      </c>
      <c r="F55">
        <v>0.11868713488476007</v>
      </c>
      <c r="G55">
        <v>0.57061031770630932</v>
      </c>
      <c r="H55">
        <v>14.055451440880308</v>
      </c>
      <c r="I55">
        <v>5.0460734917895456E-3</v>
      </c>
      <c r="J55">
        <v>0</v>
      </c>
      <c r="K55">
        <f t="shared" si="0"/>
        <v>1.0297567445526734E-3</v>
      </c>
      <c r="L55">
        <f t="shared" si="1"/>
        <v>1.8403460108529595E-2</v>
      </c>
      <c r="M55">
        <f t="shared" si="2"/>
        <v>-0.19471842564432565</v>
      </c>
      <c r="N55">
        <f t="shared" si="3"/>
        <v>0.11868713488476007</v>
      </c>
      <c r="O55">
        <f t="shared" si="4"/>
        <v>0.57061031770630932</v>
      </c>
      <c r="P55">
        <f t="shared" si="5"/>
        <v>14.055451440880308</v>
      </c>
      <c r="Q55">
        <f t="shared" si="6"/>
        <v>5.0460734917895456E-3</v>
      </c>
      <c r="R55">
        <f t="shared" si="7"/>
        <v>0</v>
      </c>
      <c r="S55">
        <f t="shared" si="8"/>
        <v>0</v>
      </c>
    </row>
    <row r="56" spans="1:19" x14ac:dyDescent="0.3">
      <c r="A56" t="s">
        <v>29</v>
      </c>
      <c r="B56">
        <v>2009</v>
      </c>
      <c r="C56">
        <v>5.199900937480445E-4</v>
      </c>
      <c r="D56">
        <v>8.7638601596810251E-2</v>
      </c>
      <c r="E56">
        <v>-0.23851240528909246</v>
      </c>
      <c r="F56">
        <v>0.27355004287714924</v>
      </c>
      <c r="G56">
        <v>0.57581358619540879</v>
      </c>
      <c r="H56">
        <v>13.941823333954559</v>
      </c>
      <c r="I56">
        <v>1.6321638964994088E-2</v>
      </c>
      <c r="J56">
        <v>0</v>
      </c>
      <c r="K56">
        <f t="shared" si="0"/>
        <v>5.199900937480445E-4</v>
      </c>
      <c r="L56">
        <f t="shared" si="1"/>
        <v>8.7638601596810251E-2</v>
      </c>
      <c r="M56">
        <f t="shared" si="2"/>
        <v>-0.23851240528909246</v>
      </c>
      <c r="N56">
        <f t="shared" si="3"/>
        <v>0.27355004287714924</v>
      </c>
      <c r="O56">
        <f t="shared" si="4"/>
        <v>0.57581358619540879</v>
      </c>
      <c r="P56">
        <f t="shared" si="5"/>
        <v>13.941823333954559</v>
      </c>
      <c r="Q56">
        <f t="shared" si="6"/>
        <v>1.6321638964994088E-2</v>
      </c>
      <c r="R56">
        <f t="shared" si="7"/>
        <v>0</v>
      </c>
      <c r="S56">
        <f t="shared" si="8"/>
        <v>0</v>
      </c>
    </row>
    <row r="57" spans="1:19" x14ac:dyDescent="0.3">
      <c r="A57" t="s">
        <v>29</v>
      </c>
      <c r="B57">
        <v>2010</v>
      </c>
      <c r="C57">
        <v>5.7923506329941952E-3</v>
      </c>
      <c r="D57">
        <v>3.7903181969362362E-2</v>
      </c>
      <c r="E57">
        <v>-0.27173283139717541</v>
      </c>
      <c r="F57">
        <v>0.26249473694878461</v>
      </c>
      <c r="G57">
        <v>0.53601393775733674</v>
      </c>
      <c r="H57">
        <v>13.897456376649634</v>
      </c>
      <c r="I57">
        <v>2.008991696836563E-2</v>
      </c>
      <c r="J57">
        <v>0</v>
      </c>
      <c r="K57">
        <f t="shared" si="0"/>
        <v>5.7923506329941952E-3</v>
      </c>
      <c r="L57">
        <f t="shared" si="1"/>
        <v>3.7903181969362362E-2</v>
      </c>
      <c r="M57">
        <f t="shared" si="2"/>
        <v>-0.27173283139717541</v>
      </c>
      <c r="N57">
        <f t="shared" si="3"/>
        <v>0.26249473694878461</v>
      </c>
      <c r="O57">
        <f t="shared" si="4"/>
        <v>0.53601393775733674</v>
      </c>
      <c r="P57">
        <f t="shared" si="5"/>
        <v>13.897456376649634</v>
      </c>
      <c r="Q57">
        <f t="shared" si="6"/>
        <v>2.008991696836563E-2</v>
      </c>
      <c r="R57">
        <f t="shared" si="7"/>
        <v>0</v>
      </c>
      <c r="S57">
        <f t="shared" si="8"/>
        <v>0</v>
      </c>
    </row>
    <row r="58" spans="1:19" x14ac:dyDescent="0.3">
      <c r="A58" t="s">
        <v>30</v>
      </c>
      <c r="B58">
        <v>2007</v>
      </c>
      <c r="C58">
        <v>1.929846153846154E-3</v>
      </c>
      <c r="D58">
        <v>0.2367483076923077</v>
      </c>
      <c r="E58">
        <v>-0.38264123076923079</v>
      </c>
      <c r="F58">
        <v>5.7161846153846153E-2</v>
      </c>
      <c r="G58">
        <v>0.89365710769230777</v>
      </c>
      <c r="H58">
        <v>12.914724012626085</v>
      </c>
      <c r="I58">
        <v>0.12076369286788063</v>
      </c>
      <c r="J58">
        <v>0</v>
      </c>
      <c r="K58">
        <f t="shared" si="0"/>
        <v>1.929846153846154E-3</v>
      </c>
      <c r="L58">
        <f t="shared" si="1"/>
        <v>0.2367483076923077</v>
      </c>
      <c r="M58">
        <f t="shared" si="2"/>
        <v>-0.38264123076923079</v>
      </c>
      <c r="N58">
        <f t="shared" si="3"/>
        <v>5.7161846153846153E-2</v>
      </c>
      <c r="O58">
        <f t="shared" si="4"/>
        <v>0.89365710769230777</v>
      </c>
      <c r="P58">
        <f t="shared" si="5"/>
        <v>12.914724012626085</v>
      </c>
      <c r="Q58">
        <f t="shared" si="6"/>
        <v>0.12076369286788063</v>
      </c>
      <c r="R58">
        <f t="shared" si="7"/>
        <v>0</v>
      </c>
      <c r="S58">
        <f t="shared" si="8"/>
        <v>0</v>
      </c>
    </row>
    <row r="59" spans="1:19" x14ac:dyDescent="0.3">
      <c r="A59" t="s">
        <v>30</v>
      </c>
      <c r="B59">
        <v>2008</v>
      </c>
      <c r="C59">
        <v>3.971251471862434E-3</v>
      </c>
      <c r="D59">
        <v>1.0568916487080935</v>
      </c>
      <c r="E59">
        <v>-0.26820110639621425</v>
      </c>
      <c r="F59">
        <v>0</v>
      </c>
      <c r="G59">
        <v>0.89859151096398659</v>
      </c>
      <c r="H59">
        <v>12.100956544445117</v>
      </c>
      <c r="I59">
        <v>0.17013598175828948</v>
      </c>
      <c r="J59">
        <v>0</v>
      </c>
      <c r="K59">
        <f t="shared" si="0"/>
        <v>3.971251471862434E-3</v>
      </c>
      <c r="L59">
        <f t="shared" si="1"/>
        <v>1.0568916487080935</v>
      </c>
      <c r="M59">
        <f t="shared" si="2"/>
        <v>-0.26820110639621425</v>
      </c>
      <c r="N59">
        <f t="shared" si="3"/>
        <v>0</v>
      </c>
      <c r="O59">
        <f t="shared" si="4"/>
        <v>0.89859151096398659</v>
      </c>
      <c r="P59">
        <f t="shared" si="5"/>
        <v>12.100956544445117</v>
      </c>
      <c r="Q59">
        <f t="shared" si="6"/>
        <v>0.17013598175828948</v>
      </c>
      <c r="R59">
        <f t="shared" si="7"/>
        <v>0</v>
      </c>
      <c r="S59">
        <f t="shared" si="8"/>
        <v>0</v>
      </c>
    </row>
    <row r="60" spans="1:19" x14ac:dyDescent="0.3">
      <c r="A60" t="s">
        <v>30</v>
      </c>
      <c r="B60">
        <v>2009</v>
      </c>
      <c r="C60">
        <v>5.4524936377978147E-3</v>
      </c>
      <c r="D60">
        <v>6.6322359254269297E-2</v>
      </c>
      <c r="E60">
        <v>-0.58563927177254982</v>
      </c>
      <c r="F60">
        <v>0.22582651051922478</v>
      </c>
      <c r="G60">
        <v>0.92050477309105139</v>
      </c>
      <c r="H60">
        <v>12.064981319916548</v>
      </c>
      <c r="I60">
        <v>1.4072434204552529E-3</v>
      </c>
      <c r="J60">
        <v>0</v>
      </c>
      <c r="K60">
        <f t="shared" si="0"/>
        <v>5.4524936377978147E-3</v>
      </c>
      <c r="L60">
        <f t="shared" si="1"/>
        <v>6.6322359254269297E-2</v>
      </c>
      <c r="M60">
        <f t="shared" si="2"/>
        <v>-0.58563927177254982</v>
      </c>
      <c r="N60">
        <f t="shared" si="3"/>
        <v>0.22582651051922478</v>
      </c>
      <c r="O60">
        <f t="shared" si="4"/>
        <v>0.92050477309105139</v>
      </c>
      <c r="P60">
        <f t="shared" si="5"/>
        <v>12.064981319916548</v>
      </c>
      <c r="Q60">
        <f t="shared" si="6"/>
        <v>1.4072434204552529E-3</v>
      </c>
      <c r="R60">
        <f t="shared" si="7"/>
        <v>0</v>
      </c>
      <c r="S60">
        <f t="shared" si="8"/>
        <v>0</v>
      </c>
    </row>
    <row r="61" spans="1:19" x14ac:dyDescent="0.3">
      <c r="A61" t="s">
        <v>30</v>
      </c>
      <c r="B61">
        <v>2010</v>
      </c>
      <c r="C61">
        <v>6.3841686896092152E-3</v>
      </c>
      <c r="D61">
        <v>6.1866342995858921E-2</v>
      </c>
      <c r="E61">
        <v>-0.61277904707506303</v>
      </c>
      <c r="F61">
        <v>0.23336427245466229</v>
      </c>
      <c r="G61">
        <v>0.94238183635584749</v>
      </c>
      <c r="H61">
        <v>12.032147738003463</v>
      </c>
      <c r="I61">
        <v>4.4890175075957411E-4</v>
      </c>
      <c r="J61">
        <v>0</v>
      </c>
      <c r="K61">
        <f t="shared" si="0"/>
        <v>6.3841686896092152E-3</v>
      </c>
      <c r="L61">
        <f t="shared" si="1"/>
        <v>6.1866342995858921E-2</v>
      </c>
      <c r="M61">
        <f t="shared" si="2"/>
        <v>-0.61277904707506303</v>
      </c>
      <c r="N61">
        <f t="shared" si="3"/>
        <v>0.23336427245466229</v>
      </c>
      <c r="O61">
        <f t="shared" si="4"/>
        <v>0.94238183635584749</v>
      </c>
      <c r="P61">
        <f t="shared" si="5"/>
        <v>12.032147738003463</v>
      </c>
      <c r="Q61">
        <f t="shared" si="6"/>
        <v>4.4890175075957411E-4</v>
      </c>
      <c r="R61">
        <f t="shared" si="7"/>
        <v>0</v>
      </c>
      <c r="S61">
        <f t="shared" si="8"/>
        <v>0</v>
      </c>
    </row>
    <row r="62" spans="1:19" x14ac:dyDescent="0.3">
      <c r="A62" t="s">
        <v>31</v>
      </c>
      <c r="B62">
        <v>2007</v>
      </c>
      <c r="C62">
        <v>4.9705743040315614E-3</v>
      </c>
      <c r="D62">
        <v>1.1592907352281967E-2</v>
      </c>
      <c r="E62">
        <v>0.78164990565708248</v>
      </c>
      <c r="F62">
        <v>7.2961409316063638E-2</v>
      </c>
      <c r="G62">
        <v>0.65553295161277758</v>
      </c>
      <c r="H62">
        <v>15.751222885543141</v>
      </c>
      <c r="I62">
        <v>6.2922872263648346E-3</v>
      </c>
      <c r="J62">
        <v>0</v>
      </c>
      <c r="K62">
        <f t="shared" si="0"/>
        <v>4.9705743040315614E-3</v>
      </c>
      <c r="L62">
        <f t="shared" si="1"/>
        <v>1.1592907352281967E-2</v>
      </c>
      <c r="M62">
        <f t="shared" si="2"/>
        <v>0.78164990565708248</v>
      </c>
      <c r="N62">
        <f t="shared" si="3"/>
        <v>7.2961409316063638E-2</v>
      </c>
      <c r="O62">
        <f t="shared" si="4"/>
        <v>0.65553295161277758</v>
      </c>
      <c r="P62">
        <f t="shared" si="5"/>
        <v>15.751222885543141</v>
      </c>
      <c r="Q62">
        <f t="shared" si="6"/>
        <v>6.2922872263648346E-3</v>
      </c>
      <c r="R62">
        <f t="shared" si="7"/>
        <v>0</v>
      </c>
      <c r="S62">
        <f t="shared" si="8"/>
        <v>0</v>
      </c>
    </row>
    <row r="63" spans="1:19" x14ac:dyDescent="0.3">
      <c r="A63" t="s">
        <v>31</v>
      </c>
      <c r="B63">
        <v>2009</v>
      </c>
      <c r="C63">
        <v>5.0829186502665824E-3</v>
      </c>
      <c r="D63">
        <v>4.6572569695179152E-2</v>
      </c>
      <c r="E63">
        <v>0.23453235859302141</v>
      </c>
      <c r="F63">
        <v>0</v>
      </c>
      <c r="G63">
        <v>0.68159885813961207</v>
      </c>
      <c r="H63">
        <v>15.369843077080608</v>
      </c>
      <c r="I63">
        <v>2.0585747669175199E-2</v>
      </c>
      <c r="J63">
        <v>0</v>
      </c>
      <c r="K63">
        <f t="shared" si="0"/>
        <v>5.0829186502665824E-3</v>
      </c>
      <c r="L63">
        <f t="shared" si="1"/>
        <v>4.6572569695179152E-2</v>
      </c>
      <c r="M63">
        <f t="shared" si="2"/>
        <v>0.23453235859302141</v>
      </c>
      <c r="N63">
        <f t="shared" si="3"/>
        <v>0</v>
      </c>
      <c r="O63">
        <f t="shared" si="4"/>
        <v>0.68159885813961207</v>
      </c>
      <c r="P63">
        <f t="shared" si="5"/>
        <v>15.369843077080608</v>
      </c>
      <c r="Q63">
        <f t="shared" si="6"/>
        <v>2.0585747669175199E-2</v>
      </c>
      <c r="R63">
        <f t="shared" si="7"/>
        <v>0</v>
      </c>
      <c r="S63">
        <f t="shared" si="8"/>
        <v>0</v>
      </c>
    </row>
    <row r="64" spans="1:19" x14ac:dyDescent="0.3">
      <c r="A64" t="s">
        <v>31</v>
      </c>
      <c r="B64">
        <v>2010</v>
      </c>
      <c r="C64">
        <v>5.1032354662314235E-3</v>
      </c>
      <c r="D64">
        <v>0.13248925145520676</v>
      </c>
      <c r="E64">
        <v>0.25451220442220368</v>
      </c>
      <c r="F64">
        <v>0</v>
      </c>
      <c r="G64">
        <v>0.46371484807177676</v>
      </c>
      <c r="H64">
        <v>15.467786862621693</v>
      </c>
      <c r="I64">
        <v>2.3480923248814026E-3</v>
      </c>
      <c r="J64">
        <v>4.9200532071649559E-3</v>
      </c>
      <c r="K64">
        <f t="shared" si="0"/>
        <v>5.1032354662314235E-3</v>
      </c>
      <c r="L64">
        <f t="shared" si="1"/>
        <v>0.13248925145520676</v>
      </c>
      <c r="M64">
        <f t="shared" si="2"/>
        <v>0.25451220442220368</v>
      </c>
      <c r="N64">
        <f t="shared" si="3"/>
        <v>0</v>
      </c>
      <c r="O64">
        <f t="shared" si="4"/>
        <v>0.46371484807177676</v>
      </c>
      <c r="P64">
        <f t="shared" si="5"/>
        <v>15.467786862621693</v>
      </c>
      <c r="Q64">
        <f t="shared" si="6"/>
        <v>2.3480923248814026E-3</v>
      </c>
      <c r="R64">
        <f t="shared" si="7"/>
        <v>4.9200532071649559E-3</v>
      </c>
      <c r="S64">
        <f t="shared" si="8"/>
        <v>0</v>
      </c>
    </row>
    <row r="65" spans="1:19" x14ac:dyDescent="0.3">
      <c r="A65" t="s">
        <v>32</v>
      </c>
      <c r="B65">
        <v>2007</v>
      </c>
      <c r="C65">
        <v>9.6391387676393288E-4</v>
      </c>
      <c r="D65">
        <v>7.8561664458144623E-2</v>
      </c>
      <c r="E65">
        <v>-0.19301033631255712</v>
      </c>
      <c r="F65">
        <v>0.10678137027120006</v>
      </c>
      <c r="G65">
        <v>0.92398444212947684</v>
      </c>
      <c r="H65">
        <v>14.437825855663382</v>
      </c>
      <c r="I65">
        <v>3.4027372357205016E-3</v>
      </c>
      <c r="J65">
        <v>0</v>
      </c>
      <c r="K65">
        <f t="shared" si="0"/>
        <v>9.6391387676393288E-4</v>
      </c>
      <c r="L65">
        <f t="shared" si="1"/>
        <v>7.8561664458144623E-2</v>
      </c>
      <c r="M65">
        <f t="shared" si="2"/>
        <v>-0.19301033631255712</v>
      </c>
      <c r="N65">
        <f t="shared" si="3"/>
        <v>0.10678137027120006</v>
      </c>
      <c r="O65">
        <f t="shared" si="4"/>
        <v>0.92398444212947684</v>
      </c>
      <c r="P65">
        <f t="shared" si="5"/>
        <v>14.437825855663382</v>
      </c>
      <c r="Q65">
        <f t="shared" si="6"/>
        <v>3.4027372357205016E-3</v>
      </c>
      <c r="R65">
        <f t="shared" si="7"/>
        <v>0</v>
      </c>
      <c r="S65">
        <f t="shared" si="8"/>
        <v>0</v>
      </c>
    </row>
    <row r="66" spans="1:19" x14ac:dyDescent="0.3">
      <c r="A66" t="s">
        <v>32</v>
      </c>
      <c r="B66">
        <v>2008</v>
      </c>
      <c r="C66">
        <v>1.1020384700662154E-3</v>
      </c>
      <c r="D66">
        <v>9.0224814752972032E-2</v>
      </c>
      <c r="E66">
        <v>3.5301363450973525E-2</v>
      </c>
      <c r="F66">
        <v>0.29196081276021496</v>
      </c>
      <c r="G66">
        <v>0.69540729710420635</v>
      </c>
      <c r="H66">
        <v>14.417975085184537</v>
      </c>
      <c r="I66">
        <v>3.2311690458141848E-2</v>
      </c>
      <c r="J66">
        <v>0</v>
      </c>
      <c r="K66">
        <f t="shared" si="0"/>
        <v>1.1020384700662154E-3</v>
      </c>
      <c r="L66">
        <f t="shared" si="1"/>
        <v>9.0224814752972032E-2</v>
      </c>
      <c r="M66">
        <f t="shared" si="2"/>
        <v>3.5301363450973525E-2</v>
      </c>
      <c r="N66">
        <f t="shared" si="3"/>
        <v>0.29196081276021496</v>
      </c>
      <c r="O66">
        <f t="shared" si="4"/>
        <v>0.69540729710420635</v>
      </c>
      <c r="P66">
        <f t="shared" si="5"/>
        <v>14.417975085184537</v>
      </c>
      <c r="Q66">
        <f t="shared" si="6"/>
        <v>3.2311690458141848E-2</v>
      </c>
      <c r="R66">
        <f t="shared" si="7"/>
        <v>0</v>
      </c>
      <c r="S66">
        <f t="shared" si="8"/>
        <v>0</v>
      </c>
    </row>
    <row r="67" spans="1:19" x14ac:dyDescent="0.3">
      <c r="A67" t="s">
        <v>32</v>
      </c>
      <c r="B67">
        <v>2009</v>
      </c>
      <c r="C67">
        <v>3.6381214915127227E-3</v>
      </c>
      <c r="D67">
        <v>0.18825842984809657</v>
      </c>
      <c r="E67">
        <v>-0.14064726781257736</v>
      </c>
      <c r="F67">
        <v>0.59973917038563529</v>
      </c>
      <c r="G67">
        <v>0.89124951212930181</v>
      </c>
      <c r="H67">
        <v>14.39968403649652</v>
      </c>
      <c r="I67">
        <v>2.5148705421452543E-2</v>
      </c>
      <c r="J67">
        <v>0</v>
      </c>
      <c r="K67">
        <f t="shared" ref="K67:K130" si="9">IF(OR(C67&lt;$C$1007-3*$C$1008,C67&gt;$C$1007+3*$C$1008),"out",C67)</f>
        <v>3.6381214915127227E-3</v>
      </c>
      <c r="L67">
        <f t="shared" ref="L67:L130" si="10">IF(OR(D67&lt;$D$1007-3*$D$1008,D67&gt;$D$1007+3*$D$1008),"out",D67)</f>
        <v>0.18825842984809657</v>
      </c>
      <c r="M67">
        <f t="shared" ref="M67:M130" si="11">IF(OR(E67&lt;$E$1007-3*$E$1008,E67&gt;$E$1007+3*$E$1008),"out",E67)</f>
        <v>-0.14064726781257736</v>
      </c>
      <c r="N67">
        <f t="shared" ref="N67:N130" si="12">IF(OR(F67&lt;$F$1007-3*$F$1008,F67&gt;$F$1007+3*$F$1008),"out",F67)</f>
        <v>0.59973917038563529</v>
      </c>
      <c r="O67">
        <f t="shared" ref="O67:O130" si="13">IF(OR(G67&lt;$G$1007-3*$G$1008,G67&gt;$G$1007+3*$G$1008),"out",G67)</f>
        <v>0.89124951212930181</v>
      </c>
      <c r="P67">
        <f t="shared" ref="P67:P130" si="14">IF(OR(H67&lt;$H$1007-3*$H$1008,H67&gt;$H$1007+3*$H$1008),"out",H67)</f>
        <v>14.39968403649652</v>
      </c>
      <c r="Q67">
        <f t="shared" ref="Q67:Q130" si="15">IF(OR(I67&lt;$I$1007-3*$I$1008,I67&gt;$I$1007+3*$I$1008),"out",I67)</f>
        <v>2.5148705421452543E-2</v>
      </c>
      <c r="R67">
        <f t="shared" ref="R67:R130" si="16">IF(OR(J67&lt;$J$1007-3*$J$1008,J67&gt;$J$1007+3*$J$1008),"out",J67)</f>
        <v>0</v>
      </c>
      <c r="S67">
        <f t="shared" ref="S67:S130" si="17">IF(OR(K67="ot",L67="out",M67="out",N67="out",O67="out",P67="out",Q67="out",R67="out"),1,0)</f>
        <v>0</v>
      </c>
    </row>
    <row r="68" spans="1:19" x14ac:dyDescent="0.3">
      <c r="A68" t="s">
        <v>32</v>
      </c>
      <c r="B68">
        <v>2010</v>
      </c>
      <c r="C68">
        <v>1.1413911238086225E-3</v>
      </c>
      <c r="D68">
        <v>0.11309754970215924</v>
      </c>
      <c r="E68">
        <v>-0.11931749657957741</v>
      </c>
      <c r="F68">
        <v>0.56296260818835608</v>
      </c>
      <c r="G68">
        <v>0.89540633350894672</v>
      </c>
      <c r="H68">
        <v>14.365348988657159</v>
      </c>
      <c r="I68">
        <v>1.4720925577127859E-2</v>
      </c>
      <c r="J68">
        <v>0</v>
      </c>
      <c r="K68">
        <f t="shared" si="9"/>
        <v>1.1413911238086225E-3</v>
      </c>
      <c r="L68">
        <f t="shared" si="10"/>
        <v>0.11309754970215924</v>
      </c>
      <c r="M68">
        <f t="shared" si="11"/>
        <v>-0.11931749657957741</v>
      </c>
      <c r="N68">
        <f t="shared" si="12"/>
        <v>0.56296260818835608</v>
      </c>
      <c r="O68">
        <f t="shared" si="13"/>
        <v>0.89540633350894672</v>
      </c>
      <c r="P68">
        <f t="shared" si="14"/>
        <v>14.365348988657159</v>
      </c>
      <c r="Q68">
        <f t="shared" si="15"/>
        <v>1.4720925577127859E-2</v>
      </c>
      <c r="R68">
        <f t="shared" si="16"/>
        <v>0</v>
      </c>
      <c r="S68">
        <f t="shared" si="17"/>
        <v>0</v>
      </c>
    </row>
    <row r="69" spans="1:19" x14ac:dyDescent="0.3">
      <c r="A69" t="s">
        <v>33</v>
      </c>
      <c r="B69">
        <v>2007</v>
      </c>
      <c r="C69">
        <v>1.3536048981545462E-3</v>
      </c>
      <c r="D69">
        <v>1.7044216607217336E-2</v>
      </c>
      <c r="E69">
        <v>0.20268936462187251</v>
      </c>
      <c r="F69">
        <v>0.27054667792711007</v>
      </c>
      <c r="G69">
        <v>0.67947455644712262</v>
      </c>
      <c r="H69">
        <v>14.184151917901946</v>
      </c>
      <c r="I69">
        <v>1.6811800878145121E-2</v>
      </c>
      <c r="J69">
        <v>0</v>
      </c>
      <c r="K69">
        <f t="shared" si="9"/>
        <v>1.3536048981545462E-3</v>
      </c>
      <c r="L69">
        <f t="shared" si="10"/>
        <v>1.7044216607217336E-2</v>
      </c>
      <c r="M69">
        <f t="shared" si="11"/>
        <v>0.20268936462187251</v>
      </c>
      <c r="N69">
        <f t="shared" si="12"/>
        <v>0.27054667792711007</v>
      </c>
      <c r="O69">
        <f t="shared" si="13"/>
        <v>0.67947455644712262</v>
      </c>
      <c r="P69">
        <f t="shared" si="14"/>
        <v>14.184151917901946</v>
      </c>
      <c r="Q69">
        <f t="shared" si="15"/>
        <v>1.6811800878145121E-2</v>
      </c>
      <c r="R69">
        <f t="shared" si="16"/>
        <v>0</v>
      </c>
      <c r="S69">
        <f t="shared" si="17"/>
        <v>0</v>
      </c>
    </row>
    <row r="70" spans="1:19" x14ac:dyDescent="0.3">
      <c r="A70" t="s">
        <v>33</v>
      </c>
      <c r="B70">
        <v>2009</v>
      </c>
      <c r="C70">
        <v>2.5041344928446291E-3</v>
      </c>
      <c r="D70">
        <v>0.14699716445197392</v>
      </c>
      <c r="E70">
        <v>-0.21191715097739738</v>
      </c>
      <c r="F70">
        <v>0.4202269092526516</v>
      </c>
      <c r="G70">
        <v>0.92381114661451269</v>
      </c>
      <c r="H70">
        <v>13.729171318675846</v>
      </c>
      <c r="I70">
        <v>2.8398938625698648E-2</v>
      </c>
      <c r="J70">
        <v>0</v>
      </c>
      <c r="K70">
        <f t="shared" si="9"/>
        <v>2.5041344928446291E-3</v>
      </c>
      <c r="L70">
        <f t="shared" si="10"/>
        <v>0.14699716445197392</v>
      </c>
      <c r="M70">
        <f t="shared" si="11"/>
        <v>-0.21191715097739738</v>
      </c>
      <c r="N70">
        <f t="shared" si="12"/>
        <v>0.4202269092526516</v>
      </c>
      <c r="O70">
        <f t="shared" si="13"/>
        <v>0.92381114661451269</v>
      </c>
      <c r="P70">
        <f t="shared" si="14"/>
        <v>13.729171318675846</v>
      </c>
      <c r="Q70">
        <f t="shared" si="15"/>
        <v>2.8398938625698648E-2</v>
      </c>
      <c r="R70">
        <f t="shared" si="16"/>
        <v>0</v>
      </c>
      <c r="S70">
        <f t="shared" si="17"/>
        <v>0</v>
      </c>
    </row>
    <row r="71" spans="1:19" x14ac:dyDescent="0.3">
      <c r="A71" t="s">
        <v>33</v>
      </c>
      <c r="B71">
        <v>2010</v>
      </c>
      <c r="C71">
        <v>2.2977535840206617E-3</v>
      </c>
      <c r="D71">
        <v>5.1070739600742703E-2</v>
      </c>
      <c r="E71">
        <v>-0.21601823728828892</v>
      </c>
      <c r="F71">
        <v>0.4018445352589835</v>
      </c>
      <c r="G71">
        <v>0.92778122038758759</v>
      </c>
      <c r="H71">
        <v>13.692599144629904</v>
      </c>
      <c r="I71">
        <v>5.7991282637359799E-3</v>
      </c>
      <c r="J71">
        <v>0</v>
      </c>
      <c r="K71">
        <f t="shared" si="9"/>
        <v>2.2977535840206617E-3</v>
      </c>
      <c r="L71">
        <f t="shared" si="10"/>
        <v>5.1070739600742703E-2</v>
      </c>
      <c r="M71">
        <f t="shared" si="11"/>
        <v>-0.21601823728828892</v>
      </c>
      <c r="N71">
        <f t="shared" si="12"/>
        <v>0.4018445352589835</v>
      </c>
      <c r="O71">
        <f t="shared" si="13"/>
        <v>0.92778122038758759</v>
      </c>
      <c r="P71">
        <f t="shared" si="14"/>
        <v>13.692599144629904</v>
      </c>
      <c r="Q71">
        <f t="shared" si="15"/>
        <v>5.7991282637359799E-3</v>
      </c>
      <c r="R71">
        <f t="shared" si="16"/>
        <v>0</v>
      </c>
      <c r="S71">
        <f t="shared" si="17"/>
        <v>0</v>
      </c>
    </row>
    <row r="72" spans="1:19" x14ac:dyDescent="0.3">
      <c r="A72" t="s">
        <v>34</v>
      </c>
      <c r="B72">
        <v>2007</v>
      </c>
      <c r="C72">
        <v>8.3468331495137535E-3</v>
      </c>
      <c r="D72">
        <v>3.9235040188053585E-2</v>
      </c>
      <c r="E72">
        <v>-1.9066785527810829E-2</v>
      </c>
      <c r="F72">
        <v>0.19876846916067473</v>
      </c>
      <c r="G72">
        <v>0.80734146194862277</v>
      </c>
      <c r="H72">
        <v>14.138233707585874</v>
      </c>
      <c r="I72">
        <v>5.0883290048832804E-3</v>
      </c>
      <c r="J72">
        <v>0</v>
      </c>
      <c r="K72">
        <f t="shared" si="9"/>
        <v>8.3468331495137535E-3</v>
      </c>
      <c r="L72">
        <f t="shared" si="10"/>
        <v>3.9235040188053585E-2</v>
      </c>
      <c r="M72">
        <f t="shared" si="11"/>
        <v>-1.9066785527810829E-2</v>
      </c>
      <c r="N72">
        <f t="shared" si="12"/>
        <v>0.19876846916067473</v>
      </c>
      <c r="O72">
        <f t="shared" si="13"/>
        <v>0.80734146194862277</v>
      </c>
      <c r="P72">
        <f t="shared" si="14"/>
        <v>14.138233707585874</v>
      </c>
      <c r="Q72">
        <f t="shared" si="15"/>
        <v>5.0883290048832804E-3</v>
      </c>
      <c r="R72">
        <f t="shared" si="16"/>
        <v>0</v>
      </c>
      <c r="S72">
        <f t="shared" si="17"/>
        <v>0</v>
      </c>
    </row>
    <row r="73" spans="1:19" x14ac:dyDescent="0.3">
      <c r="A73" t="s">
        <v>34</v>
      </c>
      <c r="B73">
        <v>2009</v>
      </c>
      <c r="C73">
        <v>8.3055009958866149E-3</v>
      </c>
      <c r="D73">
        <v>0.15640116136125684</v>
      </c>
      <c r="E73">
        <v>-3.1630795410910275E-3</v>
      </c>
      <c r="F73">
        <v>0.58197486663959397</v>
      </c>
      <c r="G73">
        <v>0.89270762371232282</v>
      </c>
      <c r="H73">
        <v>13.492516284165836</v>
      </c>
      <c r="I73">
        <v>1.4256706571519704E-2</v>
      </c>
      <c r="J73">
        <v>0</v>
      </c>
      <c r="K73">
        <f t="shared" si="9"/>
        <v>8.3055009958866149E-3</v>
      </c>
      <c r="L73">
        <f t="shared" si="10"/>
        <v>0.15640116136125684</v>
      </c>
      <c r="M73">
        <f t="shared" si="11"/>
        <v>-3.1630795410910275E-3</v>
      </c>
      <c r="N73">
        <f t="shared" si="12"/>
        <v>0.58197486663959397</v>
      </c>
      <c r="O73">
        <f t="shared" si="13"/>
        <v>0.89270762371232282</v>
      </c>
      <c r="P73">
        <f t="shared" si="14"/>
        <v>13.492516284165836</v>
      </c>
      <c r="Q73">
        <f t="shared" si="15"/>
        <v>1.4256706571519704E-2</v>
      </c>
      <c r="R73">
        <f t="shared" si="16"/>
        <v>0</v>
      </c>
      <c r="S73">
        <f t="shared" si="17"/>
        <v>0</v>
      </c>
    </row>
    <row r="74" spans="1:19" x14ac:dyDescent="0.3">
      <c r="A74" t="s">
        <v>34</v>
      </c>
      <c r="B74">
        <v>2010</v>
      </c>
      <c r="C74">
        <v>3.4471021443822137E-3</v>
      </c>
      <c r="D74">
        <v>8.5830986787139893E-2</v>
      </c>
      <c r="E74">
        <v>-4.7661602252684343E-2</v>
      </c>
      <c r="F74">
        <v>0.51729430330785653</v>
      </c>
      <c r="G74">
        <v>0.86355614691957794</v>
      </c>
      <c r="H74">
        <v>13.602224511412846</v>
      </c>
      <c r="I74">
        <v>1.8537942053398527E-2</v>
      </c>
      <c r="J74">
        <v>0</v>
      </c>
      <c r="K74">
        <f t="shared" si="9"/>
        <v>3.4471021443822137E-3</v>
      </c>
      <c r="L74">
        <f t="shared" si="10"/>
        <v>8.5830986787139893E-2</v>
      </c>
      <c r="M74">
        <f t="shared" si="11"/>
        <v>-4.7661602252684343E-2</v>
      </c>
      <c r="N74">
        <f t="shared" si="12"/>
        <v>0.51729430330785653</v>
      </c>
      <c r="O74">
        <f t="shared" si="13"/>
        <v>0.86355614691957794</v>
      </c>
      <c r="P74">
        <f t="shared" si="14"/>
        <v>13.602224511412846</v>
      </c>
      <c r="Q74">
        <f t="shared" si="15"/>
        <v>1.8537942053398527E-2</v>
      </c>
      <c r="R74">
        <f t="shared" si="16"/>
        <v>0</v>
      </c>
      <c r="S74">
        <f t="shared" si="17"/>
        <v>0</v>
      </c>
    </row>
    <row r="75" spans="1:19" x14ac:dyDescent="0.3">
      <c r="A75" t="s">
        <v>35</v>
      </c>
      <c r="B75">
        <v>2007</v>
      </c>
      <c r="C75">
        <v>3.2795020657574543E-3</v>
      </c>
      <c r="D75">
        <v>2.9291534648752244E-2</v>
      </c>
      <c r="E75">
        <v>0.15693869600871652</v>
      </c>
      <c r="F75">
        <v>0.34521973652681393</v>
      </c>
      <c r="G75">
        <v>0.67152536284708886</v>
      </c>
      <c r="H75">
        <v>15.285347495067326</v>
      </c>
      <c r="I75">
        <v>1.4963231793850305E-2</v>
      </c>
      <c r="J75">
        <v>0</v>
      </c>
      <c r="K75">
        <f t="shared" si="9"/>
        <v>3.2795020657574543E-3</v>
      </c>
      <c r="L75">
        <f t="shared" si="10"/>
        <v>2.9291534648752244E-2</v>
      </c>
      <c r="M75">
        <f t="shared" si="11"/>
        <v>0.15693869600871652</v>
      </c>
      <c r="N75">
        <f t="shared" si="12"/>
        <v>0.34521973652681393</v>
      </c>
      <c r="O75">
        <f t="shared" si="13"/>
        <v>0.67152536284708886</v>
      </c>
      <c r="P75">
        <f t="shared" si="14"/>
        <v>15.285347495067326</v>
      </c>
      <c r="Q75">
        <f t="shared" si="15"/>
        <v>1.4963231793850305E-2</v>
      </c>
      <c r="R75">
        <f t="shared" si="16"/>
        <v>0</v>
      </c>
      <c r="S75">
        <f t="shared" si="17"/>
        <v>0</v>
      </c>
    </row>
    <row r="76" spans="1:19" x14ac:dyDescent="0.3">
      <c r="A76" t="s">
        <v>35</v>
      </c>
      <c r="B76">
        <v>2009</v>
      </c>
      <c r="C76">
        <v>1.6818360932793471E-3</v>
      </c>
      <c r="D76">
        <v>0.19754933919993314</v>
      </c>
      <c r="E76">
        <v>-0.18874046628392932</v>
      </c>
      <c r="F76">
        <v>0.75312979185483708</v>
      </c>
      <c r="G76">
        <v>0.99799256454110097</v>
      </c>
      <c r="H76">
        <v>15.176615051633085</v>
      </c>
      <c r="I76">
        <v>4.5187117960021325E-2</v>
      </c>
      <c r="J76">
        <v>0</v>
      </c>
      <c r="K76">
        <f t="shared" si="9"/>
        <v>1.6818360932793471E-3</v>
      </c>
      <c r="L76">
        <f t="shared" si="10"/>
        <v>0.19754933919993314</v>
      </c>
      <c r="M76">
        <f t="shared" si="11"/>
        <v>-0.18874046628392932</v>
      </c>
      <c r="N76">
        <f t="shared" si="12"/>
        <v>0.75312979185483708</v>
      </c>
      <c r="O76">
        <f t="shared" si="13"/>
        <v>0.99799256454110097</v>
      </c>
      <c r="P76">
        <f t="shared" si="14"/>
        <v>15.176615051633085</v>
      </c>
      <c r="Q76">
        <f t="shared" si="15"/>
        <v>4.5187117960021325E-2</v>
      </c>
      <c r="R76">
        <f t="shared" si="16"/>
        <v>0</v>
      </c>
      <c r="S76">
        <f t="shared" si="17"/>
        <v>0</v>
      </c>
    </row>
    <row r="77" spans="1:19" x14ac:dyDescent="0.3">
      <c r="A77" t="s">
        <v>35</v>
      </c>
      <c r="B77">
        <v>2010</v>
      </c>
      <c r="C77">
        <v>1.0419739808881542E-3</v>
      </c>
      <c r="D77">
        <v>5.0891643695567076E-2</v>
      </c>
      <c r="E77">
        <v>-0.22263374519227758</v>
      </c>
      <c r="F77">
        <v>0.73510324531990234</v>
      </c>
      <c r="G77">
        <v>1.0273497684638471</v>
      </c>
      <c r="H77">
        <v>15.115952052580221</v>
      </c>
      <c r="I77">
        <v>6.4371019224571113E-4</v>
      </c>
      <c r="J77">
        <v>0</v>
      </c>
      <c r="K77">
        <f t="shared" si="9"/>
        <v>1.0419739808881542E-3</v>
      </c>
      <c r="L77">
        <f t="shared" si="10"/>
        <v>5.0891643695567076E-2</v>
      </c>
      <c r="M77">
        <f t="shared" si="11"/>
        <v>-0.22263374519227758</v>
      </c>
      <c r="N77">
        <f t="shared" si="12"/>
        <v>0.73510324531990234</v>
      </c>
      <c r="O77">
        <f t="shared" si="13"/>
        <v>1.0273497684638471</v>
      </c>
      <c r="P77">
        <f t="shared" si="14"/>
        <v>15.115952052580221</v>
      </c>
      <c r="Q77">
        <f t="shared" si="15"/>
        <v>6.4371019224571113E-4</v>
      </c>
      <c r="R77">
        <f t="shared" si="16"/>
        <v>0</v>
      </c>
      <c r="S77">
        <f t="shared" si="17"/>
        <v>0</v>
      </c>
    </row>
    <row r="78" spans="1:19" x14ac:dyDescent="0.3">
      <c r="A78" t="s">
        <v>36</v>
      </c>
      <c r="B78">
        <v>2007</v>
      </c>
      <c r="C78">
        <v>2.7102842161522817E-3</v>
      </c>
      <c r="D78">
        <v>9.5267280829087642E-2</v>
      </c>
      <c r="E78">
        <v>-0.19324168334898784</v>
      </c>
      <c r="F78">
        <v>0.24421589927989298</v>
      </c>
      <c r="G78">
        <v>0</v>
      </c>
      <c r="H78">
        <v>14.96672478437258</v>
      </c>
      <c r="I78">
        <v>2.6329263950330695E-3</v>
      </c>
      <c r="J78">
        <v>0</v>
      </c>
      <c r="K78">
        <f t="shared" si="9"/>
        <v>2.7102842161522817E-3</v>
      </c>
      <c r="L78">
        <f t="shared" si="10"/>
        <v>9.5267280829087642E-2</v>
      </c>
      <c r="M78">
        <f t="shared" si="11"/>
        <v>-0.19324168334898784</v>
      </c>
      <c r="N78">
        <f t="shared" si="12"/>
        <v>0.24421589927989298</v>
      </c>
      <c r="O78">
        <f t="shared" si="13"/>
        <v>0</v>
      </c>
      <c r="P78">
        <f t="shared" si="14"/>
        <v>14.96672478437258</v>
      </c>
      <c r="Q78">
        <f t="shared" si="15"/>
        <v>2.6329263950330695E-3</v>
      </c>
      <c r="R78">
        <f t="shared" si="16"/>
        <v>0</v>
      </c>
      <c r="S78">
        <f t="shared" si="17"/>
        <v>0</v>
      </c>
    </row>
    <row r="79" spans="1:19" x14ac:dyDescent="0.3">
      <c r="A79" t="s">
        <v>36</v>
      </c>
      <c r="B79">
        <v>2009</v>
      </c>
      <c r="C79">
        <v>4.5479892917161101E-3</v>
      </c>
      <c r="D79">
        <v>8.592330529534617E-2</v>
      </c>
      <c r="E79">
        <v>1.3656282780541439E-2</v>
      </c>
      <c r="F79">
        <v>0.55388813139940896</v>
      </c>
      <c r="G79">
        <v>0.81101485872277379</v>
      </c>
      <c r="H79">
        <v>14.968261854799604</v>
      </c>
      <c r="I79">
        <v>3.1041606242743932E-2</v>
      </c>
      <c r="J79">
        <v>0</v>
      </c>
      <c r="K79">
        <f t="shared" si="9"/>
        <v>4.5479892917161101E-3</v>
      </c>
      <c r="L79">
        <f t="shared" si="10"/>
        <v>8.592330529534617E-2</v>
      </c>
      <c r="M79">
        <f t="shared" si="11"/>
        <v>1.3656282780541439E-2</v>
      </c>
      <c r="N79">
        <f t="shared" si="12"/>
        <v>0.55388813139940896</v>
      </c>
      <c r="O79">
        <f t="shared" si="13"/>
        <v>0.81101485872277379</v>
      </c>
      <c r="P79">
        <f t="shared" si="14"/>
        <v>14.968261854799604</v>
      </c>
      <c r="Q79">
        <f t="shared" si="15"/>
        <v>3.1041606242743932E-2</v>
      </c>
      <c r="R79">
        <f t="shared" si="16"/>
        <v>0</v>
      </c>
      <c r="S79">
        <f t="shared" si="17"/>
        <v>0</v>
      </c>
    </row>
    <row r="80" spans="1:19" x14ac:dyDescent="0.3">
      <c r="A80" t="s">
        <v>36</v>
      </c>
      <c r="B80">
        <v>2010</v>
      </c>
      <c r="C80">
        <v>7.2175968205821775E-3</v>
      </c>
      <c r="D80">
        <v>0.1709569124158993</v>
      </c>
      <c r="E80">
        <v>1.2645571401860026E-2</v>
      </c>
      <c r="F80">
        <v>0.38424471123614146</v>
      </c>
      <c r="G80">
        <v>0.71789426188470395</v>
      </c>
      <c r="H80">
        <v>15.044414287945182</v>
      </c>
      <c r="I80">
        <v>2.7609450136663379E-2</v>
      </c>
      <c r="J80">
        <v>1.0844537248341687E-2</v>
      </c>
      <c r="K80">
        <f t="shared" si="9"/>
        <v>7.2175968205821775E-3</v>
      </c>
      <c r="L80">
        <f t="shared" si="10"/>
        <v>0.1709569124158993</v>
      </c>
      <c r="M80">
        <f t="shared" si="11"/>
        <v>1.2645571401860026E-2</v>
      </c>
      <c r="N80">
        <f t="shared" si="12"/>
        <v>0.38424471123614146</v>
      </c>
      <c r="O80">
        <f t="shared" si="13"/>
        <v>0.71789426188470395</v>
      </c>
      <c r="P80">
        <f t="shared" si="14"/>
        <v>15.044414287945182</v>
      </c>
      <c r="Q80">
        <f t="shared" si="15"/>
        <v>2.7609450136663379E-2</v>
      </c>
      <c r="R80">
        <f t="shared" si="16"/>
        <v>1.0844537248341687E-2</v>
      </c>
      <c r="S80">
        <f t="shared" si="17"/>
        <v>0</v>
      </c>
    </row>
    <row r="81" spans="1:19" x14ac:dyDescent="0.3">
      <c r="A81" t="s">
        <v>37</v>
      </c>
      <c r="B81">
        <v>2007</v>
      </c>
      <c r="C81">
        <v>2.0943515972075312E-2</v>
      </c>
      <c r="D81">
        <v>0.12633421158913014</v>
      </c>
      <c r="E81">
        <v>-1.767217339461892</v>
      </c>
      <c r="F81">
        <v>0.45931496047848913</v>
      </c>
      <c r="G81">
        <v>1.8462795930534455</v>
      </c>
      <c r="H81">
        <v>10.858941303591607</v>
      </c>
      <c r="I81">
        <v>7.0008892004120818E-2</v>
      </c>
      <c r="J81">
        <v>0</v>
      </c>
      <c r="K81">
        <f t="shared" si="9"/>
        <v>2.0943515972075312E-2</v>
      </c>
      <c r="L81">
        <f t="shared" si="10"/>
        <v>0.12633421158913014</v>
      </c>
      <c r="M81">
        <f t="shared" si="11"/>
        <v>-1.767217339461892</v>
      </c>
      <c r="N81">
        <f t="shared" si="12"/>
        <v>0.45931496047848913</v>
      </c>
      <c r="O81">
        <f t="shared" si="13"/>
        <v>1.8462795930534455</v>
      </c>
      <c r="P81">
        <f t="shared" si="14"/>
        <v>10.858941303591607</v>
      </c>
      <c r="Q81">
        <f t="shared" si="15"/>
        <v>7.0008892004120818E-2</v>
      </c>
      <c r="R81">
        <f t="shared" si="16"/>
        <v>0</v>
      </c>
      <c r="S81">
        <f t="shared" si="17"/>
        <v>0</v>
      </c>
    </row>
    <row r="82" spans="1:19" x14ac:dyDescent="0.3">
      <c r="A82" t="s">
        <v>37</v>
      </c>
      <c r="B82">
        <v>2008</v>
      </c>
      <c r="C82">
        <v>1.1267158613028645E-2</v>
      </c>
      <c r="D82">
        <v>0.33962151868602714</v>
      </c>
      <c r="E82">
        <v>-1.4215464571927319</v>
      </c>
      <c r="F82">
        <v>0</v>
      </c>
      <c r="G82">
        <v>1.5579822264540188</v>
      </c>
      <c r="H82">
        <v>10.827984520957383</v>
      </c>
      <c r="I82">
        <v>6.7890367321976439E-2</v>
      </c>
      <c r="J82">
        <v>0</v>
      </c>
      <c r="K82">
        <f t="shared" si="9"/>
        <v>1.1267158613028645E-2</v>
      </c>
      <c r="L82">
        <f t="shared" si="10"/>
        <v>0.33962151868602714</v>
      </c>
      <c r="M82">
        <f t="shared" si="11"/>
        <v>-1.4215464571927319</v>
      </c>
      <c r="N82">
        <f t="shared" si="12"/>
        <v>0</v>
      </c>
      <c r="O82">
        <f t="shared" si="13"/>
        <v>1.5579822264540188</v>
      </c>
      <c r="P82">
        <f t="shared" si="14"/>
        <v>10.827984520957383</v>
      </c>
      <c r="Q82">
        <f t="shared" si="15"/>
        <v>6.7890367321976439E-2</v>
      </c>
      <c r="R82">
        <f t="shared" si="16"/>
        <v>0</v>
      </c>
      <c r="S82">
        <f t="shared" si="17"/>
        <v>0</v>
      </c>
    </row>
    <row r="83" spans="1:19" x14ac:dyDescent="0.3">
      <c r="A83" t="s">
        <v>37</v>
      </c>
      <c r="B83">
        <v>2009</v>
      </c>
      <c r="C83">
        <v>1.1768330252618607E-2</v>
      </c>
      <c r="D83">
        <v>0.13201889505031833</v>
      </c>
      <c r="E83">
        <v>-0.16635859519408502</v>
      </c>
      <c r="F83">
        <v>1.3719038817005544</v>
      </c>
      <c r="G83">
        <v>1.7050934483466831</v>
      </c>
      <c r="H83">
        <v>10.793228949176747</v>
      </c>
      <c r="I83">
        <v>5.7315275270589522E-3</v>
      </c>
      <c r="J83">
        <v>0</v>
      </c>
      <c r="K83">
        <f t="shared" si="9"/>
        <v>1.1768330252618607E-2</v>
      </c>
      <c r="L83">
        <f t="shared" si="10"/>
        <v>0.13201889505031833</v>
      </c>
      <c r="M83">
        <f t="shared" si="11"/>
        <v>-0.16635859519408502</v>
      </c>
      <c r="N83">
        <f t="shared" si="12"/>
        <v>1.3719038817005544</v>
      </c>
      <c r="O83">
        <f t="shared" si="13"/>
        <v>1.7050934483466831</v>
      </c>
      <c r="P83">
        <f t="shared" si="14"/>
        <v>10.793228949176747</v>
      </c>
      <c r="Q83">
        <f t="shared" si="15"/>
        <v>5.7315275270589522E-3</v>
      </c>
      <c r="R83">
        <f t="shared" si="16"/>
        <v>0</v>
      </c>
      <c r="S83">
        <f t="shared" si="17"/>
        <v>0</v>
      </c>
    </row>
    <row r="84" spans="1:19" x14ac:dyDescent="0.3">
      <c r="A84" t="s">
        <v>37</v>
      </c>
      <c r="B84">
        <v>2010</v>
      </c>
      <c r="C84">
        <v>5.2059575169684812E-2</v>
      </c>
      <c r="D84">
        <v>0.11391552856475502</v>
      </c>
      <c r="E84">
        <v>-1.02360473743508E-2</v>
      </c>
      <c r="F84">
        <v>1.0802670990079966</v>
      </c>
      <c r="G84">
        <v>1.3349317138853014</v>
      </c>
      <c r="H84">
        <v>11.195223950865525</v>
      </c>
      <c r="I84">
        <v>3.0787289576759667E-2</v>
      </c>
      <c r="J84">
        <v>0</v>
      </c>
      <c r="K84">
        <f t="shared" si="9"/>
        <v>5.2059575169684812E-2</v>
      </c>
      <c r="L84">
        <f t="shared" si="10"/>
        <v>0.11391552856475502</v>
      </c>
      <c r="M84">
        <f t="shared" si="11"/>
        <v>-1.02360473743508E-2</v>
      </c>
      <c r="N84">
        <f t="shared" si="12"/>
        <v>1.0802670990079966</v>
      </c>
      <c r="O84">
        <f t="shared" si="13"/>
        <v>1.3349317138853014</v>
      </c>
      <c r="P84">
        <f t="shared" si="14"/>
        <v>11.195223950865525</v>
      </c>
      <c r="Q84">
        <f t="shared" si="15"/>
        <v>3.0787289576759667E-2</v>
      </c>
      <c r="R84">
        <f t="shared" si="16"/>
        <v>0</v>
      </c>
      <c r="S84">
        <f t="shared" si="17"/>
        <v>0</v>
      </c>
    </row>
    <row r="85" spans="1:19" x14ac:dyDescent="0.3">
      <c r="A85" t="s">
        <v>38</v>
      </c>
      <c r="B85">
        <v>2007</v>
      </c>
      <c r="C85">
        <v>6.7697956858930375E-2</v>
      </c>
      <c r="D85">
        <v>9.1259590637631241E-2</v>
      </c>
      <c r="E85">
        <v>3.0121662481786743E-2</v>
      </c>
      <c r="F85">
        <v>0.27900133628021506</v>
      </c>
      <c r="G85">
        <v>0.89444333597589609</v>
      </c>
      <c r="H85">
        <v>14.339657260866579</v>
      </c>
      <c r="I85">
        <v>1.2860282280272722E-4</v>
      </c>
      <c r="J85">
        <v>0</v>
      </c>
      <c r="K85">
        <f t="shared" si="9"/>
        <v>6.7697956858930375E-2</v>
      </c>
      <c r="L85">
        <f t="shared" si="10"/>
        <v>9.1259590637631241E-2</v>
      </c>
      <c r="M85">
        <f t="shared" si="11"/>
        <v>3.0121662481786743E-2</v>
      </c>
      <c r="N85">
        <f t="shared" si="12"/>
        <v>0.27900133628021506</v>
      </c>
      <c r="O85">
        <f t="shared" si="13"/>
        <v>0.89444333597589609</v>
      </c>
      <c r="P85">
        <f t="shared" si="14"/>
        <v>14.339657260866579</v>
      </c>
      <c r="Q85">
        <f t="shared" si="15"/>
        <v>1.2860282280272722E-4</v>
      </c>
      <c r="R85">
        <f t="shared" si="16"/>
        <v>0</v>
      </c>
      <c r="S85">
        <f t="shared" si="17"/>
        <v>0</v>
      </c>
    </row>
    <row r="86" spans="1:19" x14ac:dyDescent="0.3">
      <c r="A86" t="s">
        <v>38</v>
      </c>
      <c r="B86">
        <v>2009</v>
      </c>
      <c r="C86">
        <v>8.9478988650804076E-3</v>
      </c>
      <c r="D86">
        <v>5.6203168134612853E-2</v>
      </c>
      <c r="E86">
        <v>5.4253757504053287E-3</v>
      </c>
      <c r="F86">
        <v>0.64909129748915473</v>
      </c>
      <c r="G86">
        <v>0.86014252223828924</v>
      </c>
      <c r="H86">
        <v>14.417463078339292</v>
      </c>
      <c r="I86">
        <v>2.9102213762340026E-2</v>
      </c>
      <c r="J86">
        <v>4.4985977827439643E-3</v>
      </c>
      <c r="K86">
        <f t="shared" si="9"/>
        <v>8.9478988650804076E-3</v>
      </c>
      <c r="L86">
        <f t="shared" si="10"/>
        <v>5.6203168134612853E-2</v>
      </c>
      <c r="M86">
        <f t="shared" si="11"/>
        <v>5.4253757504053287E-3</v>
      </c>
      <c r="N86">
        <f t="shared" si="12"/>
        <v>0.64909129748915473</v>
      </c>
      <c r="O86">
        <f t="shared" si="13"/>
        <v>0.86014252223828924</v>
      </c>
      <c r="P86">
        <f t="shared" si="14"/>
        <v>14.417463078339292</v>
      </c>
      <c r="Q86">
        <f t="shared" si="15"/>
        <v>2.9102213762340026E-2</v>
      </c>
      <c r="R86">
        <f t="shared" si="16"/>
        <v>4.4985977827439643E-3</v>
      </c>
      <c r="S86">
        <f t="shared" si="17"/>
        <v>0</v>
      </c>
    </row>
    <row r="87" spans="1:19" x14ac:dyDescent="0.3">
      <c r="A87" t="s">
        <v>38</v>
      </c>
      <c r="B87">
        <v>2010</v>
      </c>
      <c r="C87">
        <v>7.6833569182663281E-3</v>
      </c>
      <c r="D87">
        <v>0.14946589108744504</v>
      </c>
      <c r="E87">
        <v>8.1306014215861824E-2</v>
      </c>
      <c r="F87">
        <v>0.48924364800385706</v>
      </c>
      <c r="G87">
        <v>0.78573433166558304</v>
      </c>
      <c r="H87">
        <v>14.361130574704504</v>
      </c>
      <c r="I87">
        <v>4.2531086075310552E-2</v>
      </c>
      <c r="J87">
        <v>2.2208662334456369E-2</v>
      </c>
      <c r="K87">
        <f t="shared" si="9"/>
        <v>7.6833569182663281E-3</v>
      </c>
      <c r="L87">
        <f t="shared" si="10"/>
        <v>0.14946589108744504</v>
      </c>
      <c r="M87">
        <f t="shared" si="11"/>
        <v>8.1306014215861824E-2</v>
      </c>
      <c r="N87">
        <f t="shared" si="12"/>
        <v>0.48924364800385706</v>
      </c>
      <c r="O87">
        <f t="shared" si="13"/>
        <v>0.78573433166558304</v>
      </c>
      <c r="P87">
        <f t="shared" si="14"/>
        <v>14.361130574704504</v>
      </c>
      <c r="Q87">
        <f t="shared" si="15"/>
        <v>4.2531086075310552E-2</v>
      </c>
      <c r="R87">
        <f t="shared" si="16"/>
        <v>2.2208662334456369E-2</v>
      </c>
      <c r="S87">
        <f t="shared" si="17"/>
        <v>0</v>
      </c>
    </row>
    <row r="88" spans="1:19" x14ac:dyDescent="0.3">
      <c r="A88" t="s">
        <v>39</v>
      </c>
      <c r="B88">
        <v>2007</v>
      </c>
      <c r="C88">
        <v>8.132353446249763E-3</v>
      </c>
      <c r="D88">
        <v>9.8319587483071624E-2</v>
      </c>
      <c r="E88">
        <v>-2.2213460135911856E-2</v>
      </c>
      <c r="F88">
        <v>0.26735212969204669</v>
      </c>
      <c r="G88">
        <v>0.82342132608003193</v>
      </c>
      <c r="H88">
        <v>14.904027391915925</v>
      </c>
      <c r="I88">
        <v>2.864729697715826E-3</v>
      </c>
      <c r="J88">
        <v>0</v>
      </c>
      <c r="K88">
        <f t="shared" si="9"/>
        <v>8.132353446249763E-3</v>
      </c>
      <c r="L88">
        <f t="shared" si="10"/>
        <v>9.8319587483071624E-2</v>
      </c>
      <c r="M88">
        <f t="shared" si="11"/>
        <v>-2.2213460135911856E-2</v>
      </c>
      <c r="N88">
        <f t="shared" si="12"/>
        <v>0.26735212969204669</v>
      </c>
      <c r="O88">
        <f t="shared" si="13"/>
        <v>0.82342132608003193</v>
      </c>
      <c r="P88">
        <f t="shared" si="14"/>
        <v>14.904027391915925</v>
      </c>
      <c r="Q88">
        <f t="shared" si="15"/>
        <v>2.864729697715826E-3</v>
      </c>
      <c r="R88">
        <f t="shared" si="16"/>
        <v>0</v>
      </c>
      <c r="S88">
        <f t="shared" si="17"/>
        <v>0</v>
      </c>
    </row>
    <row r="89" spans="1:19" x14ac:dyDescent="0.3">
      <c r="A89" t="s">
        <v>39</v>
      </c>
      <c r="B89">
        <v>2009</v>
      </c>
      <c r="C89">
        <v>4.7074822723218619E-3</v>
      </c>
      <c r="D89">
        <v>9.1375738469282333E-2</v>
      </c>
      <c r="E89">
        <v>-1.3141530011215019E-2</v>
      </c>
      <c r="F89">
        <v>0.52124371914765855</v>
      </c>
      <c r="G89">
        <v>0.72152135710564191</v>
      </c>
      <c r="H89">
        <v>14.856149394856882</v>
      </c>
      <c r="I89">
        <v>3.9319033242381465E-2</v>
      </c>
      <c r="J89">
        <v>2.6492171563303043E-3</v>
      </c>
      <c r="K89">
        <f t="shared" si="9"/>
        <v>4.7074822723218619E-3</v>
      </c>
      <c r="L89">
        <f t="shared" si="10"/>
        <v>9.1375738469282333E-2</v>
      </c>
      <c r="M89">
        <f t="shared" si="11"/>
        <v>-1.3141530011215019E-2</v>
      </c>
      <c r="N89">
        <f t="shared" si="12"/>
        <v>0.52124371914765855</v>
      </c>
      <c r="O89">
        <f t="shared" si="13"/>
        <v>0.72152135710564191</v>
      </c>
      <c r="P89">
        <f t="shared" si="14"/>
        <v>14.856149394856882</v>
      </c>
      <c r="Q89">
        <f t="shared" si="15"/>
        <v>3.9319033242381465E-2</v>
      </c>
      <c r="R89">
        <f t="shared" si="16"/>
        <v>2.6492171563303043E-3</v>
      </c>
      <c r="S89">
        <f t="shared" si="17"/>
        <v>0</v>
      </c>
    </row>
    <row r="90" spans="1:19" x14ac:dyDescent="0.3">
      <c r="A90" t="s">
        <v>39</v>
      </c>
      <c r="B90">
        <v>2010</v>
      </c>
      <c r="C90">
        <v>2.5420981355074347E-2</v>
      </c>
      <c r="D90">
        <v>0.20065831771609921</v>
      </c>
      <c r="E90">
        <v>3.3774947676565942E-2</v>
      </c>
      <c r="F90">
        <v>0.37221967634707193</v>
      </c>
      <c r="G90">
        <v>0.62210476998208009</v>
      </c>
      <c r="H90">
        <v>14.888504138681384</v>
      </c>
      <c r="I90">
        <v>2.6399826655642611E-2</v>
      </c>
      <c r="J90">
        <v>1.7099161457122144E-2</v>
      </c>
      <c r="K90">
        <f t="shared" si="9"/>
        <v>2.5420981355074347E-2</v>
      </c>
      <c r="L90">
        <f t="shared" si="10"/>
        <v>0.20065831771609921</v>
      </c>
      <c r="M90">
        <f t="shared" si="11"/>
        <v>3.3774947676565942E-2</v>
      </c>
      <c r="N90">
        <f t="shared" si="12"/>
        <v>0.37221967634707193</v>
      </c>
      <c r="O90">
        <f t="shared" si="13"/>
        <v>0.62210476998208009</v>
      </c>
      <c r="P90">
        <f t="shared" si="14"/>
        <v>14.888504138681384</v>
      </c>
      <c r="Q90">
        <f t="shared" si="15"/>
        <v>2.6399826655642611E-2</v>
      </c>
      <c r="R90">
        <f t="shared" si="16"/>
        <v>1.7099161457122144E-2</v>
      </c>
      <c r="S90">
        <f t="shared" si="17"/>
        <v>0</v>
      </c>
    </row>
    <row r="91" spans="1:19" x14ac:dyDescent="0.3">
      <c r="A91" t="s">
        <v>40</v>
      </c>
      <c r="B91">
        <v>2009</v>
      </c>
      <c r="C91">
        <v>1.144019770491234E-3</v>
      </c>
      <c r="D91">
        <v>1.2906996338409053E-2</v>
      </c>
      <c r="E91">
        <v>0.14509694748912869</v>
      </c>
      <c r="F91">
        <v>0.53389318400193608</v>
      </c>
      <c r="G91">
        <v>0.76801035886252522</v>
      </c>
      <c r="H91">
        <v>16.079312098236493</v>
      </c>
      <c r="I91">
        <v>4.5626026909266655E-4</v>
      </c>
      <c r="J91">
        <v>1.2994318156420197E-4</v>
      </c>
      <c r="K91">
        <f t="shared" si="9"/>
        <v>1.144019770491234E-3</v>
      </c>
      <c r="L91">
        <f t="shared" si="10"/>
        <v>1.2906996338409053E-2</v>
      </c>
      <c r="M91">
        <f t="shared" si="11"/>
        <v>0.14509694748912869</v>
      </c>
      <c r="N91">
        <f t="shared" si="12"/>
        <v>0.53389318400193608</v>
      </c>
      <c r="O91">
        <f t="shared" si="13"/>
        <v>0.76801035886252522</v>
      </c>
      <c r="P91">
        <f t="shared" si="14"/>
        <v>16.079312098236493</v>
      </c>
      <c r="Q91">
        <f t="shared" si="15"/>
        <v>4.5626026909266655E-4</v>
      </c>
      <c r="R91">
        <f t="shared" si="16"/>
        <v>1.2994318156420197E-4</v>
      </c>
      <c r="S91">
        <f t="shared" si="17"/>
        <v>0</v>
      </c>
    </row>
    <row r="92" spans="1:19" x14ac:dyDescent="0.3">
      <c r="A92" t="s">
        <v>41</v>
      </c>
      <c r="B92">
        <v>2009</v>
      </c>
      <c r="C92">
        <v>1.9010213185004603E-2</v>
      </c>
      <c r="D92">
        <v>7.2392446855935155E-2</v>
      </c>
      <c r="E92">
        <v>-6.0490378363743311E-2</v>
      </c>
      <c r="F92">
        <v>0.65069856814106453</v>
      </c>
      <c r="G92">
        <v>0.82176100991057055</v>
      </c>
      <c r="H92">
        <v>16.023860463143006</v>
      </c>
      <c r="I92">
        <v>8.7810061855977672E-3</v>
      </c>
      <c r="J92">
        <v>0</v>
      </c>
      <c r="K92">
        <f t="shared" si="9"/>
        <v>1.9010213185004603E-2</v>
      </c>
      <c r="L92">
        <f t="shared" si="10"/>
        <v>7.2392446855935155E-2</v>
      </c>
      <c r="M92">
        <f t="shared" si="11"/>
        <v>-6.0490378363743311E-2</v>
      </c>
      <c r="N92">
        <f t="shared" si="12"/>
        <v>0.65069856814106453</v>
      </c>
      <c r="O92">
        <f t="shared" si="13"/>
        <v>0.82176100991057055</v>
      </c>
      <c r="P92">
        <f t="shared" si="14"/>
        <v>16.023860463143006</v>
      </c>
      <c r="Q92">
        <f t="shared" si="15"/>
        <v>8.7810061855977672E-3</v>
      </c>
      <c r="R92">
        <f t="shared" si="16"/>
        <v>0</v>
      </c>
      <c r="S92">
        <f t="shared" si="17"/>
        <v>0</v>
      </c>
    </row>
    <row r="93" spans="1:19" x14ac:dyDescent="0.3">
      <c r="A93" t="s">
        <v>41</v>
      </c>
      <c r="B93">
        <v>2010</v>
      </c>
      <c r="C93">
        <v>9.5275127997458305E-3</v>
      </c>
      <c r="D93">
        <v>5.2197469721371452E-2</v>
      </c>
      <c r="E93">
        <v>-3.7017874649019976E-2</v>
      </c>
      <c r="F93">
        <v>0.60858879714017078</v>
      </c>
      <c r="G93">
        <v>0.77595572907528887</v>
      </c>
      <c r="H93">
        <v>15.941201180852312</v>
      </c>
      <c r="I93">
        <v>1.4922039761034352E-3</v>
      </c>
      <c r="J93">
        <v>0</v>
      </c>
      <c r="K93">
        <f t="shared" si="9"/>
        <v>9.5275127997458305E-3</v>
      </c>
      <c r="L93">
        <f t="shared" si="10"/>
        <v>5.2197469721371452E-2</v>
      </c>
      <c r="M93">
        <f t="shared" si="11"/>
        <v>-3.7017874649019976E-2</v>
      </c>
      <c r="N93">
        <f t="shared" si="12"/>
        <v>0.60858879714017078</v>
      </c>
      <c r="O93">
        <f t="shared" si="13"/>
        <v>0.77595572907528887</v>
      </c>
      <c r="P93">
        <f t="shared" si="14"/>
        <v>15.941201180852312</v>
      </c>
      <c r="Q93">
        <f t="shared" si="15"/>
        <v>1.4922039761034352E-3</v>
      </c>
      <c r="R93">
        <f t="shared" si="16"/>
        <v>0</v>
      </c>
      <c r="S93">
        <f t="shared" si="17"/>
        <v>0</v>
      </c>
    </row>
    <row r="94" spans="1:19" x14ac:dyDescent="0.3">
      <c r="A94" t="s">
        <v>42</v>
      </c>
      <c r="B94">
        <v>2007</v>
      </c>
      <c r="C94">
        <v>3.5181195301124984E-2</v>
      </c>
      <c r="D94">
        <v>5.1663382398526657E-2</v>
      </c>
      <c r="E94">
        <v>-0.48414759707036575</v>
      </c>
      <c r="F94">
        <v>0.17527271882304862</v>
      </c>
      <c r="G94">
        <v>0.92595460571294974</v>
      </c>
      <c r="H94">
        <v>15.937639393411551</v>
      </c>
      <c r="I94">
        <v>5.6677326166339262E-3</v>
      </c>
      <c r="J94">
        <v>0</v>
      </c>
      <c r="K94">
        <f t="shared" si="9"/>
        <v>3.5181195301124984E-2</v>
      </c>
      <c r="L94">
        <f t="shared" si="10"/>
        <v>5.1663382398526657E-2</v>
      </c>
      <c r="M94">
        <f t="shared" si="11"/>
        <v>-0.48414759707036575</v>
      </c>
      <c r="N94">
        <f t="shared" si="12"/>
        <v>0.17527271882304862</v>
      </c>
      <c r="O94">
        <f t="shared" si="13"/>
        <v>0.92595460571294974</v>
      </c>
      <c r="P94">
        <f t="shared" si="14"/>
        <v>15.937639393411551</v>
      </c>
      <c r="Q94">
        <f t="shared" si="15"/>
        <v>5.6677326166339262E-3</v>
      </c>
      <c r="R94">
        <f t="shared" si="16"/>
        <v>0</v>
      </c>
      <c r="S94">
        <f t="shared" si="17"/>
        <v>0</v>
      </c>
    </row>
    <row r="95" spans="1:19" x14ac:dyDescent="0.3">
      <c r="A95" t="s">
        <v>42</v>
      </c>
      <c r="B95">
        <v>2009</v>
      </c>
      <c r="C95">
        <v>7.8985991313990141E-3</v>
      </c>
      <c r="D95">
        <v>4.500089088850668E-2</v>
      </c>
      <c r="E95">
        <v>4.4948641757301559E-2</v>
      </c>
      <c r="F95">
        <v>0.44443376330694551</v>
      </c>
      <c r="G95">
        <v>0.6395003227812539</v>
      </c>
      <c r="H95">
        <v>16.097811919950306</v>
      </c>
      <c r="I95">
        <v>1.7565829278794295E-2</v>
      </c>
      <c r="J95">
        <v>0</v>
      </c>
      <c r="K95">
        <f t="shared" si="9"/>
        <v>7.8985991313990141E-3</v>
      </c>
      <c r="L95">
        <f t="shared" si="10"/>
        <v>4.500089088850668E-2</v>
      </c>
      <c r="M95">
        <f t="shared" si="11"/>
        <v>4.4948641757301559E-2</v>
      </c>
      <c r="N95">
        <f t="shared" si="12"/>
        <v>0.44443376330694551</v>
      </c>
      <c r="O95">
        <f t="shared" si="13"/>
        <v>0.6395003227812539</v>
      </c>
      <c r="P95">
        <f t="shared" si="14"/>
        <v>16.097811919950306</v>
      </c>
      <c r="Q95">
        <f t="shared" si="15"/>
        <v>1.7565829278794295E-2</v>
      </c>
      <c r="R95">
        <f t="shared" si="16"/>
        <v>0</v>
      </c>
      <c r="S95">
        <f t="shared" si="17"/>
        <v>0</v>
      </c>
    </row>
    <row r="96" spans="1:19" x14ac:dyDescent="0.3">
      <c r="A96" t="s">
        <v>42</v>
      </c>
      <c r="B96">
        <v>2010</v>
      </c>
      <c r="C96">
        <v>1.1337603685671369E-2</v>
      </c>
      <c r="D96">
        <v>9.1405424768594382E-2</v>
      </c>
      <c r="E96">
        <v>7.2269167699920075E-2</v>
      </c>
      <c r="F96">
        <v>0.39159735009746827</v>
      </c>
      <c r="G96">
        <v>0.69837859543268022</v>
      </c>
      <c r="H96">
        <v>16.203610558796317</v>
      </c>
      <c r="I96">
        <v>4.586578876125888E-3</v>
      </c>
      <c r="J96">
        <v>1.7218013623338326E-2</v>
      </c>
      <c r="K96">
        <f t="shared" si="9"/>
        <v>1.1337603685671369E-2</v>
      </c>
      <c r="L96">
        <f t="shared" si="10"/>
        <v>9.1405424768594382E-2</v>
      </c>
      <c r="M96">
        <f t="shared" si="11"/>
        <v>7.2269167699920075E-2</v>
      </c>
      <c r="N96">
        <f t="shared" si="12"/>
        <v>0.39159735009746827</v>
      </c>
      <c r="O96">
        <f t="shared" si="13"/>
        <v>0.69837859543268022</v>
      </c>
      <c r="P96">
        <f t="shared" si="14"/>
        <v>16.203610558796317</v>
      </c>
      <c r="Q96">
        <f t="shared" si="15"/>
        <v>4.586578876125888E-3</v>
      </c>
      <c r="R96">
        <f t="shared" si="16"/>
        <v>1.7218013623338326E-2</v>
      </c>
      <c r="S96">
        <f t="shared" si="17"/>
        <v>0</v>
      </c>
    </row>
    <row r="97" spans="1:19" x14ac:dyDescent="0.3">
      <c r="A97" t="s">
        <v>43</v>
      </c>
      <c r="B97">
        <v>2007</v>
      </c>
      <c r="C97">
        <v>8.2991327570716667E-4</v>
      </c>
      <c r="D97">
        <v>4.2624323913945557E-2</v>
      </c>
      <c r="E97">
        <v>-1.7463260989087792E-2</v>
      </c>
      <c r="F97">
        <v>0.40963565491613985</v>
      </c>
      <c r="G97">
        <v>1.9640997277292445</v>
      </c>
      <c r="H97">
        <v>14.416699783729982</v>
      </c>
      <c r="I97">
        <v>6.9891744171908868E-5</v>
      </c>
      <c r="J97">
        <v>0</v>
      </c>
      <c r="K97">
        <f t="shared" si="9"/>
        <v>8.2991327570716667E-4</v>
      </c>
      <c r="L97">
        <f t="shared" si="10"/>
        <v>4.2624323913945557E-2</v>
      </c>
      <c r="M97">
        <f t="shared" si="11"/>
        <v>-1.7463260989087792E-2</v>
      </c>
      <c r="N97">
        <f t="shared" si="12"/>
        <v>0.40963565491613985</v>
      </c>
      <c r="O97">
        <f t="shared" si="13"/>
        <v>1.9640997277292445</v>
      </c>
      <c r="P97">
        <f t="shared" si="14"/>
        <v>14.416699783729982</v>
      </c>
      <c r="Q97">
        <f t="shared" si="15"/>
        <v>6.9891744171908868E-5</v>
      </c>
      <c r="R97">
        <f t="shared" si="16"/>
        <v>0</v>
      </c>
      <c r="S97">
        <f t="shared" si="17"/>
        <v>0</v>
      </c>
    </row>
    <row r="98" spans="1:19" x14ac:dyDescent="0.3">
      <c r="A98" t="s">
        <v>43</v>
      </c>
      <c r="B98">
        <v>2009</v>
      </c>
      <c r="C98">
        <v>1.2523985513807781E-3</v>
      </c>
      <c r="D98">
        <v>4.0657505770226844E-2</v>
      </c>
      <c r="E98">
        <v>-6.8215477772701108E-2</v>
      </c>
      <c r="F98">
        <v>0.47069127196164123</v>
      </c>
      <c r="G98">
        <v>1.6463209144660358</v>
      </c>
      <c r="H98">
        <v>14.874157776514181</v>
      </c>
      <c r="I98">
        <v>6.6038652789319308E-2</v>
      </c>
      <c r="J98">
        <v>3.2198091289099727E-3</v>
      </c>
      <c r="K98">
        <f t="shared" si="9"/>
        <v>1.2523985513807781E-3</v>
      </c>
      <c r="L98">
        <f t="shared" si="10"/>
        <v>4.0657505770226844E-2</v>
      </c>
      <c r="M98">
        <f t="shared" si="11"/>
        <v>-6.8215477772701108E-2</v>
      </c>
      <c r="N98">
        <f t="shared" si="12"/>
        <v>0.47069127196164123</v>
      </c>
      <c r="O98">
        <f t="shared" si="13"/>
        <v>1.6463209144660358</v>
      </c>
      <c r="P98">
        <f t="shared" si="14"/>
        <v>14.874157776514181</v>
      </c>
      <c r="Q98">
        <f t="shared" si="15"/>
        <v>6.6038652789319308E-2</v>
      </c>
      <c r="R98">
        <f t="shared" si="16"/>
        <v>3.2198091289099727E-3</v>
      </c>
      <c r="S98">
        <f t="shared" si="17"/>
        <v>0</v>
      </c>
    </row>
    <row r="99" spans="1:19" x14ac:dyDescent="0.3">
      <c r="A99" t="s">
        <v>43</v>
      </c>
      <c r="B99">
        <v>2010</v>
      </c>
      <c r="C99">
        <v>8.1319228416441625E-2</v>
      </c>
      <c r="D99">
        <v>0.20102930709826763</v>
      </c>
      <c r="E99">
        <v>-0.23660991744835325</v>
      </c>
      <c r="F99">
        <v>0.42523568811744905</v>
      </c>
      <c r="G99">
        <v>1.3053294008272829</v>
      </c>
      <c r="H99">
        <v>15.118357275356169</v>
      </c>
      <c r="I99">
        <v>3.9394549322823921E-2</v>
      </c>
      <c r="J99">
        <v>1.6814969031922488E-2</v>
      </c>
      <c r="K99">
        <f t="shared" si="9"/>
        <v>8.1319228416441625E-2</v>
      </c>
      <c r="L99">
        <f t="shared" si="10"/>
        <v>0.20102930709826763</v>
      </c>
      <c r="M99">
        <f t="shared" si="11"/>
        <v>-0.23660991744835325</v>
      </c>
      <c r="N99">
        <f t="shared" si="12"/>
        <v>0.42523568811744905</v>
      </c>
      <c r="O99">
        <f t="shared" si="13"/>
        <v>1.3053294008272829</v>
      </c>
      <c r="P99">
        <f t="shared" si="14"/>
        <v>15.118357275356169</v>
      </c>
      <c r="Q99">
        <f t="shared" si="15"/>
        <v>3.9394549322823921E-2</v>
      </c>
      <c r="R99">
        <f t="shared" si="16"/>
        <v>1.6814969031922488E-2</v>
      </c>
      <c r="S99">
        <f t="shared" si="17"/>
        <v>0</v>
      </c>
    </row>
    <row r="100" spans="1:19" x14ac:dyDescent="0.3">
      <c r="A100" t="s">
        <v>44</v>
      </c>
      <c r="B100">
        <v>2010</v>
      </c>
      <c r="C100">
        <v>4.6968206530541264E-3</v>
      </c>
      <c r="D100">
        <v>9.8036115226393578E-2</v>
      </c>
      <c r="E100">
        <v>0.13522069942564105</v>
      </c>
      <c r="F100">
        <v>0.2962227673905965</v>
      </c>
      <c r="G100">
        <v>1.0265519454725547</v>
      </c>
      <c r="H100">
        <v>14.668336538670156</v>
      </c>
      <c r="I100">
        <v>1.4942379669796654E-3</v>
      </c>
      <c r="J100">
        <v>0.10023364764809477</v>
      </c>
      <c r="K100">
        <f t="shared" si="9"/>
        <v>4.6968206530541264E-3</v>
      </c>
      <c r="L100">
        <f t="shared" si="10"/>
        <v>9.8036115226393578E-2</v>
      </c>
      <c r="M100">
        <f t="shared" si="11"/>
        <v>0.13522069942564105</v>
      </c>
      <c r="N100">
        <f t="shared" si="12"/>
        <v>0.2962227673905965</v>
      </c>
      <c r="O100">
        <f t="shared" si="13"/>
        <v>1.0265519454725547</v>
      </c>
      <c r="P100">
        <f t="shared" si="14"/>
        <v>14.668336538670156</v>
      </c>
      <c r="Q100">
        <f t="shared" si="15"/>
        <v>1.4942379669796654E-3</v>
      </c>
      <c r="R100">
        <f t="shared" si="16"/>
        <v>0.10023364764809477</v>
      </c>
      <c r="S100">
        <f t="shared" si="17"/>
        <v>0</v>
      </c>
    </row>
    <row r="101" spans="1:19" x14ac:dyDescent="0.3">
      <c r="A101" t="s">
        <v>45</v>
      </c>
      <c r="B101">
        <v>2007</v>
      </c>
      <c r="C101">
        <v>1.6320282403153256E-2</v>
      </c>
      <c r="D101">
        <v>0.10720308096045635</v>
      </c>
      <c r="E101">
        <v>-6.163133808549344E-2</v>
      </c>
      <c r="F101">
        <v>0.3218202184271679</v>
      </c>
      <c r="G101">
        <v>0.79896951685233364</v>
      </c>
      <c r="H101">
        <v>15.582594576954683</v>
      </c>
      <c r="I101">
        <v>1.1742336383790686E-2</v>
      </c>
      <c r="J101">
        <v>0</v>
      </c>
      <c r="K101">
        <f t="shared" si="9"/>
        <v>1.6320282403153256E-2</v>
      </c>
      <c r="L101">
        <f t="shared" si="10"/>
        <v>0.10720308096045635</v>
      </c>
      <c r="M101">
        <f t="shared" si="11"/>
        <v>-6.163133808549344E-2</v>
      </c>
      <c r="N101">
        <f t="shared" si="12"/>
        <v>0.3218202184271679</v>
      </c>
      <c r="O101">
        <f t="shared" si="13"/>
        <v>0.79896951685233364</v>
      </c>
      <c r="P101">
        <f t="shared" si="14"/>
        <v>15.582594576954683</v>
      </c>
      <c r="Q101">
        <f t="shared" si="15"/>
        <v>1.1742336383790686E-2</v>
      </c>
      <c r="R101">
        <f t="shared" si="16"/>
        <v>0</v>
      </c>
      <c r="S101">
        <f t="shared" si="17"/>
        <v>0</v>
      </c>
    </row>
    <row r="102" spans="1:19" x14ac:dyDescent="0.3">
      <c r="A102" t="s">
        <v>45</v>
      </c>
      <c r="B102">
        <v>2009</v>
      </c>
      <c r="C102">
        <v>1.9674630964164136E-2</v>
      </c>
      <c r="D102">
        <v>9.9399012727587402E-2</v>
      </c>
      <c r="E102">
        <v>4.175440233683813E-2</v>
      </c>
      <c r="F102">
        <v>0.44949767709368499</v>
      </c>
      <c r="G102">
        <v>0.77987338596977163</v>
      </c>
      <c r="H102">
        <v>15.614530605287797</v>
      </c>
      <c r="I102">
        <v>3.3629634532096851E-2</v>
      </c>
      <c r="J102">
        <v>0</v>
      </c>
      <c r="K102">
        <f t="shared" si="9"/>
        <v>1.9674630964164136E-2</v>
      </c>
      <c r="L102">
        <f t="shared" si="10"/>
        <v>9.9399012727587402E-2</v>
      </c>
      <c r="M102">
        <f t="shared" si="11"/>
        <v>4.175440233683813E-2</v>
      </c>
      <c r="N102">
        <f t="shared" si="12"/>
        <v>0.44949767709368499</v>
      </c>
      <c r="O102">
        <f t="shared" si="13"/>
        <v>0.77987338596977163</v>
      </c>
      <c r="P102">
        <f t="shared" si="14"/>
        <v>15.614530605287797</v>
      </c>
      <c r="Q102">
        <f t="shared" si="15"/>
        <v>3.3629634532096851E-2</v>
      </c>
      <c r="R102">
        <f t="shared" si="16"/>
        <v>0</v>
      </c>
      <c r="S102">
        <f t="shared" si="17"/>
        <v>0</v>
      </c>
    </row>
    <row r="103" spans="1:19" x14ac:dyDescent="0.3">
      <c r="A103" t="s">
        <v>45</v>
      </c>
      <c r="B103">
        <v>2010</v>
      </c>
      <c r="C103">
        <v>1.9173438577703907E-2</v>
      </c>
      <c r="D103">
        <v>0.1766574728060574</v>
      </c>
      <c r="E103">
        <v>0.13960710567542031</v>
      </c>
      <c r="F103">
        <v>0.33471422013478386</v>
      </c>
      <c r="G103">
        <v>0.80837797536982314</v>
      </c>
      <c r="H103">
        <v>15.694370080805626</v>
      </c>
      <c r="I103">
        <v>3.9439309043226609E-2</v>
      </c>
      <c r="J103">
        <v>2.5062957958519927E-2</v>
      </c>
      <c r="K103">
        <f t="shared" si="9"/>
        <v>1.9173438577703907E-2</v>
      </c>
      <c r="L103">
        <f t="shared" si="10"/>
        <v>0.1766574728060574</v>
      </c>
      <c r="M103">
        <f t="shared" si="11"/>
        <v>0.13960710567542031</v>
      </c>
      <c r="N103">
        <f t="shared" si="12"/>
        <v>0.33471422013478386</v>
      </c>
      <c r="O103">
        <f t="shared" si="13"/>
        <v>0.80837797536982314</v>
      </c>
      <c r="P103">
        <f t="shared" si="14"/>
        <v>15.694370080805626</v>
      </c>
      <c r="Q103">
        <f t="shared" si="15"/>
        <v>3.9439309043226609E-2</v>
      </c>
      <c r="R103">
        <f t="shared" si="16"/>
        <v>2.5062957958519927E-2</v>
      </c>
      <c r="S103">
        <f t="shared" si="17"/>
        <v>0</v>
      </c>
    </row>
    <row r="104" spans="1:19" x14ac:dyDescent="0.3">
      <c r="A104" t="s">
        <v>46</v>
      </c>
      <c r="B104">
        <v>2007</v>
      </c>
      <c r="C104">
        <v>1.6839052010872869E-3</v>
      </c>
      <c r="D104">
        <v>0.15001867146045558</v>
      </c>
      <c r="E104">
        <v>-0.4200613987094981</v>
      </c>
      <c r="F104">
        <v>0.1287974711026583</v>
      </c>
      <c r="G104">
        <v>0.92191323849968299</v>
      </c>
      <c r="H104">
        <v>14.649714494440319</v>
      </c>
      <c r="I104">
        <v>4.2965991427501432E-3</v>
      </c>
      <c r="J104">
        <v>0</v>
      </c>
      <c r="K104">
        <f t="shared" si="9"/>
        <v>1.6839052010872869E-3</v>
      </c>
      <c r="L104">
        <f t="shared" si="10"/>
        <v>0.15001867146045558</v>
      </c>
      <c r="M104">
        <f t="shared" si="11"/>
        <v>-0.4200613987094981</v>
      </c>
      <c r="N104">
        <f t="shared" si="12"/>
        <v>0.1287974711026583</v>
      </c>
      <c r="O104">
        <f t="shared" si="13"/>
        <v>0.92191323849968299</v>
      </c>
      <c r="P104">
        <f t="shared" si="14"/>
        <v>14.649714494440319</v>
      </c>
      <c r="Q104">
        <f t="shared" si="15"/>
        <v>4.2965991427501432E-3</v>
      </c>
      <c r="R104">
        <f t="shared" si="16"/>
        <v>0</v>
      </c>
      <c r="S104">
        <f t="shared" si="17"/>
        <v>0</v>
      </c>
    </row>
    <row r="105" spans="1:19" x14ac:dyDescent="0.3">
      <c r="A105" t="s">
        <v>46</v>
      </c>
      <c r="B105">
        <v>2009</v>
      </c>
      <c r="C105">
        <v>2.9962202255283781E-3</v>
      </c>
      <c r="D105">
        <v>0.10995510977229356</v>
      </c>
      <c r="E105">
        <v>-6.659149578264606E-2</v>
      </c>
      <c r="F105">
        <v>0.90274059204147927</v>
      </c>
      <c r="G105">
        <v>0.98198788459224906</v>
      </c>
      <c r="H105">
        <v>14.749066583176603</v>
      </c>
      <c r="I105">
        <v>1.7754480358159672E-3</v>
      </c>
      <c r="J105">
        <v>0</v>
      </c>
      <c r="K105">
        <f t="shared" si="9"/>
        <v>2.9962202255283781E-3</v>
      </c>
      <c r="L105">
        <f t="shared" si="10"/>
        <v>0.10995510977229356</v>
      </c>
      <c r="M105">
        <f t="shared" si="11"/>
        <v>-6.659149578264606E-2</v>
      </c>
      <c r="N105">
        <f t="shared" si="12"/>
        <v>0.90274059204147927</v>
      </c>
      <c r="O105">
        <f t="shared" si="13"/>
        <v>0.98198788459224906</v>
      </c>
      <c r="P105">
        <f t="shared" si="14"/>
        <v>14.749066583176603</v>
      </c>
      <c r="Q105">
        <f t="shared" si="15"/>
        <v>1.7754480358159672E-3</v>
      </c>
      <c r="R105">
        <f t="shared" si="16"/>
        <v>0</v>
      </c>
      <c r="S105">
        <f t="shared" si="17"/>
        <v>0</v>
      </c>
    </row>
    <row r="106" spans="1:19" x14ac:dyDescent="0.3">
      <c r="A106" t="s">
        <v>46</v>
      </c>
      <c r="B106">
        <v>2010</v>
      </c>
      <c r="C106">
        <v>7.8052220162785077E-3</v>
      </c>
      <c r="D106">
        <v>0.1093653799661536</v>
      </c>
      <c r="E106">
        <v>-9.2031589975018133E-2</v>
      </c>
      <c r="F106">
        <v>0.8206591989684906</v>
      </c>
      <c r="G106">
        <v>1.0252899105487951</v>
      </c>
      <c r="H106">
        <v>14.724494661322657</v>
      </c>
      <c r="I106">
        <v>1.9939866715038192E-2</v>
      </c>
      <c r="J106">
        <v>1.3150132968007091E-2</v>
      </c>
      <c r="K106">
        <f t="shared" si="9"/>
        <v>7.8052220162785077E-3</v>
      </c>
      <c r="L106">
        <f t="shared" si="10"/>
        <v>0.1093653799661536</v>
      </c>
      <c r="M106">
        <f t="shared" si="11"/>
        <v>-9.2031589975018133E-2</v>
      </c>
      <c r="N106">
        <f t="shared" si="12"/>
        <v>0.8206591989684906</v>
      </c>
      <c r="O106">
        <f t="shared" si="13"/>
        <v>1.0252899105487951</v>
      </c>
      <c r="P106">
        <f t="shared" si="14"/>
        <v>14.724494661322657</v>
      </c>
      <c r="Q106">
        <f t="shared" si="15"/>
        <v>1.9939866715038192E-2</v>
      </c>
      <c r="R106">
        <f t="shared" si="16"/>
        <v>1.3150132968007091E-2</v>
      </c>
      <c r="S106">
        <f t="shared" si="17"/>
        <v>0</v>
      </c>
    </row>
    <row r="107" spans="1:19" x14ac:dyDescent="0.3">
      <c r="A107" t="s">
        <v>47</v>
      </c>
      <c r="B107">
        <v>2009</v>
      </c>
      <c r="C107">
        <v>2.1242852178308532E-3</v>
      </c>
      <c r="D107">
        <v>7.6579155214355668E-2</v>
      </c>
      <c r="E107">
        <v>-6.7198685748586229E-2</v>
      </c>
      <c r="F107">
        <v>0.71474931286134014</v>
      </c>
      <c r="G107">
        <v>0.81305001105740382</v>
      </c>
      <c r="H107">
        <v>13.581464034678403</v>
      </c>
      <c r="I107">
        <v>3.5711044515436663E-2</v>
      </c>
      <c r="J107">
        <v>0</v>
      </c>
      <c r="K107">
        <f t="shared" si="9"/>
        <v>2.1242852178308532E-3</v>
      </c>
      <c r="L107">
        <f t="shared" si="10"/>
        <v>7.6579155214355668E-2</v>
      </c>
      <c r="M107">
        <f t="shared" si="11"/>
        <v>-6.7198685748586229E-2</v>
      </c>
      <c r="N107">
        <f t="shared" si="12"/>
        <v>0.71474931286134014</v>
      </c>
      <c r="O107">
        <f t="shared" si="13"/>
        <v>0.81305001105740382</v>
      </c>
      <c r="P107">
        <f t="shared" si="14"/>
        <v>13.581464034678403</v>
      </c>
      <c r="Q107">
        <f t="shared" si="15"/>
        <v>3.5711044515436663E-2</v>
      </c>
      <c r="R107">
        <f t="shared" si="16"/>
        <v>0</v>
      </c>
      <c r="S107">
        <f t="shared" si="17"/>
        <v>0</v>
      </c>
    </row>
    <row r="108" spans="1:19" x14ac:dyDescent="0.3">
      <c r="A108" t="s">
        <v>47</v>
      </c>
      <c r="B108">
        <v>2010</v>
      </c>
      <c r="C108">
        <v>9.6729699984277398E-3</v>
      </c>
      <c r="D108">
        <v>0.171336992410274</v>
      </c>
      <c r="E108">
        <v>8.9347226391092438E-2</v>
      </c>
      <c r="F108">
        <v>0.53314966482283488</v>
      </c>
      <c r="G108">
        <v>0.69373930982566978</v>
      </c>
      <c r="H108">
        <v>13.640628459647802</v>
      </c>
      <c r="I108">
        <v>2.2744430712994465E-3</v>
      </c>
      <c r="J108">
        <v>0</v>
      </c>
      <c r="K108">
        <f t="shared" si="9"/>
        <v>9.6729699984277398E-3</v>
      </c>
      <c r="L108">
        <f t="shared" si="10"/>
        <v>0.171336992410274</v>
      </c>
      <c r="M108">
        <f t="shared" si="11"/>
        <v>8.9347226391092438E-2</v>
      </c>
      <c r="N108">
        <f t="shared" si="12"/>
        <v>0.53314966482283488</v>
      </c>
      <c r="O108">
        <f t="shared" si="13"/>
        <v>0.69373930982566978</v>
      </c>
      <c r="P108">
        <f t="shared" si="14"/>
        <v>13.640628459647802</v>
      </c>
      <c r="Q108">
        <f t="shared" si="15"/>
        <v>2.2744430712994465E-3</v>
      </c>
      <c r="R108">
        <f t="shared" si="16"/>
        <v>0</v>
      </c>
      <c r="S108">
        <f t="shared" si="17"/>
        <v>0</v>
      </c>
    </row>
    <row r="109" spans="1:19" x14ac:dyDescent="0.3">
      <c r="A109" t="s">
        <v>48</v>
      </c>
      <c r="B109">
        <v>2007</v>
      </c>
      <c r="C109">
        <v>2.3398938174846234E-3</v>
      </c>
      <c r="D109">
        <v>7.360694906385952E-2</v>
      </c>
      <c r="E109">
        <v>-0.11621350662085671</v>
      </c>
      <c r="F109">
        <v>0.58632909261881505</v>
      </c>
      <c r="G109">
        <v>0.99811354064902325</v>
      </c>
      <c r="H109">
        <v>13.211483529364267</v>
      </c>
      <c r="I109">
        <v>0</v>
      </c>
      <c r="J109">
        <v>0</v>
      </c>
      <c r="K109">
        <f t="shared" si="9"/>
        <v>2.3398938174846234E-3</v>
      </c>
      <c r="L109">
        <f t="shared" si="10"/>
        <v>7.360694906385952E-2</v>
      </c>
      <c r="M109">
        <f t="shared" si="11"/>
        <v>-0.11621350662085671</v>
      </c>
      <c r="N109">
        <f t="shared" si="12"/>
        <v>0.58632909261881505</v>
      </c>
      <c r="O109">
        <f t="shared" si="13"/>
        <v>0.99811354064902325</v>
      </c>
      <c r="P109">
        <f t="shared" si="14"/>
        <v>13.211483529364267</v>
      </c>
      <c r="Q109">
        <f t="shared" si="15"/>
        <v>0</v>
      </c>
      <c r="R109">
        <f t="shared" si="16"/>
        <v>0</v>
      </c>
      <c r="S109">
        <f t="shared" si="17"/>
        <v>0</v>
      </c>
    </row>
    <row r="110" spans="1:19" x14ac:dyDescent="0.3">
      <c r="A110" t="s">
        <v>49</v>
      </c>
      <c r="B110">
        <v>2009</v>
      </c>
      <c r="C110">
        <v>1.2822331856380154E-2</v>
      </c>
      <c r="D110">
        <v>1.1338115526656101</v>
      </c>
      <c r="E110">
        <v>0.39109328317367914</v>
      </c>
      <c r="F110">
        <v>0</v>
      </c>
      <c r="G110">
        <v>0.52852918164902563</v>
      </c>
      <c r="H110">
        <v>13.108990355822229</v>
      </c>
      <c r="I110">
        <v>0.24621540012484716</v>
      </c>
      <c r="J110">
        <v>0</v>
      </c>
      <c r="K110">
        <f t="shared" si="9"/>
        <v>1.2822331856380154E-2</v>
      </c>
      <c r="L110">
        <f t="shared" si="10"/>
        <v>1.1338115526656101</v>
      </c>
      <c r="M110">
        <f t="shared" si="11"/>
        <v>0.39109328317367914</v>
      </c>
      <c r="N110">
        <f t="shared" si="12"/>
        <v>0</v>
      </c>
      <c r="O110">
        <f t="shared" si="13"/>
        <v>0.52852918164902563</v>
      </c>
      <c r="P110">
        <f t="shared" si="14"/>
        <v>13.108990355822229</v>
      </c>
      <c r="Q110">
        <f t="shared" si="15"/>
        <v>0.24621540012484716</v>
      </c>
      <c r="R110">
        <f t="shared" si="16"/>
        <v>0</v>
      </c>
      <c r="S110">
        <f t="shared" si="17"/>
        <v>0</v>
      </c>
    </row>
    <row r="111" spans="1:19" x14ac:dyDescent="0.3">
      <c r="A111" t="s">
        <v>50</v>
      </c>
      <c r="B111">
        <v>2007</v>
      </c>
      <c r="C111">
        <v>5.1780197495770286E-2</v>
      </c>
      <c r="D111">
        <v>0.24781006270981323</v>
      </c>
      <c r="E111">
        <v>-0.13942154731781001</v>
      </c>
      <c r="F111">
        <v>0.36662642613533308</v>
      </c>
      <c r="G111">
        <v>0.81628842053932227</v>
      </c>
      <c r="H111">
        <v>14.112085967204198</v>
      </c>
      <c r="I111">
        <v>6.9440695138441866E-3</v>
      </c>
      <c r="J111">
        <v>0</v>
      </c>
      <c r="K111">
        <f t="shared" si="9"/>
        <v>5.1780197495770286E-2</v>
      </c>
      <c r="L111">
        <f t="shared" si="10"/>
        <v>0.24781006270981323</v>
      </c>
      <c r="M111">
        <f t="shared" si="11"/>
        <v>-0.13942154731781001</v>
      </c>
      <c r="N111">
        <f t="shared" si="12"/>
        <v>0.36662642613533308</v>
      </c>
      <c r="O111">
        <f t="shared" si="13"/>
        <v>0.81628842053932227</v>
      </c>
      <c r="P111">
        <f t="shared" si="14"/>
        <v>14.112085967204198</v>
      </c>
      <c r="Q111">
        <f t="shared" si="15"/>
        <v>6.9440695138441866E-3</v>
      </c>
      <c r="R111">
        <f t="shared" si="16"/>
        <v>0</v>
      </c>
      <c r="S111">
        <f t="shared" si="17"/>
        <v>0</v>
      </c>
    </row>
    <row r="112" spans="1:19" x14ac:dyDescent="0.3">
      <c r="A112" t="s">
        <v>50</v>
      </c>
      <c r="B112">
        <v>2009</v>
      </c>
      <c r="C112">
        <v>3.5010826217614421E-2</v>
      </c>
      <c r="D112">
        <v>2.7816380201275321E-2</v>
      </c>
      <c r="E112">
        <v>-2.1646478575406764E-2</v>
      </c>
      <c r="F112">
        <v>0.68961487257229148</v>
      </c>
      <c r="G112">
        <v>0.84875754335699116</v>
      </c>
      <c r="H112">
        <v>14.333586832119291</v>
      </c>
      <c r="I112">
        <v>1.2338998198251339E-2</v>
      </c>
      <c r="J112">
        <v>0</v>
      </c>
      <c r="K112">
        <f t="shared" si="9"/>
        <v>3.5010826217614421E-2</v>
      </c>
      <c r="L112">
        <f t="shared" si="10"/>
        <v>2.7816380201275321E-2</v>
      </c>
      <c r="M112">
        <f t="shared" si="11"/>
        <v>-2.1646478575406764E-2</v>
      </c>
      <c r="N112">
        <f t="shared" si="12"/>
        <v>0.68961487257229148</v>
      </c>
      <c r="O112">
        <f t="shared" si="13"/>
        <v>0.84875754335699116</v>
      </c>
      <c r="P112">
        <f t="shared" si="14"/>
        <v>14.333586832119291</v>
      </c>
      <c r="Q112">
        <f t="shared" si="15"/>
        <v>1.2338998198251339E-2</v>
      </c>
      <c r="R112">
        <f t="shared" si="16"/>
        <v>0</v>
      </c>
      <c r="S112">
        <f t="shared" si="17"/>
        <v>0</v>
      </c>
    </row>
    <row r="113" spans="1:19" x14ac:dyDescent="0.3">
      <c r="A113" t="s">
        <v>50</v>
      </c>
      <c r="B113">
        <v>2010</v>
      </c>
      <c r="C113">
        <v>5.7912754067069604E-2</v>
      </c>
      <c r="D113">
        <v>6.65077725219234E-2</v>
      </c>
      <c r="E113">
        <v>1.1737095802708813E-3</v>
      </c>
      <c r="F113">
        <v>0.61028736482234358</v>
      </c>
      <c r="G113">
        <v>0.82060786008616948</v>
      </c>
      <c r="H113">
        <v>14.391068871515884</v>
      </c>
      <c r="I113">
        <v>3.0553028501879125E-3</v>
      </c>
      <c r="J113">
        <v>8.2339635671997945E-3</v>
      </c>
      <c r="K113">
        <f t="shared" si="9"/>
        <v>5.7912754067069604E-2</v>
      </c>
      <c r="L113">
        <f t="shared" si="10"/>
        <v>6.65077725219234E-2</v>
      </c>
      <c r="M113">
        <f t="shared" si="11"/>
        <v>1.1737095802708813E-3</v>
      </c>
      <c r="N113">
        <f t="shared" si="12"/>
        <v>0.61028736482234358</v>
      </c>
      <c r="O113">
        <f t="shared" si="13"/>
        <v>0.82060786008616948</v>
      </c>
      <c r="P113">
        <f t="shared" si="14"/>
        <v>14.391068871515884</v>
      </c>
      <c r="Q113">
        <f t="shared" si="15"/>
        <v>3.0553028501879125E-3</v>
      </c>
      <c r="R113">
        <f t="shared" si="16"/>
        <v>8.2339635671997945E-3</v>
      </c>
      <c r="S113">
        <f t="shared" si="17"/>
        <v>0</v>
      </c>
    </row>
    <row r="114" spans="1:19" x14ac:dyDescent="0.3">
      <c r="A114" t="s">
        <v>51</v>
      </c>
      <c r="B114">
        <v>2007</v>
      </c>
      <c r="C114">
        <v>8.3446725406622416E-3</v>
      </c>
      <c r="D114">
        <v>2.9931591217383525E-2</v>
      </c>
      <c r="E114">
        <v>0.18947130123692502</v>
      </c>
      <c r="F114">
        <v>0.38021007331298351</v>
      </c>
      <c r="G114">
        <v>0.69202296178187572</v>
      </c>
      <c r="H114">
        <v>15.708502935989307</v>
      </c>
      <c r="I114">
        <v>8.0541248093492918E-4</v>
      </c>
      <c r="J114">
        <v>0</v>
      </c>
      <c r="K114">
        <f t="shared" si="9"/>
        <v>8.3446725406622416E-3</v>
      </c>
      <c r="L114">
        <f t="shared" si="10"/>
        <v>2.9931591217383525E-2</v>
      </c>
      <c r="M114">
        <f t="shared" si="11"/>
        <v>0.18947130123692502</v>
      </c>
      <c r="N114">
        <f t="shared" si="12"/>
        <v>0.38021007331298351</v>
      </c>
      <c r="O114">
        <f t="shared" si="13"/>
        <v>0.69202296178187572</v>
      </c>
      <c r="P114">
        <f t="shared" si="14"/>
        <v>15.708502935989307</v>
      </c>
      <c r="Q114">
        <f t="shared" si="15"/>
        <v>8.0541248093492918E-4</v>
      </c>
      <c r="R114">
        <f t="shared" si="16"/>
        <v>0</v>
      </c>
      <c r="S114">
        <f t="shared" si="17"/>
        <v>0</v>
      </c>
    </row>
    <row r="115" spans="1:19" x14ac:dyDescent="0.3">
      <c r="A115" t="s">
        <v>51</v>
      </c>
      <c r="B115">
        <v>2009</v>
      </c>
      <c r="C115">
        <v>6.1235823404030103E-3</v>
      </c>
      <c r="D115">
        <v>1.3298680210574744E-2</v>
      </c>
      <c r="E115">
        <v>-2.3315079756725334E-2</v>
      </c>
      <c r="F115">
        <v>0.63353966967644793</v>
      </c>
      <c r="G115">
        <v>0.76933918689554026</v>
      </c>
      <c r="H115">
        <v>16.043058046830662</v>
      </c>
      <c r="I115">
        <v>9.6157745177649027E-3</v>
      </c>
      <c r="J115">
        <v>0</v>
      </c>
      <c r="K115">
        <f t="shared" si="9"/>
        <v>6.1235823404030103E-3</v>
      </c>
      <c r="L115">
        <f t="shared" si="10"/>
        <v>1.3298680210574744E-2</v>
      </c>
      <c r="M115">
        <f t="shared" si="11"/>
        <v>-2.3315079756725334E-2</v>
      </c>
      <c r="N115">
        <f t="shared" si="12"/>
        <v>0.63353966967644793</v>
      </c>
      <c r="O115">
        <f t="shared" si="13"/>
        <v>0.76933918689554026</v>
      </c>
      <c r="P115">
        <f t="shared" si="14"/>
        <v>16.043058046830662</v>
      </c>
      <c r="Q115">
        <f t="shared" si="15"/>
        <v>9.6157745177649027E-3</v>
      </c>
      <c r="R115">
        <f t="shared" si="16"/>
        <v>0</v>
      </c>
      <c r="S115">
        <f t="shared" si="17"/>
        <v>0</v>
      </c>
    </row>
    <row r="116" spans="1:19" x14ac:dyDescent="0.3">
      <c r="A116" t="s">
        <v>51</v>
      </c>
      <c r="B116">
        <v>2010</v>
      </c>
      <c r="C116">
        <v>6.5766273437734644E-3</v>
      </c>
      <c r="D116">
        <v>4.2948605797009522E-2</v>
      </c>
      <c r="E116">
        <v>2.4244625123315044E-2</v>
      </c>
      <c r="F116">
        <v>0.61480076678486573</v>
      </c>
      <c r="G116">
        <v>0.74987465499616801</v>
      </c>
      <c r="H116">
        <v>16.069153065173303</v>
      </c>
      <c r="I116">
        <v>1.2894739343431716E-4</v>
      </c>
      <c r="J116">
        <v>1.9936238482107056E-3</v>
      </c>
      <c r="K116">
        <f t="shared" si="9"/>
        <v>6.5766273437734644E-3</v>
      </c>
      <c r="L116">
        <f t="shared" si="10"/>
        <v>4.2948605797009522E-2</v>
      </c>
      <c r="M116">
        <f t="shared" si="11"/>
        <v>2.4244625123315044E-2</v>
      </c>
      <c r="N116">
        <f t="shared" si="12"/>
        <v>0.61480076678486573</v>
      </c>
      <c r="O116">
        <f t="shared" si="13"/>
        <v>0.74987465499616801</v>
      </c>
      <c r="P116">
        <f t="shared" si="14"/>
        <v>16.069153065173303</v>
      </c>
      <c r="Q116">
        <f t="shared" si="15"/>
        <v>1.2894739343431716E-4</v>
      </c>
      <c r="R116">
        <f t="shared" si="16"/>
        <v>1.9936238482107056E-3</v>
      </c>
      <c r="S116">
        <f t="shared" si="17"/>
        <v>0</v>
      </c>
    </row>
    <row r="117" spans="1:19" x14ac:dyDescent="0.3">
      <c r="A117" t="s">
        <v>52</v>
      </c>
      <c r="B117">
        <v>2007</v>
      </c>
      <c r="C117">
        <v>2.6186382915720296E-2</v>
      </c>
      <c r="D117">
        <v>4.3320329654610613E-2</v>
      </c>
      <c r="E117">
        <v>-2.3727215912090531E-2</v>
      </c>
      <c r="F117">
        <v>0.36389743462694718</v>
      </c>
      <c r="G117">
        <v>0.78807843734064309</v>
      </c>
      <c r="H117">
        <v>15.036511261232755</v>
      </c>
      <c r="I117">
        <v>2.7660757821268839E-3</v>
      </c>
      <c r="J117">
        <v>0</v>
      </c>
      <c r="K117">
        <f t="shared" si="9"/>
        <v>2.6186382915720296E-2</v>
      </c>
      <c r="L117">
        <f t="shared" si="10"/>
        <v>4.3320329654610613E-2</v>
      </c>
      <c r="M117">
        <f t="shared" si="11"/>
        <v>-2.3727215912090531E-2</v>
      </c>
      <c r="N117">
        <f t="shared" si="12"/>
        <v>0.36389743462694718</v>
      </c>
      <c r="O117">
        <f t="shared" si="13"/>
        <v>0.78807843734064309</v>
      </c>
      <c r="P117">
        <f t="shared" si="14"/>
        <v>15.036511261232755</v>
      </c>
      <c r="Q117">
        <f t="shared" si="15"/>
        <v>2.7660757821268839E-3</v>
      </c>
      <c r="R117">
        <f t="shared" si="16"/>
        <v>0</v>
      </c>
      <c r="S117">
        <f t="shared" si="17"/>
        <v>0</v>
      </c>
    </row>
    <row r="118" spans="1:19" x14ac:dyDescent="0.3">
      <c r="A118" t="s">
        <v>52</v>
      </c>
      <c r="B118">
        <v>2009</v>
      </c>
      <c r="C118">
        <v>3.7535724250393865E-2</v>
      </c>
      <c r="D118">
        <v>2.5317745078089291E-2</v>
      </c>
      <c r="E118">
        <v>-2.8509239647164099E-2</v>
      </c>
      <c r="F118">
        <v>0.68241202586481187</v>
      </c>
      <c r="G118">
        <v>0.80149449215447566</v>
      </c>
      <c r="H118">
        <v>15.271832954603907</v>
      </c>
      <c r="I118">
        <v>8.0488855587174616E-3</v>
      </c>
      <c r="J118">
        <v>0</v>
      </c>
      <c r="K118">
        <f t="shared" si="9"/>
        <v>3.7535724250393865E-2</v>
      </c>
      <c r="L118">
        <f t="shared" si="10"/>
        <v>2.5317745078089291E-2</v>
      </c>
      <c r="M118">
        <f t="shared" si="11"/>
        <v>-2.8509239647164099E-2</v>
      </c>
      <c r="N118">
        <f t="shared" si="12"/>
        <v>0.68241202586481187</v>
      </c>
      <c r="O118">
        <f t="shared" si="13"/>
        <v>0.80149449215447566</v>
      </c>
      <c r="P118">
        <f t="shared" si="14"/>
        <v>15.271832954603907</v>
      </c>
      <c r="Q118">
        <f t="shared" si="15"/>
        <v>8.0488855587174616E-3</v>
      </c>
      <c r="R118">
        <f t="shared" si="16"/>
        <v>0</v>
      </c>
      <c r="S118">
        <f t="shared" si="17"/>
        <v>0</v>
      </c>
    </row>
    <row r="119" spans="1:19" x14ac:dyDescent="0.3">
      <c r="A119" t="s">
        <v>52</v>
      </c>
      <c r="B119">
        <v>2010</v>
      </c>
      <c r="C119">
        <v>9.2060806709169975E-3</v>
      </c>
      <c r="D119">
        <v>5.0645474175514411E-2</v>
      </c>
      <c r="E119">
        <v>-1.3890464747587171E-2</v>
      </c>
      <c r="F119">
        <v>0.66455849884264517</v>
      </c>
      <c r="G119">
        <v>0.78842548096556453</v>
      </c>
      <c r="H119">
        <v>15.326267375438169</v>
      </c>
      <c r="I119">
        <v>5.3349552731772332E-3</v>
      </c>
      <c r="J119">
        <v>4.0883783744408032E-3</v>
      </c>
      <c r="K119">
        <f t="shared" si="9"/>
        <v>9.2060806709169975E-3</v>
      </c>
      <c r="L119">
        <f t="shared" si="10"/>
        <v>5.0645474175514411E-2</v>
      </c>
      <c r="M119">
        <f t="shared" si="11"/>
        <v>-1.3890464747587171E-2</v>
      </c>
      <c r="N119">
        <f t="shared" si="12"/>
        <v>0.66455849884264517</v>
      </c>
      <c r="O119">
        <f t="shared" si="13"/>
        <v>0.78842548096556453</v>
      </c>
      <c r="P119">
        <f t="shared" si="14"/>
        <v>15.326267375438169</v>
      </c>
      <c r="Q119">
        <f t="shared" si="15"/>
        <v>5.3349552731772332E-3</v>
      </c>
      <c r="R119">
        <f t="shared" si="16"/>
        <v>4.0883783744408032E-3</v>
      </c>
      <c r="S119">
        <f t="shared" si="17"/>
        <v>0</v>
      </c>
    </row>
    <row r="120" spans="1:19" x14ac:dyDescent="0.3">
      <c r="A120" t="s">
        <v>53</v>
      </c>
      <c r="B120">
        <v>2007</v>
      </c>
      <c r="C120">
        <v>6.266181702179777E-3</v>
      </c>
      <c r="D120">
        <v>0.15333346625233912</v>
      </c>
      <c r="E120">
        <v>-0.12622938212600152</v>
      </c>
      <c r="F120">
        <v>0.22865866684136021</v>
      </c>
      <c r="G120">
        <v>0.58774050032612624</v>
      </c>
      <c r="H120">
        <v>12.768800728105388</v>
      </c>
      <c r="I120">
        <v>2.0236523565554117E-2</v>
      </c>
      <c r="J120">
        <v>0</v>
      </c>
      <c r="K120">
        <f t="shared" si="9"/>
        <v>6.266181702179777E-3</v>
      </c>
      <c r="L120">
        <f t="shared" si="10"/>
        <v>0.15333346625233912</v>
      </c>
      <c r="M120">
        <f t="shared" si="11"/>
        <v>-0.12622938212600152</v>
      </c>
      <c r="N120">
        <f t="shared" si="12"/>
        <v>0.22865866684136021</v>
      </c>
      <c r="O120">
        <f t="shared" si="13"/>
        <v>0.58774050032612624</v>
      </c>
      <c r="P120">
        <f t="shared" si="14"/>
        <v>12.768800728105388</v>
      </c>
      <c r="Q120">
        <f t="shared" si="15"/>
        <v>2.0236523565554117E-2</v>
      </c>
      <c r="R120">
        <f t="shared" si="16"/>
        <v>0</v>
      </c>
      <c r="S120">
        <f t="shared" si="17"/>
        <v>0</v>
      </c>
    </row>
    <row r="121" spans="1:19" x14ac:dyDescent="0.3">
      <c r="A121" t="s">
        <v>53</v>
      </c>
      <c r="B121">
        <v>2009</v>
      </c>
      <c r="C121">
        <v>2.6088764569496153E-3</v>
      </c>
      <c r="D121">
        <v>8.3601740297137295E-2</v>
      </c>
      <c r="E121">
        <v>-6.1934334775734699E-2</v>
      </c>
      <c r="F121">
        <v>0.34680402826217444</v>
      </c>
      <c r="G121">
        <v>0.5782859093209467</v>
      </c>
      <c r="H121">
        <v>12.44862266724941</v>
      </c>
      <c r="I121">
        <v>1.0555059600675371E-2</v>
      </c>
      <c r="J121">
        <v>0</v>
      </c>
      <c r="K121">
        <f t="shared" si="9"/>
        <v>2.6088764569496153E-3</v>
      </c>
      <c r="L121">
        <f t="shared" si="10"/>
        <v>8.3601740297137295E-2</v>
      </c>
      <c r="M121">
        <f t="shared" si="11"/>
        <v>-6.1934334775734699E-2</v>
      </c>
      <c r="N121">
        <f t="shared" si="12"/>
        <v>0.34680402826217444</v>
      </c>
      <c r="O121">
        <f t="shared" si="13"/>
        <v>0.5782859093209467</v>
      </c>
      <c r="P121">
        <f t="shared" si="14"/>
        <v>12.44862266724941</v>
      </c>
      <c r="Q121">
        <f t="shared" si="15"/>
        <v>1.0555059600675371E-2</v>
      </c>
      <c r="R121">
        <f t="shared" si="16"/>
        <v>0</v>
      </c>
      <c r="S121">
        <f t="shared" si="17"/>
        <v>0</v>
      </c>
    </row>
    <row r="122" spans="1:19" x14ac:dyDescent="0.3">
      <c r="A122" t="s">
        <v>53</v>
      </c>
      <c r="B122">
        <v>2010</v>
      </c>
      <c r="C122">
        <v>1.4262602010597574E-2</v>
      </c>
      <c r="D122">
        <v>4.5510738689891757E-2</v>
      </c>
      <c r="E122">
        <v>-6.5517337329617953E-2</v>
      </c>
      <c r="F122">
        <v>0.34624573175336987</v>
      </c>
      <c r="G122">
        <v>0.52342890760711858</v>
      </c>
      <c r="H122">
        <v>12.435464634633785</v>
      </c>
      <c r="I122">
        <v>1.150483349536564E-2</v>
      </c>
      <c r="J122">
        <v>0</v>
      </c>
      <c r="K122">
        <f t="shared" si="9"/>
        <v>1.4262602010597574E-2</v>
      </c>
      <c r="L122">
        <f t="shared" si="10"/>
        <v>4.5510738689891757E-2</v>
      </c>
      <c r="M122">
        <f t="shared" si="11"/>
        <v>-6.5517337329617953E-2</v>
      </c>
      <c r="N122">
        <f t="shared" si="12"/>
        <v>0.34624573175336987</v>
      </c>
      <c r="O122">
        <f t="shared" si="13"/>
        <v>0.52342890760711858</v>
      </c>
      <c r="P122">
        <f t="shared" si="14"/>
        <v>12.435464634633785</v>
      </c>
      <c r="Q122">
        <f t="shared" si="15"/>
        <v>1.150483349536564E-2</v>
      </c>
      <c r="R122">
        <f t="shared" si="16"/>
        <v>0</v>
      </c>
      <c r="S122">
        <f t="shared" si="17"/>
        <v>0</v>
      </c>
    </row>
    <row r="123" spans="1:19" x14ac:dyDescent="0.3">
      <c r="A123" t="s">
        <v>54</v>
      </c>
      <c r="B123">
        <v>2007</v>
      </c>
      <c r="C123">
        <v>6.0071314464433763E-2</v>
      </c>
      <c r="D123">
        <v>0.148702117190291</v>
      </c>
      <c r="E123">
        <v>-0.72466078445910875</v>
      </c>
      <c r="F123">
        <v>0.11854176075277877</v>
      </c>
      <c r="G123">
        <v>0.95721132133974129</v>
      </c>
      <c r="H123">
        <v>13.293671171435118</v>
      </c>
      <c r="I123">
        <v>1.6732804369852545E-2</v>
      </c>
      <c r="J123">
        <v>0</v>
      </c>
      <c r="K123">
        <f t="shared" si="9"/>
        <v>6.0071314464433763E-2</v>
      </c>
      <c r="L123">
        <f t="shared" si="10"/>
        <v>0.148702117190291</v>
      </c>
      <c r="M123">
        <f t="shared" si="11"/>
        <v>-0.72466078445910875</v>
      </c>
      <c r="N123">
        <f t="shared" si="12"/>
        <v>0.11854176075277877</v>
      </c>
      <c r="O123">
        <f t="shared" si="13"/>
        <v>0.95721132133974129</v>
      </c>
      <c r="P123">
        <f t="shared" si="14"/>
        <v>13.293671171435118</v>
      </c>
      <c r="Q123">
        <f t="shared" si="15"/>
        <v>1.6732804369852545E-2</v>
      </c>
      <c r="R123">
        <f t="shared" si="16"/>
        <v>0</v>
      </c>
      <c r="S123">
        <f t="shared" si="17"/>
        <v>0</v>
      </c>
    </row>
    <row r="124" spans="1:19" x14ac:dyDescent="0.3">
      <c r="A124" t="s">
        <v>54</v>
      </c>
      <c r="B124">
        <v>2009</v>
      </c>
      <c r="C124">
        <v>1.578474836967491E-3</v>
      </c>
      <c r="D124">
        <v>0.14147950697020525</v>
      </c>
      <c r="E124">
        <v>-0.14946931787337403</v>
      </c>
      <c r="F124">
        <v>0.86518377261053847</v>
      </c>
      <c r="G124">
        <v>1.1955453324332035</v>
      </c>
      <c r="H124">
        <v>13.484802675484888</v>
      </c>
      <c r="I124">
        <v>2.5876200214319561E-2</v>
      </c>
      <c r="J124">
        <v>0</v>
      </c>
      <c r="K124">
        <f t="shared" si="9"/>
        <v>1.578474836967491E-3</v>
      </c>
      <c r="L124">
        <f t="shared" si="10"/>
        <v>0.14147950697020525</v>
      </c>
      <c r="M124">
        <f t="shared" si="11"/>
        <v>-0.14946931787337403</v>
      </c>
      <c r="N124">
        <f t="shared" si="12"/>
        <v>0.86518377261053847</v>
      </c>
      <c r="O124">
        <f t="shared" si="13"/>
        <v>1.1955453324332035</v>
      </c>
      <c r="P124">
        <f t="shared" si="14"/>
        <v>13.484802675484888</v>
      </c>
      <c r="Q124">
        <f t="shared" si="15"/>
        <v>2.5876200214319561E-2</v>
      </c>
      <c r="R124">
        <f t="shared" si="16"/>
        <v>0</v>
      </c>
      <c r="S124">
        <f t="shared" si="17"/>
        <v>0</v>
      </c>
    </row>
    <row r="125" spans="1:19" x14ac:dyDescent="0.3">
      <c r="A125" t="s">
        <v>54</v>
      </c>
      <c r="B125">
        <v>2010</v>
      </c>
      <c r="C125">
        <v>1.4188220938976461E-3</v>
      </c>
      <c r="D125">
        <v>7.0023126800130536E-2</v>
      </c>
      <c r="E125">
        <v>-0.14669769157645324</v>
      </c>
      <c r="F125">
        <v>0.90697492941360081</v>
      </c>
      <c r="G125">
        <v>1.2270162171365333</v>
      </c>
      <c r="H125">
        <v>13.465683541925699</v>
      </c>
      <c r="I125">
        <v>9.7258360437317698E-3</v>
      </c>
      <c r="J125">
        <v>0</v>
      </c>
      <c r="K125">
        <f t="shared" si="9"/>
        <v>1.4188220938976461E-3</v>
      </c>
      <c r="L125">
        <f t="shared" si="10"/>
        <v>7.0023126800130536E-2</v>
      </c>
      <c r="M125">
        <f t="shared" si="11"/>
        <v>-0.14669769157645324</v>
      </c>
      <c r="N125">
        <f t="shared" si="12"/>
        <v>0.90697492941360081</v>
      </c>
      <c r="O125">
        <f t="shared" si="13"/>
        <v>1.2270162171365333</v>
      </c>
      <c r="P125">
        <f t="shared" si="14"/>
        <v>13.465683541925699</v>
      </c>
      <c r="Q125">
        <f t="shared" si="15"/>
        <v>9.7258360437317698E-3</v>
      </c>
      <c r="R125">
        <f t="shared" si="16"/>
        <v>0</v>
      </c>
      <c r="S125">
        <f t="shared" si="17"/>
        <v>0</v>
      </c>
    </row>
    <row r="126" spans="1:19" x14ac:dyDescent="0.3">
      <c r="A126" t="s">
        <v>55</v>
      </c>
      <c r="B126">
        <v>2007</v>
      </c>
      <c r="C126">
        <v>2.3945823709090029E-3</v>
      </c>
      <c r="D126">
        <v>5.0328611777954703E-2</v>
      </c>
      <c r="E126">
        <v>-1.1201378020095116</v>
      </c>
      <c r="F126">
        <v>0.38672051197442547</v>
      </c>
      <c r="G126">
        <v>1.5793769242179767</v>
      </c>
      <c r="H126">
        <v>12.707844406495409</v>
      </c>
      <c r="I126">
        <v>1.6221337478277299E-3</v>
      </c>
      <c r="J126">
        <v>0</v>
      </c>
      <c r="K126">
        <f t="shared" si="9"/>
        <v>2.3945823709090029E-3</v>
      </c>
      <c r="L126">
        <f t="shared" si="10"/>
        <v>5.0328611777954703E-2</v>
      </c>
      <c r="M126">
        <f t="shared" si="11"/>
        <v>-1.1201378020095116</v>
      </c>
      <c r="N126">
        <f t="shared" si="12"/>
        <v>0.38672051197442547</v>
      </c>
      <c r="O126">
        <f t="shared" si="13"/>
        <v>1.5793769242179767</v>
      </c>
      <c r="P126">
        <f t="shared" si="14"/>
        <v>12.707844406495409</v>
      </c>
      <c r="Q126">
        <f t="shared" si="15"/>
        <v>1.6221337478277299E-3</v>
      </c>
      <c r="R126">
        <f t="shared" si="16"/>
        <v>0</v>
      </c>
      <c r="S126">
        <f t="shared" si="17"/>
        <v>0</v>
      </c>
    </row>
    <row r="127" spans="1:19" x14ac:dyDescent="0.3">
      <c r="A127" t="s">
        <v>56</v>
      </c>
      <c r="B127">
        <v>2009</v>
      </c>
      <c r="C127">
        <v>6.4429747401843307E-4</v>
      </c>
      <c r="D127">
        <v>3.5055505290047334E-2</v>
      </c>
      <c r="E127">
        <v>0.10326026361929419</v>
      </c>
      <c r="F127">
        <v>0.61581025094054609</v>
      </c>
      <c r="G127">
        <v>0.85708714888007675</v>
      </c>
      <c r="H127">
        <v>14.522074332169042</v>
      </c>
      <c r="I127">
        <v>2.4473443904587892E-2</v>
      </c>
      <c r="J127">
        <v>0</v>
      </c>
      <c r="K127">
        <f t="shared" si="9"/>
        <v>6.4429747401843307E-4</v>
      </c>
      <c r="L127">
        <f t="shared" si="10"/>
        <v>3.5055505290047334E-2</v>
      </c>
      <c r="M127">
        <f t="shared" si="11"/>
        <v>0.10326026361929419</v>
      </c>
      <c r="N127">
        <f t="shared" si="12"/>
        <v>0.61581025094054609</v>
      </c>
      <c r="O127">
        <f t="shared" si="13"/>
        <v>0.85708714888007675</v>
      </c>
      <c r="P127">
        <f t="shared" si="14"/>
        <v>14.522074332169042</v>
      </c>
      <c r="Q127">
        <f t="shared" si="15"/>
        <v>2.4473443904587892E-2</v>
      </c>
      <c r="R127">
        <f t="shared" si="16"/>
        <v>0</v>
      </c>
      <c r="S127">
        <f t="shared" si="17"/>
        <v>0</v>
      </c>
    </row>
    <row r="128" spans="1:19" x14ac:dyDescent="0.3">
      <c r="A128" t="s">
        <v>56</v>
      </c>
      <c r="B128">
        <v>2010</v>
      </c>
      <c r="C128">
        <v>4.5374676387699838E-3</v>
      </c>
      <c r="D128">
        <v>0.11613916126614275</v>
      </c>
      <c r="E128">
        <v>9.9340255450234144E-2</v>
      </c>
      <c r="F128">
        <v>0.69423363036890851</v>
      </c>
      <c r="G128">
        <v>0.90916552238475024</v>
      </c>
      <c r="H128">
        <v>14.430182010829371</v>
      </c>
      <c r="I128">
        <v>2.3342296268798052E-3</v>
      </c>
      <c r="J128">
        <v>0</v>
      </c>
      <c r="K128">
        <f t="shared" si="9"/>
        <v>4.5374676387699838E-3</v>
      </c>
      <c r="L128">
        <f t="shared" si="10"/>
        <v>0.11613916126614275</v>
      </c>
      <c r="M128">
        <f t="shared" si="11"/>
        <v>9.9340255450234144E-2</v>
      </c>
      <c r="N128">
        <f t="shared" si="12"/>
        <v>0.69423363036890851</v>
      </c>
      <c r="O128">
        <f t="shared" si="13"/>
        <v>0.90916552238475024</v>
      </c>
      <c r="P128">
        <f t="shared" si="14"/>
        <v>14.430182010829371</v>
      </c>
      <c r="Q128">
        <f t="shared" si="15"/>
        <v>2.3342296268798052E-3</v>
      </c>
      <c r="R128">
        <f t="shared" si="16"/>
        <v>0</v>
      </c>
      <c r="S128">
        <f t="shared" si="17"/>
        <v>0</v>
      </c>
    </row>
    <row r="129" spans="1:19" x14ac:dyDescent="0.3">
      <c r="A129" t="s">
        <v>57</v>
      </c>
      <c r="B129">
        <v>2007</v>
      </c>
      <c r="C129">
        <v>8.7465429657221511E-3</v>
      </c>
      <c r="D129">
        <v>0.10731473765081834</v>
      </c>
      <c r="E129">
        <v>-0.25044816182988777</v>
      </c>
      <c r="F129">
        <v>0.4208781316726436</v>
      </c>
      <c r="G129">
        <v>0.82184100511585401</v>
      </c>
      <c r="H129">
        <v>13.970415524674214</v>
      </c>
      <c r="I129">
        <v>2.4807448767315127E-2</v>
      </c>
      <c r="J129">
        <v>0</v>
      </c>
      <c r="K129">
        <f t="shared" si="9"/>
        <v>8.7465429657221511E-3</v>
      </c>
      <c r="L129">
        <f t="shared" si="10"/>
        <v>0.10731473765081834</v>
      </c>
      <c r="M129">
        <f t="shared" si="11"/>
        <v>-0.25044816182988777</v>
      </c>
      <c r="N129">
        <f t="shared" si="12"/>
        <v>0.4208781316726436</v>
      </c>
      <c r="O129">
        <f t="shared" si="13"/>
        <v>0.82184100511585401</v>
      </c>
      <c r="P129">
        <f t="shared" si="14"/>
        <v>13.970415524674214</v>
      </c>
      <c r="Q129">
        <f t="shared" si="15"/>
        <v>2.4807448767315127E-2</v>
      </c>
      <c r="R129">
        <f t="shared" si="16"/>
        <v>0</v>
      </c>
      <c r="S129">
        <f t="shared" si="17"/>
        <v>0</v>
      </c>
    </row>
    <row r="130" spans="1:19" x14ac:dyDescent="0.3">
      <c r="A130" t="s">
        <v>57</v>
      </c>
      <c r="B130">
        <v>2008</v>
      </c>
      <c r="C130">
        <v>1.1360403641713524E-2</v>
      </c>
      <c r="D130">
        <v>0.1926377073391024</v>
      </c>
      <c r="E130">
        <v>-0.37771370468396015</v>
      </c>
      <c r="F130">
        <v>0.43719058156816759</v>
      </c>
      <c r="G130">
        <v>0.93278443493258401</v>
      </c>
      <c r="H130">
        <v>13.878582066064226</v>
      </c>
      <c r="I130">
        <v>4.0563358513548461E-2</v>
      </c>
      <c r="J130">
        <v>0</v>
      </c>
      <c r="K130">
        <f t="shared" si="9"/>
        <v>1.1360403641713524E-2</v>
      </c>
      <c r="L130">
        <f t="shared" si="10"/>
        <v>0.1926377073391024</v>
      </c>
      <c r="M130">
        <f t="shared" si="11"/>
        <v>-0.37771370468396015</v>
      </c>
      <c r="N130">
        <f t="shared" si="12"/>
        <v>0.43719058156816759</v>
      </c>
      <c r="O130">
        <f t="shared" si="13"/>
        <v>0.93278443493258401</v>
      </c>
      <c r="P130">
        <f t="shared" si="14"/>
        <v>13.878582066064226</v>
      </c>
      <c r="Q130">
        <f t="shared" si="15"/>
        <v>4.0563358513548461E-2</v>
      </c>
      <c r="R130">
        <f t="shared" si="16"/>
        <v>0</v>
      </c>
      <c r="S130">
        <f t="shared" si="17"/>
        <v>0</v>
      </c>
    </row>
    <row r="131" spans="1:19" x14ac:dyDescent="0.3">
      <c r="A131" t="s">
        <v>57</v>
      </c>
      <c r="B131">
        <v>2009</v>
      </c>
      <c r="C131">
        <v>4.0568591376739117E-3</v>
      </c>
      <c r="D131">
        <v>4.8683681603097315E-2</v>
      </c>
      <c r="E131">
        <v>-0.14880729438913196</v>
      </c>
      <c r="F131">
        <v>0.56628032526214556</v>
      </c>
      <c r="G131">
        <v>0.79590088477120657</v>
      </c>
      <c r="H131">
        <v>14.19242391658301</v>
      </c>
      <c r="I131">
        <v>1.4009936970480483E-2</v>
      </c>
      <c r="J131">
        <v>0</v>
      </c>
      <c r="K131">
        <f t="shared" ref="K131:K194" si="18">IF(OR(C131&lt;$C$1007-3*$C$1008,C131&gt;$C$1007+3*$C$1008),"out",C131)</f>
        <v>4.0568591376739117E-3</v>
      </c>
      <c r="L131">
        <f t="shared" ref="L131:L194" si="19">IF(OR(D131&lt;$D$1007-3*$D$1008,D131&gt;$D$1007+3*$D$1008),"out",D131)</f>
        <v>4.8683681603097315E-2</v>
      </c>
      <c r="M131">
        <f t="shared" ref="M131:M194" si="20">IF(OR(E131&lt;$E$1007-3*$E$1008,E131&gt;$E$1007+3*$E$1008),"out",E131)</f>
        <v>-0.14880729438913196</v>
      </c>
      <c r="N131">
        <f t="shared" ref="N131:N194" si="21">IF(OR(F131&lt;$F$1007-3*$F$1008,F131&gt;$F$1007+3*$F$1008),"out",F131)</f>
        <v>0.56628032526214556</v>
      </c>
      <c r="O131">
        <f t="shared" ref="O131:O194" si="22">IF(OR(G131&lt;$G$1007-3*$G$1008,G131&gt;$G$1007+3*$G$1008),"out",G131)</f>
        <v>0.79590088477120657</v>
      </c>
      <c r="P131">
        <f t="shared" ref="P131:P194" si="23">IF(OR(H131&lt;$H$1007-3*$H$1008,H131&gt;$H$1007+3*$H$1008),"out",H131)</f>
        <v>14.19242391658301</v>
      </c>
      <c r="Q131">
        <f t="shared" ref="Q131:Q194" si="24">IF(OR(I131&lt;$I$1007-3*$I$1008,I131&gt;$I$1007+3*$I$1008),"out",I131)</f>
        <v>1.4009936970480483E-2</v>
      </c>
      <c r="R131">
        <f t="shared" ref="R131:R194" si="25">IF(OR(J131&lt;$J$1007-3*$J$1008,J131&gt;$J$1007+3*$J$1008),"out",J131)</f>
        <v>0</v>
      </c>
      <c r="S131">
        <f t="shared" ref="S131:S194" si="26">IF(OR(K131="ot",L131="out",M131="out",N131="out",O131="out",P131="out",Q131="out",R131="out"),1,0)</f>
        <v>0</v>
      </c>
    </row>
    <row r="132" spans="1:19" x14ac:dyDescent="0.3">
      <c r="A132" t="s">
        <v>57</v>
      </c>
      <c r="B132">
        <v>2010</v>
      </c>
      <c r="C132">
        <v>4.4244136729075052E-3</v>
      </c>
      <c r="D132">
        <v>0.10509303355693039</v>
      </c>
      <c r="E132">
        <v>-0.25660151760356442</v>
      </c>
      <c r="F132">
        <v>0.59425094017885838</v>
      </c>
      <c r="G132">
        <v>0.88579251504720435</v>
      </c>
      <c r="H132">
        <v>14.138790442628046</v>
      </c>
      <c r="I132">
        <v>1.221315913128615E-3</v>
      </c>
      <c r="J132">
        <v>0</v>
      </c>
      <c r="K132">
        <f t="shared" si="18"/>
        <v>4.4244136729075052E-3</v>
      </c>
      <c r="L132">
        <f t="shared" si="19"/>
        <v>0.10509303355693039</v>
      </c>
      <c r="M132">
        <f t="shared" si="20"/>
        <v>-0.25660151760356442</v>
      </c>
      <c r="N132">
        <f t="shared" si="21"/>
        <v>0.59425094017885838</v>
      </c>
      <c r="O132">
        <f t="shared" si="22"/>
        <v>0.88579251504720435</v>
      </c>
      <c r="P132">
        <f t="shared" si="23"/>
        <v>14.138790442628046</v>
      </c>
      <c r="Q132">
        <f t="shared" si="24"/>
        <v>1.221315913128615E-3</v>
      </c>
      <c r="R132">
        <f t="shared" si="25"/>
        <v>0</v>
      </c>
      <c r="S132">
        <f t="shared" si="26"/>
        <v>0</v>
      </c>
    </row>
    <row r="133" spans="1:19" x14ac:dyDescent="0.3">
      <c r="A133" t="s">
        <v>58</v>
      </c>
      <c r="B133">
        <v>2007</v>
      </c>
      <c r="C133">
        <v>5.3909963115743968E-2</v>
      </c>
      <c r="D133">
        <v>7.7894963791204822E-2</v>
      </c>
      <c r="E133">
        <v>-0.16868508923588321</v>
      </c>
      <c r="F133">
        <v>0.11858090451712737</v>
      </c>
      <c r="G133">
        <v>0.90332449548532889</v>
      </c>
      <c r="H133">
        <v>13.504673124079206</v>
      </c>
      <c r="I133">
        <v>1.295807446988053E-2</v>
      </c>
      <c r="J133">
        <v>0</v>
      </c>
      <c r="K133">
        <f t="shared" si="18"/>
        <v>5.3909963115743968E-2</v>
      </c>
      <c r="L133">
        <f t="shared" si="19"/>
        <v>7.7894963791204822E-2</v>
      </c>
      <c r="M133">
        <f t="shared" si="20"/>
        <v>-0.16868508923588321</v>
      </c>
      <c r="N133">
        <f t="shared" si="21"/>
        <v>0.11858090451712737</v>
      </c>
      <c r="O133">
        <f t="shared" si="22"/>
        <v>0.90332449548532889</v>
      </c>
      <c r="P133">
        <f t="shared" si="23"/>
        <v>13.504673124079206</v>
      </c>
      <c r="Q133">
        <f t="shared" si="24"/>
        <v>1.295807446988053E-2</v>
      </c>
      <c r="R133">
        <f t="shared" si="25"/>
        <v>0</v>
      </c>
      <c r="S133">
        <f t="shared" si="26"/>
        <v>0</v>
      </c>
    </row>
    <row r="134" spans="1:19" x14ac:dyDescent="0.3">
      <c r="A134" t="s">
        <v>58</v>
      </c>
      <c r="B134">
        <v>2009</v>
      </c>
      <c r="C134">
        <v>4.4026321228684247E-3</v>
      </c>
      <c r="D134">
        <v>7.0642049392155778E-2</v>
      </c>
      <c r="E134">
        <v>-0.10329501687968345</v>
      </c>
      <c r="F134">
        <v>0.85008220318032424</v>
      </c>
      <c r="G134">
        <v>0.98014614198927652</v>
      </c>
      <c r="H134">
        <v>13.514728386008782</v>
      </c>
      <c r="I134">
        <v>3.1502310701827393E-2</v>
      </c>
      <c r="J134">
        <v>0</v>
      </c>
      <c r="K134">
        <f t="shared" si="18"/>
        <v>4.4026321228684247E-3</v>
      </c>
      <c r="L134">
        <f t="shared" si="19"/>
        <v>7.0642049392155778E-2</v>
      </c>
      <c r="M134">
        <f t="shared" si="20"/>
        <v>-0.10329501687968345</v>
      </c>
      <c r="N134">
        <f t="shared" si="21"/>
        <v>0.85008220318032424</v>
      </c>
      <c r="O134">
        <f t="shared" si="22"/>
        <v>0.98014614198927652</v>
      </c>
      <c r="P134">
        <f t="shared" si="23"/>
        <v>13.514728386008782</v>
      </c>
      <c r="Q134">
        <f t="shared" si="24"/>
        <v>3.1502310701827393E-2</v>
      </c>
      <c r="R134">
        <f t="shared" si="25"/>
        <v>0</v>
      </c>
      <c r="S134">
        <f t="shared" si="26"/>
        <v>0</v>
      </c>
    </row>
    <row r="135" spans="1:19" x14ac:dyDescent="0.3">
      <c r="A135" t="s">
        <v>58</v>
      </c>
      <c r="B135">
        <v>2010</v>
      </c>
      <c r="C135">
        <v>3.4617574346296275E-2</v>
      </c>
      <c r="D135">
        <v>0.15366012535519014</v>
      </c>
      <c r="E135">
        <v>-6.4279156365725301E-2</v>
      </c>
      <c r="F135">
        <v>0.69500964270693355</v>
      </c>
      <c r="G135">
        <v>0.93334094149749192</v>
      </c>
      <c r="H135">
        <v>13.566874824489123</v>
      </c>
      <c r="I135">
        <v>3.8213462733719929E-2</v>
      </c>
      <c r="J135">
        <v>0</v>
      </c>
      <c r="K135">
        <f t="shared" si="18"/>
        <v>3.4617574346296275E-2</v>
      </c>
      <c r="L135">
        <f t="shared" si="19"/>
        <v>0.15366012535519014</v>
      </c>
      <c r="M135">
        <f t="shared" si="20"/>
        <v>-6.4279156365725301E-2</v>
      </c>
      <c r="N135">
        <f t="shared" si="21"/>
        <v>0.69500964270693355</v>
      </c>
      <c r="O135">
        <f t="shared" si="22"/>
        <v>0.93334094149749192</v>
      </c>
      <c r="P135">
        <f t="shared" si="23"/>
        <v>13.566874824489123</v>
      </c>
      <c r="Q135">
        <f t="shared" si="24"/>
        <v>3.8213462733719929E-2</v>
      </c>
      <c r="R135">
        <f t="shared" si="25"/>
        <v>0</v>
      </c>
      <c r="S135">
        <f t="shared" si="26"/>
        <v>0</v>
      </c>
    </row>
    <row r="136" spans="1:19" x14ac:dyDescent="0.3">
      <c r="A136" t="s">
        <v>59</v>
      </c>
      <c r="B136">
        <v>2007</v>
      </c>
      <c r="C136">
        <v>3.7343753114969798E-2</v>
      </c>
      <c r="D136">
        <v>4.4957522491861919E-2</v>
      </c>
      <c r="E136">
        <v>-0.11437343183520493</v>
      </c>
      <c r="F136">
        <v>0.17792137887431045</v>
      </c>
      <c r="G136">
        <v>0.74258931953395779</v>
      </c>
      <c r="H136">
        <v>14.378341172801639</v>
      </c>
      <c r="I136">
        <v>2.8266810686927712E-4</v>
      </c>
      <c r="J136">
        <v>0</v>
      </c>
      <c r="K136">
        <f t="shared" si="18"/>
        <v>3.7343753114969798E-2</v>
      </c>
      <c r="L136">
        <f t="shared" si="19"/>
        <v>4.4957522491861919E-2</v>
      </c>
      <c r="M136">
        <f t="shared" si="20"/>
        <v>-0.11437343183520493</v>
      </c>
      <c r="N136">
        <f t="shared" si="21"/>
        <v>0.17792137887431045</v>
      </c>
      <c r="O136">
        <f t="shared" si="22"/>
        <v>0.74258931953395779</v>
      </c>
      <c r="P136">
        <f t="shared" si="23"/>
        <v>14.378341172801639</v>
      </c>
      <c r="Q136">
        <f t="shared" si="24"/>
        <v>2.8266810686927712E-4</v>
      </c>
      <c r="R136">
        <f t="shared" si="25"/>
        <v>0</v>
      </c>
      <c r="S136">
        <f t="shared" si="26"/>
        <v>0</v>
      </c>
    </row>
    <row r="137" spans="1:19" x14ac:dyDescent="0.3">
      <c r="A137" t="s">
        <v>59</v>
      </c>
      <c r="B137">
        <v>2008</v>
      </c>
      <c r="C137">
        <v>5.1307085500017689E-2</v>
      </c>
      <c r="D137">
        <v>4.5494559916718462E-2</v>
      </c>
      <c r="E137">
        <v>-3.0610512272403391E-2</v>
      </c>
      <c r="F137">
        <v>0.22029482067686462</v>
      </c>
      <c r="G137">
        <v>0.72762592036708562</v>
      </c>
      <c r="H137">
        <v>14.498016318924225</v>
      </c>
      <c r="I137">
        <v>2.2756764733858677E-3</v>
      </c>
      <c r="J137">
        <v>0</v>
      </c>
      <c r="K137">
        <f t="shared" si="18"/>
        <v>5.1307085500017689E-2</v>
      </c>
      <c r="L137">
        <f t="shared" si="19"/>
        <v>4.5494559916718462E-2</v>
      </c>
      <c r="M137">
        <f t="shared" si="20"/>
        <v>-3.0610512272403391E-2</v>
      </c>
      <c r="N137">
        <f t="shared" si="21"/>
        <v>0.22029482067686462</v>
      </c>
      <c r="O137">
        <f t="shared" si="22"/>
        <v>0.72762592036708562</v>
      </c>
      <c r="P137">
        <f t="shared" si="23"/>
        <v>14.498016318924225</v>
      </c>
      <c r="Q137">
        <f t="shared" si="24"/>
        <v>2.2756764733858677E-3</v>
      </c>
      <c r="R137">
        <f t="shared" si="25"/>
        <v>0</v>
      </c>
      <c r="S137">
        <f t="shared" si="26"/>
        <v>0</v>
      </c>
    </row>
    <row r="138" spans="1:19" x14ac:dyDescent="0.3">
      <c r="A138" t="s">
        <v>59</v>
      </c>
      <c r="B138">
        <v>2009</v>
      </c>
      <c r="C138">
        <v>1.6869508887443256E-2</v>
      </c>
      <c r="D138">
        <v>4.4753166766503004E-2</v>
      </c>
      <c r="E138">
        <v>8.5062748917191372E-3</v>
      </c>
      <c r="F138">
        <v>0.48163349414929851</v>
      </c>
      <c r="G138">
        <v>0.71388440432235611</v>
      </c>
      <c r="H138">
        <v>14.416900389934099</v>
      </c>
      <c r="I138">
        <v>7.3957001103907337E-3</v>
      </c>
      <c r="J138">
        <v>0</v>
      </c>
      <c r="K138">
        <f t="shared" si="18"/>
        <v>1.6869508887443256E-2</v>
      </c>
      <c r="L138">
        <f t="shared" si="19"/>
        <v>4.4753166766503004E-2</v>
      </c>
      <c r="M138">
        <f t="shared" si="20"/>
        <v>8.5062748917191372E-3</v>
      </c>
      <c r="N138">
        <f t="shared" si="21"/>
        <v>0.48163349414929851</v>
      </c>
      <c r="O138">
        <f t="shared" si="22"/>
        <v>0.71388440432235611</v>
      </c>
      <c r="P138">
        <f t="shared" si="23"/>
        <v>14.416900389934099</v>
      </c>
      <c r="Q138">
        <f t="shared" si="24"/>
        <v>7.3957001103907337E-3</v>
      </c>
      <c r="R138">
        <f t="shared" si="25"/>
        <v>0</v>
      </c>
      <c r="S138">
        <f t="shared" si="26"/>
        <v>0</v>
      </c>
    </row>
    <row r="139" spans="1:19" x14ac:dyDescent="0.3">
      <c r="A139" t="s">
        <v>59</v>
      </c>
      <c r="B139">
        <v>2010</v>
      </c>
      <c r="C139">
        <v>2.5078811813934451E-2</v>
      </c>
      <c r="D139">
        <v>6.4257753819760427E-2</v>
      </c>
      <c r="E139">
        <v>3.6838535929043244E-2</v>
      </c>
      <c r="F139">
        <v>0.41243561161886433</v>
      </c>
      <c r="G139">
        <v>0.63945255180461635</v>
      </c>
      <c r="H139">
        <v>14.42380112926336</v>
      </c>
      <c r="I139">
        <v>9.5045313440088198E-3</v>
      </c>
      <c r="J139">
        <v>9.8231741566918197E-3</v>
      </c>
      <c r="K139">
        <f t="shared" si="18"/>
        <v>2.5078811813934451E-2</v>
      </c>
      <c r="L139">
        <f t="shared" si="19"/>
        <v>6.4257753819760427E-2</v>
      </c>
      <c r="M139">
        <f t="shared" si="20"/>
        <v>3.6838535929043244E-2</v>
      </c>
      <c r="N139">
        <f t="shared" si="21"/>
        <v>0.41243561161886433</v>
      </c>
      <c r="O139">
        <f t="shared" si="22"/>
        <v>0.63945255180461635</v>
      </c>
      <c r="P139">
        <f t="shared" si="23"/>
        <v>14.42380112926336</v>
      </c>
      <c r="Q139">
        <f t="shared" si="24"/>
        <v>9.5045313440088198E-3</v>
      </c>
      <c r="R139">
        <f t="shared" si="25"/>
        <v>9.8231741566918197E-3</v>
      </c>
      <c r="S139">
        <f t="shared" si="26"/>
        <v>0</v>
      </c>
    </row>
    <row r="140" spans="1:19" x14ac:dyDescent="0.3">
      <c r="A140" t="s">
        <v>60</v>
      </c>
      <c r="B140">
        <v>2007</v>
      </c>
      <c r="C140">
        <v>6.1631336224883156E-3</v>
      </c>
      <c r="D140">
        <v>0.13020622229324169</v>
      </c>
      <c r="E140">
        <v>0.10122937997756602</v>
      </c>
      <c r="F140">
        <v>0.1737240022724236</v>
      </c>
      <c r="G140">
        <v>0.89810262802469265</v>
      </c>
      <c r="H140">
        <v>15.715169267559782</v>
      </c>
      <c r="I140">
        <v>2.076829954232106E-2</v>
      </c>
      <c r="J140">
        <v>0</v>
      </c>
      <c r="K140">
        <f t="shared" si="18"/>
        <v>6.1631336224883156E-3</v>
      </c>
      <c r="L140">
        <f t="shared" si="19"/>
        <v>0.13020622229324169</v>
      </c>
      <c r="M140">
        <f t="shared" si="20"/>
        <v>0.10122937997756602</v>
      </c>
      <c r="N140">
        <f t="shared" si="21"/>
        <v>0.1737240022724236</v>
      </c>
      <c r="O140">
        <f t="shared" si="22"/>
        <v>0.89810262802469265</v>
      </c>
      <c r="P140">
        <f t="shared" si="23"/>
        <v>15.715169267559782</v>
      </c>
      <c r="Q140">
        <f t="shared" si="24"/>
        <v>2.076829954232106E-2</v>
      </c>
      <c r="R140">
        <f t="shared" si="25"/>
        <v>0</v>
      </c>
      <c r="S140">
        <f t="shared" si="26"/>
        <v>0</v>
      </c>
    </row>
    <row r="141" spans="1:19" x14ac:dyDescent="0.3">
      <c r="A141" t="s">
        <v>60</v>
      </c>
      <c r="B141">
        <v>2009</v>
      </c>
      <c r="C141">
        <v>9.3798086347410478E-3</v>
      </c>
      <c r="D141">
        <v>8.1755799667456663E-2</v>
      </c>
      <c r="E141">
        <v>6.2272652446779186E-3</v>
      </c>
      <c r="F141">
        <v>0.53997180476694062</v>
      </c>
      <c r="G141">
        <v>1.1444467786231112</v>
      </c>
      <c r="H141">
        <v>15.780060473581276</v>
      </c>
      <c r="I141">
        <v>8.0007544573702613E-2</v>
      </c>
      <c r="J141">
        <v>3.8014768424143352E-3</v>
      </c>
      <c r="K141">
        <f t="shared" si="18"/>
        <v>9.3798086347410478E-3</v>
      </c>
      <c r="L141">
        <f t="shared" si="19"/>
        <v>8.1755799667456663E-2</v>
      </c>
      <c r="M141">
        <f t="shared" si="20"/>
        <v>6.2272652446779186E-3</v>
      </c>
      <c r="N141">
        <f t="shared" si="21"/>
        <v>0.53997180476694062</v>
      </c>
      <c r="O141">
        <f t="shared" si="22"/>
        <v>1.1444467786231112</v>
      </c>
      <c r="P141">
        <f t="shared" si="23"/>
        <v>15.780060473581276</v>
      </c>
      <c r="Q141">
        <f t="shared" si="24"/>
        <v>8.0007544573702613E-2</v>
      </c>
      <c r="R141">
        <f t="shared" si="25"/>
        <v>3.8014768424143352E-3</v>
      </c>
      <c r="S141">
        <f t="shared" si="26"/>
        <v>0</v>
      </c>
    </row>
    <row r="142" spans="1:19" x14ac:dyDescent="0.3">
      <c r="A142" t="s">
        <v>60</v>
      </c>
      <c r="B142">
        <v>2010</v>
      </c>
      <c r="C142">
        <v>9.9808058101580645E-3</v>
      </c>
      <c r="D142">
        <v>0.32940333461044846</v>
      </c>
      <c r="E142">
        <v>0.13554057630983668</v>
      </c>
      <c r="F142">
        <v>0.25593141675771935</v>
      </c>
      <c r="G142">
        <v>1.2336404221194415</v>
      </c>
      <c r="H142">
        <v>15.752829767489498</v>
      </c>
      <c r="I142">
        <v>9.189348794247626E-3</v>
      </c>
      <c r="J142">
        <v>1.3021242713203415E-2</v>
      </c>
      <c r="K142">
        <f t="shared" si="18"/>
        <v>9.9808058101580645E-3</v>
      </c>
      <c r="L142">
        <f t="shared" si="19"/>
        <v>0.32940333461044846</v>
      </c>
      <c r="M142">
        <f t="shared" si="20"/>
        <v>0.13554057630983668</v>
      </c>
      <c r="N142">
        <f t="shared" si="21"/>
        <v>0.25593141675771935</v>
      </c>
      <c r="O142">
        <f t="shared" si="22"/>
        <v>1.2336404221194415</v>
      </c>
      <c r="P142">
        <f t="shared" si="23"/>
        <v>15.752829767489498</v>
      </c>
      <c r="Q142">
        <f t="shared" si="24"/>
        <v>9.189348794247626E-3</v>
      </c>
      <c r="R142">
        <f t="shared" si="25"/>
        <v>1.3021242713203415E-2</v>
      </c>
      <c r="S142">
        <f t="shared" si="26"/>
        <v>0</v>
      </c>
    </row>
    <row r="143" spans="1:19" x14ac:dyDescent="0.3">
      <c r="A143" t="s">
        <v>61</v>
      </c>
      <c r="B143">
        <v>2007</v>
      </c>
      <c r="C143">
        <v>4.5367156327943754E-2</v>
      </c>
      <c r="D143">
        <v>3.7318891636985069E-2</v>
      </c>
      <c r="E143">
        <v>-5.6606742457023719E-2</v>
      </c>
      <c r="F143">
        <v>0.37633791258995974</v>
      </c>
      <c r="G143">
        <v>0.83083882606775328</v>
      </c>
      <c r="H143">
        <v>14.512778735539772</v>
      </c>
      <c r="I143">
        <v>2.0878861817615751E-4</v>
      </c>
      <c r="J143">
        <v>0</v>
      </c>
      <c r="K143">
        <f t="shared" si="18"/>
        <v>4.5367156327943754E-2</v>
      </c>
      <c r="L143">
        <f t="shared" si="19"/>
        <v>3.7318891636985069E-2</v>
      </c>
      <c r="M143">
        <f t="shared" si="20"/>
        <v>-5.6606742457023719E-2</v>
      </c>
      <c r="N143">
        <f t="shared" si="21"/>
        <v>0.37633791258995974</v>
      </c>
      <c r="O143">
        <f t="shared" si="22"/>
        <v>0.83083882606775328</v>
      </c>
      <c r="P143">
        <f t="shared" si="23"/>
        <v>14.512778735539772</v>
      </c>
      <c r="Q143">
        <f t="shared" si="24"/>
        <v>2.0878861817615751E-4</v>
      </c>
      <c r="R143">
        <f t="shared" si="25"/>
        <v>0</v>
      </c>
      <c r="S143">
        <f t="shared" si="26"/>
        <v>0</v>
      </c>
    </row>
    <row r="144" spans="1:19" x14ac:dyDescent="0.3">
      <c r="A144" t="s">
        <v>61</v>
      </c>
      <c r="B144">
        <v>2009</v>
      </c>
      <c r="C144">
        <v>4.846197139756734E-3</v>
      </c>
      <c r="D144">
        <v>4.2607056670391788E-2</v>
      </c>
      <c r="E144">
        <v>-4.5450496412548788E-4</v>
      </c>
      <c r="F144">
        <v>0.67286625609380823</v>
      </c>
      <c r="G144">
        <v>0.80223922145020488</v>
      </c>
      <c r="H144">
        <v>14.496471790540296</v>
      </c>
      <c r="I144">
        <v>1.3486661991625737E-2</v>
      </c>
      <c r="J144">
        <v>0</v>
      </c>
      <c r="K144">
        <f t="shared" si="18"/>
        <v>4.846197139756734E-3</v>
      </c>
      <c r="L144">
        <f t="shared" si="19"/>
        <v>4.2607056670391788E-2</v>
      </c>
      <c r="M144">
        <f t="shared" si="20"/>
        <v>-4.5450496412548788E-4</v>
      </c>
      <c r="N144">
        <f t="shared" si="21"/>
        <v>0.67286625609380823</v>
      </c>
      <c r="O144">
        <f t="shared" si="22"/>
        <v>0.80223922145020488</v>
      </c>
      <c r="P144">
        <f t="shared" si="23"/>
        <v>14.496471790540296</v>
      </c>
      <c r="Q144">
        <f t="shared" si="24"/>
        <v>1.3486661991625737E-2</v>
      </c>
      <c r="R144">
        <f t="shared" si="25"/>
        <v>0</v>
      </c>
      <c r="S144">
        <f t="shared" si="26"/>
        <v>0</v>
      </c>
    </row>
    <row r="145" spans="1:19" x14ac:dyDescent="0.3">
      <c r="A145" t="s">
        <v>61</v>
      </c>
      <c r="B145">
        <v>2010</v>
      </c>
      <c r="C145">
        <v>6.286451415421784E-3</v>
      </c>
      <c r="D145">
        <v>8.5262559511120592E-2</v>
      </c>
      <c r="E145">
        <v>4.4391059803551812E-2</v>
      </c>
      <c r="F145">
        <v>0.56480822524310048</v>
      </c>
      <c r="G145">
        <v>0.77708093512399634</v>
      </c>
      <c r="H145">
        <v>14.41954779745215</v>
      </c>
      <c r="I145">
        <v>1.1535701026417926E-2</v>
      </c>
      <c r="J145">
        <v>4.2241280356820751E-3</v>
      </c>
      <c r="K145">
        <f t="shared" si="18"/>
        <v>6.286451415421784E-3</v>
      </c>
      <c r="L145">
        <f t="shared" si="19"/>
        <v>8.5262559511120592E-2</v>
      </c>
      <c r="M145">
        <f t="shared" si="20"/>
        <v>4.4391059803551812E-2</v>
      </c>
      <c r="N145">
        <f t="shared" si="21"/>
        <v>0.56480822524310048</v>
      </c>
      <c r="O145">
        <f t="shared" si="22"/>
        <v>0.77708093512399634</v>
      </c>
      <c r="P145">
        <f t="shared" si="23"/>
        <v>14.41954779745215</v>
      </c>
      <c r="Q145">
        <f t="shared" si="24"/>
        <v>1.1535701026417926E-2</v>
      </c>
      <c r="R145">
        <f t="shared" si="25"/>
        <v>4.2241280356820751E-3</v>
      </c>
      <c r="S145">
        <f t="shared" si="26"/>
        <v>0</v>
      </c>
    </row>
    <row r="146" spans="1:19" x14ac:dyDescent="0.3">
      <c r="A146" t="s">
        <v>62</v>
      </c>
      <c r="B146">
        <v>2007</v>
      </c>
      <c r="C146">
        <v>1.4107029149749493E-3</v>
      </c>
      <c r="D146">
        <v>5.4659107428405289E-2</v>
      </c>
      <c r="E146">
        <v>-0.31718088733008604</v>
      </c>
      <c r="F146">
        <v>0.1854634128363728</v>
      </c>
      <c r="G146">
        <v>0.81342583777121225</v>
      </c>
      <c r="H146">
        <v>13.098908448567329</v>
      </c>
      <c r="I146">
        <v>3.7808941987230449E-3</v>
      </c>
      <c r="J146">
        <v>0</v>
      </c>
      <c r="K146">
        <f t="shared" si="18"/>
        <v>1.4107029149749493E-3</v>
      </c>
      <c r="L146">
        <f t="shared" si="19"/>
        <v>5.4659107428405289E-2</v>
      </c>
      <c r="M146">
        <f t="shared" si="20"/>
        <v>-0.31718088733008604</v>
      </c>
      <c r="N146">
        <f t="shared" si="21"/>
        <v>0.1854634128363728</v>
      </c>
      <c r="O146">
        <f t="shared" si="22"/>
        <v>0.81342583777121225</v>
      </c>
      <c r="P146">
        <f t="shared" si="23"/>
        <v>13.098908448567329</v>
      </c>
      <c r="Q146">
        <f t="shared" si="24"/>
        <v>3.7808941987230449E-3</v>
      </c>
      <c r="R146">
        <f t="shared" si="25"/>
        <v>0</v>
      </c>
      <c r="S146">
        <f t="shared" si="26"/>
        <v>0</v>
      </c>
    </row>
    <row r="147" spans="1:19" x14ac:dyDescent="0.3">
      <c r="A147" t="s">
        <v>63</v>
      </c>
      <c r="B147">
        <v>2007</v>
      </c>
      <c r="C147">
        <v>2.6621358619187706E-2</v>
      </c>
      <c r="D147">
        <v>5.2440723315553495E-2</v>
      </c>
      <c r="E147">
        <v>-7.2612714138714993E-2</v>
      </c>
      <c r="F147">
        <v>0.39841122238392696</v>
      </c>
      <c r="G147">
        <v>0.79688582072439873</v>
      </c>
      <c r="H147">
        <v>13.673759187989676</v>
      </c>
      <c r="I147">
        <v>2.2317591700902334E-4</v>
      </c>
      <c r="J147">
        <v>1.4403626487462507E-3</v>
      </c>
      <c r="K147">
        <f t="shared" si="18"/>
        <v>2.6621358619187706E-2</v>
      </c>
      <c r="L147">
        <f t="shared" si="19"/>
        <v>5.2440723315553495E-2</v>
      </c>
      <c r="M147">
        <f t="shared" si="20"/>
        <v>-7.2612714138714993E-2</v>
      </c>
      <c r="N147">
        <f t="shared" si="21"/>
        <v>0.39841122238392696</v>
      </c>
      <c r="O147">
        <f t="shared" si="22"/>
        <v>0.79688582072439873</v>
      </c>
      <c r="P147">
        <f t="shared" si="23"/>
        <v>13.673759187989676</v>
      </c>
      <c r="Q147">
        <f t="shared" si="24"/>
        <v>2.2317591700902334E-4</v>
      </c>
      <c r="R147">
        <f t="shared" si="25"/>
        <v>1.4403626487462507E-3</v>
      </c>
      <c r="S147">
        <f t="shared" si="26"/>
        <v>0</v>
      </c>
    </row>
    <row r="148" spans="1:19" x14ac:dyDescent="0.3">
      <c r="A148" t="s">
        <v>63</v>
      </c>
      <c r="B148">
        <v>2009</v>
      </c>
      <c r="C148">
        <v>8.3630802210097124E-3</v>
      </c>
      <c r="D148">
        <v>-9.0674468238472361E-2</v>
      </c>
      <c r="E148">
        <v>-5.7630350914031236E-2</v>
      </c>
      <c r="F148">
        <v>0.52399625800345362</v>
      </c>
      <c r="G148">
        <v>0.76238165230772126</v>
      </c>
      <c r="H148">
        <v>14.059494629150326</v>
      </c>
      <c r="I148">
        <v>9.8639443622771009E-2</v>
      </c>
      <c r="J148">
        <v>0</v>
      </c>
      <c r="K148">
        <f t="shared" si="18"/>
        <v>8.3630802210097124E-3</v>
      </c>
      <c r="L148">
        <f t="shared" si="19"/>
        <v>-9.0674468238472361E-2</v>
      </c>
      <c r="M148">
        <f t="shared" si="20"/>
        <v>-5.7630350914031236E-2</v>
      </c>
      <c r="N148">
        <f t="shared" si="21"/>
        <v>0.52399625800345362</v>
      </c>
      <c r="O148">
        <f t="shared" si="22"/>
        <v>0.76238165230772126</v>
      </c>
      <c r="P148">
        <f t="shared" si="23"/>
        <v>14.059494629150326</v>
      </c>
      <c r="Q148">
        <f t="shared" si="24"/>
        <v>9.8639443622771009E-2</v>
      </c>
      <c r="R148">
        <f t="shared" si="25"/>
        <v>0</v>
      </c>
      <c r="S148">
        <f t="shared" si="26"/>
        <v>0</v>
      </c>
    </row>
    <row r="149" spans="1:19" x14ac:dyDescent="0.3">
      <c r="A149" t="s">
        <v>63</v>
      </c>
      <c r="B149">
        <v>2010</v>
      </c>
      <c r="C149">
        <v>2.3298586558330309E-2</v>
      </c>
      <c r="D149">
        <v>0.22201175221163563</v>
      </c>
      <c r="E149">
        <v>4.8092150967033301E-2</v>
      </c>
      <c r="F149">
        <v>0.28192798021838211</v>
      </c>
      <c r="G149">
        <v>0.60759093857104962</v>
      </c>
      <c r="H149">
        <v>13.935164730839933</v>
      </c>
      <c r="I149">
        <v>5.3897906641391789E-2</v>
      </c>
      <c r="J149">
        <v>2.218068027259169E-3</v>
      </c>
      <c r="K149">
        <f t="shared" si="18"/>
        <v>2.3298586558330309E-2</v>
      </c>
      <c r="L149">
        <f t="shared" si="19"/>
        <v>0.22201175221163563</v>
      </c>
      <c r="M149">
        <f t="shared" si="20"/>
        <v>4.8092150967033301E-2</v>
      </c>
      <c r="N149">
        <f t="shared" si="21"/>
        <v>0.28192798021838211</v>
      </c>
      <c r="O149">
        <f t="shared" si="22"/>
        <v>0.60759093857104962</v>
      </c>
      <c r="P149">
        <f t="shared" si="23"/>
        <v>13.935164730839933</v>
      </c>
      <c r="Q149">
        <f t="shared" si="24"/>
        <v>5.3897906641391789E-2</v>
      </c>
      <c r="R149">
        <f t="shared" si="25"/>
        <v>2.218068027259169E-3</v>
      </c>
      <c r="S149">
        <f t="shared" si="26"/>
        <v>0</v>
      </c>
    </row>
    <row r="150" spans="1:19" x14ac:dyDescent="0.3">
      <c r="A150" t="s">
        <v>64</v>
      </c>
      <c r="B150">
        <v>2007</v>
      </c>
      <c r="C150">
        <v>4.4362834171751367E-2</v>
      </c>
      <c r="D150">
        <v>7.1285723090394007E-2</v>
      </c>
      <c r="E150">
        <v>-0.44963434772351968</v>
      </c>
      <c r="F150">
        <v>0</v>
      </c>
      <c r="G150">
        <v>0.83794877680227997</v>
      </c>
      <c r="H150">
        <v>13.061612872664972</v>
      </c>
      <c r="I150">
        <v>1.7939402264534478E-2</v>
      </c>
      <c r="J150">
        <v>0</v>
      </c>
      <c r="K150">
        <f t="shared" si="18"/>
        <v>4.4362834171751367E-2</v>
      </c>
      <c r="L150">
        <f t="shared" si="19"/>
        <v>7.1285723090394007E-2</v>
      </c>
      <c r="M150">
        <f t="shared" si="20"/>
        <v>-0.44963434772351968</v>
      </c>
      <c r="N150">
        <f t="shared" si="21"/>
        <v>0</v>
      </c>
      <c r="O150">
        <f t="shared" si="22"/>
        <v>0.83794877680227997</v>
      </c>
      <c r="P150">
        <f t="shared" si="23"/>
        <v>13.061612872664972</v>
      </c>
      <c r="Q150">
        <f t="shared" si="24"/>
        <v>1.7939402264534478E-2</v>
      </c>
      <c r="R150">
        <f t="shared" si="25"/>
        <v>0</v>
      </c>
      <c r="S150">
        <f t="shared" si="26"/>
        <v>0</v>
      </c>
    </row>
    <row r="151" spans="1:19" x14ac:dyDescent="0.3">
      <c r="A151" t="s">
        <v>64</v>
      </c>
      <c r="B151">
        <v>2008</v>
      </c>
      <c r="C151">
        <v>3.4906071701492257E-2</v>
      </c>
      <c r="D151">
        <v>0.16678309056216334</v>
      </c>
      <c r="E151">
        <v>-0.47970942470968259</v>
      </c>
      <c r="F151">
        <v>0</v>
      </c>
      <c r="G151">
        <v>0.91963703873868385</v>
      </c>
      <c r="H151">
        <v>12.963606773240933</v>
      </c>
      <c r="I151">
        <v>4.551114799262769E-3</v>
      </c>
      <c r="J151">
        <v>0</v>
      </c>
      <c r="K151">
        <f t="shared" si="18"/>
        <v>3.4906071701492257E-2</v>
      </c>
      <c r="L151">
        <f t="shared" si="19"/>
        <v>0.16678309056216334</v>
      </c>
      <c r="M151">
        <f t="shared" si="20"/>
        <v>-0.47970942470968259</v>
      </c>
      <c r="N151">
        <f t="shared" si="21"/>
        <v>0</v>
      </c>
      <c r="O151">
        <f t="shared" si="22"/>
        <v>0.91963703873868385</v>
      </c>
      <c r="P151">
        <f t="shared" si="23"/>
        <v>12.963606773240933</v>
      </c>
      <c r="Q151">
        <f t="shared" si="24"/>
        <v>4.551114799262769E-3</v>
      </c>
      <c r="R151">
        <f t="shared" si="25"/>
        <v>0</v>
      </c>
      <c r="S151">
        <f t="shared" si="26"/>
        <v>0</v>
      </c>
    </row>
    <row r="152" spans="1:19" x14ac:dyDescent="0.3">
      <c r="A152" t="s">
        <v>64</v>
      </c>
      <c r="B152">
        <v>2009</v>
      </c>
      <c r="C152">
        <v>2.7347896609608138E-2</v>
      </c>
      <c r="D152">
        <v>0.19321298862320707</v>
      </c>
      <c r="E152">
        <v>-3.705737651551394E-2</v>
      </c>
      <c r="F152">
        <v>0.54438760923164897</v>
      </c>
      <c r="G152">
        <v>0.8575907751448637</v>
      </c>
      <c r="H152">
        <v>12.774968101001971</v>
      </c>
      <c r="I152">
        <v>3.0137490440971793E-2</v>
      </c>
      <c r="J152">
        <v>0</v>
      </c>
      <c r="K152">
        <f t="shared" si="18"/>
        <v>2.7347896609608138E-2</v>
      </c>
      <c r="L152">
        <f t="shared" si="19"/>
        <v>0.19321298862320707</v>
      </c>
      <c r="M152">
        <f t="shared" si="20"/>
        <v>-3.705737651551394E-2</v>
      </c>
      <c r="N152">
        <f t="shared" si="21"/>
        <v>0.54438760923164897</v>
      </c>
      <c r="O152">
        <f t="shared" si="22"/>
        <v>0.8575907751448637</v>
      </c>
      <c r="P152">
        <f t="shared" si="23"/>
        <v>12.774968101001971</v>
      </c>
      <c r="Q152">
        <f t="shared" si="24"/>
        <v>3.0137490440971793E-2</v>
      </c>
      <c r="R152">
        <f t="shared" si="25"/>
        <v>0</v>
      </c>
      <c r="S152">
        <f t="shared" si="26"/>
        <v>0</v>
      </c>
    </row>
    <row r="153" spans="1:19" x14ac:dyDescent="0.3">
      <c r="A153" t="s">
        <v>64</v>
      </c>
      <c r="B153">
        <v>2010</v>
      </c>
      <c r="C153">
        <v>5.821596497282374E-2</v>
      </c>
      <c r="D153">
        <v>7.6794495729445258E-2</v>
      </c>
      <c r="E153">
        <v>-7.1553360365801053E-3</v>
      </c>
      <c r="F153">
        <v>0.51219696316107322</v>
      </c>
      <c r="G153">
        <v>0.91132371020619451</v>
      </c>
      <c r="H153">
        <v>12.823720116688472</v>
      </c>
      <c r="I153">
        <v>6.0540763987603219E-3</v>
      </c>
      <c r="J153">
        <v>0</v>
      </c>
      <c r="K153">
        <f t="shared" si="18"/>
        <v>5.821596497282374E-2</v>
      </c>
      <c r="L153">
        <f t="shared" si="19"/>
        <v>7.6794495729445258E-2</v>
      </c>
      <c r="M153">
        <f t="shared" si="20"/>
        <v>-7.1553360365801053E-3</v>
      </c>
      <c r="N153">
        <f t="shared" si="21"/>
        <v>0.51219696316107322</v>
      </c>
      <c r="O153">
        <f t="shared" si="22"/>
        <v>0.91132371020619451</v>
      </c>
      <c r="P153">
        <f t="shared" si="23"/>
        <v>12.823720116688472</v>
      </c>
      <c r="Q153">
        <f t="shared" si="24"/>
        <v>6.0540763987603219E-3</v>
      </c>
      <c r="R153">
        <f t="shared" si="25"/>
        <v>0</v>
      </c>
      <c r="S153">
        <f t="shared" si="26"/>
        <v>0</v>
      </c>
    </row>
    <row r="154" spans="1:19" x14ac:dyDescent="0.3">
      <c r="A154" t="s">
        <v>65</v>
      </c>
      <c r="B154">
        <v>2007</v>
      </c>
      <c r="C154">
        <v>7.0450260340984413E-3</v>
      </c>
      <c r="D154">
        <v>3.130892031146431E-2</v>
      </c>
      <c r="E154">
        <v>-0.30673135702290744</v>
      </c>
      <c r="F154">
        <v>0.206647177479968</v>
      </c>
      <c r="G154">
        <v>0.71133431733683417</v>
      </c>
      <c r="H154">
        <v>14.149847659663473</v>
      </c>
      <c r="I154">
        <v>2.229753494149939E-3</v>
      </c>
      <c r="J154">
        <v>0</v>
      </c>
      <c r="K154">
        <f t="shared" si="18"/>
        <v>7.0450260340984413E-3</v>
      </c>
      <c r="L154">
        <f t="shared" si="19"/>
        <v>3.130892031146431E-2</v>
      </c>
      <c r="M154">
        <f t="shared" si="20"/>
        <v>-0.30673135702290744</v>
      </c>
      <c r="N154">
        <f t="shared" si="21"/>
        <v>0.206647177479968</v>
      </c>
      <c r="O154">
        <f t="shared" si="22"/>
        <v>0.71133431733683417</v>
      </c>
      <c r="P154">
        <f t="shared" si="23"/>
        <v>14.149847659663473</v>
      </c>
      <c r="Q154">
        <f t="shared" si="24"/>
        <v>2.229753494149939E-3</v>
      </c>
      <c r="R154">
        <f t="shared" si="25"/>
        <v>0</v>
      </c>
      <c r="S154">
        <f t="shared" si="26"/>
        <v>0</v>
      </c>
    </row>
    <row r="155" spans="1:19" x14ac:dyDescent="0.3">
      <c r="A155" t="s">
        <v>65</v>
      </c>
      <c r="B155">
        <v>2009</v>
      </c>
      <c r="C155">
        <v>3.9024448817183968E-3</v>
      </c>
      <c r="D155">
        <v>3.6694989410865908E-2</v>
      </c>
      <c r="E155">
        <v>-3.9591053795202696E-2</v>
      </c>
      <c r="F155">
        <v>0.49611181405150329</v>
      </c>
      <c r="G155">
        <v>0.71715304638355926</v>
      </c>
      <c r="H155">
        <v>14.102565934082923</v>
      </c>
      <c r="I155">
        <v>2.9496544182393298E-2</v>
      </c>
      <c r="J155">
        <v>0</v>
      </c>
      <c r="K155">
        <f t="shared" si="18"/>
        <v>3.9024448817183968E-3</v>
      </c>
      <c r="L155">
        <f t="shared" si="19"/>
        <v>3.6694989410865908E-2</v>
      </c>
      <c r="M155">
        <f t="shared" si="20"/>
        <v>-3.9591053795202696E-2</v>
      </c>
      <c r="N155">
        <f t="shared" si="21"/>
        <v>0.49611181405150329</v>
      </c>
      <c r="O155">
        <f t="shared" si="22"/>
        <v>0.71715304638355926</v>
      </c>
      <c r="P155">
        <f t="shared" si="23"/>
        <v>14.102565934082923</v>
      </c>
      <c r="Q155">
        <f t="shared" si="24"/>
        <v>2.9496544182393298E-2</v>
      </c>
      <c r="R155">
        <f t="shared" si="25"/>
        <v>0</v>
      </c>
      <c r="S155">
        <f t="shared" si="26"/>
        <v>0</v>
      </c>
    </row>
    <row r="156" spans="1:19" x14ac:dyDescent="0.3">
      <c r="A156" t="s">
        <v>65</v>
      </c>
      <c r="B156">
        <v>2010</v>
      </c>
      <c r="C156">
        <v>1.8927552228016089E-2</v>
      </c>
      <c r="D156">
        <v>0.12702373645392068</v>
      </c>
      <c r="E156">
        <v>9.5434987720388643E-3</v>
      </c>
      <c r="F156">
        <v>0.39032135971250309</v>
      </c>
      <c r="G156">
        <v>0.62140174104997059</v>
      </c>
      <c r="H156">
        <v>14.071685709322619</v>
      </c>
      <c r="I156">
        <v>4.7187677523224336E-2</v>
      </c>
      <c r="J156">
        <v>2.7090223602705618E-2</v>
      </c>
      <c r="K156">
        <f t="shared" si="18"/>
        <v>1.8927552228016089E-2</v>
      </c>
      <c r="L156">
        <f t="shared" si="19"/>
        <v>0.12702373645392068</v>
      </c>
      <c r="M156">
        <f t="shared" si="20"/>
        <v>9.5434987720388643E-3</v>
      </c>
      <c r="N156">
        <f t="shared" si="21"/>
        <v>0.39032135971250309</v>
      </c>
      <c r="O156">
        <f t="shared" si="22"/>
        <v>0.62140174104997059</v>
      </c>
      <c r="P156">
        <f t="shared" si="23"/>
        <v>14.071685709322619</v>
      </c>
      <c r="Q156">
        <f t="shared" si="24"/>
        <v>4.7187677523224336E-2</v>
      </c>
      <c r="R156">
        <f t="shared" si="25"/>
        <v>2.7090223602705618E-2</v>
      </c>
      <c r="S156">
        <f t="shared" si="26"/>
        <v>0</v>
      </c>
    </row>
    <row r="157" spans="1:19" x14ac:dyDescent="0.3">
      <c r="A157" t="s">
        <v>66</v>
      </c>
      <c r="B157">
        <v>2007</v>
      </c>
      <c r="C157">
        <v>2.3125211281882648E-3</v>
      </c>
      <c r="D157">
        <v>2.7354486499542394E-2</v>
      </c>
      <c r="E157">
        <v>-0.13623407292298695</v>
      </c>
      <c r="F157">
        <v>0.23536789601803068</v>
      </c>
      <c r="G157">
        <v>0.6245235396511527</v>
      </c>
      <c r="H157">
        <v>14.539099160850773</v>
      </c>
      <c r="I157">
        <v>1.3784294691785628E-3</v>
      </c>
      <c r="J157">
        <v>0</v>
      </c>
      <c r="K157">
        <f t="shared" si="18"/>
        <v>2.3125211281882648E-3</v>
      </c>
      <c r="L157">
        <f t="shared" si="19"/>
        <v>2.7354486499542394E-2</v>
      </c>
      <c r="M157">
        <f t="shared" si="20"/>
        <v>-0.13623407292298695</v>
      </c>
      <c r="N157">
        <f t="shared" si="21"/>
        <v>0.23536789601803068</v>
      </c>
      <c r="O157">
        <f t="shared" si="22"/>
        <v>0.6245235396511527</v>
      </c>
      <c r="P157">
        <f t="shared" si="23"/>
        <v>14.539099160850773</v>
      </c>
      <c r="Q157">
        <f t="shared" si="24"/>
        <v>1.3784294691785628E-3</v>
      </c>
      <c r="R157">
        <f t="shared" si="25"/>
        <v>0</v>
      </c>
      <c r="S157">
        <f t="shared" si="26"/>
        <v>0</v>
      </c>
    </row>
    <row r="158" spans="1:19" x14ac:dyDescent="0.3">
      <c r="A158" t="s">
        <v>66</v>
      </c>
      <c r="B158">
        <v>2009</v>
      </c>
      <c r="C158">
        <v>1.6067990307618311E-3</v>
      </c>
      <c r="D158">
        <v>0.10253825693915153</v>
      </c>
      <c r="E158">
        <v>-0.11938410588992744</v>
      </c>
      <c r="F158">
        <v>0.4457458769192954</v>
      </c>
      <c r="G158">
        <v>0.59487144343354292</v>
      </c>
      <c r="H158">
        <v>14.497203892959057</v>
      </c>
      <c r="I158">
        <v>3.1051976592789757E-3</v>
      </c>
      <c r="J158">
        <v>0</v>
      </c>
      <c r="K158">
        <f t="shared" si="18"/>
        <v>1.6067990307618311E-3</v>
      </c>
      <c r="L158">
        <f t="shared" si="19"/>
        <v>0.10253825693915153</v>
      </c>
      <c r="M158">
        <f t="shared" si="20"/>
        <v>-0.11938410588992744</v>
      </c>
      <c r="N158">
        <f t="shared" si="21"/>
        <v>0.4457458769192954</v>
      </c>
      <c r="O158">
        <f t="shared" si="22"/>
        <v>0.59487144343354292</v>
      </c>
      <c r="P158">
        <f t="shared" si="23"/>
        <v>14.497203892959057</v>
      </c>
      <c r="Q158">
        <f t="shared" si="24"/>
        <v>3.1051976592789757E-3</v>
      </c>
      <c r="R158">
        <f t="shared" si="25"/>
        <v>0</v>
      </c>
      <c r="S158">
        <f t="shared" si="26"/>
        <v>0</v>
      </c>
    </row>
    <row r="159" spans="1:19" x14ac:dyDescent="0.3">
      <c r="A159" t="s">
        <v>66</v>
      </c>
      <c r="B159">
        <v>2010</v>
      </c>
      <c r="C159">
        <v>2.3926752235822069E-3</v>
      </c>
      <c r="D159">
        <v>9.3241530952219293E-2</v>
      </c>
      <c r="E159">
        <v>-4.0492244869245408E-2</v>
      </c>
      <c r="F159">
        <v>0.29256528322321573</v>
      </c>
      <c r="G159">
        <v>0.46883877949841346</v>
      </c>
      <c r="H159">
        <v>14.709540138848043</v>
      </c>
      <c r="I159">
        <v>1.316776511744481E-2</v>
      </c>
      <c r="J159">
        <v>0</v>
      </c>
      <c r="K159">
        <f t="shared" si="18"/>
        <v>2.3926752235822069E-3</v>
      </c>
      <c r="L159">
        <f t="shared" si="19"/>
        <v>9.3241530952219293E-2</v>
      </c>
      <c r="M159">
        <f t="shared" si="20"/>
        <v>-4.0492244869245408E-2</v>
      </c>
      <c r="N159">
        <f t="shared" si="21"/>
        <v>0.29256528322321573</v>
      </c>
      <c r="O159">
        <f t="shared" si="22"/>
        <v>0.46883877949841346</v>
      </c>
      <c r="P159">
        <f t="shared" si="23"/>
        <v>14.709540138848043</v>
      </c>
      <c r="Q159">
        <f t="shared" si="24"/>
        <v>1.316776511744481E-2</v>
      </c>
      <c r="R159">
        <f t="shared" si="25"/>
        <v>0</v>
      </c>
      <c r="S159">
        <f t="shared" si="26"/>
        <v>0</v>
      </c>
    </row>
    <row r="160" spans="1:19" x14ac:dyDescent="0.3">
      <c r="A160" t="s">
        <v>67</v>
      </c>
      <c r="B160">
        <v>2007</v>
      </c>
      <c r="C160">
        <v>7.1160188317054944E-3</v>
      </c>
      <c r="D160">
        <v>4.4034822284360862E-2</v>
      </c>
      <c r="E160">
        <v>-0.28202010440348224</v>
      </c>
      <c r="F160">
        <v>8.8177903111244897E-3</v>
      </c>
      <c r="G160">
        <v>0.83713974329523166</v>
      </c>
      <c r="H160">
        <v>13.5377075266959</v>
      </c>
      <c r="I160">
        <v>7.1491426216040488E-2</v>
      </c>
      <c r="J160">
        <v>0</v>
      </c>
      <c r="K160">
        <f t="shared" si="18"/>
        <v>7.1160188317054944E-3</v>
      </c>
      <c r="L160">
        <f t="shared" si="19"/>
        <v>4.4034822284360862E-2</v>
      </c>
      <c r="M160">
        <f t="shared" si="20"/>
        <v>-0.28202010440348224</v>
      </c>
      <c r="N160">
        <f t="shared" si="21"/>
        <v>8.8177903111244897E-3</v>
      </c>
      <c r="O160">
        <f t="shared" si="22"/>
        <v>0.83713974329523166</v>
      </c>
      <c r="P160">
        <f t="shared" si="23"/>
        <v>13.5377075266959</v>
      </c>
      <c r="Q160">
        <f t="shared" si="24"/>
        <v>7.1491426216040488E-2</v>
      </c>
      <c r="R160">
        <f t="shared" si="25"/>
        <v>0</v>
      </c>
      <c r="S160">
        <f t="shared" si="26"/>
        <v>0</v>
      </c>
    </row>
    <row r="161" spans="1:19" x14ac:dyDescent="0.3">
      <c r="A161" t="s">
        <v>67</v>
      </c>
      <c r="B161">
        <v>2008</v>
      </c>
      <c r="C161">
        <v>6.6400834304643887E-3</v>
      </c>
      <c r="D161">
        <v>0.24620698116679959</v>
      </c>
      <c r="E161">
        <v>-0.18851481504202197</v>
      </c>
      <c r="F161">
        <v>0</v>
      </c>
      <c r="G161">
        <v>0.57611189497576831</v>
      </c>
      <c r="H161">
        <v>13.611004740034435</v>
      </c>
      <c r="I161">
        <v>6.8238550032509504E-2</v>
      </c>
      <c r="J161">
        <v>0</v>
      </c>
      <c r="K161">
        <f t="shared" si="18"/>
        <v>6.6400834304643887E-3</v>
      </c>
      <c r="L161">
        <f t="shared" si="19"/>
        <v>0.24620698116679959</v>
      </c>
      <c r="M161">
        <f t="shared" si="20"/>
        <v>-0.18851481504202197</v>
      </c>
      <c r="N161">
        <f t="shared" si="21"/>
        <v>0</v>
      </c>
      <c r="O161">
        <f t="shared" si="22"/>
        <v>0.57611189497576831</v>
      </c>
      <c r="P161">
        <f t="shared" si="23"/>
        <v>13.611004740034435</v>
      </c>
      <c r="Q161">
        <f t="shared" si="24"/>
        <v>6.8238550032509504E-2</v>
      </c>
      <c r="R161">
        <f t="shared" si="25"/>
        <v>0</v>
      </c>
      <c r="S161">
        <f t="shared" si="26"/>
        <v>0</v>
      </c>
    </row>
    <row r="162" spans="1:19" x14ac:dyDescent="0.3">
      <c r="A162" t="s">
        <v>67</v>
      </c>
      <c r="B162">
        <v>2009</v>
      </c>
      <c r="C162">
        <v>8.5426456678727464E-3</v>
      </c>
      <c r="D162">
        <v>4.915935476537215E-2</v>
      </c>
      <c r="E162">
        <v>-1.0574821608196479E-2</v>
      </c>
      <c r="F162">
        <v>0.10485384419055055</v>
      </c>
      <c r="G162">
        <v>0.45197791308935781</v>
      </c>
      <c r="H162">
        <v>13.745622285725689</v>
      </c>
      <c r="I162">
        <v>4.0189225340894405E-4</v>
      </c>
      <c r="J162">
        <v>0</v>
      </c>
      <c r="K162">
        <f t="shared" si="18"/>
        <v>8.5426456678727464E-3</v>
      </c>
      <c r="L162">
        <f t="shared" si="19"/>
        <v>4.915935476537215E-2</v>
      </c>
      <c r="M162">
        <f t="shared" si="20"/>
        <v>-1.0574821608196479E-2</v>
      </c>
      <c r="N162">
        <f t="shared" si="21"/>
        <v>0.10485384419055055</v>
      </c>
      <c r="O162">
        <f t="shared" si="22"/>
        <v>0.45197791308935781</v>
      </c>
      <c r="P162">
        <f t="shared" si="23"/>
        <v>13.745622285725689</v>
      </c>
      <c r="Q162">
        <f t="shared" si="24"/>
        <v>4.0189225340894405E-4</v>
      </c>
      <c r="R162">
        <f t="shared" si="25"/>
        <v>0</v>
      </c>
      <c r="S162">
        <f t="shared" si="26"/>
        <v>0</v>
      </c>
    </row>
    <row r="163" spans="1:19" x14ac:dyDescent="0.3">
      <c r="A163" t="s">
        <v>67</v>
      </c>
      <c r="B163">
        <v>2010</v>
      </c>
      <c r="C163">
        <v>4.1145362684727148E-3</v>
      </c>
      <c r="D163">
        <v>5.1243832077235277E-2</v>
      </c>
      <c r="E163">
        <v>-3.1175246121726098E-2</v>
      </c>
      <c r="F163">
        <v>7.8138925376285986E-2</v>
      </c>
      <c r="G163">
        <v>0.32782497849572556</v>
      </c>
      <c r="H163">
        <v>13.781009171251108</v>
      </c>
      <c r="I163">
        <v>2.6561438844450093E-2</v>
      </c>
      <c r="J163">
        <v>0</v>
      </c>
      <c r="K163">
        <f t="shared" si="18"/>
        <v>4.1145362684727148E-3</v>
      </c>
      <c r="L163">
        <f t="shared" si="19"/>
        <v>5.1243832077235277E-2</v>
      </c>
      <c r="M163">
        <f t="shared" si="20"/>
        <v>-3.1175246121726098E-2</v>
      </c>
      <c r="N163">
        <f t="shared" si="21"/>
        <v>7.8138925376285986E-2</v>
      </c>
      <c r="O163">
        <f t="shared" si="22"/>
        <v>0.32782497849572556</v>
      </c>
      <c r="P163">
        <f t="shared" si="23"/>
        <v>13.781009171251108</v>
      </c>
      <c r="Q163">
        <f t="shared" si="24"/>
        <v>2.6561438844450093E-2</v>
      </c>
      <c r="R163">
        <f t="shared" si="25"/>
        <v>0</v>
      </c>
      <c r="S163">
        <f t="shared" si="26"/>
        <v>0</v>
      </c>
    </row>
    <row r="164" spans="1:19" x14ac:dyDescent="0.3">
      <c r="A164" t="s">
        <v>68</v>
      </c>
      <c r="B164">
        <v>2009</v>
      </c>
      <c r="C164">
        <v>3.0471269422456758E-3</v>
      </c>
      <c r="D164">
        <v>0.19018433010847258</v>
      </c>
      <c r="E164">
        <v>1.4991937848138376E-2</v>
      </c>
      <c r="F164">
        <v>0.46755716798592789</v>
      </c>
      <c r="G164">
        <v>0.71994383978305476</v>
      </c>
      <c r="H164">
        <v>13.209934597652472</v>
      </c>
      <c r="I164">
        <v>1.5088074723036849E-2</v>
      </c>
      <c r="J164">
        <v>0</v>
      </c>
      <c r="K164">
        <f t="shared" si="18"/>
        <v>3.0471269422456758E-3</v>
      </c>
      <c r="L164">
        <f t="shared" si="19"/>
        <v>0.19018433010847258</v>
      </c>
      <c r="M164">
        <f t="shared" si="20"/>
        <v>1.4991937848138376E-2</v>
      </c>
      <c r="N164">
        <f t="shared" si="21"/>
        <v>0.46755716798592789</v>
      </c>
      <c r="O164">
        <f t="shared" si="22"/>
        <v>0.71994383978305476</v>
      </c>
      <c r="P164">
        <f t="shared" si="23"/>
        <v>13.209934597652472</v>
      </c>
      <c r="Q164">
        <f t="shared" si="24"/>
        <v>1.5088074723036849E-2</v>
      </c>
      <c r="R164">
        <f t="shared" si="25"/>
        <v>0</v>
      </c>
      <c r="S164">
        <f t="shared" si="26"/>
        <v>0</v>
      </c>
    </row>
    <row r="165" spans="1:19" x14ac:dyDescent="0.3">
      <c r="A165" t="s">
        <v>68</v>
      </c>
      <c r="B165">
        <v>2010</v>
      </c>
      <c r="C165">
        <v>2.3069321589786144E-2</v>
      </c>
      <c r="D165">
        <v>0.11303967578995211</v>
      </c>
      <c r="E165">
        <v>1.097858684910942E-2</v>
      </c>
      <c r="F165">
        <v>0.45997300545055764</v>
      </c>
      <c r="G165">
        <v>0.70041831222088702</v>
      </c>
      <c r="H165">
        <v>13.272261599765773</v>
      </c>
      <c r="I165">
        <v>1.4245849291869566E-2</v>
      </c>
      <c r="J165">
        <v>0</v>
      </c>
      <c r="K165">
        <f t="shared" si="18"/>
        <v>2.3069321589786144E-2</v>
      </c>
      <c r="L165">
        <f t="shared" si="19"/>
        <v>0.11303967578995211</v>
      </c>
      <c r="M165">
        <f t="shared" si="20"/>
        <v>1.097858684910942E-2</v>
      </c>
      <c r="N165">
        <f t="shared" si="21"/>
        <v>0.45997300545055764</v>
      </c>
      <c r="O165">
        <f t="shared" si="22"/>
        <v>0.70041831222088702</v>
      </c>
      <c r="P165">
        <f t="shared" si="23"/>
        <v>13.272261599765773</v>
      </c>
      <c r="Q165">
        <f t="shared" si="24"/>
        <v>1.4245849291869566E-2</v>
      </c>
      <c r="R165">
        <f t="shared" si="25"/>
        <v>0</v>
      </c>
      <c r="S165">
        <f t="shared" si="26"/>
        <v>0</v>
      </c>
    </row>
    <row r="166" spans="1:19" x14ac:dyDescent="0.3">
      <c r="A166" t="s">
        <v>69</v>
      </c>
      <c r="B166">
        <v>2007</v>
      </c>
      <c r="C166">
        <v>8.5991022915190181E-3</v>
      </c>
      <c r="D166">
        <v>0.26080990629183398</v>
      </c>
      <c r="E166">
        <v>-0.52758681785967398</v>
      </c>
      <c r="F166">
        <v>0.19584809827545477</v>
      </c>
      <c r="G166">
        <v>0.9875605362626978</v>
      </c>
      <c r="H166">
        <v>13.138157983302969</v>
      </c>
      <c r="I166">
        <v>1.2664866834915446E-2</v>
      </c>
      <c r="J166">
        <v>0</v>
      </c>
      <c r="K166">
        <f t="shared" si="18"/>
        <v>8.5991022915190181E-3</v>
      </c>
      <c r="L166">
        <f t="shared" si="19"/>
        <v>0.26080990629183398</v>
      </c>
      <c r="M166">
        <f t="shared" si="20"/>
        <v>-0.52758681785967398</v>
      </c>
      <c r="N166">
        <f t="shared" si="21"/>
        <v>0.19584809827545477</v>
      </c>
      <c r="O166">
        <f t="shared" si="22"/>
        <v>0.9875605362626978</v>
      </c>
      <c r="P166">
        <f t="shared" si="23"/>
        <v>13.138157983302969</v>
      </c>
      <c r="Q166">
        <f t="shared" si="24"/>
        <v>1.2664866834915446E-2</v>
      </c>
      <c r="R166">
        <f t="shared" si="25"/>
        <v>0</v>
      </c>
      <c r="S166">
        <f t="shared" si="26"/>
        <v>0</v>
      </c>
    </row>
    <row r="167" spans="1:19" x14ac:dyDescent="0.3">
      <c r="A167" t="s">
        <v>69</v>
      </c>
      <c r="B167">
        <v>2008</v>
      </c>
      <c r="C167">
        <v>6.5224006227993566E-3</v>
      </c>
      <c r="D167">
        <v>0.21645439061691121</v>
      </c>
      <c r="E167">
        <v>-0.31101438050037344</v>
      </c>
      <c r="F167">
        <v>0.21802719609881013</v>
      </c>
      <c r="G167">
        <v>1.0413518421187824</v>
      </c>
      <c r="H167">
        <v>13.134493508982546</v>
      </c>
      <c r="I167">
        <v>2.2288999236347518E-2</v>
      </c>
      <c r="J167">
        <v>0</v>
      </c>
      <c r="K167">
        <f t="shared" si="18"/>
        <v>6.5224006227993566E-3</v>
      </c>
      <c r="L167">
        <f t="shared" si="19"/>
        <v>0.21645439061691121</v>
      </c>
      <c r="M167">
        <f t="shared" si="20"/>
        <v>-0.31101438050037344</v>
      </c>
      <c r="N167">
        <f t="shared" si="21"/>
        <v>0.21802719609881013</v>
      </c>
      <c r="O167">
        <f t="shared" si="22"/>
        <v>1.0413518421187824</v>
      </c>
      <c r="P167">
        <f t="shared" si="23"/>
        <v>13.134493508982546</v>
      </c>
      <c r="Q167">
        <f t="shared" si="24"/>
        <v>2.2288999236347518E-2</v>
      </c>
      <c r="R167">
        <f t="shared" si="25"/>
        <v>0</v>
      </c>
      <c r="S167">
        <f t="shared" si="26"/>
        <v>0</v>
      </c>
    </row>
    <row r="168" spans="1:19" x14ac:dyDescent="0.3">
      <c r="A168" t="s">
        <v>69</v>
      </c>
      <c r="B168">
        <v>2009</v>
      </c>
      <c r="C168">
        <v>1.3958203190250309E-3</v>
      </c>
      <c r="D168">
        <v>0.3125951045606713</v>
      </c>
      <c r="E168">
        <v>-2.7650971696882746E-2</v>
      </c>
      <c r="F168">
        <v>0.95850066015436397</v>
      </c>
      <c r="G168">
        <v>1.1874649614776474</v>
      </c>
      <c r="H168">
        <v>12.987731951393444</v>
      </c>
      <c r="I168">
        <v>1.5779207491479447E-2</v>
      </c>
      <c r="J168">
        <v>0</v>
      </c>
      <c r="K168">
        <f t="shared" si="18"/>
        <v>1.3958203190250309E-3</v>
      </c>
      <c r="L168">
        <f t="shared" si="19"/>
        <v>0.3125951045606713</v>
      </c>
      <c r="M168">
        <f t="shared" si="20"/>
        <v>-2.7650971696882746E-2</v>
      </c>
      <c r="N168">
        <f t="shared" si="21"/>
        <v>0.95850066015436397</v>
      </c>
      <c r="O168">
        <f t="shared" si="22"/>
        <v>1.1874649614776474</v>
      </c>
      <c r="P168">
        <f t="shared" si="23"/>
        <v>12.987731951393444</v>
      </c>
      <c r="Q168">
        <f t="shared" si="24"/>
        <v>1.5779207491479447E-2</v>
      </c>
      <c r="R168">
        <f t="shared" si="25"/>
        <v>0</v>
      </c>
      <c r="S168">
        <f t="shared" si="26"/>
        <v>0</v>
      </c>
    </row>
    <row r="169" spans="1:19" x14ac:dyDescent="0.3">
      <c r="A169" t="s">
        <v>69</v>
      </c>
      <c r="B169">
        <v>2010</v>
      </c>
      <c r="C169">
        <v>4.8165523142983755E-3</v>
      </c>
      <c r="D169">
        <v>0.40399443773780963</v>
      </c>
      <c r="E169">
        <v>-0.24346510597331947</v>
      </c>
      <c r="F169">
        <v>1.2125701013126327</v>
      </c>
      <c r="G169">
        <v>1.3941767393530049</v>
      </c>
      <c r="H169">
        <v>12.698342164767567</v>
      </c>
      <c r="I169">
        <v>2.6951672019953042E-2</v>
      </c>
      <c r="J169">
        <v>0</v>
      </c>
      <c r="K169">
        <f t="shared" si="18"/>
        <v>4.8165523142983755E-3</v>
      </c>
      <c r="L169">
        <f t="shared" si="19"/>
        <v>0.40399443773780963</v>
      </c>
      <c r="M169">
        <f t="shared" si="20"/>
        <v>-0.24346510597331947</v>
      </c>
      <c r="N169">
        <f t="shared" si="21"/>
        <v>1.2125701013126327</v>
      </c>
      <c r="O169">
        <f t="shared" si="22"/>
        <v>1.3941767393530049</v>
      </c>
      <c r="P169">
        <f t="shared" si="23"/>
        <v>12.698342164767567</v>
      </c>
      <c r="Q169">
        <f t="shared" si="24"/>
        <v>2.6951672019953042E-2</v>
      </c>
      <c r="R169">
        <f t="shared" si="25"/>
        <v>0</v>
      </c>
      <c r="S169">
        <f t="shared" si="26"/>
        <v>0</v>
      </c>
    </row>
    <row r="170" spans="1:19" x14ac:dyDescent="0.3">
      <c r="A170" t="s">
        <v>70</v>
      </c>
      <c r="B170">
        <v>2007</v>
      </c>
      <c r="C170">
        <v>9.5479502211388292E-5</v>
      </c>
      <c r="D170">
        <v>7.5908695027676595E-2</v>
      </c>
      <c r="E170">
        <v>-2.6322453374868302E-2</v>
      </c>
      <c r="F170">
        <v>0.35394500546723934</v>
      </c>
      <c r="G170">
        <v>0.78919433565777486</v>
      </c>
      <c r="H170">
        <v>14.001531098408522</v>
      </c>
      <c r="I170">
        <v>0.10460776576218531</v>
      </c>
      <c r="J170">
        <v>0</v>
      </c>
      <c r="K170">
        <f t="shared" si="18"/>
        <v>9.5479502211388292E-5</v>
      </c>
      <c r="L170">
        <f t="shared" si="19"/>
        <v>7.5908695027676595E-2</v>
      </c>
      <c r="M170">
        <f t="shared" si="20"/>
        <v>-2.6322453374868302E-2</v>
      </c>
      <c r="N170">
        <f t="shared" si="21"/>
        <v>0.35394500546723934</v>
      </c>
      <c r="O170">
        <f t="shared" si="22"/>
        <v>0.78919433565777486</v>
      </c>
      <c r="P170">
        <f t="shared" si="23"/>
        <v>14.001531098408522</v>
      </c>
      <c r="Q170">
        <f t="shared" si="24"/>
        <v>0.10460776576218531</v>
      </c>
      <c r="R170">
        <f t="shared" si="25"/>
        <v>0</v>
      </c>
      <c r="S170">
        <f t="shared" si="26"/>
        <v>0</v>
      </c>
    </row>
    <row r="171" spans="1:19" x14ac:dyDescent="0.3">
      <c r="A171" t="s">
        <v>70</v>
      </c>
      <c r="B171">
        <v>2009</v>
      </c>
      <c r="C171">
        <v>6.5098000183012872E-4</v>
      </c>
      <c r="D171">
        <v>0.20070331526214988</v>
      </c>
      <c r="E171">
        <v>-0.12128375503887419</v>
      </c>
      <c r="F171">
        <v>0.61466318407081633</v>
      </c>
      <c r="G171">
        <v>0.78786699298611185</v>
      </c>
      <c r="H171">
        <v>14.03529968949791</v>
      </c>
      <c r="I171">
        <v>4.8799759318661873E-2</v>
      </c>
      <c r="J171">
        <v>0</v>
      </c>
      <c r="K171">
        <f t="shared" si="18"/>
        <v>6.5098000183012872E-4</v>
      </c>
      <c r="L171">
        <f t="shared" si="19"/>
        <v>0.20070331526214988</v>
      </c>
      <c r="M171">
        <f t="shared" si="20"/>
        <v>-0.12128375503887419</v>
      </c>
      <c r="N171">
        <f t="shared" si="21"/>
        <v>0.61466318407081633</v>
      </c>
      <c r="O171">
        <f t="shared" si="22"/>
        <v>0.78786699298611185</v>
      </c>
      <c r="P171">
        <f t="shared" si="23"/>
        <v>14.03529968949791</v>
      </c>
      <c r="Q171">
        <f t="shared" si="24"/>
        <v>4.8799759318661873E-2</v>
      </c>
      <c r="R171">
        <f t="shared" si="25"/>
        <v>0</v>
      </c>
      <c r="S171">
        <f t="shared" si="26"/>
        <v>0</v>
      </c>
    </row>
    <row r="172" spans="1:19" x14ac:dyDescent="0.3">
      <c r="A172" t="s">
        <v>70</v>
      </c>
      <c r="B172">
        <v>2010</v>
      </c>
      <c r="C172">
        <v>3.7457282412275045E-4</v>
      </c>
      <c r="D172">
        <v>4.2409460862677044E-2</v>
      </c>
      <c r="E172">
        <v>-8.2723268203262104E-2</v>
      </c>
      <c r="F172">
        <v>0.64851258760118347</v>
      </c>
      <c r="G172">
        <v>0.81427637090396476</v>
      </c>
      <c r="H172">
        <v>14.244094357772067</v>
      </c>
      <c r="I172">
        <v>4.8644868441933067E-4</v>
      </c>
      <c r="J172">
        <v>0</v>
      </c>
      <c r="K172">
        <f t="shared" si="18"/>
        <v>3.7457282412275045E-4</v>
      </c>
      <c r="L172">
        <f t="shared" si="19"/>
        <v>4.2409460862677044E-2</v>
      </c>
      <c r="M172">
        <f t="shared" si="20"/>
        <v>-8.2723268203262104E-2</v>
      </c>
      <c r="N172">
        <f t="shared" si="21"/>
        <v>0.64851258760118347</v>
      </c>
      <c r="O172">
        <f t="shared" si="22"/>
        <v>0.81427637090396476</v>
      </c>
      <c r="P172">
        <f t="shared" si="23"/>
        <v>14.244094357772067</v>
      </c>
      <c r="Q172">
        <f t="shared" si="24"/>
        <v>4.8644868441933067E-4</v>
      </c>
      <c r="R172">
        <f t="shared" si="25"/>
        <v>0</v>
      </c>
      <c r="S172">
        <f t="shared" si="26"/>
        <v>0</v>
      </c>
    </row>
    <row r="173" spans="1:19" x14ac:dyDescent="0.3">
      <c r="A173" t="s">
        <v>71</v>
      </c>
      <c r="B173">
        <v>2007</v>
      </c>
      <c r="C173">
        <v>2.3160549619678818E-2</v>
      </c>
      <c r="D173">
        <v>3.5045738369140537E-2</v>
      </c>
      <c r="E173">
        <v>-0.1228334717407857</v>
      </c>
      <c r="F173">
        <v>0.48131013678115947</v>
      </c>
      <c r="G173">
        <v>0.91860716386066166</v>
      </c>
      <c r="H173">
        <v>15.872645011301859</v>
      </c>
      <c r="I173">
        <v>0</v>
      </c>
      <c r="J173">
        <v>0</v>
      </c>
      <c r="K173">
        <f t="shared" si="18"/>
        <v>2.3160549619678818E-2</v>
      </c>
      <c r="L173">
        <f t="shared" si="19"/>
        <v>3.5045738369140537E-2</v>
      </c>
      <c r="M173">
        <f t="shared" si="20"/>
        <v>-0.1228334717407857</v>
      </c>
      <c r="N173">
        <f t="shared" si="21"/>
        <v>0.48131013678115947</v>
      </c>
      <c r="O173">
        <f t="shared" si="22"/>
        <v>0.91860716386066166</v>
      </c>
      <c r="P173">
        <f t="shared" si="23"/>
        <v>15.872645011301859</v>
      </c>
      <c r="Q173">
        <f t="shared" si="24"/>
        <v>0</v>
      </c>
      <c r="R173">
        <f t="shared" si="25"/>
        <v>0</v>
      </c>
      <c r="S173">
        <f t="shared" si="26"/>
        <v>0</v>
      </c>
    </row>
    <row r="174" spans="1:19" x14ac:dyDescent="0.3">
      <c r="A174" t="s">
        <v>71</v>
      </c>
      <c r="B174">
        <v>2008</v>
      </c>
      <c r="C174">
        <v>2.3160549619678818E-2</v>
      </c>
      <c r="D174">
        <v>3.5045738369140537E-2</v>
      </c>
      <c r="E174">
        <v>-0.1228334717407857</v>
      </c>
      <c r="F174">
        <v>0.48131013678115947</v>
      </c>
      <c r="G174">
        <v>0.84232830520383473</v>
      </c>
      <c r="H174">
        <v>15.872645011301859</v>
      </c>
      <c r="I174">
        <v>2.7505145138943827E-2</v>
      </c>
      <c r="J174">
        <v>0</v>
      </c>
      <c r="K174">
        <f t="shared" si="18"/>
        <v>2.3160549619678818E-2</v>
      </c>
      <c r="L174">
        <f t="shared" si="19"/>
        <v>3.5045738369140537E-2</v>
      </c>
      <c r="M174">
        <f t="shared" si="20"/>
        <v>-0.1228334717407857</v>
      </c>
      <c r="N174">
        <f t="shared" si="21"/>
        <v>0.48131013678115947</v>
      </c>
      <c r="O174">
        <f t="shared" si="22"/>
        <v>0.84232830520383473</v>
      </c>
      <c r="P174">
        <f t="shared" si="23"/>
        <v>15.872645011301859</v>
      </c>
      <c r="Q174">
        <f t="shared" si="24"/>
        <v>2.7505145138943827E-2</v>
      </c>
      <c r="R174">
        <f t="shared" si="25"/>
        <v>0</v>
      </c>
      <c r="S174">
        <f t="shared" si="26"/>
        <v>0</v>
      </c>
    </row>
    <row r="175" spans="1:19" x14ac:dyDescent="0.3">
      <c r="A175" t="s">
        <v>71</v>
      </c>
      <c r="B175">
        <v>2009</v>
      </c>
      <c r="C175">
        <v>3.1095743230490233E-2</v>
      </c>
      <c r="D175">
        <v>0.10698486317570015</v>
      </c>
      <c r="E175">
        <v>-0.30241262383525996</v>
      </c>
      <c r="F175">
        <v>0.63366932512278074</v>
      </c>
      <c r="G175">
        <v>0.82009241294559654</v>
      </c>
      <c r="H175">
        <v>16.017608905829082</v>
      </c>
      <c r="I175">
        <v>1.4756447809590265E-2</v>
      </c>
      <c r="J175">
        <v>0</v>
      </c>
      <c r="K175">
        <f t="shared" si="18"/>
        <v>3.1095743230490233E-2</v>
      </c>
      <c r="L175">
        <f t="shared" si="19"/>
        <v>0.10698486317570015</v>
      </c>
      <c r="M175">
        <f t="shared" si="20"/>
        <v>-0.30241262383525996</v>
      </c>
      <c r="N175">
        <f t="shared" si="21"/>
        <v>0.63366932512278074</v>
      </c>
      <c r="O175">
        <f t="shared" si="22"/>
        <v>0.82009241294559654</v>
      </c>
      <c r="P175">
        <f t="shared" si="23"/>
        <v>16.017608905829082</v>
      </c>
      <c r="Q175">
        <f t="shared" si="24"/>
        <v>1.4756447809590265E-2</v>
      </c>
      <c r="R175">
        <f t="shared" si="25"/>
        <v>0</v>
      </c>
      <c r="S175">
        <f t="shared" si="26"/>
        <v>0</v>
      </c>
    </row>
    <row r="176" spans="1:19" x14ac:dyDescent="0.3">
      <c r="A176" t="s">
        <v>71</v>
      </c>
      <c r="B176">
        <v>2010</v>
      </c>
      <c r="C176">
        <v>8.8399504080341387E-3</v>
      </c>
      <c r="D176">
        <v>0.16664198772582675</v>
      </c>
      <c r="E176">
        <v>-0.47619444726141141</v>
      </c>
      <c r="F176">
        <v>0.66745096417657312</v>
      </c>
      <c r="G176">
        <v>0.91851478899967598</v>
      </c>
      <c r="H176">
        <v>15.973977443825017</v>
      </c>
      <c r="I176">
        <v>1.0444297464448242E-2</v>
      </c>
      <c r="J176">
        <v>0</v>
      </c>
      <c r="K176">
        <f t="shared" si="18"/>
        <v>8.8399504080341387E-3</v>
      </c>
      <c r="L176">
        <f t="shared" si="19"/>
        <v>0.16664198772582675</v>
      </c>
      <c r="M176">
        <f t="shared" si="20"/>
        <v>-0.47619444726141141</v>
      </c>
      <c r="N176">
        <f t="shared" si="21"/>
        <v>0.66745096417657312</v>
      </c>
      <c r="O176">
        <f t="shared" si="22"/>
        <v>0.91851478899967598</v>
      </c>
      <c r="P176">
        <f t="shared" si="23"/>
        <v>15.973977443825017</v>
      </c>
      <c r="Q176">
        <f t="shared" si="24"/>
        <v>1.0444297464448242E-2</v>
      </c>
      <c r="R176">
        <f t="shared" si="25"/>
        <v>0</v>
      </c>
      <c r="S176">
        <f t="shared" si="26"/>
        <v>0</v>
      </c>
    </row>
    <row r="177" spans="1:19" x14ac:dyDescent="0.3">
      <c r="A177" t="s">
        <v>72</v>
      </c>
      <c r="B177">
        <v>2007</v>
      </c>
      <c r="C177">
        <v>7.7486207270451302E-2</v>
      </c>
      <c r="D177">
        <v>5.2585217543471653E-2</v>
      </c>
      <c r="E177">
        <v>-0.20816259048878707</v>
      </c>
      <c r="F177">
        <v>0.26207420751522598</v>
      </c>
      <c r="G177">
        <v>1.1347222773919476</v>
      </c>
      <c r="H177">
        <v>14.437665369373477</v>
      </c>
      <c r="I177">
        <v>3.267892694906219E-3</v>
      </c>
      <c r="J177">
        <v>0</v>
      </c>
      <c r="K177">
        <f t="shared" si="18"/>
        <v>7.7486207270451302E-2</v>
      </c>
      <c r="L177">
        <f t="shared" si="19"/>
        <v>5.2585217543471653E-2</v>
      </c>
      <c r="M177">
        <f t="shared" si="20"/>
        <v>-0.20816259048878707</v>
      </c>
      <c r="N177">
        <f t="shared" si="21"/>
        <v>0.26207420751522598</v>
      </c>
      <c r="O177">
        <f t="shared" si="22"/>
        <v>1.1347222773919476</v>
      </c>
      <c r="P177">
        <f t="shared" si="23"/>
        <v>14.437665369373477</v>
      </c>
      <c r="Q177">
        <f t="shared" si="24"/>
        <v>3.267892694906219E-3</v>
      </c>
      <c r="R177">
        <f t="shared" si="25"/>
        <v>0</v>
      </c>
      <c r="S177">
        <f t="shared" si="26"/>
        <v>0</v>
      </c>
    </row>
    <row r="178" spans="1:19" x14ac:dyDescent="0.3">
      <c r="A178" t="s">
        <v>72</v>
      </c>
      <c r="B178">
        <v>2009</v>
      </c>
      <c r="C178">
        <v>5.2330863717627745E-4</v>
      </c>
      <c r="D178">
        <v>9.898785862259922E-2</v>
      </c>
      <c r="E178">
        <v>8.170093431994558E-3</v>
      </c>
      <c r="F178">
        <v>0.74135827321261372</v>
      </c>
      <c r="G178">
        <v>0.98297940778584525</v>
      </c>
      <c r="H178">
        <v>14.76837079934741</v>
      </c>
      <c r="I178">
        <v>5.3546583449783323E-3</v>
      </c>
      <c r="J178">
        <v>0</v>
      </c>
      <c r="K178">
        <f t="shared" si="18"/>
        <v>5.2330863717627745E-4</v>
      </c>
      <c r="L178">
        <f t="shared" si="19"/>
        <v>9.898785862259922E-2</v>
      </c>
      <c r="M178">
        <f t="shared" si="20"/>
        <v>8.170093431994558E-3</v>
      </c>
      <c r="N178">
        <f t="shared" si="21"/>
        <v>0.74135827321261372</v>
      </c>
      <c r="O178">
        <f t="shared" si="22"/>
        <v>0.98297940778584525</v>
      </c>
      <c r="P178">
        <f t="shared" si="23"/>
        <v>14.76837079934741</v>
      </c>
      <c r="Q178">
        <f t="shared" si="24"/>
        <v>5.3546583449783323E-3</v>
      </c>
      <c r="R178">
        <f t="shared" si="25"/>
        <v>0</v>
      </c>
      <c r="S178">
        <f t="shared" si="26"/>
        <v>0</v>
      </c>
    </row>
    <row r="179" spans="1:19" x14ac:dyDescent="0.3">
      <c r="A179" t="s">
        <v>72</v>
      </c>
      <c r="B179">
        <v>2010</v>
      </c>
      <c r="C179">
        <v>1.1195637428312887E-3</v>
      </c>
      <c r="D179">
        <v>8.9318377989168113E-2</v>
      </c>
      <c r="E179">
        <v>-2.066906977818923E-2</v>
      </c>
      <c r="F179">
        <v>0.69738758521579558</v>
      </c>
      <c r="G179">
        <v>0.91475356180781953</v>
      </c>
      <c r="H179">
        <v>14.802516197769167</v>
      </c>
      <c r="I179">
        <v>2.3321288596636718E-2</v>
      </c>
      <c r="J179">
        <v>2.4224914541955314E-2</v>
      </c>
      <c r="K179">
        <f t="shared" si="18"/>
        <v>1.1195637428312887E-3</v>
      </c>
      <c r="L179">
        <f t="shared" si="19"/>
        <v>8.9318377989168113E-2</v>
      </c>
      <c r="M179">
        <f t="shared" si="20"/>
        <v>-2.066906977818923E-2</v>
      </c>
      <c r="N179">
        <f t="shared" si="21"/>
        <v>0.69738758521579558</v>
      </c>
      <c r="O179">
        <f t="shared" si="22"/>
        <v>0.91475356180781953</v>
      </c>
      <c r="P179">
        <f t="shared" si="23"/>
        <v>14.802516197769167</v>
      </c>
      <c r="Q179">
        <f t="shared" si="24"/>
        <v>2.3321288596636718E-2</v>
      </c>
      <c r="R179">
        <f t="shared" si="25"/>
        <v>2.4224914541955314E-2</v>
      </c>
      <c r="S179">
        <f t="shared" si="26"/>
        <v>0</v>
      </c>
    </row>
    <row r="180" spans="1:19" x14ac:dyDescent="0.3">
      <c r="A180" t="s">
        <v>73</v>
      </c>
      <c r="B180">
        <v>2008</v>
      </c>
      <c r="C180">
        <v>5.5778915219334025E-3</v>
      </c>
      <c r="D180">
        <v>3.65997939227789E-2</v>
      </c>
      <c r="E180">
        <v>0.30023206254353391</v>
      </c>
      <c r="F180">
        <v>0.29555522243569188</v>
      </c>
      <c r="G180">
        <v>0.68494964455896801</v>
      </c>
      <c r="H180">
        <v>16.419334562788073</v>
      </c>
      <c r="I180">
        <v>1.0841633533436033E-2</v>
      </c>
      <c r="J180">
        <v>0</v>
      </c>
      <c r="K180">
        <f t="shared" si="18"/>
        <v>5.5778915219334025E-3</v>
      </c>
      <c r="L180">
        <f t="shared" si="19"/>
        <v>3.65997939227789E-2</v>
      </c>
      <c r="M180">
        <f t="shared" si="20"/>
        <v>0.30023206254353391</v>
      </c>
      <c r="N180">
        <f t="shared" si="21"/>
        <v>0.29555522243569188</v>
      </c>
      <c r="O180">
        <f t="shared" si="22"/>
        <v>0.68494964455896801</v>
      </c>
      <c r="P180">
        <f t="shared" si="23"/>
        <v>16.419334562788073</v>
      </c>
      <c r="Q180">
        <f t="shared" si="24"/>
        <v>1.0841633533436033E-2</v>
      </c>
      <c r="R180">
        <f t="shared" si="25"/>
        <v>0</v>
      </c>
      <c r="S180">
        <f t="shared" si="26"/>
        <v>0</v>
      </c>
    </row>
    <row r="181" spans="1:19" x14ac:dyDescent="0.3">
      <c r="A181" t="s">
        <v>73</v>
      </c>
      <c r="B181">
        <v>2009</v>
      </c>
      <c r="C181">
        <v>6.0484926450067302E-3</v>
      </c>
      <c r="D181">
        <v>6.8267811950987453E-2</v>
      </c>
      <c r="E181">
        <v>-0.12283064363714347</v>
      </c>
      <c r="F181">
        <v>0.58355468655547615</v>
      </c>
      <c r="G181">
        <v>0.69201464739021135</v>
      </c>
      <c r="H181">
        <v>16.401433726904546</v>
      </c>
      <c r="I181">
        <v>5.3310042820405718E-3</v>
      </c>
      <c r="J181">
        <v>0</v>
      </c>
      <c r="K181">
        <f t="shared" si="18"/>
        <v>6.0484926450067302E-3</v>
      </c>
      <c r="L181">
        <f t="shared" si="19"/>
        <v>6.8267811950987453E-2</v>
      </c>
      <c r="M181">
        <f t="shared" si="20"/>
        <v>-0.12283064363714347</v>
      </c>
      <c r="N181">
        <f t="shared" si="21"/>
        <v>0.58355468655547615</v>
      </c>
      <c r="O181">
        <f t="shared" si="22"/>
        <v>0.69201464739021135</v>
      </c>
      <c r="P181">
        <f t="shared" si="23"/>
        <v>16.401433726904546</v>
      </c>
      <c r="Q181">
        <f t="shared" si="24"/>
        <v>5.3310042820405718E-3</v>
      </c>
      <c r="R181">
        <f t="shared" si="25"/>
        <v>0</v>
      </c>
      <c r="S181">
        <f t="shared" si="26"/>
        <v>0</v>
      </c>
    </row>
    <row r="182" spans="1:19" x14ac:dyDescent="0.3">
      <c r="A182" t="s">
        <v>73</v>
      </c>
      <c r="B182">
        <v>2010</v>
      </c>
      <c r="C182">
        <v>4.6227131270900508E-3</v>
      </c>
      <c r="D182">
        <v>4.3856064198675299E-2</v>
      </c>
      <c r="E182">
        <v>-9.4565382244867727E-2</v>
      </c>
      <c r="F182">
        <v>0.50031168475149557</v>
      </c>
      <c r="G182">
        <v>0.63039210838714854</v>
      </c>
      <c r="H182">
        <v>16.652088763929417</v>
      </c>
      <c r="I182">
        <v>3.6032923073539731E-3</v>
      </c>
      <c r="J182">
        <v>0</v>
      </c>
      <c r="K182">
        <f t="shared" si="18"/>
        <v>4.6227131270900508E-3</v>
      </c>
      <c r="L182">
        <f t="shared" si="19"/>
        <v>4.3856064198675299E-2</v>
      </c>
      <c r="M182">
        <f t="shared" si="20"/>
        <v>-9.4565382244867727E-2</v>
      </c>
      <c r="N182">
        <f t="shared" si="21"/>
        <v>0.50031168475149557</v>
      </c>
      <c r="O182">
        <f t="shared" si="22"/>
        <v>0.63039210838714854</v>
      </c>
      <c r="P182">
        <f t="shared" si="23"/>
        <v>16.652088763929417</v>
      </c>
      <c r="Q182">
        <f t="shared" si="24"/>
        <v>3.6032923073539731E-3</v>
      </c>
      <c r="R182">
        <f t="shared" si="25"/>
        <v>0</v>
      </c>
      <c r="S182">
        <f t="shared" si="26"/>
        <v>0</v>
      </c>
    </row>
    <row r="183" spans="1:19" x14ac:dyDescent="0.3">
      <c r="A183" t="s">
        <v>74</v>
      </c>
      <c r="B183">
        <v>2007</v>
      </c>
      <c r="C183">
        <v>4.8216321876527122E-4</v>
      </c>
      <c r="D183">
        <v>5.2647010913829612E-3</v>
      </c>
      <c r="E183">
        <v>-1.2962045935820166</v>
      </c>
      <c r="F183">
        <v>0</v>
      </c>
      <c r="G183">
        <v>1.1027072813161753</v>
      </c>
      <c r="H183">
        <v>11.941292966295697</v>
      </c>
      <c r="I183">
        <v>1.2553142660727394E-4</v>
      </c>
      <c r="J183">
        <v>0</v>
      </c>
      <c r="K183">
        <f t="shared" si="18"/>
        <v>4.8216321876527122E-4</v>
      </c>
      <c r="L183">
        <f t="shared" si="19"/>
        <v>5.2647010913829612E-3</v>
      </c>
      <c r="M183">
        <f t="shared" si="20"/>
        <v>-1.2962045935820166</v>
      </c>
      <c r="N183">
        <f t="shared" si="21"/>
        <v>0</v>
      </c>
      <c r="O183">
        <f t="shared" si="22"/>
        <v>1.1027072813161753</v>
      </c>
      <c r="P183">
        <f t="shared" si="23"/>
        <v>11.941292966295697</v>
      </c>
      <c r="Q183">
        <f t="shared" si="24"/>
        <v>1.2553142660727394E-4</v>
      </c>
      <c r="R183">
        <f t="shared" si="25"/>
        <v>0</v>
      </c>
      <c r="S183">
        <f t="shared" si="26"/>
        <v>0</v>
      </c>
    </row>
    <row r="184" spans="1:19" x14ac:dyDescent="0.3">
      <c r="A184" t="s">
        <v>74</v>
      </c>
      <c r="B184">
        <v>2009</v>
      </c>
      <c r="C184">
        <v>3.1511995289785967E-4</v>
      </c>
      <c r="D184">
        <v>3.8643657381684897E-3</v>
      </c>
      <c r="E184">
        <v>-3.5948552521374256E-3</v>
      </c>
      <c r="F184">
        <v>0.8288193782185771</v>
      </c>
      <c r="G184">
        <v>0.9262118435346508</v>
      </c>
      <c r="H184">
        <v>12.393290529061629</v>
      </c>
      <c r="I184">
        <v>4.1445692291224544E-5</v>
      </c>
      <c r="J184">
        <v>0</v>
      </c>
      <c r="K184">
        <f t="shared" si="18"/>
        <v>3.1511995289785967E-4</v>
      </c>
      <c r="L184">
        <f t="shared" si="19"/>
        <v>3.8643657381684897E-3</v>
      </c>
      <c r="M184">
        <f t="shared" si="20"/>
        <v>-3.5948552521374256E-3</v>
      </c>
      <c r="N184">
        <f t="shared" si="21"/>
        <v>0.8288193782185771</v>
      </c>
      <c r="O184">
        <f t="shared" si="22"/>
        <v>0.9262118435346508</v>
      </c>
      <c r="P184">
        <f t="shared" si="23"/>
        <v>12.393290529061629</v>
      </c>
      <c r="Q184">
        <f t="shared" si="24"/>
        <v>4.1445692291224544E-5</v>
      </c>
      <c r="R184">
        <f t="shared" si="25"/>
        <v>0</v>
      </c>
      <c r="S184">
        <f t="shared" si="26"/>
        <v>0</v>
      </c>
    </row>
    <row r="185" spans="1:19" x14ac:dyDescent="0.3">
      <c r="A185" t="s">
        <v>74</v>
      </c>
      <c r="B185">
        <v>2010</v>
      </c>
      <c r="C185">
        <v>3.1512779261274113E-4</v>
      </c>
      <c r="D185">
        <v>3.7400693281143746E-3</v>
      </c>
      <c r="E185">
        <v>8.6245501136118622E-4</v>
      </c>
      <c r="F185">
        <v>0.83699185643441198</v>
      </c>
      <c r="G185">
        <v>0.91400743038163634</v>
      </c>
      <c r="H185">
        <v>12.393265650861149</v>
      </c>
      <c r="I185">
        <v>1.7278222136791533E-4</v>
      </c>
      <c r="J185">
        <v>0</v>
      </c>
      <c r="K185">
        <f t="shared" si="18"/>
        <v>3.1512779261274113E-4</v>
      </c>
      <c r="L185">
        <f t="shared" si="19"/>
        <v>3.7400693281143746E-3</v>
      </c>
      <c r="M185">
        <f t="shared" si="20"/>
        <v>8.6245501136118622E-4</v>
      </c>
      <c r="N185">
        <f t="shared" si="21"/>
        <v>0.83699185643441198</v>
      </c>
      <c r="O185">
        <f t="shared" si="22"/>
        <v>0.91400743038163634</v>
      </c>
      <c r="P185">
        <f t="shared" si="23"/>
        <v>12.393265650861149</v>
      </c>
      <c r="Q185">
        <f t="shared" si="24"/>
        <v>1.7278222136791533E-4</v>
      </c>
      <c r="R185">
        <f t="shared" si="25"/>
        <v>0</v>
      </c>
      <c r="S185">
        <f t="shared" si="26"/>
        <v>0</v>
      </c>
    </row>
    <row r="186" spans="1:19" x14ac:dyDescent="0.3">
      <c r="A186" t="s">
        <v>75</v>
      </c>
      <c r="B186">
        <v>2007</v>
      </c>
      <c r="C186">
        <v>2.3846687010952929E-3</v>
      </c>
      <c r="D186">
        <v>0.11567893396227431</v>
      </c>
      <c r="E186">
        <v>0.17429990611158599</v>
      </c>
      <c r="F186">
        <v>0.27772888130499507</v>
      </c>
      <c r="G186">
        <v>0.8230867675544925</v>
      </c>
      <c r="H186">
        <v>15.126754810951994</v>
      </c>
      <c r="I186">
        <v>2.0726964791853403E-2</v>
      </c>
      <c r="J186">
        <v>0</v>
      </c>
      <c r="K186">
        <f t="shared" si="18"/>
        <v>2.3846687010952929E-3</v>
      </c>
      <c r="L186">
        <f t="shared" si="19"/>
        <v>0.11567893396227431</v>
      </c>
      <c r="M186">
        <f t="shared" si="20"/>
        <v>0.17429990611158599</v>
      </c>
      <c r="N186">
        <f t="shared" si="21"/>
        <v>0.27772888130499507</v>
      </c>
      <c r="O186">
        <f t="shared" si="22"/>
        <v>0.8230867675544925</v>
      </c>
      <c r="P186">
        <f t="shared" si="23"/>
        <v>15.126754810951994</v>
      </c>
      <c r="Q186">
        <f t="shared" si="24"/>
        <v>2.0726964791853403E-2</v>
      </c>
      <c r="R186">
        <f t="shared" si="25"/>
        <v>0</v>
      </c>
      <c r="S186">
        <f t="shared" si="26"/>
        <v>0</v>
      </c>
    </row>
    <row r="187" spans="1:19" x14ac:dyDescent="0.3">
      <c r="A187" t="s">
        <v>75</v>
      </c>
      <c r="B187">
        <v>2009</v>
      </c>
      <c r="C187">
        <v>2.0881017805899783E-3</v>
      </c>
      <c r="D187">
        <v>8.3815355311136444E-2</v>
      </c>
      <c r="E187">
        <v>0.10615958339359316</v>
      </c>
      <c r="F187">
        <v>0.49506435296117324</v>
      </c>
      <c r="G187">
        <v>0.7254178976078719</v>
      </c>
      <c r="H187">
        <v>15.301280728774248</v>
      </c>
      <c r="I187">
        <v>3.0532524122041611E-2</v>
      </c>
      <c r="J187">
        <v>9.0395388160376903E-3</v>
      </c>
      <c r="K187">
        <f t="shared" si="18"/>
        <v>2.0881017805899783E-3</v>
      </c>
      <c r="L187">
        <f t="shared" si="19"/>
        <v>8.3815355311136444E-2</v>
      </c>
      <c r="M187">
        <f t="shared" si="20"/>
        <v>0.10615958339359316</v>
      </c>
      <c r="N187">
        <f t="shared" si="21"/>
        <v>0.49506435296117324</v>
      </c>
      <c r="O187">
        <f t="shared" si="22"/>
        <v>0.7254178976078719</v>
      </c>
      <c r="P187">
        <f t="shared" si="23"/>
        <v>15.301280728774248</v>
      </c>
      <c r="Q187">
        <f t="shared" si="24"/>
        <v>3.0532524122041611E-2</v>
      </c>
      <c r="R187">
        <f t="shared" si="25"/>
        <v>9.0395388160376903E-3</v>
      </c>
      <c r="S187">
        <f t="shared" si="26"/>
        <v>0</v>
      </c>
    </row>
    <row r="188" spans="1:19" x14ac:dyDescent="0.3">
      <c r="A188" t="s">
        <v>75</v>
      </c>
      <c r="B188">
        <v>2010</v>
      </c>
      <c r="C188">
        <v>3.062585585587382E-3</v>
      </c>
      <c r="D188">
        <v>0.16225940566536456</v>
      </c>
      <c r="E188">
        <v>0.14300288530738625</v>
      </c>
      <c r="F188">
        <v>0.42900267353072963</v>
      </c>
      <c r="G188">
        <v>0.72561442649704855</v>
      </c>
      <c r="H188">
        <v>15.427887547078024</v>
      </c>
      <c r="I188">
        <v>3.0066749602481666E-2</v>
      </c>
      <c r="J188">
        <v>1.7947174287203046E-2</v>
      </c>
      <c r="K188">
        <f t="shared" si="18"/>
        <v>3.062585585587382E-3</v>
      </c>
      <c r="L188">
        <f t="shared" si="19"/>
        <v>0.16225940566536456</v>
      </c>
      <c r="M188">
        <f t="shared" si="20"/>
        <v>0.14300288530738625</v>
      </c>
      <c r="N188">
        <f t="shared" si="21"/>
        <v>0.42900267353072963</v>
      </c>
      <c r="O188">
        <f t="shared" si="22"/>
        <v>0.72561442649704855</v>
      </c>
      <c r="P188">
        <f t="shared" si="23"/>
        <v>15.427887547078024</v>
      </c>
      <c r="Q188">
        <f t="shared" si="24"/>
        <v>3.0066749602481666E-2</v>
      </c>
      <c r="R188">
        <f t="shared" si="25"/>
        <v>1.7947174287203046E-2</v>
      </c>
      <c r="S188">
        <f t="shared" si="26"/>
        <v>0</v>
      </c>
    </row>
    <row r="189" spans="1:19" x14ac:dyDescent="0.3">
      <c r="A189" t="s">
        <v>76</v>
      </c>
      <c r="B189">
        <v>2007</v>
      </c>
      <c r="C189">
        <v>2.3486270399996844E-3</v>
      </c>
      <c r="D189">
        <v>0.10199554352953251</v>
      </c>
      <c r="E189">
        <v>-0.11158840212442198</v>
      </c>
      <c r="F189">
        <v>0.33802565332291251</v>
      </c>
      <c r="G189">
        <v>1.0150809486874333</v>
      </c>
      <c r="H189">
        <v>13.828780126523293</v>
      </c>
      <c r="I189">
        <v>1.6249701557283946E-2</v>
      </c>
      <c r="J189">
        <v>0</v>
      </c>
      <c r="K189">
        <f t="shared" si="18"/>
        <v>2.3486270399996844E-3</v>
      </c>
      <c r="L189">
        <f t="shared" si="19"/>
        <v>0.10199554352953251</v>
      </c>
      <c r="M189">
        <f t="shared" si="20"/>
        <v>-0.11158840212442198</v>
      </c>
      <c r="N189">
        <f t="shared" si="21"/>
        <v>0.33802565332291251</v>
      </c>
      <c r="O189">
        <f t="shared" si="22"/>
        <v>1.0150809486874333</v>
      </c>
      <c r="P189">
        <f t="shared" si="23"/>
        <v>13.828780126523293</v>
      </c>
      <c r="Q189">
        <f t="shared" si="24"/>
        <v>1.6249701557283946E-2</v>
      </c>
      <c r="R189">
        <f t="shared" si="25"/>
        <v>0</v>
      </c>
      <c r="S189">
        <f t="shared" si="26"/>
        <v>0</v>
      </c>
    </row>
    <row r="190" spans="1:19" x14ac:dyDescent="0.3">
      <c r="A190" t="s">
        <v>76</v>
      </c>
      <c r="B190">
        <v>2008</v>
      </c>
      <c r="C190">
        <v>2.3430062033309284E-3</v>
      </c>
      <c r="D190">
        <v>5.1676777854151278E-2</v>
      </c>
      <c r="E190">
        <v>-0.14129932672726264</v>
      </c>
      <c r="F190">
        <v>0.49781880125859734</v>
      </c>
      <c r="G190">
        <v>1.0629921999410834</v>
      </c>
      <c r="H190">
        <v>13.973492460703998</v>
      </c>
      <c r="I190">
        <v>9.2754593069088731E-4</v>
      </c>
      <c r="J190">
        <v>0</v>
      </c>
      <c r="K190">
        <f t="shared" si="18"/>
        <v>2.3430062033309284E-3</v>
      </c>
      <c r="L190">
        <f t="shared" si="19"/>
        <v>5.1676777854151278E-2</v>
      </c>
      <c r="M190">
        <f t="shared" si="20"/>
        <v>-0.14129932672726264</v>
      </c>
      <c r="N190">
        <f t="shared" si="21"/>
        <v>0.49781880125859734</v>
      </c>
      <c r="O190">
        <f t="shared" si="22"/>
        <v>1.0629921999410834</v>
      </c>
      <c r="P190">
        <f t="shared" si="23"/>
        <v>13.973492460703998</v>
      </c>
      <c r="Q190">
        <f t="shared" si="24"/>
        <v>9.2754593069088731E-4</v>
      </c>
      <c r="R190">
        <f t="shared" si="25"/>
        <v>0</v>
      </c>
      <c r="S190">
        <f t="shared" si="26"/>
        <v>0</v>
      </c>
    </row>
    <row r="191" spans="1:19" x14ac:dyDescent="0.3">
      <c r="A191" t="s">
        <v>76</v>
      </c>
      <c r="B191">
        <v>2009</v>
      </c>
      <c r="C191">
        <v>6.1357125390632886E-3</v>
      </c>
      <c r="D191">
        <v>5.4626910539740794E-2</v>
      </c>
      <c r="E191">
        <v>-0.20528127437366003</v>
      </c>
      <c r="F191">
        <v>0.54189297014102789</v>
      </c>
      <c r="G191">
        <v>0.91770816741484218</v>
      </c>
      <c r="H191">
        <v>14.106128067800963</v>
      </c>
      <c r="I191">
        <v>2.8148550035176273E-2</v>
      </c>
      <c r="J191">
        <v>0</v>
      </c>
      <c r="K191">
        <f t="shared" si="18"/>
        <v>6.1357125390632886E-3</v>
      </c>
      <c r="L191">
        <f t="shared" si="19"/>
        <v>5.4626910539740794E-2</v>
      </c>
      <c r="M191">
        <f t="shared" si="20"/>
        <v>-0.20528127437366003</v>
      </c>
      <c r="N191">
        <f t="shared" si="21"/>
        <v>0.54189297014102789</v>
      </c>
      <c r="O191">
        <f t="shared" si="22"/>
        <v>0.91770816741484218</v>
      </c>
      <c r="P191">
        <f t="shared" si="23"/>
        <v>14.106128067800963</v>
      </c>
      <c r="Q191">
        <f t="shared" si="24"/>
        <v>2.8148550035176273E-2</v>
      </c>
      <c r="R191">
        <f t="shared" si="25"/>
        <v>0</v>
      </c>
      <c r="S191">
        <f t="shared" si="26"/>
        <v>0</v>
      </c>
    </row>
    <row r="192" spans="1:19" x14ac:dyDescent="0.3">
      <c r="A192" t="s">
        <v>76</v>
      </c>
      <c r="B192">
        <v>2010</v>
      </c>
      <c r="C192">
        <v>4.8662998881933124E-4</v>
      </c>
      <c r="D192">
        <v>0.17446670180122051</v>
      </c>
      <c r="E192">
        <v>-0.13144723167626299</v>
      </c>
      <c r="F192">
        <v>0.40486629988819334</v>
      </c>
      <c r="G192">
        <v>0.74764866102872007</v>
      </c>
      <c r="H192">
        <v>13.830542017397772</v>
      </c>
      <c r="I192">
        <v>2.5411821293336818E-2</v>
      </c>
      <c r="J192">
        <v>3.7236059873220081E-2</v>
      </c>
      <c r="K192">
        <f t="shared" si="18"/>
        <v>4.8662998881933124E-4</v>
      </c>
      <c r="L192">
        <f t="shared" si="19"/>
        <v>0.17446670180122051</v>
      </c>
      <c r="M192">
        <f t="shared" si="20"/>
        <v>-0.13144723167626299</v>
      </c>
      <c r="N192">
        <f t="shared" si="21"/>
        <v>0.40486629988819334</v>
      </c>
      <c r="O192">
        <f t="shared" si="22"/>
        <v>0.74764866102872007</v>
      </c>
      <c r="P192">
        <f t="shared" si="23"/>
        <v>13.830542017397772</v>
      </c>
      <c r="Q192">
        <f t="shared" si="24"/>
        <v>2.5411821293336818E-2</v>
      </c>
      <c r="R192">
        <f t="shared" si="25"/>
        <v>3.7236059873220081E-2</v>
      </c>
      <c r="S192">
        <f t="shared" si="26"/>
        <v>0</v>
      </c>
    </row>
    <row r="193" spans="1:19" x14ac:dyDescent="0.3">
      <c r="A193" t="s">
        <v>77</v>
      </c>
      <c r="B193">
        <v>2007</v>
      </c>
      <c r="C193">
        <v>1.0314856461772734E-2</v>
      </c>
      <c r="D193">
        <v>4.4906507281059091E-2</v>
      </c>
      <c r="E193">
        <v>-3.9777334069328811E-2</v>
      </c>
      <c r="F193">
        <v>0.50290221361012877</v>
      </c>
      <c r="G193">
        <v>0.836339558173399</v>
      </c>
      <c r="H193">
        <v>15.806958240176591</v>
      </c>
      <c r="I193">
        <v>1.1555614674328221E-2</v>
      </c>
      <c r="J193">
        <v>1.5075895438411429E-2</v>
      </c>
      <c r="K193">
        <f t="shared" si="18"/>
        <v>1.0314856461772734E-2</v>
      </c>
      <c r="L193">
        <f t="shared" si="19"/>
        <v>4.4906507281059091E-2</v>
      </c>
      <c r="M193">
        <f t="shared" si="20"/>
        <v>-3.9777334069328811E-2</v>
      </c>
      <c r="N193">
        <f t="shared" si="21"/>
        <v>0.50290221361012877</v>
      </c>
      <c r="O193">
        <f t="shared" si="22"/>
        <v>0.836339558173399</v>
      </c>
      <c r="P193">
        <f t="shared" si="23"/>
        <v>15.806958240176591</v>
      </c>
      <c r="Q193">
        <f t="shared" si="24"/>
        <v>1.1555614674328221E-2</v>
      </c>
      <c r="R193">
        <f t="shared" si="25"/>
        <v>1.5075895438411429E-2</v>
      </c>
      <c r="S193">
        <f t="shared" si="26"/>
        <v>0</v>
      </c>
    </row>
    <row r="194" spans="1:19" x14ac:dyDescent="0.3">
      <c r="A194" t="s">
        <v>77</v>
      </c>
      <c r="B194">
        <v>2009</v>
      </c>
      <c r="C194">
        <v>3.3364654767708828E-2</v>
      </c>
      <c r="D194">
        <v>6.6238234065588347E-2</v>
      </c>
      <c r="E194">
        <v>0.13547280798200825</v>
      </c>
      <c r="F194">
        <v>0.56700166154995479</v>
      </c>
      <c r="G194">
        <v>1.0841986048467953</v>
      </c>
      <c r="H194">
        <v>16.079535575535871</v>
      </c>
      <c r="I194">
        <v>1.8174958577260154E-2</v>
      </c>
      <c r="J194">
        <v>1.4030727709408872E-2</v>
      </c>
      <c r="K194">
        <f t="shared" si="18"/>
        <v>3.3364654767708828E-2</v>
      </c>
      <c r="L194">
        <f t="shared" si="19"/>
        <v>6.6238234065588347E-2</v>
      </c>
      <c r="M194">
        <f t="shared" si="20"/>
        <v>0.13547280798200825</v>
      </c>
      <c r="N194">
        <f t="shared" si="21"/>
        <v>0.56700166154995479</v>
      </c>
      <c r="O194">
        <f t="shared" si="22"/>
        <v>1.0841986048467953</v>
      </c>
      <c r="P194">
        <f t="shared" si="23"/>
        <v>16.079535575535871</v>
      </c>
      <c r="Q194">
        <f t="shared" si="24"/>
        <v>1.8174958577260154E-2</v>
      </c>
      <c r="R194">
        <f t="shared" si="25"/>
        <v>1.4030727709408872E-2</v>
      </c>
      <c r="S194">
        <f t="shared" si="26"/>
        <v>0</v>
      </c>
    </row>
    <row r="195" spans="1:19" x14ac:dyDescent="0.3">
      <c r="A195" t="s">
        <v>77</v>
      </c>
      <c r="B195">
        <v>2010</v>
      </c>
      <c r="C195">
        <v>3.9202203118373698E-2</v>
      </c>
      <c r="D195">
        <v>0.10927001983798638</v>
      </c>
      <c r="E195">
        <v>0.12093364988454609</v>
      </c>
      <c r="F195">
        <v>0.51506235405621559</v>
      </c>
      <c r="G195">
        <v>0.88691274335484382</v>
      </c>
      <c r="H195">
        <v>16.324875239985296</v>
      </c>
      <c r="I195">
        <v>9.3293496901500125E-3</v>
      </c>
      <c r="J195">
        <v>1.3926030617750586E-2</v>
      </c>
      <c r="K195">
        <f t="shared" ref="K195:K258" si="27">IF(OR(C195&lt;$C$1007-3*$C$1008,C195&gt;$C$1007+3*$C$1008),"out",C195)</f>
        <v>3.9202203118373698E-2</v>
      </c>
      <c r="L195">
        <f t="shared" ref="L195:L258" si="28">IF(OR(D195&lt;$D$1007-3*$D$1008,D195&gt;$D$1007+3*$D$1008),"out",D195)</f>
        <v>0.10927001983798638</v>
      </c>
      <c r="M195">
        <f t="shared" ref="M195:M258" si="29">IF(OR(E195&lt;$E$1007-3*$E$1008,E195&gt;$E$1007+3*$E$1008),"out",E195)</f>
        <v>0.12093364988454609</v>
      </c>
      <c r="N195">
        <f t="shared" ref="N195:N258" si="30">IF(OR(F195&lt;$F$1007-3*$F$1008,F195&gt;$F$1007+3*$F$1008),"out",F195)</f>
        <v>0.51506235405621559</v>
      </c>
      <c r="O195">
        <f t="shared" ref="O195:O258" si="31">IF(OR(G195&lt;$G$1007-3*$G$1008,G195&gt;$G$1007+3*$G$1008),"out",G195)</f>
        <v>0.88691274335484382</v>
      </c>
      <c r="P195">
        <f t="shared" ref="P195:P258" si="32">IF(OR(H195&lt;$H$1007-3*$H$1008,H195&gt;$H$1007+3*$H$1008),"out",H195)</f>
        <v>16.324875239985296</v>
      </c>
      <c r="Q195">
        <f t="shared" ref="Q195:Q258" si="33">IF(OR(I195&lt;$I$1007-3*$I$1008,I195&gt;$I$1007+3*$I$1008),"out",I195)</f>
        <v>9.3293496901500125E-3</v>
      </c>
      <c r="R195">
        <f t="shared" ref="R195:R258" si="34">IF(OR(J195&lt;$J$1007-3*$J$1008,J195&gt;$J$1007+3*$J$1008),"out",J195)</f>
        <v>1.3926030617750586E-2</v>
      </c>
      <c r="S195">
        <f t="shared" ref="S195:S258" si="35">IF(OR(K195="ot",L195="out",M195="out",N195="out",O195="out",P195="out",Q195="out",R195="out"),1,0)</f>
        <v>0</v>
      </c>
    </row>
    <row r="196" spans="1:19" x14ac:dyDescent="0.3">
      <c r="A196" t="s">
        <v>78</v>
      </c>
      <c r="B196">
        <v>2007</v>
      </c>
      <c r="C196">
        <v>3.9147112801972321E-3</v>
      </c>
      <c r="D196">
        <v>2.8484710046183616E-2</v>
      </c>
      <c r="E196">
        <v>1.4416954821973844E-2</v>
      </c>
      <c r="F196">
        <v>3.2596338392789158E-2</v>
      </c>
      <c r="G196">
        <v>0.91133218333766552</v>
      </c>
      <c r="H196">
        <v>12.850216014099617</v>
      </c>
      <c r="I196">
        <v>3.9062514459231187E-2</v>
      </c>
      <c r="J196">
        <v>0</v>
      </c>
      <c r="K196">
        <f t="shared" si="27"/>
        <v>3.9147112801972321E-3</v>
      </c>
      <c r="L196">
        <f t="shared" si="28"/>
        <v>2.8484710046183616E-2</v>
      </c>
      <c r="M196">
        <f t="shared" si="29"/>
        <v>1.4416954821973844E-2</v>
      </c>
      <c r="N196">
        <f t="shared" si="30"/>
        <v>3.2596338392789158E-2</v>
      </c>
      <c r="O196">
        <f t="shared" si="31"/>
        <v>0.91133218333766552</v>
      </c>
      <c r="P196">
        <f t="shared" si="32"/>
        <v>12.850216014099617</v>
      </c>
      <c r="Q196">
        <f t="shared" si="33"/>
        <v>3.9062514459231187E-2</v>
      </c>
      <c r="R196">
        <f t="shared" si="34"/>
        <v>0</v>
      </c>
      <c r="S196">
        <f t="shared" si="35"/>
        <v>0</v>
      </c>
    </row>
    <row r="197" spans="1:19" x14ac:dyDescent="0.3">
      <c r="A197" t="s">
        <v>79</v>
      </c>
      <c r="B197">
        <v>2007</v>
      </c>
      <c r="C197">
        <v>5.691157175002578E-3</v>
      </c>
      <c r="D197">
        <v>0.18073821283512626</v>
      </c>
      <c r="E197">
        <v>-0.22097560383885231</v>
      </c>
      <c r="F197">
        <v>0.30165053666702385</v>
      </c>
      <c r="G197">
        <v>0.98636664597767609</v>
      </c>
      <c r="H197">
        <v>13.804706402706769</v>
      </c>
      <c r="I197">
        <v>1.6159265875033135E-3</v>
      </c>
      <c r="J197">
        <v>0</v>
      </c>
      <c r="K197">
        <f t="shared" si="27"/>
        <v>5.691157175002578E-3</v>
      </c>
      <c r="L197">
        <f t="shared" si="28"/>
        <v>0.18073821283512626</v>
      </c>
      <c r="M197">
        <f t="shared" si="29"/>
        <v>-0.22097560383885231</v>
      </c>
      <c r="N197">
        <f t="shared" si="30"/>
        <v>0.30165053666702385</v>
      </c>
      <c r="O197">
        <f t="shared" si="31"/>
        <v>0.98636664597767609</v>
      </c>
      <c r="P197">
        <f t="shared" si="32"/>
        <v>13.804706402706769</v>
      </c>
      <c r="Q197">
        <f t="shared" si="33"/>
        <v>1.6159265875033135E-3</v>
      </c>
      <c r="R197">
        <f t="shared" si="34"/>
        <v>0</v>
      </c>
      <c r="S197">
        <f t="shared" si="35"/>
        <v>0</v>
      </c>
    </row>
    <row r="198" spans="1:19" x14ac:dyDescent="0.3">
      <c r="A198" t="s">
        <v>79</v>
      </c>
      <c r="B198">
        <v>2008</v>
      </c>
      <c r="C198">
        <v>1.7496639427892903E-3</v>
      </c>
      <c r="D198">
        <v>0.16421875338507358</v>
      </c>
      <c r="E198">
        <v>-0.14008350106104325</v>
      </c>
      <c r="F198">
        <v>0.13938095321609073</v>
      </c>
      <c r="G198">
        <v>0.88044755702140343</v>
      </c>
      <c r="H198">
        <v>13.784359358531034</v>
      </c>
      <c r="I198">
        <v>1.268233679894795E-2</v>
      </c>
      <c r="J198">
        <v>0</v>
      </c>
      <c r="K198">
        <f t="shared" si="27"/>
        <v>1.7496639427892903E-3</v>
      </c>
      <c r="L198">
        <f t="shared" si="28"/>
        <v>0.16421875338507358</v>
      </c>
      <c r="M198">
        <f t="shared" si="29"/>
        <v>-0.14008350106104325</v>
      </c>
      <c r="N198">
        <f t="shared" si="30"/>
        <v>0.13938095321609073</v>
      </c>
      <c r="O198">
        <f t="shared" si="31"/>
        <v>0.88044755702140343</v>
      </c>
      <c r="P198">
        <f t="shared" si="32"/>
        <v>13.784359358531034</v>
      </c>
      <c r="Q198">
        <f t="shared" si="33"/>
        <v>1.268233679894795E-2</v>
      </c>
      <c r="R198">
        <f t="shared" si="34"/>
        <v>0</v>
      </c>
      <c r="S198">
        <f t="shared" si="35"/>
        <v>0</v>
      </c>
    </row>
    <row r="199" spans="1:19" x14ac:dyDescent="0.3">
      <c r="A199" t="s">
        <v>79</v>
      </c>
      <c r="B199">
        <v>2009</v>
      </c>
      <c r="C199">
        <v>5.1825708909656481E-4</v>
      </c>
      <c r="D199">
        <v>0.1309768866293029</v>
      </c>
      <c r="E199">
        <v>-0.16784925546716456</v>
      </c>
      <c r="F199">
        <v>0.6967748290479181</v>
      </c>
      <c r="G199">
        <v>0.96593752483548423</v>
      </c>
      <c r="H199">
        <v>13.702766181915363</v>
      </c>
      <c r="I199">
        <v>1.2728588909919311E-2</v>
      </c>
      <c r="J199">
        <v>0</v>
      </c>
      <c r="K199">
        <f t="shared" si="27"/>
        <v>5.1825708909656481E-4</v>
      </c>
      <c r="L199">
        <f t="shared" si="28"/>
        <v>0.1309768866293029</v>
      </c>
      <c r="M199">
        <f t="shared" si="29"/>
        <v>-0.16784925546716456</v>
      </c>
      <c r="N199">
        <f t="shared" si="30"/>
        <v>0.6967748290479181</v>
      </c>
      <c r="O199">
        <f t="shared" si="31"/>
        <v>0.96593752483548423</v>
      </c>
      <c r="P199">
        <f t="shared" si="32"/>
        <v>13.702766181915363</v>
      </c>
      <c r="Q199">
        <f t="shared" si="33"/>
        <v>1.2728588909919311E-2</v>
      </c>
      <c r="R199">
        <f t="shared" si="34"/>
        <v>0</v>
      </c>
      <c r="S199">
        <f t="shared" si="35"/>
        <v>0</v>
      </c>
    </row>
    <row r="200" spans="1:19" x14ac:dyDescent="0.3">
      <c r="A200" t="s">
        <v>79</v>
      </c>
      <c r="B200">
        <v>2010</v>
      </c>
      <c r="C200">
        <v>1.7642259458662511E-3</v>
      </c>
      <c r="D200">
        <v>9.2411954255070594E-2</v>
      </c>
      <c r="E200">
        <v>-0.16766643635105097</v>
      </c>
      <c r="F200">
        <v>0.7153811265307346</v>
      </c>
      <c r="G200">
        <v>0.98550635908495143</v>
      </c>
      <c r="H200">
        <v>13.592805660427427</v>
      </c>
      <c r="I200">
        <v>2.1021592247871639E-3</v>
      </c>
      <c r="J200">
        <v>0</v>
      </c>
      <c r="K200">
        <f t="shared" si="27"/>
        <v>1.7642259458662511E-3</v>
      </c>
      <c r="L200">
        <f t="shared" si="28"/>
        <v>9.2411954255070594E-2</v>
      </c>
      <c r="M200">
        <f t="shared" si="29"/>
        <v>-0.16766643635105097</v>
      </c>
      <c r="N200">
        <f t="shared" si="30"/>
        <v>0.7153811265307346</v>
      </c>
      <c r="O200">
        <f t="shared" si="31"/>
        <v>0.98550635908495143</v>
      </c>
      <c r="P200">
        <f t="shared" si="32"/>
        <v>13.592805660427427</v>
      </c>
      <c r="Q200">
        <f t="shared" si="33"/>
        <v>2.1021592247871639E-3</v>
      </c>
      <c r="R200">
        <f t="shared" si="34"/>
        <v>0</v>
      </c>
      <c r="S200">
        <f t="shared" si="35"/>
        <v>0</v>
      </c>
    </row>
    <row r="201" spans="1:19" x14ac:dyDescent="0.3">
      <c r="A201" t="s">
        <v>80</v>
      </c>
      <c r="B201">
        <v>2007</v>
      </c>
      <c r="C201">
        <v>4.0509945705538943E-4</v>
      </c>
      <c r="D201">
        <v>6.9794011636546138E-2</v>
      </c>
      <c r="E201">
        <v>-0.15739184465420736</v>
      </c>
      <c r="F201">
        <v>0.30982571730652542</v>
      </c>
      <c r="G201">
        <v>0.67554638110437992</v>
      </c>
      <c r="H201">
        <v>14.663620517081451</v>
      </c>
      <c r="I201">
        <v>1.2511531771730346E-3</v>
      </c>
      <c r="J201">
        <v>0</v>
      </c>
      <c r="K201">
        <f t="shared" si="27"/>
        <v>4.0509945705538943E-4</v>
      </c>
      <c r="L201">
        <f t="shared" si="28"/>
        <v>6.9794011636546138E-2</v>
      </c>
      <c r="M201">
        <f t="shared" si="29"/>
        <v>-0.15739184465420736</v>
      </c>
      <c r="N201">
        <f t="shared" si="30"/>
        <v>0.30982571730652542</v>
      </c>
      <c r="O201">
        <f t="shared" si="31"/>
        <v>0.67554638110437992</v>
      </c>
      <c r="P201">
        <f t="shared" si="32"/>
        <v>14.663620517081451</v>
      </c>
      <c r="Q201">
        <f t="shared" si="33"/>
        <v>1.2511531771730346E-3</v>
      </c>
      <c r="R201">
        <f t="shared" si="34"/>
        <v>0</v>
      </c>
      <c r="S201">
        <f t="shared" si="35"/>
        <v>0</v>
      </c>
    </row>
    <row r="202" spans="1:19" x14ac:dyDescent="0.3">
      <c r="A202" t="s">
        <v>80</v>
      </c>
      <c r="B202">
        <v>2008</v>
      </c>
      <c r="C202">
        <v>2.6396419447205235E-3</v>
      </c>
      <c r="D202">
        <v>7.2960234794843801E-2</v>
      </c>
      <c r="E202">
        <v>-0.17390650293086402</v>
      </c>
      <c r="F202">
        <v>0.32876935426703541</v>
      </c>
      <c r="G202">
        <v>0.68368204979190161</v>
      </c>
      <c r="H202">
        <v>14.66278170370893</v>
      </c>
      <c r="I202">
        <v>4.4966129820413682E-2</v>
      </c>
      <c r="J202">
        <v>0</v>
      </c>
      <c r="K202">
        <f t="shared" si="27"/>
        <v>2.6396419447205235E-3</v>
      </c>
      <c r="L202">
        <f t="shared" si="28"/>
        <v>7.2960234794843801E-2</v>
      </c>
      <c r="M202">
        <f t="shared" si="29"/>
        <v>-0.17390650293086402</v>
      </c>
      <c r="N202">
        <f t="shared" si="30"/>
        <v>0.32876935426703541</v>
      </c>
      <c r="O202">
        <f t="shared" si="31"/>
        <v>0.68368204979190161</v>
      </c>
      <c r="P202">
        <f t="shared" si="32"/>
        <v>14.66278170370893</v>
      </c>
      <c r="Q202">
        <f t="shared" si="33"/>
        <v>4.4966129820413682E-2</v>
      </c>
      <c r="R202">
        <f t="shared" si="34"/>
        <v>0</v>
      </c>
      <c r="S202">
        <f t="shared" si="35"/>
        <v>0</v>
      </c>
    </row>
    <row r="203" spans="1:19" x14ac:dyDescent="0.3">
      <c r="A203" t="s">
        <v>80</v>
      </c>
      <c r="B203">
        <v>2009</v>
      </c>
      <c r="C203">
        <v>3.8418684325550725E-3</v>
      </c>
      <c r="D203">
        <v>0.2326207626636887</v>
      </c>
      <c r="E203">
        <v>-0.39057041867421938</v>
      </c>
      <c r="F203">
        <v>0.51966336278445768</v>
      </c>
      <c r="G203">
        <v>0.83340595810478602</v>
      </c>
      <c r="H203">
        <v>14.498094644970328</v>
      </c>
      <c r="I203">
        <v>1.2969070992670742E-2</v>
      </c>
      <c r="J203">
        <v>0</v>
      </c>
      <c r="K203">
        <f t="shared" si="27"/>
        <v>3.8418684325550725E-3</v>
      </c>
      <c r="L203">
        <f t="shared" si="28"/>
        <v>0.2326207626636887</v>
      </c>
      <c r="M203">
        <f t="shared" si="29"/>
        <v>-0.39057041867421938</v>
      </c>
      <c r="N203">
        <f t="shared" si="30"/>
        <v>0.51966336278445768</v>
      </c>
      <c r="O203">
        <f t="shared" si="31"/>
        <v>0.83340595810478602</v>
      </c>
      <c r="P203">
        <f t="shared" si="32"/>
        <v>14.498094644970328</v>
      </c>
      <c r="Q203">
        <f t="shared" si="33"/>
        <v>1.2969070992670742E-2</v>
      </c>
      <c r="R203">
        <f t="shared" si="34"/>
        <v>0</v>
      </c>
      <c r="S203">
        <f t="shared" si="35"/>
        <v>0</v>
      </c>
    </row>
    <row r="204" spans="1:19" x14ac:dyDescent="0.3">
      <c r="A204" t="s">
        <v>80</v>
      </c>
      <c r="B204">
        <v>2010</v>
      </c>
      <c r="C204">
        <v>4.1654649239841556E-4</v>
      </c>
      <c r="D204">
        <v>0.25109609307401975</v>
      </c>
      <c r="E204">
        <v>-0.21192827308020309</v>
      </c>
      <c r="F204">
        <v>0.64387297977544877</v>
      </c>
      <c r="G204">
        <v>0.93740833383477995</v>
      </c>
      <c r="H204">
        <v>14.471867190127142</v>
      </c>
      <c r="I204">
        <v>1.1230895358903398E-3</v>
      </c>
      <c r="J204">
        <v>0</v>
      </c>
      <c r="K204">
        <f t="shared" si="27"/>
        <v>4.1654649239841556E-4</v>
      </c>
      <c r="L204">
        <f t="shared" si="28"/>
        <v>0.25109609307401975</v>
      </c>
      <c r="M204">
        <f t="shared" si="29"/>
        <v>-0.21192827308020309</v>
      </c>
      <c r="N204">
        <f t="shared" si="30"/>
        <v>0.64387297977544877</v>
      </c>
      <c r="O204">
        <f t="shared" si="31"/>
        <v>0.93740833383477995</v>
      </c>
      <c r="P204">
        <f t="shared" si="32"/>
        <v>14.471867190127142</v>
      </c>
      <c r="Q204">
        <f t="shared" si="33"/>
        <v>1.1230895358903398E-3</v>
      </c>
      <c r="R204">
        <f t="shared" si="34"/>
        <v>0</v>
      </c>
      <c r="S204">
        <f t="shared" si="35"/>
        <v>0</v>
      </c>
    </row>
    <row r="205" spans="1:19" x14ac:dyDescent="0.3">
      <c r="A205" t="s">
        <v>81</v>
      </c>
      <c r="B205">
        <v>2009</v>
      </c>
      <c r="C205">
        <v>6.9772753225990636E-3</v>
      </c>
      <c r="D205">
        <v>0.10990065090784515</v>
      </c>
      <c r="E205">
        <v>-0.81972136576453125</v>
      </c>
      <c r="F205">
        <v>0.55972364965170718</v>
      </c>
      <c r="G205">
        <v>1.0962620760534429</v>
      </c>
      <c r="H205">
        <v>11.38019375251627</v>
      </c>
      <c r="I205">
        <v>1.3021794826209779E-2</v>
      </c>
      <c r="J205">
        <v>0</v>
      </c>
      <c r="K205">
        <f t="shared" si="27"/>
        <v>6.9772753225990636E-3</v>
      </c>
      <c r="L205">
        <f t="shared" si="28"/>
        <v>0.10990065090784515</v>
      </c>
      <c r="M205">
        <f t="shared" si="29"/>
        <v>-0.81972136576453125</v>
      </c>
      <c r="N205">
        <f t="shared" si="30"/>
        <v>0.55972364965170718</v>
      </c>
      <c r="O205">
        <f t="shared" si="31"/>
        <v>1.0962620760534429</v>
      </c>
      <c r="P205">
        <f t="shared" si="32"/>
        <v>11.38019375251627</v>
      </c>
      <c r="Q205">
        <f t="shared" si="33"/>
        <v>1.3021794826209779E-2</v>
      </c>
      <c r="R205">
        <f t="shared" si="34"/>
        <v>0</v>
      </c>
      <c r="S205">
        <f t="shared" si="35"/>
        <v>0</v>
      </c>
    </row>
    <row r="206" spans="1:19" x14ac:dyDescent="0.3">
      <c r="A206" t="s">
        <v>81</v>
      </c>
      <c r="B206">
        <v>2010</v>
      </c>
      <c r="C206">
        <v>5.3603711804194746E-3</v>
      </c>
      <c r="D206">
        <v>6.5727758884435966E-2</v>
      </c>
      <c r="E206">
        <v>-0.8651816078585064</v>
      </c>
      <c r="F206">
        <v>0.58106929291141485</v>
      </c>
      <c r="G206">
        <v>1.1216387059254858</v>
      </c>
      <c r="H206">
        <v>11.278455511450799</v>
      </c>
      <c r="I206">
        <v>5.3681574616548607E-2</v>
      </c>
      <c r="J206">
        <v>0</v>
      </c>
      <c r="K206">
        <f t="shared" si="27"/>
        <v>5.3603711804194746E-3</v>
      </c>
      <c r="L206">
        <f t="shared" si="28"/>
        <v>6.5727758884435966E-2</v>
      </c>
      <c r="M206">
        <f t="shared" si="29"/>
        <v>-0.8651816078585064</v>
      </c>
      <c r="N206">
        <f t="shared" si="30"/>
        <v>0.58106929291141485</v>
      </c>
      <c r="O206">
        <f t="shared" si="31"/>
        <v>1.1216387059254858</v>
      </c>
      <c r="P206">
        <f t="shared" si="32"/>
        <v>11.278455511450799</v>
      </c>
      <c r="Q206">
        <f t="shared" si="33"/>
        <v>5.3681574616548607E-2</v>
      </c>
      <c r="R206">
        <f t="shared" si="34"/>
        <v>0</v>
      </c>
      <c r="S206">
        <f t="shared" si="35"/>
        <v>0</v>
      </c>
    </row>
    <row r="207" spans="1:19" x14ac:dyDescent="0.3">
      <c r="A207" t="s">
        <v>82</v>
      </c>
      <c r="B207">
        <v>2007</v>
      </c>
      <c r="C207">
        <v>5.91633604788752E-4</v>
      </c>
      <c r="D207">
        <v>7.5464606389642933E-2</v>
      </c>
      <c r="E207">
        <v>0.17998886336743927</v>
      </c>
      <c r="F207">
        <v>2.0881186051367718E-3</v>
      </c>
      <c r="G207">
        <v>0.46910837335560662</v>
      </c>
      <c r="H207">
        <v>11.875274282004765</v>
      </c>
      <c r="I207">
        <v>0.22765628620802225</v>
      </c>
      <c r="J207">
        <v>0</v>
      </c>
      <c r="K207">
        <f t="shared" si="27"/>
        <v>5.91633604788752E-4</v>
      </c>
      <c r="L207">
        <f t="shared" si="28"/>
        <v>7.5464606389642933E-2</v>
      </c>
      <c r="M207">
        <f t="shared" si="29"/>
        <v>0.17998886336743927</v>
      </c>
      <c r="N207">
        <f t="shared" si="30"/>
        <v>2.0881186051367718E-3</v>
      </c>
      <c r="O207">
        <f t="shared" si="31"/>
        <v>0.46910837335560662</v>
      </c>
      <c r="P207">
        <f t="shared" si="32"/>
        <v>11.875274282004765</v>
      </c>
      <c r="Q207">
        <f t="shared" si="33"/>
        <v>0.22765628620802225</v>
      </c>
      <c r="R207">
        <f t="shared" si="34"/>
        <v>0</v>
      </c>
      <c r="S207">
        <f t="shared" si="35"/>
        <v>0</v>
      </c>
    </row>
    <row r="208" spans="1:19" x14ac:dyDescent="0.3">
      <c r="A208" t="s">
        <v>82</v>
      </c>
      <c r="B208">
        <v>2008</v>
      </c>
      <c r="C208">
        <v>3.7832130916769311E-4</v>
      </c>
      <c r="D208">
        <v>0.88889670948442723</v>
      </c>
      <c r="E208">
        <v>0.15036952313918706</v>
      </c>
      <c r="F208">
        <v>0</v>
      </c>
      <c r="G208">
        <v>0.26933292275206761</v>
      </c>
      <c r="H208">
        <v>11.640966814851112</v>
      </c>
      <c r="I208">
        <v>0.13594104675859117</v>
      </c>
      <c r="J208">
        <v>0</v>
      </c>
      <c r="K208">
        <f t="shared" si="27"/>
        <v>3.7832130916769311E-4</v>
      </c>
      <c r="L208">
        <f t="shared" si="28"/>
        <v>0.88889670948442723</v>
      </c>
      <c r="M208">
        <f t="shared" si="29"/>
        <v>0.15036952313918706</v>
      </c>
      <c r="N208">
        <f t="shared" si="30"/>
        <v>0</v>
      </c>
      <c r="O208">
        <f t="shared" si="31"/>
        <v>0.26933292275206761</v>
      </c>
      <c r="P208">
        <f t="shared" si="32"/>
        <v>11.640966814851112</v>
      </c>
      <c r="Q208">
        <f t="shared" si="33"/>
        <v>0.13594104675859117</v>
      </c>
      <c r="R208">
        <f t="shared" si="34"/>
        <v>0</v>
      </c>
      <c r="S208">
        <f t="shared" si="35"/>
        <v>0</v>
      </c>
    </row>
    <row r="209" spans="1:19" x14ac:dyDescent="0.3">
      <c r="A209" t="s">
        <v>82</v>
      </c>
      <c r="B209">
        <v>2009</v>
      </c>
      <c r="C209">
        <v>4.9043047534973823E-4</v>
      </c>
      <c r="D209">
        <v>0.43933988058017925</v>
      </c>
      <c r="E209">
        <v>-0.25417785461188558</v>
      </c>
      <c r="F209">
        <v>0</v>
      </c>
      <c r="G209">
        <v>0.38638209438334498</v>
      </c>
      <c r="H209">
        <v>11.309106485525438</v>
      </c>
      <c r="I209">
        <v>6.2775652701070619E-2</v>
      </c>
      <c r="J209">
        <v>0</v>
      </c>
      <c r="K209">
        <f t="shared" si="27"/>
        <v>4.9043047534973823E-4</v>
      </c>
      <c r="L209">
        <f t="shared" si="28"/>
        <v>0.43933988058017925</v>
      </c>
      <c r="M209">
        <f t="shared" si="29"/>
        <v>-0.25417785461188558</v>
      </c>
      <c r="N209">
        <f t="shared" si="30"/>
        <v>0</v>
      </c>
      <c r="O209">
        <f t="shared" si="31"/>
        <v>0.38638209438334498</v>
      </c>
      <c r="P209">
        <f t="shared" si="32"/>
        <v>11.309106485525438</v>
      </c>
      <c r="Q209">
        <f t="shared" si="33"/>
        <v>6.2775652701070619E-2</v>
      </c>
      <c r="R209">
        <f t="shared" si="34"/>
        <v>0</v>
      </c>
      <c r="S209">
        <f t="shared" si="35"/>
        <v>0</v>
      </c>
    </row>
    <row r="210" spans="1:19" x14ac:dyDescent="0.3">
      <c r="A210" t="s">
        <v>82</v>
      </c>
      <c r="B210">
        <v>2010</v>
      </c>
      <c r="C210">
        <v>3.3409060537217692E-4</v>
      </c>
      <c r="D210">
        <v>0.16927702792997462</v>
      </c>
      <c r="E210">
        <v>-0.28725110249899771</v>
      </c>
      <c r="F210">
        <v>0</v>
      </c>
      <c r="G210">
        <v>0.46926500066818116</v>
      </c>
      <c r="H210">
        <v>11.222974153074404</v>
      </c>
      <c r="I210">
        <v>4.0236288931185943E-3</v>
      </c>
      <c r="J210">
        <v>0</v>
      </c>
      <c r="K210">
        <f t="shared" si="27"/>
        <v>3.3409060537217692E-4</v>
      </c>
      <c r="L210">
        <f t="shared" si="28"/>
        <v>0.16927702792997462</v>
      </c>
      <c r="M210">
        <f t="shared" si="29"/>
        <v>-0.28725110249899771</v>
      </c>
      <c r="N210">
        <f t="shared" si="30"/>
        <v>0</v>
      </c>
      <c r="O210">
        <f t="shared" si="31"/>
        <v>0.46926500066818116</v>
      </c>
      <c r="P210">
        <f t="shared" si="32"/>
        <v>11.222974153074404</v>
      </c>
      <c r="Q210">
        <f t="shared" si="33"/>
        <v>4.0236288931185943E-3</v>
      </c>
      <c r="R210">
        <f t="shared" si="34"/>
        <v>0</v>
      </c>
      <c r="S210">
        <f t="shared" si="35"/>
        <v>0</v>
      </c>
    </row>
    <row r="211" spans="1:19" x14ac:dyDescent="0.3">
      <c r="A211" t="s">
        <v>83</v>
      </c>
      <c r="B211">
        <v>2007</v>
      </c>
      <c r="C211">
        <v>6.756594163179637E-2</v>
      </c>
      <c r="D211">
        <v>0.27060371614588802</v>
      </c>
      <c r="E211">
        <v>6.8828338811360426E-2</v>
      </c>
      <c r="F211">
        <v>9.3344817773635569E-2</v>
      </c>
      <c r="G211">
        <v>1.1566501211786702</v>
      </c>
      <c r="H211">
        <v>13.168496681912474</v>
      </c>
      <c r="I211">
        <v>2.2543519896069352E-2</v>
      </c>
      <c r="J211">
        <v>9.264582024304488E-2</v>
      </c>
      <c r="K211">
        <f t="shared" si="27"/>
        <v>6.756594163179637E-2</v>
      </c>
      <c r="L211">
        <f t="shared" si="28"/>
        <v>0.27060371614588802</v>
      </c>
      <c r="M211">
        <f t="shared" si="29"/>
        <v>6.8828338811360426E-2</v>
      </c>
      <c r="N211">
        <f t="shared" si="30"/>
        <v>9.3344817773635569E-2</v>
      </c>
      <c r="O211">
        <f t="shared" si="31"/>
        <v>1.1566501211786702</v>
      </c>
      <c r="P211">
        <f t="shared" si="32"/>
        <v>13.168496681912474</v>
      </c>
      <c r="Q211">
        <f t="shared" si="33"/>
        <v>2.2543519896069352E-2</v>
      </c>
      <c r="R211">
        <f t="shared" si="34"/>
        <v>9.264582024304488E-2</v>
      </c>
      <c r="S211">
        <f t="shared" si="35"/>
        <v>0</v>
      </c>
    </row>
    <row r="212" spans="1:19" x14ac:dyDescent="0.3">
      <c r="A212" t="s">
        <v>83</v>
      </c>
      <c r="B212">
        <v>2009</v>
      </c>
      <c r="C212">
        <v>4.3556304315510677E-2</v>
      </c>
      <c r="D212">
        <v>5.5437185415591082E-2</v>
      </c>
      <c r="E212">
        <v>0.15050181657760933</v>
      </c>
      <c r="F212">
        <v>0.19434263546809841</v>
      </c>
      <c r="G212">
        <v>0.85526951362393244</v>
      </c>
      <c r="H212">
        <v>13.346509625849709</v>
      </c>
      <c r="I212">
        <v>5.4377912624110916E-2</v>
      </c>
      <c r="J212">
        <v>0</v>
      </c>
      <c r="K212">
        <f t="shared" si="27"/>
        <v>4.3556304315510677E-2</v>
      </c>
      <c r="L212">
        <f t="shared" si="28"/>
        <v>5.5437185415591082E-2</v>
      </c>
      <c r="M212">
        <f t="shared" si="29"/>
        <v>0.15050181657760933</v>
      </c>
      <c r="N212">
        <f t="shared" si="30"/>
        <v>0.19434263546809841</v>
      </c>
      <c r="O212">
        <f t="shared" si="31"/>
        <v>0.85526951362393244</v>
      </c>
      <c r="P212">
        <f t="shared" si="32"/>
        <v>13.346509625849709</v>
      </c>
      <c r="Q212">
        <f t="shared" si="33"/>
        <v>5.4377912624110916E-2</v>
      </c>
      <c r="R212">
        <f t="shared" si="34"/>
        <v>0</v>
      </c>
      <c r="S212">
        <f t="shared" si="35"/>
        <v>0</v>
      </c>
    </row>
    <row r="213" spans="1:19" x14ac:dyDescent="0.3">
      <c r="A213" t="s">
        <v>83</v>
      </c>
      <c r="B213">
        <v>2010</v>
      </c>
      <c r="C213">
        <v>9.8451042224469969E-3</v>
      </c>
      <c r="D213">
        <v>0.19232066004244264</v>
      </c>
      <c r="E213">
        <v>0.23627456813629241</v>
      </c>
      <c r="F213">
        <v>7.2665489908305403E-2</v>
      </c>
      <c r="G213">
        <v>0.93954582416056809</v>
      </c>
      <c r="H213">
        <v>13.536213235046887</v>
      </c>
      <c r="I213">
        <v>2.7338433770746139E-2</v>
      </c>
      <c r="J213">
        <v>3.8872691933916424E-2</v>
      </c>
      <c r="K213">
        <f t="shared" si="27"/>
        <v>9.8451042224469969E-3</v>
      </c>
      <c r="L213">
        <f t="shared" si="28"/>
        <v>0.19232066004244264</v>
      </c>
      <c r="M213">
        <f t="shared" si="29"/>
        <v>0.23627456813629241</v>
      </c>
      <c r="N213">
        <f t="shared" si="30"/>
        <v>7.2665489908305403E-2</v>
      </c>
      <c r="O213">
        <f t="shared" si="31"/>
        <v>0.93954582416056809</v>
      </c>
      <c r="P213">
        <f t="shared" si="32"/>
        <v>13.536213235046887</v>
      </c>
      <c r="Q213">
        <f t="shared" si="33"/>
        <v>2.7338433770746139E-2</v>
      </c>
      <c r="R213">
        <f t="shared" si="34"/>
        <v>3.8872691933916424E-2</v>
      </c>
      <c r="S213">
        <f t="shared" si="35"/>
        <v>0</v>
      </c>
    </row>
    <row r="214" spans="1:19" x14ac:dyDescent="0.3">
      <c r="A214" t="s">
        <v>84</v>
      </c>
      <c r="B214">
        <v>2010</v>
      </c>
      <c r="C214">
        <v>2.6956377656377905E-4</v>
      </c>
      <c r="D214">
        <v>0.21583814962191</v>
      </c>
      <c r="E214">
        <v>1.7318854378680224E-2</v>
      </c>
      <c r="F214">
        <v>0.44170126892819961</v>
      </c>
      <c r="G214">
        <v>0.72596962585042424</v>
      </c>
      <c r="H214">
        <v>14.008665718777115</v>
      </c>
      <c r="I214">
        <v>6.0134401110040328E-2</v>
      </c>
      <c r="J214">
        <v>1.9809227984182293E-2</v>
      </c>
      <c r="K214">
        <f t="shared" si="27"/>
        <v>2.6956377656377905E-4</v>
      </c>
      <c r="L214">
        <f t="shared" si="28"/>
        <v>0.21583814962191</v>
      </c>
      <c r="M214">
        <f t="shared" si="29"/>
        <v>1.7318854378680224E-2</v>
      </c>
      <c r="N214">
        <f t="shared" si="30"/>
        <v>0.44170126892819961</v>
      </c>
      <c r="O214">
        <f t="shared" si="31"/>
        <v>0.72596962585042424</v>
      </c>
      <c r="P214">
        <f t="shared" si="32"/>
        <v>14.008665718777115</v>
      </c>
      <c r="Q214">
        <f t="shared" si="33"/>
        <v>6.0134401110040328E-2</v>
      </c>
      <c r="R214">
        <f t="shared" si="34"/>
        <v>1.9809227984182293E-2</v>
      </c>
      <c r="S214">
        <f t="shared" si="35"/>
        <v>0</v>
      </c>
    </row>
    <row r="215" spans="1:19" x14ac:dyDescent="0.3">
      <c r="A215" t="s">
        <v>85</v>
      </c>
      <c r="B215">
        <v>2007</v>
      </c>
      <c r="C215">
        <v>6.9603805162213378E-3</v>
      </c>
      <c r="D215">
        <v>9.835812339021581E-2</v>
      </c>
      <c r="E215">
        <v>0.17086057265774851</v>
      </c>
      <c r="F215">
        <v>0.16489889853176118</v>
      </c>
      <c r="G215">
        <v>0.77602006003803181</v>
      </c>
      <c r="H215">
        <v>14.006598576798341</v>
      </c>
      <c r="I215">
        <v>1.7354754169846519E-3</v>
      </c>
      <c r="J215">
        <v>0</v>
      </c>
      <c r="K215">
        <f t="shared" si="27"/>
        <v>6.9603805162213378E-3</v>
      </c>
      <c r="L215">
        <f t="shared" si="28"/>
        <v>9.835812339021581E-2</v>
      </c>
      <c r="M215">
        <f t="shared" si="29"/>
        <v>0.17086057265774851</v>
      </c>
      <c r="N215">
        <f t="shared" si="30"/>
        <v>0.16489889853176118</v>
      </c>
      <c r="O215">
        <f t="shared" si="31"/>
        <v>0.77602006003803181</v>
      </c>
      <c r="P215">
        <f t="shared" si="32"/>
        <v>14.006598576798341</v>
      </c>
      <c r="Q215">
        <f t="shared" si="33"/>
        <v>1.7354754169846519E-3</v>
      </c>
      <c r="R215">
        <f t="shared" si="34"/>
        <v>0</v>
      </c>
      <c r="S215">
        <f t="shared" si="35"/>
        <v>0</v>
      </c>
    </row>
    <row r="216" spans="1:19" x14ac:dyDescent="0.3">
      <c r="A216" t="s">
        <v>85</v>
      </c>
      <c r="B216">
        <v>2009</v>
      </c>
      <c r="C216">
        <v>3.7879668686605617E-3</v>
      </c>
      <c r="D216">
        <v>5.4329846884596841E-2</v>
      </c>
      <c r="E216">
        <v>1.8252310993087561E-2</v>
      </c>
      <c r="F216">
        <v>0.5403739754971949</v>
      </c>
      <c r="G216">
        <v>0.88924124395994841</v>
      </c>
      <c r="H216">
        <v>14.070259747360437</v>
      </c>
      <c r="I216">
        <v>6.3983087728160373E-2</v>
      </c>
      <c r="J216">
        <v>0</v>
      </c>
      <c r="K216">
        <f t="shared" si="27"/>
        <v>3.7879668686605617E-3</v>
      </c>
      <c r="L216">
        <f t="shared" si="28"/>
        <v>5.4329846884596841E-2</v>
      </c>
      <c r="M216">
        <f t="shared" si="29"/>
        <v>1.8252310993087561E-2</v>
      </c>
      <c r="N216">
        <f t="shared" si="30"/>
        <v>0.5403739754971949</v>
      </c>
      <c r="O216">
        <f t="shared" si="31"/>
        <v>0.88924124395994841</v>
      </c>
      <c r="P216">
        <f t="shared" si="32"/>
        <v>14.070259747360437</v>
      </c>
      <c r="Q216">
        <f t="shared" si="33"/>
        <v>6.3983087728160373E-2</v>
      </c>
      <c r="R216">
        <f t="shared" si="34"/>
        <v>0</v>
      </c>
      <c r="S216">
        <f t="shared" si="35"/>
        <v>0</v>
      </c>
    </row>
    <row r="217" spans="1:19" x14ac:dyDescent="0.3">
      <c r="A217" t="s">
        <v>85</v>
      </c>
      <c r="B217">
        <v>2010</v>
      </c>
      <c r="C217">
        <v>1.4126003312523888E-3</v>
      </c>
      <c r="D217">
        <v>0.25384204994266785</v>
      </c>
      <c r="E217">
        <v>0.13382198369219009</v>
      </c>
      <c r="F217">
        <v>0.29071458147534718</v>
      </c>
      <c r="G217">
        <v>0.7134757134666837</v>
      </c>
      <c r="H217">
        <v>14.04331522936064</v>
      </c>
      <c r="I217">
        <v>3.6552396748927907E-2</v>
      </c>
      <c r="J217">
        <v>0</v>
      </c>
      <c r="K217">
        <f t="shared" si="27"/>
        <v>1.4126003312523888E-3</v>
      </c>
      <c r="L217">
        <f t="shared" si="28"/>
        <v>0.25384204994266785</v>
      </c>
      <c r="M217">
        <f t="shared" si="29"/>
        <v>0.13382198369219009</v>
      </c>
      <c r="N217">
        <f t="shared" si="30"/>
        <v>0.29071458147534718</v>
      </c>
      <c r="O217">
        <f t="shared" si="31"/>
        <v>0.7134757134666837</v>
      </c>
      <c r="P217">
        <f t="shared" si="32"/>
        <v>14.04331522936064</v>
      </c>
      <c r="Q217">
        <f t="shared" si="33"/>
        <v>3.6552396748927907E-2</v>
      </c>
      <c r="R217">
        <f t="shared" si="34"/>
        <v>0</v>
      </c>
      <c r="S217">
        <f t="shared" si="35"/>
        <v>0</v>
      </c>
    </row>
    <row r="218" spans="1:19" x14ac:dyDescent="0.3">
      <c r="A218" t="s">
        <v>86</v>
      </c>
      <c r="B218">
        <v>2007</v>
      </c>
      <c r="C218">
        <v>1.9389748985420112E-3</v>
      </c>
      <c r="D218">
        <v>0.17364346911167894</v>
      </c>
      <c r="E218">
        <v>-0.92507891176912671</v>
      </c>
      <c r="F218">
        <v>7.5154065834961675E-2</v>
      </c>
      <c r="G218">
        <v>1.4671892379377725</v>
      </c>
      <c r="H218">
        <v>11.798555433295878</v>
      </c>
      <c r="I218">
        <v>2.6203151739025213E-2</v>
      </c>
      <c r="J218">
        <v>0</v>
      </c>
      <c r="K218">
        <f t="shared" si="27"/>
        <v>1.9389748985420112E-3</v>
      </c>
      <c r="L218">
        <f t="shared" si="28"/>
        <v>0.17364346911167894</v>
      </c>
      <c r="M218">
        <f t="shared" si="29"/>
        <v>-0.92507891176912671</v>
      </c>
      <c r="N218">
        <f t="shared" si="30"/>
        <v>7.5154065834961675E-2</v>
      </c>
      <c r="O218">
        <f t="shared" si="31"/>
        <v>1.4671892379377725</v>
      </c>
      <c r="P218">
        <f t="shared" si="32"/>
        <v>11.798555433295878</v>
      </c>
      <c r="Q218">
        <f t="shared" si="33"/>
        <v>2.6203151739025213E-2</v>
      </c>
      <c r="R218">
        <f t="shared" si="34"/>
        <v>0</v>
      </c>
      <c r="S218">
        <f t="shared" si="35"/>
        <v>0</v>
      </c>
    </row>
    <row r="219" spans="1:19" x14ac:dyDescent="0.3">
      <c r="A219" t="s">
        <v>86</v>
      </c>
      <c r="B219">
        <v>2008</v>
      </c>
      <c r="C219">
        <v>1.4999922680810924E-3</v>
      </c>
      <c r="D219">
        <v>7.4759923917917942E-2</v>
      </c>
      <c r="E219">
        <v>-1.0490744893067561</v>
      </c>
      <c r="F219">
        <v>7.7319189076344969E-2</v>
      </c>
      <c r="G219">
        <v>1.6910000463915134</v>
      </c>
      <c r="H219">
        <v>11.77015348456319</v>
      </c>
      <c r="I219">
        <v>1.0148781492614879E-2</v>
      </c>
      <c r="J219">
        <v>0</v>
      </c>
      <c r="K219">
        <f t="shared" si="27"/>
        <v>1.4999922680810924E-3</v>
      </c>
      <c r="L219">
        <f t="shared" si="28"/>
        <v>7.4759923917917942E-2</v>
      </c>
      <c r="M219">
        <f t="shared" si="29"/>
        <v>-1.0490744893067561</v>
      </c>
      <c r="N219">
        <f t="shared" si="30"/>
        <v>7.7319189076344969E-2</v>
      </c>
      <c r="O219">
        <f t="shared" si="31"/>
        <v>1.6910000463915134</v>
      </c>
      <c r="P219">
        <f t="shared" si="32"/>
        <v>11.77015348456319</v>
      </c>
      <c r="Q219">
        <f t="shared" si="33"/>
        <v>1.0148781492614879E-2</v>
      </c>
      <c r="R219">
        <f t="shared" si="34"/>
        <v>0</v>
      </c>
      <c r="S219">
        <f t="shared" si="35"/>
        <v>0</v>
      </c>
    </row>
    <row r="220" spans="1:19" x14ac:dyDescent="0.3">
      <c r="A220" t="s">
        <v>87</v>
      </c>
      <c r="B220">
        <v>2007</v>
      </c>
      <c r="C220">
        <v>6.2192967646351209E-3</v>
      </c>
      <c r="D220">
        <v>7.9192679494792723E-2</v>
      </c>
      <c r="E220">
        <v>-8.9582434461409274E-2</v>
      </c>
      <c r="F220">
        <v>0.26894063452592815</v>
      </c>
      <c r="G220">
        <v>0.75316445458322434</v>
      </c>
      <c r="H220">
        <v>16.093319542382254</v>
      </c>
      <c r="I220">
        <v>3.7657393468185675E-3</v>
      </c>
      <c r="J220">
        <v>1.1562965420890403E-3</v>
      </c>
      <c r="K220">
        <f t="shared" si="27"/>
        <v>6.2192967646351209E-3</v>
      </c>
      <c r="L220">
        <f t="shared" si="28"/>
        <v>7.9192679494792723E-2</v>
      </c>
      <c r="M220">
        <f t="shared" si="29"/>
        <v>-8.9582434461409274E-2</v>
      </c>
      <c r="N220">
        <f t="shared" si="30"/>
        <v>0.26894063452592815</v>
      </c>
      <c r="O220">
        <f t="shared" si="31"/>
        <v>0.75316445458322434</v>
      </c>
      <c r="P220">
        <f t="shared" si="32"/>
        <v>16.093319542382254</v>
      </c>
      <c r="Q220">
        <f t="shared" si="33"/>
        <v>3.7657393468185675E-3</v>
      </c>
      <c r="R220">
        <f t="shared" si="34"/>
        <v>1.1562965420890403E-3</v>
      </c>
      <c r="S220">
        <f t="shared" si="35"/>
        <v>0</v>
      </c>
    </row>
    <row r="221" spans="1:19" x14ac:dyDescent="0.3">
      <c r="A221" t="s">
        <v>87</v>
      </c>
      <c r="B221">
        <v>2008</v>
      </c>
      <c r="C221">
        <v>1.6835029261543242E-3</v>
      </c>
      <c r="D221">
        <v>6.4868285225956251E-2</v>
      </c>
      <c r="E221">
        <v>-9.8573128392425394E-2</v>
      </c>
      <c r="F221">
        <v>0.29439766099569337</v>
      </c>
      <c r="G221">
        <v>0.82717771059102896</v>
      </c>
      <c r="H221">
        <v>16.198579738132668</v>
      </c>
      <c r="I221">
        <v>6.6452055065988206E-3</v>
      </c>
      <c r="J221">
        <v>1.3563242910483704E-3</v>
      </c>
      <c r="K221">
        <f t="shared" si="27"/>
        <v>1.6835029261543242E-3</v>
      </c>
      <c r="L221">
        <f t="shared" si="28"/>
        <v>6.4868285225956251E-2</v>
      </c>
      <c r="M221">
        <f t="shared" si="29"/>
        <v>-9.8573128392425394E-2</v>
      </c>
      <c r="N221">
        <f t="shared" si="30"/>
        <v>0.29439766099569337</v>
      </c>
      <c r="O221">
        <f t="shared" si="31"/>
        <v>0.82717771059102896</v>
      </c>
      <c r="P221">
        <f t="shared" si="32"/>
        <v>16.198579738132668</v>
      </c>
      <c r="Q221">
        <f t="shared" si="33"/>
        <v>6.6452055065988206E-3</v>
      </c>
      <c r="R221">
        <f t="shared" si="34"/>
        <v>1.3563242910483704E-3</v>
      </c>
      <c r="S221">
        <f t="shared" si="35"/>
        <v>0</v>
      </c>
    </row>
    <row r="222" spans="1:19" x14ac:dyDescent="0.3">
      <c r="A222" t="s">
        <v>87</v>
      </c>
      <c r="B222">
        <v>2009</v>
      </c>
      <c r="C222">
        <v>1.7253890757666355E-3</v>
      </c>
      <c r="D222">
        <v>3.4597940527864357E-2</v>
      </c>
      <c r="E222">
        <v>-7.0290207524743881E-2</v>
      </c>
      <c r="F222">
        <v>0.78125237733818387</v>
      </c>
      <c r="G222">
        <v>0.9138883699164716</v>
      </c>
      <c r="H222">
        <v>16.801669402128816</v>
      </c>
      <c r="I222">
        <v>1.4133556425134957E-2</v>
      </c>
      <c r="J222">
        <v>0</v>
      </c>
      <c r="K222">
        <f t="shared" si="27"/>
        <v>1.7253890757666355E-3</v>
      </c>
      <c r="L222">
        <f t="shared" si="28"/>
        <v>3.4597940527864357E-2</v>
      </c>
      <c r="M222">
        <f t="shared" si="29"/>
        <v>-7.0290207524743881E-2</v>
      </c>
      <c r="N222">
        <f t="shared" si="30"/>
        <v>0.78125237733818387</v>
      </c>
      <c r="O222">
        <f t="shared" si="31"/>
        <v>0.9138883699164716</v>
      </c>
      <c r="P222">
        <f t="shared" si="32"/>
        <v>16.801669402128816</v>
      </c>
      <c r="Q222">
        <f t="shared" si="33"/>
        <v>1.4133556425134957E-2</v>
      </c>
      <c r="R222">
        <f t="shared" si="34"/>
        <v>0</v>
      </c>
      <c r="S222">
        <f t="shared" si="35"/>
        <v>0</v>
      </c>
    </row>
    <row r="223" spans="1:19" x14ac:dyDescent="0.3">
      <c r="A223" t="s">
        <v>87</v>
      </c>
      <c r="B223">
        <v>2010</v>
      </c>
      <c r="C223">
        <v>6.3443146763305725E-3</v>
      </c>
      <c r="D223">
        <v>0.11553488006711729</v>
      </c>
      <c r="E223">
        <v>-7.1027878921052057E-2</v>
      </c>
      <c r="F223">
        <v>0.62486366100958579</v>
      </c>
      <c r="G223">
        <v>0.93805421074488926</v>
      </c>
      <c r="H223">
        <v>16.476335389966408</v>
      </c>
      <c r="I223">
        <v>1.8373595522014695E-2</v>
      </c>
      <c r="J223">
        <v>0</v>
      </c>
      <c r="K223">
        <f t="shared" si="27"/>
        <v>6.3443146763305725E-3</v>
      </c>
      <c r="L223">
        <f t="shared" si="28"/>
        <v>0.11553488006711729</v>
      </c>
      <c r="M223">
        <f t="shared" si="29"/>
        <v>-7.1027878921052057E-2</v>
      </c>
      <c r="N223">
        <f t="shared" si="30"/>
        <v>0.62486366100958579</v>
      </c>
      <c r="O223">
        <f t="shared" si="31"/>
        <v>0.93805421074488926</v>
      </c>
      <c r="P223">
        <f t="shared" si="32"/>
        <v>16.476335389966408</v>
      </c>
      <c r="Q223">
        <f t="shared" si="33"/>
        <v>1.8373595522014695E-2</v>
      </c>
      <c r="R223">
        <f t="shared" si="34"/>
        <v>0</v>
      </c>
      <c r="S223">
        <f t="shared" si="35"/>
        <v>0</v>
      </c>
    </row>
    <row r="224" spans="1:19" x14ac:dyDescent="0.3">
      <c r="A224" t="s">
        <v>88</v>
      </c>
      <c r="B224">
        <v>2007</v>
      </c>
      <c r="C224">
        <v>1.7675446781344234E-3</v>
      </c>
      <c r="D224">
        <v>7.095706499469015E-2</v>
      </c>
      <c r="E224">
        <v>0.53694143491962043</v>
      </c>
      <c r="F224">
        <v>0.12743995351824985</v>
      </c>
      <c r="G224">
        <v>0.66611841556469265</v>
      </c>
      <c r="H224">
        <v>17.488784298904214</v>
      </c>
      <c r="I224">
        <v>3.293794321157964E-2</v>
      </c>
      <c r="J224">
        <v>5.5329249920081239E-3</v>
      </c>
      <c r="K224">
        <f t="shared" si="27"/>
        <v>1.7675446781344234E-3</v>
      </c>
      <c r="L224">
        <f t="shared" si="28"/>
        <v>7.095706499469015E-2</v>
      </c>
      <c r="M224">
        <f t="shared" si="29"/>
        <v>0.53694143491962043</v>
      </c>
      <c r="N224">
        <f t="shared" si="30"/>
        <v>0.12743995351824985</v>
      </c>
      <c r="O224">
        <f t="shared" si="31"/>
        <v>0.66611841556469265</v>
      </c>
      <c r="P224">
        <f t="shared" si="32"/>
        <v>17.488784298904214</v>
      </c>
      <c r="Q224">
        <f t="shared" si="33"/>
        <v>3.293794321157964E-2</v>
      </c>
      <c r="R224">
        <f t="shared" si="34"/>
        <v>5.5329249920081239E-3</v>
      </c>
      <c r="S224">
        <f t="shared" si="35"/>
        <v>0</v>
      </c>
    </row>
    <row r="225" spans="1:19" x14ac:dyDescent="0.3">
      <c r="A225" t="s">
        <v>88</v>
      </c>
      <c r="B225">
        <v>2008</v>
      </c>
      <c r="C225">
        <v>1.9005499600531705E-3</v>
      </c>
      <c r="D225">
        <v>0.17852125052408568</v>
      </c>
      <c r="E225">
        <v>0.40577145100307022</v>
      </c>
      <c r="F225">
        <v>0.25740309880339762</v>
      </c>
      <c r="G225">
        <v>0.43191374672709476</v>
      </c>
      <c r="H225">
        <v>17.51129831967674</v>
      </c>
      <c r="I225">
        <v>3.6503354402928651E-2</v>
      </c>
      <c r="J225">
        <v>9.9178472513380932E-3</v>
      </c>
      <c r="K225">
        <f t="shared" si="27"/>
        <v>1.9005499600531705E-3</v>
      </c>
      <c r="L225">
        <f t="shared" si="28"/>
        <v>0.17852125052408568</v>
      </c>
      <c r="M225">
        <f t="shared" si="29"/>
        <v>0.40577145100307022</v>
      </c>
      <c r="N225">
        <f t="shared" si="30"/>
        <v>0.25740309880339762</v>
      </c>
      <c r="O225">
        <f t="shared" si="31"/>
        <v>0.43191374672709476</v>
      </c>
      <c r="P225">
        <f t="shared" si="32"/>
        <v>17.51129831967674</v>
      </c>
      <c r="Q225">
        <f t="shared" si="33"/>
        <v>3.6503354402928651E-2</v>
      </c>
      <c r="R225">
        <f t="shared" si="34"/>
        <v>9.9178472513380932E-3</v>
      </c>
      <c r="S225">
        <f t="shared" si="35"/>
        <v>0</v>
      </c>
    </row>
    <row r="226" spans="1:19" x14ac:dyDescent="0.3">
      <c r="A226" t="s">
        <v>88</v>
      </c>
      <c r="B226">
        <v>2009</v>
      </c>
      <c r="C226">
        <v>3.5380671771362174E-3</v>
      </c>
      <c r="D226">
        <v>8.4995357107927896E-2</v>
      </c>
      <c r="E226">
        <v>-4.1488910212223735E-2</v>
      </c>
      <c r="F226">
        <v>0.32083345735745916</v>
      </c>
      <c r="G226">
        <v>0.92443661260737986</v>
      </c>
      <c r="H226">
        <v>17.265900752880569</v>
      </c>
      <c r="I226">
        <v>1.6259510677303541E-2</v>
      </c>
      <c r="J226">
        <v>1.5389516463306238E-2</v>
      </c>
      <c r="K226">
        <f t="shared" si="27"/>
        <v>3.5380671771362174E-3</v>
      </c>
      <c r="L226">
        <f t="shared" si="28"/>
        <v>8.4995357107927896E-2</v>
      </c>
      <c r="M226">
        <f t="shared" si="29"/>
        <v>-4.1488910212223735E-2</v>
      </c>
      <c r="N226">
        <f t="shared" si="30"/>
        <v>0.32083345735745916</v>
      </c>
      <c r="O226">
        <f t="shared" si="31"/>
        <v>0.92443661260737986</v>
      </c>
      <c r="P226">
        <f t="shared" si="32"/>
        <v>17.265900752880569</v>
      </c>
      <c r="Q226">
        <f t="shared" si="33"/>
        <v>1.6259510677303541E-2</v>
      </c>
      <c r="R226">
        <f t="shared" si="34"/>
        <v>1.5389516463306238E-2</v>
      </c>
      <c r="S226">
        <f t="shared" si="35"/>
        <v>0</v>
      </c>
    </row>
    <row r="227" spans="1:19" x14ac:dyDescent="0.3">
      <c r="A227" t="s">
        <v>88</v>
      </c>
      <c r="B227">
        <v>2010</v>
      </c>
      <c r="C227">
        <v>2.3945313783973665E-3</v>
      </c>
      <c r="D227">
        <v>9.4966029636366855E-2</v>
      </c>
      <c r="E227">
        <v>2.5215561957332842E-2</v>
      </c>
      <c r="F227">
        <v>0.23296305594388361</v>
      </c>
      <c r="G227">
        <v>0.80913771774190457</v>
      </c>
      <c r="H227">
        <v>17.648107468907224</v>
      </c>
      <c r="I227">
        <v>4.7711170507315909E-3</v>
      </c>
      <c r="J227">
        <v>1.9033260221651086E-2</v>
      </c>
      <c r="K227">
        <f t="shared" si="27"/>
        <v>2.3945313783973665E-3</v>
      </c>
      <c r="L227">
        <f t="shared" si="28"/>
        <v>9.4966029636366855E-2</v>
      </c>
      <c r="M227">
        <f t="shared" si="29"/>
        <v>2.5215561957332842E-2</v>
      </c>
      <c r="N227">
        <f t="shared" si="30"/>
        <v>0.23296305594388361</v>
      </c>
      <c r="O227">
        <f t="shared" si="31"/>
        <v>0.80913771774190457</v>
      </c>
      <c r="P227">
        <f t="shared" si="32"/>
        <v>17.648107468907224</v>
      </c>
      <c r="Q227">
        <f t="shared" si="33"/>
        <v>4.7711170507315909E-3</v>
      </c>
      <c r="R227">
        <f t="shared" si="34"/>
        <v>1.9033260221651086E-2</v>
      </c>
      <c r="S227">
        <f t="shared" si="35"/>
        <v>0</v>
      </c>
    </row>
    <row r="228" spans="1:19" x14ac:dyDescent="0.3">
      <c r="A228" t="s">
        <v>89</v>
      </c>
      <c r="B228">
        <v>2007</v>
      </c>
      <c r="C228">
        <v>3.0694014689310136E-3</v>
      </c>
      <c r="D228">
        <v>3.6812860530495109E-2</v>
      </c>
      <c r="E228">
        <v>-7.9973851768442683E-2</v>
      </c>
      <c r="F228">
        <v>0.26279948395382902</v>
      </c>
      <c r="G228">
        <v>0.71740174566942094</v>
      </c>
      <c r="H228">
        <v>14.628588244492567</v>
      </c>
      <c r="I228">
        <v>3.7308818874119583E-3</v>
      </c>
      <c r="J228">
        <v>0</v>
      </c>
      <c r="K228">
        <f t="shared" si="27"/>
        <v>3.0694014689310136E-3</v>
      </c>
      <c r="L228">
        <f t="shared" si="28"/>
        <v>3.6812860530495109E-2</v>
      </c>
      <c r="M228">
        <f t="shared" si="29"/>
        <v>-7.9973851768442683E-2</v>
      </c>
      <c r="N228">
        <f t="shared" si="30"/>
        <v>0.26279948395382902</v>
      </c>
      <c r="O228">
        <f t="shared" si="31"/>
        <v>0.71740174566942094</v>
      </c>
      <c r="P228">
        <f t="shared" si="32"/>
        <v>14.628588244492567</v>
      </c>
      <c r="Q228">
        <f t="shared" si="33"/>
        <v>3.7308818874119583E-3</v>
      </c>
      <c r="R228">
        <f t="shared" si="34"/>
        <v>0</v>
      </c>
      <c r="S228">
        <f t="shared" si="35"/>
        <v>0</v>
      </c>
    </row>
    <row r="229" spans="1:19" x14ac:dyDescent="0.3">
      <c r="A229" t="s">
        <v>89</v>
      </c>
      <c r="B229">
        <v>2008</v>
      </c>
      <c r="C229">
        <v>8.8102492566352185E-4</v>
      </c>
      <c r="D229">
        <v>2.4604660458703995E-2</v>
      </c>
      <c r="E229">
        <v>-0.12360290248767176</v>
      </c>
      <c r="F229">
        <v>0.2148974788819141</v>
      </c>
      <c r="G229">
        <v>0.67014426783157743</v>
      </c>
      <c r="H229">
        <v>14.712288140639421</v>
      </c>
      <c r="I229">
        <v>6.0825644672445452E-2</v>
      </c>
      <c r="J229">
        <v>0</v>
      </c>
      <c r="K229">
        <f t="shared" si="27"/>
        <v>8.8102492566352185E-4</v>
      </c>
      <c r="L229">
        <f t="shared" si="28"/>
        <v>2.4604660458703995E-2</v>
      </c>
      <c r="M229">
        <f t="shared" si="29"/>
        <v>-0.12360290248767176</v>
      </c>
      <c r="N229">
        <f t="shared" si="30"/>
        <v>0.2148974788819141</v>
      </c>
      <c r="O229">
        <f t="shared" si="31"/>
        <v>0.67014426783157743</v>
      </c>
      <c r="P229">
        <f t="shared" si="32"/>
        <v>14.712288140639421</v>
      </c>
      <c r="Q229">
        <f t="shared" si="33"/>
        <v>6.0825644672445452E-2</v>
      </c>
      <c r="R229">
        <f t="shared" si="34"/>
        <v>0</v>
      </c>
      <c r="S229">
        <f t="shared" si="35"/>
        <v>0</v>
      </c>
    </row>
    <row r="230" spans="1:19" x14ac:dyDescent="0.3">
      <c r="A230" t="s">
        <v>89</v>
      </c>
      <c r="B230">
        <v>2009</v>
      </c>
      <c r="C230">
        <v>6.1420351017666091E-4</v>
      </c>
      <c r="D230">
        <v>0.19216649307436939</v>
      </c>
      <c r="E230">
        <v>-0.34376423225821318</v>
      </c>
      <c r="F230">
        <v>0.49381386177396808</v>
      </c>
      <c r="G230">
        <v>0.732397363029197</v>
      </c>
      <c r="H230">
        <v>14.837090962986984</v>
      </c>
      <c r="I230">
        <v>4.747204865419883E-2</v>
      </c>
      <c r="J230">
        <v>0</v>
      </c>
      <c r="K230">
        <f t="shared" si="27"/>
        <v>6.1420351017666091E-4</v>
      </c>
      <c r="L230">
        <f t="shared" si="28"/>
        <v>0.19216649307436939</v>
      </c>
      <c r="M230">
        <f t="shared" si="29"/>
        <v>-0.34376423225821318</v>
      </c>
      <c r="N230">
        <f t="shared" si="30"/>
        <v>0.49381386177396808</v>
      </c>
      <c r="O230">
        <f t="shared" si="31"/>
        <v>0.732397363029197</v>
      </c>
      <c r="P230">
        <f t="shared" si="32"/>
        <v>14.837090962986984</v>
      </c>
      <c r="Q230">
        <f t="shared" si="33"/>
        <v>4.747204865419883E-2</v>
      </c>
      <c r="R230">
        <f t="shared" si="34"/>
        <v>0</v>
      </c>
      <c r="S230">
        <f t="shared" si="35"/>
        <v>0</v>
      </c>
    </row>
    <row r="231" spans="1:19" x14ac:dyDescent="0.3">
      <c r="A231" t="s">
        <v>89</v>
      </c>
      <c r="B231">
        <v>2010</v>
      </c>
      <c r="C231">
        <v>1.447317069578728E-3</v>
      </c>
      <c r="D231">
        <v>6.7054483332474241E-2</v>
      </c>
      <c r="E231">
        <v>-0.35238175887130624</v>
      </c>
      <c r="F231">
        <v>0.51012974676553535</v>
      </c>
      <c r="G231">
        <v>0.80995836248094655</v>
      </c>
      <c r="H231">
        <v>14.814692858727465</v>
      </c>
      <c r="I231">
        <v>2.5705135876663912E-3</v>
      </c>
      <c r="J231">
        <v>0</v>
      </c>
      <c r="K231">
        <f t="shared" si="27"/>
        <v>1.447317069578728E-3</v>
      </c>
      <c r="L231">
        <f t="shared" si="28"/>
        <v>6.7054483332474241E-2</v>
      </c>
      <c r="M231">
        <f t="shared" si="29"/>
        <v>-0.35238175887130624</v>
      </c>
      <c r="N231">
        <f t="shared" si="30"/>
        <v>0.51012974676553535</v>
      </c>
      <c r="O231">
        <f t="shared" si="31"/>
        <v>0.80995836248094655</v>
      </c>
      <c r="P231">
        <f t="shared" si="32"/>
        <v>14.814692858727465</v>
      </c>
      <c r="Q231">
        <f t="shared" si="33"/>
        <v>2.5705135876663912E-3</v>
      </c>
      <c r="R231">
        <f t="shared" si="34"/>
        <v>0</v>
      </c>
      <c r="S231">
        <f t="shared" si="35"/>
        <v>0</v>
      </c>
    </row>
    <row r="232" spans="1:19" x14ac:dyDescent="0.3">
      <c r="A232" t="s">
        <v>90</v>
      </c>
      <c r="B232">
        <v>2007</v>
      </c>
      <c r="C232">
        <v>1.8721825080584731E-2</v>
      </c>
      <c r="D232">
        <v>0.11985714795475361</v>
      </c>
      <c r="E232">
        <v>4.9177500505513068E-2</v>
      </c>
      <c r="F232">
        <v>0.15391088696727845</v>
      </c>
      <c r="G232">
        <v>1.0575541493701901</v>
      </c>
      <c r="H232">
        <v>12.725735109161144</v>
      </c>
      <c r="I232">
        <v>1.4950065320673576E-2</v>
      </c>
      <c r="J232">
        <v>0</v>
      </c>
      <c r="K232">
        <f t="shared" si="27"/>
        <v>1.8721825080584731E-2</v>
      </c>
      <c r="L232">
        <f t="shared" si="28"/>
        <v>0.11985714795475361</v>
      </c>
      <c r="M232">
        <f t="shared" si="29"/>
        <v>4.9177500505513068E-2</v>
      </c>
      <c r="N232">
        <f t="shared" si="30"/>
        <v>0.15391088696727845</v>
      </c>
      <c r="O232">
        <f t="shared" si="31"/>
        <v>1.0575541493701901</v>
      </c>
      <c r="P232">
        <f t="shared" si="32"/>
        <v>12.725735109161144</v>
      </c>
      <c r="Q232">
        <f t="shared" si="33"/>
        <v>1.4950065320673576E-2</v>
      </c>
      <c r="R232">
        <f t="shared" si="34"/>
        <v>0</v>
      </c>
      <c r="S232">
        <f t="shared" si="35"/>
        <v>0</v>
      </c>
    </row>
    <row r="233" spans="1:19" x14ac:dyDescent="0.3">
      <c r="A233" t="s">
        <v>90</v>
      </c>
      <c r="B233">
        <v>2009</v>
      </c>
      <c r="C233">
        <v>3.5098568001328363E-3</v>
      </c>
      <c r="D233">
        <v>0.39433498806190631</v>
      </c>
      <c r="E233">
        <v>0.1240817401560827</v>
      </c>
      <c r="F233">
        <v>1.3920160777779687</v>
      </c>
      <c r="G233">
        <v>1.4566764576211988</v>
      </c>
      <c r="H233">
        <v>12.070544975955775</v>
      </c>
      <c r="I233">
        <v>3.362051867865061E-2</v>
      </c>
      <c r="J233">
        <v>0</v>
      </c>
      <c r="K233">
        <f t="shared" si="27"/>
        <v>3.5098568001328363E-3</v>
      </c>
      <c r="L233">
        <f t="shared" si="28"/>
        <v>0.39433498806190631</v>
      </c>
      <c r="M233">
        <f t="shared" si="29"/>
        <v>0.1240817401560827</v>
      </c>
      <c r="N233">
        <f t="shared" si="30"/>
        <v>1.3920160777779687</v>
      </c>
      <c r="O233">
        <f t="shared" si="31"/>
        <v>1.4566764576211988</v>
      </c>
      <c r="P233">
        <f t="shared" si="32"/>
        <v>12.070544975955775</v>
      </c>
      <c r="Q233">
        <f t="shared" si="33"/>
        <v>3.362051867865061E-2</v>
      </c>
      <c r="R233">
        <f t="shared" si="34"/>
        <v>0</v>
      </c>
      <c r="S233">
        <f t="shared" si="35"/>
        <v>0</v>
      </c>
    </row>
    <row r="234" spans="1:19" x14ac:dyDescent="0.3">
      <c r="A234" t="s">
        <v>90</v>
      </c>
      <c r="B234">
        <v>2010</v>
      </c>
      <c r="C234">
        <v>4.1686684652056617E-3</v>
      </c>
      <c r="D234">
        <v>0.21546250785320964</v>
      </c>
      <c r="E234">
        <v>0.2481022949850327</v>
      </c>
      <c r="F234">
        <v>1.7307217561624597</v>
      </c>
      <c r="G234">
        <v>1.662951328578292</v>
      </c>
      <c r="H234">
        <v>11.815212858561026</v>
      </c>
      <c r="I234">
        <v>3.6914278869457917E-3</v>
      </c>
      <c r="J234">
        <v>0</v>
      </c>
      <c r="K234">
        <f t="shared" si="27"/>
        <v>4.1686684652056617E-3</v>
      </c>
      <c r="L234">
        <f t="shared" si="28"/>
        <v>0.21546250785320964</v>
      </c>
      <c r="M234">
        <f t="shared" si="29"/>
        <v>0.2481022949850327</v>
      </c>
      <c r="N234">
        <f t="shared" si="30"/>
        <v>1.7307217561624597</v>
      </c>
      <c r="O234">
        <f t="shared" si="31"/>
        <v>1.662951328578292</v>
      </c>
      <c r="P234">
        <f t="shared" si="32"/>
        <v>11.815212858561026</v>
      </c>
      <c r="Q234">
        <f t="shared" si="33"/>
        <v>3.6914278869457917E-3</v>
      </c>
      <c r="R234">
        <f t="shared" si="34"/>
        <v>0</v>
      </c>
      <c r="S234">
        <f t="shared" si="35"/>
        <v>0</v>
      </c>
    </row>
    <row r="235" spans="1:19" x14ac:dyDescent="0.3">
      <c r="A235" t="s">
        <v>91</v>
      </c>
      <c r="B235">
        <v>2007</v>
      </c>
      <c r="C235">
        <v>2.0108157639203917E-2</v>
      </c>
      <c r="D235">
        <v>4.1946146560222684E-2</v>
      </c>
      <c r="E235">
        <v>7.0669735890215343E-2</v>
      </c>
      <c r="F235">
        <v>0.38554961625794637</v>
      </c>
      <c r="G235">
        <v>0.77515907168188869</v>
      </c>
      <c r="H235">
        <v>14.703998756453478</v>
      </c>
      <c r="I235">
        <v>4.6324348221552306E-4</v>
      </c>
      <c r="J235">
        <v>0</v>
      </c>
      <c r="K235">
        <f t="shared" si="27"/>
        <v>2.0108157639203917E-2</v>
      </c>
      <c r="L235">
        <f t="shared" si="28"/>
        <v>4.1946146560222684E-2</v>
      </c>
      <c r="M235">
        <f t="shared" si="29"/>
        <v>7.0669735890215343E-2</v>
      </c>
      <c r="N235">
        <f t="shared" si="30"/>
        <v>0.38554961625794637</v>
      </c>
      <c r="O235">
        <f t="shared" si="31"/>
        <v>0.77515907168188869</v>
      </c>
      <c r="P235">
        <f t="shared" si="32"/>
        <v>14.703998756453478</v>
      </c>
      <c r="Q235">
        <f t="shared" si="33"/>
        <v>4.6324348221552306E-4</v>
      </c>
      <c r="R235">
        <f t="shared" si="34"/>
        <v>0</v>
      </c>
      <c r="S235">
        <f t="shared" si="35"/>
        <v>0</v>
      </c>
    </row>
    <row r="236" spans="1:19" x14ac:dyDescent="0.3">
      <c r="A236" t="s">
        <v>91</v>
      </c>
      <c r="B236">
        <v>2009</v>
      </c>
      <c r="C236">
        <v>2.0381957082697043E-2</v>
      </c>
      <c r="D236">
        <v>2.6576423612311391E-2</v>
      </c>
      <c r="E236">
        <v>-2.1513553742199303E-2</v>
      </c>
      <c r="F236">
        <v>0.59907486296462731</v>
      </c>
      <c r="G236">
        <v>0.78999836648820043</v>
      </c>
      <c r="H236">
        <v>14.897552310497723</v>
      </c>
      <c r="I236">
        <v>9.4799512008057387E-3</v>
      </c>
      <c r="J236">
        <v>0</v>
      </c>
      <c r="K236">
        <f t="shared" si="27"/>
        <v>2.0381957082697043E-2</v>
      </c>
      <c r="L236">
        <f t="shared" si="28"/>
        <v>2.6576423612311391E-2</v>
      </c>
      <c r="M236">
        <f t="shared" si="29"/>
        <v>-2.1513553742199303E-2</v>
      </c>
      <c r="N236">
        <f t="shared" si="30"/>
        <v>0.59907486296462731</v>
      </c>
      <c r="O236">
        <f t="shared" si="31"/>
        <v>0.78999836648820043</v>
      </c>
      <c r="P236">
        <f t="shared" si="32"/>
        <v>14.897552310497723</v>
      </c>
      <c r="Q236">
        <f t="shared" si="33"/>
        <v>9.4799512008057387E-3</v>
      </c>
      <c r="R236">
        <f t="shared" si="34"/>
        <v>0</v>
      </c>
      <c r="S236">
        <f t="shared" si="35"/>
        <v>0</v>
      </c>
    </row>
    <row r="237" spans="1:19" x14ac:dyDescent="0.3">
      <c r="A237" t="s">
        <v>91</v>
      </c>
      <c r="B237">
        <v>2010</v>
      </c>
      <c r="C237">
        <v>1.9358317114788363E-2</v>
      </c>
      <c r="D237">
        <v>5.2838543678284354E-2</v>
      </c>
      <c r="E237">
        <v>5.6559231759082543E-3</v>
      </c>
      <c r="F237">
        <v>0.56316408896994496</v>
      </c>
      <c r="G237">
        <v>0.77015197388955559</v>
      </c>
      <c r="H237">
        <v>14.973845414661783</v>
      </c>
      <c r="I237">
        <v>5.2301000140039626E-3</v>
      </c>
      <c r="J237">
        <v>4.9534859038392574E-3</v>
      </c>
      <c r="K237">
        <f t="shared" si="27"/>
        <v>1.9358317114788363E-2</v>
      </c>
      <c r="L237">
        <f t="shared" si="28"/>
        <v>5.2838543678284354E-2</v>
      </c>
      <c r="M237">
        <f t="shared" si="29"/>
        <v>5.6559231759082543E-3</v>
      </c>
      <c r="N237">
        <f t="shared" si="30"/>
        <v>0.56316408896994496</v>
      </c>
      <c r="O237">
        <f t="shared" si="31"/>
        <v>0.77015197388955559</v>
      </c>
      <c r="P237">
        <f t="shared" si="32"/>
        <v>14.973845414661783</v>
      </c>
      <c r="Q237">
        <f t="shared" si="33"/>
        <v>5.2301000140039626E-3</v>
      </c>
      <c r="R237">
        <f t="shared" si="34"/>
        <v>4.9534859038392574E-3</v>
      </c>
      <c r="S237">
        <f t="shared" si="35"/>
        <v>0</v>
      </c>
    </row>
    <row r="238" spans="1:19" x14ac:dyDescent="0.3">
      <c r="A238" t="s">
        <v>92</v>
      </c>
      <c r="B238">
        <v>2009</v>
      </c>
      <c r="C238">
        <v>1.5758248591340345E-3</v>
      </c>
      <c r="D238">
        <v>4.5296446727891959E-2</v>
      </c>
      <c r="E238">
        <v>-2.5136535996240734E-2</v>
      </c>
      <c r="F238">
        <v>0.74741586018032546</v>
      </c>
      <c r="G238">
        <v>0.95480931809373459</v>
      </c>
      <c r="H238">
        <v>14.158238898579265</v>
      </c>
      <c r="I238">
        <v>6.2075853169185957E-2</v>
      </c>
      <c r="J238">
        <v>3.280838963476355E-3</v>
      </c>
      <c r="K238">
        <f t="shared" si="27"/>
        <v>1.5758248591340345E-3</v>
      </c>
      <c r="L238">
        <f t="shared" si="28"/>
        <v>4.5296446727891959E-2</v>
      </c>
      <c r="M238">
        <f t="shared" si="29"/>
        <v>-2.5136535996240734E-2</v>
      </c>
      <c r="N238">
        <f t="shared" si="30"/>
        <v>0.74741586018032546</v>
      </c>
      <c r="O238">
        <f t="shared" si="31"/>
        <v>0.95480931809373459</v>
      </c>
      <c r="P238">
        <f t="shared" si="32"/>
        <v>14.158238898579265</v>
      </c>
      <c r="Q238">
        <f t="shared" si="33"/>
        <v>6.2075853169185957E-2</v>
      </c>
      <c r="R238">
        <f t="shared" si="34"/>
        <v>3.280838963476355E-3</v>
      </c>
      <c r="S238">
        <f t="shared" si="35"/>
        <v>0</v>
      </c>
    </row>
    <row r="239" spans="1:19" x14ac:dyDescent="0.3">
      <c r="A239" t="s">
        <v>92</v>
      </c>
      <c r="B239">
        <v>2010</v>
      </c>
      <c r="C239">
        <v>4.0472244809733101E-3</v>
      </c>
      <c r="D239">
        <v>0.22364449202117623</v>
      </c>
      <c r="E239">
        <v>4.1107668660085979E-2</v>
      </c>
      <c r="F239">
        <v>0.5608123269482157</v>
      </c>
      <c r="G239">
        <v>0.83990331401672269</v>
      </c>
      <c r="H239">
        <v>14.192092535513364</v>
      </c>
      <c r="I239">
        <v>5.0900900180543968E-3</v>
      </c>
      <c r="J239">
        <v>2.1145341197218132E-2</v>
      </c>
      <c r="K239">
        <f t="shared" si="27"/>
        <v>4.0472244809733101E-3</v>
      </c>
      <c r="L239">
        <f t="shared" si="28"/>
        <v>0.22364449202117623</v>
      </c>
      <c r="M239">
        <f t="shared" si="29"/>
        <v>4.1107668660085979E-2</v>
      </c>
      <c r="N239">
        <f t="shared" si="30"/>
        <v>0.5608123269482157</v>
      </c>
      <c r="O239">
        <f t="shared" si="31"/>
        <v>0.83990331401672269</v>
      </c>
      <c r="P239">
        <f t="shared" si="32"/>
        <v>14.192092535513364</v>
      </c>
      <c r="Q239">
        <f t="shared" si="33"/>
        <v>5.0900900180543968E-3</v>
      </c>
      <c r="R239">
        <f t="shared" si="34"/>
        <v>2.1145341197218132E-2</v>
      </c>
      <c r="S239">
        <f t="shared" si="35"/>
        <v>0</v>
      </c>
    </row>
    <row r="240" spans="1:19" x14ac:dyDescent="0.3">
      <c r="A240" t="s">
        <v>93</v>
      </c>
      <c r="B240">
        <v>2007</v>
      </c>
      <c r="C240">
        <v>2.7815060493369539E-2</v>
      </c>
      <c r="D240">
        <v>7.54308988267548E-2</v>
      </c>
      <c r="E240">
        <v>-4.7824381348879112E-2</v>
      </c>
      <c r="F240">
        <v>0.15181804367577412</v>
      </c>
      <c r="G240">
        <v>0.89340527219632038</v>
      </c>
      <c r="H240">
        <v>14.268378837065354</v>
      </c>
      <c r="I240">
        <v>7.3671469310387476E-3</v>
      </c>
      <c r="J240">
        <v>0</v>
      </c>
      <c r="K240">
        <f t="shared" si="27"/>
        <v>2.7815060493369539E-2</v>
      </c>
      <c r="L240">
        <f t="shared" si="28"/>
        <v>7.54308988267548E-2</v>
      </c>
      <c r="M240">
        <f t="shared" si="29"/>
        <v>-4.7824381348879112E-2</v>
      </c>
      <c r="N240">
        <f t="shared" si="30"/>
        <v>0.15181804367577412</v>
      </c>
      <c r="O240">
        <f t="shared" si="31"/>
        <v>0.89340527219632038</v>
      </c>
      <c r="P240">
        <f t="shared" si="32"/>
        <v>14.268378837065354</v>
      </c>
      <c r="Q240">
        <f t="shared" si="33"/>
        <v>7.3671469310387476E-3</v>
      </c>
      <c r="R240">
        <f t="shared" si="34"/>
        <v>0</v>
      </c>
      <c r="S240">
        <f t="shared" si="35"/>
        <v>0</v>
      </c>
    </row>
    <row r="241" spans="1:19" x14ac:dyDescent="0.3">
      <c r="A241" t="s">
        <v>93</v>
      </c>
      <c r="B241">
        <v>2009</v>
      </c>
      <c r="C241">
        <v>4.0929034158783979E-3</v>
      </c>
      <c r="D241">
        <v>0.13366123939705427</v>
      </c>
      <c r="E241">
        <v>0.15180892117268305</v>
      </c>
      <c r="F241">
        <v>0.60252383865884562</v>
      </c>
      <c r="G241">
        <v>0.89467043890009124</v>
      </c>
      <c r="H241">
        <v>14.252345771896591</v>
      </c>
      <c r="I241">
        <v>1.342617364310702E-2</v>
      </c>
      <c r="J241">
        <v>2.3879038713633085E-2</v>
      </c>
      <c r="K241">
        <f t="shared" si="27"/>
        <v>4.0929034158783979E-3</v>
      </c>
      <c r="L241">
        <f t="shared" si="28"/>
        <v>0.13366123939705427</v>
      </c>
      <c r="M241">
        <f t="shared" si="29"/>
        <v>0.15180892117268305</v>
      </c>
      <c r="N241">
        <f t="shared" si="30"/>
        <v>0.60252383865884562</v>
      </c>
      <c r="O241">
        <f t="shared" si="31"/>
        <v>0.89467043890009124</v>
      </c>
      <c r="P241">
        <f t="shared" si="32"/>
        <v>14.252345771896591</v>
      </c>
      <c r="Q241">
        <f t="shared" si="33"/>
        <v>1.342617364310702E-2</v>
      </c>
      <c r="R241">
        <f t="shared" si="34"/>
        <v>2.3879038713633085E-2</v>
      </c>
      <c r="S241">
        <f t="shared" si="35"/>
        <v>0</v>
      </c>
    </row>
    <row r="242" spans="1:19" x14ac:dyDescent="0.3">
      <c r="A242" t="s">
        <v>93</v>
      </c>
      <c r="B242">
        <v>2010</v>
      </c>
      <c r="C242">
        <v>5.2961184962831184E-2</v>
      </c>
      <c r="D242">
        <v>0.17599514853323064</v>
      </c>
      <c r="E242">
        <v>0.1105360196965323</v>
      </c>
      <c r="F242">
        <v>0.50695251389082485</v>
      </c>
      <c r="G242">
        <v>0.848351644141213</v>
      </c>
      <c r="H242">
        <v>14.230113125380909</v>
      </c>
      <c r="I242">
        <v>4.3352811414453657E-3</v>
      </c>
      <c r="J242">
        <v>3.6623817768761287E-2</v>
      </c>
      <c r="K242">
        <f t="shared" si="27"/>
        <v>5.2961184962831184E-2</v>
      </c>
      <c r="L242">
        <f t="shared" si="28"/>
        <v>0.17599514853323064</v>
      </c>
      <c r="M242">
        <f t="shared" si="29"/>
        <v>0.1105360196965323</v>
      </c>
      <c r="N242">
        <f t="shared" si="30"/>
        <v>0.50695251389082485</v>
      </c>
      <c r="O242">
        <f t="shared" si="31"/>
        <v>0.848351644141213</v>
      </c>
      <c r="P242">
        <f t="shared" si="32"/>
        <v>14.230113125380909</v>
      </c>
      <c r="Q242">
        <f t="shared" si="33"/>
        <v>4.3352811414453657E-3</v>
      </c>
      <c r="R242">
        <f t="shared" si="34"/>
        <v>3.6623817768761287E-2</v>
      </c>
      <c r="S242">
        <f t="shared" si="35"/>
        <v>0</v>
      </c>
    </row>
    <row r="243" spans="1:19" x14ac:dyDescent="0.3">
      <c r="A243" t="s">
        <v>94</v>
      </c>
      <c r="B243">
        <v>2009</v>
      </c>
      <c r="C243">
        <v>2.0315740466415543E-3</v>
      </c>
      <c r="D243">
        <v>5.6956024886782072E-2</v>
      </c>
      <c r="E243">
        <v>3.9933127354298045E-3</v>
      </c>
      <c r="F243">
        <v>0.39748381089431584</v>
      </c>
      <c r="G243">
        <v>0.74290536250899397</v>
      </c>
      <c r="H243">
        <v>13.759024858977412</v>
      </c>
      <c r="I243">
        <v>3.6189733182639273E-2</v>
      </c>
      <c r="J243">
        <v>0</v>
      </c>
      <c r="K243">
        <f t="shared" si="27"/>
        <v>2.0315740466415543E-3</v>
      </c>
      <c r="L243">
        <f t="shared" si="28"/>
        <v>5.6956024886782072E-2</v>
      </c>
      <c r="M243">
        <f t="shared" si="29"/>
        <v>3.9933127354298045E-3</v>
      </c>
      <c r="N243">
        <f t="shared" si="30"/>
        <v>0.39748381089431584</v>
      </c>
      <c r="O243">
        <f t="shared" si="31"/>
        <v>0.74290536250899397</v>
      </c>
      <c r="P243">
        <f t="shared" si="32"/>
        <v>13.759024858977412</v>
      </c>
      <c r="Q243">
        <f t="shared" si="33"/>
        <v>3.6189733182639273E-2</v>
      </c>
      <c r="R243">
        <f t="shared" si="34"/>
        <v>0</v>
      </c>
      <c r="S243">
        <f t="shared" si="35"/>
        <v>0</v>
      </c>
    </row>
    <row r="244" spans="1:19" x14ac:dyDescent="0.3">
      <c r="A244" t="s">
        <v>94</v>
      </c>
      <c r="B244">
        <v>2010</v>
      </c>
      <c r="C244">
        <v>1.1724239354227262E-3</v>
      </c>
      <c r="D244">
        <v>0.16357764959639204</v>
      </c>
      <c r="E244">
        <v>1.9805590051962481E-2</v>
      </c>
      <c r="F244">
        <v>0.2272265842020981</v>
      </c>
      <c r="G244">
        <v>0.69065288081309839</v>
      </c>
      <c r="H244">
        <v>13.794458510467642</v>
      </c>
      <c r="I244">
        <v>3.5288092169184403E-2</v>
      </c>
      <c r="J244">
        <v>2.4476902839962091E-2</v>
      </c>
      <c r="K244">
        <f t="shared" si="27"/>
        <v>1.1724239354227262E-3</v>
      </c>
      <c r="L244">
        <f t="shared" si="28"/>
        <v>0.16357764959639204</v>
      </c>
      <c r="M244">
        <f t="shared" si="29"/>
        <v>1.9805590051962481E-2</v>
      </c>
      <c r="N244">
        <f t="shared" si="30"/>
        <v>0.2272265842020981</v>
      </c>
      <c r="O244">
        <f t="shared" si="31"/>
        <v>0.69065288081309839</v>
      </c>
      <c r="P244">
        <f t="shared" si="32"/>
        <v>13.794458510467642</v>
      </c>
      <c r="Q244">
        <f t="shared" si="33"/>
        <v>3.5288092169184403E-2</v>
      </c>
      <c r="R244">
        <f t="shared" si="34"/>
        <v>2.4476902839962091E-2</v>
      </c>
      <c r="S244">
        <f t="shared" si="35"/>
        <v>0</v>
      </c>
    </row>
    <row r="245" spans="1:19" x14ac:dyDescent="0.3">
      <c r="A245" t="s">
        <v>95</v>
      </c>
      <c r="B245">
        <v>2007</v>
      </c>
      <c r="C245">
        <v>1.0126812135005084E-3</v>
      </c>
      <c r="D245">
        <v>5.2251206411916606E-2</v>
      </c>
      <c r="E245">
        <v>-0.10268089378081607</v>
      </c>
      <c r="F245">
        <v>0.24505154287714867</v>
      </c>
      <c r="G245">
        <v>0.92522480622072067</v>
      </c>
      <c r="H245">
        <v>15.54914803160951</v>
      </c>
      <c r="I245">
        <v>6.5207498940032561E-3</v>
      </c>
      <c r="J245">
        <v>8.2791502663123729E-4</v>
      </c>
      <c r="K245">
        <f t="shared" si="27"/>
        <v>1.0126812135005084E-3</v>
      </c>
      <c r="L245">
        <f t="shared" si="28"/>
        <v>5.2251206411916606E-2</v>
      </c>
      <c r="M245">
        <f t="shared" si="29"/>
        <v>-0.10268089378081607</v>
      </c>
      <c r="N245">
        <f t="shared" si="30"/>
        <v>0.24505154287714867</v>
      </c>
      <c r="O245">
        <f t="shared" si="31"/>
        <v>0.92522480622072067</v>
      </c>
      <c r="P245">
        <f t="shared" si="32"/>
        <v>15.54914803160951</v>
      </c>
      <c r="Q245">
        <f t="shared" si="33"/>
        <v>6.5207498940032561E-3</v>
      </c>
      <c r="R245">
        <f t="shared" si="34"/>
        <v>8.2791502663123729E-4</v>
      </c>
      <c r="S245">
        <f t="shared" si="35"/>
        <v>0</v>
      </c>
    </row>
    <row r="246" spans="1:19" x14ac:dyDescent="0.3">
      <c r="A246" t="s">
        <v>95</v>
      </c>
      <c r="B246">
        <v>2009</v>
      </c>
      <c r="C246">
        <v>3.4930250584433697E-4</v>
      </c>
      <c r="D246">
        <v>3.4788868908441448E-2</v>
      </c>
      <c r="E246">
        <v>-6.1895214634215309E-2</v>
      </c>
      <c r="F246">
        <v>0.78591481686696862</v>
      </c>
      <c r="G246">
        <v>0.87479659552924216</v>
      </c>
      <c r="H246">
        <v>16.002914402715774</v>
      </c>
      <c r="I246">
        <v>1.0191719251048741E-2</v>
      </c>
      <c r="J246">
        <v>0</v>
      </c>
      <c r="K246">
        <f t="shared" si="27"/>
        <v>3.4930250584433697E-4</v>
      </c>
      <c r="L246">
        <f t="shared" si="28"/>
        <v>3.4788868908441448E-2</v>
      </c>
      <c r="M246">
        <f t="shared" si="29"/>
        <v>-6.1895214634215309E-2</v>
      </c>
      <c r="N246">
        <f t="shared" si="30"/>
        <v>0.78591481686696862</v>
      </c>
      <c r="O246">
        <f t="shared" si="31"/>
        <v>0.87479659552924216</v>
      </c>
      <c r="P246">
        <f t="shared" si="32"/>
        <v>16.002914402715774</v>
      </c>
      <c r="Q246">
        <f t="shared" si="33"/>
        <v>1.0191719251048741E-2</v>
      </c>
      <c r="R246">
        <f t="shared" si="34"/>
        <v>0</v>
      </c>
      <c r="S246">
        <f t="shared" si="35"/>
        <v>0</v>
      </c>
    </row>
    <row r="247" spans="1:19" x14ac:dyDescent="0.3">
      <c r="A247" t="s">
        <v>95</v>
      </c>
      <c r="B247">
        <v>2010</v>
      </c>
      <c r="C247">
        <v>3.7834529702926656E-4</v>
      </c>
      <c r="D247">
        <v>7.1627264415408329E-2</v>
      </c>
      <c r="E247">
        <v>-6.0727182246661154E-2</v>
      </c>
      <c r="F247">
        <v>0.6407610817031909</v>
      </c>
      <c r="G247">
        <v>0.78766718918828071</v>
      </c>
      <c r="H247">
        <v>15.956529326411868</v>
      </c>
      <c r="I247">
        <v>1.466212542517673E-2</v>
      </c>
      <c r="J247">
        <v>3.0559110664060054E-3</v>
      </c>
      <c r="K247">
        <f t="shared" si="27"/>
        <v>3.7834529702926656E-4</v>
      </c>
      <c r="L247">
        <f t="shared" si="28"/>
        <v>7.1627264415408329E-2</v>
      </c>
      <c r="M247">
        <f t="shared" si="29"/>
        <v>-6.0727182246661154E-2</v>
      </c>
      <c r="N247">
        <f t="shared" si="30"/>
        <v>0.6407610817031909</v>
      </c>
      <c r="O247">
        <f t="shared" si="31"/>
        <v>0.78766718918828071</v>
      </c>
      <c r="P247">
        <f t="shared" si="32"/>
        <v>15.956529326411868</v>
      </c>
      <c r="Q247">
        <f t="shared" si="33"/>
        <v>1.466212542517673E-2</v>
      </c>
      <c r="R247">
        <f t="shared" si="34"/>
        <v>3.0559110664060054E-3</v>
      </c>
      <c r="S247">
        <f t="shared" si="35"/>
        <v>0</v>
      </c>
    </row>
    <row r="248" spans="1:19" x14ac:dyDescent="0.3">
      <c r="A248" t="s">
        <v>96</v>
      </c>
      <c r="B248">
        <v>2007</v>
      </c>
      <c r="C248">
        <v>8.2990851128327708E-4</v>
      </c>
      <c r="D248">
        <v>0.38572358580111021</v>
      </c>
      <c r="E248">
        <v>-0.64013278536180529</v>
      </c>
      <c r="F248">
        <v>8.9232558255104927E-2</v>
      </c>
      <c r="G248">
        <v>1.1739746654276015</v>
      </c>
      <c r="H248">
        <v>12.212188903035415</v>
      </c>
      <c r="I248">
        <v>5.795061717518106E-2</v>
      </c>
      <c r="J248">
        <v>0</v>
      </c>
      <c r="K248">
        <f t="shared" si="27"/>
        <v>8.2990851128327708E-4</v>
      </c>
      <c r="L248">
        <f t="shared" si="28"/>
        <v>0.38572358580111021</v>
      </c>
      <c r="M248">
        <f t="shared" si="29"/>
        <v>-0.64013278536180529</v>
      </c>
      <c r="N248">
        <f t="shared" si="30"/>
        <v>8.9232558255104927E-2</v>
      </c>
      <c r="O248">
        <f t="shared" si="31"/>
        <v>1.1739746654276015</v>
      </c>
      <c r="P248">
        <f t="shared" si="32"/>
        <v>12.212188903035415</v>
      </c>
      <c r="Q248">
        <f t="shared" si="33"/>
        <v>5.795061717518106E-2</v>
      </c>
      <c r="R248">
        <f t="shared" si="34"/>
        <v>0</v>
      </c>
      <c r="S248">
        <f t="shared" si="35"/>
        <v>0</v>
      </c>
    </row>
    <row r="249" spans="1:19" x14ac:dyDescent="0.3">
      <c r="A249" t="s">
        <v>96</v>
      </c>
      <c r="B249">
        <v>2009</v>
      </c>
      <c r="C249">
        <v>4.7114225109433604E-3</v>
      </c>
      <c r="D249">
        <v>4.0679781155682881E-2</v>
      </c>
      <c r="E249">
        <v>1.3660608251739612E-3</v>
      </c>
      <c r="F249">
        <v>0.26053548669063187</v>
      </c>
      <c r="G249">
        <v>1.0937753848195633</v>
      </c>
      <c r="H249">
        <v>12.987741104271681</v>
      </c>
      <c r="I249">
        <v>2.8242589320007356E-2</v>
      </c>
      <c r="J249">
        <v>0</v>
      </c>
      <c r="K249">
        <f t="shared" si="27"/>
        <v>4.7114225109433604E-3</v>
      </c>
      <c r="L249">
        <f t="shared" si="28"/>
        <v>4.0679781155682881E-2</v>
      </c>
      <c r="M249">
        <f t="shared" si="29"/>
        <v>1.3660608251739612E-3</v>
      </c>
      <c r="N249">
        <f t="shared" si="30"/>
        <v>0.26053548669063187</v>
      </c>
      <c r="O249">
        <f t="shared" si="31"/>
        <v>1.0937753848195633</v>
      </c>
      <c r="P249">
        <f t="shared" si="32"/>
        <v>12.987741104271681</v>
      </c>
      <c r="Q249">
        <f t="shared" si="33"/>
        <v>2.8242589320007356E-2</v>
      </c>
      <c r="R249">
        <f t="shared" si="34"/>
        <v>0</v>
      </c>
      <c r="S249">
        <f t="shared" si="35"/>
        <v>0</v>
      </c>
    </row>
    <row r="250" spans="1:19" x14ac:dyDescent="0.3">
      <c r="A250" t="s">
        <v>96</v>
      </c>
      <c r="B250">
        <v>2010</v>
      </c>
      <c r="C250">
        <v>1.1028057256882028E-3</v>
      </c>
      <c r="D250">
        <v>0.13600611241200428</v>
      </c>
      <c r="E250">
        <v>-6.0763111890273301E-2</v>
      </c>
      <c r="F250">
        <v>0.26285102479334754</v>
      </c>
      <c r="G250">
        <v>0.58782366482618442</v>
      </c>
      <c r="H250">
        <v>12.910216638892967</v>
      </c>
      <c r="I250">
        <v>6.9379796923410217E-2</v>
      </c>
      <c r="J250">
        <v>0</v>
      </c>
      <c r="K250">
        <f t="shared" si="27"/>
        <v>1.1028057256882028E-3</v>
      </c>
      <c r="L250">
        <f t="shared" si="28"/>
        <v>0.13600611241200428</v>
      </c>
      <c r="M250">
        <f t="shared" si="29"/>
        <v>-6.0763111890273301E-2</v>
      </c>
      <c r="N250">
        <f t="shared" si="30"/>
        <v>0.26285102479334754</v>
      </c>
      <c r="O250">
        <f t="shared" si="31"/>
        <v>0.58782366482618442</v>
      </c>
      <c r="P250">
        <f t="shared" si="32"/>
        <v>12.910216638892967</v>
      </c>
      <c r="Q250">
        <f t="shared" si="33"/>
        <v>6.9379796923410217E-2</v>
      </c>
      <c r="R250">
        <f t="shared" si="34"/>
        <v>0</v>
      </c>
      <c r="S250">
        <f t="shared" si="35"/>
        <v>0</v>
      </c>
    </row>
    <row r="251" spans="1:19" x14ac:dyDescent="0.3">
      <c r="A251" t="s">
        <v>97</v>
      </c>
      <c r="B251">
        <v>2007</v>
      </c>
      <c r="C251">
        <v>6.6679884379793591E-3</v>
      </c>
      <c r="D251">
        <v>0.1191017140970705</v>
      </c>
      <c r="E251">
        <v>3.1917931282437549E-2</v>
      </c>
      <c r="F251">
        <v>0.35383312099614755</v>
      </c>
      <c r="G251">
        <v>0.96476088113449721</v>
      </c>
      <c r="H251">
        <v>13.868236775227302</v>
      </c>
      <c r="I251">
        <v>5.4459100405100658E-5</v>
      </c>
      <c r="J251">
        <v>9.7633997728956562E-3</v>
      </c>
      <c r="K251">
        <f t="shared" si="27"/>
        <v>6.6679884379793591E-3</v>
      </c>
      <c r="L251">
        <f t="shared" si="28"/>
        <v>0.1191017140970705</v>
      </c>
      <c r="M251">
        <f t="shared" si="29"/>
        <v>3.1917931282437549E-2</v>
      </c>
      <c r="N251">
        <f t="shared" si="30"/>
        <v>0.35383312099614755</v>
      </c>
      <c r="O251">
        <f t="shared" si="31"/>
        <v>0.96476088113449721</v>
      </c>
      <c r="P251">
        <f t="shared" si="32"/>
        <v>13.868236775227302</v>
      </c>
      <c r="Q251">
        <f t="shared" si="33"/>
        <v>5.4459100405100658E-5</v>
      </c>
      <c r="R251">
        <f t="shared" si="34"/>
        <v>9.7633997728956562E-3</v>
      </c>
      <c r="S251">
        <f t="shared" si="35"/>
        <v>0</v>
      </c>
    </row>
    <row r="252" spans="1:19" x14ac:dyDescent="0.3">
      <c r="A252" t="s">
        <v>97</v>
      </c>
      <c r="B252">
        <v>2008</v>
      </c>
      <c r="C252">
        <v>6.6679884379793591E-3</v>
      </c>
      <c r="D252">
        <v>0.1191017140970705</v>
      </c>
      <c r="E252">
        <v>3.1917931282437549E-2</v>
      </c>
      <c r="F252">
        <v>0.35383312099614755</v>
      </c>
      <c r="G252">
        <v>0.89642372320211428</v>
      </c>
      <c r="H252">
        <v>13.868236775227302</v>
      </c>
      <c r="I252">
        <v>1.8928631341092707E-2</v>
      </c>
      <c r="J252">
        <v>9.7633997728956562E-3</v>
      </c>
      <c r="K252">
        <f t="shared" si="27"/>
        <v>6.6679884379793591E-3</v>
      </c>
      <c r="L252">
        <f t="shared" si="28"/>
        <v>0.1191017140970705</v>
      </c>
      <c r="M252">
        <f t="shared" si="29"/>
        <v>3.1917931282437549E-2</v>
      </c>
      <c r="N252">
        <f t="shared" si="30"/>
        <v>0.35383312099614755</v>
      </c>
      <c r="O252">
        <f t="shared" si="31"/>
        <v>0.89642372320211428</v>
      </c>
      <c r="P252">
        <f t="shared" si="32"/>
        <v>13.868236775227302</v>
      </c>
      <c r="Q252">
        <f t="shared" si="33"/>
        <v>1.8928631341092707E-2</v>
      </c>
      <c r="R252">
        <f t="shared" si="34"/>
        <v>9.7633997728956562E-3</v>
      </c>
      <c r="S252">
        <f t="shared" si="35"/>
        <v>0</v>
      </c>
    </row>
    <row r="253" spans="1:19" x14ac:dyDescent="0.3">
      <c r="A253" t="s">
        <v>97</v>
      </c>
      <c r="B253">
        <v>2009</v>
      </c>
      <c r="C253">
        <v>5.9166215194868602E-3</v>
      </c>
      <c r="D253">
        <v>0.14130331547511554</v>
      </c>
      <c r="E253">
        <v>4.6959086622388985E-2</v>
      </c>
      <c r="F253">
        <v>0.47525800777200339</v>
      </c>
      <c r="G253">
        <v>0.7539866631886617</v>
      </c>
      <c r="H253">
        <v>14.21771034069547</v>
      </c>
      <c r="I253">
        <v>1.4551538467282236E-2</v>
      </c>
      <c r="J253">
        <v>1.0325661657001826E-2</v>
      </c>
      <c r="K253">
        <f t="shared" si="27"/>
        <v>5.9166215194868602E-3</v>
      </c>
      <c r="L253">
        <f t="shared" si="28"/>
        <v>0.14130331547511554</v>
      </c>
      <c r="M253">
        <f t="shared" si="29"/>
        <v>4.6959086622388985E-2</v>
      </c>
      <c r="N253">
        <f t="shared" si="30"/>
        <v>0.47525800777200339</v>
      </c>
      <c r="O253">
        <f t="shared" si="31"/>
        <v>0.7539866631886617</v>
      </c>
      <c r="P253">
        <f t="shared" si="32"/>
        <v>14.21771034069547</v>
      </c>
      <c r="Q253">
        <f t="shared" si="33"/>
        <v>1.4551538467282236E-2</v>
      </c>
      <c r="R253">
        <f t="shared" si="34"/>
        <v>1.0325661657001826E-2</v>
      </c>
      <c r="S253">
        <f t="shared" si="35"/>
        <v>0</v>
      </c>
    </row>
    <row r="254" spans="1:19" x14ac:dyDescent="0.3">
      <c r="A254" t="s">
        <v>97</v>
      </c>
      <c r="B254">
        <v>2010</v>
      </c>
      <c r="C254">
        <v>1.7889714361851205E-3</v>
      </c>
      <c r="D254">
        <v>0.1197726426927265</v>
      </c>
      <c r="E254">
        <v>6.5254097117889487E-2</v>
      </c>
      <c r="F254">
        <v>0.43981245376815392</v>
      </c>
      <c r="G254">
        <v>0.76357688614445929</v>
      </c>
      <c r="H254">
        <v>14.370098872162806</v>
      </c>
      <c r="I254">
        <v>5.1290507831582788E-2</v>
      </c>
      <c r="J254">
        <v>1.1821569195003056E-2</v>
      </c>
      <c r="K254">
        <f t="shared" si="27"/>
        <v>1.7889714361851205E-3</v>
      </c>
      <c r="L254">
        <f t="shared" si="28"/>
        <v>0.1197726426927265</v>
      </c>
      <c r="M254">
        <f t="shared" si="29"/>
        <v>6.5254097117889487E-2</v>
      </c>
      <c r="N254">
        <f t="shared" si="30"/>
        <v>0.43981245376815392</v>
      </c>
      <c r="O254">
        <f t="shared" si="31"/>
        <v>0.76357688614445929</v>
      </c>
      <c r="P254">
        <f t="shared" si="32"/>
        <v>14.370098872162806</v>
      </c>
      <c r="Q254">
        <f t="shared" si="33"/>
        <v>5.1290507831582788E-2</v>
      </c>
      <c r="R254">
        <f t="shared" si="34"/>
        <v>1.1821569195003056E-2</v>
      </c>
      <c r="S254">
        <f t="shared" si="35"/>
        <v>0</v>
      </c>
    </row>
    <row r="255" spans="1:19" x14ac:dyDescent="0.3">
      <c r="A255" t="s">
        <v>98</v>
      </c>
      <c r="B255">
        <v>2007</v>
      </c>
      <c r="C255">
        <v>1.2184804125935493E-2</v>
      </c>
      <c r="D255">
        <v>1.4516575753423459E-2</v>
      </c>
      <c r="E255">
        <v>-7.7958956387882256E-4</v>
      </c>
      <c r="F255">
        <v>0.3896918667875604</v>
      </c>
      <c r="G255">
        <v>0.86500870259853468</v>
      </c>
      <c r="H255">
        <v>15.048073734589767</v>
      </c>
      <c r="I255">
        <v>1.8336341912535348E-2</v>
      </c>
      <c r="J255">
        <v>0</v>
      </c>
      <c r="K255">
        <f t="shared" si="27"/>
        <v>1.2184804125935493E-2</v>
      </c>
      <c r="L255">
        <f t="shared" si="28"/>
        <v>1.4516575753423459E-2</v>
      </c>
      <c r="M255">
        <f t="shared" si="29"/>
        <v>-7.7958956387882256E-4</v>
      </c>
      <c r="N255">
        <f t="shared" si="30"/>
        <v>0.3896918667875604</v>
      </c>
      <c r="O255">
        <f t="shared" si="31"/>
        <v>0.86500870259853468</v>
      </c>
      <c r="P255">
        <f t="shared" si="32"/>
        <v>15.048073734589767</v>
      </c>
      <c r="Q255">
        <f t="shared" si="33"/>
        <v>1.8336341912535348E-2</v>
      </c>
      <c r="R255">
        <f t="shared" si="34"/>
        <v>0</v>
      </c>
      <c r="S255">
        <f t="shared" si="35"/>
        <v>0</v>
      </c>
    </row>
    <row r="256" spans="1:19" x14ac:dyDescent="0.3">
      <c r="A256" t="s">
        <v>98</v>
      </c>
      <c r="B256">
        <v>2009</v>
      </c>
      <c r="C256">
        <v>4.4182778530460383E-3</v>
      </c>
      <c r="D256">
        <v>6.335490090073935E-2</v>
      </c>
      <c r="E256">
        <v>-0.11731590286816095</v>
      </c>
      <c r="F256">
        <v>0.67927320504584632</v>
      </c>
      <c r="G256">
        <v>0.8238584386974549</v>
      </c>
      <c r="H256">
        <v>15.232993702863354</v>
      </c>
      <c r="I256">
        <v>2.4428672513796705E-2</v>
      </c>
      <c r="J256">
        <v>0</v>
      </c>
      <c r="K256">
        <f t="shared" si="27"/>
        <v>4.4182778530460383E-3</v>
      </c>
      <c r="L256">
        <f t="shared" si="28"/>
        <v>6.335490090073935E-2</v>
      </c>
      <c r="M256">
        <f t="shared" si="29"/>
        <v>-0.11731590286816095</v>
      </c>
      <c r="N256">
        <f t="shared" si="30"/>
        <v>0.67927320504584632</v>
      </c>
      <c r="O256">
        <f t="shared" si="31"/>
        <v>0.8238584386974549</v>
      </c>
      <c r="P256">
        <f t="shared" si="32"/>
        <v>15.232993702863354</v>
      </c>
      <c r="Q256">
        <f t="shared" si="33"/>
        <v>2.4428672513796705E-2</v>
      </c>
      <c r="R256">
        <f t="shared" si="34"/>
        <v>0</v>
      </c>
      <c r="S256">
        <f t="shared" si="35"/>
        <v>0</v>
      </c>
    </row>
    <row r="257" spans="1:19" x14ac:dyDescent="0.3">
      <c r="A257" t="s">
        <v>98</v>
      </c>
      <c r="B257">
        <v>2010</v>
      </c>
      <c r="C257">
        <v>8.4246682994122534E-3</v>
      </c>
      <c r="D257">
        <v>0.13340630633386805</v>
      </c>
      <c r="E257">
        <v>-9.2929177811319097E-2</v>
      </c>
      <c r="F257">
        <v>0.57350402818903257</v>
      </c>
      <c r="G257">
        <v>0.71764054172527514</v>
      </c>
      <c r="H257">
        <v>15.269918837738558</v>
      </c>
      <c r="I257">
        <v>4.8946243657490354E-3</v>
      </c>
      <c r="J257">
        <v>3.5976607848435373E-3</v>
      </c>
      <c r="K257">
        <f t="shared" si="27"/>
        <v>8.4246682994122534E-3</v>
      </c>
      <c r="L257">
        <f t="shared" si="28"/>
        <v>0.13340630633386805</v>
      </c>
      <c r="M257">
        <f t="shared" si="29"/>
        <v>-9.2929177811319097E-2</v>
      </c>
      <c r="N257">
        <f t="shared" si="30"/>
        <v>0.57350402818903257</v>
      </c>
      <c r="O257">
        <f t="shared" si="31"/>
        <v>0.71764054172527514</v>
      </c>
      <c r="P257">
        <f t="shared" si="32"/>
        <v>15.269918837738558</v>
      </c>
      <c r="Q257">
        <f t="shared" si="33"/>
        <v>4.8946243657490354E-3</v>
      </c>
      <c r="R257">
        <f t="shared" si="34"/>
        <v>3.5976607848435373E-3</v>
      </c>
      <c r="S257">
        <f t="shared" si="35"/>
        <v>0</v>
      </c>
    </row>
    <row r="258" spans="1:19" x14ac:dyDescent="0.3">
      <c r="A258" t="s">
        <v>99</v>
      </c>
      <c r="B258">
        <v>2007</v>
      </c>
      <c r="C258">
        <v>4.7702961102186435E-3</v>
      </c>
      <c r="D258">
        <v>9.7159453059882508E-2</v>
      </c>
      <c r="E258">
        <v>-8.1258466025820361E-2</v>
      </c>
      <c r="F258">
        <v>0.17852943749537342</v>
      </c>
      <c r="G258">
        <v>0.9060000749865168</v>
      </c>
      <c r="H258">
        <v>13.854911062646398</v>
      </c>
      <c r="I258">
        <v>4.964407636370044E-3</v>
      </c>
      <c r="J258">
        <v>0</v>
      </c>
      <c r="K258">
        <f t="shared" si="27"/>
        <v>4.7702961102186435E-3</v>
      </c>
      <c r="L258">
        <f t="shared" si="28"/>
        <v>9.7159453059882508E-2</v>
      </c>
      <c r="M258">
        <f t="shared" si="29"/>
        <v>-8.1258466025820361E-2</v>
      </c>
      <c r="N258">
        <f t="shared" si="30"/>
        <v>0.17852943749537342</v>
      </c>
      <c r="O258">
        <f t="shared" si="31"/>
        <v>0.9060000749865168</v>
      </c>
      <c r="P258">
        <f t="shared" si="32"/>
        <v>13.854911062646398</v>
      </c>
      <c r="Q258">
        <f t="shared" si="33"/>
        <v>4.964407636370044E-3</v>
      </c>
      <c r="R258">
        <f t="shared" si="34"/>
        <v>0</v>
      </c>
      <c r="S258">
        <f t="shared" si="35"/>
        <v>0</v>
      </c>
    </row>
    <row r="259" spans="1:19" x14ac:dyDescent="0.3">
      <c r="A259" t="s">
        <v>100</v>
      </c>
      <c r="B259">
        <v>2009</v>
      </c>
      <c r="C259">
        <v>6.486592336029961E-4</v>
      </c>
      <c r="D259">
        <v>0.10698049806694108</v>
      </c>
      <c r="E259">
        <v>1.0935415570269377E-2</v>
      </c>
      <c r="F259">
        <v>0.54320791228277732</v>
      </c>
      <c r="G259">
        <v>0.93550125584235266</v>
      </c>
      <c r="H259">
        <v>14.201266714388561</v>
      </c>
      <c r="I259">
        <v>1.6790425413079027E-2</v>
      </c>
      <c r="J259">
        <v>0</v>
      </c>
      <c r="K259">
        <f t="shared" ref="K259:K322" si="36">IF(OR(C259&lt;$C$1007-3*$C$1008,C259&gt;$C$1007+3*$C$1008),"out",C259)</f>
        <v>6.486592336029961E-4</v>
      </c>
      <c r="L259">
        <f t="shared" ref="L259:L322" si="37">IF(OR(D259&lt;$D$1007-3*$D$1008,D259&gt;$D$1007+3*$D$1008),"out",D259)</f>
        <v>0.10698049806694108</v>
      </c>
      <c r="M259">
        <f t="shared" ref="M259:M322" si="38">IF(OR(E259&lt;$E$1007-3*$E$1008,E259&gt;$E$1007+3*$E$1008),"out",E259)</f>
        <v>1.0935415570269377E-2</v>
      </c>
      <c r="N259">
        <f t="shared" ref="N259:N322" si="39">IF(OR(F259&lt;$F$1007-3*$F$1008,F259&gt;$F$1007+3*$F$1008),"out",F259)</f>
        <v>0.54320791228277732</v>
      </c>
      <c r="O259">
        <f t="shared" ref="O259:O322" si="40">IF(OR(G259&lt;$G$1007-3*$G$1008,G259&gt;$G$1007+3*$G$1008),"out",G259)</f>
        <v>0.93550125584235266</v>
      </c>
      <c r="P259">
        <f t="shared" ref="P259:P322" si="41">IF(OR(H259&lt;$H$1007-3*$H$1008,H259&gt;$H$1007+3*$H$1008),"out",H259)</f>
        <v>14.201266714388561</v>
      </c>
      <c r="Q259">
        <f t="shared" ref="Q259:Q322" si="42">IF(OR(I259&lt;$I$1007-3*$I$1008,I259&gt;$I$1007+3*$I$1008),"out",I259)</f>
        <v>1.6790425413079027E-2</v>
      </c>
      <c r="R259">
        <f t="shared" ref="R259:R322" si="43">IF(OR(J259&lt;$J$1007-3*$J$1008,J259&gt;$J$1007+3*$J$1008),"out",J259)</f>
        <v>0</v>
      </c>
      <c r="S259">
        <f t="shared" ref="S259:S322" si="44">IF(OR(K259="ot",L259="out",M259="out",N259="out",O259="out",P259="out",Q259="out",R259="out"),1,0)</f>
        <v>0</v>
      </c>
    </row>
    <row r="260" spans="1:19" x14ac:dyDescent="0.3">
      <c r="A260" t="s">
        <v>100</v>
      </c>
      <c r="B260">
        <v>2010</v>
      </c>
      <c r="C260">
        <v>1.5516165046406025E-3</v>
      </c>
      <c r="D260">
        <v>5.3059974251973195E-2</v>
      </c>
      <c r="E260">
        <v>7.1735064719763555E-2</v>
      </c>
      <c r="F260">
        <v>0.53153032387080401</v>
      </c>
      <c r="G260">
        <v>0.78043266528342259</v>
      </c>
      <c r="H260">
        <v>14.250013944515459</v>
      </c>
      <c r="I260">
        <v>1.4056778047909427E-2</v>
      </c>
      <c r="J260">
        <v>0</v>
      </c>
      <c r="K260">
        <f t="shared" si="36"/>
        <v>1.5516165046406025E-3</v>
      </c>
      <c r="L260">
        <f t="shared" si="37"/>
        <v>5.3059974251973195E-2</v>
      </c>
      <c r="M260">
        <f t="shared" si="38"/>
        <v>7.1735064719763555E-2</v>
      </c>
      <c r="N260">
        <f t="shared" si="39"/>
        <v>0.53153032387080401</v>
      </c>
      <c r="O260">
        <f t="shared" si="40"/>
        <v>0.78043266528342259</v>
      </c>
      <c r="P260">
        <f t="shared" si="41"/>
        <v>14.250013944515459</v>
      </c>
      <c r="Q260">
        <f t="shared" si="42"/>
        <v>1.4056778047909427E-2</v>
      </c>
      <c r="R260">
        <f t="shared" si="43"/>
        <v>0</v>
      </c>
      <c r="S260">
        <f t="shared" si="44"/>
        <v>0</v>
      </c>
    </row>
    <row r="261" spans="1:19" x14ac:dyDescent="0.3">
      <c r="A261" t="s">
        <v>101</v>
      </c>
      <c r="B261">
        <v>2007</v>
      </c>
      <c r="C261">
        <v>3.2013083023432948E-2</v>
      </c>
      <c r="D261">
        <v>0.1162163776752244</v>
      </c>
      <c r="E261">
        <v>-1.2761921830428484E-2</v>
      </c>
      <c r="F261">
        <v>0.33073465059665158</v>
      </c>
      <c r="G261">
        <v>0.81215556252520271</v>
      </c>
      <c r="H261">
        <v>11.80495308185224</v>
      </c>
      <c r="I261">
        <v>3.4324533574356761E-2</v>
      </c>
      <c r="J261">
        <v>0</v>
      </c>
      <c r="K261">
        <f t="shared" si="36"/>
        <v>3.2013083023432948E-2</v>
      </c>
      <c r="L261">
        <f t="shared" si="37"/>
        <v>0.1162163776752244</v>
      </c>
      <c r="M261">
        <f t="shared" si="38"/>
        <v>-1.2761921830428484E-2</v>
      </c>
      <c r="N261">
        <f t="shared" si="39"/>
        <v>0.33073465059665158</v>
      </c>
      <c r="O261">
        <f t="shared" si="40"/>
        <v>0.81215556252520271</v>
      </c>
      <c r="P261">
        <f t="shared" si="41"/>
        <v>11.80495308185224</v>
      </c>
      <c r="Q261">
        <f t="shared" si="42"/>
        <v>3.4324533574356761E-2</v>
      </c>
      <c r="R261">
        <f t="shared" si="43"/>
        <v>0</v>
      </c>
      <c r="S261">
        <f t="shared" si="44"/>
        <v>0</v>
      </c>
    </row>
    <row r="262" spans="1:19" x14ac:dyDescent="0.3">
      <c r="A262" t="s">
        <v>101</v>
      </c>
      <c r="B262">
        <v>2009</v>
      </c>
      <c r="C262">
        <v>3.1589372117370756E-2</v>
      </c>
      <c r="D262">
        <v>7.3133188081831307E-2</v>
      </c>
      <c r="E262">
        <v>5.9647434990520928E-3</v>
      </c>
      <c r="F262">
        <v>0.46719108118049857</v>
      </c>
      <c r="G262">
        <v>0.99022942191788565</v>
      </c>
      <c r="H262">
        <v>12.082236954455269</v>
      </c>
      <c r="I262">
        <v>4.4534321893508512E-3</v>
      </c>
      <c r="J262">
        <v>0</v>
      </c>
      <c r="K262">
        <f t="shared" si="36"/>
        <v>3.1589372117370756E-2</v>
      </c>
      <c r="L262">
        <f t="shared" si="37"/>
        <v>7.3133188081831307E-2</v>
      </c>
      <c r="M262">
        <f t="shared" si="38"/>
        <v>5.9647434990520928E-3</v>
      </c>
      <c r="N262">
        <f t="shared" si="39"/>
        <v>0.46719108118049857</v>
      </c>
      <c r="O262">
        <f t="shared" si="40"/>
        <v>0.99022942191788565</v>
      </c>
      <c r="P262">
        <f t="shared" si="41"/>
        <v>12.082236954455269</v>
      </c>
      <c r="Q262">
        <f t="shared" si="42"/>
        <v>4.4534321893508512E-3</v>
      </c>
      <c r="R262">
        <f t="shared" si="43"/>
        <v>0</v>
      </c>
      <c r="S262">
        <f t="shared" si="44"/>
        <v>0</v>
      </c>
    </row>
    <row r="263" spans="1:19" x14ac:dyDescent="0.3">
      <c r="A263" t="s">
        <v>102</v>
      </c>
      <c r="B263">
        <v>2007</v>
      </c>
      <c r="C263">
        <v>7.5415178009947915E-4</v>
      </c>
      <c r="D263">
        <v>4.1193090114203544E-2</v>
      </c>
      <c r="E263">
        <v>-5.2131877570129659E-2</v>
      </c>
      <c r="F263">
        <v>0.35780006704634087</v>
      </c>
      <c r="G263">
        <v>0.84247199189322708</v>
      </c>
      <c r="H263">
        <v>15.246343677870717</v>
      </c>
      <c r="I263">
        <v>4.2929772646630917E-3</v>
      </c>
      <c r="J263">
        <v>3.3917701333896996E-3</v>
      </c>
      <c r="K263">
        <f t="shared" si="36"/>
        <v>7.5415178009947915E-4</v>
      </c>
      <c r="L263">
        <f t="shared" si="37"/>
        <v>4.1193090114203544E-2</v>
      </c>
      <c r="M263">
        <f t="shared" si="38"/>
        <v>-5.2131877570129659E-2</v>
      </c>
      <c r="N263">
        <f t="shared" si="39"/>
        <v>0.35780006704634087</v>
      </c>
      <c r="O263">
        <f t="shared" si="40"/>
        <v>0.84247199189322708</v>
      </c>
      <c r="P263">
        <f t="shared" si="41"/>
        <v>15.246343677870717</v>
      </c>
      <c r="Q263">
        <f t="shared" si="42"/>
        <v>4.2929772646630917E-3</v>
      </c>
      <c r="R263">
        <f t="shared" si="43"/>
        <v>3.3917701333896996E-3</v>
      </c>
      <c r="S263">
        <f t="shared" si="44"/>
        <v>0</v>
      </c>
    </row>
    <row r="264" spans="1:19" x14ac:dyDescent="0.3">
      <c r="A264" t="s">
        <v>102</v>
      </c>
      <c r="B264">
        <v>2009</v>
      </c>
      <c r="C264">
        <v>8.0143989200809937E-4</v>
      </c>
      <c r="D264">
        <v>0.21234032447566434</v>
      </c>
      <c r="E264">
        <v>-7.9425543084268677E-2</v>
      </c>
      <c r="F264">
        <v>0.77303777216708747</v>
      </c>
      <c r="G264">
        <v>0.91153081518886092</v>
      </c>
      <c r="H264">
        <v>15.201879916271805</v>
      </c>
      <c r="I264">
        <v>4.7025753481287048E-2</v>
      </c>
      <c r="J264">
        <v>0</v>
      </c>
      <c r="K264">
        <f t="shared" si="36"/>
        <v>8.0143989200809937E-4</v>
      </c>
      <c r="L264">
        <f t="shared" si="37"/>
        <v>0.21234032447566434</v>
      </c>
      <c r="M264">
        <f t="shared" si="38"/>
        <v>-7.9425543084268677E-2</v>
      </c>
      <c r="N264">
        <f t="shared" si="39"/>
        <v>0.77303777216708747</v>
      </c>
      <c r="O264">
        <f t="shared" si="40"/>
        <v>0.91153081518886092</v>
      </c>
      <c r="P264">
        <f t="shared" si="41"/>
        <v>15.201879916271805</v>
      </c>
      <c r="Q264">
        <f t="shared" si="42"/>
        <v>4.7025753481287048E-2</v>
      </c>
      <c r="R264">
        <f t="shared" si="43"/>
        <v>0</v>
      </c>
      <c r="S264">
        <f t="shared" si="44"/>
        <v>0</v>
      </c>
    </row>
    <row r="265" spans="1:19" x14ac:dyDescent="0.3">
      <c r="A265" t="s">
        <v>102</v>
      </c>
      <c r="B265">
        <v>2010</v>
      </c>
      <c r="C265">
        <v>1.5044001162182973E-3</v>
      </c>
      <c r="D265">
        <v>5.5119195755829763E-2</v>
      </c>
      <c r="E265">
        <v>-0.10349802674545568</v>
      </c>
      <c r="F265">
        <v>0.78631927673592605</v>
      </c>
      <c r="G265">
        <v>0.90294480393244769</v>
      </c>
      <c r="H265">
        <v>15.367774338787843</v>
      </c>
      <c r="I265">
        <v>3.7744188507890075E-2</v>
      </c>
      <c r="J265">
        <v>0</v>
      </c>
      <c r="K265">
        <f t="shared" si="36"/>
        <v>1.5044001162182973E-3</v>
      </c>
      <c r="L265">
        <f t="shared" si="37"/>
        <v>5.5119195755829763E-2</v>
      </c>
      <c r="M265">
        <f t="shared" si="38"/>
        <v>-0.10349802674545568</v>
      </c>
      <c r="N265">
        <f t="shared" si="39"/>
        <v>0.78631927673592605</v>
      </c>
      <c r="O265">
        <f t="shared" si="40"/>
        <v>0.90294480393244769</v>
      </c>
      <c r="P265">
        <f t="shared" si="41"/>
        <v>15.367774338787843</v>
      </c>
      <c r="Q265">
        <f t="shared" si="42"/>
        <v>3.7744188507890075E-2</v>
      </c>
      <c r="R265">
        <f t="shared" si="43"/>
        <v>0</v>
      </c>
      <c r="S265">
        <f t="shared" si="44"/>
        <v>0</v>
      </c>
    </row>
    <row r="266" spans="1:19" x14ac:dyDescent="0.3">
      <c r="A266" t="s">
        <v>103</v>
      </c>
      <c r="B266">
        <v>2008</v>
      </c>
      <c r="C266">
        <v>7.823767557240251E-3</v>
      </c>
      <c r="D266">
        <v>0.1382131064650009</v>
      </c>
      <c r="E266">
        <v>-0.26697016075119029</v>
      </c>
      <c r="F266">
        <v>0.30532206231187159</v>
      </c>
      <c r="G266">
        <v>0.95335113801797888</v>
      </c>
      <c r="H266">
        <v>13.286789087839331</v>
      </c>
      <c r="I266">
        <v>1.0617492426896937E-2</v>
      </c>
      <c r="J266">
        <v>0</v>
      </c>
      <c r="K266">
        <f t="shared" si="36"/>
        <v>7.823767557240251E-3</v>
      </c>
      <c r="L266">
        <f t="shared" si="37"/>
        <v>0.1382131064650009</v>
      </c>
      <c r="M266">
        <f t="shared" si="38"/>
        <v>-0.26697016075119029</v>
      </c>
      <c r="N266">
        <f t="shared" si="39"/>
        <v>0.30532206231187159</v>
      </c>
      <c r="O266">
        <f t="shared" si="40"/>
        <v>0.95335113801797888</v>
      </c>
      <c r="P266">
        <f t="shared" si="41"/>
        <v>13.286789087839331</v>
      </c>
      <c r="Q266">
        <f t="shared" si="42"/>
        <v>1.0617492426896937E-2</v>
      </c>
      <c r="R266">
        <f t="shared" si="43"/>
        <v>0</v>
      </c>
      <c r="S266">
        <f t="shared" si="44"/>
        <v>0</v>
      </c>
    </row>
    <row r="267" spans="1:19" x14ac:dyDescent="0.3">
      <c r="A267" t="s">
        <v>103</v>
      </c>
      <c r="B267">
        <v>2009</v>
      </c>
      <c r="C267">
        <v>4.4659095501758074E-3</v>
      </c>
      <c r="D267">
        <v>0.22834741138907974</v>
      </c>
      <c r="E267">
        <v>-0.52112971345431036</v>
      </c>
      <c r="F267">
        <v>0.79912247908499379</v>
      </c>
      <c r="G267">
        <v>0.91786818494119549</v>
      </c>
      <c r="H267">
        <v>12.888886621950327</v>
      </c>
      <c r="I267">
        <v>1.9772734436483735E-2</v>
      </c>
      <c r="J267">
        <v>0</v>
      </c>
      <c r="K267">
        <f t="shared" si="36"/>
        <v>4.4659095501758074E-3</v>
      </c>
      <c r="L267">
        <f t="shared" si="37"/>
        <v>0.22834741138907974</v>
      </c>
      <c r="M267">
        <f t="shared" si="38"/>
        <v>-0.52112971345431036</v>
      </c>
      <c r="N267">
        <f t="shared" si="39"/>
        <v>0.79912247908499379</v>
      </c>
      <c r="O267">
        <f t="shared" si="40"/>
        <v>0.91786818494119549</v>
      </c>
      <c r="P267">
        <f t="shared" si="41"/>
        <v>12.888886621950327</v>
      </c>
      <c r="Q267">
        <f t="shared" si="42"/>
        <v>1.9772734436483735E-2</v>
      </c>
      <c r="R267">
        <f t="shared" si="43"/>
        <v>0</v>
      </c>
      <c r="S267">
        <f t="shared" si="44"/>
        <v>0</v>
      </c>
    </row>
    <row r="268" spans="1:19" x14ac:dyDescent="0.3">
      <c r="A268" t="s">
        <v>103</v>
      </c>
      <c r="B268">
        <v>2010</v>
      </c>
      <c r="C268">
        <v>2.6637882311519611E-3</v>
      </c>
      <c r="D268">
        <v>0.21874102419182981</v>
      </c>
      <c r="E268">
        <v>-2.5498244216105033E-2</v>
      </c>
      <c r="F268">
        <v>0.46196342039674232</v>
      </c>
      <c r="G268">
        <v>0.62972037172585682</v>
      </c>
      <c r="H268">
        <v>12.975523243631837</v>
      </c>
      <c r="I268">
        <v>6.2395254299317707E-2</v>
      </c>
      <c r="J268">
        <v>0</v>
      </c>
      <c r="K268">
        <f t="shared" si="36"/>
        <v>2.6637882311519611E-3</v>
      </c>
      <c r="L268">
        <f t="shared" si="37"/>
        <v>0.21874102419182981</v>
      </c>
      <c r="M268">
        <f t="shared" si="38"/>
        <v>-2.5498244216105033E-2</v>
      </c>
      <c r="N268">
        <f t="shared" si="39"/>
        <v>0.46196342039674232</v>
      </c>
      <c r="O268">
        <f t="shared" si="40"/>
        <v>0.62972037172585682</v>
      </c>
      <c r="P268">
        <f t="shared" si="41"/>
        <v>12.975523243631837</v>
      </c>
      <c r="Q268">
        <f t="shared" si="42"/>
        <v>6.2395254299317707E-2</v>
      </c>
      <c r="R268">
        <f t="shared" si="43"/>
        <v>0</v>
      </c>
      <c r="S268">
        <f t="shared" si="44"/>
        <v>0</v>
      </c>
    </row>
    <row r="269" spans="1:19" x14ac:dyDescent="0.3">
      <c r="A269" t="s">
        <v>104</v>
      </c>
      <c r="B269">
        <v>2007</v>
      </c>
      <c r="C269">
        <v>1.8271700181701908E-4</v>
      </c>
      <c r="D269">
        <v>1.9521687493021225</v>
      </c>
      <c r="E269">
        <v>-0.57619806522996964</v>
      </c>
      <c r="F269">
        <v>0.12443027823738999</v>
      </c>
      <c r="G269">
        <v>0.92317765168048882</v>
      </c>
      <c r="H269">
        <v>11.497943798147057</v>
      </c>
      <c r="I269">
        <v>0</v>
      </c>
      <c r="J269">
        <v>0</v>
      </c>
      <c r="K269">
        <f t="shared" si="36"/>
        <v>1.8271700181701908E-4</v>
      </c>
      <c r="L269">
        <f t="shared" si="37"/>
        <v>1.9521687493021225</v>
      </c>
      <c r="M269">
        <f t="shared" si="38"/>
        <v>-0.57619806522996964</v>
      </c>
      <c r="N269">
        <f t="shared" si="39"/>
        <v>0.12443027823738999</v>
      </c>
      <c r="O269">
        <f t="shared" si="40"/>
        <v>0.92317765168048882</v>
      </c>
      <c r="P269">
        <f t="shared" si="41"/>
        <v>11.497943798147057</v>
      </c>
      <c r="Q269">
        <f t="shared" si="42"/>
        <v>0</v>
      </c>
      <c r="R269">
        <f t="shared" si="43"/>
        <v>0</v>
      </c>
      <c r="S269">
        <f t="shared" si="44"/>
        <v>0</v>
      </c>
    </row>
    <row r="270" spans="1:19" x14ac:dyDescent="0.3">
      <c r="A270" t="s">
        <v>105</v>
      </c>
      <c r="B270">
        <v>2007</v>
      </c>
      <c r="C270">
        <v>1.5957106453814072E-2</v>
      </c>
      <c r="D270">
        <v>4.5399772676318721E-2</v>
      </c>
      <c r="E270">
        <v>0.1076006898839008</v>
      </c>
      <c r="F270">
        <v>0.13505048842353909</v>
      </c>
      <c r="G270">
        <v>0.66448753749448664</v>
      </c>
      <c r="H270">
        <v>14.532032898288751</v>
      </c>
      <c r="I270">
        <v>1.6959755116068252E-3</v>
      </c>
      <c r="J270">
        <v>0</v>
      </c>
      <c r="K270">
        <f t="shared" si="36"/>
        <v>1.5957106453814072E-2</v>
      </c>
      <c r="L270">
        <f t="shared" si="37"/>
        <v>4.5399772676318721E-2</v>
      </c>
      <c r="M270">
        <f t="shared" si="38"/>
        <v>0.1076006898839008</v>
      </c>
      <c r="N270">
        <f t="shared" si="39"/>
        <v>0.13505048842353909</v>
      </c>
      <c r="O270">
        <f t="shared" si="40"/>
        <v>0.66448753749448664</v>
      </c>
      <c r="P270">
        <f t="shared" si="41"/>
        <v>14.532032898288751</v>
      </c>
      <c r="Q270">
        <f t="shared" si="42"/>
        <v>1.6959755116068252E-3</v>
      </c>
      <c r="R270">
        <f t="shared" si="43"/>
        <v>0</v>
      </c>
      <c r="S270">
        <f t="shared" si="44"/>
        <v>0</v>
      </c>
    </row>
    <row r="271" spans="1:19" x14ac:dyDescent="0.3">
      <c r="A271" t="s">
        <v>105</v>
      </c>
      <c r="B271">
        <v>2009</v>
      </c>
      <c r="C271">
        <v>6.9281834177716351E-3</v>
      </c>
      <c r="D271">
        <v>9.8466614944076283E-2</v>
      </c>
      <c r="E271">
        <v>-3.332941043282598E-2</v>
      </c>
      <c r="F271">
        <v>0.50285614873080309</v>
      </c>
      <c r="G271">
        <v>0.63855300616769506</v>
      </c>
      <c r="H271">
        <v>14.955564808932893</v>
      </c>
      <c r="I271">
        <v>2.0598475517775067E-2</v>
      </c>
      <c r="J271">
        <v>0</v>
      </c>
      <c r="K271">
        <f t="shared" si="36"/>
        <v>6.9281834177716351E-3</v>
      </c>
      <c r="L271">
        <f t="shared" si="37"/>
        <v>9.8466614944076283E-2</v>
      </c>
      <c r="M271">
        <f t="shared" si="38"/>
        <v>-3.332941043282598E-2</v>
      </c>
      <c r="N271">
        <f t="shared" si="39"/>
        <v>0.50285614873080309</v>
      </c>
      <c r="O271">
        <f t="shared" si="40"/>
        <v>0.63855300616769506</v>
      </c>
      <c r="P271">
        <f t="shared" si="41"/>
        <v>14.955564808932893</v>
      </c>
      <c r="Q271">
        <f t="shared" si="42"/>
        <v>2.0598475517775067E-2</v>
      </c>
      <c r="R271">
        <f t="shared" si="43"/>
        <v>0</v>
      </c>
      <c r="S271">
        <f t="shared" si="44"/>
        <v>0</v>
      </c>
    </row>
    <row r="272" spans="1:19" x14ac:dyDescent="0.3">
      <c r="A272" t="s">
        <v>105</v>
      </c>
      <c r="B272">
        <v>2010</v>
      </c>
      <c r="C272">
        <v>1.1117920420401793E-2</v>
      </c>
      <c r="D272">
        <v>0.16836913182960628</v>
      </c>
      <c r="E272">
        <v>1.2334026039759671E-2</v>
      </c>
      <c r="F272">
        <v>0.27753791601817746</v>
      </c>
      <c r="G272">
        <v>0.54468300262892899</v>
      </c>
      <c r="H272">
        <v>14.85270868404398</v>
      </c>
      <c r="I272">
        <v>3.8048039823515706E-3</v>
      </c>
      <c r="J272">
        <v>2.9617541694416868E-3</v>
      </c>
      <c r="K272">
        <f t="shared" si="36"/>
        <v>1.1117920420401793E-2</v>
      </c>
      <c r="L272">
        <f t="shared" si="37"/>
        <v>0.16836913182960628</v>
      </c>
      <c r="M272">
        <f t="shared" si="38"/>
        <v>1.2334026039759671E-2</v>
      </c>
      <c r="N272">
        <f t="shared" si="39"/>
        <v>0.27753791601817746</v>
      </c>
      <c r="O272">
        <f t="shared" si="40"/>
        <v>0.54468300262892899</v>
      </c>
      <c r="P272">
        <f t="shared" si="41"/>
        <v>14.85270868404398</v>
      </c>
      <c r="Q272">
        <f t="shared" si="42"/>
        <v>3.8048039823515706E-3</v>
      </c>
      <c r="R272">
        <f t="shared" si="43"/>
        <v>2.9617541694416868E-3</v>
      </c>
      <c r="S272">
        <f t="shared" si="44"/>
        <v>0</v>
      </c>
    </row>
    <row r="273" spans="1:19" x14ac:dyDescent="0.3">
      <c r="A273" t="s">
        <v>106</v>
      </c>
      <c r="B273">
        <v>2007</v>
      </c>
      <c r="C273">
        <v>1.6579425713075208E-2</v>
      </c>
      <c r="D273">
        <v>4.3635966051196545E-2</v>
      </c>
      <c r="E273">
        <v>-0.67218357501127524</v>
      </c>
      <c r="F273">
        <v>0.55830611324468016</v>
      </c>
      <c r="G273">
        <v>1.1489222894941846</v>
      </c>
      <c r="H273">
        <v>13.503112205975395</v>
      </c>
      <c r="I273">
        <v>2.0105602456197864E-2</v>
      </c>
      <c r="J273">
        <v>0</v>
      </c>
      <c r="K273">
        <f t="shared" si="36"/>
        <v>1.6579425713075208E-2</v>
      </c>
      <c r="L273">
        <f t="shared" si="37"/>
        <v>4.3635966051196545E-2</v>
      </c>
      <c r="M273">
        <f t="shared" si="38"/>
        <v>-0.67218357501127524</v>
      </c>
      <c r="N273">
        <f t="shared" si="39"/>
        <v>0.55830611324468016</v>
      </c>
      <c r="O273">
        <f t="shared" si="40"/>
        <v>1.1489222894941846</v>
      </c>
      <c r="P273">
        <f t="shared" si="41"/>
        <v>13.503112205975395</v>
      </c>
      <c r="Q273">
        <f t="shared" si="42"/>
        <v>2.0105602456197864E-2</v>
      </c>
      <c r="R273">
        <f t="shared" si="43"/>
        <v>0</v>
      </c>
      <c r="S273">
        <f t="shared" si="44"/>
        <v>0</v>
      </c>
    </row>
    <row r="274" spans="1:19" x14ac:dyDescent="0.3">
      <c r="A274" t="s">
        <v>106</v>
      </c>
      <c r="B274">
        <v>2008</v>
      </c>
      <c r="C274">
        <v>1.246154516958883E-2</v>
      </c>
      <c r="D274">
        <v>8.39102567208143E-2</v>
      </c>
      <c r="E274">
        <v>-0.60862454035879876</v>
      </c>
      <c r="F274">
        <v>0.60375076909660819</v>
      </c>
      <c r="G274">
        <v>1.1877392677715819</v>
      </c>
      <c r="H274">
        <v>13.847062518177184</v>
      </c>
      <c r="I274">
        <v>2.3623978015576898E-2</v>
      </c>
      <c r="J274">
        <v>0</v>
      </c>
      <c r="K274">
        <f t="shared" si="36"/>
        <v>1.246154516958883E-2</v>
      </c>
      <c r="L274">
        <f t="shared" si="37"/>
        <v>8.39102567208143E-2</v>
      </c>
      <c r="M274">
        <f t="shared" si="38"/>
        <v>-0.60862454035879876</v>
      </c>
      <c r="N274">
        <f t="shared" si="39"/>
        <v>0.60375076909660819</v>
      </c>
      <c r="O274">
        <f t="shared" si="40"/>
        <v>1.1877392677715819</v>
      </c>
      <c r="P274">
        <f t="shared" si="41"/>
        <v>13.847062518177184</v>
      </c>
      <c r="Q274">
        <f t="shared" si="42"/>
        <v>2.3623978015576898E-2</v>
      </c>
      <c r="R274">
        <f t="shared" si="43"/>
        <v>0</v>
      </c>
      <c r="S274">
        <f t="shared" si="44"/>
        <v>0</v>
      </c>
    </row>
    <row r="275" spans="1:19" x14ac:dyDescent="0.3">
      <c r="A275" t="s">
        <v>106</v>
      </c>
      <c r="B275">
        <v>2009</v>
      </c>
      <c r="C275">
        <v>2.359770758897916E-3</v>
      </c>
      <c r="D275">
        <v>3.6005850923525991E-2</v>
      </c>
      <c r="E275">
        <v>-0.4448925405084897</v>
      </c>
      <c r="F275">
        <v>0.84584538651192098</v>
      </c>
      <c r="G275">
        <v>1.0883540680703943</v>
      </c>
      <c r="H275">
        <v>13.729366441159426</v>
      </c>
      <c r="I275">
        <v>4.7076972941397767E-2</v>
      </c>
      <c r="J275">
        <v>0</v>
      </c>
      <c r="K275">
        <f t="shared" si="36"/>
        <v>2.359770758897916E-3</v>
      </c>
      <c r="L275">
        <f t="shared" si="37"/>
        <v>3.6005850923525991E-2</v>
      </c>
      <c r="M275">
        <f t="shared" si="38"/>
        <v>-0.4448925405084897</v>
      </c>
      <c r="N275">
        <f t="shared" si="39"/>
        <v>0.84584538651192098</v>
      </c>
      <c r="O275">
        <f t="shared" si="40"/>
        <v>1.0883540680703943</v>
      </c>
      <c r="P275">
        <f t="shared" si="41"/>
        <v>13.729366441159426</v>
      </c>
      <c r="Q275">
        <f t="shared" si="42"/>
        <v>4.7076972941397767E-2</v>
      </c>
      <c r="R275">
        <f t="shared" si="43"/>
        <v>0</v>
      </c>
      <c r="S275">
        <f t="shared" si="44"/>
        <v>0</v>
      </c>
    </row>
    <row r="276" spans="1:19" x14ac:dyDescent="0.3">
      <c r="A276" t="s">
        <v>106</v>
      </c>
      <c r="B276">
        <v>2010</v>
      </c>
      <c r="C276">
        <v>2.1549990754813507E-3</v>
      </c>
      <c r="D276">
        <v>0.14663860773295589</v>
      </c>
      <c r="E276">
        <v>-0.27116670936864912</v>
      </c>
      <c r="F276">
        <v>0.59584356315291542</v>
      </c>
      <c r="G276">
        <v>0.9063518577020695</v>
      </c>
      <c r="H276">
        <v>14.002847019078983</v>
      </c>
      <c r="I276">
        <v>1.3080147020113059E-2</v>
      </c>
      <c r="J276">
        <v>7.2759203106382659E-3</v>
      </c>
      <c r="K276">
        <f t="shared" si="36"/>
        <v>2.1549990754813507E-3</v>
      </c>
      <c r="L276">
        <f t="shared" si="37"/>
        <v>0.14663860773295589</v>
      </c>
      <c r="M276">
        <f t="shared" si="38"/>
        <v>-0.27116670936864912</v>
      </c>
      <c r="N276">
        <f t="shared" si="39"/>
        <v>0.59584356315291542</v>
      </c>
      <c r="O276">
        <f t="shared" si="40"/>
        <v>0.9063518577020695</v>
      </c>
      <c r="P276">
        <f t="shared" si="41"/>
        <v>14.002847019078983</v>
      </c>
      <c r="Q276">
        <f t="shared" si="42"/>
        <v>1.3080147020113059E-2</v>
      </c>
      <c r="R276">
        <f t="shared" si="43"/>
        <v>7.2759203106382659E-3</v>
      </c>
      <c r="S276">
        <f t="shared" si="44"/>
        <v>0</v>
      </c>
    </row>
    <row r="277" spans="1:19" x14ac:dyDescent="0.3">
      <c r="A277" t="s">
        <v>107</v>
      </c>
      <c r="B277">
        <v>2007</v>
      </c>
      <c r="C277">
        <v>1.6433421785826117E-3</v>
      </c>
      <c r="D277">
        <v>4.1337255412858293E-2</v>
      </c>
      <c r="E277">
        <v>-0.33151857159509329</v>
      </c>
      <c r="F277">
        <v>6.344352182628113E-2</v>
      </c>
      <c r="G277">
        <v>0</v>
      </c>
      <c r="H277">
        <v>12.988884554826548</v>
      </c>
      <c r="I277">
        <v>1.9942923685480653E-3</v>
      </c>
      <c r="J277">
        <v>0</v>
      </c>
      <c r="K277">
        <f t="shared" si="36"/>
        <v>1.6433421785826117E-3</v>
      </c>
      <c r="L277">
        <f t="shared" si="37"/>
        <v>4.1337255412858293E-2</v>
      </c>
      <c r="M277">
        <f t="shared" si="38"/>
        <v>-0.33151857159509329</v>
      </c>
      <c r="N277">
        <f t="shared" si="39"/>
        <v>6.344352182628113E-2</v>
      </c>
      <c r="O277">
        <f t="shared" si="40"/>
        <v>0</v>
      </c>
      <c r="P277">
        <f t="shared" si="41"/>
        <v>12.988884554826548</v>
      </c>
      <c r="Q277">
        <f t="shared" si="42"/>
        <v>1.9942923685480653E-3</v>
      </c>
      <c r="R277">
        <f t="shared" si="43"/>
        <v>0</v>
      </c>
      <c r="S277">
        <f t="shared" si="44"/>
        <v>0</v>
      </c>
    </row>
    <row r="278" spans="1:19" x14ac:dyDescent="0.3">
      <c r="A278" t="s">
        <v>107</v>
      </c>
      <c r="B278">
        <v>2009</v>
      </c>
      <c r="C278">
        <v>8.4368010934005467E-3</v>
      </c>
      <c r="D278">
        <v>0.12361549930774965</v>
      </c>
      <c r="E278">
        <v>-4.7973836486918241E-2</v>
      </c>
      <c r="F278">
        <v>0.48561583655791829</v>
      </c>
      <c r="G278">
        <v>0.72991861620930809</v>
      </c>
      <c r="H278">
        <v>13.711713264282505</v>
      </c>
      <c r="I278">
        <v>2.2522920958076217E-2</v>
      </c>
      <c r="J278">
        <v>0</v>
      </c>
      <c r="K278">
        <f t="shared" si="36"/>
        <v>8.4368010934005467E-3</v>
      </c>
      <c r="L278">
        <f t="shared" si="37"/>
        <v>0.12361549930774965</v>
      </c>
      <c r="M278">
        <f t="shared" si="38"/>
        <v>-4.7973836486918241E-2</v>
      </c>
      <c r="N278">
        <f t="shared" si="39"/>
        <v>0.48561583655791829</v>
      </c>
      <c r="O278">
        <f t="shared" si="40"/>
        <v>0.72991861620930809</v>
      </c>
      <c r="P278">
        <f t="shared" si="41"/>
        <v>13.711713264282505</v>
      </c>
      <c r="Q278">
        <f t="shared" si="42"/>
        <v>2.2522920958076217E-2</v>
      </c>
      <c r="R278">
        <f t="shared" si="43"/>
        <v>0</v>
      </c>
      <c r="S278">
        <f t="shared" si="44"/>
        <v>0</v>
      </c>
    </row>
    <row r="279" spans="1:19" x14ac:dyDescent="0.3">
      <c r="A279" t="s">
        <v>107</v>
      </c>
      <c r="B279">
        <v>2010</v>
      </c>
      <c r="C279">
        <v>7.6924523896727279E-3</v>
      </c>
      <c r="D279">
        <v>6.6423751000007747E-2</v>
      </c>
      <c r="E279">
        <v>-3.042679168745982E-2</v>
      </c>
      <c r="F279">
        <v>0.42215430714262792</v>
      </c>
      <c r="G279">
        <v>0.72473811692040768</v>
      </c>
      <c r="H279">
        <v>13.714300306920274</v>
      </c>
      <c r="I279">
        <v>3.8810681005341657E-3</v>
      </c>
      <c r="J279">
        <v>0</v>
      </c>
      <c r="K279">
        <f t="shared" si="36"/>
        <v>7.6924523896727279E-3</v>
      </c>
      <c r="L279">
        <f t="shared" si="37"/>
        <v>6.6423751000007747E-2</v>
      </c>
      <c r="M279">
        <f t="shared" si="38"/>
        <v>-3.042679168745982E-2</v>
      </c>
      <c r="N279">
        <f t="shared" si="39"/>
        <v>0.42215430714262792</v>
      </c>
      <c r="O279">
        <f t="shared" si="40"/>
        <v>0.72473811692040768</v>
      </c>
      <c r="P279">
        <f t="shared" si="41"/>
        <v>13.714300306920274</v>
      </c>
      <c r="Q279">
        <f t="shared" si="42"/>
        <v>3.8810681005341657E-3</v>
      </c>
      <c r="R279">
        <f t="shared" si="43"/>
        <v>0</v>
      </c>
      <c r="S279">
        <f t="shared" si="44"/>
        <v>0</v>
      </c>
    </row>
    <row r="280" spans="1:19" x14ac:dyDescent="0.3">
      <c r="A280" t="s">
        <v>108</v>
      </c>
      <c r="B280">
        <v>2007</v>
      </c>
      <c r="C280">
        <v>7.5665187925776237E-3</v>
      </c>
      <c r="D280">
        <v>6.56262457851957E-2</v>
      </c>
      <c r="E280">
        <v>-0.28416045287830793</v>
      </c>
      <c r="F280">
        <v>0.40631335298441856</v>
      </c>
      <c r="G280">
        <v>1.2222745902041763</v>
      </c>
      <c r="H280">
        <v>14.239241819479272</v>
      </c>
      <c r="I280">
        <v>8.5639959322114483E-3</v>
      </c>
      <c r="J280">
        <v>0</v>
      </c>
      <c r="K280">
        <f t="shared" si="36"/>
        <v>7.5665187925776237E-3</v>
      </c>
      <c r="L280">
        <f t="shared" si="37"/>
        <v>6.56262457851957E-2</v>
      </c>
      <c r="M280">
        <f t="shared" si="38"/>
        <v>-0.28416045287830793</v>
      </c>
      <c r="N280">
        <f t="shared" si="39"/>
        <v>0.40631335298441856</v>
      </c>
      <c r="O280">
        <f t="shared" si="40"/>
        <v>1.2222745902041763</v>
      </c>
      <c r="P280">
        <f t="shared" si="41"/>
        <v>14.239241819479272</v>
      </c>
      <c r="Q280">
        <f t="shared" si="42"/>
        <v>8.5639959322114483E-3</v>
      </c>
      <c r="R280">
        <f t="shared" si="43"/>
        <v>0</v>
      </c>
      <c r="S280">
        <f t="shared" si="44"/>
        <v>0</v>
      </c>
    </row>
    <row r="281" spans="1:19" x14ac:dyDescent="0.3">
      <c r="A281" t="s">
        <v>108</v>
      </c>
      <c r="B281">
        <v>2008</v>
      </c>
      <c r="C281">
        <v>8.724526111383692E-3</v>
      </c>
      <c r="D281">
        <v>3.0810150472640883E-2</v>
      </c>
      <c r="E281">
        <v>0.29145445624606964</v>
      </c>
      <c r="F281">
        <v>0.26547475626994932</v>
      </c>
      <c r="G281">
        <v>0.62926701695303078</v>
      </c>
      <c r="H281">
        <v>14.772838045295904</v>
      </c>
      <c r="I281">
        <v>3.3705606927172099E-3</v>
      </c>
      <c r="J281">
        <v>0</v>
      </c>
      <c r="K281">
        <f t="shared" si="36"/>
        <v>8.724526111383692E-3</v>
      </c>
      <c r="L281">
        <f t="shared" si="37"/>
        <v>3.0810150472640883E-2</v>
      </c>
      <c r="M281">
        <f t="shared" si="38"/>
        <v>0.29145445624606964</v>
      </c>
      <c r="N281">
        <f t="shared" si="39"/>
        <v>0.26547475626994932</v>
      </c>
      <c r="O281">
        <f t="shared" si="40"/>
        <v>0.62926701695303078</v>
      </c>
      <c r="P281">
        <f t="shared" si="41"/>
        <v>14.772838045295904</v>
      </c>
      <c r="Q281">
        <f t="shared" si="42"/>
        <v>3.3705606927172099E-3</v>
      </c>
      <c r="R281">
        <f t="shared" si="43"/>
        <v>0</v>
      </c>
      <c r="S281">
        <f t="shared" si="44"/>
        <v>0</v>
      </c>
    </row>
    <row r="282" spans="1:19" x14ac:dyDescent="0.3">
      <c r="A282" t="s">
        <v>108</v>
      </c>
      <c r="B282">
        <v>2009</v>
      </c>
      <c r="C282">
        <v>3.6511236647830412E-3</v>
      </c>
      <c r="D282">
        <v>5.6967532249149092E-2</v>
      </c>
      <c r="E282">
        <v>0.29330837162816487</v>
      </c>
      <c r="F282">
        <v>0.38926505829811414</v>
      </c>
      <c r="G282">
        <v>0.71870351047693126</v>
      </c>
      <c r="H282">
        <v>14.656769937654399</v>
      </c>
      <c r="I282">
        <v>7.0664121948636506E-3</v>
      </c>
      <c r="J282">
        <v>0</v>
      </c>
      <c r="K282">
        <f t="shared" si="36"/>
        <v>3.6511236647830412E-3</v>
      </c>
      <c r="L282">
        <f t="shared" si="37"/>
        <v>5.6967532249149092E-2</v>
      </c>
      <c r="M282">
        <f t="shared" si="38"/>
        <v>0.29330837162816487</v>
      </c>
      <c r="N282">
        <f t="shared" si="39"/>
        <v>0.38926505829811414</v>
      </c>
      <c r="O282">
        <f t="shared" si="40"/>
        <v>0.71870351047693126</v>
      </c>
      <c r="P282">
        <f t="shared" si="41"/>
        <v>14.656769937654399</v>
      </c>
      <c r="Q282">
        <f t="shared" si="42"/>
        <v>7.0664121948636506E-3</v>
      </c>
      <c r="R282">
        <f t="shared" si="43"/>
        <v>0</v>
      </c>
      <c r="S282">
        <f t="shared" si="44"/>
        <v>0</v>
      </c>
    </row>
    <row r="283" spans="1:19" x14ac:dyDescent="0.3">
      <c r="A283" t="s">
        <v>108</v>
      </c>
      <c r="B283">
        <v>2010</v>
      </c>
      <c r="C283">
        <v>7.2143431168009628E-3</v>
      </c>
      <c r="D283">
        <v>3.1755183928345664E-2</v>
      </c>
      <c r="E283">
        <v>0.17493305591804933</v>
      </c>
      <c r="F283">
        <v>0.38698819658045996</v>
      </c>
      <c r="G283">
        <v>0.67311054949487348</v>
      </c>
      <c r="H283">
        <v>14.642254191532269</v>
      </c>
      <c r="I283">
        <v>9.0648124302883711E-3</v>
      </c>
      <c r="J283">
        <v>0</v>
      </c>
      <c r="K283">
        <f t="shared" si="36"/>
        <v>7.2143431168009628E-3</v>
      </c>
      <c r="L283">
        <f t="shared" si="37"/>
        <v>3.1755183928345664E-2</v>
      </c>
      <c r="M283">
        <f t="shared" si="38"/>
        <v>0.17493305591804933</v>
      </c>
      <c r="N283">
        <f t="shared" si="39"/>
        <v>0.38698819658045996</v>
      </c>
      <c r="O283">
        <f t="shared" si="40"/>
        <v>0.67311054949487348</v>
      </c>
      <c r="P283">
        <f t="shared" si="41"/>
        <v>14.642254191532269</v>
      </c>
      <c r="Q283">
        <f t="shared" si="42"/>
        <v>9.0648124302883711E-3</v>
      </c>
      <c r="R283">
        <f t="shared" si="43"/>
        <v>0</v>
      </c>
      <c r="S283">
        <f t="shared" si="44"/>
        <v>0</v>
      </c>
    </row>
    <row r="284" spans="1:19" x14ac:dyDescent="0.3">
      <c r="A284" t="s">
        <v>109</v>
      </c>
      <c r="B284">
        <v>2007</v>
      </c>
      <c r="C284">
        <v>4.3141029429561273E-2</v>
      </c>
      <c r="D284">
        <v>0.21140202013379375</v>
      </c>
      <c r="E284">
        <v>-0.27901374242590543</v>
      </c>
      <c r="F284">
        <v>0.29014727445169608</v>
      </c>
      <c r="G284">
        <v>0</v>
      </c>
      <c r="H284">
        <v>12.780782513941544</v>
      </c>
      <c r="I284">
        <v>4.4364544318374145E-2</v>
      </c>
      <c r="J284">
        <v>0</v>
      </c>
      <c r="K284">
        <f t="shared" si="36"/>
        <v>4.3141029429561273E-2</v>
      </c>
      <c r="L284">
        <f t="shared" si="37"/>
        <v>0.21140202013379375</v>
      </c>
      <c r="M284">
        <f t="shared" si="38"/>
        <v>-0.27901374242590543</v>
      </c>
      <c r="N284">
        <f t="shared" si="39"/>
        <v>0.29014727445169608</v>
      </c>
      <c r="O284">
        <f t="shared" si="40"/>
        <v>0</v>
      </c>
      <c r="P284">
        <f t="shared" si="41"/>
        <v>12.780782513941544</v>
      </c>
      <c r="Q284">
        <f t="shared" si="42"/>
        <v>4.4364544318374145E-2</v>
      </c>
      <c r="R284">
        <f t="shared" si="43"/>
        <v>0</v>
      </c>
      <c r="S284">
        <f t="shared" si="44"/>
        <v>0</v>
      </c>
    </row>
    <row r="285" spans="1:19" x14ac:dyDescent="0.3">
      <c r="A285" t="s">
        <v>109</v>
      </c>
      <c r="B285">
        <v>2009</v>
      </c>
      <c r="C285">
        <v>5.4015262062531398E-2</v>
      </c>
      <c r="D285">
        <v>0.16320997695540193</v>
      </c>
      <c r="E285">
        <v>0.15562944711570409</v>
      </c>
      <c r="F285">
        <v>0.31247092845542718</v>
      </c>
      <c r="G285">
        <v>0.97146576402012619</v>
      </c>
      <c r="H285">
        <v>12.837947963608627</v>
      </c>
      <c r="I285">
        <v>1.8513028976105343E-2</v>
      </c>
      <c r="J285">
        <v>5.1165918448170915E-2</v>
      </c>
      <c r="K285">
        <f t="shared" si="36"/>
        <v>5.4015262062531398E-2</v>
      </c>
      <c r="L285">
        <f t="shared" si="37"/>
        <v>0.16320997695540193</v>
      </c>
      <c r="M285">
        <f t="shared" si="38"/>
        <v>0.15562944711570409</v>
      </c>
      <c r="N285">
        <f t="shared" si="39"/>
        <v>0.31247092845542718</v>
      </c>
      <c r="O285">
        <f t="shared" si="40"/>
        <v>0.97146576402012619</v>
      </c>
      <c r="P285">
        <f t="shared" si="41"/>
        <v>12.837947963608627</v>
      </c>
      <c r="Q285">
        <f t="shared" si="42"/>
        <v>1.8513028976105343E-2</v>
      </c>
      <c r="R285">
        <f t="shared" si="43"/>
        <v>5.1165918448170915E-2</v>
      </c>
      <c r="S285">
        <f t="shared" si="44"/>
        <v>0</v>
      </c>
    </row>
    <row r="286" spans="1:19" x14ac:dyDescent="0.3">
      <c r="A286" t="s">
        <v>109</v>
      </c>
      <c r="B286">
        <v>2010</v>
      </c>
      <c r="C286">
        <v>2.479845363254915E-2</v>
      </c>
      <c r="D286">
        <v>0.21378430754648159</v>
      </c>
      <c r="E286">
        <v>0.19452667310159327</v>
      </c>
      <c r="F286">
        <v>0.30698570007121428</v>
      </c>
      <c r="G286">
        <v>1.0619638767372441</v>
      </c>
      <c r="H286">
        <v>12.906714173185657</v>
      </c>
      <c r="I286">
        <v>2.7917454373095608E-2</v>
      </c>
      <c r="J286">
        <v>8.1884027403854504E-2</v>
      </c>
      <c r="K286">
        <f t="shared" si="36"/>
        <v>2.479845363254915E-2</v>
      </c>
      <c r="L286">
        <f t="shared" si="37"/>
        <v>0.21378430754648159</v>
      </c>
      <c r="M286">
        <f t="shared" si="38"/>
        <v>0.19452667310159327</v>
      </c>
      <c r="N286">
        <f t="shared" si="39"/>
        <v>0.30698570007121428</v>
      </c>
      <c r="O286">
        <f t="shared" si="40"/>
        <v>1.0619638767372441</v>
      </c>
      <c r="P286">
        <f t="shared" si="41"/>
        <v>12.906714173185657</v>
      </c>
      <c r="Q286">
        <f t="shared" si="42"/>
        <v>2.7917454373095608E-2</v>
      </c>
      <c r="R286">
        <f t="shared" si="43"/>
        <v>8.1884027403854504E-2</v>
      </c>
      <c r="S286">
        <f t="shared" si="44"/>
        <v>0</v>
      </c>
    </row>
    <row r="287" spans="1:19" x14ac:dyDescent="0.3">
      <c r="A287" t="s">
        <v>110</v>
      </c>
      <c r="B287">
        <v>2007</v>
      </c>
      <c r="C287">
        <v>2.5475550884598778E-3</v>
      </c>
      <c r="D287">
        <v>7.2974947633438425E-2</v>
      </c>
      <c r="E287">
        <v>0.50367356335372759</v>
      </c>
      <c r="F287">
        <v>0.17467137347933465</v>
      </c>
      <c r="G287">
        <v>0.56852478926183858</v>
      </c>
      <c r="H287">
        <v>16.214044172433788</v>
      </c>
      <c r="I287">
        <v>1.6507664900772011E-2</v>
      </c>
      <c r="J287">
        <v>0</v>
      </c>
      <c r="K287">
        <f t="shared" si="36"/>
        <v>2.5475550884598778E-3</v>
      </c>
      <c r="L287">
        <f t="shared" si="37"/>
        <v>7.2974947633438425E-2</v>
      </c>
      <c r="M287">
        <f t="shared" si="38"/>
        <v>0.50367356335372759</v>
      </c>
      <c r="N287">
        <f t="shared" si="39"/>
        <v>0.17467137347933465</v>
      </c>
      <c r="O287">
        <f t="shared" si="40"/>
        <v>0.56852478926183858</v>
      </c>
      <c r="P287">
        <f t="shared" si="41"/>
        <v>16.214044172433788</v>
      </c>
      <c r="Q287">
        <f t="shared" si="42"/>
        <v>1.6507664900772011E-2</v>
      </c>
      <c r="R287">
        <f t="shared" si="43"/>
        <v>0</v>
      </c>
      <c r="S287">
        <f t="shared" si="44"/>
        <v>0</v>
      </c>
    </row>
    <row r="288" spans="1:19" x14ac:dyDescent="0.3">
      <c r="A288" t="s">
        <v>110</v>
      </c>
      <c r="B288">
        <v>2008</v>
      </c>
      <c r="C288">
        <v>3.3143666746301751E-3</v>
      </c>
      <c r="D288">
        <v>0.13431411200976473</v>
      </c>
      <c r="E288">
        <v>0.43635772611724577</v>
      </c>
      <c r="F288">
        <v>0.25643219286018776</v>
      </c>
      <c r="G288">
        <v>0.72948962857635935</v>
      </c>
      <c r="H288">
        <v>16.26206706887255</v>
      </c>
      <c r="I288">
        <v>2.6747535529144641E-2</v>
      </c>
      <c r="J288">
        <v>7.0827312715899043E-3</v>
      </c>
      <c r="K288">
        <f t="shared" si="36"/>
        <v>3.3143666746301751E-3</v>
      </c>
      <c r="L288">
        <f t="shared" si="37"/>
        <v>0.13431411200976473</v>
      </c>
      <c r="M288">
        <f t="shared" si="38"/>
        <v>0.43635772611724577</v>
      </c>
      <c r="N288">
        <f t="shared" si="39"/>
        <v>0.25643219286018776</v>
      </c>
      <c r="O288">
        <f t="shared" si="40"/>
        <v>0.72948962857635935</v>
      </c>
      <c r="P288">
        <f t="shared" si="41"/>
        <v>16.26206706887255</v>
      </c>
      <c r="Q288">
        <f t="shared" si="42"/>
        <v>2.6747535529144641E-2</v>
      </c>
      <c r="R288">
        <f t="shared" si="43"/>
        <v>7.0827312715899043E-3</v>
      </c>
      <c r="S288">
        <f t="shared" si="44"/>
        <v>0</v>
      </c>
    </row>
    <row r="289" spans="1:19" x14ac:dyDescent="0.3">
      <c r="A289" t="s">
        <v>110</v>
      </c>
      <c r="B289">
        <v>2009</v>
      </c>
      <c r="C289">
        <v>4.805859109980817E-3</v>
      </c>
      <c r="D289">
        <v>3.9470729627265791E-2</v>
      </c>
      <c r="E289">
        <v>-2.8293311715960244E-2</v>
      </c>
      <c r="F289">
        <v>0.58209656788023001</v>
      </c>
      <c r="G289">
        <v>0.76779705635291173</v>
      </c>
      <c r="H289">
        <v>16.928167009573134</v>
      </c>
      <c r="I289">
        <v>7.746330843604321E-4</v>
      </c>
      <c r="J289">
        <v>0</v>
      </c>
      <c r="K289">
        <f t="shared" si="36"/>
        <v>4.805859109980817E-3</v>
      </c>
      <c r="L289">
        <f t="shared" si="37"/>
        <v>3.9470729627265791E-2</v>
      </c>
      <c r="M289">
        <f t="shared" si="38"/>
        <v>-2.8293311715960244E-2</v>
      </c>
      <c r="N289">
        <f t="shared" si="39"/>
        <v>0.58209656788023001</v>
      </c>
      <c r="O289">
        <f t="shared" si="40"/>
        <v>0.76779705635291173</v>
      </c>
      <c r="P289">
        <f t="shared" si="41"/>
        <v>16.928167009573134</v>
      </c>
      <c r="Q289">
        <f t="shared" si="42"/>
        <v>7.746330843604321E-4</v>
      </c>
      <c r="R289">
        <f t="shared" si="43"/>
        <v>0</v>
      </c>
      <c r="S289">
        <f t="shared" si="44"/>
        <v>0</v>
      </c>
    </row>
    <row r="290" spans="1:19" x14ac:dyDescent="0.3">
      <c r="A290" t="s">
        <v>110</v>
      </c>
      <c r="B290">
        <v>2010</v>
      </c>
      <c r="C290">
        <v>2.3681466230657939E-2</v>
      </c>
      <c r="D290">
        <v>4.8771817181086134E-2</v>
      </c>
      <c r="E290">
        <v>-1.1888632332941683E-2</v>
      </c>
      <c r="F290">
        <v>0.5777394639703588</v>
      </c>
      <c r="G290">
        <v>0.74955840213649472</v>
      </c>
      <c r="H290">
        <v>17.145716250405044</v>
      </c>
      <c r="I290">
        <v>1.9444295234953939E-2</v>
      </c>
      <c r="J290">
        <v>1.0567887899297773E-3</v>
      </c>
      <c r="K290">
        <f t="shared" si="36"/>
        <v>2.3681466230657939E-2</v>
      </c>
      <c r="L290">
        <f t="shared" si="37"/>
        <v>4.8771817181086134E-2</v>
      </c>
      <c r="M290">
        <f t="shared" si="38"/>
        <v>-1.1888632332941683E-2</v>
      </c>
      <c r="N290">
        <f t="shared" si="39"/>
        <v>0.5777394639703588</v>
      </c>
      <c r="O290">
        <f t="shared" si="40"/>
        <v>0.74955840213649472</v>
      </c>
      <c r="P290">
        <f t="shared" si="41"/>
        <v>17.145716250405044</v>
      </c>
      <c r="Q290">
        <f t="shared" si="42"/>
        <v>1.9444295234953939E-2</v>
      </c>
      <c r="R290">
        <f t="shared" si="43"/>
        <v>1.0567887899297773E-3</v>
      </c>
      <c r="S290">
        <f t="shared" si="44"/>
        <v>0</v>
      </c>
    </row>
    <row r="291" spans="1:19" x14ac:dyDescent="0.3">
      <c r="A291" t="s">
        <v>111</v>
      </c>
      <c r="B291">
        <v>2007</v>
      </c>
      <c r="C291">
        <v>4.8331817964473141E-3</v>
      </c>
      <c r="D291">
        <v>6.3531345126246586E-2</v>
      </c>
      <c r="E291">
        <v>0.23772425391901711</v>
      </c>
      <c r="F291">
        <v>0.27907980259579268</v>
      </c>
      <c r="G291">
        <v>0.6366439559072602</v>
      </c>
      <c r="H291">
        <v>16.224795629135556</v>
      </c>
      <c r="I291">
        <v>6.7898261806644614E-3</v>
      </c>
      <c r="J291">
        <v>0</v>
      </c>
      <c r="K291">
        <f t="shared" si="36"/>
        <v>4.8331817964473141E-3</v>
      </c>
      <c r="L291">
        <f t="shared" si="37"/>
        <v>6.3531345126246586E-2</v>
      </c>
      <c r="M291">
        <f t="shared" si="38"/>
        <v>0.23772425391901711</v>
      </c>
      <c r="N291">
        <f t="shared" si="39"/>
        <v>0.27907980259579268</v>
      </c>
      <c r="O291">
        <f t="shared" si="40"/>
        <v>0.6366439559072602</v>
      </c>
      <c r="P291">
        <f t="shared" si="41"/>
        <v>16.224795629135556</v>
      </c>
      <c r="Q291">
        <f t="shared" si="42"/>
        <v>6.7898261806644614E-3</v>
      </c>
      <c r="R291">
        <f t="shared" si="43"/>
        <v>0</v>
      </c>
      <c r="S291">
        <f t="shared" si="44"/>
        <v>0</v>
      </c>
    </row>
    <row r="292" spans="1:19" x14ac:dyDescent="0.3">
      <c r="A292" t="s">
        <v>111</v>
      </c>
      <c r="B292">
        <v>2009</v>
      </c>
      <c r="C292">
        <v>7.4336090652615166E-3</v>
      </c>
      <c r="D292">
        <v>5.4312257058975862E-2</v>
      </c>
      <c r="E292">
        <v>-3.4614600695683721E-2</v>
      </c>
      <c r="F292">
        <v>0.38843418520619671</v>
      </c>
      <c r="G292">
        <v>0.63052798981287539</v>
      </c>
      <c r="H292">
        <v>16.300895676601129</v>
      </c>
      <c r="I292">
        <v>3.360240285023279E-2</v>
      </c>
      <c r="J292">
        <v>2.5092157978060998E-3</v>
      </c>
      <c r="K292">
        <f t="shared" si="36"/>
        <v>7.4336090652615166E-3</v>
      </c>
      <c r="L292">
        <f t="shared" si="37"/>
        <v>5.4312257058975862E-2</v>
      </c>
      <c r="M292">
        <f t="shared" si="38"/>
        <v>-3.4614600695683721E-2</v>
      </c>
      <c r="N292">
        <f t="shared" si="39"/>
        <v>0.38843418520619671</v>
      </c>
      <c r="O292">
        <f t="shared" si="40"/>
        <v>0.63052798981287539</v>
      </c>
      <c r="P292">
        <f t="shared" si="41"/>
        <v>16.300895676601129</v>
      </c>
      <c r="Q292">
        <f t="shared" si="42"/>
        <v>3.360240285023279E-2</v>
      </c>
      <c r="R292">
        <f t="shared" si="43"/>
        <v>2.5092157978060998E-3</v>
      </c>
      <c r="S292">
        <f t="shared" si="44"/>
        <v>0</v>
      </c>
    </row>
    <row r="293" spans="1:19" x14ac:dyDescent="0.3">
      <c r="A293" t="s">
        <v>111</v>
      </c>
      <c r="B293">
        <v>2010</v>
      </c>
      <c r="C293">
        <v>8.7012151259190269E-3</v>
      </c>
      <c r="D293">
        <v>0.13965604418265162</v>
      </c>
      <c r="E293">
        <v>3.2289319605161147E-2</v>
      </c>
      <c r="F293">
        <v>0.30728552687417238</v>
      </c>
      <c r="G293">
        <v>0.55313652451084139</v>
      </c>
      <c r="H293">
        <v>16.45318772130236</v>
      </c>
      <c r="I293">
        <v>1.4579339232954997E-2</v>
      </c>
      <c r="J293">
        <v>7.1824776042900881E-3</v>
      </c>
      <c r="K293">
        <f t="shared" si="36"/>
        <v>8.7012151259190269E-3</v>
      </c>
      <c r="L293">
        <f t="shared" si="37"/>
        <v>0.13965604418265162</v>
      </c>
      <c r="M293">
        <f t="shared" si="38"/>
        <v>3.2289319605161147E-2</v>
      </c>
      <c r="N293">
        <f t="shared" si="39"/>
        <v>0.30728552687417238</v>
      </c>
      <c r="O293">
        <f t="shared" si="40"/>
        <v>0.55313652451084139</v>
      </c>
      <c r="P293">
        <f t="shared" si="41"/>
        <v>16.45318772130236</v>
      </c>
      <c r="Q293">
        <f t="shared" si="42"/>
        <v>1.4579339232954997E-2</v>
      </c>
      <c r="R293">
        <f t="shared" si="43"/>
        <v>7.1824776042900881E-3</v>
      </c>
      <c r="S293">
        <f t="shared" si="44"/>
        <v>0</v>
      </c>
    </row>
    <row r="294" spans="1:19" x14ac:dyDescent="0.3">
      <c r="A294" t="s">
        <v>112</v>
      </c>
      <c r="B294">
        <v>2007</v>
      </c>
      <c r="C294">
        <v>9.0866042975798922E-4</v>
      </c>
      <c r="D294">
        <v>0.13315531877160811</v>
      </c>
      <c r="E294">
        <v>-0.19999396664100966</v>
      </c>
      <c r="F294">
        <v>0.18004731616080913</v>
      </c>
      <c r="G294">
        <v>0.76950808927177361</v>
      </c>
      <c r="H294">
        <v>13.905276304858688</v>
      </c>
      <c r="I294">
        <v>1.200027331462165E-2</v>
      </c>
      <c r="J294">
        <v>0</v>
      </c>
      <c r="K294">
        <f t="shared" si="36"/>
        <v>9.0866042975798922E-4</v>
      </c>
      <c r="L294">
        <f t="shared" si="37"/>
        <v>0.13315531877160811</v>
      </c>
      <c r="M294">
        <f t="shared" si="38"/>
        <v>-0.19999396664100966</v>
      </c>
      <c r="N294">
        <f t="shared" si="39"/>
        <v>0.18004731616080913</v>
      </c>
      <c r="O294">
        <f t="shared" si="40"/>
        <v>0.76950808927177361</v>
      </c>
      <c r="P294">
        <f t="shared" si="41"/>
        <v>13.905276304858688</v>
      </c>
      <c r="Q294">
        <f t="shared" si="42"/>
        <v>1.200027331462165E-2</v>
      </c>
      <c r="R294">
        <f t="shared" si="43"/>
        <v>0</v>
      </c>
      <c r="S294">
        <f t="shared" si="44"/>
        <v>0</v>
      </c>
    </row>
    <row r="295" spans="1:19" x14ac:dyDescent="0.3">
      <c r="A295" t="s">
        <v>112</v>
      </c>
      <c r="B295">
        <v>2008</v>
      </c>
      <c r="C295">
        <v>1.2299292953920099E-3</v>
      </c>
      <c r="D295">
        <v>8.0239281111769006E-2</v>
      </c>
      <c r="E295">
        <v>-0.15439567297087062</v>
      </c>
      <c r="F295">
        <v>0.16497741864326101</v>
      </c>
      <c r="G295">
        <v>0.52026517130484251</v>
      </c>
      <c r="H295">
        <v>14.136236614485727</v>
      </c>
      <c r="I295">
        <v>1.3464853562465753E-2</v>
      </c>
      <c r="J295">
        <v>0</v>
      </c>
      <c r="K295">
        <f t="shared" si="36"/>
        <v>1.2299292953920099E-3</v>
      </c>
      <c r="L295">
        <f t="shared" si="37"/>
        <v>8.0239281111769006E-2</v>
      </c>
      <c r="M295">
        <f t="shared" si="38"/>
        <v>-0.15439567297087062</v>
      </c>
      <c r="N295">
        <f t="shared" si="39"/>
        <v>0.16497741864326101</v>
      </c>
      <c r="O295">
        <f t="shared" si="40"/>
        <v>0.52026517130484251</v>
      </c>
      <c r="P295">
        <f t="shared" si="41"/>
        <v>14.136236614485727</v>
      </c>
      <c r="Q295">
        <f t="shared" si="42"/>
        <v>1.3464853562465753E-2</v>
      </c>
      <c r="R295">
        <f t="shared" si="43"/>
        <v>0</v>
      </c>
      <c r="S295">
        <f t="shared" si="44"/>
        <v>0</v>
      </c>
    </row>
    <row r="296" spans="1:19" x14ac:dyDescent="0.3">
      <c r="A296" t="s">
        <v>112</v>
      </c>
      <c r="B296">
        <v>2009</v>
      </c>
      <c r="C296">
        <v>2.0363282931003734E-3</v>
      </c>
      <c r="D296">
        <v>0.14476420643738269</v>
      </c>
      <c r="E296">
        <v>-0.24896629136266279</v>
      </c>
      <c r="F296">
        <v>0.34759690353743522</v>
      </c>
      <c r="G296">
        <v>0.57520593177768442</v>
      </c>
      <c r="H296">
        <v>14.016243251504505</v>
      </c>
      <c r="I296">
        <v>4.0917600495189166E-3</v>
      </c>
      <c r="J296">
        <v>0</v>
      </c>
      <c r="K296">
        <f t="shared" si="36"/>
        <v>2.0363282931003734E-3</v>
      </c>
      <c r="L296">
        <f t="shared" si="37"/>
        <v>0.14476420643738269</v>
      </c>
      <c r="M296">
        <f t="shared" si="38"/>
        <v>-0.24896629136266279</v>
      </c>
      <c r="N296">
        <f t="shared" si="39"/>
        <v>0.34759690353743522</v>
      </c>
      <c r="O296">
        <f t="shared" si="40"/>
        <v>0.57520593177768442</v>
      </c>
      <c r="P296">
        <f t="shared" si="41"/>
        <v>14.016243251504505</v>
      </c>
      <c r="Q296">
        <f t="shared" si="42"/>
        <v>4.0917600495189166E-3</v>
      </c>
      <c r="R296">
        <f t="shared" si="43"/>
        <v>0</v>
      </c>
      <c r="S296">
        <f t="shared" si="44"/>
        <v>0</v>
      </c>
    </row>
    <row r="297" spans="1:19" x14ac:dyDescent="0.3">
      <c r="A297" t="s">
        <v>112</v>
      </c>
      <c r="B297">
        <v>2010</v>
      </c>
      <c r="C297">
        <v>2.6069444851622913E-3</v>
      </c>
      <c r="D297">
        <v>0.13781400037435362</v>
      </c>
      <c r="E297">
        <v>-8.5321805045956045E-2</v>
      </c>
      <c r="F297">
        <v>0.36000264603361815</v>
      </c>
      <c r="G297">
        <v>0.55879499478686268</v>
      </c>
      <c r="H297">
        <v>14.100909776687169</v>
      </c>
      <c r="I297">
        <v>2.5948738127599222E-2</v>
      </c>
      <c r="J297">
        <v>1.1726739898653906E-2</v>
      </c>
      <c r="K297">
        <f t="shared" si="36"/>
        <v>2.6069444851622913E-3</v>
      </c>
      <c r="L297">
        <f t="shared" si="37"/>
        <v>0.13781400037435362</v>
      </c>
      <c r="M297">
        <f t="shared" si="38"/>
        <v>-8.5321805045956045E-2</v>
      </c>
      <c r="N297">
        <f t="shared" si="39"/>
        <v>0.36000264603361815</v>
      </c>
      <c r="O297">
        <f t="shared" si="40"/>
        <v>0.55879499478686268</v>
      </c>
      <c r="P297">
        <f t="shared" si="41"/>
        <v>14.100909776687169</v>
      </c>
      <c r="Q297">
        <f t="shared" si="42"/>
        <v>2.5948738127599222E-2</v>
      </c>
      <c r="R297">
        <f t="shared" si="43"/>
        <v>1.1726739898653906E-2</v>
      </c>
      <c r="S297">
        <f t="shared" si="44"/>
        <v>0</v>
      </c>
    </row>
    <row r="298" spans="1:19" x14ac:dyDescent="0.3">
      <c r="A298" t="s">
        <v>113</v>
      </c>
      <c r="B298">
        <v>2007</v>
      </c>
      <c r="C298">
        <v>1.1033257771428287E-2</v>
      </c>
      <c r="D298">
        <v>3.0753085536852645E-2</v>
      </c>
      <c r="E298">
        <v>-8.5636640926833568E-2</v>
      </c>
      <c r="F298">
        <v>0.25721427704220878</v>
      </c>
      <c r="G298">
        <v>0.92953799688327932</v>
      </c>
      <c r="H298">
        <v>13.30680435330871</v>
      </c>
      <c r="I298">
        <v>3.3914268169841551E-3</v>
      </c>
      <c r="J298">
        <v>0</v>
      </c>
      <c r="K298">
        <f t="shared" si="36"/>
        <v>1.1033257771428287E-2</v>
      </c>
      <c r="L298">
        <f t="shared" si="37"/>
        <v>3.0753085536852645E-2</v>
      </c>
      <c r="M298">
        <f t="shared" si="38"/>
        <v>-8.5636640926833568E-2</v>
      </c>
      <c r="N298">
        <f t="shared" si="39"/>
        <v>0.25721427704220878</v>
      </c>
      <c r="O298">
        <f t="shared" si="40"/>
        <v>0.92953799688327932</v>
      </c>
      <c r="P298">
        <f t="shared" si="41"/>
        <v>13.30680435330871</v>
      </c>
      <c r="Q298">
        <f t="shared" si="42"/>
        <v>3.3914268169841551E-3</v>
      </c>
      <c r="R298">
        <f t="shared" si="43"/>
        <v>0</v>
      </c>
      <c r="S298">
        <f t="shared" si="44"/>
        <v>0</v>
      </c>
    </row>
    <row r="299" spans="1:19" x14ac:dyDescent="0.3">
      <c r="A299" t="s">
        <v>113</v>
      </c>
      <c r="B299">
        <v>2008</v>
      </c>
      <c r="C299">
        <v>1.0219959335248946E-2</v>
      </c>
      <c r="D299">
        <v>4.1325133168657893E-2</v>
      </c>
      <c r="E299">
        <v>-4.893213019441784E-2</v>
      </c>
      <c r="F299">
        <v>0.281048881719346</v>
      </c>
      <c r="G299">
        <v>0.85150812454840286</v>
      </c>
      <c r="H299">
        <v>13.296501541390263</v>
      </c>
      <c r="I299">
        <v>1.0373166056952538E-2</v>
      </c>
      <c r="J299">
        <v>0</v>
      </c>
      <c r="K299">
        <f t="shared" si="36"/>
        <v>1.0219959335248946E-2</v>
      </c>
      <c r="L299">
        <f t="shared" si="37"/>
        <v>4.1325133168657893E-2</v>
      </c>
      <c r="M299">
        <f t="shared" si="38"/>
        <v>-4.893213019441784E-2</v>
      </c>
      <c r="N299">
        <f t="shared" si="39"/>
        <v>0.281048881719346</v>
      </c>
      <c r="O299">
        <f t="shared" si="40"/>
        <v>0.85150812454840286</v>
      </c>
      <c r="P299">
        <f t="shared" si="41"/>
        <v>13.296501541390263</v>
      </c>
      <c r="Q299">
        <f t="shared" si="42"/>
        <v>1.0373166056952538E-2</v>
      </c>
      <c r="R299">
        <f t="shared" si="43"/>
        <v>0</v>
      </c>
      <c r="S299">
        <f t="shared" si="44"/>
        <v>0</v>
      </c>
    </row>
    <row r="300" spans="1:19" x14ac:dyDescent="0.3">
      <c r="A300" t="s">
        <v>113</v>
      </c>
      <c r="B300">
        <v>2009</v>
      </c>
      <c r="C300">
        <v>6.1713460196571399E-3</v>
      </c>
      <c r="D300">
        <v>7.4247253575698918E-2</v>
      </c>
      <c r="E300">
        <v>-0.17681432313308018</v>
      </c>
      <c r="F300">
        <v>0.55246170083698876</v>
      </c>
      <c r="G300">
        <v>0.99440195799978259</v>
      </c>
      <c r="H300">
        <v>13.25405457791344</v>
      </c>
      <c r="I300">
        <v>2.5196643557489795E-2</v>
      </c>
      <c r="J300">
        <v>0</v>
      </c>
      <c r="K300">
        <f t="shared" si="36"/>
        <v>6.1713460196571399E-3</v>
      </c>
      <c r="L300">
        <f t="shared" si="37"/>
        <v>7.4247253575698918E-2</v>
      </c>
      <c r="M300">
        <f t="shared" si="38"/>
        <v>-0.17681432313308018</v>
      </c>
      <c r="N300">
        <f t="shared" si="39"/>
        <v>0.55246170083698876</v>
      </c>
      <c r="O300">
        <f t="shared" si="40"/>
        <v>0.99440195799978259</v>
      </c>
      <c r="P300">
        <f t="shared" si="41"/>
        <v>13.25405457791344</v>
      </c>
      <c r="Q300">
        <f t="shared" si="42"/>
        <v>2.5196643557489795E-2</v>
      </c>
      <c r="R300">
        <f t="shared" si="43"/>
        <v>0</v>
      </c>
      <c r="S300">
        <f t="shared" si="44"/>
        <v>0</v>
      </c>
    </row>
    <row r="301" spans="1:19" x14ac:dyDescent="0.3">
      <c r="A301" t="s">
        <v>113</v>
      </c>
      <c r="B301">
        <v>2010</v>
      </c>
      <c r="C301">
        <v>2.394955319144848E-2</v>
      </c>
      <c r="D301">
        <v>0.15719668222314873</v>
      </c>
      <c r="E301">
        <v>-7.9981708804943236E-2</v>
      </c>
      <c r="F301">
        <v>0.47059479046782804</v>
      </c>
      <c r="G301">
        <v>0.83973301003517986</v>
      </c>
      <c r="H301">
        <v>13.16248560714631</v>
      </c>
      <c r="I301">
        <v>3.1484915100102318E-3</v>
      </c>
      <c r="J301">
        <v>0</v>
      </c>
      <c r="K301">
        <f t="shared" si="36"/>
        <v>2.394955319144848E-2</v>
      </c>
      <c r="L301">
        <f t="shared" si="37"/>
        <v>0.15719668222314873</v>
      </c>
      <c r="M301">
        <f t="shared" si="38"/>
        <v>-7.9981708804943236E-2</v>
      </c>
      <c r="N301">
        <f t="shared" si="39"/>
        <v>0.47059479046782804</v>
      </c>
      <c r="O301">
        <f t="shared" si="40"/>
        <v>0.83973301003517986</v>
      </c>
      <c r="P301">
        <f t="shared" si="41"/>
        <v>13.16248560714631</v>
      </c>
      <c r="Q301">
        <f t="shared" si="42"/>
        <v>3.1484915100102318E-3</v>
      </c>
      <c r="R301">
        <f t="shared" si="43"/>
        <v>0</v>
      </c>
      <c r="S301">
        <f t="shared" si="44"/>
        <v>0</v>
      </c>
    </row>
    <row r="302" spans="1:19" x14ac:dyDescent="0.3">
      <c r="A302" t="s">
        <v>114</v>
      </c>
      <c r="B302">
        <v>2007</v>
      </c>
      <c r="C302">
        <v>1</v>
      </c>
      <c r="D302">
        <v>278.30434782608694</v>
      </c>
      <c r="E302">
        <v>-4813.04347826087</v>
      </c>
      <c r="F302">
        <v>200.91304347826087</v>
      </c>
      <c r="G302">
        <v>4420.0934782608692</v>
      </c>
      <c r="H302">
        <v>3.8286413964890951</v>
      </c>
      <c r="I302">
        <v>1.1795589058436233</v>
      </c>
      <c r="J302">
        <v>0</v>
      </c>
      <c r="K302" t="str">
        <f t="shared" si="36"/>
        <v>out</v>
      </c>
      <c r="L302" t="str">
        <f t="shared" si="37"/>
        <v>out</v>
      </c>
      <c r="M302" t="str">
        <f t="shared" si="38"/>
        <v>out</v>
      </c>
      <c r="N302">
        <f t="shared" si="39"/>
        <v>200.91304347826087</v>
      </c>
      <c r="O302" t="str">
        <f t="shared" si="40"/>
        <v>out</v>
      </c>
      <c r="P302" t="str">
        <f t="shared" si="41"/>
        <v>out</v>
      </c>
      <c r="Q302" t="str">
        <f t="shared" si="42"/>
        <v>out</v>
      </c>
      <c r="R302">
        <f t="shared" si="43"/>
        <v>0</v>
      </c>
      <c r="S302">
        <f t="shared" si="44"/>
        <v>1</v>
      </c>
    </row>
    <row r="303" spans="1:19" x14ac:dyDescent="0.3">
      <c r="A303" t="s">
        <v>114</v>
      </c>
      <c r="B303">
        <v>2008</v>
      </c>
      <c r="C303">
        <v>1</v>
      </c>
      <c r="D303">
        <v>4.05</v>
      </c>
      <c r="E303">
        <v>-1977.05</v>
      </c>
      <c r="F303">
        <v>0</v>
      </c>
      <c r="G303">
        <v>5343.0749999999998</v>
      </c>
      <c r="H303">
        <v>3.6888794541139363</v>
      </c>
      <c r="I303">
        <v>0.12566844919786863</v>
      </c>
      <c r="J303">
        <v>0</v>
      </c>
      <c r="K303" t="str">
        <f t="shared" si="36"/>
        <v>out</v>
      </c>
      <c r="L303">
        <f t="shared" si="37"/>
        <v>4.05</v>
      </c>
      <c r="M303" t="str">
        <f t="shared" si="38"/>
        <v>out</v>
      </c>
      <c r="N303">
        <f t="shared" si="39"/>
        <v>0</v>
      </c>
      <c r="O303" t="str">
        <f t="shared" si="40"/>
        <v>out</v>
      </c>
      <c r="P303" t="str">
        <f t="shared" si="41"/>
        <v>out</v>
      </c>
      <c r="Q303">
        <f t="shared" si="42"/>
        <v>0.12566844919786863</v>
      </c>
      <c r="R303">
        <f t="shared" si="43"/>
        <v>0</v>
      </c>
      <c r="S303">
        <f t="shared" si="44"/>
        <v>1</v>
      </c>
    </row>
    <row r="304" spans="1:19" x14ac:dyDescent="0.3">
      <c r="A304" t="s">
        <v>114</v>
      </c>
      <c r="B304">
        <v>2009</v>
      </c>
      <c r="C304">
        <v>1</v>
      </c>
      <c r="D304">
        <v>4.1282051282051286</v>
      </c>
      <c r="E304">
        <v>-5685.2051282051279</v>
      </c>
      <c r="F304">
        <v>3647.3589743589741</v>
      </c>
      <c r="G304">
        <v>5492.248205128205</v>
      </c>
      <c r="H304">
        <v>3.6635616461296463</v>
      </c>
      <c r="I304">
        <v>0.4127702362996496</v>
      </c>
      <c r="J304">
        <v>0</v>
      </c>
      <c r="K304" t="str">
        <f t="shared" si="36"/>
        <v>out</v>
      </c>
      <c r="L304">
        <f t="shared" si="37"/>
        <v>4.1282051282051286</v>
      </c>
      <c r="M304" t="str">
        <f t="shared" si="38"/>
        <v>out</v>
      </c>
      <c r="N304" t="str">
        <f t="shared" si="39"/>
        <v>out</v>
      </c>
      <c r="O304" t="str">
        <f t="shared" si="40"/>
        <v>out</v>
      </c>
      <c r="P304" t="str">
        <f t="shared" si="41"/>
        <v>out</v>
      </c>
      <c r="Q304">
        <f t="shared" si="42"/>
        <v>0.4127702362996496</v>
      </c>
      <c r="R304">
        <f t="shared" si="43"/>
        <v>0</v>
      </c>
      <c r="S304">
        <f t="shared" si="44"/>
        <v>1</v>
      </c>
    </row>
    <row r="305" spans="1:19" x14ac:dyDescent="0.3">
      <c r="A305" t="s">
        <v>114</v>
      </c>
      <c r="B305">
        <v>2010</v>
      </c>
      <c r="C305">
        <v>1</v>
      </c>
      <c r="D305">
        <v>2.8205128205128207</v>
      </c>
      <c r="E305">
        <v>-5688.0256410256407</v>
      </c>
      <c r="F305">
        <v>3651.2051282051284</v>
      </c>
      <c r="G305">
        <v>5567.833333333333</v>
      </c>
      <c r="H305">
        <v>3.6635616461296463</v>
      </c>
      <c r="I305">
        <v>0.42735042735042733</v>
      </c>
      <c r="J305">
        <v>0</v>
      </c>
      <c r="K305" t="str">
        <f t="shared" si="36"/>
        <v>out</v>
      </c>
      <c r="L305">
        <f t="shared" si="37"/>
        <v>2.8205128205128207</v>
      </c>
      <c r="M305" t="str">
        <f t="shared" si="38"/>
        <v>out</v>
      </c>
      <c r="N305" t="str">
        <f t="shared" si="39"/>
        <v>out</v>
      </c>
      <c r="O305" t="str">
        <f t="shared" si="40"/>
        <v>out</v>
      </c>
      <c r="P305" t="str">
        <f t="shared" si="41"/>
        <v>out</v>
      </c>
      <c r="Q305">
        <f t="shared" si="42"/>
        <v>0.42735042735042733</v>
      </c>
      <c r="R305">
        <f t="shared" si="43"/>
        <v>0</v>
      </c>
      <c r="S305">
        <f t="shared" si="44"/>
        <v>1</v>
      </c>
    </row>
    <row r="306" spans="1:19" x14ac:dyDescent="0.3">
      <c r="A306" t="s">
        <v>115</v>
      </c>
      <c r="B306">
        <v>2007</v>
      </c>
      <c r="C306">
        <v>1.4977954209207964E-3</v>
      </c>
      <c r="D306">
        <v>0.33663043637482237</v>
      </c>
      <c r="E306">
        <v>-1.2738072568005039</v>
      </c>
      <c r="F306">
        <v>0.70796651383538167</v>
      </c>
      <c r="G306">
        <v>-1.0497897959482621</v>
      </c>
      <c r="H306">
        <v>12.517476127399849</v>
      </c>
      <c r="I306">
        <v>4.1212754959017862E-2</v>
      </c>
      <c r="J306">
        <v>0</v>
      </c>
      <c r="K306">
        <f t="shared" si="36"/>
        <v>1.4977954209207964E-3</v>
      </c>
      <c r="L306">
        <f t="shared" si="37"/>
        <v>0.33663043637482237</v>
      </c>
      <c r="M306">
        <f t="shared" si="38"/>
        <v>-1.2738072568005039</v>
      </c>
      <c r="N306">
        <f t="shared" si="39"/>
        <v>0.70796651383538167</v>
      </c>
      <c r="O306">
        <f t="shared" si="40"/>
        <v>-1.0497897959482621</v>
      </c>
      <c r="P306">
        <f t="shared" si="41"/>
        <v>12.517476127399849</v>
      </c>
      <c r="Q306">
        <f t="shared" si="42"/>
        <v>4.1212754959017862E-2</v>
      </c>
      <c r="R306">
        <f t="shared" si="43"/>
        <v>0</v>
      </c>
      <c r="S306">
        <f t="shared" si="44"/>
        <v>0</v>
      </c>
    </row>
    <row r="307" spans="1:19" x14ac:dyDescent="0.3">
      <c r="A307" t="s">
        <v>115</v>
      </c>
      <c r="B307">
        <v>2008</v>
      </c>
      <c r="C307">
        <v>6.078068703024601E-3</v>
      </c>
      <c r="D307">
        <v>0.27319769493120077</v>
      </c>
      <c r="E307">
        <v>-1.2676007398458298</v>
      </c>
      <c r="F307">
        <v>0.66211390632183298</v>
      </c>
      <c r="G307">
        <v>0.56336694001047749</v>
      </c>
      <c r="H307">
        <v>12.139216774744108</v>
      </c>
      <c r="I307">
        <v>0.17478056730869906</v>
      </c>
      <c r="J307">
        <v>0</v>
      </c>
      <c r="K307">
        <f t="shared" si="36"/>
        <v>6.078068703024601E-3</v>
      </c>
      <c r="L307">
        <f t="shared" si="37"/>
        <v>0.27319769493120077</v>
      </c>
      <c r="M307">
        <f t="shared" si="38"/>
        <v>-1.2676007398458298</v>
      </c>
      <c r="N307">
        <f t="shared" si="39"/>
        <v>0.66211390632183298</v>
      </c>
      <c r="O307">
        <f t="shared" si="40"/>
        <v>0.56336694001047749</v>
      </c>
      <c r="P307">
        <f t="shared" si="41"/>
        <v>12.139216774744108</v>
      </c>
      <c r="Q307">
        <f t="shared" si="42"/>
        <v>0.17478056730869906</v>
      </c>
      <c r="R307">
        <f t="shared" si="43"/>
        <v>0</v>
      </c>
      <c r="S307">
        <f t="shared" si="44"/>
        <v>0</v>
      </c>
    </row>
    <row r="308" spans="1:19" x14ac:dyDescent="0.3">
      <c r="A308" t="s">
        <v>115</v>
      </c>
      <c r="B308">
        <v>2009</v>
      </c>
      <c r="C308">
        <v>6.6340204480031762E-3</v>
      </c>
      <c r="D308">
        <v>0.74889432992533278</v>
      </c>
      <c r="E308">
        <v>-0.64341175043289323</v>
      </c>
      <c r="F308">
        <v>1.6986345939626555</v>
      </c>
      <c r="G308">
        <v>-4.5301177910862584</v>
      </c>
      <c r="H308">
        <v>12.108117972132941</v>
      </c>
      <c r="I308">
        <v>0.19783940896236213</v>
      </c>
      <c r="J308">
        <v>0</v>
      </c>
      <c r="K308">
        <f t="shared" si="36"/>
        <v>6.6340204480031762E-3</v>
      </c>
      <c r="L308">
        <f t="shared" si="37"/>
        <v>0.74889432992533278</v>
      </c>
      <c r="M308">
        <f t="shared" si="38"/>
        <v>-0.64341175043289323</v>
      </c>
      <c r="N308">
        <f t="shared" si="39"/>
        <v>1.6986345939626555</v>
      </c>
      <c r="O308">
        <f t="shared" si="40"/>
        <v>-4.5301177910862584</v>
      </c>
      <c r="P308">
        <f t="shared" si="41"/>
        <v>12.108117972132941</v>
      </c>
      <c r="Q308">
        <f t="shared" si="42"/>
        <v>0.19783940896236213</v>
      </c>
      <c r="R308">
        <f t="shared" si="43"/>
        <v>0</v>
      </c>
      <c r="S308">
        <f t="shared" si="44"/>
        <v>0</v>
      </c>
    </row>
    <row r="309" spans="1:19" x14ac:dyDescent="0.3">
      <c r="A309" t="s">
        <v>115</v>
      </c>
      <c r="B309">
        <v>2010</v>
      </c>
      <c r="C309">
        <v>3.179173511246524E-2</v>
      </c>
      <c r="D309">
        <v>8.5454770710398559E-2</v>
      </c>
      <c r="E309">
        <v>-0.30994934246147915</v>
      </c>
      <c r="F309">
        <v>0.69124138500646981</v>
      </c>
      <c r="G309">
        <v>3.2916157185202857</v>
      </c>
      <c r="H309">
        <v>12.985094724198866</v>
      </c>
      <c r="I309">
        <v>2.5911878576702768E-3</v>
      </c>
      <c r="J309">
        <v>0</v>
      </c>
      <c r="K309">
        <f t="shared" si="36"/>
        <v>3.179173511246524E-2</v>
      </c>
      <c r="L309">
        <f t="shared" si="37"/>
        <v>8.5454770710398559E-2</v>
      </c>
      <c r="M309">
        <f t="shared" si="38"/>
        <v>-0.30994934246147915</v>
      </c>
      <c r="N309">
        <f t="shared" si="39"/>
        <v>0.69124138500646981</v>
      </c>
      <c r="O309">
        <f t="shared" si="40"/>
        <v>3.2916157185202857</v>
      </c>
      <c r="P309">
        <f t="shared" si="41"/>
        <v>12.985094724198866</v>
      </c>
      <c r="Q309">
        <f t="shared" si="42"/>
        <v>2.5911878576702768E-3</v>
      </c>
      <c r="R309">
        <f t="shared" si="43"/>
        <v>0</v>
      </c>
      <c r="S309">
        <f t="shared" si="44"/>
        <v>0</v>
      </c>
    </row>
    <row r="310" spans="1:19" x14ac:dyDescent="0.3">
      <c r="A310" t="s">
        <v>116</v>
      </c>
      <c r="B310">
        <v>2007</v>
      </c>
      <c r="C310">
        <v>4.3154526781482069E-3</v>
      </c>
      <c r="D310">
        <v>7.2947938062885131E-2</v>
      </c>
      <c r="E310">
        <v>-0.15384539421709592</v>
      </c>
      <c r="F310">
        <v>0.19227958603254858</v>
      </c>
      <c r="G310">
        <v>0.95356938299889393</v>
      </c>
      <c r="H310">
        <v>12.911780608134977</v>
      </c>
      <c r="I310">
        <v>3.4619607768638996E-3</v>
      </c>
      <c r="J310">
        <v>0</v>
      </c>
      <c r="K310">
        <f t="shared" si="36"/>
        <v>4.3154526781482069E-3</v>
      </c>
      <c r="L310">
        <f t="shared" si="37"/>
        <v>7.2947938062885131E-2</v>
      </c>
      <c r="M310">
        <f t="shared" si="38"/>
        <v>-0.15384539421709592</v>
      </c>
      <c r="N310">
        <f t="shared" si="39"/>
        <v>0.19227958603254858</v>
      </c>
      <c r="O310">
        <f t="shared" si="40"/>
        <v>0.95356938299889393</v>
      </c>
      <c r="P310">
        <f t="shared" si="41"/>
        <v>12.911780608134977</v>
      </c>
      <c r="Q310">
        <f t="shared" si="42"/>
        <v>3.4619607768638996E-3</v>
      </c>
      <c r="R310">
        <f t="shared" si="43"/>
        <v>0</v>
      </c>
      <c r="S310">
        <f t="shared" si="44"/>
        <v>0</v>
      </c>
    </row>
    <row r="311" spans="1:19" x14ac:dyDescent="0.3">
      <c r="A311" t="s">
        <v>116</v>
      </c>
      <c r="B311">
        <v>2009</v>
      </c>
      <c r="C311">
        <v>4.533855207236006E-3</v>
      </c>
      <c r="D311">
        <v>0.16171809727923281</v>
      </c>
      <c r="E311">
        <v>-0.2359602600893603</v>
      </c>
      <c r="F311">
        <v>0.61279241890370151</v>
      </c>
      <c r="G311">
        <v>0.86430219041737799</v>
      </c>
      <c r="H311">
        <v>12.99558399570653</v>
      </c>
      <c r="I311">
        <v>2.2807479471993478E-2</v>
      </c>
      <c r="J311">
        <v>0</v>
      </c>
      <c r="K311">
        <f t="shared" si="36"/>
        <v>4.533855207236006E-3</v>
      </c>
      <c r="L311">
        <f t="shared" si="37"/>
        <v>0.16171809727923281</v>
      </c>
      <c r="M311">
        <f t="shared" si="38"/>
        <v>-0.2359602600893603</v>
      </c>
      <c r="N311">
        <f t="shared" si="39"/>
        <v>0.61279241890370151</v>
      </c>
      <c r="O311">
        <f t="shared" si="40"/>
        <v>0.86430219041737799</v>
      </c>
      <c r="P311">
        <f t="shared" si="41"/>
        <v>12.99558399570653</v>
      </c>
      <c r="Q311">
        <f t="shared" si="42"/>
        <v>2.2807479471993478E-2</v>
      </c>
      <c r="R311">
        <f t="shared" si="43"/>
        <v>0</v>
      </c>
      <c r="S311">
        <f t="shared" si="44"/>
        <v>0</v>
      </c>
    </row>
    <row r="312" spans="1:19" x14ac:dyDescent="0.3">
      <c r="A312" t="s">
        <v>116</v>
      </c>
      <c r="B312">
        <v>2010</v>
      </c>
      <c r="C312">
        <v>6.3212940251031807E-3</v>
      </c>
      <c r="D312">
        <v>0.20886356237070769</v>
      </c>
      <c r="E312">
        <v>-0.1091100645273488</v>
      </c>
      <c r="F312">
        <v>0.45824932914609956</v>
      </c>
      <c r="G312">
        <v>0.81607986750761852</v>
      </c>
      <c r="H312">
        <v>13.111340851955914</v>
      </c>
      <c r="I312">
        <v>3.4097337291693203E-3</v>
      </c>
      <c r="J312">
        <v>6.0665009837842431E-3</v>
      </c>
      <c r="K312">
        <f t="shared" si="36"/>
        <v>6.3212940251031807E-3</v>
      </c>
      <c r="L312">
        <f t="shared" si="37"/>
        <v>0.20886356237070769</v>
      </c>
      <c r="M312">
        <f t="shared" si="38"/>
        <v>-0.1091100645273488</v>
      </c>
      <c r="N312">
        <f t="shared" si="39"/>
        <v>0.45824932914609956</v>
      </c>
      <c r="O312">
        <f t="shared" si="40"/>
        <v>0.81607986750761852</v>
      </c>
      <c r="P312">
        <f t="shared" si="41"/>
        <v>13.111340851955914</v>
      </c>
      <c r="Q312">
        <f t="shared" si="42"/>
        <v>3.4097337291693203E-3</v>
      </c>
      <c r="R312">
        <f t="shared" si="43"/>
        <v>6.0665009837842431E-3</v>
      </c>
      <c r="S312">
        <f t="shared" si="44"/>
        <v>0</v>
      </c>
    </row>
    <row r="313" spans="1:19" x14ac:dyDescent="0.3">
      <c r="A313" t="s">
        <v>117</v>
      </c>
      <c r="B313">
        <v>2007</v>
      </c>
      <c r="C313">
        <v>3.9573546644089764E-3</v>
      </c>
      <c r="D313">
        <v>9.4095332931584424E-2</v>
      </c>
      <c r="E313">
        <v>-0.17318978578083044</v>
      </c>
      <c r="F313">
        <v>0.49889263159972647</v>
      </c>
      <c r="G313">
        <v>0.90311582048074979</v>
      </c>
      <c r="H313">
        <v>14.416374124046952</v>
      </c>
      <c r="I313">
        <v>5.3667738267934445E-3</v>
      </c>
      <c r="J313">
        <v>0</v>
      </c>
      <c r="K313">
        <f t="shared" si="36"/>
        <v>3.9573546644089764E-3</v>
      </c>
      <c r="L313">
        <f t="shared" si="37"/>
        <v>9.4095332931584424E-2</v>
      </c>
      <c r="M313">
        <f t="shared" si="38"/>
        <v>-0.17318978578083044</v>
      </c>
      <c r="N313">
        <f t="shared" si="39"/>
        <v>0.49889263159972647</v>
      </c>
      <c r="O313">
        <f t="shared" si="40"/>
        <v>0.90311582048074979</v>
      </c>
      <c r="P313">
        <f t="shared" si="41"/>
        <v>14.416374124046952</v>
      </c>
      <c r="Q313">
        <f t="shared" si="42"/>
        <v>5.3667738267934445E-3</v>
      </c>
      <c r="R313">
        <f t="shared" si="43"/>
        <v>0</v>
      </c>
      <c r="S313">
        <f t="shared" si="44"/>
        <v>0</v>
      </c>
    </row>
    <row r="314" spans="1:19" x14ac:dyDescent="0.3">
      <c r="A314" t="s">
        <v>117</v>
      </c>
      <c r="B314">
        <v>2009</v>
      </c>
      <c r="C314">
        <v>5.3059278910844044E-3</v>
      </c>
      <c r="D314">
        <v>9.9244110831152157E-2</v>
      </c>
      <c r="E314">
        <v>-0.18160747466943505</v>
      </c>
      <c r="F314">
        <v>0.57652576908361819</v>
      </c>
      <c r="G314">
        <v>0.80418363117912262</v>
      </c>
      <c r="H314">
        <v>14.808761960604119</v>
      </c>
      <c r="I314">
        <v>9.5825359585962489E-3</v>
      </c>
      <c r="J314">
        <v>0</v>
      </c>
      <c r="K314">
        <f t="shared" si="36"/>
        <v>5.3059278910844044E-3</v>
      </c>
      <c r="L314">
        <f t="shared" si="37"/>
        <v>9.9244110831152157E-2</v>
      </c>
      <c r="M314">
        <f t="shared" si="38"/>
        <v>-0.18160747466943505</v>
      </c>
      <c r="N314">
        <f t="shared" si="39"/>
        <v>0.57652576908361819</v>
      </c>
      <c r="O314">
        <f t="shared" si="40"/>
        <v>0.80418363117912262</v>
      </c>
      <c r="P314">
        <f t="shared" si="41"/>
        <v>14.808761960604119</v>
      </c>
      <c r="Q314">
        <f t="shared" si="42"/>
        <v>9.5825359585962489E-3</v>
      </c>
      <c r="R314">
        <f t="shared" si="43"/>
        <v>0</v>
      </c>
      <c r="S314">
        <f t="shared" si="44"/>
        <v>0</v>
      </c>
    </row>
    <row r="315" spans="1:19" x14ac:dyDescent="0.3">
      <c r="A315" t="s">
        <v>117</v>
      </c>
      <c r="B315">
        <v>2010</v>
      </c>
      <c r="C315">
        <v>1.1698486912972098E-2</v>
      </c>
      <c r="D315">
        <v>8.6130255303869849E-2</v>
      </c>
      <c r="E315">
        <v>-0.18032498295828639</v>
      </c>
      <c r="F315">
        <v>0.48587999996897979</v>
      </c>
      <c r="G315">
        <v>0.78062985320473399</v>
      </c>
      <c r="H315">
        <v>14.76289910137216</v>
      </c>
      <c r="I315">
        <v>1.4004477719566404E-2</v>
      </c>
      <c r="J315">
        <v>3.4191997878219409E-3</v>
      </c>
      <c r="K315">
        <f t="shared" si="36"/>
        <v>1.1698486912972098E-2</v>
      </c>
      <c r="L315">
        <f t="shared" si="37"/>
        <v>8.6130255303869849E-2</v>
      </c>
      <c r="M315">
        <f t="shared" si="38"/>
        <v>-0.18032498295828639</v>
      </c>
      <c r="N315">
        <f t="shared" si="39"/>
        <v>0.48587999996897979</v>
      </c>
      <c r="O315">
        <f t="shared" si="40"/>
        <v>0.78062985320473399</v>
      </c>
      <c r="P315">
        <f t="shared" si="41"/>
        <v>14.76289910137216</v>
      </c>
      <c r="Q315">
        <f t="shared" si="42"/>
        <v>1.4004477719566404E-2</v>
      </c>
      <c r="R315">
        <f t="shared" si="43"/>
        <v>3.4191997878219409E-3</v>
      </c>
      <c r="S315">
        <f t="shared" si="44"/>
        <v>0</v>
      </c>
    </row>
    <row r="316" spans="1:19" x14ac:dyDescent="0.3">
      <c r="A316" t="s">
        <v>118</v>
      </c>
      <c r="B316">
        <v>2007</v>
      </c>
      <c r="C316">
        <v>2.771464838405643E-3</v>
      </c>
      <c r="D316">
        <v>6.1554642607400199E-2</v>
      </c>
      <c r="E316">
        <v>-2.829231400687118E-2</v>
      </c>
      <c r="F316">
        <v>0.16576628104952723</v>
      </c>
      <c r="G316">
        <v>0.67547163357757445</v>
      </c>
      <c r="H316">
        <v>13.866690245898855</v>
      </c>
      <c r="I316">
        <v>8.7250143429395913E-3</v>
      </c>
      <c r="J316">
        <v>0</v>
      </c>
      <c r="K316">
        <f t="shared" si="36"/>
        <v>2.771464838405643E-3</v>
      </c>
      <c r="L316">
        <f t="shared" si="37"/>
        <v>6.1554642607400199E-2</v>
      </c>
      <c r="M316">
        <f t="shared" si="38"/>
        <v>-2.829231400687118E-2</v>
      </c>
      <c r="N316">
        <f t="shared" si="39"/>
        <v>0.16576628104952723</v>
      </c>
      <c r="O316">
        <f t="shared" si="40"/>
        <v>0.67547163357757445</v>
      </c>
      <c r="P316">
        <f t="shared" si="41"/>
        <v>13.866690245898855</v>
      </c>
      <c r="Q316">
        <f t="shared" si="42"/>
        <v>8.7250143429395913E-3</v>
      </c>
      <c r="R316">
        <f t="shared" si="43"/>
        <v>0</v>
      </c>
      <c r="S316">
        <f t="shared" si="44"/>
        <v>0</v>
      </c>
    </row>
    <row r="317" spans="1:19" x14ac:dyDescent="0.3">
      <c r="A317" t="s">
        <v>118</v>
      </c>
      <c r="B317">
        <v>2009</v>
      </c>
      <c r="C317">
        <v>3.163115648020859E-3</v>
      </c>
      <c r="D317">
        <v>6.8319477665084616E-2</v>
      </c>
      <c r="E317">
        <v>-3.5963055000247726E-2</v>
      </c>
      <c r="F317">
        <v>0.30556389595086575</v>
      </c>
      <c r="G317">
        <v>0.57167152067724936</v>
      </c>
      <c r="H317">
        <v>14.331471175056318</v>
      </c>
      <c r="I317">
        <v>1.3781041761368608E-2</v>
      </c>
      <c r="J317">
        <v>0</v>
      </c>
      <c r="K317">
        <f t="shared" si="36"/>
        <v>3.163115648020859E-3</v>
      </c>
      <c r="L317">
        <f t="shared" si="37"/>
        <v>6.8319477665084616E-2</v>
      </c>
      <c r="M317">
        <f t="shared" si="38"/>
        <v>-3.5963055000247726E-2</v>
      </c>
      <c r="N317">
        <f t="shared" si="39"/>
        <v>0.30556389595086575</v>
      </c>
      <c r="O317">
        <f t="shared" si="40"/>
        <v>0.57167152067724936</v>
      </c>
      <c r="P317">
        <f t="shared" si="41"/>
        <v>14.331471175056318</v>
      </c>
      <c r="Q317">
        <f t="shared" si="42"/>
        <v>1.3781041761368608E-2</v>
      </c>
      <c r="R317">
        <f t="shared" si="43"/>
        <v>0</v>
      </c>
      <c r="S317">
        <f t="shared" si="44"/>
        <v>0</v>
      </c>
    </row>
    <row r="318" spans="1:19" x14ac:dyDescent="0.3">
      <c r="A318" t="s">
        <v>118</v>
      </c>
      <c r="B318">
        <v>2010</v>
      </c>
      <c r="C318">
        <v>1.154443255394328E-2</v>
      </c>
      <c r="D318">
        <v>0.11948266989360992</v>
      </c>
      <c r="E318">
        <v>9.7115129956957345E-3</v>
      </c>
      <c r="F318">
        <v>0.26062016739050392</v>
      </c>
      <c r="G318">
        <v>0.50820211315977026</v>
      </c>
      <c r="H318">
        <v>14.434845414969836</v>
      </c>
      <c r="I318">
        <v>2.7868521995570369E-3</v>
      </c>
      <c r="J318">
        <v>3.6475368360309461E-3</v>
      </c>
      <c r="K318">
        <f t="shared" si="36"/>
        <v>1.154443255394328E-2</v>
      </c>
      <c r="L318">
        <f t="shared" si="37"/>
        <v>0.11948266989360992</v>
      </c>
      <c r="M318">
        <f t="shared" si="38"/>
        <v>9.7115129956957345E-3</v>
      </c>
      <c r="N318">
        <f t="shared" si="39"/>
        <v>0.26062016739050392</v>
      </c>
      <c r="O318">
        <f t="shared" si="40"/>
        <v>0.50820211315977026</v>
      </c>
      <c r="P318">
        <f t="shared" si="41"/>
        <v>14.434845414969836</v>
      </c>
      <c r="Q318">
        <f t="shared" si="42"/>
        <v>2.7868521995570369E-3</v>
      </c>
      <c r="R318">
        <f t="shared" si="43"/>
        <v>3.6475368360309461E-3</v>
      </c>
      <c r="S318">
        <f t="shared" si="44"/>
        <v>0</v>
      </c>
    </row>
    <row r="319" spans="1:19" x14ac:dyDescent="0.3">
      <c r="A319" t="s">
        <v>119</v>
      </c>
      <c r="B319">
        <v>2007</v>
      </c>
      <c r="C319">
        <v>1.1576284514132135E-4</v>
      </c>
      <c r="D319">
        <v>0.16622851052161564</v>
      </c>
      <c r="E319">
        <v>-1.3887273662298975E-2</v>
      </c>
      <c r="F319">
        <v>0.24476799952201148</v>
      </c>
      <c r="G319">
        <v>0.72901838442013489</v>
      </c>
      <c r="H319">
        <v>14.44386425155229</v>
      </c>
      <c r="I319">
        <v>3.6993480972892311E-2</v>
      </c>
      <c r="J319">
        <v>0</v>
      </c>
      <c r="K319">
        <f t="shared" si="36"/>
        <v>1.1576284514132135E-4</v>
      </c>
      <c r="L319">
        <f t="shared" si="37"/>
        <v>0.16622851052161564</v>
      </c>
      <c r="M319">
        <f t="shared" si="38"/>
        <v>-1.3887273662298975E-2</v>
      </c>
      <c r="N319">
        <f t="shared" si="39"/>
        <v>0.24476799952201148</v>
      </c>
      <c r="O319">
        <f t="shared" si="40"/>
        <v>0.72901838442013489</v>
      </c>
      <c r="P319">
        <f t="shared" si="41"/>
        <v>14.44386425155229</v>
      </c>
      <c r="Q319">
        <f t="shared" si="42"/>
        <v>3.6993480972892311E-2</v>
      </c>
      <c r="R319">
        <f t="shared" si="43"/>
        <v>0</v>
      </c>
      <c r="S319">
        <f t="shared" si="44"/>
        <v>0</v>
      </c>
    </row>
    <row r="320" spans="1:19" x14ac:dyDescent="0.3">
      <c r="A320" t="s">
        <v>119</v>
      </c>
      <c r="B320">
        <v>2009</v>
      </c>
      <c r="C320">
        <v>8.7641979640263237E-3</v>
      </c>
      <c r="D320">
        <v>0.12658025127538702</v>
      </c>
      <c r="E320">
        <v>-0.16572757268758551</v>
      </c>
      <c r="F320">
        <v>0.5650260945467348</v>
      </c>
      <c r="G320">
        <v>0.85142428913906942</v>
      </c>
      <c r="H320">
        <v>14.307748903598005</v>
      </c>
      <c r="I320">
        <v>1.1132878115849098E-2</v>
      </c>
      <c r="J320">
        <v>0</v>
      </c>
      <c r="K320">
        <f t="shared" si="36"/>
        <v>8.7641979640263237E-3</v>
      </c>
      <c r="L320">
        <f t="shared" si="37"/>
        <v>0.12658025127538702</v>
      </c>
      <c r="M320">
        <f t="shared" si="38"/>
        <v>-0.16572757268758551</v>
      </c>
      <c r="N320">
        <f t="shared" si="39"/>
        <v>0.5650260945467348</v>
      </c>
      <c r="O320">
        <f t="shared" si="40"/>
        <v>0.85142428913906942</v>
      </c>
      <c r="P320">
        <f t="shared" si="41"/>
        <v>14.307748903598005</v>
      </c>
      <c r="Q320">
        <f t="shared" si="42"/>
        <v>1.1132878115849098E-2</v>
      </c>
      <c r="R320">
        <f t="shared" si="43"/>
        <v>0</v>
      </c>
      <c r="S320">
        <f t="shared" si="44"/>
        <v>0</v>
      </c>
    </row>
    <row r="321" spans="1:19" x14ac:dyDescent="0.3">
      <c r="A321" t="s">
        <v>119</v>
      </c>
      <c r="B321">
        <v>2010</v>
      </c>
      <c r="C321">
        <v>8.979724194652438E-3</v>
      </c>
      <c r="D321">
        <v>0.16217702249736363</v>
      </c>
      <c r="E321">
        <v>-0.13539083538567048</v>
      </c>
      <c r="F321">
        <v>0.44742889607906078</v>
      </c>
      <c r="G321">
        <v>0.76158037915553334</v>
      </c>
      <c r="H321">
        <v>14.24048870895944</v>
      </c>
      <c r="I321">
        <v>2.7412778405735902E-2</v>
      </c>
      <c r="J321">
        <v>1.1297388721047989E-2</v>
      </c>
      <c r="K321">
        <f t="shared" si="36"/>
        <v>8.979724194652438E-3</v>
      </c>
      <c r="L321">
        <f t="shared" si="37"/>
        <v>0.16217702249736363</v>
      </c>
      <c r="M321">
        <f t="shared" si="38"/>
        <v>-0.13539083538567048</v>
      </c>
      <c r="N321">
        <f t="shared" si="39"/>
        <v>0.44742889607906078</v>
      </c>
      <c r="O321">
        <f t="shared" si="40"/>
        <v>0.76158037915553334</v>
      </c>
      <c r="P321">
        <f t="shared" si="41"/>
        <v>14.24048870895944</v>
      </c>
      <c r="Q321">
        <f t="shared" si="42"/>
        <v>2.7412778405735902E-2</v>
      </c>
      <c r="R321">
        <f t="shared" si="43"/>
        <v>1.1297388721047989E-2</v>
      </c>
      <c r="S321">
        <f t="shared" si="44"/>
        <v>0</v>
      </c>
    </row>
    <row r="322" spans="1:19" x14ac:dyDescent="0.3">
      <c r="A322" t="s">
        <v>120</v>
      </c>
      <c r="B322">
        <v>2007</v>
      </c>
      <c r="C322">
        <v>3.9993575329264376E-2</v>
      </c>
      <c r="D322">
        <v>6.5531641503372956E-2</v>
      </c>
      <c r="E322">
        <v>-2.3043687761002247</v>
      </c>
      <c r="F322">
        <v>0</v>
      </c>
      <c r="G322">
        <v>1.2528107934468358</v>
      </c>
      <c r="H322">
        <v>8.7364893510015538</v>
      </c>
      <c r="I322">
        <v>8.2145671876378237E-2</v>
      </c>
      <c r="J322">
        <v>0</v>
      </c>
      <c r="K322">
        <f t="shared" si="36"/>
        <v>3.9993575329264376E-2</v>
      </c>
      <c r="L322">
        <f t="shared" si="37"/>
        <v>6.5531641503372956E-2</v>
      </c>
      <c r="M322">
        <f t="shared" si="38"/>
        <v>-2.3043687761002247</v>
      </c>
      <c r="N322">
        <f t="shared" si="39"/>
        <v>0</v>
      </c>
      <c r="O322">
        <f t="shared" si="40"/>
        <v>1.2528107934468358</v>
      </c>
      <c r="P322" t="str">
        <f t="shared" si="41"/>
        <v>out</v>
      </c>
      <c r="Q322">
        <f t="shared" si="42"/>
        <v>8.2145671876378237E-2</v>
      </c>
      <c r="R322">
        <f t="shared" si="43"/>
        <v>0</v>
      </c>
      <c r="S322">
        <f t="shared" si="44"/>
        <v>1</v>
      </c>
    </row>
    <row r="323" spans="1:19" x14ac:dyDescent="0.3">
      <c r="A323" t="s">
        <v>120</v>
      </c>
      <c r="B323">
        <v>2009</v>
      </c>
      <c r="C323">
        <v>6.2125748502994009E-2</v>
      </c>
      <c r="D323">
        <v>0.17814371257485029</v>
      </c>
      <c r="E323">
        <v>-5.9221556886227544</v>
      </c>
      <c r="F323">
        <v>0</v>
      </c>
      <c r="G323">
        <v>-32.349176646706589</v>
      </c>
      <c r="H323">
        <v>7.8905825346565361</v>
      </c>
      <c r="I323">
        <v>1.3519082196233283</v>
      </c>
      <c r="J323">
        <v>0</v>
      </c>
      <c r="K323">
        <f t="shared" ref="K323:K386" si="45">IF(OR(C323&lt;$C$1007-3*$C$1008,C323&gt;$C$1007+3*$C$1008),"out",C323)</f>
        <v>6.2125748502994009E-2</v>
      </c>
      <c r="L323">
        <f t="shared" ref="L323:L386" si="46">IF(OR(D323&lt;$D$1007-3*$D$1008,D323&gt;$D$1007+3*$D$1008),"out",D323)</f>
        <v>0.17814371257485029</v>
      </c>
      <c r="M323">
        <f t="shared" ref="M323:M386" si="47">IF(OR(E323&lt;$E$1007-3*$E$1008,E323&gt;$E$1007+3*$E$1008),"out",E323)</f>
        <v>-5.9221556886227544</v>
      </c>
      <c r="N323">
        <f t="shared" ref="N323:N386" si="48">IF(OR(F323&lt;$F$1007-3*$F$1008,F323&gt;$F$1007+3*$F$1008),"out",F323)</f>
        <v>0</v>
      </c>
      <c r="O323">
        <f t="shared" ref="O323:O386" si="49">IF(OR(G323&lt;$G$1007-3*$G$1008,G323&gt;$G$1007+3*$G$1008),"out",G323)</f>
        <v>-32.349176646706589</v>
      </c>
      <c r="P323" t="str">
        <f t="shared" ref="P323:P386" si="50">IF(OR(H323&lt;$H$1007-3*$H$1008,H323&gt;$H$1007+3*$H$1008),"out",H323)</f>
        <v>out</v>
      </c>
      <c r="Q323" t="str">
        <f t="shared" ref="Q323:Q386" si="51">IF(OR(I323&lt;$I$1007-3*$I$1008,I323&gt;$I$1007+3*$I$1008),"out",I323)</f>
        <v>out</v>
      </c>
      <c r="R323">
        <f t="shared" ref="R323:R386" si="52">IF(OR(J323&lt;$J$1007-3*$J$1008,J323&gt;$J$1007+3*$J$1008),"out",J323)</f>
        <v>0</v>
      </c>
      <c r="S323">
        <f t="shared" ref="S323:S386" si="53">IF(OR(K323="ot",L323="out",M323="out",N323="out",O323="out",P323="out",Q323="out",R323="out"),1,0)</f>
        <v>1</v>
      </c>
    </row>
    <row r="324" spans="1:19" x14ac:dyDescent="0.3">
      <c r="A324" t="s">
        <v>121</v>
      </c>
      <c r="B324">
        <v>2007</v>
      </c>
      <c r="C324">
        <v>9.6912380157544321E-3</v>
      </c>
      <c r="D324">
        <v>6.0083880905267652E-2</v>
      </c>
      <c r="E324">
        <v>-0.55805544498352322</v>
      </c>
      <c r="F324">
        <v>0.27438529962456787</v>
      </c>
      <c r="G324">
        <v>1.0530745755476201</v>
      </c>
      <c r="H324">
        <v>14.260240609016799</v>
      </c>
      <c r="I324">
        <v>8.223128821882586E-4</v>
      </c>
      <c r="J324">
        <v>0</v>
      </c>
      <c r="K324">
        <f t="shared" si="45"/>
        <v>9.6912380157544321E-3</v>
      </c>
      <c r="L324">
        <f t="shared" si="46"/>
        <v>6.0083880905267652E-2</v>
      </c>
      <c r="M324">
        <f t="shared" si="47"/>
        <v>-0.55805544498352322</v>
      </c>
      <c r="N324">
        <f t="shared" si="48"/>
        <v>0.27438529962456787</v>
      </c>
      <c r="O324">
        <f t="shared" si="49"/>
        <v>1.0530745755476201</v>
      </c>
      <c r="P324">
        <f t="shared" si="50"/>
        <v>14.260240609016799</v>
      </c>
      <c r="Q324">
        <f t="shared" si="51"/>
        <v>8.223128821882586E-4</v>
      </c>
      <c r="R324">
        <f t="shared" si="52"/>
        <v>0</v>
      </c>
      <c r="S324">
        <f t="shared" si="53"/>
        <v>0</v>
      </c>
    </row>
    <row r="325" spans="1:19" x14ac:dyDescent="0.3">
      <c r="A325" t="s">
        <v>121</v>
      </c>
      <c r="B325">
        <v>2009</v>
      </c>
      <c r="C325">
        <v>1.9978034939590557E-2</v>
      </c>
      <c r="D325">
        <v>8.8590936400261541E-2</v>
      </c>
      <c r="E325">
        <v>3.308577041039952E-2</v>
      </c>
      <c r="F325">
        <v>0.51727551448483533</v>
      </c>
      <c r="G325">
        <v>0.75343252431826235</v>
      </c>
      <c r="H325">
        <v>14.408415767404785</v>
      </c>
      <c r="I325">
        <v>5.6787384146475141E-2</v>
      </c>
      <c r="J325">
        <v>3.8137623760734498E-3</v>
      </c>
      <c r="K325">
        <f t="shared" si="45"/>
        <v>1.9978034939590557E-2</v>
      </c>
      <c r="L325">
        <f t="shared" si="46"/>
        <v>8.8590936400261541E-2</v>
      </c>
      <c r="M325">
        <f t="shared" si="47"/>
        <v>3.308577041039952E-2</v>
      </c>
      <c r="N325">
        <f t="shared" si="48"/>
        <v>0.51727551448483533</v>
      </c>
      <c r="O325">
        <f t="shared" si="49"/>
        <v>0.75343252431826235</v>
      </c>
      <c r="P325">
        <f t="shared" si="50"/>
        <v>14.408415767404785</v>
      </c>
      <c r="Q325">
        <f t="shared" si="51"/>
        <v>5.6787384146475141E-2</v>
      </c>
      <c r="R325">
        <f t="shared" si="52"/>
        <v>3.8137623760734498E-3</v>
      </c>
      <c r="S325">
        <f t="shared" si="53"/>
        <v>0</v>
      </c>
    </row>
    <row r="326" spans="1:19" x14ac:dyDescent="0.3">
      <c r="A326" t="s">
        <v>121</v>
      </c>
      <c r="B326">
        <v>2010</v>
      </c>
      <c r="C326">
        <v>6.8968197834077035E-3</v>
      </c>
      <c r="D326">
        <v>0.26139600678198077</v>
      </c>
      <c r="E326">
        <v>0.1820487164824629</v>
      </c>
      <c r="F326">
        <v>0.26215335544917079</v>
      </c>
      <c r="G326">
        <v>0.56377541255184682</v>
      </c>
      <c r="H326">
        <v>14.344978724623958</v>
      </c>
      <c r="I326">
        <v>1.9484676810866866E-2</v>
      </c>
      <c r="J326">
        <v>1.2190604518532959E-2</v>
      </c>
      <c r="K326">
        <f t="shared" si="45"/>
        <v>6.8968197834077035E-3</v>
      </c>
      <c r="L326">
        <f t="shared" si="46"/>
        <v>0.26139600678198077</v>
      </c>
      <c r="M326">
        <f t="shared" si="47"/>
        <v>0.1820487164824629</v>
      </c>
      <c r="N326">
        <f t="shared" si="48"/>
        <v>0.26215335544917079</v>
      </c>
      <c r="O326">
        <f t="shared" si="49"/>
        <v>0.56377541255184682</v>
      </c>
      <c r="P326">
        <f t="shared" si="50"/>
        <v>14.344978724623958</v>
      </c>
      <c r="Q326">
        <f t="shared" si="51"/>
        <v>1.9484676810866866E-2</v>
      </c>
      <c r="R326">
        <f t="shared" si="52"/>
        <v>1.2190604518532959E-2</v>
      </c>
      <c r="S326">
        <f t="shared" si="53"/>
        <v>0</v>
      </c>
    </row>
    <row r="327" spans="1:19" x14ac:dyDescent="0.3">
      <c r="A327" t="s">
        <v>122</v>
      </c>
      <c r="B327">
        <v>2007</v>
      </c>
      <c r="C327">
        <v>0.10392836063700911</v>
      </c>
      <c r="D327">
        <v>0.17322696962019729</v>
      </c>
      <c r="E327">
        <v>-8.2445937101872799E-2</v>
      </c>
      <c r="F327">
        <v>0.24329400512787136</v>
      </c>
      <c r="G327">
        <v>0.85932741589975314</v>
      </c>
      <c r="H327">
        <v>15.090885369477935</v>
      </c>
      <c r="I327">
        <v>2.3355551494598066E-2</v>
      </c>
      <c r="J327">
        <v>0</v>
      </c>
      <c r="K327">
        <f t="shared" si="45"/>
        <v>0.10392836063700911</v>
      </c>
      <c r="L327">
        <f t="shared" si="46"/>
        <v>0.17322696962019729</v>
      </c>
      <c r="M327">
        <f t="shared" si="47"/>
        <v>-8.2445937101872799E-2</v>
      </c>
      <c r="N327">
        <f t="shared" si="48"/>
        <v>0.24329400512787136</v>
      </c>
      <c r="O327">
        <f t="shared" si="49"/>
        <v>0.85932741589975314</v>
      </c>
      <c r="P327">
        <f t="shared" si="50"/>
        <v>15.090885369477935</v>
      </c>
      <c r="Q327">
        <f t="shared" si="51"/>
        <v>2.3355551494598066E-2</v>
      </c>
      <c r="R327">
        <f t="shared" si="52"/>
        <v>0</v>
      </c>
      <c r="S327">
        <f t="shared" si="53"/>
        <v>0</v>
      </c>
    </row>
    <row r="328" spans="1:19" x14ac:dyDescent="0.3">
      <c r="A328" t="s">
        <v>122</v>
      </c>
      <c r="B328">
        <v>2009</v>
      </c>
      <c r="C328">
        <v>4.0421351475336048E-3</v>
      </c>
      <c r="D328">
        <v>8.8942493516556101E-2</v>
      </c>
      <c r="E328">
        <v>-1.9927430795261662E-2</v>
      </c>
      <c r="F328">
        <v>0.41025627250252727</v>
      </c>
      <c r="G328">
        <v>0.72481701749940386</v>
      </c>
      <c r="H328">
        <v>15.024607312407619</v>
      </c>
      <c r="I328">
        <v>5.9886985017082978E-2</v>
      </c>
      <c r="J328">
        <v>8.0586021548702154E-3</v>
      </c>
      <c r="K328">
        <f t="shared" si="45"/>
        <v>4.0421351475336048E-3</v>
      </c>
      <c r="L328">
        <f t="shared" si="46"/>
        <v>8.8942493516556101E-2</v>
      </c>
      <c r="M328">
        <f t="shared" si="47"/>
        <v>-1.9927430795261662E-2</v>
      </c>
      <c r="N328">
        <f t="shared" si="48"/>
        <v>0.41025627250252727</v>
      </c>
      <c r="O328">
        <f t="shared" si="49"/>
        <v>0.72481701749940386</v>
      </c>
      <c r="P328">
        <f t="shared" si="50"/>
        <v>15.024607312407619</v>
      </c>
      <c r="Q328">
        <f t="shared" si="51"/>
        <v>5.9886985017082978E-2</v>
      </c>
      <c r="R328">
        <f t="shared" si="52"/>
        <v>8.0586021548702154E-3</v>
      </c>
      <c r="S328">
        <f t="shared" si="53"/>
        <v>0</v>
      </c>
    </row>
    <row r="329" spans="1:19" x14ac:dyDescent="0.3">
      <c r="A329" t="s">
        <v>122</v>
      </c>
      <c r="B329">
        <v>2010</v>
      </c>
      <c r="C329">
        <v>6.127112023035142E-3</v>
      </c>
      <c r="D329">
        <v>0.24920907609288548</v>
      </c>
      <c r="E329">
        <v>0.1406037358275582</v>
      </c>
      <c r="F329">
        <v>0.29079387713048066</v>
      </c>
      <c r="G329">
        <v>0.65755171171250593</v>
      </c>
      <c r="H329">
        <v>15.104724473283204</v>
      </c>
      <c r="I329">
        <v>1.3970192301322392E-2</v>
      </c>
      <c r="J329">
        <v>2.4793852887602302E-2</v>
      </c>
      <c r="K329">
        <f t="shared" si="45"/>
        <v>6.127112023035142E-3</v>
      </c>
      <c r="L329">
        <f t="shared" si="46"/>
        <v>0.24920907609288548</v>
      </c>
      <c r="M329">
        <f t="shared" si="47"/>
        <v>0.1406037358275582</v>
      </c>
      <c r="N329">
        <f t="shared" si="48"/>
        <v>0.29079387713048066</v>
      </c>
      <c r="O329">
        <f t="shared" si="49"/>
        <v>0.65755171171250593</v>
      </c>
      <c r="P329">
        <f t="shared" si="50"/>
        <v>15.104724473283204</v>
      </c>
      <c r="Q329">
        <f t="shared" si="51"/>
        <v>1.3970192301322392E-2</v>
      </c>
      <c r="R329">
        <f t="shared" si="52"/>
        <v>2.4793852887602302E-2</v>
      </c>
      <c r="S329">
        <f t="shared" si="53"/>
        <v>0</v>
      </c>
    </row>
    <row r="330" spans="1:19" x14ac:dyDescent="0.3">
      <c r="A330" t="s">
        <v>123</v>
      </c>
      <c r="B330">
        <v>2009</v>
      </c>
      <c r="C330">
        <v>1.1610226042057898E-2</v>
      </c>
      <c r="D330">
        <v>0.1276249721959882</v>
      </c>
      <c r="E330">
        <v>-0.21517934955021314</v>
      </c>
      <c r="F330">
        <v>0.64306577061781423</v>
      </c>
      <c r="G330">
        <v>0.88802148475246223</v>
      </c>
      <c r="H330">
        <v>12.521762560825977</v>
      </c>
      <c r="I330">
        <v>9.8862158657125384E-3</v>
      </c>
      <c r="J330">
        <v>0</v>
      </c>
      <c r="K330">
        <f t="shared" si="45"/>
        <v>1.1610226042057898E-2</v>
      </c>
      <c r="L330">
        <f t="shared" si="46"/>
        <v>0.1276249721959882</v>
      </c>
      <c r="M330">
        <f t="shared" si="47"/>
        <v>-0.21517934955021314</v>
      </c>
      <c r="N330">
        <f t="shared" si="48"/>
        <v>0.64306577061781423</v>
      </c>
      <c r="O330">
        <f t="shared" si="49"/>
        <v>0.88802148475246223</v>
      </c>
      <c r="P330">
        <f t="shared" si="50"/>
        <v>12.521762560825977</v>
      </c>
      <c r="Q330">
        <f t="shared" si="51"/>
        <v>9.8862158657125384E-3</v>
      </c>
      <c r="R330">
        <f t="shared" si="52"/>
        <v>0</v>
      </c>
      <c r="S330">
        <f t="shared" si="53"/>
        <v>0</v>
      </c>
    </row>
    <row r="331" spans="1:19" x14ac:dyDescent="0.3">
      <c r="A331" t="s">
        <v>124</v>
      </c>
      <c r="B331">
        <v>2007</v>
      </c>
      <c r="C331">
        <v>5.0982002247993902E-2</v>
      </c>
      <c r="D331">
        <v>7.2669546429661253E-2</v>
      </c>
      <c r="E331">
        <v>3.6177597652027105E-2</v>
      </c>
      <c r="F331">
        <v>0.3050171973067009</v>
      </c>
      <c r="G331">
        <v>0.95523486629343224</v>
      </c>
      <c r="H331">
        <v>14.774304302655384</v>
      </c>
      <c r="I331">
        <v>1.0650875253067502E-2</v>
      </c>
      <c r="J331">
        <v>0</v>
      </c>
      <c r="K331">
        <f t="shared" si="45"/>
        <v>5.0982002247993902E-2</v>
      </c>
      <c r="L331">
        <f t="shared" si="46"/>
        <v>7.2669546429661253E-2</v>
      </c>
      <c r="M331">
        <f t="shared" si="47"/>
        <v>3.6177597652027105E-2</v>
      </c>
      <c r="N331">
        <f t="shared" si="48"/>
        <v>0.3050171973067009</v>
      </c>
      <c r="O331">
        <f t="shared" si="49"/>
        <v>0.95523486629343224</v>
      </c>
      <c r="P331">
        <f t="shared" si="50"/>
        <v>14.774304302655384</v>
      </c>
      <c r="Q331">
        <f t="shared" si="51"/>
        <v>1.0650875253067502E-2</v>
      </c>
      <c r="R331">
        <f t="shared" si="52"/>
        <v>0</v>
      </c>
      <c r="S331">
        <f t="shared" si="53"/>
        <v>0</v>
      </c>
    </row>
    <row r="332" spans="1:19" x14ac:dyDescent="0.3">
      <c r="A332" t="s">
        <v>124</v>
      </c>
      <c r="B332">
        <v>2009</v>
      </c>
      <c r="C332">
        <v>1.0849271935187733E-2</v>
      </c>
      <c r="D332">
        <v>8.899263066825161E-2</v>
      </c>
      <c r="E332">
        <v>-0.13362098019328536</v>
      </c>
      <c r="F332">
        <v>0.50690635299889431</v>
      </c>
      <c r="G332">
        <v>0.73655710339982083</v>
      </c>
      <c r="H332">
        <v>15.146057244976932</v>
      </c>
      <c r="I332">
        <v>2.3514521349336494E-2</v>
      </c>
      <c r="J332">
        <v>0</v>
      </c>
      <c r="K332">
        <f t="shared" si="45"/>
        <v>1.0849271935187733E-2</v>
      </c>
      <c r="L332">
        <f t="shared" si="46"/>
        <v>8.899263066825161E-2</v>
      </c>
      <c r="M332">
        <f t="shared" si="47"/>
        <v>-0.13362098019328536</v>
      </c>
      <c r="N332">
        <f t="shared" si="48"/>
        <v>0.50690635299889431</v>
      </c>
      <c r="O332">
        <f t="shared" si="49"/>
        <v>0.73655710339982083</v>
      </c>
      <c r="P332">
        <f t="shared" si="50"/>
        <v>15.146057244976932</v>
      </c>
      <c r="Q332">
        <f t="shared" si="51"/>
        <v>2.3514521349336494E-2</v>
      </c>
      <c r="R332">
        <f t="shared" si="52"/>
        <v>0</v>
      </c>
      <c r="S332">
        <f t="shared" si="53"/>
        <v>0</v>
      </c>
    </row>
    <row r="333" spans="1:19" x14ac:dyDescent="0.3">
      <c r="A333" t="s">
        <v>124</v>
      </c>
      <c r="B333">
        <v>2010</v>
      </c>
      <c r="C333">
        <v>1.4691530073262569E-2</v>
      </c>
      <c r="D333">
        <v>0.158296771655101</v>
      </c>
      <c r="E333">
        <v>-4.7762996797372836E-2</v>
      </c>
      <c r="F333">
        <v>0.44197216549911089</v>
      </c>
      <c r="G333">
        <v>0.68406691611402848</v>
      </c>
      <c r="H333">
        <v>15.107360164691217</v>
      </c>
      <c r="I333">
        <v>1.234211409628958E-2</v>
      </c>
      <c r="J333">
        <v>1.1900496550086934E-2</v>
      </c>
      <c r="K333">
        <f t="shared" si="45"/>
        <v>1.4691530073262569E-2</v>
      </c>
      <c r="L333">
        <f t="shared" si="46"/>
        <v>0.158296771655101</v>
      </c>
      <c r="M333">
        <f t="shared" si="47"/>
        <v>-4.7762996797372836E-2</v>
      </c>
      <c r="N333">
        <f t="shared" si="48"/>
        <v>0.44197216549911089</v>
      </c>
      <c r="O333">
        <f t="shared" si="49"/>
        <v>0.68406691611402848</v>
      </c>
      <c r="P333">
        <f t="shared" si="50"/>
        <v>15.107360164691217</v>
      </c>
      <c r="Q333">
        <f t="shared" si="51"/>
        <v>1.234211409628958E-2</v>
      </c>
      <c r="R333">
        <f t="shared" si="52"/>
        <v>1.1900496550086934E-2</v>
      </c>
      <c r="S333">
        <f t="shared" si="53"/>
        <v>0</v>
      </c>
    </row>
    <row r="334" spans="1:19" x14ac:dyDescent="0.3">
      <c r="A334" t="s">
        <v>125</v>
      </c>
      <c r="B334">
        <v>2007</v>
      </c>
      <c r="C334">
        <v>7.1846235593805475E-4</v>
      </c>
      <c r="D334">
        <v>3.6939890795672913E-2</v>
      </c>
      <c r="E334">
        <v>0.11077440877084016</v>
      </c>
      <c r="F334">
        <v>0.29956378165416858</v>
      </c>
      <c r="G334">
        <v>0.85821406354211793</v>
      </c>
      <c r="H334">
        <v>16.14289157528502</v>
      </c>
      <c r="I334">
        <v>4.6931745397543138E-3</v>
      </c>
      <c r="J334">
        <v>0</v>
      </c>
      <c r="K334">
        <f t="shared" si="45"/>
        <v>7.1846235593805475E-4</v>
      </c>
      <c r="L334">
        <f t="shared" si="46"/>
        <v>3.6939890795672913E-2</v>
      </c>
      <c r="M334">
        <f t="shared" si="47"/>
        <v>0.11077440877084016</v>
      </c>
      <c r="N334">
        <f t="shared" si="48"/>
        <v>0.29956378165416858</v>
      </c>
      <c r="O334">
        <f t="shared" si="49"/>
        <v>0.85821406354211793</v>
      </c>
      <c r="P334">
        <f t="shared" si="50"/>
        <v>16.14289157528502</v>
      </c>
      <c r="Q334">
        <f t="shared" si="51"/>
        <v>4.6931745397543138E-3</v>
      </c>
      <c r="R334">
        <f t="shared" si="52"/>
        <v>0</v>
      </c>
      <c r="S334">
        <f t="shared" si="53"/>
        <v>0</v>
      </c>
    </row>
    <row r="335" spans="1:19" x14ac:dyDescent="0.3">
      <c r="A335" t="s">
        <v>125</v>
      </c>
      <c r="B335">
        <v>2009</v>
      </c>
      <c r="C335">
        <v>1.7502880472458505E-3</v>
      </c>
      <c r="D335">
        <v>4.7557797597507528E-2</v>
      </c>
      <c r="E335">
        <v>-0.15902584094910344</v>
      </c>
      <c r="F335">
        <v>0.58691842979071429</v>
      </c>
      <c r="G335">
        <v>0.79358208361848359</v>
      </c>
      <c r="H335">
        <v>16.196530975175257</v>
      </c>
      <c r="I335">
        <v>6.7111812456297345E-3</v>
      </c>
      <c r="J335">
        <v>0</v>
      </c>
      <c r="K335">
        <f t="shared" si="45"/>
        <v>1.7502880472458505E-3</v>
      </c>
      <c r="L335">
        <f t="shared" si="46"/>
        <v>4.7557797597507528E-2</v>
      </c>
      <c r="M335">
        <f t="shared" si="47"/>
        <v>-0.15902584094910344</v>
      </c>
      <c r="N335">
        <f t="shared" si="48"/>
        <v>0.58691842979071429</v>
      </c>
      <c r="O335">
        <f t="shared" si="49"/>
        <v>0.79358208361848359</v>
      </c>
      <c r="P335">
        <f t="shared" si="50"/>
        <v>16.196530975175257</v>
      </c>
      <c r="Q335">
        <f t="shared" si="51"/>
        <v>6.7111812456297345E-3</v>
      </c>
      <c r="R335">
        <f t="shared" si="52"/>
        <v>0</v>
      </c>
      <c r="S335">
        <f t="shared" si="53"/>
        <v>0</v>
      </c>
    </row>
    <row r="336" spans="1:19" x14ac:dyDescent="0.3">
      <c r="A336" t="s">
        <v>125</v>
      </c>
      <c r="B336">
        <v>2010</v>
      </c>
      <c r="C336">
        <v>1.4941715569942863E-3</v>
      </c>
      <c r="D336">
        <v>6.6044494079280369E-2</v>
      </c>
      <c r="E336">
        <v>-0.16451312066270271</v>
      </c>
      <c r="F336">
        <v>0.54128678393017993</v>
      </c>
      <c r="G336">
        <v>0.71374578862755167</v>
      </c>
      <c r="H336">
        <v>16.212377848023941</v>
      </c>
      <c r="I336">
        <v>1.4372248295812922E-2</v>
      </c>
      <c r="J336">
        <v>6.7173563237428128E-3</v>
      </c>
      <c r="K336">
        <f t="shared" si="45"/>
        <v>1.4941715569942863E-3</v>
      </c>
      <c r="L336">
        <f t="shared" si="46"/>
        <v>6.6044494079280369E-2</v>
      </c>
      <c r="M336">
        <f t="shared" si="47"/>
        <v>-0.16451312066270271</v>
      </c>
      <c r="N336">
        <f t="shared" si="48"/>
        <v>0.54128678393017993</v>
      </c>
      <c r="O336">
        <f t="shared" si="49"/>
        <v>0.71374578862755167</v>
      </c>
      <c r="P336">
        <f t="shared" si="50"/>
        <v>16.212377848023941</v>
      </c>
      <c r="Q336">
        <f t="shared" si="51"/>
        <v>1.4372248295812922E-2</v>
      </c>
      <c r="R336">
        <f t="shared" si="52"/>
        <v>6.7173563237428128E-3</v>
      </c>
      <c r="S336">
        <f t="shared" si="53"/>
        <v>0</v>
      </c>
    </row>
    <row r="337" spans="1:19" x14ac:dyDescent="0.3">
      <c r="A337" t="s">
        <v>126</v>
      </c>
      <c r="B337">
        <v>2009</v>
      </c>
      <c r="C337">
        <v>1.3881365966719992E-2</v>
      </c>
      <c r="D337">
        <v>5.6257978937521803E-2</v>
      </c>
      <c r="E337">
        <v>-3.9590865003086145E-2</v>
      </c>
      <c r="F337">
        <v>0.50741442170194329</v>
      </c>
      <c r="G337">
        <v>0.78073674312024588</v>
      </c>
      <c r="H337">
        <v>15.110731302359738</v>
      </c>
      <c r="I337">
        <v>5.4781718853250186E-3</v>
      </c>
      <c r="J337">
        <v>2.3276179814787331E-3</v>
      </c>
      <c r="K337">
        <f t="shared" si="45"/>
        <v>1.3881365966719992E-2</v>
      </c>
      <c r="L337">
        <f t="shared" si="46"/>
        <v>5.6257978937521803E-2</v>
      </c>
      <c r="M337">
        <f t="shared" si="47"/>
        <v>-3.9590865003086145E-2</v>
      </c>
      <c r="N337">
        <f t="shared" si="48"/>
        <v>0.50741442170194329</v>
      </c>
      <c r="O337">
        <f t="shared" si="49"/>
        <v>0.78073674312024588</v>
      </c>
      <c r="P337">
        <f t="shared" si="50"/>
        <v>15.110731302359738</v>
      </c>
      <c r="Q337">
        <f t="shared" si="51"/>
        <v>5.4781718853250186E-3</v>
      </c>
      <c r="R337">
        <f t="shared" si="52"/>
        <v>2.3276179814787331E-3</v>
      </c>
      <c r="S337">
        <f t="shared" si="53"/>
        <v>0</v>
      </c>
    </row>
    <row r="338" spans="1:19" x14ac:dyDescent="0.3">
      <c r="A338" t="s">
        <v>126</v>
      </c>
      <c r="B338">
        <v>2010</v>
      </c>
      <c r="C338">
        <v>2.3059291505703555E-2</v>
      </c>
      <c r="D338">
        <v>3.9955770818899672E-2</v>
      </c>
      <c r="E338">
        <v>-3.9863866707093999E-2</v>
      </c>
      <c r="F338">
        <v>0.47121411353902048</v>
      </c>
      <c r="G338">
        <v>0.73647903565094031</v>
      </c>
      <c r="H338">
        <v>15.155551010896687</v>
      </c>
      <c r="I338">
        <v>3.0876222242361449E-2</v>
      </c>
      <c r="J338">
        <v>0</v>
      </c>
      <c r="K338">
        <f t="shared" si="45"/>
        <v>2.3059291505703555E-2</v>
      </c>
      <c r="L338">
        <f t="shared" si="46"/>
        <v>3.9955770818899672E-2</v>
      </c>
      <c r="M338">
        <f t="shared" si="47"/>
        <v>-3.9863866707093999E-2</v>
      </c>
      <c r="N338">
        <f t="shared" si="48"/>
        <v>0.47121411353902048</v>
      </c>
      <c r="O338">
        <f t="shared" si="49"/>
        <v>0.73647903565094031</v>
      </c>
      <c r="P338">
        <f t="shared" si="50"/>
        <v>15.155551010896687</v>
      </c>
      <c r="Q338">
        <f t="shared" si="51"/>
        <v>3.0876222242361449E-2</v>
      </c>
      <c r="R338">
        <f t="shared" si="52"/>
        <v>0</v>
      </c>
      <c r="S338">
        <f t="shared" si="53"/>
        <v>0</v>
      </c>
    </row>
    <row r="339" spans="1:19" x14ac:dyDescent="0.3">
      <c r="A339" t="s">
        <v>127</v>
      </c>
      <c r="B339">
        <v>2007</v>
      </c>
      <c r="C339">
        <v>9.9190900423854381E-2</v>
      </c>
      <c r="D339">
        <v>7.2599668435125553E-2</v>
      </c>
      <c r="E339">
        <v>-0.33796841158749807</v>
      </c>
      <c r="F339">
        <v>0.1132637803475843</v>
      </c>
      <c r="G339">
        <v>1.0118591594373219</v>
      </c>
      <c r="H339">
        <v>13.981927978461353</v>
      </c>
      <c r="I339">
        <v>1.0726766475123639E-2</v>
      </c>
      <c r="J339">
        <v>0</v>
      </c>
      <c r="K339">
        <f t="shared" si="45"/>
        <v>9.9190900423854381E-2</v>
      </c>
      <c r="L339">
        <f t="shared" si="46"/>
        <v>7.2599668435125553E-2</v>
      </c>
      <c r="M339">
        <f t="shared" si="47"/>
        <v>-0.33796841158749807</v>
      </c>
      <c r="N339">
        <f t="shared" si="48"/>
        <v>0.1132637803475843</v>
      </c>
      <c r="O339">
        <f t="shared" si="49"/>
        <v>1.0118591594373219</v>
      </c>
      <c r="P339">
        <f t="shared" si="50"/>
        <v>13.981927978461353</v>
      </c>
      <c r="Q339">
        <f t="shared" si="51"/>
        <v>1.0726766475123639E-2</v>
      </c>
      <c r="R339">
        <f t="shared" si="52"/>
        <v>0</v>
      </c>
      <c r="S339">
        <f t="shared" si="53"/>
        <v>0</v>
      </c>
    </row>
    <row r="340" spans="1:19" x14ac:dyDescent="0.3">
      <c r="A340" t="s">
        <v>127</v>
      </c>
      <c r="B340">
        <v>2008</v>
      </c>
      <c r="C340">
        <v>2.9364502648765245E-3</v>
      </c>
      <c r="D340">
        <v>4.7632692326794901E-2</v>
      </c>
      <c r="E340">
        <v>-0.35714203846039233</v>
      </c>
      <c r="F340">
        <v>0.21129681376425721</v>
      </c>
      <c r="G340">
        <v>0.90249208579661233</v>
      </c>
      <c r="H340">
        <v>14.084562410581581</v>
      </c>
      <c r="I340">
        <v>2.4434704325212789E-3</v>
      </c>
      <c r="J340">
        <v>0</v>
      </c>
      <c r="K340">
        <f t="shared" si="45"/>
        <v>2.9364502648765245E-3</v>
      </c>
      <c r="L340">
        <f t="shared" si="46"/>
        <v>4.7632692326794901E-2</v>
      </c>
      <c r="M340">
        <f t="shared" si="47"/>
        <v>-0.35714203846039233</v>
      </c>
      <c r="N340">
        <f t="shared" si="48"/>
        <v>0.21129681376425721</v>
      </c>
      <c r="O340">
        <f t="shared" si="49"/>
        <v>0.90249208579661233</v>
      </c>
      <c r="P340">
        <f t="shared" si="50"/>
        <v>14.084562410581581</v>
      </c>
      <c r="Q340">
        <f t="shared" si="51"/>
        <v>2.4434704325212789E-3</v>
      </c>
      <c r="R340">
        <f t="shared" si="52"/>
        <v>0</v>
      </c>
      <c r="S340">
        <f t="shared" si="53"/>
        <v>0</v>
      </c>
    </row>
    <row r="341" spans="1:19" x14ac:dyDescent="0.3">
      <c r="A341" t="s">
        <v>127</v>
      </c>
      <c r="B341">
        <v>2009</v>
      </c>
      <c r="C341">
        <v>5.1643748076968593E-3</v>
      </c>
      <c r="D341">
        <v>5.9538630249382656E-2</v>
      </c>
      <c r="E341">
        <v>-9.3891268845707795E-2</v>
      </c>
      <c r="F341">
        <v>0.62149929390231395</v>
      </c>
      <c r="G341">
        <v>0.97065899820911528</v>
      </c>
      <c r="H341">
        <v>14.052580682806431</v>
      </c>
      <c r="I341">
        <v>3.6285491763953584E-3</v>
      </c>
      <c r="J341">
        <v>0</v>
      </c>
      <c r="K341">
        <f t="shared" si="45"/>
        <v>5.1643748076968593E-3</v>
      </c>
      <c r="L341">
        <f t="shared" si="46"/>
        <v>5.9538630249382656E-2</v>
      </c>
      <c r="M341">
        <f t="shared" si="47"/>
        <v>-9.3891268845707795E-2</v>
      </c>
      <c r="N341">
        <f t="shared" si="48"/>
        <v>0.62149929390231395</v>
      </c>
      <c r="O341">
        <f t="shared" si="49"/>
        <v>0.97065899820911528</v>
      </c>
      <c r="P341">
        <f t="shared" si="50"/>
        <v>14.052580682806431</v>
      </c>
      <c r="Q341">
        <f t="shared" si="51"/>
        <v>3.6285491763953584E-3</v>
      </c>
      <c r="R341">
        <f t="shared" si="52"/>
        <v>0</v>
      </c>
      <c r="S341">
        <f t="shared" si="53"/>
        <v>0</v>
      </c>
    </row>
    <row r="342" spans="1:19" x14ac:dyDescent="0.3">
      <c r="A342" t="s">
        <v>127</v>
      </c>
      <c r="B342">
        <v>2010</v>
      </c>
      <c r="C342">
        <v>4.8663447560651349E-3</v>
      </c>
      <c r="D342">
        <v>6.3840329736206847E-2</v>
      </c>
      <c r="E342">
        <v>-0.10629819324825197</v>
      </c>
      <c r="F342">
        <v>0.59605918893323551</v>
      </c>
      <c r="G342">
        <v>0.9162103087229212</v>
      </c>
      <c r="H342">
        <v>14.175213014358723</v>
      </c>
      <c r="I342">
        <v>1.7344448880900802E-2</v>
      </c>
      <c r="J342">
        <v>0</v>
      </c>
      <c r="K342">
        <f t="shared" si="45"/>
        <v>4.8663447560651349E-3</v>
      </c>
      <c r="L342">
        <f t="shared" si="46"/>
        <v>6.3840329736206847E-2</v>
      </c>
      <c r="M342">
        <f t="shared" si="47"/>
        <v>-0.10629819324825197</v>
      </c>
      <c r="N342">
        <f t="shared" si="48"/>
        <v>0.59605918893323551</v>
      </c>
      <c r="O342">
        <f t="shared" si="49"/>
        <v>0.9162103087229212</v>
      </c>
      <c r="P342">
        <f t="shared" si="50"/>
        <v>14.175213014358723</v>
      </c>
      <c r="Q342">
        <f t="shared" si="51"/>
        <v>1.7344448880900802E-2</v>
      </c>
      <c r="R342">
        <f t="shared" si="52"/>
        <v>0</v>
      </c>
      <c r="S342">
        <f t="shared" si="53"/>
        <v>0</v>
      </c>
    </row>
    <row r="343" spans="1:19" x14ac:dyDescent="0.3">
      <c r="A343" t="s">
        <v>128</v>
      </c>
      <c r="B343">
        <v>2007</v>
      </c>
      <c r="C343">
        <v>5.6128403164873442E-2</v>
      </c>
      <c r="D343">
        <v>9.9533390144448008E-2</v>
      </c>
      <c r="E343">
        <v>-8.0703638303803588E-2</v>
      </c>
      <c r="F343">
        <v>0.51961867026302966</v>
      </c>
      <c r="G343">
        <v>0.66292856669840317</v>
      </c>
      <c r="H343">
        <v>14.740486266012477</v>
      </c>
      <c r="I343">
        <v>4.7938289913503837E-2</v>
      </c>
      <c r="J343">
        <v>0</v>
      </c>
      <c r="K343">
        <f t="shared" si="45"/>
        <v>5.6128403164873442E-2</v>
      </c>
      <c r="L343">
        <f t="shared" si="46"/>
        <v>9.9533390144448008E-2</v>
      </c>
      <c r="M343">
        <f t="shared" si="47"/>
        <v>-8.0703638303803588E-2</v>
      </c>
      <c r="N343">
        <f t="shared" si="48"/>
        <v>0.51961867026302966</v>
      </c>
      <c r="O343">
        <f t="shared" si="49"/>
        <v>0.66292856669840317</v>
      </c>
      <c r="P343">
        <f t="shared" si="50"/>
        <v>14.740486266012477</v>
      </c>
      <c r="Q343">
        <f t="shared" si="51"/>
        <v>4.7938289913503837E-2</v>
      </c>
      <c r="R343">
        <f t="shared" si="52"/>
        <v>0</v>
      </c>
      <c r="S343">
        <f t="shared" si="53"/>
        <v>0</v>
      </c>
    </row>
    <row r="344" spans="1:19" x14ac:dyDescent="0.3">
      <c r="A344" t="s">
        <v>128</v>
      </c>
      <c r="B344">
        <v>2009</v>
      </c>
      <c r="C344">
        <v>2.7717074806322389E-3</v>
      </c>
      <c r="D344">
        <v>8.2154159730351353E-2</v>
      </c>
      <c r="E344">
        <v>-0.11583818140106707</v>
      </c>
      <c r="F344">
        <v>0.70363980082235777</v>
      </c>
      <c r="G344">
        <v>0.81443558123871318</v>
      </c>
      <c r="H344">
        <v>14.816136555901938</v>
      </c>
      <c r="I344">
        <v>3.7260573561512869E-3</v>
      </c>
      <c r="J344">
        <v>0</v>
      </c>
      <c r="K344">
        <f t="shared" si="45"/>
        <v>2.7717074806322389E-3</v>
      </c>
      <c r="L344">
        <f t="shared" si="46"/>
        <v>8.2154159730351353E-2</v>
      </c>
      <c r="M344">
        <f t="shared" si="47"/>
        <v>-0.11583818140106707</v>
      </c>
      <c r="N344">
        <f t="shared" si="48"/>
        <v>0.70363980082235777</v>
      </c>
      <c r="O344">
        <f t="shared" si="49"/>
        <v>0.81443558123871318</v>
      </c>
      <c r="P344">
        <f t="shared" si="50"/>
        <v>14.816136555901938</v>
      </c>
      <c r="Q344">
        <f t="shared" si="51"/>
        <v>3.7260573561512869E-3</v>
      </c>
      <c r="R344">
        <f t="shared" si="52"/>
        <v>0</v>
      </c>
      <c r="S344">
        <f t="shared" si="53"/>
        <v>0</v>
      </c>
    </row>
    <row r="345" spans="1:19" x14ac:dyDescent="0.3">
      <c r="A345" t="s">
        <v>128</v>
      </c>
      <c r="B345">
        <v>2010</v>
      </c>
      <c r="C345">
        <v>3.1117109847320422E-3</v>
      </c>
      <c r="D345">
        <v>6.9475131929500972E-2</v>
      </c>
      <c r="E345">
        <v>-5.2325497617583767E-2</v>
      </c>
      <c r="F345">
        <v>0.6337059060866892</v>
      </c>
      <c r="G345">
        <v>0.77650257934983091</v>
      </c>
      <c r="H345">
        <v>14.731122659621024</v>
      </c>
      <c r="I345">
        <v>4.9047300708992825E-2</v>
      </c>
      <c r="J345">
        <v>0</v>
      </c>
      <c r="K345">
        <f t="shared" si="45"/>
        <v>3.1117109847320422E-3</v>
      </c>
      <c r="L345">
        <f t="shared" si="46"/>
        <v>6.9475131929500972E-2</v>
      </c>
      <c r="M345">
        <f t="shared" si="47"/>
        <v>-5.2325497617583767E-2</v>
      </c>
      <c r="N345">
        <f t="shared" si="48"/>
        <v>0.6337059060866892</v>
      </c>
      <c r="O345">
        <f t="shared" si="49"/>
        <v>0.77650257934983091</v>
      </c>
      <c r="P345">
        <f t="shared" si="50"/>
        <v>14.731122659621024</v>
      </c>
      <c r="Q345">
        <f t="shared" si="51"/>
        <v>4.9047300708992825E-2</v>
      </c>
      <c r="R345">
        <f t="shared" si="52"/>
        <v>0</v>
      </c>
      <c r="S345">
        <f t="shared" si="53"/>
        <v>0</v>
      </c>
    </row>
    <row r="346" spans="1:19" x14ac:dyDescent="0.3">
      <c r="A346" t="s">
        <v>129</v>
      </c>
      <c r="B346">
        <v>2007</v>
      </c>
      <c r="C346">
        <v>1.9547384936486601E-2</v>
      </c>
      <c r="D346">
        <v>5.2024201679793665E-2</v>
      </c>
      <c r="E346">
        <v>-0.12343961048338667</v>
      </c>
      <c r="F346">
        <v>0.39590062647560259</v>
      </c>
      <c r="G346">
        <v>0.89628746062064679</v>
      </c>
      <c r="H346">
        <v>14.934126107395095</v>
      </c>
      <c r="I346">
        <v>3.8322229068957665E-2</v>
      </c>
      <c r="J346">
        <v>0</v>
      </c>
      <c r="K346">
        <f t="shared" si="45"/>
        <v>1.9547384936486601E-2</v>
      </c>
      <c r="L346">
        <f t="shared" si="46"/>
        <v>5.2024201679793665E-2</v>
      </c>
      <c r="M346">
        <f t="shared" si="47"/>
        <v>-0.12343961048338667</v>
      </c>
      <c r="N346">
        <f t="shared" si="48"/>
        <v>0.39590062647560259</v>
      </c>
      <c r="O346">
        <f t="shared" si="49"/>
        <v>0.89628746062064679</v>
      </c>
      <c r="P346">
        <f t="shared" si="50"/>
        <v>14.934126107395095</v>
      </c>
      <c r="Q346">
        <f t="shared" si="51"/>
        <v>3.8322229068957665E-2</v>
      </c>
      <c r="R346">
        <f t="shared" si="52"/>
        <v>0</v>
      </c>
      <c r="S346">
        <f t="shared" si="53"/>
        <v>0</v>
      </c>
    </row>
    <row r="347" spans="1:19" x14ac:dyDescent="0.3">
      <c r="A347" t="s">
        <v>129</v>
      </c>
      <c r="B347">
        <v>2008</v>
      </c>
      <c r="C347">
        <v>6.9475577811801265E-4</v>
      </c>
      <c r="D347">
        <v>0.15746228045689215</v>
      </c>
      <c r="E347">
        <v>-0.22376465148016253</v>
      </c>
      <c r="F347">
        <v>0.44746529745641561</v>
      </c>
      <c r="G347">
        <v>0.81035812066306312</v>
      </c>
      <c r="H347">
        <v>15.081491497199123</v>
      </c>
      <c r="I347">
        <v>2.4003552888349589E-2</v>
      </c>
      <c r="J347">
        <v>0</v>
      </c>
      <c r="K347">
        <f t="shared" si="45"/>
        <v>6.9475577811801265E-4</v>
      </c>
      <c r="L347">
        <f t="shared" si="46"/>
        <v>0.15746228045689215</v>
      </c>
      <c r="M347">
        <f t="shared" si="47"/>
        <v>-0.22376465148016253</v>
      </c>
      <c r="N347">
        <f t="shared" si="48"/>
        <v>0.44746529745641561</v>
      </c>
      <c r="O347">
        <f t="shared" si="49"/>
        <v>0.81035812066306312</v>
      </c>
      <c r="P347">
        <f t="shared" si="50"/>
        <v>15.081491497199123</v>
      </c>
      <c r="Q347">
        <f t="shared" si="51"/>
        <v>2.4003552888349589E-2</v>
      </c>
      <c r="R347">
        <f t="shared" si="52"/>
        <v>0</v>
      </c>
      <c r="S347">
        <f t="shared" si="53"/>
        <v>0</v>
      </c>
    </row>
    <row r="348" spans="1:19" x14ac:dyDescent="0.3">
      <c r="A348" t="s">
        <v>129</v>
      </c>
      <c r="B348">
        <v>2009</v>
      </c>
      <c r="C348">
        <v>8.6906174442722122E-3</v>
      </c>
      <c r="D348">
        <v>0.10571190861571179</v>
      </c>
      <c r="E348">
        <v>-0.19385238870291843</v>
      </c>
      <c r="F348">
        <v>0.63516503129181145</v>
      </c>
      <c r="G348">
        <v>0.86434118635761759</v>
      </c>
      <c r="H348">
        <v>15.017938269248489</v>
      </c>
      <c r="I348">
        <v>9.5357721190705708E-3</v>
      </c>
      <c r="J348">
        <v>0</v>
      </c>
      <c r="K348">
        <f t="shared" si="45"/>
        <v>8.6906174442722122E-3</v>
      </c>
      <c r="L348">
        <f t="shared" si="46"/>
        <v>0.10571190861571179</v>
      </c>
      <c r="M348">
        <f t="shared" si="47"/>
        <v>-0.19385238870291843</v>
      </c>
      <c r="N348">
        <f t="shared" si="48"/>
        <v>0.63516503129181145</v>
      </c>
      <c r="O348">
        <f t="shared" si="49"/>
        <v>0.86434118635761759</v>
      </c>
      <c r="P348">
        <f t="shared" si="50"/>
        <v>15.017938269248489</v>
      </c>
      <c r="Q348">
        <f t="shared" si="51"/>
        <v>9.5357721190705708E-3</v>
      </c>
      <c r="R348">
        <f t="shared" si="52"/>
        <v>0</v>
      </c>
      <c r="S348">
        <f t="shared" si="53"/>
        <v>0</v>
      </c>
    </row>
    <row r="349" spans="1:19" x14ac:dyDescent="0.3">
      <c r="A349" t="s">
        <v>129</v>
      </c>
      <c r="B349">
        <v>2010</v>
      </c>
      <c r="C349">
        <v>2.4003532606731229E-3</v>
      </c>
      <c r="D349">
        <v>7.2794650968334249E-2</v>
      </c>
      <c r="E349">
        <v>-0.23869041738254565</v>
      </c>
      <c r="F349">
        <v>0.62684612437378162</v>
      </c>
      <c r="G349">
        <v>0.89417031935632341</v>
      </c>
      <c r="H349">
        <v>15.015453653910523</v>
      </c>
      <c r="I349">
        <v>4.4822144604634989E-2</v>
      </c>
      <c r="J349">
        <v>0</v>
      </c>
      <c r="K349">
        <f t="shared" si="45"/>
        <v>2.4003532606731229E-3</v>
      </c>
      <c r="L349">
        <f t="shared" si="46"/>
        <v>7.2794650968334249E-2</v>
      </c>
      <c r="M349">
        <f t="shared" si="47"/>
        <v>-0.23869041738254565</v>
      </c>
      <c r="N349">
        <f t="shared" si="48"/>
        <v>0.62684612437378162</v>
      </c>
      <c r="O349">
        <f t="shared" si="49"/>
        <v>0.89417031935632341</v>
      </c>
      <c r="P349">
        <f t="shared" si="50"/>
        <v>15.015453653910523</v>
      </c>
      <c r="Q349">
        <f t="shared" si="51"/>
        <v>4.4822144604634989E-2</v>
      </c>
      <c r="R349">
        <f t="shared" si="52"/>
        <v>0</v>
      </c>
      <c r="S349">
        <f t="shared" si="53"/>
        <v>0</v>
      </c>
    </row>
    <row r="350" spans="1:19" x14ac:dyDescent="0.3">
      <c r="A350" t="s">
        <v>130</v>
      </c>
      <c r="B350">
        <v>2007</v>
      </c>
      <c r="C350">
        <v>2.7612393199685846E-3</v>
      </c>
      <c r="D350">
        <v>6.6883275288965746E-2</v>
      </c>
      <c r="E350">
        <v>-2.9953967775459528E-2</v>
      </c>
      <c r="F350">
        <v>0.39767092016850053</v>
      </c>
      <c r="G350">
        <v>0.94487253377547542</v>
      </c>
      <c r="H350">
        <v>16.126484367086064</v>
      </c>
      <c r="I350">
        <v>3.9259091673549129E-4</v>
      </c>
      <c r="J350">
        <v>0</v>
      </c>
      <c r="K350">
        <f t="shared" si="45"/>
        <v>2.7612393199685846E-3</v>
      </c>
      <c r="L350">
        <f t="shared" si="46"/>
        <v>6.6883275288965746E-2</v>
      </c>
      <c r="M350">
        <f t="shared" si="47"/>
        <v>-2.9953967775459528E-2</v>
      </c>
      <c r="N350">
        <f t="shared" si="48"/>
        <v>0.39767092016850053</v>
      </c>
      <c r="O350">
        <f t="shared" si="49"/>
        <v>0.94487253377547542</v>
      </c>
      <c r="P350">
        <f t="shared" si="50"/>
        <v>16.126484367086064</v>
      </c>
      <c r="Q350">
        <f t="shared" si="51"/>
        <v>3.9259091673549129E-4</v>
      </c>
      <c r="R350">
        <f t="shared" si="52"/>
        <v>0</v>
      </c>
      <c r="S350">
        <f t="shared" si="53"/>
        <v>0</v>
      </c>
    </row>
    <row r="351" spans="1:19" x14ac:dyDescent="0.3">
      <c r="A351" t="s">
        <v>130</v>
      </c>
      <c r="B351">
        <v>2008</v>
      </c>
      <c r="C351">
        <v>5.56828999438767E-3</v>
      </c>
      <c r="D351">
        <v>5.7789338701640026E-2</v>
      </c>
      <c r="E351">
        <v>-4.9141849029763741E-2</v>
      </c>
      <c r="F351">
        <v>0.42059286470992768</v>
      </c>
      <c r="G351">
        <v>0.89742155441387439</v>
      </c>
      <c r="H351">
        <v>16.333021690820267</v>
      </c>
      <c r="I351">
        <v>1.4355010632314397E-4</v>
      </c>
      <c r="J351">
        <v>0</v>
      </c>
      <c r="K351">
        <f t="shared" si="45"/>
        <v>5.56828999438767E-3</v>
      </c>
      <c r="L351">
        <f t="shared" si="46"/>
        <v>5.7789338701640026E-2</v>
      </c>
      <c r="M351">
        <f t="shared" si="47"/>
        <v>-4.9141849029763741E-2</v>
      </c>
      <c r="N351">
        <f t="shared" si="48"/>
        <v>0.42059286470992768</v>
      </c>
      <c r="O351">
        <f t="shared" si="49"/>
        <v>0.89742155441387439</v>
      </c>
      <c r="P351">
        <f t="shared" si="50"/>
        <v>16.333021690820267</v>
      </c>
      <c r="Q351">
        <f t="shared" si="51"/>
        <v>1.4355010632314397E-4</v>
      </c>
      <c r="R351">
        <f t="shared" si="52"/>
        <v>0</v>
      </c>
      <c r="S351">
        <f t="shared" si="53"/>
        <v>0</v>
      </c>
    </row>
    <row r="352" spans="1:19" x14ac:dyDescent="0.3">
      <c r="A352" t="s">
        <v>130</v>
      </c>
      <c r="B352">
        <v>2009</v>
      </c>
      <c r="C352">
        <v>1.1777515855643487E-2</v>
      </c>
      <c r="D352">
        <v>6.1104092322120773E-2</v>
      </c>
      <c r="E352">
        <v>-1.6031155456821773E-2</v>
      </c>
      <c r="F352">
        <v>0.61514906930133784</v>
      </c>
      <c r="G352">
        <v>0.89991225632641536</v>
      </c>
      <c r="H352">
        <v>16.440771366037318</v>
      </c>
      <c r="I352">
        <v>1.0905259740450878E-2</v>
      </c>
      <c r="J352">
        <v>0</v>
      </c>
      <c r="K352">
        <f t="shared" si="45"/>
        <v>1.1777515855643487E-2</v>
      </c>
      <c r="L352">
        <f t="shared" si="46"/>
        <v>6.1104092322120773E-2</v>
      </c>
      <c r="M352">
        <f t="shared" si="47"/>
        <v>-1.6031155456821773E-2</v>
      </c>
      <c r="N352">
        <f t="shared" si="48"/>
        <v>0.61514906930133784</v>
      </c>
      <c r="O352">
        <f t="shared" si="49"/>
        <v>0.89991225632641536</v>
      </c>
      <c r="P352">
        <f t="shared" si="50"/>
        <v>16.440771366037318</v>
      </c>
      <c r="Q352">
        <f t="shared" si="51"/>
        <v>1.0905259740450878E-2</v>
      </c>
      <c r="R352">
        <f t="shared" si="52"/>
        <v>0</v>
      </c>
      <c r="S352">
        <f t="shared" si="53"/>
        <v>0</v>
      </c>
    </row>
    <row r="353" spans="1:19" x14ac:dyDescent="0.3">
      <c r="A353" t="s">
        <v>130</v>
      </c>
      <c r="B353">
        <v>2010</v>
      </c>
      <c r="C353">
        <v>1.0630190517430211E-2</v>
      </c>
      <c r="D353">
        <v>9.3947963950082716E-2</v>
      </c>
      <c r="E353">
        <v>-3.662961798522088E-3</v>
      </c>
      <c r="F353">
        <v>0.58998490627642319</v>
      </c>
      <c r="G353">
        <v>0.82297620177154962</v>
      </c>
      <c r="H353">
        <v>16.509254984356456</v>
      </c>
      <c r="I353">
        <v>1.2273326781330805E-2</v>
      </c>
      <c r="J353">
        <v>5.3660861972736618E-3</v>
      </c>
      <c r="K353">
        <f t="shared" si="45"/>
        <v>1.0630190517430211E-2</v>
      </c>
      <c r="L353">
        <f t="shared" si="46"/>
        <v>9.3947963950082716E-2</v>
      </c>
      <c r="M353">
        <f t="shared" si="47"/>
        <v>-3.662961798522088E-3</v>
      </c>
      <c r="N353">
        <f t="shared" si="48"/>
        <v>0.58998490627642319</v>
      </c>
      <c r="O353">
        <f t="shared" si="49"/>
        <v>0.82297620177154962</v>
      </c>
      <c r="P353">
        <f t="shared" si="50"/>
        <v>16.509254984356456</v>
      </c>
      <c r="Q353">
        <f t="shared" si="51"/>
        <v>1.2273326781330805E-2</v>
      </c>
      <c r="R353">
        <f t="shared" si="52"/>
        <v>5.3660861972736618E-3</v>
      </c>
      <c r="S353">
        <f t="shared" si="53"/>
        <v>0</v>
      </c>
    </row>
    <row r="354" spans="1:19" x14ac:dyDescent="0.3">
      <c r="A354" t="s">
        <v>131</v>
      </c>
      <c r="B354">
        <v>2007</v>
      </c>
      <c r="C354">
        <v>1.0272717435695163E-2</v>
      </c>
      <c r="D354">
        <v>0.75593307898787732</v>
      </c>
      <c r="E354">
        <v>0.63714932963799409</v>
      </c>
      <c r="F354">
        <v>0</v>
      </c>
      <c r="G354">
        <v>0.3902236401651733</v>
      </c>
      <c r="H354">
        <v>12.565448438889295</v>
      </c>
      <c r="I354">
        <v>1.4986674065348704E-2</v>
      </c>
      <c r="J354">
        <v>0</v>
      </c>
      <c r="K354">
        <f t="shared" si="45"/>
        <v>1.0272717435695163E-2</v>
      </c>
      <c r="L354">
        <f t="shared" si="46"/>
        <v>0.75593307898787732</v>
      </c>
      <c r="M354">
        <f t="shared" si="47"/>
        <v>0.63714932963799409</v>
      </c>
      <c r="N354">
        <f t="shared" si="48"/>
        <v>0</v>
      </c>
      <c r="O354">
        <f t="shared" si="49"/>
        <v>0.3902236401651733</v>
      </c>
      <c r="P354">
        <f t="shared" si="50"/>
        <v>12.565448438889295</v>
      </c>
      <c r="Q354">
        <f t="shared" si="51"/>
        <v>1.4986674065348704E-2</v>
      </c>
      <c r="R354">
        <f t="shared" si="52"/>
        <v>0</v>
      </c>
      <c r="S354">
        <f t="shared" si="53"/>
        <v>0</v>
      </c>
    </row>
    <row r="355" spans="1:19" x14ac:dyDescent="0.3">
      <c r="A355" t="s">
        <v>131</v>
      </c>
      <c r="B355">
        <v>2009</v>
      </c>
      <c r="C355">
        <v>1.5714115082564423E-3</v>
      </c>
      <c r="D355">
        <v>0.85924855922840337</v>
      </c>
      <c r="E355">
        <v>0.40251276538564901</v>
      </c>
      <c r="F355">
        <v>6.1583654334259011E-2</v>
      </c>
      <c r="G355">
        <v>0.28586028248081458</v>
      </c>
      <c r="H355">
        <v>12.498413847362677</v>
      </c>
      <c r="I355">
        <v>0.10015574311999982</v>
      </c>
      <c r="J355">
        <v>4.0311744154797099E-3</v>
      </c>
      <c r="K355">
        <f t="shared" si="45"/>
        <v>1.5714115082564423E-3</v>
      </c>
      <c r="L355">
        <f t="shared" si="46"/>
        <v>0.85924855922840337</v>
      </c>
      <c r="M355">
        <f t="shared" si="47"/>
        <v>0.40251276538564901</v>
      </c>
      <c r="N355">
        <f t="shared" si="48"/>
        <v>6.1583654334259011E-2</v>
      </c>
      <c r="O355">
        <f t="shared" si="49"/>
        <v>0.28586028248081458</v>
      </c>
      <c r="P355">
        <f t="shared" si="50"/>
        <v>12.498413847362677</v>
      </c>
      <c r="Q355">
        <f t="shared" si="51"/>
        <v>0.10015574311999982</v>
      </c>
      <c r="R355">
        <f t="shared" si="52"/>
        <v>4.0311744154797099E-3</v>
      </c>
      <c r="S355">
        <f t="shared" si="53"/>
        <v>0</v>
      </c>
    </row>
    <row r="356" spans="1:19" x14ac:dyDescent="0.3">
      <c r="A356" t="s">
        <v>131</v>
      </c>
      <c r="B356">
        <v>2010</v>
      </c>
      <c r="C356">
        <v>3.386550556361877E-3</v>
      </c>
      <c r="D356">
        <v>1.3242124135575857</v>
      </c>
      <c r="E356">
        <v>0.38988019010216568</v>
      </c>
      <c r="F356">
        <v>7.3517554094690615E-2</v>
      </c>
      <c r="G356">
        <v>0.2223645142624055</v>
      </c>
      <c r="H356">
        <v>12.258826372966039</v>
      </c>
      <c r="I356">
        <v>0.33579241931213288</v>
      </c>
      <c r="J356">
        <v>0</v>
      </c>
      <c r="K356">
        <f t="shared" si="45"/>
        <v>3.386550556361877E-3</v>
      </c>
      <c r="L356">
        <f t="shared" si="46"/>
        <v>1.3242124135575857</v>
      </c>
      <c r="M356">
        <f t="shared" si="47"/>
        <v>0.38988019010216568</v>
      </c>
      <c r="N356">
        <f t="shared" si="48"/>
        <v>7.3517554094690615E-2</v>
      </c>
      <c r="O356">
        <f t="shared" si="49"/>
        <v>0.2223645142624055</v>
      </c>
      <c r="P356">
        <f t="shared" si="50"/>
        <v>12.258826372966039</v>
      </c>
      <c r="Q356">
        <f t="shared" si="51"/>
        <v>0.33579241931213288</v>
      </c>
      <c r="R356">
        <f t="shared" si="52"/>
        <v>0</v>
      </c>
      <c r="S356">
        <f t="shared" si="53"/>
        <v>0</v>
      </c>
    </row>
    <row r="357" spans="1:19" x14ac:dyDescent="0.3">
      <c r="A357" t="s">
        <v>132</v>
      </c>
      <c r="B357">
        <v>2007</v>
      </c>
      <c r="C357">
        <v>7.405024609476462E-3</v>
      </c>
      <c r="D357">
        <v>4.5973991947444573E-2</v>
      </c>
      <c r="E357">
        <v>-0.10228116302936557</v>
      </c>
      <c r="F357">
        <v>0.39783983581040255</v>
      </c>
      <c r="G357">
        <v>0.85834480546152747</v>
      </c>
      <c r="H357">
        <v>15.564360612470105</v>
      </c>
      <c r="I357">
        <v>1.4654703270912967E-3</v>
      </c>
      <c r="J357">
        <v>0</v>
      </c>
      <c r="K357">
        <f t="shared" si="45"/>
        <v>7.405024609476462E-3</v>
      </c>
      <c r="L357">
        <f t="shared" si="46"/>
        <v>4.5973991947444573E-2</v>
      </c>
      <c r="M357">
        <f t="shared" si="47"/>
        <v>-0.10228116302936557</v>
      </c>
      <c r="N357">
        <f t="shared" si="48"/>
        <v>0.39783983581040255</v>
      </c>
      <c r="O357">
        <f t="shared" si="49"/>
        <v>0.85834480546152747</v>
      </c>
      <c r="P357">
        <f t="shared" si="50"/>
        <v>15.564360612470105</v>
      </c>
      <c r="Q357">
        <f t="shared" si="51"/>
        <v>1.4654703270912967E-3</v>
      </c>
      <c r="R357">
        <f t="shared" si="52"/>
        <v>0</v>
      </c>
      <c r="S357">
        <f t="shared" si="53"/>
        <v>0</v>
      </c>
    </row>
    <row r="358" spans="1:19" x14ac:dyDescent="0.3">
      <c r="A358" t="s">
        <v>132</v>
      </c>
      <c r="B358">
        <v>2009</v>
      </c>
      <c r="C358">
        <v>4.7166205877145415E-3</v>
      </c>
      <c r="D358">
        <v>4.0603625004025472E-2</v>
      </c>
      <c r="E358">
        <v>-5.5582765639867152E-2</v>
      </c>
      <c r="F358">
        <v>0.38609346407451922</v>
      </c>
      <c r="G358">
        <v>0.84297398389734945</v>
      </c>
      <c r="H358">
        <v>15.860880576627567</v>
      </c>
      <c r="I358">
        <v>6.2888345421904301E-2</v>
      </c>
      <c r="J358">
        <v>9.2912342817574553E-4</v>
      </c>
      <c r="K358">
        <f t="shared" si="45"/>
        <v>4.7166205877145415E-3</v>
      </c>
      <c r="L358">
        <f t="shared" si="46"/>
        <v>4.0603625004025472E-2</v>
      </c>
      <c r="M358">
        <f t="shared" si="47"/>
        <v>-5.5582765639867152E-2</v>
      </c>
      <c r="N358">
        <f t="shared" si="48"/>
        <v>0.38609346407451922</v>
      </c>
      <c r="O358">
        <f t="shared" si="49"/>
        <v>0.84297398389734945</v>
      </c>
      <c r="P358">
        <f t="shared" si="50"/>
        <v>15.860880576627567</v>
      </c>
      <c r="Q358">
        <f t="shared" si="51"/>
        <v>6.2888345421904301E-2</v>
      </c>
      <c r="R358">
        <f t="shared" si="52"/>
        <v>9.2912342817574553E-4</v>
      </c>
      <c r="S358">
        <f t="shared" si="53"/>
        <v>0</v>
      </c>
    </row>
    <row r="359" spans="1:19" x14ac:dyDescent="0.3">
      <c r="A359" t="s">
        <v>132</v>
      </c>
      <c r="B359">
        <v>2010</v>
      </c>
      <c r="C359">
        <v>7.2806036109333777E-3</v>
      </c>
      <c r="D359">
        <v>0.21384273818463789</v>
      </c>
      <c r="E359">
        <v>-3.820925067753729E-2</v>
      </c>
      <c r="F359">
        <v>0.36102394641479402</v>
      </c>
      <c r="G359">
        <v>0.85262104816593653</v>
      </c>
      <c r="H359">
        <v>15.984277245721046</v>
      </c>
      <c r="I359">
        <v>1.7410172993213152E-3</v>
      </c>
      <c r="J359">
        <v>0</v>
      </c>
      <c r="K359">
        <f t="shared" si="45"/>
        <v>7.2806036109333777E-3</v>
      </c>
      <c r="L359">
        <f t="shared" si="46"/>
        <v>0.21384273818463789</v>
      </c>
      <c r="M359">
        <f t="shared" si="47"/>
        <v>-3.820925067753729E-2</v>
      </c>
      <c r="N359">
        <f t="shared" si="48"/>
        <v>0.36102394641479402</v>
      </c>
      <c r="O359">
        <f t="shared" si="49"/>
        <v>0.85262104816593653</v>
      </c>
      <c r="P359">
        <f t="shared" si="50"/>
        <v>15.984277245721046</v>
      </c>
      <c r="Q359">
        <f t="shared" si="51"/>
        <v>1.7410172993213152E-3</v>
      </c>
      <c r="R359">
        <f t="shared" si="52"/>
        <v>0</v>
      </c>
      <c r="S359">
        <f t="shared" si="53"/>
        <v>0</v>
      </c>
    </row>
    <row r="360" spans="1:19" x14ac:dyDescent="0.3">
      <c r="A360" t="s">
        <v>133</v>
      </c>
      <c r="B360">
        <v>2007</v>
      </c>
      <c r="C360">
        <v>1.0622125292048652E-2</v>
      </c>
      <c r="D360">
        <v>9.6757605970872115E-2</v>
      </c>
      <c r="E360">
        <v>0.25011024229387679</v>
      </c>
      <c r="F360">
        <v>3.4045809970686763E-2</v>
      </c>
      <c r="G360">
        <v>0.71117266409658875</v>
      </c>
      <c r="H360">
        <v>13.413510938109154</v>
      </c>
      <c r="I360">
        <v>7.8034983250565085E-2</v>
      </c>
      <c r="J360">
        <v>0</v>
      </c>
      <c r="K360">
        <f t="shared" si="45"/>
        <v>1.0622125292048652E-2</v>
      </c>
      <c r="L360">
        <f t="shared" si="46"/>
        <v>9.6757605970872115E-2</v>
      </c>
      <c r="M360">
        <f t="shared" si="47"/>
        <v>0.25011024229387679</v>
      </c>
      <c r="N360">
        <f t="shared" si="48"/>
        <v>3.4045809970686763E-2</v>
      </c>
      <c r="O360">
        <f t="shared" si="49"/>
        <v>0.71117266409658875</v>
      </c>
      <c r="P360">
        <f t="shared" si="50"/>
        <v>13.413510938109154</v>
      </c>
      <c r="Q360">
        <f t="shared" si="51"/>
        <v>7.8034983250565085E-2</v>
      </c>
      <c r="R360">
        <f t="shared" si="52"/>
        <v>0</v>
      </c>
      <c r="S360">
        <f t="shared" si="53"/>
        <v>0</v>
      </c>
    </row>
    <row r="361" spans="1:19" x14ac:dyDescent="0.3">
      <c r="A361" t="s">
        <v>133</v>
      </c>
      <c r="B361">
        <v>2009</v>
      </c>
      <c r="C361">
        <v>9.5396644282748171E-4</v>
      </c>
      <c r="D361">
        <v>2.8873384336245114E-2</v>
      </c>
      <c r="E361">
        <v>0.16949676711372152</v>
      </c>
      <c r="F361">
        <v>0.14061091262789696</v>
      </c>
      <c r="G361">
        <v>0.43197402467842605</v>
      </c>
      <c r="H361">
        <v>13.594757896194434</v>
      </c>
      <c r="I361">
        <v>3.3096867138322571E-2</v>
      </c>
      <c r="J361">
        <v>0</v>
      </c>
      <c r="K361">
        <f t="shared" si="45"/>
        <v>9.5396644282748171E-4</v>
      </c>
      <c r="L361">
        <f t="shared" si="46"/>
        <v>2.8873384336245114E-2</v>
      </c>
      <c r="M361">
        <f t="shared" si="47"/>
        <v>0.16949676711372152</v>
      </c>
      <c r="N361">
        <f t="shared" si="48"/>
        <v>0.14061091262789696</v>
      </c>
      <c r="O361">
        <f t="shared" si="49"/>
        <v>0.43197402467842605</v>
      </c>
      <c r="P361">
        <f t="shared" si="50"/>
        <v>13.594757896194434</v>
      </c>
      <c r="Q361">
        <f t="shared" si="51"/>
        <v>3.3096867138322571E-2</v>
      </c>
      <c r="R361">
        <f t="shared" si="52"/>
        <v>0</v>
      </c>
      <c r="S361">
        <f t="shared" si="53"/>
        <v>0</v>
      </c>
    </row>
    <row r="362" spans="1:19" x14ac:dyDescent="0.3">
      <c r="A362" t="s">
        <v>133</v>
      </c>
      <c r="B362">
        <v>2010</v>
      </c>
      <c r="C362">
        <v>2.158410255400946E-3</v>
      </c>
      <c r="D362">
        <v>0.11974256529355036</v>
      </c>
      <c r="E362">
        <v>0.21057730367104691</v>
      </c>
      <c r="F362">
        <v>0.10299575097150331</v>
      </c>
      <c r="G362">
        <v>0.39674401516791646</v>
      </c>
      <c r="H362">
        <v>13.72620054112514</v>
      </c>
      <c r="I362">
        <v>5.6982865617934211E-3</v>
      </c>
      <c r="J362">
        <v>1.6630911846326438E-2</v>
      </c>
      <c r="K362">
        <f t="shared" si="45"/>
        <v>2.158410255400946E-3</v>
      </c>
      <c r="L362">
        <f t="shared" si="46"/>
        <v>0.11974256529355036</v>
      </c>
      <c r="M362">
        <f t="shared" si="47"/>
        <v>0.21057730367104691</v>
      </c>
      <c r="N362">
        <f t="shared" si="48"/>
        <v>0.10299575097150331</v>
      </c>
      <c r="O362">
        <f t="shared" si="49"/>
        <v>0.39674401516791646</v>
      </c>
      <c r="P362">
        <f t="shared" si="50"/>
        <v>13.72620054112514</v>
      </c>
      <c r="Q362">
        <f t="shared" si="51"/>
        <v>5.6982865617934211E-3</v>
      </c>
      <c r="R362">
        <f t="shared" si="52"/>
        <v>1.6630911846326438E-2</v>
      </c>
      <c r="S362">
        <f t="shared" si="53"/>
        <v>0</v>
      </c>
    </row>
    <row r="363" spans="1:19" x14ac:dyDescent="0.3">
      <c r="A363" t="s">
        <v>134</v>
      </c>
      <c r="B363">
        <v>2007</v>
      </c>
      <c r="C363">
        <v>1.8353372277246968E-2</v>
      </c>
      <c r="D363">
        <v>0.43426270618080731</v>
      </c>
      <c r="E363">
        <v>-0.50572251975545035</v>
      </c>
      <c r="F363">
        <v>0.3159535588969995</v>
      </c>
      <c r="G363">
        <v>0.97180535171019511</v>
      </c>
      <c r="H363">
        <v>12.927642060352811</v>
      </c>
      <c r="I363">
        <v>9.594960144503116E-2</v>
      </c>
      <c r="J363">
        <v>0</v>
      </c>
      <c r="K363">
        <f t="shared" si="45"/>
        <v>1.8353372277246968E-2</v>
      </c>
      <c r="L363">
        <f t="shared" si="46"/>
        <v>0.43426270618080731</v>
      </c>
      <c r="M363">
        <f t="shared" si="47"/>
        <v>-0.50572251975545035</v>
      </c>
      <c r="N363">
        <f t="shared" si="48"/>
        <v>0.3159535588969995</v>
      </c>
      <c r="O363">
        <f t="shared" si="49"/>
        <v>0.97180535171019511</v>
      </c>
      <c r="P363">
        <f t="shared" si="50"/>
        <v>12.927642060352811</v>
      </c>
      <c r="Q363">
        <f t="shared" si="51"/>
        <v>9.594960144503116E-2</v>
      </c>
      <c r="R363">
        <f t="shared" si="52"/>
        <v>0</v>
      </c>
      <c r="S363">
        <f t="shared" si="53"/>
        <v>0</v>
      </c>
    </row>
    <row r="364" spans="1:19" x14ac:dyDescent="0.3">
      <c r="A364" t="s">
        <v>134</v>
      </c>
      <c r="B364">
        <v>2008</v>
      </c>
      <c r="C364">
        <v>3.5886474867323271E-3</v>
      </c>
      <c r="D364">
        <v>5.5544490727809287E-2</v>
      </c>
      <c r="E364">
        <v>-0.22066235138384563</v>
      </c>
      <c r="F364">
        <v>0.23278117144140972</v>
      </c>
      <c r="G364">
        <v>0.63453001469463099</v>
      </c>
      <c r="H364">
        <v>13.621233821951046</v>
      </c>
      <c r="I364">
        <v>1.4523286560879608E-2</v>
      </c>
      <c r="J364">
        <v>0</v>
      </c>
      <c r="K364">
        <f t="shared" si="45"/>
        <v>3.5886474867323271E-3</v>
      </c>
      <c r="L364">
        <f t="shared" si="46"/>
        <v>5.5544490727809287E-2</v>
      </c>
      <c r="M364">
        <f t="shared" si="47"/>
        <v>-0.22066235138384563</v>
      </c>
      <c r="N364">
        <f t="shared" si="48"/>
        <v>0.23278117144140972</v>
      </c>
      <c r="O364">
        <f t="shared" si="49"/>
        <v>0.63453001469463099</v>
      </c>
      <c r="P364">
        <f t="shared" si="50"/>
        <v>13.621233821951046</v>
      </c>
      <c r="Q364">
        <f t="shared" si="51"/>
        <v>1.4523286560879608E-2</v>
      </c>
      <c r="R364">
        <f t="shared" si="52"/>
        <v>0</v>
      </c>
      <c r="S364">
        <f t="shared" si="53"/>
        <v>0</v>
      </c>
    </row>
    <row r="365" spans="1:19" x14ac:dyDescent="0.3">
      <c r="A365" t="s">
        <v>134</v>
      </c>
      <c r="B365">
        <v>2009</v>
      </c>
      <c r="C365">
        <v>3.4422584290955294E-2</v>
      </c>
      <c r="D365">
        <v>4.3015619610607209E-2</v>
      </c>
      <c r="E365">
        <v>-1.9293770560639998E-2</v>
      </c>
      <c r="F365">
        <v>0.37123739435938058</v>
      </c>
      <c r="G365">
        <v>0.5870135146373352</v>
      </c>
      <c r="H365">
        <v>13.50558423989076</v>
      </c>
      <c r="I365">
        <v>2.3140064073149818E-2</v>
      </c>
      <c r="J365">
        <v>0</v>
      </c>
      <c r="K365">
        <f t="shared" si="45"/>
        <v>3.4422584290955294E-2</v>
      </c>
      <c r="L365">
        <f t="shared" si="46"/>
        <v>4.3015619610607209E-2</v>
      </c>
      <c r="M365">
        <f t="shared" si="47"/>
        <v>-1.9293770560639998E-2</v>
      </c>
      <c r="N365">
        <f t="shared" si="48"/>
        <v>0.37123739435938058</v>
      </c>
      <c r="O365">
        <f t="shared" si="49"/>
        <v>0.5870135146373352</v>
      </c>
      <c r="P365">
        <f t="shared" si="50"/>
        <v>13.50558423989076</v>
      </c>
      <c r="Q365">
        <f t="shared" si="51"/>
        <v>2.3140064073149818E-2</v>
      </c>
      <c r="R365">
        <f t="shared" si="52"/>
        <v>0</v>
      </c>
      <c r="S365">
        <f t="shared" si="53"/>
        <v>0</v>
      </c>
    </row>
    <row r="366" spans="1:19" x14ac:dyDescent="0.3">
      <c r="A366" t="s">
        <v>134</v>
      </c>
      <c r="B366">
        <v>2010</v>
      </c>
      <c r="C366">
        <v>1.1474297356516932E-2</v>
      </c>
      <c r="D366">
        <v>7.7850987870383456E-2</v>
      </c>
      <c r="E366">
        <v>-9.4966931227201644E-3</v>
      </c>
      <c r="F366">
        <v>0.34676323566178696</v>
      </c>
      <c r="G366">
        <v>0.64894304158171068</v>
      </c>
      <c r="H366">
        <v>14.068540624806454</v>
      </c>
      <c r="I366">
        <v>9.8782261359207924E-4</v>
      </c>
      <c r="J366">
        <v>0</v>
      </c>
      <c r="K366">
        <f t="shared" si="45"/>
        <v>1.1474297356516932E-2</v>
      </c>
      <c r="L366">
        <f t="shared" si="46"/>
        <v>7.7850987870383456E-2</v>
      </c>
      <c r="M366">
        <f t="shared" si="47"/>
        <v>-9.4966931227201644E-3</v>
      </c>
      <c r="N366">
        <f t="shared" si="48"/>
        <v>0.34676323566178696</v>
      </c>
      <c r="O366">
        <f t="shared" si="49"/>
        <v>0.64894304158171068</v>
      </c>
      <c r="P366">
        <f t="shared" si="50"/>
        <v>14.068540624806454</v>
      </c>
      <c r="Q366">
        <f t="shared" si="51"/>
        <v>9.8782261359207924E-4</v>
      </c>
      <c r="R366">
        <f t="shared" si="52"/>
        <v>0</v>
      </c>
      <c r="S366">
        <f t="shared" si="53"/>
        <v>0</v>
      </c>
    </row>
    <row r="367" spans="1:19" x14ac:dyDescent="0.3">
      <c r="A367" t="s">
        <v>135</v>
      </c>
      <c r="B367">
        <v>2007</v>
      </c>
      <c r="C367">
        <v>1.4393414678931488E-2</v>
      </c>
      <c r="D367">
        <v>0.1226962153902801</v>
      </c>
      <c r="E367">
        <v>0.31522511967295963</v>
      </c>
      <c r="F367">
        <v>8.7136091264738813E-2</v>
      </c>
      <c r="G367">
        <v>0</v>
      </c>
      <c r="H367">
        <v>16.844086765780432</v>
      </c>
      <c r="I367">
        <v>1.8640224272380157E-4</v>
      </c>
      <c r="J367">
        <v>0</v>
      </c>
      <c r="K367">
        <f t="shared" si="45"/>
        <v>1.4393414678931488E-2</v>
      </c>
      <c r="L367">
        <f t="shared" si="46"/>
        <v>0.1226962153902801</v>
      </c>
      <c r="M367">
        <f t="shared" si="47"/>
        <v>0.31522511967295963</v>
      </c>
      <c r="N367">
        <f t="shared" si="48"/>
        <v>8.7136091264738813E-2</v>
      </c>
      <c r="O367">
        <f t="shared" si="49"/>
        <v>0</v>
      </c>
      <c r="P367">
        <f t="shared" si="50"/>
        <v>16.844086765780432</v>
      </c>
      <c r="Q367">
        <f t="shared" si="51"/>
        <v>1.8640224272380157E-4</v>
      </c>
      <c r="R367">
        <f t="shared" si="52"/>
        <v>0</v>
      </c>
      <c r="S367">
        <f t="shared" si="53"/>
        <v>0</v>
      </c>
    </row>
    <row r="368" spans="1:19" x14ac:dyDescent="0.3">
      <c r="A368" t="s">
        <v>135</v>
      </c>
      <c r="B368">
        <v>2008</v>
      </c>
      <c r="C368">
        <v>1.0251254663700499E-2</v>
      </c>
      <c r="D368">
        <v>0.11956997042997591</v>
      </c>
      <c r="E368">
        <v>0.31966129110142805</v>
      </c>
      <c r="F368">
        <v>9.6500204220284269E-2</v>
      </c>
      <c r="G368">
        <v>1.0740610662243795</v>
      </c>
      <c r="H368">
        <v>16.987571131238784</v>
      </c>
      <c r="I368">
        <v>8.0451530020867607E-3</v>
      </c>
      <c r="J368">
        <v>0</v>
      </c>
      <c r="K368">
        <f t="shared" si="45"/>
        <v>1.0251254663700499E-2</v>
      </c>
      <c r="L368">
        <f t="shared" si="46"/>
        <v>0.11956997042997591</v>
      </c>
      <c r="M368">
        <f t="shared" si="47"/>
        <v>0.31966129110142805</v>
      </c>
      <c r="N368">
        <f t="shared" si="48"/>
        <v>9.6500204220284269E-2</v>
      </c>
      <c r="O368">
        <f t="shared" si="49"/>
        <v>1.0740610662243795</v>
      </c>
      <c r="P368">
        <f t="shared" si="50"/>
        <v>16.987571131238784</v>
      </c>
      <c r="Q368">
        <f t="shared" si="51"/>
        <v>8.0451530020867607E-3</v>
      </c>
      <c r="R368">
        <f t="shared" si="52"/>
        <v>0</v>
      </c>
      <c r="S368">
        <f t="shared" si="53"/>
        <v>0</v>
      </c>
    </row>
    <row r="369" spans="1:19" x14ac:dyDescent="0.3">
      <c r="A369" t="s">
        <v>135</v>
      </c>
      <c r="B369">
        <v>2009</v>
      </c>
      <c r="C369">
        <v>6.4019485580405384E-3</v>
      </c>
      <c r="D369">
        <v>0.10005926660102134</v>
      </c>
      <c r="E369">
        <v>-4.9910235250979686E-2</v>
      </c>
      <c r="F369">
        <v>0.35653945742036691</v>
      </c>
      <c r="G369">
        <v>0.98111950390837421</v>
      </c>
      <c r="H369">
        <v>17.091849570224245</v>
      </c>
      <c r="I369">
        <v>2.2458366389963149E-2</v>
      </c>
      <c r="J369">
        <v>0</v>
      </c>
      <c r="K369">
        <f t="shared" si="45"/>
        <v>6.4019485580405384E-3</v>
      </c>
      <c r="L369">
        <f t="shared" si="46"/>
        <v>0.10005926660102134</v>
      </c>
      <c r="M369">
        <f t="shared" si="47"/>
        <v>-4.9910235250979686E-2</v>
      </c>
      <c r="N369">
        <f t="shared" si="48"/>
        <v>0.35653945742036691</v>
      </c>
      <c r="O369">
        <f t="shared" si="49"/>
        <v>0.98111950390837421</v>
      </c>
      <c r="P369">
        <f t="shared" si="50"/>
        <v>17.091849570224245</v>
      </c>
      <c r="Q369">
        <f t="shared" si="51"/>
        <v>2.2458366389963149E-2</v>
      </c>
      <c r="R369">
        <f t="shared" si="52"/>
        <v>0</v>
      </c>
      <c r="S369">
        <f t="shared" si="53"/>
        <v>0</v>
      </c>
    </row>
    <row r="370" spans="1:19" x14ac:dyDescent="0.3">
      <c r="A370" t="s">
        <v>135</v>
      </c>
      <c r="B370">
        <v>2010</v>
      </c>
      <c r="C370">
        <v>2.6929039423463754E-3</v>
      </c>
      <c r="D370">
        <v>0.17218902472675376</v>
      </c>
      <c r="E370">
        <v>8.6005697686387852E-3</v>
      </c>
      <c r="F370">
        <v>0.18496804836937253</v>
      </c>
      <c r="G370">
        <v>0.92034503548904201</v>
      </c>
      <c r="H370">
        <v>17.111974301513886</v>
      </c>
      <c r="I370">
        <v>8.2647351343414222E-3</v>
      </c>
      <c r="J370">
        <v>2.2986104528304862E-2</v>
      </c>
      <c r="K370">
        <f t="shared" si="45"/>
        <v>2.6929039423463754E-3</v>
      </c>
      <c r="L370">
        <f t="shared" si="46"/>
        <v>0.17218902472675376</v>
      </c>
      <c r="M370">
        <f t="shared" si="47"/>
        <v>8.6005697686387852E-3</v>
      </c>
      <c r="N370">
        <f t="shared" si="48"/>
        <v>0.18496804836937253</v>
      </c>
      <c r="O370">
        <f t="shared" si="49"/>
        <v>0.92034503548904201</v>
      </c>
      <c r="P370">
        <f t="shared" si="50"/>
        <v>17.111974301513886</v>
      </c>
      <c r="Q370">
        <f t="shared" si="51"/>
        <v>8.2647351343414222E-3</v>
      </c>
      <c r="R370">
        <f t="shared" si="52"/>
        <v>2.2986104528304862E-2</v>
      </c>
      <c r="S370">
        <f t="shared" si="53"/>
        <v>0</v>
      </c>
    </row>
    <row r="371" spans="1:19" x14ac:dyDescent="0.3">
      <c r="A371" t="s">
        <v>136</v>
      </c>
      <c r="B371">
        <v>2007</v>
      </c>
      <c r="C371">
        <v>2.8566676238582353E-3</v>
      </c>
      <c r="D371">
        <v>0.14692812118986759</v>
      </c>
      <c r="E371">
        <v>0.32544199497552884</v>
      </c>
      <c r="F371">
        <v>5.8221569448955797E-2</v>
      </c>
      <c r="G371">
        <v>0.61615911976035687</v>
      </c>
      <c r="H371">
        <v>14.058113148143153</v>
      </c>
      <c r="I371">
        <v>1.9859124047261523E-2</v>
      </c>
      <c r="J371">
        <v>0</v>
      </c>
      <c r="K371">
        <f t="shared" si="45"/>
        <v>2.8566676238582353E-3</v>
      </c>
      <c r="L371">
        <f t="shared" si="46"/>
        <v>0.14692812118986759</v>
      </c>
      <c r="M371">
        <f t="shared" si="47"/>
        <v>0.32544199497552884</v>
      </c>
      <c r="N371">
        <f t="shared" si="48"/>
        <v>5.8221569448955797E-2</v>
      </c>
      <c r="O371">
        <f t="shared" si="49"/>
        <v>0.61615911976035687</v>
      </c>
      <c r="P371">
        <f t="shared" si="50"/>
        <v>14.058113148143153</v>
      </c>
      <c r="Q371">
        <f t="shared" si="51"/>
        <v>1.9859124047261523E-2</v>
      </c>
      <c r="R371">
        <f t="shared" si="52"/>
        <v>0</v>
      </c>
      <c r="S371">
        <f t="shared" si="53"/>
        <v>0</v>
      </c>
    </row>
    <row r="372" spans="1:19" x14ac:dyDescent="0.3">
      <c r="A372" t="s">
        <v>136</v>
      </c>
      <c r="B372">
        <v>2008</v>
      </c>
      <c r="C372">
        <v>8.8583141487715584E-3</v>
      </c>
      <c r="D372">
        <v>7.1746329773181863E-2</v>
      </c>
      <c r="E372">
        <v>0.28350084443521906</v>
      </c>
      <c r="F372">
        <v>0.10855533173566818</v>
      </c>
      <c r="G372">
        <v>0.58088132618787025</v>
      </c>
      <c r="H372">
        <v>14.343669881378357</v>
      </c>
      <c r="I372">
        <v>6.7572560423835235E-3</v>
      </c>
      <c r="J372">
        <v>0</v>
      </c>
      <c r="K372">
        <f t="shared" si="45"/>
        <v>8.8583141487715584E-3</v>
      </c>
      <c r="L372">
        <f t="shared" si="46"/>
        <v>7.1746329773181863E-2</v>
      </c>
      <c r="M372">
        <f t="shared" si="47"/>
        <v>0.28350084443521906</v>
      </c>
      <c r="N372">
        <f t="shared" si="48"/>
        <v>0.10855533173566818</v>
      </c>
      <c r="O372">
        <f t="shared" si="49"/>
        <v>0.58088132618787025</v>
      </c>
      <c r="P372">
        <f t="shared" si="50"/>
        <v>14.343669881378357</v>
      </c>
      <c r="Q372">
        <f t="shared" si="51"/>
        <v>6.7572560423835235E-3</v>
      </c>
      <c r="R372">
        <f t="shared" si="52"/>
        <v>0</v>
      </c>
      <c r="S372">
        <f t="shared" si="53"/>
        <v>0</v>
      </c>
    </row>
    <row r="373" spans="1:19" x14ac:dyDescent="0.3">
      <c r="A373" t="s">
        <v>136</v>
      </c>
      <c r="B373">
        <v>2009</v>
      </c>
      <c r="C373">
        <v>9.2933619830344205E-2</v>
      </c>
      <c r="D373">
        <v>0.12767189436677046</v>
      </c>
      <c r="E373">
        <v>0.44102979190057184</v>
      </c>
      <c r="F373">
        <v>3.1651110534294397E-2</v>
      </c>
      <c r="G373">
        <v>0.68629498850376991</v>
      </c>
      <c r="H373">
        <v>14.079539589783462</v>
      </c>
      <c r="I373">
        <v>1.1619914580878314E-2</v>
      </c>
      <c r="J373">
        <v>5.3794984664013654E-2</v>
      </c>
      <c r="K373">
        <f t="shared" si="45"/>
        <v>9.2933619830344205E-2</v>
      </c>
      <c r="L373">
        <f t="shared" si="46"/>
        <v>0.12767189436677046</v>
      </c>
      <c r="M373">
        <f t="shared" si="47"/>
        <v>0.44102979190057184</v>
      </c>
      <c r="N373">
        <f t="shared" si="48"/>
        <v>3.1651110534294397E-2</v>
      </c>
      <c r="O373">
        <f t="shared" si="49"/>
        <v>0.68629498850376991</v>
      </c>
      <c r="P373">
        <f t="shared" si="50"/>
        <v>14.079539589783462</v>
      </c>
      <c r="Q373">
        <f t="shared" si="51"/>
        <v>1.1619914580878314E-2</v>
      </c>
      <c r="R373">
        <f t="shared" si="52"/>
        <v>5.3794984664013654E-2</v>
      </c>
      <c r="S373">
        <f t="shared" si="53"/>
        <v>0</v>
      </c>
    </row>
    <row r="374" spans="1:19" x14ac:dyDescent="0.3">
      <c r="A374" t="s">
        <v>136</v>
      </c>
      <c r="B374">
        <v>2010</v>
      </c>
      <c r="C374">
        <v>0.13096783891433203</v>
      </c>
      <c r="D374">
        <v>0.13957519901923682</v>
      </c>
      <c r="E374">
        <v>0.44651237624323287</v>
      </c>
      <c r="F374">
        <v>0</v>
      </c>
      <c r="G374">
        <v>0.72013140292793754</v>
      </c>
      <c r="H374">
        <v>14.096067557261128</v>
      </c>
      <c r="I374">
        <v>6.0654106656238868E-2</v>
      </c>
      <c r="J374">
        <v>0</v>
      </c>
      <c r="K374">
        <f t="shared" si="45"/>
        <v>0.13096783891433203</v>
      </c>
      <c r="L374">
        <f t="shared" si="46"/>
        <v>0.13957519901923682</v>
      </c>
      <c r="M374">
        <f t="shared" si="47"/>
        <v>0.44651237624323287</v>
      </c>
      <c r="N374">
        <f t="shared" si="48"/>
        <v>0</v>
      </c>
      <c r="O374">
        <f t="shared" si="49"/>
        <v>0.72013140292793754</v>
      </c>
      <c r="P374">
        <f t="shared" si="50"/>
        <v>14.096067557261128</v>
      </c>
      <c r="Q374">
        <f t="shared" si="51"/>
        <v>6.0654106656238868E-2</v>
      </c>
      <c r="R374">
        <f t="shared" si="52"/>
        <v>0</v>
      </c>
      <c r="S374">
        <f t="shared" si="53"/>
        <v>0</v>
      </c>
    </row>
    <row r="375" spans="1:19" x14ac:dyDescent="0.3">
      <c r="A375" t="s">
        <v>137</v>
      </c>
      <c r="B375">
        <v>2007</v>
      </c>
      <c r="C375">
        <v>0.16800393424010088</v>
      </c>
      <c r="D375">
        <v>8.6621493316962672E-2</v>
      </c>
      <c r="E375">
        <v>0.40525386813767933</v>
      </c>
      <c r="F375">
        <v>0</v>
      </c>
      <c r="G375">
        <v>0.7546096583247428</v>
      </c>
      <c r="H375">
        <v>14.818649953590977</v>
      </c>
      <c r="I375">
        <v>6.0274985951483256E-3</v>
      </c>
      <c r="J375">
        <v>3.1234448511439479E-2</v>
      </c>
      <c r="K375">
        <f t="shared" si="45"/>
        <v>0.16800393424010088</v>
      </c>
      <c r="L375">
        <f t="shared" si="46"/>
        <v>8.6621493316962672E-2</v>
      </c>
      <c r="M375">
        <f t="shared" si="47"/>
        <v>0.40525386813767933</v>
      </c>
      <c r="N375">
        <f t="shared" si="48"/>
        <v>0</v>
      </c>
      <c r="O375">
        <f t="shared" si="49"/>
        <v>0.7546096583247428</v>
      </c>
      <c r="P375">
        <f t="shared" si="50"/>
        <v>14.818649953590977</v>
      </c>
      <c r="Q375">
        <f t="shared" si="51"/>
        <v>6.0274985951483256E-3</v>
      </c>
      <c r="R375">
        <f t="shared" si="52"/>
        <v>3.1234448511439479E-2</v>
      </c>
      <c r="S375">
        <f t="shared" si="53"/>
        <v>0</v>
      </c>
    </row>
    <row r="376" spans="1:19" x14ac:dyDescent="0.3">
      <c r="A376" t="s">
        <v>137</v>
      </c>
      <c r="B376">
        <v>2009</v>
      </c>
      <c r="C376">
        <v>0.19368393060925707</v>
      </c>
      <c r="D376">
        <v>0.12826217186369995</v>
      </c>
      <c r="E376">
        <v>0.50665188673666561</v>
      </c>
      <c r="F376">
        <v>0</v>
      </c>
      <c r="G376">
        <v>0.65415874687937414</v>
      </c>
      <c r="H376">
        <v>14.817101904307986</v>
      </c>
      <c r="I376">
        <v>4.3695283587383282E-3</v>
      </c>
      <c r="J376">
        <v>5.0052688393604522E-2</v>
      </c>
      <c r="K376">
        <f t="shared" si="45"/>
        <v>0.19368393060925707</v>
      </c>
      <c r="L376">
        <f t="shared" si="46"/>
        <v>0.12826217186369995</v>
      </c>
      <c r="M376">
        <f t="shared" si="47"/>
        <v>0.50665188673666561</v>
      </c>
      <c r="N376">
        <f t="shared" si="48"/>
        <v>0</v>
      </c>
      <c r="O376">
        <f t="shared" si="49"/>
        <v>0.65415874687937414</v>
      </c>
      <c r="P376">
        <f t="shared" si="50"/>
        <v>14.817101904307986</v>
      </c>
      <c r="Q376">
        <f t="shared" si="51"/>
        <v>4.3695283587383282E-3</v>
      </c>
      <c r="R376">
        <f t="shared" si="52"/>
        <v>5.0052688393604522E-2</v>
      </c>
      <c r="S376">
        <f t="shared" si="53"/>
        <v>0</v>
      </c>
    </row>
    <row r="377" spans="1:19" x14ac:dyDescent="0.3">
      <c r="A377" t="s">
        <v>137</v>
      </c>
      <c r="B377">
        <v>2010</v>
      </c>
      <c r="C377">
        <v>6.0024164581627501E-2</v>
      </c>
      <c r="D377">
        <v>0.13251398664243552</v>
      </c>
      <c r="E377">
        <v>0.47016266158459175</v>
      </c>
      <c r="F377">
        <v>0</v>
      </c>
      <c r="G377">
        <v>0.61689794672380194</v>
      </c>
      <c r="H377">
        <v>14.846594616320418</v>
      </c>
      <c r="I377">
        <v>1.6299638166627176E-2</v>
      </c>
      <c r="J377">
        <v>4.8598054851032628E-2</v>
      </c>
      <c r="K377">
        <f t="shared" si="45"/>
        <v>6.0024164581627501E-2</v>
      </c>
      <c r="L377">
        <f t="shared" si="46"/>
        <v>0.13251398664243552</v>
      </c>
      <c r="M377">
        <f t="shared" si="47"/>
        <v>0.47016266158459175</v>
      </c>
      <c r="N377">
        <f t="shared" si="48"/>
        <v>0</v>
      </c>
      <c r="O377">
        <f t="shared" si="49"/>
        <v>0.61689794672380194</v>
      </c>
      <c r="P377">
        <f t="shared" si="50"/>
        <v>14.846594616320418</v>
      </c>
      <c r="Q377">
        <f t="shared" si="51"/>
        <v>1.6299638166627176E-2</v>
      </c>
      <c r="R377">
        <f t="shared" si="52"/>
        <v>4.8598054851032628E-2</v>
      </c>
      <c r="S377">
        <f t="shared" si="53"/>
        <v>0</v>
      </c>
    </row>
    <row r="378" spans="1:19" x14ac:dyDescent="0.3">
      <c r="A378" t="s">
        <v>138</v>
      </c>
      <c r="B378">
        <v>2007</v>
      </c>
      <c r="C378">
        <v>6.2051925847050908E-3</v>
      </c>
      <c r="D378">
        <v>2.0289446753149899E-2</v>
      </c>
      <c r="E378">
        <v>0.26585790619980637</v>
      </c>
      <c r="F378">
        <v>0.30436932289789259</v>
      </c>
      <c r="G378">
        <v>0.55314499544934126</v>
      </c>
      <c r="H378">
        <v>13.492644732858011</v>
      </c>
      <c r="I378">
        <v>4.7869156018673243E-3</v>
      </c>
      <c r="J378">
        <v>0</v>
      </c>
      <c r="K378">
        <f t="shared" si="45"/>
        <v>6.2051925847050908E-3</v>
      </c>
      <c r="L378">
        <f t="shared" si="46"/>
        <v>2.0289446753149899E-2</v>
      </c>
      <c r="M378">
        <f t="shared" si="47"/>
        <v>0.26585790619980637</v>
      </c>
      <c r="N378">
        <f t="shared" si="48"/>
        <v>0.30436932289789259</v>
      </c>
      <c r="O378">
        <f t="shared" si="49"/>
        <v>0.55314499544934126</v>
      </c>
      <c r="P378">
        <f t="shared" si="50"/>
        <v>13.492644732858011</v>
      </c>
      <c r="Q378">
        <f t="shared" si="51"/>
        <v>4.7869156018673243E-3</v>
      </c>
      <c r="R378">
        <f t="shared" si="52"/>
        <v>0</v>
      </c>
      <c r="S378">
        <f t="shared" si="53"/>
        <v>0</v>
      </c>
    </row>
    <row r="379" spans="1:19" x14ac:dyDescent="0.3">
      <c r="A379" t="s">
        <v>138</v>
      </c>
      <c r="B379">
        <v>2009</v>
      </c>
      <c r="C379">
        <v>2.611711976211871E-3</v>
      </c>
      <c r="D379">
        <v>2.9892338549837534E-2</v>
      </c>
      <c r="E379">
        <v>5.0959028150538207E-3</v>
      </c>
      <c r="F379">
        <v>0</v>
      </c>
      <c r="G379">
        <v>0.26146034438615379</v>
      </c>
      <c r="H379">
        <v>13.827040828174498</v>
      </c>
      <c r="I379">
        <v>4.8224082292015252E-3</v>
      </c>
      <c r="J379">
        <v>0</v>
      </c>
      <c r="K379">
        <f t="shared" si="45"/>
        <v>2.611711976211871E-3</v>
      </c>
      <c r="L379">
        <f t="shared" si="46"/>
        <v>2.9892338549837534E-2</v>
      </c>
      <c r="M379">
        <f t="shared" si="47"/>
        <v>5.0959028150538207E-3</v>
      </c>
      <c r="N379">
        <f t="shared" si="48"/>
        <v>0</v>
      </c>
      <c r="O379">
        <f t="shared" si="49"/>
        <v>0.26146034438615379</v>
      </c>
      <c r="P379">
        <f t="shared" si="50"/>
        <v>13.827040828174498</v>
      </c>
      <c r="Q379">
        <f t="shared" si="51"/>
        <v>4.8224082292015252E-3</v>
      </c>
      <c r="R379">
        <f t="shared" si="52"/>
        <v>0</v>
      </c>
      <c r="S379">
        <f t="shared" si="53"/>
        <v>0</v>
      </c>
    </row>
    <row r="380" spans="1:19" x14ac:dyDescent="0.3">
      <c r="A380" t="s">
        <v>138</v>
      </c>
      <c r="B380">
        <v>2010</v>
      </c>
      <c r="C380">
        <v>1.5474670585117914E-3</v>
      </c>
      <c r="D380">
        <v>1.1870980174884976E-2</v>
      </c>
      <c r="E380">
        <v>6.7429479921952157E-3</v>
      </c>
      <c r="F380">
        <v>0.14944908823741959</v>
      </c>
      <c r="G380">
        <v>0.28328089995904898</v>
      </c>
      <c r="H380">
        <v>13.852637735045558</v>
      </c>
      <c r="I380">
        <v>1.7543228676588158E-2</v>
      </c>
      <c r="J380">
        <v>0</v>
      </c>
      <c r="K380">
        <f t="shared" si="45"/>
        <v>1.5474670585117914E-3</v>
      </c>
      <c r="L380">
        <f t="shared" si="46"/>
        <v>1.1870980174884976E-2</v>
      </c>
      <c r="M380">
        <f t="shared" si="47"/>
        <v>6.7429479921952157E-3</v>
      </c>
      <c r="N380">
        <f t="shared" si="48"/>
        <v>0.14944908823741959</v>
      </c>
      <c r="O380">
        <f t="shared" si="49"/>
        <v>0.28328089995904898</v>
      </c>
      <c r="P380">
        <f t="shared" si="50"/>
        <v>13.852637735045558</v>
      </c>
      <c r="Q380">
        <f t="shared" si="51"/>
        <v>1.7543228676588158E-2</v>
      </c>
      <c r="R380">
        <f t="shared" si="52"/>
        <v>0</v>
      </c>
      <c r="S380">
        <f t="shared" si="53"/>
        <v>0</v>
      </c>
    </row>
    <row r="381" spans="1:19" x14ac:dyDescent="0.3">
      <c r="A381" t="s">
        <v>139</v>
      </c>
      <c r="B381">
        <v>2009</v>
      </c>
      <c r="C381">
        <v>8.199347169190541E-3</v>
      </c>
      <c r="D381">
        <v>6.1274318813475677E-2</v>
      </c>
      <c r="E381">
        <v>5.3135579279115476E-2</v>
      </c>
      <c r="F381">
        <v>0.43420608327489024</v>
      </c>
      <c r="G381">
        <v>0.82661411118903516</v>
      </c>
      <c r="H381">
        <v>12.350147015140626</v>
      </c>
      <c r="I381">
        <v>5.8399832955582584E-4</v>
      </c>
      <c r="J381">
        <v>0</v>
      </c>
      <c r="K381">
        <f t="shared" si="45"/>
        <v>8.199347169190541E-3</v>
      </c>
      <c r="L381">
        <f t="shared" si="46"/>
        <v>6.1274318813475677E-2</v>
      </c>
      <c r="M381">
        <f t="shared" si="47"/>
        <v>5.3135579279115476E-2</v>
      </c>
      <c r="N381">
        <f t="shared" si="48"/>
        <v>0.43420608327489024</v>
      </c>
      <c r="O381">
        <f t="shared" si="49"/>
        <v>0.82661411118903516</v>
      </c>
      <c r="P381">
        <f t="shared" si="50"/>
        <v>12.350147015140626</v>
      </c>
      <c r="Q381">
        <f t="shared" si="51"/>
        <v>5.8399832955582584E-4</v>
      </c>
      <c r="R381">
        <f t="shared" si="52"/>
        <v>0</v>
      </c>
      <c r="S381">
        <f t="shared" si="53"/>
        <v>0</v>
      </c>
    </row>
    <row r="382" spans="1:19" x14ac:dyDescent="0.3">
      <c r="A382" t="s">
        <v>139</v>
      </c>
      <c r="B382">
        <v>2010</v>
      </c>
      <c r="C382">
        <v>9.7437276978218045E-3</v>
      </c>
      <c r="D382">
        <v>5.3169184027090963E-2</v>
      </c>
      <c r="E382">
        <v>2.3182397202288173E-3</v>
      </c>
      <c r="F382">
        <v>0.43430994785938648</v>
      </c>
      <c r="G382">
        <v>0.77778869205389711</v>
      </c>
      <c r="H382">
        <v>12.440266912151461</v>
      </c>
      <c r="I382">
        <v>5.7822103819691814E-4</v>
      </c>
      <c r="J382">
        <v>4.3951609712870581E-3</v>
      </c>
      <c r="K382">
        <f t="shared" si="45"/>
        <v>9.7437276978218045E-3</v>
      </c>
      <c r="L382">
        <f t="shared" si="46"/>
        <v>5.3169184027090963E-2</v>
      </c>
      <c r="M382">
        <f t="shared" si="47"/>
        <v>2.3182397202288173E-3</v>
      </c>
      <c r="N382">
        <f t="shared" si="48"/>
        <v>0.43430994785938648</v>
      </c>
      <c r="O382">
        <f t="shared" si="49"/>
        <v>0.77778869205389711</v>
      </c>
      <c r="P382">
        <f t="shared" si="50"/>
        <v>12.440266912151461</v>
      </c>
      <c r="Q382">
        <f t="shared" si="51"/>
        <v>5.7822103819691814E-4</v>
      </c>
      <c r="R382">
        <f t="shared" si="52"/>
        <v>4.3951609712870581E-3</v>
      </c>
      <c r="S382">
        <f t="shared" si="53"/>
        <v>0</v>
      </c>
    </row>
    <row r="383" spans="1:19" x14ac:dyDescent="0.3">
      <c r="A383" t="s">
        <v>140</v>
      </c>
      <c r="B383">
        <v>2007</v>
      </c>
      <c r="C383">
        <v>1.9177498401875133E-5</v>
      </c>
      <c r="D383">
        <v>3.5810782015768164E-2</v>
      </c>
      <c r="E383">
        <v>1.6565096952908587E-2</v>
      </c>
      <c r="F383">
        <v>0</v>
      </c>
      <c r="G383">
        <v>0.43584998934583419</v>
      </c>
      <c r="H383">
        <v>13.058997501782509</v>
      </c>
      <c r="I383">
        <v>5.5761539541283245E-3</v>
      </c>
      <c r="J383">
        <v>0</v>
      </c>
      <c r="K383">
        <f t="shared" si="45"/>
        <v>1.9177498401875133E-5</v>
      </c>
      <c r="L383">
        <f t="shared" si="46"/>
        <v>3.5810782015768164E-2</v>
      </c>
      <c r="M383">
        <f t="shared" si="47"/>
        <v>1.6565096952908587E-2</v>
      </c>
      <c r="N383">
        <f t="shared" si="48"/>
        <v>0</v>
      </c>
      <c r="O383">
        <f t="shared" si="49"/>
        <v>0.43584998934583419</v>
      </c>
      <c r="P383">
        <f t="shared" si="50"/>
        <v>13.058997501782509</v>
      </c>
      <c r="Q383">
        <f t="shared" si="51"/>
        <v>5.5761539541283245E-3</v>
      </c>
      <c r="R383">
        <f t="shared" si="52"/>
        <v>0</v>
      </c>
      <c r="S383">
        <f t="shared" si="53"/>
        <v>0</v>
      </c>
    </row>
    <row r="384" spans="1:19" x14ac:dyDescent="0.3">
      <c r="A384" t="s">
        <v>140</v>
      </c>
      <c r="B384">
        <v>2009</v>
      </c>
      <c r="C384">
        <v>4.0590980256913439E-4</v>
      </c>
      <c r="D384">
        <v>6.1036016102106155E-2</v>
      </c>
      <c r="E384">
        <v>-3.6104608754833531E-3</v>
      </c>
      <c r="F384">
        <v>0.46737614410103184</v>
      </c>
      <c r="G384">
        <v>0.61682450352348017</v>
      </c>
      <c r="H384">
        <v>12.699728712425509</v>
      </c>
      <c r="I384">
        <v>4.4015184634662793E-4</v>
      </c>
      <c r="J384">
        <v>0</v>
      </c>
      <c r="K384">
        <f t="shared" si="45"/>
        <v>4.0590980256913439E-4</v>
      </c>
      <c r="L384">
        <f t="shared" si="46"/>
        <v>6.1036016102106155E-2</v>
      </c>
      <c r="M384">
        <f t="shared" si="47"/>
        <v>-3.6104608754833531E-3</v>
      </c>
      <c r="N384">
        <f t="shared" si="48"/>
        <v>0.46737614410103184</v>
      </c>
      <c r="O384">
        <f t="shared" si="49"/>
        <v>0.61682450352348017</v>
      </c>
      <c r="P384">
        <f t="shared" si="50"/>
        <v>12.699728712425509</v>
      </c>
      <c r="Q384">
        <f t="shared" si="51"/>
        <v>4.4015184634662793E-4</v>
      </c>
      <c r="R384">
        <f t="shared" si="52"/>
        <v>0</v>
      </c>
      <c r="S384">
        <f t="shared" si="53"/>
        <v>0</v>
      </c>
    </row>
    <row r="385" spans="1:19" x14ac:dyDescent="0.3">
      <c r="A385" t="s">
        <v>140</v>
      </c>
      <c r="B385">
        <v>2010</v>
      </c>
      <c r="C385">
        <v>4.0590980256913439E-4</v>
      </c>
      <c r="D385">
        <v>6.1036016102106155E-2</v>
      </c>
      <c r="E385">
        <v>-3.6104608754833531E-3</v>
      </c>
      <c r="F385">
        <v>0.46737614410103184</v>
      </c>
      <c r="G385">
        <v>0.55656356150754294</v>
      </c>
      <c r="H385">
        <v>12.699728712425509</v>
      </c>
      <c r="I385">
        <v>0</v>
      </c>
      <c r="J385">
        <v>0</v>
      </c>
      <c r="K385">
        <f t="shared" si="45"/>
        <v>4.0590980256913439E-4</v>
      </c>
      <c r="L385">
        <f t="shared" si="46"/>
        <v>6.1036016102106155E-2</v>
      </c>
      <c r="M385">
        <f t="shared" si="47"/>
        <v>-3.6104608754833531E-3</v>
      </c>
      <c r="N385">
        <f t="shared" si="48"/>
        <v>0.46737614410103184</v>
      </c>
      <c r="O385">
        <f t="shared" si="49"/>
        <v>0.55656356150754294</v>
      </c>
      <c r="P385">
        <f t="shared" si="50"/>
        <v>12.699728712425509</v>
      </c>
      <c r="Q385">
        <f t="shared" si="51"/>
        <v>0</v>
      </c>
      <c r="R385">
        <f t="shared" si="52"/>
        <v>0</v>
      </c>
      <c r="S385">
        <f t="shared" si="53"/>
        <v>0</v>
      </c>
    </row>
    <row r="386" spans="1:19" x14ac:dyDescent="0.3">
      <c r="A386" t="s">
        <v>141</v>
      </c>
      <c r="B386">
        <v>2009</v>
      </c>
      <c r="C386">
        <v>6.5836979284551206E-2</v>
      </c>
      <c r="D386">
        <v>0.12899525568537656</v>
      </c>
      <c r="E386">
        <v>6.7747670143779762E-2</v>
      </c>
      <c r="F386">
        <v>0.47855279725581285</v>
      </c>
      <c r="G386">
        <v>1.4287635885389314</v>
      </c>
      <c r="H386">
        <v>13.721355910275484</v>
      </c>
      <c r="I386">
        <v>4.365054593519499E-2</v>
      </c>
      <c r="J386">
        <v>0</v>
      </c>
      <c r="K386">
        <f t="shared" si="45"/>
        <v>6.5836979284551206E-2</v>
      </c>
      <c r="L386">
        <f t="shared" si="46"/>
        <v>0.12899525568537656</v>
      </c>
      <c r="M386">
        <f t="shared" si="47"/>
        <v>6.7747670143779762E-2</v>
      </c>
      <c r="N386">
        <f t="shared" si="48"/>
        <v>0.47855279725581285</v>
      </c>
      <c r="O386">
        <f t="shared" si="49"/>
        <v>1.4287635885389314</v>
      </c>
      <c r="P386">
        <f t="shared" si="50"/>
        <v>13.721355910275484</v>
      </c>
      <c r="Q386">
        <f t="shared" si="51"/>
        <v>4.365054593519499E-2</v>
      </c>
      <c r="R386">
        <f t="shared" si="52"/>
        <v>0</v>
      </c>
      <c r="S386">
        <f t="shared" si="53"/>
        <v>0</v>
      </c>
    </row>
    <row r="387" spans="1:19" x14ac:dyDescent="0.3">
      <c r="A387" t="s">
        <v>141</v>
      </c>
      <c r="B387">
        <v>2010</v>
      </c>
      <c r="C387">
        <v>7.1087827951592339E-2</v>
      </c>
      <c r="D387">
        <v>4.4123479418229729E-2</v>
      </c>
      <c r="E387">
        <v>1.8694743886490115E-3</v>
      </c>
      <c r="F387">
        <v>0.67957896120560557</v>
      </c>
      <c r="G387">
        <v>1.2036068980094541</v>
      </c>
      <c r="H387">
        <v>14.107343254645327</v>
      </c>
      <c r="I387">
        <v>9.8283686629003983E-3</v>
      </c>
      <c r="J387">
        <v>0</v>
      </c>
      <c r="K387">
        <f t="shared" ref="K387:K450" si="54">IF(OR(C387&lt;$C$1007-3*$C$1008,C387&gt;$C$1007+3*$C$1008),"out",C387)</f>
        <v>7.1087827951592339E-2</v>
      </c>
      <c r="L387">
        <f t="shared" ref="L387:L450" si="55">IF(OR(D387&lt;$D$1007-3*$D$1008,D387&gt;$D$1007+3*$D$1008),"out",D387)</f>
        <v>4.4123479418229729E-2</v>
      </c>
      <c r="M387">
        <f t="shared" ref="M387:M450" si="56">IF(OR(E387&lt;$E$1007-3*$E$1008,E387&gt;$E$1007+3*$E$1008),"out",E387)</f>
        <v>1.8694743886490115E-3</v>
      </c>
      <c r="N387">
        <f t="shared" ref="N387:N450" si="57">IF(OR(F387&lt;$F$1007-3*$F$1008,F387&gt;$F$1007+3*$F$1008),"out",F387)</f>
        <v>0.67957896120560557</v>
      </c>
      <c r="O387">
        <f t="shared" ref="O387:O450" si="58">IF(OR(G387&lt;$G$1007-3*$G$1008,G387&gt;$G$1007+3*$G$1008),"out",G387)</f>
        <v>1.2036068980094541</v>
      </c>
      <c r="P387">
        <f t="shared" ref="P387:P450" si="59">IF(OR(H387&lt;$H$1007-3*$H$1008,H387&gt;$H$1007+3*$H$1008),"out",H387)</f>
        <v>14.107343254645327</v>
      </c>
      <c r="Q387">
        <f t="shared" ref="Q387:Q450" si="60">IF(OR(I387&lt;$I$1007-3*$I$1008,I387&gt;$I$1007+3*$I$1008),"out",I387)</f>
        <v>9.8283686629003983E-3</v>
      </c>
      <c r="R387">
        <f t="shared" ref="R387:R450" si="61">IF(OR(J387&lt;$J$1007-3*$J$1008,J387&gt;$J$1007+3*$J$1008),"out",J387)</f>
        <v>0</v>
      </c>
      <c r="S387">
        <f t="shared" ref="S387:S450" si="62">IF(OR(K387="ot",L387="out",M387="out",N387="out",O387="out",P387="out",Q387="out",R387="out"),1,0)</f>
        <v>0</v>
      </c>
    </row>
    <row r="388" spans="1:19" x14ac:dyDescent="0.3">
      <c r="A388" t="s">
        <v>142</v>
      </c>
      <c r="B388">
        <v>2007</v>
      </c>
      <c r="C388">
        <v>1.8712368055220561E-2</v>
      </c>
      <c r="D388">
        <v>0.18541163262889696</v>
      </c>
      <c r="E388">
        <v>-0.27460389157614534</v>
      </c>
      <c r="F388">
        <v>0.20734900079375174</v>
      </c>
      <c r="G388">
        <v>0.71980300923997176</v>
      </c>
      <c r="H388">
        <v>13.946674776040568</v>
      </c>
      <c r="I388">
        <v>3.2604990418762581E-2</v>
      </c>
      <c r="J388">
        <v>0</v>
      </c>
      <c r="K388">
        <f t="shared" si="54"/>
        <v>1.8712368055220561E-2</v>
      </c>
      <c r="L388">
        <f t="shared" si="55"/>
        <v>0.18541163262889696</v>
      </c>
      <c r="M388">
        <f t="shared" si="56"/>
        <v>-0.27460389157614534</v>
      </c>
      <c r="N388">
        <f t="shared" si="57"/>
        <v>0.20734900079375174</v>
      </c>
      <c r="O388">
        <f t="shared" si="58"/>
        <v>0.71980300923997176</v>
      </c>
      <c r="P388">
        <f t="shared" si="59"/>
        <v>13.946674776040568</v>
      </c>
      <c r="Q388">
        <f t="shared" si="60"/>
        <v>3.2604990418762581E-2</v>
      </c>
      <c r="R388">
        <f t="shared" si="61"/>
        <v>0</v>
      </c>
      <c r="S388">
        <f t="shared" si="62"/>
        <v>0</v>
      </c>
    </row>
    <row r="389" spans="1:19" x14ac:dyDescent="0.3">
      <c r="A389" t="s">
        <v>142</v>
      </c>
      <c r="B389">
        <v>2009</v>
      </c>
      <c r="C389">
        <v>4.329171665460671E-2</v>
      </c>
      <c r="D389">
        <v>0.17789264201092544</v>
      </c>
      <c r="E389">
        <v>9.6258898638992396E-2</v>
      </c>
      <c r="F389">
        <v>0.28593573102599218</v>
      </c>
      <c r="G389">
        <v>0.71445443024747657</v>
      </c>
      <c r="H389">
        <v>14.056735255676323</v>
      </c>
      <c r="I389">
        <v>1.0027348092480425E-2</v>
      </c>
      <c r="J389">
        <v>4.5285734600768223E-3</v>
      </c>
      <c r="K389">
        <f t="shared" si="54"/>
        <v>4.329171665460671E-2</v>
      </c>
      <c r="L389">
        <f t="shared" si="55"/>
        <v>0.17789264201092544</v>
      </c>
      <c r="M389">
        <f t="shared" si="56"/>
        <v>9.6258898638992396E-2</v>
      </c>
      <c r="N389">
        <f t="shared" si="57"/>
        <v>0.28593573102599218</v>
      </c>
      <c r="O389">
        <f t="shared" si="58"/>
        <v>0.71445443024747657</v>
      </c>
      <c r="P389">
        <f t="shared" si="59"/>
        <v>14.056735255676323</v>
      </c>
      <c r="Q389">
        <f t="shared" si="60"/>
        <v>1.0027348092480425E-2</v>
      </c>
      <c r="R389">
        <f t="shared" si="61"/>
        <v>4.5285734600768223E-3</v>
      </c>
      <c r="S389">
        <f t="shared" si="62"/>
        <v>0</v>
      </c>
    </row>
    <row r="390" spans="1:19" x14ac:dyDescent="0.3">
      <c r="A390" t="s">
        <v>142</v>
      </c>
      <c r="B390">
        <v>2010</v>
      </c>
      <c r="C390">
        <v>2.8915439835355477E-2</v>
      </c>
      <c r="D390">
        <v>0.15130108875093104</v>
      </c>
      <c r="E390">
        <v>0.19260982946804414</v>
      </c>
      <c r="F390">
        <v>0.24952620586334029</v>
      </c>
      <c r="G390">
        <v>0.6193128161101884</v>
      </c>
      <c r="H390">
        <v>13.979992259963229</v>
      </c>
      <c r="I390">
        <v>1.5857795495455764E-2</v>
      </c>
      <c r="J390">
        <v>1.2223634225836499E-2</v>
      </c>
      <c r="K390">
        <f t="shared" si="54"/>
        <v>2.8915439835355477E-2</v>
      </c>
      <c r="L390">
        <f t="shared" si="55"/>
        <v>0.15130108875093104</v>
      </c>
      <c r="M390">
        <f t="shared" si="56"/>
        <v>0.19260982946804414</v>
      </c>
      <c r="N390">
        <f t="shared" si="57"/>
        <v>0.24952620586334029</v>
      </c>
      <c r="O390">
        <f t="shared" si="58"/>
        <v>0.6193128161101884</v>
      </c>
      <c r="P390">
        <f t="shared" si="59"/>
        <v>13.979992259963229</v>
      </c>
      <c r="Q390">
        <f t="shared" si="60"/>
        <v>1.5857795495455764E-2</v>
      </c>
      <c r="R390">
        <f t="shared" si="61"/>
        <v>1.2223634225836499E-2</v>
      </c>
      <c r="S390">
        <f t="shared" si="62"/>
        <v>0</v>
      </c>
    </row>
    <row r="391" spans="1:19" x14ac:dyDescent="0.3">
      <c r="A391" t="s">
        <v>143</v>
      </c>
      <c r="B391">
        <v>2007</v>
      </c>
      <c r="C391">
        <v>2.2129996814942703E-2</v>
      </c>
      <c r="D391">
        <v>0.16177015368926689</v>
      </c>
      <c r="E391">
        <v>-4.1254010369890411E-2</v>
      </c>
      <c r="F391">
        <v>0.24164674297134406</v>
      </c>
      <c r="G391">
        <v>1.1809891721721681</v>
      </c>
      <c r="H391">
        <v>14.196055727645506</v>
      </c>
      <c r="I391">
        <v>1.5517217843026348E-2</v>
      </c>
      <c r="J391">
        <v>0</v>
      </c>
      <c r="K391">
        <f t="shared" si="54"/>
        <v>2.2129996814942703E-2</v>
      </c>
      <c r="L391">
        <f t="shared" si="55"/>
        <v>0.16177015368926689</v>
      </c>
      <c r="M391">
        <f t="shared" si="56"/>
        <v>-4.1254010369890411E-2</v>
      </c>
      <c r="N391">
        <f t="shared" si="57"/>
        <v>0.24164674297134406</v>
      </c>
      <c r="O391">
        <f t="shared" si="58"/>
        <v>1.1809891721721681</v>
      </c>
      <c r="P391">
        <f t="shared" si="59"/>
        <v>14.196055727645506</v>
      </c>
      <c r="Q391">
        <f t="shared" si="60"/>
        <v>1.5517217843026348E-2</v>
      </c>
      <c r="R391">
        <f t="shared" si="61"/>
        <v>0</v>
      </c>
      <c r="S391">
        <f t="shared" si="62"/>
        <v>0</v>
      </c>
    </row>
    <row r="392" spans="1:19" x14ac:dyDescent="0.3">
      <c r="A392" t="s">
        <v>143</v>
      </c>
      <c r="B392">
        <v>2009</v>
      </c>
      <c r="C392">
        <v>3.349966176165248E-3</v>
      </c>
      <c r="D392">
        <v>0.12922794585507325</v>
      </c>
      <c r="E392">
        <v>-3.884717654702183E-5</v>
      </c>
      <c r="F392">
        <v>0.49948226090567505</v>
      </c>
      <c r="G392">
        <v>1.1426737573926846</v>
      </c>
      <c r="H392">
        <v>15.132608901964536</v>
      </c>
      <c r="I392">
        <v>8.0960849550868255E-3</v>
      </c>
      <c r="J392">
        <v>1.8606190096649097E-2</v>
      </c>
      <c r="K392">
        <f t="shared" si="54"/>
        <v>3.349966176165248E-3</v>
      </c>
      <c r="L392">
        <f t="shared" si="55"/>
        <v>0.12922794585507325</v>
      </c>
      <c r="M392">
        <f t="shared" si="56"/>
        <v>-3.884717654702183E-5</v>
      </c>
      <c r="N392">
        <f t="shared" si="57"/>
        <v>0.49948226090567505</v>
      </c>
      <c r="O392">
        <f t="shared" si="58"/>
        <v>1.1426737573926846</v>
      </c>
      <c r="P392">
        <f t="shared" si="59"/>
        <v>15.132608901964536</v>
      </c>
      <c r="Q392">
        <f t="shared" si="60"/>
        <v>8.0960849550868255E-3</v>
      </c>
      <c r="R392">
        <f t="shared" si="61"/>
        <v>1.8606190096649097E-2</v>
      </c>
      <c r="S392">
        <f t="shared" si="62"/>
        <v>0</v>
      </c>
    </row>
    <row r="393" spans="1:19" x14ac:dyDescent="0.3">
      <c r="A393" t="s">
        <v>143</v>
      </c>
      <c r="B393">
        <v>2010</v>
      </c>
      <c r="C393">
        <v>7.3319758626392839E-3</v>
      </c>
      <c r="D393">
        <v>9.8847107270226137E-2</v>
      </c>
      <c r="E393">
        <v>-3.0202650038971161E-2</v>
      </c>
      <c r="F393">
        <v>0.42861889571475686</v>
      </c>
      <c r="G393">
        <v>1.0992001503385589</v>
      </c>
      <c r="H393">
        <v>15.21147897415293</v>
      </c>
      <c r="I393">
        <v>1.5776092904800434E-3</v>
      </c>
      <c r="J393">
        <v>2.1494056278912689E-2</v>
      </c>
      <c r="K393">
        <f t="shared" si="54"/>
        <v>7.3319758626392839E-3</v>
      </c>
      <c r="L393">
        <f t="shared" si="55"/>
        <v>9.8847107270226137E-2</v>
      </c>
      <c r="M393">
        <f t="shared" si="56"/>
        <v>-3.0202650038971161E-2</v>
      </c>
      <c r="N393">
        <f t="shared" si="57"/>
        <v>0.42861889571475686</v>
      </c>
      <c r="O393">
        <f t="shared" si="58"/>
        <v>1.0992001503385589</v>
      </c>
      <c r="P393">
        <f t="shared" si="59"/>
        <v>15.21147897415293</v>
      </c>
      <c r="Q393">
        <f t="shared" si="60"/>
        <v>1.5776092904800434E-3</v>
      </c>
      <c r="R393">
        <f t="shared" si="61"/>
        <v>2.1494056278912689E-2</v>
      </c>
      <c r="S393">
        <f t="shared" si="62"/>
        <v>0</v>
      </c>
    </row>
    <row r="394" spans="1:19" x14ac:dyDescent="0.3">
      <c r="A394" t="s">
        <v>144</v>
      </c>
      <c r="B394">
        <v>2007</v>
      </c>
      <c r="C394">
        <v>2.0357441028132677E-2</v>
      </c>
      <c r="D394">
        <v>6.5651752903256713E-2</v>
      </c>
      <c r="E394">
        <v>-0.11313591073640414</v>
      </c>
      <c r="F394">
        <v>0.16664813281415736</v>
      </c>
      <c r="G394">
        <v>0.79571474519089302</v>
      </c>
      <c r="H394">
        <v>14.664833794463275</v>
      </c>
      <c r="I394">
        <v>1.8956077847841216E-2</v>
      </c>
      <c r="J394">
        <v>1.2831128660293303E-2</v>
      </c>
      <c r="K394">
        <f t="shared" si="54"/>
        <v>2.0357441028132677E-2</v>
      </c>
      <c r="L394">
        <f t="shared" si="55"/>
        <v>6.5651752903256713E-2</v>
      </c>
      <c r="M394">
        <f t="shared" si="56"/>
        <v>-0.11313591073640414</v>
      </c>
      <c r="N394">
        <f t="shared" si="57"/>
        <v>0.16664813281415736</v>
      </c>
      <c r="O394">
        <f t="shared" si="58"/>
        <v>0.79571474519089302</v>
      </c>
      <c r="P394">
        <f t="shared" si="59"/>
        <v>14.664833794463275</v>
      </c>
      <c r="Q394">
        <f t="shared" si="60"/>
        <v>1.8956077847841216E-2</v>
      </c>
      <c r="R394">
        <f t="shared" si="61"/>
        <v>1.2831128660293303E-2</v>
      </c>
      <c r="S394">
        <f t="shared" si="62"/>
        <v>0</v>
      </c>
    </row>
    <row r="395" spans="1:19" x14ac:dyDescent="0.3">
      <c r="A395" t="s">
        <v>144</v>
      </c>
      <c r="B395">
        <v>2008</v>
      </c>
      <c r="C395">
        <v>2.2846731992734643E-2</v>
      </c>
      <c r="D395">
        <v>9.5413438369203699E-2</v>
      </c>
      <c r="E395">
        <v>-0.13946589344671725</v>
      </c>
      <c r="F395">
        <v>0.26127213680229977</v>
      </c>
      <c r="G395">
        <v>0.69078052803619749</v>
      </c>
      <c r="H395">
        <v>15.144103240055344</v>
      </c>
      <c r="I395">
        <v>9.1291165692179172E-3</v>
      </c>
      <c r="J395">
        <v>1.4755043136075022E-2</v>
      </c>
      <c r="K395">
        <f t="shared" si="54"/>
        <v>2.2846731992734643E-2</v>
      </c>
      <c r="L395">
        <f t="shared" si="55"/>
        <v>9.5413438369203699E-2</v>
      </c>
      <c r="M395">
        <f t="shared" si="56"/>
        <v>-0.13946589344671725</v>
      </c>
      <c r="N395">
        <f t="shared" si="57"/>
        <v>0.26127213680229977</v>
      </c>
      <c r="O395">
        <f t="shared" si="58"/>
        <v>0.69078052803619749</v>
      </c>
      <c r="P395">
        <f t="shared" si="59"/>
        <v>15.144103240055344</v>
      </c>
      <c r="Q395">
        <f t="shared" si="60"/>
        <v>9.1291165692179172E-3</v>
      </c>
      <c r="R395">
        <f t="shared" si="61"/>
        <v>1.4755043136075022E-2</v>
      </c>
      <c r="S395">
        <f t="shared" si="62"/>
        <v>0</v>
      </c>
    </row>
    <row r="396" spans="1:19" x14ac:dyDescent="0.3">
      <c r="A396" t="s">
        <v>144</v>
      </c>
      <c r="B396">
        <v>2009</v>
      </c>
      <c r="C396">
        <v>2.8339962795071529E-2</v>
      </c>
      <c r="D396">
        <v>0.10001020321758992</v>
      </c>
      <c r="E396">
        <v>1.0391503770194087E-2</v>
      </c>
      <c r="F396">
        <v>0.3190151686081707</v>
      </c>
      <c r="G396">
        <v>0.69747959487966782</v>
      </c>
      <c r="H396">
        <v>15.151227684054383</v>
      </c>
      <c r="I396">
        <v>1.5449707250057584E-2</v>
      </c>
      <c r="J396">
        <v>1.9533639324673221E-2</v>
      </c>
      <c r="K396">
        <f t="shared" si="54"/>
        <v>2.8339962795071529E-2</v>
      </c>
      <c r="L396">
        <f t="shared" si="55"/>
        <v>0.10001020321758992</v>
      </c>
      <c r="M396">
        <f t="shared" si="56"/>
        <v>1.0391503770194087E-2</v>
      </c>
      <c r="N396">
        <f t="shared" si="57"/>
        <v>0.3190151686081707</v>
      </c>
      <c r="O396">
        <f t="shared" si="58"/>
        <v>0.69747959487966782</v>
      </c>
      <c r="P396">
        <f t="shared" si="59"/>
        <v>15.151227684054383</v>
      </c>
      <c r="Q396">
        <f t="shared" si="60"/>
        <v>1.5449707250057584E-2</v>
      </c>
      <c r="R396">
        <f t="shared" si="61"/>
        <v>1.9533639324673221E-2</v>
      </c>
      <c r="S396">
        <f t="shared" si="62"/>
        <v>0</v>
      </c>
    </row>
    <row r="397" spans="1:19" x14ac:dyDescent="0.3">
      <c r="A397" t="s">
        <v>144</v>
      </c>
      <c r="B397">
        <v>2010</v>
      </c>
      <c r="C397">
        <v>3.3239993372310463E-2</v>
      </c>
      <c r="D397">
        <v>0.13705730584420195</v>
      </c>
      <c r="E397">
        <v>-9.8451961085994268E-3</v>
      </c>
      <c r="F397">
        <v>0.26640400501810779</v>
      </c>
      <c r="G397">
        <v>0.79071116765687499</v>
      </c>
      <c r="H397">
        <v>15.256458810335213</v>
      </c>
      <c r="I397">
        <v>2.9613998825728918E-2</v>
      </c>
      <c r="J397">
        <v>2.1978365327715577E-2</v>
      </c>
      <c r="K397">
        <f t="shared" si="54"/>
        <v>3.3239993372310463E-2</v>
      </c>
      <c r="L397">
        <f t="shared" si="55"/>
        <v>0.13705730584420195</v>
      </c>
      <c r="M397">
        <f t="shared" si="56"/>
        <v>-9.8451961085994268E-3</v>
      </c>
      <c r="N397">
        <f t="shared" si="57"/>
        <v>0.26640400501810779</v>
      </c>
      <c r="O397">
        <f t="shared" si="58"/>
        <v>0.79071116765687499</v>
      </c>
      <c r="P397">
        <f t="shared" si="59"/>
        <v>15.256458810335213</v>
      </c>
      <c r="Q397">
        <f t="shared" si="60"/>
        <v>2.9613998825728918E-2</v>
      </c>
      <c r="R397">
        <f t="shared" si="61"/>
        <v>2.1978365327715577E-2</v>
      </c>
      <c r="S397">
        <f t="shared" si="62"/>
        <v>0</v>
      </c>
    </row>
    <row r="398" spans="1:19" x14ac:dyDescent="0.3">
      <c r="A398" t="s">
        <v>145</v>
      </c>
      <c r="B398">
        <v>2007</v>
      </c>
      <c r="C398">
        <v>7.4936368348053076E-2</v>
      </c>
      <c r="D398">
        <v>0.15870667749401454</v>
      </c>
      <c r="E398">
        <v>-0.29509453995312346</v>
      </c>
      <c r="F398">
        <v>0.65865002276680706</v>
      </c>
      <c r="G398">
        <v>0.98561578442666475</v>
      </c>
      <c r="H398">
        <v>13.767519174684427</v>
      </c>
      <c r="I398">
        <v>4.6678269231129763E-2</v>
      </c>
      <c r="J398">
        <v>0</v>
      </c>
      <c r="K398">
        <f t="shared" si="54"/>
        <v>7.4936368348053076E-2</v>
      </c>
      <c r="L398">
        <f t="shared" si="55"/>
        <v>0.15870667749401454</v>
      </c>
      <c r="M398">
        <f t="shared" si="56"/>
        <v>-0.29509453995312346</v>
      </c>
      <c r="N398">
        <f t="shared" si="57"/>
        <v>0.65865002276680706</v>
      </c>
      <c r="O398">
        <f t="shared" si="58"/>
        <v>0.98561578442666475</v>
      </c>
      <c r="P398">
        <f t="shared" si="59"/>
        <v>13.767519174684427</v>
      </c>
      <c r="Q398">
        <f t="shared" si="60"/>
        <v>4.6678269231129763E-2</v>
      </c>
      <c r="R398">
        <f t="shared" si="61"/>
        <v>0</v>
      </c>
      <c r="S398">
        <f t="shared" si="62"/>
        <v>0</v>
      </c>
    </row>
    <row r="399" spans="1:19" x14ac:dyDescent="0.3">
      <c r="A399" t="s">
        <v>145</v>
      </c>
      <c r="B399">
        <v>2009</v>
      </c>
      <c r="C399">
        <v>6.5159086835480089E-3</v>
      </c>
      <c r="D399">
        <v>0.15009858138184951</v>
      </c>
      <c r="E399">
        <v>-0.19348343355910855</v>
      </c>
      <c r="F399">
        <v>0.28751806777202787</v>
      </c>
      <c r="G399">
        <v>0.74703413102855165</v>
      </c>
      <c r="H399">
        <v>14.011286201274476</v>
      </c>
      <c r="I399">
        <v>5.142523248930482E-2</v>
      </c>
      <c r="J399">
        <v>0</v>
      </c>
      <c r="K399">
        <f t="shared" si="54"/>
        <v>6.5159086835480089E-3</v>
      </c>
      <c r="L399">
        <f t="shared" si="55"/>
        <v>0.15009858138184951</v>
      </c>
      <c r="M399">
        <f t="shared" si="56"/>
        <v>-0.19348343355910855</v>
      </c>
      <c r="N399">
        <f t="shared" si="57"/>
        <v>0.28751806777202787</v>
      </c>
      <c r="O399">
        <f t="shared" si="58"/>
        <v>0.74703413102855165</v>
      </c>
      <c r="P399">
        <f t="shared" si="59"/>
        <v>14.011286201274476</v>
      </c>
      <c r="Q399">
        <f t="shared" si="60"/>
        <v>5.142523248930482E-2</v>
      </c>
      <c r="R399">
        <f t="shared" si="61"/>
        <v>0</v>
      </c>
      <c r="S399">
        <f t="shared" si="62"/>
        <v>0</v>
      </c>
    </row>
    <row r="400" spans="1:19" x14ac:dyDescent="0.3">
      <c r="A400" t="s">
        <v>145</v>
      </c>
      <c r="B400">
        <v>2010</v>
      </c>
      <c r="C400">
        <v>1.7962005820100838E-3</v>
      </c>
      <c r="D400">
        <v>0.30688831793263993</v>
      </c>
      <c r="E400">
        <v>-6.5754810915214706E-2</v>
      </c>
      <c r="F400">
        <v>0.66390758385337245</v>
      </c>
      <c r="G400">
        <v>1.4494741447285622</v>
      </c>
      <c r="H400">
        <v>13.970821421660736</v>
      </c>
      <c r="I400">
        <v>5.3843890194501871E-2</v>
      </c>
      <c r="J400">
        <v>0</v>
      </c>
      <c r="K400">
        <f t="shared" si="54"/>
        <v>1.7962005820100838E-3</v>
      </c>
      <c r="L400">
        <f t="shared" si="55"/>
        <v>0.30688831793263993</v>
      </c>
      <c r="M400">
        <f t="shared" si="56"/>
        <v>-6.5754810915214706E-2</v>
      </c>
      <c r="N400">
        <f t="shared" si="57"/>
        <v>0.66390758385337245</v>
      </c>
      <c r="O400">
        <f t="shared" si="58"/>
        <v>1.4494741447285622</v>
      </c>
      <c r="P400">
        <f t="shared" si="59"/>
        <v>13.970821421660736</v>
      </c>
      <c r="Q400">
        <f t="shared" si="60"/>
        <v>5.3843890194501871E-2</v>
      </c>
      <c r="R400">
        <f t="shared" si="61"/>
        <v>0</v>
      </c>
      <c r="S400">
        <f t="shared" si="62"/>
        <v>0</v>
      </c>
    </row>
    <row r="401" spans="1:19" x14ac:dyDescent="0.3">
      <c r="A401" t="s">
        <v>146</v>
      </c>
      <c r="B401">
        <v>2007</v>
      </c>
      <c r="C401">
        <v>1.2306957895698026E-2</v>
      </c>
      <c r="D401">
        <v>0.16036899490383871</v>
      </c>
      <c r="E401">
        <v>-0.23824611835253784</v>
      </c>
      <c r="F401">
        <v>0.60597073839435667</v>
      </c>
      <c r="G401">
        <v>1.0243338812082374</v>
      </c>
      <c r="H401">
        <v>15.056965256882025</v>
      </c>
      <c r="I401">
        <v>4.1919587319146003E-2</v>
      </c>
      <c r="J401">
        <v>0</v>
      </c>
      <c r="K401">
        <f t="shared" si="54"/>
        <v>1.2306957895698026E-2</v>
      </c>
      <c r="L401">
        <f t="shared" si="55"/>
        <v>0.16036899490383871</v>
      </c>
      <c r="M401">
        <f t="shared" si="56"/>
        <v>-0.23824611835253784</v>
      </c>
      <c r="N401">
        <f t="shared" si="57"/>
        <v>0.60597073839435667</v>
      </c>
      <c r="O401">
        <f t="shared" si="58"/>
        <v>1.0243338812082374</v>
      </c>
      <c r="P401">
        <f t="shared" si="59"/>
        <v>15.056965256882025</v>
      </c>
      <c r="Q401">
        <f t="shared" si="60"/>
        <v>4.1919587319146003E-2</v>
      </c>
      <c r="R401">
        <f t="shared" si="61"/>
        <v>0</v>
      </c>
      <c r="S401">
        <f t="shared" si="62"/>
        <v>0</v>
      </c>
    </row>
    <row r="402" spans="1:19" x14ac:dyDescent="0.3">
      <c r="A402" t="s">
        <v>146</v>
      </c>
      <c r="B402">
        <v>2008</v>
      </c>
      <c r="C402">
        <v>1.027179974270603E-2</v>
      </c>
      <c r="D402">
        <v>6.3135486941366378E-2</v>
      </c>
      <c r="E402">
        <v>-0.14938640422474833</v>
      </c>
      <c r="F402">
        <v>0.35094702232460956</v>
      </c>
      <c r="G402">
        <v>0.77265299089269834</v>
      </c>
      <c r="H402">
        <v>15.32163896109941</v>
      </c>
      <c r="I402">
        <v>6.7903665101942644E-3</v>
      </c>
      <c r="J402">
        <v>0</v>
      </c>
      <c r="K402">
        <f t="shared" si="54"/>
        <v>1.027179974270603E-2</v>
      </c>
      <c r="L402">
        <f t="shared" si="55"/>
        <v>6.3135486941366378E-2</v>
      </c>
      <c r="M402">
        <f t="shared" si="56"/>
        <v>-0.14938640422474833</v>
      </c>
      <c r="N402">
        <f t="shared" si="57"/>
        <v>0.35094702232460956</v>
      </c>
      <c r="O402">
        <f t="shared" si="58"/>
        <v>0.77265299089269834</v>
      </c>
      <c r="P402">
        <f t="shared" si="59"/>
        <v>15.32163896109941</v>
      </c>
      <c r="Q402">
        <f t="shared" si="60"/>
        <v>6.7903665101942644E-3</v>
      </c>
      <c r="R402">
        <f t="shared" si="61"/>
        <v>0</v>
      </c>
      <c r="S402">
        <f t="shared" si="62"/>
        <v>0</v>
      </c>
    </row>
    <row r="403" spans="1:19" x14ac:dyDescent="0.3">
      <c r="A403" t="s">
        <v>146</v>
      </c>
      <c r="B403">
        <v>2009</v>
      </c>
      <c r="C403">
        <v>5.9316151609040066E-3</v>
      </c>
      <c r="D403">
        <v>0.11255077837069101</v>
      </c>
      <c r="E403">
        <v>-0.11015590041697521</v>
      </c>
      <c r="F403">
        <v>0.61983723767926224</v>
      </c>
      <c r="G403">
        <v>0.87444186926630807</v>
      </c>
      <c r="H403">
        <v>15.078354541842522</v>
      </c>
      <c r="I403">
        <v>2.647941945078704E-2</v>
      </c>
      <c r="J403">
        <v>0</v>
      </c>
      <c r="K403">
        <f t="shared" si="54"/>
        <v>5.9316151609040066E-3</v>
      </c>
      <c r="L403">
        <f t="shared" si="55"/>
        <v>0.11255077837069101</v>
      </c>
      <c r="M403">
        <f t="shared" si="56"/>
        <v>-0.11015590041697521</v>
      </c>
      <c r="N403">
        <f t="shared" si="57"/>
        <v>0.61983723767926224</v>
      </c>
      <c r="O403">
        <f t="shared" si="58"/>
        <v>0.87444186926630807</v>
      </c>
      <c r="P403">
        <f t="shared" si="59"/>
        <v>15.078354541842522</v>
      </c>
      <c r="Q403">
        <f t="shared" si="60"/>
        <v>2.647941945078704E-2</v>
      </c>
      <c r="R403">
        <f t="shared" si="61"/>
        <v>0</v>
      </c>
      <c r="S403">
        <f t="shared" si="62"/>
        <v>0</v>
      </c>
    </row>
    <row r="404" spans="1:19" x14ac:dyDescent="0.3">
      <c r="A404" t="s">
        <v>146</v>
      </c>
      <c r="B404">
        <v>2010</v>
      </c>
      <c r="C404">
        <v>1.5393442501725994E-2</v>
      </c>
      <c r="D404">
        <v>0.19644361294989274</v>
      </c>
      <c r="E404">
        <v>-3.2126336678657309E-2</v>
      </c>
      <c r="F404">
        <v>0.4344387983185764</v>
      </c>
      <c r="G404">
        <v>0.79899128028723754</v>
      </c>
      <c r="H404">
        <v>14.905787537595788</v>
      </c>
      <c r="I404">
        <v>2.4966238424917242E-2</v>
      </c>
      <c r="J404">
        <v>9.6440520614783105E-3</v>
      </c>
      <c r="K404">
        <f t="shared" si="54"/>
        <v>1.5393442501725994E-2</v>
      </c>
      <c r="L404">
        <f t="shared" si="55"/>
        <v>0.19644361294989274</v>
      </c>
      <c r="M404">
        <f t="shared" si="56"/>
        <v>-3.2126336678657309E-2</v>
      </c>
      <c r="N404">
        <f t="shared" si="57"/>
        <v>0.4344387983185764</v>
      </c>
      <c r="O404">
        <f t="shared" si="58"/>
        <v>0.79899128028723754</v>
      </c>
      <c r="P404">
        <f t="shared" si="59"/>
        <v>14.905787537595788</v>
      </c>
      <c r="Q404">
        <f t="shared" si="60"/>
        <v>2.4966238424917242E-2</v>
      </c>
      <c r="R404">
        <f t="shared" si="61"/>
        <v>9.6440520614783105E-3</v>
      </c>
      <c r="S404">
        <f t="shared" si="62"/>
        <v>0</v>
      </c>
    </row>
    <row r="405" spans="1:19" x14ac:dyDescent="0.3">
      <c r="A405" t="s">
        <v>147</v>
      </c>
      <c r="B405">
        <v>2007</v>
      </c>
      <c r="C405">
        <v>2.15545393327763E-3</v>
      </c>
      <c r="D405">
        <v>9.5920022566601884E-2</v>
      </c>
      <c r="E405">
        <v>-0.27716691177629788</v>
      </c>
      <c r="F405">
        <v>0.33740490271812695</v>
      </c>
      <c r="G405">
        <v>0.81083588202306656</v>
      </c>
      <c r="H405">
        <v>15.77621135553135</v>
      </c>
      <c r="I405">
        <v>1.7506837454407009E-2</v>
      </c>
      <c r="J405">
        <v>0</v>
      </c>
      <c r="K405">
        <f t="shared" si="54"/>
        <v>2.15545393327763E-3</v>
      </c>
      <c r="L405">
        <f t="shared" si="55"/>
        <v>9.5920022566601884E-2</v>
      </c>
      <c r="M405">
        <f t="shared" si="56"/>
        <v>-0.27716691177629788</v>
      </c>
      <c r="N405">
        <f t="shared" si="57"/>
        <v>0.33740490271812695</v>
      </c>
      <c r="O405">
        <f t="shared" si="58"/>
        <v>0.81083588202306656</v>
      </c>
      <c r="P405">
        <f t="shared" si="59"/>
        <v>15.77621135553135</v>
      </c>
      <c r="Q405">
        <f t="shared" si="60"/>
        <v>1.7506837454407009E-2</v>
      </c>
      <c r="R405">
        <f t="shared" si="61"/>
        <v>0</v>
      </c>
      <c r="S405">
        <f t="shared" si="62"/>
        <v>0</v>
      </c>
    </row>
    <row r="406" spans="1:19" x14ac:dyDescent="0.3">
      <c r="A406" t="s">
        <v>147</v>
      </c>
      <c r="B406">
        <v>2008</v>
      </c>
      <c r="C406">
        <v>5.0884672371773569E-3</v>
      </c>
      <c r="D406">
        <v>0.15129942925852075</v>
      </c>
      <c r="E406">
        <v>-0.38546253600310182</v>
      </c>
      <c r="F406">
        <v>0.46250628900336027</v>
      </c>
      <c r="G406">
        <v>0.86534800113548249</v>
      </c>
      <c r="H406">
        <v>15.751765098445826</v>
      </c>
      <c r="I406">
        <v>1.4185985827748739E-2</v>
      </c>
      <c r="J406">
        <v>0</v>
      </c>
      <c r="K406">
        <f t="shared" si="54"/>
        <v>5.0884672371773569E-3</v>
      </c>
      <c r="L406">
        <f t="shared" si="55"/>
        <v>0.15129942925852075</v>
      </c>
      <c r="M406">
        <f t="shared" si="56"/>
        <v>-0.38546253600310182</v>
      </c>
      <c r="N406">
        <f t="shared" si="57"/>
        <v>0.46250628900336027</v>
      </c>
      <c r="O406">
        <f t="shared" si="58"/>
        <v>0.86534800113548249</v>
      </c>
      <c r="P406">
        <f t="shared" si="59"/>
        <v>15.751765098445826</v>
      </c>
      <c r="Q406">
        <f t="shared" si="60"/>
        <v>1.4185985827748739E-2</v>
      </c>
      <c r="R406">
        <f t="shared" si="61"/>
        <v>0</v>
      </c>
      <c r="S406">
        <f t="shared" si="62"/>
        <v>0</v>
      </c>
    </row>
    <row r="407" spans="1:19" x14ac:dyDescent="0.3">
      <c r="A407" t="s">
        <v>147</v>
      </c>
      <c r="B407">
        <v>2009</v>
      </c>
      <c r="C407">
        <v>1.6746126481932786E-3</v>
      </c>
      <c r="D407">
        <v>0.11293986589528977</v>
      </c>
      <c r="E407">
        <v>-0.31327153797542756</v>
      </c>
      <c r="F407">
        <v>0.60676535304851931</v>
      </c>
      <c r="G407">
        <v>0.8856471195258131</v>
      </c>
      <c r="H407">
        <v>15.66200833902043</v>
      </c>
      <c r="I407">
        <v>2.1819294586517875E-2</v>
      </c>
      <c r="J407">
        <v>0</v>
      </c>
      <c r="K407">
        <f t="shared" si="54"/>
        <v>1.6746126481932786E-3</v>
      </c>
      <c r="L407">
        <f t="shared" si="55"/>
        <v>0.11293986589528977</v>
      </c>
      <c r="M407">
        <f t="shared" si="56"/>
        <v>-0.31327153797542756</v>
      </c>
      <c r="N407">
        <f t="shared" si="57"/>
        <v>0.60676535304851931</v>
      </c>
      <c r="O407">
        <f t="shared" si="58"/>
        <v>0.8856471195258131</v>
      </c>
      <c r="P407">
        <f t="shared" si="59"/>
        <v>15.66200833902043</v>
      </c>
      <c r="Q407">
        <f t="shared" si="60"/>
        <v>2.1819294586517875E-2</v>
      </c>
      <c r="R407">
        <f t="shared" si="61"/>
        <v>0</v>
      </c>
      <c r="S407">
        <f t="shared" si="62"/>
        <v>0</v>
      </c>
    </row>
    <row r="408" spans="1:19" x14ac:dyDescent="0.3">
      <c r="A408" t="s">
        <v>147</v>
      </c>
      <c r="B408">
        <v>2010</v>
      </c>
      <c r="C408">
        <v>2.0591425946855776E-3</v>
      </c>
      <c r="D408">
        <v>4.0608589642274845E-2</v>
      </c>
      <c r="E408">
        <v>-0.36230689081833073</v>
      </c>
      <c r="F408">
        <v>0.53669589002588325</v>
      </c>
      <c r="G408">
        <v>0.8113400595110366</v>
      </c>
      <c r="H408">
        <v>15.670098806303638</v>
      </c>
      <c r="I408">
        <v>2.8989510765500659E-2</v>
      </c>
      <c r="J408">
        <v>0</v>
      </c>
      <c r="K408">
        <f t="shared" si="54"/>
        <v>2.0591425946855776E-3</v>
      </c>
      <c r="L408">
        <f t="shared" si="55"/>
        <v>4.0608589642274845E-2</v>
      </c>
      <c r="M408">
        <f t="shared" si="56"/>
        <v>-0.36230689081833073</v>
      </c>
      <c r="N408">
        <f t="shared" si="57"/>
        <v>0.53669589002588325</v>
      </c>
      <c r="O408">
        <f t="shared" si="58"/>
        <v>0.8113400595110366</v>
      </c>
      <c r="P408">
        <f t="shared" si="59"/>
        <v>15.670098806303638</v>
      </c>
      <c r="Q408">
        <f t="shared" si="60"/>
        <v>2.8989510765500659E-2</v>
      </c>
      <c r="R408">
        <f t="shared" si="61"/>
        <v>0</v>
      </c>
      <c r="S408">
        <f t="shared" si="62"/>
        <v>0</v>
      </c>
    </row>
    <row r="409" spans="1:19" x14ac:dyDescent="0.3">
      <c r="A409" t="s">
        <v>148</v>
      </c>
      <c r="B409">
        <v>2007</v>
      </c>
      <c r="C409">
        <v>3.9741434761266903E-2</v>
      </c>
      <c r="D409">
        <v>4.610816497951209E-2</v>
      </c>
      <c r="E409">
        <v>-0.15046583596363577</v>
      </c>
      <c r="F409">
        <v>2.1049170020241998E-2</v>
      </c>
      <c r="G409">
        <v>1.0148945998516807</v>
      </c>
      <c r="H409">
        <v>13.851797163137292</v>
      </c>
      <c r="I409">
        <v>2.3411599762191697E-2</v>
      </c>
      <c r="J409">
        <v>0</v>
      </c>
      <c r="K409">
        <f t="shared" si="54"/>
        <v>3.9741434761266903E-2</v>
      </c>
      <c r="L409">
        <f t="shared" si="55"/>
        <v>4.610816497951209E-2</v>
      </c>
      <c r="M409">
        <f t="shared" si="56"/>
        <v>-0.15046583596363577</v>
      </c>
      <c r="N409">
        <f t="shared" si="57"/>
        <v>2.1049170020241998E-2</v>
      </c>
      <c r="O409">
        <f t="shared" si="58"/>
        <v>1.0148945998516807</v>
      </c>
      <c r="P409">
        <f t="shared" si="59"/>
        <v>13.851797163137292</v>
      </c>
      <c r="Q409">
        <f t="shared" si="60"/>
        <v>2.3411599762191697E-2</v>
      </c>
      <c r="R409">
        <f t="shared" si="61"/>
        <v>0</v>
      </c>
      <c r="S409">
        <f t="shared" si="62"/>
        <v>0</v>
      </c>
    </row>
    <row r="410" spans="1:19" x14ac:dyDescent="0.3">
      <c r="A410" t="s">
        <v>148</v>
      </c>
      <c r="B410">
        <v>2009</v>
      </c>
      <c r="C410">
        <v>5.1021108912833762E-2</v>
      </c>
      <c r="D410">
        <v>9.8335813208195039E-2</v>
      </c>
      <c r="E410">
        <v>7.7404143298615086E-2</v>
      </c>
      <c r="F410">
        <v>0.14377605912457692</v>
      </c>
      <c r="G410">
        <v>0.96246701221406494</v>
      </c>
      <c r="H410">
        <v>14.240108134221609</v>
      </c>
      <c r="I410">
        <v>6.5608683251761751E-3</v>
      </c>
      <c r="J410">
        <v>2.4780653705914094E-2</v>
      </c>
      <c r="K410">
        <f t="shared" si="54"/>
        <v>5.1021108912833762E-2</v>
      </c>
      <c r="L410">
        <f t="shared" si="55"/>
        <v>9.8335813208195039E-2</v>
      </c>
      <c r="M410">
        <f t="shared" si="56"/>
        <v>7.7404143298615086E-2</v>
      </c>
      <c r="N410">
        <f t="shared" si="57"/>
        <v>0.14377605912457692</v>
      </c>
      <c r="O410">
        <f t="shared" si="58"/>
        <v>0.96246701221406494</v>
      </c>
      <c r="P410">
        <f t="shared" si="59"/>
        <v>14.240108134221609</v>
      </c>
      <c r="Q410">
        <f t="shared" si="60"/>
        <v>6.5608683251761751E-3</v>
      </c>
      <c r="R410">
        <f t="shared" si="61"/>
        <v>2.4780653705914094E-2</v>
      </c>
      <c r="S410">
        <f t="shared" si="62"/>
        <v>0</v>
      </c>
    </row>
    <row r="411" spans="1:19" x14ac:dyDescent="0.3">
      <c r="A411" t="s">
        <v>148</v>
      </c>
      <c r="B411">
        <v>2010</v>
      </c>
      <c r="C411">
        <v>0.14197853972383806</v>
      </c>
      <c r="D411">
        <v>0.1085732316688016</v>
      </c>
      <c r="E411">
        <v>7.3315680445905335E-2</v>
      </c>
      <c r="F411">
        <v>0</v>
      </c>
      <c r="G411">
        <v>0.96190227423792896</v>
      </c>
      <c r="H411">
        <v>14.378383321904668</v>
      </c>
      <c r="I411">
        <v>1.3172626674202785E-2</v>
      </c>
      <c r="J411">
        <v>3.0829710390503209E-2</v>
      </c>
      <c r="K411">
        <f t="shared" si="54"/>
        <v>0.14197853972383806</v>
      </c>
      <c r="L411">
        <f t="shared" si="55"/>
        <v>0.1085732316688016</v>
      </c>
      <c r="M411">
        <f t="shared" si="56"/>
        <v>7.3315680445905335E-2</v>
      </c>
      <c r="N411">
        <f t="shared" si="57"/>
        <v>0</v>
      </c>
      <c r="O411">
        <f t="shared" si="58"/>
        <v>0.96190227423792896</v>
      </c>
      <c r="P411">
        <f t="shared" si="59"/>
        <v>14.378383321904668</v>
      </c>
      <c r="Q411">
        <f t="shared" si="60"/>
        <v>1.3172626674202785E-2</v>
      </c>
      <c r="R411">
        <f t="shared" si="61"/>
        <v>3.0829710390503209E-2</v>
      </c>
      <c r="S411">
        <f t="shared" si="62"/>
        <v>0</v>
      </c>
    </row>
    <row r="412" spans="1:19" x14ac:dyDescent="0.3">
      <c r="A412" t="s">
        <v>149</v>
      </c>
      <c r="B412">
        <v>2007</v>
      </c>
      <c r="C412">
        <v>2.7660535149885156E-2</v>
      </c>
      <c r="D412">
        <v>0.24701898349005674</v>
      </c>
      <c r="E412">
        <v>0.30948978189599324</v>
      </c>
      <c r="F412">
        <v>6.0692200475078034E-2</v>
      </c>
      <c r="G412">
        <v>0.99371797640314885</v>
      </c>
      <c r="H412">
        <v>13.140969210396445</v>
      </c>
      <c r="I412">
        <v>1.2908582622717421E-2</v>
      </c>
      <c r="J412">
        <v>4.7115176976383517E-2</v>
      </c>
      <c r="K412">
        <f t="shared" si="54"/>
        <v>2.7660535149885156E-2</v>
      </c>
      <c r="L412">
        <f t="shared" si="55"/>
        <v>0.24701898349005674</v>
      </c>
      <c r="M412">
        <f t="shared" si="56"/>
        <v>0.30948978189599324</v>
      </c>
      <c r="N412">
        <f t="shared" si="57"/>
        <v>6.0692200475078034E-2</v>
      </c>
      <c r="O412">
        <f t="shared" si="58"/>
        <v>0.99371797640314885</v>
      </c>
      <c r="P412">
        <f t="shared" si="59"/>
        <v>13.140969210396445</v>
      </c>
      <c r="Q412">
        <f t="shared" si="60"/>
        <v>1.2908582622717421E-2</v>
      </c>
      <c r="R412">
        <f t="shared" si="61"/>
        <v>4.7115176976383517E-2</v>
      </c>
      <c r="S412">
        <f t="shared" si="62"/>
        <v>0</v>
      </c>
    </row>
    <row r="413" spans="1:19" x14ac:dyDescent="0.3">
      <c r="A413" t="s">
        <v>149</v>
      </c>
      <c r="B413">
        <v>2008</v>
      </c>
      <c r="C413">
        <v>1.545336118674303E-2</v>
      </c>
      <c r="D413">
        <v>0.24535988404844616</v>
      </c>
      <c r="E413">
        <v>0.24793446624730073</v>
      </c>
      <c r="F413">
        <v>0.12036428504365787</v>
      </c>
      <c r="G413">
        <v>0.54017793223640964</v>
      </c>
      <c r="H413">
        <v>13.432292146802837</v>
      </c>
      <c r="I413">
        <v>1.4725359836197263E-2</v>
      </c>
      <c r="J413">
        <v>0.11735987231245892</v>
      </c>
      <c r="K413">
        <f t="shared" si="54"/>
        <v>1.545336118674303E-2</v>
      </c>
      <c r="L413">
        <f t="shared" si="55"/>
        <v>0.24535988404844616</v>
      </c>
      <c r="M413">
        <f t="shared" si="56"/>
        <v>0.24793446624730073</v>
      </c>
      <c r="N413">
        <f t="shared" si="57"/>
        <v>0.12036428504365787</v>
      </c>
      <c r="O413">
        <f t="shared" si="58"/>
        <v>0.54017793223640964</v>
      </c>
      <c r="P413">
        <f t="shared" si="59"/>
        <v>13.432292146802837</v>
      </c>
      <c r="Q413">
        <f t="shared" si="60"/>
        <v>1.4725359836197263E-2</v>
      </c>
      <c r="R413">
        <f t="shared" si="61"/>
        <v>0.11735987231245892</v>
      </c>
      <c r="S413">
        <f t="shared" si="62"/>
        <v>0</v>
      </c>
    </row>
    <row r="414" spans="1:19" x14ac:dyDescent="0.3">
      <c r="A414" t="s">
        <v>149</v>
      </c>
      <c r="B414">
        <v>2009</v>
      </c>
      <c r="C414">
        <v>7.6069313830478866E-2</v>
      </c>
      <c r="D414">
        <v>0.33832056696971868</v>
      </c>
      <c r="E414">
        <v>0.36657847332504484</v>
      </c>
      <c r="F414">
        <v>0</v>
      </c>
      <c r="G414">
        <v>1.0777455619659275</v>
      </c>
      <c r="H414">
        <v>13.436416165838178</v>
      </c>
      <c r="I414">
        <v>3.4956989441536912E-4</v>
      </c>
      <c r="J414">
        <v>0.11687687459549644</v>
      </c>
      <c r="K414">
        <f t="shared" si="54"/>
        <v>7.6069313830478866E-2</v>
      </c>
      <c r="L414">
        <f t="shared" si="55"/>
        <v>0.33832056696971868</v>
      </c>
      <c r="M414">
        <f t="shared" si="56"/>
        <v>0.36657847332504484</v>
      </c>
      <c r="N414">
        <f t="shared" si="57"/>
        <v>0</v>
      </c>
      <c r="O414">
        <f t="shared" si="58"/>
        <v>1.0777455619659275</v>
      </c>
      <c r="P414">
        <f t="shared" si="59"/>
        <v>13.436416165838178</v>
      </c>
      <c r="Q414">
        <f t="shared" si="60"/>
        <v>3.4956989441536912E-4</v>
      </c>
      <c r="R414">
        <f t="shared" si="61"/>
        <v>0.11687687459549644</v>
      </c>
      <c r="S414">
        <f t="shared" si="62"/>
        <v>0</v>
      </c>
    </row>
    <row r="415" spans="1:19" x14ac:dyDescent="0.3">
      <c r="A415" t="s">
        <v>149</v>
      </c>
      <c r="B415">
        <v>2010</v>
      </c>
      <c r="C415">
        <v>0.1132952930885409</v>
      </c>
      <c r="D415">
        <v>0.30781754840145015</v>
      </c>
      <c r="E415">
        <v>0.41346518483311673</v>
      </c>
      <c r="F415">
        <v>2.8972610012489067E-3</v>
      </c>
      <c r="G415">
        <v>0.83764842774291737</v>
      </c>
      <c r="H415">
        <v>13.581169548456776</v>
      </c>
      <c r="I415">
        <v>2.4291370485874965E-2</v>
      </c>
      <c r="J415">
        <v>0.10112603843800722</v>
      </c>
      <c r="K415">
        <f t="shared" si="54"/>
        <v>0.1132952930885409</v>
      </c>
      <c r="L415">
        <f t="shared" si="55"/>
        <v>0.30781754840145015</v>
      </c>
      <c r="M415">
        <f t="shared" si="56"/>
        <v>0.41346518483311673</v>
      </c>
      <c r="N415">
        <f t="shared" si="57"/>
        <v>2.8972610012489067E-3</v>
      </c>
      <c r="O415">
        <f t="shared" si="58"/>
        <v>0.83764842774291737</v>
      </c>
      <c r="P415">
        <f t="shared" si="59"/>
        <v>13.581169548456776</v>
      </c>
      <c r="Q415">
        <f t="shared" si="60"/>
        <v>2.4291370485874965E-2</v>
      </c>
      <c r="R415">
        <f t="shared" si="61"/>
        <v>0.10112603843800722</v>
      </c>
      <c r="S415">
        <f t="shared" si="62"/>
        <v>0</v>
      </c>
    </row>
    <row r="416" spans="1:19" x14ac:dyDescent="0.3">
      <c r="A416" t="s">
        <v>150</v>
      </c>
      <c r="B416">
        <v>2007</v>
      </c>
      <c r="C416">
        <v>0.21722908748481001</v>
      </c>
      <c r="D416">
        <v>0.10825171903725749</v>
      </c>
      <c r="E416">
        <v>0.44199873717270932</v>
      </c>
      <c r="F416">
        <v>0.16608288120578232</v>
      </c>
      <c r="G416">
        <v>1.3777984450078178</v>
      </c>
      <c r="H416">
        <v>14.893728284177151</v>
      </c>
      <c r="I416">
        <v>2.0587569452928584E-2</v>
      </c>
      <c r="J416">
        <v>1.9595595889823764E-2</v>
      </c>
      <c r="K416">
        <f t="shared" si="54"/>
        <v>0.21722908748481001</v>
      </c>
      <c r="L416">
        <f t="shared" si="55"/>
        <v>0.10825171903725749</v>
      </c>
      <c r="M416">
        <f t="shared" si="56"/>
        <v>0.44199873717270932</v>
      </c>
      <c r="N416">
        <f t="shared" si="57"/>
        <v>0.16608288120578232</v>
      </c>
      <c r="O416">
        <f t="shared" si="58"/>
        <v>1.3777984450078178</v>
      </c>
      <c r="P416">
        <f t="shared" si="59"/>
        <v>14.893728284177151</v>
      </c>
      <c r="Q416">
        <f t="shared" si="60"/>
        <v>2.0587569452928584E-2</v>
      </c>
      <c r="R416">
        <f t="shared" si="61"/>
        <v>1.9595595889823764E-2</v>
      </c>
      <c r="S416">
        <f t="shared" si="62"/>
        <v>0</v>
      </c>
    </row>
    <row r="417" spans="1:19" x14ac:dyDescent="0.3">
      <c r="A417" t="s">
        <v>150</v>
      </c>
      <c r="B417">
        <v>2008</v>
      </c>
      <c r="C417">
        <v>0.21956796323010133</v>
      </c>
      <c r="D417">
        <v>0.16996180931607047</v>
      </c>
      <c r="E417">
        <v>0.36954219174758079</v>
      </c>
      <c r="F417">
        <v>0.1386669719298026</v>
      </c>
      <c r="G417">
        <v>1.0435704876131433</v>
      </c>
      <c r="H417">
        <v>15.025808218152891</v>
      </c>
      <c r="I417">
        <v>7.911830387495683E-3</v>
      </c>
      <c r="J417">
        <v>2.6829767806246147E-2</v>
      </c>
      <c r="K417">
        <f t="shared" si="54"/>
        <v>0.21956796323010133</v>
      </c>
      <c r="L417">
        <f t="shared" si="55"/>
        <v>0.16996180931607047</v>
      </c>
      <c r="M417">
        <f t="shared" si="56"/>
        <v>0.36954219174758079</v>
      </c>
      <c r="N417">
        <f t="shared" si="57"/>
        <v>0.1386669719298026</v>
      </c>
      <c r="O417">
        <f t="shared" si="58"/>
        <v>1.0435704876131433</v>
      </c>
      <c r="P417">
        <f t="shared" si="59"/>
        <v>15.025808218152891</v>
      </c>
      <c r="Q417">
        <f t="shared" si="60"/>
        <v>7.911830387495683E-3</v>
      </c>
      <c r="R417">
        <f t="shared" si="61"/>
        <v>2.6829767806246147E-2</v>
      </c>
      <c r="S417">
        <f t="shared" si="62"/>
        <v>0</v>
      </c>
    </row>
    <row r="418" spans="1:19" x14ac:dyDescent="0.3">
      <c r="A418" t="s">
        <v>150</v>
      </c>
      <c r="B418">
        <v>2009</v>
      </c>
      <c r="C418">
        <v>0.41919433265493394</v>
      </c>
      <c r="D418">
        <v>0.19243301408193175</v>
      </c>
      <c r="E418">
        <v>0.30055649415251612</v>
      </c>
      <c r="F418">
        <v>0.11191356699800263</v>
      </c>
      <c r="G418">
        <v>1.3608819839911057</v>
      </c>
      <c r="H418">
        <v>15.152223054102333</v>
      </c>
      <c r="I418">
        <v>6.341304666433123E-3</v>
      </c>
      <c r="J418">
        <v>4.413492783019822E-2</v>
      </c>
      <c r="K418" t="str">
        <f t="shared" si="54"/>
        <v>out</v>
      </c>
      <c r="L418">
        <f t="shared" si="55"/>
        <v>0.19243301408193175</v>
      </c>
      <c r="M418">
        <f t="shared" si="56"/>
        <v>0.30055649415251612</v>
      </c>
      <c r="N418">
        <f t="shared" si="57"/>
        <v>0.11191356699800263</v>
      </c>
      <c r="O418">
        <f t="shared" si="58"/>
        <v>1.3608819839911057</v>
      </c>
      <c r="P418">
        <f t="shared" si="59"/>
        <v>15.152223054102333</v>
      </c>
      <c r="Q418">
        <f t="shared" si="60"/>
        <v>6.341304666433123E-3</v>
      </c>
      <c r="R418">
        <f t="shared" si="61"/>
        <v>4.413492783019822E-2</v>
      </c>
      <c r="S418">
        <f t="shared" si="62"/>
        <v>0</v>
      </c>
    </row>
    <row r="419" spans="1:19" x14ac:dyDescent="0.3">
      <c r="A419" t="s">
        <v>150</v>
      </c>
      <c r="B419">
        <v>2010</v>
      </c>
      <c r="C419">
        <v>0.38045530028270735</v>
      </c>
      <c r="D419">
        <v>0.24438848891550852</v>
      </c>
      <c r="E419">
        <v>0.41257171727401892</v>
      </c>
      <c r="F419">
        <v>0</v>
      </c>
      <c r="G419">
        <v>1.3335246308128319</v>
      </c>
      <c r="H419">
        <v>15.049836606160973</v>
      </c>
      <c r="I419">
        <v>2.7736295235663625E-2</v>
      </c>
      <c r="J419">
        <v>4.365462555681475E-2</v>
      </c>
      <c r="K419" t="str">
        <f t="shared" si="54"/>
        <v>out</v>
      </c>
      <c r="L419">
        <f t="shared" si="55"/>
        <v>0.24438848891550852</v>
      </c>
      <c r="M419">
        <f t="shared" si="56"/>
        <v>0.41257171727401892</v>
      </c>
      <c r="N419">
        <f t="shared" si="57"/>
        <v>0</v>
      </c>
      <c r="O419">
        <f t="shared" si="58"/>
        <v>1.3335246308128319</v>
      </c>
      <c r="P419">
        <f t="shared" si="59"/>
        <v>15.049836606160973</v>
      </c>
      <c r="Q419">
        <f t="shared" si="60"/>
        <v>2.7736295235663625E-2</v>
      </c>
      <c r="R419">
        <f t="shared" si="61"/>
        <v>4.365462555681475E-2</v>
      </c>
      <c r="S419">
        <f t="shared" si="62"/>
        <v>0</v>
      </c>
    </row>
    <row r="420" spans="1:19" x14ac:dyDescent="0.3">
      <c r="A420" t="s">
        <v>151</v>
      </c>
      <c r="B420">
        <v>2007</v>
      </c>
      <c r="C420">
        <v>1.5917290686927273E-2</v>
      </c>
      <c r="D420">
        <v>0.12393284260430962</v>
      </c>
      <c r="E420">
        <v>-0.34814219768860011</v>
      </c>
      <c r="F420">
        <v>0.47574023103814395</v>
      </c>
      <c r="G420">
        <v>1.5160870874273391</v>
      </c>
      <c r="H420">
        <v>14.267220371085568</v>
      </c>
      <c r="I420">
        <v>8.5394340266613314E-3</v>
      </c>
      <c r="J420">
        <v>0</v>
      </c>
      <c r="K420">
        <f t="shared" si="54"/>
        <v>1.5917290686927273E-2</v>
      </c>
      <c r="L420">
        <f t="shared" si="55"/>
        <v>0.12393284260430962</v>
      </c>
      <c r="M420">
        <f t="shared" si="56"/>
        <v>-0.34814219768860011</v>
      </c>
      <c r="N420">
        <f t="shared" si="57"/>
        <v>0.47574023103814395</v>
      </c>
      <c r="O420">
        <f t="shared" si="58"/>
        <v>1.5160870874273391</v>
      </c>
      <c r="P420">
        <f t="shared" si="59"/>
        <v>14.267220371085568</v>
      </c>
      <c r="Q420">
        <f t="shared" si="60"/>
        <v>8.5394340266613314E-3</v>
      </c>
      <c r="R420">
        <f t="shared" si="61"/>
        <v>0</v>
      </c>
      <c r="S420">
        <f t="shared" si="62"/>
        <v>0</v>
      </c>
    </row>
    <row r="421" spans="1:19" x14ac:dyDescent="0.3">
      <c r="A421" t="s">
        <v>151</v>
      </c>
      <c r="B421">
        <v>2009</v>
      </c>
      <c r="C421">
        <v>0.10735276830845186</v>
      </c>
      <c r="D421">
        <v>7.0893088045139302E-2</v>
      </c>
      <c r="E421">
        <v>-2.9507317503232631E-2</v>
      </c>
      <c r="F421">
        <v>0.3660617726578112</v>
      </c>
      <c r="G421">
        <v>1.0742476783825086</v>
      </c>
      <c r="H421">
        <v>14.123818448209711</v>
      </c>
      <c r="I421">
        <v>2.4507698338843628E-3</v>
      </c>
      <c r="J421">
        <v>0</v>
      </c>
      <c r="K421">
        <f t="shared" si="54"/>
        <v>0.10735276830845186</v>
      </c>
      <c r="L421">
        <f t="shared" si="55"/>
        <v>7.0893088045139302E-2</v>
      </c>
      <c r="M421">
        <f t="shared" si="56"/>
        <v>-2.9507317503232631E-2</v>
      </c>
      <c r="N421">
        <f t="shared" si="57"/>
        <v>0.3660617726578112</v>
      </c>
      <c r="O421">
        <f t="shared" si="58"/>
        <v>1.0742476783825086</v>
      </c>
      <c r="P421">
        <f t="shared" si="59"/>
        <v>14.123818448209711</v>
      </c>
      <c r="Q421">
        <f t="shared" si="60"/>
        <v>2.4507698338843628E-3</v>
      </c>
      <c r="R421">
        <f t="shared" si="61"/>
        <v>0</v>
      </c>
      <c r="S421">
        <f t="shared" si="62"/>
        <v>0</v>
      </c>
    </row>
    <row r="422" spans="1:19" x14ac:dyDescent="0.3">
      <c r="A422" t="s">
        <v>151</v>
      </c>
      <c r="B422">
        <v>2010</v>
      </c>
      <c r="C422">
        <v>1.3022833757844472E-2</v>
      </c>
      <c r="D422">
        <v>5.4128218407290679E-2</v>
      </c>
      <c r="E422">
        <v>-6.7411598683919216E-2</v>
      </c>
      <c r="F422">
        <v>0.44447952624171916</v>
      </c>
      <c r="G422">
        <v>1.0440892198556984</v>
      </c>
      <c r="H422">
        <v>14.259082297328419</v>
      </c>
      <c r="I422">
        <v>6.970192938988492E-3</v>
      </c>
      <c r="J422">
        <v>2.0792382287200557E-2</v>
      </c>
      <c r="K422">
        <f t="shared" si="54"/>
        <v>1.3022833757844472E-2</v>
      </c>
      <c r="L422">
        <f t="shared" si="55"/>
        <v>5.4128218407290679E-2</v>
      </c>
      <c r="M422">
        <f t="shared" si="56"/>
        <v>-6.7411598683919216E-2</v>
      </c>
      <c r="N422">
        <f t="shared" si="57"/>
        <v>0.44447952624171916</v>
      </c>
      <c r="O422">
        <f t="shared" si="58"/>
        <v>1.0440892198556984</v>
      </c>
      <c r="P422">
        <f t="shared" si="59"/>
        <v>14.259082297328419</v>
      </c>
      <c r="Q422">
        <f t="shared" si="60"/>
        <v>6.970192938988492E-3</v>
      </c>
      <c r="R422">
        <f t="shared" si="61"/>
        <v>2.0792382287200557E-2</v>
      </c>
      <c r="S422">
        <f t="shared" si="62"/>
        <v>0</v>
      </c>
    </row>
    <row r="423" spans="1:19" x14ac:dyDescent="0.3">
      <c r="A423" t="s">
        <v>152</v>
      </c>
      <c r="B423">
        <v>2007</v>
      </c>
      <c r="C423">
        <v>8.1805670837442005E-3</v>
      </c>
      <c r="D423">
        <v>0.14868695239235513</v>
      </c>
      <c r="E423">
        <v>5.1195471294025532E-2</v>
      </c>
      <c r="F423">
        <v>0.3702483496940191</v>
      </c>
      <c r="G423">
        <v>0.94676241378521742</v>
      </c>
      <c r="H423">
        <v>13.518918240249402</v>
      </c>
      <c r="I423">
        <v>1.3642123642801651E-3</v>
      </c>
      <c r="J423">
        <v>0</v>
      </c>
      <c r="K423">
        <f t="shared" si="54"/>
        <v>8.1805670837442005E-3</v>
      </c>
      <c r="L423">
        <f t="shared" si="55"/>
        <v>0.14868695239235513</v>
      </c>
      <c r="M423">
        <f t="shared" si="56"/>
        <v>5.1195471294025532E-2</v>
      </c>
      <c r="N423">
        <f t="shared" si="57"/>
        <v>0.3702483496940191</v>
      </c>
      <c r="O423">
        <f t="shared" si="58"/>
        <v>0.94676241378521742</v>
      </c>
      <c r="P423">
        <f t="shared" si="59"/>
        <v>13.518918240249402</v>
      </c>
      <c r="Q423">
        <f t="shared" si="60"/>
        <v>1.3642123642801651E-3</v>
      </c>
      <c r="R423">
        <f t="shared" si="61"/>
        <v>0</v>
      </c>
      <c r="S423">
        <f t="shared" si="62"/>
        <v>0</v>
      </c>
    </row>
    <row r="424" spans="1:19" x14ac:dyDescent="0.3">
      <c r="A424" t="s">
        <v>152</v>
      </c>
      <c r="B424">
        <v>2008</v>
      </c>
      <c r="C424">
        <v>5.6939159812332572E-2</v>
      </c>
      <c r="D424">
        <v>0.16784366217840543</v>
      </c>
      <c r="E424">
        <v>8.8430603344364325E-2</v>
      </c>
      <c r="F424">
        <v>3.8334257734200752E-2</v>
      </c>
      <c r="G424">
        <v>0.66242453770122578</v>
      </c>
      <c r="H424">
        <v>13.293248115736308</v>
      </c>
      <c r="I424">
        <v>2.314667081606259E-2</v>
      </c>
      <c r="J424">
        <v>3.4677676309094928E-2</v>
      </c>
      <c r="K424">
        <f t="shared" si="54"/>
        <v>5.6939159812332572E-2</v>
      </c>
      <c r="L424">
        <f t="shared" si="55"/>
        <v>0.16784366217840543</v>
      </c>
      <c r="M424">
        <f t="shared" si="56"/>
        <v>8.8430603344364325E-2</v>
      </c>
      <c r="N424">
        <f t="shared" si="57"/>
        <v>3.8334257734200752E-2</v>
      </c>
      <c r="O424">
        <f t="shared" si="58"/>
        <v>0.66242453770122578</v>
      </c>
      <c r="P424">
        <f t="shared" si="59"/>
        <v>13.293248115736308</v>
      </c>
      <c r="Q424">
        <f t="shared" si="60"/>
        <v>2.314667081606259E-2</v>
      </c>
      <c r="R424">
        <f t="shared" si="61"/>
        <v>3.4677676309094928E-2</v>
      </c>
      <c r="S424">
        <f t="shared" si="62"/>
        <v>0</v>
      </c>
    </row>
    <row r="425" spans="1:19" x14ac:dyDescent="0.3">
      <c r="A425" t="s">
        <v>152</v>
      </c>
      <c r="B425">
        <v>2009</v>
      </c>
      <c r="C425">
        <v>4.3428279857129992E-2</v>
      </c>
      <c r="D425">
        <v>0.19745175135816551</v>
      </c>
      <c r="E425">
        <v>-0.10569829216315994</v>
      </c>
      <c r="F425">
        <v>0.22775760122460006</v>
      </c>
      <c r="G425">
        <v>0.94806705285589943</v>
      </c>
      <c r="H425">
        <v>13.40955532976688</v>
      </c>
      <c r="I425">
        <v>5.7946418392665192E-2</v>
      </c>
      <c r="J425">
        <v>0</v>
      </c>
      <c r="K425">
        <f t="shared" si="54"/>
        <v>4.3428279857129992E-2</v>
      </c>
      <c r="L425">
        <f t="shared" si="55"/>
        <v>0.19745175135816551</v>
      </c>
      <c r="M425">
        <f t="shared" si="56"/>
        <v>-0.10569829216315994</v>
      </c>
      <c r="N425">
        <f t="shared" si="57"/>
        <v>0.22775760122460006</v>
      </c>
      <c r="O425">
        <f t="shared" si="58"/>
        <v>0.94806705285589943</v>
      </c>
      <c r="P425">
        <f t="shared" si="59"/>
        <v>13.40955532976688</v>
      </c>
      <c r="Q425">
        <f t="shared" si="60"/>
        <v>5.7946418392665192E-2</v>
      </c>
      <c r="R425">
        <f t="shared" si="61"/>
        <v>0</v>
      </c>
      <c r="S425">
        <f t="shared" si="62"/>
        <v>0</v>
      </c>
    </row>
    <row r="426" spans="1:19" x14ac:dyDescent="0.3">
      <c r="A426" t="s">
        <v>152</v>
      </c>
      <c r="B426">
        <v>2010</v>
      </c>
      <c r="C426">
        <v>6.3337414332187061E-3</v>
      </c>
      <c r="D426">
        <v>0.26306914522971808</v>
      </c>
      <c r="E426">
        <v>-0.22349828215698347</v>
      </c>
      <c r="F426">
        <v>0.25986130846342981</v>
      </c>
      <c r="G426">
        <v>0.62098991142749904</v>
      </c>
      <c r="H426">
        <v>14.063580060496939</v>
      </c>
      <c r="I426">
        <v>9.7874363783576779E-2</v>
      </c>
      <c r="J426">
        <v>0</v>
      </c>
      <c r="K426">
        <f t="shared" si="54"/>
        <v>6.3337414332187061E-3</v>
      </c>
      <c r="L426">
        <f t="shared" si="55"/>
        <v>0.26306914522971808</v>
      </c>
      <c r="M426">
        <f t="shared" si="56"/>
        <v>-0.22349828215698347</v>
      </c>
      <c r="N426">
        <f t="shared" si="57"/>
        <v>0.25986130846342981</v>
      </c>
      <c r="O426">
        <f t="shared" si="58"/>
        <v>0.62098991142749904</v>
      </c>
      <c r="P426">
        <f t="shared" si="59"/>
        <v>14.063580060496939</v>
      </c>
      <c r="Q426">
        <f t="shared" si="60"/>
        <v>9.7874363783576779E-2</v>
      </c>
      <c r="R426">
        <f t="shared" si="61"/>
        <v>0</v>
      </c>
      <c r="S426">
        <f t="shared" si="62"/>
        <v>0</v>
      </c>
    </row>
    <row r="427" spans="1:19" x14ac:dyDescent="0.3">
      <c r="A427" t="s">
        <v>153</v>
      </c>
      <c r="B427">
        <v>2007</v>
      </c>
      <c r="C427">
        <v>3.0402694190616968E-3</v>
      </c>
      <c r="D427">
        <v>3.4990295352882894E-2</v>
      </c>
      <c r="E427">
        <v>5.950628134130248E-2</v>
      </c>
      <c r="F427">
        <v>0.38157548688557658</v>
      </c>
      <c r="G427">
        <v>1.080407602081719</v>
      </c>
      <c r="H427">
        <v>15.795606375473131</v>
      </c>
      <c r="I427">
        <v>2.326411308078985E-2</v>
      </c>
      <c r="J427">
        <v>0</v>
      </c>
      <c r="K427">
        <f t="shared" si="54"/>
        <v>3.0402694190616968E-3</v>
      </c>
      <c r="L427">
        <f t="shared" si="55"/>
        <v>3.4990295352882894E-2</v>
      </c>
      <c r="M427">
        <f t="shared" si="56"/>
        <v>5.950628134130248E-2</v>
      </c>
      <c r="N427">
        <f t="shared" si="57"/>
        <v>0.38157548688557658</v>
      </c>
      <c r="O427">
        <f t="shared" si="58"/>
        <v>1.080407602081719</v>
      </c>
      <c r="P427">
        <f t="shared" si="59"/>
        <v>15.795606375473131</v>
      </c>
      <c r="Q427">
        <f t="shared" si="60"/>
        <v>2.326411308078985E-2</v>
      </c>
      <c r="R427">
        <f t="shared" si="61"/>
        <v>0</v>
      </c>
      <c r="S427">
        <f t="shared" si="62"/>
        <v>0</v>
      </c>
    </row>
    <row r="428" spans="1:19" x14ac:dyDescent="0.3">
      <c r="A428" t="s">
        <v>153</v>
      </c>
      <c r="B428">
        <v>2008</v>
      </c>
      <c r="C428">
        <v>3.9392187426439003E-4</v>
      </c>
      <c r="D428">
        <v>0.10140532680036723</v>
      </c>
      <c r="E428">
        <v>-9.8984553052292895E-2</v>
      </c>
      <c r="F428">
        <v>0.24828246207713414</v>
      </c>
      <c r="G428">
        <v>1.0463633604526503</v>
      </c>
      <c r="H428">
        <v>15.962619276118945</v>
      </c>
      <c r="I428">
        <v>8.5532456668048762E-3</v>
      </c>
      <c r="J428">
        <v>1.5588535284687408E-2</v>
      </c>
      <c r="K428">
        <f t="shared" si="54"/>
        <v>3.9392187426439003E-4</v>
      </c>
      <c r="L428">
        <f t="shared" si="55"/>
        <v>0.10140532680036723</v>
      </c>
      <c r="M428">
        <f t="shared" si="56"/>
        <v>-9.8984553052292895E-2</v>
      </c>
      <c r="N428">
        <f t="shared" si="57"/>
        <v>0.24828246207713414</v>
      </c>
      <c r="O428">
        <f t="shared" si="58"/>
        <v>1.0463633604526503</v>
      </c>
      <c r="P428">
        <f t="shared" si="59"/>
        <v>15.962619276118945</v>
      </c>
      <c r="Q428">
        <f t="shared" si="60"/>
        <v>8.5532456668048762E-3</v>
      </c>
      <c r="R428">
        <f t="shared" si="61"/>
        <v>1.5588535284687408E-2</v>
      </c>
      <c r="S428">
        <f t="shared" si="62"/>
        <v>0</v>
      </c>
    </row>
    <row r="429" spans="1:19" x14ac:dyDescent="0.3">
      <c r="A429" t="s">
        <v>153</v>
      </c>
      <c r="B429">
        <v>2009</v>
      </c>
      <c r="C429">
        <v>5.3339400845597352E-4</v>
      </c>
      <c r="D429">
        <v>0.1103771244840905</v>
      </c>
      <c r="E429">
        <v>-0.11498946631975243</v>
      </c>
      <c r="F429">
        <v>0.6832118006410296</v>
      </c>
      <c r="G429">
        <v>1.0221409233781698</v>
      </c>
      <c r="H429">
        <v>16.327736205769408</v>
      </c>
      <c r="I429">
        <v>1.8738998331913604E-2</v>
      </c>
      <c r="J429">
        <v>1.4124075490253397E-2</v>
      </c>
      <c r="K429">
        <f t="shared" si="54"/>
        <v>5.3339400845597352E-4</v>
      </c>
      <c r="L429">
        <f t="shared" si="55"/>
        <v>0.1103771244840905</v>
      </c>
      <c r="M429">
        <f t="shared" si="56"/>
        <v>-0.11498946631975243</v>
      </c>
      <c r="N429">
        <f t="shared" si="57"/>
        <v>0.6832118006410296</v>
      </c>
      <c r="O429">
        <f t="shared" si="58"/>
        <v>1.0221409233781698</v>
      </c>
      <c r="P429">
        <f t="shared" si="59"/>
        <v>16.327736205769408</v>
      </c>
      <c r="Q429">
        <f t="shared" si="60"/>
        <v>1.8738998331913604E-2</v>
      </c>
      <c r="R429">
        <f t="shared" si="61"/>
        <v>1.4124075490253397E-2</v>
      </c>
      <c r="S429">
        <f t="shared" si="62"/>
        <v>0</v>
      </c>
    </row>
    <row r="430" spans="1:19" x14ac:dyDescent="0.3">
      <c r="A430" t="s">
        <v>153</v>
      </c>
      <c r="B430">
        <v>2010</v>
      </c>
      <c r="C430">
        <v>8.9897359102814164E-4</v>
      </c>
      <c r="D430">
        <v>0.19658339097406524</v>
      </c>
      <c r="E430">
        <v>-8.5717978132644035E-2</v>
      </c>
      <c r="F430">
        <v>0.54541874694320636</v>
      </c>
      <c r="G430">
        <v>1.0769131373134919</v>
      </c>
      <c r="H430">
        <v>16.314620774489907</v>
      </c>
      <c r="I430">
        <v>6.3332982834232027E-3</v>
      </c>
      <c r="J430">
        <v>2.8173891496631642E-2</v>
      </c>
      <c r="K430">
        <f t="shared" si="54"/>
        <v>8.9897359102814164E-4</v>
      </c>
      <c r="L430">
        <f t="shared" si="55"/>
        <v>0.19658339097406524</v>
      </c>
      <c r="M430">
        <f t="shared" si="56"/>
        <v>-8.5717978132644035E-2</v>
      </c>
      <c r="N430">
        <f t="shared" si="57"/>
        <v>0.54541874694320636</v>
      </c>
      <c r="O430">
        <f t="shared" si="58"/>
        <v>1.0769131373134919</v>
      </c>
      <c r="P430">
        <f t="shared" si="59"/>
        <v>16.314620774489907</v>
      </c>
      <c r="Q430">
        <f t="shared" si="60"/>
        <v>6.3332982834232027E-3</v>
      </c>
      <c r="R430">
        <f t="shared" si="61"/>
        <v>2.8173891496631642E-2</v>
      </c>
      <c r="S430">
        <f t="shared" si="62"/>
        <v>0</v>
      </c>
    </row>
    <row r="431" spans="1:19" x14ac:dyDescent="0.3">
      <c r="A431" t="s">
        <v>154</v>
      </c>
      <c r="B431">
        <v>2007</v>
      </c>
      <c r="C431">
        <v>2.8940603666944725E-3</v>
      </c>
      <c r="D431">
        <v>0.18940642952832054</v>
      </c>
      <c r="E431">
        <v>-0.19535562239976534</v>
      </c>
      <c r="F431">
        <v>0.17958626722522469</v>
      </c>
      <c r="G431">
        <v>1.0382827876741838</v>
      </c>
      <c r="H431">
        <v>13.545842586243566</v>
      </c>
      <c r="I431">
        <v>2.5874549285816437E-2</v>
      </c>
      <c r="J431">
        <v>0</v>
      </c>
      <c r="K431">
        <f t="shared" si="54"/>
        <v>2.8940603666944725E-3</v>
      </c>
      <c r="L431">
        <f t="shared" si="55"/>
        <v>0.18940642952832054</v>
      </c>
      <c r="M431">
        <f t="shared" si="56"/>
        <v>-0.19535562239976534</v>
      </c>
      <c r="N431">
        <f t="shared" si="57"/>
        <v>0.17958626722522469</v>
      </c>
      <c r="O431">
        <f t="shared" si="58"/>
        <v>1.0382827876741838</v>
      </c>
      <c r="P431">
        <f t="shared" si="59"/>
        <v>13.545842586243566</v>
      </c>
      <c r="Q431">
        <f t="shared" si="60"/>
        <v>2.5874549285816437E-2</v>
      </c>
      <c r="R431">
        <f t="shared" si="61"/>
        <v>0</v>
      </c>
      <c r="S431">
        <f t="shared" si="62"/>
        <v>0</v>
      </c>
    </row>
    <row r="432" spans="1:19" x14ac:dyDescent="0.3">
      <c r="A432" t="s">
        <v>154</v>
      </c>
      <c r="B432">
        <v>2009</v>
      </c>
      <c r="C432">
        <v>1.1989871643104169E-3</v>
      </c>
      <c r="D432">
        <v>0.2523058821004896</v>
      </c>
      <c r="E432">
        <v>-4.6594196937888709E-2</v>
      </c>
      <c r="F432">
        <v>0.17762534378118172</v>
      </c>
      <c r="G432">
        <v>1.3355333302337891</v>
      </c>
      <c r="H432">
        <v>13.927448991604834</v>
      </c>
      <c r="I432">
        <v>1.2313213849226401E-2</v>
      </c>
      <c r="J432">
        <v>3.6965641552013331E-2</v>
      </c>
      <c r="K432">
        <f t="shared" si="54"/>
        <v>1.1989871643104169E-3</v>
      </c>
      <c r="L432">
        <f t="shared" si="55"/>
        <v>0.2523058821004896</v>
      </c>
      <c r="M432">
        <f t="shared" si="56"/>
        <v>-4.6594196937888709E-2</v>
      </c>
      <c r="N432">
        <f t="shared" si="57"/>
        <v>0.17762534378118172</v>
      </c>
      <c r="O432">
        <f t="shared" si="58"/>
        <v>1.3355333302337891</v>
      </c>
      <c r="P432">
        <f t="shared" si="59"/>
        <v>13.927448991604834</v>
      </c>
      <c r="Q432">
        <f t="shared" si="60"/>
        <v>1.2313213849226401E-2</v>
      </c>
      <c r="R432">
        <f t="shared" si="61"/>
        <v>3.6965641552013331E-2</v>
      </c>
      <c r="S432">
        <f t="shared" si="62"/>
        <v>0</v>
      </c>
    </row>
    <row r="433" spans="1:19" x14ac:dyDescent="0.3">
      <c r="A433" t="s">
        <v>154</v>
      </c>
      <c r="B433">
        <v>2010</v>
      </c>
      <c r="C433">
        <v>6.5545459207752024E-2</v>
      </c>
      <c r="D433">
        <v>0.21265005984242169</v>
      </c>
      <c r="E433">
        <v>-2.5558505259045367E-2</v>
      </c>
      <c r="F433">
        <v>0.17134178983295406</v>
      </c>
      <c r="G433">
        <v>1.172709988699953</v>
      </c>
      <c r="H433">
        <v>14.366743306203842</v>
      </c>
      <c r="I433">
        <v>1.8236638263139274E-2</v>
      </c>
      <c r="J433">
        <v>2.8826932950556963E-2</v>
      </c>
      <c r="K433">
        <f t="shared" si="54"/>
        <v>6.5545459207752024E-2</v>
      </c>
      <c r="L433">
        <f t="shared" si="55"/>
        <v>0.21265005984242169</v>
      </c>
      <c r="M433">
        <f t="shared" si="56"/>
        <v>-2.5558505259045367E-2</v>
      </c>
      <c r="N433">
        <f t="shared" si="57"/>
        <v>0.17134178983295406</v>
      </c>
      <c r="O433">
        <f t="shared" si="58"/>
        <v>1.172709988699953</v>
      </c>
      <c r="P433">
        <f t="shared" si="59"/>
        <v>14.366743306203842</v>
      </c>
      <c r="Q433">
        <f t="shared" si="60"/>
        <v>1.8236638263139274E-2</v>
      </c>
      <c r="R433">
        <f t="shared" si="61"/>
        <v>2.8826932950556963E-2</v>
      </c>
      <c r="S433">
        <f t="shared" si="62"/>
        <v>0</v>
      </c>
    </row>
    <row r="434" spans="1:19" x14ac:dyDescent="0.3">
      <c r="A434" t="s">
        <v>155</v>
      </c>
      <c r="B434">
        <v>2007</v>
      </c>
      <c r="C434">
        <v>1.0021588636888687E-2</v>
      </c>
      <c r="D434">
        <v>7.0913892407332174E-2</v>
      </c>
      <c r="E434">
        <v>-7.1865863664969847E-3</v>
      </c>
      <c r="F434">
        <v>0.40166614885803281</v>
      </c>
      <c r="G434">
        <v>1.9776776681085646</v>
      </c>
      <c r="H434">
        <v>13.819733628237145</v>
      </c>
      <c r="I434">
        <v>3.3540903269749997E-3</v>
      </c>
      <c r="J434">
        <v>0</v>
      </c>
      <c r="K434">
        <f t="shared" si="54"/>
        <v>1.0021588636888687E-2</v>
      </c>
      <c r="L434">
        <f t="shared" si="55"/>
        <v>7.0913892407332174E-2</v>
      </c>
      <c r="M434">
        <f t="shared" si="56"/>
        <v>-7.1865863664969847E-3</v>
      </c>
      <c r="N434">
        <f t="shared" si="57"/>
        <v>0.40166614885803281</v>
      </c>
      <c r="O434">
        <f t="shared" si="58"/>
        <v>1.9776776681085646</v>
      </c>
      <c r="P434">
        <f t="shared" si="59"/>
        <v>13.819733628237145</v>
      </c>
      <c r="Q434">
        <f t="shared" si="60"/>
        <v>3.3540903269749997E-3</v>
      </c>
      <c r="R434">
        <f t="shared" si="61"/>
        <v>0</v>
      </c>
      <c r="S434">
        <f t="shared" si="62"/>
        <v>0</v>
      </c>
    </row>
    <row r="435" spans="1:19" x14ac:dyDescent="0.3">
      <c r="A435" t="s">
        <v>155</v>
      </c>
      <c r="B435">
        <v>2009</v>
      </c>
      <c r="C435">
        <v>2.6681186625899089E-2</v>
      </c>
      <c r="D435">
        <v>0.1796083418688863</v>
      </c>
      <c r="E435">
        <v>2.6764194085147377E-2</v>
      </c>
      <c r="F435">
        <v>0.26502834818963777</v>
      </c>
      <c r="G435">
        <v>1.0357079051278049</v>
      </c>
      <c r="H435">
        <v>14.087927965973632</v>
      </c>
      <c r="I435">
        <v>1.6021565741834033E-2</v>
      </c>
      <c r="J435">
        <v>1.2163258157005944E-2</v>
      </c>
      <c r="K435">
        <f t="shared" si="54"/>
        <v>2.6681186625899089E-2</v>
      </c>
      <c r="L435">
        <f t="shared" si="55"/>
        <v>0.1796083418688863</v>
      </c>
      <c r="M435">
        <f t="shared" si="56"/>
        <v>2.6764194085147377E-2</v>
      </c>
      <c r="N435">
        <f t="shared" si="57"/>
        <v>0.26502834818963777</v>
      </c>
      <c r="O435">
        <f t="shared" si="58"/>
        <v>1.0357079051278049</v>
      </c>
      <c r="P435">
        <f t="shared" si="59"/>
        <v>14.087927965973632</v>
      </c>
      <c r="Q435">
        <f t="shared" si="60"/>
        <v>1.6021565741834033E-2</v>
      </c>
      <c r="R435">
        <f t="shared" si="61"/>
        <v>1.2163258157005944E-2</v>
      </c>
      <c r="S435">
        <f t="shared" si="62"/>
        <v>0</v>
      </c>
    </row>
    <row r="436" spans="1:19" x14ac:dyDescent="0.3">
      <c r="A436" t="s">
        <v>155</v>
      </c>
      <c r="B436">
        <v>2010</v>
      </c>
      <c r="C436">
        <v>2.0943365782821494E-2</v>
      </c>
      <c r="D436">
        <v>0.12653417952993062</v>
      </c>
      <c r="E436">
        <v>-6.2763540041951268E-2</v>
      </c>
      <c r="F436">
        <v>0.19846985424622168</v>
      </c>
      <c r="G436">
        <v>0.87091499489055024</v>
      </c>
      <c r="H436">
        <v>14.212567079453944</v>
      </c>
      <c r="I436">
        <v>7.3788231400552518E-3</v>
      </c>
      <c r="J436">
        <v>7.0873446996181358E-3</v>
      </c>
      <c r="K436">
        <f t="shared" si="54"/>
        <v>2.0943365782821494E-2</v>
      </c>
      <c r="L436">
        <f t="shared" si="55"/>
        <v>0.12653417952993062</v>
      </c>
      <c r="M436">
        <f t="shared" si="56"/>
        <v>-6.2763540041951268E-2</v>
      </c>
      <c r="N436">
        <f t="shared" si="57"/>
        <v>0.19846985424622168</v>
      </c>
      <c r="O436">
        <f t="shared" si="58"/>
        <v>0.87091499489055024</v>
      </c>
      <c r="P436">
        <f t="shared" si="59"/>
        <v>14.212567079453944</v>
      </c>
      <c r="Q436">
        <f t="shared" si="60"/>
        <v>7.3788231400552518E-3</v>
      </c>
      <c r="R436">
        <f t="shared" si="61"/>
        <v>7.0873446996181358E-3</v>
      </c>
      <c r="S436">
        <f t="shared" si="62"/>
        <v>0</v>
      </c>
    </row>
    <row r="437" spans="1:19" x14ac:dyDescent="0.3">
      <c r="A437" t="s">
        <v>156</v>
      </c>
      <c r="B437">
        <v>2007</v>
      </c>
      <c r="C437">
        <v>5.7241710057550016E-3</v>
      </c>
      <c r="D437">
        <v>0.24543710605645383</v>
      </c>
      <c r="E437">
        <v>-2.569275828994245</v>
      </c>
      <c r="F437">
        <v>0.27830570019183337</v>
      </c>
      <c r="G437">
        <v>3.6305960537133464</v>
      </c>
      <c r="H437">
        <v>12.58423507111033</v>
      </c>
      <c r="I437">
        <v>1.5841312678397786E-2</v>
      </c>
      <c r="J437">
        <v>0</v>
      </c>
      <c r="K437">
        <f t="shared" si="54"/>
        <v>5.7241710057550016E-3</v>
      </c>
      <c r="L437">
        <f t="shared" si="55"/>
        <v>0.24543710605645383</v>
      </c>
      <c r="M437">
        <f t="shared" si="56"/>
        <v>-2.569275828994245</v>
      </c>
      <c r="N437">
        <f t="shared" si="57"/>
        <v>0.27830570019183337</v>
      </c>
      <c r="O437">
        <f t="shared" si="58"/>
        <v>3.6305960537133464</v>
      </c>
      <c r="P437">
        <f t="shared" si="59"/>
        <v>12.58423507111033</v>
      </c>
      <c r="Q437">
        <f t="shared" si="60"/>
        <v>1.5841312678397786E-2</v>
      </c>
      <c r="R437">
        <f t="shared" si="61"/>
        <v>0</v>
      </c>
      <c r="S437">
        <f t="shared" si="62"/>
        <v>0</v>
      </c>
    </row>
    <row r="438" spans="1:19" x14ac:dyDescent="0.3">
      <c r="A438" t="s">
        <v>156</v>
      </c>
      <c r="B438">
        <v>2008</v>
      </c>
      <c r="C438">
        <v>4.3296211500535942E-3</v>
      </c>
      <c r="D438">
        <v>0.18245289067787554</v>
      </c>
      <c r="E438">
        <v>-2.5824975793628946</v>
      </c>
      <c r="F438">
        <v>1.6856701521682107</v>
      </c>
      <c r="G438">
        <v>3.4850242063710519</v>
      </c>
      <c r="H438">
        <v>12.640458812111474</v>
      </c>
      <c r="I438">
        <v>0.13858324580065251</v>
      </c>
      <c r="J438">
        <v>0</v>
      </c>
      <c r="K438">
        <f t="shared" si="54"/>
        <v>4.3296211500535942E-3</v>
      </c>
      <c r="L438">
        <f t="shared" si="55"/>
        <v>0.18245289067787554</v>
      </c>
      <c r="M438">
        <f t="shared" si="56"/>
        <v>-2.5824975793628946</v>
      </c>
      <c r="N438">
        <f t="shared" si="57"/>
        <v>1.6856701521682107</v>
      </c>
      <c r="O438">
        <f t="shared" si="58"/>
        <v>3.4850242063710519</v>
      </c>
      <c r="P438">
        <f t="shared" si="59"/>
        <v>12.640458812111474</v>
      </c>
      <c r="Q438">
        <f t="shared" si="60"/>
        <v>0.13858324580065251</v>
      </c>
      <c r="R438">
        <f t="shared" si="61"/>
        <v>0</v>
      </c>
      <c r="S438">
        <f t="shared" si="62"/>
        <v>0</v>
      </c>
    </row>
    <row r="439" spans="1:19" x14ac:dyDescent="0.3">
      <c r="A439" t="s">
        <v>156</v>
      </c>
      <c r="B439">
        <v>2009</v>
      </c>
      <c r="C439">
        <v>7.8684376976597085E-3</v>
      </c>
      <c r="D439">
        <v>0.59566729917773564</v>
      </c>
      <c r="E439">
        <v>-1.0168722327640733</v>
      </c>
      <c r="F439">
        <v>1.3763820366856421</v>
      </c>
      <c r="G439">
        <v>2.757725173940544</v>
      </c>
      <c r="H439">
        <v>12.664130203757509</v>
      </c>
      <c r="I439">
        <v>3.0959423766054563E-2</v>
      </c>
      <c r="J439">
        <v>0</v>
      </c>
      <c r="K439">
        <f t="shared" si="54"/>
        <v>7.8684376976597085E-3</v>
      </c>
      <c r="L439">
        <f t="shared" si="55"/>
        <v>0.59566729917773564</v>
      </c>
      <c r="M439">
        <f t="shared" si="56"/>
        <v>-1.0168722327640733</v>
      </c>
      <c r="N439">
        <f t="shared" si="57"/>
        <v>1.3763820366856421</v>
      </c>
      <c r="O439">
        <f t="shared" si="58"/>
        <v>2.757725173940544</v>
      </c>
      <c r="P439">
        <f t="shared" si="59"/>
        <v>12.664130203757509</v>
      </c>
      <c r="Q439">
        <f t="shared" si="60"/>
        <v>3.0959423766054563E-2</v>
      </c>
      <c r="R439">
        <f t="shared" si="61"/>
        <v>0</v>
      </c>
      <c r="S439">
        <f t="shared" si="62"/>
        <v>0</v>
      </c>
    </row>
    <row r="440" spans="1:19" x14ac:dyDescent="0.3">
      <c r="A440" t="s">
        <v>156</v>
      </c>
      <c r="B440">
        <v>2010</v>
      </c>
      <c r="C440">
        <v>4.8168383765704932E-2</v>
      </c>
      <c r="D440">
        <v>0.45532775111420354</v>
      </c>
      <c r="E440">
        <v>-0.66953948009983688</v>
      </c>
      <c r="F440">
        <v>1.0422909764666504</v>
      </c>
      <c r="G440">
        <v>2.0835123702292191</v>
      </c>
      <c r="H440">
        <v>12.846396414301354</v>
      </c>
      <c r="I440">
        <v>0.12161394388886251</v>
      </c>
      <c r="J440">
        <v>3.7162082025412539E-2</v>
      </c>
      <c r="K440">
        <f t="shared" si="54"/>
        <v>4.8168383765704932E-2</v>
      </c>
      <c r="L440">
        <f t="shared" si="55"/>
        <v>0.45532775111420354</v>
      </c>
      <c r="M440">
        <f t="shared" si="56"/>
        <v>-0.66953948009983688</v>
      </c>
      <c r="N440">
        <f t="shared" si="57"/>
        <v>1.0422909764666504</v>
      </c>
      <c r="O440">
        <f t="shared" si="58"/>
        <v>2.0835123702292191</v>
      </c>
      <c r="P440">
        <f t="shared" si="59"/>
        <v>12.846396414301354</v>
      </c>
      <c r="Q440">
        <f t="shared" si="60"/>
        <v>0.12161394388886251</v>
      </c>
      <c r="R440">
        <f t="shared" si="61"/>
        <v>3.7162082025412539E-2</v>
      </c>
      <c r="S440">
        <f t="shared" si="62"/>
        <v>0</v>
      </c>
    </row>
    <row r="441" spans="1:19" x14ac:dyDescent="0.3">
      <c r="A441" t="s">
        <v>157</v>
      </c>
      <c r="B441">
        <v>2007</v>
      </c>
      <c r="C441">
        <v>6.8662259883141051E-3</v>
      </c>
      <c r="D441">
        <v>5.2685897892157364E-2</v>
      </c>
      <c r="E441">
        <v>-5.6181405912460243E-2</v>
      </c>
      <c r="F441">
        <v>0.29830507377865201</v>
      </c>
      <c r="G441">
        <v>0.74762492177512463</v>
      </c>
      <c r="H441">
        <v>14.587299773405761</v>
      </c>
      <c r="I441">
        <v>1.0453079257000269E-2</v>
      </c>
      <c r="J441">
        <v>0</v>
      </c>
      <c r="K441">
        <f t="shared" si="54"/>
        <v>6.8662259883141051E-3</v>
      </c>
      <c r="L441">
        <f t="shared" si="55"/>
        <v>5.2685897892157364E-2</v>
      </c>
      <c r="M441">
        <f t="shared" si="56"/>
        <v>-5.6181405912460243E-2</v>
      </c>
      <c r="N441">
        <f t="shared" si="57"/>
        <v>0.29830507377865201</v>
      </c>
      <c r="O441">
        <f t="shared" si="58"/>
        <v>0.74762492177512463</v>
      </c>
      <c r="P441">
        <f t="shared" si="59"/>
        <v>14.587299773405761</v>
      </c>
      <c r="Q441">
        <f t="shared" si="60"/>
        <v>1.0453079257000269E-2</v>
      </c>
      <c r="R441">
        <f t="shared" si="61"/>
        <v>0</v>
      </c>
      <c r="S441">
        <f t="shared" si="62"/>
        <v>0</v>
      </c>
    </row>
    <row r="442" spans="1:19" x14ac:dyDescent="0.3">
      <c r="A442" t="s">
        <v>157</v>
      </c>
      <c r="B442">
        <v>2008</v>
      </c>
      <c r="C442">
        <v>8.4008590072200857E-3</v>
      </c>
      <c r="D442">
        <v>9.6194229928150687E-2</v>
      </c>
      <c r="E442">
        <v>-9.042426147402248E-2</v>
      </c>
      <c r="F442">
        <v>0.28689166148829104</v>
      </c>
      <c r="G442">
        <v>0.63077335464652806</v>
      </c>
      <c r="H442">
        <v>14.475269503354937</v>
      </c>
      <c r="I442">
        <v>7.7692424265730572E-3</v>
      </c>
      <c r="J442">
        <v>0</v>
      </c>
      <c r="K442">
        <f t="shared" si="54"/>
        <v>8.4008590072200857E-3</v>
      </c>
      <c r="L442">
        <f t="shared" si="55"/>
        <v>9.6194229928150687E-2</v>
      </c>
      <c r="M442">
        <f t="shared" si="56"/>
        <v>-9.042426147402248E-2</v>
      </c>
      <c r="N442">
        <f t="shared" si="57"/>
        <v>0.28689166148829104</v>
      </c>
      <c r="O442">
        <f t="shared" si="58"/>
        <v>0.63077335464652806</v>
      </c>
      <c r="P442">
        <f t="shared" si="59"/>
        <v>14.475269503354937</v>
      </c>
      <c r="Q442">
        <f t="shared" si="60"/>
        <v>7.7692424265730572E-3</v>
      </c>
      <c r="R442">
        <f t="shared" si="61"/>
        <v>0</v>
      </c>
      <c r="S442">
        <f t="shared" si="62"/>
        <v>0</v>
      </c>
    </row>
    <row r="443" spans="1:19" x14ac:dyDescent="0.3">
      <c r="A443" t="s">
        <v>157</v>
      </c>
      <c r="B443">
        <v>2009</v>
      </c>
      <c r="C443">
        <v>6.108438226338715E-3</v>
      </c>
      <c r="D443">
        <v>0.12819151198544884</v>
      </c>
      <c r="E443">
        <v>-0.12567145284005474</v>
      </c>
      <c r="F443">
        <v>0.32559677052137515</v>
      </c>
      <c r="G443">
        <v>0.65400582447028088</v>
      </c>
      <c r="H443">
        <v>14.284746392531098</v>
      </c>
      <c r="I443">
        <v>2.7881616708260615E-2</v>
      </c>
      <c r="J443">
        <v>9.3922085200391307E-3</v>
      </c>
      <c r="K443">
        <f t="shared" si="54"/>
        <v>6.108438226338715E-3</v>
      </c>
      <c r="L443">
        <f t="shared" si="55"/>
        <v>0.12819151198544884</v>
      </c>
      <c r="M443">
        <f t="shared" si="56"/>
        <v>-0.12567145284005474</v>
      </c>
      <c r="N443">
        <f t="shared" si="57"/>
        <v>0.32559677052137515</v>
      </c>
      <c r="O443">
        <f t="shared" si="58"/>
        <v>0.65400582447028088</v>
      </c>
      <c r="P443">
        <f t="shared" si="59"/>
        <v>14.284746392531098</v>
      </c>
      <c r="Q443">
        <f t="shared" si="60"/>
        <v>2.7881616708260615E-2</v>
      </c>
      <c r="R443">
        <f t="shared" si="61"/>
        <v>9.3922085200391307E-3</v>
      </c>
      <c r="S443">
        <f t="shared" si="62"/>
        <v>0</v>
      </c>
    </row>
    <row r="444" spans="1:19" x14ac:dyDescent="0.3">
      <c r="A444" t="s">
        <v>157</v>
      </c>
      <c r="B444">
        <v>2010</v>
      </c>
      <c r="C444">
        <v>2.5142532061984441E-2</v>
      </c>
      <c r="D444">
        <v>0.20141558958056291</v>
      </c>
      <c r="E444">
        <v>-0.29316594643957872</v>
      </c>
      <c r="F444">
        <v>0.42689516058167531</v>
      </c>
      <c r="G444">
        <v>0.67036097273942097</v>
      </c>
      <c r="H444">
        <v>14.244901155230561</v>
      </c>
      <c r="I444">
        <v>3.1946611833488903E-2</v>
      </c>
      <c r="J444">
        <v>0</v>
      </c>
      <c r="K444">
        <f t="shared" si="54"/>
        <v>2.5142532061984441E-2</v>
      </c>
      <c r="L444">
        <f t="shared" si="55"/>
        <v>0.20141558958056291</v>
      </c>
      <c r="M444">
        <f t="shared" si="56"/>
        <v>-0.29316594643957872</v>
      </c>
      <c r="N444">
        <f t="shared" si="57"/>
        <v>0.42689516058167531</v>
      </c>
      <c r="O444">
        <f t="shared" si="58"/>
        <v>0.67036097273942097</v>
      </c>
      <c r="P444">
        <f t="shared" si="59"/>
        <v>14.244901155230561</v>
      </c>
      <c r="Q444">
        <f t="shared" si="60"/>
        <v>3.1946611833488903E-2</v>
      </c>
      <c r="R444">
        <f t="shared" si="61"/>
        <v>0</v>
      </c>
      <c r="S444">
        <f t="shared" si="62"/>
        <v>0</v>
      </c>
    </row>
    <row r="445" spans="1:19" x14ac:dyDescent="0.3">
      <c r="A445" t="s">
        <v>158</v>
      </c>
      <c r="B445">
        <v>2007</v>
      </c>
      <c r="C445">
        <v>3.0651869212564051E-3</v>
      </c>
      <c r="D445">
        <v>0.21654373750603156</v>
      </c>
      <c r="E445">
        <v>-3.7898439833643529</v>
      </c>
      <c r="F445">
        <v>0.40545483789434983</v>
      </c>
      <c r="G445">
        <v>3.1280852921578091</v>
      </c>
      <c r="H445">
        <v>12.290436771641112</v>
      </c>
      <c r="I445">
        <v>4.1377223640130904E-2</v>
      </c>
      <c r="J445">
        <v>0</v>
      </c>
      <c r="K445">
        <f t="shared" si="54"/>
        <v>3.0651869212564051E-3</v>
      </c>
      <c r="L445">
        <f t="shared" si="55"/>
        <v>0.21654373750603156</v>
      </c>
      <c r="M445">
        <f t="shared" si="56"/>
        <v>-3.7898439833643529</v>
      </c>
      <c r="N445">
        <f t="shared" si="57"/>
        <v>0.40545483789434983</v>
      </c>
      <c r="O445">
        <f t="shared" si="58"/>
        <v>3.1280852921578091</v>
      </c>
      <c r="P445">
        <f t="shared" si="59"/>
        <v>12.290436771641112</v>
      </c>
      <c r="Q445">
        <f t="shared" si="60"/>
        <v>4.1377223640130904E-2</v>
      </c>
      <c r="R445">
        <f t="shared" si="61"/>
        <v>0</v>
      </c>
      <c r="S445">
        <f t="shared" si="62"/>
        <v>0</v>
      </c>
    </row>
    <row r="446" spans="1:19" x14ac:dyDescent="0.3">
      <c r="A446" t="s">
        <v>158</v>
      </c>
      <c r="B446">
        <v>2009</v>
      </c>
      <c r="C446">
        <v>5.954943626249494E-3</v>
      </c>
      <c r="D446">
        <v>0.83971099128284921</v>
      </c>
      <c r="E446">
        <v>-1.1185063620281763</v>
      </c>
      <c r="F446">
        <v>1.06291694196381</v>
      </c>
      <c r="G446">
        <v>3.254253074447452</v>
      </c>
      <c r="H446">
        <v>12.365615902101414</v>
      </c>
      <c r="I446">
        <v>0.14033242112936986</v>
      </c>
      <c r="J446">
        <v>0</v>
      </c>
      <c r="K446">
        <f t="shared" si="54"/>
        <v>5.954943626249494E-3</v>
      </c>
      <c r="L446">
        <f t="shared" si="55"/>
        <v>0.83971099128284921</v>
      </c>
      <c r="M446">
        <f t="shared" si="56"/>
        <v>-1.1185063620281763</v>
      </c>
      <c r="N446">
        <f t="shared" si="57"/>
        <v>1.06291694196381</v>
      </c>
      <c r="O446">
        <f t="shared" si="58"/>
        <v>3.254253074447452</v>
      </c>
      <c r="P446">
        <f t="shared" si="59"/>
        <v>12.365615902101414</v>
      </c>
      <c r="Q446">
        <f t="shared" si="60"/>
        <v>0.14033242112936986</v>
      </c>
      <c r="R446">
        <f t="shared" si="61"/>
        <v>0</v>
      </c>
      <c r="S446">
        <f t="shared" si="62"/>
        <v>0</v>
      </c>
    </row>
    <row r="447" spans="1:19" x14ac:dyDescent="0.3">
      <c r="A447" t="s">
        <v>158</v>
      </c>
      <c r="B447">
        <v>2010</v>
      </c>
      <c r="C447">
        <v>5.8137338769705928E-2</v>
      </c>
      <c r="D447">
        <v>0.3459354967726167</v>
      </c>
      <c r="E447">
        <v>-0.6706883973440283</v>
      </c>
      <c r="F447">
        <v>0.88226994478452636</v>
      </c>
      <c r="G447">
        <v>2.6249421367018106</v>
      </c>
      <c r="H447">
        <v>12.506299452734206</v>
      </c>
      <c r="I447">
        <v>7.7014711488414118</v>
      </c>
      <c r="J447">
        <v>4.018027426277529E-2</v>
      </c>
      <c r="K447">
        <f t="shared" si="54"/>
        <v>5.8137338769705928E-2</v>
      </c>
      <c r="L447">
        <f t="shared" si="55"/>
        <v>0.3459354967726167</v>
      </c>
      <c r="M447">
        <f t="shared" si="56"/>
        <v>-0.6706883973440283</v>
      </c>
      <c r="N447">
        <f t="shared" si="57"/>
        <v>0.88226994478452636</v>
      </c>
      <c r="O447">
        <f t="shared" si="58"/>
        <v>2.6249421367018106</v>
      </c>
      <c r="P447">
        <f t="shared" si="59"/>
        <v>12.506299452734206</v>
      </c>
      <c r="Q447" t="str">
        <f t="shared" si="60"/>
        <v>out</v>
      </c>
      <c r="R447">
        <f t="shared" si="61"/>
        <v>4.018027426277529E-2</v>
      </c>
      <c r="S447">
        <f t="shared" si="62"/>
        <v>1</v>
      </c>
    </row>
    <row r="448" spans="1:19" x14ac:dyDescent="0.3">
      <c r="A448" t="s">
        <v>159</v>
      </c>
      <c r="B448">
        <v>2007</v>
      </c>
      <c r="C448">
        <v>3.3720506034066955E-2</v>
      </c>
      <c r="D448">
        <v>0.1870805595069914</v>
      </c>
      <c r="E448">
        <v>-0.69973998055975184</v>
      </c>
      <c r="F448">
        <v>0.37205182760368338</v>
      </c>
      <c r="G448">
        <v>1.3012699819553364</v>
      </c>
      <c r="H448">
        <v>13.613225448926414</v>
      </c>
      <c r="I448">
        <v>2.8932367542163911E-3</v>
      </c>
      <c r="J448">
        <v>0</v>
      </c>
      <c r="K448">
        <f t="shared" si="54"/>
        <v>3.3720506034066955E-2</v>
      </c>
      <c r="L448">
        <f t="shared" si="55"/>
        <v>0.1870805595069914</v>
      </c>
      <c r="M448">
        <f t="shared" si="56"/>
        <v>-0.69973998055975184</v>
      </c>
      <c r="N448">
        <f t="shared" si="57"/>
        <v>0.37205182760368338</v>
      </c>
      <c r="O448">
        <f t="shared" si="58"/>
        <v>1.3012699819553364</v>
      </c>
      <c r="P448">
        <f t="shared" si="59"/>
        <v>13.613225448926414</v>
      </c>
      <c r="Q448">
        <f t="shared" si="60"/>
        <v>2.8932367542163911E-3</v>
      </c>
      <c r="R448">
        <f t="shared" si="61"/>
        <v>0</v>
      </c>
      <c r="S448">
        <f t="shared" si="62"/>
        <v>0</v>
      </c>
    </row>
    <row r="449" spans="1:19" x14ac:dyDescent="0.3">
      <c r="A449" t="s">
        <v>159</v>
      </c>
      <c r="B449">
        <v>2008</v>
      </c>
      <c r="C449">
        <v>3.3720506034066955E-2</v>
      </c>
      <c r="D449">
        <v>0.1870805595069914</v>
      </c>
      <c r="E449">
        <v>-0.69973998055975184</v>
      </c>
      <c r="F449">
        <v>0.37205182760368338</v>
      </c>
      <c r="G449">
        <v>1.3378711214378929</v>
      </c>
      <c r="H449">
        <v>13.613225448926414</v>
      </c>
      <c r="I449">
        <v>9.9044214049553894E-2</v>
      </c>
      <c r="J449">
        <v>0</v>
      </c>
      <c r="K449">
        <f t="shared" si="54"/>
        <v>3.3720506034066955E-2</v>
      </c>
      <c r="L449">
        <f t="shared" si="55"/>
        <v>0.1870805595069914</v>
      </c>
      <c r="M449">
        <f t="shared" si="56"/>
        <v>-0.69973998055975184</v>
      </c>
      <c r="N449">
        <f t="shared" si="57"/>
        <v>0.37205182760368338</v>
      </c>
      <c r="O449">
        <f t="shared" si="58"/>
        <v>1.3378711214378929</v>
      </c>
      <c r="P449">
        <f t="shared" si="59"/>
        <v>13.613225448926414</v>
      </c>
      <c r="Q449">
        <f t="shared" si="60"/>
        <v>9.9044214049553894E-2</v>
      </c>
      <c r="R449">
        <f t="shared" si="61"/>
        <v>0</v>
      </c>
      <c r="S449">
        <f t="shared" si="62"/>
        <v>0</v>
      </c>
    </row>
    <row r="450" spans="1:19" x14ac:dyDescent="0.3">
      <c r="A450" t="s">
        <v>159</v>
      </c>
      <c r="B450">
        <v>2009</v>
      </c>
      <c r="C450">
        <v>1.0692173113881517E-3</v>
      </c>
      <c r="D450">
        <v>0.31917841987990303</v>
      </c>
      <c r="E450">
        <v>-0.12385748715383565</v>
      </c>
      <c r="F450">
        <v>0.18100945602148247</v>
      </c>
      <c r="G450">
        <v>0.71500117272855634</v>
      </c>
      <c r="H450">
        <v>14.32912189801718</v>
      </c>
      <c r="I450">
        <v>0.13892767517529839</v>
      </c>
      <c r="J450">
        <v>0</v>
      </c>
      <c r="K450">
        <f t="shared" si="54"/>
        <v>1.0692173113881517E-3</v>
      </c>
      <c r="L450">
        <f t="shared" si="55"/>
        <v>0.31917841987990303</v>
      </c>
      <c r="M450">
        <f t="shared" si="56"/>
        <v>-0.12385748715383565</v>
      </c>
      <c r="N450">
        <f t="shared" si="57"/>
        <v>0.18100945602148247</v>
      </c>
      <c r="O450">
        <f t="shared" si="58"/>
        <v>0.71500117272855634</v>
      </c>
      <c r="P450">
        <f t="shared" si="59"/>
        <v>14.32912189801718</v>
      </c>
      <c r="Q450">
        <f t="shared" si="60"/>
        <v>0.13892767517529839</v>
      </c>
      <c r="R450">
        <f t="shared" si="61"/>
        <v>0</v>
      </c>
      <c r="S450">
        <f t="shared" si="62"/>
        <v>0</v>
      </c>
    </row>
    <row r="451" spans="1:19" x14ac:dyDescent="0.3">
      <c r="A451" t="s">
        <v>159</v>
      </c>
      <c r="B451">
        <v>2010</v>
      </c>
      <c r="C451">
        <v>1.3815739512277927E-2</v>
      </c>
      <c r="D451">
        <v>6.4429524205184566E-2</v>
      </c>
      <c r="E451">
        <v>-3.0990208034593514E-2</v>
      </c>
      <c r="F451">
        <v>0.35110751506542121</v>
      </c>
      <c r="G451">
        <v>0.71387481740575454</v>
      </c>
      <c r="H451">
        <v>14.398204275800383</v>
      </c>
      <c r="I451">
        <v>1.3833512803441103E-2</v>
      </c>
      <c r="J451">
        <v>0</v>
      </c>
      <c r="K451">
        <f t="shared" ref="K451:K514" si="63">IF(OR(C451&lt;$C$1007-3*$C$1008,C451&gt;$C$1007+3*$C$1008),"out",C451)</f>
        <v>1.3815739512277927E-2</v>
      </c>
      <c r="L451">
        <f t="shared" ref="L451:L514" si="64">IF(OR(D451&lt;$D$1007-3*$D$1008,D451&gt;$D$1007+3*$D$1008),"out",D451)</f>
        <v>6.4429524205184566E-2</v>
      </c>
      <c r="M451">
        <f t="shared" ref="M451:M514" si="65">IF(OR(E451&lt;$E$1007-3*$E$1008,E451&gt;$E$1007+3*$E$1008),"out",E451)</f>
        <v>-3.0990208034593514E-2</v>
      </c>
      <c r="N451">
        <f t="shared" ref="N451:N514" si="66">IF(OR(F451&lt;$F$1007-3*$F$1008,F451&gt;$F$1007+3*$F$1008),"out",F451)</f>
        <v>0.35110751506542121</v>
      </c>
      <c r="O451">
        <f t="shared" ref="O451:O514" si="67">IF(OR(G451&lt;$G$1007-3*$G$1008,G451&gt;$G$1007+3*$G$1008),"out",G451)</f>
        <v>0.71387481740575454</v>
      </c>
      <c r="P451">
        <f t="shared" ref="P451:P514" si="68">IF(OR(H451&lt;$H$1007-3*$H$1008,H451&gt;$H$1007+3*$H$1008),"out",H451)</f>
        <v>14.398204275800383</v>
      </c>
      <c r="Q451">
        <f t="shared" ref="Q451:Q514" si="69">IF(OR(I451&lt;$I$1007-3*$I$1008,I451&gt;$I$1007+3*$I$1008),"out",I451)</f>
        <v>1.3833512803441103E-2</v>
      </c>
      <c r="R451">
        <f t="shared" ref="R451:R514" si="70">IF(OR(J451&lt;$J$1007-3*$J$1008,J451&gt;$J$1007+3*$J$1008),"out",J451)</f>
        <v>0</v>
      </c>
      <c r="S451">
        <f t="shared" ref="S451:S514" si="71">IF(OR(K451="ot",L451="out",M451="out",N451="out",O451="out",P451="out",Q451="out",R451="out"),1,0)</f>
        <v>0</v>
      </c>
    </row>
    <row r="452" spans="1:19" x14ac:dyDescent="0.3">
      <c r="A452" t="s">
        <v>160</v>
      </c>
      <c r="B452">
        <v>2007</v>
      </c>
      <c r="C452">
        <v>4.0592867494268388E-3</v>
      </c>
      <c r="D452">
        <v>6.4276896416878171E-2</v>
      </c>
      <c r="E452">
        <v>-0.51148853293665708</v>
      </c>
      <c r="F452">
        <v>6.0723678661524186E-2</v>
      </c>
      <c r="G452">
        <v>0.99981030080434308</v>
      </c>
      <c r="H452">
        <v>13.387930200509768</v>
      </c>
      <c r="I452">
        <v>6.3987992521934281E-2</v>
      </c>
      <c r="J452">
        <v>0</v>
      </c>
      <c r="K452">
        <f t="shared" si="63"/>
        <v>4.0592867494268388E-3</v>
      </c>
      <c r="L452">
        <f t="shared" si="64"/>
        <v>6.4276896416878171E-2</v>
      </c>
      <c r="M452">
        <f t="shared" si="65"/>
        <v>-0.51148853293665708</v>
      </c>
      <c r="N452">
        <f t="shared" si="66"/>
        <v>6.0723678661524186E-2</v>
      </c>
      <c r="O452">
        <f t="shared" si="67"/>
        <v>0.99981030080434308</v>
      </c>
      <c r="P452">
        <f t="shared" si="68"/>
        <v>13.387930200509768</v>
      </c>
      <c r="Q452">
        <f t="shared" si="69"/>
        <v>6.3987992521934281E-2</v>
      </c>
      <c r="R452">
        <f t="shared" si="70"/>
        <v>0</v>
      </c>
      <c r="S452">
        <f t="shared" si="71"/>
        <v>0</v>
      </c>
    </row>
    <row r="453" spans="1:19" x14ac:dyDescent="0.3">
      <c r="A453" t="s">
        <v>160</v>
      </c>
      <c r="B453">
        <v>2009</v>
      </c>
      <c r="C453">
        <v>2.0483928114226897E-2</v>
      </c>
      <c r="D453">
        <v>0.18620965218313337</v>
      </c>
      <c r="E453">
        <v>-5.3262609622183314E-2</v>
      </c>
      <c r="F453">
        <v>0.15646457305861086</v>
      </c>
      <c r="G453">
        <v>0.95846318168769673</v>
      </c>
      <c r="H453">
        <v>13.558471489438935</v>
      </c>
      <c r="I453">
        <v>3.5898813829572468E-2</v>
      </c>
      <c r="J453">
        <v>1.5447320576513763E-2</v>
      </c>
      <c r="K453">
        <f t="shared" si="63"/>
        <v>2.0483928114226897E-2</v>
      </c>
      <c r="L453">
        <f t="shared" si="64"/>
        <v>0.18620965218313337</v>
      </c>
      <c r="M453">
        <f t="shared" si="65"/>
        <v>-5.3262609622183314E-2</v>
      </c>
      <c r="N453">
        <f t="shared" si="66"/>
        <v>0.15646457305861086</v>
      </c>
      <c r="O453">
        <f t="shared" si="67"/>
        <v>0.95846318168769673</v>
      </c>
      <c r="P453">
        <f t="shared" si="68"/>
        <v>13.558471489438935</v>
      </c>
      <c r="Q453">
        <f t="shared" si="69"/>
        <v>3.5898813829572468E-2</v>
      </c>
      <c r="R453">
        <f t="shared" si="70"/>
        <v>1.5447320576513763E-2</v>
      </c>
      <c r="S453">
        <f t="shared" si="71"/>
        <v>0</v>
      </c>
    </row>
    <row r="454" spans="1:19" x14ac:dyDescent="0.3">
      <c r="A454" t="s">
        <v>160</v>
      </c>
      <c r="B454">
        <v>2010</v>
      </c>
      <c r="C454">
        <v>8.5377386657630849E-3</v>
      </c>
      <c r="D454">
        <v>0.33419386554866914</v>
      </c>
      <c r="E454">
        <v>8.4981606644660368E-2</v>
      </c>
      <c r="F454">
        <v>0.11644542332491317</v>
      </c>
      <c r="G454">
        <v>0.75049611371801295</v>
      </c>
      <c r="H454">
        <v>13.487141204140237</v>
      </c>
      <c r="I454">
        <v>8.7809286007554388E-2</v>
      </c>
      <c r="J454">
        <v>2.4884147552343642E-2</v>
      </c>
      <c r="K454">
        <f t="shared" si="63"/>
        <v>8.5377386657630849E-3</v>
      </c>
      <c r="L454">
        <f t="shared" si="64"/>
        <v>0.33419386554866914</v>
      </c>
      <c r="M454">
        <f t="shared" si="65"/>
        <v>8.4981606644660368E-2</v>
      </c>
      <c r="N454">
        <f t="shared" si="66"/>
        <v>0.11644542332491317</v>
      </c>
      <c r="O454">
        <f t="shared" si="67"/>
        <v>0.75049611371801295</v>
      </c>
      <c r="P454">
        <f t="shared" si="68"/>
        <v>13.487141204140237</v>
      </c>
      <c r="Q454">
        <f t="shared" si="69"/>
        <v>8.7809286007554388E-2</v>
      </c>
      <c r="R454">
        <f t="shared" si="70"/>
        <v>2.4884147552343642E-2</v>
      </c>
      <c r="S454">
        <f t="shared" si="71"/>
        <v>0</v>
      </c>
    </row>
    <row r="455" spans="1:19" x14ac:dyDescent="0.3">
      <c r="A455" t="s">
        <v>161</v>
      </c>
      <c r="B455">
        <v>2007</v>
      </c>
      <c r="C455">
        <v>4.0685917827139366E-2</v>
      </c>
      <c r="D455">
        <v>3.2426134103883016E-2</v>
      </c>
      <c r="E455">
        <v>-0.15291853380276471</v>
      </c>
      <c r="F455">
        <v>0.26266769276148816</v>
      </c>
      <c r="G455">
        <v>0.894901993266078</v>
      </c>
      <c r="H455">
        <v>14.866798507616148</v>
      </c>
      <c r="I455">
        <v>1.6002345296343017E-2</v>
      </c>
      <c r="J455">
        <v>0</v>
      </c>
      <c r="K455">
        <f t="shared" si="63"/>
        <v>4.0685917827139366E-2</v>
      </c>
      <c r="L455">
        <f t="shared" si="64"/>
        <v>3.2426134103883016E-2</v>
      </c>
      <c r="M455">
        <f t="shared" si="65"/>
        <v>-0.15291853380276471</v>
      </c>
      <c r="N455">
        <f t="shared" si="66"/>
        <v>0.26266769276148816</v>
      </c>
      <c r="O455">
        <f t="shared" si="67"/>
        <v>0.894901993266078</v>
      </c>
      <c r="P455">
        <f t="shared" si="68"/>
        <v>14.866798507616148</v>
      </c>
      <c r="Q455">
        <f t="shared" si="69"/>
        <v>1.6002345296343017E-2</v>
      </c>
      <c r="R455">
        <f t="shared" si="70"/>
        <v>0</v>
      </c>
      <c r="S455">
        <f t="shared" si="71"/>
        <v>0</v>
      </c>
    </row>
    <row r="456" spans="1:19" x14ac:dyDescent="0.3">
      <c r="A456" t="s">
        <v>161</v>
      </c>
      <c r="B456">
        <v>2008</v>
      </c>
      <c r="C456">
        <v>1.8568675661155517E-3</v>
      </c>
      <c r="D456">
        <v>7.5192471881145639E-2</v>
      </c>
      <c r="E456">
        <v>-7.9387193517934052E-2</v>
      </c>
      <c r="F456">
        <v>0.25889902312753749</v>
      </c>
      <c r="G456">
        <v>0.85241121996848246</v>
      </c>
      <c r="H456">
        <v>14.989545050043853</v>
      </c>
      <c r="I456">
        <v>8.5460277252361362E-3</v>
      </c>
      <c r="J456">
        <v>6.5282480653894356E-3</v>
      </c>
      <c r="K456">
        <f t="shared" si="63"/>
        <v>1.8568675661155517E-3</v>
      </c>
      <c r="L456">
        <f t="shared" si="64"/>
        <v>7.5192471881145639E-2</v>
      </c>
      <c r="M456">
        <f t="shared" si="65"/>
        <v>-7.9387193517934052E-2</v>
      </c>
      <c r="N456">
        <f t="shared" si="66"/>
        <v>0.25889902312753749</v>
      </c>
      <c r="O456">
        <f t="shared" si="67"/>
        <v>0.85241121996848246</v>
      </c>
      <c r="P456">
        <f t="shared" si="68"/>
        <v>14.989545050043853</v>
      </c>
      <c r="Q456">
        <f t="shared" si="69"/>
        <v>8.5460277252361362E-3</v>
      </c>
      <c r="R456">
        <f t="shared" si="70"/>
        <v>6.5282480653894356E-3</v>
      </c>
      <c r="S456">
        <f t="shared" si="71"/>
        <v>0</v>
      </c>
    </row>
    <row r="457" spans="1:19" x14ac:dyDescent="0.3">
      <c r="A457" t="s">
        <v>161</v>
      </c>
      <c r="B457">
        <v>2009</v>
      </c>
      <c r="C457">
        <v>3.1509924613387537E-3</v>
      </c>
      <c r="D457">
        <v>5.794865947227084E-2</v>
      </c>
      <c r="E457">
        <v>4.0353548934318272E-2</v>
      </c>
      <c r="F457">
        <v>0.61423148162972052</v>
      </c>
      <c r="G457">
        <v>0.79671949469111347</v>
      </c>
      <c r="H457">
        <v>14.934129047977203</v>
      </c>
      <c r="I457">
        <v>4.5831822649125935E-3</v>
      </c>
      <c r="J457">
        <v>1.0350180339100895E-2</v>
      </c>
      <c r="K457">
        <f t="shared" si="63"/>
        <v>3.1509924613387537E-3</v>
      </c>
      <c r="L457">
        <f t="shared" si="64"/>
        <v>5.794865947227084E-2</v>
      </c>
      <c r="M457">
        <f t="shared" si="65"/>
        <v>4.0353548934318272E-2</v>
      </c>
      <c r="N457">
        <f t="shared" si="66"/>
        <v>0.61423148162972052</v>
      </c>
      <c r="O457">
        <f t="shared" si="67"/>
        <v>0.79671949469111347</v>
      </c>
      <c r="P457">
        <f t="shared" si="68"/>
        <v>14.934129047977203</v>
      </c>
      <c r="Q457">
        <f t="shared" si="69"/>
        <v>4.5831822649125935E-3</v>
      </c>
      <c r="R457">
        <f t="shared" si="70"/>
        <v>1.0350180339100895E-2</v>
      </c>
      <c r="S457">
        <f t="shared" si="71"/>
        <v>0</v>
      </c>
    </row>
    <row r="458" spans="1:19" x14ac:dyDescent="0.3">
      <c r="A458" t="s">
        <v>161</v>
      </c>
      <c r="B458">
        <v>2010</v>
      </c>
      <c r="C458">
        <v>4.3917912769480495E-3</v>
      </c>
      <c r="D458">
        <v>3.995925964185456E-2</v>
      </c>
      <c r="E458">
        <v>-4.7660298871364012E-2</v>
      </c>
      <c r="F458">
        <v>0.5408901744090866</v>
      </c>
      <c r="G458">
        <v>0.8000340469541084</v>
      </c>
      <c r="H458">
        <v>15.012676850455252</v>
      </c>
      <c r="I458">
        <v>2.4490846598856642E-3</v>
      </c>
      <c r="J458">
        <v>6.3789711126455194E-3</v>
      </c>
      <c r="K458">
        <f t="shared" si="63"/>
        <v>4.3917912769480495E-3</v>
      </c>
      <c r="L458">
        <f t="shared" si="64"/>
        <v>3.995925964185456E-2</v>
      </c>
      <c r="M458">
        <f t="shared" si="65"/>
        <v>-4.7660298871364012E-2</v>
      </c>
      <c r="N458">
        <f t="shared" si="66"/>
        <v>0.5408901744090866</v>
      </c>
      <c r="O458">
        <f t="shared" si="67"/>
        <v>0.8000340469541084</v>
      </c>
      <c r="P458">
        <f t="shared" si="68"/>
        <v>15.012676850455252</v>
      </c>
      <c r="Q458">
        <f t="shared" si="69"/>
        <v>2.4490846598856642E-3</v>
      </c>
      <c r="R458">
        <f t="shared" si="70"/>
        <v>6.3789711126455194E-3</v>
      </c>
      <c r="S458">
        <f t="shared" si="71"/>
        <v>0</v>
      </c>
    </row>
    <row r="459" spans="1:19" x14ac:dyDescent="0.3">
      <c r="A459" t="s">
        <v>162</v>
      </c>
      <c r="B459">
        <v>2007</v>
      </c>
      <c r="C459">
        <v>0.38600740749353102</v>
      </c>
      <c r="D459">
        <v>0.23724519785397136</v>
      </c>
      <c r="E459">
        <v>0.4432378523694549</v>
      </c>
      <c r="F459">
        <v>0</v>
      </c>
      <c r="G459">
        <v>0.48873296205435868</v>
      </c>
      <c r="H459">
        <v>13.559431798259103</v>
      </c>
      <c r="I459">
        <v>8.5732610127575298E-3</v>
      </c>
      <c r="J459">
        <v>6.982473410405371E-2</v>
      </c>
      <c r="K459" t="str">
        <f t="shared" si="63"/>
        <v>out</v>
      </c>
      <c r="L459">
        <f t="shared" si="64"/>
        <v>0.23724519785397136</v>
      </c>
      <c r="M459">
        <f t="shared" si="65"/>
        <v>0.4432378523694549</v>
      </c>
      <c r="N459">
        <f t="shared" si="66"/>
        <v>0</v>
      </c>
      <c r="O459">
        <f t="shared" si="67"/>
        <v>0.48873296205435868</v>
      </c>
      <c r="P459">
        <f t="shared" si="68"/>
        <v>13.559431798259103</v>
      </c>
      <c r="Q459">
        <f t="shared" si="69"/>
        <v>8.5732610127575298E-3</v>
      </c>
      <c r="R459">
        <f t="shared" si="70"/>
        <v>6.982473410405371E-2</v>
      </c>
      <c r="S459">
        <f t="shared" si="71"/>
        <v>0</v>
      </c>
    </row>
    <row r="460" spans="1:19" x14ac:dyDescent="0.3">
      <c r="A460" t="s">
        <v>162</v>
      </c>
      <c r="B460">
        <v>2009</v>
      </c>
      <c r="C460">
        <v>3.3637755097911136E-2</v>
      </c>
      <c r="D460">
        <v>0.38405140769771834</v>
      </c>
      <c r="E460">
        <v>0.47174770145784112</v>
      </c>
      <c r="F460">
        <v>0</v>
      </c>
      <c r="G460">
        <v>0.41650943739846874</v>
      </c>
      <c r="H460">
        <v>14.02695150008195</v>
      </c>
      <c r="I460">
        <v>0.1290007381752756</v>
      </c>
      <c r="J460">
        <v>9.7219895148111191E-2</v>
      </c>
      <c r="K460">
        <f t="shared" si="63"/>
        <v>3.3637755097911136E-2</v>
      </c>
      <c r="L460">
        <f t="shared" si="64"/>
        <v>0.38405140769771834</v>
      </c>
      <c r="M460">
        <f t="shared" si="65"/>
        <v>0.47174770145784112</v>
      </c>
      <c r="N460">
        <f t="shared" si="66"/>
        <v>0</v>
      </c>
      <c r="O460">
        <f t="shared" si="67"/>
        <v>0.41650943739846874</v>
      </c>
      <c r="P460">
        <f t="shared" si="68"/>
        <v>14.02695150008195</v>
      </c>
      <c r="Q460">
        <f t="shared" si="69"/>
        <v>0.1290007381752756</v>
      </c>
      <c r="R460">
        <f t="shared" si="70"/>
        <v>9.7219895148111191E-2</v>
      </c>
      <c r="S460">
        <f t="shared" si="71"/>
        <v>0</v>
      </c>
    </row>
    <row r="461" spans="1:19" x14ac:dyDescent="0.3">
      <c r="A461" t="s">
        <v>162</v>
      </c>
      <c r="B461">
        <v>2010</v>
      </c>
      <c r="C461">
        <v>0.38531423296142159</v>
      </c>
      <c r="D461">
        <v>8.879937969485957E-2</v>
      </c>
      <c r="E461">
        <v>0.46212947156256495</v>
      </c>
      <c r="F461">
        <v>0</v>
      </c>
      <c r="G461">
        <v>0.41300874767332024</v>
      </c>
      <c r="H461">
        <v>13.746946880074859</v>
      </c>
      <c r="I461">
        <v>0.12890912197734444</v>
      </c>
      <c r="J461">
        <v>0</v>
      </c>
      <c r="K461" t="str">
        <f t="shared" si="63"/>
        <v>out</v>
      </c>
      <c r="L461">
        <f t="shared" si="64"/>
        <v>8.879937969485957E-2</v>
      </c>
      <c r="M461">
        <f t="shared" si="65"/>
        <v>0.46212947156256495</v>
      </c>
      <c r="N461">
        <f t="shared" si="66"/>
        <v>0</v>
      </c>
      <c r="O461">
        <f t="shared" si="67"/>
        <v>0.41300874767332024</v>
      </c>
      <c r="P461">
        <f t="shared" si="68"/>
        <v>13.746946880074859</v>
      </c>
      <c r="Q461">
        <f t="shared" si="69"/>
        <v>0.12890912197734444</v>
      </c>
      <c r="R461">
        <f t="shared" si="70"/>
        <v>0</v>
      </c>
      <c r="S461">
        <f t="shared" si="71"/>
        <v>0</v>
      </c>
    </row>
    <row r="462" spans="1:19" x14ac:dyDescent="0.3">
      <c r="A462" t="s">
        <v>163</v>
      </c>
      <c r="B462">
        <v>2007</v>
      </c>
      <c r="C462">
        <v>4.5207865111383853E-2</v>
      </c>
      <c r="D462">
        <v>0.11656106362734731</v>
      </c>
      <c r="E462">
        <v>3.4128367749527454E-2</v>
      </c>
      <c r="F462">
        <v>0.35781333105051982</v>
      </c>
      <c r="G462">
        <v>0.79910902906215309</v>
      </c>
      <c r="H462">
        <v>16.205237377785373</v>
      </c>
      <c r="I462">
        <v>2.6433975310674943E-3</v>
      </c>
      <c r="J462">
        <v>5.3101077831995622E-3</v>
      </c>
      <c r="K462">
        <f t="shared" si="63"/>
        <v>4.5207865111383853E-2</v>
      </c>
      <c r="L462">
        <f t="shared" si="64"/>
        <v>0.11656106362734731</v>
      </c>
      <c r="M462">
        <f t="shared" si="65"/>
        <v>3.4128367749527454E-2</v>
      </c>
      <c r="N462">
        <f t="shared" si="66"/>
        <v>0.35781333105051982</v>
      </c>
      <c r="O462">
        <f t="shared" si="67"/>
        <v>0.79910902906215309</v>
      </c>
      <c r="P462">
        <f t="shared" si="68"/>
        <v>16.205237377785373</v>
      </c>
      <c r="Q462">
        <f t="shared" si="69"/>
        <v>2.6433975310674943E-3</v>
      </c>
      <c r="R462">
        <f t="shared" si="70"/>
        <v>5.3101077831995622E-3</v>
      </c>
      <c r="S462">
        <f t="shared" si="71"/>
        <v>0</v>
      </c>
    </row>
    <row r="463" spans="1:19" x14ac:dyDescent="0.3">
      <c r="A463" t="s">
        <v>163</v>
      </c>
      <c r="B463">
        <v>2008</v>
      </c>
      <c r="C463">
        <v>2.7919716206966701E-2</v>
      </c>
      <c r="D463">
        <v>0.10943670513270638</v>
      </c>
      <c r="E463">
        <v>-7.3637511981344411E-2</v>
      </c>
      <c r="F463">
        <v>0.41406010967544543</v>
      </c>
      <c r="G463">
        <v>0.74529989147876141</v>
      </c>
      <c r="H463">
        <v>16.333754300150787</v>
      </c>
      <c r="I463">
        <v>2.4199919972740368E-2</v>
      </c>
      <c r="J463">
        <v>0</v>
      </c>
      <c r="K463">
        <f t="shared" si="63"/>
        <v>2.7919716206966701E-2</v>
      </c>
      <c r="L463">
        <f t="shared" si="64"/>
        <v>0.10943670513270638</v>
      </c>
      <c r="M463">
        <f t="shared" si="65"/>
        <v>-7.3637511981344411E-2</v>
      </c>
      <c r="N463">
        <f t="shared" si="66"/>
        <v>0.41406010967544543</v>
      </c>
      <c r="O463">
        <f t="shared" si="67"/>
        <v>0.74529989147876141</v>
      </c>
      <c r="P463">
        <f t="shared" si="68"/>
        <v>16.333754300150787</v>
      </c>
      <c r="Q463">
        <f t="shared" si="69"/>
        <v>2.4199919972740368E-2</v>
      </c>
      <c r="R463">
        <f t="shared" si="70"/>
        <v>0</v>
      </c>
      <c r="S463">
        <f t="shared" si="71"/>
        <v>0</v>
      </c>
    </row>
    <row r="464" spans="1:19" x14ac:dyDescent="0.3">
      <c r="A464" t="s">
        <v>163</v>
      </c>
      <c r="B464">
        <v>2009</v>
      </c>
      <c r="C464">
        <v>2.4090224910578262E-3</v>
      </c>
      <c r="D464">
        <v>0.21964646897046727</v>
      </c>
      <c r="E464">
        <v>-0.56662375419241962</v>
      </c>
      <c r="F464">
        <v>0.71316443111908967</v>
      </c>
      <c r="G464">
        <v>0.92346676009967554</v>
      </c>
      <c r="H464">
        <v>16.135289092975423</v>
      </c>
      <c r="I464">
        <v>2.7707703040835398E-2</v>
      </c>
      <c r="J464">
        <v>0</v>
      </c>
      <c r="K464">
        <f t="shared" si="63"/>
        <v>2.4090224910578262E-3</v>
      </c>
      <c r="L464">
        <f t="shared" si="64"/>
        <v>0.21964646897046727</v>
      </c>
      <c r="M464">
        <f t="shared" si="65"/>
        <v>-0.56662375419241962</v>
      </c>
      <c r="N464">
        <f t="shared" si="66"/>
        <v>0.71316443111908967</v>
      </c>
      <c r="O464">
        <f t="shared" si="67"/>
        <v>0.92346676009967554</v>
      </c>
      <c r="P464">
        <f t="shared" si="68"/>
        <v>16.135289092975423</v>
      </c>
      <c r="Q464">
        <f t="shared" si="69"/>
        <v>2.7707703040835398E-2</v>
      </c>
      <c r="R464">
        <f t="shared" si="70"/>
        <v>0</v>
      </c>
      <c r="S464">
        <f t="shared" si="71"/>
        <v>0</v>
      </c>
    </row>
    <row r="465" spans="1:19" x14ac:dyDescent="0.3">
      <c r="A465" t="s">
        <v>163</v>
      </c>
      <c r="B465">
        <v>2010</v>
      </c>
      <c r="C465">
        <v>4.051554869107239E-3</v>
      </c>
      <c r="D465">
        <v>0.12510653555912157</v>
      </c>
      <c r="E465">
        <v>-0.71447031547581774</v>
      </c>
      <c r="F465">
        <v>0.70523010109181872</v>
      </c>
      <c r="G465">
        <v>0.98688541766653937</v>
      </c>
      <c r="H465">
        <v>15.928373094204048</v>
      </c>
      <c r="I465">
        <v>2.2023701802366246E-2</v>
      </c>
      <c r="J465">
        <v>0</v>
      </c>
      <c r="K465">
        <f t="shared" si="63"/>
        <v>4.051554869107239E-3</v>
      </c>
      <c r="L465">
        <f t="shared" si="64"/>
        <v>0.12510653555912157</v>
      </c>
      <c r="M465">
        <f t="shared" si="65"/>
        <v>-0.71447031547581774</v>
      </c>
      <c r="N465">
        <f t="shared" si="66"/>
        <v>0.70523010109181872</v>
      </c>
      <c r="O465">
        <f t="shared" si="67"/>
        <v>0.98688541766653937</v>
      </c>
      <c r="P465">
        <f t="shared" si="68"/>
        <v>15.928373094204048</v>
      </c>
      <c r="Q465">
        <f t="shared" si="69"/>
        <v>2.2023701802366246E-2</v>
      </c>
      <c r="R465">
        <f t="shared" si="70"/>
        <v>0</v>
      </c>
      <c r="S465">
        <f t="shared" si="71"/>
        <v>0</v>
      </c>
    </row>
    <row r="466" spans="1:19" x14ac:dyDescent="0.3">
      <c r="A466" t="s">
        <v>164</v>
      </c>
      <c r="B466">
        <v>2007</v>
      </c>
      <c r="C466">
        <v>3.0139272672637361E-2</v>
      </c>
      <c r="D466">
        <v>6.540328322914013E-2</v>
      </c>
      <c r="E466">
        <v>-0.26335077507985966</v>
      </c>
      <c r="F466">
        <v>0.1268135823518268</v>
      </c>
      <c r="G466">
        <v>1.1498495894330452</v>
      </c>
      <c r="H466">
        <v>13.325016833170201</v>
      </c>
      <c r="I466">
        <v>6.4720151253618331E-3</v>
      </c>
      <c r="J466">
        <v>0</v>
      </c>
      <c r="K466">
        <f t="shared" si="63"/>
        <v>3.0139272672637361E-2</v>
      </c>
      <c r="L466">
        <f t="shared" si="64"/>
        <v>6.540328322914013E-2</v>
      </c>
      <c r="M466">
        <f t="shared" si="65"/>
        <v>-0.26335077507985966</v>
      </c>
      <c r="N466">
        <f t="shared" si="66"/>
        <v>0.1268135823518268</v>
      </c>
      <c r="O466">
        <f t="shared" si="67"/>
        <v>1.1498495894330452</v>
      </c>
      <c r="P466">
        <f t="shared" si="68"/>
        <v>13.325016833170201</v>
      </c>
      <c r="Q466">
        <f t="shared" si="69"/>
        <v>6.4720151253618331E-3</v>
      </c>
      <c r="R466">
        <f t="shared" si="70"/>
        <v>0</v>
      </c>
      <c r="S466">
        <f t="shared" si="71"/>
        <v>0</v>
      </c>
    </row>
    <row r="467" spans="1:19" x14ac:dyDescent="0.3">
      <c r="A467" t="s">
        <v>164</v>
      </c>
      <c r="B467">
        <v>2009</v>
      </c>
      <c r="C467">
        <v>8.05277104529772E-2</v>
      </c>
      <c r="D467">
        <v>0.1420420998378768</v>
      </c>
      <c r="E467">
        <v>1.0224308475530923E-2</v>
      </c>
      <c r="F467">
        <v>0.21203234634994469</v>
      </c>
      <c r="G467">
        <v>0.79674688013430894</v>
      </c>
      <c r="H467">
        <v>13.731771276372333</v>
      </c>
      <c r="I467">
        <v>1.4342933824954031E-2</v>
      </c>
      <c r="J467">
        <v>0</v>
      </c>
      <c r="K467">
        <f t="shared" si="63"/>
        <v>8.05277104529772E-2</v>
      </c>
      <c r="L467">
        <f t="shared" si="64"/>
        <v>0.1420420998378768</v>
      </c>
      <c r="M467">
        <f t="shared" si="65"/>
        <v>1.0224308475530923E-2</v>
      </c>
      <c r="N467">
        <f t="shared" si="66"/>
        <v>0.21203234634994469</v>
      </c>
      <c r="O467">
        <f t="shared" si="67"/>
        <v>0.79674688013430894</v>
      </c>
      <c r="P467">
        <f t="shared" si="68"/>
        <v>13.731771276372333</v>
      </c>
      <c r="Q467">
        <f t="shared" si="69"/>
        <v>1.4342933824954031E-2</v>
      </c>
      <c r="R467">
        <f t="shared" si="70"/>
        <v>0</v>
      </c>
      <c r="S467">
        <f t="shared" si="71"/>
        <v>0</v>
      </c>
    </row>
    <row r="468" spans="1:19" x14ac:dyDescent="0.3">
      <c r="A468" t="s">
        <v>164</v>
      </c>
      <c r="B468">
        <v>2010</v>
      </c>
      <c r="C468">
        <v>5.6882627981190613E-2</v>
      </c>
      <c r="D468">
        <v>0.11583086660088714</v>
      </c>
      <c r="E468">
        <v>4.2598913748811078E-2</v>
      </c>
      <c r="F468">
        <v>0.15555970381432394</v>
      </c>
      <c r="G468">
        <v>0.7330251028916327</v>
      </c>
      <c r="H468">
        <v>13.710123375284219</v>
      </c>
      <c r="I468">
        <v>3.9050576374455373E-3</v>
      </c>
      <c r="J468">
        <v>1.158364223045948E-2</v>
      </c>
      <c r="K468">
        <f t="shared" si="63"/>
        <v>5.6882627981190613E-2</v>
      </c>
      <c r="L468">
        <f t="shared" si="64"/>
        <v>0.11583086660088714</v>
      </c>
      <c r="M468">
        <f t="shared" si="65"/>
        <v>4.2598913748811078E-2</v>
      </c>
      <c r="N468">
        <f t="shared" si="66"/>
        <v>0.15555970381432394</v>
      </c>
      <c r="O468">
        <f t="shared" si="67"/>
        <v>0.7330251028916327</v>
      </c>
      <c r="P468">
        <f t="shared" si="68"/>
        <v>13.710123375284219</v>
      </c>
      <c r="Q468">
        <f t="shared" si="69"/>
        <v>3.9050576374455373E-3</v>
      </c>
      <c r="R468">
        <f t="shared" si="70"/>
        <v>1.158364223045948E-2</v>
      </c>
      <c r="S468">
        <f t="shared" si="71"/>
        <v>0</v>
      </c>
    </row>
    <row r="469" spans="1:19" x14ac:dyDescent="0.3">
      <c r="A469" t="s">
        <v>165</v>
      </c>
      <c r="B469">
        <v>2007</v>
      </c>
      <c r="C469">
        <v>8.3641428223621816E-3</v>
      </c>
      <c r="D469">
        <v>7.345722126317436E-2</v>
      </c>
      <c r="E469">
        <v>-3.8073312629650483E-2</v>
      </c>
      <c r="F469">
        <v>0.27243345756277482</v>
      </c>
      <c r="G469">
        <v>0.96304968222894716</v>
      </c>
      <c r="H469">
        <v>15.798142696565989</v>
      </c>
      <c r="I469">
        <v>1.8202464562338372E-2</v>
      </c>
      <c r="J469">
        <v>0</v>
      </c>
      <c r="K469">
        <f t="shared" si="63"/>
        <v>8.3641428223621816E-3</v>
      </c>
      <c r="L469">
        <f t="shared" si="64"/>
        <v>7.345722126317436E-2</v>
      </c>
      <c r="M469">
        <f t="shared" si="65"/>
        <v>-3.8073312629650483E-2</v>
      </c>
      <c r="N469">
        <f t="shared" si="66"/>
        <v>0.27243345756277482</v>
      </c>
      <c r="O469">
        <f t="shared" si="67"/>
        <v>0.96304968222894716</v>
      </c>
      <c r="P469">
        <f t="shared" si="68"/>
        <v>15.798142696565989</v>
      </c>
      <c r="Q469">
        <f t="shared" si="69"/>
        <v>1.8202464562338372E-2</v>
      </c>
      <c r="R469">
        <f t="shared" si="70"/>
        <v>0</v>
      </c>
      <c r="S469">
        <f t="shared" si="71"/>
        <v>0</v>
      </c>
    </row>
    <row r="470" spans="1:19" x14ac:dyDescent="0.3">
      <c r="A470" t="s">
        <v>165</v>
      </c>
      <c r="B470">
        <v>2008</v>
      </c>
      <c r="C470">
        <v>1.2727297283401863E-3</v>
      </c>
      <c r="D470">
        <v>3.0054308355832716E-2</v>
      </c>
      <c r="E470">
        <v>-0.25406801942530133</v>
      </c>
      <c r="F470">
        <v>0.27079850227834967</v>
      </c>
      <c r="G470">
        <v>0.879602763959481</v>
      </c>
      <c r="H470">
        <v>15.991509569440582</v>
      </c>
      <c r="I470">
        <v>1.5337215581239586E-3</v>
      </c>
      <c r="J470">
        <v>6.6791639479953601E-4</v>
      </c>
      <c r="K470">
        <f t="shared" si="63"/>
        <v>1.2727297283401863E-3</v>
      </c>
      <c r="L470">
        <f t="shared" si="64"/>
        <v>3.0054308355832716E-2</v>
      </c>
      <c r="M470">
        <f t="shared" si="65"/>
        <v>-0.25406801942530133</v>
      </c>
      <c r="N470">
        <f t="shared" si="66"/>
        <v>0.27079850227834967</v>
      </c>
      <c r="O470">
        <f t="shared" si="67"/>
        <v>0.879602763959481</v>
      </c>
      <c r="P470">
        <f t="shared" si="68"/>
        <v>15.991509569440582</v>
      </c>
      <c r="Q470">
        <f t="shared" si="69"/>
        <v>1.5337215581239586E-3</v>
      </c>
      <c r="R470">
        <f t="shared" si="70"/>
        <v>6.6791639479953601E-4</v>
      </c>
      <c r="S470">
        <f t="shared" si="71"/>
        <v>0</v>
      </c>
    </row>
    <row r="471" spans="1:19" x14ac:dyDescent="0.3">
      <c r="A471" t="s">
        <v>165</v>
      </c>
      <c r="B471">
        <v>2009</v>
      </c>
      <c r="C471">
        <v>3.0352887984301004E-3</v>
      </c>
      <c r="D471">
        <v>3.063384630496473E-2</v>
      </c>
      <c r="E471">
        <v>-1.5608715341552146E-2</v>
      </c>
      <c r="F471">
        <v>0.41206510143750991</v>
      </c>
      <c r="G471">
        <v>1.0113349950079942</v>
      </c>
      <c r="H471">
        <v>15.932643037518396</v>
      </c>
      <c r="I471">
        <v>2.7845477811277667E-2</v>
      </c>
      <c r="J471">
        <v>0</v>
      </c>
      <c r="K471">
        <f t="shared" si="63"/>
        <v>3.0352887984301004E-3</v>
      </c>
      <c r="L471">
        <f t="shared" si="64"/>
        <v>3.063384630496473E-2</v>
      </c>
      <c r="M471">
        <f t="shared" si="65"/>
        <v>-1.5608715341552146E-2</v>
      </c>
      <c r="N471">
        <f t="shared" si="66"/>
        <v>0.41206510143750991</v>
      </c>
      <c r="O471">
        <f t="shared" si="67"/>
        <v>1.0113349950079942</v>
      </c>
      <c r="P471">
        <f t="shared" si="68"/>
        <v>15.932643037518396</v>
      </c>
      <c r="Q471">
        <f t="shared" si="69"/>
        <v>2.7845477811277667E-2</v>
      </c>
      <c r="R471">
        <f t="shared" si="70"/>
        <v>0</v>
      </c>
      <c r="S471">
        <f t="shared" si="71"/>
        <v>0</v>
      </c>
    </row>
    <row r="472" spans="1:19" x14ac:dyDescent="0.3">
      <c r="A472" t="s">
        <v>165</v>
      </c>
      <c r="B472">
        <v>2010</v>
      </c>
      <c r="C472">
        <v>8.1184852474250752E-3</v>
      </c>
      <c r="D472">
        <v>0.13457089754510959</v>
      </c>
      <c r="E472">
        <v>-0.17946488035313249</v>
      </c>
      <c r="F472">
        <v>0.30190861922094014</v>
      </c>
      <c r="G472">
        <v>1.3263277317432045</v>
      </c>
      <c r="H472">
        <v>15.680597933268844</v>
      </c>
      <c r="I472">
        <v>1.6010738001034988E-3</v>
      </c>
      <c r="J472">
        <v>0</v>
      </c>
      <c r="K472">
        <f t="shared" si="63"/>
        <v>8.1184852474250752E-3</v>
      </c>
      <c r="L472">
        <f t="shared" si="64"/>
        <v>0.13457089754510959</v>
      </c>
      <c r="M472">
        <f t="shared" si="65"/>
        <v>-0.17946488035313249</v>
      </c>
      <c r="N472">
        <f t="shared" si="66"/>
        <v>0.30190861922094014</v>
      </c>
      <c r="O472">
        <f t="shared" si="67"/>
        <v>1.3263277317432045</v>
      </c>
      <c r="P472">
        <f t="shared" si="68"/>
        <v>15.680597933268844</v>
      </c>
      <c r="Q472">
        <f t="shared" si="69"/>
        <v>1.6010738001034988E-3</v>
      </c>
      <c r="R472">
        <f t="shared" si="70"/>
        <v>0</v>
      </c>
      <c r="S472">
        <f t="shared" si="71"/>
        <v>0</v>
      </c>
    </row>
    <row r="473" spans="1:19" x14ac:dyDescent="0.3">
      <c r="A473" t="s">
        <v>166</v>
      </c>
      <c r="B473">
        <v>2007</v>
      </c>
      <c r="C473">
        <v>0.30006865189746734</v>
      </c>
      <c r="D473">
        <v>0.11931213417611176</v>
      </c>
      <c r="E473">
        <v>0.63223533945276766</v>
      </c>
      <c r="F473">
        <v>0</v>
      </c>
      <c r="G473">
        <v>0.31775399799094994</v>
      </c>
      <c r="H473">
        <v>13.882385722024223</v>
      </c>
      <c r="I473">
        <v>2.7587373512069888E-2</v>
      </c>
      <c r="J473">
        <v>0</v>
      </c>
      <c r="K473">
        <f t="shared" si="63"/>
        <v>0.30006865189746734</v>
      </c>
      <c r="L473">
        <f t="shared" si="64"/>
        <v>0.11931213417611176</v>
      </c>
      <c r="M473">
        <f t="shared" si="65"/>
        <v>0.63223533945276766</v>
      </c>
      <c r="N473">
        <f t="shared" si="66"/>
        <v>0</v>
      </c>
      <c r="O473">
        <f t="shared" si="67"/>
        <v>0.31775399799094994</v>
      </c>
      <c r="P473">
        <f t="shared" si="68"/>
        <v>13.882385722024223</v>
      </c>
      <c r="Q473">
        <f t="shared" si="69"/>
        <v>2.7587373512069888E-2</v>
      </c>
      <c r="R473">
        <f t="shared" si="70"/>
        <v>0</v>
      </c>
      <c r="S473">
        <f t="shared" si="71"/>
        <v>0</v>
      </c>
    </row>
    <row r="474" spans="1:19" x14ac:dyDescent="0.3">
      <c r="A474" t="s">
        <v>166</v>
      </c>
      <c r="B474">
        <v>2009</v>
      </c>
      <c r="C474">
        <v>4.0095973048577198E-2</v>
      </c>
      <c r="D474">
        <v>8.2767002657249802E-2</v>
      </c>
      <c r="E474">
        <v>3.7791179013298988E-2</v>
      </c>
      <c r="F474">
        <v>0.37194153572798933</v>
      </c>
      <c r="G474">
        <v>0.53935653239249604</v>
      </c>
      <c r="H474">
        <v>15.429885065338027</v>
      </c>
      <c r="I474">
        <v>4.8047660197929519E-2</v>
      </c>
      <c r="J474">
        <v>2.2389200325429516E-3</v>
      </c>
      <c r="K474">
        <f t="shared" si="63"/>
        <v>4.0095973048577198E-2</v>
      </c>
      <c r="L474">
        <f t="shared" si="64"/>
        <v>8.2767002657249802E-2</v>
      </c>
      <c r="M474">
        <f t="shared" si="65"/>
        <v>3.7791179013298988E-2</v>
      </c>
      <c r="N474">
        <f t="shared" si="66"/>
        <v>0.37194153572798933</v>
      </c>
      <c r="O474">
        <f t="shared" si="67"/>
        <v>0.53935653239249604</v>
      </c>
      <c r="P474">
        <f t="shared" si="68"/>
        <v>15.429885065338027</v>
      </c>
      <c r="Q474">
        <f t="shared" si="69"/>
        <v>4.8047660197929519E-2</v>
      </c>
      <c r="R474">
        <f t="shared" si="70"/>
        <v>2.2389200325429516E-3</v>
      </c>
      <c r="S474">
        <f t="shared" si="71"/>
        <v>0</v>
      </c>
    </row>
    <row r="475" spans="1:19" x14ac:dyDescent="0.3">
      <c r="A475" t="s">
        <v>166</v>
      </c>
      <c r="B475">
        <v>2010</v>
      </c>
      <c r="C475">
        <v>3.3308132550133693E-2</v>
      </c>
      <c r="D475">
        <v>5.0745757618747465E-2</v>
      </c>
      <c r="E475">
        <v>0.28538180982327727</v>
      </c>
      <c r="F475">
        <v>0</v>
      </c>
      <c r="G475">
        <v>0.25063346149218568</v>
      </c>
      <c r="H475">
        <v>14.328683225267492</v>
      </c>
      <c r="I475">
        <v>6.1404764920715553E-2</v>
      </c>
      <c r="J475">
        <v>2.2447253443857625E-3</v>
      </c>
      <c r="K475">
        <f t="shared" si="63"/>
        <v>3.3308132550133693E-2</v>
      </c>
      <c r="L475">
        <f t="shared" si="64"/>
        <v>5.0745757618747465E-2</v>
      </c>
      <c r="M475">
        <f t="shared" si="65"/>
        <v>0.28538180982327727</v>
      </c>
      <c r="N475">
        <f t="shared" si="66"/>
        <v>0</v>
      </c>
      <c r="O475">
        <f t="shared" si="67"/>
        <v>0.25063346149218568</v>
      </c>
      <c r="P475">
        <f t="shared" si="68"/>
        <v>14.328683225267492</v>
      </c>
      <c r="Q475">
        <f t="shared" si="69"/>
        <v>6.1404764920715553E-2</v>
      </c>
      <c r="R475">
        <f t="shared" si="70"/>
        <v>2.2447253443857625E-3</v>
      </c>
      <c r="S475">
        <f t="shared" si="71"/>
        <v>0</v>
      </c>
    </row>
    <row r="476" spans="1:19" x14ac:dyDescent="0.3">
      <c r="A476" t="s">
        <v>167</v>
      </c>
      <c r="B476">
        <v>2009</v>
      </c>
      <c r="C476">
        <v>8.348082486749302E-3</v>
      </c>
      <c r="D476">
        <v>0.15033610582667506</v>
      </c>
      <c r="E476">
        <v>1.5588423122412874E-2</v>
      </c>
      <c r="F476">
        <v>0.555778030593718</v>
      </c>
      <c r="G476">
        <v>1.2592892763257675</v>
      </c>
      <c r="H476">
        <v>14.905289614924893</v>
      </c>
      <c r="I476">
        <v>1.9408670175163886E-2</v>
      </c>
      <c r="J476">
        <v>1.0104192974414661E-2</v>
      </c>
      <c r="K476">
        <f t="shared" si="63"/>
        <v>8.348082486749302E-3</v>
      </c>
      <c r="L476">
        <f t="shared" si="64"/>
        <v>0.15033610582667506</v>
      </c>
      <c r="M476">
        <f t="shared" si="65"/>
        <v>1.5588423122412874E-2</v>
      </c>
      <c r="N476">
        <f t="shared" si="66"/>
        <v>0.555778030593718</v>
      </c>
      <c r="O476">
        <f t="shared" si="67"/>
        <v>1.2592892763257675</v>
      </c>
      <c r="P476">
        <f t="shared" si="68"/>
        <v>14.905289614924893</v>
      </c>
      <c r="Q476">
        <f t="shared" si="69"/>
        <v>1.9408670175163886E-2</v>
      </c>
      <c r="R476">
        <f t="shared" si="70"/>
        <v>1.0104192974414661E-2</v>
      </c>
      <c r="S476">
        <f t="shared" si="71"/>
        <v>0</v>
      </c>
    </row>
    <row r="477" spans="1:19" x14ac:dyDescent="0.3">
      <c r="A477" t="s">
        <v>167</v>
      </c>
      <c r="B477">
        <v>2010</v>
      </c>
      <c r="C477">
        <v>5.3760496077093775E-3</v>
      </c>
      <c r="D477">
        <v>0.12682232147747585</v>
      </c>
      <c r="E477">
        <v>3.2809338624733814E-2</v>
      </c>
      <c r="F477">
        <v>0.59681320924766845</v>
      </c>
      <c r="G477">
        <v>1.2026618732022434</v>
      </c>
      <c r="H477">
        <v>14.918259279784781</v>
      </c>
      <c r="I477">
        <v>1.1118566550694514E-3</v>
      </c>
      <c r="J477">
        <v>7.4806593337283624E-3</v>
      </c>
      <c r="K477">
        <f t="shared" si="63"/>
        <v>5.3760496077093775E-3</v>
      </c>
      <c r="L477">
        <f t="shared" si="64"/>
        <v>0.12682232147747585</v>
      </c>
      <c r="M477">
        <f t="shared" si="65"/>
        <v>3.2809338624733814E-2</v>
      </c>
      <c r="N477">
        <f t="shared" si="66"/>
        <v>0.59681320924766845</v>
      </c>
      <c r="O477">
        <f t="shared" si="67"/>
        <v>1.2026618732022434</v>
      </c>
      <c r="P477">
        <f t="shared" si="68"/>
        <v>14.918259279784781</v>
      </c>
      <c r="Q477">
        <f t="shared" si="69"/>
        <v>1.1118566550694514E-3</v>
      </c>
      <c r="R477">
        <f t="shared" si="70"/>
        <v>7.4806593337283624E-3</v>
      </c>
      <c r="S477">
        <f t="shared" si="71"/>
        <v>0</v>
      </c>
    </row>
    <row r="478" spans="1:19" x14ac:dyDescent="0.3">
      <c r="A478" t="s">
        <v>168</v>
      </c>
      <c r="B478">
        <v>2007</v>
      </c>
      <c r="C478">
        <v>0.16087203910220829</v>
      </c>
      <c r="D478">
        <v>0.25011875781931064</v>
      </c>
      <c r="E478">
        <v>0.44809717782700159</v>
      </c>
      <c r="F478">
        <v>0</v>
      </c>
      <c r="G478">
        <v>2.4659987228096796</v>
      </c>
      <c r="H478">
        <v>13.261601704456039</v>
      </c>
      <c r="I478">
        <v>1.0623716210674816E-2</v>
      </c>
      <c r="J478">
        <v>5.1303377942192349E-2</v>
      </c>
      <c r="K478">
        <f t="shared" si="63"/>
        <v>0.16087203910220829</v>
      </c>
      <c r="L478">
        <f t="shared" si="64"/>
        <v>0.25011875781931064</v>
      </c>
      <c r="M478">
        <f t="shared" si="65"/>
        <v>0.44809717782700159</v>
      </c>
      <c r="N478">
        <f t="shared" si="66"/>
        <v>0</v>
      </c>
      <c r="O478">
        <f t="shared" si="67"/>
        <v>2.4659987228096796</v>
      </c>
      <c r="P478">
        <f t="shared" si="68"/>
        <v>13.261601704456039</v>
      </c>
      <c r="Q478">
        <f t="shared" si="69"/>
        <v>1.0623716210674816E-2</v>
      </c>
      <c r="R478">
        <f t="shared" si="70"/>
        <v>5.1303377942192349E-2</v>
      </c>
      <c r="S478">
        <f t="shared" si="71"/>
        <v>0</v>
      </c>
    </row>
    <row r="479" spans="1:19" x14ac:dyDescent="0.3">
      <c r="A479" t="s">
        <v>168</v>
      </c>
      <c r="B479">
        <v>2009</v>
      </c>
      <c r="C479">
        <v>0.19378363099310689</v>
      </c>
      <c r="D479">
        <v>3.686502819025346E-2</v>
      </c>
      <c r="E479">
        <v>0.35011755729622368</v>
      </c>
      <c r="F479">
        <v>0</v>
      </c>
      <c r="G479">
        <v>1.2009462636683681</v>
      </c>
      <c r="H479">
        <v>13.491824034638206</v>
      </c>
      <c r="I479">
        <v>6.4797692133897839E-3</v>
      </c>
      <c r="J479">
        <v>0</v>
      </c>
      <c r="K479">
        <f t="shared" si="63"/>
        <v>0.19378363099310689</v>
      </c>
      <c r="L479">
        <f t="shared" si="64"/>
        <v>3.686502819025346E-2</v>
      </c>
      <c r="M479">
        <f t="shared" si="65"/>
        <v>0.35011755729622368</v>
      </c>
      <c r="N479">
        <f t="shared" si="66"/>
        <v>0</v>
      </c>
      <c r="O479">
        <f t="shared" si="67"/>
        <v>1.2009462636683681</v>
      </c>
      <c r="P479">
        <f t="shared" si="68"/>
        <v>13.491824034638206</v>
      </c>
      <c r="Q479">
        <f t="shared" si="69"/>
        <v>6.4797692133897839E-3</v>
      </c>
      <c r="R479">
        <f t="shared" si="70"/>
        <v>0</v>
      </c>
      <c r="S479">
        <f t="shared" si="71"/>
        <v>0</v>
      </c>
    </row>
    <row r="480" spans="1:19" x14ac:dyDescent="0.3">
      <c r="A480" t="s">
        <v>168</v>
      </c>
      <c r="B480">
        <v>2010</v>
      </c>
      <c r="C480">
        <v>0.15330902044802924</v>
      </c>
      <c r="D480">
        <v>5.7848125859877961E-2</v>
      </c>
      <c r="E480">
        <v>0.36207163636745537</v>
      </c>
      <c r="F480">
        <v>0</v>
      </c>
      <c r="G480">
        <v>1.42426835544073</v>
      </c>
      <c r="H480">
        <v>13.543355317945885</v>
      </c>
      <c r="I480">
        <v>1.139892646103295E-2</v>
      </c>
      <c r="J480">
        <v>1.8578615163258663E-2</v>
      </c>
      <c r="K480">
        <f t="shared" si="63"/>
        <v>0.15330902044802924</v>
      </c>
      <c r="L480">
        <f t="shared" si="64"/>
        <v>5.7848125859877961E-2</v>
      </c>
      <c r="M480">
        <f t="shared" si="65"/>
        <v>0.36207163636745537</v>
      </c>
      <c r="N480">
        <f t="shared" si="66"/>
        <v>0</v>
      </c>
      <c r="O480">
        <f t="shared" si="67"/>
        <v>1.42426835544073</v>
      </c>
      <c r="P480">
        <f t="shared" si="68"/>
        <v>13.543355317945885</v>
      </c>
      <c r="Q480">
        <f t="shared" si="69"/>
        <v>1.139892646103295E-2</v>
      </c>
      <c r="R480">
        <f t="shared" si="70"/>
        <v>1.8578615163258663E-2</v>
      </c>
      <c r="S480">
        <f t="shared" si="71"/>
        <v>0</v>
      </c>
    </row>
    <row r="481" spans="1:19" x14ac:dyDescent="0.3">
      <c r="A481" t="s">
        <v>169</v>
      </c>
      <c r="B481">
        <v>2007</v>
      </c>
      <c r="C481">
        <v>1.238262190899414E-2</v>
      </c>
      <c r="D481">
        <v>4.9847057287235513E-2</v>
      </c>
      <c r="E481">
        <v>0.10163468653668845</v>
      </c>
      <c r="F481">
        <v>0.32778307592263567</v>
      </c>
      <c r="G481">
        <v>1.0913891340105286</v>
      </c>
      <c r="H481">
        <v>15.148044109198459</v>
      </c>
      <c r="I481">
        <v>1.1467288792254789E-2</v>
      </c>
      <c r="J481">
        <v>6.3466938916566752E-3</v>
      </c>
      <c r="K481">
        <f t="shared" si="63"/>
        <v>1.238262190899414E-2</v>
      </c>
      <c r="L481">
        <f t="shared" si="64"/>
        <v>4.9847057287235513E-2</v>
      </c>
      <c r="M481">
        <f t="shared" si="65"/>
        <v>0.10163468653668845</v>
      </c>
      <c r="N481">
        <f t="shared" si="66"/>
        <v>0.32778307592263567</v>
      </c>
      <c r="O481">
        <f t="shared" si="67"/>
        <v>1.0913891340105286</v>
      </c>
      <c r="P481">
        <f t="shared" si="68"/>
        <v>15.148044109198459</v>
      </c>
      <c r="Q481">
        <f t="shared" si="69"/>
        <v>1.1467288792254789E-2</v>
      </c>
      <c r="R481">
        <f t="shared" si="70"/>
        <v>6.3466938916566752E-3</v>
      </c>
      <c r="S481">
        <f t="shared" si="71"/>
        <v>0</v>
      </c>
    </row>
    <row r="482" spans="1:19" x14ac:dyDescent="0.3">
      <c r="A482" t="s">
        <v>169</v>
      </c>
      <c r="B482">
        <v>2008</v>
      </c>
      <c r="C482">
        <v>6.2172121277813009E-3</v>
      </c>
      <c r="D482">
        <v>2.8778808419394553E-2</v>
      </c>
      <c r="E482">
        <v>0.10489147085908541</v>
      </c>
      <c r="F482">
        <v>0.33274213364230731</v>
      </c>
      <c r="G482">
        <v>1.1809396338204101</v>
      </c>
      <c r="H482">
        <v>15.336337123229722</v>
      </c>
      <c r="I482">
        <v>9.6823758074173292E-3</v>
      </c>
      <c r="J482">
        <v>7.8837309216814831E-3</v>
      </c>
      <c r="K482">
        <f t="shared" si="63"/>
        <v>6.2172121277813009E-3</v>
      </c>
      <c r="L482">
        <f t="shared" si="64"/>
        <v>2.8778808419394553E-2</v>
      </c>
      <c r="M482">
        <f t="shared" si="65"/>
        <v>0.10489147085908541</v>
      </c>
      <c r="N482">
        <f t="shared" si="66"/>
        <v>0.33274213364230731</v>
      </c>
      <c r="O482">
        <f t="shared" si="67"/>
        <v>1.1809396338204101</v>
      </c>
      <c r="P482">
        <f t="shared" si="68"/>
        <v>15.336337123229722</v>
      </c>
      <c r="Q482">
        <f t="shared" si="69"/>
        <v>9.6823758074173292E-3</v>
      </c>
      <c r="R482">
        <f t="shared" si="70"/>
        <v>7.8837309216814831E-3</v>
      </c>
      <c r="S482">
        <f t="shared" si="71"/>
        <v>0</v>
      </c>
    </row>
    <row r="483" spans="1:19" x14ac:dyDescent="0.3">
      <c r="A483" t="s">
        <v>169</v>
      </c>
      <c r="B483">
        <v>2009</v>
      </c>
      <c r="C483">
        <v>9.049993151720016E-3</v>
      </c>
      <c r="D483">
        <v>5.3738824651118178E-2</v>
      </c>
      <c r="E483">
        <v>1.1654286085392212E-2</v>
      </c>
      <c r="F483">
        <v>0.51341944352327906</v>
      </c>
      <c r="G483">
        <v>1.2423230179715148</v>
      </c>
      <c r="H483">
        <v>15.54735263439715</v>
      </c>
      <c r="I483">
        <v>5.7326040780529344E-3</v>
      </c>
      <c r="J483">
        <v>6.3857114088805384E-3</v>
      </c>
      <c r="K483">
        <f t="shared" si="63"/>
        <v>9.049993151720016E-3</v>
      </c>
      <c r="L483">
        <f t="shared" si="64"/>
        <v>5.3738824651118178E-2</v>
      </c>
      <c r="M483">
        <f t="shared" si="65"/>
        <v>1.1654286085392212E-2</v>
      </c>
      <c r="N483">
        <f t="shared" si="66"/>
        <v>0.51341944352327906</v>
      </c>
      <c r="O483">
        <f t="shared" si="67"/>
        <v>1.2423230179715148</v>
      </c>
      <c r="P483">
        <f t="shared" si="68"/>
        <v>15.54735263439715</v>
      </c>
      <c r="Q483">
        <f t="shared" si="69"/>
        <v>5.7326040780529344E-3</v>
      </c>
      <c r="R483">
        <f t="shared" si="70"/>
        <v>6.3857114088805384E-3</v>
      </c>
      <c r="S483">
        <f t="shared" si="71"/>
        <v>0</v>
      </c>
    </row>
    <row r="484" spans="1:19" x14ac:dyDescent="0.3">
      <c r="A484" t="s">
        <v>169</v>
      </c>
      <c r="B484">
        <v>2010</v>
      </c>
      <c r="C484">
        <v>9.1615724065997484E-3</v>
      </c>
      <c r="D484">
        <v>7.1992022098060535E-2</v>
      </c>
      <c r="E484">
        <v>1.1569314808078381E-2</v>
      </c>
      <c r="F484">
        <v>0.56922243983843734</v>
      </c>
      <c r="G484">
        <v>1.3256210222095501</v>
      </c>
      <c r="H484">
        <v>15.684988960068289</v>
      </c>
      <c r="I484">
        <v>7.6404878600216906E-3</v>
      </c>
      <c r="J484">
        <v>1.3633336330032492E-2</v>
      </c>
      <c r="K484">
        <f t="shared" si="63"/>
        <v>9.1615724065997484E-3</v>
      </c>
      <c r="L484">
        <f t="shared" si="64"/>
        <v>7.1992022098060535E-2</v>
      </c>
      <c r="M484">
        <f t="shared" si="65"/>
        <v>1.1569314808078381E-2</v>
      </c>
      <c r="N484">
        <f t="shared" si="66"/>
        <v>0.56922243983843734</v>
      </c>
      <c r="O484">
        <f t="shared" si="67"/>
        <v>1.3256210222095501</v>
      </c>
      <c r="P484">
        <f t="shared" si="68"/>
        <v>15.684988960068289</v>
      </c>
      <c r="Q484">
        <f t="shared" si="69"/>
        <v>7.6404878600216906E-3</v>
      </c>
      <c r="R484">
        <f t="shared" si="70"/>
        <v>1.3633336330032492E-2</v>
      </c>
      <c r="S484">
        <f t="shared" si="71"/>
        <v>0</v>
      </c>
    </row>
    <row r="485" spans="1:19" x14ac:dyDescent="0.3">
      <c r="A485" t="s">
        <v>170</v>
      </c>
      <c r="B485">
        <v>2007</v>
      </c>
      <c r="C485">
        <v>4.6103999391411993E-2</v>
      </c>
      <c r="D485">
        <v>0.10716335746938041</v>
      </c>
      <c r="E485">
        <v>2.1317869665345754E-2</v>
      </c>
      <c r="F485">
        <v>0.27766309121212751</v>
      </c>
      <c r="G485">
        <v>1.736777042400603</v>
      </c>
      <c r="H485">
        <v>13.268000202723506</v>
      </c>
      <c r="I485">
        <v>1.9240397823569778E-2</v>
      </c>
      <c r="J485">
        <v>1.7427747463640324E-2</v>
      </c>
      <c r="K485">
        <f t="shared" si="63"/>
        <v>4.6103999391411993E-2</v>
      </c>
      <c r="L485">
        <f t="shared" si="64"/>
        <v>0.10716335746938041</v>
      </c>
      <c r="M485">
        <f t="shared" si="65"/>
        <v>2.1317869665345754E-2</v>
      </c>
      <c r="N485">
        <f t="shared" si="66"/>
        <v>0.27766309121212751</v>
      </c>
      <c r="O485">
        <f t="shared" si="67"/>
        <v>1.736777042400603</v>
      </c>
      <c r="P485">
        <f t="shared" si="68"/>
        <v>13.268000202723506</v>
      </c>
      <c r="Q485">
        <f t="shared" si="69"/>
        <v>1.9240397823569778E-2</v>
      </c>
      <c r="R485">
        <f t="shared" si="70"/>
        <v>1.7427747463640324E-2</v>
      </c>
      <c r="S485">
        <f t="shared" si="71"/>
        <v>0</v>
      </c>
    </row>
    <row r="486" spans="1:19" x14ac:dyDescent="0.3">
      <c r="A486" t="s">
        <v>170</v>
      </c>
      <c r="B486">
        <v>2009</v>
      </c>
      <c r="C486">
        <v>1.815886326450147E-2</v>
      </c>
      <c r="D486">
        <v>6.6506939741094007E-2</v>
      </c>
      <c r="E486">
        <v>-1.2640316303274174E-2</v>
      </c>
      <c r="F486">
        <v>0.42267920852743956</v>
      </c>
      <c r="G486">
        <v>1.1449175652451062</v>
      </c>
      <c r="H486">
        <v>13.497931319365671</v>
      </c>
      <c r="I486">
        <v>2.4323650795627885E-2</v>
      </c>
      <c r="J486">
        <v>1.3847884831757817E-2</v>
      </c>
      <c r="K486">
        <f t="shared" si="63"/>
        <v>1.815886326450147E-2</v>
      </c>
      <c r="L486">
        <f t="shared" si="64"/>
        <v>6.6506939741094007E-2</v>
      </c>
      <c r="M486">
        <f t="shared" si="65"/>
        <v>-1.2640316303274174E-2</v>
      </c>
      <c r="N486">
        <f t="shared" si="66"/>
        <v>0.42267920852743956</v>
      </c>
      <c r="O486">
        <f t="shared" si="67"/>
        <v>1.1449175652451062</v>
      </c>
      <c r="P486">
        <f t="shared" si="68"/>
        <v>13.497931319365671</v>
      </c>
      <c r="Q486">
        <f t="shared" si="69"/>
        <v>2.4323650795627885E-2</v>
      </c>
      <c r="R486">
        <f t="shared" si="70"/>
        <v>1.3847884831757817E-2</v>
      </c>
      <c r="S486">
        <f t="shared" si="71"/>
        <v>0</v>
      </c>
    </row>
    <row r="487" spans="1:19" x14ac:dyDescent="0.3">
      <c r="A487" t="s">
        <v>170</v>
      </c>
      <c r="B487">
        <v>2010</v>
      </c>
      <c r="C487">
        <v>1.238293872364931E-2</v>
      </c>
      <c r="D487">
        <v>0.15003953460382366</v>
      </c>
      <c r="E487">
        <v>0.10527935501464837</v>
      </c>
      <c r="F487">
        <v>0.25383805590299624</v>
      </c>
      <c r="G487">
        <v>1.1036589694798953</v>
      </c>
      <c r="H487">
        <v>13.394505833004999</v>
      </c>
      <c r="I487">
        <v>2.0269829555665579E-2</v>
      </c>
      <c r="J487">
        <v>3.0713588172830968E-2</v>
      </c>
      <c r="K487">
        <f t="shared" si="63"/>
        <v>1.238293872364931E-2</v>
      </c>
      <c r="L487">
        <f t="shared" si="64"/>
        <v>0.15003953460382366</v>
      </c>
      <c r="M487">
        <f t="shared" si="65"/>
        <v>0.10527935501464837</v>
      </c>
      <c r="N487">
        <f t="shared" si="66"/>
        <v>0.25383805590299624</v>
      </c>
      <c r="O487">
        <f t="shared" si="67"/>
        <v>1.1036589694798953</v>
      </c>
      <c r="P487">
        <f t="shared" si="68"/>
        <v>13.394505833004999</v>
      </c>
      <c r="Q487">
        <f t="shared" si="69"/>
        <v>2.0269829555665579E-2</v>
      </c>
      <c r="R487">
        <f t="shared" si="70"/>
        <v>3.0713588172830968E-2</v>
      </c>
      <c r="S487">
        <f t="shared" si="71"/>
        <v>0</v>
      </c>
    </row>
    <row r="488" spans="1:19" x14ac:dyDescent="0.3">
      <c r="A488" t="s">
        <v>171</v>
      </c>
      <c r="B488">
        <v>2007</v>
      </c>
      <c r="C488">
        <v>1.5268524424085664E-2</v>
      </c>
      <c r="D488">
        <v>0.19178969723793352</v>
      </c>
      <c r="E488">
        <v>2.5295803469706123E-2</v>
      </c>
      <c r="F488">
        <v>0.22155852373411597</v>
      </c>
      <c r="G488">
        <v>2.2065277022831267</v>
      </c>
      <c r="H488">
        <v>13.988167226495781</v>
      </c>
      <c r="I488">
        <v>3.0096552843503765E-3</v>
      </c>
      <c r="J488">
        <v>7.1529662806763053E-3</v>
      </c>
      <c r="K488">
        <f t="shared" si="63"/>
        <v>1.5268524424085664E-2</v>
      </c>
      <c r="L488">
        <f t="shared" si="64"/>
        <v>0.19178969723793352</v>
      </c>
      <c r="M488">
        <f t="shared" si="65"/>
        <v>2.5295803469706123E-2</v>
      </c>
      <c r="N488">
        <f t="shared" si="66"/>
        <v>0.22155852373411597</v>
      </c>
      <c r="O488">
        <f t="shared" si="67"/>
        <v>2.2065277022831267</v>
      </c>
      <c r="P488">
        <f t="shared" si="68"/>
        <v>13.988167226495781</v>
      </c>
      <c r="Q488">
        <f t="shared" si="69"/>
        <v>3.0096552843503765E-3</v>
      </c>
      <c r="R488">
        <f t="shared" si="70"/>
        <v>7.1529662806763053E-3</v>
      </c>
      <c r="S488">
        <f t="shared" si="71"/>
        <v>0</v>
      </c>
    </row>
    <row r="489" spans="1:19" x14ac:dyDescent="0.3">
      <c r="A489" t="s">
        <v>171</v>
      </c>
      <c r="B489">
        <v>2008</v>
      </c>
      <c r="C489">
        <v>7.7267691673513087E-3</v>
      </c>
      <c r="D489">
        <v>0.16512591210055794</v>
      </c>
      <c r="E489">
        <v>2.6725369348841069E-3</v>
      </c>
      <c r="F489">
        <v>0.33875149929436554</v>
      </c>
      <c r="G489">
        <v>0.8596454365630305</v>
      </c>
      <c r="H489">
        <v>14.373213088217495</v>
      </c>
      <c r="I489">
        <v>1.4626555324987115E-2</v>
      </c>
      <c r="J489">
        <v>0</v>
      </c>
      <c r="K489">
        <f t="shared" si="63"/>
        <v>7.7267691673513087E-3</v>
      </c>
      <c r="L489">
        <f t="shared" si="64"/>
        <v>0.16512591210055794</v>
      </c>
      <c r="M489">
        <f t="shared" si="65"/>
        <v>2.6725369348841069E-3</v>
      </c>
      <c r="N489">
        <f t="shared" si="66"/>
        <v>0.33875149929436554</v>
      </c>
      <c r="O489">
        <f t="shared" si="67"/>
        <v>0.8596454365630305</v>
      </c>
      <c r="P489">
        <f t="shared" si="68"/>
        <v>14.373213088217495</v>
      </c>
      <c r="Q489">
        <f t="shared" si="69"/>
        <v>1.4626555324987115E-2</v>
      </c>
      <c r="R489">
        <f t="shared" si="70"/>
        <v>0</v>
      </c>
      <c r="S489">
        <f t="shared" si="71"/>
        <v>0</v>
      </c>
    </row>
    <row r="490" spans="1:19" x14ac:dyDescent="0.3">
      <c r="A490" t="s">
        <v>171</v>
      </c>
      <c r="B490">
        <v>2009</v>
      </c>
      <c r="C490">
        <v>8.2845640129000555E-3</v>
      </c>
      <c r="D490">
        <v>0.16060557683830962</v>
      </c>
      <c r="E490">
        <v>7.6841306329450493E-2</v>
      </c>
      <c r="F490">
        <v>0.29723958654004895</v>
      </c>
      <c r="G490">
        <v>1.8540039970773823</v>
      </c>
      <c r="H490">
        <v>14.422740853269024</v>
      </c>
      <c r="I490">
        <v>1.8204118128358971E-2</v>
      </c>
      <c r="J490">
        <v>4.5161089955490563E-2</v>
      </c>
      <c r="K490">
        <f t="shared" si="63"/>
        <v>8.2845640129000555E-3</v>
      </c>
      <c r="L490">
        <f t="shared" si="64"/>
        <v>0.16060557683830962</v>
      </c>
      <c r="M490">
        <f t="shared" si="65"/>
        <v>7.6841306329450493E-2</v>
      </c>
      <c r="N490">
        <f t="shared" si="66"/>
        <v>0.29723958654004895</v>
      </c>
      <c r="O490">
        <f t="shared" si="67"/>
        <v>1.8540039970773823</v>
      </c>
      <c r="P490">
        <f t="shared" si="68"/>
        <v>14.422740853269024</v>
      </c>
      <c r="Q490">
        <f t="shared" si="69"/>
        <v>1.8204118128358971E-2</v>
      </c>
      <c r="R490">
        <f t="shared" si="70"/>
        <v>4.5161089955490563E-2</v>
      </c>
      <c r="S490">
        <f t="shared" si="71"/>
        <v>0</v>
      </c>
    </row>
    <row r="491" spans="1:19" x14ac:dyDescent="0.3">
      <c r="A491" t="s">
        <v>171</v>
      </c>
      <c r="B491">
        <v>2010</v>
      </c>
      <c r="C491">
        <v>5.272663366188546E-3</v>
      </c>
      <c r="D491">
        <v>8.8052468628008196E-2</v>
      </c>
      <c r="E491">
        <v>8.4375327181082579E-3</v>
      </c>
      <c r="F491">
        <v>0.45235832124321335</v>
      </c>
      <c r="G491">
        <v>1.7983330927773373</v>
      </c>
      <c r="H491">
        <v>14.799220657350389</v>
      </c>
      <c r="I491">
        <v>1.6977390642724213E-2</v>
      </c>
      <c r="J491">
        <v>1.8595477048714459E-2</v>
      </c>
      <c r="K491">
        <f t="shared" si="63"/>
        <v>5.272663366188546E-3</v>
      </c>
      <c r="L491">
        <f t="shared" si="64"/>
        <v>8.8052468628008196E-2</v>
      </c>
      <c r="M491">
        <f t="shared" si="65"/>
        <v>8.4375327181082579E-3</v>
      </c>
      <c r="N491">
        <f t="shared" si="66"/>
        <v>0.45235832124321335</v>
      </c>
      <c r="O491">
        <f t="shared" si="67"/>
        <v>1.7983330927773373</v>
      </c>
      <c r="P491">
        <f t="shared" si="68"/>
        <v>14.799220657350389</v>
      </c>
      <c r="Q491">
        <f t="shared" si="69"/>
        <v>1.6977390642724213E-2</v>
      </c>
      <c r="R491">
        <f t="shared" si="70"/>
        <v>1.8595477048714459E-2</v>
      </c>
      <c r="S491">
        <f t="shared" si="71"/>
        <v>0</v>
      </c>
    </row>
    <row r="492" spans="1:19" x14ac:dyDescent="0.3">
      <c r="A492" t="s">
        <v>172</v>
      </c>
      <c r="B492">
        <v>2007</v>
      </c>
      <c r="C492">
        <v>2.5916056203582508E-2</v>
      </c>
      <c r="D492">
        <v>0.10394263936998763</v>
      </c>
      <c r="E492">
        <v>-0.30576426603414736</v>
      </c>
      <c r="F492">
        <v>0.31152419314015461</v>
      </c>
      <c r="G492">
        <v>0.90414765372460826</v>
      </c>
      <c r="H492">
        <v>13.223351950031484</v>
      </c>
      <c r="I492">
        <v>1.273978332582645E-2</v>
      </c>
      <c r="J492">
        <v>3.3115061142729038E-2</v>
      </c>
      <c r="K492">
        <f t="shared" si="63"/>
        <v>2.5916056203582508E-2</v>
      </c>
      <c r="L492">
        <f t="shared" si="64"/>
        <v>0.10394263936998763</v>
      </c>
      <c r="M492">
        <f t="shared" si="65"/>
        <v>-0.30576426603414736</v>
      </c>
      <c r="N492">
        <f t="shared" si="66"/>
        <v>0.31152419314015461</v>
      </c>
      <c r="O492">
        <f t="shared" si="67"/>
        <v>0.90414765372460826</v>
      </c>
      <c r="P492">
        <f t="shared" si="68"/>
        <v>13.223351950031484</v>
      </c>
      <c r="Q492">
        <f t="shared" si="69"/>
        <v>1.273978332582645E-2</v>
      </c>
      <c r="R492">
        <f t="shared" si="70"/>
        <v>3.3115061142729038E-2</v>
      </c>
      <c r="S492">
        <f t="shared" si="71"/>
        <v>0</v>
      </c>
    </row>
    <row r="493" spans="1:19" x14ac:dyDescent="0.3">
      <c r="A493" t="s">
        <v>172</v>
      </c>
      <c r="B493">
        <v>2009</v>
      </c>
      <c r="C493">
        <v>1.4535826798042764E-2</v>
      </c>
      <c r="D493">
        <v>0.1195375025135733</v>
      </c>
      <c r="E493">
        <v>-9.4539848515316036E-2</v>
      </c>
      <c r="F493">
        <v>0.25755345532542395</v>
      </c>
      <c r="G493">
        <v>0.92020215832160335</v>
      </c>
      <c r="H493">
        <v>13.522413852810994</v>
      </c>
      <c r="I493">
        <v>1.2551966389051719E-3</v>
      </c>
      <c r="J493">
        <v>0</v>
      </c>
      <c r="K493">
        <f t="shared" si="63"/>
        <v>1.4535826798042764E-2</v>
      </c>
      <c r="L493">
        <f t="shared" si="64"/>
        <v>0.1195375025135733</v>
      </c>
      <c r="M493">
        <f t="shared" si="65"/>
        <v>-9.4539848515316036E-2</v>
      </c>
      <c r="N493">
        <f t="shared" si="66"/>
        <v>0.25755345532542395</v>
      </c>
      <c r="O493">
        <f t="shared" si="67"/>
        <v>0.92020215832160335</v>
      </c>
      <c r="P493">
        <f t="shared" si="68"/>
        <v>13.522413852810994</v>
      </c>
      <c r="Q493">
        <f t="shared" si="69"/>
        <v>1.2551966389051719E-3</v>
      </c>
      <c r="R493">
        <f t="shared" si="70"/>
        <v>0</v>
      </c>
      <c r="S493">
        <f t="shared" si="71"/>
        <v>0</v>
      </c>
    </row>
    <row r="494" spans="1:19" x14ac:dyDescent="0.3">
      <c r="A494" t="s">
        <v>172</v>
      </c>
      <c r="B494">
        <v>2010</v>
      </c>
      <c r="C494">
        <v>2.5497111783269091E-2</v>
      </c>
      <c r="D494">
        <v>0.1078435012393671</v>
      </c>
      <c r="E494">
        <v>-0.16399938850609855</v>
      </c>
      <c r="F494">
        <v>0.3146212559647954</v>
      </c>
      <c r="G494">
        <v>1.0740398999770691</v>
      </c>
      <c r="H494">
        <v>13.727542359730796</v>
      </c>
      <c r="I494">
        <v>2.2058597051580406E-3</v>
      </c>
      <c r="J494">
        <v>1.6604243330894636E-2</v>
      </c>
      <c r="K494">
        <f t="shared" si="63"/>
        <v>2.5497111783269091E-2</v>
      </c>
      <c r="L494">
        <f t="shared" si="64"/>
        <v>0.1078435012393671</v>
      </c>
      <c r="M494">
        <f t="shared" si="65"/>
        <v>-0.16399938850609855</v>
      </c>
      <c r="N494">
        <f t="shared" si="66"/>
        <v>0.3146212559647954</v>
      </c>
      <c r="O494">
        <f t="shared" si="67"/>
        <v>1.0740398999770691</v>
      </c>
      <c r="P494">
        <f t="shared" si="68"/>
        <v>13.727542359730796</v>
      </c>
      <c r="Q494">
        <f t="shared" si="69"/>
        <v>2.2058597051580406E-3</v>
      </c>
      <c r="R494">
        <f t="shared" si="70"/>
        <v>1.6604243330894636E-2</v>
      </c>
      <c r="S494">
        <f t="shared" si="71"/>
        <v>0</v>
      </c>
    </row>
    <row r="495" spans="1:19" x14ac:dyDescent="0.3">
      <c r="A495" t="s">
        <v>173</v>
      </c>
      <c r="B495">
        <v>2010</v>
      </c>
      <c r="C495">
        <v>4.4451444267361771E-2</v>
      </c>
      <c r="D495">
        <v>0.12692589451234754</v>
      </c>
      <c r="E495">
        <v>0.12726400522482195</v>
      </c>
      <c r="F495">
        <v>9.1463282477051097E-4</v>
      </c>
      <c r="G495">
        <v>0.86762452660887956</v>
      </c>
      <c r="H495">
        <v>13.447458279772874</v>
      </c>
      <c r="I495">
        <v>7.1025534254889749E-3</v>
      </c>
      <c r="J495">
        <v>8.2981616313697378E-3</v>
      </c>
      <c r="K495">
        <f t="shared" si="63"/>
        <v>4.4451444267361771E-2</v>
      </c>
      <c r="L495">
        <f t="shared" si="64"/>
        <v>0.12692589451234754</v>
      </c>
      <c r="M495">
        <f t="shared" si="65"/>
        <v>0.12726400522482195</v>
      </c>
      <c r="N495">
        <f t="shared" si="66"/>
        <v>9.1463282477051097E-4</v>
      </c>
      <c r="O495">
        <f t="shared" si="67"/>
        <v>0.86762452660887956</v>
      </c>
      <c r="P495">
        <f t="shared" si="68"/>
        <v>13.447458279772874</v>
      </c>
      <c r="Q495">
        <f t="shared" si="69"/>
        <v>7.1025534254889749E-3</v>
      </c>
      <c r="R495">
        <f t="shared" si="70"/>
        <v>8.2981616313697378E-3</v>
      </c>
      <c r="S495">
        <f t="shared" si="71"/>
        <v>0</v>
      </c>
    </row>
    <row r="496" spans="1:19" x14ac:dyDescent="0.3">
      <c r="A496" t="s">
        <v>174</v>
      </c>
      <c r="B496">
        <v>2007</v>
      </c>
      <c r="C496">
        <v>5.1358244226584618E-3</v>
      </c>
      <c r="D496">
        <v>6.0015442570018014E-2</v>
      </c>
      <c r="E496">
        <v>-0.34799597557266199</v>
      </c>
      <c r="F496">
        <v>0.32172020870867357</v>
      </c>
      <c r="G496">
        <v>0.78804809424647271</v>
      </c>
      <c r="H496">
        <v>12.049161492433393</v>
      </c>
      <c r="I496">
        <v>9.7321741789345786E-4</v>
      </c>
      <c r="J496">
        <v>0</v>
      </c>
      <c r="K496">
        <f t="shared" si="63"/>
        <v>5.1358244226584618E-3</v>
      </c>
      <c r="L496">
        <f t="shared" si="64"/>
        <v>6.0015442570018014E-2</v>
      </c>
      <c r="M496">
        <f t="shared" si="65"/>
        <v>-0.34799597557266199</v>
      </c>
      <c r="N496">
        <f t="shared" si="66"/>
        <v>0.32172020870867357</v>
      </c>
      <c r="O496">
        <f t="shared" si="67"/>
        <v>0.78804809424647271</v>
      </c>
      <c r="P496">
        <f t="shared" si="68"/>
        <v>12.049161492433393</v>
      </c>
      <c r="Q496">
        <f t="shared" si="69"/>
        <v>9.7321741789345786E-4</v>
      </c>
      <c r="R496">
        <f t="shared" si="70"/>
        <v>0</v>
      </c>
      <c r="S496">
        <f t="shared" si="71"/>
        <v>0</v>
      </c>
    </row>
    <row r="497" spans="1:19" x14ac:dyDescent="0.3">
      <c r="A497" t="s">
        <v>174</v>
      </c>
      <c r="B497">
        <v>2008</v>
      </c>
      <c r="C497">
        <v>1.2381939645243032E-3</v>
      </c>
      <c r="D497">
        <v>5.7135452660677266E-2</v>
      </c>
      <c r="E497">
        <v>-0.28702487906012442</v>
      </c>
      <c r="F497">
        <v>0.26549182216079242</v>
      </c>
      <c r="G497">
        <v>0.58954031329186818</v>
      </c>
      <c r="H497">
        <v>12.06473946941353</v>
      </c>
      <c r="I497">
        <v>0.24375448628970908</v>
      </c>
      <c r="J497">
        <v>0</v>
      </c>
      <c r="K497">
        <f t="shared" si="63"/>
        <v>1.2381939645243032E-3</v>
      </c>
      <c r="L497">
        <f t="shared" si="64"/>
        <v>5.7135452660677266E-2</v>
      </c>
      <c r="M497">
        <f t="shared" si="65"/>
        <v>-0.28702487906012442</v>
      </c>
      <c r="N497">
        <f t="shared" si="66"/>
        <v>0.26549182216079242</v>
      </c>
      <c r="O497">
        <f t="shared" si="67"/>
        <v>0.58954031329186818</v>
      </c>
      <c r="P497">
        <f t="shared" si="68"/>
        <v>12.06473946941353</v>
      </c>
      <c r="Q497">
        <f t="shared" si="69"/>
        <v>0.24375448628970908</v>
      </c>
      <c r="R497">
        <f t="shared" si="70"/>
        <v>0</v>
      </c>
      <c r="S497">
        <f t="shared" si="71"/>
        <v>0</v>
      </c>
    </row>
    <row r="498" spans="1:19" x14ac:dyDescent="0.3">
      <c r="A498" t="s">
        <v>174</v>
      </c>
      <c r="B498">
        <v>2009</v>
      </c>
      <c r="C498">
        <v>2.5076676761636541E-4</v>
      </c>
      <c r="D498">
        <v>2.0248066202426651</v>
      </c>
      <c r="E498">
        <v>9.0083138828340511E-3</v>
      </c>
      <c r="F498">
        <v>0.93512856619278173</v>
      </c>
      <c r="G498">
        <v>1.1238593005536157</v>
      </c>
      <c r="H498">
        <v>10.855936620963561</v>
      </c>
      <c r="I498">
        <v>0.22317345523215426</v>
      </c>
      <c r="J498">
        <v>0</v>
      </c>
      <c r="K498">
        <f t="shared" si="63"/>
        <v>2.5076676761636541E-4</v>
      </c>
      <c r="L498">
        <f t="shared" si="64"/>
        <v>2.0248066202426651</v>
      </c>
      <c r="M498">
        <f t="shared" si="65"/>
        <v>9.0083138828340511E-3</v>
      </c>
      <c r="N498">
        <f t="shared" si="66"/>
        <v>0.93512856619278173</v>
      </c>
      <c r="O498">
        <f t="shared" si="67"/>
        <v>1.1238593005536157</v>
      </c>
      <c r="P498">
        <f t="shared" si="68"/>
        <v>10.855936620963561</v>
      </c>
      <c r="Q498">
        <f t="shared" si="69"/>
        <v>0.22317345523215426</v>
      </c>
      <c r="R498">
        <f t="shared" si="70"/>
        <v>0</v>
      </c>
      <c r="S498">
        <f t="shared" si="71"/>
        <v>0</v>
      </c>
    </row>
    <row r="499" spans="1:19" x14ac:dyDescent="0.3">
      <c r="A499" t="s">
        <v>174</v>
      </c>
      <c r="B499">
        <v>2010</v>
      </c>
      <c r="C499">
        <v>2.0981155107957579E-3</v>
      </c>
      <c r="D499">
        <v>0.11858167391470206</v>
      </c>
      <c r="E499">
        <v>0.16081101701380943</v>
      </c>
      <c r="F499">
        <v>0.92725261310749985</v>
      </c>
      <c r="G499">
        <v>0.78992904554818022</v>
      </c>
      <c r="H499">
        <v>10.867196078739436</v>
      </c>
      <c r="I499">
        <v>4.5953773155891636E-3</v>
      </c>
      <c r="J499">
        <v>0</v>
      </c>
      <c r="K499">
        <f t="shared" si="63"/>
        <v>2.0981155107957579E-3</v>
      </c>
      <c r="L499">
        <f t="shared" si="64"/>
        <v>0.11858167391470206</v>
      </c>
      <c r="M499">
        <f t="shared" si="65"/>
        <v>0.16081101701380943</v>
      </c>
      <c r="N499">
        <f t="shared" si="66"/>
        <v>0.92725261310749985</v>
      </c>
      <c r="O499">
        <f t="shared" si="67"/>
        <v>0.78992904554818022</v>
      </c>
      <c r="P499">
        <f t="shared" si="68"/>
        <v>10.867196078739436</v>
      </c>
      <c r="Q499">
        <f t="shared" si="69"/>
        <v>4.5953773155891636E-3</v>
      </c>
      <c r="R499">
        <f t="shared" si="70"/>
        <v>0</v>
      </c>
      <c r="S499">
        <f t="shared" si="71"/>
        <v>0</v>
      </c>
    </row>
    <row r="500" spans="1:19" x14ac:dyDescent="0.3">
      <c r="A500" t="s">
        <v>175</v>
      </c>
      <c r="B500">
        <v>2007</v>
      </c>
      <c r="C500">
        <v>7.7407529530914218E-2</v>
      </c>
      <c r="D500">
        <v>0.46074613032050044</v>
      </c>
      <c r="E500">
        <v>0.36371223620372106</v>
      </c>
      <c r="F500">
        <v>0</v>
      </c>
      <c r="G500">
        <v>5.5122894781061795</v>
      </c>
      <c r="H500">
        <v>15.188114379863929</v>
      </c>
      <c r="I500">
        <v>2.0628469548838426E-2</v>
      </c>
      <c r="J500">
        <v>0.21068447953941735</v>
      </c>
      <c r="K500">
        <f t="shared" si="63"/>
        <v>7.7407529530914218E-2</v>
      </c>
      <c r="L500">
        <f t="shared" si="64"/>
        <v>0.46074613032050044</v>
      </c>
      <c r="M500">
        <f t="shared" si="65"/>
        <v>0.36371223620372106</v>
      </c>
      <c r="N500">
        <f t="shared" si="66"/>
        <v>0</v>
      </c>
      <c r="O500">
        <f t="shared" si="67"/>
        <v>5.5122894781061795</v>
      </c>
      <c r="P500">
        <f t="shared" si="68"/>
        <v>15.188114379863929</v>
      </c>
      <c r="Q500">
        <f t="shared" si="69"/>
        <v>2.0628469548838426E-2</v>
      </c>
      <c r="R500" t="str">
        <f t="shared" si="70"/>
        <v>out</v>
      </c>
      <c r="S500">
        <f t="shared" si="71"/>
        <v>1</v>
      </c>
    </row>
    <row r="501" spans="1:19" x14ac:dyDescent="0.3">
      <c r="A501" t="s">
        <v>175</v>
      </c>
      <c r="B501">
        <v>2008</v>
      </c>
      <c r="C501">
        <v>2.6258625853405339E-3</v>
      </c>
      <c r="D501">
        <v>0.46648668766081736</v>
      </c>
      <c r="E501">
        <v>0.29103010695847847</v>
      </c>
      <c r="F501">
        <v>9.4421849318710102E-2</v>
      </c>
      <c r="G501">
        <v>4.5221278399191549</v>
      </c>
      <c r="H501">
        <v>15.469684331739765</v>
      </c>
      <c r="I501">
        <v>4.8184495199814791E-2</v>
      </c>
      <c r="J501">
        <v>0.17664615574100007</v>
      </c>
      <c r="K501">
        <f t="shared" si="63"/>
        <v>2.6258625853405339E-3</v>
      </c>
      <c r="L501">
        <f t="shared" si="64"/>
        <v>0.46648668766081736</v>
      </c>
      <c r="M501">
        <f t="shared" si="65"/>
        <v>0.29103010695847847</v>
      </c>
      <c r="N501">
        <f t="shared" si="66"/>
        <v>9.4421849318710102E-2</v>
      </c>
      <c r="O501">
        <f t="shared" si="67"/>
        <v>4.5221278399191549</v>
      </c>
      <c r="P501">
        <f t="shared" si="68"/>
        <v>15.469684331739765</v>
      </c>
      <c r="Q501">
        <f t="shared" si="69"/>
        <v>4.8184495199814791E-2</v>
      </c>
      <c r="R501" t="str">
        <f t="shared" si="70"/>
        <v>out</v>
      </c>
      <c r="S501">
        <f t="shared" si="71"/>
        <v>1</v>
      </c>
    </row>
    <row r="502" spans="1:19" x14ac:dyDescent="0.3">
      <c r="A502" t="s">
        <v>175</v>
      </c>
      <c r="B502">
        <v>2009</v>
      </c>
      <c r="C502">
        <v>0.12836836156770481</v>
      </c>
      <c r="D502">
        <v>0.41227824871599994</v>
      </c>
      <c r="E502">
        <v>0.28507670069126223</v>
      </c>
      <c r="F502">
        <v>0</v>
      </c>
      <c r="G502">
        <v>2.8505327292056615</v>
      </c>
      <c r="H502">
        <v>15.472959473958143</v>
      </c>
      <c r="I502">
        <v>2.884948660071732E-2</v>
      </c>
      <c r="J502">
        <v>0.1584617047448956</v>
      </c>
      <c r="K502">
        <f t="shared" si="63"/>
        <v>0.12836836156770481</v>
      </c>
      <c r="L502">
        <f t="shared" si="64"/>
        <v>0.41227824871599994</v>
      </c>
      <c r="M502">
        <f t="shared" si="65"/>
        <v>0.28507670069126223</v>
      </c>
      <c r="N502">
        <f t="shared" si="66"/>
        <v>0</v>
      </c>
      <c r="O502">
        <f t="shared" si="67"/>
        <v>2.8505327292056615</v>
      </c>
      <c r="P502">
        <f t="shared" si="68"/>
        <v>15.472959473958143</v>
      </c>
      <c r="Q502">
        <f t="shared" si="69"/>
        <v>2.884948660071732E-2</v>
      </c>
      <c r="R502" t="str">
        <f t="shared" si="70"/>
        <v>out</v>
      </c>
      <c r="S502">
        <f t="shared" si="71"/>
        <v>1</v>
      </c>
    </row>
    <row r="503" spans="1:19" x14ac:dyDescent="0.3">
      <c r="A503" t="s">
        <v>175</v>
      </c>
      <c r="B503">
        <v>2010</v>
      </c>
      <c r="C503">
        <v>5.4740069039071497E-3</v>
      </c>
      <c r="D503">
        <v>0.40730531503880124</v>
      </c>
      <c r="E503">
        <v>0.28393664581848876</v>
      </c>
      <c r="F503">
        <v>8.7391822557382301E-2</v>
      </c>
      <c r="G503">
        <v>3.0017879359174384</v>
      </c>
      <c r="H503">
        <v>15.79788308649885</v>
      </c>
      <c r="I503">
        <v>1.7913323958135597E-2</v>
      </c>
      <c r="J503">
        <v>0.15903008658327672</v>
      </c>
      <c r="K503">
        <f t="shared" si="63"/>
        <v>5.4740069039071497E-3</v>
      </c>
      <c r="L503">
        <f t="shared" si="64"/>
        <v>0.40730531503880124</v>
      </c>
      <c r="M503">
        <f t="shared" si="65"/>
        <v>0.28393664581848876</v>
      </c>
      <c r="N503">
        <f t="shared" si="66"/>
        <v>8.7391822557382301E-2</v>
      </c>
      <c r="O503">
        <f t="shared" si="67"/>
        <v>3.0017879359174384</v>
      </c>
      <c r="P503">
        <f t="shared" si="68"/>
        <v>15.79788308649885</v>
      </c>
      <c r="Q503">
        <f t="shared" si="69"/>
        <v>1.7913323958135597E-2</v>
      </c>
      <c r="R503" t="str">
        <f t="shared" si="70"/>
        <v>out</v>
      </c>
      <c r="S503">
        <f t="shared" si="71"/>
        <v>1</v>
      </c>
    </row>
    <row r="504" spans="1:19" x14ac:dyDescent="0.3">
      <c r="A504" t="s">
        <v>176</v>
      </c>
      <c r="B504">
        <v>2007</v>
      </c>
      <c r="C504">
        <v>1.9902636274003474E-2</v>
      </c>
      <c r="D504">
        <v>3.3839616883421755E-2</v>
      </c>
      <c r="E504">
        <v>1.1677484858444059E-2</v>
      </c>
      <c r="F504">
        <v>0.37020957556692802</v>
      </c>
      <c r="G504">
        <v>0.72805648152495417</v>
      </c>
      <c r="H504">
        <v>13.432151305038326</v>
      </c>
      <c r="I504">
        <v>1.9668249915114761E-4</v>
      </c>
      <c r="J504">
        <v>0</v>
      </c>
      <c r="K504">
        <f t="shared" si="63"/>
        <v>1.9902636274003474E-2</v>
      </c>
      <c r="L504">
        <f t="shared" si="64"/>
        <v>3.3839616883421755E-2</v>
      </c>
      <c r="M504">
        <f t="shared" si="65"/>
        <v>1.1677484858444059E-2</v>
      </c>
      <c r="N504">
        <f t="shared" si="66"/>
        <v>0.37020957556692802</v>
      </c>
      <c r="O504">
        <f t="shared" si="67"/>
        <v>0.72805648152495417</v>
      </c>
      <c r="P504">
        <f t="shared" si="68"/>
        <v>13.432151305038326</v>
      </c>
      <c r="Q504">
        <f t="shared" si="69"/>
        <v>1.9668249915114761E-4</v>
      </c>
      <c r="R504">
        <f t="shared" si="70"/>
        <v>0</v>
      </c>
      <c r="S504">
        <f t="shared" si="71"/>
        <v>0</v>
      </c>
    </row>
    <row r="505" spans="1:19" x14ac:dyDescent="0.3">
      <c r="A505" t="s">
        <v>176</v>
      </c>
      <c r="B505">
        <v>2009</v>
      </c>
      <c r="C505">
        <v>4.2228664232985364E-3</v>
      </c>
      <c r="D505">
        <v>2.7650479454692494E-2</v>
      </c>
      <c r="E505">
        <v>0.14744045160767713</v>
      </c>
      <c r="F505">
        <v>0.31089725287931763</v>
      </c>
      <c r="G505">
        <v>0.53107126684664752</v>
      </c>
      <c r="H505">
        <v>13.531877610065285</v>
      </c>
      <c r="I505">
        <v>2.0138724188059984E-3</v>
      </c>
      <c r="J505">
        <v>0</v>
      </c>
      <c r="K505">
        <f t="shared" si="63"/>
        <v>4.2228664232985364E-3</v>
      </c>
      <c r="L505">
        <f t="shared" si="64"/>
        <v>2.7650479454692494E-2</v>
      </c>
      <c r="M505">
        <f t="shared" si="65"/>
        <v>0.14744045160767713</v>
      </c>
      <c r="N505">
        <f t="shared" si="66"/>
        <v>0.31089725287931763</v>
      </c>
      <c r="O505">
        <f t="shared" si="67"/>
        <v>0.53107126684664752</v>
      </c>
      <c r="P505">
        <f t="shared" si="68"/>
        <v>13.531877610065285</v>
      </c>
      <c r="Q505">
        <f t="shared" si="69"/>
        <v>2.0138724188059984E-3</v>
      </c>
      <c r="R505">
        <f t="shared" si="70"/>
        <v>0</v>
      </c>
      <c r="S505">
        <f t="shared" si="71"/>
        <v>0</v>
      </c>
    </row>
    <row r="506" spans="1:19" x14ac:dyDescent="0.3">
      <c r="A506" t="s">
        <v>176</v>
      </c>
      <c r="B506">
        <v>2010</v>
      </c>
      <c r="C506">
        <v>1.0907780097489512E-2</v>
      </c>
      <c r="D506">
        <v>2.7742571306102973E-2</v>
      </c>
      <c r="E506">
        <v>0.13769613727558522</v>
      </c>
      <c r="F506">
        <v>0.39746213009616083</v>
      </c>
      <c r="G506">
        <v>0.57692405453774509</v>
      </c>
      <c r="H506">
        <v>13.671096159680625</v>
      </c>
      <c r="I506">
        <v>2.4593210814582229E-2</v>
      </c>
      <c r="J506">
        <v>0</v>
      </c>
      <c r="K506">
        <f t="shared" si="63"/>
        <v>1.0907780097489512E-2</v>
      </c>
      <c r="L506">
        <f t="shared" si="64"/>
        <v>2.7742571306102973E-2</v>
      </c>
      <c r="M506">
        <f t="shared" si="65"/>
        <v>0.13769613727558522</v>
      </c>
      <c r="N506">
        <f t="shared" si="66"/>
        <v>0.39746213009616083</v>
      </c>
      <c r="O506">
        <f t="shared" si="67"/>
        <v>0.57692405453774509</v>
      </c>
      <c r="P506">
        <f t="shared" si="68"/>
        <v>13.671096159680625</v>
      </c>
      <c r="Q506">
        <f t="shared" si="69"/>
        <v>2.4593210814582229E-2</v>
      </c>
      <c r="R506">
        <f t="shared" si="70"/>
        <v>0</v>
      </c>
      <c r="S506">
        <f t="shared" si="71"/>
        <v>0</v>
      </c>
    </row>
    <row r="507" spans="1:19" x14ac:dyDescent="0.3">
      <c r="A507" t="s">
        <v>177</v>
      </c>
      <c r="B507">
        <v>2007</v>
      </c>
      <c r="C507">
        <v>9.6564725036082572E-2</v>
      </c>
      <c r="D507">
        <v>0.26013547588381097</v>
      </c>
      <c r="E507">
        <v>0.35316915205735366</v>
      </c>
      <c r="F507">
        <v>3.4869553807882737E-2</v>
      </c>
      <c r="G507">
        <v>2.1465983306957575</v>
      </c>
      <c r="H507">
        <v>13.929149016715101</v>
      </c>
      <c r="I507">
        <v>7.4498423645966705E-3</v>
      </c>
      <c r="J507">
        <v>4.4629030112991776E-2</v>
      </c>
      <c r="K507">
        <f t="shared" si="63"/>
        <v>9.6564725036082572E-2</v>
      </c>
      <c r="L507">
        <f t="shared" si="64"/>
        <v>0.26013547588381097</v>
      </c>
      <c r="M507">
        <f t="shared" si="65"/>
        <v>0.35316915205735366</v>
      </c>
      <c r="N507">
        <f t="shared" si="66"/>
        <v>3.4869553807882737E-2</v>
      </c>
      <c r="O507">
        <f t="shared" si="67"/>
        <v>2.1465983306957575</v>
      </c>
      <c r="P507">
        <f t="shared" si="68"/>
        <v>13.929149016715101</v>
      </c>
      <c r="Q507">
        <f t="shared" si="69"/>
        <v>7.4498423645966705E-3</v>
      </c>
      <c r="R507">
        <f t="shared" si="70"/>
        <v>4.4629030112991776E-2</v>
      </c>
      <c r="S507">
        <f t="shared" si="71"/>
        <v>0</v>
      </c>
    </row>
    <row r="508" spans="1:19" x14ac:dyDescent="0.3">
      <c r="A508" t="s">
        <v>177</v>
      </c>
      <c r="B508">
        <v>2009</v>
      </c>
      <c r="C508">
        <v>5.2307135711042278E-2</v>
      </c>
      <c r="D508">
        <v>0.14755110252993056</v>
      </c>
      <c r="E508">
        <v>0.37841898721559969</v>
      </c>
      <c r="F508">
        <v>2.2318616936838492E-2</v>
      </c>
      <c r="G508">
        <v>0.96674505402821209</v>
      </c>
      <c r="H508">
        <v>14.118858034724967</v>
      </c>
      <c r="I508">
        <v>1.791032859596163E-3</v>
      </c>
      <c r="J508">
        <v>2.6580329817592487E-2</v>
      </c>
      <c r="K508">
        <f t="shared" si="63"/>
        <v>5.2307135711042278E-2</v>
      </c>
      <c r="L508">
        <f t="shared" si="64"/>
        <v>0.14755110252993056</v>
      </c>
      <c r="M508">
        <f t="shared" si="65"/>
        <v>0.37841898721559969</v>
      </c>
      <c r="N508">
        <f t="shared" si="66"/>
        <v>2.2318616936838492E-2</v>
      </c>
      <c r="O508">
        <f t="shared" si="67"/>
        <v>0.96674505402821209</v>
      </c>
      <c r="P508">
        <f t="shared" si="68"/>
        <v>14.118858034724967</v>
      </c>
      <c r="Q508">
        <f t="shared" si="69"/>
        <v>1.791032859596163E-3</v>
      </c>
      <c r="R508">
        <f t="shared" si="70"/>
        <v>2.6580329817592487E-2</v>
      </c>
      <c r="S508">
        <f t="shared" si="71"/>
        <v>0</v>
      </c>
    </row>
    <row r="509" spans="1:19" x14ac:dyDescent="0.3">
      <c r="A509" t="s">
        <v>177</v>
      </c>
      <c r="B509">
        <v>2010</v>
      </c>
      <c r="C509">
        <v>6.1446056168348202E-2</v>
      </c>
      <c r="D509">
        <v>0.12973145870858865</v>
      </c>
      <c r="E509">
        <v>0.31601040598276087</v>
      </c>
      <c r="F509">
        <v>9.2732546112792399E-2</v>
      </c>
      <c r="G509">
        <v>0.90720446965734725</v>
      </c>
      <c r="H509">
        <v>14.297598995869524</v>
      </c>
      <c r="I509">
        <v>2.6845767922070649E-3</v>
      </c>
      <c r="J509">
        <v>2.2229728185998606E-2</v>
      </c>
      <c r="K509">
        <f t="shared" si="63"/>
        <v>6.1446056168348202E-2</v>
      </c>
      <c r="L509">
        <f t="shared" si="64"/>
        <v>0.12973145870858865</v>
      </c>
      <c r="M509">
        <f t="shared" si="65"/>
        <v>0.31601040598276087</v>
      </c>
      <c r="N509">
        <f t="shared" si="66"/>
        <v>9.2732546112792399E-2</v>
      </c>
      <c r="O509">
        <f t="shared" si="67"/>
        <v>0.90720446965734725</v>
      </c>
      <c r="P509">
        <f t="shared" si="68"/>
        <v>14.297598995869524</v>
      </c>
      <c r="Q509">
        <f t="shared" si="69"/>
        <v>2.6845767922070649E-3</v>
      </c>
      <c r="R509">
        <f t="shared" si="70"/>
        <v>2.2229728185998606E-2</v>
      </c>
      <c r="S509">
        <f t="shared" si="71"/>
        <v>0</v>
      </c>
    </row>
    <row r="510" spans="1:19" x14ac:dyDescent="0.3">
      <c r="A510" t="s">
        <v>178</v>
      </c>
      <c r="B510">
        <v>2007</v>
      </c>
      <c r="C510">
        <v>0.10597714172438484</v>
      </c>
      <c r="D510">
        <v>0.41758263823736991</v>
      </c>
      <c r="E510">
        <v>0.46406349596955421</v>
      </c>
      <c r="F510">
        <v>0</v>
      </c>
      <c r="G510">
        <v>4.6427754344456575</v>
      </c>
      <c r="H510">
        <v>15.359100932872567</v>
      </c>
      <c r="I510">
        <v>8.0503395717695228E-2</v>
      </c>
      <c r="J510">
        <v>0.37642949667703968</v>
      </c>
      <c r="K510">
        <f t="shared" si="63"/>
        <v>0.10597714172438484</v>
      </c>
      <c r="L510">
        <f t="shared" si="64"/>
        <v>0.41758263823736991</v>
      </c>
      <c r="M510">
        <f t="shared" si="65"/>
        <v>0.46406349596955421</v>
      </c>
      <c r="N510">
        <f t="shared" si="66"/>
        <v>0</v>
      </c>
      <c r="O510">
        <f t="shared" si="67"/>
        <v>4.6427754344456575</v>
      </c>
      <c r="P510">
        <f t="shared" si="68"/>
        <v>15.359100932872567</v>
      </c>
      <c r="Q510">
        <f t="shared" si="69"/>
        <v>8.0503395717695228E-2</v>
      </c>
      <c r="R510" t="str">
        <f t="shared" si="70"/>
        <v>out</v>
      </c>
      <c r="S510">
        <f t="shared" si="71"/>
        <v>1</v>
      </c>
    </row>
    <row r="511" spans="1:19" x14ac:dyDescent="0.3">
      <c r="A511" t="s">
        <v>178</v>
      </c>
      <c r="B511">
        <v>2008</v>
      </c>
      <c r="C511">
        <v>0.2096316325979303</v>
      </c>
      <c r="D511">
        <v>0.14909101856121618</v>
      </c>
      <c r="E511">
        <v>0.4002634428313705</v>
      </c>
      <c r="F511">
        <v>0</v>
      </c>
      <c r="G511">
        <v>2.0375999588507643</v>
      </c>
      <c r="H511">
        <v>15.428121231863436</v>
      </c>
      <c r="I511">
        <v>2.0159984933718542E-2</v>
      </c>
      <c r="J511">
        <v>9.7590277615792531E-2</v>
      </c>
      <c r="K511">
        <f t="shared" si="63"/>
        <v>0.2096316325979303</v>
      </c>
      <c r="L511">
        <f t="shared" si="64"/>
        <v>0.14909101856121618</v>
      </c>
      <c r="M511">
        <f t="shared" si="65"/>
        <v>0.4002634428313705</v>
      </c>
      <c r="N511">
        <f t="shared" si="66"/>
        <v>0</v>
      </c>
      <c r="O511">
        <f t="shared" si="67"/>
        <v>2.0375999588507643</v>
      </c>
      <c r="P511">
        <f t="shared" si="68"/>
        <v>15.428121231863436</v>
      </c>
      <c r="Q511">
        <f t="shared" si="69"/>
        <v>2.0159984933718542E-2</v>
      </c>
      <c r="R511">
        <f t="shared" si="70"/>
        <v>9.7590277615792531E-2</v>
      </c>
      <c r="S511">
        <f t="shared" si="71"/>
        <v>0</v>
      </c>
    </row>
    <row r="512" spans="1:19" x14ac:dyDescent="0.3">
      <c r="A512" t="s">
        <v>178</v>
      </c>
      <c r="B512">
        <v>2009</v>
      </c>
      <c r="C512">
        <v>0.15525676311531941</v>
      </c>
      <c r="D512">
        <v>0.21800008701649445</v>
      </c>
      <c r="E512">
        <v>0.33289771372217891</v>
      </c>
      <c r="F512">
        <v>0</v>
      </c>
      <c r="G512">
        <v>2.7380609260488713</v>
      </c>
      <c r="H512">
        <v>15.417838454030321</v>
      </c>
      <c r="I512">
        <v>5.4892503279173437E-2</v>
      </c>
      <c r="J512">
        <v>0.23663732814242344</v>
      </c>
      <c r="K512">
        <f t="shared" si="63"/>
        <v>0.15525676311531941</v>
      </c>
      <c r="L512">
        <f t="shared" si="64"/>
        <v>0.21800008701649445</v>
      </c>
      <c r="M512">
        <f t="shared" si="65"/>
        <v>0.33289771372217891</v>
      </c>
      <c r="N512">
        <f t="shared" si="66"/>
        <v>0</v>
      </c>
      <c r="O512">
        <f t="shared" si="67"/>
        <v>2.7380609260488713</v>
      </c>
      <c r="P512">
        <f t="shared" si="68"/>
        <v>15.417838454030321</v>
      </c>
      <c r="Q512">
        <f t="shared" si="69"/>
        <v>5.4892503279173437E-2</v>
      </c>
      <c r="R512" t="str">
        <f t="shared" si="70"/>
        <v>out</v>
      </c>
      <c r="S512">
        <f t="shared" si="71"/>
        <v>1</v>
      </c>
    </row>
    <row r="513" spans="1:19" x14ac:dyDescent="0.3">
      <c r="A513" t="s">
        <v>178</v>
      </c>
      <c r="B513">
        <v>2010</v>
      </c>
      <c r="C513">
        <v>0.14145551765579739</v>
      </c>
      <c r="D513">
        <v>0.34494193081988339</v>
      </c>
      <c r="E513">
        <v>0.36162707340278022</v>
      </c>
      <c r="F513">
        <v>0</v>
      </c>
      <c r="G513">
        <v>2.1799166485476613</v>
      </c>
      <c r="H513">
        <v>15.571715558477495</v>
      </c>
      <c r="I513">
        <v>1.2233209773299364E-2</v>
      </c>
      <c r="J513">
        <v>8.4536512975481398E-2</v>
      </c>
      <c r="K513">
        <f t="shared" si="63"/>
        <v>0.14145551765579739</v>
      </c>
      <c r="L513">
        <f t="shared" si="64"/>
        <v>0.34494193081988339</v>
      </c>
      <c r="M513">
        <f t="shared" si="65"/>
        <v>0.36162707340278022</v>
      </c>
      <c r="N513">
        <f t="shared" si="66"/>
        <v>0</v>
      </c>
      <c r="O513">
        <f t="shared" si="67"/>
        <v>2.1799166485476613</v>
      </c>
      <c r="P513">
        <f t="shared" si="68"/>
        <v>15.571715558477495</v>
      </c>
      <c r="Q513">
        <f t="shared" si="69"/>
        <v>1.2233209773299364E-2</v>
      </c>
      <c r="R513">
        <f t="shared" si="70"/>
        <v>8.4536512975481398E-2</v>
      </c>
      <c r="S513">
        <f t="shared" si="71"/>
        <v>0</v>
      </c>
    </row>
    <row r="514" spans="1:19" x14ac:dyDescent="0.3">
      <c r="A514" t="s">
        <v>179</v>
      </c>
      <c r="B514">
        <v>2007</v>
      </c>
      <c r="C514">
        <v>4.6254358486460222E-3</v>
      </c>
      <c r="D514">
        <v>7.7255912106597574E-2</v>
      </c>
      <c r="E514">
        <v>-0.3928685293239475</v>
      </c>
      <c r="F514">
        <v>8.1856044695677699E-2</v>
      </c>
      <c r="G514">
        <v>1.111445676432038</v>
      </c>
      <c r="H514">
        <v>12.194015246366892</v>
      </c>
      <c r="I514">
        <v>1.8620734276888127E-2</v>
      </c>
      <c r="J514">
        <v>0</v>
      </c>
      <c r="K514">
        <f t="shared" si="63"/>
        <v>4.6254358486460222E-3</v>
      </c>
      <c r="L514">
        <f t="shared" si="64"/>
        <v>7.7255912106597574E-2</v>
      </c>
      <c r="M514">
        <f t="shared" si="65"/>
        <v>-0.3928685293239475</v>
      </c>
      <c r="N514">
        <f t="shared" si="66"/>
        <v>8.1856044695677699E-2</v>
      </c>
      <c r="O514">
        <f t="shared" si="67"/>
        <v>1.111445676432038</v>
      </c>
      <c r="P514">
        <f t="shared" si="68"/>
        <v>12.194015246366892</v>
      </c>
      <c r="Q514">
        <f t="shared" si="69"/>
        <v>1.8620734276888127E-2</v>
      </c>
      <c r="R514">
        <f t="shared" si="70"/>
        <v>0</v>
      </c>
      <c r="S514">
        <f t="shared" si="71"/>
        <v>0</v>
      </c>
    </row>
    <row r="515" spans="1:19" x14ac:dyDescent="0.3">
      <c r="A515" t="s">
        <v>179</v>
      </c>
      <c r="B515">
        <v>2008</v>
      </c>
      <c r="C515">
        <v>7.8417167583654766E-3</v>
      </c>
      <c r="D515">
        <v>0.13260920643001195</v>
      </c>
      <c r="E515">
        <v>-0.55545004209660687</v>
      </c>
      <c r="F515">
        <v>0.30854365320227911</v>
      </c>
      <c r="G515">
        <v>0.99398136001409743</v>
      </c>
      <c r="H515">
        <v>12.227305621938182</v>
      </c>
      <c r="I515">
        <v>2.3393978684230588E-2</v>
      </c>
      <c r="J515">
        <v>0</v>
      </c>
      <c r="K515">
        <f t="shared" ref="K515:K578" si="72">IF(OR(C515&lt;$C$1007-3*$C$1008,C515&gt;$C$1007+3*$C$1008),"out",C515)</f>
        <v>7.8417167583654766E-3</v>
      </c>
      <c r="L515">
        <f t="shared" ref="L515:L578" si="73">IF(OR(D515&lt;$D$1007-3*$D$1008,D515&gt;$D$1007+3*$D$1008),"out",D515)</f>
        <v>0.13260920643001195</v>
      </c>
      <c r="M515">
        <f t="shared" ref="M515:M578" si="74">IF(OR(E515&lt;$E$1007-3*$E$1008,E515&gt;$E$1007+3*$E$1008),"out",E515)</f>
        <v>-0.55545004209660687</v>
      </c>
      <c r="N515">
        <f t="shared" ref="N515:N578" si="75">IF(OR(F515&lt;$F$1007-3*$F$1008,F515&gt;$F$1007+3*$F$1008),"out",F515)</f>
        <v>0.30854365320227911</v>
      </c>
      <c r="O515">
        <f t="shared" ref="O515:O578" si="76">IF(OR(G515&lt;$G$1007-3*$G$1008,G515&gt;$G$1007+3*$G$1008),"out",G515)</f>
        <v>0.99398136001409743</v>
      </c>
      <c r="P515">
        <f t="shared" ref="P515:P578" si="77">IF(OR(H515&lt;$H$1007-3*$H$1008,H515&gt;$H$1007+3*$H$1008),"out",H515)</f>
        <v>12.227305621938182</v>
      </c>
      <c r="Q515">
        <f t="shared" ref="Q515:Q578" si="78">IF(OR(I515&lt;$I$1007-3*$I$1008,I515&gt;$I$1007+3*$I$1008),"out",I515)</f>
        <v>2.3393978684230588E-2</v>
      </c>
      <c r="R515">
        <f t="shared" ref="R515:R578" si="79">IF(OR(J515&lt;$J$1007-3*$J$1008,J515&gt;$J$1007+3*$J$1008),"out",J515)</f>
        <v>0</v>
      </c>
      <c r="S515">
        <f t="shared" ref="S515:S578" si="80">IF(OR(K515="ot",L515="out",M515="out",N515="out",O515="out",P515="out",Q515="out",R515="out"),1,0)</f>
        <v>0</v>
      </c>
    </row>
    <row r="516" spans="1:19" x14ac:dyDescent="0.3">
      <c r="A516" t="s">
        <v>179</v>
      </c>
      <c r="B516">
        <v>2009</v>
      </c>
      <c r="C516">
        <v>3.2093020987274969E-3</v>
      </c>
      <c r="D516">
        <v>6.5229796760458272E-2</v>
      </c>
      <c r="E516">
        <v>-0.55861853688990337</v>
      </c>
      <c r="F516">
        <v>0.50987421291622159</v>
      </c>
      <c r="G516">
        <v>1.0482370786571655</v>
      </c>
      <c r="H516">
        <v>12.230906711530174</v>
      </c>
      <c r="I516">
        <v>4.2208443033149273E-2</v>
      </c>
      <c r="J516">
        <v>0</v>
      </c>
      <c r="K516">
        <f t="shared" si="72"/>
        <v>3.2093020987274969E-3</v>
      </c>
      <c r="L516">
        <f t="shared" si="73"/>
        <v>6.5229796760458272E-2</v>
      </c>
      <c r="M516">
        <f t="shared" si="74"/>
        <v>-0.55861853688990337</v>
      </c>
      <c r="N516">
        <f t="shared" si="75"/>
        <v>0.50987421291622159</v>
      </c>
      <c r="O516">
        <f t="shared" si="76"/>
        <v>1.0482370786571655</v>
      </c>
      <c r="P516">
        <f t="shared" si="77"/>
        <v>12.230906711530174</v>
      </c>
      <c r="Q516">
        <f t="shared" si="78"/>
        <v>4.2208443033149273E-2</v>
      </c>
      <c r="R516">
        <f t="shared" si="79"/>
        <v>0</v>
      </c>
      <c r="S516">
        <f t="shared" si="80"/>
        <v>0</v>
      </c>
    </row>
    <row r="517" spans="1:19" x14ac:dyDescent="0.3">
      <c r="A517" t="s">
        <v>179</v>
      </c>
      <c r="B517">
        <v>2010</v>
      </c>
      <c r="C517">
        <v>7.6825506068014583E-4</v>
      </c>
      <c r="D517">
        <v>0.16902011467807312</v>
      </c>
      <c r="E517">
        <v>-0.2180323867524018</v>
      </c>
      <c r="F517">
        <v>0.16812781843572067</v>
      </c>
      <c r="G517">
        <v>0.8468601975855985</v>
      </c>
      <c r="H517">
        <v>12.428884141720182</v>
      </c>
      <c r="I517">
        <v>2.23231561692026E-2</v>
      </c>
      <c r="J517">
        <v>1.3644529983954674E-2</v>
      </c>
      <c r="K517">
        <f t="shared" si="72"/>
        <v>7.6825506068014583E-4</v>
      </c>
      <c r="L517">
        <f t="shared" si="73"/>
        <v>0.16902011467807312</v>
      </c>
      <c r="M517">
        <f t="shared" si="74"/>
        <v>-0.2180323867524018</v>
      </c>
      <c r="N517">
        <f t="shared" si="75"/>
        <v>0.16812781843572067</v>
      </c>
      <c r="O517">
        <f t="shared" si="76"/>
        <v>0.8468601975855985</v>
      </c>
      <c r="P517">
        <f t="shared" si="77"/>
        <v>12.428884141720182</v>
      </c>
      <c r="Q517">
        <f t="shared" si="78"/>
        <v>2.23231561692026E-2</v>
      </c>
      <c r="R517">
        <f t="shared" si="79"/>
        <v>1.3644529983954674E-2</v>
      </c>
      <c r="S517">
        <f t="shared" si="80"/>
        <v>0</v>
      </c>
    </row>
    <row r="518" spans="1:19" x14ac:dyDescent="0.3">
      <c r="A518" t="s">
        <v>180</v>
      </c>
      <c r="B518">
        <v>2007</v>
      </c>
      <c r="C518">
        <v>6.8172521950469245E-2</v>
      </c>
      <c r="D518">
        <v>7.1500507840456667E-2</v>
      </c>
      <c r="E518">
        <v>-3.1900380416072044E-2</v>
      </c>
      <c r="F518">
        <v>0.37293727015636152</v>
      </c>
      <c r="G518">
        <v>1.2211724948085039</v>
      </c>
      <c r="H518">
        <v>14.557480759296725</v>
      </c>
      <c r="I518">
        <v>1.118954785062763E-2</v>
      </c>
      <c r="J518">
        <v>8.2587762592562439E-3</v>
      </c>
      <c r="K518">
        <f t="shared" si="72"/>
        <v>6.8172521950469245E-2</v>
      </c>
      <c r="L518">
        <f t="shared" si="73"/>
        <v>7.1500507840456667E-2</v>
      </c>
      <c r="M518">
        <f t="shared" si="74"/>
        <v>-3.1900380416072044E-2</v>
      </c>
      <c r="N518">
        <f t="shared" si="75"/>
        <v>0.37293727015636152</v>
      </c>
      <c r="O518">
        <f t="shared" si="76"/>
        <v>1.2211724948085039</v>
      </c>
      <c r="P518">
        <f t="shared" si="77"/>
        <v>14.557480759296725</v>
      </c>
      <c r="Q518">
        <f t="shared" si="78"/>
        <v>1.118954785062763E-2</v>
      </c>
      <c r="R518">
        <f t="shared" si="79"/>
        <v>8.2587762592562439E-3</v>
      </c>
      <c r="S518">
        <f t="shared" si="80"/>
        <v>0</v>
      </c>
    </row>
    <row r="519" spans="1:19" x14ac:dyDescent="0.3">
      <c r="A519" t="s">
        <v>180</v>
      </c>
      <c r="B519">
        <v>2008</v>
      </c>
      <c r="C519">
        <v>6.5934514351003795E-2</v>
      </c>
      <c r="D519">
        <v>9.2618170919971668E-2</v>
      </c>
      <c r="E519">
        <v>-3.4316082135844694E-2</v>
      </c>
      <c r="F519">
        <v>0.45144092979937878</v>
      </c>
      <c r="G519">
        <v>0.9419536513087734</v>
      </c>
      <c r="H519">
        <v>14.885806359064979</v>
      </c>
      <c r="I519">
        <v>2.8251002788223019E-2</v>
      </c>
      <c r="J519">
        <v>0</v>
      </c>
      <c r="K519">
        <f t="shared" si="72"/>
        <v>6.5934514351003795E-2</v>
      </c>
      <c r="L519">
        <f t="shared" si="73"/>
        <v>9.2618170919971668E-2</v>
      </c>
      <c r="M519">
        <f t="shared" si="74"/>
        <v>-3.4316082135844694E-2</v>
      </c>
      <c r="N519">
        <f t="shared" si="75"/>
        <v>0.45144092979937878</v>
      </c>
      <c r="O519">
        <f t="shared" si="76"/>
        <v>0.9419536513087734</v>
      </c>
      <c r="P519">
        <f t="shared" si="77"/>
        <v>14.885806359064979</v>
      </c>
      <c r="Q519">
        <f t="shared" si="78"/>
        <v>2.8251002788223019E-2</v>
      </c>
      <c r="R519">
        <f t="shared" si="79"/>
        <v>0</v>
      </c>
      <c r="S519">
        <f t="shared" si="80"/>
        <v>0</v>
      </c>
    </row>
    <row r="520" spans="1:19" x14ac:dyDescent="0.3">
      <c r="A520" t="s">
        <v>180</v>
      </c>
      <c r="B520">
        <v>2009</v>
      </c>
      <c r="C520">
        <v>5.4970288693810161E-2</v>
      </c>
      <c r="D520">
        <v>2.7067710236601223E-2</v>
      </c>
      <c r="E520">
        <v>-0.12885934787004283</v>
      </c>
      <c r="F520">
        <v>0.47995349774806495</v>
      </c>
      <c r="G520">
        <v>0.85190139166181111</v>
      </c>
      <c r="H520">
        <v>14.996991403982973</v>
      </c>
      <c r="I520">
        <v>9.8225577810155482E-3</v>
      </c>
      <c r="J520">
        <v>0</v>
      </c>
      <c r="K520">
        <f t="shared" si="72"/>
        <v>5.4970288693810161E-2</v>
      </c>
      <c r="L520">
        <f t="shared" si="73"/>
        <v>2.7067710236601223E-2</v>
      </c>
      <c r="M520">
        <f t="shared" si="74"/>
        <v>-0.12885934787004283</v>
      </c>
      <c r="N520">
        <f t="shared" si="75"/>
        <v>0.47995349774806495</v>
      </c>
      <c r="O520">
        <f t="shared" si="76"/>
        <v>0.85190139166181111</v>
      </c>
      <c r="P520">
        <f t="shared" si="77"/>
        <v>14.996991403982973</v>
      </c>
      <c r="Q520">
        <f t="shared" si="78"/>
        <v>9.8225577810155482E-3</v>
      </c>
      <c r="R520">
        <f t="shared" si="79"/>
        <v>0</v>
      </c>
      <c r="S520">
        <f t="shared" si="80"/>
        <v>0</v>
      </c>
    </row>
    <row r="521" spans="1:19" x14ac:dyDescent="0.3">
      <c r="A521" t="s">
        <v>180</v>
      </c>
      <c r="B521">
        <v>2010</v>
      </c>
      <c r="C521">
        <v>9.5654500352366417E-2</v>
      </c>
      <c r="D521">
        <v>6.1616996396305232E-2</v>
      </c>
      <c r="E521">
        <v>-6.2188124309446167E-2</v>
      </c>
      <c r="F521">
        <v>0.41455651934079868</v>
      </c>
      <c r="G521">
        <v>0.90761613127145246</v>
      </c>
      <c r="H521">
        <v>14.922038435534137</v>
      </c>
      <c r="I521">
        <v>3.8318408523327109E-3</v>
      </c>
      <c r="J521">
        <v>0</v>
      </c>
      <c r="K521">
        <f t="shared" si="72"/>
        <v>9.5654500352366417E-2</v>
      </c>
      <c r="L521">
        <f t="shared" si="73"/>
        <v>6.1616996396305232E-2</v>
      </c>
      <c r="M521">
        <f t="shared" si="74"/>
        <v>-6.2188124309446167E-2</v>
      </c>
      <c r="N521">
        <f t="shared" si="75"/>
        <v>0.41455651934079868</v>
      </c>
      <c r="O521">
        <f t="shared" si="76"/>
        <v>0.90761613127145246</v>
      </c>
      <c r="P521">
        <f t="shared" si="77"/>
        <v>14.922038435534137</v>
      </c>
      <c r="Q521">
        <f t="shared" si="78"/>
        <v>3.8318408523327109E-3</v>
      </c>
      <c r="R521">
        <f t="shared" si="79"/>
        <v>0</v>
      </c>
      <c r="S521">
        <f t="shared" si="80"/>
        <v>0</v>
      </c>
    </row>
    <row r="522" spans="1:19" x14ac:dyDescent="0.3">
      <c r="A522" t="s">
        <v>181</v>
      </c>
      <c r="B522">
        <v>2007</v>
      </c>
      <c r="C522">
        <v>6.1755230202063027E-2</v>
      </c>
      <c r="D522">
        <v>0.28091689138439752</v>
      </c>
      <c r="E522">
        <v>0.15792939738344627</v>
      </c>
      <c r="F522">
        <v>3.2286180989418004E-2</v>
      </c>
      <c r="G522">
        <v>2.1095001258993191</v>
      </c>
      <c r="H522">
        <v>13.049054777974773</v>
      </c>
      <c r="I522">
        <v>1.6253837264512971E-2</v>
      </c>
      <c r="J522">
        <v>0.10760625579728703</v>
      </c>
      <c r="K522">
        <f t="shared" si="72"/>
        <v>6.1755230202063027E-2</v>
      </c>
      <c r="L522">
        <f t="shared" si="73"/>
        <v>0.28091689138439752</v>
      </c>
      <c r="M522">
        <f t="shared" si="74"/>
        <v>0.15792939738344627</v>
      </c>
      <c r="N522">
        <f t="shared" si="75"/>
        <v>3.2286180989418004E-2</v>
      </c>
      <c r="O522">
        <f t="shared" si="76"/>
        <v>2.1095001258993191</v>
      </c>
      <c r="P522">
        <f t="shared" si="77"/>
        <v>13.049054777974773</v>
      </c>
      <c r="Q522">
        <f t="shared" si="78"/>
        <v>1.6253837264512971E-2</v>
      </c>
      <c r="R522">
        <f t="shared" si="79"/>
        <v>0.10760625579728703</v>
      </c>
      <c r="S522">
        <f t="shared" si="80"/>
        <v>0</v>
      </c>
    </row>
    <row r="523" spans="1:19" x14ac:dyDescent="0.3">
      <c r="A523" t="s">
        <v>181</v>
      </c>
      <c r="B523">
        <v>2008</v>
      </c>
      <c r="C523">
        <v>7.3711384633064231E-2</v>
      </c>
      <c r="D523">
        <v>0.2605795947515524</v>
      </c>
      <c r="E523">
        <v>0.23546601108954127</v>
      </c>
      <c r="F523">
        <v>7.2480125424271404E-3</v>
      </c>
      <c r="G523">
        <v>1.6728575063717663</v>
      </c>
      <c r="H523">
        <v>13.096647541499486</v>
      </c>
      <c r="I523">
        <v>2.3021619301602854E-2</v>
      </c>
      <c r="J523">
        <v>4.1041973626427745E-2</v>
      </c>
      <c r="K523">
        <f t="shared" si="72"/>
        <v>7.3711384633064231E-2</v>
      </c>
      <c r="L523">
        <f t="shared" si="73"/>
        <v>0.2605795947515524</v>
      </c>
      <c r="M523">
        <f t="shared" si="74"/>
        <v>0.23546601108954127</v>
      </c>
      <c r="N523">
        <f t="shared" si="75"/>
        <v>7.2480125424271404E-3</v>
      </c>
      <c r="O523">
        <f t="shared" si="76"/>
        <v>1.6728575063717663</v>
      </c>
      <c r="P523">
        <f t="shared" si="77"/>
        <v>13.096647541499486</v>
      </c>
      <c r="Q523">
        <f t="shared" si="78"/>
        <v>2.3021619301602854E-2</v>
      </c>
      <c r="R523">
        <f t="shared" si="79"/>
        <v>4.1041973626427745E-2</v>
      </c>
      <c r="S523">
        <f t="shared" si="80"/>
        <v>0</v>
      </c>
    </row>
    <row r="524" spans="1:19" x14ac:dyDescent="0.3">
      <c r="A524" t="s">
        <v>181</v>
      </c>
      <c r="B524">
        <v>2009</v>
      </c>
      <c r="C524">
        <v>0.13378224223883764</v>
      </c>
      <c r="D524">
        <v>0.32246155962724254</v>
      </c>
      <c r="E524">
        <v>0.37925031958008421</v>
      </c>
      <c r="F524">
        <v>5.420918976655845E-3</v>
      </c>
      <c r="G524">
        <v>1.6438748965783434</v>
      </c>
      <c r="H524">
        <v>13.167992359823367</v>
      </c>
      <c r="I524">
        <v>1.0101404746782144E-2</v>
      </c>
      <c r="J524">
        <v>0.15286341844641085</v>
      </c>
      <c r="K524">
        <f t="shared" si="72"/>
        <v>0.13378224223883764</v>
      </c>
      <c r="L524">
        <f t="shared" si="73"/>
        <v>0.32246155962724254</v>
      </c>
      <c r="M524">
        <f t="shared" si="74"/>
        <v>0.37925031958008421</v>
      </c>
      <c r="N524">
        <f t="shared" si="75"/>
        <v>5.420918976655845E-3</v>
      </c>
      <c r="O524">
        <f t="shared" si="76"/>
        <v>1.6438748965783434</v>
      </c>
      <c r="P524">
        <f t="shared" si="77"/>
        <v>13.167992359823367</v>
      </c>
      <c r="Q524">
        <f t="shared" si="78"/>
        <v>1.0101404746782144E-2</v>
      </c>
      <c r="R524" t="str">
        <f t="shared" si="79"/>
        <v>out</v>
      </c>
      <c r="S524">
        <f t="shared" si="80"/>
        <v>1</v>
      </c>
    </row>
    <row r="525" spans="1:19" x14ac:dyDescent="0.3">
      <c r="A525" t="s">
        <v>181</v>
      </c>
      <c r="B525">
        <v>2010</v>
      </c>
      <c r="C525">
        <v>8.8913533123570782E-2</v>
      </c>
      <c r="D525">
        <v>0.28712367393958149</v>
      </c>
      <c r="E525">
        <v>0.4055140042296384</v>
      </c>
      <c r="F525">
        <v>0</v>
      </c>
      <c r="G525">
        <v>2.1466428878458075</v>
      </c>
      <c r="H525">
        <v>13.273555399001363</v>
      </c>
      <c r="I525">
        <v>3.5565075110092756E-2</v>
      </c>
      <c r="J525">
        <v>0.15474286893279002</v>
      </c>
      <c r="K525">
        <f t="shared" si="72"/>
        <v>8.8913533123570782E-2</v>
      </c>
      <c r="L525">
        <f t="shared" si="73"/>
        <v>0.28712367393958149</v>
      </c>
      <c r="M525">
        <f t="shared" si="74"/>
        <v>0.4055140042296384</v>
      </c>
      <c r="N525">
        <f t="shared" si="75"/>
        <v>0</v>
      </c>
      <c r="O525">
        <f t="shared" si="76"/>
        <v>2.1466428878458075</v>
      </c>
      <c r="P525">
        <f t="shared" si="77"/>
        <v>13.273555399001363</v>
      </c>
      <c r="Q525">
        <f t="shared" si="78"/>
        <v>3.5565075110092756E-2</v>
      </c>
      <c r="R525" t="str">
        <f t="shared" si="79"/>
        <v>out</v>
      </c>
      <c r="S525">
        <f t="shared" si="80"/>
        <v>1</v>
      </c>
    </row>
    <row r="526" spans="1:19" x14ac:dyDescent="0.3">
      <c r="A526" t="s">
        <v>182</v>
      </c>
      <c r="B526">
        <v>2007</v>
      </c>
      <c r="C526">
        <v>0.14973044526448903</v>
      </c>
      <c r="D526">
        <v>5.0309488770401485E-2</v>
      </c>
      <c r="E526">
        <v>4.3291451897975938E-2</v>
      </c>
      <c r="F526">
        <v>6.8220642937961734E-2</v>
      </c>
      <c r="G526">
        <v>1.2685637798303544</v>
      </c>
      <c r="H526">
        <v>11.814680546465711</v>
      </c>
      <c r="I526">
        <v>8.4923005534678388E-3</v>
      </c>
      <c r="J526">
        <v>0</v>
      </c>
      <c r="K526">
        <f t="shared" si="72"/>
        <v>0.14973044526448903</v>
      </c>
      <c r="L526">
        <f t="shared" si="73"/>
        <v>5.0309488770401485E-2</v>
      </c>
      <c r="M526">
        <f t="shared" si="74"/>
        <v>4.3291451897975938E-2</v>
      </c>
      <c r="N526">
        <f t="shared" si="75"/>
        <v>6.8220642937961734E-2</v>
      </c>
      <c r="O526">
        <f t="shared" si="76"/>
        <v>1.2685637798303544</v>
      </c>
      <c r="P526">
        <f t="shared" si="77"/>
        <v>11.814680546465711</v>
      </c>
      <c r="Q526">
        <f t="shared" si="78"/>
        <v>8.4923005534678388E-3</v>
      </c>
      <c r="R526">
        <f t="shared" si="79"/>
        <v>0</v>
      </c>
      <c r="S526">
        <f t="shared" si="80"/>
        <v>0</v>
      </c>
    </row>
    <row r="527" spans="1:19" x14ac:dyDescent="0.3">
      <c r="A527" t="s">
        <v>182</v>
      </c>
      <c r="B527">
        <v>2009</v>
      </c>
      <c r="C527">
        <v>5.2635214478137737E-2</v>
      </c>
      <c r="D527">
        <v>0.1037738021229076</v>
      </c>
      <c r="E527">
        <v>0.13355667610692823</v>
      </c>
      <c r="F527">
        <v>0.38169740507932121</v>
      </c>
      <c r="G527">
        <v>1.1397964587506619</v>
      </c>
      <c r="H527">
        <v>11.372075931382099</v>
      </c>
      <c r="I527">
        <v>1.9988150145827485E-2</v>
      </c>
      <c r="J527">
        <v>0</v>
      </c>
      <c r="K527">
        <f t="shared" si="72"/>
        <v>5.2635214478137737E-2</v>
      </c>
      <c r="L527">
        <f t="shared" si="73"/>
        <v>0.1037738021229076</v>
      </c>
      <c r="M527">
        <f t="shared" si="74"/>
        <v>0.13355667610692823</v>
      </c>
      <c r="N527">
        <f t="shared" si="75"/>
        <v>0.38169740507932121</v>
      </c>
      <c r="O527">
        <f t="shared" si="76"/>
        <v>1.1397964587506619</v>
      </c>
      <c r="P527">
        <f t="shared" si="77"/>
        <v>11.372075931382099</v>
      </c>
      <c r="Q527">
        <f t="shared" si="78"/>
        <v>1.9988150145827485E-2</v>
      </c>
      <c r="R527">
        <f t="shared" si="79"/>
        <v>0</v>
      </c>
      <c r="S527">
        <f t="shared" si="80"/>
        <v>0</v>
      </c>
    </row>
    <row r="528" spans="1:19" x14ac:dyDescent="0.3">
      <c r="A528" t="s">
        <v>182</v>
      </c>
      <c r="B528">
        <v>2010</v>
      </c>
      <c r="C528">
        <v>6.3900012694602493E-2</v>
      </c>
      <c r="D528">
        <v>2.6877935626824848E-2</v>
      </c>
      <c r="E528">
        <v>9.8302385431212572E-2</v>
      </c>
      <c r="F528">
        <v>0.50524517893619236</v>
      </c>
      <c r="G528">
        <v>1.1100506630044662</v>
      </c>
      <c r="H528">
        <v>11.36964383575806</v>
      </c>
      <c r="I528">
        <v>1.4861323245957198E-2</v>
      </c>
      <c r="J528">
        <v>0</v>
      </c>
      <c r="K528">
        <f t="shared" si="72"/>
        <v>6.3900012694602493E-2</v>
      </c>
      <c r="L528">
        <f t="shared" si="73"/>
        <v>2.6877935626824848E-2</v>
      </c>
      <c r="M528">
        <f t="shared" si="74"/>
        <v>9.8302385431212572E-2</v>
      </c>
      <c r="N528">
        <f t="shared" si="75"/>
        <v>0.50524517893619236</v>
      </c>
      <c r="O528">
        <f t="shared" si="76"/>
        <v>1.1100506630044662</v>
      </c>
      <c r="P528">
        <f t="shared" si="77"/>
        <v>11.36964383575806</v>
      </c>
      <c r="Q528">
        <f t="shared" si="78"/>
        <v>1.4861323245957198E-2</v>
      </c>
      <c r="R528">
        <f t="shared" si="79"/>
        <v>0</v>
      </c>
      <c r="S528">
        <f t="shared" si="80"/>
        <v>0</v>
      </c>
    </row>
    <row r="529" spans="1:19" x14ac:dyDescent="0.3">
      <c r="A529" t="s">
        <v>183</v>
      </c>
      <c r="B529">
        <v>2007</v>
      </c>
      <c r="C529">
        <v>0.15872176266965979</v>
      </c>
      <c r="D529">
        <v>0.37115288480584036</v>
      </c>
      <c r="E529">
        <v>0.31333339621395762</v>
      </c>
      <c r="F529">
        <v>7.2242668905216897E-2</v>
      </c>
      <c r="G529">
        <v>4.734070193640882</v>
      </c>
      <c r="H529">
        <v>14.790268291548122</v>
      </c>
      <c r="I529">
        <v>9.7382816649951021E-3</v>
      </c>
      <c r="J529">
        <v>9.2285867894096457E-2</v>
      </c>
      <c r="K529">
        <f t="shared" si="72"/>
        <v>0.15872176266965979</v>
      </c>
      <c r="L529">
        <f t="shared" si="73"/>
        <v>0.37115288480584036</v>
      </c>
      <c r="M529">
        <f t="shared" si="74"/>
        <v>0.31333339621395762</v>
      </c>
      <c r="N529">
        <f t="shared" si="75"/>
        <v>7.2242668905216897E-2</v>
      </c>
      <c r="O529">
        <f t="shared" si="76"/>
        <v>4.734070193640882</v>
      </c>
      <c r="P529">
        <f t="shared" si="77"/>
        <v>14.790268291548122</v>
      </c>
      <c r="Q529">
        <f t="shared" si="78"/>
        <v>9.7382816649951021E-3</v>
      </c>
      <c r="R529">
        <f t="shared" si="79"/>
        <v>9.2285867894096457E-2</v>
      </c>
      <c r="S529">
        <f t="shared" si="80"/>
        <v>0</v>
      </c>
    </row>
    <row r="530" spans="1:19" x14ac:dyDescent="0.3">
      <c r="A530" t="s">
        <v>183</v>
      </c>
      <c r="B530">
        <v>2009</v>
      </c>
      <c r="C530">
        <v>0.26003979271245198</v>
      </c>
      <c r="D530">
        <v>0.32453850097197762</v>
      </c>
      <c r="E530">
        <v>0.41422716360184952</v>
      </c>
      <c r="F530">
        <v>7.9306266844651079E-4</v>
      </c>
      <c r="G530">
        <v>2.4425178026707814</v>
      </c>
      <c r="H530">
        <v>15.18679787457762</v>
      </c>
      <c r="I530">
        <v>2.392284649217704E-2</v>
      </c>
      <c r="J530">
        <v>6.9714395927337691E-2</v>
      </c>
      <c r="K530">
        <f t="shared" si="72"/>
        <v>0.26003979271245198</v>
      </c>
      <c r="L530">
        <f t="shared" si="73"/>
        <v>0.32453850097197762</v>
      </c>
      <c r="M530">
        <f t="shared" si="74"/>
        <v>0.41422716360184952</v>
      </c>
      <c r="N530">
        <f t="shared" si="75"/>
        <v>7.9306266844651079E-4</v>
      </c>
      <c r="O530">
        <f t="shared" si="76"/>
        <v>2.4425178026707814</v>
      </c>
      <c r="P530">
        <f t="shared" si="77"/>
        <v>15.18679787457762</v>
      </c>
      <c r="Q530">
        <f t="shared" si="78"/>
        <v>2.392284649217704E-2</v>
      </c>
      <c r="R530">
        <f t="shared" si="79"/>
        <v>6.9714395927337691E-2</v>
      </c>
      <c r="S530">
        <f t="shared" si="80"/>
        <v>0</v>
      </c>
    </row>
    <row r="531" spans="1:19" x14ac:dyDescent="0.3">
      <c r="A531" t="s">
        <v>183</v>
      </c>
      <c r="B531">
        <v>2010</v>
      </c>
      <c r="C531">
        <v>0.22636120976080656</v>
      </c>
      <c r="D531">
        <v>0.39353156200783512</v>
      </c>
      <c r="E531">
        <v>0.38833430075916919</v>
      </c>
      <c r="F531">
        <v>0</v>
      </c>
      <c r="G531">
        <v>5.5308117847030207</v>
      </c>
      <c r="H531">
        <v>15.385494289993735</v>
      </c>
      <c r="I531">
        <v>2.6589274308585247E-2</v>
      </c>
      <c r="J531">
        <v>7.7154811019084293E-2</v>
      </c>
      <c r="K531">
        <f t="shared" si="72"/>
        <v>0.22636120976080656</v>
      </c>
      <c r="L531">
        <f t="shared" si="73"/>
        <v>0.39353156200783512</v>
      </c>
      <c r="M531">
        <f t="shared" si="74"/>
        <v>0.38833430075916919</v>
      </c>
      <c r="N531">
        <f t="shared" si="75"/>
        <v>0</v>
      </c>
      <c r="O531">
        <f t="shared" si="76"/>
        <v>5.5308117847030207</v>
      </c>
      <c r="P531">
        <f t="shared" si="77"/>
        <v>15.385494289993735</v>
      </c>
      <c r="Q531">
        <f t="shared" si="78"/>
        <v>2.6589274308585247E-2</v>
      </c>
      <c r="R531">
        <f t="shared" si="79"/>
        <v>7.7154811019084293E-2</v>
      </c>
      <c r="S531">
        <f t="shared" si="80"/>
        <v>0</v>
      </c>
    </row>
    <row r="532" spans="1:19" x14ac:dyDescent="0.3">
      <c r="A532" t="s">
        <v>184</v>
      </c>
      <c r="B532">
        <v>2007</v>
      </c>
      <c r="C532">
        <v>3.7567503594722225E-2</v>
      </c>
      <c r="D532">
        <v>0.38488486160913998</v>
      </c>
      <c r="E532">
        <v>0.82180293178218322</v>
      </c>
      <c r="F532">
        <v>7.8070396157398581E-2</v>
      </c>
      <c r="G532">
        <v>1.4702952632410491</v>
      </c>
      <c r="H532">
        <v>17.190456465141963</v>
      </c>
      <c r="I532">
        <v>0.15668305167930924</v>
      </c>
      <c r="J532">
        <v>8.5070501520684103E-3</v>
      </c>
      <c r="K532">
        <f t="shared" si="72"/>
        <v>3.7567503594722225E-2</v>
      </c>
      <c r="L532">
        <f t="shared" si="73"/>
        <v>0.38488486160913998</v>
      </c>
      <c r="M532">
        <f t="shared" si="74"/>
        <v>0.82180293178218322</v>
      </c>
      <c r="N532">
        <f t="shared" si="75"/>
        <v>7.8070396157398581E-2</v>
      </c>
      <c r="O532">
        <f t="shared" si="76"/>
        <v>1.4702952632410491</v>
      </c>
      <c r="P532">
        <f t="shared" si="77"/>
        <v>17.190456465141963</v>
      </c>
      <c r="Q532">
        <f t="shared" si="78"/>
        <v>0.15668305167930924</v>
      </c>
      <c r="R532">
        <f t="shared" si="79"/>
        <v>8.5070501520684103E-3</v>
      </c>
      <c r="S532">
        <f t="shared" si="80"/>
        <v>0</v>
      </c>
    </row>
    <row r="533" spans="1:19" x14ac:dyDescent="0.3">
      <c r="A533" t="s">
        <v>184</v>
      </c>
      <c r="B533">
        <v>2008</v>
      </c>
      <c r="C533">
        <v>3.6439051835066058E-2</v>
      </c>
      <c r="D533">
        <v>8.5479829606861291E-2</v>
      </c>
      <c r="E533">
        <v>0.62373135691026271</v>
      </c>
      <c r="F533">
        <v>2.7365827888571814E-3</v>
      </c>
      <c r="G533">
        <v>1.2620079367494677</v>
      </c>
      <c r="H533">
        <v>17.059279560674145</v>
      </c>
      <c r="I533">
        <v>2.1566189640381372E-2</v>
      </c>
      <c r="J533">
        <v>1.0669391583502861E-2</v>
      </c>
      <c r="K533">
        <f t="shared" si="72"/>
        <v>3.6439051835066058E-2</v>
      </c>
      <c r="L533">
        <f t="shared" si="73"/>
        <v>8.5479829606861291E-2</v>
      </c>
      <c r="M533">
        <f t="shared" si="74"/>
        <v>0.62373135691026271</v>
      </c>
      <c r="N533">
        <f t="shared" si="75"/>
        <v>2.7365827888571814E-3</v>
      </c>
      <c r="O533">
        <f t="shared" si="76"/>
        <v>1.2620079367494677</v>
      </c>
      <c r="P533">
        <f t="shared" si="77"/>
        <v>17.059279560674145</v>
      </c>
      <c r="Q533">
        <f t="shared" si="78"/>
        <v>2.1566189640381372E-2</v>
      </c>
      <c r="R533">
        <f t="shared" si="79"/>
        <v>1.0669391583502861E-2</v>
      </c>
      <c r="S533">
        <f t="shared" si="80"/>
        <v>0</v>
      </c>
    </row>
    <row r="534" spans="1:19" x14ac:dyDescent="0.3">
      <c r="A534" t="s">
        <v>184</v>
      </c>
      <c r="B534">
        <v>2009</v>
      </c>
      <c r="C534">
        <v>9.3944393916549542E-3</v>
      </c>
      <c r="D534">
        <v>1.2269260449952255E-2</v>
      </c>
      <c r="E534">
        <v>0.10144765120945407</v>
      </c>
      <c r="F534">
        <v>0.25328468469782967</v>
      </c>
      <c r="G534">
        <v>0.99275938103058525</v>
      </c>
      <c r="H534">
        <v>17.20353515825218</v>
      </c>
      <c r="I534">
        <v>4.4617135116117444E-2</v>
      </c>
      <c r="J534">
        <v>1.4777855596139993E-2</v>
      </c>
      <c r="K534">
        <f t="shared" si="72"/>
        <v>9.3944393916549542E-3</v>
      </c>
      <c r="L534">
        <f t="shared" si="73"/>
        <v>1.2269260449952255E-2</v>
      </c>
      <c r="M534">
        <f t="shared" si="74"/>
        <v>0.10144765120945407</v>
      </c>
      <c r="N534">
        <f t="shared" si="75"/>
        <v>0.25328468469782967</v>
      </c>
      <c r="O534">
        <f t="shared" si="76"/>
        <v>0.99275938103058525</v>
      </c>
      <c r="P534">
        <f t="shared" si="77"/>
        <v>17.20353515825218</v>
      </c>
      <c r="Q534">
        <f t="shared" si="78"/>
        <v>4.4617135116117444E-2</v>
      </c>
      <c r="R534">
        <f t="shared" si="79"/>
        <v>1.4777855596139993E-2</v>
      </c>
      <c r="S534">
        <f t="shared" si="80"/>
        <v>0</v>
      </c>
    </row>
    <row r="535" spans="1:19" x14ac:dyDescent="0.3">
      <c r="A535" t="s">
        <v>184</v>
      </c>
      <c r="B535">
        <v>2010</v>
      </c>
      <c r="C535">
        <v>4.118803879505592E-2</v>
      </c>
      <c r="D535">
        <v>0.14490857223465181</v>
      </c>
      <c r="E535">
        <v>0.11103267263826898</v>
      </c>
      <c r="F535">
        <v>0.16760746713177618</v>
      </c>
      <c r="G535">
        <v>1.0496686272661093</v>
      </c>
      <c r="H535">
        <v>17.228471872433673</v>
      </c>
      <c r="I535">
        <v>7.8307531640703504E-3</v>
      </c>
      <c r="J535">
        <v>1.9819105925277157E-2</v>
      </c>
      <c r="K535">
        <f t="shared" si="72"/>
        <v>4.118803879505592E-2</v>
      </c>
      <c r="L535">
        <f t="shared" si="73"/>
        <v>0.14490857223465181</v>
      </c>
      <c r="M535">
        <f t="shared" si="74"/>
        <v>0.11103267263826898</v>
      </c>
      <c r="N535">
        <f t="shared" si="75"/>
        <v>0.16760746713177618</v>
      </c>
      <c r="O535">
        <f t="shared" si="76"/>
        <v>1.0496686272661093</v>
      </c>
      <c r="P535">
        <f t="shared" si="77"/>
        <v>17.228471872433673</v>
      </c>
      <c r="Q535">
        <f t="shared" si="78"/>
        <v>7.8307531640703504E-3</v>
      </c>
      <c r="R535">
        <f t="shared" si="79"/>
        <v>1.9819105925277157E-2</v>
      </c>
      <c r="S535">
        <f t="shared" si="80"/>
        <v>0</v>
      </c>
    </row>
    <row r="536" spans="1:19" x14ac:dyDescent="0.3">
      <c r="A536" t="s">
        <v>185</v>
      </c>
      <c r="B536">
        <v>2010</v>
      </c>
      <c r="C536">
        <v>2.0613544314118201E-2</v>
      </c>
      <c r="D536">
        <v>-5.6048231992160752E-3</v>
      </c>
      <c r="E536">
        <v>-3.2052285672411217E-2</v>
      </c>
      <c r="F536">
        <v>0.47502039595412299</v>
      </c>
      <c r="G536">
        <v>5.1098520336679556</v>
      </c>
      <c r="H536">
        <v>14.508243152595348</v>
      </c>
      <c r="I536">
        <v>1.0729097848171212E-2</v>
      </c>
      <c r="J536">
        <v>0</v>
      </c>
      <c r="K536">
        <f t="shared" si="72"/>
        <v>2.0613544314118201E-2</v>
      </c>
      <c r="L536">
        <f t="shared" si="73"/>
        <v>-5.6048231992160752E-3</v>
      </c>
      <c r="M536">
        <f t="shared" si="74"/>
        <v>-3.2052285672411217E-2</v>
      </c>
      <c r="N536">
        <f t="shared" si="75"/>
        <v>0.47502039595412299</v>
      </c>
      <c r="O536">
        <f t="shared" si="76"/>
        <v>5.1098520336679556</v>
      </c>
      <c r="P536">
        <f t="shared" si="77"/>
        <v>14.508243152595348</v>
      </c>
      <c r="Q536">
        <f t="shared" si="78"/>
        <v>1.0729097848171212E-2</v>
      </c>
      <c r="R536">
        <f t="shared" si="79"/>
        <v>0</v>
      </c>
      <c r="S536">
        <f t="shared" si="80"/>
        <v>0</v>
      </c>
    </row>
    <row r="537" spans="1:19" x14ac:dyDescent="0.3">
      <c r="A537" t="s">
        <v>186</v>
      </c>
      <c r="B537">
        <v>2007</v>
      </c>
      <c r="C537">
        <v>6.5974401633174563E-3</v>
      </c>
      <c r="D537">
        <v>0.10156015516823193</v>
      </c>
      <c r="E537">
        <v>-8.5278567102352307E-2</v>
      </c>
      <c r="F537">
        <v>0.21741029047262317</v>
      </c>
      <c r="G537">
        <v>0.78557622954311301</v>
      </c>
      <c r="H537">
        <v>16.974457976102062</v>
      </c>
      <c r="I537">
        <v>5.6505728794941569E-2</v>
      </c>
      <c r="J537">
        <v>0</v>
      </c>
      <c r="K537">
        <f t="shared" si="72"/>
        <v>6.5974401633174563E-3</v>
      </c>
      <c r="L537">
        <f t="shared" si="73"/>
        <v>0.10156015516823193</v>
      </c>
      <c r="M537">
        <f t="shared" si="74"/>
        <v>-8.5278567102352307E-2</v>
      </c>
      <c r="N537">
        <f t="shared" si="75"/>
        <v>0.21741029047262317</v>
      </c>
      <c r="O537">
        <f t="shared" si="76"/>
        <v>0.78557622954311301</v>
      </c>
      <c r="P537">
        <f t="shared" si="77"/>
        <v>16.974457976102062</v>
      </c>
      <c r="Q537">
        <f t="shared" si="78"/>
        <v>5.6505728794941569E-2</v>
      </c>
      <c r="R537">
        <f t="shared" si="79"/>
        <v>0</v>
      </c>
      <c r="S537">
        <f t="shared" si="80"/>
        <v>0</v>
      </c>
    </row>
    <row r="538" spans="1:19" x14ac:dyDescent="0.3">
      <c r="A538" t="s">
        <v>186</v>
      </c>
      <c r="B538">
        <v>2008</v>
      </c>
      <c r="C538">
        <v>4.0680366935494008E-3</v>
      </c>
      <c r="D538">
        <v>0.28497749195422706</v>
      </c>
      <c r="E538">
        <v>-0.23942495345033799</v>
      </c>
      <c r="F538">
        <v>0.34763350934853943</v>
      </c>
      <c r="G538">
        <v>0.88917459073507354</v>
      </c>
      <c r="H538">
        <v>16.882295992483847</v>
      </c>
      <c r="I538">
        <v>3.6027237398501104E-2</v>
      </c>
      <c r="J538">
        <v>0</v>
      </c>
      <c r="K538">
        <f t="shared" si="72"/>
        <v>4.0680366935494008E-3</v>
      </c>
      <c r="L538">
        <f t="shared" si="73"/>
        <v>0.28497749195422706</v>
      </c>
      <c r="M538">
        <f t="shared" si="74"/>
        <v>-0.23942495345033799</v>
      </c>
      <c r="N538">
        <f t="shared" si="75"/>
        <v>0.34763350934853943</v>
      </c>
      <c r="O538">
        <f t="shared" si="76"/>
        <v>0.88917459073507354</v>
      </c>
      <c r="P538">
        <f t="shared" si="77"/>
        <v>16.882295992483847</v>
      </c>
      <c r="Q538">
        <f t="shared" si="78"/>
        <v>3.6027237398501104E-2</v>
      </c>
      <c r="R538">
        <f t="shared" si="79"/>
        <v>0</v>
      </c>
      <c r="S538">
        <f t="shared" si="80"/>
        <v>0</v>
      </c>
    </row>
    <row r="539" spans="1:19" x14ac:dyDescent="0.3">
      <c r="A539" t="s">
        <v>186</v>
      </c>
      <c r="B539">
        <v>2009</v>
      </c>
      <c r="C539">
        <v>1.0219391688782993E-3</v>
      </c>
      <c r="D539">
        <v>0.45698351302301937</v>
      </c>
      <c r="E539">
        <v>-0.68669274897937105</v>
      </c>
      <c r="F539">
        <v>0.63511013051535026</v>
      </c>
      <c r="G539">
        <v>1.1722611515451011</v>
      </c>
      <c r="H539">
        <v>16.60170412567167</v>
      </c>
      <c r="I539">
        <v>7.1104535759056745E-2</v>
      </c>
      <c r="J539">
        <v>0</v>
      </c>
      <c r="K539">
        <f t="shared" si="72"/>
        <v>1.0219391688782993E-3</v>
      </c>
      <c r="L539">
        <f t="shared" si="73"/>
        <v>0.45698351302301937</v>
      </c>
      <c r="M539">
        <f t="shared" si="74"/>
        <v>-0.68669274897937105</v>
      </c>
      <c r="N539">
        <f t="shared" si="75"/>
        <v>0.63511013051535026</v>
      </c>
      <c r="O539">
        <f t="shared" si="76"/>
        <v>1.1722611515451011</v>
      </c>
      <c r="P539">
        <f t="shared" si="77"/>
        <v>16.60170412567167</v>
      </c>
      <c r="Q539">
        <f t="shared" si="78"/>
        <v>7.1104535759056745E-2</v>
      </c>
      <c r="R539">
        <f t="shared" si="79"/>
        <v>0</v>
      </c>
      <c r="S539">
        <f t="shared" si="80"/>
        <v>0</v>
      </c>
    </row>
    <row r="540" spans="1:19" x14ac:dyDescent="0.3">
      <c r="A540" t="s">
        <v>186</v>
      </c>
      <c r="B540">
        <v>2010</v>
      </c>
      <c r="C540">
        <v>7.4614434430289318E-4</v>
      </c>
      <c r="D540">
        <v>0.16887124437633924</v>
      </c>
      <c r="E540">
        <v>-0.80335431406025504</v>
      </c>
      <c r="F540">
        <v>0.68013991038696109</v>
      </c>
      <c r="G540">
        <v>1.2114100763885753</v>
      </c>
      <c r="H540">
        <v>16.54467572748062</v>
      </c>
      <c r="I540">
        <v>2.6445357481896872E-3</v>
      </c>
      <c r="J540">
        <v>0</v>
      </c>
      <c r="K540">
        <f t="shared" si="72"/>
        <v>7.4614434430289318E-4</v>
      </c>
      <c r="L540">
        <f t="shared" si="73"/>
        <v>0.16887124437633924</v>
      </c>
      <c r="M540">
        <f t="shared" si="74"/>
        <v>-0.80335431406025504</v>
      </c>
      <c r="N540">
        <f t="shared" si="75"/>
        <v>0.68013991038696109</v>
      </c>
      <c r="O540">
        <f t="shared" si="76"/>
        <v>1.2114100763885753</v>
      </c>
      <c r="P540">
        <f t="shared" si="77"/>
        <v>16.54467572748062</v>
      </c>
      <c r="Q540">
        <f t="shared" si="78"/>
        <v>2.6445357481896872E-3</v>
      </c>
      <c r="R540">
        <f t="shared" si="79"/>
        <v>0</v>
      </c>
      <c r="S540">
        <f t="shared" si="80"/>
        <v>0</v>
      </c>
    </row>
    <row r="541" spans="1:19" x14ac:dyDescent="0.3">
      <c r="A541" t="s">
        <v>187</v>
      </c>
      <c r="B541">
        <v>2007</v>
      </c>
      <c r="C541">
        <v>1.7235070997681522E-2</v>
      </c>
      <c r="D541">
        <v>0.10753257546089198</v>
      </c>
      <c r="E541">
        <v>0.2795357893401435</v>
      </c>
      <c r="F541">
        <v>0.28683688459636214</v>
      </c>
      <c r="G541">
        <v>0.76973060778722202</v>
      </c>
      <c r="H541">
        <v>13.206504138114742</v>
      </c>
      <c r="I541">
        <v>1.8064648192609563E-2</v>
      </c>
      <c r="J541">
        <v>0</v>
      </c>
      <c r="K541">
        <f t="shared" si="72"/>
        <v>1.7235070997681522E-2</v>
      </c>
      <c r="L541">
        <f t="shared" si="73"/>
        <v>0.10753257546089198</v>
      </c>
      <c r="M541">
        <f t="shared" si="74"/>
        <v>0.2795357893401435</v>
      </c>
      <c r="N541">
        <f t="shared" si="75"/>
        <v>0.28683688459636214</v>
      </c>
      <c r="O541">
        <f t="shared" si="76"/>
        <v>0.76973060778722202</v>
      </c>
      <c r="P541">
        <f t="shared" si="77"/>
        <v>13.206504138114742</v>
      </c>
      <c r="Q541">
        <f t="shared" si="78"/>
        <v>1.8064648192609563E-2</v>
      </c>
      <c r="R541">
        <f t="shared" si="79"/>
        <v>0</v>
      </c>
      <c r="S541">
        <f t="shared" si="80"/>
        <v>0</v>
      </c>
    </row>
    <row r="542" spans="1:19" x14ac:dyDescent="0.3">
      <c r="A542" t="s">
        <v>187</v>
      </c>
      <c r="B542">
        <v>2008</v>
      </c>
      <c r="C542">
        <v>2.7124396933270581E-2</v>
      </c>
      <c r="D542">
        <v>0.13844587768342656</v>
      </c>
      <c r="E542">
        <v>0.32028956401360742</v>
      </c>
      <c r="F542">
        <v>0.24910201121891917</v>
      </c>
      <c r="G542">
        <v>1.0781377023445058</v>
      </c>
      <c r="H542">
        <v>13.388246060356488</v>
      </c>
      <c r="I542">
        <v>3.9555916264307697E-3</v>
      </c>
      <c r="J542">
        <v>0</v>
      </c>
      <c r="K542">
        <f t="shared" si="72"/>
        <v>2.7124396933270581E-2</v>
      </c>
      <c r="L542">
        <f t="shared" si="73"/>
        <v>0.13844587768342656</v>
      </c>
      <c r="M542">
        <f t="shared" si="74"/>
        <v>0.32028956401360742</v>
      </c>
      <c r="N542">
        <f t="shared" si="75"/>
        <v>0.24910201121891917</v>
      </c>
      <c r="O542">
        <f t="shared" si="76"/>
        <v>1.0781377023445058</v>
      </c>
      <c r="P542">
        <f t="shared" si="77"/>
        <v>13.388246060356488</v>
      </c>
      <c r="Q542">
        <f t="shared" si="78"/>
        <v>3.9555916264307697E-3</v>
      </c>
      <c r="R542">
        <f t="shared" si="79"/>
        <v>0</v>
      </c>
      <c r="S542">
        <f t="shared" si="80"/>
        <v>0</v>
      </c>
    </row>
    <row r="543" spans="1:19" x14ac:dyDescent="0.3">
      <c r="A543" t="s">
        <v>187</v>
      </c>
      <c r="B543">
        <v>2009</v>
      </c>
      <c r="C543">
        <v>4.9873618516189246E-2</v>
      </c>
      <c r="D543">
        <v>0.20179577873826815</v>
      </c>
      <c r="E543">
        <v>0.54527100916916693</v>
      </c>
      <c r="F543">
        <v>3.36843707564062E-2</v>
      </c>
      <c r="G543">
        <v>0.42053228436034146</v>
      </c>
      <c r="H543">
        <v>13.120926345368208</v>
      </c>
      <c r="I543">
        <v>3.9008666123409586E-3</v>
      </c>
      <c r="J543">
        <v>2.834870874575891E-2</v>
      </c>
      <c r="K543">
        <f t="shared" si="72"/>
        <v>4.9873618516189246E-2</v>
      </c>
      <c r="L543">
        <f t="shared" si="73"/>
        <v>0.20179577873826815</v>
      </c>
      <c r="M543">
        <f t="shared" si="74"/>
        <v>0.54527100916916693</v>
      </c>
      <c r="N543">
        <f t="shared" si="75"/>
        <v>3.36843707564062E-2</v>
      </c>
      <c r="O543">
        <f t="shared" si="76"/>
        <v>0.42053228436034146</v>
      </c>
      <c r="P543">
        <f t="shared" si="77"/>
        <v>13.120926345368208</v>
      </c>
      <c r="Q543">
        <f t="shared" si="78"/>
        <v>3.9008666123409586E-3</v>
      </c>
      <c r="R543">
        <f t="shared" si="79"/>
        <v>2.834870874575891E-2</v>
      </c>
      <c r="S543">
        <f t="shared" si="80"/>
        <v>0</v>
      </c>
    </row>
    <row r="544" spans="1:19" x14ac:dyDescent="0.3">
      <c r="A544" t="s">
        <v>187</v>
      </c>
      <c r="B544">
        <v>2010</v>
      </c>
      <c r="C544">
        <v>0.10395560579717268</v>
      </c>
      <c r="D544">
        <v>0.15140167968102033</v>
      </c>
      <c r="E544">
        <v>0.40052774176901007</v>
      </c>
      <c r="F544">
        <v>0.10186675595475797</v>
      </c>
      <c r="G544">
        <v>0.66573364707038807</v>
      </c>
      <c r="H544">
        <v>13.3863816578483</v>
      </c>
      <c r="I544">
        <v>1.2707777921418303E-2</v>
      </c>
      <c r="J544">
        <v>2.1739397551130742E-2</v>
      </c>
      <c r="K544">
        <f t="shared" si="72"/>
        <v>0.10395560579717268</v>
      </c>
      <c r="L544">
        <f t="shared" si="73"/>
        <v>0.15140167968102033</v>
      </c>
      <c r="M544">
        <f t="shared" si="74"/>
        <v>0.40052774176901007</v>
      </c>
      <c r="N544">
        <f t="shared" si="75"/>
        <v>0.10186675595475797</v>
      </c>
      <c r="O544">
        <f t="shared" si="76"/>
        <v>0.66573364707038807</v>
      </c>
      <c r="P544">
        <f t="shared" si="77"/>
        <v>13.3863816578483</v>
      </c>
      <c r="Q544">
        <f t="shared" si="78"/>
        <v>1.2707777921418303E-2</v>
      </c>
      <c r="R544">
        <f t="shared" si="79"/>
        <v>2.1739397551130742E-2</v>
      </c>
      <c r="S544">
        <f t="shared" si="80"/>
        <v>0</v>
      </c>
    </row>
    <row r="545" spans="1:19" x14ac:dyDescent="0.3">
      <c r="A545" t="s">
        <v>188</v>
      </c>
      <c r="B545">
        <v>2007</v>
      </c>
      <c r="C545">
        <v>4.2391665872353421E-2</v>
      </c>
      <c r="D545">
        <v>0.12001813261860954</v>
      </c>
      <c r="E545">
        <v>0.4444542839988761</v>
      </c>
      <c r="F545">
        <v>0.33342863345108564</v>
      </c>
      <c r="G545">
        <v>1.9417579650792729</v>
      </c>
      <c r="H545">
        <v>17.457210638638539</v>
      </c>
      <c r="I545">
        <v>9.3862184618743252E-2</v>
      </c>
      <c r="J545">
        <v>3.5492737557077533E-2</v>
      </c>
      <c r="K545">
        <f t="shared" si="72"/>
        <v>4.2391665872353421E-2</v>
      </c>
      <c r="L545">
        <f t="shared" si="73"/>
        <v>0.12001813261860954</v>
      </c>
      <c r="M545">
        <f t="shared" si="74"/>
        <v>0.4444542839988761</v>
      </c>
      <c r="N545">
        <f t="shared" si="75"/>
        <v>0.33342863345108564</v>
      </c>
      <c r="O545">
        <f t="shared" si="76"/>
        <v>1.9417579650792729</v>
      </c>
      <c r="P545">
        <f t="shared" si="77"/>
        <v>17.457210638638539</v>
      </c>
      <c r="Q545">
        <f t="shared" si="78"/>
        <v>9.3862184618743252E-2</v>
      </c>
      <c r="R545">
        <f t="shared" si="79"/>
        <v>3.5492737557077533E-2</v>
      </c>
      <c r="S545">
        <f t="shared" si="80"/>
        <v>0</v>
      </c>
    </row>
    <row r="546" spans="1:19" x14ac:dyDescent="0.3">
      <c r="A546" t="s">
        <v>188</v>
      </c>
      <c r="B546">
        <v>2008</v>
      </c>
      <c r="C546">
        <v>2.9511863948158672E-2</v>
      </c>
      <c r="D546">
        <v>0.37166469001109231</v>
      </c>
      <c r="E546">
        <v>0.280812967588289</v>
      </c>
      <c r="F546">
        <v>0.25930210229771189</v>
      </c>
      <c r="G546">
        <v>0.99080440094373567</v>
      </c>
      <c r="H546">
        <v>17.861447815217005</v>
      </c>
      <c r="I546">
        <v>0.13080629305161168</v>
      </c>
      <c r="J546">
        <v>2.2337143881650541E-2</v>
      </c>
      <c r="K546">
        <f t="shared" si="72"/>
        <v>2.9511863948158672E-2</v>
      </c>
      <c r="L546">
        <f t="shared" si="73"/>
        <v>0.37166469001109231</v>
      </c>
      <c r="M546">
        <f t="shared" si="74"/>
        <v>0.280812967588289</v>
      </c>
      <c r="N546">
        <f t="shared" si="75"/>
        <v>0.25930210229771189</v>
      </c>
      <c r="O546">
        <f t="shared" si="76"/>
        <v>0.99080440094373567</v>
      </c>
      <c r="P546">
        <f t="shared" si="77"/>
        <v>17.861447815217005</v>
      </c>
      <c r="Q546">
        <f t="shared" si="78"/>
        <v>0.13080629305161168</v>
      </c>
      <c r="R546">
        <f t="shared" si="79"/>
        <v>2.2337143881650541E-2</v>
      </c>
      <c r="S546">
        <f t="shared" si="80"/>
        <v>0</v>
      </c>
    </row>
    <row r="547" spans="1:19" x14ac:dyDescent="0.3">
      <c r="A547" t="s">
        <v>188</v>
      </c>
      <c r="B547">
        <v>2009</v>
      </c>
      <c r="C547">
        <v>4.220857668573362E-2</v>
      </c>
      <c r="D547">
        <v>6.2975535078974645E-2</v>
      </c>
      <c r="E547">
        <v>4.6456387882723188E-2</v>
      </c>
      <c r="F547">
        <v>0.63570125135101119</v>
      </c>
      <c r="G547">
        <v>1.2957394362988284</v>
      </c>
      <c r="H547">
        <v>18.355709467856538</v>
      </c>
      <c r="I547">
        <v>3.5889244739409597E-3</v>
      </c>
      <c r="J547">
        <v>1.907658436709438E-2</v>
      </c>
      <c r="K547">
        <f t="shared" si="72"/>
        <v>4.220857668573362E-2</v>
      </c>
      <c r="L547">
        <f t="shared" si="73"/>
        <v>6.2975535078974645E-2</v>
      </c>
      <c r="M547">
        <f t="shared" si="74"/>
        <v>4.6456387882723188E-2</v>
      </c>
      <c r="N547">
        <f t="shared" si="75"/>
        <v>0.63570125135101119</v>
      </c>
      <c r="O547">
        <f t="shared" si="76"/>
        <v>1.2957394362988284</v>
      </c>
      <c r="P547">
        <f t="shared" si="77"/>
        <v>18.355709467856538</v>
      </c>
      <c r="Q547">
        <f t="shared" si="78"/>
        <v>3.5889244739409597E-3</v>
      </c>
      <c r="R547">
        <f t="shared" si="79"/>
        <v>1.907658436709438E-2</v>
      </c>
      <c r="S547">
        <f t="shared" si="80"/>
        <v>0</v>
      </c>
    </row>
    <row r="548" spans="1:19" x14ac:dyDescent="0.3">
      <c r="A548" t="s">
        <v>188</v>
      </c>
      <c r="B548">
        <v>2010</v>
      </c>
      <c r="C548">
        <v>2.5003457369535187E-2</v>
      </c>
      <c r="D548">
        <v>6.8302177034652564E-2</v>
      </c>
      <c r="E548">
        <v>-2.460640909528632E-2</v>
      </c>
      <c r="F548">
        <v>0.57572833612977503</v>
      </c>
      <c r="G548">
        <v>1.1784532084935473</v>
      </c>
      <c r="H548">
        <v>18.920112414463617</v>
      </c>
      <c r="I548">
        <v>2.0278799916199353E-3</v>
      </c>
      <c r="J548">
        <v>1.1933726625857609E-2</v>
      </c>
      <c r="K548">
        <f t="shared" si="72"/>
        <v>2.5003457369535187E-2</v>
      </c>
      <c r="L548">
        <f t="shared" si="73"/>
        <v>6.8302177034652564E-2</v>
      </c>
      <c r="M548">
        <f t="shared" si="74"/>
        <v>-2.460640909528632E-2</v>
      </c>
      <c r="N548">
        <f t="shared" si="75"/>
        <v>0.57572833612977503</v>
      </c>
      <c r="O548">
        <f t="shared" si="76"/>
        <v>1.1784532084935473</v>
      </c>
      <c r="P548">
        <f t="shared" si="77"/>
        <v>18.920112414463617</v>
      </c>
      <c r="Q548">
        <f t="shared" si="78"/>
        <v>2.0278799916199353E-3</v>
      </c>
      <c r="R548">
        <f t="shared" si="79"/>
        <v>1.1933726625857609E-2</v>
      </c>
      <c r="S548">
        <f t="shared" si="80"/>
        <v>0</v>
      </c>
    </row>
    <row r="549" spans="1:19" x14ac:dyDescent="0.3">
      <c r="A549" t="s">
        <v>189</v>
      </c>
      <c r="B549">
        <v>2007</v>
      </c>
      <c r="C549">
        <v>0.13084668438180291</v>
      </c>
      <c r="D549">
        <v>0.16835612071636372</v>
      </c>
      <c r="E549">
        <v>-0.23446570266148101</v>
      </c>
      <c r="F549">
        <v>0.21805485518111961</v>
      </c>
      <c r="G549">
        <v>2.0592400594905227</v>
      </c>
      <c r="H549">
        <v>17.184390339733081</v>
      </c>
      <c r="I549">
        <v>4.5787093729087597E-3</v>
      </c>
      <c r="J549">
        <v>3.2159709861309164E-2</v>
      </c>
      <c r="K549">
        <f t="shared" si="72"/>
        <v>0.13084668438180291</v>
      </c>
      <c r="L549">
        <f t="shared" si="73"/>
        <v>0.16835612071636372</v>
      </c>
      <c r="M549">
        <f t="shared" si="74"/>
        <v>-0.23446570266148101</v>
      </c>
      <c r="N549">
        <f t="shared" si="75"/>
        <v>0.21805485518111961</v>
      </c>
      <c r="O549">
        <f t="shared" si="76"/>
        <v>2.0592400594905227</v>
      </c>
      <c r="P549">
        <f t="shared" si="77"/>
        <v>17.184390339733081</v>
      </c>
      <c r="Q549">
        <f t="shared" si="78"/>
        <v>4.5787093729087597E-3</v>
      </c>
      <c r="R549">
        <f t="shared" si="79"/>
        <v>3.2159709861309164E-2</v>
      </c>
      <c r="S549">
        <f t="shared" si="80"/>
        <v>0</v>
      </c>
    </row>
    <row r="550" spans="1:19" x14ac:dyDescent="0.3">
      <c r="A550" t="s">
        <v>189</v>
      </c>
      <c r="B550">
        <v>2008</v>
      </c>
      <c r="C550">
        <v>0.16979346322691785</v>
      </c>
      <c r="D550">
        <v>0.11962255956174839</v>
      </c>
      <c r="E550">
        <v>-0.10000284146358594</v>
      </c>
      <c r="F550">
        <v>0.40008630437856285</v>
      </c>
      <c r="G550">
        <v>1.0333410538186671</v>
      </c>
      <c r="H550">
        <v>17.660788257094627</v>
      </c>
      <c r="I550">
        <v>7.8202430428539471E-3</v>
      </c>
      <c r="J550">
        <v>4.4936346191266074E-2</v>
      </c>
      <c r="K550">
        <f t="shared" si="72"/>
        <v>0.16979346322691785</v>
      </c>
      <c r="L550">
        <f t="shared" si="73"/>
        <v>0.11962255956174839</v>
      </c>
      <c r="M550">
        <f t="shared" si="74"/>
        <v>-0.10000284146358594</v>
      </c>
      <c r="N550">
        <f t="shared" si="75"/>
        <v>0.40008630437856285</v>
      </c>
      <c r="O550">
        <f t="shared" si="76"/>
        <v>1.0333410538186671</v>
      </c>
      <c r="P550">
        <f t="shared" si="77"/>
        <v>17.660788257094627</v>
      </c>
      <c r="Q550">
        <f t="shared" si="78"/>
        <v>7.8202430428539471E-3</v>
      </c>
      <c r="R550">
        <f t="shared" si="79"/>
        <v>4.4936346191266074E-2</v>
      </c>
      <c r="S550">
        <f t="shared" si="80"/>
        <v>0</v>
      </c>
    </row>
    <row r="551" spans="1:19" x14ac:dyDescent="0.3">
      <c r="A551" t="s">
        <v>189</v>
      </c>
      <c r="B551">
        <v>2009</v>
      </c>
      <c r="C551">
        <v>0.2663349213814854</v>
      </c>
      <c r="D551">
        <v>0.16311622671764631</v>
      </c>
      <c r="E551">
        <v>4.683239410639814E-2</v>
      </c>
      <c r="F551">
        <v>0.35752165441156375</v>
      </c>
      <c r="G551">
        <v>1.3796340567729928</v>
      </c>
      <c r="H551">
        <v>17.405265070312989</v>
      </c>
      <c r="I551">
        <v>5.6292041001172917E-2</v>
      </c>
      <c r="J551">
        <v>0.10314482339936898</v>
      </c>
      <c r="K551">
        <f t="shared" si="72"/>
        <v>0.2663349213814854</v>
      </c>
      <c r="L551">
        <f t="shared" si="73"/>
        <v>0.16311622671764631</v>
      </c>
      <c r="M551">
        <f t="shared" si="74"/>
        <v>4.683239410639814E-2</v>
      </c>
      <c r="N551">
        <f t="shared" si="75"/>
        <v>0.35752165441156375</v>
      </c>
      <c r="O551">
        <f t="shared" si="76"/>
        <v>1.3796340567729928</v>
      </c>
      <c r="P551">
        <f t="shared" si="77"/>
        <v>17.405265070312989</v>
      </c>
      <c r="Q551">
        <f t="shared" si="78"/>
        <v>5.6292041001172917E-2</v>
      </c>
      <c r="R551">
        <f t="shared" si="79"/>
        <v>0.10314482339936898</v>
      </c>
      <c r="S551">
        <f t="shared" si="80"/>
        <v>0</v>
      </c>
    </row>
    <row r="552" spans="1:19" x14ac:dyDescent="0.3">
      <c r="A552" t="s">
        <v>189</v>
      </c>
      <c r="B552">
        <v>2010</v>
      </c>
      <c r="C552">
        <v>0.35997435702385261</v>
      </c>
      <c r="D552">
        <v>0.31060361910881124</v>
      </c>
      <c r="E552">
        <v>8.2879744822219797E-2</v>
      </c>
      <c r="F552">
        <v>0.27003421893462054</v>
      </c>
      <c r="G552">
        <v>1.5990787294156055</v>
      </c>
      <c r="H552">
        <v>17.380412605860467</v>
      </c>
      <c r="I552">
        <v>5.5739769862450467E-2</v>
      </c>
      <c r="J552">
        <v>0.17314982978261936</v>
      </c>
      <c r="K552" t="str">
        <f t="shared" si="72"/>
        <v>out</v>
      </c>
      <c r="L552">
        <f t="shared" si="73"/>
        <v>0.31060361910881124</v>
      </c>
      <c r="M552">
        <f t="shared" si="74"/>
        <v>8.2879744822219797E-2</v>
      </c>
      <c r="N552">
        <f t="shared" si="75"/>
        <v>0.27003421893462054</v>
      </c>
      <c r="O552">
        <f t="shared" si="76"/>
        <v>1.5990787294156055</v>
      </c>
      <c r="P552">
        <f t="shared" si="77"/>
        <v>17.380412605860467</v>
      </c>
      <c r="Q552">
        <f t="shared" si="78"/>
        <v>5.5739769862450467E-2</v>
      </c>
      <c r="R552" t="str">
        <f t="shared" si="79"/>
        <v>out</v>
      </c>
      <c r="S552">
        <f t="shared" si="80"/>
        <v>1</v>
      </c>
    </row>
    <row r="553" spans="1:19" x14ac:dyDescent="0.3">
      <c r="A553" t="s">
        <v>190</v>
      </c>
      <c r="B553">
        <v>2007</v>
      </c>
      <c r="C553">
        <v>4.6167713830212384E-2</v>
      </c>
      <c r="D553">
        <v>0.38055697687517354</v>
      </c>
      <c r="E553">
        <v>0.11769590004026509</v>
      </c>
      <c r="F553">
        <v>0.14238741934585888</v>
      </c>
      <c r="G553">
        <v>2.5684283405606894</v>
      </c>
      <c r="H553">
        <v>17.191089710451838</v>
      </c>
      <c r="I553">
        <v>3.0222840599693788E-2</v>
      </c>
      <c r="J553">
        <v>0.15188384449428124</v>
      </c>
      <c r="K553">
        <f t="shared" si="72"/>
        <v>4.6167713830212384E-2</v>
      </c>
      <c r="L553">
        <f t="shared" si="73"/>
        <v>0.38055697687517354</v>
      </c>
      <c r="M553">
        <f t="shared" si="74"/>
        <v>0.11769590004026509</v>
      </c>
      <c r="N553">
        <f t="shared" si="75"/>
        <v>0.14238741934585888</v>
      </c>
      <c r="O553">
        <f t="shared" si="76"/>
        <v>2.5684283405606894</v>
      </c>
      <c r="P553">
        <f t="shared" si="77"/>
        <v>17.191089710451838</v>
      </c>
      <c r="Q553">
        <f t="shared" si="78"/>
        <v>3.0222840599693788E-2</v>
      </c>
      <c r="R553" t="str">
        <f t="shared" si="79"/>
        <v>out</v>
      </c>
      <c r="S553">
        <f t="shared" si="80"/>
        <v>1</v>
      </c>
    </row>
    <row r="554" spans="1:19" x14ac:dyDescent="0.3">
      <c r="A554" t="s">
        <v>190</v>
      </c>
      <c r="B554">
        <v>2008</v>
      </c>
      <c r="C554">
        <v>2.9194714126520964E-2</v>
      </c>
      <c r="D554">
        <v>0.46034296289638232</v>
      </c>
      <c r="E554">
        <v>0.10537247090389497</v>
      </c>
      <c r="F554">
        <v>0.1208383868861905</v>
      </c>
      <c r="G554">
        <v>1.5229214952879264</v>
      </c>
      <c r="H554">
        <v>17.278710842549483</v>
      </c>
      <c r="I554">
        <v>1.9604868332570944E-2</v>
      </c>
      <c r="J554">
        <v>0.2125780214100314</v>
      </c>
      <c r="K554">
        <f t="shared" si="72"/>
        <v>2.9194714126520964E-2</v>
      </c>
      <c r="L554">
        <f t="shared" si="73"/>
        <v>0.46034296289638232</v>
      </c>
      <c r="M554">
        <f t="shared" si="74"/>
        <v>0.10537247090389497</v>
      </c>
      <c r="N554">
        <f t="shared" si="75"/>
        <v>0.1208383868861905</v>
      </c>
      <c r="O554">
        <f t="shared" si="76"/>
        <v>1.5229214952879264</v>
      </c>
      <c r="P554">
        <f t="shared" si="77"/>
        <v>17.278710842549483</v>
      </c>
      <c r="Q554">
        <f t="shared" si="78"/>
        <v>1.9604868332570944E-2</v>
      </c>
      <c r="R554" t="str">
        <f t="shared" si="79"/>
        <v>out</v>
      </c>
      <c r="S554">
        <f t="shared" si="80"/>
        <v>1</v>
      </c>
    </row>
    <row r="555" spans="1:19" x14ac:dyDescent="0.3">
      <c r="A555" t="s">
        <v>190</v>
      </c>
      <c r="B555">
        <v>2009</v>
      </c>
      <c r="C555">
        <v>0.19234790630758153</v>
      </c>
      <c r="D555">
        <v>0.27296515288778039</v>
      </c>
      <c r="E555">
        <v>-1.8251104857846034E-2</v>
      </c>
      <c r="F555">
        <v>0.362223661200612</v>
      </c>
      <c r="G555">
        <v>1.7196273888032094</v>
      </c>
      <c r="H555">
        <v>18.066455611060309</v>
      </c>
      <c r="I555">
        <v>2.153816399370613E-2</v>
      </c>
      <c r="J555">
        <v>0.12715427132965018</v>
      </c>
      <c r="K555">
        <f t="shared" si="72"/>
        <v>0.19234790630758153</v>
      </c>
      <c r="L555">
        <f t="shared" si="73"/>
        <v>0.27296515288778039</v>
      </c>
      <c r="M555">
        <f t="shared" si="74"/>
        <v>-1.8251104857846034E-2</v>
      </c>
      <c r="N555">
        <f t="shared" si="75"/>
        <v>0.362223661200612</v>
      </c>
      <c r="O555">
        <f t="shared" si="76"/>
        <v>1.7196273888032094</v>
      </c>
      <c r="P555">
        <f t="shared" si="77"/>
        <v>18.066455611060309</v>
      </c>
      <c r="Q555">
        <f t="shared" si="78"/>
        <v>2.153816399370613E-2</v>
      </c>
      <c r="R555">
        <f t="shared" si="79"/>
        <v>0.12715427132965018</v>
      </c>
      <c r="S555">
        <f t="shared" si="80"/>
        <v>0</v>
      </c>
    </row>
    <row r="556" spans="1:19" x14ac:dyDescent="0.3">
      <c r="A556" t="s">
        <v>190</v>
      </c>
      <c r="B556">
        <v>2010</v>
      </c>
      <c r="C556">
        <v>0.19014791521423863</v>
      </c>
      <c r="D556">
        <v>0.35157228092160947</v>
      </c>
      <c r="E556">
        <v>4.8839681963280205E-3</v>
      </c>
      <c r="F556">
        <v>0.29232755098426083</v>
      </c>
      <c r="G556">
        <v>1.8395292567253119</v>
      </c>
      <c r="H556">
        <v>18.119803490076052</v>
      </c>
      <c r="I556">
        <v>7.3582029768454085E-2</v>
      </c>
      <c r="J556">
        <v>0.11917354723846574</v>
      </c>
      <c r="K556">
        <f t="shared" si="72"/>
        <v>0.19014791521423863</v>
      </c>
      <c r="L556">
        <f t="shared" si="73"/>
        <v>0.35157228092160947</v>
      </c>
      <c r="M556">
        <f t="shared" si="74"/>
        <v>4.8839681963280205E-3</v>
      </c>
      <c r="N556">
        <f t="shared" si="75"/>
        <v>0.29232755098426083</v>
      </c>
      <c r="O556">
        <f t="shared" si="76"/>
        <v>1.8395292567253119</v>
      </c>
      <c r="P556">
        <f t="shared" si="77"/>
        <v>18.119803490076052</v>
      </c>
      <c r="Q556">
        <f t="shared" si="78"/>
        <v>7.3582029768454085E-2</v>
      </c>
      <c r="R556">
        <f t="shared" si="79"/>
        <v>0.11917354723846574</v>
      </c>
      <c r="S556">
        <f t="shared" si="80"/>
        <v>0</v>
      </c>
    </row>
    <row r="557" spans="1:19" x14ac:dyDescent="0.3">
      <c r="A557" t="s">
        <v>191</v>
      </c>
      <c r="B557">
        <v>2007</v>
      </c>
      <c r="C557">
        <v>3.4210714230018854E-2</v>
      </c>
      <c r="D557">
        <v>0.24674049809539209</v>
      </c>
      <c r="E557">
        <v>0.39097196971997628</v>
      </c>
      <c r="F557">
        <v>1.7748434166884857E-2</v>
      </c>
      <c r="G557">
        <v>2.4381092713900068</v>
      </c>
      <c r="H557">
        <v>14.0130170708584</v>
      </c>
      <c r="I557">
        <v>1.3696439714298606E-2</v>
      </c>
      <c r="J557">
        <v>6.4319196034672815E-2</v>
      </c>
      <c r="K557">
        <f t="shared" si="72"/>
        <v>3.4210714230018854E-2</v>
      </c>
      <c r="L557">
        <f t="shared" si="73"/>
        <v>0.24674049809539209</v>
      </c>
      <c r="M557">
        <f t="shared" si="74"/>
        <v>0.39097196971997628</v>
      </c>
      <c r="N557">
        <f t="shared" si="75"/>
        <v>1.7748434166884857E-2</v>
      </c>
      <c r="O557">
        <f t="shared" si="76"/>
        <v>2.4381092713900068</v>
      </c>
      <c r="P557">
        <f t="shared" si="77"/>
        <v>14.0130170708584</v>
      </c>
      <c r="Q557">
        <f t="shared" si="78"/>
        <v>1.3696439714298606E-2</v>
      </c>
      <c r="R557">
        <f t="shared" si="79"/>
        <v>6.4319196034672815E-2</v>
      </c>
      <c r="S557">
        <f t="shared" si="80"/>
        <v>0</v>
      </c>
    </row>
    <row r="558" spans="1:19" x14ac:dyDescent="0.3">
      <c r="A558" t="s">
        <v>191</v>
      </c>
      <c r="B558">
        <v>2009</v>
      </c>
      <c r="C558">
        <v>2.6093593310949795E-2</v>
      </c>
      <c r="D558">
        <v>0.16801572551985827</v>
      </c>
      <c r="E558">
        <v>0.11733902847227214</v>
      </c>
      <c r="F558">
        <v>0.15412640881103706</v>
      </c>
      <c r="G558">
        <v>1.4822220853198438</v>
      </c>
      <c r="H558">
        <v>14.376881376360959</v>
      </c>
      <c r="I558">
        <v>4.9833924930121898E-3</v>
      </c>
      <c r="J558">
        <v>9.903175792921463E-3</v>
      </c>
      <c r="K558">
        <f t="shared" si="72"/>
        <v>2.6093593310949795E-2</v>
      </c>
      <c r="L558">
        <f t="shared" si="73"/>
        <v>0.16801572551985827</v>
      </c>
      <c r="M558">
        <f t="shared" si="74"/>
        <v>0.11733902847227214</v>
      </c>
      <c r="N558">
        <f t="shared" si="75"/>
        <v>0.15412640881103706</v>
      </c>
      <c r="O558">
        <f t="shared" si="76"/>
        <v>1.4822220853198438</v>
      </c>
      <c r="P558">
        <f t="shared" si="77"/>
        <v>14.376881376360959</v>
      </c>
      <c r="Q558">
        <f t="shared" si="78"/>
        <v>4.9833924930121898E-3</v>
      </c>
      <c r="R558">
        <f t="shared" si="79"/>
        <v>9.903175792921463E-3</v>
      </c>
      <c r="S558">
        <f t="shared" si="80"/>
        <v>0</v>
      </c>
    </row>
    <row r="559" spans="1:19" x14ac:dyDescent="0.3">
      <c r="A559" t="s">
        <v>191</v>
      </c>
      <c r="B559">
        <v>2010</v>
      </c>
      <c r="C559">
        <v>2.8502811532707877E-2</v>
      </c>
      <c r="D559">
        <v>0.1867271438409901</v>
      </c>
      <c r="E559">
        <v>0.16163853452168625</v>
      </c>
      <c r="F559">
        <v>5.8761411997386499E-2</v>
      </c>
      <c r="G559">
        <v>1.1678282101800439</v>
      </c>
      <c r="H559">
        <v>14.49962456195645</v>
      </c>
      <c r="I559">
        <v>3.0423800605822636E-2</v>
      </c>
      <c r="J559">
        <v>0</v>
      </c>
      <c r="K559">
        <f t="shared" si="72"/>
        <v>2.8502811532707877E-2</v>
      </c>
      <c r="L559">
        <f t="shared" si="73"/>
        <v>0.1867271438409901</v>
      </c>
      <c r="M559">
        <f t="shared" si="74"/>
        <v>0.16163853452168625</v>
      </c>
      <c r="N559">
        <f t="shared" si="75"/>
        <v>5.8761411997386499E-2</v>
      </c>
      <c r="O559">
        <f t="shared" si="76"/>
        <v>1.1678282101800439</v>
      </c>
      <c r="P559">
        <f t="shared" si="77"/>
        <v>14.49962456195645</v>
      </c>
      <c r="Q559">
        <f t="shared" si="78"/>
        <v>3.0423800605822636E-2</v>
      </c>
      <c r="R559">
        <f t="shared" si="79"/>
        <v>0</v>
      </c>
      <c r="S559">
        <f t="shared" si="80"/>
        <v>0</v>
      </c>
    </row>
    <row r="560" spans="1:19" x14ac:dyDescent="0.3">
      <c r="A560" t="s">
        <v>192</v>
      </c>
      <c r="B560">
        <v>2007</v>
      </c>
      <c r="C560">
        <v>3.8483038102878689E-3</v>
      </c>
      <c r="D560">
        <v>8.5461895596099111E-2</v>
      </c>
      <c r="E560">
        <v>3.1250667280819225E-2</v>
      </c>
      <c r="F560">
        <v>0.20094971219225008</v>
      </c>
      <c r="G560">
        <v>1.3189040846737417</v>
      </c>
      <c r="H560">
        <v>15.472817829804812</v>
      </c>
      <c r="I560">
        <v>1.5645815932142093E-3</v>
      </c>
      <c r="J560">
        <v>1.0971431229657467E-2</v>
      </c>
      <c r="K560">
        <f t="shared" si="72"/>
        <v>3.8483038102878689E-3</v>
      </c>
      <c r="L560">
        <f t="shared" si="73"/>
        <v>8.5461895596099111E-2</v>
      </c>
      <c r="M560">
        <f t="shared" si="74"/>
        <v>3.1250667280819225E-2</v>
      </c>
      <c r="N560">
        <f t="shared" si="75"/>
        <v>0.20094971219225008</v>
      </c>
      <c r="O560">
        <f t="shared" si="76"/>
        <v>1.3189040846737417</v>
      </c>
      <c r="P560">
        <f t="shared" si="77"/>
        <v>15.472817829804812</v>
      </c>
      <c r="Q560">
        <f t="shared" si="78"/>
        <v>1.5645815932142093E-3</v>
      </c>
      <c r="R560">
        <f t="shared" si="79"/>
        <v>1.0971431229657467E-2</v>
      </c>
      <c r="S560">
        <f t="shared" si="80"/>
        <v>0</v>
      </c>
    </row>
    <row r="561" spans="1:19" x14ac:dyDescent="0.3">
      <c r="A561" t="s">
        <v>192</v>
      </c>
      <c r="B561">
        <v>2008</v>
      </c>
      <c r="C561">
        <v>1.6141011876454611E-2</v>
      </c>
      <c r="D561">
        <v>8.3953913201571889E-2</v>
      </c>
      <c r="E561">
        <v>0.13104636198062342</v>
      </c>
      <c r="F561">
        <v>0.15383826341121301</v>
      </c>
      <c r="G561">
        <v>0.85650305111453895</v>
      </c>
      <c r="H561">
        <v>15.585167386892945</v>
      </c>
      <c r="I561">
        <v>2.8736223627566643E-3</v>
      </c>
      <c r="J561">
        <v>9.8055169003613829E-3</v>
      </c>
      <c r="K561">
        <f t="shared" si="72"/>
        <v>1.6141011876454611E-2</v>
      </c>
      <c r="L561">
        <f t="shared" si="73"/>
        <v>8.3953913201571889E-2</v>
      </c>
      <c r="M561">
        <f t="shared" si="74"/>
        <v>0.13104636198062342</v>
      </c>
      <c r="N561">
        <f t="shared" si="75"/>
        <v>0.15383826341121301</v>
      </c>
      <c r="O561">
        <f t="shared" si="76"/>
        <v>0.85650305111453895</v>
      </c>
      <c r="P561">
        <f t="shared" si="77"/>
        <v>15.585167386892945</v>
      </c>
      <c r="Q561">
        <f t="shared" si="78"/>
        <v>2.8736223627566643E-3</v>
      </c>
      <c r="R561">
        <f t="shared" si="79"/>
        <v>9.8055169003613829E-3</v>
      </c>
      <c r="S561">
        <f t="shared" si="80"/>
        <v>0</v>
      </c>
    </row>
    <row r="562" spans="1:19" x14ac:dyDescent="0.3">
      <c r="A562" t="s">
        <v>192</v>
      </c>
      <c r="B562">
        <v>2009</v>
      </c>
      <c r="C562">
        <v>2.1358697613084763E-2</v>
      </c>
      <c r="D562">
        <v>6.6759413989153041E-2</v>
      </c>
      <c r="E562">
        <v>9.7768479156441726E-2</v>
      </c>
      <c r="F562">
        <v>0.25740026264815968</v>
      </c>
      <c r="G562">
        <v>0.61772576670378543</v>
      </c>
      <c r="H562">
        <v>15.906504611665827</v>
      </c>
      <c r="I562">
        <v>1.1018283153233326E-3</v>
      </c>
      <c r="J562">
        <v>7.1107516215335904E-3</v>
      </c>
      <c r="K562">
        <f t="shared" si="72"/>
        <v>2.1358697613084763E-2</v>
      </c>
      <c r="L562">
        <f t="shared" si="73"/>
        <v>6.6759413989153041E-2</v>
      </c>
      <c r="M562">
        <f t="shared" si="74"/>
        <v>9.7768479156441726E-2</v>
      </c>
      <c r="N562">
        <f t="shared" si="75"/>
        <v>0.25740026264815968</v>
      </c>
      <c r="O562">
        <f t="shared" si="76"/>
        <v>0.61772576670378543</v>
      </c>
      <c r="P562">
        <f t="shared" si="77"/>
        <v>15.906504611665827</v>
      </c>
      <c r="Q562">
        <f t="shared" si="78"/>
        <v>1.1018283153233326E-3</v>
      </c>
      <c r="R562">
        <f t="shared" si="79"/>
        <v>7.1107516215335904E-3</v>
      </c>
      <c r="S562">
        <f t="shared" si="80"/>
        <v>0</v>
      </c>
    </row>
    <row r="563" spans="1:19" x14ac:dyDescent="0.3">
      <c r="A563" t="s">
        <v>192</v>
      </c>
      <c r="B563">
        <v>2010</v>
      </c>
      <c r="C563">
        <v>1.7215795755730501E-2</v>
      </c>
      <c r="D563">
        <v>7.9543644739110367E-2</v>
      </c>
      <c r="E563">
        <v>0.14320087248842189</v>
      </c>
      <c r="F563">
        <v>9.1873399325239954E-2</v>
      </c>
      <c r="G563">
        <v>0.52130448477928204</v>
      </c>
      <c r="H563">
        <v>15.885406939198326</v>
      </c>
      <c r="I563">
        <v>1.6479368029834296E-2</v>
      </c>
      <c r="J563">
        <v>9.6831121445956226E-3</v>
      </c>
      <c r="K563">
        <f t="shared" si="72"/>
        <v>1.7215795755730501E-2</v>
      </c>
      <c r="L563">
        <f t="shared" si="73"/>
        <v>7.9543644739110367E-2</v>
      </c>
      <c r="M563">
        <f t="shared" si="74"/>
        <v>0.14320087248842189</v>
      </c>
      <c r="N563">
        <f t="shared" si="75"/>
        <v>9.1873399325239954E-2</v>
      </c>
      <c r="O563">
        <f t="shared" si="76"/>
        <v>0.52130448477928204</v>
      </c>
      <c r="P563">
        <f t="shared" si="77"/>
        <v>15.885406939198326</v>
      </c>
      <c r="Q563">
        <f t="shared" si="78"/>
        <v>1.6479368029834296E-2</v>
      </c>
      <c r="R563">
        <f t="shared" si="79"/>
        <v>9.6831121445956226E-3</v>
      </c>
      <c r="S563">
        <f t="shared" si="80"/>
        <v>0</v>
      </c>
    </row>
    <row r="564" spans="1:19" x14ac:dyDescent="0.3">
      <c r="A564" t="s">
        <v>193</v>
      </c>
      <c r="B564">
        <v>2008</v>
      </c>
      <c r="C564">
        <v>0.25644580907005471</v>
      </c>
      <c r="D564">
        <v>0.30417796600199987</v>
      </c>
      <c r="E564">
        <v>0.5589916828421857</v>
      </c>
      <c r="F564">
        <v>0</v>
      </c>
      <c r="G564">
        <v>3.3042715887300744</v>
      </c>
      <c r="H564">
        <v>16.178779094574132</v>
      </c>
      <c r="I564">
        <v>4.7894836980323346E-2</v>
      </c>
      <c r="J564">
        <v>0.15259168284218574</v>
      </c>
      <c r="K564">
        <f t="shared" si="72"/>
        <v>0.25644580907005471</v>
      </c>
      <c r="L564">
        <f t="shared" si="73"/>
        <v>0.30417796600199987</v>
      </c>
      <c r="M564">
        <f t="shared" si="74"/>
        <v>0.5589916828421857</v>
      </c>
      <c r="N564">
        <f t="shared" si="75"/>
        <v>0</v>
      </c>
      <c r="O564">
        <f t="shared" si="76"/>
        <v>3.3042715887300744</v>
      </c>
      <c r="P564">
        <f t="shared" si="77"/>
        <v>16.178779094574132</v>
      </c>
      <c r="Q564">
        <f t="shared" si="78"/>
        <v>4.7894836980323346E-2</v>
      </c>
      <c r="R564" t="str">
        <f t="shared" si="79"/>
        <v>out</v>
      </c>
      <c r="S564">
        <f t="shared" si="80"/>
        <v>1</v>
      </c>
    </row>
    <row r="565" spans="1:19" x14ac:dyDescent="0.3">
      <c r="A565" t="s">
        <v>193</v>
      </c>
      <c r="B565">
        <v>2009</v>
      </c>
      <c r="C565">
        <v>0.14227469262502401</v>
      </c>
      <c r="D565">
        <v>0.13974907192257063</v>
      </c>
      <c r="E565">
        <v>0.41965994100994891</v>
      </c>
      <c r="F565">
        <v>3.1321660424971179E-4</v>
      </c>
      <c r="G565">
        <v>1.1640363724860554</v>
      </c>
      <c r="H565">
        <v>16.484882853233316</v>
      </c>
      <c r="I565">
        <v>3.8702067625144138E-3</v>
      </c>
      <c r="J565">
        <v>5.9134116855294204E-2</v>
      </c>
      <c r="K565">
        <f t="shared" si="72"/>
        <v>0.14227469262502401</v>
      </c>
      <c r="L565">
        <f t="shared" si="73"/>
        <v>0.13974907192257063</v>
      </c>
      <c r="M565">
        <f t="shared" si="74"/>
        <v>0.41965994100994891</v>
      </c>
      <c r="N565">
        <f t="shared" si="75"/>
        <v>3.1321660424971179E-4</v>
      </c>
      <c r="O565">
        <f t="shared" si="76"/>
        <v>1.1640363724860554</v>
      </c>
      <c r="P565">
        <f t="shared" si="77"/>
        <v>16.484882853233316</v>
      </c>
      <c r="Q565">
        <f t="shared" si="78"/>
        <v>3.8702067625144138E-3</v>
      </c>
      <c r="R565">
        <f t="shared" si="79"/>
        <v>5.9134116855294204E-2</v>
      </c>
      <c r="S565">
        <f t="shared" si="80"/>
        <v>0</v>
      </c>
    </row>
    <row r="566" spans="1:19" x14ac:dyDescent="0.3">
      <c r="A566" t="s">
        <v>193</v>
      </c>
      <c r="B566">
        <v>2010</v>
      </c>
      <c r="C566">
        <v>0.18861200047086318</v>
      </c>
      <c r="D566">
        <v>0.15468634783480492</v>
      </c>
      <c r="E566">
        <v>0.40964204526263082</v>
      </c>
      <c r="F566">
        <v>0</v>
      </c>
      <c r="G566">
        <v>1.7154599011173868</v>
      </c>
      <c r="H566">
        <v>16.516321216703965</v>
      </c>
      <c r="I566">
        <v>4.8038965943091524E-3</v>
      </c>
      <c r="J566">
        <v>5.2757024184922181E-2</v>
      </c>
      <c r="K566">
        <f t="shared" si="72"/>
        <v>0.18861200047086318</v>
      </c>
      <c r="L566">
        <f t="shared" si="73"/>
        <v>0.15468634783480492</v>
      </c>
      <c r="M566">
        <f t="shared" si="74"/>
        <v>0.40964204526263082</v>
      </c>
      <c r="N566">
        <f t="shared" si="75"/>
        <v>0</v>
      </c>
      <c r="O566">
        <f t="shared" si="76"/>
        <v>1.7154599011173868</v>
      </c>
      <c r="P566">
        <f t="shared" si="77"/>
        <v>16.516321216703965</v>
      </c>
      <c r="Q566">
        <f t="shared" si="78"/>
        <v>4.8038965943091524E-3</v>
      </c>
      <c r="R566">
        <f t="shared" si="79"/>
        <v>5.2757024184922181E-2</v>
      </c>
      <c r="S566">
        <f t="shared" si="80"/>
        <v>0</v>
      </c>
    </row>
    <row r="567" spans="1:19" x14ac:dyDescent="0.3">
      <c r="A567" t="s">
        <v>194</v>
      </c>
      <c r="B567">
        <v>2007</v>
      </c>
      <c r="C567">
        <v>8.8553141593911734E-3</v>
      </c>
      <c r="D567">
        <v>0.11393011045803864</v>
      </c>
      <c r="E567">
        <v>6.131728119375341E-2</v>
      </c>
      <c r="F567">
        <v>0.21230796806500518</v>
      </c>
      <c r="G567">
        <v>1.4452818211012943</v>
      </c>
      <c r="H567">
        <v>14.107411219642632</v>
      </c>
      <c r="I567">
        <v>7.1418499984189643E-4</v>
      </c>
      <c r="J567">
        <v>2.8053653181176575E-2</v>
      </c>
      <c r="K567">
        <f t="shared" si="72"/>
        <v>8.8553141593911734E-3</v>
      </c>
      <c r="L567">
        <f t="shared" si="73"/>
        <v>0.11393011045803864</v>
      </c>
      <c r="M567">
        <f t="shared" si="74"/>
        <v>6.131728119375341E-2</v>
      </c>
      <c r="N567">
        <f t="shared" si="75"/>
        <v>0.21230796806500518</v>
      </c>
      <c r="O567">
        <f t="shared" si="76"/>
        <v>1.4452818211012943</v>
      </c>
      <c r="P567">
        <f t="shared" si="77"/>
        <v>14.107411219642632</v>
      </c>
      <c r="Q567">
        <f t="shared" si="78"/>
        <v>7.1418499984189643E-4</v>
      </c>
      <c r="R567">
        <f t="shared" si="79"/>
        <v>2.8053653181176575E-2</v>
      </c>
      <c r="S567">
        <f t="shared" si="80"/>
        <v>0</v>
      </c>
    </row>
    <row r="568" spans="1:19" x14ac:dyDescent="0.3">
      <c r="A568" t="s">
        <v>194</v>
      </c>
      <c r="B568">
        <v>2008</v>
      </c>
      <c r="C568">
        <v>4.8626593421928843E-3</v>
      </c>
      <c r="D568">
        <v>0.11955313393584785</v>
      </c>
      <c r="E568">
        <v>3.0978622047804182E-2</v>
      </c>
      <c r="F568">
        <v>0.26391680503364501</v>
      </c>
      <c r="G568">
        <v>0.86193908872219371</v>
      </c>
      <c r="H568">
        <v>14.204945872679387</v>
      </c>
      <c r="I568">
        <v>3.7012521324951905E-3</v>
      </c>
      <c r="J568">
        <v>2.7991114706055698E-2</v>
      </c>
      <c r="K568">
        <f t="shared" si="72"/>
        <v>4.8626593421928843E-3</v>
      </c>
      <c r="L568">
        <f t="shared" si="73"/>
        <v>0.11955313393584785</v>
      </c>
      <c r="M568">
        <f t="shared" si="74"/>
        <v>3.0978622047804182E-2</v>
      </c>
      <c r="N568">
        <f t="shared" si="75"/>
        <v>0.26391680503364501</v>
      </c>
      <c r="O568">
        <f t="shared" si="76"/>
        <v>0.86193908872219371</v>
      </c>
      <c r="P568">
        <f t="shared" si="77"/>
        <v>14.204945872679387</v>
      </c>
      <c r="Q568">
        <f t="shared" si="78"/>
        <v>3.7012521324951905E-3</v>
      </c>
      <c r="R568">
        <f t="shared" si="79"/>
        <v>2.7991114706055698E-2</v>
      </c>
      <c r="S568">
        <f t="shared" si="80"/>
        <v>0</v>
      </c>
    </row>
    <row r="569" spans="1:19" x14ac:dyDescent="0.3">
      <c r="A569" t="s">
        <v>194</v>
      </c>
      <c r="B569">
        <v>2009</v>
      </c>
      <c r="C569">
        <v>1.8428547783242204E-2</v>
      </c>
      <c r="D569">
        <v>0.1242748595250627</v>
      </c>
      <c r="E569">
        <v>0.1149302908694584</v>
      </c>
      <c r="F569">
        <v>0.39062713876707361</v>
      </c>
      <c r="G569">
        <v>0.91821773944598084</v>
      </c>
      <c r="H569">
        <v>14.372861497351114</v>
      </c>
      <c r="I569">
        <v>1.3388779491303545E-2</v>
      </c>
      <c r="J569">
        <v>2.366439276053655E-2</v>
      </c>
      <c r="K569">
        <f t="shared" si="72"/>
        <v>1.8428547783242204E-2</v>
      </c>
      <c r="L569">
        <f t="shared" si="73"/>
        <v>0.1242748595250627</v>
      </c>
      <c r="M569">
        <f t="shared" si="74"/>
        <v>0.1149302908694584</v>
      </c>
      <c r="N569">
        <f t="shared" si="75"/>
        <v>0.39062713876707361</v>
      </c>
      <c r="O569">
        <f t="shared" si="76"/>
        <v>0.91821773944598084</v>
      </c>
      <c r="P569">
        <f t="shared" si="77"/>
        <v>14.372861497351114</v>
      </c>
      <c r="Q569">
        <f t="shared" si="78"/>
        <v>1.3388779491303545E-2</v>
      </c>
      <c r="R569">
        <f t="shared" si="79"/>
        <v>2.366439276053655E-2</v>
      </c>
      <c r="S569">
        <f t="shared" si="80"/>
        <v>0</v>
      </c>
    </row>
    <row r="570" spans="1:19" x14ac:dyDescent="0.3">
      <c r="A570" t="s">
        <v>194</v>
      </c>
      <c r="B570">
        <v>2010</v>
      </c>
      <c r="C570">
        <v>3.7582700881071428E-2</v>
      </c>
      <c r="D570">
        <v>9.852251805530686E-2</v>
      </c>
      <c r="E570">
        <v>0.14998186434530286</v>
      </c>
      <c r="F570">
        <v>0.30595251213252345</v>
      </c>
      <c r="G570">
        <v>0.85921403171673483</v>
      </c>
      <c r="H570">
        <v>14.370787805170654</v>
      </c>
      <c r="I570">
        <v>8.6968058832843174E-3</v>
      </c>
      <c r="J570">
        <v>2.3714090255873427E-2</v>
      </c>
      <c r="K570">
        <f t="shared" si="72"/>
        <v>3.7582700881071428E-2</v>
      </c>
      <c r="L570">
        <f t="shared" si="73"/>
        <v>9.852251805530686E-2</v>
      </c>
      <c r="M570">
        <f t="shared" si="74"/>
        <v>0.14998186434530286</v>
      </c>
      <c r="N570">
        <f t="shared" si="75"/>
        <v>0.30595251213252345</v>
      </c>
      <c r="O570">
        <f t="shared" si="76"/>
        <v>0.85921403171673483</v>
      </c>
      <c r="P570">
        <f t="shared" si="77"/>
        <v>14.370787805170654</v>
      </c>
      <c r="Q570">
        <f t="shared" si="78"/>
        <v>8.6968058832843174E-3</v>
      </c>
      <c r="R570">
        <f t="shared" si="79"/>
        <v>2.3714090255873427E-2</v>
      </c>
      <c r="S570">
        <f t="shared" si="80"/>
        <v>0</v>
      </c>
    </row>
    <row r="571" spans="1:19" x14ac:dyDescent="0.3">
      <c r="A571" t="s">
        <v>195</v>
      </c>
      <c r="B571">
        <v>2007</v>
      </c>
      <c r="C571">
        <v>0.19222588866672327</v>
      </c>
      <c r="D571">
        <v>0.18326505742147667</v>
      </c>
      <c r="E571">
        <v>0.20547081824906357</v>
      </c>
      <c r="F571">
        <v>0</v>
      </c>
      <c r="G571">
        <v>0.84721831965697014</v>
      </c>
      <c r="H571">
        <v>16.749701999484405</v>
      </c>
      <c r="I571">
        <v>1.4874202658403946E-3</v>
      </c>
      <c r="J571">
        <v>4.4283798437448403E-2</v>
      </c>
      <c r="K571">
        <f t="shared" si="72"/>
        <v>0.19222588866672327</v>
      </c>
      <c r="L571">
        <f t="shared" si="73"/>
        <v>0.18326505742147667</v>
      </c>
      <c r="M571">
        <f t="shared" si="74"/>
        <v>0.20547081824906357</v>
      </c>
      <c r="N571">
        <f t="shared" si="75"/>
        <v>0</v>
      </c>
      <c r="O571">
        <f t="shared" si="76"/>
        <v>0.84721831965697014</v>
      </c>
      <c r="P571">
        <f t="shared" si="77"/>
        <v>16.749701999484405</v>
      </c>
      <c r="Q571">
        <f t="shared" si="78"/>
        <v>1.4874202658403946E-3</v>
      </c>
      <c r="R571">
        <f t="shared" si="79"/>
        <v>4.4283798437448403E-2</v>
      </c>
      <c r="S571">
        <f t="shared" si="80"/>
        <v>0</v>
      </c>
    </row>
    <row r="572" spans="1:19" x14ac:dyDescent="0.3">
      <c r="A572" t="s">
        <v>195</v>
      </c>
      <c r="B572">
        <v>2009</v>
      </c>
      <c r="C572">
        <v>0.21574150904200406</v>
      </c>
      <c r="D572">
        <v>0.19126241084149576</v>
      </c>
      <c r="E572">
        <v>0.2440313323120861</v>
      </c>
      <c r="F572">
        <v>1.7096269054040444E-3</v>
      </c>
      <c r="G572">
        <v>1.4470864367305927</v>
      </c>
      <c r="H572">
        <v>16.863809332534156</v>
      </c>
      <c r="I572">
        <v>5.3142534170939892E-3</v>
      </c>
      <c r="J572">
        <v>5.2677742634023757E-2</v>
      </c>
      <c r="K572">
        <f t="shared" si="72"/>
        <v>0.21574150904200406</v>
      </c>
      <c r="L572">
        <f t="shared" si="73"/>
        <v>0.19126241084149576</v>
      </c>
      <c r="M572">
        <f t="shared" si="74"/>
        <v>0.2440313323120861</v>
      </c>
      <c r="N572">
        <f t="shared" si="75"/>
        <v>1.7096269054040444E-3</v>
      </c>
      <c r="O572">
        <f t="shared" si="76"/>
        <v>1.4470864367305927</v>
      </c>
      <c r="P572">
        <f t="shared" si="77"/>
        <v>16.863809332534156</v>
      </c>
      <c r="Q572">
        <f t="shared" si="78"/>
        <v>5.3142534170939892E-3</v>
      </c>
      <c r="R572">
        <f t="shared" si="79"/>
        <v>5.2677742634023757E-2</v>
      </c>
      <c r="S572">
        <f t="shared" si="80"/>
        <v>0</v>
      </c>
    </row>
    <row r="573" spans="1:19" x14ac:dyDescent="0.3">
      <c r="A573" t="s">
        <v>195</v>
      </c>
      <c r="B573">
        <v>2010</v>
      </c>
      <c r="C573">
        <v>0.2183051314930026</v>
      </c>
      <c r="D573">
        <v>0.22005472969801662</v>
      </c>
      <c r="E573">
        <v>0.28845004023131637</v>
      </c>
      <c r="F573">
        <v>0</v>
      </c>
      <c r="G573">
        <v>1.185279435268298</v>
      </c>
      <c r="H573">
        <v>16.893315738480332</v>
      </c>
      <c r="I573">
        <v>1.1306337151134077E-2</v>
      </c>
      <c r="J573">
        <v>0.11188216464149772</v>
      </c>
      <c r="K573">
        <f t="shared" si="72"/>
        <v>0.2183051314930026</v>
      </c>
      <c r="L573">
        <f t="shared" si="73"/>
        <v>0.22005472969801662</v>
      </c>
      <c r="M573">
        <f t="shared" si="74"/>
        <v>0.28845004023131637</v>
      </c>
      <c r="N573">
        <f t="shared" si="75"/>
        <v>0</v>
      </c>
      <c r="O573">
        <f t="shared" si="76"/>
        <v>1.185279435268298</v>
      </c>
      <c r="P573">
        <f t="shared" si="77"/>
        <v>16.893315738480332</v>
      </c>
      <c r="Q573">
        <f t="shared" si="78"/>
        <v>1.1306337151134077E-2</v>
      </c>
      <c r="R573">
        <f t="shared" si="79"/>
        <v>0.11188216464149772</v>
      </c>
      <c r="S573">
        <f t="shared" si="80"/>
        <v>0</v>
      </c>
    </row>
    <row r="574" spans="1:19" x14ac:dyDescent="0.3">
      <c r="A574" t="s">
        <v>196</v>
      </c>
      <c r="B574">
        <v>2007</v>
      </c>
      <c r="C574">
        <v>8.2440534139946835E-3</v>
      </c>
      <c r="D574">
        <v>0.1215512518055977</v>
      </c>
      <c r="E574">
        <v>-7.9454222721324394E-2</v>
      </c>
      <c r="F574">
        <v>0.23642971640229848</v>
      </c>
      <c r="G574">
        <v>0.9790120069416457</v>
      </c>
      <c r="H574">
        <v>15.077786986792697</v>
      </c>
      <c r="I574">
        <v>1.43874990816183E-2</v>
      </c>
      <c r="J574">
        <v>1.5282488306066355E-2</v>
      </c>
      <c r="K574">
        <f t="shared" si="72"/>
        <v>8.2440534139946835E-3</v>
      </c>
      <c r="L574">
        <f t="shared" si="73"/>
        <v>0.1215512518055977</v>
      </c>
      <c r="M574">
        <f t="shared" si="74"/>
        <v>-7.9454222721324394E-2</v>
      </c>
      <c r="N574">
        <f t="shared" si="75"/>
        <v>0.23642971640229848</v>
      </c>
      <c r="O574">
        <f t="shared" si="76"/>
        <v>0.9790120069416457</v>
      </c>
      <c r="P574">
        <f t="shared" si="77"/>
        <v>15.077786986792697</v>
      </c>
      <c r="Q574">
        <f t="shared" si="78"/>
        <v>1.43874990816183E-2</v>
      </c>
      <c r="R574">
        <f t="shared" si="79"/>
        <v>1.5282488306066355E-2</v>
      </c>
      <c r="S574">
        <f t="shared" si="80"/>
        <v>0</v>
      </c>
    </row>
    <row r="575" spans="1:19" x14ac:dyDescent="0.3">
      <c r="A575" t="s">
        <v>196</v>
      </c>
      <c r="B575">
        <v>2008</v>
      </c>
      <c r="C575">
        <v>1.1704394640825847E-2</v>
      </c>
      <c r="D575">
        <v>7.8403602956362964E-2</v>
      </c>
      <c r="E575">
        <v>4.1398076318760343E-2</v>
      </c>
      <c r="F575">
        <v>9.894007610047921E-2</v>
      </c>
      <c r="G575">
        <v>0.93638093322917715</v>
      </c>
      <c r="H575">
        <v>15.065673291634436</v>
      </c>
      <c r="I575">
        <v>1.7045244328282735E-2</v>
      </c>
      <c r="J575">
        <v>1.5468741540531969E-2</v>
      </c>
      <c r="K575">
        <f t="shared" si="72"/>
        <v>1.1704394640825847E-2</v>
      </c>
      <c r="L575">
        <f t="shared" si="73"/>
        <v>7.8403602956362964E-2</v>
      </c>
      <c r="M575">
        <f t="shared" si="74"/>
        <v>4.1398076318760343E-2</v>
      </c>
      <c r="N575">
        <f t="shared" si="75"/>
        <v>9.894007610047921E-2</v>
      </c>
      <c r="O575">
        <f t="shared" si="76"/>
        <v>0.93638093322917715</v>
      </c>
      <c r="P575">
        <f t="shared" si="77"/>
        <v>15.065673291634436</v>
      </c>
      <c r="Q575">
        <f t="shared" si="78"/>
        <v>1.7045244328282735E-2</v>
      </c>
      <c r="R575">
        <f t="shared" si="79"/>
        <v>1.5468741540531969E-2</v>
      </c>
      <c r="S575">
        <f t="shared" si="80"/>
        <v>0</v>
      </c>
    </row>
    <row r="576" spans="1:19" x14ac:dyDescent="0.3">
      <c r="A576" t="s">
        <v>196</v>
      </c>
      <c r="B576">
        <v>2009</v>
      </c>
      <c r="C576">
        <v>6.7477376588401502E-3</v>
      </c>
      <c r="D576">
        <v>0.11937668365529029</v>
      </c>
      <c r="E576">
        <v>5.542802697566928E-2</v>
      </c>
      <c r="F576">
        <v>0.36807770467912587</v>
      </c>
      <c r="G576">
        <v>0.85054830780625168</v>
      </c>
      <c r="H576">
        <v>15.183221563174436</v>
      </c>
      <c r="I576">
        <v>1.2622779126098846E-2</v>
      </c>
      <c r="J576">
        <v>1.3753220864247306E-2</v>
      </c>
      <c r="K576">
        <f t="shared" si="72"/>
        <v>6.7477376588401502E-3</v>
      </c>
      <c r="L576">
        <f t="shared" si="73"/>
        <v>0.11937668365529029</v>
      </c>
      <c r="M576">
        <f t="shared" si="74"/>
        <v>5.542802697566928E-2</v>
      </c>
      <c r="N576">
        <f t="shared" si="75"/>
        <v>0.36807770467912587</v>
      </c>
      <c r="O576">
        <f t="shared" si="76"/>
        <v>0.85054830780625168</v>
      </c>
      <c r="P576">
        <f t="shared" si="77"/>
        <v>15.183221563174436</v>
      </c>
      <c r="Q576">
        <f t="shared" si="78"/>
        <v>1.2622779126098846E-2</v>
      </c>
      <c r="R576">
        <f t="shared" si="79"/>
        <v>1.3753220864247306E-2</v>
      </c>
      <c r="S576">
        <f t="shared" si="80"/>
        <v>0</v>
      </c>
    </row>
    <row r="577" spans="1:19" x14ac:dyDescent="0.3">
      <c r="A577" t="s">
        <v>196</v>
      </c>
      <c r="B577">
        <v>2010</v>
      </c>
      <c r="C577">
        <v>3.9683102121302631E-3</v>
      </c>
      <c r="D577">
        <v>9.1756382500883263E-2</v>
      </c>
      <c r="E577">
        <v>6.1443223837795866E-2</v>
      </c>
      <c r="F577">
        <v>0.34612200047777436</v>
      </c>
      <c r="G577">
        <v>0.88346751301960857</v>
      </c>
      <c r="H577">
        <v>15.171472765383452</v>
      </c>
      <c r="I577">
        <v>4.5133917267848635E-3</v>
      </c>
      <c r="J577">
        <v>4.6385858704035806E-3</v>
      </c>
      <c r="K577">
        <f t="shared" si="72"/>
        <v>3.9683102121302631E-3</v>
      </c>
      <c r="L577">
        <f t="shared" si="73"/>
        <v>9.1756382500883263E-2</v>
      </c>
      <c r="M577">
        <f t="shared" si="74"/>
        <v>6.1443223837795866E-2</v>
      </c>
      <c r="N577">
        <f t="shared" si="75"/>
        <v>0.34612200047777436</v>
      </c>
      <c r="O577">
        <f t="shared" si="76"/>
        <v>0.88346751301960857</v>
      </c>
      <c r="P577">
        <f t="shared" si="77"/>
        <v>15.171472765383452</v>
      </c>
      <c r="Q577">
        <f t="shared" si="78"/>
        <v>4.5133917267848635E-3</v>
      </c>
      <c r="R577">
        <f t="shared" si="79"/>
        <v>4.6385858704035806E-3</v>
      </c>
      <c r="S577">
        <f t="shared" si="80"/>
        <v>0</v>
      </c>
    </row>
    <row r="578" spans="1:19" x14ac:dyDescent="0.3">
      <c r="A578" t="s">
        <v>197</v>
      </c>
      <c r="B578">
        <v>2007</v>
      </c>
      <c r="C578">
        <v>4.2968750000000003E-3</v>
      </c>
      <c r="D578">
        <v>5.5037588443396228E-2</v>
      </c>
      <c r="E578">
        <v>0.15318027712264151</v>
      </c>
      <c r="F578">
        <v>0.22543853183962265</v>
      </c>
      <c r="G578">
        <v>1.2989464180424528</v>
      </c>
      <c r="H578">
        <v>12.511201631585676</v>
      </c>
      <c r="I578">
        <v>7.6259622084074215E-3</v>
      </c>
      <c r="J578">
        <v>0</v>
      </c>
      <c r="K578">
        <f t="shared" si="72"/>
        <v>4.2968750000000003E-3</v>
      </c>
      <c r="L578">
        <f t="shared" si="73"/>
        <v>5.5037588443396228E-2</v>
      </c>
      <c r="M578">
        <f t="shared" si="74"/>
        <v>0.15318027712264151</v>
      </c>
      <c r="N578">
        <f t="shared" si="75"/>
        <v>0.22543853183962265</v>
      </c>
      <c r="O578">
        <f t="shared" si="76"/>
        <v>1.2989464180424528</v>
      </c>
      <c r="P578">
        <f t="shared" si="77"/>
        <v>12.511201631585676</v>
      </c>
      <c r="Q578">
        <f t="shared" si="78"/>
        <v>7.6259622084074215E-3</v>
      </c>
      <c r="R578">
        <f t="shared" si="79"/>
        <v>0</v>
      </c>
      <c r="S578">
        <f t="shared" si="80"/>
        <v>0</v>
      </c>
    </row>
    <row r="579" spans="1:19" x14ac:dyDescent="0.3">
      <c r="A579" t="s">
        <v>197</v>
      </c>
      <c r="B579">
        <v>2009</v>
      </c>
      <c r="C579">
        <v>3.2405538116883964E-3</v>
      </c>
      <c r="D579">
        <v>0.10204618570665694</v>
      </c>
      <c r="E579">
        <v>0.17033486591036379</v>
      </c>
      <c r="F579">
        <v>0.22869088398869453</v>
      </c>
      <c r="G579">
        <v>0.92890448962579941</v>
      </c>
      <c r="H579">
        <v>12.858098307550357</v>
      </c>
      <c r="I579">
        <v>2.6053645099111039E-2</v>
      </c>
      <c r="J579">
        <v>2.3444521145655602E-2</v>
      </c>
      <c r="K579">
        <f t="shared" ref="K579:K642" si="81">IF(OR(C579&lt;$C$1007-3*$C$1008,C579&gt;$C$1007+3*$C$1008),"out",C579)</f>
        <v>3.2405538116883964E-3</v>
      </c>
      <c r="L579">
        <f t="shared" ref="L579:L642" si="82">IF(OR(D579&lt;$D$1007-3*$D$1008,D579&gt;$D$1007+3*$D$1008),"out",D579)</f>
        <v>0.10204618570665694</v>
      </c>
      <c r="M579">
        <f t="shared" ref="M579:M642" si="83">IF(OR(E579&lt;$E$1007-3*$E$1008,E579&gt;$E$1007+3*$E$1008),"out",E579)</f>
        <v>0.17033486591036379</v>
      </c>
      <c r="N579">
        <f t="shared" ref="N579:N642" si="84">IF(OR(F579&lt;$F$1007-3*$F$1008,F579&gt;$F$1007+3*$F$1008),"out",F579)</f>
        <v>0.22869088398869453</v>
      </c>
      <c r="O579">
        <f t="shared" ref="O579:O642" si="85">IF(OR(G579&lt;$G$1007-3*$G$1008,G579&gt;$G$1007+3*$G$1008),"out",G579)</f>
        <v>0.92890448962579941</v>
      </c>
      <c r="P579">
        <f t="shared" ref="P579:P642" si="86">IF(OR(H579&lt;$H$1007-3*$H$1008,H579&gt;$H$1007+3*$H$1008),"out",H579)</f>
        <v>12.858098307550357</v>
      </c>
      <c r="Q579">
        <f t="shared" ref="Q579:Q642" si="87">IF(OR(I579&lt;$I$1007-3*$I$1008,I579&gt;$I$1007+3*$I$1008),"out",I579)</f>
        <v>2.6053645099111039E-2</v>
      </c>
      <c r="R579">
        <f t="shared" ref="R579:R642" si="88">IF(OR(J579&lt;$J$1007-3*$J$1008,J579&gt;$J$1007+3*$J$1008),"out",J579)</f>
        <v>2.3444521145655602E-2</v>
      </c>
      <c r="S579">
        <f t="shared" ref="S579:S642" si="89">IF(OR(K579="ot",L579="out",M579="out",N579="out",O579="out",P579="out",Q579="out",R579="out"),1,0)</f>
        <v>0</v>
      </c>
    </row>
    <row r="580" spans="1:19" x14ac:dyDescent="0.3">
      <c r="A580" t="s">
        <v>197</v>
      </c>
      <c r="B580">
        <v>2010</v>
      </c>
      <c r="C580">
        <v>3.0911224604240582E-3</v>
      </c>
      <c r="D580">
        <v>2.9294540202372779E-2</v>
      </c>
      <c r="E580">
        <v>9.9345393270106663E-2</v>
      </c>
      <c r="F580">
        <v>0.22473007388603333</v>
      </c>
      <c r="G580">
        <v>0.71979965149645886</v>
      </c>
      <c r="H580">
        <v>12.809193909939617</v>
      </c>
      <c r="I580">
        <v>3.9342197902278615E-4</v>
      </c>
      <c r="J580">
        <v>0</v>
      </c>
      <c r="K580">
        <f t="shared" si="81"/>
        <v>3.0911224604240582E-3</v>
      </c>
      <c r="L580">
        <f t="shared" si="82"/>
        <v>2.9294540202372779E-2</v>
      </c>
      <c r="M580">
        <f t="shared" si="83"/>
        <v>9.9345393270106663E-2</v>
      </c>
      <c r="N580">
        <f t="shared" si="84"/>
        <v>0.22473007388603333</v>
      </c>
      <c r="O580">
        <f t="shared" si="85"/>
        <v>0.71979965149645886</v>
      </c>
      <c r="P580">
        <f t="shared" si="86"/>
        <v>12.809193909939617</v>
      </c>
      <c r="Q580">
        <f t="shared" si="87"/>
        <v>3.9342197902278615E-4</v>
      </c>
      <c r="R580">
        <f t="shared" si="88"/>
        <v>0</v>
      </c>
      <c r="S580">
        <f t="shared" si="89"/>
        <v>0</v>
      </c>
    </row>
    <row r="581" spans="1:19" x14ac:dyDescent="0.3">
      <c r="A581" t="s">
        <v>198</v>
      </c>
      <c r="B581">
        <v>2010</v>
      </c>
      <c r="C581">
        <v>0.30361734496049525</v>
      </c>
      <c r="D581">
        <v>0.349514903937513</v>
      </c>
      <c r="E581">
        <v>0.25669812180839785</v>
      </c>
      <c r="F581">
        <v>0.15103301087327836</v>
      </c>
      <c r="G581">
        <v>0.70855145612298809</v>
      </c>
      <c r="H581">
        <v>16.940511871962141</v>
      </c>
      <c r="I581">
        <v>2.2627747576986709E-2</v>
      </c>
      <c r="J581">
        <v>3.326478448413165E-2</v>
      </c>
      <c r="K581">
        <f t="shared" si="81"/>
        <v>0.30361734496049525</v>
      </c>
      <c r="L581">
        <f t="shared" si="82"/>
        <v>0.349514903937513</v>
      </c>
      <c r="M581">
        <f t="shared" si="83"/>
        <v>0.25669812180839785</v>
      </c>
      <c r="N581">
        <f t="shared" si="84"/>
        <v>0.15103301087327836</v>
      </c>
      <c r="O581">
        <f t="shared" si="85"/>
        <v>0.70855145612298809</v>
      </c>
      <c r="P581">
        <f t="shared" si="86"/>
        <v>16.940511871962141</v>
      </c>
      <c r="Q581">
        <f t="shared" si="87"/>
        <v>2.2627747576986709E-2</v>
      </c>
      <c r="R581">
        <f t="shared" si="88"/>
        <v>3.326478448413165E-2</v>
      </c>
      <c r="S581">
        <f t="shared" si="89"/>
        <v>0</v>
      </c>
    </row>
    <row r="582" spans="1:19" x14ac:dyDescent="0.3">
      <c r="A582" t="s">
        <v>199</v>
      </c>
      <c r="B582">
        <v>2007</v>
      </c>
      <c r="C582">
        <v>1.2222967423003595E-2</v>
      </c>
      <c r="D582">
        <v>0.13867265506665361</v>
      </c>
      <c r="E582">
        <v>-0.42758909126532579</v>
      </c>
      <c r="F582">
        <v>0.14842390034739752</v>
      </c>
      <c r="G582">
        <v>1.4942296968372506</v>
      </c>
      <c r="H582">
        <v>12.489000936646876</v>
      </c>
      <c r="I582">
        <v>7.2314796327705572E-4</v>
      </c>
      <c r="J582">
        <v>0</v>
      </c>
      <c r="K582">
        <f t="shared" si="81"/>
        <v>1.2222967423003595E-2</v>
      </c>
      <c r="L582">
        <f t="shared" si="82"/>
        <v>0.13867265506665361</v>
      </c>
      <c r="M582">
        <f t="shared" si="83"/>
        <v>-0.42758909126532579</v>
      </c>
      <c r="N582">
        <f t="shared" si="84"/>
        <v>0.14842390034739752</v>
      </c>
      <c r="O582">
        <f t="shared" si="85"/>
        <v>1.4942296968372506</v>
      </c>
      <c r="P582">
        <f t="shared" si="86"/>
        <v>12.489000936646876</v>
      </c>
      <c r="Q582">
        <f t="shared" si="87"/>
        <v>7.2314796327705572E-4</v>
      </c>
      <c r="R582">
        <f t="shared" si="88"/>
        <v>0</v>
      </c>
      <c r="S582">
        <f t="shared" si="89"/>
        <v>0</v>
      </c>
    </row>
    <row r="583" spans="1:19" x14ac:dyDescent="0.3">
      <c r="A583" t="s">
        <v>199</v>
      </c>
      <c r="B583">
        <v>2008</v>
      </c>
      <c r="C583">
        <v>6.378330481544855E-3</v>
      </c>
      <c r="D583">
        <v>0.14415026888291371</v>
      </c>
      <c r="E583">
        <v>-0.39105276827181618</v>
      </c>
      <c r="F583">
        <v>0.1491001588853581</v>
      </c>
      <c r="G583">
        <v>1.6863842886824738</v>
      </c>
      <c r="H583">
        <v>12.47542780128907</v>
      </c>
      <c r="I583">
        <v>3.3674681501473236E-3</v>
      </c>
      <c r="J583">
        <v>0</v>
      </c>
      <c r="K583">
        <f t="shared" si="81"/>
        <v>6.378330481544855E-3</v>
      </c>
      <c r="L583">
        <f t="shared" si="82"/>
        <v>0.14415026888291371</v>
      </c>
      <c r="M583">
        <f t="shared" si="83"/>
        <v>-0.39105276827181618</v>
      </c>
      <c r="N583">
        <f t="shared" si="84"/>
        <v>0.1491001588853581</v>
      </c>
      <c r="O583">
        <f t="shared" si="85"/>
        <v>1.6863842886824738</v>
      </c>
      <c r="P583">
        <f t="shared" si="86"/>
        <v>12.47542780128907</v>
      </c>
      <c r="Q583">
        <f t="shared" si="87"/>
        <v>3.3674681501473236E-3</v>
      </c>
      <c r="R583">
        <f t="shared" si="88"/>
        <v>0</v>
      </c>
      <c r="S583">
        <f t="shared" si="89"/>
        <v>0</v>
      </c>
    </row>
    <row r="584" spans="1:19" x14ac:dyDescent="0.3">
      <c r="A584" t="s">
        <v>199</v>
      </c>
      <c r="B584">
        <v>2009</v>
      </c>
      <c r="C584">
        <v>4.1380844990863688E-3</v>
      </c>
      <c r="D584">
        <v>0.14340367078478108</v>
      </c>
      <c r="E584">
        <v>-0.54884608636486176</v>
      </c>
      <c r="F584">
        <v>0.99315311768506909</v>
      </c>
      <c r="G584">
        <v>1.8329818172481525</v>
      </c>
      <c r="H584">
        <v>12.36172077504837</v>
      </c>
      <c r="I584">
        <v>3.9639361130339654E-3</v>
      </c>
      <c r="J584">
        <v>0</v>
      </c>
      <c r="K584">
        <f t="shared" si="81"/>
        <v>4.1380844990863688E-3</v>
      </c>
      <c r="L584">
        <f t="shared" si="82"/>
        <v>0.14340367078478108</v>
      </c>
      <c r="M584">
        <f t="shared" si="83"/>
        <v>-0.54884608636486176</v>
      </c>
      <c r="N584">
        <f t="shared" si="84"/>
        <v>0.99315311768506909</v>
      </c>
      <c r="O584">
        <f t="shared" si="85"/>
        <v>1.8329818172481525</v>
      </c>
      <c r="P584">
        <f t="shared" si="86"/>
        <v>12.36172077504837</v>
      </c>
      <c r="Q584">
        <f t="shared" si="87"/>
        <v>3.9639361130339654E-3</v>
      </c>
      <c r="R584">
        <f t="shared" si="88"/>
        <v>0</v>
      </c>
      <c r="S584">
        <f t="shared" si="89"/>
        <v>0</v>
      </c>
    </row>
    <row r="585" spans="1:19" x14ac:dyDescent="0.3">
      <c r="A585" t="s">
        <v>199</v>
      </c>
      <c r="B585">
        <v>2010</v>
      </c>
      <c r="C585">
        <v>5.5050020303444198E-3</v>
      </c>
      <c r="D585">
        <v>0.12716416257521504</v>
      </c>
      <c r="E585">
        <v>-0.61843829598730116</v>
      </c>
      <c r="F585">
        <v>1.0345158551441545</v>
      </c>
      <c r="G585">
        <v>1.979073332348924</v>
      </c>
      <c r="H585">
        <v>12.286324562087236</v>
      </c>
      <c r="I585">
        <v>4.3657744707918139E-2</v>
      </c>
      <c r="J585">
        <v>0</v>
      </c>
      <c r="K585">
        <f t="shared" si="81"/>
        <v>5.5050020303444198E-3</v>
      </c>
      <c r="L585">
        <f t="shared" si="82"/>
        <v>0.12716416257521504</v>
      </c>
      <c r="M585">
        <f t="shared" si="83"/>
        <v>-0.61843829598730116</v>
      </c>
      <c r="N585">
        <f t="shared" si="84"/>
        <v>1.0345158551441545</v>
      </c>
      <c r="O585">
        <f t="shared" si="85"/>
        <v>1.979073332348924</v>
      </c>
      <c r="P585">
        <f t="shared" si="86"/>
        <v>12.286324562087236</v>
      </c>
      <c r="Q585">
        <f t="shared" si="87"/>
        <v>4.3657744707918139E-2</v>
      </c>
      <c r="R585">
        <f t="shared" si="88"/>
        <v>0</v>
      </c>
      <c r="S585">
        <f t="shared" si="89"/>
        <v>0</v>
      </c>
    </row>
    <row r="586" spans="1:19" x14ac:dyDescent="0.3">
      <c r="A586" t="s">
        <v>200</v>
      </c>
      <c r="B586">
        <v>2007</v>
      </c>
      <c r="C586">
        <v>8.1980516526745192E-2</v>
      </c>
      <c r="D586">
        <v>9.2015803180772224E-2</v>
      </c>
      <c r="E586">
        <v>-0.48967116331934724</v>
      </c>
      <c r="F586">
        <v>5.9646454170411853E-2</v>
      </c>
      <c r="G586">
        <v>1.4301407948412828</v>
      </c>
      <c r="H586">
        <v>14.315547391468227</v>
      </c>
      <c r="I586">
        <v>1.5045296525666271E-2</v>
      </c>
      <c r="J586">
        <v>0</v>
      </c>
      <c r="K586">
        <f t="shared" si="81"/>
        <v>8.1980516526745192E-2</v>
      </c>
      <c r="L586">
        <f t="shared" si="82"/>
        <v>9.2015803180772224E-2</v>
      </c>
      <c r="M586">
        <f t="shared" si="83"/>
        <v>-0.48967116331934724</v>
      </c>
      <c r="N586">
        <f t="shared" si="84"/>
        <v>5.9646454170411853E-2</v>
      </c>
      <c r="O586">
        <f t="shared" si="85"/>
        <v>1.4301407948412828</v>
      </c>
      <c r="P586">
        <f t="shared" si="86"/>
        <v>14.315547391468227</v>
      </c>
      <c r="Q586">
        <f t="shared" si="87"/>
        <v>1.5045296525666271E-2</v>
      </c>
      <c r="R586">
        <f t="shared" si="88"/>
        <v>0</v>
      </c>
      <c r="S586">
        <f t="shared" si="89"/>
        <v>0</v>
      </c>
    </row>
    <row r="587" spans="1:19" x14ac:dyDescent="0.3">
      <c r="A587" t="s">
        <v>200</v>
      </c>
      <c r="B587">
        <v>2008</v>
      </c>
      <c r="C587">
        <v>2.9334968864056555E-2</v>
      </c>
      <c r="D587">
        <v>5.3892155420324897E-2</v>
      </c>
      <c r="E587">
        <v>-0.47692560403257589</v>
      </c>
      <c r="F587">
        <v>4.1641628511176622E-2</v>
      </c>
      <c r="G587">
        <v>1.0379098827298474</v>
      </c>
      <c r="H587">
        <v>14.341668242684241</v>
      </c>
      <c r="I587">
        <v>2.3737037850700426E-2</v>
      </c>
      <c r="J587">
        <v>0</v>
      </c>
      <c r="K587">
        <f t="shared" si="81"/>
        <v>2.9334968864056555E-2</v>
      </c>
      <c r="L587">
        <f t="shared" si="82"/>
        <v>5.3892155420324897E-2</v>
      </c>
      <c r="M587">
        <f t="shared" si="83"/>
        <v>-0.47692560403257589</v>
      </c>
      <c r="N587">
        <f t="shared" si="84"/>
        <v>4.1641628511176622E-2</v>
      </c>
      <c r="O587">
        <f t="shared" si="85"/>
        <v>1.0379098827298474</v>
      </c>
      <c r="P587">
        <f t="shared" si="86"/>
        <v>14.341668242684241</v>
      </c>
      <c r="Q587">
        <f t="shared" si="87"/>
        <v>2.3737037850700426E-2</v>
      </c>
      <c r="R587">
        <f t="shared" si="88"/>
        <v>0</v>
      </c>
      <c r="S587">
        <f t="shared" si="89"/>
        <v>0</v>
      </c>
    </row>
    <row r="588" spans="1:19" x14ac:dyDescent="0.3">
      <c r="A588" t="s">
        <v>200</v>
      </c>
      <c r="B588">
        <v>2009</v>
      </c>
      <c r="C588">
        <v>1.6253346804145381E-3</v>
      </c>
      <c r="D588">
        <v>0.12693314512411538</v>
      </c>
      <c r="E588">
        <v>3.7240585359329136E-2</v>
      </c>
      <c r="F588">
        <v>0.83680732200734209</v>
      </c>
      <c r="G588">
        <v>1.0490530902854904</v>
      </c>
      <c r="H588">
        <v>14.331163710439938</v>
      </c>
      <c r="I588">
        <v>2.592340681154599E-2</v>
      </c>
      <c r="J588">
        <v>0</v>
      </c>
      <c r="K588">
        <f t="shared" si="81"/>
        <v>1.6253346804145381E-3</v>
      </c>
      <c r="L588">
        <f t="shared" si="82"/>
        <v>0.12693314512411538</v>
      </c>
      <c r="M588">
        <f t="shared" si="83"/>
        <v>3.7240585359329136E-2</v>
      </c>
      <c r="N588">
        <f t="shared" si="84"/>
        <v>0.83680732200734209</v>
      </c>
      <c r="O588">
        <f t="shared" si="85"/>
        <v>1.0490530902854904</v>
      </c>
      <c r="P588">
        <f t="shared" si="86"/>
        <v>14.331163710439938</v>
      </c>
      <c r="Q588">
        <f t="shared" si="87"/>
        <v>2.592340681154599E-2</v>
      </c>
      <c r="R588">
        <f t="shared" si="88"/>
        <v>0</v>
      </c>
      <c r="S588">
        <f t="shared" si="89"/>
        <v>0</v>
      </c>
    </row>
    <row r="589" spans="1:19" x14ac:dyDescent="0.3">
      <c r="A589" t="s">
        <v>200</v>
      </c>
      <c r="B589">
        <v>2010</v>
      </c>
      <c r="C589">
        <v>2.2966529764433742E-3</v>
      </c>
      <c r="D589">
        <v>4.789748855214087E-2</v>
      </c>
      <c r="E589">
        <v>2.513985271208044E-2</v>
      </c>
      <c r="F589">
        <v>0.79798954350186468</v>
      </c>
      <c r="G589">
        <v>1.1897169900391824</v>
      </c>
      <c r="H589">
        <v>14.342980886858339</v>
      </c>
      <c r="I589">
        <v>0.15449390257697682</v>
      </c>
      <c r="J589">
        <v>0</v>
      </c>
      <c r="K589">
        <f t="shared" si="81"/>
        <v>2.2966529764433742E-3</v>
      </c>
      <c r="L589">
        <f t="shared" si="82"/>
        <v>4.789748855214087E-2</v>
      </c>
      <c r="M589">
        <f t="shared" si="83"/>
        <v>2.513985271208044E-2</v>
      </c>
      <c r="N589">
        <f t="shared" si="84"/>
        <v>0.79798954350186468</v>
      </c>
      <c r="O589">
        <f t="shared" si="85"/>
        <v>1.1897169900391824</v>
      </c>
      <c r="P589">
        <f t="shared" si="86"/>
        <v>14.342980886858339</v>
      </c>
      <c r="Q589">
        <f t="shared" si="87"/>
        <v>0.15449390257697682</v>
      </c>
      <c r="R589">
        <f t="shared" si="88"/>
        <v>0</v>
      </c>
      <c r="S589">
        <f t="shared" si="89"/>
        <v>0</v>
      </c>
    </row>
    <row r="590" spans="1:19" x14ac:dyDescent="0.3">
      <c r="A590" t="s">
        <v>201</v>
      </c>
      <c r="B590">
        <v>2007</v>
      </c>
      <c r="C590">
        <v>6.0770856950274213E-3</v>
      </c>
      <c r="D590">
        <v>0.19572290817733387</v>
      </c>
      <c r="E590">
        <v>4.5413462422255586E-2</v>
      </c>
      <c r="F590">
        <v>8.6373663408805423E-2</v>
      </c>
      <c r="G590">
        <v>1.6785555623640429</v>
      </c>
      <c r="H590">
        <v>13.388995444907803</v>
      </c>
      <c r="I590">
        <v>9.1093829096716011E-3</v>
      </c>
      <c r="J590">
        <v>3.8297741965133733E-2</v>
      </c>
      <c r="K590">
        <f t="shared" si="81"/>
        <v>6.0770856950274213E-3</v>
      </c>
      <c r="L590">
        <f t="shared" si="82"/>
        <v>0.19572290817733387</v>
      </c>
      <c r="M590">
        <f t="shared" si="83"/>
        <v>4.5413462422255586E-2</v>
      </c>
      <c r="N590">
        <f t="shared" si="84"/>
        <v>8.6373663408805423E-2</v>
      </c>
      <c r="O590">
        <f t="shared" si="85"/>
        <v>1.6785555623640429</v>
      </c>
      <c r="P590">
        <f t="shared" si="86"/>
        <v>13.388995444907803</v>
      </c>
      <c r="Q590">
        <f t="shared" si="87"/>
        <v>9.1093829096716011E-3</v>
      </c>
      <c r="R590">
        <f t="shared" si="88"/>
        <v>3.8297741965133733E-2</v>
      </c>
      <c r="S590">
        <f t="shared" si="89"/>
        <v>0</v>
      </c>
    </row>
    <row r="591" spans="1:19" x14ac:dyDescent="0.3">
      <c r="A591" t="s">
        <v>201</v>
      </c>
      <c r="B591">
        <v>2009</v>
      </c>
      <c r="C591">
        <v>3.2806780396838708E-3</v>
      </c>
      <c r="D591">
        <v>0.11522579944943809</v>
      </c>
      <c r="E591">
        <v>6.1190812128148711E-2</v>
      </c>
      <c r="F591">
        <v>0.18560497676391946</v>
      </c>
      <c r="G591">
        <v>1.0595649894919636</v>
      </c>
      <c r="H591">
        <v>13.605786560309529</v>
      </c>
      <c r="I591">
        <v>2.8581377691757101E-2</v>
      </c>
      <c r="J591">
        <v>1.8500064133555663E-2</v>
      </c>
      <c r="K591">
        <f t="shared" si="81"/>
        <v>3.2806780396838708E-3</v>
      </c>
      <c r="L591">
        <f t="shared" si="82"/>
        <v>0.11522579944943809</v>
      </c>
      <c r="M591">
        <f t="shared" si="83"/>
        <v>6.1190812128148711E-2</v>
      </c>
      <c r="N591">
        <f t="shared" si="84"/>
        <v>0.18560497676391946</v>
      </c>
      <c r="O591">
        <f t="shared" si="85"/>
        <v>1.0595649894919636</v>
      </c>
      <c r="P591">
        <f t="shared" si="86"/>
        <v>13.605786560309529</v>
      </c>
      <c r="Q591">
        <f t="shared" si="87"/>
        <v>2.8581377691757101E-2</v>
      </c>
      <c r="R591">
        <f t="shared" si="88"/>
        <v>1.8500064133555663E-2</v>
      </c>
      <c r="S591">
        <f t="shared" si="89"/>
        <v>0</v>
      </c>
    </row>
    <row r="592" spans="1:19" x14ac:dyDescent="0.3">
      <c r="A592" t="s">
        <v>201</v>
      </c>
      <c r="B592">
        <v>2010</v>
      </c>
      <c r="C592">
        <v>4.2021258693140098E-3</v>
      </c>
      <c r="D592">
        <v>0.20155868827854947</v>
      </c>
      <c r="E592">
        <v>0.13852555368711303</v>
      </c>
      <c r="F592">
        <v>0.16517682959513247</v>
      </c>
      <c r="G592">
        <v>0.91683256192557339</v>
      </c>
      <c r="H592">
        <v>13.595129437621836</v>
      </c>
      <c r="I592">
        <v>1.3628243696945612E-2</v>
      </c>
      <c r="J592">
        <v>0</v>
      </c>
      <c r="K592">
        <f t="shared" si="81"/>
        <v>4.2021258693140098E-3</v>
      </c>
      <c r="L592">
        <f t="shared" si="82"/>
        <v>0.20155868827854947</v>
      </c>
      <c r="M592">
        <f t="shared" si="83"/>
        <v>0.13852555368711303</v>
      </c>
      <c r="N592">
        <f t="shared" si="84"/>
        <v>0.16517682959513247</v>
      </c>
      <c r="O592">
        <f t="shared" si="85"/>
        <v>0.91683256192557339</v>
      </c>
      <c r="P592">
        <f t="shared" si="86"/>
        <v>13.595129437621836</v>
      </c>
      <c r="Q592">
        <f t="shared" si="87"/>
        <v>1.3628243696945612E-2</v>
      </c>
      <c r="R592">
        <f t="shared" si="88"/>
        <v>0</v>
      </c>
      <c r="S592">
        <f t="shared" si="89"/>
        <v>0</v>
      </c>
    </row>
    <row r="593" spans="1:19" x14ac:dyDescent="0.3">
      <c r="A593" t="s">
        <v>202</v>
      </c>
      <c r="B593">
        <v>2007</v>
      </c>
      <c r="C593">
        <v>5.597455570286973E-2</v>
      </c>
      <c r="D593">
        <v>8.7174973012526538E-2</v>
      </c>
      <c r="E593">
        <v>0.40030211480362538</v>
      </c>
      <c r="F593">
        <v>0.33471712056336805</v>
      </c>
      <c r="G593">
        <v>1.3391619031059141</v>
      </c>
      <c r="H593">
        <v>12.528351777735809</v>
      </c>
      <c r="I593">
        <v>2.1674596442264452E-2</v>
      </c>
      <c r="J593">
        <v>2.5650778470878887E-2</v>
      </c>
      <c r="K593">
        <f t="shared" si="81"/>
        <v>5.597455570286973E-2</v>
      </c>
      <c r="L593">
        <f t="shared" si="82"/>
        <v>8.7174973012526538E-2</v>
      </c>
      <c r="M593">
        <f t="shared" si="83"/>
        <v>0.40030211480362538</v>
      </c>
      <c r="N593">
        <f t="shared" si="84"/>
        <v>0.33471712056336805</v>
      </c>
      <c r="O593">
        <f t="shared" si="85"/>
        <v>1.3391619031059141</v>
      </c>
      <c r="P593">
        <f t="shared" si="86"/>
        <v>12.528351777735809</v>
      </c>
      <c r="Q593">
        <f t="shared" si="87"/>
        <v>2.1674596442264452E-2</v>
      </c>
      <c r="R593">
        <f t="shared" si="88"/>
        <v>2.5650778470878887E-2</v>
      </c>
      <c r="S593">
        <f t="shared" si="89"/>
        <v>0</v>
      </c>
    </row>
    <row r="594" spans="1:19" x14ac:dyDescent="0.3">
      <c r="A594" t="s">
        <v>202</v>
      </c>
      <c r="B594">
        <v>2008</v>
      </c>
      <c r="C594">
        <v>8.4610740876646814E-2</v>
      </c>
      <c r="D594">
        <v>0.13163610752713628</v>
      </c>
      <c r="E594">
        <v>0.42324013683550149</v>
      </c>
      <c r="F594">
        <v>0.35510943289023567</v>
      </c>
      <c r="G594">
        <v>0.86735644701175407</v>
      </c>
      <c r="H594">
        <v>12.730576297111133</v>
      </c>
      <c r="I594">
        <v>3.5233574151255526E-2</v>
      </c>
      <c r="J594">
        <v>0</v>
      </c>
      <c r="K594">
        <f t="shared" si="81"/>
        <v>8.4610740876646814E-2</v>
      </c>
      <c r="L594">
        <f t="shared" si="82"/>
        <v>0.13163610752713628</v>
      </c>
      <c r="M594">
        <f t="shared" si="83"/>
        <v>0.42324013683550149</v>
      </c>
      <c r="N594">
        <f t="shared" si="84"/>
        <v>0.35510943289023567</v>
      </c>
      <c r="O594">
        <f t="shared" si="85"/>
        <v>0.86735644701175407</v>
      </c>
      <c r="P594">
        <f t="shared" si="86"/>
        <v>12.730576297111133</v>
      </c>
      <c r="Q594">
        <f t="shared" si="87"/>
        <v>3.5233574151255526E-2</v>
      </c>
      <c r="R594">
        <f t="shared" si="88"/>
        <v>0</v>
      </c>
      <c r="S594">
        <f t="shared" si="89"/>
        <v>0</v>
      </c>
    </row>
    <row r="595" spans="1:19" x14ac:dyDescent="0.3">
      <c r="A595" t="s">
        <v>202</v>
      </c>
      <c r="B595">
        <v>2009</v>
      </c>
      <c r="C595">
        <v>2.2900880955472467E-2</v>
      </c>
      <c r="D595">
        <v>3.6677501634048058E-2</v>
      </c>
      <c r="E595">
        <v>0.27538496411696484</v>
      </c>
      <c r="F595">
        <v>0.50718651035557327</v>
      </c>
      <c r="G595">
        <v>0.90404561689990826</v>
      </c>
      <c r="H595">
        <v>13.026717741340844</v>
      </c>
      <c r="I595">
        <v>2.5516386624341584E-2</v>
      </c>
      <c r="J595">
        <v>9.3509363040363731E-3</v>
      </c>
      <c r="K595">
        <f t="shared" si="81"/>
        <v>2.2900880955472467E-2</v>
      </c>
      <c r="L595">
        <f t="shared" si="82"/>
        <v>3.6677501634048058E-2</v>
      </c>
      <c r="M595">
        <f t="shared" si="83"/>
        <v>0.27538496411696484</v>
      </c>
      <c r="N595">
        <f t="shared" si="84"/>
        <v>0.50718651035557327</v>
      </c>
      <c r="O595">
        <f t="shared" si="85"/>
        <v>0.90404561689990826</v>
      </c>
      <c r="P595">
        <f t="shared" si="86"/>
        <v>13.026717741340844</v>
      </c>
      <c r="Q595">
        <f t="shared" si="87"/>
        <v>2.5516386624341584E-2</v>
      </c>
      <c r="R595">
        <f t="shared" si="88"/>
        <v>9.3509363040363731E-3</v>
      </c>
      <c r="S595">
        <f t="shared" si="89"/>
        <v>0</v>
      </c>
    </row>
    <row r="596" spans="1:19" x14ac:dyDescent="0.3">
      <c r="A596" t="s">
        <v>202</v>
      </c>
      <c r="B596">
        <v>2010</v>
      </c>
      <c r="C596">
        <v>4.5081400465145513E-2</v>
      </c>
      <c r="D596">
        <v>0.15525803004588598</v>
      </c>
      <c r="E596">
        <v>0.22167955245458545</v>
      </c>
      <c r="F596">
        <v>0.51857439185366772</v>
      </c>
      <c r="G596">
        <v>0.91345590546231703</v>
      </c>
      <c r="H596">
        <v>12.670372539359231</v>
      </c>
      <c r="I596">
        <v>9.1293950657167083E-2</v>
      </c>
      <c r="J596">
        <v>0</v>
      </c>
      <c r="K596">
        <f t="shared" si="81"/>
        <v>4.5081400465145513E-2</v>
      </c>
      <c r="L596">
        <f t="shared" si="82"/>
        <v>0.15525803004588598</v>
      </c>
      <c r="M596">
        <f t="shared" si="83"/>
        <v>0.22167955245458545</v>
      </c>
      <c r="N596">
        <f t="shared" si="84"/>
        <v>0.51857439185366772</v>
      </c>
      <c r="O596">
        <f t="shared" si="85"/>
        <v>0.91345590546231703</v>
      </c>
      <c r="P596">
        <f t="shared" si="86"/>
        <v>12.670372539359231</v>
      </c>
      <c r="Q596">
        <f t="shared" si="87"/>
        <v>9.1293950657167083E-2</v>
      </c>
      <c r="R596">
        <f t="shared" si="88"/>
        <v>0</v>
      </c>
      <c r="S596">
        <f t="shared" si="89"/>
        <v>0</v>
      </c>
    </row>
    <row r="597" spans="1:19" x14ac:dyDescent="0.3">
      <c r="A597" t="s">
        <v>203</v>
      </c>
      <c r="B597">
        <v>2007</v>
      </c>
      <c r="C597">
        <v>4.4699590688052982E-4</v>
      </c>
      <c r="D597">
        <v>4.5509394931908288E-2</v>
      </c>
      <c r="E597">
        <v>-0.61607862317242812</v>
      </c>
      <c r="F597">
        <v>0.10224179471863311</v>
      </c>
      <c r="G597">
        <v>0.84465809824288507</v>
      </c>
      <c r="H597">
        <v>13.120132891719573</v>
      </c>
      <c r="I597">
        <v>3.882002924495391E-2</v>
      </c>
      <c r="J597">
        <v>0</v>
      </c>
      <c r="K597">
        <f t="shared" si="81"/>
        <v>4.4699590688052982E-4</v>
      </c>
      <c r="L597">
        <f t="shared" si="82"/>
        <v>4.5509394931908288E-2</v>
      </c>
      <c r="M597">
        <f t="shared" si="83"/>
        <v>-0.61607862317242812</v>
      </c>
      <c r="N597">
        <f t="shared" si="84"/>
        <v>0.10224179471863311</v>
      </c>
      <c r="O597">
        <f t="shared" si="85"/>
        <v>0.84465809824288507</v>
      </c>
      <c r="P597">
        <f t="shared" si="86"/>
        <v>13.120132891719573</v>
      </c>
      <c r="Q597">
        <f t="shared" si="87"/>
        <v>3.882002924495391E-2</v>
      </c>
      <c r="R597">
        <f t="shared" si="88"/>
        <v>0</v>
      </c>
      <c r="S597">
        <f t="shared" si="89"/>
        <v>0</v>
      </c>
    </row>
    <row r="598" spans="1:19" x14ac:dyDescent="0.3">
      <c r="A598" t="s">
        <v>203</v>
      </c>
      <c r="B598">
        <v>2009</v>
      </c>
      <c r="C598">
        <v>2.3920334884688387E-4</v>
      </c>
      <c r="D598">
        <v>0.11810405345674839</v>
      </c>
      <c r="E598">
        <v>-1.244372221211097</v>
      </c>
      <c r="F598">
        <v>0.24955669379371312</v>
      </c>
      <c r="G598">
        <v>0.9182496554951769</v>
      </c>
      <c r="H598">
        <v>12.166837932278892</v>
      </c>
      <c r="I598">
        <v>2.3499054466616185E-2</v>
      </c>
      <c r="J598">
        <v>0</v>
      </c>
      <c r="K598">
        <f t="shared" si="81"/>
        <v>2.3920334884688387E-4</v>
      </c>
      <c r="L598">
        <f t="shared" si="82"/>
        <v>0.11810405345674839</v>
      </c>
      <c r="M598">
        <f t="shared" si="83"/>
        <v>-1.244372221211097</v>
      </c>
      <c r="N598">
        <f t="shared" si="84"/>
        <v>0.24955669379371312</v>
      </c>
      <c r="O598">
        <f t="shared" si="85"/>
        <v>0.9182496554951769</v>
      </c>
      <c r="P598">
        <f t="shared" si="86"/>
        <v>12.166837932278892</v>
      </c>
      <c r="Q598">
        <f t="shared" si="87"/>
        <v>2.3499054466616185E-2</v>
      </c>
      <c r="R598">
        <f t="shared" si="88"/>
        <v>0</v>
      </c>
      <c r="S598">
        <f t="shared" si="89"/>
        <v>0</v>
      </c>
    </row>
    <row r="599" spans="1:19" x14ac:dyDescent="0.3">
      <c r="A599" t="s">
        <v>203</v>
      </c>
      <c r="B599">
        <v>2010</v>
      </c>
      <c r="C599">
        <v>1.2476295039425091E-3</v>
      </c>
      <c r="D599">
        <v>0.13431147486442427</v>
      </c>
      <c r="E599">
        <v>-1.3704572423506449</v>
      </c>
      <c r="F599">
        <v>9.8435195351055216E-2</v>
      </c>
      <c r="G599">
        <v>1.3050925463840926</v>
      </c>
      <c r="H599">
        <v>12.102610327155428</v>
      </c>
      <c r="I599">
        <v>4.3619319622826905E-3</v>
      </c>
      <c r="J599">
        <v>0</v>
      </c>
      <c r="K599">
        <f t="shared" si="81"/>
        <v>1.2476295039425091E-3</v>
      </c>
      <c r="L599">
        <f t="shared" si="82"/>
        <v>0.13431147486442427</v>
      </c>
      <c r="M599">
        <f t="shared" si="83"/>
        <v>-1.3704572423506449</v>
      </c>
      <c r="N599">
        <f t="shared" si="84"/>
        <v>9.8435195351055216E-2</v>
      </c>
      <c r="O599">
        <f t="shared" si="85"/>
        <v>1.3050925463840926</v>
      </c>
      <c r="P599">
        <f t="shared" si="86"/>
        <v>12.102610327155428</v>
      </c>
      <c r="Q599">
        <f t="shared" si="87"/>
        <v>4.3619319622826905E-3</v>
      </c>
      <c r="R599">
        <f t="shared" si="88"/>
        <v>0</v>
      </c>
      <c r="S599">
        <f t="shared" si="89"/>
        <v>0</v>
      </c>
    </row>
    <row r="600" spans="1:19" x14ac:dyDescent="0.3">
      <c r="A600" t="s">
        <v>204</v>
      </c>
      <c r="B600">
        <v>2007</v>
      </c>
      <c r="C600">
        <v>8.6571421628770049E-4</v>
      </c>
      <c r="D600">
        <v>9.1198997715453492E-2</v>
      </c>
      <c r="E600">
        <v>0.13266431993041339</v>
      </c>
      <c r="F600">
        <v>0.22330031510844287</v>
      </c>
      <c r="G600">
        <v>1.6373913584258664</v>
      </c>
      <c r="H600">
        <v>14.702600259588852</v>
      </c>
      <c r="I600">
        <v>1.036433907411112E-2</v>
      </c>
      <c r="J600">
        <v>1.747778981760283E-2</v>
      </c>
      <c r="K600">
        <f t="shared" si="81"/>
        <v>8.6571421628770049E-4</v>
      </c>
      <c r="L600">
        <f t="shared" si="82"/>
        <v>9.1198997715453492E-2</v>
      </c>
      <c r="M600">
        <f t="shared" si="83"/>
        <v>0.13266431993041339</v>
      </c>
      <c r="N600">
        <f t="shared" si="84"/>
        <v>0.22330031510844287</v>
      </c>
      <c r="O600">
        <f t="shared" si="85"/>
        <v>1.6373913584258664</v>
      </c>
      <c r="P600">
        <f t="shared" si="86"/>
        <v>14.702600259588852</v>
      </c>
      <c r="Q600">
        <f t="shared" si="87"/>
        <v>1.036433907411112E-2</v>
      </c>
      <c r="R600">
        <f t="shared" si="88"/>
        <v>1.747778981760283E-2</v>
      </c>
      <c r="S600">
        <f t="shared" si="89"/>
        <v>0</v>
      </c>
    </row>
    <row r="601" spans="1:19" x14ac:dyDescent="0.3">
      <c r="A601" t="s">
        <v>204</v>
      </c>
      <c r="B601">
        <v>2009</v>
      </c>
      <c r="C601">
        <v>6.6471014305225244E-4</v>
      </c>
      <c r="D601">
        <v>0.11115925041864236</v>
      </c>
      <c r="E601">
        <v>-1.1085480968383233E-2</v>
      </c>
      <c r="F601">
        <v>0.39982954808142729</v>
      </c>
      <c r="G601">
        <v>1.0311526760107972</v>
      </c>
      <c r="H601">
        <v>15.050718331793739</v>
      </c>
      <c r="I601">
        <v>1.5705255995721468E-2</v>
      </c>
      <c r="J601">
        <v>1.9631338844282489E-2</v>
      </c>
      <c r="K601">
        <f t="shared" si="81"/>
        <v>6.6471014305225244E-4</v>
      </c>
      <c r="L601">
        <f t="shared" si="82"/>
        <v>0.11115925041864236</v>
      </c>
      <c r="M601">
        <f t="shared" si="83"/>
        <v>-1.1085480968383233E-2</v>
      </c>
      <c r="N601">
        <f t="shared" si="84"/>
        <v>0.39982954808142729</v>
      </c>
      <c r="O601">
        <f t="shared" si="85"/>
        <v>1.0311526760107972</v>
      </c>
      <c r="P601">
        <f t="shared" si="86"/>
        <v>15.050718331793739</v>
      </c>
      <c r="Q601">
        <f t="shared" si="87"/>
        <v>1.5705255995721468E-2</v>
      </c>
      <c r="R601">
        <f t="shared" si="88"/>
        <v>1.9631338844282489E-2</v>
      </c>
      <c r="S601">
        <f t="shared" si="89"/>
        <v>0</v>
      </c>
    </row>
    <row r="602" spans="1:19" x14ac:dyDescent="0.3">
      <c r="A602" t="s">
        <v>204</v>
      </c>
      <c r="B602">
        <v>2010</v>
      </c>
      <c r="C602">
        <v>6.3014663303097242E-4</v>
      </c>
      <c r="D602">
        <v>0.172072140142222</v>
      </c>
      <c r="E602">
        <v>0.16580770612589135</v>
      </c>
      <c r="F602">
        <v>0.18329322992557401</v>
      </c>
      <c r="G602">
        <v>0.97258025932773806</v>
      </c>
      <c r="H602">
        <v>15.02400124128827</v>
      </c>
      <c r="I602">
        <v>1.2611269140769474E-3</v>
      </c>
      <c r="J602">
        <v>2.8803972731076412E-2</v>
      </c>
      <c r="K602">
        <f t="shared" si="81"/>
        <v>6.3014663303097242E-4</v>
      </c>
      <c r="L602">
        <f t="shared" si="82"/>
        <v>0.172072140142222</v>
      </c>
      <c r="M602">
        <f t="shared" si="83"/>
        <v>0.16580770612589135</v>
      </c>
      <c r="N602">
        <f t="shared" si="84"/>
        <v>0.18329322992557401</v>
      </c>
      <c r="O602">
        <f t="shared" si="85"/>
        <v>0.97258025932773806</v>
      </c>
      <c r="P602">
        <f t="shared" si="86"/>
        <v>15.02400124128827</v>
      </c>
      <c r="Q602">
        <f t="shared" si="87"/>
        <v>1.2611269140769474E-3</v>
      </c>
      <c r="R602">
        <f t="shared" si="88"/>
        <v>2.8803972731076412E-2</v>
      </c>
      <c r="S602">
        <f t="shared" si="89"/>
        <v>0</v>
      </c>
    </row>
    <row r="603" spans="1:19" x14ac:dyDescent="0.3">
      <c r="A603" t="s">
        <v>205</v>
      </c>
      <c r="B603">
        <v>2007</v>
      </c>
      <c r="C603">
        <v>4.1607054220561184E-4</v>
      </c>
      <c r="D603">
        <v>1.6985897398464189E-2</v>
      </c>
      <c r="E603">
        <v>0.52793877193494698</v>
      </c>
      <c r="F603">
        <v>0.18245788198195567</v>
      </c>
      <c r="G603">
        <v>0.5756080469502759</v>
      </c>
      <c r="H603">
        <v>12.520854187863673</v>
      </c>
      <c r="I603">
        <v>1.0006574954267095E-2</v>
      </c>
      <c r="J603">
        <v>0</v>
      </c>
      <c r="K603">
        <f t="shared" si="81"/>
        <v>4.1607054220561184E-4</v>
      </c>
      <c r="L603">
        <f t="shared" si="82"/>
        <v>1.6985897398464189E-2</v>
      </c>
      <c r="M603">
        <f t="shared" si="83"/>
        <v>0.52793877193494698</v>
      </c>
      <c r="N603">
        <f t="shared" si="84"/>
        <v>0.18245788198195567</v>
      </c>
      <c r="O603">
        <f t="shared" si="85"/>
        <v>0.5756080469502759</v>
      </c>
      <c r="P603">
        <f t="shared" si="86"/>
        <v>12.520854187863673</v>
      </c>
      <c r="Q603">
        <f t="shared" si="87"/>
        <v>1.0006574954267095E-2</v>
      </c>
      <c r="R603">
        <f t="shared" si="88"/>
        <v>0</v>
      </c>
      <c r="S603">
        <f t="shared" si="89"/>
        <v>0</v>
      </c>
    </row>
    <row r="604" spans="1:19" x14ac:dyDescent="0.3">
      <c r="A604" t="s">
        <v>205</v>
      </c>
      <c r="B604">
        <v>2009</v>
      </c>
      <c r="C604">
        <v>1.891175644866214E-3</v>
      </c>
      <c r="D604">
        <v>0.13313814837553256</v>
      </c>
      <c r="E604">
        <v>0.4218771692216563</v>
      </c>
      <c r="F604">
        <v>0.27128035367761161</v>
      </c>
      <c r="G604">
        <v>0.48839256240416862</v>
      </c>
      <c r="H604">
        <v>12.688921544909208</v>
      </c>
      <c r="I604">
        <v>4.2257326110314353E-2</v>
      </c>
      <c r="J604">
        <v>0</v>
      </c>
      <c r="K604">
        <f t="shared" si="81"/>
        <v>1.891175644866214E-3</v>
      </c>
      <c r="L604">
        <f t="shared" si="82"/>
        <v>0.13313814837553256</v>
      </c>
      <c r="M604">
        <f t="shared" si="83"/>
        <v>0.4218771692216563</v>
      </c>
      <c r="N604">
        <f t="shared" si="84"/>
        <v>0.27128035367761161</v>
      </c>
      <c r="O604">
        <f t="shared" si="85"/>
        <v>0.48839256240416862</v>
      </c>
      <c r="P604">
        <f t="shared" si="86"/>
        <v>12.688921544909208</v>
      </c>
      <c r="Q604">
        <f t="shared" si="87"/>
        <v>4.2257326110314353E-2</v>
      </c>
      <c r="R604">
        <f t="shared" si="88"/>
        <v>0</v>
      </c>
      <c r="S604">
        <f t="shared" si="89"/>
        <v>0</v>
      </c>
    </row>
    <row r="605" spans="1:19" x14ac:dyDescent="0.3">
      <c r="A605" t="s">
        <v>206</v>
      </c>
      <c r="B605">
        <v>2007</v>
      </c>
      <c r="C605">
        <v>3.9579010085407464E-2</v>
      </c>
      <c r="D605">
        <v>0.12482420510320898</v>
      </c>
      <c r="E605">
        <v>-6.7669699342367717E-2</v>
      </c>
      <c r="F605">
        <v>0.29281575849027286</v>
      </c>
      <c r="G605">
        <v>1.6753667552604552</v>
      </c>
      <c r="H605">
        <v>15.669394856467942</v>
      </c>
      <c r="I605">
        <v>1.5394721278836069E-2</v>
      </c>
      <c r="J605">
        <v>1.5982906290806384E-2</v>
      </c>
      <c r="K605">
        <f t="shared" si="81"/>
        <v>3.9579010085407464E-2</v>
      </c>
      <c r="L605">
        <f t="shared" si="82"/>
        <v>0.12482420510320898</v>
      </c>
      <c r="M605">
        <f t="shared" si="83"/>
        <v>-6.7669699342367717E-2</v>
      </c>
      <c r="N605">
        <f t="shared" si="84"/>
        <v>0.29281575849027286</v>
      </c>
      <c r="O605">
        <f t="shared" si="85"/>
        <v>1.6753667552604552</v>
      </c>
      <c r="P605">
        <f t="shared" si="86"/>
        <v>15.669394856467942</v>
      </c>
      <c r="Q605">
        <f t="shared" si="87"/>
        <v>1.5394721278836069E-2</v>
      </c>
      <c r="R605">
        <f t="shared" si="88"/>
        <v>1.5982906290806384E-2</v>
      </c>
      <c r="S605">
        <f t="shared" si="89"/>
        <v>0</v>
      </c>
    </row>
    <row r="606" spans="1:19" x14ac:dyDescent="0.3">
      <c r="A606" t="s">
        <v>206</v>
      </c>
      <c r="B606">
        <v>2009</v>
      </c>
      <c r="C606">
        <v>2.9086625669618293E-2</v>
      </c>
      <c r="D606">
        <v>0.13849323437957778</v>
      </c>
      <c r="E606">
        <v>-1.976415276705357E-2</v>
      </c>
      <c r="F606">
        <v>0.32885472567069607</v>
      </c>
      <c r="G606">
        <v>0.94579546999523711</v>
      </c>
      <c r="H606">
        <v>16.129372922817911</v>
      </c>
      <c r="I606">
        <v>1.6339828033335325E-2</v>
      </c>
      <c r="J606">
        <v>1.5135051863312982E-2</v>
      </c>
      <c r="K606">
        <f t="shared" si="81"/>
        <v>2.9086625669618293E-2</v>
      </c>
      <c r="L606">
        <f t="shared" si="82"/>
        <v>0.13849323437957778</v>
      </c>
      <c r="M606">
        <f t="shared" si="83"/>
        <v>-1.976415276705357E-2</v>
      </c>
      <c r="N606">
        <f t="shared" si="84"/>
        <v>0.32885472567069607</v>
      </c>
      <c r="O606">
        <f t="shared" si="85"/>
        <v>0.94579546999523711</v>
      </c>
      <c r="P606">
        <f t="shared" si="86"/>
        <v>16.129372922817911</v>
      </c>
      <c r="Q606">
        <f t="shared" si="87"/>
        <v>1.6339828033335325E-2</v>
      </c>
      <c r="R606">
        <f t="shared" si="88"/>
        <v>1.5135051863312982E-2</v>
      </c>
      <c r="S606">
        <f t="shared" si="89"/>
        <v>0</v>
      </c>
    </row>
    <row r="607" spans="1:19" x14ac:dyDescent="0.3">
      <c r="A607" t="s">
        <v>206</v>
      </c>
      <c r="B607">
        <v>2010</v>
      </c>
      <c r="C607">
        <v>1.3866503311492079E-2</v>
      </c>
      <c r="D607">
        <v>0.10136504120379522</v>
      </c>
      <c r="E607">
        <v>-3.3851745480171683E-2</v>
      </c>
      <c r="F607">
        <v>0.40570923231538308</v>
      </c>
      <c r="G607">
        <v>0.8392987731485837</v>
      </c>
      <c r="H607">
        <v>16.148669277896872</v>
      </c>
      <c r="I607">
        <v>2.2931507551342267E-3</v>
      </c>
      <c r="J607">
        <v>4.9486647440879928E-3</v>
      </c>
      <c r="K607">
        <f t="shared" si="81"/>
        <v>1.3866503311492079E-2</v>
      </c>
      <c r="L607">
        <f t="shared" si="82"/>
        <v>0.10136504120379522</v>
      </c>
      <c r="M607">
        <f t="shared" si="83"/>
        <v>-3.3851745480171683E-2</v>
      </c>
      <c r="N607">
        <f t="shared" si="84"/>
        <v>0.40570923231538308</v>
      </c>
      <c r="O607">
        <f t="shared" si="85"/>
        <v>0.8392987731485837</v>
      </c>
      <c r="P607">
        <f t="shared" si="86"/>
        <v>16.148669277896872</v>
      </c>
      <c r="Q607">
        <f t="shared" si="87"/>
        <v>2.2931507551342267E-3</v>
      </c>
      <c r="R607">
        <f t="shared" si="88"/>
        <v>4.9486647440879928E-3</v>
      </c>
      <c r="S607">
        <f t="shared" si="89"/>
        <v>0</v>
      </c>
    </row>
    <row r="608" spans="1:19" x14ac:dyDescent="0.3">
      <c r="A608" t="s">
        <v>207</v>
      </c>
      <c r="B608">
        <v>2007</v>
      </c>
      <c r="C608">
        <v>3.1322552053462717E-2</v>
      </c>
      <c r="D608">
        <v>1.5751750450071919E-2</v>
      </c>
      <c r="E608">
        <v>0.23643267016092179</v>
      </c>
      <c r="F608">
        <v>8.1224563652590481E-2</v>
      </c>
      <c r="G608">
        <v>1.0293781186840418</v>
      </c>
      <c r="H608">
        <v>12.694833625568744</v>
      </c>
      <c r="I608">
        <v>2.0625396475054018E-2</v>
      </c>
      <c r="J608">
        <v>0</v>
      </c>
      <c r="K608">
        <f t="shared" si="81"/>
        <v>3.1322552053462717E-2</v>
      </c>
      <c r="L608">
        <f t="shared" si="82"/>
        <v>1.5751750450071919E-2</v>
      </c>
      <c r="M608">
        <f t="shared" si="83"/>
        <v>0.23643267016092179</v>
      </c>
      <c r="N608">
        <f t="shared" si="84"/>
        <v>8.1224563652590481E-2</v>
      </c>
      <c r="O608">
        <f t="shared" si="85"/>
        <v>1.0293781186840418</v>
      </c>
      <c r="P608">
        <f t="shared" si="86"/>
        <v>12.694833625568744</v>
      </c>
      <c r="Q608">
        <f t="shared" si="87"/>
        <v>2.0625396475054018E-2</v>
      </c>
      <c r="R608">
        <f t="shared" si="88"/>
        <v>0</v>
      </c>
      <c r="S608">
        <f t="shared" si="89"/>
        <v>0</v>
      </c>
    </row>
    <row r="609" spans="1:19" x14ac:dyDescent="0.3">
      <c r="A609" t="s">
        <v>207</v>
      </c>
      <c r="B609">
        <v>2009</v>
      </c>
      <c r="C609">
        <v>4.1887671570826228E-2</v>
      </c>
      <c r="D609">
        <v>0.13748514174217277</v>
      </c>
      <c r="E609">
        <v>-2.084501435363775E-2</v>
      </c>
      <c r="F609">
        <v>8.6909594509733554E-2</v>
      </c>
      <c r="G609">
        <v>0.95096379631290939</v>
      </c>
      <c r="H609">
        <v>13.477808765749295</v>
      </c>
      <c r="I609">
        <v>3.864053106011172E-2</v>
      </c>
      <c r="J609">
        <v>1.1702980622589038E-2</v>
      </c>
      <c r="K609">
        <f t="shared" si="81"/>
        <v>4.1887671570826228E-2</v>
      </c>
      <c r="L609">
        <f t="shared" si="82"/>
        <v>0.13748514174217277</v>
      </c>
      <c r="M609">
        <f t="shared" si="83"/>
        <v>-2.084501435363775E-2</v>
      </c>
      <c r="N609">
        <f t="shared" si="84"/>
        <v>8.6909594509733554E-2</v>
      </c>
      <c r="O609">
        <f t="shared" si="85"/>
        <v>0.95096379631290939</v>
      </c>
      <c r="P609">
        <f t="shared" si="86"/>
        <v>13.477808765749295</v>
      </c>
      <c r="Q609">
        <f t="shared" si="87"/>
        <v>3.864053106011172E-2</v>
      </c>
      <c r="R609">
        <f t="shared" si="88"/>
        <v>1.1702980622589038E-2</v>
      </c>
      <c r="S609">
        <f t="shared" si="89"/>
        <v>0</v>
      </c>
    </row>
    <row r="610" spans="1:19" x14ac:dyDescent="0.3">
      <c r="A610" t="s">
        <v>207</v>
      </c>
      <c r="B610">
        <v>2010</v>
      </c>
      <c r="C610">
        <v>4.9526186191772972E-2</v>
      </c>
      <c r="D610">
        <v>4.5255820965419025E-2</v>
      </c>
      <c r="E610">
        <v>-0.12287938517005013</v>
      </c>
      <c r="F610">
        <v>0.10061874320392865</v>
      </c>
      <c r="G610">
        <v>0.91730914600179836</v>
      </c>
      <c r="H610">
        <v>13.748604436271142</v>
      </c>
      <c r="I610">
        <v>3.0939232231423947E-2</v>
      </c>
      <c r="J610">
        <v>0</v>
      </c>
      <c r="K610">
        <f t="shared" si="81"/>
        <v>4.9526186191772972E-2</v>
      </c>
      <c r="L610">
        <f t="shared" si="82"/>
        <v>4.5255820965419025E-2</v>
      </c>
      <c r="M610">
        <f t="shared" si="83"/>
        <v>-0.12287938517005013</v>
      </c>
      <c r="N610">
        <f t="shared" si="84"/>
        <v>0.10061874320392865</v>
      </c>
      <c r="O610">
        <f t="shared" si="85"/>
        <v>0.91730914600179836</v>
      </c>
      <c r="P610">
        <f t="shared" si="86"/>
        <v>13.748604436271142</v>
      </c>
      <c r="Q610">
        <f t="shared" si="87"/>
        <v>3.0939232231423947E-2</v>
      </c>
      <c r="R610">
        <f t="shared" si="88"/>
        <v>0</v>
      </c>
      <c r="S610">
        <f t="shared" si="89"/>
        <v>0</v>
      </c>
    </row>
    <row r="611" spans="1:19" x14ac:dyDescent="0.3">
      <c r="A611" t="s">
        <v>208</v>
      </c>
      <c r="B611">
        <v>2007</v>
      </c>
      <c r="C611">
        <v>7.1718081513172716E-2</v>
      </c>
      <c r="D611">
        <v>8.3926761990542664E-2</v>
      </c>
      <c r="E611">
        <v>0.22906111611498911</v>
      </c>
      <c r="F611">
        <v>0.24495702919762816</v>
      </c>
      <c r="G611">
        <v>1.348348251144637</v>
      </c>
      <c r="H611">
        <v>12.962983046759938</v>
      </c>
      <c r="I611">
        <v>8.3825608258031925E-2</v>
      </c>
      <c r="J611">
        <v>4.2220220671020041E-2</v>
      </c>
      <c r="K611">
        <f t="shared" si="81"/>
        <v>7.1718081513172716E-2</v>
      </c>
      <c r="L611">
        <f t="shared" si="82"/>
        <v>8.3926761990542664E-2</v>
      </c>
      <c r="M611">
        <f t="shared" si="83"/>
        <v>0.22906111611498911</v>
      </c>
      <c r="N611">
        <f t="shared" si="84"/>
        <v>0.24495702919762816</v>
      </c>
      <c r="O611">
        <f t="shared" si="85"/>
        <v>1.348348251144637</v>
      </c>
      <c r="P611">
        <f t="shared" si="86"/>
        <v>12.962983046759938</v>
      </c>
      <c r="Q611">
        <f t="shared" si="87"/>
        <v>8.3825608258031925E-2</v>
      </c>
      <c r="R611">
        <f t="shared" si="88"/>
        <v>4.2220220671020041E-2</v>
      </c>
      <c r="S611">
        <f t="shared" si="89"/>
        <v>0</v>
      </c>
    </row>
    <row r="612" spans="1:19" x14ac:dyDescent="0.3">
      <c r="A612" t="s">
        <v>208</v>
      </c>
      <c r="B612">
        <v>2009</v>
      </c>
      <c r="C612">
        <v>3.4390763739343341E-2</v>
      </c>
      <c r="D612">
        <v>0.28127489011475265</v>
      </c>
      <c r="E612">
        <v>0.41151656391043984</v>
      </c>
      <c r="F612">
        <v>0.11161280568748341</v>
      </c>
      <c r="G612">
        <v>1.2459472071447535</v>
      </c>
      <c r="H612">
        <v>13.20372951664816</v>
      </c>
      <c r="I612">
        <v>1.1584972271294014E-2</v>
      </c>
      <c r="J612">
        <v>8.29670491754919E-2</v>
      </c>
      <c r="K612">
        <f t="shared" si="81"/>
        <v>3.4390763739343341E-2</v>
      </c>
      <c r="L612">
        <f t="shared" si="82"/>
        <v>0.28127489011475265</v>
      </c>
      <c r="M612">
        <f t="shared" si="83"/>
        <v>0.41151656391043984</v>
      </c>
      <c r="N612">
        <f t="shared" si="84"/>
        <v>0.11161280568748341</v>
      </c>
      <c r="O612">
        <f t="shared" si="85"/>
        <v>1.2459472071447535</v>
      </c>
      <c r="P612">
        <f t="shared" si="86"/>
        <v>13.20372951664816</v>
      </c>
      <c r="Q612">
        <f t="shared" si="87"/>
        <v>1.1584972271294014E-2</v>
      </c>
      <c r="R612">
        <f t="shared" si="88"/>
        <v>8.29670491754919E-2</v>
      </c>
      <c r="S612">
        <f t="shared" si="89"/>
        <v>0</v>
      </c>
    </row>
    <row r="613" spans="1:19" x14ac:dyDescent="0.3">
      <c r="A613" t="s">
        <v>208</v>
      </c>
      <c r="B613">
        <v>2010</v>
      </c>
      <c r="C613">
        <v>4.9067292632155354E-2</v>
      </c>
      <c r="D613">
        <v>0.2517927388540161</v>
      </c>
      <c r="E613">
        <v>0.51301321050236948</v>
      </c>
      <c r="F613">
        <v>1.3327266943948977E-3</v>
      </c>
      <c r="G613">
        <v>0.8852825702701288</v>
      </c>
      <c r="H613">
        <v>13.115793845205634</v>
      </c>
      <c r="I613">
        <v>1.1169760067181067E-2</v>
      </c>
      <c r="J613">
        <v>9.0593204301767982E-2</v>
      </c>
      <c r="K613">
        <f t="shared" si="81"/>
        <v>4.9067292632155354E-2</v>
      </c>
      <c r="L613">
        <f t="shared" si="82"/>
        <v>0.2517927388540161</v>
      </c>
      <c r="M613">
        <f t="shared" si="83"/>
        <v>0.51301321050236948</v>
      </c>
      <c r="N613">
        <f t="shared" si="84"/>
        <v>1.3327266943948977E-3</v>
      </c>
      <c r="O613">
        <f t="shared" si="85"/>
        <v>0.8852825702701288</v>
      </c>
      <c r="P613">
        <f t="shared" si="86"/>
        <v>13.115793845205634</v>
      </c>
      <c r="Q613">
        <f t="shared" si="87"/>
        <v>1.1169760067181067E-2</v>
      </c>
      <c r="R613">
        <f t="shared" si="88"/>
        <v>9.0593204301767982E-2</v>
      </c>
      <c r="S613">
        <f t="shared" si="89"/>
        <v>0</v>
      </c>
    </row>
    <row r="614" spans="1:19" x14ac:dyDescent="0.3">
      <c r="A614" t="s">
        <v>209</v>
      </c>
      <c r="B614">
        <v>2007</v>
      </c>
      <c r="C614">
        <v>2.84934680890475E-2</v>
      </c>
      <c r="D614">
        <v>0.21059179036506143</v>
      </c>
      <c r="E614">
        <v>0.6543392077968625</v>
      </c>
      <c r="F614">
        <v>0</v>
      </c>
      <c r="G614">
        <v>1.8941725204879176</v>
      </c>
      <c r="H614">
        <v>14.41694478095101</v>
      </c>
      <c r="I614">
        <v>2.2928080305020679E-2</v>
      </c>
      <c r="J614">
        <v>5.8742260515779285E-2</v>
      </c>
      <c r="K614">
        <f t="shared" si="81"/>
        <v>2.84934680890475E-2</v>
      </c>
      <c r="L614">
        <f t="shared" si="82"/>
        <v>0.21059179036506143</v>
      </c>
      <c r="M614">
        <f t="shared" si="83"/>
        <v>0.6543392077968625</v>
      </c>
      <c r="N614">
        <f t="shared" si="84"/>
        <v>0</v>
      </c>
      <c r="O614">
        <f t="shared" si="85"/>
        <v>1.8941725204879176</v>
      </c>
      <c r="P614">
        <f t="shared" si="86"/>
        <v>14.41694478095101</v>
      </c>
      <c r="Q614">
        <f t="shared" si="87"/>
        <v>2.2928080305020679E-2</v>
      </c>
      <c r="R614">
        <f t="shared" si="88"/>
        <v>5.8742260515779285E-2</v>
      </c>
      <c r="S614">
        <f t="shared" si="89"/>
        <v>0</v>
      </c>
    </row>
    <row r="615" spans="1:19" x14ac:dyDescent="0.3">
      <c r="A615" t="s">
        <v>209</v>
      </c>
      <c r="B615">
        <v>2009</v>
      </c>
      <c r="C615">
        <v>2.4545994130665005E-2</v>
      </c>
      <c r="D615">
        <v>4.4846291453383404E-2</v>
      </c>
      <c r="E615">
        <v>0.54656977168534748</v>
      </c>
      <c r="F615">
        <v>0</v>
      </c>
      <c r="G615">
        <v>12.955992381707835</v>
      </c>
      <c r="H615">
        <v>14.188654933209547</v>
      </c>
      <c r="I615">
        <v>3.9399829699429834E-3</v>
      </c>
      <c r="J615">
        <v>0</v>
      </c>
      <c r="K615">
        <f t="shared" si="81"/>
        <v>2.4545994130665005E-2</v>
      </c>
      <c r="L615">
        <f t="shared" si="82"/>
        <v>4.4846291453383404E-2</v>
      </c>
      <c r="M615">
        <f t="shared" si="83"/>
        <v>0.54656977168534748</v>
      </c>
      <c r="N615">
        <f t="shared" si="84"/>
        <v>0</v>
      </c>
      <c r="O615">
        <f t="shared" si="85"/>
        <v>12.955992381707835</v>
      </c>
      <c r="P615">
        <f t="shared" si="86"/>
        <v>14.188654933209547</v>
      </c>
      <c r="Q615">
        <f t="shared" si="87"/>
        <v>3.9399829699429834E-3</v>
      </c>
      <c r="R615">
        <f t="shared" si="88"/>
        <v>0</v>
      </c>
      <c r="S615">
        <f t="shared" si="89"/>
        <v>0</v>
      </c>
    </row>
    <row r="616" spans="1:19" x14ac:dyDescent="0.3">
      <c r="A616" t="s">
        <v>209</v>
      </c>
      <c r="B616">
        <v>2010</v>
      </c>
      <c r="C616">
        <v>0</v>
      </c>
      <c r="D616">
        <v>5.3119627022815231E-2</v>
      </c>
      <c r="E616">
        <v>0.54550617872252738</v>
      </c>
      <c r="F616">
        <v>0</v>
      </c>
      <c r="G616">
        <v>1.3134079888725039</v>
      </c>
      <c r="H616">
        <v>14.255641148101232</v>
      </c>
      <c r="I616">
        <v>4.9058016374296604E-2</v>
      </c>
      <c r="J616">
        <v>9.1544262062836865E-3</v>
      </c>
      <c r="K616">
        <f t="shared" si="81"/>
        <v>0</v>
      </c>
      <c r="L616">
        <f t="shared" si="82"/>
        <v>5.3119627022815231E-2</v>
      </c>
      <c r="M616">
        <f t="shared" si="83"/>
        <v>0.54550617872252738</v>
      </c>
      <c r="N616">
        <f t="shared" si="84"/>
        <v>0</v>
      </c>
      <c r="O616">
        <f t="shared" si="85"/>
        <v>1.3134079888725039</v>
      </c>
      <c r="P616">
        <f t="shared" si="86"/>
        <v>14.255641148101232</v>
      </c>
      <c r="Q616">
        <f t="shared" si="87"/>
        <v>4.9058016374296604E-2</v>
      </c>
      <c r="R616">
        <f t="shared" si="88"/>
        <v>9.1544262062836865E-3</v>
      </c>
      <c r="S616">
        <f t="shared" si="89"/>
        <v>0</v>
      </c>
    </row>
    <row r="617" spans="1:19" x14ac:dyDescent="0.3">
      <c r="A617" t="s">
        <v>210</v>
      </c>
      <c r="B617">
        <v>2007</v>
      </c>
      <c r="C617">
        <v>8.5739805855804454E-3</v>
      </c>
      <c r="D617">
        <v>2.8566819206660869E-2</v>
      </c>
      <c r="E617">
        <v>0.36008357565288562</v>
      </c>
      <c r="F617">
        <v>0.15652334727572489</v>
      </c>
      <c r="G617">
        <v>0.71621265360567554</v>
      </c>
      <c r="H617">
        <v>12.445644510089849</v>
      </c>
      <c r="I617">
        <v>6.7969368689989561E-3</v>
      </c>
      <c r="J617">
        <v>0</v>
      </c>
      <c r="K617">
        <f t="shared" si="81"/>
        <v>8.5739805855804454E-3</v>
      </c>
      <c r="L617">
        <f t="shared" si="82"/>
        <v>2.8566819206660869E-2</v>
      </c>
      <c r="M617">
        <f t="shared" si="83"/>
        <v>0.36008357565288562</v>
      </c>
      <c r="N617">
        <f t="shared" si="84"/>
        <v>0.15652334727572489</v>
      </c>
      <c r="O617">
        <f t="shared" si="85"/>
        <v>0.71621265360567554</v>
      </c>
      <c r="P617">
        <f t="shared" si="86"/>
        <v>12.445644510089849</v>
      </c>
      <c r="Q617">
        <f t="shared" si="87"/>
        <v>6.7969368689989561E-3</v>
      </c>
      <c r="R617">
        <f t="shared" si="88"/>
        <v>0</v>
      </c>
      <c r="S617">
        <f t="shared" si="89"/>
        <v>0</v>
      </c>
    </row>
    <row r="618" spans="1:19" x14ac:dyDescent="0.3">
      <c r="A618" t="s">
        <v>210</v>
      </c>
      <c r="B618">
        <v>2008</v>
      </c>
      <c r="C618">
        <v>3.3605890663127701E-3</v>
      </c>
      <c r="D618">
        <v>4.9295774647887321E-2</v>
      </c>
      <c r="E618">
        <v>0.3259271943719052</v>
      </c>
      <c r="F618">
        <v>0.17261726386688928</v>
      </c>
      <c r="G618">
        <v>0.61547868772921221</v>
      </c>
      <c r="H618">
        <v>12.543644277594687</v>
      </c>
      <c r="I618">
        <v>3.048150224168808E-5</v>
      </c>
      <c r="J618">
        <v>3.5675043166802235E-2</v>
      </c>
      <c r="K618">
        <f t="shared" si="81"/>
        <v>3.3605890663127701E-3</v>
      </c>
      <c r="L618">
        <f t="shared" si="82"/>
        <v>4.9295774647887321E-2</v>
      </c>
      <c r="M618">
        <f t="shared" si="83"/>
        <v>0.3259271943719052</v>
      </c>
      <c r="N618">
        <f t="shared" si="84"/>
        <v>0.17261726386688928</v>
      </c>
      <c r="O618">
        <f t="shared" si="85"/>
        <v>0.61547868772921221</v>
      </c>
      <c r="P618">
        <f t="shared" si="86"/>
        <v>12.543644277594687</v>
      </c>
      <c r="Q618">
        <f t="shared" si="87"/>
        <v>3.048150224168808E-5</v>
      </c>
      <c r="R618">
        <f t="shared" si="88"/>
        <v>3.5675043166802235E-2</v>
      </c>
      <c r="S618">
        <f t="shared" si="89"/>
        <v>0</v>
      </c>
    </row>
    <row r="619" spans="1:19" x14ac:dyDescent="0.3">
      <c r="A619" t="s">
        <v>210</v>
      </c>
      <c r="B619">
        <v>2009</v>
      </c>
      <c r="C619">
        <v>4.4915507595062855E-3</v>
      </c>
      <c r="D619">
        <v>5.2393121022735363E-2</v>
      </c>
      <c r="E619">
        <v>0.2567942713152912</v>
      </c>
      <c r="F619">
        <v>9.6087866406617026E-2</v>
      </c>
      <c r="G619">
        <v>0.66841535811397579</v>
      </c>
      <c r="H619">
        <v>12.546010299222964</v>
      </c>
      <c r="I619">
        <v>4.2429291942027714E-3</v>
      </c>
      <c r="J619">
        <v>0</v>
      </c>
      <c r="K619">
        <f t="shared" si="81"/>
        <v>4.4915507595062855E-3</v>
      </c>
      <c r="L619">
        <f t="shared" si="82"/>
        <v>5.2393121022735363E-2</v>
      </c>
      <c r="M619">
        <f t="shared" si="83"/>
        <v>0.2567942713152912</v>
      </c>
      <c r="N619">
        <f t="shared" si="84"/>
        <v>9.6087866406617026E-2</v>
      </c>
      <c r="O619">
        <f t="shared" si="85"/>
        <v>0.66841535811397579</v>
      </c>
      <c r="P619">
        <f t="shared" si="86"/>
        <v>12.546010299222964</v>
      </c>
      <c r="Q619">
        <f t="shared" si="87"/>
        <v>4.2429291942027714E-3</v>
      </c>
      <c r="R619">
        <f t="shared" si="88"/>
        <v>0</v>
      </c>
      <c r="S619">
        <f t="shared" si="89"/>
        <v>0</v>
      </c>
    </row>
    <row r="620" spans="1:19" x14ac:dyDescent="0.3">
      <c r="A620" t="s">
        <v>210</v>
      </c>
      <c r="B620">
        <v>2010</v>
      </c>
      <c r="C620">
        <v>1.0763129382423289E-2</v>
      </c>
      <c r="D620">
        <v>6.3348801711743022E-2</v>
      </c>
      <c r="E620">
        <v>0.33020558633331287</v>
      </c>
      <c r="F620">
        <v>0.35858699429646135</v>
      </c>
      <c r="G620">
        <v>0.70297527785159897</v>
      </c>
      <c r="H620">
        <v>12.589639732537123</v>
      </c>
      <c r="I620">
        <v>1.6526988159675585E-3</v>
      </c>
      <c r="J620">
        <v>0</v>
      </c>
      <c r="K620">
        <f t="shared" si="81"/>
        <v>1.0763129382423289E-2</v>
      </c>
      <c r="L620">
        <f t="shared" si="82"/>
        <v>6.3348801711743022E-2</v>
      </c>
      <c r="M620">
        <f t="shared" si="83"/>
        <v>0.33020558633331287</v>
      </c>
      <c r="N620">
        <f t="shared" si="84"/>
        <v>0.35858699429646135</v>
      </c>
      <c r="O620">
        <f t="shared" si="85"/>
        <v>0.70297527785159897</v>
      </c>
      <c r="P620">
        <f t="shared" si="86"/>
        <v>12.589639732537123</v>
      </c>
      <c r="Q620">
        <f t="shared" si="87"/>
        <v>1.6526988159675585E-3</v>
      </c>
      <c r="R620">
        <f t="shared" si="88"/>
        <v>0</v>
      </c>
      <c r="S620">
        <f t="shared" si="89"/>
        <v>0</v>
      </c>
    </row>
    <row r="621" spans="1:19" x14ac:dyDescent="0.3">
      <c r="A621" t="s">
        <v>211</v>
      </c>
      <c r="B621">
        <v>2007</v>
      </c>
      <c r="C621">
        <v>0.13225389493174358</v>
      </c>
      <c r="D621">
        <v>0.28991073731013861</v>
      </c>
      <c r="E621">
        <v>0.30094697788747637</v>
      </c>
      <c r="F621">
        <v>0</v>
      </c>
      <c r="G621">
        <v>2.4399071868771727</v>
      </c>
      <c r="H621">
        <v>14.443057854340106</v>
      </c>
      <c r="I621">
        <v>5.7231652401083938E-3</v>
      </c>
      <c r="J621">
        <v>3.2290253500913767E-2</v>
      </c>
      <c r="K621">
        <f t="shared" si="81"/>
        <v>0.13225389493174358</v>
      </c>
      <c r="L621">
        <f t="shared" si="82"/>
        <v>0.28991073731013861</v>
      </c>
      <c r="M621">
        <f t="shared" si="83"/>
        <v>0.30094697788747637</v>
      </c>
      <c r="N621">
        <f t="shared" si="84"/>
        <v>0</v>
      </c>
      <c r="O621">
        <f t="shared" si="85"/>
        <v>2.4399071868771727</v>
      </c>
      <c r="P621">
        <f t="shared" si="86"/>
        <v>14.443057854340106</v>
      </c>
      <c r="Q621">
        <f t="shared" si="87"/>
        <v>5.7231652401083938E-3</v>
      </c>
      <c r="R621">
        <f t="shared" si="88"/>
        <v>3.2290253500913767E-2</v>
      </c>
      <c r="S621">
        <f t="shared" si="89"/>
        <v>0</v>
      </c>
    </row>
    <row r="622" spans="1:19" x14ac:dyDescent="0.3">
      <c r="A622" t="s">
        <v>211</v>
      </c>
      <c r="B622">
        <v>2009</v>
      </c>
      <c r="C622">
        <v>0.1427932810081893</v>
      </c>
      <c r="D622">
        <v>0.27716413941360052</v>
      </c>
      <c r="E622">
        <v>0.44273350118739258</v>
      </c>
      <c r="F622">
        <v>0</v>
      </c>
      <c r="G622">
        <v>2.6842718393702905</v>
      </c>
      <c r="H622">
        <v>14.988050588259846</v>
      </c>
      <c r="I622">
        <v>4.9014804280435448E-3</v>
      </c>
      <c r="J622">
        <v>2.8085061329266695E-2</v>
      </c>
      <c r="K622">
        <f t="shared" si="81"/>
        <v>0.1427932810081893</v>
      </c>
      <c r="L622">
        <f t="shared" si="82"/>
        <v>0.27716413941360052</v>
      </c>
      <c r="M622">
        <f t="shared" si="83"/>
        <v>0.44273350118739258</v>
      </c>
      <c r="N622">
        <f t="shared" si="84"/>
        <v>0</v>
      </c>
      <c r="O622">
        <f t="shared" si="85"/>
        <v>2.6842718393702905</v>
      </c>
      <c r="P622">
        <f t="shared" si="86"/>
        <v>14.988050588259846</v>
      </c>
      <c r="Q622">
        <f t="shared" si="87"/>
        <v>4.9014804280435448E-3</v>
      </c>
      <c r="R622">
        <f t="shared" si="88"/>
        <v>2.8085061329266695E-2</v>
      </c>
      <c r="S622">
        <f t="shared" si="89"/>
        <v>0</v>
      </c>
    </row>
    <row r="623" spans="1:19" x14ac:dyDescent="0.3">
      <c r="A623" t="s">
        <v>211</v>
      </c>
      <c r="B623">
        <v>2010</v>
      </c>
      <c r="C623">
        <v>0.12904777294980907</v>
      </c>
      <c r="D623">
        <v>0.30538633724757902</v>
      </c>
      <c r="E623">
        <v>0.51673549514609596</v>
      </c>
      <c r="F623">
        <v>0</v>
      </c>
      <c r="G623">
        <v>1.5909908667600339</v>
      </c>
      <c r="H623">
        <v>15.245115813721291</v>
      </c>
      <c r="I623">
        <v>3.3512599261071217E-2</v>
      </c>
      <c r="J623">
        <v>5.0676913132473876E-2</v>
      </c>
      <c r="K623">
        <f t="shared" si="81"/>
        <v>0.12904777294980907</v>
      </c>
      <c r="L623">
        <f t="shared" si="82"/>
        <v>0.30538633724757902</v>
      </c>
      <c r="M623">
        <f t="shared" si="83"/>
        <v>0.51673549514609596</v>
      </c>
      <c r="N623">
        <f t="shared" si="84"/>
        <v>0</v>
      </c>
      <c r="O623">
        <f t="shared" si="85"/>
        <v>1.5909908667600339</v>
      </c>
      <c r="P623">
        <f t="shared" si="86"/>
        <v>15.245115813721291</v>
      </c>
      <c r="Q623">
        <f t="shared" si="87"/>
        <v>3.3512599261071217E-2</v>
      </c>
      <c r="R623">
        <f t="shared" si="88"/>
        <v>5.0676913132473876E-2</v>
      </c>
      <c r="S623">
        <f t="shared" si="89"/>
        <v>0</v>
      </c>
    </row>
    <row r="624" spans="1:19" x14ac:dyDescent="0.3">
      <c r="A624" t="s">
        <v>212</v>
      </c>
      <c r="B624">
        <v>2007</v>
      </c>
      <c r="C624">
        <v>7.8787223177868449E-3</v>
      </c>
      <c r="D624">
        <v>0.19164274948435564</v>
      </c>
      <c r="E624">
        <v>0.47854203923028338</v>
      </c>
      <c r="F624">
        <v>0.14777283794563364</v>
      </c>
      <c r="G624">
        <v>1.2862568371057816</v>
      </c>
      <c r="H624">
        <v>15.362235694905786</v>
      </c>
      <c r="I624">
        <v>1.8109387156783174E-2</v>
      </c>
      <c r="J624">
        <v>2.9808780370633631E-2</v>
      </c>
      <c r="K624">
        <f t="shared" si="81"/>
        <v>7.8787223177868449E-3</v>
      </c>
      <c r="L624">
        <f t="shared" si="82"/>
        <v>0.19164274948435564</v>
      </c>
      <c r="M624">
        <f t="shared" si="83"/>
        <v>0.47854203923028338</v>
      </c>
      <c r="N624">
        <f t="shared" si="84"/>
        <v>0.14777283794563364</v>
      </c>
      <c r="O624">
        <f t="shared" si="85"/>
        <v>1.2862568371057816</v>
      </c>
      <c r="P624">
        <f t="shared" si="86"/>
        <v>15.362235694905786</v>
      </c>
      <c r="Q624">
        <f t="shared" si="87"/>
        <v>1.8109387156783174E-2</v>
      </c>
      <c r="R624">
        <f t="shared" si="88"/>
        <v>2.9808780370633631E-2</v>
      </c>
      <c r="S624">
        <f t="shared" si="89"/>
        <v>0</v>
      </c>
    </row>
    <row r="625" spans="1:19" x14ac:dyDescent="0.3">
      <c r="A625" t="s">
        <v>212</v>
      </c>
      <c r="B625">
        <v>2008</v>
      </c>
      <c r="C625">
        <v>1.6916699850826028E-3</v>
      </c>
      <c r="D625">
        <v>0.16484611146988976</v>
      </c>
      <c r="E625">
        <v>0.39785296769547879</v>
      </c>
      <c r="F625">
        <v>0.26954106823419693</v>
      </c>
      <c r="G625">
        <v>0.56261466485374556</v>
      </c>
      <c r="H625">
        <v>15.393806555695313</v>
      </c>
      <c r="I625">
        <v>3.5910366264094259E-2</v>
      </c>
      <c r="J625">
        <v>3.1770548559945037E-2</v>
      </c>
      <c r="K625">
        <f t="shared" si="81"/>
        <v>1.6916699850826028E-3</v>
      </c>
      <c r="L625">
        <f t="shared" si="82"/>
        <v>0.16484611146988976</v>
      </c>
      <c r="M625">
        <f t="shared" si="83"/>
        <v>0.39785296769547879</v>
      </c>
      <c r="N625">
        <f t="shared" si="84"/>
        <v>0.26954106823419693</v>
      </c>
      <c r="O625">
        <f t="shared" si="85"/>
        <v>0.56261466485374556</v>
      </c>
      <c r="P625">
        <f t="shared" si="86"/>
        <v>15.393806555695313</v>
      </c>
      <c r="Q625">
        <f t="shared" si="87"/>
        <v>3.5910366264094259E-2</v>
      </c>
      <c r="R625">
        <f t="shared" si="88"/>
        <v>3.1770548559945037E-2</v>
      </c>
      <c r="S625">
        <f t="shared" si="89"/>
        <v>0</v>
      </c>
    </row>
    <row r="626" spans="1:19" x14ac:dyDescent="0.3">
      <c r="A626" t="s">
        <v>212</v>
      </c>
      <c r="B626">
        <v>2009</v>
      </c>
      <c r="C626">
        <v>9.9482112064774755E-4</v>
      </c>
      <c r="D626">
        <v>6.7208760955575625E-2</v>
      </c>
      <c r="E626">
        <v>8.7353648585680774E-2</v>
      </c>
      <c r="F626">
        <v>0.23014720903942867</v>
      </c>
      <c r="G626">
        <v>0.74138866609707721</v>
      </c>
      <c r="H626">
        <v>15.242364399150516</v>
      </c>
      <c r="I626">
        <v>4.6740481721188359E-2</v>
      </c>
      <c r="J626">
        <v>0</v>
      </c>
      <c r="K626">
        <f t="shared" si="81"/>
        <v>9.9482112064774755E-4</v>
      </c>
      <c r="L626">
        <f t="shared" si="82"/>
        <v>6.7208760955575625E-2</v>
      </c>
      <c r="M626">
        <f t="shared" si="83"/>
        <v>8.7353648585680774E-2</v>
      </c>
      <c r="N626">
        <f t="shared" si="84"/>
        <v>0.23014720903942867</v>
      </c>
      <c r="O626">
        <f t="shared" si="85"/>
        <v>0.74138866609707721</v>
      </c>
      <c r="P626">
        <f t="shared" si="86"/>
        <v>15.242364399150516</v>
      </c>
      <c r="Q626">
        <f t="shared" si="87"/>
        <v>4.6740481721188359E-2</v>
      </c>
      <c r="R626">
        <f t="shared" si="88"/>
        <v>0</v>
      </c>
      <c r="S626">
        <f t="shared" si="89"/>
        <v>0</v>
      </c>
    </row>
    <row r="627" spans="1:19" x14ac:dyDescent="0.3">
      <c r="A627" t="s">
        <v>212</v>
      </c>
      <c r="B627">
        <v>2010</v>
      </c>
      <c r="C627">
        <v>3.7316288420871563E-2</v>
      </c>
      <c r="D627">
        <v>0.18087746813834099</v>
      </c>
      <c r="E627">
        <v>7.8605133208834707E-2</v>
      </c>
      <c r="F627">
        <v>0.15941054577347175</v>
      </c>
      <c r="G627">
        <v>0.68823309600143667</v>
      </c>
      <c r="H627">
        <v>15.403690716919415</v>
      </c>
      <c r="I627">
        <v>4.7411276461199747E-4</v>
      </c>
      <c r="J627">
        <v>3.4603836331086268E-2</v>
      </c>
      <c r="K627">
        <f t="shared" si="81"/>
        <v>3.7316288420871563E-2</v>
      </c>
      <c r="L627">
        <f t="shared" si="82"/>
        <v>0.18087746813834099</v>
      </c>
      <c r="M627">
        <f t="shared" si="83"/>
        <v>7.8605133208834707E-2</v>
      </c>
      <c r="N627">
        <f t="shared" si="84"/>
        <v>0.15941054577347175</v>
      </c>
      <c r="O627">
        <f t="shared" si="85"/>
        <v>0.68823309600143667</v>
      </c>
      <c r="P627">
        <f t="shared" si="86"/>
        <v>15.403690716919415</v>
      </c>
      <c r="Q627">
        <f t="shared" si="87"/>
        <v>4.7411276461199747E-4</v>
      </c>
      <c r="R627">
        <f t="shared" si="88"/>
        <v>3.4603836331086268E-2</v>
      </c>
      <c r="S627">
        <f t="shared" si="89"/>
        <v>0</v>
      </c>
    </row>
    <row r="628" spans="1:19" x14ac:dyDescent="0.3">
      <c r="A628" t="s">
        <v>213</v>
      </c>
      <c r="B628">
        <v>2007</v>
      </c>
      <c r="C628">
        <v>6.9478377397821905E-3</v>
      </c>
      <c r="D628">
        <v>6.8940809511526258E-2</v>
      </c>
      <c r="E628">
        <v>4.3254291979752772E-2</v>
      </c>
      <c r="F628">
        <v>0.34384981094247746</v>
      </c>
      <c r="G628">
        <v>1.1675876623626282</v>
      </c>
      <c r="H628">
        <v>14.173546475358346</v>
      </c>
      <c r="I628">
        <v>1.0967731186184125E-2</v>
      </c>
      <c r="J628">
        <v>2.257365693661802E-2</v>
      </c>
      <c r="K628">
        <f t="shared" si="81"/>
        <v>6.9478377397821905E-3</v>
      </c>
      <c r="L628">
        <f t="shared" si="82"/>
        <v>6.8940809511526258E-2</v>
      </c>
      <c r="M628">
        <f t="shared" si="83"/>
        <v>4.3254291979752772E-2</v>
      </c>
      <c r="N628">
        <f t="shared" si="84"/>
        <v>0.34384981094247746</v>
      </c>
      <c r="O628">
        <f t="shared" si="85"/>
        <v>1.1675876623626282</v>
      </c>
      <c r="P628">
        <f t="shared" si="86"/>
        <v>14.173546475358346</v>
      </c>
      <c r="Q628">
        <f t="shared" si="87"/>
        <v>1.0967731186184125E-2</v>
      </c>
      <c r="R628">
        <f t="shared" si="88"/>
        <v>2.257365693661802E-2</v>
      </c>
      <c r="S628">
        <f t="shared" si="89"/>
        <v>0</v>
      </c>
    </row>
    <row r="629" spans="1:19" x14ac:dyDescent="0.3">
      <c r="A629" t="s">
        <v>213</v>
      </c>
      <c r="B629">
        <v>2009</v>
      </c>
      <c r="C629">
        <v>5.5180042741811931E-4</v>
      </c>
      <c r="D629">
        <v>7.2128755164202821E-2</v>
      </c>
      <c r="E629">
        <v>0.10531468204610195</v>
      </c>
      <c r="F629">
        <v>0.34547186077490954</v>
      </c>
      <c r="G629">
        <v>0.90867151125802703</v>
      </c>
      <c r="H629">
        <v>14.247560471076914</v>
      </c>
      <c r="I629">
        <v>4.2899232609583497E-3</v>
      </c>
      <c r="J629">
        <v>0</v>
      </c>
      <c r="K629">
        <f t="shared" si="81"/>
        <v>5.5180042741811931E-4</v>
      </c>
      <c r="L629">
        <f t="shared" si="82"/>
        <v>7.2128755164202821E-2</v>
      </c>
      <c r="M629">
        <f t="shared" si="83"/>
        <v>0.10531468204610195</v>
      </c>
      <c r="N629">
        <f t="shared" si="84"/>
        <v>0.34547186077490954</v>
      </c>
      <c r="O629">
        <f t="shared" si="85"/>
        <v>0.90867151125802703</v>
      </c>
      <c r="P629">
        <f t="shared" si="86"/>
        <v>14.247560471076914</v>
      </c>
      <c r="Q629">
        <f t="shared" si="87"/>
        <v>4.2899232609583497E-3</v>
      </c>
      <c r="R629">
        <f t="shared" si="88"/>
        <v>0</v>
      </c>
      <c r="S629">
        <f t="shared" si="89"/>
        <v>0</v>
      </c>
    </row>
    <row r="630" spans="1:19" x14ac:dyDescent="0.3">
      <c r="A630" t="s">
        <v>213</v>
      </c>
      <c r="B630">
        <v>2010</v>
      </c>
      <c r="C630">
        <v>2.642617624683068E-2</v>
      </c>
      <c r="D630">
        <v>5.69552560976797E-2</v>
      </c>
      <c r="E630">
        <v>0.11642997317118288</v>
      </c>
      <c r="F630">
        <v>0.20031627128120466</v>
      </c>
      <c r="G630">
        <v>0.77633100279136535</v>
      </c>
      <c r="H630">
        <v>14.178767989716176</v>
      </c>
      <c r="I630">
        <v>1.3893461500310497E-3</v>
      </c>
      <c r="J630">
        <v>0</v>
      </c>
      <c r="K630">
        <f t="shared" si="81"/>
        <v>2.642617624683068E-2</v>
      </c>
      <c r="L630">
        <f t="shared" si="82"/>
        <v>5.69552560976797E-2</v>
      </c>
      <c r="M630">
        <f t="shared" si="83"/>
        <v>0.11642997317118288</v>
      </c>
      <c r="N630">
        <f t="shared" si="84"/>
        <v>0.20031627128120466</v>
      </c>
      <c r="O630">
        <f t="shared" si="85"/>
        <v>0.77633100279136535</v>
      </c>
      <c r="P630">
        <f t="shared" si="86"/>
        <v>14.178767989716176</v>
      </c>
      <c r="Q630">
        <f t="shared" si="87"/>
        <v>1.3893461500310497E-3</v>
      </c>
      <c r="R630">
        <f t="shared" si="88"/>
        <v>0</v>
      </c>
      <c r="S630">
        <f t="shared" si="89"/>
        <v>0</v>
      </c>
    </row>
    <row r="631" spans="1:19" x14ac:dyDescent="0.3">
      <c r="A631" t="s">
        <v>214</v>
      </c>
      <c r="B631">
        <v>2007</v>
      </c>
      <c r="C631">
        <v>1.2229922543823889E-3</v>
      </c>
      <c r="D631">
        <v>3.3718297048087868E-2</v>
      </c>
      <c r="E631">
        <v>0.54171723193729981</v>
      </c>
      <c r="F631">
        <v>0</v>
      </c>
      <c r="G631">
        <v>0.74805475894799101</v>
      </c>
      <c r="H631">
        <v>12.958358638756268</v>
      </c>
      <c r="I631">
        <v>1.6895465120306409E-2</v>
      </c>
      <c r="J631">
        <v>0</v>
      </c>
      <c r="K631">
        <f t="shared" si="81"/>
        <v>1.2229922543823889E-3</v>
      </c>
      <c r="L631">
        <f t="shared" si="82"/>
        <v>3.3718297048087868E-2</v>
      </c>
      <c r="M631">
        <f t="shared" si="83"/>
        <v>0.54171723193729981</v>
      </c>
      <c r="N631">
        <f t="shared" si="84"/>
        <v>0</v>
      </c>
      <c r="O631">
        <f t="shared" si="85"/>
        <v>0.74805475894799101</v>
      </c>
      <c r="P631">
        <f t="shared" si="86"/>
        <v>12.958358638756268</v>
      </c>
      <c r="Q631">
        <f t="shared" si="87"/>
        <v>1.6895465120306409E-2</v>
      </c>
      <c r="R631">
        <f t="shared" si="88"/>
        <v>0</v>
      </c>
      <c r="S631">
        <f t="shared" si="89"/>
        <v>0</v>
      </c>
    </row>
    <row r="632" spans="1:19" x14ac:dyDescent="0.3">
      <c r="A632" t="s">
        <v>214</v>
      </c>
      <c r="B632">
        <v>2009</v>
      </c>
      <c r="C632">
        <v>5.1651024862751438E-3</v>
      </c>
      <c r="D632">
        <v>0.30077094372625252</v>
      </c>
      <c r="E632">
        <v>0.47577443465351626</v>
      </c>
      <c r="F632">
        <v>0</v>
      </c>
      <c r="G632">
        <v>0.41487539226998466</v>
      </c>
      <c r="H632">
        <v>13.430340602900392</v>
      </c>
      <c r="I632">
        <v>0.12025585298051833</v>
      </c>
      <c r="J632">
        <v>0</v>
      </c>
      <c r="K632">
        <f t="shared" si="81"/>
        <v>5.1651024862751438E-3</v>
      </c>
      <c r="L632">
        <f t="shared" si="82"/>
        <v>0.30077094372625252</v>
      </c>
      <c r="M632">
        <f t="shared" si="83"/>
        <v>0.47577443465351626</v>
      </c>
      <c r="N632">
        <f t="shared" si="84"/>
        <v>0</v>
      </c>
      <c r="O632">
        <f t="shared" si="85"/>
        <v>0.41487539226998466</v>
      </c>
      <c r="P632">
        <f t="shared" si="86"/>
        <v>13.430340602900392</v>
      </c>
      <c r="Q632">
        <f t="shared" si="87"/>
        <v>0.12025585298051833</v>
      </c>
      <c r="R632">
        <f t="shared" si="88"/>
        <v>0</v>
      </c>
      <c r="S632">
        <f t="shared" si="89"/>
        <v>0</v>
      </c>
    </row>
    <row r="633" spans="1:19" x14ac:dyDescent="0.3">
      <c r="A633" t="s">
        <v>214</v>
      </c>
      <c r="B633">
        <v>2010</v>
      </c>
      <c r="C633">
        <v>1.0072360789293332E-3</v>
      </c>
      <c r="D633">
        <v>1.9054414482838417E-2</v>
      </c>
      <c r="E633">
        <v>0.38206882433743444</v>
      </c>
      <c r="F633">
        <v>0</v>
      </c>
      <c r="G633">
        <v>0.19343973346070892</v>
      </c>
      <c r="H633">
        <v>13.421166382416386</v>
      </c>
      <c r="I633">
        <v>4.2810937636480945E-2</v>
      </c>
      <c r="J633">
        <v>0</v>
      </c>
      <c r="K633">
        <f t="shared" si="81"/>
        <v>1.0072360789293332E-3</v>
      </c>
      <c r="L633">
        <f t="shared" si="82"/>
        <v>1.9054414482838417E-2</v>
      </c>
      <c r="M633">
        <f t="shared" si="83"/>
        <v>0.38206882433743444</v>
      </c>
      <c r="N633">
        <f t="shared" si="84"/>
        <v>0</v>
      </c>
      <c r="O633">
        <f t="shared" si="85"/>
        <v>0.19343973346070892</v>
      </c>
      <c r="P633">
        <f t="shared" si="86"/>
        <v>13.421166382416386</v>
      </c>
      <c r="Q633">
        <f t="shared" si="87"/>
        <v>4.2810937636480945E-2</v>
      </c>
      <c r="R633">
        <f t="shared" si="88"/>
        <v>0</v>
      </c>
      <c r="S633">
        <f t="shared" si="89"/>
        <v>0</v>
      </c>
    </row>
    <row r="634" spans="1:19" x14ac:dyDescent="0.3">
      <c r="A634" t="s">
        <v>215</v>
      </c>
      <c r="B634">
        <v>2007</v>
      </c>
      <c r="C634">
        <v>1.7293979176705851E-3</v>
      </c>
      <c r="D634">
        <v>3.9802456864394493E-2</v>
      </c>
      <c r="E634">
        <v>-4.7609932900480142E-2</v>
      </c>
      <c r="F634">
        <v>0.17316086366915553</v>
      </c>
      <c r="G634">
        <v>0.94882649997285573</v>
      </c>
      <c r="H634">
        <v>14.39590832540668</v>
      </c>
      <c r="I634">
        <v>1.1591580201239363E-2</v>
      </c>
      <c r="J634">
        <v>0</v>
      </c>
      <c r="K634">
        <f t="shared" si="81"/>
        <v>1.7293979176705851E-3</v>
      </c>
      <c r="L634">
        <f t="shared" si="82"/>
        <v>3.9802456864394493E-2</v>
      </c>
      <c r="M634">
        <f t="shared" si="83"/>
        <v>-4.7609932900480142E-2</v>
      </c>
      <c r="N634">
        <f t="shared" si="84"/>
        <v>0.17316086366915553</v>
      </c>
      <c r="O634">
        <f t="shared" si="85"/>
        <v>0.94882649997285573</v>
      </c>
      <c r="P634">
        <f t="shared" si="86"/>
        <v>14.39590832540668</v>
      </c>
      <c r="Q634">
        <f t="shared" si="87"/>
        <v>1.1591580201239363E-2</v>
      </c>
      <c r="R634">
        <f t="shared" si="88"/>
        <v>0</v>
      </c>
      <c r="S634">
        <f t="shared" si="89"/>
        <v>0</v>
      </c>
    </row>
    <row r="635" spans="1:19" x14ac:dyDescent="0.3">
      <c r="A635" t="s">
        <v>215</v>
      </c>
      <c r="B635">
        <v>2008</v>
      </c>
      <c r="C635">
        <v>2.0218829397500717E-2</v>
      </c>
      <c r="D635">
        <v>8.2907002518442782E-2</v>
      </c>
      <c r="E635">
        <v>-9.4901072315285426E-2</v>
      </c>
      <c r="F635">
        <v>0.22605613643477165</v>
      </c>
      <c r="G635">
        <v>0.87431505819373845</v>
      </c>
      <c r="H635">
        <v>14.400824167383995</v>
      </c>
      <c r="I635">
        <v>9.7247530925664745E-3</v>
      </c>
      <c r="J635">
        <v>0</v>
      </c>
      <c r="K635">
        <f t="shared" si="81"/>
        <v>2.0218829397500717E-2</v>
      </c>
      <c r="L635">
        <f t="shared" si="82"/>
        <v>8.2907002518442782E-2</v>
      </c>
      <c r="M635">
        <f t="shared" si="83"/>
        <v>-9.4901072315285426E-2</v>
      </c>
      <c r="N635">
        <f t="shared" si="84"/>
        <v>0.22605613643477165</v>
      </c>
      <c r="O635">
        <f t="shared" si="85"/>
        <v>0.87431505819373845</v>
      </c>
      <c r="P635">
        <f t="shared" si="86"/>
        <v>14.400824167383995</v>
      </c>
      <c r="Q635">
        <f t="shared" si="87"/>
        <v>9.7247530925664745E-3</v>
      </c>
      <c r="R635">
        <f t="shared" si="88"/>
        <v>0</v>
      </c>
      <c r="S635">
        <f t="shared" si="89"/>
        <v>0</v>
      </c>
    </row>
    <row r="636" spans="1:19" x14ac:dyDescent="0.3">
      <c r="A636" t="s">
        <v>215</v>
      </c>
      <c r="B636">
        <v>2009</v>
      </c>
      <c r="C636">
        <v>4.4740940644050496E-4</v>
      </c>
      <c r="D636">
        <v>0.11110155810188886</v>
      </c>
      <c r="E636">
        <v>-0.16174205998900371</v>
      </c>
      <c r="F636">
        <v>0.22332519928064015</v>
      </c>
      <c r="G636">
        <v>0.8438131657747685</v>
      </c>
      <c r="H636">
        <v>14.417675579312229</v>
      </c>
      <c r="I636">
        <v>1.7416605469957231E-2</v>
      </c>
      <c r="J636">
        <v>0</v>
      </c>
      <c r="K636">
        <f t="shared" si="81"/>
        <v>4.4740940644050496E-4</v>
      </c>
      <c r="L636">
        <f t="shared" si="82"/>
        <v>0.11110155810188886</v>
      </c>
      <c r="M636">
        <f t="shared" si="83"/>
        <v>-0.16174205998900371</v>
      </c>
      <c r="N636">
        <f t="shared" si="84"/>
        <v>0.22332519928064015</v>
      </c>
      <c r="O636">
        <f t="shared" si="85"/>
        <v>0.8438131657747685</v>
      </c>
      <c r="P636">
        <f t="shared" si="86"/>
        <v>14.417675579312229</v>
      </c>
      <c r="Q636">
        <f t="shared" si="87"/>
        <v>1.7416605469957231E-2</v>
      </c>
      <c r="R636">
        <f t="shared" si="88"/>
        <v>0</v>
      </c>
      <c r="S636">
        <f t="shared" si="89"/>
        <v>0</v>
      </c>
    </row>
    <row r="637" spans="1:19" x14ac:dyDescent="0.3">
      <c r="A637" t="s">
        <v>215</v>
      </c>
      <c r="B637">
        <v>2010</v>
      </c>
      <c r="C637">
        <v>1.0967756941623981E-3</v>
      </c>
      <c r="D637">
        <v>6.3672033651153759E-2</v>
      </c>
      <c r="E637">
        <v>-0.23118409430720335</v>
      </c>
      <c r="F637">
        <v>0.46202168144838801</v>
      </c>
      <c r="G637">
        <v>0.81209660094958469</v>
      </c>
      <c r="H637">
        <v>14.332357815249487</v>
      </c>
      <c r="I637">
        <v>1.165389642156796E-2</v>
      </c>
      <c r="J637">
        <v>0</v>
      </c>
      <c r="K637">
        <f t="shared" si="81"/>
        <v>1.0967756941623981E-3</v>
      </c>
      <c r="L637">
        <f t="shared" si="82"/>
        <v>6.3672033651153759E-2</v>
      </c>
      <c r="M637">
        <f t="shared" si="83"/>
        <v>-0.23118409430720335</v>
      </c>
      <c r="N637">
        <f t="shared" si="84"/>
        <v>0.46202168144838801</v>
      </c>
      <c r="O637">
        <f t="shared" si="85"/>
        <v>0.81209660094958469</v>
      </c>
      <c r="P637">
        <f t="shared" si="86"/>
        <v>14.332357815249487</v>
      </c>
      <c r="Q637">
        <f t="shared" si="87"/>
        <v>1.165389642156796E-2</v>
      </c>
      <c r="R637">
        <f t="shared" si="88"/>
        <v>0</v>
      </c>
      <c r="S637">
        <f t="shared" si="89"/>
        <v>0</v>
      </c>
    </row>
    <row r="638" spans="1:19" x14ac:dyDescent="0.3">
      <c r="A638" t="s">
        <v>216</v>
      </c>
      <c r="B638">
        <v>2007</v>
      </c>
      <c r="C638">
        <v>2.9959896763474218E-2</v>
      </c>
      <c r="D638">
        <v>8.5631329917109658E-2</v>
      </c>
      <c r="E638">
        <v>-0.17393759748347579</v>
      </c>
      <c r="F638">
        <v>0.314200735176412</v>
      </c>
      <c r="G638">
        <v>0.94170409298190383</v>
      </c>
      <c r="H638">
        <v>14.334550154500713</v>
      </c>
      <c r="I638">
        <v>1.2273146125254635E-2</v>
      </c>
      <c r="J638">
        <v>0</v>
      </c>
      <c r="K638">
        <f t="shared" si="81"/>
        <v>2.9959896763474218E-2</v>
      </c>
      <c r="L638">
        <f t="shared" si="82"/>
        <v>8.5631329917109658E-2</v>
      </c>
      <c r="M638">
        <f t="shared" si="83"/>
        <v>-0.17393759748347579</v>
      </c>
      <c r="N638">
        <f t="shared" si="84"/>
        <v>0.314200735176412</v>
      </c>
      <c r="O638">
        <f t="shared" si="85"/>
        <v>0.94170409298190383</v>
      </c>
      <c r="P638">
        <f t="shared" si="86"/>
        <v>14.334550154500713</v>
      </c>
      <c r="Q638">
        <f t="shared" si="87"/>
        <v>1.2273146125254635E-2</v>
      </c>
      <c r="R638">
        <f t="shared" si="88"/>
        <v>0</v>
      </c>
      <c r="S638">
        <f t="shared" si="89"/>
        <v>0</v>
      </c>
    </row>
    <row r="639" spans="1:19" x14ac:dyDescent="0.3">
      <c r="A639" t="s">
        <v>216</v>
      </c>
      <c r="B639">
        <v>2008</v>
      </c>
      <c r="C639">
        <v>2.0044645245883924E-2</v>
      </c>
      <c r="D639">
        <v>5.5907858529532929E-2</v>
      </c>
      <c r="E639">
        <v>-0.19591439375402933</v>
      </c>
      <c r="F639">
        <v>0.33547416482376452</v>
      </c>
      <c r="G639">
        <v>0.82461935434267741</v>
      </c>
      <c r="H639">
        <v>14.470412109821542</v>
      </c>
      <c r="I639">
        <v>1.1238137367493911E-2</v>
      </c>
      <c r="J639">
        <v>0</v>
      </c>
      <c r="K639">
        <f t="shared" si="81"/>
        <v>2.0044645245883924E-2</v>
      </c>
      <c r="L639">
        <f t="shared" si="82"/>
        <v>5.5907858529532929E-2</v>
      </c>
      <c r="M639">
        <f t="shared" si="83"/>
        <v>-0.19591439375402933</v>
      </c>
      <c r="N639">
        <f t="shared" si="84"/>
        <v>0.33547416482376452</v>
      </c>
      <c r="O639">
        <f t="shared" si="85"/>
        <v>0.82461935434267741</v>
      </c>
      <c r="P639">
        <f t="shared" si="86"/>
        <v>14.470412109821542</v>
      </c>
      <c r="Q639">
        <f t="shared" si="87"/>
        <v>1.1238137367493911E-2</v>
      </c>
      <c r="R639">
        <f t="shared" si="88"/>
        <v>0</v>
      </c>
      <c r="S639">
        <f t="shared" si="89"/>
        <v>0</v>
      </c>
    </row>
    <row r="640" spans="1:19" x14ac:dyDescent="0.3">
      <c r="A640" t="s">
        <v>216</v>
      </c>
      <c r="B640">
        <v>2009</v>
      </c>
      <c r="C640">
        <v>2.7367897148961443E-2</v>
      </c>
      <c r="D640">
        <v>8.8396482237503127E-2</v>
      </c>
      <c r="E640">
        <v>-5.6032824481654822E-2</v>
      </c>
      <c r="F640">
        <v>0.51106070736235043</v>
      </c>
      <c r="G640">
        <v>0.83427287871600553</v>
      </c>
      <c r="H640">
        <v>14.577164625273049</v>
      </c>
      <c r="I640">
        <v>6.1621937873042459E-3</v>
      </c>
      <c r="J640">
        <v>0</v>
      </c>
      <c r="K640">
        <f t="shared" si="81"/>
        <v>2.7367897148961443E-2</v>
      </c>
      <c r="L640">
        <f t="shared" si="82"/>
        <v>8.8396482237503127E-2</v>
      </c>
      <c r="M640">
        <f t="shared" si="83"/>
        <v>-5.6032824481654822E-2</v>
      </c>
      <c r="N640">
        <f t="shared" si="84"/>
        <v>0.51106070736235043</v>
      </c>
      <c r="O640">
        <f t="shared" si="85"/>
        <v>0.83427287871600553</v>
      </c>
      <c r="P640">
        <f t="shared" si="86"/>
        <v>14.577164625273049</v>
      </c>
      <c r="Q640">
        <f t="shared" si="87"/>
        <v>6.1621937873042459E-3</v>
      </c>
      <c r="R640">
        <f t="shared" si="88"/>
        <v>0</v>
      </c>
      <c r="S640">
        <f t="shared" si="89"/>
        <v>0</v>
      </c>
    </row>
    <row r="641" spans="1:19" x14ac:dyDescent="0.3">
      <c r="A641" t="s">
        <v>216</v>
      </c>
      <c r="B641">
        <v>2010</v>
      </c>
      <c r="C641">
        <v>2.3357920939885226E-2</v>
      </c>
      <c r="D641">
        <v>7.5331676249544358E-2</v>
      </c>
      <c r="E641">
        <v>-0.12275913609395922</v>
      </c>
      <c r="F641">
        <v>0.43939799135068203</v>
      </c>
      <c r="G641">
        <v>0.8106749563595933</v>
      </c>
      <c r="H641">
        <v>14.596556887993888</v>
      </c>
      <c r="I641">
        <v>4.5047909425711789E-3</v>
      </c>
      <c r="J641">
        <v>0</v>
      </c>
      <c r="K641">
        <f t="shared" si="81"/>
        <v>2.3357920939885226E-2</v>
      </c>
      <c r="L641">
        <f t="shared" si="82"/>
        <v>7.5331676249544358E-2</v>
      </c>
      <c r="M641">
        <f t="shared" si="83"/>
        <v>-0.12275913609395922</v>
      </c>
      <c r="N641">
        <f t="shared" si="84"/>
        <v>0.43939799135068203</v>
      </c>
      <c r="O641">
        <f t="shared" si="85"/>
        <v>0.8106749563595933</v>
      </c>
      <c r="P641">
        <f t="shared" si="86"/>
        <v>14.596556887993888</v>
      </c>
      <c r="Q641">
        <f t="shared" si="87"/>
        <v>4.5047909425711789E-3</v>
      </c>
      <c r="R641">
        <f t="shared" si="88"/>
        <v>0</v>
      </c>
      <c r="S641">
        <f t="shared" si="89"/>
        <v>0</v>
      </c>
    </row>
    <row r="642" spans="1:19" x14ac:dyDescent="0.3">
      <c r="A642" t="s">
        <v>217</v>
      </c>
      <c r="B642">
        <v>2007</v>
      </c>
      <c r="C642">
        <v>0.2452173066372568</v>
      </c>
      <c r="D642">
        <v>5.7454111047239922E-2</v>
      </c>
      <c r="E642">
        <v>0.42217087561158745</v>
      </c>
      <c r="F642">
        <v>0</v>
      </c>
      <c r="G642">
        <v>6.3902560756168301</v>
      </c>
      <c r="H642">
        <v>13.188265343628068</v>
      </c>
      <c r="I642">
        <v>2.4501303241346622E-2</v>
      </c>
      <c r="J642">
        <v>0</v>
      </c>
      <c r="K642">
        <f t="shared" si="81"/>
        <v>0.2452173066372568</v>
      </c>
      <c r="L642">
        <f t="shared" si="82"/>
        <v>5.7454111047239922E-2</v>
      </c>
      <c r="M642">
        <f t="shared" si="83"/>
        <v>0.42217087561158745</v>
      </c>
      <c r="N642">
        <f t="shared" si="84"/>
        <v>0</v>
      </c>
      <c r="O642">
        <f t="shared" si="85"/>
        <v>6.3902560756168301</v>
      </c>
      <c r="P642">
        <f t="shared" si="86"/>
        <v>13.188265343628068</v>
      </c>
      <c r="Q642">
        <f t="shared" si="87"/>
        <v>2.4501303241346622E-2</v>
      </c>
      <c r="R642">
        <f t="shared" si="88"/>
        <v>0</v>
      </c>
      <c r="S642">
        <f t="shared" si="89"/>
        <v>0</v>
      </c>
    </row>
    <row r="643" spans="1:19" x14ac:dyDescent="0.3">
      <c r="A643" t="s">
        <v>217</v>
      </c>
      <c r="B643">
        <v>2009</v>
      </c>
      <c r="C643">
        <v>1.2920215150156881E-2</v>
      </c>
      <c r="D643">
        <v>0.20084683357879235</v>
      </c>
      <c r="E643">
        <v>0.57923256707434201</v>
      </c>
      <c r="F643">
        <v>0</v>
      </c>
      <c r="G643">
        <v>2.4551937632067617</v>
      </c>
      <c r="H643">
        <v>13.344994797601782</v>
      </c>
      <c r="I643">
        <v>5.0771402322193668E-2</v>
      </c>
      <c r="J643">
        <v>0</v>
      </c>
      <c r="K643">
        <f t="shared" ref="K643:K706" si="90">IF(OR(C643&lt;$C$1007-3*$C$1008,C643&gt;$C$1007+3*$C$1008),"out",C643)</f>
        <v>1.2920215150156881E-2</v>
      </c>
      <c r="L643">
        <f t="shared" ref="L643:L706" si="91">IF(OR(D643&lt;$D$1007-3*$D$1008,D643&gt;$D$1007+3*$D$1008),"out",D643)</f>
        <v>0.20084683357879235</v>
      </c>
      <c r="M643">
        <f t="shared" ref="M643:M706" si="92">IF(OR(E643&lt;$E$1007-3*$E$1008,E643&gt;$E$1007+3*$E$1008),"out",E643)</f>
        <v>0.57923256707434201</v>
      </c>
      <c r="N643">
        <f t="shared" ref="N643:N706" si="93">IF(OR(F643&lt;$F$1007-3*$F$1008,F643&gt;$F$1007+3*$F$1008),"out",F643)</f>
        <v>0</v>
      </c>
      <c r="O643">
        <f t="shared" ref="O643:O706" si="94">IF(OR(G643&lt;$G$1007-3*$G$1008,G643&gt;$G$1007+3*$G$1008),"out",G643)</f>
        <v>2.4551937632067617</v>
      </c>
      <c r="P643">
        <f t="shared" ref="P643:P706" si="95">IF(OR(H643&lt;$H$1007-3*$H$1008,H643&gt;$H$1007+3*$H$1008),"out",H643)</f>
        <v>13.344994797601782</v>
      </c>
      <c r="Q643">
        <f t="shared" ref="Q643:Q706" si="96">IF(OR(I643&lt;$I$1007-3*$I$1008,I643&gt;$I$1007+3*$I$1008),"out",I643)</f>
        <v>5.0771402322193668E-2</v>
      </c>
      <c r="R643">
        <f t="shared" ref="R643:R706" si="97">IF(OR(J643&lt;$J$1007-3*$J$1008,J643&gt;$J$1007+3*$J$1008),"out",J643)</f>
        <v>0</v>
      </c>
      <c r="S643">
        <f t="shared" ref="S643:S706" si="98">IF(OR(K643="ot",L643="out",M643="out",N643="out",O643="out",P643="out",Q643="out",R643="out"),1,0)</f>
        <v>0</v>
      </c>
    </row>
    <row r="644" spans="1:19" x14ac:dyDescent="0.3">
      <c r="A644" t="s">
        <v>217</v>
      </c>
      <c r="B644">
        <v>2010</v>
      </c>
      <c r="C644">
        <v>1.4999965862617518E-2</v>
      </c>
      <c r="D644">
        <v>0.10106713457638922</v>
      </c>
      <c r="E644">
        <v>0.66319375695549165</v>
      </c>
      <c r="F644">
        <v>0</v>
      </c>
      <c r="G644">
        <v>2.3833372022366812</v>
      </c>
      <c r="H644">
        <v>13.280849787212516</v>
      </c>
      <c r="I644">
        <v>9.1544147185068717E-3</v>
      </c>
      <c r="J644">
        <v>0</v>
      </c>
      <c r="K644">
        <f t="shared" si="90"/>
        <v>1.4999965862617518E-2</v>
      </c>
      <c r="L644">
        <f t="shared" si="91"/>
        <v>0.10106713457638922</v>
      </c>
      <c r="M644">
        <f t="shared" si="92"/>
        <v>0.66319375695549165</v>
      </c>
      <c r="N644">
        <f t="shared" si="93"/>
        <v>0</v>
      </c>
      <c r="O644">
        <f t="shared" si="94"/>
        <v>2.3833372022366812</v>
      </c>
      <c r="P644">
        <f t="shared" si="95"/>
        <v>13.280849787212516</v>
      </c>
      <c r="Q644">
        <f t="shared" si="96"/>
        <v>9.1544147185068717E-3</v>
      </c>
      <c r="R644">
        <f t="shared" si="97"/>
        <v>0</v>
      </c>
      <c r="S644">
        <f t="shared" si="98"/>
        <v>0</v>
      </c>
    </row>
    <row r="645" spans="1:19" x14ac:dyDescent="0.3">
      <c r="A645" t="s">
        <v>218</v>
      </c>
      <c r="B645">
        <v>2007</v>
      </c>
      <c r="C645">
        <v>9.4019717037409953E-2</v>
      </c>
      <c r="D645">
        <v>9.0730095895559706E-2</v>
      </c>
      <c r="E645">
        <v>0.83534653089795619</v>
      </c>
      <c r="F645">
        <v>0</v>
      </c>
      <c r="G645">
        <v>1.2561973496825896</v>
      </c>
      <c r="H645">
        <v>12.577646546736736</v>
      </c>
      <c r="I645">
        <v>1.2572365846949537E-2</v>
      </c>
      <c r="J645">
        <v>9.8554152888073565E-2</v>
      </c>
      <c r="K645">
        <f t="shared" si="90"/>
        <v>9.4019717037409953E-2</v>
      </c>
      <c r="L645">
        <f t="shared" si="91"/>
        <v>9.0730095895559706E-2</v>
      </c>
      <c r="M645">
        <f t="shared" si="92"/>
        <v>0.83534653089795619</v>
      </c>
      <c r="N645">
        <f t="shared" si="93"/>
        <v>0</v>
      </c>
      <c r="O645">
        <f t="shared" si="94"/>
        <v>1.2561973496825896</v>
      </c>
      <c r="P645">
        <f t="shared" si="95"/>
        <v>12.577646546736736</v>
      </c>
      <c r="Q645">
        <f t="shared" si="96"/>
        <v>1.2572365846949537E-2</v>
      </c>
      <c r="R645">
        <f t="shared" si="97"/>
        <v>9.8554152888073565E-2</v>
      </c>
      <c r="S645">
        <f t="shared" si="98"/>
        <v>0</v>
      </c>
    </row>
    <row r="646" spans="1:19" x14ac:dyDescent="0.3">
      <c r="A646" t="s">
        <v>218</v>
      </c>
      <c r="B646">
        <v>2009</v>
      </c>
      <c r="C646">
        <v>4.3661774058992131E-2</v>
      </c>
      <c r="D646">
        <v>5.1987742324498008E-2</v>
      </c>
      <c r="E646">
        <v>0.43468079658370984</v>
      </c>
      <c r="F646">
        <v>0</v>
      </c>
      <c r="G646">
        <v>0.61195709813574295</v>
      </c>
      <c r="H646">
        <v>12.397246570901284</v>
      </c>
      <c r="I646">
        <v>2.2011550366865158E-2</v>
      </c>
      <c r="J646">
        <v>1.6862563704395088E-2</v>
      </c>
      <c r="K646">
        <f t="shared" si="90"/>
        <v>4.3661774058992131E-2</v>
      </c>
      <c r="L646">
        <f t="shared" si="91"/>
        <v>5.1987742324498008E-2</v>
      </c>
      <c r="M646">
        <f t="shared" si="92"/>
        <v>0.43468079658370984</v>
      </c>
      <c r="N646">
        <f t="shared" si="93"/>
        <v>0</v>
      </c>
      <c r="O646">
        <f t="shared" si="94"/>
        <v>0.61195709813574295</v>
      </c>
      <c r="P646">
        <f t="shared" si="95"/>
        <v>12.397246570901284</v>
      </c>
      <c r="Q646">
        <f t="shared" si="96"/>
        <v>2.2011550366865158E-2</v>
      </c>
      <c r="R646">
        <f t="shared" si="97"/>
        <v>1.6862563704395088E-2</v>
      </c>
      <c r="S646">
        <f t="shared" si="98"/>
        <v>0</v>
      </c>
    </row>
    <row r="647" spans="1:19" x14ac:dyDescent="0.3">
      <c r="A647" t="s">
        <v>218</v>
      </c>
      <c r="B647">
        <v>2010</v>
      </c>
      <c r="C647">
        <v>3.6130158006418465E-2</v>
      </c>
      <c r="D647">
        <v>0.11927204812093366</v>
      </c>
      <c r="E647">
        <v>0.5319827087315645</v>
      </c>
      <c r="F647">
        <v>0</v>
      </c>
      <c r="G647">
        <v>1.6990140820370729</v>
      </c>
      <c r="H647">
        <v>12.337504335320736</v>
      </c>
      <c r="I647">
        <v>3.1662796757588096E-2</v>
      </c>
      <c r="J647">
        <v>8.0550830366694137E-2</v>
      </c>
      <c r="K647">
        <f t="shared" si="90"/>
        <v>3.6130158006418465E-2</v>
      </c>
      <c r="L647">
        <f t="shared" si="91"/>
        <v>0.11927204812093366</v>
      </c>
      <c r="M647">
        <f t="shared" si="92"/>
        <v>0.5319827087315645</v>
      </c>
      <c r="N647">
        <f t="shared" si="93"/>
        <v>0</v>
      </c>
      <c r="O647">
        <f t="shared" si="94"/>
        <v>1.6990140820370729</v>
      </c>
      <c r="P647">
        <f t="shared" si="95"/>
        <v>12.337504335320736</v>
      </c>
      <c r="Q647">
        <f t="shared" si="96"/>
        <v>3.1662796757588096E-2</v>
      </c>
      <c r="R647">
        <f t="shared" si="97"/>
        <v>8.0550830366694137E-2</v>
      </c>
      <c r="S647">
        <f t="shared" si="98"/>
        <v>0</v>
      </c>
    </row>
    <row r="648" spans="1:19" x14ac:dyDescent="0.3">
      <c r="A648" t="s">
        <v>219</v>
      </c>
      <c r="B648">
        <v>2007</v>
      </c>
      <c r="C648">
        <v>1.0613166403869811E-2</v>
      </c>
      <c r="D648">
        <v>7.9811461544435178E-2</v>
      </c>
      <c r="E648">
        <v>-7.234791827749322E-2</v>
      </c>
      <c r="F648">
        <v>6.2772996413132413E-3</v>
      </c>
      <c r="G648">
        <v>1.3894226234891993</v>
      </c>
      <c r="H648">
        <v>14.390458491263802</v>
      </c>
      <c r="I648">
        <v>1.8825686306013986E-3</v>
      </c>
      <c r="J648">
        <v>1.5395844095624292E-2</v>
      </c>
      <c r="K648">
        <f t="shared" si="90"/>
        <v>1.0613166403869811E-2</v>
      </c>
      <c r="L648">
        <f t="shared" si="91"/>
        <v>7.9811461544435178E-2</v>
      </c>
      <c r="M648">
        <f t="shared" si="92"/>
        <v>-7.234791827749322E-2</v>
      </c>
      <c r="N648">
        <f t="shared" si="93"/>
        <v>6.2772996413132413E-3</v>
      </c>
      <c r="O648">
        <f t="shared" si="94"/>
        <v>1.3894226234891993</v>
      </c>
      <c r="P648">
        <f t="shared" si="95"/>
        <v>14.390458491263802</v>
      </c>
      <c r="Q648">
        <f t="shared" si="96"/>
        <v>1.8825686306013986E-3</v>
      </c>
      <c r="R648">
        <f t="shared" si="97"/>
        <v>1.5395844095624292E-2</v>
      </c>
      <c r="S648">
        <f t="shared" si="98"/>
        <v>0</v>
      </c>
    </row>
    <row r="649" spans="1:19" x14ac:dyDescent="0.3">
      <c r="A649" t="s">
        <v>219</v>
      </c>
      <c r="B649">
        <v>2008</v>
      </c>
      <c r="C649">
        <v>3.4767095419494382E-2</v>
      </c>
      <c r="D649">
        <v>0.11686164658226934</v>
      </c>
      <c r="E649">
        <v>-5.3266505630623011E-2</v>
      </c>
      <c r="F649">
        <v>2.2999510576730067E-3</v>
      </c>
      <c r="G649">
        <v>0.76564792198096876</v>
      </c>
      <c r="H649">
        <v>14.388474574863604</v>
      </c>
      <c r="I649">
        <v>5.2360445616694423E-3</v>
      </c>
      <c r="J649">
        <v>0</v>
      </c>
      <c r="K649">
        <f t="shared" si="90"/>
        <v>3.4767095419494382E-2</v>
      </c>
      <c r="L649">
        <f t="shared" si="91"/>
        <v>0.11686164658226934</v>
      </c>
      <c r="M649">
        <f t="shared" si="92"/>
        <v>-5.3266505630623011E-2</v>
      </c>
      <c r="N649">
        <f t="shared" si="93"/>
        <v>2.2999510576730067E-3</v>
      </c>
      <c r="O649">
        <f t="shared" si="94"/>
        <v>0.76564792198096876</v>
      </c>
      <c r="P649">
        <f t="shared" si="95"/>
        <v>14.388474574863604</v>
      </c>
      <c r="Q649">
        <f t="shared" si="96"/>
        <v>5.2360445616694423E-3</v>
      </c>
      <c r="R649">
        <f t="shared" si="97"/>
        <v>0</v>
      </c>
      <c r="S649">
        <f t="shared" si="98"/>
        <v>0</v>
      </c>
    </row>
    <row r="650" spans="1:19" x14ac:dyDescent="0.3">
      <c r="A650" t="s">
        <v>219</v>
      </c>
      <c r="B650">
        <v>2009</v>
      </c>
      <c r="C650">
        <v>4.3625305316501925E-3</v>
      </c>
      <c r="D650">
        <v>9.9980097358869591E-2</v>
      </c>
      <c r="E650">
        <v>0.10521078252334101</v>
      </c>
      <c r="F650">
        <v>0</v>
      </c>
      <c r="G650">
        <v>0.64343784241103019</v>
      </c>
      <c r="H650">
        <v>14.846431984306376</v>
      </c>
      <c r="I650">
        <v>1.9730210932906011E-2</v>
      </c>
      <c r="J650">
        <v>0</v>
      </c>
      <c r="K650">
        <f t="shared" si="90"/>
        <v>4.3625305316501925E-3</v>
      </c>
      <c r="L650">
        <f t="shared" si="91"/>
        <v>9.9980097358869591E-2</v>
      </c>
      <c r="M650">
        <f t="shared" si="92"/>
        <v>0.10521078252334101</v>
      </c>
      <c r="N650">
        <f t="shared" si="93"/>
        <v>0</v>
      </c>
      <c r="O650">
        <f t="shared" si="94"/>
        <v>0.64343784241103019</v>
      </c>
      <c r="P650">
        <f t="shared" si="95"/>
        <v>14.846431984306376</v>
      </c>
      <c r="Q650">
        <f t="shared" si="96"/>
        <v>1.9730210932906011E-2</v>
      </c>
      <c r="R650">
        <f t="shared" si="97"/>
        <v>0</v>
      </c>
      <c r="S650">
        <f t="shared" si="98"/>
        <v>0</v>
      </c>
    </row>
    <row r="651" spans="1:19" x14ac:dyDescent="0.3">
      <c r="A651" t="s">
        <v>219</v>
      </c>
      <c r="B651">
        <v>2010</v>
      </c>
      <c r="C651">
        <v>5.1211029641743443E-3</v>
      </c>
      <c r="D651">
        <v>4.6451014605539624E-2</v>
      </c>
      <c r="E651">
        <v>3.628756514319343E-2</v>
      </c>
      <c r="F651">
        <v>0</v>
      </c>
      <c r="G651">
        <v>0.52885477146612969</v>
      </c>
      <c r="H651">
        <v>15.64151266513592</v>
      </c>
      <c r="I651">
        <v>8.4000908759747014E-4</v>
      </c>
      <c r="J651">
        <v>0</v>
      </c>
      <c r="K651">
        <f t="shared" si="90"/>
        <v>5.1211029641743443E-3</v>
      </c>
      <c r="L651">
        <f t="shared" si="91"/>
        <v>4.6451014605539624E-2</v>
      </c>
      <c r="M651">
        <f t="shared" si="92"/>
        <v>3.628756514319343E-2</v>
      </c>
      <c r="N651">
        <f t="shared" si="93"/>
        <v>0</v>
      </c>
      <c r="O651">
        <f t="shared" si="94"/>
        <v>0.52885477146612969</v>
      </c>
      <c r="P651">
        <f t="shared" si="95"/>
        <v>15.64151266513592</v>
      </c>
      <c r="Q651">
        <f t="shared" si="96"/>
        <v>8.4000908759747014E-4</v>
      </c>
      <c r="R651">
        <f t="shared" si="97"/>
        <v>0</v>
      </c>
      <c r="S651">
        <f t="shared" si="98"/>
        <v>0</v>
      </c>
    </row>
    <row r="652" spans="1:19" x14ac:dyDescent="0.3">
      <c r="A652" t="s">
        <v>220</v>
      </c>
      <c r="B652">
        <v>2007</v>
      </c>
      <c r="C652">
        <v>4.5614475706774385E-4</v>
      </c>
      <c r="D652">
        <v>0.11598983296009227</v>
      </c>
      <c r="E652">
        <v>7.6973701039726339E-2</v>
      </c>
      <c r="F652">
        <v>0.51488080703786132</v>
      </c>
      <c r="G652">
        <v>1.6614094559052315</v>
      </c>
      <c r="H652">
        <v>15.967312295325975</v>
      </c>
      <c r="I652">
        <v>1.1781892167205073E-2</v>
      </c>
      <c r="J652">
        <v>2.481425152959069E-2</v>
      </c>
      <c r="K652">
        <f t="shared" si="90"/>
        <v>4.5614475706774385E-4</v>
      </c>
      <c r="L652">
        <f t="shared" si="91"/>
        <v>0.11598983296009227</v>
      </c>
      <c r="M652">
        <f t="shared" si="92"/>
        <v>7.6973701039726339E-2</v>
      </c>
      <c r="N652">
        <f t="shared" si="93"/>
        <v>0.51488080703786132</v>
      </c>
      <c r="O652">
        <f t="shared" si="94"/>
        <v>1.6614094559052315</v>
      </c>
      <c r="P652">
        <f t="shared" si="95"/>
        <v>15.967312295325975</v>
      </c>
      <c r="Q652">
        <f t="shared" si="96"/>
        <v>1.1781892167205073E-2</v>
      </c>
      <c r="R652">
        <f t="shared" si="97"/>
        <v>2.481425152959069E-2</v>
      </c>
      <c r="S652">
        <f t="shared" si="98"/>
        <v>0</v>
      </c>
    </row>
    <row r="653" spans="1:19" x14ac:dyDescent="0.3">
      <c r="A653" t="s">
        <v>220</v>
      </c>
      <c r="B653">
        <v>2008</v>
      </c>
      <c r="C653">
        <v>2.644969123989727E-3</v>
      </c>
      <c r="D653">
        <v>0.10595234745479833</v>
      </c>
      <c r="E653">
        <v>7.0381719316508967E-2</v>
      </c>
      <c r="F653">
        <v>0.41309691667142689</v>
      </c>
      <c r="G653">
        <v>1.0036036692664958</v>
      </c>
      <c r="H653">
        <v>16.178834242750519</v>
      </c>
      <c r="I653">
        <v>1.8979589042810538E-2</v>
      </c>
      <c r="J653">
        <v>1.9588073302892254E-2</v>
      </c>
      <c r="K653">
        <f t="shared" si="90"/>
        <v>2.644969123989727E-3</v>
      </c>
      <c r="L653">
        <f t="shared" si="91"/>
        <v>0.10595234745479833</v>
      </c>
      <c r="M653">
        <f t="shared" si="92"/>
        <v>7.0381719316508967E-2</v>
      </c>
      <c r="N653">
        <f t="shared" si="93"/>
        <v>0.41309691667142689</v>
      </c>
      <c r="O653">
        <f t="shared" si="94"/>
        <v>1.0036036692664958</v>
      </c>
      <c r="P653">
        <f t="shared" si="95"/>
        <v>16.178834242750519</v>
      </c>
      <c r="Q653">
        <f t="shared" si="96"/>
        <v>1.8979589042810538E-2</v>
      </c>
      <c r="R653">
        <f t="shared" si="97"/>
        <v>1.9588073302892254E-2</v>
      </c>
      <c r="S653">
        <f t="shared" si="98"/>
        <v>0</v>
      </c>
    </row>
    <row r="654" spans="1:19" x14ac:dyDescent="0.3">
      <c r="A654" t="s">
        <v>220</v>
      </c>
      <c r="B654">
        <v>2009</v>
      </c>
      <c r="C654">
        <v>0.11051689529871465</v>
      </c>
      <c r="D654">
        <v>6.2316892418282727E-2</v>
      </c>
      <c r="E654">
        <v>2.9494102226171336E-2</v>
      </c>
      <c r="F654">
        <v>0.49634261181286604</v>
      </c>
      <c r="G654">
        <v>1.1632151989479447</v>
      </c>
      <c r="H654">
        <v>16.229536752327707</v>
      </c>
      <c r="I654">
        <v>1.7115142620087002E-2</v>
      </c>
      <c r="J654">
        <v>2.0109261402686263E-2</v>
      </c>
      <c r="K654">
        <f t="shared" si="90"/>
        <v>0.11051689529871465</v>
      </c>
      <c r="L654">
        <f t="shared" si="91"/>
        <v>6.2316892418282727E-2</v>
      </c>
      <c r="M654">
        <f t="shared" si="92"/>
        <v>2.9494102226171336E-2</v>
      </c>
      <c r="N654">
        <f t="shared" si="93"/>
        <v>0.49634261181286604</v>
      </c>
      <c r="O654">
        <f t="shared" si="94"/>
        <v>1.1632151989479447</v>
      </c>
      <c r="P654">
        <f t="shared" si="95"/>
        <v>16.229536752327707</v>
      </c>
      <c r="Q654">
        <f t="shared" si="96"/>
        <v>1.7115142620087002E-2</v>
      </c>
      <c r="R654">
        <f t="shared" si="97"/>
        <v>2.0109261402686263E-2</v>
      </c>
      <c r="S654">
        <f t="shared" si="98"/>
        <v>0</v>
      </c>
    </row>
    <row r="655" spans="1:19" x14ac:dyDescent="0.3">
      <c r="A655" t="s">
        <v>220</v>
      </c>
      <c r="B655">
        <v>2010</v>
      </c>
      <c r="C655">
        <v>1.1497924530796397E-3</v>
      </c>
      <c r="D655">
        <v>8.4597067261579062E-2</v>
      </c>
      <c r="E655">
        <v>2.8041117874624003E-5</v>
      </c>
      <c r="F655">
        <v>0.68391502837590534</v>
      </c>
      <c r="G655">
        <v>1.0687022607964702</v>
      </c>
      <c r="H655">
        <v>16.747139842189611</v>
      </c>
      <c r="I655">
        <v>2.370913768863812E-2</v>
      </c>
      <c r="J655">
        <v>2.1304958991730964E-2</v>
      </c>
      <c r="K655">
        <f t="shared" si="90"/>
        <v>1.1497924530796397E-3</v>
      </c>
      <c r="L655">
        <f t="shared" si="91"/>
        <v>8.4597067261579062E-2</v>
      </c>
      <c r="M655">
        <f t="shared" si="92"/>
        <v>2.8041117874624003E-5</v>
      </c>
      <c r="N655">
        <f t="shared" si="93"/>
        <v>0.68391502837590534</v>
      </c>
      <c r="O655">
        <f t="shared" si="94"/>
        <v>1.0687022607964702</v>
      </c>
      <c r="P655">
        <f t="shared" si="95"/>
        <v>16.747139842189611</v>
      </c>
      <c r="Q655">
        <f t="shared" si="96"/>
        <v>2.370913768863812E-2</v>
      </c>
      <c r="R655">
        <f t="shared" si="97"/>
        <v>2.1304958991730964E-2</v>
      </c>
      <c r="S655">
        <f t="shared" si="98"/>
        <v>0</v>
      </c>
    </row>
    <row r="656" spans="1:19" x14ac:dyDescent="0.3">
      <c r="A656" t="s">
        <v>221</v>
      </c>
      <c r="B656">
        <v>2007</v>
      </c>
      <c r="C656">
        <v>0.24678613581181438</v>
      </c>
      <c r="D656">
        <v>0.22801452558475277</v>
      </c>
      <c r="E656">
        <v>0.40467746750552008</v>
      </c>
      <c r="F656">
        <v>4.4174746962206309E-2</v>
      </c>
      <c r="G656">
        <v>2.6572401943522501</v>
      </c>
      <c r="H656">
        <v>13.894278299367469</v>
      </c>
      <c r="I656">
        <v>1.3382842241821654E-2</v>
      </c>
      <c r="J656">
        <v>7.763738350926519E-2</v>
      </c>
      <c r="K656">
        <f t="shared" si="90"/>
        <v>0.24678613581181438</v>
      </c>
      <c r="L656">
        <f t="shared" si="91"/>
        <v>0.22801452558475277</v>
      </c>
      <c r="M656">
        <f t="shared" si="92"/>
        <v>0.40467746750552008</v>
      </c>
      <c r="N656">
        <f t="shared" si="93"/>
        <v>4.4174746962206309E-2</v>
      </c>
      <c r="O656">
        <f t="shared" si="94"/>
        <v>2.6572401943522501</v>
      </c>
      <c r="P656">
        <f t="shared" si="95"/>
        <v>13.894278299367469</v>
      </c>
      <c r="Q656">
        <f t="shared" si="96"/>
        <v>1.3382842241821654E-2</v>
      </c>
      <c r="R656">
        <f t="shared" si="97"/>
        <v>7.763738350926519E-2</v>
      </c>
      <c r="S656">
        <f t="shared" si="98"/>
        <v>0</v>
      </c>
    </row>
    <row r="657" spans="1:19" x14ac:dyDescent="0.3">
      <c r="A657" t="s">
        <v>221</v>
      </c>
      <c r="B657">
        <v>2009</v>
      </c>
      <c r="C657">
        <v>0.14561237656897991</v>
      </c>
      <c r="D657">
        <v>0.15203853688800453</v>
      </c>
      <c r="E657">
        <v>0.35597252132696072</v>
      </c>
      <c r="F657">
        <v>1.0726995456396018E-4</v>
      </c>
      <c r="G657">
        <v>1.1362786359025638</v>
      </c>
      <c r="H657">
        <v>14.281825517424759</v>
      </c>
      <c r="I657">
        <v>2.3090708450040211E-2</v>
      </c>
      <c r="J657">
        <v>2.8981707022543629E-2</v>
      </c>
      <c r="K657">
        <f t="shared" si="90"/>
        <v>0.14561237656897991</v>
      </c>
      <c r="L657">
        <f t="shared" si="91"/>
        <v>0.15203853688800453</v>
      </c>
      <c r="M657">
        <f t="shared" si="92"/>
        <v>0.35597252132696072</v>
      </c>
      <c r="N657">
        <f t="shared" si="93"/>
        <v>1.0726995456396018E-4</v>
      </c>
      <c r="O657">
        <f t="shared" si="94"/>
        <v>1.1362786359025638</v>
      </c>
      <c r="P657">
        <f t="shared" si="95"/>
        <v>14.281825517424759</v>
      </c>
      <c r="Q657">
        <f t="shared" si="96"/>
        <v>2.3090708450040211E-2</v>
      </c>
      <c r="R657">
        <f t="shared" si="97"/>
        <v>2.8981707022543629E-2</v>
      </c>
      <c r="S657">
        <f t="shared" si="98"/>
        <v>0</v>
      </c>
    </row>
    <row r="658" spans="1:19" x14ac:dyDescent="0.3">
      <c r="A658" t="s">
        <v>221</v>
      </c>
      <c r="B658">
        <v>2010</v>
      </c>
      <c r="C658">
        <v>9.0266031657590368E-2</v>
      </c>
      <c r="D658">
        <v>0.10233772665866273</v>
      </c>
      <c r="E658">
        <v>0.31244956077801878</v>
      </c>
      <c r="F658">
        <v>9.1164817136400927E-2</v>
      </c>
      <c r="G658">
        <v>0.98167715802483879</v>
      </c>
      <c r="H658">
        <v>14.408344464087905</v>
      </c>
      <c r="I658">
        <v>2.0194032145252894E-3</v>
      </c>
      <c r="J658">
        <v>9.1205168513985892E-3</v>
      </c>
      <c r="K658">
        <f t="shared" si="90"/>
        <v>9.0266031657590368E-2</v>
      </c>
      <c r="L658">
        <f t="shared" si="91"/>
        <v>0.10233772665866273</v>
      </c>
      <c r="M658">
        <f t="shared" si="92"/>
        <v>0.31244956077801878</v>
      </c>
      <c r="N658">
        <f t="shared" si="93"/>
        <v>9.1164817136400927E-2</v>
      </c>
      <c r="O658">
        <f t="shared" si="94"/>
        <v>0.98167715802483879</v>
      </c>
      <c r="P658">
        <f t="shared" si="95"/>
        <v>14.408344464087905</v>
      </c>
      <c r="Q658">
        <f t="shared" si="96"/>
        <v>2.0194032145252894E-3</v>
      </c>
      <c r="R658">
        <f t="shared" si="97"/>
        <v>9.1205168513985892E-3</v>
      </c>
      <c r="S658">
        <f t="shared" si="98"/>
        <v>0</v>
      </c>
    </row>
    <row r="659" spans="1:19" x14ac:dyDescent="0.3">
      <c r="A659" t="s">
        <v>222</v>
      </c>
      <c r="B659">
        <v>2007</v>
      </c>
      <c r="C659">
        <v>0.26342052195416343</v>
      </c>
      <c r="D659">
        <v>0.10562727232583129</v>
      </c>
      <c r="E659">
        <v>0.36215905912831003</v>
      </c>
      <c r="F659">
        <v>0.21335943594801066</v>
      </c>
      <c r="G659">
        <v>0.75457261874972403</v>
      </c>
      <c r="H659">
        <v>11.126336084130871</v>
      </c>
      <c r="I659">
        <v>3.3531598509327805E-3</v>
      </c>
      <c r="J659">
        <v>0</v>
      </c>
      <c r="K659">
        <f t="shared" si="90"/>
        <v>0.26342052195416343</v>
      </c>
      <c r="L659">
        <f t="shared" si="91"/>
        <v>0.10562727232583129</v>
      </c>
      <c r="M659">
        <f t="shared" si="92"/>
        <v>0.36215905912831003</v>
      </c>
      <c r="N659">
        <f t="shared" si="93"/>
        <v>0.21335943594801066</v>
      </c>
      <c r="O659">
        <f t="shared" si="94"/>
        <v>0.75457261874972403</v>
      </c>
      <c r="P659">
        <f t="shared" si="95"/>
        <v>11.126336084130871</v>
      </c>
      <c r="Q659">
        <f t="shared" si="96"/>
        <v>3.3531598509327805E-3</v>
      </c>
      <c r="R659">
        <f t="shared" si="97"/>
        <v>0</v>
      </c>
      <c r="S659">
        <f t="shared" si="98"/>
        <v>0</v>
      </c>
    </row>
    <row r="660" spans="1:19" x14ac:dyDescent="0.3">
      <c r="A660" t="s">
        <v>222</v>
      </c>
      <c r="B660">
        <v>2008</v>
      </c>
      <c r="C660">
        <v>0.31305582542410881</v>
      </c>
      <c r="D660">
        <v>9.1413197817801356E-2</v>
      </c>
      <c r="E660">
        <v>0.28574844929377474</v>
      </c>
      <c r="F660">
        <v>0.29474628204170095</v>
      </c>
      <c r="G660">
        <v>0.65577580150960313</v>
      </c>
      <c r="H660">
        <v>11.111028981739089</v>
      </c>
      <c r="I660">
        <v>8.9365674927413333E-3</v>
      </c>
      <c r="J660">
        <v>0</v>
      </c>
      <c r="K660">
        <f t="shared" si="90"/>
        <v>0.31305582542410881</v>
      </c>
      <c r="L660">
        <f t="shared" si="91"/>
        <v>9.1413197817801356E-2</v>
      </c>
      <c r="M660">
        <f t="shared" si="92"/>
        <v>0.28574844929377474</v>
      </c>
      <c r="N660">
        <f t="shared" si="93"/>
        <v>0.29474628204170095</v>
      </c>
      <c r="O660">
        <f t="shared" si="94"/>
        <v>0.65577580150960313</v>
      </c>
      <c r="P660">
        <f t="shared" si="95"/>
        <v>11.111028981739089</v>
      </c>
      <c r="Q660">
        <f t="shared" si="96"/>
        <v>8.9365674927413333E-3</v>
      </c>
      <c r="R660">
        <f t="shared" si="97"/>
        <v>0</v>
      </c>
      <c r="S660">
        <f t="shared" si="98"/>
        <v>0</v>
      </c>
    </row>
    <row r="661" spans="1:19" x14ac:dyDescent="0.3">
      <c r="A661" t="s">
        <v>222</v>
      </c>
      <c r="B661">
        <v>2009</v>
      </c>
      <c r="C661">
        <v>7.5048332030767967E-2</v>
      </c>
      <c r="D661">
        <v>7.9634733248323805E-2</v>
      </c>
      <c r="E661">
        <v>0.31261568837151904</v>
      </c>
      <c r="F661">
        <v>0.17070461930813213</v>
      </c>
      <c r="G661">
        <v>0.71101147628645478</v>
      </c>
      <c r="H661">
        <v>10.791831382359332</v>
      </c>
      <c r="I661">
        <v>4.466522748209021E-2</v>
      </c>
      <c r="J661">
        <v>0</v>
      </c>
      <c r="K661">
        <f t="shared" si="90"/>
        <v>7.5048332030767967E-2</v>
      </c>
      <c r="L661">
        <f t="shared" si="91"/>
        <v>7.9634733248323805E-2</v>
      </c>
      <c r="M661">
        <f t="shared" si="92"/>
        <v>0.31261568837151904</v>
      </c>
      <c r="N661">
        <f t="shared" si="93"/>
        <v>0.17070461930813213</v>
      </c>
      <c r="O661">
        <f t="shared" si="94"/>
        <v>0.71101147628645478</v>
      </c>
      <c r="P661">
        <f t="shared" si="95"/>
        <v>10.791831382359332</v>
      </c>
      <c r="Q661">
        <f t="shared" si="96"/>
        <v>4.466522748209021E-2</v>
      </c>
      <c r="R661">
        <f t="shared" si="97"/>
        <v>0</v>
      </c>
      <c r="S661">
        <f t="shared" si="98"/>
        <v>0</v>
      </c>
    </row>
    <row r="662" spans="1:19" x14ac:dyDescent="0.3">
      <c r="A662" t="s">
        <v>222</v>
      </c>
      <c r="B662">
        <v>2010</v>
      </c>
      <c r="C662">
        <v>4.1911269367722069E-2</v>
      </c>
      <c r="D662">
        <v>0.22004619382157636</v>
      </c>
      <c r="E662">
        <v>0.16333846598017515</v>
      </c>
      <c r="F662">
        <v>0.19969204118949091</v>
      </c>
      <c r="G662">
        <v>0.68383697430468671</v>
      </c>
      <c r="H662">
        <v>10.634989686972537</v>
      </c>
      <c r="I662">
        <v>4.955830385261837E-2</v>
      </c>
      <c r="J662">
        <v>0</v>
      </c>
      <c r="K662">
        <f t="shared" si="90"/>
        <v>4.1911269367722069E-2</v>
      </c>
      <c r="L662">
        <f t="shared" si="91"/>
        <v>0.22004619382157636</v>
      </c>
      <c r="M662">
        <f t="shared" si="92"/>
        <v>0.16333846598017515</v>
      </c>
      <c r="N662">
        <f t="shared" si="93"/>
        <v>0.19969204118949091</v>
      </c>
      <c r="O662">
        <f t="shared" si="94"/>
        <v>0.68383697430468671</v>
      </c>
      <c r="P662">
        <f t="shared" si="95"/>
        <v>10.634989686972537</v>
      </c>
      <c r="Q662">
        <f t="shared" si="96"/>
        <v>4.955830385261837E-2</v>
      </c>
      <c r="R662">
        <f t="shared" si="97"/>
        <v>0</v>
      </c>
      <c r="S662">
        <f t="shared" si="98"/>
        <v>0</v>
      </c>
    </row>
    <row r="663" spans="1:19" x14ac:dyDescent="0.3">
      <c r="A663" t="s">
        <v>223</v>
      </c>
      <c r="B663">
        <v>2007</v>
      </c>
      <c r="C663">
        <v>2.2253668345269574E-2</v>
      </c>
      <c r="D663">
        <v>3.7892578272057685E-2</v>
      </c>
      <c r="E663">
        <v>4.7696239309425424E-2</v>
      </c>
      <c r="F663">
        <v>0.59411913208700384</v>
      </c>
      <c r="G663">
        <v>1.0134886151747475</v>
      </c>
      <c r="H663">
        <v>13.020476820558002</v>
      </c>
      <c r="I663">
        <v>3.609603100704132E-3</v>
      </c>
      <c r="J663">
        <v>7.5293534057037067E-3</v>
      </c>
      <c r="K663">
        <f t="shared" si="90"/>
        <v>2.2253668345269574E-2</v>
      </c>
      <c r="L663">
        <f t="shared" si="91"/>
        <v>3.7892578272057685E-2</v>
      </c>
      <c r="M663">
        <f t="shared" si="92"/>
        <v>4.7696239309425424E-2</v>
      </c>
      <c r="N663">
        <f t="shared" si="93"/>
        <v>0.59411913208700384</v>
      </c>
      <c r="O663">
        <f t="shared" si="94"/>
        <v>1.0134886151747475</v>
      </c>
      <c r="P663">
        <f t="shared" si="95"/>
        <v>13.020476820558002</v>
      </c>
      <c r="Q663">
        <f t="shared" si="96"/>
        <v>3.609603100704132E-3</v>
      </c>
      <c r="R663">
        <f t="shared" si="97"/>
        <v>7.5293534057037067E-3</v>
      </c>
      <c r="S663">
        <f t="shared" si="98"/>
        <v>0</v>
      </c>
    </row>
    <row r="664" spans="1:19" x14ac:dyDescent="0.3">
      <c r="A664" t="s">
        <v>223</v>
      </c>
      <c r="B664">
        <v>2009</v>
      </c>
      <c r="C664">
        <v>5.5252624225035265E-3</v>
      </c>
      <c r="D664">
        <v>0.39381829685708136</v>
      </c>
      <c r="E664">
        <v>8.9667429731404139E-2</v>
      </c>
      <c r="F664">
        <v>0.18242373380318203</v>
      </c>
      <c r="G664">
        <v>1.0455663888290838</v>
      </c>
      <c r="H664">
        <v>13.028452617954414</v>
      </c>
      <c r="I664">
        <v>6.2505136147573109E-2</v>
      </c>
      <c r="J664">
        <v>0</v>
      </c>
      <c r="K664">
        <f t="shared" si="90"/>
        <v>5.5252624225035265E-3</v>
      </c>
      <c r="L664">
        <f t="shared" si="91"/>
        <v>0.39381829685708136</v>
      </c>
      <c r="M664">
        <f t="shared" si="92"/>
        <v>8.9667429731404139E-2</v>
      </c>
      <c r="N664">
        <f t="shared" si="93"/>
        <v>0.18242373380318203</v>
      </c>
      <c r="O664">
        <f t="shared" si="94"/>
        <v>1.0455663888290838</v>
      </c>
      <c r="P664">
        <f t="shared" si="95"/>
        <v>13.028452617954414</v>
      </c>
      <c r="Q664">
        <f t="shared" si="96"/>
        <v>6.2505136147573109E-2</v>
      </c>
      <c r="R664">
        <f t="shared" si="97"/>
        <v>0</v>
      </c>
      <c r="S664">
        <f t="shared" si="98"/>
        <v>0</v>
      </c>
    </row>
    <row r="665" spans="1:19" x14ac:dyDescent="0.3">
      <c r="A665" t="s">
        <v>223</v>
      </c>
      <c r="B665">
        <v>2010</v>
      </c>
      <c r="C665">
        <v>5.8564337107479497E-4</v>
      </c>
      <c r="D665">
        <v>0.64776897763400076</v>
      </c>
      <c r="E665">
        <v>-0.23292152378827596</v>
      </c>
      <c r="F665">
        <v>0.98249762953873609</v>
      </c>
      <c r="G665">
        <v>1.2852445758268727</v>
      </c>
      <c r="H665">
        <v>12.789907066149418</v>
      </c>
      <c r="I665">
        <v>7.9787703749141833E-2</v>
      </c>
      <c r="J665">
        <v>0</v>
      </c>
      <c r="K665">
        <f t="shared" si="90"/>
        <v>5.8564337107479497E-4</v>
      </c>
      <c r="L665">
        <f t="shared" si="91"/>
        <v>0.64776897763400076</v>
      </c>
      <c r="M665">
        <f t="shared" si="92"/>
        <v>-0.23292152378827596</v>
      </c>
      <c r="N665">
        <f t="shared" si="93"/>
        <v>0.98249762953873609</v>
      </c>
      <c r="O665">
        <f t="shared" si="94"/>
        <v>1.2852445758268727</v>
      </c>
      <c r="P665">
        <f t="shared" si="95"/>
        <v>12.789907066149418</v>
      </c>
      <c r="Q665">
        <f t="shared" si="96"/>
        <v>7.9787703749141833E-2</v>
      </c>
      <c r="R665">
        <f t="shared" si="97"/>
        <v>0</v>
      </c>
      <c r="S665">
        <f t="shared" si="98"/>
        <v>0</v>
      </c>
    </row>
    <row r="666" spans="1:19" x14ac:dyDescent="0.3">
      <c r="A666" t="s">
        <v>224</v>
      </c>
      <c r="B666">
        <v>2007</v>
      </c>
      <c r="C666">
        <v>3.9861920716869462E-2</v>
      </c>
      <c r="D666">
        <v>8.1199463092551952E-2</v>
      </c>
      <c r="E666">
        <v>0.24575825259649003</v>
      </c>
      <c r="F666">
        <v>1.5615982760605461E-2</v>
      </c>
      <c r="G666">
        <v>1.5559036074086541</v>
      </c>
      <c r="H666">
        <v>14.783296743790357</v>
      </c>
      <c r="I666">
        <v>5.4693443604750293E-3</v>
      </c>
      <c r="J666">
        <v>1.1890076064421296E-2</v>
      </c>
      <c r="K666">
        <f t="shared" si="90"/>
        <v>3.9861920716869462E-2</v>
      </c>
      <c r="L666">
        <f t="shared" si="91"/>
        <v>8.1199463092551952E-2</v>
      </c>
      <c r="M666">
        <f t="shared" si="92"/>
        <v>0.24575825259649003</v>
      </c>
      <c r="N666">
        <f t="shared" si="93"/>
        <v>1.5615982760605461E-2</v>
      </c>
      <c r="O666">
        <f t="shared" si="94"/>
        <v>1.5559036074086541</v>
      </c>
      <c r="P666">
        <f t="shared" si="95"/>
        <v>14.783296743790357</v>
      </c>
      <c r="Q666">
        <f t="shared" si="96"/>
        <v>5.4693443604750293E-3</v>
      </c>
      <c r="R666">
        <f t="shared" si="97"/>
        <v>1.1890076064421296E-2</v>
      </c>
      <c r="S666">
        <f t="shared" si="98"/>
        <v>0</v>
      </c>
    </row>
    <row r="667" spans="1:19" x14ac:dyDescent="0.3">
      <c r="A667" t="s">
        <v>224</v>
      </c>
      <c r="B667">
        <v>2008</v>
      </c>
      <c r="C667">
        <v>8.9937684301168181E-3</v>
      </c>
      <c r="D667">
        <v>6.669319023829702E-2</v>
      </c>
      <c r="E667">
        <v>0.2444025896116501</v>
      </c>
      <c r="F667">
        <v>1.0088141281735068E-2</v>
      </c>
      <c r="G667">
        <v>1.2041343709119443</v>
      </c>
      <c r="H667">
        <v>14.81691677075233</v>
      </c>
      <c r="I667">
        <v>3.8560400074614185E-3</v>
      </c>
      <c r="J667">
        <v>0</v>
      </c>
      <c r="K667">
        <f t="shared" si="90"/>
        <v>8.9937684301168181E-3</v>
      </c>
      <c r="L667">
        <f t="shared" si="91"/>
        <v>6.669319023829702E-2</v>
      </c>
      <c r="M667">
        <f t="shared" si="92"/>
        <v>0.2444025896116501</v>
      </c>
      <c r="N667">
        <f t="shared" si="93"/>
        <v>1.0088141281735068E-2</v>
      </c>
      <c r="O667">
        <f t="shared" si="94"/>
        <v>1.2041343709119443</v>
      </c>
      <c r="P667">
        <f t="shared" si="95"/>
        <v>14.81691677075233</v>
      </c>
      <c r="Q667">
        <f t="shared" si="96"/>
        <v>3.8560400074614185E-3</v>
      </c>
      <c r="R667">
        <f t="shared" si="97"/>
        <v>0</v>
      </c>
      <c r="S667">
        <f t="shared" si="98"/>
        <v>0</v>
      </c>
    </row>
    <row r="668" spans="1:19" x14ac:dyDescent="0.3">
      <c r="A668" t="s">
        <v>224</v>
      </c>
      <c r="B668">
        <v>2009</v>
      </c>
      <c r="C668">
        <v>4.6943083048877638E-3</v>
      </c>
      <c r="D668">
        <v>3.5952585658248375E-2</v>
      </c>
      <c r="E668">
        <v>0.12260802143462715</v>
      </c>
      <c r="F668">
        <v>0.30751009567083409</v>
      </c>
      <c r="G668">
        <v>0.66090360699018236</v>
      </c>
      <c r="H668">
        <v>15.610253239652524</v>
      </c>
      <c r="I668">
        <v>7.1386724532115477E-3</v>
      </c>
      <c r="J668">
        <v>1.1819354375577233E-2</v>
      </c>
      <c r="K668">
        <f t="shared" si="90"/>
        <v>4.6943083048877638E-3</v>
      </c>
      <c r="L668">
        <f t="shared" si="91"/>
        <v>3.5952585658248375E-2</v>
      </c>
      <c r="M668">
        <f t="shared" si="92"/>
        <v>0.12260802143462715</v>
      </c>
      <c r="N668">
        <f t="shared" si="93"/>
        <v>0.30751009567083409</v>
      </c>
      <c r="O668">
        <f t="shared" si="94"/>
        <v>0.66090360699018236</v>
      </c>
      <c r="P668">
        <f t="shared" si="95"/>
        <v>15.610253239652524</v>
      </c>
      <c r="Q668">
        <f t="shared" si="96"/>
        <v>7.1386724532115477E-3</v>
      </c>
      <c r="R668">
        <f t="shared" si="97"/>
        <v>1.1819354375577233E-2</v>
      </c>
      <c r="S668">
        <f t="shared" si="98"/>
        <v>0</v>
      </c>
    </row>
    <row r="669" spans="1:19" x14ac:dyDescent="0.3">
      <c r="A669" t="s">
        <v>224</v>
      </c>
      <c r="B669">
        <v>2010</v>
      </c>
      <c r="C669">
        <v>1.3635761428603323E-2</v>
      </c>
      <c r="D669">
        <v>3.4758513428884918E-2</v>
      </c>
      <c r="E669">
        <v>0.11675184807784098</v>
      </c>
      <c r="F669">
        <v>0.29760151982127953</v>
      </c>
      <c r="G669">
        <v>0.58421358651520383</v>
      </c>
      <c r="H669">
        <v>15.629766897570851</v>
      </c>
      <c r="I669">
        <v>7.1737345300041206E-3</v>
      </c>
      <c r="J669">
        <v>9.2726958364451727E-3</v>
      </c>
      <c r="K669">
        <f t="shared" si="90"/>
        <v>1.3635761428603323E-2</v>
      </c>
      <c r="L669">
        <f t="shared" si="91"/>
        <v>3.4758513428884918E-2</v>
      </c>
      <c r="M669">
        <f t="shared" si="92"/>
        <v>0.11675184807784098</v>
      </c>
      <c r="N669">
        <f t="shared" si="93"/>
        <v>0.29760151982127953</v>
      </c>
      <c r="O669">
        <f t="shared" si="94"/>
        <v>0.58421358651520383</v>
      </c>
      <c r="P669">
        <f t="shared" si="95"/>
        <v>15.629766897570851</v>
      </c>
      <c r="Q669">
        <f t="shared" si="96"/>
        <v>7.1737345300041206E-3</v>
      </c>
      <c r="R669">
        <f t="shared" si="97"/>
        <v>9.2726958364451727E-3</v>
      </c>
      <c r="S669">
        <f t="shared" si="98"/>
        <v>0</v>
      </c>
    </row>
    <row r="670" spans="1:19" x14ac:dyDescent="0.3">
      <c r="A670" t="s">
        <v>225</v>
      </c>
      <c r="B670">
        <v>2007</v>
      </c>
      <c r="C670">
        <v>3.0542979501314961E-3</v>
      </c>
      <c r="D670">
        <v>0.12966667958843489</v>
      </c>
      <c r="E670">
        <v>0.12299251829620365</v>
      </c>
      <c r="F670">
        <v>0.24743077842772004</v>
      </c>
      <c r="G670">
        <v>1.4830457287775258</v>
      </c>
      <c r="H670">
        <v>14.711861813178803</v>
      </c>
      <c r="I670">
        <v>2.6787016277485452E-2</v>
      </c>
      <c r="J670">
        <v>2.2088062530476672E-2</v>
      </c>
      <c r="K670">
        <f t="shared" si="90"/>
        <v>3.0542979501314961E-3</v>
      </c>
      <c r="L670">
        <f t="shared" si="91"/>
        <v>0.12966667958843489</v>
      </c>
      <c r="M670">
        <f t="shared" si="92"/>
        <v>0.12299251829620365</v>
      </c>
      <c r="N670">
        <f t="shared" si="93"/>
        <v>0.24743077842772004</v>
      </c>
      <c r="O670">
        <f t="shared" si="94"/>
        <v>1.4830457287775258</v>
      </c>
      <c r="P670">
        <f t="shared" si="95"/>
        <v>14.711861813178803</v>
      </c>
      <c r="Q670">
        <f t="shared" si="96"/>
        <v>2.6787016277485452E-2</v>
      </c>
      <c r="R670">
        <f t="shared" si="97"/>
        <v>2.2088062530476672E-2</v>
      </c>
      <c r="S670">
        <f t="shared" si="98"/>
        <v>0</v>
      </c>
    </row>
    <row r="671" spans="1:19" x14ac:dyDescent="0.3">
      <c r="A671" t="s">
        <v>225</v>
      </c>
      <c r="B671">
        <v>2009</v>
      </c>
      <c r="C671">
        <v>5.708682334949531E-2</v>
      </c>
      <c r="D671">
        <v>0.28445010198917225</v>
      </c>
      <c r="E671">
        <v>0.2245153049487206</v>
      </c>
      <c r="F671">
        <v>0.2314877602038469</v>
      </c>
      <c r="G671">
        <v>1.459346666783518</v>
      </c>
      <c r="H671">
        <v>15.1106124498613</v>
      </c>
      <c r="I671">
        <v>4.8309286899484757E-2</v>
      </c>
      <c r="J671">
        <v>6.588653896293116E-2</v>
      </c>
      <c r="K671">
        <f t="shared" si="90"/>
        <v>5.708682334949531E-2</v>
      </c>
      <c r="L671">
        <f t="shared" si="91"/>
        <v>0.28445010198917225</v>
      </c>
      <c r="M671">
        <f t="shared" si="92"/>
        <v>0.2245153049487206</v>
      </c>
      <c r="N671">
        <f t="shared" si="93"/>
        <v>0.2314877602038469</v>
      </c>
      <c r="O671">
        <f t="shared" si="94"/>
        <v>1.459346666783518</v>
      </c>
      <c r="P671">
        <f t="shared" si="95"/>
        <v>15.1106124498613</v>
      </c>
      <c r="Q671">
        <f t="shared" si="96"/>
        <v>4.8309286899484757E-2</v>
      </c>
      <c r="R671">
        <f t="shared" si="97"/>
        <v>6.588653896293116E-2</v>
      </c>
      <c r="S671">
        <f t="shared" si="98"/>
        <v>0</v>
      </c>
    </row>
    <row r="672" spans="1:19" x14ac:dyDescent="0.3">
      <c r="A672" t="s">
        <v>225</v>
      </c>
      <c r="B672">
        <v>2010</v>
      </c>
      <c r="C672">
        <v>5.4580386492294831E-2</v>
      </c>
      <c r="D672">
        <v>0.13607642235869527</v>
      </c>
      <c r="E672">
        <v>0.16011458863240088</v>
      </c>
      <c r="F672">
        <v>0.31085446411609957</v>
      </c>
      <c r="G672">
        <v>1.2614246138830194</v>
      </c>
      <c r="H672">
        <v>15.329067107500039</v>
      </c>
      <c r="I672">
        <v>5.093756043673188E-3</v>
      </c>
      <c r="J672">
        <v>1.9858859806126495E-2</v>
      </c>
      <c r="K672">
        <f t="shared" si="90"/>
        <v>5.4580386492294831E-2</v>
      </c>
      <c r="L672">
        <f t="shared" si="91"/>
        <v>0.13607642235869527</v>
      </c>
      <c r="M672">
        <f t="shared" si="92"/>
        <v>0.16011458863240088</v>
      </c>
      <c r="N672">
        <f t="shared" si="93"/>
        <v>0.31085446411609957</v>
      </c>
      <c r="O672">
        <f t="shared" si="94"/>
        <v>1.2614246138830194</v>
      </c>
      <c r="P672">
        <f t="shared" si="95"/>
        <v>15.329067107500039</v>
      </c>
      <c r="Q672">
        <f t="shared" si="96"/>
        <v>5.093756043673188E-3</v>
      </c>
      <c r="R672">
        <f t="shared" si="97"/>
        <v>1.9858859806126495E-2</v>
      </c>
      <c r="S672">
        <f t="shared" si="98"/>
        <v>0</v>
      </c>
    </row>
    <row r="673" spans="1:19" x14ac:dyDescent="0.3">
      <c r="A673" t="s">
        <v>226</v>
      </c>
      <c r="B673">
        <v>2007</v>
      </c>
      <c r="C673">
        <v>2.7466388908941532E-3</v>
      </c>
      <c r="D673">
        <v>9.7493649042113981E-2</v>
      </c>
      <c r="E673">
        <v>1.1536570860877069E-2</v>
      </c>
      <c r="F673">
        <v>0.25905032983729859</v>
      </c>
      <c r="G673">
        <v>1.5685542504150898</v>
      </c>
      <c r="H673">
        <v>12.580738282084809</v>
      </c>
      <c r="I673">
        <v>1.3635567658033386E-2</v>
      </c>
      <c r="J673">
        <v>1.546918023657533E-2</v>
      </c>
      <c r="K673">
        <f t="shared" si="90"/>
        <v>2.7466388908941532E-3</v>
      </c>
      <c r="L673">
        <f t="shared" si="91"/>
        <v>9.7493649042113981E-2</v>
      </c>
      <c r="M673">
        <f t="shared" si="92"/>
        <v>1.1536570860877069E-2</v>
      </c>
      <c r="N673">
        <f t="shared" si="93"/>
        <v>0.25905032983729859</v>
      </c>
      <c r="O673">
        <f t="shared" si="94"/>
        <v>1.5685542504150898</v>
      </c>
      <c r="P673">
        <f t="shared" si="95"/>
        <v>12.580738282084809</v>
      </c>
      <c r="Q673">
        <f t="shared" si="96"/>
        <v>1.3635567658033386E-2</v>
      </c>
      <c r="R673">
        <f t="shared" si="97"/>
        <v>1.546918023657533E-2</v>
      </c>
      <c r="S673">
        <f t="shared" si="98"/>
        <v>0</v>
      </c>
    </row>
    <row r="674" spans="1:19" x14ac:dyDescent="0.3">
      <c r="A674" t="s">
        <v>226</v>
      </c>
      <c r="B674">
        <v>2009</v>
      </c>
      <c r="C674">
        <v>1.0384273966178531E-3</v>
      </c>
      <c r="D674">
        <v>7.820307396841171E-2</v>
      </c>
      <c r="E674">
        <v>7.4281056516131913E-3</v>
      </c>
      <c r="F674">
        <v>0.1515126984038366</v>
      </c>
      <c r="G674">
        <v>1.0119865786050459</v>
      </c>
      <c r="H674">
        <v>12.788941683143864</v>
      </c>
      <c r="I674">
        <v>2.450988264181797E-2</v>
      </c>
      <c r="J674">
        <v>0</v>
      </c>
      <c r="K674">
        <f t="shared" si="90"/>
        <v>1.0384273966178531E-3</v>
      </c>
      <c r="L674">
        <f t="shared" si="91"/>
        <v>7.820307396841171E-2</v>
      </c>
      <c r="M674">
        <f t="shared" si="92"/>
        <v>7.4281056516131913E-3</v>
      </c>
      <c r="N674">
        <f t="shared" si="93"/>
        <v>0.1515126984038366</v>
      </c>
      <c r="O674">
        <f t="shared" si="94"/>
        <v>1.0119865786050459</v>
      </c>
      <c r="P674">
        <f t="shared" si="95"/>
        <v>12.788941683143864</v>
      </c>
      <c r="Q674">
        <f t="shared" si="96"/>
        <v>2.450988264181797E-2</v>
      </c>
      <c r="R674">
        <f t="shared" si="97"/>
        <v>0</v>
      </c>
      <c r="S674">
        <f t="shared" si="98"/>
        <v>0</v>
      </c>
    </row>
    <row r="675" spans="1:19" x14ac:dyDescent="0.3">
      <c r="A675" t="s">
        <v>226</v>
      </c>
      <c r="B675">
        <v>2010</v>
      </c>
      <c r="C675">
        <v>1.1010294273003651E-3</v>
      </c>
      <c r="D675">
        <v>0.14412686488326507</v>
      </c>
      <c r="E675">
        <v>9.5782517342974192E-3</v>
      </c>
      <c r="F675">
        <v>0.32240207528787579</v>
      </c>
      <c r="G675">
        <v>1.4821945465002992</v>
      </c>
      <c r="H675">
        <v>12.962112462251808</v>
      </c>
      <c r="I675">
        <v>8.9230013121286006E-3</v>
      </c>
      <c r="J675">
        <v>9.1556818048431216E-3</v>
      </c>
      <c r="K675">
        <f t="shared" si="90"/>
        <v>1.1010294273003651E-3</v>
      </c>
      <c r="L675">
        <f t="shared" si="91"/>
        <v>0.14412686488326507</v>
      </c>
      <c r="M675">
        <f t="shared" si="92"/>
        <v>9.5782517342974192E-3</v>
      </c>
      <c r="N675">
        <f t="shared" si="93"/>
        <v>0.32240207528787579</v>
      </c>
      <c r="O675">
        <f t="shared" si="94"/>
        <v>1.4821945465002992</v>
      </c>
      <c r="P675">
        <f t="shared" si="95"/>
        <v>12.962112462251808</v>
      </c>
      <c r="Q675">
        <f t="shared" si="96"/>
        <v>8.9230013121286006E-3</v>
      </c>
      <c r="R675">
        <f t="shared" si="97"/>
        <v>9.1556818048431216E-3</v>
      </c>
      <c r="S675">
        <f t="shared" si="98"/>
        <v>0</v>
      </c>
    </row>
    <row r="676" spans="1:19" x14ac:dyDescent="0.3">
      <c r="A676" t="s">
        <v>227</v>
      </c>
      <c r="B676">
        <v>2007</v>
      </c>
      <c r="C676">
        <v>0.16311775943921342</v>
      </c>
      <c r="D676">
        <v>0.14159403661488296</v>
      </c>
      <c r="E676">
        <v>0.33478413881766533</v>
      </c>
      <c r="F676">
        <v>0.21291917146078876</v>
      </c>
      <c r="G676">
        <v>1.2534808782759834</v>
      </c>
      <c r="H676">
        <v>14.616492789991348</v>
      </c>
      <c r="I676">
        <v>1.2019379453230629E-2</v>
      </c>
      <c r="J676">
        <v>5.2870009265044926E-2</v>
      </c>
      <c r="K676">
        <f t="shared" si="90"/>
        <v>0.16311775943921342</v>
      </c>
      <c r="L676">
        <f t="shared" si="91"/>
        <v>0.14159403661488296</v>
      </c>
      <c r="M676">
        <f t="shared" si="92"/>
        <v>0.33478413881766533</v>
      </c>
      <c r="N676">
        <f t="shared" si="93"/>
        <v>0.21291917146078876</v>
      </c>
      <c r="O676">
        <f t="shared" si="94"/>
        <v>1.2534808782759834</v>
      </c>
      <c r="P676">
        <f t="shared" si="95"/>
        <v>14.616492789991348</v>
      </c>
      <c r="Q676">
        <f t="shared" si="96"/>
        <v>1.2019379453230629E-2</v>
      </c>
      <c r="R676">
        <f t="shared" si="97"/>
        <v>5.2870009265044926E-2</v>
      </c>
      <c r="S676">
        <f t="shared" si="98"/>
        <v>0</v>
      </c>
    </row>
    <row r="677" spans="1:19" x14ac:dyDescent="0.3">
      <c r="A677" t="s">
        <v>227</v>
      </c>
      <c r="B677">
        <v>2008</v>
      </c>
      <c r="C677">
        <v>8.6910114415584716E-2</v>
      </c>
      <c r="D677">
        <v>7.5842588168695921E-2</v>
      </c>
      <c r="E677">
        <v>0.27880576949743702</v>
      </c>
      <c r="F677">
        <v>0.37454962524589935</v>
      </c>
      <c r="G677">
        <v>0.63910673113630245</v>
      </c>
      <c r="H677">
        <v>14.906881021131417</v>
      </c>
      <c r="I677">
        <v>1.3152708334150942E-2</v>
      </c>
      <c r="J677">
        <v>3.9545346035208047E-2</v>
      </c>
      <c r="K677">
        <f t="shared" si="90"/>
        <v>8.6910114415584716E-2</v>
      </c>
      <c r="L677">
        <f t="shared" si="91"/>
        <v>7.5842588168695921E-2</v>
      </c>
      <c r="M677">
        <f t="shared" si="92"/>
        <v>0.27880576949743702</v>
      </c>
      <c r="N677">
        <f t="shared" si="93"/>
        <v>0.37454962524589935</v>
      </c>
      <c r="O677">
        <f t="shared" si="94"/>
        <v>0.63910673113630245</v>
      </c>
      <c r="P677">
        <f t="shared" si="95"/>
        <v>14.906881021131417</v>
      </c>
      <c r="Q677">
        <f t="shared" si="96"/>
        <v>1.3152708334150942E-2</v>
      </c>
      <c r="R677">
        <f t="shared" si="97"/>
        <v>3.9545346035208047E-2</v>
      </c>
      <c r="S677">
        <f t="shared" si="98"/>
        <v>0</v>
      </c>
    </row>
    <row r="678" spans="1:19" x14ac:dyDescent="0.3">
      <c r="A678" t="s">
        <v>227</v>
      </c>
      <c r="B678">
        <v>2009</v>
      </c>
      <c r="C678">
        <v>2.4493997460651461E-2</v>
      </c>
      <c r="D678">
        <v>4.7537950743959452E-2</v>
      </c>
      <c r="E678">
        <v>0.18073743838714468</v>
      </c>
      <c r="F678">
        <v>0</v>
      </c>
      <c r="G678">
        <v>0.85070492752288351</v>
      </c>
      <c r="H678">
        <v>15.035597725707316</v>
      </c>
      <c r="I678">
        <v>5.7009819402795373E-3</v>
      </c>
      <c r="J678">
        <v>2.3179452118283692E-2</v>
      </c>
      <c r="K678">
        <f t="shared" si="90"/>
        <v>2.4493997460651461E-2</v>
      </c>
      <c r="L678">
        <f t="shared" si="91"/>
        <v>4.7537950743959452E-2</v>
      </c>
      <c r="M678">
        <f t="shared" si="92"/>
        <v>0.18073743838714468</v>
      </c>
      <c r="N678">
        <f t="shared" si="93"/>
        <v>0</v>
      </c>
      <c r="O678">
        <f t="shared" si="94"/>
        <v>0.85070492752288351</v>
      </c>
      <c r="P678">
        <f t="shared" si="95"/>
        <v>15.035597725707316</v>
      </c>
      <c r="Q678">
        <f t="shared" si="96"/>
        <v>5.7009819402795373E-3</v>
      </c>
      <c r="R678">
        <f t="shared" si="97"/>
        <v>2.3179452118283692E-2</v>
      </c>
      <c r="S678">
        <f t="shared" si="98"/>
        <v>0</v>
      </c>
    </row>
    <row r="679" spans="1:19" x14ac:dyDescent="0.3">
      <c r="A679" t="s">
        <v>227</v>
      </c>
      <c r="B679">
        <v>2010</v>
      </c>
      <c r="C679">
        <v>1.3453748488512697E-2</v>
      </c>
      <c r="D679">
        <v>4.1056907496977026E-2</v>
      </c>
      <c r="E679">
        <v>0.2073477176541717</v>
      </c>
      <c r="F679">
        <v>0.30403756045949215</v>
      </c>
      <c r="G679">
        <v>0.79648452614873033</v>
      </c>
      <c r="H679">
        <v>14.78871078381151</v>
      </c>
      <c r="I679">
        <v>4.9381414089060497E-3</v>
      </c>
      <c r="J679">
        <v>2.2252871825876663E-2</v>
      </c>
      <c r="K679">
        <f t="shared" si="90"/>
        <v>1.3453748488512697E-2</v>
      </c>
      <c r="L679">
        <f t="shared" si="91"/>
        <v>4.1056907496977026E-2</v>
      </c>
      <c r="M679">
        <f t="shared" si="92"/>
        <v>0.2073477176541717</v>
      </c>
      <c r="N679">
        <f t="shared" si="93"/>
        <v>0.30403756045949215</v>
      </c>
      <c r="O679">
        <f t="shared" si="94"/>
        <v>0.79648452614873033</v>
      </c>
      <c r="P679">
        <f t="shared" si="95"/>
        <v>14.78871078381151</v>
      </c>
      <c r="Q679">
        <f t="shared" si="96"/>
        <v>4.9381414089060497E-3</v>
      </c>
      <c r="R679">
        <f t="shared" si="97"/>
        <v>2.2252871825876663E-2</v>
      </c>
      <c r="S679">
        <f t="shared" si="98"/>
        <v>0</v>
      </c>
    </row>
    <row r="680" spans="1:19" x14ac:dyDescent="0.3">
      <c r="A680" t="s">
        <v>228</v>
      </c>
      <c r="B680">
        <v>2007</v>
      </c>
      <c r="C680">
        <v>0.23384458923093301</v>
      </c>
      <c r="D680">
        <v>0.30978940753001422</v>
      </c>
      <c r="E680">
        <v>0.74275873920113089</v>
      </c>
      <c r="F680">
        <v>5.1599235034511533E-2</v>
      </c>
      <c r="G680">
        <v>1.9804350727706113</v>
      </c>
      <c r="H680">
        <v>15.124135767296856</v>
      </c>
      <c r="I680">
        <v>2.7002485985861493E-2</v>
      </c>
      <c r="J680">
        <v>2.2150279296702963E-2</v>
      </c>
      <c r="K680">
        <f t="shared" si="90"/>
        <v>0.23384458923093301</v>
      </c>
      <c r="L680">
        <f t="shared" si="91"/>
        <v>0.30978940753001422</v>
      </c>
      <c r="M680">
        <f t="shared" si="92"/>
        <v>0.74275873920113089</v>
      </c>
      <c r="N680">
        <f t="shared" si="93"/>
        <v>5.1599235034511533E-2</v>
      </c>
      <c r="O680">
        <f t="shared" si="94"/>
        <v>1.9804350727706113</v>
      </c>
      <c r="P680">
        <f t="shared" si="95"/>
        <v>15.124135767296856</v>
      </c>
      <c r="Q680">
        <f t="shared" si="96"/>
        <v>2.7002485985861493E-2</v>
      </c>
      <c r="R680">
        <f t="shared" si="97"/>
        <v>2.2150279296702963E-2</v>
      </c>
      <c r="S680">
        <f t="shared" si="98"/>
        <v>0</v>
      </c>
    </row>
    <row r="681" spans="1:19" x14ac:dyDescent="0.3">
      <c r="A681" t="s">
        <v>228</v>
      </c>
      <c r="B681">
        <v>2008</v>
      </c>
      <c r="C681">
        <v>1.3543634715272776E-2</v>
      </c>
      <c r="D681">
        <v>0.19943407151403969</v>
      </c>
      <c r="E681">
        <v>0.64071863619255698</v>
      </c>
      <c r="F681">
        <v>0.1368705105866708</v>
      </c>
      <c r="G681">
        <v>0.77782258429436657</v>
      </c>
      <c r="H681">
        <v>15.544568218265715</v>
      </c>
      <c r="I681">
        <v>4.5643570518075827E-2</v>
      </c>
      <c r="J681">
        <v>0</v>
      </c>
      <c r="K681">
        <f t="shared" si="90"/>
        <v>1.3543634715272776E-2</v>
      </c>
      <c r="L681">
        <f t="shared" si="91"/>
        <v>0.19943407151403969</v>
      </c>
      <c r="M681">
        <f t="shared" si="92"/>
        <v>0.64071863619255698</v>
      </c>
      <c r="N681">
        <f t="shared" si="93"/>
        <v>0.1368705105866708</v>
      </c>
      <c r="O681">
        <f t="shared" si="94"/>
        <v>0.77782258429436657</v>
      </c>
      <c r="P681">
        <f t="shared" si="95"/>
        <v>15.544568218265715</v>
      </c>
      <c r="Q681">
        <f t="shared" si="96"/>
        <v>4.5643570518075827E-2</v>
      </c>
      <c r="R681">
        <f t="shared" si="97"/>
        <v>0</v>
      </c>
      <c r="S681">
        <f t="shared" si="98"/>
        <v>0</v>
      </c>
    </row>
    <row r="682" spans="1:19" x14ac:dyDescent="0.3">
      <c r="A682" t="s">
        <v>228</v>
      </c>
      <c r="B682">
        <v>2009</v>
      </c>
      <c r="C682">
        <v>5.7842336801767813E-2</v>
      </c>
      <c r="D682">
        <v>8.4729934596063788E-2</v>
      </c>
      <c r="E682">
        <v>0.1545986146230795</v>
      </c>
      <c r="F682">
        <v>0.17915499544423757</v>
      </c>
      <c r="G682">
        <v>0.52883281173154717</v>
      </c>
      <c r="H682">
        <v>16.152451666016539</v>
      </c>
      <c r="I682">
        <v>2.8968961017346487E-2</v>
      </c>
      <c r="J682">
        <v>4.1189310045963443E-3</v>
      </c>
      <c r="K682">
        <f t="shared" si="90"/>
        <v>5.7842336801767813E-2</v>
      </c>
      <c r="L682">
        <f t="shared" si="91"/>
        <v>8.4729934596063788E-2</v>
      </c>
      <c r="M682">
        <f t="shared" si="92"/>
        <v>0.1545986146230795</v>
      </c>
      <c r="N682">
        <f t="shared" si="93"/>
        <v>0.17915499544423757</v>
      </c>
      <c r="O682">
        <f t="shared" si="94"/>
        <v>0.52883281173154717</v>
      </c>
      <c r="P682">
        <f t="shared" si="95"/>
        <v>16.152451666016539</v>
      </c>
      <c r="Q682">
        <f t="shared" si="96"/>
        <v>2.8968961017346487E-2</v>
      </c>
      <c r="R682">
        <f t="shared" si="97"/>
        <v>4.1189310045963443E-3</v>
      </c>
      <c r="S682">
        <f t="shared" si="98"/>
        <v>0</v>
      </c>
    </row>
    <row r="683" spans="1:19" x14ac:dyDescent="0.3">
      <c r="A683" t="s">
        <v>228</v>
      </c>
      <c r="B683">
        <v>2010</v>
      </c>
      <c r="C683">
        <v>7.4307216781683047E-2</v>
      </c>
      <c r="D683">
        <v>0.19996139183346648</v>
      </c>
      <c r="E683">
        <v>0.16820535919415874</v>
      </c>
      <c r="F683">
        <v>0.22138810859407818</v>
      </c>
      <c r="G683">
        <v>0.73969327352390601</v>
      </c>
      <c r="H683">
        <v>16.216486081914436</v>
      </c>
      <c r="I683">
        <v>1.4478060376328577E-2</v>
      </c>
      <c r="J683">
        <v>1.8544789324932583E-2</v>
      </c>
      <c r="K683">
        <f t="shared" si="90"/>
        <v>7.4307216781683047E-2</v>
      </c>
      <c r="L683">
        <f t="shared" si="91"/>
        <v>0.19996139183346648</v>
      </c>
      <c r="M683">
        <f t="shared" si="92"/>
        <v>0.16820535919415874</v>
      </c>
      <c r="N683">
        <f t="shared" si="93"/>
        <v>0.22138810859407818</v>
      </c>
      <c r="O683">
        <f t="shared" si="94"/>
        <v>0.73969327352390601</v>
      </c>
      <c r="P683">
        <f t="shared" si="95"/>
        <v>16.216486081914436</v>
      </c>
      <c r="Q683">
        <f t="shared" si="96"/>
        <v>1.4478060376328577E-2</v>
      </c>
      <c r="R683">
        <f t="shared" si="97"/>
        <v>1.8544789324932583E-2</v>
      </c>
      <c r="S683">
        <f t="shared" si="98"/>
        <v>0</v>
      </c>
    </row>
    <row r="684" spans="1:19" x14ac:dyDescent="0.3">
      <c r="A684" t="s">
        <v>229</v>
      </c>
      <c r="B684">
        <v>2007</v>
      </c>
      <c r="C684">
        <v>6.0234037851168633E-2</v>
      </c>
      <c r="D684">
        <v>6.4669305049579268E-2</v>
      </c>
      <c r="E684">
        <v>0.25264753454912259</v>
      </c>
      <c r="F684">
        <v>0.24629064964869013</v>
      </c>
      <c r="G684">
        <v>0.9171616459206976</v>
      </c>
      <c r="H684">
        <v>14.60973263401657</v>
      </c>
      <c r="I684">
        <v>1.0341315075456513E-2</v>
      </c>
      <c r="J684">
        <v>3.7799648305998188E-3</v>
      </c>
      <c r="K684">
        <f t="shared" si="90"/>
        <v>6.0234037851168633E-2</v>
      </c>
      <c r="L684">
        <f t="shared" si="91"/>
        <v>6.4669305049579268E-2</v>
      </c>
      <c r="M684">
        <f t="shared" si="92"/>
        <v>0.25264753454912259</v>
      </c>
      <c r="N684">
        <f t="shared" si="93"/>
        <v>0.24629064964869013</v>
      </c>
      <c r="O684">
        <f t="shared" si="94"/>
        <v>0.9171616459206976</v>
      </c>
      <c r="P684">
        <f t="shared" si="95"/>
        <v>14.60973263401657</v>
      </c>
      <c r="Q684">
        <f t="shared" si="96"/>
        <v>1.0341315075456513E-2</v>
      </c>
      <c r="R684">
        <f t="shared" si="97"/>
        <v>3.7799648305998188E-3</v>
      </c>
      <c r="S684">
        <f t="shared" si="98"/>
        <v>0</v>
      </c>
    </row>
    <row r="685" spans="1:19" x14ac:dyDescent="0.3">
      <c r="A685" t="s">
        <v>229</v>
      </c>
      <c r="B685">
        <v>2009</v>
      </c>
      <c r="C685">
        <v>2.2567414750510568E-2</v>
      </c>
      <c r="D685">
        <v>1.7140196800999194E-2</v>
      </c>
      <c r="E685">
        <v>-0.14905594031832478</v>
      </c>
      <c r="F685">
        <v>0.3931893239114902</v>
      </c>
      <c r="G685">
        <v>0.80135532763596884</v>
      </c>
      <c r="H685">
        <v>15.083826239290715</v>
      </c>
      <c r="I685">
        <v>1.7369711024459975E-2</v>
      </c>
      <c r="J685">
        <v>0</v>
      </c>
      <c r="K685">
        <f t="shared" si="90"/>
        <v>2.2567414750510568E-2</v>
      </c>
      <c r="L685">
        <f t="shared" si="91"/>
        <v>1.7140196800999194E-2</v>
      </c>
      <c r="M685">
        <f t="shared" si="92"/>
        <v>-0.14905594031832478</v>
      </c>
      <c r="N685">
        <f t="shared" si="93"/>
        <v>0.3931893239114902</v>
      </c>
      <c r="O685">
        <f t="shared" si="94"/>
        <v>0.80135532763596884</v>
      </c>
      <c r="P685">
        <f t="shared" si="95"/>
        <v>15.083826239290715</v>
      </c>
      <c r="Q685">
        <f t="shared" si="96"/>
        <v>1.7369711024459975E-2</v>
      </c>
      <c r="R685">
        <f t="shared" si="97"/>
        <v>0</v>
      </c>
      <c r="S685">
        <f t="shared" si="98"/>
        <v>0</v>
      </c>
    </row>
    <row r="686" spans="1:19" x14ac:dyDescent="0.3">
      <c r="A686" t="s">
        <v>229</v>
      </c>
      <c r="B686">
        <v>2010</v>
      </c>
      <c r="C686">
        <v>2.2010299638861031E-2</v>
      </c>
      <c r="D686">
        <v>6.9545077210208098E-2</v>
      </c>
      <c r="E686">
        <v>-8.5562440699731249E-2</v>
      </c>
      <c r="F686">
        <v>0.37681304529096932</v>
      </c>
      <c r="G686">
        <v>1.1358096145502397</v>
      </c>
      <c r="H686">
        <v>15.1439845803379</v>
      </c>
      <c r="I686">
        <v>5.9670083933407898E-3</v>
      </c>
      <c r="J686">
        <v>5.5389563364605203E-2</v>
      </c>
      <c r="K686">
        <f t="shared" si="90"/>
        <v>2.2010299638861031E-2</v>
      </c>
      <c r="L686">
        <f t="shared" si="91"/>
        <v>6.9545077210208098E-2</v>
      </c>
      <c r="M686">
        <f t="shared" si="92"/>
        <v>-8.5562440699731249E-2</v>
      </c>
      <c r="N686">
        <f t="shared" si="93"/>
        <v>0.37681304529096932</v>
      </c>
      <c r="O686">
        <f t="shared" si="94"/>
        <v>1.1358096145502397</v>
      </c>
      <c r="P686">
        <f t="shared" si="95"/>
        <v>15.1439845803379</v>
      </c>
      <c r="Q686">
        <f t="shared" si="96"/>
        <v>5.9670083933407898E-3</v>
      </c>
      <c r="R686">
        <f t="shared" si="97"/>
        <v>5.5389563364605203E-2</v>
      </c>
      <c r="S686">
        <f t="shared" si="98"/>
        <v>0</v>
      </c>
    </row>
    <row r="687" spans="1:19" x14ac:dyDescent="0.3">
      <c r="A687" t="s">
        <v>230</v>
      </c>
      <c r="B687">
        <v>2009</v>
      </c>
      <c r="C687">
        <v>0.12030684200495521</v>
      </c>
      <c r="D687">
        <v>0.10818086525633695</v>
      </c>
      <c r="E687">
        <v>0.32906303602058318</v>
      </c>
      <c r="F687">
        <v>8.2308938441013908E-3</v>
      </c>
      <c r="G687">
        <v>0.73173360968172285</v>
      </c>
      <c r="H687">
        <v>12.031147666486438</v>
      </c>
      <c r="I687">
        <v>1.6069941393370261E-2</v>
      </c>
      <c r="J687">
        <v>0</v>
      </c>
      <c r="K687">
        <f t="shared" si="90"/>
        <v>0.12030684200495521</v>
      </c>
      <c r="L687">
        <f t="shared" si="91"/>
        <v>0.10818086525633695</v>
      </c>
      <c r="M687">
        <f t="shared" si="92"/>
        <v>0.32906303602058318</v>
      </c>
      <c r="N687">
        <f t="shared" si="93"/>
        <v>8.2308938441013908E-3</v>
      </c>
      <c r="O687">
        <f t="shared" si="94"/>
        <v>0.73173360968172285</v>
      </c>
      <c r="P687">
        <f t="shared" si="95"/>
        <v>12.031147666486438</v>
      </c>
      <c r="Q687">
        <f t="shared" si="96"/>
        <v>1.6069941393370261E-2</v>
      </c>
      <c r="R687">
        <f t="shared" si="97"/>
        <v>0</v>
      </c>
      <c r="S687">
        <f t="shared" si="98"/>
        <v>0</v>
      </c>
    </row>
    <row r="688" spans="1:19" x14ac:dyDescent="0.3">
      <c r="A688" t="s">
        <v>230</v>
      </c>
      <c r="B688">
        <v>2010</v>
      </c>
      <c r="C688">
        <v>0.1591167584413502</v>
      </c>
      <c r="D688">
        <v>5.8682352705390739E-2</v>
      </c>
      <c r="E688">
        <v>0.281341597230225</v>
      </c>
      <c r="F688">
        <v>1.2476012486033379E-3</v>
      </c>
      <c r="G688">
        <v>0.8892490843408507</v>
      </c>
      <c r="H688">
        <v>12.20398546889162</v>
      </c>
      <c r="I688">
        <v>2.9061533246111111E-2</v>
      </c>
      <c r="J688">
        <v>0</v>
      </c>
      <c r="K688">
        <f t="shared" si="90"/>
        <v>0.1591167584413502</v>
      </c>
      <c r="L688">
        <f t="shared" si="91"/>
        <v>5.8682352705390739E-2</v>
      </c>
      <c r="M688">
        <f t="shared" si="92"/>
        <v>0.281341597230225</v>
      </c>
      <c r="N688">
        <f t="shared" si="93"/>
        <v>1.2476012486033379E-3</v>
      </c>
      <c r="O688">
        <f t="shared" si="94"/>
        <v>0.8892490843408507</v>
      </c>
      <c r="P688">
        <f t="shared" si="95"/>
        <v>12.20398546889162</v>
      </c>
      <c r="Q688">
        <f t="shared" si="96"/>
        <v>2.9061533246111111E-2</v>
      </c>
      <c r="R688">
        <f t="shared" si="97"/>
        <v>0</v>
      </c>
      <c r="S688">
        <f t="shared" si="98"/>
        <v>0</v>
      </c>
    </row>
    <row r="689" spans="1:19" x14ac:dyDescent="0.3">
      <c r="A689" t="s">
        <v>231</v>
      </c>
      <c r="B689">
        <v>2009</v>
      </c>
      <c r="C689">
        <v>0.17138702239245404</v>
      </c>
      <c r="D689">
        <v>0.14565688750942421</v>
      </c>
      <c r="E689">
        <v>0.22057310153924045</v>
      </c>
      <c r="F689">
        <v>0</v>
      </c>
      <c r="G689">
        <v>0.51768035308425919</v>
      </c>
      <c r="H689">
        <v>13.496478159450053</v>
      </c>
      <c r="I689">
        <v>1.9215126818250973E-2</v>
      </c>
      <c r="J689">
        <v>0</v>
      </c>
      <c r="K689">
        <f t="shared" si="90"/>
        <v>0.17138702239245404</v>
      </c>
      <c r="L689">
        <f t="shared" si="91"/>
        <v>0.14565688750942421</v>
      </c>
      <c r="M689">
        <f t="shared" si="92"/>
        <v>0.22057310153924045</v>
      </c>
      <c r="N689">
        <f t="shared" si="93"/>
        <v>0</v>
      </c>
      <c r="O689">
        <f t="shared" si="94"/>
        <v>0.51768035308425919</v>
      </c>
      <c r="P689">
        <f t="shared" si="95"/>
        <v>13.496478159450053</v>
      </c>
      <c r="Q689">
        <f t="shared" si="96"/>
        <v>1.9215126818250973E-2</v>
      </c>
      <c r="R689">
        <f t="shared" si="97"/>
        <v>0</v>
      </c>
      <c r="S689">
        <f t="shared" si="98"/>
        <v>0</v>
      </c>
    </row>
    <row r="690" spans="1:19" x14ac:dyDescent="0.3">
      <c r="A690" t="s">
        <v>231</v>
      </c>
      <c r="B690">
        <v>2010</v>
      </c>
      <c r="C690">
        <v>0.13537618335824614</v>
      </c>
      <c r="D690">
        <v>9.6807227335903287E-2</v>
      </c>
      <c r="E690">
        <v>0.23549419138279182</v>
      </c>
      <c r="F690">
        <v>0</v>
      </c>
      <c r="G690">
        <v>0.88353573020743181</v>
      </c>
      <c r="H690">
        <v>13.54456760151677</v>
      </c>
      <c r="I690">
        <v>7.9547090635240097E-3</v>
      </c>
      <c r="J690">
        <v>2.4432905882044425E-2</v>
      </c>
      <c r="K690">
        <f t="shared" si="90"/>
        <v>0.13537618335824614</v>
      </c>
      <c r="L690">
        <f t="shared" si="91"/>
        <v>9.6807227335903287E-2</v>
      </c>
      <c r="M690">
        <f t="shared" si="92"/>
        <v>0.23549419138279182</v>
      </c>
      <c r="N690">
        <f t="shared" si="93"/>
        <v>0</v>
      </c>
      <c r="O690">
        <f t="shared" si="94"/>
        <v>0.88353573020743181</v>
      </c>
      <c r="P690">
        <f t="shared" si="95"/>
        <v>13.54456760151677</v>
      </c>
      <c r="Q690">
        <f t="shared" si="96"/>
        <v>7.9547090635240097E-3</v>
      </c>
      <c r="R690">
        <f t="shared" si="97"/>
        <v>2.4432905882044425E-2</v>
      </c>
      <c r="S690">
        <f t="shared" si="98"/>
        <v>0</v>
      </c>
    </row>
    <row r="691" spans="1:19" x14ac:dyDescent="0.3">
      <c r="A691" t="s">
        <v>232</v>
      </c>
      <c r="B691">
        <v>2007</v>
      </c>
      <c r="C691">
        <v>4.593718240332962E-2</v>
      </c>
      <c r="D691">
        <v>0.26973126568538658</v>
      </c>
      <c r="E691">
        <v>-3.8814893425792134E-2</v>
      </c>
      <c r="F691">
        <v>2.6771454843370827E-3</v>
      </c>
      <c r="G691">
        <v>1.6565750375066546</v>
      </c>
      <c r="H691">
        <v>15.570889543432854</v>
      </c>
      <c r="I691">
        <v>3.8797723807480318E-2</v>
      </c>
      <c r="J691">
        <v>5.6127412006277612E-2</v>
      </c>
      <c r="K691">
        <f t="shared" si="90"/>
        <v>4.593718240332962E-2</v>
      </c>
      <c r="L691">
        <f t="shared" si="91"/>
        <v>0.26973126568538658</v>
      </c>
      <c r="M691">
        <f t="shared" si="92"/>
        <v>-3.8814893425792134E-2</v>
      </c>
      <c r="N691">
        <f t="shared" si="93"/>
        <v>2.6771454843370827E-3</v>
      </c>
      <c r="O691">
        <f t="shared" si="94"/>
        <v>1.6565750375066546</v>
      </c>
      <c r="P691">
        <f t="shared" si="95"/>
        <v>15.570889543432854</v>
      </c>
      <c r="Q691">
        <f t="shared" si="96"/>
        <v>3.8797723807480318E-2</v>
      </c>
      <c r="R691">
        <f t="shared" si="97"/>
        <v>5.6127412006277612E-2</v>
      </c>
      <c r="S691">
        <f t="shared" si="98"/>
        <v>0</v>
      </c>
    </row>
    <row r="692" spans="1:19" x14ac:dyDescent="0.3">
      <c r="A692" t="s">
        <v>232</v>
      </c>
      <c r="B692">
        <v>2008</v>
      </c>
      <c r="C692">
        <v>1.8899336001500268E-2</v>
      </c>
      <c r="D692">
        <v>0.18330194430302302</v>
      </c>
      <c r="E692">
        <v>-3.0537492503338898E-2</v>
      </c>
      <c r="F692">
        <v>3.4084620419840277E-2</v>
      </c>
      <c r="G692">
        <v>0.86159770817212289</v>
      </c>
      <c r="H692">
        <v>15.585526507582649</v>
      </c>
      <c r="I692">
        <v>6.9918311233894734E-2</v>
      </c>
      <c r="J692">
        <v>5.5311860250143632E-2</v>
      </c>
      <c r="K692">
        <f t="shared" si="90"/>
        <v>1.8899336001500268E-2</v>
      </c>
      <c r="L692">
        <f t="shared" si="91"/>
        <v>0.18330194430302302</v>
      </c>
      <c r="M692">
        <f t="shared" si="92"/>
        <v>-3.0537492503338898E-2</v>
      </c>
      <c r="N692">
        <f t="shared" si="93"/>
        <v>3.4084620419840277E-2</v>
      </c>
      <c r="O692">
        <f t="shared" si="94"/>
        <v>0.86159770817212289</v>
      </c>
      <c r="P692">
        <f t="shared" si="95"/>
        <v>15.585526507582649</v>
      </c>
      <c r="Q692">
        <f t="shared" si="96"/>
        <v>6.9918311233894734E-2</v>
      </c>
      <c r="R692">
        <f t="shared" si="97"/>
        <v>5.5311860250143632E-2</v>
      </c>
      <c r="S692">
        <f t="shared" si="98"/>
        <v>0</v>
      </c>
    </row>
    <row r="693" spans="1:19" x14ac:dyDescent="0.3">
      <c r="A693" t="s">
        <v>232</v>
      </c>
      <c r="B693">
        <v>2009</v>
      </c>
      <c r="C693">
        <v>0.12503239372527625</v>
      </c>
      <c r="D693">
        <v>0.35325330523558612</v>
      </c>
      <c r="E693">
        <v>0.23330437796805042</v>
      </c>
      <c r="F693">
        <v>8.9275457595878613E-2</v>
      </c>
      <c r="G693">
        <v>0.85293671797029624</v>
      </c>
      <c r="H693">
        <v>15.757527567146838</v>
      </c>
      <c r="I693">
        <v>5.2628307059805361E-2</v>
      </c>
      <c r="J693">
        <v>0.29086144864882851</v>
      </c>
      <c r="K693">
        <f t="shared" si="90"/>
        <v>0.12503239372527625</v>
      </c>
      <c r="L693">
        <f t="shared" si="91"/>
        <v>0.35325330523558612</v>
      </c>
      <c r="M693">
        <f t="shared" si="92"/>
        <v>0.23330437796805042</v>
      </c>
      <c r="N693">
        <f t="shared" si="93"/>
        <v>8.9275457595878613E-2</v>
      </c>
      <c r="O693">
        <f t="shared" si="94"/>
        <v>0.85293671797029624</v>
      </c>
      <c r="P693">
        <f t="shared" si="95"/>
        <v>15.757527567146838</v>
      </c>
      <c r="Q693">
        <f t="shared" si="96"/>
        <v>5.2628307059805361E-2</v>
      </c>
      <c r="R693" t="str">
        <f t="shared" si="97"/>
        <v>out</v>
      </c>
      <c r="S693">
        <f t="shared" si="98"/>
        <v>1</v>
      </c>
    </row>
    <row r="694" spans="1:19" x14ac:dyDescent="0.3">
      <c r="A694" t="s">
        <v>232</v>
      </c>
      <c r="B694">
        <v>2010</v>
      </c>
      <c r="C694">
        <v>6.263134997207076E-2</v>
      </c>
      <c r="D694">
        <v>0.2350378790830141</v>
      </c>
      <c r="E694">
        <v>0.2447082119913998</v>
      </c>
      <c r="F694">
        <v>0</v>
      </c>
      <c r="G694">
        <v>1.0098139670025497</v>
      </c>
      <c r="H694">
        <v>15.769801064950132</v>
      </c>
      <c r="I694">
        <v>1.9452388319021848E-2</v>
      </c>
      <c r="J694">
        <v>0.32083314857862594</v>
      </c>
      <c r="K694">
        <f t="shared" si="90"/>
        <v>6.263134997207076E-2</v>
      </c>
      <c r="L694">
        <f t="shared" si="91"/>
        <v>0.2350378790830141</v>
      </c>
      <c r="M694">
        <f t="shared" si="92"/>
        <v>0.2447082119913998</v>
      </c>
      <c r="N694">
        <f t="shared" si="93"/>
        <v>0</v>
      </c>
      <c r="O694">
        <f t="shared" si="94"/>
        <v>1.0098139670025497</v>
      </c>
      <c r="P694">
        <f t="shared" si="95"/>
        <v>15.769801064950132</v>
      </c>
      <c r="Q694">
        <f t="shared" si="96"/>
        <v>1.9452388319021848E-2</v>
      </c>
      <c r="R694" t="str">
        <f t="shared" si="97"/>
        <v>out</v>
      </c>
      <c r="S694">
        <f t="shared" si="98"/>
        <v>1</v>
      </c>
    </row>
    <row r="695" spans="1:19" x14ac:dyDescent="0.3">
      <c r="A695" t="s">
        <v>233</v>
      </c>
      <c r="B695">
        <v>2007</v>
      </c>
      <c r="C695">
        <v>3.8400043810106754E-2</v>
      </c>
      <c r="D695">
        <v>8.816861969396006E-2</v>
      </c>
      <c r="E695">
        <v>0.1791774877745887</v>
      </c>
      <c r="F695">
        <v>3.277028045746902E-2</v>
      </c>
      <c r="G695">
        <v>1.3320862414429053</v>
      </c>
      <c r="H695">
        <v>16.954539042740116</v>
      </c>
      <c r="I695">
        <v>2.2533904218833868E-2</v>
      </c>
      <c r="J695">
        <v>0</v>
      </c>
      <c r="K695">
        <f t="shared" si="90"/>
        <v>3.8400043810106754E-2</v>
      </c>
      <c r="L695">
        <f t="shared" si="91"/>
        <v>8.816861969396006E-2</v>
      </c>
      <c r="M695">
        <f t="shared" si="92"/>
        <v>0.1791774877745887</v>
      </c>
      <c r="N695">
        <f t="shared" si="93"/>
        <v>3.277028045746902E-2</v>
      </c>
      <c r="O695">
        <f t="shared" si="94"/>
        <v>1.3320862414429053</v>
      </c>
      <c r="P695">
        <f t="shared" si="95"/>
        <v>16.954539042740116</v>
      </c>
      <c r="Q695">
        <f t="shared" si="96"/>
        <v>2.2533904218833868E-2</v>
      </c>
      <c r="R695">
        <f t="shared" si="97"/>
        <v>0</v>
      </c>
      <c r="S695">
        <f t="shared" si="98"/>
        <v>0</v>
      </c>
    </row>
    <row r="696" spans="1:19" x14ac:dyDescent="0.3">
      <c r="A696" t="s">
        <v>233</v>
      </c>
      <c r="B696">
        <v>2009</v>
      </c>
      <c r="C696">
        <v>1.2276759625049673E-2</v>
      </c>
      <c r="D696">
        <v>5.8362641822984514E-2</v>
      </c>
      <c r="E696">
        <v>-7.124000412266851E-2</v>
      </c>
      <c r="F696">
        <v>0.6099354186102357</v>
      </c>
      <c r="G696">
        <v>0.88102743699648722</v>
      </c>
      <c r="H696">
        <v>17.443724514426371</v>
      </c>
      <c r="I696">
        <v>4.0711250713067505E-3</v>
      </c>
      <c r="J696">
        <v>0</v>
      </c>
      <c r="K696">
        <f t="shared" si="90"/>
        <v>1.2276759625049673E-2</v>
      </c>
      <c r="L696">
        <f t="shared" si="91"/>
        <v>5.8362641822984514E-2</v>
      </c>
      <c r="M696">
        <f t="shared" si="92"/>
        <v>-7.124000412266851E-2</v>
      </c>
      <c r="N696">
        <f t="shared" si="93"/>
        <v>0.6099354186102357</v>
      </c>
      <c r="O696">
        <f t="shared" si="94"/>
        <v>0.88102743699648722</v>
      </c>
      <c r="P696">
        <f t="shared" si="95"/>
        <v>17.443724514426371</v>
      </c>
      <c r="Q696">
        <f t="shared" si="96"/>
        <v>4.0711250713067505E-3</v>
      </c>
      <c r="R696">
        <f t="shared" si="97"/>
        <v>0</v>
      </c>
      <c r="S696">
        <f t="shared" si="98"/>
        <v>0</v>
      </c>
    </row>
    <row r="697" spans="1:19" x14ac:dyDescent="0.3">
      <c r="A697" t="s">
        <v>233</v>
      </c>
      <c r="B697">
        <v>2010</v>
      </c>
      <c r="C697">
        <v>5.4797069914344415E-3</v>
      </c>
      <c r="D697">
        <v>6.1424928287363748E-2</v>
      </c>
      <c r="E697">
        <v>-0.15155101370612215</v>
      </c>
      <c r="F697">
        <v>0.64060517900142044</v>
      </c>
      <c r="G697">
        <v>0.9186491745099572</v>
      </c>
      <c r="H697">
        <v>17.464633179238447</v>
      </c>
      <c r="I697">
        <v>5.5103105080544466E-3</v>
      </c>
      <c r="J697">
        <v>0</v>
      </c>
      <c r="K697">
        <f t="shared" si="90"/>
        <v>5.4797069914344415E-3</v>
      </c>
      <c r="L697">
        <f t="shared" si="91"/>
        <v>6.1424928287363748E-2</v>
      </c>
      <c r="M697">
        <f t="shared" si="92"/>
        <v>-0.15155101370612215</v>
      </c>
      <c r="N697">
        <f t="shared" si="93"/>
        <v>0.64060517900142044</v>
      </c>
      <c r="O697">
        <f t="shared" si="94"/>
        <v>0.9186491745099572</v>
      </c>
      <c r="P697">
        <f t="shared" si="95"/>
        <v>17.464633179238447</v>
      </c>
      <c r="Q697">
        <f t="shared" si="96"/>
        <v>5.5103105080544466E-3</v>
      </c>
      <c r="R697">
        <f t="shared" si="97"/>
        <v>0</v>
      </c>
      <c r="S697">
        <f t="shared" si="98"/>
        <v>0</v>
      </c>
    </row>
    <row r="698" spans="1:19" x14ac:dyDescent="0.3">
      <c r="A698" t="s">
        <v>234</v>
      </c>
      <c r="B698">
        <v>2007</v>
      </c>
      <c r="C698">
        <v>2.1359616228225339E-2</v>
      </c>
      <c r="D698">
        <v>0.13684690166555818</v>
      </c>
      <c r="E698">
        <v>0.13503558945476674</v>
      </c>
      <c r="F698">
        <v>8.6933646539403123E-2</v>
      </c>
      <c r="G698">
        <v>1.4409338729534296</v>
      </c>
      <c r="H698">
        <v>15.077756987384193</v>
      </c>
      <c r="I698">
        <v>2.4579158093465964E-2</v>
      </c>
      <c r="J698">
        <v>2.705081579803869E-2</v>
      </c>
      <c r="K698">
        <f t="shared" si="90"/>
        <v>2.1359616228225339E-2</v>
      </c>
      <c r="L698">
        <f t="shared" si="91"/>
        <v>0.13684690166555818</v>
      </c>
      <c r="M698">
        <f t="shared" si="92"/>
        <v>0.13503558945476674</v>
      </c>
      <c r="N698">
        <f t="shared" si="93"/>
        <v>8.6933646539403123E-2</v>
      </c>
      <c r="O698">
        <f t="shared" si="94"/>
        <v>1.4409338729534296</v>
      </c>
      <c r="P698">
        <f t="shared" si="95"/>
        <v>15.077756987384193</v>
      </c>
      <c r="Q698">
        <f t="shared" si="96"/>
        <v>2.4579158093465964E-2</v>
      </c>
      <c r="R698">
        <f t="shared" si="97"/>
        <v>2.705081579803869E-2</v>
      </c>
      <c r="S698">
        <f t="shared" si="98"/>
        <v>0</v>
      </c>
    </row>
    <row r="699" spans="1:19" x14ac:dyDescent="0.3">
      <c r="A699" t="s">
        <v>234</v>
      </c>
      <c r="B699">
        <v>2008</v>
      </c>
      <c r="C699">
        <v>1.4953198944931089E-2</v>
      </c>
      <c r="D699">
        <v>5.3218957376685569E-2</v>
      </c>
      <c r="E699">
        <v>3.7802300313102355E-3</v>
      </c>
      <c r="F699">
        <v>0.1533163269380981</v>
      </c>
      <c r="G699">
        <v>0.75638582078295902</v>
      </c>
      <c r="H699">
        <v>15.293078097516453</v>
      </c>
      <c r="I699">
        <v>1.3154052985900409E-2</v>
      </c>
      <c r="J699">
        <v>0</v>
      </c>
      <c r="K699">
        <f t="shared" si="90"/>
        <v>1.4953198944931089E-2</v>
      </c>
      <c r="L699">
        <f t="shared" si="91"/>
        <v>5.3218957376685569E-2</v>
      </c>
      <c r="M699">
        <f t="shared" si="92"/>
        <v>3.7802300313102355E-3</v>
      </c>
      <c r="N699">
        <f t="shared" si="93"/>
        <v>0.1533163269380981</v>
      </c>
      <c r="O699">
        <f t="shared" si="94"/>
        <v>0.75638582078295902</v>
      </c>
      <c r="P699">
        <f t="shared" si="95"/>
        <v>15.293078097516453</v>
      </c>
      <c r="Q699">
        <f t="shared" si="96"/>
        <v>1.3154052985900409E-2</v>
      </c>
      <c r="R699">
        <f t="shared" si="97"/>
        <v>0</v>
      </c>
      <c r="S699">
        <f t="shared" si="98"/>
        <v>0</v>
      </c>
    </row>
    <row r="700" spans="1:19" x14ac:dyDescent="0.3">
      <c r="A700" t="s">
        <v>234</v>
      </c>
      <c r="B700">
        <v>2009</v>
      </c>
      <c r="C700">
        <v>1.2794112376699954E-2</v>
      </c>
      <c r="D700">
        <v>9.546728055806776E-2</v>
      </c>
      <c r="E700">
        <v>5.7433630370759207E-2</v>
      </c>
      <c r="F700">
        <v>0.37207405486654399</v>
      </c>
      <c r="G700">
        <v>0.77469755518592776</v>
      </c>
      <c r="H700">
        <v>15.372287925960839</v>
      </c>
      <c r="I700">
        <v>2.4833825217919214E-3</v>
      </c>
      <c r="J700">
        <v>0</v>
      </c>
      <c r="K700">
        <f t="shared" si="90"/>
        <v>1.2794112376699954E-2</v>
      </c>
      <c r="L700">
        <f t="shared" si="91"/>
        <v>9.546728055806776E-2</v>
      </c>
      <c r="M700">
        <f t="shared" si="92"/>
        <v>5.7433630370759207E-2</v>
      </c>
      <c r="N700">
        <f t="shared" si="93"/>
        <v>0.37207405486654399</v>
      </c>
      <c r="O700">
        <f t="shared" si="94"/>
        <v>0.77469755518592776</v>
      </c>
      <c r="P700">
        <f t="shared" si="95"/>
        <v>15.372287925960839</v>
      </c>
      <c r="Q700">
        <f t="shared" si="96"/>
        <v>2.4833825217919214E-3</v>
      </c>
      <c r="R700">
        <f t="shared" si="97"/>
        <v>0</v>
      </c>
      <c r="S700">
        <f t="shared" si="98"/>
        <v>0</v>
      </c>
    </row>
    <row r="701" spans="1:19" x14ac:dyDescent="0.3">
      <c r="A701" t="s">
        <v>234</v>
      </c>
      <c r="B701">
        <v>2010</v>
      </c>
      <c r="C701">
        <v>1.1045372038113245E-2</v>
      </c>
      <c r="D701">
        <v>0.10633466044415769</v>
      </c>
      <c r="E701">
        <v>-7.8834870946895869E-2</v>
      </c>
      <c r="F701">
        <v>0.43266351945343812</v>
      </c>
      <c r="G701">
        <v>0.74913524034060064</v>
      </c>
      <c r="H701">
        <v>15.396017784850232</v>
      </c>
      <c r="I701">
        <v>1.5010090311207034E-2</v>
      </c>
      <c r="J701">
        <v>0</v>
      </c>
      <c r="K701">
        <f t="shared" si="90"/>
        <v>1.1045372038113245E-2</v>
      </c>
      <c r="L701">
        <f t="shared" si="91"/>
        <v>0.10633466044415769</v>
      </c>
      <c r="M701">
        <f t="shared" si="92"/>
        <v>-7.8834870946895869E-2</v>
      </c>
      <c r="N701">
        <f t="shared" si="93"/>
        <v>0.43266351945343812</v>
      </c>
      <c r="O701">
        <f t="shared" si="94"/>
        <v>0.74913524034060064</v>
      </c>
      <c r="P701">
        <f t="shared" si="95"/>
        <v>15.396017784850232</v>
      </c>
      <c r="Q701">
        <f t="shared" si="96"/>
        <v>1.5010090311207034E-2</v>
      </c>
      <c r="R701">
        <f t="shared" si="97"/>
        <v>0</v>
      </c>
      <c r="S701">
        <f t="shared" si="98"/>
        <v>0</v>
      </c>
    </row>
    <row r="702" spans="1:19" x14ac:dyDescent="0.3">
      <c r="A702" t="s">
        <v>235</v>
      </c>
      <c r="B702">
        <v>2007</v>
      </c>
      <c r="C702">
        <v>2.2451348341908216E-3</v>
      </c>
      <c r="D702">
        <v>4.2800360101283366E-2</v>
      </c>
      <c r="E702">
        <v>0.35661458257137385</v>
      </c>
      <c r="F702">
        <v>0.11560936018285752</v>
      </c>
      <c r="G702">
        <v>0.80841899183120192</v>
      </c>
      <c r="H702">
        <v>17.761825438215443</v>
      </c>
      <c r="I702">
        <v>8.5076497743763572E-3</v>
      </c>
      <c r="J702">
        <v>7.3498292982085321E-3</v>
      </c>
      <c r="K702">
        <f t="shared" si="90"/>
        <v>2.2451348341908216E-3</v>
      </c>
      <c r="L702">
        <f t="shared" si="91"/>
        <v>4.2800360101283366E-2</v>
      </c>
      <c r="M702">
        <f t="shared" si="92"/>
        <v>0.35661458257137385</v>
      </c>
      <c r="N702">
        <f t="shared" si="93"/>
        <v>0.11560936018285752</v>
      </c>
      <c r="O702">
        <f t="shared" si="94"/>
        <v>0.80841899183120192</v>
      </c>
      <c r="P702">
        <f t="shared" si="95"/>
        <v>17.761825438215443</v>
      </c>
      <c r="Q702">
        <f t="shared" si="96"/>
        <v>8.5076497743763572E-3</v>
      </c>
      <c r="R702">
        <f t="shared" si="97"/>
        <v>7.3498292982085321E-3</v>
      </c>
      <c r="S702">
        <f t="shared" si="98"/>
        <v>0</v>
      </c>
    </row>
    <row r="703" spans="1:19" x14ac:dyDescent="0.3">
      <c r="A703" t="s">
        <v>235</v>
      </c>
      <c r="B703">
        <v>2008</v>
      </c>
      <c r="C703">
        <v>4.3538993202422464E-3</v>
      </c>
      <c r="D703">
        <v>2.9586905020593759E-2</v>
      </c>
      <c r="E703">
        <v>0.25041810489094535</v>
      </c>
      <c r="F703">
        <v>0.19780818678168846</v>
      </c>
      <c r="G703">
        <v>0.52517742776354959</v>
      </c>
      <c r="H703">
        <v>17.766618382697168</v>
      </c>
      <c r="I703">
        <v>4.1022241625863539E-3</v>
      </c>
      <c r="J703">
        <v>0</v>
      </c>
      <c r="K703">
        <f t="shared" si="90"/>
        <v>4.3538993202422464E-3</v>
      </c>
      <c r="L703">
        <f t="shared" si="91"/>
        <v>2.9586905020593759E-2</v>
      </c>
      <c r="M703">
        <f t="shared" si="92"/>
        <v>0.25041810489094535</v>
      </c>
      <c r="N703">
        <f t="shared" si="93"/>
        <v>0.19780818678168846</v>
      </c>
      <c r="O703">
        <f t="shared" si="94"/>
        <v>0.52517742776354959</v>
      </c>
      <c r="P703">
        <f t="shared" si="95"/>
        <v>17.766618382697168</v>
      </c>
      <c r="Q703">
        <f t="shared" si="96"/>
        <v>4.1022241625863539E-3</v>
      </c>
      <c r="R703">
        <f t="shared" si="97"/>
        <v>0</v>
      </c>
      <c r="S703">
        <f t="shared" si="98"/>
        <v>0</v>
      </c>
    </row>
    <row r="704" spans="1:19" x14ac:dyDescent="0.3">
      <c r="A704" t="s">
        <v>235</v>
      </c>
      <c r="B704">
        <v>2009</v>
      </c>
      <c r="C704">
        <v>5.9500172472857753E-3</v>
      </c>
      <c r="D704">
        <v>4.7172876707757119E-2</v>
      </c>
      <c r="E704">
        <v>-6.820836490168683E-2</v>
      </c>
      <c r="F704">
        <v>0.43419184817501105</v>
      </c>
      <c r="G704">
        <v>0.74128632564243302</v>
      </c>
      <c r="H704">
        <v>17.596690485438316</v>
      </c>
      <c r="I704">
        <v>3.2115651120725661E-4</v>
      </c>
      <c r="J704">
        <v>0</v>
      </c>
      <c r="K704">
        <f t="shared" si="90"/>
        <v>5.9500172472857753E-3</v>
      </c>
      <c r="L704">
        <f t="shared" si="91"/>
        <v>4.7172876707757119E-2</v>
      </c>
      <c r="M704">
        <f t="shared" si="92"/>
        <v>-6.820836490168683E-2</v>
      </c>
      <c r="N704">
        <f t="shared" si="93"/>
        <v>0.43419184817501105</v>
      </c>
      <c r="O704">
        <f t="shared" si="94"/>
        <v>0.74128632564243302</v>
      </c>
      <c r="P704">
        <f t="shared" si="95"/>
        <v>17.596690485438316</v>
      </c>
      <c r="Q704">
        <f t="shared" si="96"/>
        <v>3.2115651120725661E-4</v>
      </c>
      <c r="R704">
        <f t="shared" si="97"/>
        <v>0</v>
      </c>
      <c r="S704">
        <f t="shared" si="98"/>
        <v>0</v>
      </c>
    </row>
    <row r="705" spans="1:19" x14ac:dyDescent="0.3">
      <c r="A705" t="s">
        <v>235</v>
      </c>
      <c r="B705">
        <v>2010</v>
      </c>
      <c r="C705">
        <v>5.4223069379347516E-3</v>
      </c>
      <c r="D705">
        <v>4.0220718837273545E-2</v>
      </c>
      <c r="E705">
        <v>4.6107859163134104E-2</v>
      </c>
      <c r="F705">
        <v>0.36457440844017497</v>
      </c>
      <c r="G705">
        <v>0.67172179537168564</v>
      </c>
      <c r="H705">
        <v>17.696922674301547</v>
      </c>
      <c r="I705">
        <v>2.3074986514274795E-4</v>
      </c>
      <c r="J705">
        <v>0</v>
      </c>
      <c r="K705">
        <f t="shared" si="90"/>
        <v>5.4223069379347516E-3</v>
      </c>
      <c r="L705">
        <f t="shared" si="91"/>
        <v>4.0220718837273545E-2</v>
      </c>
      <c r="M705">
        <f t="shared" si="92"/>
        <v>4.6107859163134104E-2</v>
      </c>
      <c r="N705">
        <f t="shared" si="93"/>
        <v>0.36457440844017497</v>
      </c>
      <c r="O705">
        <f t="shared" si="94"/>
        <v>0.67172179537168564</v>
      </c>
      <c r="P705">
        <f t="shared" si="95"/>
        <v>17.696922674301547</v>
      </c>
      <c r="Q705">
        <f t="shared" si="96"/>
        <v>2.3074986514274795E-4</v>
      </c>
      <c r="R705">
        <f t="shared" si="97"/>
        <v>0</v>
      </c>
      <c r="S705">
        <f t="shared" si="98"/>
        <v>0</v>
      </c>
    </row>
    <row r="706" spans="1:19" x14ac:dyDescent="0.3">
      <c r="A706" t="s">
        <v>236</v>
      </c>
      <c r="B706">
        <v>2007</v>
      </c>
      <c r="C706">
        <v>1.3971109507915636E-3</v>
      </c>
      <c r="D706">
        <v>6.7512153301872047E-2</v>
      </c>
      <c r="E706">
        <v>-0.14987546809612579</v>
      </c>
      <c r="F706">
        <v>2.3445312557739198E-3</v>
      </c>
      <c r="G706">
        <v>0.60192087832371699</v>
      </c>
      <c r="H706">
        <v>15.07339581368951</v>
      </c>
      <c r="I706">
        <v>1.4209464279596115E-4</v>
      </c>
      <c r="J706">
        <v>0</v>
      </c>
      <c r="K706">
        <f t="shared" si="90"/>
        <v>1.3971109507915636E-3</v>
      </c>
      <c r="L706">
        <f t="shared" si="91"/>
        <v>6.7512153301872047E-2</v>
      </c>
      <c r="M706">
        <f t="shared" si="92"/>
        <v>-0.14987546809612579</v>
      </c>
      <c r="N706">
        <f t="shared" si="93"/>
        <v>2.3445312557739198E-3</v>
      </c>
      <c r="O706">
        <f t="shared" si="94"/>
        <v>0.60192087832371699</v>
      </c>
      <c r="P706">
        <f t="shared" si="95"/>
        <v>15.07339581368951</v>
      </c>
      <c r="Q706">
        <f t="shared" si="96"/>
        <v>1.4209464279596115E-4</v>
      </c>
      <c r="R706">
        <f t="shared" si="97"/>
        <v>0</v>
      </c>
      <c r="S706">
        <f t="shared" si="98"/>
        <v>0</v>
      </c>
    </row>
    <row r="707" spans="1:19" x14ac:dyDescent="0.3">
      <c r="A707" t="s">
        <v>236</v>
      </c>
      <c r="B707">
        <v>2008</v>
      </c>
      <c r="C707">
        <v>2.0085218527739223E-3</v>
      </c>
      <c r="D707">
        <v>5.717396352560606E-2</v>
      </c>
      <c r="E707">
        <v>-0.28182793201959272</v>
      </c>
      <c r="F707">
        <v>7.204367854577661E-3</v>
      </c>
      <c r="G707">
        <v>0.56562723104589807</v>
      </c>
      <c r="H707">
        <v>15.347910826328317</v>
      </c>
      <c r="I707">
        <v>1.4167076023464439E-2</v>
      </c>
      <c r="J707">
        <v>0</v>
      </c>
      <c r="K707">
        <f t="shared" ref="K707:K770" si="99">IF(OR(C707&lt;$C$1007-3*$C$1008,C707&gt;$C$1007+3*$C$1008),"out",C707)</f>
        <v>2.0085218527739223E-3</v>
      </c>
      <c r="L707">
        <f t="shared" ref="L707:L770" si="100">IF(OR(D707&lt;$D$1007-3*$D$1008,D707&gt;$D$1007+3*$D$1008),"out",D707)</f>
        <v>5.717396352560606E-2</v>
      </c>
      <c r="M707">
        <f t="shared" ref="M707:M770" si="101">IF(OR(E707&lt;$E$1007-3*$E$1008,E707&gt;$E$1007+3*$E$1008),"out",E707)</f>
        <v>-0.28182793201959272</v>
      </c>
      <c r="N707">
        <f t="shared" ref="N707:N770" si="102">IF(OR(F707&lt;$F$1007-3*$F$1008,F707&gt;$F$1007+3*$F$1008),"out",F707)</f>
        <v>7.204367854577661E-3</v>
      </c>
      <c r="O707">
        <f t="shared" ref="O707:O770" si="103">IF(OR(G707&lt;$G$1007-3*$G$1008,G707&gt;$G$1007+3*$G$1008),"out",G707)</f>
        <v>0.56562723104589807</v>
      </c>
      <c r="P707">
        <f t="shared" ref="P707:P770" si="104">IF(OR(H707&lt;$H$1007-3*$H$1008,H707&gt;$H$1007+3*$H$1008),"out",H707)</f>
        <v>15.347910826328317</v>
      </c>
      <c r="Q707">
        <f t="shared" ref="Q707:Q770" si="105">IF(OR(I707&lt;$I$1007-3*$I$1008,I707&gt;$I$1007+3*$I$1008),"out",I707)</f>
        <v>1.4167076023464439E-2</v>
      </c>
      <c r="R707">
        <f t="shared" ref="R707:R770" si="106">IF(OR(J707&lt;$J$1007-3*$J$1008,J707&gt;$J$1007+3*$J$1008),"out",J707)</f>
        <v>0</v>
      </c>
      <c r="S707">
        <f t="shared" ref="S707:S770" si="107">IF(OR(K707="ot",L707="out",M707="out",N707="out",O707="out",P707="out",Q707="out",R707="out"),1,0)</f>
        <v>0</v>
      </c>
    </row>
    <row r="708" spans="1:19" x14ac:dyDescent="0.3">
      <c r="A708" t="s">
        <v>236</v>
      </c>
      <c r="B708">
        <v>2009</v>
      </c>
      <c r="C708">
        <v>4.8115794037458469E-4</v>
      </c>
      <c r="D708">
        <v>2.6237589638960904E-2</v>
      </c>
      <c r="E708">
        <v>-8.0471251879558281E-2</v>
      </c>
      <c r="F708">
        <v>0.18672834828560261</v>
      </c>
      <c r="G708">
        <v>0.56718276525038291</v>
      </c>
      <c r="H708">
        <v>15.30927697886278</v>
      </c>
      <c r="I708">
        <v>3.438676869519635E-4</v>
      </c>
      <c r="J708">
        <v>0</v>
      </c>
      <c r="K708">
        <f t="shared" si="99"/>
        <v>4.8115794037458469E-4</v>
      </c>
      <c r="L708">
        <f t="shared" si="100"/>
        <v>2.6237589638960904E-2</v>
      </c>
      <c r="M708">
        <f t="shared" si="101"/>
        <v>-8.0471251879558281E-2</v>
      </c>
      <c r="N708">
        <f t="shared" si="102"/>
        <v>0.18672834828560261</v>
      </c>
      <c r="O708">
        <f t="shared" si="103"/>
        <v>0.56718276525038291</v>
      </c>
      <c r="P708">
        <f t="shared" si="104"/>
        <v>15.30927697886278</v>
      </c>
      <c r="Q708">
        <f t="shared" si="105"/>
        <v>3.438676869519635E-4</v>
      </c>
      <c r="R708">
        <f t="shared" si="106"/>
        <v>0</v>
      </c>
      <c r="S708">
        <f t="shared" si="107"/>
        <v>0</v>
      </c>
    </row>
    <row r="709" spans="1:19" x14ac:dyDescent="0.3">
      <c r="A709" t="s">
        <v>236</v>
      </c>
      <c r="B709">
        <v>2010</v>
      </c>
      <c r="C709">
        <v>3.4458574246626449E-6</v>
      </c>
      <c r="D709">
        <v>2.4913319456482612E-2</v>
      </c>
      <c r="E709">
        <v>-7.6550411860365583E-2</v>
      </c>
      <c r="F709">
        <v>0.18872524639603516</v>
      </c>
      <c r="G709">
        <v>0.55674723923646241</v>
      </c>
      <c r="H709">
        <v>15.286387995971456</v>
      </c>
      <c r="I709">
        <v>4.7799192226015558E-3</v>
      </c>
      <c r="J709">
        <v>0</v>
      </c>
      <c r="K709">
        <f t="shared" si="99"/>
        <v>3.4458574246626449E-6</v>
      </c>
      <c r="L709">
        <f t="shared" si="100"/>
        <v>2.4913319456482612E-2</v>
      </c>
      <c r="M709">
        <f t="shared" si="101"/>
        <v>-7.6550411860365583E-2</v>
      </c>
      <c r="N709">
        <f t="shared" si="102"/>
        <v>0.18872524639603516</v>
      </c>
      <c r="O709">
        <f t="shared" si="103"/>
        <v>0.55674723923646241</v>
      </c>
      <c r="P709">
        <f t="shared" si="104"/>
        <v>15.286387995971456</v>
      </c>
      <c r="Q709">
        <f t="shared" si="105"/>
        <v>4.7799192226015558E-3</v>
      </c>
      <c r="R709">
        <f t="shared" si="106"/>
        <v>0</v>
      </c>
      <c r="S709">
        <f t="shared" si="107"/>
        <v>0</v>
      </c>
    </row>
    <row r="710" spans="1:19" x14ac:dyDescent="0.3">
      <c r="A710" t="s">
        <v>237</v>
      </c>
      <c r="B710">
        <v>2007</v>
      </c>
      <c r="C710">
        <v>4.6315263205405069E-3</v>
      </c>
      <c r="D710">
        <v>0.16713438237883949</v>
      </c>
      <c r="E710">
        <v>-0.41612909945629906</v>
      </c>
      <c r="F710">
        <v>0.12191392774395697</v>
      </c>
      <c r="G710">
        <v>1.3805942783604523</v>
      </c>
      <c r="H710">
        <v>14.922181289984545</v>
      </c>
      <c r="I710">
        <v>3.644689793702055E-3</v>
      </c>
      <c r="J710">
        <v>0</v>
      </c>
      <c r="K710">
        <f t="shared" si="99"/>
        <v>4.6315263205405069E-3</v>
      </c>
      <c r="L710">
        <f t="shared" si="100"/>
        <v>0.16713438237883949</v>
      </c>
      <c r="M710">
        <f t="shared" si="101"/>
        <v>-0.41612909945629906</v>
      </c>
      <c r="N710">
        <f t="shared" si="102"/>
        <v>0.12191392774395697</v>
      </c>
      <c r="O710">
        <f t="shared" si="103"/>
        <v>1.3805942783604523</v>
      </c>
      <c r="P710">
        <f t="shared" si="104"/>
        <v>14.922181289984545</v>
      </c>
      <c r="Q710">
        <f t="shared" si="105"/>
        <v>3.644689793702055E-3</v>
      </c>
      <c r="R710">
        <f t="shared" si="106"/>
        <v>0</v>
      </c>
      <c r="S710">
        <f t="shared" si="107"/>
        <v>0</v>
      </c>
    </row>
    <row r="711" spans="1:19" x14ac:dyDescent="0.3">
      <c r="A711" t="s">
        <v>237</v>
      </c>
      <c r="B711">
        <v>2009</v>
      </c>
      <c r="C711">
        <v>1.2511757071957648E-3</v>
      </c>
      <c r="D711">
        <v>0.17534837656150254</v>
      </c>
      <c r="E711">
        <v>-0.27014750413580385</v>
      </c>
      <c r="F711">
        <v>0.61482877788250079</v>
      </c>
      <c r="G711">
        <v>1.1436003996514696</v>
      </c>
      <c r="H711">
        <v>14.943905895573417</v>
      </c>
      <c r="I711">
        <v>1.0820609231491474E-2</v>
      </c>
      <c r="J711">
        <v>0</v>
      </c>
      <c r="K711">
        <f t="shared" si="99"/>
        <v>1.2511757071957648E-3</v>
      </c>
      <c r="L711">
        <f t="shared" si="100"/>
        <v>0.17534837656150254</v>
      </c>
      <c r="M711">
        <f t="shared" si="101"/>
        <v>-0.27014750413580385</v>
      </c>
      <c r="N711">
        <f t="shared" si="102"/>
        <v>0.61482877788250079</v>
      </c>
      <c r="O711">
        <f t="shared" si="103"/>
        <v>1.1436003996514696</v>
      </c>
      <c r="P711">
        <f t="shared" si="104"/>
        <v>14.943905895573417</v>
      </c>
      <c r="Q711">
        <f t="shared" si="105"/>
        <v>1.0820609231491474E-2</v>
      </c>
      <c r="R711">
        <f t="shared" si="106"/>
        <v>0</v>
      </c>
      <c r="S711">
        <f t="shared" si="107"/>
        <v>0</v>
      </c>
    </row>
    <row r="712" spans="1:19" x14ac:dyDescent="0.3">
      <c r="A712" t="s">
        <v>237</v>
      </c>
      <c r="B712">
        <v>2010</v>
      </c>
      <c r="C712">
        <v>1.2501765226813498E-3</v>
      </c>
      <c r="D712">
        <v>0.21012369125754099</v>
      </c>
      <c r="E712">
        <v>-0.45683212066100648</v>
      </c>
      <c r="F712">
        <v>0.62710160975487439</v>
      </c>
      <c r="G712">
        <v>1.0613899527909061</v>
      </c>
      <c r="H712">
        <v>14.924327930511792</v>
      </c>
      <c r="I712">
        <v>1.7018389285163457E-2</v>
      </c>
      <c r="J712">
        <v>0</v>
      </c>
      <c r="K712">
        <f t="shared" si="99"/>
        <v>1.2501765226813498E-3</v>
      </c>
      <c r="L712">
        <f t="shared" si="100"/>
        <v>0.21012369125754099</v>
      </c>
      <c r="M712">
        <f t="shared" si="101"/>
        <v>-0.45683212066100648</v>
      </c>
      <c r="N712">
        <f t="shared" si="102"/>
        <v>0.62710160975487439</v>
      </c>
      <c r="O712">
        <f t="shared" si="103"/>
        <v>1.0613899527909061</v>
      </c>
      <c r="P712">
        <f t="shared" si="104"/>
        <v>14.924327930511792</v>
      </c>
      <c r="Q712">
        <f t="shared" si="105"/>
        <v>1.7018389285163457E-2</v>
      </c>
      <c r="R712">
        <f t="shared" si="106"/>
        <v>0</v>
      </c>
      <c r="S712">
        <f t="shared" si="107"/>
        <v>0</v>
      </c>
    </row>
    <row r="713" spans="1:19" x14ac:dyDescent="0.3">
      <c r="A713" t="s">
        <v>238</v>
      </c>
      <c r="B713">
        <v>2007</v>
      </c>
      <c r="C713">
        <v>1.0119971991451768E-2</v>
      </c>
      <c r="D713">
        <v>2.8321291724822503E-2</v>
      </c>
      <c r="E713">
        <v>-0.16117715226475146</v>
      </c>
      <c r="F713">
        <v>0.28311096800758911</v>
      </c>
      <c r="G713">
        <v>0.86856532404354314</v>
      </c>
      <c r="H713">
        <v>16.915040166044832</v>
      </c>
      <c r="I713">
        <v>7.607544514948196E-4</v>
      </c>
      <c r="J713">
        <v>0</v>
      </c>
      <c r="K713">
        <f t="shared" si="99"/>
        <v>1.0119971991451768E-2</v>
      </c>
      <c r="L713">
        <f t="shared" si="100"/>
        <v>2.8321291724822503E-2</v>
      </c>
      <c r="M713">
        <f t="shared" si="101"/>
        <v>-0.16117715226475146</v>
      </c>
      <c r="N713">
        <f t="shared" si="102"/>
        <v>0.28311096800758911</v>
      </c>
      <c r="O713">
        <f t="shared" si="103"/>
        <v>0.86856532404354314</v>
      </c>
      <c r="P713">
        <f t="shared" si="104"/>
        <v>16.915040166044832</v>
      </c>
      <c r="Q713">
        <f t="shared" si="105"/>
        <v>7.607544514948196E-4</v>
      </c>
      <c r="R713">
        <f t="shared" si="106"/>
        <v>0</v>
      </c>
      <c r="S713">
        <f t="shared" si="107"/>
        <v>0</v>
      </c>
    </row>
    <row r="714" spans="1:19" x14ac:dyDescent="0.3">
      <c r="A714" t="s">
        <v>238</v>
      </c>
      <c r="B714">
        <v>2008</v>
      </c>
      <c r="C714">
        <v>6.1344438620787563E-3</v>
      </c>
      <c r="D714">
        <v>5.1934222466458999E-2</v>
      </c>
      <c r="E714">
        <v>-0.24938236563482438</v>
      </c>
      <c r="F714">
        <v>0.26431076789427577</v>
      </c>
      <c r="G714">
        <v>0.66496152784910822</v>
      </c>
      <c r="H714">
        <v>16.888717028004699</v>
      </c>
      <c r="I714">
        <v>3.985071189259639E-3</v>
      </c>
      <c r="J714">
        <v>0</v>
      </c>
      <c r="K714">
        <f t="shared" si="99"/>
        <v>6.1344438620787563E-3</v>
      </c>
      <c r="L714">
        <f t="shared" si="100"/>
        <v>5.1934222466458999E-2</v>
      </c>
      <c r="M714">
        <f t="shared" si="101"/>
        <v>-0.24938236563482438</v>
      </c>
      <c r="N714">
        <f t="shared" si="102"/>
        <v>0.26431076789427577</v>
      </c>
      <c r="O714">
        <f t="shared" si="103"/>
        <v>0.66496152784910822</v>
      </c>
      <c r="P714">
        <f t="shared" si="104"/>
        <v>16.888717028004699</v>
      </c>
      <c r="Q714">
        <f t="shared" si="105"/>
        <v>3.985071189259639E-3</v>
      </c>
      <c r="R714">
        <f t="shared" si="106"/>
        <v>0</v>
      </c>
      <c r="S714">
        <f t="shared" si="107"/>
        <v>0</v>
      </c>
    </row>
    <row r="715" spans="1:19" x14ac:dyDescent="0.3">
      <c r="A715" t="s">
        <v>238</v>
      </c>
      <c r="B715">
        <v>2009</v>
      </c>
      <c r="C715">
        <v>5.6634052460919539E-3</v>
      </c>
      <c r="D715">
        <v>3.908898405147003E-2</v>
      </c>
      <c r="E715">
        <v>-0.1666993568098569</v>
      </c>
      <c r="F715">
        <v>0.37000195029579486</v>
      </c>
      <c r="G715">
        <v>0.66046688331063541</v>
      </c>
      <c r="H715">
        <v>16.888052194485176</v>
      </c>
      <c r="I715">
        <v>1.1572662797484697E-3</v>
      </c>
      <c r="J715">
        <v>0</v>
      </c>
      <c r="K715">
        <f t="shared" si="99"/>
        <v>5.6634052460919539E-3</v>
      </c>
      <c r="L715">
        <f t="shared" si="100"/>
        <v>3.908898405147003E-2</v>
      </c>
      <c r="M715">
        <f t="shared" si="101"/>
        <v>-0.1666993568098569</v>
      </c>
      <c r="N715">
        <f t="shared" si="102"/>
        <v>0.37000195029579486</v>
      </c>
      <c r="O715">
        <f t="shared" si="103"/>
        <v>0.66046688331063541</v>
      </c>
      <c r="P715">
        <f t="shared" si="104"/>
        <v>16.888052194485176</v>
      </c>
      <c r="Q715">
        <f t="shared" si="105"/>
        <v>1.1572662797484697E-3</v>
      </c>
      <c r="R715">
        <f t="shared" si="106"/>
        <v>0</v>
      </c>
      <c r="S715">
        <f t="shared" si="107"/>
        <v>0</v>
      </c>
    </row>
    <row r="716" spans="1:19" x14ac:dyDescent="0.3">
      <c r="A716" t="s">
        <v>238</v>
      </c>
      <c r="B716">
        <v>2010</v>
      </c>
      <c r="C716">
        <v>2.9045304752886346E-3</v>
      </c>
      <c r="D716">
        <v>4.3531827790897953E-2</v>
      </c>
      <c r="E716">
        <v>-0.21924686525280523</v>
      </c>
      <c r="F716">
        <v>0.37809194542879054</v>
      </c>
      <c r="G716">
        <v>0.67066611287514499</v>
      </c>
      <c r="H716">
        <v>16.853797691759095</v>
      </c>
      <c r="I716">
        <v>2.860460087023552E-3</v>
      </c>
      <c r="J716">
        <v>0</v>
      </c>
      <c r="K716">
        <f t="shared" si="99"/>
        <v>2.9045304752886346E-3</v>
      </c>
      <c r="L716">
        <f t="shared" si="100"/>
        <v>4.3531827790897953E-2</v>
      </c>
      <c r="M716">
        <f t="shared" si="101"/>
        <v>-0.21924686525280523</v>
      </c>
      <c r="N716">
        <f t="shared" si="102"/>
        <v>0.37809194542879054</v>
      </c>
      <c r="O716">
        <f t="shared" si="103"/>
        <v>0.67066611287514499</v>
      </c>
      <c r="P716">
        <f t="shared" si="104"/>
        <v>16.853797691759095</v>
      </c>
      <c r="Q716">
        <f t="shared" si="105"/>
        <v>2.860460087023552E-3</v>
      </c>
      <c r="R716">
        <f t="shared" si="106"/>
        <v>0</v>
      </c>
      <c r="S716">
        <f t="shared" si="107"/>
        <v>0</v>
      </c>
    </row>
    <row r="717" spans="1:19" x14ac:dyDescent="0.3">
      <c r="A717" t="s">
        <v>239</v>
      </c>
      <c r="B717">
        <v>2007</v>
      </c>
      <c r="C717">
        <v>6.6107424701844553E-2</v>
      </c>
      <c r="D717">
        <v>0.16742481433245926</v>
      </c>
      <c r="E717">
        <v>3.4020717772839416E-2</v>
      </c>
      <c r="F717">
        <v>5.8667130783440782E-2</v>
      </c>
      <c r="G717">
        <v>1.2799014105983608</v>
      </c>
      <c r="H717">
        <v>15.671916042552189</v>
      </c>
      <c r="I717">
        <v>2.7029255144006694E-2</v>
      </c>
      <c r="J717">
        <v>0</v>
      </c>
      <c r="K717">
        <f t="shared" si="99"/>
        <v>6.6107424701844553E-2</v>
      </c>
      <c r="L717">
        <f t="shared" si="100"/>
        <v>0.16742481433245926</v>
      </c>
      <c r="M717">
        <f t="shared" si="101"/>
        <v>3.4020717772839416E-2</v>
      </c>
      <c r="N717">
        <f t="shared" si="102"/>
        <v>5.8667130783440782E-2</v>
      </c>
      <c r="O717">
        <f t="shared" si="103"/>
        <v>1.2799014105983608</v>
      </c>
      <c r="P717">
        <f t="shared" si="104"/>
        <v>15.671916042552189</v>
      </c>
      <c r="Q717">
        <f t="shared" si="105"/>
        <v>2.7029255144006694E-2</v>
      </c>
      <c r="R717">
        <f t="shared" si="106"/>
        <v>0</v>
      </c>
      <c r="S717">
        <f t="shared" si="107"/>
        <v>0</v>
      </c>
    </row>
    <row r="718" spans="1:19" x14ac:dyDescent="0.3">
      <c r="A718" t="s">
        <v>239</v>
      </c>
      <c r="B718">
        <v>2008</v>
      </c>
      <c r="C718">
        <v>0.30381879053607402</v>
      </c>
      <c r="D718">
        <v>6.0798942197004727E-2</v>
      </c>
      <c r="E718">
        <v>0.200922028700807</v>
      </c>
      <c r="F718">
        <v>0.11067210845114289</v>
      </c>
      <c r="G718">
        <v>0.52067431086917793</v>
      </c>
      <c r="H718">
        <v>16.337591999306326</v>
      </c>
      <c r="I718">
        <v>7.40879880085887E-3</v>
      </c>
      <c r="J718">
        <v>0</v>
      </c>
      <c r="K718">
        <f t="shared" si="99"/>
        <v>0.30381879053607402</v>
      </c>
      <c r="L718">
        <f t="shared" si="100"/>
        <v>6.0798942197004727E-2</v>
      </c>
      <c r="M718">
        <f t="shared" si="101"/>
        <v>0.200922028700807</v>
      </c>
      <c r="N718">
        <f t="shared" si="102"/>
        <v>0.11067210845114289</v>
      </c>
      <c r="O718">
        <f t="shared" si="103"/>
        <v>0.52067431086917793</v>
      </c>
      <c r="P718">
        <f t="shared" si="104"/>
        <v>16.337591999306326</v>
      </c>
      <c r="Q718">
        <f t="shared" si="105"/>
        <v>7.40879880085887E-3</v>
      </c>
      <c r="R718">
        <f t="shared" si="106"/>
        <v>0</v>
      </c>
      <c r="S718">
        <f t="shared" si="107"/>
        <v>0</v>
      </c>
    </row>
    <row r="719" spans="1:19" x14ac:dyDescent="0.3">
      <c r="A719" t="s">
        <v>239</v>
      </c>
      <c r="B719">
        <v>2009</v>
      </c>
      <c r="C719">
        <v>8.2039956074886067E-3</v>
      </c>
      <c r="D719">
        <v>8.0818125063850749E-2</v>
      </c>
      <c r="E719">
        <v>-4.5415147207462883E-2</v>
      </c>
      <c r="F719">
        <v>0.34108151255069535</v>
      </c>
      <c r="G719">
        <v>0.74724604820152252</v>
      </c>
      <c r="H719">
        <v>16.881072066489086</v>
      </c>
      <c r="I719">
        <v>2.8032151543749002E-2</v>
      </c>
      <c r="J719">
        <v>0</v>
      </c>
      <c r="K719">
        <f t="shared" si="99"/>
        <v>8.2039956074886067E-3</v>
      </c>
      <c r="L719">
        <f t="shared" si="100"/>
        <v>8.0818125063850749E-2</v>
      </c>
      <c r="M719">
        <f t="shared" si="101"/>
        <v>-4.5415147207462883E-2</v>
      </c>
      <c r="N719">
        <f t="shared" si="102"/>
        <v>0.34108151255069535</v>
      </c>
      <c r="O719">
        <f t="shared" si="103"/>
        <v>0.74724604820152252</v>
      </c>
      <c r="P719">
        <f t="shared" si="104"/>
        <v>16.881072066489086</v>
      </c>
      <c r="Q719">
        <f t="shared" si="105"/>
        <v>2.8032151543749002E-2</v>
      </c>
      <c r="R719">
        <f t="shared" si="106"/>
        <v>0</v>
      </c>
      <c r="S719">
        <f t="shared" si="107"/>
        <v>0</v>
      </c>
    </row>
    <row r="720" spans="1:19" x14ac:dyDescent="0.3">
      <c r="A720" t="s">
        <v>239</v>
      </c>
      <c r="B720">
        <v>2010</v>
      </c>
      <c r="C720">
        <v>7.1776328296352812E-3</v>
      </c>
      <c r="D720">
        <v>2.4348059161615355E-2</v>
      </c>
      <c r="E720">
        <v>-7.1478606104503586E-2</v>
      </c>
      <c r="F720">
        <v>0.53196943734015822</v>
      </c>
      <c r="G720">
        <v>0.77110690855514963</v>
      </c>
      <c r="H720">
        <v>17.103165860886001</v>
      </c>
      <c r="I720">
        <v>9.0469056834555431E-4</v>
      </c>
      <c r="J720">
        <v>0</v>
      </c>
      <c r="K720">
        <f t="shared" si="99"/>
        <v>7.1776328296352812E-3</v>
      </c>
      <c r="L720">
        <f t="shared" si="100"/>
        <v>2.4348059161615355E-2</v>
      </c>
      <c r="M720">
        <f t="shared" si="101"/>
        <v>-7.1478606104503586E-2</v>
      </c>
      <c r="N720">
        <f t="shared" si="102"/>
        <v>0.53196943734015822</v>
      </c>
      <c r="O720">
        <f t="shared" si="103"/>
        <v>0.77110690855514963</v>
      </c>
      <c r="P720">
        <f t="shared" si="104"/>
        <v>17.103165860886001</v>
      </c>
      <c r="Q720">
        <f t="shared" si="105"/>
        <v>9.0469056834555431E-4</v>
      </c>
      <c r="R720">
        <f t="shared" si="106"/>
        <v>0</v>
      </c>
      <c r="S720">
        <f t="shared" si="107"/>
        <v>0</v>
      </c>
    </row>
    <row r="721" spans="1:19" x14ac:dyDescent="0.3">
      <c r="A721" t="s">
        <v>240</v>
      </c>
      <c r="B721">
        <v>2007</v>
      </c>
      <c r="C721">
        <v>2.0035018433407603E-2</v>
      </c>
      <c r="D721">
        <v>3.9057507718794397E-2</v>
      </c>
      <c r="E721">
        <v>0.10932002114356741</v>
      </c>
      <c r="F721">
        <v>5.5873461222150048E-2</v>
      </c>
      <c r="G721">
        <v>1.0779328130018537</v>
      </c>
      <c r="H721">
        <v>14.54927315170802</v>
      </c>
      <c r="I721">
        <v>1.3912797945319527E-2</v>
      </c>
      <c r="J721">
        <v>6.5677566358106926E-2</v>
      </c>
      <c r="K721">
        <f t="shared" si="99"/>
        <v>2.0035018433407603E-2</v>
      </c>
      <c r="L721">
        <f t="shared" si="100"/>
        <v>3.9057507718794397E-2</v>
      </c>
      <c r="M721">
        <f t="shared" si="101"/>
        <v>0.10932002114356741</v>
      </c>
      <c r="N721">
        <f t="shared" si="102"/>
        <v>5.5873461222150048E-2</v>
      </c>
      <c r="O721">
        <f t="shared" si="103"/>
        <v>1.0779328130018537</v>
      </c>
      <c r="P721">
        <f t="shared" si="104"/>
        <v>14.54927315170802</v>
      </c>
      <c r="Q721">
        <f t="shared" si="105"/>
        <v>1.3912797945319527E-2</v>
      </c>
      <c r="R721">
        <f t="shared" si="106"/>
        <v>6.5677566358106926E-2</v>
      </c>
      <c r="S721">
        <f t="shared" si="107"/>
        <v>0</v>
      </c>
    </row>
    <row r="722" spans="1:19" x14ac:dyDescent="0.3">
      <c r="A722" t="s">
        <v>240</v>
      </c>
      <c r="B722">
        <v>2009</v>
      </c>
      <c r="C722">
        <v>7.5009704495706021E-3</v>
      </c>
      <c r="D722">
        <v>0.17645595272422759</v>
      </c>
      <c r="E722">
        <v>3.8657489087001812E-2</v>
      </c>
      <c r="F722">
        <v>0.26656665884675651</v>
      </c>
      <c r="G722">
        <v>2.3880020564699902</v>
      </c>
      <c r="H722">
        <v>14.772737069884865</v>
      </c>
      <c r="I722">
        <v>2.2192214435468052E-2</v>
      </c>
      <c r="J722">
        <v>0</v>
      </c>
      <c r="K722">
        <f t="shared" si="99"/>
        <v>7.5009704495706021E-3</v>
      </c>
      <c r="L722">
        <f t="shared" si="100"/>
        <v>0.17645595272422759</v>
      </c>
      <c r="M722">
        <f t="shared" si="101"/>
        <v>3.8657489087001812E-2</v>
      </c>
      <c r="N722">
        <f t="shared" si="102"/>
        <v>0.26656665884675651</v>
      </c>
      <c r="O722">
        <f t="shared" si="103"/>
        <v>2.3880020564699902</v>
      </c>
      <c r="P722">
        <f t="shared" si="104"/>
        <v>14.772737069884865</v>
      </c>
      <c r="Q722">
        <f t="shared" si="105"/>
        <v>2.2192214435468052E-2</v>
      </c>
      <c r="R722">
        <f t="shared" si="106"/>
        <v>0</v>
      </c>
      <c r="S722">
        <f t="shared" si="107"/>
        <v>0</v>
      </c>
    </row>
    <row r="723" spans="1:19" x14ac:dyDescent="0.3">
      <c r="A723" t="s">
        <v>240</v>
      </c>
      <c r="B723">
        <v>2010</v>
      </c>
      <c r="C723">
        <v>6.3195756975262902E-3</v>
      </c>
      <c r="D723">
        <v>0.11438323131619718</v>
      </c>
      <c r="E723">
        <v>-0.12682127327889714</v>
      </c>
      <c r="F723">
        <v>0.42228017105830318</v>
      </c>
      <c r="G723">
        <v>0.80775883712633834</v>
      </c>
      <c r="H723">
        <v>14.954201524961595</v>
      </c>
      <c r="I723">
        <v>2.3709258860795272E-2</v>
      </c>
      <c r="J723">
        <v>0</v>
      </c>
      <c r="K723">
        <f t="shared" si="99"/>
        <v>6.3195756975262902E-3</v>
      </c>
      <c r="L723">
        <f t="shared" si="100"/>
        <v>0.11438323131619718</v>
      </c>
      <c r="M723">
        <f t="shared" si="101"/>
        <v>-0.12682127327889714</v>
      </c>
      <c r="N723">
        <f t="shared" si="102"/>
        <v>0.42228017105830318</v>
      </c>
      <c r="O723">
        <f t="shared" si="103"/>
        <v>0.80775883712633834</v>
      </c>
      <c r="P723">
        <f t="shared" si="104"/>
        <v>14.954201524961595</v>
      </c>
      <c r="Q723">
        <f t="shared" si="105"/>
        <v>2.3709258860795272E-2</v>
      </c>
      <c r="R723">
        <f t="shared" si="106"/>
        <v>0</v>
      </c>
      <c r="S723">
        <f t="shared" si="107"/>
        <v>0</v>
      </c>
    </row>
    <row r="724" spans="1:19" x14ac:dyDescent="0.3">
      <c r="A724" t="s">
        <v>241</v>
      </c>
      <c r="B724">
        <v>2007</v>
      </c>
      <c r="C724">
        <v>9.1291431189022346E-2</v>
      </c>
      <c r="D724">
        <v>3.8874098445874902E-2</v>
      </c>
      <c r="E724">
        <v>-0.24051683652746522</v>
      </c>
      <c r="F724">
        <v>7.3796172147708075E-2</v>
      </c>
      <c r="G724">
        <v>0.99456557087172492</v>
      </c>
      <c r="H724">
        <v>15.922768729845052</v>
      </c>
      <c r="I724">
        <v>6.0212369811630806E-3</v>
      </c>
      <c r="J724">
        <v>0</v>
      </c>
      <c r="K724">
        <f t="shared" si="99"/>
        <v>9.1291431189022346E-2</v>
      </c>
      <c r="L724">
        <f t="shared" si="100"/>
        <v>3.8874098445874902E-2</v>
      </c>
      <c r="M724">
        <f t="shared" si="101"/>
        <v>-0.24051683652746522</v>
      </c>
      <c r="N724">
        <f t="shared" si="102"/>
        <v>7.3796172147708075E-2</v>
      </c>
      <c r="O724">
        <f t="shared" si="103"/>
        <v>0.99456557087172492</v>
      </c>
      <c r="P724">
        <f t="shared" si="104"/>
        <v>15.922768729845052</v>
      </c>
      <c r="Q724">
        <f t="shared" si="105"/>
        <v>6.0212369811630806E-3</v>
      </c>
      <c r="R724">
        <f t="shared" si="106"/>
        <v>0</v>
      </c>
      <c r="S724">
        <f t="shared" si="107"/>
        <v>0</v>
      </c>
    </row>
    <row r="725" spans="1:19" x14ac:dyDescent="0.3">
      <c r="A725" t="s">
        <v>241</v>
      </c>
      <c r="B725">
        <v>2008</v>
      </c>
      <c r="C725">
        <v>1.5020416906640219E-2</v>
      </c>
      <c r="D725">
        <v>6.4526676821294884E-2</v>
      </c>
      <c r="E725">
        <v>0.60476876594778417</v>
      </c>
      <c r="F725">
        <v>0.10616503532637826</v>
      </c>
      <c r="G725">
        <v>1.1204070386526253</v>
      </c>
      <c r="H725">
        <v>16.159194503149951</v>
      </c>
      <c r="I725">
        <v>9.5440104773555842E-3</v>
      </c>
      <c r="J725">
        <v>0</v>
      </c>
      <c r="K725">
        <f t="shared" si="99"/>
        <v>1.5020416906640219E-2</v>
      </c>
      <c r="L725">
        <f t="shared" si="100"/>
        <v>6.4526676821294884E-2</v>
      </c>
      <c r="M725">
        <f t="shared" si="101"/>
        <v>0.60476876594778417</v>
      </c>
      <c r="N725">
        <f t="shared" si="102"/>
        <v>0.10616503532637826</v>
      </c>
      <c r="O725">
        <f t="shared" si="103"/>
        <v>1.1204070386526253</v>
      </c>
      <c r="P725">
        <f t="shared" si="104"/>
        <v>16.159194503149951</v>
      </c>
      <c r="Q725">
        <f t="shared" si="105"/>
        <v>9.5440104773555842E-3</v>
      </c>
      <c r="R725">
        <f t="shared" si="106"/>
        <v>0</v>
      </c>
      <c r="S725">
        <f t="shared" si="107"/>
        <v>0</v>
      </c>
    </row>
    <row r="726" spans="1:19" x14ac:dyDescent="0.3">
      <c r="A726" t="s">
        <v>241</v>
      </c>
      <c r="B726">
        <v>2009</v>
      </c>
      <c r="C726">
        <v>6.1639044958847157E-3</v>
      </c>
      <c r="D726">
        <v>9.9875998355590939E-2</v>
      </c>
      <c r="E726">
        <v>-0.40490952576715361</v>
      </c>
      <c r="F726">
        <v>0.59360229129215769</v>
      </c>
      <c r="G726">
        <v>1.1528087922932562</v>
      </c>
      <c r="H726">
        <v>16.216028388848972</v>
      </c>
      <c r="I726">
        <v>3.2712686867377258E-2</v>
      </c>
      <c r="J726">
        <v>0</v>
      </c>
      <c r="K726">
        <f t="shared" si="99"/>
        <v>6.1639044958847157E-3</v>
      </c>
      <c r="L726">
        <f t="shared" si="100"/>
        <v>9.9875998355590939E-2</v>
      </c>
      <c r="M726">
        <f t="shared" si="101"/>
        <v>-0.40490952576715361</v>
      </c>
      <c r="N726">
        <f t="shared" si="102"/>
        <v>0.59360229129215769</v>
      </c>
      <c r="O726">
        <f t="shared" si="103"/>
        <v>1.1528087922932562</v>
      </c>
      <c r="P726">
        <f t="shared" si="104"/>
        <v>16.216028388848972</v>
      </c>
      <c r="Q726">
        <f t="shared" si="105"/>
        <v>3.2712686867377258E-2</v>
      </c>
      <c r="R726">
        <f t="shared" si="106"/>
        <v>0</v>
      </c>
      <c r="S726">
        <f t="shared" si="107"/>
        <v>0</v>
      </c>
    </row>
    <row r="727" spans="1:19" x14ac:dyDescent="0.3">
      <c r="A727" t="s">
        <v>241</v>
      </c>
      <c r="B727">
        <v>2010</v>
      </c>
      <c r="C727">
        <v>1.6359556112774452E-3</v>
      </c>
      <c r="D727">
        <v>0.18211962426263015</v>
      </c>
      <c r="E727">
        <v>-0.31077994918941648</v>
      </c>
      <c r="F727">
        <v>0.39785651121554366</v>
      </c>
      <c r="G727">
        <v>0.83991567941182366</v>
      </c>
      <c r="H727">
        <v>16.374450433064901</v>
      </c>
      <c r="I727">
        <v>3.4505105656767496E-2</v>
      </c>
      <c r="J727">
        <v>0</v>
      </c>
      <c r="K727">
        <f t="shared" si="99"/>
        <v>1.6359556112774452E-3</v>
      </c>
      <c r="L727">
        <f t="shared" si="100"/>
        <v>0.18211962426263015</v>
      </c>
      <c r="M727">
        <f t="shared" si="101"/>
        <v>-0.31077994918941648</v>
      </c>
      <c r="N727">
        <f t="shared" si="102"/>
        <v>0.39785651121554366</v>
      </c>
      <c r="O727">
        <f t="shared" si="103"/>
        <v>0.83991567941182366</v>
      </c>
      <c r="P727">
        <f t="shared" si="104"/>
        <v>16.374450433064901</v>
      </c>
      <c r="Q727">
        <f t="shared" si="105"/>
        <v>3.4505105656767496E-2</v>
      </c>
      <c r="R727">
        <f t="shared" si="106"/>
        <v>0</v>
      </c>
      <c r="S727">
        <f t="shared" si="107"/>
        <v>0</v>
      </c>
    </row>
    <row r="728" spans="1:19" x14ac:dyDescent="0.3">
      <c r="A728" t="s">
        <v>242</v>
      </c>
      <c r="B728">
        <v>2007</v>
      </c>
      <c r="C728">
        <v>2.2577588398705321E-2</v>
      </c>
      <c r="D728">
        <v>2.9081165715801906E-2</v>
      </c>
      <c r="E728">
        <v>-3.6712923308467101E-2</v>
      </c>
      <c r="F728">
        <v>6.2164847669231728E-2</v>
      </c>
      <c r="G728">
        <v>1.491284040017659</v>
      </c>
      <c r="H728">
        <v>15.584395556612963</v>
      </c>
      <c r="I728">
        <v>5.6254032023934017E-3</v>
      </c>
      <c r="J728">
        <v>0</v>
      </c>
      <c r="K728">
        <f t="shared" si="99"/>
        <v>2.2577588398705321E-2</v>
      </c>
      <c r="L728">
        <f t="shared" si="100"/>
        <v>2.9081165715801906E-2</v>
      </c>
      <c r="M728">
        <f t="shared" si="101"/>
        <v>-3.6712923308467101E-2</v>
      </c>
      <c r="N728">
        <f t="shared" si="102"/>
        <v>6.2164847669231728E-2</v>
      </c>
      <c r="O728">
        <f t="shared" si="103"/>
        <v>1.491284040017659</v>
      </c>
      <c r="P728">
        <f t="shared" si="104"/>
        <v>15.584395556612963</v>
      </c>
      <c r="Q728">
        <f t="shared" si="105"/>
        <v>5.6254032023934017E-3</v>
      </c>
      <c r="R728">
        <f t="shared" si="106"/>
        <v>0</v>
      </c>
      <c r="S728">
        <f t="shared" si="107"/>
        <v>0</v>
      </c>
    </row>
    <row r="729" spans="1:19" x14ac:dyDescent="0.3">
      <c r="A729" t="s">
        <v>242</v>
      </c>
      <c r="B729">
        <v>2008</v>
      </c>
      <c r="C729">
        <v>4.8524899457903616E-3</v>
      </c>
      <c r="D729">
        <v>5.0304954628989464E-2</v>
      </c>
      <c r="E729">
        <v>-0.12252461692611978</v>
      </c>
      <c r="F729">
        <v>0.22594200543263762</v>
      </c>
      <c r="G729">
        <v>0.94550149457214994</v>
      </c>
      <c r="H729">
        <v>15.846801362247799</v>
      </c>
      <c r="I729">
        <v>1.2146634011170755E-2</v>
      </c>
      <c r="J729">
        <v>0</v>
      </c>
      <c r="K729">
        <f t="shared" si="99"/>
        <v>4.8524899457903616E-3</v>
      </c>
      <c r="L729">
        <f t="shared" si="100"/>
        <v>5.0304954628989464E-2</v>
      </c>
      <c r="M729">
        <f t="shared" si="101"/>
        <v>-0.12252461692611978</v>
      </c>
      <c r="N729">
        <f t="shared" si="102"/>
        <v>0.22594200543263762</v>
      </c>
      <c r="O729">
        <f t="shared" si="103"/>
        <v>0.94550149457214994</v>
      </c>
      <c r="P729">
        <f t="shared" si="104"/>
        <v>15.846801362247799</v>
      </c>
      <c r="Q729">
        <f t="shared" si="105"/>
        <v>1.2146634011170755E-2</v>
      </c>
      <c r="R729">
        <f t="shared" si="106"/>
        <v>0</v>
      </c>
      <c r="S729">
        <f t="shared" si="107"/>
        <v>0</v>
      </c>
    </row>
    <row r="730" spans="1:19" x14ac:dyDescent="0.3">
      <c r="A730" t="s">
        <v>242</v>
      </c>
      <c r="B730">
        <v>2009</v>
      </c>
      <c r="C730">
        <v>3.9850924544695852E-3</v>
      </c>
      <c r="D730">
        <v>2.1232376884863745E-2</v>
      </c>
      <c r="E730">
        <v>-0.15080962154433433</v>
      </c>
      <c r="F730">
        <v>0.58789812373346273</v>
      </c>
      <c r="G730">
        <v>0.84367986551486895</v>
      </c>
      <c r="H730">
        <v>15.970163230951105</v>
      </c>
      <c r="I730">
        <v>1.693759810607785E-2</v>
      </c>
      <c r="J730">
        <v>0</v>
      </c>
      <c r="K730">
        <f t="shared" si="99"/>
        <v>3.9850924544695852E-3</v>
      </c>
      <c r="L730">
        <f t="shared" si="100"/>
        <v>2.1232376884863745E-2</v>
      </c>
      <c r="M730">
        <f t="shared" si="101"/>
        <v>-0.15080962154433433</v>
      </c>
      <c r="N730">
        <f t="shared" si="102"/>
        <v>0.58789812373346273</v>
      </c>
      <c r="O730">
        <f t="shared" si="103"/>
        <v>0.84367986551486895</v>
      </c>
      <c r="P730">
        <f t="shared" si="104"/>
        <v>15.970163230951105</v>
      </c>
      <c r="Q730">
        <f t="shared" si="105"/>
        <v>1.693759810607785E-2</v>
      </c>
      <c r="R730">
        <f t="shared" si="106"/>
        <v>0</v>
      </c>
      <c r="S730">
        <f t="shared" si="107"/>
        <v>0</v>
      </c>
    </row>
    <row r="731" spans="1:19" x14ac:dyDescent="0.3">
      <c r="A731" t="s">
        <v>242</v>
      </c>
      <c r="B731">
        <v>2010</v>
      </c>
      <c r="C731">
        <v>3.2308050610027465E-3</v>
      </c>
      <c r="D731">
        <v>7.3550565062294057E-2</v>
      </c>
      <c r="E731">
        <v>-0.21160193603877611</v>
      </c>
      <c r="F731">
        <v>0.5825393329935965</v>
      </c>
      <c r="G731">
        <v>0.86980856598004463</v>
      </c>
      <c r="H731">
        <v>15.975769122842605</v>
      </c>
      <c r="I731">
        <v>8.1248535197162748E-3</v>
      </c>
      <c r="J731">
        <v>0</v>
      </c>
      <c r="K731">
        <f t="shared" si="99"/>
        <v>3.2308050610027465E-3</v>
      </c>
      <c r="L731">
        <f t="shared" si="100"/>
        <v>7.3550565062294057E-2</v>
      </c>
      <c r="M731">
        <f t="shared" si="101"/>
        <v>-0.21160193603877611</v>
      </c>
      <c r="N731">
        <f t="shared" si="102"/>
        <v>0.5825393329935965</v>
      </c>
      <c r="O731">
        <f t="shared" si="103"/>
        <v>0.86980856598004463</v>
      </c>
      <c r="P731">
        <f t="shared" si="104"/>
        <v>15.975769122842605</v>
      </c>
      <c r="Q731">
        <f t="shared" si="105"/>
        <v>8.1248535197162748E-3</v>
      </c>
      <c r="R731">
        <f t="shared" si="106"/>
        <v>0</v>
      </c>
      <c r="S731">
        <f t="shared" si="107"/>
        <v>0</v>
      </c>
    </row>
    <row r="732" spans="1:19" x14ac:dyDescent="0.3">
      <c r="A732" t="s">
        <v>243</v>
      </c>
      <c r="B732">
        <v>2009</v>
      </c>
      <c r="C732">
        <v>3.6165307137148075E-3</v>
      </c>
      <c r="D732">
        <v>9.6943840978818627E-2</v>
      </c>
      <c r="E732">
        <v>-0.2395215588845509</v>
      </c>
      <c r="F732">
        <v>0.34032923771798795</v>
      </c>
      <c r="G732">
        <v>0.65033580026393301</v>
      </c>
      <c r="H732">
        <v>16.796344551227783</v>
      </c>
      <c r="I732">
        <v>3.8331315298536298E-3</v>
      </c>
      <c r="J732">
        <v>0</v>
      </c>
      <c r="K732">
        <f t="shared" si="99"/>
        <v>3.6165307137148075E-3</v>
      </c>
      <c r="L732">
        <f t="shared" si="100"/>
        <v>9.6943840978818627E-2</v>
      </c>
      <c r="M732">
        <f t="shared" si="101"/>
        <v>-0.2395215588845509</v>
      </c>
      <c r="N732">
        <f t="shared" si="102"/>
        <v>0.34032923771798795</v>
      </c>
      <c r="O732">
        <f t="shared" si="103"/>
        <v>0.65033580026393301</v>
      </c>
      <c r="P732">
        <f t="shared" si="104"/>
        <v>16.796344551227783</v>
      </c>
      <c r="Q732">
        <f t="shared" si="105"/>
        <v>3.8331315298536298E-3</v>
      </c>
      <c r="R732">
        <f t="shared" si="106"/>
        <v>0</v>
      </c>
      <c r="S732">
        <f t="shared" si="107"/>
        <v>0</v>
      </c>
    </row>
    <row r="733" spans="1:19" x14ac:dyDescent="0.3">
      <c r="A733" t="s">
        <v>243</v>
      </c>
      <c r="B733">
        <v>2010</v>
      </c>
      <c r="C733">
        <v>3.7263486069875293E-4</v>
      </c>
      <c r="D733">
        <v>7.9038171386195524E-2</v>
      </c>
      <c r="E733">
        <v>-0.33676649944925102</v>
      </c>
      <c r="F733">
        <v>0.38849527295144654</v>
      </c>
      <c r="G733">
        <v>0.76392490535956392</v>
      </c>
      <c r="H733">
        <v>16.786147973037863</v>
      </c>
      <c r="I733">
        <v>1.3859509161377029E-2</v>
      </c>
      <c r="J733">
        <v>0</v>
      </c>
      <c r="K733">
        <f t="shared" si="99"/>
        <v>3.7263486069875293E-4</v>
      </c>
      <c r="L733">
        <f t="shared" si="100"/>
        <v>7.9038171386195524E-2</v>
      </c>
      <c r="M733">
        <f t="shared" si="101"/>
        <v>-0.33676649944925102</v>
      </c>
      <c r="N733">
        <f t="shared" si="102"/>
        <v>0.38849527295144654</v>
      </c>
      <c r="O733">
        <f t="shared" si="103"/>
        <v>0.76392490535956392</v>
      </c>
      <c r="P733">
        <f t="shared" si="104"/>
        <v>16.786147973037863</v>
      </c>
      <c r="Q733">
        <f t="shared" si="105"/>
        <v>1.3859509161377029E-2</v>
      </c>
      <c r="R733">
        <f t="shared" si="106"/>
        <v>0</v>
      </c>
      <c r="S733">
        <f t="shared" si="107"/>
        <v>0</v>
      </c>
    </row>
    <row r="734" spans="1:19" x14ac:dyDescent="0.3">
      <c r="A734" t="s">
        <v>244</v>
      </c>
      <c r="B734">
        <v>2007</v>
      </c>
      <c r="C734">
        <v>4.817172729913017E-2</v>
      </c>
      <c r="D734">
        <v>0.13891732239309795</v>
      </c>
      <c r="E734">
        <v>-0.10248680198824736</v>
      </c>
      <c r="F734">
        <v>0.17414051545572981</v>
      </c>
      <c r="G734">
        <v>1.829320759122276</v>
      </c>
      <c r="H734">
        <v>17.062925675259194</v>
      </c>
      <c r="I734">
        <v>1.0630281571239563E-2</v>
      </c>
      <c r="J734">
        <v>1.2798245171069658E-2</v>
      </c>
      <c r="K734">
        <f t="shared" si="99"/>
        <v>4.817172729913017E-2</v>
      </c>
      <c r="L734">
        <f t="shared" si="100"/>
        <v>0.13891732239309795</v>
      </c>
      <c r="M734">
        <f t="shared" si="101"/>
        <v>-0.10248680198824736</v>
      </c>
      <c r="N734">
        <f t="shared" si="102"/>
        <v>0.17414051545572981</v>
      </c>
      <c r="O734">
        <f t="shared" si="103"/>
        <v>1.829320759122276</v>
      </c>
      <c r="P734">
        <f t="shared" si="104"/>
        <v>17.062925675259194</v>
      </c>
      <c r="Q734">
        <f t="shared" si="105"/>
        <v>1.0630281571239563E-2</v>
      </c>
      <c r="R734">
        <f t="shared" si="106"/>
        <v>1.2798245171069658E-2</v>
      </c>
      <c r="S734">
        <f t="shared" si="107"/>
        <v>0</v>
      </c>
    </row>
    <row r="735" spans="1:19" x14ac:dyDescent="0.3">
      <c r="A735" t="s">
        <v>244</v>
      </c>
      <c r="B735">
        <v>2008</v>
      </c>
      <c r="C735">
        <v>7.8860485537663779E-3</v>
      </c>
      <c r="D735">
        <v>9.5954639427456481E-2</v>
      </c>
      <c r="E735">
        <v>-1.5793768254363422E-2</v>
      </c>
      <c r="F735">
        <v>0.11239719859246193</v>
      </c>
      <c r="G735">
        <v>0.75047461797594173</v>
      </c>
      <c r="H735">
        <v>17.348878064479585</v>
      </c>
      <c r="I735">
        <v>2.0843792571089301E-2</v>
      </c>
      <c r="J735">
        <v>9.4446187417334942E-3</v>
      </c>
      <c r="K735">
        <f t="shared" si="99"/>
        <v>7.8860485537663779E-3</v>
      </c>
      <c r="L735">
        <f t="shared" si="100"/>
        <v>9.5954639427456481E-2</v>
      </c>
      <c r="M735">
        <f t="shared" si="101"/>
        <v>-1.5793768254363422E-2</v>
      </c>
      <c r="N735">
        <f t="shared" si="102"/>
        <v>0.11239719859246193</v>
      </c>
      <c r="O735">
        <f t="shared" si="103"/>
        <v>0.75047461797594173</v>
      </c>
      <c r="P735">
        <f t="shared" si="104"/>
        <v>17.348878064479585</v>
      </c>
      <c r="Q735">
        <f t="shared" si="105"/>
        <v>2.0843792571089301E-2</v>
      </c>
      <c r="R735">
        <f t="shared" si="106"/>
        <v>9.4446187417334942E-3</v>
      </c>
      <c r="S735">
        <f t="shared" si="107"/>
        <v>0</v>
      </c>
    </row>
    <row r="736" spans="1:19" x14ac:dyDescent="0.3">
      <c r="A736" t="s">
        <v>244</v>
      </c>
      <c r="B736">
        <v>2009</v>
      </c>
      <c r="C736">
        <v>2.7325513340387863E-2</v>
      </c>
      <c r="D736">
        <v>0.1647520149971497</v>
      </c>
      <c r="E736">
        <v>-3.2317261438616358E-2</v>
      </c>
      <c r="F736">
        <v>0.2731778003135103</v>
      </c>
      <c r="G736">
        <v>0.952323337647212</v>
      </c>
      <c r="H736">
        <v>17.463369091523482</v>
      </c>
      <c r="I736">
        <v>1.7233423346767737E-2</v>
      </c>
      <c r="J736">
        <v>0.13205543331770001</v>
      </c>
      <c r="K736">
        <f t="shared" si="99"/>
        <v>2.7325513340387863E-2</v>
      </c>
      <c r="L736">
        <f t="shared" si="100"/>
        <v>0.1647520149971497</v>
      </c>
      <c r="M736">
        <f t="shared" si="101"/>
        <v>-3.2317261438616358E-2</v>
      </c>
      <c r="N736">
        <f t="shared" si="102"/>
        <v>0.2731778003135103</v>
      </c>
      <c r="O736">
        <f t="shared" si="103"/>
        <v>0.952323337647212</v>
      </c>
      <c r="P736">
        <f t="shared" si="104"/>
        <v>17.463369091523482</v>
      </c>
      <c r="Q736">
        <f t="shared" si="105"/>
        <v>1.7233423346767737E-2</v>
      </c>
      <c r="R736" t="str">
        <f t="shared" si="106"/>
        <v>out</v>
      </c>
      <c r="S736">
        <f t="shared" si="107"/>
        <v>1</v>
      </c>
    </row>
    <row r="737" spans="1:19" x14ac:dyDescent="0.3">
      <c r="A737" t="s">
        <v>244</v>
      </c>
      <c r="B737">
        <v>2010</v>
      </c>
      <c r="C737">
        <v>8.7086106786477269E-3</v>
      </c>
      <c r="D737">
        <v>0.12603704638372965</v>
      </c>
      <c r="E737">
        <v>-7.2310346026509251E-2</v>
      </c>
      <c r="F737">
        <v>0.21147009661436769</v>
      </c>
      <c r="G737">
        <v>0.98463725811822023</v>
      </c>
      <c r="H737">
        <v>17.46122788575078</v>
      </c>
      <c r="I737">
        <v>8.0437723674527326E-3</v>
      </c>
      <c r="J737">
        <v>0.15159138636652902</v>
      </c>
      <c r="K737">
        <f t="shared" si="99"/>
        <v>8.7086106786477269E-3</v>
      </c>
      <c r="L737">
        <f t="shared" si="100"/>
        <v>0.12603704638372965</v>
      </c>
      <c r="M737">
        <f t="shared" si="101"/>
        <v>-7.2310346026509251E-2</v>
      </c>
      <c r="N737">
        <f t="shared" si="102"/>
        <v>0.21147009661436769</v>
      </c>
      <c r="O737">
        <f t="shared" si="103"/>
        <v>0.98463725811822023</v>
      </c>
      <c r="P737">
        <f t="shared" si="104"/>
        <v>17.46122788575078</v>
      </c>
      <c r="Q737">
        <f t="shared" si="105"/>
        <v>8.0437723674527326E-3</v>
      </c>
      <c r="R737" t="str">
        <f t="shared" si="106"/>
        <v>out</v>
      </c>
      <c r="S737">
        <f t="shared" si="107"/>
        <v>1</v>
      </c>
    </row>
    <row r="738" spans="1:19" x14ac:dyDescent="0.3">
      <c r="A738" t="s">
        <v>245</v>
      </c>
      <c r="B738">
        <v>2007</v>
      </c>
      <c r="C738">
        <v>5.2634354588608576E-3</v>
      </c>
      <c r="D738">
        <v>2.4716202697498406E-2</v>
      </c>
      <c r="E738">
        <v>-3.4903567329127048E-2</v>
      </c>
      <c r="F738">
        <v>7.7073815075273791E-2</v>
      </c>
      <c r="G738">
        <v>0.92122449766765968</v>
      </c>
      <c r="H738">
        <v>16.969825418776395</v>
      </c>
      <c r="I738">
        <v>2.1041823263881959E-2</v>
      </c>
      <c r="J738">
        <v>0</v>
      </c>
      <c r="K738">
        <f t="shared" si="99"/>
        <v>5.2634354588608576E-3</v>
      </c>
      <c r="L738">
        <f t="shared" si="100"/>
        <v>2.4716202697498406E-2</v>
      </c>
      <c r="M738">
        <f t="shared" si="101"/>
        <v>-3.4903567329127048E-2</v>
      </c>
      <c r="N738">
        <f t="shared" si="102"/>
        <v>7.7073815075273791E-2</v>
      </c>
      <c r="O738">
        <f t="shared" si="103"/>
        <v>0.92122449766765968</v>
      </c>
      <c r="P738">
        <f t="shared" si="104"/>
        <v>16.969825418776395</v>
      </c>
      <c r="Q738">
        <f t="shared" si="105"/>
        <v>2.1041823263881959E-2</v>
      </c>
      <c r="R738">
        <f t="shared" si="106"/>
        <v>0</v>
      </c>
      <c r="S738">
        <f t="shared" si="107"/>
        <v>0</v>
      </c>
    </row>
    <row r="739" spans="1:19" x14ac:dyDescent="0.3">
      <c r="A739" t="s">
        <v>245</v>
      </c>
      <c r="B739">
        <v>2008</v>
      </c>
      <c r="C739">
        <v>4.5463442889699781E-3</v>
      </c>
      <c r="D739">
        <v>8.5264126298235127E-2</v>
      </c>
      <c r="E739">
        <v>-5.8760087017367721E-2</v>
      </c>
      <c r="F739">
        <v>0.48325027328196585</v>
      </c>
      <c r="G739">
        <v>0.73865287429687276</v>
      </c>
      <c r="H739">
        <v>17.079419440766245</v>
      </c>
      <c r="I739">
        <v>5.326135708292136E-3</v>
      </c>
      <c r="J739">
        <v>0</v>
      </c>
      <c r="K739">
        <f t="shared" si="99"/>
        <v>4.5463442889699781E-3</v>
      </c>
      <c r="L739">
        <f t="shared" si="100"/>
        <v>8.5264126298235127E-2</v>
      </c>
      <c r="M739">
        <f t="shared" si="101"/>
        <v>-5.8760087017367721E-2</v>
      </c>
      <c r="N739">
        <f t="shared" si="102"/>
        <v>0.48325027328196585</v>
      </c>
      <c r="O739">
        <f t="shared" si="103"/>
        <v>0.73865287429687276</v>
      </c>
      <c r="P739">
        <f t="shared" si="104"/>
        <v>17.079419440766245</v>
      </c>
      <c r="Q739">
        <f t="shared" si="105"/>
        <v>5.326135708292136E-3</v>
      </c>
      <c r="R739">
        <f t="shared" si="106"/>
        <v>0</v>
      </c>
      <c r="S739">
        <f t="shared" si="107"/>
        <v>0</v>
      </c>
    </row>
    <row r="740" spans="1:19" x14ac:dyDescent="0.3">
      <c r="A740" t="s">
        <v>245</v>
      </c>
      <c r="B740">
        <v>2009</v>
      </c>
      <c r="C740">
        <v>3.8943389144189288E-3</v>
      </c>
      <c r="D740">
        <v>7.6588925116163387E-2</v>
      </c>
      <c r="E740">
        <v>-0.18502930418718205</v>
      </c>
      <c r="F740">
        <v>0.62362141096093593</v>
      </c>
      <c r="G740">
        <v>0.79245186692655945</v>
      </c>
      <c r="H740">
        <v>17.060476574451712</v>
      </c>
      <c r="I740">
        <v>2.1467560638002498E-2</v>
      </c>
      <c r="J740">
        <v>0</v>
      </c>
      <c r="K740">
        <f t="shared" si="99"/>
        <v>3.8943389144189288E-3</v>
      </c>
      <c r="L740">
        <f t="shared" si="100"/>
        <v>7.6588925116163387E-2</v>
      </c>
      <c r="M740">
        <f t="shared" si="101"/>
        <v>-0.18502930418718205</v>
      </c>
      <c r="N740">
        <f t="shared" si="102"/>
        <v>0.62362141096093593</v>
      </c>
      <c r="O740">
        <f t="shared" si="103"/>
        <v>0.79245186692655945</v>
      </c>
      <c r="P740">
        <f t="shared" si="104"/>
        <v>17.060476574451712</v>
      </c>
      <c r="Q740">
        <f t="shared" si="105"/>
        <v>2.1467560638002498E-2</v>
      </c>
      <c r="R740">
        <f t="shared" si="106"/>
        <v>0</v>
      </c>
      <c r="S740">
        <f t="shared" si="107"/>
        <v>0</v>
      </c>
    </row>
    <row r="741" spans="1:19" x14ac:dyDescent="0.3">
      <c r="A741" t="s">
        <v>245</v>
      </c>
      <c r="B741">
        <v>2010</v>
      </c>
      <c r="C741">
        <v>2.8141501301096549E-3</v>
      </c>
      <c r="D741">
        <v>0.13847461911348849</v>
      </c>
      <c r="E741">
        <v>-0.16654361585890767</v>
      </c>
      <c r="F741">
        <v>0.63298998670698714</v>
      </c>
      <c r="G741">
        <v>0.84419870164727895</v>
      </c>
      <c r="H741">
        <v>17.077250910760423</v>
      </c>
      <c r="I741">
        <v>9.2615843170277875E-3</v>
      </c>
      <c r="J741">
        <v>0</v>
      </c>
      <c r="K741">
        <f t="shared" si="99"/>
        <v>2.8141501301096549E-3</v>
      </c>
      <c r="L741">
        <f t="shared" si="100"/>
        <v>0.13847461911348849</v>
      </c>
      <c r="M741">
        <f t="shared" si="101"/>
        <v>-0.16654361585890767</v>
      </c>
      <c r="N741">
        <f t="shared" si="102"/>
        <v>0.63298998670698714</v>
      </c>
      <c r="O741">
        <f t="shared" si="103"/>
        <v>0.84419870164727895</v>
      </c>
      <c r="P741">
        <f t="shared" si="104"/>
        <v>17.077250910760423</v>
      </c>
      <c r="Q741">
        <f t="shared" si="105"/>
        <v>9.2615843170277875E-3</v>
      </c>
      <c r="R741">
        <f t="shared" si="106"/>
        <v>0</v>
      </c>
      <c r="S741">
        <f t="shared" si="107"/>
        <v>0</v>
      </c>
    </row>
    <row r="742" spans="1:19" x14ac:dyDescent="0.3">
      <c r="A742" t="s">
        <v>246</v>
      </c>
      <c r="B742">
        <v>2007</v>
      </c>
      <c r="C742">
        <v>3.5478904411673333E-2</v>
      </c>
      <c r="D742">
        <v>6.5056523450388523E-2</v>
      </c>
      <c r="E742">
        <v>-0.49138081111926524</v>
      </c>
      <c r="F742">
        <v>0.11648468143011954</v>
      </c>
      <c r="G742">
        <v>1.3128946679849027</v>
      </c>
      <c r="H742">
        <v>15.968492598315208</v>
      </c>
      <c r="I742">
        <v>1.4409866105864947E-2</v>
      </c>
      <c r="J742">
        <v>0</v>
      </c>
      <c r="K742">
        <f t="shared" si="99"/>
        <v>3.5478904411673333E-2</v>
      </c>
      <c r="L742">
        <f t="shared" si="100"/>
        <v>6.5056523450388523E-2</v>
      </c>
      <c r="M742">
        <f t="shared" si="101"/>
        <v>-0.49138081111926524</v>
      </c>
      <c r="N742">
        <f t="shared" si="102"/>
        <v>0.11648468143011954</v>
      </c>
      <c r="O742">
        <f t="shared" si="103"/>
        <v>1.3128946679849027</v>
      </c>
      <c r="P742">
        <f t="shared" si="104"/>
        <v>15.968492598315208</v>
      </c>
      <c r="Q742">
        <f t="shared" si="105"/>
        <v>1.4409866105864947E-2</v>
      </c>
      <c r="R742">
        <f t="shared" si="106"/>
        <v>0</v>
      </c>
      <c r="S742">
        <f t="shared" si="107"/>
        <v>0</v>
      </c>
    </row>
    <row r="743" spans="1:19" x14ac:dyDescent="0.3">
      <c r="A743" t="s">
        <v>246</v>
      </c>
      <c r="B743">
        <v>2008</v>
      </c>
      <c r="C743">
        <v>1.3290218875198864E-2</v>
      </c>
      <c r="D743">
        <v>9.6377314148392526E-2</v>
      </c>
      <c r="E743">
        <v>-0.28733353328389</v>
      </c>
      <c r="F743">
        <v>0.16000035903251814</v>
      </c>
      <c r="G743">
        <v>1.0257211497558054</v>
      </c>
      <c r="H743">
        <v>16.164271830215533</v>
      </c>
      <c r="I743">
        <v>1.8722358033075058E-2</v>
      </c>
      <c r="J743">
        <v>0</v>
      </c>
      <c r="K743">
        <f t="shared" si="99"/>
        <v>1.3290218875198864E-2</v>
      </c>
      <c r="L743">
        <f t="shared" si="100"/>
        <v>9.6377314148392526E-2</v>
      </c>
      <c r="M743">
        <f t="shared" si="101"/>
        <v>-0.28733353328389</v>
      </c>
      <c r="N743">
        <f t="shared" si="102"/>
        <v>0.16000035903251814</v>
      </c>
      <c r="O743">
        <f t="shared" si="103"/>
        <v>1.0257211497558054</v>
      </c>
      <c r="P743">
        <f t="shared" si="104"/>
        <v>16.164271830215533</v>
      </c>
      <c r="Q743">
        <f t="shared" si="105"/>
        <v>1.8722358033075058E-2</v>
      </c>
      <c r="R743">
        <f t="shared" si="106"/>
        <v>0</v>
      </c>
      <c r="S743">
        <f t="shared" si="107"/>
        <v>0</v>
      </c>
    </row>
    <row r="744" spans="1:19" x14ac:dyDescent="0.3">
      <c r="A744" t="s">
        <v>246</v>
      </c>
      <c r="B744">
        <v>2009</v>
      </c>
      <c r="C744">
        <v>1.5394868093826146E-2</v>
      </c>
      <c r="D744">
        <v>5.3598594629510193E-2</v>
      </c>
      <c r="E744">
        <v>-0.2385598624781039</v>
      </c>
      <c r="F744">
        <v>0.34484941340780501</v>
      </c>
      <c r="G744">
        <v>0.7632000590660718</v>
      </c>
      <c r="H744">
        <v>16.152278116507336</v>
      </c>
      <c r="I744">
        <v>2.2609161547969395E-2</v>
      </c>
      <c r="J744">
        <v>0</v>
      </c>
      <c r="K744">
        <f t="shared" si="99"/>
        <v>1.5394868093826146E-2</v>
      </c>
      <c r="L744">
        <f t="shared" si="100"/>
        <v>5.3598594629510193E-2</v>
      </c>
      <c r="M744">
        <f t="shared" si="101"/>
        <v>-0.2385598624781039</v>
      </c>
      <c r="N744">
        <f t="shared" si="102"/>
        <v>0.34484941340780501</v>
      </c>
      <c r="O744">
        <f t="shared" si="103"/>
        <v>0.7632000590660718</v>
      </c>
      <c r="P744">
        <f t="shared" si="104"/>
        <v>16.152278116507336</v>
      </c>
      <c r="Q744">
        <f t="shared" si="105"/>
        <v>2.2609161547969395E-2</v>
      </c>
      <c r="R744">
        <f t="shared" si="106"/>
        <v>0</v>
      </c>
      <c r="S744">
        <f t="shared" si="107"/>
        <v>0</v>
      </c>
    </row>
    <row r="745" spans="1:19" x14ac:dyDescent="0.3">
      <c r="A745" t="s">
        <v>246</v>
      </c>
      <c r="B745">
        <v>2010</v>
      </c>
      <c r="C745">
        <v>5.4110728261524341E-3</v>
      </c>
      <c r="D745">
        <v>0.12117212019105333</v>
      </c>
      <c r="E745">
        <v>-0.34616367991691244</v>
      </c>
      <c r="F745">
        <v>0.35748701224367568</v>
      </c>
      <c r="G745">
        <v>0.72582962229216352</v>
      </c>
      <c r="H745">
        <v>16.150126540703152</v>
      </c>
      <c r="I745">
        <v>2.5548712290129668E-2</v>
      </c>
      <c r="J745">
        <v>0</v>
      </c>
      <c r="K745">
        <f t="shared" si="99"/>
        <v>5.4110728261524341E-3</v>
      </c>
      <c r="L745">
        <f t="shared" si="100"/>
        <v>0.12117212019105333</v>
      </c>
      <c r="M745">
        <f t="shared" si="101"/>
        <v>-0.34616367991691244</v>
      </c>
      <c r="N745">
        <f t="shared" si="102"/>
        <v>0.35748701224367568</v>
      </c>
      <c r="O745">
        <f t="shared" si="103"/>
        <v>0.72582962229216352</v>
      </c>
      <c r="P745">
        <f t="shared" si="104"/>
        <v>16.150126540703152</v>
      </c>
      <c r="Q745">
        <f t="shared" si="105"/>
        <v>2.5548712290129668E-2</v>
      </c>
      <c r="R745">
        <f t="shared" si="106"/>
        <v>0</v>
      </c>
      <c r="S745">
        <f t="shared" si="107"/>
        <v>0</v>
      </c>
    </row>
    <row r="746" spans="1:19" x14ac:dyDescent="0.3">
      <c r="A746" t="s">
        <v>247</v>
      </c>
      <c r="B746">
        <v>2007</v>
      </c>
      <c r="C746">
        <v>2.5715033097021048E-4</v>
      </c>
      <c r="D746">
        <v>0.22692408301522063</v>
      </c>
      <c r="E746">
        <v>3.6842991988437102E-2</v>
      </c>
      <c r="F746">
        <v>0.31051656181140241</v>
      </c>
      <c r="G746">
        <v>0.74892715108468677</v>
      </c>
      <c r="H746">
        <v>14.628877802214021</v>
      </c>
      <c r="I746">
        <v>5.1960239988855191E-2</v>
      </c>
      <c r="J746">
        <v>0</v>
      </c>
      <c r="K746">
        <f t="shared" si="99"/>
        <v>2.5715033097021048E-4</v>
      </c>
      <c r="L746">
        <f t="shared" si="100"/>
        <v>0.22692408301522063</v>
      </c>
      <c r="M746">
        <f t="shared" si="101"/>
        <v>3.6842991988437102E-2</v>
      </c>
      <c r="N746">
        <f t="shared" si="102"/>
        <v>0.31051656181140241</v>
      </c>
      <c r="O746">
        <f t="shared" si="103"/>
        <v>0.74892715108468677</v>
      </c>
      <c r="P746">
        <f t="shared" si="104"/>
        <v>14.628877802214021</v>
      </c>
      <c r="Q746">
        <f t="shared" si="105"/>
        <v>5.1960239988855191E-2</v>
      </c>
      <c r="R746">
        <f t="shared" si="106"/>
        <v>0</v>
      </c>
      <c r="S746">
        <f t="shared" si="107"/>
        <v>0</v>
      </c>
    </row>
    <row r="747" spans="1:19" x14ac:dyDescent="0.3">
      <c r="A747" t="s">
        <v>247</v>
      </c>
      <c r="B747">
        <v>2008</v>
      </c>
      <c r="C747">
        <v>2.2307639393385221E-3</v>
      </c>
      <c r="D747">
        <v>0.29642349617216612</v>
      </c>
      <c r="E747">
        <v>-0.16357291339850913</v>
      </c>
      <c r="F747">
        <v>0.23821424796444468</v>
      </c>
      <c r="G747">
        <v>0.59641542273949755</v>
      </c>
      <c r="H747">
        <v>14.90748251501596</v>
      </c>
      <c r="I747">
        <v>4.4686101233291899E-2</v>
      </c>
      <c r="J747">
        <v>0</v>
      </c>
      <c r="K747">
        <f t="shared" si="99"/>
        <v>2.2307639393385221E-3</v>
      </c>
      <c r="L747">
        <f t="shared" si="100"/>
        <v>0.29642349617216612</v>
      </c>
      <c r="M747">
        <f t="shared" si="101"/>
        <v>-0.16357291339850913</v>
      </c>
      <c r="N747">
        <f t="shared" si="102"/>
        <v>0.23821424796444468</v>
      </c>
      <c r="O747">
        <f t="shared" si="103"/>
        <v>0.59641542273949755</v>
      </c>
      <c r="P747">
        <f t="shared" si="104"/>
        <v>14.90748251501596</v>
      </c>
      <c r="Q747">
        <f t="shared" si="105"/>
        <v>4.4686101233291899E-2</v>
      </c>
      <c r="R747">
        <f t="shared" si="106"/>
        <v>0</v>
      </c>
      <c r="S747">
        <f t="shared" si="107"/>
        <v>0</v>
      </c>
    </row>
    <row r="748" spans="1:19" x14ac:dyDescent="0.3">
      <c r="A748" t="s">
        <v>248</v>
      </c>
      <c r="B748">
        <v>2007</v>
      </c>
      <c r="C748">
        <v>5.0003462194281034E-3</v>
      </c>
      <c r="D748">
        <v>7.9469981333002496E-2</v>
      </c>
      <c r="E748">
        <v>-0.23244306854279129</v>
      </c>
      <c r="F748">
        <v>0.37652805387174304</v>
      </c>
      <c r="G748">
        <v>1.0015461221981472</v>
      </c>
      <c r="H748">
        <v>14.835371083109541</v>
      </c>
      <c r="I748">
        <v>4.6650174783289609E-2</v>
      </c>
      <c r="J748">
        <v>0</v>
      </c>
      <c r="K748">
        <f t="shared" si="99"/>
        <v>5.0003462194281034E-3</v>
      </c>
      <c r="L748">
        <f t="shared" si="100"/>
        <v>7.9469981333002496E-2</v>
      </c>
      <c r="M748">
        <f t="shared" si="101"/>
        <v>-0.23244306854279129</v>
      </c>
      <c r="N748">
        <f t="shared" si="102"/>
        <v>0.37652805387174304</v>
      </c>
      <c r="O748">
        <f t="shared" si="103"/>
        <v>1.0015461221981472</v>
      </c>
      <c r="P748">
        <f t="shared" si="104"/>
        <v>14.835371083109541</v>
      </c>
      <c r="Q748">
        <f t="shared" si="105"/>
        <v>4.6650174783289609E-2</v>
      </c>
      <c r="R748">
        <f t="shared" si="106"/>
        <v>0</v>
      </c>
      <c r="S748">
        <f t="shared" si="107"/>
        <v>0</v>
      </c>
    </row>
    <row r="749" spans="1:19" x14ac:dyDescent="0.3">
      <c r="A749" t="s">
        <v>248</v>
      </c>
      <c r="B749">
        <v>2008</v>
      </c>
      <c r="C749">
        <v>6.2527599334890101E-3</v>
      </c>
      <c r="D749">
        <v>0.22920632036126734</v>
      </c>
      <c r="E749">
        <v>-5.0821665137156198E-2</v>
      </c>
      <c r="F749">
        <v>0.28229953569513977</v>
      </c>
      <c r="G749">
        <v>0.95763822382947017</v>
      </c>
      <c r="H749">
        <v>14.827629517251099</v>
      </c>
      <c r="I749">
        <v>1.3915710963752076E-3</v>
      </c>
      <c r="J749">
        <v>0</v>
      </c>
      <c r="K749">
        <f t="shared" si="99"/>
        <v>6.2527599334890101E-3</v>
      </c>
      <c r="L749">
        <f t="shared" si="100"/>
        <v>0.22920632036126734</v>
      </c>
      <c r="M749">
        <f t="shared" si="101"/>
        <v>-5.0821665137156198E-2</v>
      </c>
      <c r="N749">
        <f t="shared" si="102"/>
        <v>0.28229953569513977</v>
      </c>
      <c r="O749">
        <f t="shared" si="103"/>
        <v>0.95763822382947017</v>
      </c>
      <c r="P749">
        <f t="shared" si="104"/>
        <v>14.827629517251099</v>
      </c>
      <c r="Q749">
        <f t="shared" si="105"/>
        <v>1.3915710963752076E-3</v>
      </c>
      <c r="R749">
        <f t="shared" si="106"/>
        <v>0</v>
      </c>
      <c r="S749">
        <f t="shared" si="107"/>
        <v>0</v>
      </c>
    </row>
    <row r="750" spans="1:19" x14ac:dyDescent="0.3">
      <c r="A750" t="s">
        <v>248</v>
      </c>
      <c r="B750">
        <v>2009</v>
      </c>
      <c r="C750">
        <v>1.2339887243403597E-2</v>
      </c>
      <c r="D750">
        <v>0.22981268663793181</v>
      </c>
      <c r="E750">
        <v>-4.552811489650261E-2</v>
      </c>
      <c r="F750">
        <v>0.4903759686385652</v>
      </c>
      <c r="G750">
        <v>0.98526703202523513</v>
      </c>
      <c r="H750">
        <v>14.84316912536401</v>
      </c>
      <c r="I750">
        <v>1.0406056198953142E-2</v>
      </c>
      <c r="J750">
        <v>0</v>
      </c>
      <c r="K750">
        <f t="shared" si="99"/>
        <v>1.2339887243403597E-2</v>
      </c>
      <c r="L750">
        <f t="shared" si="100"/>
        <v>0.22981268663793181</v>
      </c>
      <c r="M750">
        <f t="shared" si="101"/>
        <v>-4.552811489650261E-2</v>
      </c>
      <c r="N750">
        <f t="shared" si="102"/>
        <v>0.4903759686385652</v>
      </c>
      <c r="O750">
        <f t="shared" si="103"/>
        <v>0.98526703202523513</v>
      </c>
      <c r="P750">
        <f t="shared" si="104"/>
        <v>14.84316912536401</v>
      </c>
      <c r="Q750">
        <f t="shared" si="105"/>
        <v>1.0406056198953142E-2</v>
      </c>
      <c r="R750">
        <f t="shared" si="106"/>
        <v>0</v>
      </c>
      <c r="S750">
        <f t="shared" si="107"/>
        <v>0</v>
      </c>
    </row>
    <row r="751" spans="1:19" x14ac:dyDescent="0.3">
      <c r="A751" t="s">
        <v>248</v>
      </c>
      <c r="B751">
        <v>2010</v>
      </c>
      <c r="C751">
        <v>6.0556973753129843E-3</v>
      </c>
      <c r="D751">
        <v>0.27233454372078142</v>
      </c>
      <c r="E751">
        <v>-0.19921157489869257</v>
      </c>
      <c r="F751">
        <v>0.56763561584806643</v>
      </c>
      <c r="G751">
        <v>1.0812535086759474</v>
      </c>
      <c r="H751">
        <v>14.793640796912239</v>
      </c>
      <c r="I751">
        <v>6.4132720378032304E-3</v>
      </c>
      <c r="J751">
        <v>0</v>
      </c>
      <c r="K751">
        <f t="shared" si="99"/>
        <v>6.0556973753129843E-3</v>
      </c>
      <c r="L751">
        <f t="shared" si="100"/>
        <v>0.27233454372078142</v>
      </c>
      <c r="M751">
        <f t="shared" si="101"/>
        <v>-0.19921157489869257</v>
      </c>
      <c r="N751">
        <f t="shared" si="102"/>
        <v>0.56763561584806643</v>
      </c>
      <c r="O751">
        <f t="shared" si="103"/>
        <v>1.0812535086759474</v>
      </c>
      <c r="P751">
        <f t="shared" si="104"/>
        <v>14.793640796912239</v>
      </c>
      <c r="Q751">
        <f t="shared" si="105"/>
        <v>6.4132720378032304E-3</v>
      </c>
      <c r="R751">
        <f t="shared" si="106"/>
        <v>0</v>
      </c>
      <c r="S751">
        <f t="shared" si="107"/>
        <v>0</v>
      </c>
    </row>
    <row r="752" spans="1:19" x14ac:dyDescent="0.3">
      <c r="A752" t="s">
        <v>249</v>
      </c>
      <c r="B752">
        <v>2007</v>
      </c>
      <c r="C752">
        <v>4.8097823573483298E-4</v>
      </c>
      <c r="D752">
        <v>5.7371453941709137E-2</v>
      </c>
      <c r="E752">
        <v>-0.43777529066809728</v>
      </c>
      <c r="F752">
        <v>0</v>
      </c>
      <c r="G752">
        <v>0.84360474688520348</v>
      </c>
      <c r="H752">
        <v>13.20037016785029</v>
      </c>
      <c r="I752">
        <v>5.7804983492808215E-2</v>
      </c>
      <c r="J752">
        <v>0</v>
      </c>
      <c r="K752">
        <f t="shared" si="99"/>
        <v>4.8097823573483298E-4</v>
      </c>
      <c r="L752">
        <f t="shared" si="100"/>
        <v>5.7371453941709137E-2</v>
      </c>
      <c r="M752">
        <f t="shared" si="101"/>
        <v>-0.43777529066809728</v>
      </c>
      <c r="N752">
        <f t="shared" si="102"/>
        <v>0</v>
      </c>
      <c r="O752">
        <f t="shared" si="103"/>
        <v>0.84360474688520348</v>
      </c>
      <c r="P752">
        <f t="shared" si="104"/>
        <v>13.20037016785029</v>
      </c>
      <c r="Q752">
        <f t="shared" si="105"/>
        <v>5.7804983492808215E-2</v>
      </c>
      <c r="R752">
        <f t="shared" si="106"/>
        <v>0</v>
      </c>
      <c r="S752">
        <f t="shared" si="107"/>
        <v>0</v>
      </c>
    </row>
    <row r="753" spans="1:19" x14ac:dyDescent="0.3">
      <c r="A753" t="s">
        <v>249</v>
      </c>
      <c r="B753">
        <v>2008</v>
      </c>
      <c r="C753">
        <v>2.1659270909397291E-3</v>
      </c>
      <c r="D753">
        <v>0.26876818513733641</v>
      </c>
      <c r="E753">
        <v>-0.11263045554120092</v>
      </c>
      <c r="F753">
        <v>0</v>
      </c>
      <c r="G753">
        <v>1.0377999213615683</v>
      </c>
      <c r="H753">
        <v>13.005998086273063</v>
      </c>
      <c r="I753">
        <v>0.24444504244406259</v>
      </c>
      <c r="J753">
        <v>0</v>
      </c>
      <c r="K753">
        <f t="shared" si="99"/>
        <v>2.1659270909397291E-3</v>
      </c>
      <c r="L753">
        <f t="shared" si="100"/>
        <v>0.26876818513733641</v>
      </c>
      <c r="M753">
        <f t="shared" si="101"/>
        <v>-0.11263045554120092</v>
      </c>
      <c r="N753">
        <f t="shared" si="102"/>
        <v>0</v>
      </c>
      <c r="O753">
        <f t="shared" si="103"/>
        <v>1.0377999213615683</v>
      </c>
      <c r="P753">
        <f t="shared" si="104"/>
        <v>13.005998086273063</v>
      </c>
      <c r="Q753">
        <f t="shared" si="105"/>
        <v>0.24444504244406259</v>
      </c>
      <c r="R753">
        <f t="shared" si="106"/>
        <v>0</v>
      </c>
      <c r="S753">
        <f t="shared" si="107"/>
        <v>0</v>
      </c>
    </row>
    <row r="754" spans="1:19" x14ac:dyDescent="0.3">
      <c r="A754" t="s">
        <v>249</v>
      </c>
      <c r="B754">
        <v>2009</v>
      </c>
      <c r="C754">
        <v>8.1313638965640027E-3</v>
      </c>
      <c r="D754">
        <v>0.97045168734815668</v>
      </c>
      <c r="E754">
        <v>-9.6019057320706577E-2</v>
      </c>
      <c r="F754">
        <v>0.43014193827555586</v>
      </c>
      <c r="G754">
        <v>0.81678062896370185</v>
      </c>
      <c r="H754">
        <v>13.002935489720246</v>
      </c>
      <c r="I754">
        <v>0.31245059923784946</v>
      </c>
      <c r="J754">
        <v>0</v>
      </c>
      <c r="K754">
        <f t="shared" si="99"/>
        <v>8.1313638965640027E-3</v>
      </c>
      <c r="L754">
        <f t="shared" si="100"/>
        <v>0.97045168734815668</v>
      </c>
      <c r="M754">
        <f t="shared" si="101"/>
        <v>-9.6019057320706577E-2</v>
      </c>
      <c r="N754">
        <f t="shared" si="102"/>
        <v>0.43014193827555586</v>
      </c>
      <c r="O754">
        <f t="shared" si="103"/>
        <v>0.81678062896370185</v>
      </c>
      <c r="P754">
        <f t="shared" si="104"/>
        <v>13.002935489720246</v>
      </c>
      <c r="Q754">
        <f t="shared" si="105"/>
        <v>0.31245059923784946</v>
      </c>
      <c r="R754">
        <f t="shared" si="106"/>
        <v>0</v>
      </c>
      <c r="S754">
        <f t="shared" si="107"/>
        <v>0</v>
      </c>
    </row>
    <row r="755" spans="1:19" x14ac:dyDescent="0.3">
      <c r="A755" t="s">
        <v>249</v>
      </c>
      <c r="B755">
        <v>2010</v>
      </c>
      <c r="C755">
        <v>1.6907555801464452E-3</v>
      </c>
      <c r="D755">
        <v>2.1303045378502469E-2</v>
      </c>
      <c r="E755">
        <v>-0.13915844540723582</v>
      </c>
      <c r="F755">
        <v>0.30020410174454154</v>
      </c>
      <c r="G755">
        <v>0.73323132599643559</v>
      </c>
      <c r="H755">
        <v>13.643804853089463</v>
      </c>
      <c r="I755">
        <v>9.9475828117018134E-3</v>
      </c>
      <c r="J755">
        <v>0</v>
      </c>
      <c r="K755">
        <f t="shared" si="99"/>
        <v>1.6907555801464452E-3</v>
      </c>
      <c r="L755">
        <f t="shared" si="100"/>
        <v>2.1303045378502469E-2</v>
      </c>
      <c r="M755">
        <f t="shared" si="101"/>
        <v>-0.13915844540723582</v>
      </c>
      <c r="N755">
        <f t="shared" si="102"/>
        <v>0.30020410174454154</v>
      </c>
      <c r="O755">
        <f t="shared" si="103"/>
        <v>0.73323132599643559</v>
      </c>
      <c r="P755">
        <f t="shared" si="104"/>
        <v>13.643804853089463</v>
      </c>
      <c r="Q755">
        <f t="shared" si="105"/>
        <v>9.9475828117018134E-3</v>
      </c>
      <c r="R755">
        <f t="shared" si="106"/>
        <v>0</v>
      </c>
      <c r="S755">
        <f t="shared" si="107"/>
        <v>0</v>
      </c>
    </row>
    <row r="756" spans="1:19" x14ac:dyDescent="0.3">
      <c r="A756" t="s">
        <v>250</v>
      </c>
      <c r="B756">
        <v>2010</v>
      </c>
      <c r="C756">
        <v>2.3898195322635069E-2</v>
      </c>
      <c r="D756">
        <v>0.26678528789399819</v>
      </c>
      <c r="E756">
        <v>0.28197778192276768</v>
      </c>
      <c r="F756">
        <v>1.6829648600332391E-2</v>
      </c>
      <c r="G756">
        <v>1.1114595755204348</v>
      </c>
      <c r="H756">
        <v>15.560490739854195</v>
      </c>
      <c r="I756">
        <v>9.1629287312542107E-3</v>
      </c>
      <c r="J756">
        <v>4.2345612516565406E-2</v>
      </c>
      <c r="K756">
        <f t="shared" si="99"/>
        <v>2.3898195322635069E-2</v>
      </c>
      <c r="L756">
        <f t="shared" si="100"/>
        <v>0.26678528789399819</v>
      </c>
      <c r="M756">
        <f t="shared" si="101"/>
        <v>0.28197778192276768</v>
      </c>
      <c r="N756">
        <f t="shared" si="102"/>
        <v>1.6829648600332391E-2</v>
      </c>
      <c r="O756">
        <f t="shared" si="103"/>
        <v>1.1114595755204348</v>
      </c>
      <c r="P756">
        <f t="shared" si="104"/>
        <v>15.560490739854195</v>
      </c>
      <c r="Q756">
        <f t="shared" si="105"/>
        <v>9.1629287312542107E-3</v>
      </c>
      <c r="R756">
        <f t="shared" si="106"/>
        <v>4.2345612516565406E-2</v>
      </c>
      <c r="S756">
        <f t="shared" si="107"/>
        <v>0</v>
      </c>
    </row>
    <row r="757" spans="1:19" x14ac:dyDescent="0.3">
      <c r="A757" t="s">
        <v>251</v>
      </c>
      <c r="B757">
        <v>2007</v>
      </c>
      <c r="C757">
        <v>1.7519888664517366E-2</v>
      </c>
      <c r="D757">
        <v>9.5505421328276732E-2</v>
      </c>
      <c r="E757">
        <v>-0.25514220500744128</v>
      </c>
      <c r="F757">
        <v>5.1901840342696987E-2</v>
      </c>
      <c r="G757">
        <v>0.97558380517738963</v>
      </c>
      <c r="H757">
        <v>13.627356424717805</v>
      </c>
      <c r="I757">
        <v>4.3144792464901646E-3</v>
      </c>
      <c r="J757">
        <v>2.1950857406332267E-2</v>
      </c>
      <c r="K757">
        <f t="shared" si="99"/>
        <v>1.7519888664517366E-2</v>
      </c>
      <c r="L757">
        <f t="shared" si="100"/>
        <v>9.5505421328276732E-2</v>
      </c>
      <c r="M757">
        <f t="shared" si="101"/>
        <v>-0.25514220500744128</v>
      </c>
      <c r="N757">
        <f t="shared" si="102"/>
        <v>5.1901840342696987E-2</v>
      </c>
      <c r="O757">
        <f t="shared" si="103"/>
        <v>0.97558380517738963</v>
      </c>
      <c r="P757">
        <f t="shared" si="104"/>
        <v>13.627356424717805</v>
      </c>
      <c r="Q757">
        <f t="shared" si="105"/>
        <v>4.3144792464901646E-3</v>
      </c>
      <c r="R757">
        <f t="shared" si="106"/>
        <v>2.1950857406332267E-2</v>
      </c>
      <c r="S757">
        <f t="shared" si="107"/>
        <v>0</v>
      </c>
    </row>
    <row r="758" spans="1:19" x14ac:dyDescent="0.3">
      <c r="A758" t="s">
        <v>251</v>
      </c>
      <c r="B758">
        <v>2010</v>
      </c>
      <c r="C758">
        <v>1.1273555902777012E-2</v>
      </c>
      <c r="D758">
        <v>8.5442556764464106E-2</v>
      </c>
      <c r="E758">
        <v>8.4604009599767282E-3</v>
      </c>
      <c r="F758">
        <v>0.35050830723662896</v>
      </c>
      <c r="G758">
        <v>0.78422385352641588</v>
      </c>
      <c r="H758">
        <v>13.718473087251542</v>
      </c>
      <c r="I758">
        <v>8.6454858458617084E-4</v>
      </c>
      <c r="J758">
        <v>0</v>
      </c>
      <c r="K758">
        <f t="shared" si="99"/>
        <v>1.1273555902777012E-2</v>
      </c>
      <c r="L758">
        <f t="shared" si="100"/>
        <v>8.5442556764464106E-2</v>
      </c>
      <c r="M758">
        <f t="shared" si="101"/>
        <v>8.4604009599767282E-3</v>
      </c>
      <c r="N758">
        <f t="shared" si="102"/>
        <v>0.35050830723662896</v>
      </c>
      <c r="O758">
        <f t="shared" si="103"/>
        <v>0.78422385352641588</v>
      </c>
      <c r="P758">
        <f t="shared" si="104"/>
        <v>13.718473087251542</v>
      </c>
      <c r="Q758">
        <f t="shared" si="105"/>
        <v>8.6454858458617084E-4</v>
      </c>
      <c r="R758">
        <f t="shared" si="106"/>
        <v>0</v>
      </c>
      <c r="S758">
        <f t="shared" si="107"/>
        <v>0</v>
      </c>
    </row>
    <row r="759" spans="1:19" x14ac:dyDescent="0.3">
      <c r="A759" t="s">
        <v>252</v>
      </c>
      <c r="B759">
        <v>2007</v>
      </c>
      <c r="C759">
        <v>4.9474478918861239E-2</v>
      </c>
      <c r="D759">
        <v>0.15763147528139734</v>
      </c>
      <c r="E759">
        <v>7.4009271622884815E-2</v>
      </c>
      <c r="F759">
        <v>0.2183859658354656</v>
      </c>
      <c r="G759">
        <v>1.34398700247979</v>
      </c>
      <c r="H759">
        <v>14.12905114844032</v>
      </c>
      <c r="I759">
        <v>6.8150353854571147E-3</v>
      </c>
      <c r="J759">
        <v>0</v>
      </c>
      <c r="K759">
        <f t="shared" si="99"/>
        <v>4.9474478918861239E-2</v>
      </c>
      <c r="L759">
        <f t="shared" si="100"/>
        <v>0.15763147528139734</v>
      </c>
      <c r="M759">
        <f t="shared" si="101"/>
        <v>7.4009271622884815E-2</v>
      </c>
      <c r="N759">
        <f t="shared" si="102"/>
        <v>0.2183859658354656</v>
      </c>
      <c r="O759">
        <f t="shared" si="103"/>
        <v>1.34398700247979</v>
      </c>
      <c r="P759">
        <f t="shared" si="104"/>
        <v>14.12905114844032</v>
      </c>
      <c r="Q759">
        <f t="shared" si="105"/>
        <v>6.8150353854571147E-3</v>
      </c>
      <c r="R759">
        <f t="shared" si="106"/>
        <v>0</v>
      </c>
      <c r="S759">
        <f t="shared" si="107"/>
        <v>0</v>
      </c>
    </row>
    <row r="760" spans="1:19" x14ac:dyDescent="0.3">
      <c r="A760" t="s">
        <v>252</v>
      </c>
      <c r="B760">
        <v>2009</v>
      </c>
      <c r="C760">
        <v>2.5960932886967755E-2</v>
      </c>
      <c r="D760">
        <v>4.7109102813265462E-2</v>
      </c>
      <c r="E760">
        <v>1.3961068433026113E-2</v>
      </c>
      <c r="F760">
        <v>0.59639370230538913</v>
      </c>
      <c r="G760">
        <v>0.91719838938976361</v>
      </c>
      <c r="H760">
        <v>15.555183611349548</v>
      </c>
      <c r="I760">
        <v>4.0337878718325684E-3</v>
      </c>
      <c r="J760">
        <v>0</v>
      </c>
      <c r="K760">
        <f t="shared" si="99"/>
        <v>2.5960932886967755E-2</v>
      </c>
      <c r="L760">
        <f t="shared" si="100"/>
        <v>4.7109102813265462E-2</v>
      </c>
      <c r="M760">
        <f t="shared" si="101"/>
        <v>1.3961068433026113E-2</v>
      </c>
      <c r="N760">
        <f t="shared" si="102"/>
        <v>0.59639370230538913</v>
      </c>
      <c r="O760">
        <f t="shared" si="103"/>
        <v>0.91719838938976361</v>
      </c>
      <c r="P760">
        <f t="shared" si="104"/>
        <v>15.555183611349548</v>
      </c>
      <c r="Q760">
        <f t="shared" si="105"/>
        <v>4.0337878718325684E-3</v>
      </c>
      <c r="R760">
        <f t="shared" si="106"/>
        <v>0</v>
      </c>
      <c r="S760">
        <f t="shared" si="107"/>
        <v>0</v>
      </c>
    </row>
    <row r="761" spans="1:19" x14ac:dyDescent="0.3">
      <c r="A761" t="s">
        <v>252</v>
      </c>
      <c r="B761">
        <v>2010</v>
      </c>
      <c r="C761">
        <v>1.3350331202921058E-2</v>
      </c>
      <c r="D761">
        <v>6.377377548615705E-2</v>
      </c>
      <c r="E761">
        <v>2.2625574600867119E-3</v>
      </c>
      <c r="F761">
        <v>0.59819730068909516</v>
      </c>
      <c r="G761">
        <v>0.89288177063665342</v>
      </c>
      <c r="H761">
        <v>15.544546036575849</v>
      </c>
      <c r="I761">
        <v>3.4395638941317648E-3</v>
      </c>
      <c r="J761">
        <v>0</v>
      </c>
      <c r="K761">
        <f t="shared" si="99"/>
        <v>1.3350331202921058E-2</v>
      </c>
      <c r="L761">
        <f t="shared" si="100"/>
        <v>6.377377548615705E-2</v>
      </c>
      <c r="M761">
        <f t="shared" si="101"/>
        <v>2.2625574600867119E-3</v>
      </c>
      <c r="N761">
        <f t="shared" si="102"/>
        <v>0.59819730068909516</v>
      </c>
      <c r="O761">
        <f t="shared" si="103"/>
        <v>0.89288177063665342</v>
      </c>
      <c r="P761">
        <f t="shared" si="104"/>
        <v>15.544546036575849</v>
      </c>
      <c r="Q761">
        <f t="shared" si="105"/>
        <v>3.4395638941317648E-3</v>
      </c>
      <c r="R761">
        <f t="shared" si="106"/>
        <v>0</v>
      </c>
      <c r="S761">
        <f t="shared" si="107"/>
        <v>0</v>
      </c>
    </row>
    <row r="762" spans="1:19" x14ac:dyDescent="0.3">
      <c r="A762" t="s">
        <v>253</v>
      </c>
      <c r="B762">
        <v>2007</v>
      </c>
      <c r="C762">
        <v>1.1817471612164844E-2</v>
      </c>
      <c r="D762">
        <v>0.13841952798225779</v>
      </c>
      <c r="E762">
        <v>-0.1820392181954594</v>
      </c>
      <c r="F762">
        <v>0.12788070865613541</v>
      </c>
      <c r="G762">
        <v>1.0612727285861863</v>
      </c>
      <c r="H762">
        <v>13.784008538899284</v>
      </c>
      <c r="I762">
        <v>3.1351567550200361E-2</v>
      </c>
      <c r="J762">
        <v>1.1919639954633129E-2</v>
      </c>
      <c r="K762">
        <f t="shared" si="99"/>
        <v>1.1817471612164844E-2</v>
      </c>
      <c r="L762">
        <f t="shared" si="100"/>
        <v>0.13841952798225779</v>
      </c>
      <c r="M762">
        <f t="shared" si="101"/>
        <v>-0.1820392181954594</v>
      </c>
      <c r="N762">
        <f t="shared" si="102"/>
        <v>0.12788070865613541</v>
      </c>
      <c r="O762">
        <f t="shared" si="103"/>
        <v>1.0612727285861863</v>
      </c>
      <c r="P762">
        <f t="shared" si="104"/>
        <v>13.784008538899284</v>
      </c>
      <c r="Q762">
        <f t="shared" si="105"/>
        <v>3.1351567550200361E-2</v>
      </c>
      <c r="R762">
        <f t="shared" si="106"/>
        <v>1.1919639954633129E-2</v>
      </c>
      <c r="S762">
        <f t="shared" si="107"/>
        <v>0</v>
      </c>
    </row>
    <row r="763" spans="1:19" x14ac:dyDescent="0.3">
      <c r="A763" t="s">
        <v>253</v>
      </c>
      <c r="B763">
        <v>2008</v>
      </c>
      <c r="C763">
        <v>5.0697302436697022E-3</v>
      </c>
      <c r="D763">
        <v>5.8615967075929247E-2</v>
      </c>
      <c r="E763">
        <v>-9.5732776818598389E-2</v>
      </c>
      <c r="F763">
        <v>0.13324431843535151</v>
      </c>
      <c r="G763">
        <v>0.68447605350504748</v>
      </c>
      <c r="H763">
        <v>13.96853031282261</v>
      </c>
      <c r="I763">
        <v>1.4349111433906466E-2</v>
      </c>
      <c r="J763">
        <v>0</v>
      </c>
      <c r="K763">
        <f t="shared" si="99"/>
        <v>5.0697302436697022E-3</v>
      </c>
      <c r="L763">
        <f t="shared" si="100"/>
        <v>5.8615967075929247E-2</v>
      </c>
      <c r="M763">
        <f t="shared" si="101"/>
        <v>-9.5732776818598389E-2</v>
      </c>
      <c r="N763">
        <f t="shared" si="102"/>
        <v>0.13324431843535151</v>
      </c>
      <c r="O763">
        <f t="shared" si="103"/>
        <v>0.68447605350504748</v>
      </c>
      <c r="P763">
        <f t="shared" si="104"/>
        <v>13.96853031282261</v>
      </c>
      <c r="Q763">
        <f t="shared" si="105"/>
        <v>1.4349111433906466E-2</v>
      </c>
      <c r="R763">
        <f t="shared" si="106"/>
        <v>0</v>
      </c>
      <c r="S763">
        <f t="shared" si="107"/>
        <v>0</v>
      </c>
    </row>
    <row r="764" spans="1:19" x14ac:dyDescent="0.3">
      <c r="A764" t="s">
        <v>253</v>
      </c>
      <c r="B764">
        <v>2009</v>
      </c>
      <c r="C764">
        <v>7.7283640654703875E-3</v>
      </c>
      <c r="D764">
        <v>0.10425080051495723</v>
      </c>
      <c r="E764">
        <v>9.0526084730813071E-5</v>
      </c>
      <c r="F764">
        <v>0.2047724070084814</v>
      </c>
      <c r="G764">
        <v>0.75242475319625168</v>
      </c>
      <c r="H764">
        <v>14.037260338430995</v>
      </c>
      <c r="I764">
        <v>3.9944855449443609E-2</v>
      </c>
      <c r="J764">
        <v>0</v>
      </c>
      <c r="K764">
        <f t="shared" si="99"/>
        <v>7.7283640654703875E-3</v>
      </c>
      <c r="L764">
        <f t="shared" si="100"/>
        <v>0.10425080051495723</v>
      </c>
      <c r="M764">
        <f t="shared" si="101"/>
        <v>9.0526084730813071E-5</v>
      </c>
      <c r="N764">
        <f t="shared" si="102"/>
        <v>0.2047724070084814</v>
      </c>
      <c r="O764">
        <f t="shared" si="103"/>
        <v>0.75242475319625168</v>
      </c>
      <c r="P764">
        <f t="shared" si="104"/>
        <v>14.037260338430995</v>
      </c>
      <c r="Q764">
        <f t="shared" si="105"/>
        <v>3.9944855449443609E-2</v>
      </c>
      <c r="R764">
        <f t="shared" si="106"/>
        <v>0</v>
      </c>
      <c r="S764">
        <f t="shared" si="107"/>
        <v>0</v>
      </c>
    </row>
    <row r="765" spans="1:19" x14ac:dyDescent="0.3">
      <c r="A765" t="s">
        <v>253</v>
      </c>
      <c r="B765">
        <v>2010</v>
      </c>
      <c r="C765">
        <v>1.0665463052992463E-2</v>
      </c>
      <c r="D765">
        <v>0.21588623506076807</v>
      </c>
      <c r="E765">
        <v>1.7450444357657906E-2</v>
      </c>
      <c r="F765">
        <v>9.7636320605753751E-2</v>
      </c>
      <c r="G765">
        <v>0.8942019477146117</v>
      </c>
      <c r="H765">
        <v>14.126503068731301</v>
      </c>
      <c r="I765">
        <v>1.2259856185287448E-2</v>
      </c>
      <c r="J765">
        <v>2.9620180263617773E-2</v>
      </c>
      <c r="K765">
        <f t="shared" si="99"/>
        <v>1.0665463052992463E-2</v>
      </c>
      <c r="L765">
        <f t="shared" si="100"/>
        <v>0.21588623506076807</v>
      </c>
      <c r="M765">
        <f t="shared" si="101"/>
        <v>1.7450444357657906E-2</v>
      </c>
      <c r="N765">
        <f t="shared" si="102"/>
        <v>9.7636320605753751E-2</v>
      </c>
      <c r="O765">
        <f t="shared" si="103"/>
        <v>0.8942019477146117</v>
      </c>
      <c r="P765">
        <f t="shared" si="104"/>
        <v>14.126503068731301</v>
      </c>
      <c r="Q765">
        <f t="shared" si="105"/>
        <v>1.2259856185287448E-2</v>
      </c>
      <c r="R765">
        <f t="shared" si="106"/>
        <v>2.9620180263617773E-2</v>
      </c>
      <c r="S765">
        <f t="shared" si="107"/>
        <v>0</v>
      </c>
    </row>
    <row r="766" spans="1:19" x14ac:dyDescent="0.3">
      <c r="A766" t="s">
        <v>254</v>
      </c>
      <c r="B766">
        <v>2007</v>
      </c>
      <c r="C766">
        <v>4.0837204524820911E-2</v>
      </c>
      <c r="D766">
        <v>0.40405050331011721</v>
      </c>
      <c r="E766">
        <v>0.74253235565039333</v>
      </c>
      <c r="F766">
        <v>6.032928873897456E-3</v>
      </c>
      <c r="G766">
        <v>2.2902623243053393</v>
      </c>
      <c r="H766">
        <v>14.003820813319054</v>
      </c>
      <c r="I766">
        <v>3.3947577437789436E-2</v>
      </c>
      <c r="J766">
        <v>3.4791021928284108E-2</v>
      </c>
      <c r="K766">
        <f t="shared" si="99"/>
        <v>4.0837204524820911E-2</v>
      </c>
      <c r="L766">
        <f t="shared" si="100"/>
        <v>0.40405050331011721</v>
      </c>
      <c r="M766">
        <f t="shared" si="101"/>
        <v>0.74253235565039333</v>
      </c>
      <c r="N766">
        <f t="shared" si="102"/>
        <v>6.032928873897456E-3</v>
      </c>
      <c r="O766">
        <f t="shared" si="103"/>
        <v>2.2902623243053393</v>
      </c>
      <c r="P766">
        <f t="shared" si="104"/>
        <v>14.003820813319054</v>
      </c>
      <c r="Q766">
        <f t="shared" si="105"/>
        <v>3.3947577437789436E-2</v>
      </c>
      <c r="R766">
        <f t="shared" si="106"/>
        <v>3.4791021928284108E-2</v>
      </c>
      <c r="S766">
        <f t="shared" si="107"/>
        <v>0</v>
      </c>
    </row>
    <row r="767" spans="1:19" x14ac:dyDescent="0.3">
      <c r="A767" t="s">
        <v>254</v>
      </c>
      <c r="B767">
        <v>2008</v>
      </c>
      <c r="C767">
        <v>0.11100879899315814</v>
      </c>
      <c r="D767">
        <v>0.30508137097936028</v>
      </c>
      <c r="E767">
        <v>0.63648225115050161</v>
      </c>
      <c r="F767">
        <v>5.6410597934669444E-3</v>
      </c>
      <c r="G767">
        <v>0.66270168776486005</v>
      </c>
      <c r="H767">
        <v>14.201814592936373</v>
      </c>
      <c r="I767">
        <v>2.0765108313034152E-2</v>
      </c>
      <c r="J767">
        <v>1.6309533193977432E-2</v>
      </c>
      <c r="K767">
        <f t="shared" si="99"/>
        <v>0.11100879899315814</v>
      </c>
      <c r="L767">
        <f t="shared" si="100"/>
        <v>0.30508137097936028</v>
      </c>
      <c r="M767">
        <f t="shared" si="101"/>
        <v>0.63648225115050161</v>
      </c>
      <c r="N767">
        <f t="shared" si="102"/>
        <v>5.6410597934669444E-3</v>
      </c>
      <c r="O767">
        <f t="shared" si="103"/>
        <v>0.66270168776486005</v>
      </c>
      <c r="P767">
        <f t="shared" si="104"/>
        <v>14.201814592936373</v>
      </c>
      <c r="Q767">
        <f t="shared" si="105"/>
        <v>2.0765108313034152E-2</v>
      </c>
      <c r="R767">
        <f t="shared" si="106"/>
        <v>1.6309533193977432E-2</v>
      </c>
      <c r="S767">
        <f t="shared" si="107"/>
        <v>0</v>
      </c>
    </row>
    <row r="768" spans="1:19" x14ac:dyDescent="0.3">
      <c r="A768" t="s">
        <v>254</v>
      </c>
      <c r="B768">
        <v>2009</v>
      </c>
      <c r="C768">
        <v>0.13499982949354797</v>
      </c>
      <c r="D768">
        <v>0.26161672423004373</v>
      </c>
      <c r="E768">
        <v>0.54961348879533301</v>
      </c>
      <c r="F768">
        <v>0</v>
      </c>
      <c r="G768">
        <v>1.1752036056431054</v>
      </c>
      <c r="H768">
        <v>14.329226600442512</v>
      </c>
      <c r="I768">
        <v>3.8331757141515085E-2</v>
      </c>
      <c r="J768">
        <v>3.4460251356423693E-2</v>
      </c>
      <c r="K768">
        <f t="shared" si="99"/>
        <v>0.13499982949354797</v>
      </c>
      <c r="L768">
        <f t="shared" si="100"/>
        <v>0.26161672423004373</v>
      </c>
      <c r="M768">
        <f t="shared" si="101"/>
        <v>0.54961348879533301</v>
      </c>
      <c r="N768">
        <f t="shared" si="102"/>
        <v>0</v>
      </c>
      <c r="O768">
        <f t="shared" si="103"/>
        <v>1.1752036056431054</v>
      </c>
      <c r="P768">
        <f t="shared" si="104"/>
        <v>14.329226600442512</v>
      </c>
      <c r="Q768">
        <f t="shared" si="105"/>
        <v>3.8331757141515085E-2</v>
      </c>
      <c r="R768">
        <f t="shared" si="106"/>
        <v>3.4460251356423693E-2</v>
      </c>
      <c r="S768">
        <f t="shared" si="107"/>
        <v>0</v>
      </c>
    </row>
    <row r="769" spans="1:19" x14ac:dyDescent="0.3">
      <c r="A769" t="s">
        <v>254</v>
      </c>
      <c r="B769">
        <v>2010</v>
      </c>
      <c r="C769">
        <v>8.9816768358638083E-2</v>
      </c>
      <c r="D769">
        <v>0.34009253465397205</v>
      </c>
      <c r="E769">
        <v>0.69724698936712159</v>
      </c>
      <c r="F769">
        <v>0</v>
      </c>
      <c r="G769">
        <v>1.1755367963656074</v>
      </c>
      <c r="H769">
        <v>14.580729531929428</v>
      </c>
      <c r="I769">
        <v>2.606396562039787E-2</v>
      </c>
      <c r="J769">
        <v>6.0294073176348537E-2</v>
      </c>
      <c r="K769">
        <f t="shared" si="99"/>
        <v>8.9816768358638083E-2</v>
      </c>
      <c r="L769">
        <f t="shared" si="100"/>
        <v>0.34009253465397205</v>
      </c>
      <c r="M769">
        <f t="shared" si="101"/>
        <v>0.69724698936712159</v>
      </c>
      <c r="N769">
        <f t="shared" si="102"/>
        <v>0</v>
      </c>
      <c r="O769">
        <f t="shared" si="103"/>
        <v>1.1755367963656074</v>
      </c>
      <c r="P769">
        <f t="shared" si="104"/>
        <v>14.580729531929428</v>
      </c>
      <c r="Q769">
        <f t="shared" si="105"/>
        <v>2.606396562039787E-2</v>
      </c>
      <c r="R769">
        <f t="shared" si="106"/>
        <v>6.0294073176348537E-2</v>
      </c>
      <c r="S769">
        <f t="shared" si="107"/>
        <v>0</v>
      </c>
    </row>
    <row r="770" spans="1:19" x14ac:dyDescent="0.3">
      <c r="A770" t="s">
        <v>255</v>
      </c>
      <c r="B770">
        <v>2007</v>
      </c>
      <c r="C770">
        <v>0.64220788047060418</v>
      </c>
      <c r="D770">
        <v>0.28455681214323419</v>
      </c>
      <c r="E770">
        <v>0.52821595275912558</v>
      </c>
      <c r="F770">
        <v>0</v>
      </c>
      <c r="G770">
        <v>2.1680957267491081</v>
      </c>
      <c r="H770">
        <v>15.736441010367386</v>
      </c>
      <c r="I770">
        <v>8.3986025414321541E-3</v>
      </c>
      <c r="J770">
        <v>0.11005611582193157</v>
      </c>
      <c r="K770" t="str">
        <f t="shared" si="99"/>
        <v>out</v>
      </c>
      <c r="L770">
        <f t="shared" si="100"/>
        <v>0.28455681214323419</v>
      </c>
      <c r="M770">
        <f t="shared" si="101"/>
        <v>0.52821595275912558</v>
      </c>
      <c r="N770">
        <f t="shared" si="102"/>
        <v>0</v>
      </c>
      <c r="O770">
        <f t="shared" si="103"/>
        <v>2.1680957267491081</v>
      </c>
      <c r="P770">
        <f t="shared" si="104"/>
        <v>15.736441010367386</v>
      </c>
      <c r="Q770">
        <f t="shared" si="105"/>
        <v>8.3986025414321541E-3</v>
      </c>
      <c r="R770">
        <f t="shared" si="106"/>
        <v>0.11005611582193157</v>
      </c>
      <c r="S770">
        <f t="shared" si="107"/>
        <v>0</v>
      </c>
    </row>
    <row r="771" spans="1:19" x14ac:dyDescent="0.3">
      <c r="A771" t="s">
        <v>255</v>
      </c>
      <c r="B771">
        <v>2009</v>
      </c>
      <c r="C771">
        <v>0.47725728460190137</v>
      </c>
      <c r="D771">
        <v>0.36411973924864011</v>
      </c>
      <c r="E771">
        <v>0.7068910130257805</v>
      </c>
      <c r="F771">
        <v>0</v>
      </c>
      <c r="G771">
        <v>1.650456371785167</v>
      </c>
      <c r="H771">
        <v>15.814375113852769</v>
      </c>
      <c r="I771">
        <v>6.0365553458573695E-3</v>
      </c>
      <c r="J771">
        <v>0.11634822904313172</v>
      </c>
      <c r="K771" t="str">
        <f t="shared" ref="K771:K834" si="108">IF(OR(C771&lt;$C$1007-3*$C$1008,C771&gt;$C$1007+3*$C$1008),"out",C771)</f>
        <v>out</v>
      </c>
      <c r="L771">
        <f t="shared" ref="L771:L834" si="109">IF(OR(D771&lt;$D$1007-3*$D$1008,D771&gt;$D$1007+3*$D$1008),"out",D771)</f>
        <v>0.36411973924864011</v>
      </c>
      <c r="M771">
        <f t="shared" ref="M771:M834" si="110">IF(OR(E771&lt;$E$1007-3*$E$1008,E771&gt;$E$1007+3*$E$1008),"out",E771)</f>
        <v>0.7068910130257805</v>
      </c>
      <c r="N771">
        <f t="shared" ref="N771:N834" si="111">IF(OR(F771&lt;$F$1007-3*$F$1008,F771&gt;$F$1007+3*$F$1008),"out",F771)</f>
        <v>0</v>
      </c>
      <c r="O771">
        <f t="shared" ref="O771:O834" si="112">IF(OR(G771&lt;$G$1007-3*$G$1008,G771&gt;$G$1007+3*$G$1008),"out",G771)</f>
        <v>1.650456371785167</v>
      </c>
      <c r="P771">
        <f t="shared" ref="P771:P834" si="113">IF(OR(H771&lt;$H$1007-3*$H$1008,H771&gt;$H$1007+3*$H$1008),"out",H771)</f>
        <v>15.814375113852769</v>
      </c>
      <c r="Q771">
        <f t="shared" ref="Q771:Q834" si="114">IF(OR(I771&lt;$I$1007-3*$I$1008,I771&gt;$I$1007+3*$I$1008),"out",I771)</f>
        <v>6.0365553458573695E-3</v>
      </c>
      <c r="R771">
        <f t="shared" ref="R771:R834" si="115">IF(OR(J771&lt;$J$1007-3*$J$1008,J771&gt;$J$1007+3*$J$1008),"out",J771)</f>
        <v>0.11634822904313172</v>
      </c>
      <c r="S771">
        <f t="shared" ref="S771:S834" si="116">IF(OR(K771="ot",L771="out",M771="out",N771="out",O771="out",P771="out",Q771="out",R771="out"),1,0)</f>
        <v>0</v>
      </c>
    </row>
    <row r="772" spans="1:19" x14ac:dyDescent="0.3">
      <c r="A772" t="s">
        <v>255</v>
      </c>
      <c r="B772">
        <v>2010</v>
      </c>
      <c r="C772">
        <v>0.40604376066538711</v>
      </c>
      <c r="D772">
        <v>0.38244913942506242</v>
      </c>
      <c r="E772">
        <v>0.78466099167848702</v>
      </c>
      <c r="F772">
        <v>0</v>
      </c>
      <c r="G772">
        <v>1.441388341533447</v>
      </c>
      <c r="H772">
        <v>15.852325613424227</v>
      </c>
      <c r="I772">
        <v>4.2874616159312165E-2</v>
      </c>
      <c r="J772">
        <v>0.11201549042714247</v>
      </c>
      <c r="K772" t="str">
        <f t="shared" si="108"/>
        <v>out</v>
      </c>
      <c r="L772">
        <f t="shared" si="109"/>
        <v>0.38244913942506242</v>
      </c>
      <c r="M772">
        <f t="shared" si="110"/>
        <v>0.78466099167848702</v>
      </c>
      <c r="N772">
        <f t="shared" si="111"/>
        <v>0</v>
      </c>
      <c r="O772">
        <f t="shared" si="112"/>
        <v>1.441388341533447</v>
      </c>
      <c r="P772">
        <f t="shared" si="113"/>
        <v>15.852325613424227</v>
      </c>
      <c r="Q772">
        <f t="shared" si="114"/>
        <v>4.2874616159312165E-2</v>
      </c>
      <c r="R772">
        <f t="shared" si="115"/>
        <v>0.11201549042714247</v>
      </c>
      <c r="S772">
        <f t="shared" si="116"/>
        <v>0</v>
      </c>
    </row>
    <row r="773" spans="1:19" x14ac:dyDescent="0.3">
      <c r="A773" t="s">
        <v>256</v>
      </c>
      <c r="B773">
        <v>2007</v>
      </c>
      <c r="C773">
        <v>4.9654282998032422E-2</v>
      </c>
      <c r="D773">
        <v>0.20675889317596213</v>
      </c>
      <c r="E773">
        <v>3.3105944849465468E-2</v>
      </c>
      <c r="F773">
        <v>0.22668230845212528</v>
      </c>
      <c r="G773">
        <v>1.7598544572468162</v>
      </c>
      <c r="H773">
        <v>13.534793506673784</v>
      </c>
      <c r="I773">
        <v>9.4805271977441014E-3</v>
      </c>
      <c r="J773">
        <v>4.8306370673241159E-2</v>
      </c>
      <c r="K773">
        <f t="shared" si="108"/>
        <v>4.9654282998032422E-2</v>
      </c>
      <c r="L773">
        <f t="shared" si="109"/>
        <v>0.20675889317596213</v>
      </c>
      <c r="M773">
        <f t="shared" si="110"/>
        <v>3.3105944849465468E-2</v>
      </c>
      <c r="N773">
        <f t="shared" si="111"/>
        <v>0.22668230845212528</v>
      </c>
      <c r="O773">
        <f t="shared" si="112"/>
        <v>1.7598544572468162</v>
      </c>
      <c r="P773">
        <f t="shared" si="113"/>
        <v>13.534793506673784</v>
      </c>
      <c r="Q773">
        <f t="shared" si="114"/>
        <v>9.4805271977441014E-3</v>
      </c>
      <c r="R773">
        <f t="shared" si="115"/>
        <v>4.8306370673241159E-2</v>
      </c>
      <c r="S773">
        <f t="shared" si="116"/>
        <v>0</v>
      </c>
    </row>
    <row r="774" spans="1:19" x14ac:dyDescent="0.3">
      <c r="A774" t="s">
        <v>256</v>
      </c>
      <c r="B774">
        <v>2008</v>
      </c>
      <c r="C774">
        <v>4.0832460455310852E-2</v>
      </c>
      <c r="D774">
        <v>0.16557888386523648</v>
      </c>
      <c r="E774">
        <v>5.1573832221794992E-2</v>
      </c>
      <c r="F774">
        <v>0.25937901910608452</v>
      </c>
      <c r="G774">
        <v>1.0598962573421198</v>
      </c>
      <c r="H774">
        <v>14.003429752046699</v>
      </c>
      <c r="I774">
        <v>1.3270344836050076E-2</v>
      </c>
      <c r="J774">
        <v>4.3460210021081663E-2</v>
      </c>
      <c r="K774">
        <f t="shared" si="108"/>
        <v>4.0832460455310852E-2</v>
      </c>
      <c r="L774">
        <f t="shared" si="109"/>
        <v>0.16557888386523648</v>
      </c>
      <c r="M774">
        <f t="shared" si="110"/>
        <v>5.1573832221794992E-2</v>
      </c>
      <c r="N774">
        <f t="shared" si="111"/>
        <v>0.25937901910608452</v>
      </c>
      <c r="O774">
        <f t="shared" si="112"/>
        <v>1.0598962573421198</v>
      </c>
      <c r="P774">
        <f t="shared" si="113"/>
        <v>14.003429752046699</v>
      </c>
      <c r="Q774">
        <f t="shared" si="114"/>
        <v>1.3270344836050076E-2</v>
      </c>
      <c r="R774">
        <f t="shared" si="115"/>
        <v>4.3460210021081663E-2</v>
      </c>
      <c r="S774">
        <f t="shared" si="116"/>
        <v>0</v>
      </c>
    </row>
    <row r="775" spans="1:19" x14ac:dyDescent="0.3">
      <c r="A775" t="s">
        <v>256</v>
      </c>
      <c r="B775">
        <v>2009</v>
      </c>
      <c r="C775">
        <v>2.3557786781319128E-2</v>
      </c>
      <c r="D775">
        <v>0.25762721261938093</v>
      </c>
      <c r="E775">
        <v>0.12493650274658745</v>
      </c>
      <c r="F775">
        <v>8.4485796591899587E-2</v>
      </c>
      <c r="G775">
        <v>1.4564467793133082</v>
      </c>
      <c r="H775">
        <v>14.019618883454459</v>
      </c>
      <c r="I775">
        <v>1.29012016579622E-2</v>
      </c>
      <c r="J775">
        <v>5.7015845163731184E-2</v>
      </c>
      <c r="K775">
        <f t="shared" si="108"/>
        <v>2.3557786781319128E-2</v>
      </c>
      <c r="L775">
        <f t="shared" si="109"/>
        <v>0.25762721261938093</v>
      </c>
      <c r="M775">
        <f t="shared" si="110"/>
        <v>0.12493650274658745</v>
      </c>
      <c r="N775">
        <f t="shared" si="111"/>
        <v>8.4485796591899587E-2</v>
      </c>
      <c r="O775">
        <f t="shared" si="112"/>
        <v>1.4564467793133082</v>
      </c>
      <c r="P775">
        <f t="shared" si="113"/>
        <v>14.019618883454459</v>
      </c>
      <c r="Q775">
        <f t="shared" si="114"/>
        <v>1.29012016579622E-2</v>
      </c>
      <c r="R775">
        <f t="shared" si="115"/>
        <v>5.7015845163731184E-2</v>
      </c>
      <c r="S775">
        <f t="shared" si="116"/>
        <v>0</v>
      </c>
    </row>
    <row r="776" spans="1:19" x14ac:dyDescent="0.3">
      <c r="A776" t="s">
        <v>256</v>
      </c>
      <c r="B776">
        <v>2010</v>
      </c>
      <c r="C776">
        <v>1.9729315560722355E-2</v>
      </c>
      <c r="D776">
        <v>0.26124879453611105</v>
      </c>
      <c r="E776">
        <v>0.1400716012523614</v>
      </c>
      <c r="F776">
        <v>0.11532689538555028</v>
      </c>
      <c r="G776">
        <v>1.4889848805104562</v>
      </c>
      <c r="H776">
        <v>14.230226082075347</v>
      </c>
      <c r="I776">
        <v>1.6388001079947551E-2</v>
      </c>
      <c r="J776">
        <v>5.5425578292402605E-2</v>
      </c>
      <c r="K776">
        <f t="shared" si="108"/>
        <v>1.9729315560722355E-2</v>
      </c>
      <c r="L776">
        <f t="shared" si="109"/>
        <v>0.26124879453611105</v>
      </c>
      <c r="M776">
        <f t="shared" si="110"/>
        <v>0.1400716012523614</v>
      </c>
      <c r="N776">
        <f t="shared" si="111"/>
        <v>0.11532689538555028</v>
      </c>
      <c r="O776">
        <f t="shared" si="112"/>
        <v>1.4889848805104562</v>
      </c>
      <c r="P776">
        <f t="shared" si="113"/>
        <v>14.230226082075347</v>
      </c>
      <c r="Q776">
        <f t="shared" si="114"/>
        <v>1.6388001079947551E-2</v>
      </c>
      <c r="R776">
        <f t="shared" si="115"/>
        <v>5.5425578292402605E-2</v>
      </c>
      <c r="S776">
        <f t="shared" si="116"/>
        <v>0</v>
      </c>
    </row>
    <row r="777" spans="1:19" x14ac:dyDescent="0.3">
      <c r="A777" t="s">
        <v>257</v>
      </c>
      <c r="B777">
        <v>2007</v>
      </c>
      <c r="C777">
        <v>0.1144287199447033</v>
      </c>
      <c r="D777">
        <v>0.15711394493597763</v>
      </c>
      <c r="E777">
        <v>6.1447656329226934E-2</v>
      </c>
      <c r="F777">
        <v>5.7963117694012863E-2</v>
      </c>
      <c r="G777">
        <v>0.74732856558924776</v>
      </c>
      <c r="H777">
        <v>15.899522265508837</v>
      </c>
      <c r="I777">
        <v>4.8594982942407119E-3</v>
      </c>
      <c r="J777">
        <v>3.0706221314989027E-2</v>
      </c>
      <c r="K777">
        <f t="shared" si="108"/>
        <v>0.1144287199447033</v>
      </c>
      <c r="L777">
        <f t="shared" si="109"/>
        <v>0.15711394493597763</v>
      </c>
      <c r="M777">
        <f t="shared" si="110"/>
        <v>6.1447656329226934E-2</v>
      </c>
      <c r="N777">
        <f t="shared" si="111"/>
        <v>5.7963117694012863E-2</v>
      </c>
      <c r="O777">
        <f t="shared" si="112"/>
        <v>0.74732856558924776</v>
      </c>
      <c r="P777">
        <f t="shared" si="113"/>
        <v>15.899522265508837</v>
      </c>
      <c r="Q777">
        <f t="shared" si="114"/>
        <v>4.8594982942407119E-3</v>
      </c>
      <c r="R777">
        <f t="shared" si="115"/>
        <v>3.0706221314989027E-2</v>
      </c>
      <c r="S777">
        <f t="shared" si="116"/>
        <v>0</v>
      </c>
    </row>
    <row r="778" spans="1:19" x14ac:dyDescent="0.3">
      <c r="A778" t="s">
        <v>257</v>
      </c>
      <c r="B778">
        <v>2009</v>
      </c>
      <c r="C778">
        <v>8.6228955622219342E-2</v>
      </c>
      <c r="D778">
        <v>8.9649791149915864E-2</v>
      </c>
      <c r="E778">
        <v>0.11100630255886573</v>
      </c>
      <c r="F778">
        <v>5.0808512471728448E-2</v>
      </c>
      <c r="G778">
        <v>1.4396791638896991</v>
      </c>
      <c r="H778">
        <v>15.814372675047144</v>
      </c>
      <c r="I778">
        <v>3.8505197545383112E-2</v>
      </c>
      <c r="J778">
        <v>1.9225399161835681E-2</v>
      </c>
      <c r="K778">
        <f t="shared" si="108"/>
        <v>8.6228955622219342E-2</v>
      </c>
      <c r="L778">
        <f t="shared" si="109"/>
        <v>8.9649791149915864E-2</v>
      </c>
      <c r="M778">
        <f t="shared" si="110"/>
        <v>0.11100630255886573</v>
      </c>
      <c r="N778">
        <f t="shared" si="111"/>
        <v>5.0808512471728448E-2</v>
      </c>
      <c r="O778">
        <f t="shared" si="112"/>
        <v>1.4396791638896991</v>
      </c>
      <c r="P778">
        <f t="shared" si="113"/>
        <v>15.814372675047144</v>
      </c>
      <c r="Q778">
        <f t="shared" si="114"/>
        <v>3.8505197545383112E-2</v>
      </c>
      <c r="R778">
        <f t="shared" si="115"/>
        <v>1.9225399161835681E-2</v>
      </c>
      <c r="S778">
        <f t="shared" si="116"/>
        <v>0</v>
      </c>
    </row>
    <row r="779" spans="1:19" x14ac:dyDescent="0.3">
      <c r="A779" t="s">
        <v>257</v>
      </c>
      <c r="B779">
        <v>2010</v>
      </c>
      <c r="C779">
        <v>0.1926671935994563</v>
      </c>
      <c r="D779">
        <v>0.17812213544832389</v>
      </c>
      <c r="E779">
        <v>0.20431666376446855</v>
      </c>
      <c r="F779">
        <v>6.0136517521845102E-2</v>
      </c>
      <c r="G779">
        <v>1.3410137315430761</v>
      </c>
      <c r="H779">
        <v>15.958193999281225</v>
      </c>
      <c r="I779">
        <v>5.0721818713777289E-3</v>
      </c>
      <c r="J779">
        <v>3.1912367071894876E-2</v>
      </c>
      <c r="K779">
        <f t="shared" si="108"/>
        <v>0.1926671935994563</v>
      </c>
      <c r="L779">
        <f t="shared" si="109"/>
        <v>0.17812213544832389</v>
      </c>
      <c r="M779">
        <f t="shared" si="110"/>
        <v>0.20431666376446855</v>
      </c>
      <c r="N779">
        <f t="shared" si="111"/>
        <v>6.0136517521845102E-2</v>
      </c>
      <c r="O779">
        <f t="shared" si="112"/>
        <v>1.3410137315430761</v>
      </c>
      <c r="P779">
        <f t="shared" si="113"/>
        <v>15.958193999281225</v>
      </c>
      <c r="Q779">
        <f t="shared" si="114"/>
        <v>5.0721818713777289E-3</v>
      </c>
      <c r="R779">
        <f t="shared" si="115"/>
        <v>3.1912367071894876E-2</v>
      </c>
      <c r="S779">
        <f t="shared" si="116"/>
        <v>0</v>
      </c>
    </row>
    <row r="780" spans="1:19" x14ac:dyDescent="0.3">
      <c r="A780" t="s">
        <v>258</v>
      </c>
      <c r="B780">
        <v>2007</v>
      </c>
      <c r="C780">
        <v>7.1362808788844295E-2</v>
      </c>
      <c r="D780">
        <v>0.23276678942359416</v>
      </c>
      <c r="E780">
        <v>0.34687590515992883</v>
      </c>
      <c r="F780">
        <v>3.181611288120164E-2</v>
      </c>
      <c r="G780">
        <v>1.5465469441800803</v>
      </c>
      <c r="H780">
        <v>13.781622799296917</v>
      </c>
      <c r="I780">
        <v>2.6855941696754312E-2</v>
      </c>
      <c r="J780">
        <v>2.7588240162204659E-2</v>
      </c>
      <c r="K780">
        <f t="shared" si="108"/>
        <v>7.1362808788844295E-2</v>
      </c>
      <c r="L780">
        <f t="shared" si="109"/>
        <v>0.23276678942359416</v>
      </c>
      <c r="M780">
        <f t="shared" si="110"/>
        <v>0.34687590515992883</v>
      </c>
      <c r="N780">
        <f t="shared" si="111"/>
        <v>3.181611288120164E-2</v>
      </c>
      <c r="O780">
        <f t="shared" si="112"/>
        <v>1.5465469441800803</v>
      </c>
      <c r="P780">
        <f t="shared" si="113"/>
        <v>13.781622799296917</v>
      </c>
      <c r="Q780">
        <f t="shared" si="114"/>
        <v>2.6855941696754312E-2</v>
      </c>
      <c r="R780">
        <f t="shared" si="115"/>
        <v>2.7588240162204659E-2</v>
      </c>
      <c r="S780">
        <f t="shared" si="116"/>
        <v>0</v>
      </c>
    </row>
    <row r="781" spans="1:19" x14ac:dyDescent="0.3">
      <c r="A781" t="s">
        <v>258</v>
      </c>
      <c r="B781">
        <v>2009</v>
      </c>
      <c r="C781">
        <v>3.1980059369077767E-2</v>
      </c>
      <c r="D781">
        <v>0.10108570781692858</v>
      </c>
      <c r="E781">
        <v>0.41211301088433094</v>
      </c>
      <c r="F781">
        <v>2.9035713686752646E-2</v>
      </c>
      <c r="G781">
        <v>0.246631297482684</v>
      </c>
      <c r="H781">
        <v>13.76845249284481</v>
      </c>
      <c r="I781">
        <v>3.3380846721446922E-2</v>
      </c>
      <c r="J781">
        <v>2.0964705586395425E-2</v>
      </c>
      <c r="K781">
        <f t="shared" si="108"/>
        <v>3.1980059369077767E-2</v>
      </c>
      <c r="L781">
        <f t="shared" si="109"/>
        <v>0.10108570781692858</v>
      </c>
      <c r="M781">
        <f t="shared" si="110"/>
        <v>0.41211301088433094</v>
      </c>
      <c r="N781">
        <f t="shared" si="111"/>
        <v>2.9035713686752646E-2</v>
      </c>
      <c r="O781">
        <f t="shared" si="112"/>
        <v>0.246631297482684</v>
      </c>
      <c r="P781">
        <f t="shared" si="113"/>
        <v>13.76845249284481</v>
      </c>
      <c r="Q781">
        <f t="shared" si="114"/>
        <v>3.3380846721446922E-2</v>
      </c>
      <c r="R781">
        <f t="shared" si="115"/>
        <v>2.0964705586395425E-2</v>
      </c>
      <c r="S781">
        <f t="shared" si="116"/>
        <v>0</v>
      </c>
    </row>
    <row r="782" spans="1:19" x14ac:dyDescent="0.3">
      <c r="A782" t="s">
        <v>258</v>
      </c>
      <c r="B782">
        <v>2010</v>
      </c>
      <c r="C782">
        <v>1.2243024581999183E-2</v>
      </c>
      <c r="D782">
        <v>0.19160427442496758</v>
      </c>
      <c r="E782">
        <v>0.43659533722474958</v>
      </c>
      <c r="F782">
        <v>1.957182551340679E-2</v>
      </c>
      <c r="G782">
        <v>0.68451918654167443</v>
      </c>
      <c r="H782">
        <v>13.826394116591247</v>
      </c>
      <c r="I782">
        <v>8.1202256108155735E-3</v>
      </c>
      <c r="J782">
        <v>2.6380320156527123E-2</v>
      </c>
      <c r="K782">
        <f t="shared" si="108"/>
        <v>1.2243024581999183E-2</v>
      </c>
      <c r="L782">
        <f t="shared" si="109"/>
        <v>0.19160427442496758</v>
      </c>
      <c r="M782">
        <f t="shared" si="110"/>
        <v>0.43659533722474958</v>
      </c>
      <c r="N782">
        <f t="shared" si="111"/>
        <v>1.957182551340679E-2</v>
      </c>
      <c r="O782">
        <f t="shared" si="112"/>
        <v>0.68451918654167443</v>
      </c>
      <c r="P782">
        <f t="shared" si="113"/>
        <v>13.826394116591247</v>
      </c>
      <c r="Q782">
        <f t="shared" si="114"/>
        <v>8.1202256108155735E-3</v>
      </c>
      <c r="R782">
        <f t="shared" si="115"/>
        <v>2.6380320156527123E-2</v>
      </c>
      <c r="S782">
        <f t="shared" si="116"/>
        <v>0</v>
      </c>
    </row>
    <row r="783" spans="1:19" x14ac:dyDescent="0.3">
      <c r="A783" t="s">
        <v>259</v>
      </c>
      <c r="B783">
        <v>2007</v>
      </c>
      <c r="C783">
        <v>4.0761475310647022E-3</v>
      </c>
      <c r="D783">
        <v>2.6329365458471064E-2</v>
      </c>
      <c r="E783">
        <v>8.3627898682257937E-2</v>
      </c>
      <c r="F783">
        <v>0.1207622395883091</v>
      </c>
      <c r="G783">
        <v>0.56630108718497429</v>
      </c>
      <c r="H783">
        <v>12.657218326130312</v>
      </c>
      <c r="I783">
        <v>2.9994317119429528E-3</v>
      </c>
      <c r="J783">
        <v>0</v>
      </c>
      <c r="K783">
        <f t="shared" si="108"/>
        <v>4.0761475310647022E-3</v>
      </c>
      <c r="L783">
        <f t="shared" si="109"/>
        <v>2.6329365458471064E-2</v>
      </c>
      <c r="M783">
        <f t="shared" si="110"/>
        <v>8.3627898682257937E-2</v>
      </c>
      <c r="N783">
        <f t="shared" si="111"/>
        <v>0.1207622395883091</v>
      </c>
      <c r="O783">
        <f t="shared" si="112"/>
        <v>0.56630108718497429</v>
      </c>
      <c r="P783">
        <f t="shared" si="113"/>
        <v>12.657218326130312</v>
      </c>
      <c r="Q783">
        <f t="shared" si="114"/>
        <v>2.9994317119429528E-3</v>
      </c>
      <c r="R783">
        <f t="shared" si="115"/>
        <v>0</v>
      </c>
      <c r="S783">
        <f t="shared" si="116"/>
        <v>0</v>
      </c>
    </row>
    <row r="784" spans="1:19" x14ac:dyDescent="0.3">
      <c r="A784" t="s">
        <v>259</v>
      </c>
      <c r="B784">
        <v>2009</v>
      </c>
      <c r="C784">
        <v>1.6783832077308079E-3</v>
      </c>
      <c r="D784">
        <v>2.0942124405258732E-2</v>
      </c>
      <c r="E784">
        <v>9.3540484591718973E-2</v>
      </c>
      <c r="F784">
        <v>0.23052307098928185</v>
      </c>
      <c r="G784">
        <v>0.46161712372727626</v>
      </c>
      <c r="H784">
        <v>12.712489565226406</v>
      </c>
      <c r="I784">
        <v>1.8520956731198516E-4</v>
      </c>
      <c r="J784">
        <v>0</v>
      </c>
      <c r="K784">
        <f t="shared" si="108"/>
        <v>1.6783832077308079E-3</v>
      </c>
      <c r="L784">
        <f t="shared" si="109"/>
        <v>2.0942124405258732E-2</v>
      </c>
      <c r="M784">
        <f t="shared" si="110"/>
        <v>9.3540484591718973E-2</v>
      </c>
      <c r="N784">
        <f t="shared" si="111"/>
        <v>0.23052307098928185</v>
      </c>
      <c r="O784">
        <f t="shared" si="112"/>
        <v>0.46161712372727626</v>
      </c>
      <c r="P784">
        <f t="shared" si="113"/>
        <v>12.712489565226406</v>
      </c>
      <c r="Q784">
        <f t="shared" si="114"/>
        <v>1.8520956731198516E-4</v>
      </c>
      <c r="R784">
        <f t="shared" si="115"/>
        <v>0</v>
      </c>
      <c r="S784">
        <f t="shared" si="116"/>
        <v>0</v>
      </c>
    </row>
    <row r="785" spans="1:19" x14ac:dyDescent="0.3">
      <c r="A785" t="s">
        <v>259</v>
      </c>
      <c r="B785">
        <v>2010</v>
      </c>
      <c r="C785">
        <v>3.9952868337276119E-3</v>
      </c>
      <c r="D785">
        <v>2.1948330854579434E-2</v>
      </c>
      <c r="E785">
        <v>0.108448259672441</v>
      </c>
      <c r="F785">
        <v>0.23172966538336881</v>
      </c>
      <c r="G785">
        <v>0.46909937935233342</v>
      </c>
      <c r="H785">
        <v>12.707269056878951</v>
      </c>
      <c r="I785">
        <v>4.7735575120406906E-4</v>
      </c>
      <c r="J785">
        <v>0</v>
      </c>
      <c r="K785">
        <f t="shared" si="108"/>
        <v>3.9952868337276119E-3</v>
      </c>
      <c r="L785">
        <f t="shared" si="109"/>
        <v>2.1948330854579434E-2</v>
      </c>
      <c r="M785">
        <f t="shared" si="110"/>
        <v>0.108448259672441</v>
      </c>
      <c r="N785">
        <f t="shared" si="111"/>
        <v>0.23172966538336881</v>
      </c>
      <c r="O785">
        <f t="shared" si="112"/>
        <v>0.46909937935233342</v>
      </c>
      <c r="P785">
        <f t="shared" si="113"/>
        <v>12.707269056878951</v>
      </c>
      <c r="Q785">
        <f t="shared" si="114"/>
        <v>4.7735575120406906E-4</v>
      </c>
      <c r="R785">
        <f t="shared" si="115"/>
        <v>0</v>
      </c>
      <c r="S785">
        <f t="shared" si="116"/>
        <v>0</v>
      </c>
    </row>
    <row r="786" spans="1:19" x14ac:dyDescent="0.3">
      <c r="A786" t="s">
        <v>260</v>
      </c>
      <c r="B786">
        <v>2007</v>
      </c>
      <c r="C786">
        <v>2.5475134809589753E-2</v>
      </c>
      <c r="D786">
        <v>8.0405064564675763E-2</v>
      </c>
      <c r="E786">
        <v>0.21551927717745958</v>
      </c>
      <c r="F786">
        <v>0.29098749509179905</v>
      </c>
      <c r="G786">
        <v>1.1372380487927574</v>
      </c>
      <c r="H786">
        <v>13.480931128852159</v>
      </c>
      <c r="I786">
        <v>3.7624716489090791E-3</v>
      </c>
      <c r="J786">
        <v>0</v>
      </c>
      <c r="K786">
        <f t="shared" si="108"/>
        <v>2.5475134809589753E-2</v>
      </c>
      <c r="L786">
        <f t="shared" si="109"/>
        <v>8.0405064564675763E-2</v>
      </c>
      <c r="M786">
        <f t="shared" si="110"/>
        <v>0.21551927717745958</v>
      </c>
      <c r="N786">
        <f t="shared" si="111"/>
        <v>0.29098749509179905</v>
      </c>
      <c r="O786">
        <f t="shared" si="112"/>
        <v>1.1372380487927574</v>
      </c>
      <c r="P786">
        <f t="shared" si="113"/>
        <v>13.480931128852159</v>
      </c>
      <c r="Q786">
        <f t="shared" si="114"/>
        <v>3.7624716489090791E-3</v>
      </c>
      <c r="R786">
        <f t="shared" si="115"/>
        <v>0</v>
      </c>
      <c r="S786">
        <f t="shared" si="116"/>
        <v>0</v>
      </c>
    </row>
    <row r="787" spans="1:19" x14ac:dyDescent="0.3">
      <c r="A787" t="s">
        <v>260</v>
      </c>
      <c r="B787">
        <v>2009</v>
      </c>
      <c r="C787">
        <v>1.7553899581187762E-2</v>
      </c>
      <c r="D787">
        <v>9.0348093661035925E-2</v>
      </c>
      <c r="E787">
        <v>0.21764935345092565</v>
      </c>
      <c r="F787">
        <v>0.33969059086392456</v>
      </c>
      <c r="G787">
        <v>0.89722726627494065</v>
      </c>
      <c r="H787">
        <v>13.70421356736713</v>
      </c>
      <c r="I787">
        <v>2.1668885646666823E-2</v>
      </c>
      <c r="J787">
        <v>0</v>
      </c>
      <c r="K787">
        <f t="shared" si="108"/>
        <v>1.7553899581187762E-2</v>
      </c>
      <c r="L787">
        <f t="shared" si="109"/>
        <v>9.0348093661035925E-2</v>
      </c>
      <c r="M787">
        <f t="shared" si="110"/>
        <v>0.21764935345092565</v>
      </c>
      <c r="N787">
        <f t="shared" si="111"/>
        <v>0.33969059086392456</v>
      </c>
      <c r="O787">
        <f t="shared" si="112"/>
        <v>0.89722726627494065</v>
      </c>
      <c r="P787">
        <f t="shared" si="113"/>
        <v>13.70421356736713</v>
      </c>
      <c r="Q787">
        <f t="shared" si="114"/>
        <v>2.1668885646666823E-2</v>
      </c>
      <c r="R787">
        <f t="shared" si="115"/>
        <v>0</v>
      </c>
      <c r="S787">
        <f t="shared" si="116"/>
        <v>0</v>
      </c>
    </row>
    <row r="788" spans="1:19" x14ac:dyDescent="0.3">
      <c r="A788" t="s">
        <v>260</v>
      </c>
      <c r="B788">
        <v>2010</v>
      </c>
      <c r="C788">
        <v>1.071999723874501E-2</v>
      </c>
      <c r="D788">
        <v>0.14634555572174221</v>
      </c>
      <c r="E788">
        <v>0.27602482828445529</v>
      </c>
      <c r="F788">
        <v>0.22622060893342691</v>
      </c>
      <c r="G788">
        <v>0.95335319902895865</v>
      </c>
      <c r="H788">
        <v>13.857615569066638</v>
      </c>
      <c r="I788">
        <v>4.7731728392825593E-3</v>
      </c>
      <c r="J788">
        <v>2.272666260148571E-2</v>
      </c>
      <c r="K788">
        <f t="shared" si="108"/>
        <v>1.071999723874501E-2</v>
      </c>
      <c r="L788">
        <f t="shared" si="109"/>
        <v>0.14634555572174221</v>
      </c>
      <c r="M788">
        <f t="shared" si="110"/>
        <v>0.27602482828445529</v>
      </c>
      <c r="N788">
        <f t="shared" si="111"/>
        <v>0.22622060893342691</v>
      </c>
      <c r="O788">
        <f t="shared" si="112"/>
        <v>0.95335319902895865</v>
      </c>
      <c r="P788">
        <f t="shared" si="113"/>
        <v>13.857615569066638</v>
      </c>
      <c r="Q788">
        <f t="shared" si="114"/>
        <v>4.7731728392825593E-3</v>
      </c>
      <c r="R788">
        <f t="shared" si="115"/>
        <v>2.272666260148571E-2</v>
      </c>
      <c r="S788">
        <f t="shared" si="116"/>
        <v>0</v>
      </c>
    </row>
    <row r="789" spans="1:19" x14ac:dyDescent="0.3">
      <c r="A789" t="s">
        <v>261</v>
      </c>
      <c r="B789">
        <v>2007</v>
      </c>
      <c r="C789">
        <v>2.4448017846735216E-2</v>
      </c>
      <c r="D789">
        <v>0.20478431521303977</v>
      </c>
      <c r="E789">
        <v>-0.46389516683386023</v>
      </c>
      <c r="F789">
        <v>1.3741822083181903E-2</v>
      </c>
      <c r="G789">
        <v>1.076550068611716</v>
      </c>
      <c r="H789">
        <v>14.483767018811928</v>
      </c>
      <c r="I789">
        <v>7.6129107261540513E-2</v>
      </c>
      <c r="J789">
        <v>0</v>
      </c>
      <c r="K789">
        <f t="shared" si="108"/>
        <v>2.4448017846735216E-2</v>
      </c>
      <c r="L789">
        <f t="shared" si="109"/>
        <v>0.20478431521303977</v>
      </c>
      <c r="M789">
        <f t="shared" si="110"/>
        <v>-0.46389516683386023</v>
      </c>
      <c r="N789">
        <f t="shared" si="111"/>
        <v>1.3741822083181903E-2</v>
      </c>
      <c r="O789">
        <f t="shared" si="112"/>
        <v>1.076550068611716</v>
      </c>
      <c r="P789">
        <f t="shared" si="113"/>
        <v>14.483767018811928</v>
      </c>
      <c r="Q789">
        <f t="shared" si="114"/>
        <v>7.6129107261540513E-2</v>
      </c>
      <c r="R789">
        <f t="shared" si="115"/>
        <v>0</v>
      </c>
      <c r="S789">
        <f t="shared" si="116"/>
        <v>0</v>
      </c>
    </row>
    <row r="790" spans="1:19" x14ac:dyDescent="0.3">
      <c r="A790" t="s">
        <v>261</v>
      </c>
      <c r="B790">
        <v>2008</v>
      </c>
      <c r="C790">
        <v>2.0882580965484655E-2</v>
      </c>
      <c r="D790">
        <v>0.183883630525015</v>
      </c>
      <c r="E790">
        <v>-0.72902645220349949</v>
      </c>
      <c r="F790">
        <v>0.16352607957733331</v>
      </c>
      <c r="G790">
        <v>1.2275739859388053</v>
      </c>
      <c r="H790">
        <v>14.507647728635911</v>
      </c>
      <c r="I790">
        <v>6.4883325278975057E-2</v>
      </c>
      <c r="J790">
        <v>0</v>
      </c>
      <c r="K790">
        <f t="shared" si="108"/>
        <v>2.0882580965484655E-2</v>
      </c>
      <c r="L790">
        <f t="shared" si="109"/>
        <v>0.183883630525015</v>
      </c>
      <c r="M790">
        <f t="shared" si="110"/>
        <v>-0.72902645220349949</v>
      </c>
      <c r="N790">
        <f t="shared" si="111"/>
        <v>0.16352607957733331</v>
      </c>
      <c r="O790">
        <f t="shared" si="112"/>
        <v>1.2275739859388053</v>
      </c>
      <c r="P790">
        <f t="shared" si="113"/>
        <v>14.507647728635911</v>
      </c>
      <c r="Q790">
        <f t="shared" si="114"/>
        <v>6.4883325278975057E-2</v>
      </c>
      <c r="R790">
        <f t="shared" si="115"/>
        <v>0</v>
      </c>
      <c r="S790">
        <f t="shared" si="116"/>
        <v>0</v>
      </c>
    </row>
    <row r="791" spans="1:19" x14ac:dyDescent="0.3">
      <c r="A791" t="s">
        <v>261</v>
      </c>
      <c r="B791">
        <v>2009</v>
      </c>
      <c r="C791">
        <v>5.0169201544828972E-3</v>
      </c>
      <c r="D791">
        <v>0.5532995349578359</v>
      </c>
      <c r="E791">
        <v>-0.79502585198324338</v>
      </c>
      <c r="F791">
        <v>4.1354786495745852E-2</v>
      </c>
      <c r="G791">
        <v>1.8715217236332835</v>
      </c>
      <c r="H791">
        <v>13.991449287789006</v>
      </c>
      <c r="I791">
        <v>3.7896568241180845E-2</v>
      </c>
      <c r="J791">
        <v>0</v>
      </c>
      <c r="K791">
        <f t="shared" si="108"/>
        <v>5.0169201544828972E-3</v>
      </c>
      <c r="L791">
        <f t="shared" si="109"/>
        <v>0.5532995349578359</v>
      </c>
      <c r="M791">
        <f t="shared" si="110"/>
        <v>-0.79502585198324338</v>
      </c>
      <c r="N791">
        <f t="shared" si="111"/>
        <v>4.1354786495745852E-2</v>
      </c>
      <c r="O791">
        <f t="shared" si="112"/>
        <v>1.8715217236332835</v>
      </c>
      <c r="P791">
        <f t="shared" si="113"/>
        <v>13.991449287789006</v>
      </c>
      <c r="Q791">
        <f t="shared" si="114"/>
        <v>3.7896568241180845E-2</v>
      </c>
      <c r="R791">
        <f t="shared" si="115"/>
        <v>0</v>
      </c>
      <c r="S791">
        <f t="shared" si="116"/>
        <v>0</v>
      </c>
    </row>
    <row r="792" spans="1:19" x14ac:dyDescent="0.3">
      <c r="A792" t="s">
        <v>261</v>
      </c>
      <c r="B792">
        <v>2010</v>
      </c>
      <c r="C792">
        <v>1.1281209064070228E-3</v>
      </c>
      <c r="D792">
        <v>0.54983674506813696</v>
      </c>
      <c r="E792">
        <v>-1.1126938041331846</v>
      </c>
      <c r="F792">
        <v>0.70634836842825577</v>
      </c>
      <c r="G792">
        <v>2.2405246739789235</v>
      </c>
      <c r="H792">
        <v>13.838191392187332</v>
      </c>
      <c r="I792">
        <v>7.8719889905469936E-2</v>
      </c>
      <c r="J792">
        <v>0</v>
      </c>
      <c r="K792">
        <f t="shared" si="108"/>
        <v>1.1281209064070228E-3</v>
      </c>
      <c r="L792">
        <f t="shared" si="109"/>
        <v>0.54983674506813696</v>
      </c>
      <c r="M792">
        <f t="shared" si="110"/>
        <v>-1.1126938041331846</v>
      </c>
      <c r="N792">
        <f t="shared" si="111"/>
        <v>0.70634836842825577</v>
      </c>
      <c r="O792">
        <f t="shared" si="112"/>
        <v>2.2405246739789235</v>
      </c>
      <c r="P792">
        <f t="shared" si="113"/>
        <v>13.838191392187332</v>
      </c>
      <c r="Q792">
        <f t="shared" si="114"/>
        <v>7.8719889905469936E-2</v>
      </c>
      <c r="R792">
        <f t="shared" si="115"/>
        <v>0</v>
      </c>
      <c r="S792">
        <f t="shared" si="116"/>
        <v>0</v>
      </c>
    </row>
    <row r="793" spans="1:19" x14ac:dyDescent="0.3">
      <c r="A793" t="s">
        <v>262</v>
      </c>
      <c r="B793">
        <v>2007</v>
      </c>
      <c r="C793">
        <v>1.2756494385465321E-2</v>
      </c>
      <c r="D793">
        <v>4.2640373522737134E-2</v>
      </c>
      <c r="E793">
        <v>-4.346037791582507E-2</v>
      </c>
      <c r="F793">
        <v>0.32056658647491831</v>
      </c>
      <c r="G793">
        <v>0.84436949177427656</v>
      </c>
      <c r="H793">
        <v>15.74596560410043</v>
      </c>
      <c r="I793">
        <v>2.6510538220443539E-2</v>
      </c>
      <c r="J793">
        <v>0</v>
      </c>
      <c r="K793">
        <f t="shared" si="108"/>
        <v>1.2756494385465321E-2</v>
      </c>
      <c r="L793">
        <f t="shared" si="109"/>
        <v>4.2640373522737134E-2</v>
      </c>
      <c r="M793">
        <f t="shared" si="110"/>
        <v>-4.346037791582507E-2</v>
      </c>
      <c r="N793">
        <f t="shared" si="111"/>
        <v>0.32056658647491831</v>
      </c>
      <c r="O793">
        <f t="shared" si="112"/>
        <v>0.84436949177427656</v>
      </c>
      <c r="P793">
        <f t="shared" si="113"/>
        <v>15.74596560410043</v>
      </c>
      <c r="Q793">
        <f t="shared" si="114"/>
        <v>2.6510538220443539E-2</v>
      </c>
      <c r="R793">
        <f t="shared" si="115"/>
        <v>0</v>
      </c>
      <c r="S793">
        <f t="shared" si="116"/>
        <v>0</v>
      </c>
    </row>
    <row r="794" spans="1:19" x14ac:dyDescent="0.3">
      <c r="A794" t="s">
        <v>262</v>
      </c>
      <c r="B794">
        <v>2008</v>
      </c>
      <c r="C794">
        <v>1.5469714038986672E-2</v>
      </c>
      <c r="D794">
        <v>0.13310181310636995</v>
      </c>
      <c r="E794">
        <v>-7.0746605762944142E-2</v>
      </c>
      <c r="F794">
        <v>0.39125221779138381</v>
      </c>
      <c r="G794">
        <v>0.83960833650445332</v>
      </c>
      <c r="H794">
        <v>15.582793574571042</v>
      </c>
      <c r="I794">
        <v>5.349576889246796E-2</v>
      </c>
      <c r="J794">
        <v>0</v>
      </c>
      <c r="K794">
        <f t="shared" si="108"/>
        <v>1.5469714038986672E-2</v>
      </c>
      <c r="L794">
        <f t="shared" si="109"/>
        <v>0.13310181310636995</v>
      </c>
      <c r="M794">
        <f t="shared" si="110"/>
        <v>-7.0746605762944142E-2</v>
      </c>
      <c r="N794">
        <f t="shared" si="111"/>
        <v>0.39125221779138381</v>
      </c>
      <c r="O794">
        <f t="shared" si="112"/>
        <v>0.83960833650445332</v>
      </c>
      <c r="P794">
        <f t="shared" si="113"/>
        <v>15.582793574571042</v>
      </c>
      <c r="Q794">
        <f t="shared" si="114"/>
        <v>5.349576889246796E-2</v>
      </c>
      <c r="R794">
        <f t="shared" si="115"/>
        <v>0</v>
      </c>
      <c r="S794">
        <f t="shared" si="116"/>
        <v>0</v>
      </c>
    </row>
    <row r="795" spans="1:19" x14ac:dyDescent="0.3">
      <c r="A795" t="s">
        <v>262</v>
      </c>
      <c r="B795">
        <v>2009</v>
      </c>
      <c r="C795">
        <v>2.3959970797771006E-2</v>
      </c>
      <c r="D795">
        <v>0.33579872610501815</v>
      </c>
      <c r="E795">
        <v>-0.40148150388366072</v>
      </c>
      <c r="F795">
        <v>0.57738179290389391</v>
      </c>
      <c r="G795">
        <v>1.0320385099391427</v>
      </c>
      <c r="H795">
        <v>15.318902608833573</v>
      </c>
      <c r="I795">
        <v>6.0427948991521832E-2</v>
      </c>
      <c r="J795">
        <v>0</v>
      </c>
      <c r="K795">
        <f t="shared" si="108"/>
        <v>2.3959970797771006E-2</v>
      </c>
      <c r="L795">
        <f t="shared" si="109"/>
        <v>0.33579872610501815</v>
      </c>
      <c r="M795">
        <f t="shared" si="110"/>
        <v>-0.40148150388366072</v>
      </c>
      <c r="N795">
        <f t="shared" si="111"/>
        <v>0.57738179290389391</v>
      </c>
      <c r="O795">
        <f t="shared" si="112"/>
        <v>1.0320385099391427</v>
      </c>
      <c r="P795">
        <f t="shared" si="113"/>
        <v>15.318902608833573</v>
      </c>
      <c r="Q795">
        <f t="shared" si="114"/>
        <v>6.0427948991521832E-2</v>
      </c>
      <c r="R795">
        <f t="shared" si="115"/>
        <v>0</v>
      </c>
      <c r="S795">
        <f t="shared" si="116"/>
        <v>0</v>
      </c>
    </row>
    <row r="796" spans="1:19" x14ac:dyDescent="0.3">
      <c r="A796" t="s">
        <v>262</v>
      </c>
      <c r="B796">
        <v>2010</v>
      </c>
      <c r="C796">
        <v>2.9598886920122247E-2</v>
      </c>
      <c r="D796">
        <v>0.10279411589825309</v>
      </c>
      <c r="E796">
        <v>-0.51146900381729321</v>
      </c>
      <c r="F796">
        <v>0.56339703416536846</v>
      </c>
      <c r="G796">
        <v>1.0824881378506619</v>
      </c>
      <c r="H796">
        <v>15.251677830204834</v>
      </c>
      <c r="I796">
        <v>6.4111003777906864E-2</v>
      </c>
      <c r="J796">
        <v>0</v>
      </c>
      <c r="K796">
        <f t="shared" si="108"/>
        <v>2.9598886920122247E-2</v>
      </c>
      <c r="L796">
        <f t="shared" si="109"/>
        <v>0.10279411589825309</v>
      </c>
      <c r="M796">
        <f t="shared" si="110"/>
        <v>-0.51146900381729321</v>
      </c>
      <c r="N796">
        <f t="shared" si="111"/>
        <v>0.56339703416536846</v>
      </c>
      <c r="O796">
        <f t="shared" si="112"/>
        <v>1.0824881378506619</v>
      </c>
      <c r="P796">
        <f t="shared" si="113"/>
        <v>15.251677830204834</v>
      </c>
      <c r="Q796">
        <f t="shared" si="114"/>
        <v>6.4111003777906864E-2</v>
      </c>
      <c r="R796">
        <f t="shared" si="115"/>
        <v>0</v>
      </c>
      <c r="S796">
        <f t="shared" si="116"/>
        <v>0</v>
      </c>
    </row>
    <row r="797" spans="1:19" x14ac:dyDescent="0.3">
      <c r="A797" t="s">
        <v>263</v>
      </c>
      <c r="B797">
        <v>2007</v>
      </c>
      <c r="C797">
        <v>4.6746298618283832E-2</v>
      </c>
      <c r="D797">
        <v>0.13375620222198006</v>
      </c>
      <c r="E797">
        <v>0.23541125355097831</v>
      </c>
      <c r="F797">
        <v>0.23824359519384389</v>
      </c>
      <c r="G797">
        <v>1.2154045314396829</v>
      </c>
      <c r="H797">
        <v>14.080304176851593</v>
      </c>
      <c r="I797">
        <v>8.8260449507960859E-3</v>
      </c>
      <c r="J797">
        <v>1.0370161192545517E-2</v>
      </c>
      <c r="K797">
        <f t="shared" si="108"/>
        <v>4.6746298618283832E-2</v>
      </c>
      <c r="L797">
        <f t="shared" si="109"/>
        <v>0.13375620222198006</v>
      </c>
      <c r="M797">
        <f t="shared" si="110"/>
        <v>0.23541125355097831</v>
      </c>
      <c r="N797">
        <f t="shared" si="111"/>
        <v>0.23824359519384389</v>
      </c>
      <c r="O797">
        <f t="shared" si="112"/>
        <v>1.2154045314396829</v>
      </c>
      <c r="P797">
        <f t="shared" si="113"/>
        <v>14.080304176851593</v>
      </c>
      <c r="Q797">
        <f t="shared" si="114"/>
        <v>8.8260449507960859E-3</v>
      </c>
      <c r="R797">
        <f t="shared" si="115"/>
        <v>1.0370161192545517E-2</v>
      </c>
      <c r="S797">
        <f t="shared" si="116"/>
        <v>0</v>
      </c>
    </row>
    <row r="798" spans="1:19" x14ac:dyDescent="0.3">
      <c r="A798" t="s">
        <v>263</v>
      </c>
      <c r="B798">
        <v>2008</v>
      </c>
      <c r="C798">
        <v>5.9334793354110932E-2</v>
      </c>
      <c r="D798">
        <v>8.9896685635170323E-2</v>
      </c>
      <c r="E798">
        <v>0.18592418383710915</v>
      </c>
      <c r="F798">
        <v>0.26729166145755962</v>
      </c>
      <c r="G798">
        <v>0.76784394937091149</v>
      </c>
      <c r="H798">
        <v>14.528311825377049</v>
      </c>
      <c r="I798">
        <v>2.063917967886679E-3</v>
      </c>
      <c r="J798">
        <v>7.9506907153366405E-3</v>
      </c>
      <c r="K798">
        <f t="shared" si="108"/>
        <v>5.9334793354110932E-2</v>
      </c>
      <c r="L798">
        <f t="shared" si="109"/>
        <v>8.9896685635170323E-2</v>
      </c>
      <c r="M798">
        <f t="shared" si="110"/>
        <v>0.18592418383710915</v>
      </c>
      <c r="N798">
        <f t="shared" si="111"/>
        <v>0.26729166145755962</v>
      </c>
      <c r="O798">
        <f t="shared" si="112"/>
        <v>0.76784394937091149</v>
      </c>
      <c r="P798">
        <f t="shared" si="113"/>
        <v>14.528311825377049</v>
      </c>
      <c r="Q798">
        <f t="shared" si="114"/>
        <v>2.063917967886679E-3</v>
      </c>
      <c r="R798">
        <f t="shared" si="115"/>
        <v>7.9506907153366405E-3</v>
      </c>
      <c r="S798">
        <f t="shared" si="116"/>
        <v>0</v>
      </c>
    </row>
    <row r="799" spans="1:19" x14ac:dyDescent="0.3">
      <c r="A799" t="s">
        <v>263</v>
      </c>
      <c r="B799">
        <v>2009</v>
      </c>
      <c r="C799">
        <v>0.11523151232920567</v>
      </c>
      <c r="D799">
        <v>0.12471797178318432</v>
      </c>
      <c r="E799">
        <v>0.16424930533289273</v>
      </c>
      <c r="F799">
        <v>0.24292308651680483</v>
      </c>
      <c r="G799">
        <v>0.97688412034447825</v>
      </c>
      <c r="H799">
        <v>14.526785925511664</v>
      </c>
      <c r="I799">
        <v>1.0969226195550737E-2</v>
      </c>
      <c r="J799">
        <v>1.3271713901738546E-2</v>
      </c>
      <c r="K799">
        <f t="shared" si="108"/>
        <v>0.11523151232920567</v>
      </c>
      <c r="L799">
        <f t="shared" si="109"/>
        <v>0.12471797178318432</v>
      </c>
      <c r="M799">
        <f t="shared" si="110"/>
        <v>0.16424930533289273</v>
      </c>
      <c r="N799">
        <f t="shared" si="111"/>
        <v>0.24292308651680483</v>
      </c>
      <c r="O799">
        <f t="shared" si="112"/>
        <v>0.97688412034447825</v>
      </c>
      <c r="P799">
        <f t="shared" si="113"/>
        <v>14.526785925511664</v>
      </c>
      <c r="Q799">
        <f t="shared" si="114"/>
        <v>1.0969226195550737E-2</v>
      </c>
      <c r="R799">
        <f t="shared" si="115"/>
        <v>1.3271713901738546E-2</v>
      </c>
      <c r="S799">
        <f t="shared" si="116"/>
        <v>0</v>
      </c>
    </row>
    <row r="800" spans="1:19" x14ac:dyDescent="0.3">
      <c r="A800" t="s">
        <v>263</v>
      </c>
      <c r="B800">
        <v>2010</v>
      </c>
      <c r="C800">
        <v>9.8535019479365923E-2</v>
      </c>
      <c r="D800">
        <v>0.1261204594623998</v>
      </c>
      <c r="E800">
        <v>0.13675630342365866</v>
      </c>
      <c r="F800">
        <v>0.33975828785393714</v>
      </c>
      <c r="G800">
        <v>0.9858196206584563</v>
      </c>
      <c r="H800">
        <v>14.881810376525122</v>
      </c>
      <c r="I800">
        <v>9.2341398159025145E-4</v>
      </c>
      <c r="J800">
        <v>1.1670749828204249E-2</v>
      </c>
      <c r="K800">
        <f t="shared" si="108"/>
        <v>9.8535019479365923E-2</v>
      </c>
      <c r="L800">
        <f t="shared" si="109"/>
        <v>0.1261204594623998</v>
      </c>
      <c r="M800">
        <f t="shared" si="110"/>
        <v>0.13675630342365866</v>
      </c>
      <c r="N800">
        <f t="shared" si="111"/>
        <v>0.33975828785393714</v>
      </c>
      <c r="O800">
        <f t="shared" si="112"/>
        <v>0.9858196206584563</v>
      </c>
      <c r="P800">
        <f t="shared" si="113"/>
        <v>14.881810376525122</v>
      </c>
      <c r="Q800">
        <f t="shared" si="114"/>
        <v>9.2341398159025145E-4</v>
      </c>
      <c r="R800">
        <f t="shared" si="115"/>
        <v>1.1670749828204249E-2</v>
      </c>
      <c r="S800">
        <f t="shared" si="116"/>
        <v>0</v>
      </c>
    </row>
    <row r="801" spans="1:19" x14ac:dyDescent="0.3">
      <c r="A801" t="s">
        <v>264</v>
      </c>
      <c r="B801">
        <v>2007</v>
      </c>
      <c r="C801">
        <v>2.2295088494128118E-2</v>
      </c>
      <c r="D801">
        <v>6.3257340384235292E-2</v>
      </c>
      <c r="E801">
        <v>3.2757971012431976E-2</v>
      </c>
      <c r="F801">
        <v>0.25285872933039655</v>
      </c>
      <c r="G801">
        <v>1.1016701764763597</v>
      </c>
      <c r="H801">
        <v>15.0729298119743</v>
      </c>
      <c r="I801">
        <v>6.8663011244305657E-3</v>
      </c>
      <c r="J801">
        <v>3.3996476444934857E-2</v>
      </c>
      <c r="K801">
        <f t="shared" si="108"/>
        <v>2.2295088494128118E-2</v>
      </c>
      <c r="L801">
        <f t="shared" si="109"/>
        <v>6.3257340384235292E-2</v>
      </c>
      <c r="M801">
        <f t="shared" si="110"/>
        <v>3.2757971012431976E-2</v>
      </c>
      <c r="N801">
        <f t="shared" si="111"/>
        <v>0.25285872933039655</v>
      </c>
      <c r="O801">
        <f t="shared" si="112"/>
        <v>1.1016701764763597</v>
      </c>
      <c r="P801">
        <f t="shared" si="113"/>
        <v>15.0729298119743</v>
      </c>
      <c r="Q801">
        <f t="shared" si="114"/>
        <v>6.8663011244305657E-3</v>
      </c>
      <c r="R801">
        <f t="shared" si="115"/>
        <v>3.3996476444934857E-2</v>
      </c>
      <c r="S801">
        <f t="shared" si="116"/>
        <v>0</v>
      </c>
    </row>
    <row r="802" spans="1:19" x14ac:dyDescent="0.3">
      <c r="A802" t="s">
        <v>264</v>
      </c>
      <c r="B802">
        <v>2008</v>
      </c>
      <c r="C802">
        <v>2.5086949667965007E-2</v>
      </c>
      <c r="D802">
        <v>4.0548077230061937E-2</v>
      </c>
      <c r="E802">
        <v>-3.3211979599003898E-2</v>
      </c>
      <c r="F802">
        <v>0.36739152991507568</v>
      </c>
      <c r="G802">
        <v>0.94261082465998347</v>
      </c>
      <c r="H802">
        <v>15.204106268945996</v>
      </c>
      <c r="I802">
        <v>7.7080706929726385E-3</v>
      </c>
      <c r="J802">
        <v>0</v>
      </c>
      <c r="K802">
        <f t="shared" si="108"/>
        <v>2.5086949667965007E-2</v>
      </c>
      <c r="L802">
        <f t="shared" si="109"/>
        <v>4.0548077230061937E-2</v>
      </c>
      <c r="M802">
        <f t="shared" si="110"/>
        <v>-3.3211979599003898E-2</v>
      </c>
      <c r="N802">
        <f t="shared" si="111"/>
        <v>0.36739152991507568</v>
      </c>
      <c r="O802">
        <f t="shared" si="112"/>
        <v>0.94261082465998347</v>
      </c>
      <c r="P802">
        <f t="shared" si="113"/>
        <v>15.204106268945996</v>
      </c>
      <c r="Q802">
        <f t="shared" si="114"/>
        <v>7.7080706929726385E-3</v>
      </c>
      <c r="R802">
        <f t="shared" si="115"/>
        <v>0</v>
      </c>
      <c r="S802">
        <f t="shared" si="116"/>
        <v>0</v>
      </c>
    </row>
    <row r="803" spans="1:19" x14ac:dyDescent="0.3">
      <c r="A803" t="s">
        <v>264</v>
      </c>
      <c r="B803">
        <v>2009</v>
      </c>
      <c r="C803">
        <v>3.6884312821289893E-2</v>
      </c>
      <c r="D803">
        <v>6.7778315931036934E-2</v>
      </c>
      <c r="E803">
        <v>-8.0890738051842062E-2</v>
      </c>
      <c r="F803">
        <v>0.45652241329884558</v>
      </c>
      <c r="G803">
        <v>1.0806227663032915</v>
      </c>
      <c r="H803">
        <v>15.193328848475129</v>
      </c>
      <c r="I803">
        <v>2.0994845445443153E-2</v>
      </c>
      <c r="J803">
        <v>0</v>
      </c>
      <c r="K803">
        <f t="shared" si="108"/>
        <v>3.6884312821289893E-2</v>
      </c>
      <c r="L803">
        <f t="shared" si="109"/>
        <v>6.7778315931036934E-2</v>
      </c>
      <c r="M803">
        <f t="shared" si="110"/>
        <v>-8.0890738051842062E-2</v>
      </c>
      <c r="N803">
        <f t="shared" si="111"/>
        <v>0.45652241329884558</v>
      </c>
      <c r="O803">
        <f t="shared" si="112"/>
        <v>1.0806227663032915</v>
      </c>
      <c r="P803">
        <f t="shared" si="113"/>
        <v>15.193328848475129</v>
      </c>
      <c r="Q803">
        <f t="shared" si="114"/>
        <v>2.0994845445443153E-2</v>
      </c>
      <c r="R803">
        <f t="shared" si="115"/>
        <v>0</v>
      </c>
      <c r="S803">
        <f t="shared" si="116"/>
        <v>0</v>
      </c>
    </row>
    <row r="804" spans="1:19" x14ac:dyDescent="0.3">
      <c r="A804" t="s">
        <v>264</v>
      </c>
      <c r="B804">
        <v>2010</v>
      </c>
      <c r="C804">
        <v>2.0715203247286259E-2</v>
      </c>
      <c r="D804">
        <v>0.1149912961243602</v>
      </c>
      <c r="E804">
        <v>-1.5144473532385709E-2</v>
      </c>
      <c r="F804">
        <v>0.37542197540061822</v>
      </c>
      <c r="G804">
        <v>1.0042247712778545</v>
      </c>
      <c r="H804">
        <v>15.386908643724118</v>
      </c>
      <c r="I804">
        <v>8.0495766975259425E-3</v>
      </c>
      <c r="J804">
        <v>2.4835598654000011E-2</v>
      </c>
      <c r="K804">
        <f t="shared" si="108"/>
        <v>2.0715203247286259E-2</v>
      </c>
      <c r="L804">
        <f t="shared" si="109"/>
        <v>0.1149912961243602</v>
      </c>
      <c r="M804">
        <f t="shared" si="110"/>
        <v>-1.5144473532385709E-2</v>
      </c>
      <c r="N804">
        <f t="shared" si="111"/>
        <v>0.37542197540061822</v>
      </c>
      <c r="O804">
        <f t="shared" si="112"/>
        <v>1.0042247712778545</v>
      </c>
      <c r="P804">
        <f t="shared" si="113"/>
        <v>15.386908643724118</v>
      </c>
      <c r="Q804">
        <f t="shared" si="114"/>
        <v>8.0495766975259425E-3</v>
      </c>
      <c r="R804">
        <f t="shared" si="115"/>
        <v>2.4835598654000011E-2</v>
      </c>
      <c r="S804">
        <f t="shared" si="116"/>
        <v>0</v>
      </c>
    </row>
    <row r="805" spans="1:19" x14ac:dyDescent="0.3">
      <c r="A805" t="s">
        <v>265</v>
      </c>
      <c r="B805">
        <v>2007</v>
      </c>
      <c r="C805">
        <v>5.6188488416949574E-2</v>
      </c>
      <c r="D805">
        <v>0.10205094740193793</v>
      </c>
      <c r="E805">
        <v>7.4969449228860924E-2</v>
      </c>
      <c r="F805">
        <v>3.8768206903730736E-2</v>
      </c>
      <c r="G805">
        <v>0.8084254740508704</v>
      </c>
      <c r="H805">
        <v>14.642470716499865</v>
      </c>
      <c r="I805">
        <v>2.9486581924231391E-2</v>
      </c>
      <c r="J805">
        <v>0</v>
      </c>
      <c r="K805">
        <f t="shared" si="108"/>
        <v>5.6188488416949574E-2</v>
      </c>
      <c r="L805">
        <f t="shared" si="109"/>
        <v>0.10205094740193793</v>
      </c>
      <c r="M805">
        <f t="shared" si="110"/>
        <v>7.4969449228860924E-2</v>
      </c>
      <c r="N805">
        <f t="shared" si="111"/>
        <v>3.8768206903730736E-2</v>
      </c>
      <c r="O805">
        <f t="shared" si="112"/>
        <v>0.8084254740508704</v>
      </c>
      <c r="P805">
        <f t="shared" si="113"/>
        <v>14.642470716499865</v>
      </c>
      <c r="Q805">
        <f t="shared" si="114"/>
        <v>2.9486581924231391E-2</v>
      </c>
      <c r="R805">
        <f t="shared" si="115"/>
        <v>0</v>
      </c>
      <c r="S805">
        <f t="shared" si="116"/>
        <v>0</v>
      </c>
    </row>
    <row r="806" spans="1:19" x14ac:dyDescent="0.3">
      <c r="A806" t="s">
        <v>265</v>
      </c>
      <c r="B806">
        <v>2009</v>
      </c>
      <c r="C806">
        <v>1.1183082818760752E-2</v>
      </c>
      <c r="D806">
        <v>8.0972590269210235E-2</v>
      </c>
      <c r="E806">
        <v>3.1274159176184764E-2</v>
      </c>
      <c r="F806">
        <v>0.17029479978850404</v>
      </c>
      <c r="G806">
        <v>0.47815562837643577</v>
      </c>
      <c r="H806">
        <v>14.469626327452168</v>
      </c>
      <c r="I806">
        <v>4.7376344332327527E-3</v>
      </c>
      <c r="J806">
        <v>0</v>
      </c>
      <c r="K806">
        <f t="shared" si="108"/>
        <v>1.1183082818760752E-2</v>
      </c>
      <c r="L806">
        <f t="shared" si="109"/>
        <v>8.0972590269210235E-2</v>
      </c>
      <c r="M806">
        <f t="shared" si="110"/>
        <v>3.1274159176184764E-2</v>
      </c>
      <c r="N806">
        <f t="shared" si="111"/>
        <v>0.17029479978850404</v>
      </c>
      <c r="O806">
        <f t="shared" si="112"/>
        <v>0.47815562837643577</v>
      </c>
      <c r="P806">
        <f t="shared" si="113"/>
        <v>14.469626327452168</v>
      </c>
      <c r="Q806">
        <f t="shared" si="114"/>
        <v>4.7376344332327527E-3</v>
      </c>
      <c r="R806">
        <f t="shared" si="115"/>
        <v>0</v>
      </c>
      <c r="S806">
        <f t="shared" si="116"/>
        <v>0</v>
      </c>
    </row>
    <row r="807" spans="1:19" x14ac:dyDescent="0.3">
      <c r="A807" t="s">
        <v>265</v>
      </c>
      <c r="B807">
        <v>2010</v>
      </c>
      <c r="C807">
        <v>5.2855988194902746E-2</v>
      </c>
      <c r="D807">
        <v>4.7994754231731176E-2</v>
      </c>
      <c r="E807">
        <v>6.307139449653372E-2</v>
      </c>
      <c r="F807">
        <v>5.095944663783189E-2</v>
      </c>
      <c r="G807">
        <v>0.49331309319889816</v>
      </c>
      <c r="H807">
        <v>14.856492674473152</v>
      </c>
      <c r="I807">
        <v>1.6467143631279699E-2</v>
      </c>
      <c r="J807">
        <v>0</v>
      </c>
      <c r="K807">
        <f t="shared" si="108"/>
        <v>5.2855988194902746E-2</v>
      </c>
      <c r="L807">
        <f t="shared" si="109"/>
        <v>4.7994754231731176E-2</v>
      </c>
      <c r="M807">
        <f t="shared" si="110"/>
        <v>6.307139449653372E-2</v>
      </c>
      <c r="N807">
        <f t="shared" si="111"/>
        <v>5.095944663783189E-2</v>
      </c>
      <c r="O807">
        <f t="shared" si="112"/>
        <v>0.49331309319889816</v>
      </c>
      <c r="P807">
        <f t="shared" si="113"/>
        <v>14.856492674473152</v>
      </c>
      <c r="Q807">
        <f t="shared" si="114"/>
        <v>1.6467143631279699E-2</v>
      </c>
      <c r="R807">
        <f t="shared" si="115"/>
        <v>0</v>
      </c>
      <c r="S807">
        <f t="shared" si="116"/>
        <v>0</v>
      </c>
    </row>
    <row r="808" spans="1:19" x14ac:dyDescent="0.3">
      <c r="A808" t="s">
        <v>266</v>
      </c>
      <c r="B808">
        <v>2007</v>
      </c>
      <c r="C808">
        <v>2.0432173679938333E-2</v>
      </c>
      <c r="D808">
        <v>0.15933960333008285</v>
      </c>
      <c r="E808">
        <v>7.7474163258108103E-2</v>
      </c>
      <c r="F808">
        <v>0.17443745755370069</v>
      </c>
      <c r="G808">
        <v>1.4658999616029056</v>
      </c>
      <c r="H808">
        <v>14.690403713035803</v>
      </c>
      <c r="I808">
        <v>4.2851415346931848E-4</v>
      </c>
      <c r="J808">
        <v>0</v>
      </c>
      <c r="K808">
        <f t="shared" si="108"/>
        <v>2.0432173679938333E-2</v>
      </c>
      <c r="L808">
        <f t="shared" si="109"/>
        <v>0.15933960333008285</v>
      </c>
      <c r="M808">
        <f t="shared" si="110"/>
        <v>7.7474163258108103E-2</v>
      </c>
      <c r="N808">
        <f t="shared" si="111"/>
        <v>0.17443745755370069</v>
      </c>
      <c r="O808">
        <f t="shared" si="112"/>
        <v>1.4658999616029056</v>
      </c>
      <c r="P808">
        <f t="shared" si="113"/>
        <v>14.690403713035803</v>
      </c>
      <c r="Q808">
        <f t="shared" si="114"/>
        <v>4.2851415346931848E-4</v>
      </c>
      <c r="R808">
        <f t="shared" si="115"/>
        <v>0</v>
      </c>
      <c r="S808">
        <f t="shared" si="116"/>
        <v>0</v>
      </c>
    </row>
    <row r="809" spans="1:19" x14ac:dyDescent="0.3">
      <c r="A809" t="s">
        <v>266</v>
      </c>
      <c r="B809">
        <v>2008</v>
      </c>
      <c r="C809">
        <v>6.6738421128830105E-2</v>
      </c>
      <c r="D809">
        <v>0.12095861209931136</v>
      </c>
      <c r="E809">
        <v>0.1752723117307905</v>
      </c>
      <c r="F809">
        <v>4.7852896043842019E-2</v>
      </c>
      <c r="G809">
        <v>0.60838199061882414</v>
      </c>
      <c r="H809">
        <v>14.947337417946638</v>
      </c>
      <c r="I809">
        <v>1.2331509338337729E-2</v>
      </c>
      <c r="J809">
        <v>0</v>
      </c>
      <c r="K809">
        <f t="shared" si="108"/>
        <v>6.6738421128830105E-2</v>
      </c>
      <c r="L809">
        <f t="shared" si="109"/>
        <v>0.12095861209931136</v>
      </c>
      <c r="M809">
        <f t="shared" si="110"/>
        <v>0.1752723117307905</v>
      </c>
      <c r="N809">
        <f t="shared" si="111"/>
        <v>4.7852896043842019E-2</v>
      </c>
      <c r="O809">
        <f t="shared" si="112"/>
        <v>0.60838199061882414</v>
      </c>
      <c r="P809">
        <f t="shared" si="113"/>
        <v>14.947337417946638</v>
      </c>
      <c r="Q809">
        <f t="shared" si="114"/>
        <v>1.2331509338337729E-2</v>
      </c>
      <c r="R809">
        <f t="shared" si="115"/>
        <v>0</v>
      </c>
      <c r="S809">
        <f t="shared" si="116"/>
        <v>0</v>
      </c>
    </row>
    <row r="810" spans="1:19" x14ac:dyDescent="0.3">
      <c r="A810" t="s">
        <v>266</v>
      </c>
      <c r="B810">
        <v>2010</v>
      </c>
      <c r="C810">
        <v>2.1595116414847633E-2</v>
      </c>
      <c r="D810">
        <v>5.6881125981332437E-2</v>
      </c>
      <c r="E810">
        <v>3.7418739335607215E-2</v>
      </c>
      <c r="F810">
        <v>0.23856190867857646</v>
      </c>
      <c r="G810">
        <v>0.5856760786101517</v>
      </c>
      <c r="H810">
        <v>15.027594974032031</v>
      </c>
      <c r="I810">
        <v>1.0452060204326553E-2</v>
      </c>
      <c r="J810">
        <v>0</v>
      </c>
      <c r="K810">
        <f t="shared" si="108"/>
        <v>2.1595116414847633E-2</v>
      </c>
      <c r="L810">
        <f t="shared" si="109"/>
        <v>5.6881125981332437E-2</v>
      </c>
      <c r="M810">
        <f t="shared" si="110"/>
        <v>3.7418739335607215E-2</v>
      </c>
      <c r="N810">
        <f t="shared" si="111"/>
        <v>0.23856190867857646</v>
      </c>
      <c r="O810">
        <f t="shared" si="112"/>
        <v>0.5856760786101517</v>
      </c>
      <c r="P810">
        <f t="shared" si="113"/>
        <v>15.027594974032031</v>
      </c>
      <c r="Q810">
        <f t="shared" si="114"/>
        <v>1.0452060204326553E-2</v>
      </c>
      <c r="R810">
        <f t="shared" si="115"/>
        <v>0</v>
      </c>
      <c r="S810">
        <f t="shared" si="116"/>
        <v>0</v>
      </c>
    </row>
    <row r="811" spans="1:19" x14ac:dyDescent="0.3">
      <c r="A811" t="s">
        <v>267</v>
      </c>
      <c r="B811">
        <v>2007</v>
      </c>
      <c r="C811">
        <v>0.1585212252072693</v>
      </c>
      <c r="D811">
        <v>0.28457833326412824</v>
      </c>
      <c r="E811">
        <v>0.64812661766944868</v>
      </c>
      <c r="F811">
        <v>0</v>
      </c>
      <c r="G811">
        <v>1.5218065301941894</v>
      </c>
      <c r="H811">
        <v>11.881020945608389</v>
      </c>
      <c r="I811">
        <v>0.11780434412936869</v>
      </c>
      <c r="J811">
        <v>0</v>
      </c>
      <c r="K811">
        <f t="shared" si="108"/>
        <v>0.1585212252072693</v>
      </c>
      <c r="L811">
        <f t="shared" si="109"/>
        <v>0.28457833326412824</v>
      </c>
      <c r="M811">
        <f t="shared" si="110"/>
        <v>0.64812661766944868</v>
      </c>
      <c r="N811">
        <f t="shared" si="111"/>
        <v>0</v>
      </c>
      <c r="O811">
        <f t="shared" si="112"/>
        <v>1.5218065301941894</v>
      </c>
      <c r="P811">
        <f t="shared" si="113"/>
        <v>11.881020945608389</v>
      </c>
      <c r="Q811">
        <f t="shared" si="114"/>
        <v>0.11780434412936869</v>
      </c>
      <c r="R811">
        <f t="shared" si="115"/>
        <v>0</v>
      </c>
      <c r="S811">
        <f t="shared" si="116"/>
        <v>0</v>
      </c>
    </row>
    <row r="812" spans="1:19" x14ac:dyDescent="0.3">
      <c r="A812" t="s">
        <v>267</v>
      </c>
      <c r="B812">
        <v>2008</v>
      </c>
      <c r="C812">
        <v>1.5892548021774044E-2</v>
      </c>
      <c r="D812">
        <v>1.6119360961061171E-2</v>
      </c>
      <c r="E812">
        <v>0.23206613552464178</v>
      </c>
      <c r="F812">
        <v>0.40659999582872758</v>
      </c>
      <c r="G812">
        <v>0.91192879637933555</v>
      </c>
      <c r="H812">
        <v>12.857293054862083</v>
      </c>
      <c r="I812">
        <v>3.290565521054245E-2</v>
      </c>
      <c r="J812">
        <v>0</v>
      </c>
      <c r="K812">
        <f t="shared" si="108"/>
        <v>1.5892548021774044E-2</v>
      </c>
      <c r="L812">
        <f t="shared" si="109"/>
        <v>1.6119360961061171E-2</v>
      </c>
      <c r="M812">
        <f t="shared" si="110"/>
        <v>0.23206613552464178</v>
      </c>
      <c r="N812">
        <f t="shared" si="111"/>
        <v>0.40659999582872758</v>
      </c>
      <c r="O812">
        <f t="shared" si="112"/>
        <v>0.91192879637933555</v>
      </c>
      <c r="P812">
        <f t="shared" si="113"/>
        <v>12.857293054862083</v>
      </c>
      <c r="Q812">
        <f t="shared" si="114"/>
        <v>3.290565521054245E-2</v>
      </c>
      <c r="R812">
        <f t="shared" si="115"/>
        <v>0</v>
      </c>
      <c r="S812">
        <f t="shared" si="116"/>
        <v>0</v>
      </c>
    </row>
    <row r="813" spans="1:19" x14ac:dyDescent="0.3">
      <c r="A813" t="s">
        <v>267</v>
      </c>
      <c r="B813">
        <v>2009</v>
      </c>
      <c r="C813">
        <v>2.5170499928318348E-2</v>
      </c>
      <c r="D813">
        <v>0.13659011846490085</v>
      </c>
      <c r="E813">
        <v>0.12706084748192598</v>
      </c>
      <c r="F813">
        <v>0.25111984294403855</v>
      </c>
      <c r="G813">
        <v>1.0350951610496535</v>
      </c>
      <c r="H813">
        <v>12.741948866582856</v>
      </c>
      <c r="I813">
        <v>3.0811713562581462E-2</v>
      </c>
      <c r="J813">
        <v>0</v>
      </c>
      <c r="K813">
        <f t="shared" si="108"/>
        <v>2.5170499928318348E-2</v>
      </c>
      <c r="L813">
        <f t="shared" si="109"/>
        <v>0.13659011846490085</v>
      </c>
      <c r="M813">
        <f t="shared" si="110"/>
        <v>0.12706084748192598</v>
      </c>
      <c r="N813">
        <f t="shared" si="111"/>
        <v>0.25111984294403855</v>
      </c>
      <c r="O813">
        <f t="shared" si="112"/>
        <v>1.0350951610496535</v>
      </c>
      <c r="P813">
        <f t="shared" si="113"/>
        <v>12.741948866582856</v>
      </c>
      <c r="Q813">
        <f t="shared" si="114"/>
        <v>3.0811713562581462E-2</v>
      </c>
      <c r="R813">
        <f t="shared" si="115"/>
        <v>0</v>
      </c>
      <c r="S813">
        <f t="shared" si="116"/>
        <v>0</v>
      </c>
    </row>
    <row r="814" spans="1:19" x14ac:dyDescent="0.3">
      <c r="A814" t="s">
        <v>267</v>
      </c>
      <c r="B814">
        <v>2010</v>
      </c>
      <c r="C814">
        <v>6.0599049553697437E-2</v>
      </c>
      <c r="D814">
        <v>2.9138073842366583E-2</v>
      </c>
      <c r="E814">
        <v>0.11611038873901595</v>
      </c>
      <c r="F814">
        <v>0.21422985622995802</v>
      </c>
      <c r="G814">
        <v>0.93198131498456793</v>
      </c>
      <c r="H814">
        <v>12.976685369573165</v>
      </c>
      <c r="I814">
        <v>7.4656912333393713E-3</v>
      </c>
      <c r="J814">
        <v>0</v>
      </c>
      <c r="K814">
        <f t="shared" si="108"/>
        <v>6.0599049553697437E-2</v>
      </c>
      <c r="L814">
        <f t="shared" si="109"/>
        <v>2.9138073842366583E-2</v>
      </c>
      <c r="M814">
        <f t="shared" si="110"/>
        <v>0.11611038873901595</v>
      </c>
      <c r="N814">
        <f t="shared" si="111"/>
        <v>0.21422985622995802</v>
      </c>
      <c r="O814">
        <f t="shared" si="112"/>
        <v>0.93198131498456793</v>
      </c>
      <c r="P814">
        <f t="shared" si="113"/>
        <v>12.976685369573165</v>
      </c>
      <c r="Q814">
        <f t="shared" si="114"/>
        <v>7.4656912333393713E-3</v>
      </c>
      <c r="R814">
        <f t="shared" si="115"/>
        <v>0</v>
      </c>
      <c r="S814">
        <f t="shared" si="116"/>
        <v>0</v>
      </c>
    </row>
    <row r="815" spans="1:19" x14ac:dyDescent="0.3">
      <c r="A815" t="s">
        <v>268</v>
      </c>
      <c r="B815">
        <v>2007</v>
      </c>
      <c r="C815">
        <v>5.3122946796019407E-2</v>
      </c>
      <c r="D815">
        <v>0.20076611549433365</v>
      </c>
      <c r="E815">
        <v>0.26120612900539569</v>
      </c>
      <c r="F815">
        <v>8.7528715587868635E-4</v>
      </c>
      <c r="G815">
        <v>2.0673989434251765</v>
      </c>
      <c r="H815">
        <v>15.407096263794541</v>
      </c>
      <c r="I815">
        <v>5.8823085898890487E-2</v>
      </c>
      <c r="J815">
        <v>6.0513514014265614E-2</v>
      </c>
      <c r="K815">
        <f t="shared" si="108"/>
        <v>5.3122946796019407E-2</v>
      </c>
      <c r="L815">
        <f t="shared" si="109"/>
        <v>0.20076611549433365</v>
      </c>
      <c r="M815">
        <f t="shared" si="110"/>
        <v>0.26120612900539569</v>
      </c>
      <c r="N815">
        <f t="shared" si="111"/>
        <v>8.7528715587868635E-4</v>
      </c>
      <c r="O815">
        <f t="shared" si="112"/>
        <v>2.0673989434251765</v>
      </c>
      <c r="P815">
        <f t="shared" si="113"/>
        <v>15.407096263794541</v>
      </c>
      <c r="Q815">
        <f t="shared" si="114"/>
        <v>5.8823085898890487E-2</v>
      </c>
      <c r="R815">
        <f t="shared" si="115"/>
        <v>6.0513514014265614E-2</v>
      </c>
      <c r="S815">
        <f t="shared" si="116"/>
        <v>0</v>
      </c>
    </row>
    <row r="816" spans="1:19" x14ac:dyDescent="0.3">
      <c r="A816" t="s">
        <v>268</v>
      </c>
      <c r="B816">
        <v>2008</v>
      </c>
      <c r="C816">
        <v>1.4021440985363426E-2</v>
      </c>
      <c r="D816">
        <v>4.7085646906379529E-2</v>
      </c>
      <c r="E816">
        <v>0.19802314578296265</v>
      </c>
      <c r="F816">
        <v>0.27072988744261589</v>
      </c>
      <c r="G816">
        <v>1.1046257873404797</v>
      </c>
      <c r="H816">
        <v>15.426356678407886</v>
      </c>
      <c r="I816">
        <v>2.021736485561601E-4</v>
      </c>
      <c r="J816">
        <v>4.3340923969941558E-3</v>
      </c>
      <c r="K816">
        <f t="shared" si="108"/>
        <v>1.4021440985363426E-2</v>
      </c>
      <c r="L816">
        <f t="shared" si="109"/>
        <v>4.7085646906379529E-2</v>
      </c>
      <c r="M816">
        <f t="shared" si="110"/>
        <v>0.19802314578296265</v>
      </c>
      <c r="N816">
        <f t="shared" si="111"/>
        <v>0.27072988744261589</v>
      </c>
      <c r="O816">
        <f t="shared" si="112"/>
        <v>1.1046257873404797</v>
      </c>
      <c r="P816">
        <f t="shared" si="113"/>
        <v>15.426356678407886</v>
      </c>
      <c r="Q816">
        <f t="shared" si="114"/>
        <v>2.021736485561601E-4</v>
      </c>
      <c r="R816">
        <f t="shared" si="115"/>
        <v>4.3340923969941558E-3</v>
      </c>
      <c r="S816">
        <f t="shared" si="116"/>
        <v>0</v>
      </c>
    </row>
    <row r="817" spans="1:19" x14ac:dyDescent="0.3">
      <c r="A817" t="s">
        <v>268</v>
      </c>
      <c r="B817">
        <v>2010</v>
      </c>
      <c r="C817">
        <v>1.1014959681343936E-2</v>
      </c>
      <c r="D817">
        <v>3.9618022238159439E-2</v>
      </c>
      <c r="E817">
        <v>0.15806100633234385</v>
      </c>
      <c r="F817">
        <v>8.6047723540756807E-2</v>
      </c>
      <c r="G817">
        <v>0.97560960279250641</v>
      </c>
      <c r="H817">
        <v>15.563556878142993</v>
      </c>
      <c r="I817">
        <v>5.9192778491647773E-3</v>
      </c>
      <c r="J817">
        <v>0</v>
      </c>
      <c r="K817">
        <f t="shared" si="108"/>
        <v>1.1014959681343936E-2</v>
      </c>
      <c r="L817">
        <f t="shared" si="109"/>
        <v>3.9618022238159439E-2</v>
      </c>
      <c r="M817">
        <f t="shared" si="110"/>
        <v>0.15806100633234385</v>
      </c>
      <c r="N817">
        <f t="shared" si="111"/>
        <v>8.6047723540756807E-2</v>
      </c>
      <c r="O817">
        <f t="shared" si="112"/>
        <v>0.97560960279250641</v>
      </c>
      <c r="P817">
        <f t="shared" si="113"/>
        <v>15.563556878142993</v>
      </c>
      <c r="Q817">
        <f t="shared" si="114"/>
        <v>5.9192778491647773E-3</v>
      </c>
      <c r="R817">
        <f t="shared" si="115"/>
        <v>0</v>
      </c>
      <c r="S817">
        <f t="shared" si="116"/>
        <v>0</v>
      </c>
    </row>
    <row r="818" spans="1:19" x14ac:dyDescent="0.3">
      <c r="A818" t="s">
        <v>269</v>
      </c>
      <c r="B818">
        <v>2007</v>
      </c>
      <c r="C818">
        <v>2.6472715555963873E-2</v>
      </c>
      <c r="D818">
        <v>7.5199422235713242E-2</v>
      </c>
      <c r="E818">
        <v>7.0200094712693393E-3</v>
      </c>
      <c r="F818">
        <v>7.0237782321429063E-2</v>
      </c>
      <c r="G818">
        <v>1.1712674968937824</v>
      </c>
      <c r="H818">
        <v>15.932382388829154</v>
      </c>
      <c r="I818">
        <v>9.0256112489827192E-4</v>
      </c>
      <c r="J818">
        <v>0</v>
      </c>
      <c r="K818">
        <f t="shared" si="108"/>
        <v>2.6472715555963873E-2</v>
      </c>
      <c r="L818">
        <f t="shared" si="109"/>
        <v>7.5199422235713242E-2</v>
      </c>
      <c r="M818">
        <f t="shared" si="110"/>
        <v>7.0200094712693393E-3</v>
      </c>
      <c r="N818">
        <f t="shared" si="111"/>
        <v>7.0237782321429063E-2</v>
      </c>
      <c r="O818">
        <f t="shared" si="112"/>
        <v>1.1712674968937824</v>
      </c>
      <c r="P818">
        <f t="shared" si="113"/>
        <v>15.932382388829154</v>
      </c>
      <c r="Q818">
        <f t="shared" si="114"/>
        <v>9.0256112489827192E-4</v>
      </c>
      <c r="R818">
        <f t="shared" si="115"/>
        <v>0</v>
      </c>
      <c r="S818">
        <f t="shared" si="116"/>
        <v>0</v>
      </c>
    </row>
    <row r="819" spans="1:19" x14ac:dyDescent="0.3">
      <c r="A819" t="s">
        <v>269</v>
      </c>
      <c r="B819">
        <v>2008</v>
      </c>
      <c r="C819">
        <v>3.4016240011360263E-2</v>
      </c>
      <c r="D819">
        <v>7.7425380797635945E-2</v>
      </c>
      <c r="E819">
        <v>-4.1109215778089951E-2</v>
      </c>
      <c r="F819">
        <v>0</v>
      </c>
      <c r="G819">
        <v>0.7675059529886995</v>
      </c>
      <c r="H819">
        <v>15.7348924964639</v>
      </c>
      <c r="I819">
        <v>2.6019097861531015E-2</v>
      </c>
      <c r="J819">
        <v>0</v>
      </c>
      <c r="K819">
        <f t="shared" si="108"/>
        <v>3.4016240011360263E-2</v>
      </c>
      <c r="L819">
        <f t="shared" si="109"/>
        <v>7.7425380797635945E-2</v>
      </c>
      <c r="M819">
        <f t="shared" si="110"/>
        <v>-4.1109215778089951E-2</v>
      </c>
      <c r="N819">
        <f t="shared" si="111"/>
        <v>0</v>
      </c>
      <c r="O819">
        <f t="shared" si="112"/>
        <v>0.7675059529886995</v>
      </c>
      <c r="P819">
        <f t="shared" si="113"/>
        <v>15.7348924964639</v>
      </c>
      <c r="Q819">
        <f t="shared" si="114"/>
        <v>2.6019097861531015E-2</v>
      </c>
      <c r="R819">
        <f t="shared" si="115"/>
        <v>0</v>
      </c>
      <c r="S819">
        <f t="shared" si="116"/>
        <v>0</v>
      </c>
    </row>
    <row r="820" spans="1:19" x14ac:dyDescent="0.3">
      <c r="A820" t="s">
        <v>269</v>
      </c>
      <c r="B820">
        <v>2009</v>
      </c>
      <c r="C820">
        <v>2.0606335409624216E-3</v>
      </c>
      <c r="D820">
        <v>0.11512189391202331</v>
      </c>
      <c r="E820">
        <v>-0.16943171293595471</v>
      </c>
      <c r="F820">
        <v>0.36728713324605455</v>
      </c>
      <c r="G820">
        <v>0.99023076440280955</v>
      </c>
      <c r="H820">
        <v>16.11228761693534</v>
      </c>
      <c r="I820">
        <v>1.1953715020249318E-2</v>
      </c>
      <c r="J820">
        <v>0</v>
      </c>
      <c r="K820">
        <f t="shared" si="108"/>
        <v>2.0606335409624216E-3</v>
      </c>
      <c r="L820">
        <f t="shared" si="109"/>
        <v>0.11512189391202331</v>
      </c>
      <c r="M820">
        <f t="shared" si="110"/>
        <v>-0.16943171293595471</v>
      </c>
      <c r="N820">
        <f t="shared" si="111"/>
        <v>0.36728713324605455</v>
      </c>
      <c r="O820">
        <f t="shared" si="112"/>
        <v>0.99023076440280955</v>
      </c>
      <c r="P820">
        <f t="shared" si="113"/>
        <v>16.11228761693534</v>
      </c>
      <c r="Q820">
        <f t="shared" si="114"/>
        <v>1.1953715020249318E-2</v>
      </c>
      <c r="R820">
        <f t="shared" si="115"/>
        <v>0</v>
      </c>
      <c r="S820">
        <f t="shared" si="116"/>
        <v>0</v>
      </c>
    </row>
    <row r="821" spans="1:19" x14ac:dyDescent="0.3">
      <c r="A821" t="s">
        <v>269</v>
      </c>
      <c r="B821">
        <v>2010</v>
      </c>
      <c r="C821">
        <v>9.1714721897457156E-3</v>
      </c>
      <c r="D821">
        <v>0.19498214968997124</v>
      </c>
      <c r="E821">
        <v>-0.23759630655024833</v>
      </c>
      <c r="F821">
        <v>0.14904598065926705</v>
      </c>
      <c r="G821">
        <v>0.96425616404958636</v>
      </c>
      <c r="H821">
        <v>16.006692806029715</v>
      </c>
      <c r="I821">
        <v>2.8934693736191092E-2</v>
      </c>
      <c r="J821">
        <v>0</v>
      </c>
      <c r="K821">
        <f t="shared" si="108"/>
        <v>9.1714721897457156E-3</v>
      </c>
      <c r="L821">
        <f t="shared" si="109"/>
        <v>0.19498214968997124</v>
      </c>
      <c r="M821">
        <f t="shared" si="110"/>
        <v>-0.23759630655024833</v>
      </c>
      <c r="N821">
        <f t="shared" si="111"/>
        <v>0.14904598065926705</v>
      </c>
      <c r="O821">
        <f t="shared" si="112"/>
        <v>0.96425616404958636</v>
      </c>
      <c r="P821">
        <f t="shared" si="113"/>
        <v>16.006692806029715</v>
      </c>
      <c r="Q821">
        <f t="shared" si="114"/>
        <v>2.8934693736191092E-2</v>
      </c>
      <c r="R821">
        <f t="shared" si="115"/>
        <v>0</v>
      </c>
      <c r="S821">
        <f t="shared" si="116"/>
        <v>0</v>
      </c>
    </row>
    <row r="822" spans="1:19" x14ac:dyDescent="0.3">
      <c r="A822" t="s">
        <v>270</v>
      </c>
      <c r="B822">
        <v>2007</v>
      </c>
      <c r="C822">
        <v>0.54537093721373375</v>
      </c>
      <c r="D822">
        <v>0.29434677833776463</v>
      </c>
      <c r="E822">
        <v>0.37983428077152642</v>
      </c>
      <c r="F822">
        <v>2.3708829528153438E-4</v>
      </c>
      <c r="G822">
        <v>2.088100261409954</v>
      </c>
      <c r="H822">
        <v>16.566942674192255</v>
      </c>
      <c r="I822">
        <v>8.3818121707730231E-3</v>
      </c>
      <c r="J822">
        <v>6.5228007570994034E-2</v>
      </c>
      <c r="K822" t="str">
        <f t="shared" si="108"/>
        <v>out</v>
      </c>
      <c r="L822">
        <f t="shared" si="109"/>
        <v>0.29434677833776463</v>
      </c>
      <c r="M822">
        <f t="shared" si="110"/>
        <v>0.37983428077152642</v>
      </c>
      <c r="N822">
        <f t="shared" si="111"/>
        <v>2.3708829528153438E-4</v>
      </c>
      <c r="O822">
        <f t="shared" si="112"/>
        <v>2.088100261409954</v>
      </c>
      <c r="P822">
        <f t="shared" si="113"/>
        <v>16.566942674192255</v>
      </c>
      <c r="Q822">
        <f t="shared" si="114"/>
        <v>8.3818121707730231E-3</v>
      </c>
      <c r="R822">
        <f t="shared" si="115"/>
        <v>6.5228007570994034E-2</v>
      </c>
      <c r="S822">
        <f t="shared" si="116"/>
        <v>0</v>
      </c>
    </row>
    <row r="823" spans="1:19" x14ac:dyDescent="0.3">
      <c r="A823" t="s">
        <v>270</v>
      </c>
      <c r="B823">
        <v>2008</v>
      </c>
      <c r="C823">
        <v>0.31484948220878961</v>
      </c>
      <c r="D823">
        <v>0.29208416953924354</v>
      </c>
      <c r="E823">
        <v>0.3929688075647349</v>
      </c>
      <c r="F823">
        <v>0</v>
      </c>
      <c r="G823">
        <v>1.0161228980654722</v>
      </c>
      <c r="H823">
        <v>16.436411845346385</v>
      </c>
      <c r="I823">
        <v>3.0297519895951697E-2</v>
      </c>
      <c r="J823">
        <v>6.0030073954170718E-2</v>
      </c>
      <c r="K823">
        <f t="shared" si="108"/>
        <v>0.31484948220878961</v>
      </c>
      <c r="L823">
        <f t="shared" si="109"/>
        <v>0.29208416953924354</v>
      </c>
      <c r="M823">
        <f t="shared" si="110"/>
        <v>0.3929688075647349</v>
      </c>
      <c r="N823">
        <f t="shared" si="111"/>
        <v>0</v>
      </c>
      <c r="O823">
        <f t="shared" si="112"/>
        <v>1.0161228980654722</v>
      </c>
      <c r="P823">
        <f t="shared" si="113"/>
        <v>16.436411845346385</v>
      </c>
      <c r="Q823">
        <f t="shared" si="114"/>
        <v>3.0297519895951697E-2</v>
      </c>
      <c r="R823">
        <f t="shared" si="115"/>
        <v>6.0030073954170718E-2</v>
      </c>
      <c r="S823">
        <f t="shared" si="116"/>
        <v>0</v>
      </c>
    </row>
    <row r="824" spans="1:19" x14ac:dyDescent="0.3">
      <c r="A824" t="s">
        <v>270</v>
      </c>
      <c r="B824">
        <v>2009</v>
      </c>
      <c r="C824">
        <v>0.47043364579179359</v>
      </c>
      <c r="D824">
        <v>0.13692102442853391</v>
      </c>
      <c r="E824">
        <v>0.33020528414969252</v>
      </c>
      <c r="F824">
        <v>0.28650612314709178</v>
      </c>
      <c r="G824">
        <v>1.2489706719042106</v>
      </c>
      <c r="H824">
        <v>16.844944641580252</v>
      </c>
      <c r="I824">
        <v>3.0314750395819236E-2</v>
      </c>
      <c r="J824">
        <v>3.7997588941792768E-2</v>
      </c>
      <c r="K824" t="str">
        <f t="shared" si="108"/>
        <v>out</v>
      </c>
      <c r="L824">
        <f t="shared" si="109"/>
        <v>0.13692102442853391</v>
      </c>
      <c r="M824">
        <f t="shared" si="110"/>
        <v>0.33020528414969252</v>
      </c>
      <c r="N824">
        <f t="shared" si="111"/>
        <v>0.28650612314709178</v>
      </c>
      <c r="O824">
        <f t="shared" si="112"/>
        <v>1.2489706719042106</v>
      </c>
      <c r="P824">
        <f t="shared" si="113"/>
        <v>16.844944641580252</v>
      </c>
      <c r="Q824">
        <f t="shared" si="114"/>
        <v>3.0314750395819236E-2</v>
      </c>
      <c r="R824">
        <f t="shared" si="115"/>
        <v>3.7997588941792768E-2</v>
      </c>
      <c r="S824">
        <f t="shared" si="116"/>
        <v>0</v>
      </c>
    </row>
    <row r="825" spans="1:19" x14ac:dyDescent="0.3">
      <c r="A825" t="s">
        <v>270</v>
      </c>
      <c r="B825">
        <v>2010</v>
      </c>
      <c r="C825">
        <v>0.5805814208255955</v>
      </c>
      <c r="D825">
        <v>0.22492396164561362</v>
      </c>
      <c r="E825">
        <v>0.35250530634257632</v>
      </c>
      <c r="F825">
        <v>0.29759740098469034</v>
      </c>
      <c r="G825">
        <v>1.2673815387254859</v>
      </c>
      <c r="H825">
        <v>17.116455761573956</v>
      </c>
      <c r="I825">
        <v>2.7794217317695255E-2</v>
      </c>
      <c r="J825">
        <v>4.3444171365626075E-2</v>
      </c>
      <c r="K825" t="str">
        <f t="shared" si="108"/>
        <v>out</v>
      </c>
      <c r="L825">
        <f t="shared" si="109"/>
        <v>0.22492396164561362</v>
      </c>
      <c r="M825">
        <f t="shared" si="110"/>
        <v>0.35250530634257632</v>
      </c>
      <c r="N825">
        <f t="shared" si="111"/>
        <v>0.29759740098469034</v>
      </c>
      <c r="O825">
        <f t="shared" si="112"/>
        <v>1.2673815387254859</v>
      </c>
      <c r="P825">
        <f t="shared" si="113"/>
        <v>17.116455761573956</v>
      </c>
      <c r="Q825">
        <f t="shared" si="114"/>
        <v>2.7794217317695255E-2</v>
      </c>
      <c r="R825">
        <f t="shared" si="115"/>
        <v>4.3444171365626075E-2</v>
      </c>
      <c r="S825">
        <f t="shared" si="116"/>
        <v>0</v>
      </c>
    </row>
    <row r="826" spans="1:19" x14ac:dyDescent="0.3">
      <c r="A826" t="s">
        <v>271</v>
      </c>
      <c r="B826">
        <v>2007</v>
      </c>
      <c r="C826">
        <v>1.9498033626613183E-2</v>
      </c>
      <c r="D826">
        <v>0.14257324493432971</v>
      </c>
      <c r="E826">
        <v>0.32962886338573805</v>
      </c>
      <c r="F826">
        <v>3.2574943441622752E-3</v>
      </c>
      <c r="G826">
        <v>1.3788327359823662</v>
      </c>
      <c r="H826">
        <v>15.650381239453059</v>
      </c>
      <c r="I826">
        <v>1.7272266211532498E-2</v>
      </c>
      <c r="J826">
        <v>2.4932139525350221E-2</v>
      </c>
      <c r="K826">
        <f t="shared" si="108"/>
        <v>1.9498033626613183E-2</v>
      </c>
      <c r="L826">
        <f t="shared" si="109"/>
        <v>0.14257324493432971</v>
      </c>
      <c r="M826">
        <f t="shared" si="110"/>
        <v>0.32962886338573805</v>
      </c>
      <c r="N826">
        <f t="shared" si="111"/>
        <v>3.2574943441622752E-3</v>
      </c>
      <c r="O826">
        <f t="shared" si="112"/>
        <v>1.3788327359823662</v>
      </c>
      <c r="P826">
        <f t="shared" si="113"/>
        <v>15.650381239453059</v>
      </c>
      <c r="Q826">
        <f t="shared" si="114"/>
        <v>1.7272266211532498E-2</v>
      </c>
      <c r="R826">
        <f t="shared" si="115"/>
        <v>2.4932139525350221E-2</v>
      </c>
      <c r="S826">
        <f t="shared" si="116"/>
        <v>0</v>
      </c>
    </row>
    <row r="827" spans="1:19" x14ac:dyDescent="0.3">
      <c r="A827" t="s">
        <v>271</v>
      </c>
      <c r="B827">
        <v>2008</v>
      </c>
      <c r="C827">
        <v>3.4309988887965485E-2</v>
      </c>
      <c r="D827">
        <v>0.16195432563049375</v>
      </c>
      <c r="E827">
        <v>0.34999290018597112</v>
      </c>
      <c r="F827">
        <v>0</v>
      </c>
      <c r="G827">
        <v>0.9271941892700345</v>
      </c>
      <c r="H827">
        <v>15.79896363985992</v>
      </c>
      <c r="I827">
        <v>2.9741949551663274E-2</v>
      </c>
      <c r="J827">
        <v>8.3810139965403541E-2</v>
      </c>
      <c r="K827">
        <f t="shared" si="108"/>
        <v>3.4309988887965485E-2</v>
      </c>
      <c r="L827">
        <f t="shared" si="109"/>
        <v>0.16195432563049375</v>
      </c>
      <c r="M827">
        <f t="shared" si="110"/>
        <v>0.34999290018597112</v>
      </c>
      <c r="N827">
        <f t="shared" si="111"/>
        <v>0</v>
      </c>
      <c r="O827">
        <f t="shared" si="112"/>
        <v>0.9271941892700345</v>
      </c>
      <c r="P827">
        <f t="shared" si="113"/>
        <v>15.79896363985992</v>
      </c>
      <c r="Q827">
        <f t="shared" si="114"/>
        <v>2.9741949551663274E-2</v>
      </c>
      <c r="R827">
        <f t="shared" si="115"/>
        <v>8.3810139965403541E-2</v>
      </c>
      <c r="S827">
        <f t="shared" si="116"/>
        <v>0</v>
      </c>
    </row>
    <row r="828" spans="1:19" x14ac:dyDescent="0.3">
      <c r="A828" t="s">
        <v>271</v>
      </c>
      <c r="B828">
        <v>2009</v>
      </c>
      <c r="C828">
        <v>0.14457359622831462</v>
      </c>
      <c r="D828">
        <v>0.27466693139452597</v>
      </c>
      <c r="E828">
        <v>0.34028949650735169</v>
      </c>
      <c r="F828">
        <v>0</v>
      </c>
      <c r="G828">
        <v>1.7637162813498317</v>
      </c>
      <c r="H828">
        <v>15.760109419085801</v>
      </c>
      <c r="I828">
        <v>5.1868094526940432E-2</v>
      </c>
      <c r="J828">
        <v>0.15080304519050464</v>
      </c>
      <c r="K828">
        <f t="shared" si="108"/>
        <v>0.14457359622831462</v>
      </c>
      <c r="L828">
        <f t="shared" si="109"/>
        <v>0.27466693139452597</v>
      </c>
      <c r="M828">
        <f t="shared" si="110"/>
        <v>0.34028949650735169</v>
      </c>
      <c r="N828">
        <f t="shared" si="111"/>
        <v>0</v>
      </c>
      <c r="O828">
        <f t="shared" si="112"/>
        <v>1.7637162813498317</v>
      </c>
      <c r="P828">
        <f t="shared" si="113"/>
        <v>15.760109419085801</v>
      </c>
      <c r="Q828">
        <f t="shared" si="114"/>
        <v>5.1868094526940432E-2</v>
      </c>
      <c r="R828" t="str">
        <f t="shared" si="115"/>
        <v>out</v>
      </c>
      <c r="S828">
        <f t="shared" si="116"/>
        <v>1</v>
      </c>
    </row>
    <row r="829" spans="1:19" x14ac:dyDescent="0.3">
      <c r="A829" t="s">
        <v>271</v>
      </c>
      <c r="B829">
        <v>2010</v>
      </c>
      <c r="C829">
        <v>9.3966156641422119E-2</v>
      </c>
      <c r="D829">
        <v>0.3030909647566124</v>
      </c>
      <c r="E829">
        <v>0.25871719947534438</v>
      </c>
      <c r="F829">
        <v>0</v>
      </c>
      <c r="G829">
        <v>1.8271337931750578</v>
      </c>
      <c r="H829">
        <v>16.314757147585219</v>
      </c>
      <c r="I829">
        <v>1.3338964745331056E-2</v>
      </c>
      <c r="J829">
        <v>0.15636540864492254</v>
      </c>
      <c r="K829">
        <f t="shared" si="108"/>
        <v>9.3966156641422119E-2</v>
      </c>
      <c r="L829">
        <f t="shared" si="109"/>
        <v>0.3030909647566124</v>
      </c>
      <c r="M829">
        <f t="shared" si="110"/>
        <v>0.25871719947534438</v>
      </c>
      <c r="N829">
        <f t="shared" si="111"/>
        <v>0</v>
      </c>
      <c r="O829">
        <f t="shared" si="112"/>
        <v>1.8271337931750578</v>
      </c>
      <c r="P829">
        <f t="shared" si="113"/>
        <v>16.314757147585219</v>
      </c>
      <c r="Q829">
        <f t="shared" si="114"/>
        <v>1.3338964745331056E-2</v>
      </c>
      <c r="R829" t="str">
        <f t="shared" si="115"/>
        <v>out</v>
      </c>
      <c r="S829">
        <f t="shared" si="116"/>
        <v>1</v>
      </c>
    </row>
    <row r="830" spans="1:19" x14ac:dyDescent="0.3">
      <c r="A830" t="s">
        <v>272</v>
      </c>
      <c r="B830">
        <v>2007</v>
      </c>
      <c r="C830">
        <v>0.25866538511226911</v>
      </c>
      <c r="D830">
        <v>0.25308031281234766</v>
      </c>
      <c r="E830">
        <v>0.43544918888841777</v>
      </c>
      <c r="F830">
        <v>0</v>
      </c>
      <c r="G830">
        <v>1.6203929497465184</v>
      </c>
      <c r="H830">
        <v>16.869574803691396</v>
      </c>
      <c r="I830">
        <v>4.9179923491048251E-2</v>
      </c>
      <c r="J830">
        <v>1.940915330009612E-2</v>
      </c>
      <c r="K830">
        <f t="shared" si="108"/>
        <v>0.25866538511226911</v>
      </c>
      <c r="L830">
        <f t="shared" si="109"/>
        <v>0.25308031281234766</v>
      </c>
      <c r="M830">
        <f t="shared" si="110"/>
        <v>0.43544918888841777</v>
      </c>
      <c r="N830">
        <f t="shared" si="111"/>
        <v>0</v>
      </c>
      <c r="O830">
        <f t="shared" si="112"/>
        <v>1.6203929497465184</v>
      </c>
      <c r="P830">
        <f t="shared" si="113"/>
        <v>16.869574803691396</v>
      </c>
      <c r="Q830">
        <f t="shared" si="114"/>
        <v>4.9179923491048251E-2</v>
      </c>
      <c r="R830">
        <f t="shared" si="115"/>
        <v>1.940915330009612E-2</v>
      </c>
      <c r="S830">
        <f t="shared" si="116"/>
        <v>0</v>
      </c>
    </row>
    <row r="831" spans="1:19" x14ac:dyDescent="0.3">
      <c r="A831" t="s">
        <v>272</v>
      </c>
      <c r="B831">
        <v>2008</v>
      </c>
      <c r="C831">
        <v>0.14738858949231556</v>
      </c>
      <c r="D831">
        <v>0.11547673312262111</v>
      </c>
      <c r="E831">
        <v>0.54201223709896762</v>
      </c>
      <c r="F831">
        <v>0</v>
      </c>
      <c r="G831">
        <v>0.5517483675385374</v>
      </c>
      <c r="H831">
        <v>16.64614074501193</v>
      </c>
      <c r="I831">
        <v>2.4749618552102372E-2</v>
      </c>
      <c r="J831">
        <v>4.8536981552939253E-3</v>
      </c>
      <c r="K831">
        <f t="shared" si="108"/>
        <v>0.14738858949231556</v>
      </c>
      <c r="L831">
        <f t="shared" si="109"/>
        <v>0.11547673312262111</v>
      </c>
      <c r="M831">
        <f t="shared" si="110"/>
        <v>0.54201223709896762</v>
      </c>
      <c r="N831">
        <f t="shared" si="111"/>
        <v>0</v>
      </c>
      <c r="O831">
        <f t="shared" si="112"/>
        <v>0.5517483675385374</v>
      </c>
      <c r="P831">
        <f t="shared" si="113"/>
        <v>16.64614074501193</v>
      </c>
      <c r="Q831">
        <f t="shared" si="114"/>
        <v>2.4749618552102372E-2</v>
      </c>
      <c r="R831">
        <f t="shared" si="115"/>
        <v>4.8536981552939253E-3</v>
      </c>
      <c r="S831">
        <f t="shared" si="116"/>
        <v>0</v>
      </c>
    </row>
    <row r="832" spans="1:19" x14ac:dyDescent="0.3">
      <c r="A832" t="s">
        <v>272</v>
      </c>
      <c r="B832">
        <v>2009</v>
      </c>
      <c r="C832">
        <v>0.2008198016576371</v>
      </c>
      <c r="D832">
        <v>2.4057906626821633E-2</v>
      </c>
      <c r="E832">
        <v>0.5155548333476252</v>
      </c>
      <c r="F832">
        <v>4.5311058718940827E-3</v>
      </c>
      <c r="G832">
        <v>0.60328072908212127</v>
      </c>
      <c r="H832">
        <v>16.686571161105174</v>
      </c>
      <c r="I832">
        <v>5.3203364975041682E-3</v>
      </c>
      <c r="J832">
        <v>2.3306875828555187E-3</v>
      </c>
      <c r="K832">
        <f t="shared" si="108"/>
        <v>0.2008198016576371</v>
      </c>
      <c r="L832">
        <f t="shared" si="109"/>
        <v>2.4057906626821633E-2</v>
      </c>
      <c r="M832">
        <f t="shared" si="110"/>
        <v>0.5155548333476252</v>
      </c>
      <c r="N832">
        <f t="shared" si="111"/>
        <v>4.5311058718940827E-3</v>
      </c>
      <c r="O832">
        <f t="shared" si="112"/>
        <v>0.60328072908212127</v>
      </c>
      <c r="P832">
        <f t="shared" si="113"/>
        <v>16.686571161105174</v>
      </c>
      <c r="Q832">
        <f t="shared" si="114"/>
        <v>5.3203364975041682E-3</v>
      </c>
      <c r="R832">
        <f t="shared" si="115"/>
        <v>2.3306875828555187E-3</v>
      </c>
      <c r="S832">
        <f t="shared" si="116"/>
        <v>0</v>
      </c>
    </row>
    <row r="833" spans="1:19" x14ac:dyDescent="0.3">
      <c r="A833" t="s">
        <v>272</v>
      </c>
      <c r="B833">
        <v>2010</v>
      </c>
      <c r="C833">
        <v>0.15153926440040302</v>
      </c>
      <c r="D833">
        <v>3.8425611068964721E-2</v>
      </c>
      <c r="E833">
        <v>0.4966494659529555</v>
      </c>
      <c r="F833">
        <v>2.5973534838094488E-3</v>
      </c>
      <c r="G833">
        <v>0.54537332384987625</v>
      </c>
      <c r="H833">
        <v>16.773040527610203</v>
      </c>
      <c r="I833">
        <v>1.2152736202507102E-2</v>
      </c>
      <c r="J833">
        <v>2.1376219171751767E-3</v>
      </c>
      <c r="K833">
        <f t="shared" si="108"/>
        <v>0.15153926440040302</v>
      </c>
      <c r="L833">
        <f t="shared" si="109"/>
        <v>3.8425611068964721E-2</v>
      </c>
      <c r="M833">
        <f t="shared" si="110"/>
        <v>0.4966494659529555</v>
      </c>
      <c r="N833">
        <f t="shared" si="111"/>
        <v>2.5973534838094488E-3</v>
      </c>
      <c r="O833">
        <f t="shared" si="112"/>
        <v>0.54537332384987625</v>
      </c>
      <c r="P833">
        <f t="shared" si="113"/>
        <v>16.773040527610203</v>
      </c>
      <c r="Q833">
        <f t="shared" si="114"/>
        <v>1.2152736202507102E-2</v>
      </c>
      <c r="R833">
        <f t="shared" si="115"/>
        <v>2.1376219171751767E-3</v>
      </c>
      <c r="S833">
        <f t="shared" si="116"/>
        <v>0</v>
      </c>
    </row>
    <row r="834" spans="1:19" x14ac:dyDescent="0.3">
      <c r="A834" t="s">
        <v>273</v>
      </c>
      <c r="B834">
        <v>2007</v>
      </c>
      <c r="C834">
        <v>4.9690498716042711E-2</v>
      </c>
      <c r="D834">
        <v>0.24923097715907555</v>
      </c>
      <c r="E834">
        <v>0.15150966346803621</v>
      </c>
      <c r="F834">
        <v>3.4818218678199758E-2</v>
      </c>
      <c r="G834">
        <v>2.819459386403568</v>
      </c>
      <c r="H834">
        <v>12.821123140353697</v>
      </c>
      <c r="I834">
        <v>5.102175968355839E-2</v>
      </c>
      <c r="J834">
        <v>2.1297472631436682E-2</v>
      </c>
      <c r="K834">
        <f t="shared" si="108"/>
        <v>4.9690498716042711E-2</v>
      </c>
      <c r="L834">
        <f t="shared" si="109"/>
        <v>0.24923097715907555</v>
      </c>
      <c r="M834">
        <f t="shared" si="110"/>
        <v>0.15150966346803621</v>
      </c>
      <c r="N834">
        <f t="shared" si="111"/>
        <v>3.4818218678199758E-2</v>
      </c>
      <c r="O834">
        <f t="shared" si="112"/>
        <v>2.819459386403568</v>
      </c>
      <c r="P834">
        <f t="shared" si="113"/>
        <v>12.821123140353697</v>
      </c>
      <c r="Q834">
        <f t="shared" si="114"/>
        <v>5.102175968355839E-2</v>
      </c>
      <c r="R834">
        <f t="shared" si="115"/>
        <v>2.1297472631436682E-2</v>
      </c>
      <c r="S834">
        <f t="shared" si="116"/>
        <v>0</v>
      </c>
    </row>
    <row r="835" spans="1:19" x14ac:dyDescent="0.3">
      <c r="A835" t="s">
        <v>273</v>
      </c>
      <c r="B835">
        <v>2009</v>
      </c>
      <c r="C835">
        <v>3.2685835588532927E-2</v>
      </c>
      <c r="D835">
        <v>6.8590481025008823E-2</v>
      </c>
      <c r="E835">
        <v>0.22165782716326107</v>
      </c>
      <c r="F835">
        <v>6.9221717160063683E-3</v>
      </c>
      <c r="G835">
        <v>0.94152923958295576</v>
      </c>
      <c r="H835">
        <v>13.315865531066088</v>
      </c>
      <c r="I835">
        <v>2.7658834926606497E-2</v>
      </c>
      <c r="J835">
        <v>0</v>
      </c>
      <c r="K835">
        <f t="shared" ref="K835:K898" si="117">IF(OR(C835&lt;$C$1007-3*$C$1008,C835&gt;$C$1007+3*$C$1008),"out",C835)</f>
        <v>3.2685835588532927E-2</v>
      </c>
      <c r="L835">
        <f t="shared" ref="L835:L898" si="118">IF(OR(D835&lt;$D$1007-3*$D$1008,D835&gt;$D$1007+3*$D$1008),"out",D835)</f>
        <v>6.8590481025008823E-2</v>
      </c>
      <c r="M835">
        <f t="shared" ref="M835:M898" si="119">IF(OR(E835&lt;$E$1007-3*$E$1008,E835&gt;$E$1007+3*$E$1008),"out",E835)</f>
        <v>0.22165782716326107</v>
      </c>
      <c r="N835">
        <f t="shared" ref="N835:N898" si="120">IF(OR(F835&lt;$F$1007-3*$F$1008,F835&gt;$F$1007+3*$F$1008),"out",F835)</f>
        <v>6.9221717160063683E-3</v>
      </c>
      <c r="O835">
        <f t="shared" ref="O835:O898" si="121">IF(OR(G835&lt;$G$1007-3*$G$1008,G835&gt;$G$1007+3*$G$1008),"out",G835)</f>
        <v>0.94152923958295576</v>
      </c>
      <c r="P835">
        <f t="shared" ref="P835:P898" si="122">IF(OR(H835&lt;$H$1007-3*$H$1008,H835&gt;$H$1007+3*$H$1008),"out",H835)</f>
        <v>13.315865531066088</v>
      </c>
      <c r="Q835">
        <f t="shared" ref="Q835:Q898" si="123">IF(OR(I835&lt;$I$1007-3*$I$1008,I835&gt;$I$1007+3*$I$1008),"out",I835)</f>
        <v>2.7658834926606497E-2</v>
      </c>
      <c r="R835">
        <f t="shared" ref="R835:R898" si="124">IF(OR(J835&lt;$J$1007-3*$J$1008,J835&gt;$J$1007+3*$J$1008),"out",J835)</f>
        <v>0</v>
      </c>
      <c r="S835">
        <f t="shared" ref="S835:S898" si="125">IF(OR(K835="ot",L835="out",M835="out",N835="out",O835="out",P835="out",Q835="out",R835="out"),1,0)</f>
        <v>0</v>
      </c>
    </row>
    <row r="836" spans="1:19" x14ac:dyDescent="0.3">
      <c r="A836" t="s">
        <v>273</v>
      </c>
      <c r="B836">
        <v>2010</v>
      </c>
      <c r="C836">
        <v>1.1748331683980462E-2</v>
      </c>
      <c r="D836">
        <v>0.12714923027259303</v>
      </c>
      <c r="E836">
        <v>0.23501558506162581</v>
      </c>
      <c r="F836">
        <v>9.7053391404666525E-2</v>
      </c>
      <c r="G836">
        <v>0.86922982276953686</v>
      </c>
      <c r="H836">
        <v>13.535600868801005</v>
      </c>
      <c r="I836">
        <v>1.892018936938954E-2</v>
      </c>
      <c r="J836">
        <v>1.6512491863486502E-2</v>
      </c>
      <c r="K836">
        <f t="shared" si="117"/>
        <v>1.1748331683980462E-2</v>
      </c>
      <c r="L836">
        <f t="shared" si="118"/>
        <v>0.12714923027259303</v>
      </c>
      <c r="M836">
        <f t="shared" si="119"/>
        <v>0.23501558506162581</v>
      </c>
      <c r="N836">
        <f t="shared" si="120"/>
        <v>9.7053391404666525E-2</v>
      </c>
      <c r="O836">
        <f t="shared" si="121"/>
        <v>0.86922982276953686</v>
      </c>
      <c r="P836">
        <f t="shared" si="122"/>
        <v>13.535600868801005</v>
      </c>
      <c r="Q836">
        <f t="shared" si="123"/>
        <v>1.892018936938954E-2</v>
      </c>
      <c r="R836">
        <f t="shared" si="124"/>
        <v>1.6512491863486502E-2</v>
      </c>
      <c r="S836">
        <f t="shared" si="125"/>
        <v>0</v>
      </c>
    </row>
    <row r="837" spans="1:19" x14ac:dyDescent="0.3">
      <c r="A837" t="s">
        <v>274</v>
      </c>
      <c r="B837">
        <v>2007</v>
      </c>
      <c r="C837">
        <v>6.8544456415781645E-3</v>
      </c>
      <c r="D837">
        <v>0.36763634497973424</v>
      </c>
      <c r="E837">
        <v>-0.65779077522959317</v>
      </c>
      <c r="F837">
        <v>0.24251192858242265</v>
      </c>
      <c r="G837">
        <v>0.75395259350469457</v>
      </c>
      <c r="H837">
        <v>11.487146011982741</v>
      </c>
      <c r="I837">
        <v>4.0265879328096471E-3</v>
      </c>
      <c r="J837">
        <v>0</v>
      </c>
      <c r="K837">
        <f t="shared" si="117"/>
        <v>6.8544456415781645E-3</v>
      </c>
      <c r="L837">
        <f t="shared" si="118"/>
        <v>0.36763634497973424</v>
      </c>
      <c r="M837">
        <f t="shared" si="119"/>
        <v>-0.65779077522959317</v>
      </c>
      <c r="N837">
        <f t="shared" si="120"/>
        <v>0.24251192858242265</v>
      </c>
      <c r="O837">
        <f t="shared" si="121"/>
        <v>0.75395259350469457</v>
      </c>
      <c r="P837">
        <f t="shared" si="122"/>
        <v>11.487146011982741</v>
      </c>
      <c r="Q837">
        <f t="shared" si="123"/>
        <v>4.0265879328096471E-3</v>
      </c>
      <c r="R837">
        <f t="shared" si="124"/>
        <v>0</v>
      </c>
      <c r="S837">
        <f t="shared" si="125"/>
        <v>0</v>
      </c>
    </row>
    <row r="838" spans="1:19" x14ac:dyDescent="0.3">
      <c r="A838" t="s">
        <v>274</v>
      </c>
      <c r="B838">
        <v>2010</v>
      </c>
      <c r="C838">
        <v>3.6056380793335265E-4</v>
      </c>
      <c r="D838">
        <v>3.8817540480403832E-2</v>
      </c>
      <c r="E838">
        <v>-9.8163496709855247E-2</v>
      </c>
      <c r="F838">
        <v>0.25121334465630202</v>
      </c>
      <c r="G838">
        <v>0.77190069313647813</v>
      </c>
      <c r="H838">
        <v>12.258574958759812</v>
      </c>
      <c r="I838">
        <v>5.8669879523900147E-2</v>
      </c>
      <c r="J838">
        <v>0</v>
      </c>
      <c r="K838">
        <f t="shared" si="117"/>
        <v>3.6056380793335265E-4</v>
      </c>
      <c r="L838">
        <f t="shared" si="118"/>
        <v>3.8817540480403832E-2</v>
      </c>
      <c r="M838">
        <f t="shared" si="119"/>
        <v>-9.8163496709855247E-2</v>
      </c>
      <c r="N838">
        <f t="shared" si="120"/>
        <v>0.25121334465630202</v>
      </c>
      <c r="O838">
        <f t="shared" si="121"/>
        <v>0.77190069313647813</v>
      </c>
      <c r="P838">
        <f t="shared" si="122"/>
        <v>12.258574958759812</v>
      </c>
      <c r="Q838">
        <f t="shared" si="123"/>
        <v>5.8669879523900147E-2</v>
      </c>
      <c r="R838">
        <f t="shared" si="124"/>
        <v>0</v>
      </c>
      <c r="S838">
        <f t="shared" si="125"/>
        <v>0</v>
      </c>
    </row>
    <row r="839" spans="1:19" x14ac:dyDescent="0.3">
      <c r="A839" t="s">
        <v>275</v>
      </c>
      <c r="B839">
        <v>2007</v>
      </c>
      <c r="C839">
        <v>6.167710702478349E-2</v>
      </c>
      <c r="D839">
        <v>2.7378996549388777E-2</v>
      </c>
      <c r="E839">
        <v>-1.7562773589084906E-2</v>
      </c>
      <c r="F839">
        <v>8.1364361105493693E-2</v>
      </c>
      <c r="G839">
        <v>1.0229322160168504</v>
      </c>
      <c r="H839">
        <v>17.155744318689617</v>
      </c>
      <c r="I839">
        <v>1.4435885002924906E-4</v>
      </c>
      <c r="J839">
        <v>0</v>
      </c>
      <c r="K839">
        <f t="shared" si="117"/>
        <v>6.167710702478349E-2</v>
      </c>
      <c r="L839">
        <f t="shared" si="118"/>
        <v>2.7378996549388777E-2</v>
      </c>
      <c r="M839">
        <f t="shared" si="119"/>
        <v>-1.7562773589084906E-2</v>
      </c>
      <c r="N839">
        <f t="shared" si="120"/>
        <v>8.1364361105493693E-2</v>
      </c>
      <c r="O839">
        <f t="shared" si="121"/>
        <v>1.0229322160168504</v>
      </c>
      <c r="P839">
        <f t="shared" si="122"/>
        <v>17.155744318689617</v>
      </c>
      <c r="Q839">
        <f t="shared" si="123"/>
        <v>1.4435885002924906E-4</v>
      </c>
      <c r="R839">
        <f t="shared" si="124"/>
        <v>0</v>
      </c>
      <c r="S839">
        <f t="shared" si="125"/>
        <v>0</v>
      </c>
    </row>
    <row r="840" spans="1:19" x14ac:dyDescent="0.3">
      <c r="A840" t="s">
        <v>275</v>
      </c>
      <c r="B840">
        <v>2008</v>
      </c>
      <c r="C840">
        <v>3.4963674197888074E-2</v>
      </c>
      <c r="D840">
        <v>7.4902460607649379E-2</v>
      </c>
      <c r="E840">
        <v>-5.6104795423229339E-2</v>
      </c>
      <c r="F840">
        <v>9.6695137800679884E-2</v>
      </c>
      <c r="G840">
        <v>0.88562390323205409</v>
      </c>
      <c r="H840">
        <v>17.238784450277439</v>
      </c>
      <c r="I840">
        <v>1.0250005210579378E-2</v>
      </c>
      <c r="J840">
        <v>0</v>
      </c>
      <c r="K840">
        <f t="shared" si="117"/>
        <v>3.4963674197888074E-2</v>
      </c>
      <c r="L840">
        <f t="shared" si="118"/>
        <v>7.4902460607649379E-2</v>
      </c>
      <c r="M840">
        <f t="shared" si="119"/>
        <v>-5.6104795423229339E-2</v>
      </c>
      <c r="N840">
        <f t="shared" si="120"/>
        <v>9.6695137800679884E-2</v>
      </c>
      <c r="O840">
        <f t="shared" si="121"/>
        <v>0.88562390323205409</v>
      </c>
      <c r="P840">
        <f t="shared" si="122"/>
        <v>17.238784450277439</v>
      </c>
      <c r="Q840">
        <f t="shared" si="123"/>
        <v>1.0250005210579378E-2</v>
      </c>
      <c r="R840">
        <f t="shared" si="124"/>
        <v>0</v>
      </c>
      <c r="S840">
        <f t="shared" si="125"/>
        <v>0</v>
      </c>
    </row>
    <row r="841" spans="1:19" x14ac:dyDescent="0.3">
      <c r="A841" t="s">
        <v>275</v>
      </c>
      <c r="B841">
        <v>2009</v>
      </c>
      <c r="C841">
        <v>5.4247589883690849E-2</v>
      </c>
      <c r="D841">
        <v>0.10358897299391824</v>
      </c>
      <c r="E841">
        <v>3.5925270495086203E-2</v>
      </c>
      <c r="F841">
        <v>0.61451070210517267</v>
      </c>
      <c r="G841">
        <v>0.85487655038593857</v>
      </c>
      <c r="H841">
        <v>17.328223941348117</v>
      </c>
      <c r="I841">
        <v>2.5992943222388279E-3</v>
      </c>
      <c r="J841">
        <v>0</v>
      </c>
      <c r="K841">
        <f t="shared" si="117"/>
        <v>5.4247589883690849E-2</v>
      </c>
      <c r="L841">
        <f t="shared" si="118"/>
        <v>0.10358897299391824</v>
      </c>
      <c r="M841">
        <f t="shared" si="119"/>
        <v>3.5925270495086203E-2</v>
      </c>
      <c r="N841">
        <f t="shared" si="120"/>
        <v>0.61451070210517267</v>
      </c>
      <c r="O841">
        <f t="shared" si="121"/>
        <v>0.85487655038593857</v>
      </c>
      <c r="P841">
        <f t="shared" si="122"/>
        <v>17.328223941348117</v>
      </c>
      <c r="Q841">
        <f t="shared" si="123"/>
        <v>2.5992943222388279E-3</v>
      </c>
      <c r="R841">
        <f t="shared" si="124"/>
        <v>0</v>
      </c>
      <c r="S841">
        <f t="shared" si="125"/>
        <v>0</v>
      </c>
    </row>
    <row r="842" spans="1:19" x14ac:dyDescent="0.3">
      <c r="A842" t="s">
        <v>275</v>
      </c>
      <c r="B842">
        <v>2010</v>
      </c>
      <c r="C842">
        <v>9.5397455783520178E-3</v>
      </c>
      <c r="D842">
        <v>0.10160363188033873</v>
      </c>
      <c r="E842">
        <v>9.1615273828646676E-2</v>
      </c>
      <c r="F842">
        <v>0.50880020286631</v>
      </c>
      <c r="G842">
        <v>0.76480401970044642</v>
      </c>
      <c r="H842">
        <v>17.334908902753774</v>
      </c>
      <c r="I842">
        <v>7.5643282355067863E-3</v>
      </c>
      <c r="J842">
        <v>0</v>
      </c>
      <c r="K842">
        <f t="shared" si="117"/>
        <v>9.5397455783520178E-3</v>
      </c>
      <c r="L842">
        <f t="shared" si="118"/>
        <v>0.10160363188033873</v>
      </c>
      <c r="M842">
        <f t="shared" si="119"/>
        <v>9.1615273828646676E-2</v>
      </c>
      <c r="N842">
        <f t="shared" si="120"/>
        <v>0.50880020286631</v>
      </c>
      <c r="O842">
        <f t="shared" si="121"/>
        <v>0.76480401970044642</v>
      </c>
      <c r="P842">
        <f t="shared" si="122"/>
        <v>17.334908902753774</v>
      </c>
      <c r="Q842">
        <f t="shared" si="123"/>
        <v>7.5643282355067863E-3</v>
      </c>
      <c r="R842">
        <f t="shared" si="124"/>
        <v>0</v>
      </c>
      <c r="S842">
        <f t="shared" si="125"/>
        <v>0</v>
      </c>
    </row>
    <row r="843" spans="1:19" x14ac:dyDescent="0.3">
      <c r="A843" t="s">
        <v>276</v>
      </c>
      <c r="B843">
        <v>2010</v>
      </c>
      <c r="C843">
        <v>1.5200154270222444E-3</v>
      </c>
      <c r="D843">
        <v>8.2670689792075508E-2</v>
      </c>
      <c r="E843">
        <v>0.21904670077248545</v>
      </c>
      <c r="F843">
        <v>0</v>
      </c>
      <c r="G843">
        <v>0.50093583039350253</v>
      </c>
      <c r="H843">
        <v>12.080021775329573</v>
      </c>
      <c r="I843">
        <v>3.0788548782005772E-3</v>
      </c>
      <c r="J843">
        <v>9.0747189672969811E-3</v>
      </c>
      <c r="K843">
        <f t="shared" si="117"/>
        <v>1.5200154270222444E-3</v>
      </c>
      <c r="L843">
        <f t="shared" si="118"/>
        <v>8.2670689792075508E-2</v>
      </c>
      <c r="M843">
        <f t="shared" si="119"/>
        <v>0.21904670077248545</v>
      </c>
      <c r="N843">
        <f t="shared" si="120"/>
        <v>0</v>
      </c>
      <c r="O843">
        <f t="shared" si="121"/>
        <v>0.50093583039350253</v>
      </c>
      <c r="P843">
        <f t="shared" si="122"/>
        <v>12.080021775329573</v>
      </c>
      <c r="Q843">
        <f t="shared" si="123"/>
        <v>3.0788548782005772E-3</v>
      </c>
      <c r="R843">
        <f t="shared" si="124"/>
        <v>9.0747189672969811E-3</v>
      </c>
      <c r="S843">
        <f t="shared" si="125"/>
        <v>0</v>
      </c>
    </row>
    <row r="844" spans="1:19" x14ac:dyDescent="0.3">
      <c r="A844" t="s">
        <v>277</v>
      </c>
      <c r="B844">
        <v>2007</v>
      </c>
      <c r="C844">
        <v>1.1001276193769946E-3</v>
      </c>
      <c r="D844">
        <v>6.7144369956140662E-2</v>
      </c>
      <c r="E844">
        <v>-1.2664472508956937E-2</v>
      </c>
      <c r="F844">
        <v>3.4291741039847827E-2</v>
      </c>
      <c r="G844">
        <v>1.0611983073640525</v>
      </c>
      <c r="H844">
        <v>15.761044922135577</v>
      </c>
      <c r="I844">
        <v>3.3749060105972561E-3</v>
      </c>
      <c r="J844">
        <v>0</v>
      </c>
      <c r="K844">
        <f t="shared" si="117"/>
        <v>1.1001276193769946E-3</v>
      </c>
      <c r="L844">
        <f t="shared" si="118"/>
        <v>6.7144369956140662E-2</v>
      </c>
      <c r="M844">
        <f t="shared" si="119"/>
        <v>-1.2664472508956937E-2</v>
      </c>
      <c r="N844">
        <f t="shared" si="120"/>
        <v>3.4291741039847827E-2</v>
      </c>
      <c r="O844">
        <f t="shared" si="121"/>
        <v>1.0611983073640525</v>
      </c>
      <c r="P844">
        <f t="shared" si="122"/>
        <v>15.761044922135577</v>
      </c>
      <c r="Q844">
        <f t="shared" si="123"/>
        <v>3.3749060105972561E-3</v>
      </c>
      <c r="R844">
        <f t="shared" si="124"/>
        <v>0</v>
      </c>
      <c r="S844">
        <f t="shared" si="125"/>
        <v>0</v>
      </c>
    </row>
    <row r="845" spans="1:19" x14ac:dyDescent="0.3">
      <c r="A845" t="s">
        <v>277</v>
      </c>
      <c r="B845">
        <v>2008</v>
      </c>
      <c r="C845">
        <v>2.9367032112761083E-3</v>
      </c>
      <c r="D845">
        <v>5.5509424136080461E-2</v>
      </c>
      <c r="E845">
        <v>-3.8346615575319382E-3</v>
      </c>
      <c r="F845">
        <v>4.6331559104419349E-2</v>
      </c>
      <c r="G845">
        <v>0.97075579144488811</v>
      </c>
      <c r="H845">
        <v>15.777876423125253</v>
      </c>
      <c r="I845">
        <v>2.142481733592231E-2</v>
      </c>
      <c r="J845">
        <v>0</v>
      </c>
      <c r="K845">
        <f t="shared" si="117"/>
        <v>2.9367032112761083E-3</v>
      </c>
      <c r="L845">
        <f t="shared" si="118"/>
        <v>5.5509424136080461E-2</v>
      </c>
      <c r="M845">
        <f t="shared" si="119"/>
        <v>-3.8346615575319382E-3</v>
      </c>
      <c r="N845">
        <f t="shared" si="120"/>
        <v>4.6331559104419349E-2</v>
      </c>
      <c r="O845">
        <f t="shared" si="121"/>
        <v>0.97075579144488811</v>
      </c>
      <c r="P845">
        <f t="shared" si="122"/>
        <v>15.777876423125253</v>
      </c>
      <c r="Q845">
        <f t="shared" si="123"/>
        <v>2.142481733592231E-2</v>
      </c>
      <c r="R845">
        <f t="shared" si="124"/>
        <v>0</v>
      </c>
      <c r="S845">
        <f t="shared" si="125"/>
        <v>0</v>
      </c>
    </row>
    <row r="846" spans="1:19" x14ac:dyDescent="0.3">
      <c r="A846" t="s">
        <v>277</v>
      </c>
      <c r="B846">
        <v>2009</v>
      </c>
      <c r="C846">
        <v>3.8642970124252874E-3</v>
      </c>
      <c r="D846">
        <v>0.12897942805418042</v>
      </c>
      <c r="E846">
        <v>-0.12330056317393069</v>
      </c>
      <c r="F846">
        <v>0.8311066111113703</v>
      </c>
      <c r="G846">
        <v>1.0425150063067392</v>
      </c>
      <c r="H846">
        <v>15.67642755178988</v>
      </c>
      <c r="I846">
        <v>6.7916181206368956E-3</v>
      </c>
      <c r="J846">
        <v>0</v>
      </c>
      <c r="K846">
        <f t="shared" si="117"/>
        <v>3.8642970124252874E-3</v>
      </c>
      <c r="L846">
        <f t="shared" si="118"/>
        <v>0.12897942805418042</v>
      </c>
      <c r="M846">
        <f t="shared" si="119"/>
        <v>-0.12330056317393069</v>
      </c>
      <c r="N846">
        <f t="shared" si="120"/>
        <v>0.8311066111113703</v>
      </c>
      <c r="O846">
        <f t="shared" si="121"/>
        <v>1.0425150063067392</v>
      </c>
      <c r="P846">
        <f t="shared" si="122"/>
        <v>15.67642755178988</v>
      </c>
      <c r="Q846">
        <f t="shared" si="123"/>
        <v>6.7916181206368956E-3</v>
      </c>
      <c r="R846">
        <f t="shared" si="124"/>
        <v>0</v>
      </c>
      <c r="S846">
        <f t="shared" si="125"/>
        <v>0</v>
      </c>
    </row>
    <row r="847" spans="1:19" x14ac:dyDescent="0.3">
      <c r="A847" t="s">
        <v>277</v>
      </c>
      <c r="B847">
        <v>2010</v>
      </c>
      <c r="C847">
        <v>2.8445045100314141E-2</v>
      </c>
      <c r="D847">
        <v>8.8608139837910563E-2</v>
      </c>
      <c r="E847">
        <v>-0.13211944539746867</v>
      </c>
      <c r="F847">
        <v>0.62229102326791108</v>
      </c>
      <c r="G847">
        <v>0.95882471104892619</v>
      </c>
      <c r="H847">
        <v>15.864354480519097</v>
      </c>
      <c r="I847">
        <v>3.9648321023309563E-2</v>
      </c>
      <c r="J847">
        <v>0</v>
      </c>
      <c r="K847">
        <f t="shared" si="117"/>
        <v>2.8445045100314141E-2</v>
      </c>
      <c r="L847">
        <f t="shared" si="118"/>
        <v>8.8608139837910563E-2</v>
      </c>
      <c r="M847">
        <f t="shared" si="119"/>
        <v>-0.13211944539746867</v>
      </c>
      <c r="N847">
        <f t="shared" si="120"/>
        <v>0.62229102326791108</v>
      </c>
      <c r="O847">
        <f t="shared" si="121"/>
        <v>0.95882471104892619</v>
      </c>
      <c r="P847">
        <f t="shared" si="122"/>
        <v>15.864354480519097</v>
      </c>
      <c r="Q847">
        <f t="shared" si="123"/>
        <v>3.9648321023309563E-2</v>
      </c>
      <c r="R847">
        <f t="shared" si="124"/>
        <v>0</v>
      </c>
      <c r="S847">
        <f t="shared" si="125"/>
        <v>0</v>
      </c>
    </row>
    <row r="848" spans="1:19" x14ac:dyDescent="0.3">
      <c r="A848" t="s">
        <v>278</v>
      </c>
      <c r="B848">
        <v>2007</v>
      </c>
      <c r="C848">
        <v>5.0921703211980897E-2</v>
      </c>
      <c r="D848">
        <v>0.19770661643592244</v>
      </c>
      <c r="E848">
        <v>-0.36148735663006287</v>
      </c>
      <c r="F848">
        <v>0.12146365493096904</v>
      </c>
      <c r="G848">
        <v>1.0357982126960297</v>
      </c>
      <c r="H848">
        <v>18.163476649875786</v>
      </c>
      <c r="I848">
        <v>4.3897857501826593E-3</v>
      </c>
      <c r="J848">
        <v>0</v>
      </c>
      <c r="K848">
        <f t="shared" si="117"/>
        <v>5.0921703211980897E-2</v>
      </c>
      <c r="L848">
        <f t="shared" si="118"/>
        <v>0.19770661643592244</v>
      </c>
      <c r="M848">
        <f t="shared" si="119"/>
        <v>-0.36148735663006287</v>
      </c>
      <c r="N848">
        <f t="shared" si="120"/>
        <v>0.12146365493096904</v>
      </c>
      <c r="O848">
        <f t="shared" si="121"/>
        <v>1.0357982126960297</v>
      </c>
      <c r="P848">
        <f t="shared" si="122"/>
        <v>18.163476649875786</v>
      </c>
      <c r="Q848">
        <f t="shared" si="123"/>
        <v>4.3897857501826593E-3</v>
      </c>
      <c r="R848">
        <f t="shared" si="124"/>
        <v>0</v>
      </c>
      <c r="S848">
        <f t="shared" si="125"/>
        <v>0</v>
      </c>
    </row>
    <row r="849" spans="1:19" x14ac:dyDescent="0.3">
      <c r="A849" t="s">
        <v>278</v>
      </c>
      <c r="B849">
        <v>2008</v>
      </c>
      <c r="C849">
        <v>2.5077958874260994E-2</v>
      </c>
      <c r="D849">
        <v>0.20692650991944975</v>
      </c>
      <c r="E849">
        <v>-0.5267017289597582</v>
      </c>
      <c r="F849">
        <v>6.7200693044650109E-2</v>
      </c>
      <c r="G849">
        <v>1.0282500907299337</v>
      </c>
      <c r="H849">
        <v>18.348923451400605</v>
      </c>
      <c r="I849">
        <v>1.9787926581282318E-2</v>
      </c>
      <c r="J849">
        <v>0</v>
      </c>
      <c r="K849">
        <f t="shared" si="117"/>
        <v>2.5077958874260994E-2</v>
      </c>
      <c r="L849">
        <f t="shared" si="118"/>
        <v>0.20692650991944975</v>
      </c>
      <c r="M849">
        <f t="shared" si="119"/>
        <v>-0.5267017289597582</v>
      </c>
      <c r="N849">
        <f t="shared" si="120"/>
        <v>6.7200693044650109E-2</v>
      </c>
      <c r="O849">
        <f t="shared" si="121"/>
        <v>1.0282500907299337</v>
      </c>
      <c r="P849">
        <f t="shared" si="122"/>
        <v>18.348923451400605</v>
      </c>
      <c r="Q849">
        <f t="shared" si="123"/>
        <v>1.9787926581282318E-2</v>
      </c>
      <c r="R849">
        <f t="shared" si="124"/>
        <v>0</v>
      </c>
      <c r="S849">
        <f t="shared" si="125"/>
        <v>0</v>
      </c>
    </row>
    <row r="850" spans="1:19" x14ac:dyDescent="0.3">
      <c r="A850" t="s">
        <v>278</v>
      </c>
      <c r="B850">
        <v>2009</v>
      </c>
      <c r="C850">
        <v>8.5469145489466426E-3</v>
      </c>
      <c r="D850">
        <v>0.13973989728140426</v>
      </c>
      <c r="E850">
        <v>-8.5973345263176071E-2</v>
      </c>
      <c r="F850">
        <v>0.44140794569334441</v>
      </c>
      <c r="G850">
        <v>1.0823190376101031</v>
      </c>
      <c r="H850">
        <v>18.697825991021681</v>
      </c>
      <c r="I850">
        <v>1.8107322717628296E-2</v>
      </c>
      <c r="J850">
        <v>0</v>
      </c>
      <c r="K850">
        <f t="shared" si="117"/>
        <v>8.5469145489466426E-3</v>
      </c>
      <c r="L850">
        <f t="shared" si="118"/>
        <v>0.13973989728140426</v>
      </c>
      <c r="M850">
        <f t="shared" si="119"/>
        <v>-8.5973345263176071E-2</v>
      </c>
      <c r="N850">
        <f t="shared" si="120"/>
        <v>0.44140794569334441</v>
      </c>
      <c r="O850">
        <f t="shared" si="121"/>
        <v>1.0823190376101031</v>
      </c>
      <c r="P850">
        <f t="shared" si="122"/>
        <v>18.697825991021681</v>
      </c>
      <c r="Q850">
        <f t="shared" si="123"/>
        <v>1.8107322717628296E-2</v>
      </c>
      <c r="R850">
        <f t="shared" si="124"/>
        <v>0</v>
      </c>
      <c r="S850">
        <f t="shared" si="125"/>
        <v>0</v>
      </c>
    </row>
    <row r="851" spans="1:19" x14ac:dyDescent="0.3">
      <c r="A851" t="s">
        <v>278</v>
      </c>
      <c r="B851">
        <v>2010</v>
      </c>
      <c r="C851">
        <v>5.7285887191231375E-3</v>
      </c>
      <c r="D851">
        <v>9.0503132652182211E-2</v>
      </c>
      <c r="E851">
        <v>-0.13289974336883481</v>
      </c>
      <c r="F851">
        <v>0.25738345714249139</v>
      </c>
      <c r="G851">
        <v>0.94255422767529884</v>
      </c>
      <c r="H851">
        <v>19.151265789720867</v>
      </c>
      <c r="I851">
        <v>1.1563368986645523E-2</v>
      </c>
      <c r="J851">
        <v>0</v>
      </c>
      <c r="K851">
        <f t="shared" si="117"/>
        <v>5.7285887191231375E-3</v>
      </c>
      <c r="L851">
        <f t="shared" si="118"/>
        <v>9.0503132652182211E-2</v>
      </c>
      <c r="M851">
        <f t="shared" si="119"/>
        <v>-0.13289974336883481</v>
      </c>
      <c r="N851">
        <f t="shared" si="120"/>
        <v>0.25738345714249139</v>
      </c>
      <c r="O851">
        <f t="shared" si="121"/>
        <v>0.94255422767529884</v>
      </c>
      <c r="P851">
        <f t="shared" si="122"/>
        <v>19.151265789720867</v>
      </c>
      <c r="Q851">
        <f t="shared" si="123"/>
        <v>1.1563368986645523E-2</v>
      </c>
      <c r="R851">
        <f t="shared" si="124"/>
        <v>0</v>
      </c>
      <c r="S851">
        <f t="shared" si="125"/>
        <v>0</v>
      </c>
    </row>
    <row r="852" spans="1:19" x14ac:dyDescent="0.3">
      <c r="A852" t="s">
        <v>279</v>
      </c>
      <c r="B852">
        <v>2007</v>
      </c>
      <c r="C852">
        <v>5.5325176102646978E-2</v>
      </c>
      <c r="D852">
        <v>0.14897280175460353</v>
      </c>
      <c r="E852">
        <v>0.22374740093235557</v>
      </c>
      <c r="F852">
        <v>7.1111158070581201E-2</v>
      </c>
      <c r="G852">
        <v>0.8692386615587121</v>
      </c>
      <c r="H852">
        <v>15.788613883971127</v>
      </c>
      <c r="I852">
        <v>9.9219861067435453E-3</v>
      </c>
      <c r="J852">
        <v>3.5338422380537422E-2</v>
      </c>
      <c r="K852">
        <f t="shared" si="117"/>
        <v>5.5325176102646978E-2</v>
      </c>
      <c r="L852">
        <f t="shared" si="118"/>
        <v>0.14897280175460353</v>
      </c>
      <c r="M852">
        <f t="shared" si="119"/>
        <v>0.22374740093235557</v>
      </c>
      <c r="N852">
        <f t="shared" si="120"/>
        <v>7.1111158070581201E-2</v>
      </c>
      <c r="O852">
        <f t="shared" si="121"/>
        <v>0.8692386615587121</v>
      </c>
      <c r="P852">
        <f t="shared" si="122"/>
        <v>15.788613883971127</v>
      </c>
      <c r="Q852">
        <f t="shared" si="123"/>
        <v>9.9219861067435453E-3</v>
      </c>
      <c r="R852">
        <f t="shared" si="124"/>
        <v>3.5338422380537422E-2</v>
      </c>
      <c r="S852">
        <f t="shared" si="125"/>
        <v>0</v>
      </c>
    </row>
    <row r="853" spans="1:19" x14ac:dyDescent="0.3">
      <c r="A853" t="s">
        <v>279</v>
      </c>
      <c r="B853">
        <v>2008</v>
      </c>
      <c r="C853">
        <v>1.8943412914942174E-2</v>
      </c>
      <c r="D853">
        <v>0.12401395604249152</v>
      </c>
      <c r="E853">
        <v>0.26697363686383963</v>
      </c>
      <c r="F853">
        <v>7.8699247447498247E-2</v>
      </c>
      <c r="G853">
        <v>0.55135271917353856</v>
      </c>
      <c r="H853">
        <v>15.810669813477942</v>
      </c>
      <c r="I853">
        <v>1.2368398453485379E-2</v>
      </c>
      <c r="J853">
        <v>4.608999895830132E-2</v>
      </c>
      <c r="K853">
        <f t="shared" si="117"/>
        <v>1.8943412914942174E-2</v>
      </c>
      <c r="L853">
        <f t="shared" si="118"/>
        <v>0.12401395604249152</v>
      </c>
      <c r="M853">
        <f t="shared" si="119"/>
        <v>0.26697363686383963</v>
      </c>
      <c r="N853">
        <f t="shared" si="120"/>
        <v>7.8699247447498247E-2</v>
      </c>
      <c r="O853">
        <f t="shared" si="121"/>
        <v>0.55135271917353856</v>
      </c>
      <c r="P853">
        <f t="shared" si="122"/>
        <v>15.810669813477942</v>
      </c>
      <c r="Q853">
        <f t="shared" si="123"/>
        <v>1.2368398453485379E-2</v>
      </c>
      <c r="R853">
        <f t="shared" si="124"/>
        <v>4.608999895830132E-2</v>
      </c>
      <c r="S853">
        <f t="shared" si="125"/>
        <v>0</v>
      </c>
    </row>
    <row r="854" spans="1:19" x14ac:dyDescent="0.3">
      <c r="A854" t="s">
        <v>279</v>
      </c>
      <c r="B854">
        <v>2009</v>
      </c>
      <c r="C854">
        <v>9.5949087920604623E-2</v>
      </c>
      <c r="D854">
        <v>0.1697340945987261</v>
      </c>
      <c r="E854">
        <v>0.3376215195601629</v>
      </c>
      <c r="F854">
        <v>0</v>
      </c>
      <c r="G854">
        <v>0.79042618609621462</v>
      </c>
      <c r="H854">
        <v>15.750086430383654</v>
      </c>
      <c r="I854">
        <v>8.3129337990732605E-3</v>
      </c>
      <c r="J854">
        <v>0.11017946837413894</v>
      </c>
      <c r="K854">
        <f t="shared" si="117"/>
        <v>9.5949087920604623E-2</v>
      </c>
      <c r="L854">
        <f t="shared" si="118"/>
        <v>0.1697340945987261</v>
      </c>
      <c r="M854">
        <f t="shared" si="119"/>
        <v>0.3376215195601629</v>
      </c>
      <c r="N854">
        <f t="shared" si="120"/>
        <v>0</v>
      </c>
      <c r="O854">
        <f t="shared" si="121"/>
        <v>0.79042618609621462</v>
      </c>
      <c r="P854">
        <f t="shared" si="122"/>
        <v>15.750086430383654</v>
      </c>
      <c r="Q854">
        <f t="shared" si="123"/>
        <v>8.3129337990732605E-3</v>
      </c>
      <c r="R854">
        <f t="shared" si="124"/>
        <v>0.11017946837413894</v>
      </c>
      <c r="S854">
        <f t="shared" si="125"/>
        <v>0</v>
      </c>
    </row>
    <row r="855" spans="1:19" x14ac:dyDescent="0.3">
      <c r="A855" t="s">
        <v>279</v>
      </c>
      <c r="B855">
        <v>2010</v>
      </c>
      <c r="C855">
        <v>4.134088838811166E-2</v>
      </c>
      <c r="D855">
        <v>0.13094522709783427</v>
      </c>
      <c r="E855">
        <v>0.38470126751566103</v>
      </c>
      <c r="F855">
        <v>2.6678081328397711E-2</v>
      </c>
      <c r="G855">
        <v>0.55172635331570541</v>
      </c>
      <c r="H855">
        <v>15.829985620278812</v>
      </c>
      <c r="I855">
        <v>7.7364639692696149E-3</v>
      </c>
      <c r="J855">
        <v>5.6510445602658527E-2</v>
      </c>
      <c r="K855">
        <f t="shared" si="117"/>
        <v>4.134088838811166E-2</v>
      </c>
      <c r="L855">
        <f t="shared" si="118"/>
        <v>0.13094522709783427</v>
      </c>
      <c r="M855">
        <f t="shared" si="119"/>
        <v>0.38470126751566103</v>
      </c>
      <c r="N855">
        <f t="shared" si="120"/>
        <v>2.6678081328397711E-2</v>
      </c>
      <c r="O855">
        <f t="shared" si="121"/>
        <v>0.55172635331570541</v>
      </c>
      <c r="P855">
        <f t="shared" si="122"/>
        <v>15.829985620278812</v>
      </c>
      <c r="Q855">
        <f t="shared" si="123"/>
        <v>7.7364639692696149E-3</v>
      </c>
      <c r="R855">
        <f t="shared" si="124"/>
        <v>5.6510445602658527E-2</v>
      </c>
      <c r="S855">
        <f t="shared" si="125"/>
        <v>0</v>
      </c>
    </row>
    <row r="856" spans="1:19" x14ac:dyDescent="0.3">
      <c r="A856" t="s">
        <v>280</v>
      </c>
      <c r="B856">
        <v>2007</v>
      </c>
      <c r="C856">
        <v>1.0487535513459285E-3</v>
      </c>
      <c r="D856">
        <v>8.671944156402539E-2</v>
      </c>
      <c r="E856">
        <v>0.52535808526602423</v>
      </c>
      <c r="F856">
        <v>2.460018378478633E-3</v>
      </c>
      <c r="G856">
        <v>0.59164807742566405</v>
      </c>
      <c r="H856">
        <v>13.293093006662286</v>
      </c>
      <c r="I856">
        <v>2.6242822672869377E-3</v>
      </c>
      <c r="J856">
        <v>0</v>
      </c>
      <c r="K856">
        <f t="shared" si="117"/>
        <v>1.0487535513459285E-3</v>
      </c>
      <c r="L856">
        <f t="shared" si="118"/>
        <v>8.671944156402539E-2</v>
      </c>
      <c r="M856">
        <f t="shared" si="119"/>
        <v>0.52535808526602423</v>
      </c>
      <c r="N856">
        <f t="shared" si="120"/>
        <v>2.460018378478633E-3</v>
      </c>
      <c r="O856">
        <f t="shared" si="121"/>
        <v>0.59164807742566405</v>
      </c>
      <c r="P856">
        <f t="shared" si="122"/>
        <v>13.293093006662286</v>
      </c>
      <c r="Q856">
        <f t="shared" si="123"/>
        <v>2.6242822672869377E-3</v>
      </c>
      <c r="R856">
        <f t="shared" si="124"/>
        <v>0</v>
      </c>
      <c r="S856">
        <f t="shared" si="125"/>
        <v>0</v>
      </c>
    </row>
    <row r="857" spans="1:19" x14ac:dyDescent="0.3">
      <c r="A857" t="s">
        <v>280</v>
      </c>
      <c r="B857">
        <v>2009</v>
      </c>
      <c r="C857">
        <v>4.4298278276787362E-3</v>
      </c>
      <c r="D857">
        <v>0.12522671637811128</v>
      </c>
      <c r="E857">
        <v>0.34452000989744613</v>
      </c>
      <c r="F857">
        <v>2.0083167374942645E-2</v>
      </c>
      <c r="G857">
        <v>0.31655042772822384</v>
      </c>
      <c r="H857">
        <v>12.939086964880705</v>
      </c>
      <c r="I857">
        <v>1.2912600485209034E-2</v>
      </c>
      <c r="J857">
        <v>0</v>
      </c>
      <c r="K857">
        <f t="shared" si="117"/>
        <v>4.4298278276787362E-3</v>
      </c>
      <c r="L857">
        <f t="shared" si="118"/>
        <v>0.12522671637811128</v>
      </c>
      <c r="M857">
        <f t="shared" si="119"/>
        <v>0.34452000989744613</v>
      </c>
      <c r="N857">
        <f t="shared" si="120"/>
        <v>2.0083167374942645E-2</v>
      </c>
      <c r="O857">
        <f t="shared" si="121"/>
        <v>0.31655042772822384</v>
      </c>
      <c r="P857">
        <f t="shared" si="122"/>
        <v>12.939086964880705</v>
      </c>
      <c r="Q857">
        <f t="shared" si="123"/>
        <v>1.2912600485209034E-2</v>
      </c>
      <c r="R857">
        <f t="shared" si="124"/>
        <v>0</v>
      </c>
      <c r="S857">
        <f t="shared" si="125"/>
        <v>0</v>
      </c>
    </row>
    <row r="858" spans="1:19" x14ac:dyDescent="0.3">
      <c r="A858" t="s">
        <v>280</v>
      </c>
      <c r="B858">
        <v>2010</v>
      </c>
      <c r="C858">
        <v>3.2776144101434528E-2</v>
      </c>
      <c r="D858">
        <v>8.9457383409550853E-2</v>
      </c>
      <c r="E858">
        <v>0.39905408276216781</v>
      </c>
      <c r="F858">
        <v>1.8605275221664413E-2</v>
      </c>
      <c r="G858">
        <v>0.21552739917483815</v>
      </c>
      <c r="H858">
        <v>13.010727658221123</v>
      </c>
      <c r="I858">
        <v>1.6791818049690811E-2</v>
      </c>
      <c r="J858">
        <v>0</v>
      </c>
      <c r="K858">
        <f t="shared" si="117"/>
        <v>3.2776144101434528E-2</v>
      </c>
      <c r="L858">
        <f t="shared" si="118"/>
        <v>8.9457383409550853E-2</v>
      </c>
      <c r="M858">
        <f t="shared" si="119"/>
        <v>0.39905408276216781</v>
      </c>
      <c r="N858">
        <f t="shared" si="120"/>
        <v>1.8605275221664413E-2</v>
      </c>
      <c r="O858">
        <f t="shared" si="121"/>
        <v>0.21552739917483815</v>
      </c>
      <c r="P858">
        <f t="shared" si="122"/>
        <v>13.010727658221123</v>
      </c>
      <c r="Q858">
        <f t="shared" si="123"/>
        <v>1.6791818049690811E-2</v>
      </c>
      <c r="R858">
        <f t="shared" si="124"/>
        <v>0</v>
      </c>
      <c r="S858">
        <f t="shared" si="125"/>
        <v>0</v>
      </c>
    </row>
    <row r="859" spans="1:19" x14ac:dyDescent="0.3">
      <c r="A859" t="s">
        <v>281</v>
      </c>
      <c r="B859">
        <v>2007</v>
      </c>
      <c r="C859">
        <v>5.3684431537971795E-3</v>
      </c>
      <c r="D859">
        <v>0.23560224176984187</v>
      </c>
      <c r="E859">
        <v>-6.1760766335826854E-2</v>
      </c>
      <c r="F859">
        <v>0.16519839471993367</v>
      </c>
      <c r="G859">
        <v>1.6109262622567411</v>
      </c>
      <c r="H859">
        <v>17.477302074235499</v>
      </c>
      <c r="I859">
        <v>1.399991682935375E-2</v>
      </c>
      <c r="J859">
        <v>0.13566351937398208</v>
      </c>
      <c r="K859">
        <f t="shared" si="117"/>
        <v>5.3684431537971795E-3</v>
      </c>
      <c r="L859">
        <f t="shared" si="118"/>
        <v>0.23560224176984187</v>
      </c>
      <c r="M859">
        <f t="shared" si="119"/>
        <v>-6.1760766335826854E-2</v>
      </c>
      <c r="N859">
        <f t="shared" si="120"/>
        <v>0.16519839471993367</v>
      </c>
      <c r="O859">
        <f t="shared" si="121"/>
        <v>1.6109262622567411</v>
      </c>
      <c r="P859">
        <f t="shared" si="122"/>
        <v>17.477302074235499</v>
      </c>
      <c r="Q859">
        <f t="shared" si="123"/>
        <v>1.399991682935375E-2</v>
      </c>
      <c r="R859" t="str">
        <f t="shared" si="124"/>
        <v>out</v>
      </c>
      <c r="S859">
        <f t="shared" si="125"/>
        <v>1</v>
      </c>
    </row>
    <row r="860" spans="1:19" x14ac:dyDescent="0.3">
      <c r="A860" t="s">
        <v>281</v>
      </c>
      <c r="B860">
        <v>2008</v>
      </c>
      <c r="C860">
        <v>3.1500166393218397E-3</v>
      </c>
      <c r="D860">
        <v>0.16883677702137828</v>
      </c>
      <c r="E860">
        <v>2.6386065515479906E-2</v>
      </c>
      <c r="F860">
        <v>0.41505975102617049</v>
      </c>
      <c r="G860">
        <v>1.1132650471317547</v>
      </c>
      <c r="H860">
        <v>17.85793814011927</v>
      </c>
      <c r="I860">
        <v>1.2556836037743725E-2</v>
      </c>
      <c r="J860">
        <v>8.4217070007912481E-2</v>
      </c>
      <c r="K860">
        <f t="shared" si="117"/>
        <v>3.1500166393218397E-3</v>
      </c>
      <c r="L860">
        <f t="shared" si="118"/>
        <v>0.16883677702137828</v>
      </c>
      <c r="M860">
        <f t="shared" si="119"/>
        <v>2.6386065515479906E-2</v>
      </c>
      <c r="N860">
        <f t="shared" si="120"/>
        <v>0.41505975102617049</v>
      </c>
      <c r="O860">
        <f t="shared" si="121"/>
        <v>1.1132650471317547</v>
      </c>
      <c r="P860">
        <f t="shared" si="122"/>
        <v>17.85793814011927</v>
      </c>
      <c r="Q860">
        <f t="shared" si="123"/>
        <v>1.2556836037743725E-2</v>
      </c>
      <c r="R860">
        <f t="shared" si="124"/>
        <v>8.4217070007912481E-2</v>
      </c>
      <c r="S860">
        <f t="shared" si="125"/>
        <v>0</v>
      </c>
    </row>
    <row r="861" spans="1:19" x14ac:dyDescent="0.3">
      <c r="A861" t="s">
        <v>281</v>
      </c>
      <c r="B861">
        <v>2009</v>
      </c>
      <c r="C861">
        <v>6.6770844080214871E-3</v>
      </c>
      <c r="D861">
        <v>0.17045959244256106</v>
      </c>
      <c r="E861">
        <v>0.20719959257665213</v>
      </c>
      <c r="F861">
        <v>0.23049292774723315</v>
      </c>
      <c r="G861">
        <v>1.2885166676690141</v>
      </c>
      <c r="H861">
        <v>17.909175789493521</v>
      </c>
      <c r="I861">
        <v>1.1738869728570351E-2</v>
      </c>
      <c r="J861">
        <v>9.4691521679038895E-2</v>
      </c>
      <c r="K861">
        <f t="shared" si="117"/>
        <v>6.6770844080214871E-3</v>
      </c>
      <c r="L861">
        <f t="shared" si="118"/>
        <v>0.17045959244256106</v>
      </c>
      <c r="M861">
        <f t="shared" si="119"/>
        <v>0.20719959257665213</v>
      </c>
      <c r="N861">
        <f t="shared" si="120"/>
        <v>0.23049292774723315</v>
      </c>
      <c r="O861">
        <f t="shared" si="121"/>
        <v>1.2885166676690141</v>
      </c>
      <c r="P861">
        <f t="shared" si="122"/>
        <v>17.909175789493521</v>
      </c>
      <c r="Q861">
        <f t="shared" si="123"/>
        <v>1.1738869728570351E-2</v>
      </c>
      <c r="R861">
        <f t="shared" si="124"/>
        <v>9.4691521679038895E-2</v>
      </c>
      <c r="S861">
        <f t="shared" si="125"/>
        <v>0</v>
      </c>
    </row>
    <row r="862" spans="1:19" x14ac:dyDescent="0.3">
      <c r="A862" t="s">
        <v>281</v>
      </c>
      <c r="B862">
        <v>2010</v>
      </c>
      <c r="C862">
        <v>3.1442616956657513E-3</v>
      </c>
      <c r="D862">
        <v>0.11972809104751975</v>
      </c>
      <c r="E862">
        <v>0.15464699249780539</v>
      </c>
      <c r="F862">
        <v>0.28912826174061418</v>
      </c>
      <c r="G862">
        <v>1.1716590416972825</v>
      </c>
      <c r="H862">
        <v>18.167079183606337</v>
      </c>
      <c r="I862">
        <v>1.0299341135550158E-3</v>
      </c>
      <c r="J862">
        <v>5.6717277387799005E-2</v>
      </c>
      <c r="K862">
        <f t="shared" si="117"/>
        <v>3.1442616956657513E-3</v>
      </c>
      <c r="L862">
        <f t="shared" si="118"/>
        <v>0.11972809104751975</v>
      </c>
      <c r="M862">
        <f t="shared" si="119"/>
        <v>0.15464699249780539</v>
      </c>
      <c r="N862">
        <f t="shared" si="120"/>
        <v>0.28912826174061418</v>
      </c>
      <c r="O862">
        <f t="shared" si="121"/>
        <v>1.1716590416972825</v>
      </c>
      <c r="P862">
        <f t="shared" si="122"/>
        <v>18.167079183606337</v>
      </c>
      <c r="Q862">
        <f t="shared" si="123"/>
        <v>1.0299341135550158E-3</v>
      </c>
      <c r="R862">
        <f t="shared" si="124"/>
        <v>5.6717277387799005E-2</v>
      </c>
      <c r="S862">
        <f t="shared" si="125"/>
        <v>0</v>
      </c>
    </row>
    <row r="863" spans="1:19" x14ac:dyDescent="0.3">
      <c r="A863" t="s">
        <v>282</v>
      </c>
      <c r="B863">
        <v>2007</v>
      </c>
      <c r="C863">
        <v>3.6495737700699839E-2</v>
      </c>
      <c r="D863">
        <v>0.49474193898457142</v>
      </c>
      <c r="E863">
        <v>0.33942610538828399</v>
      </c>
      <c r="F863">
        <v>0</v>
      </c>
      <c r="G863">
        <v>4.1948867790554516</v>
      </c>
      <c r="H863">
        <v>18.677941020590747</v>
      </c>
      <c r="I863">
        <v>2.7513416136074706E-2</v>
      </c>
      <c r="J863">
        <v>0.29928021558863532</v>
      </c>
      <c r="K863">
        <f t="shared" si="117"/>
        <v>3.6495737700699839E-2</v>
      </c>
      <c r="L863">
        <f t="shared" si="118"/>
        <v>0.49474193898457142</v>
      </c>
      <c r="M863">
        <f t="shared" si="119"/>
        <v>0.33942610538828399</v>
      </c>
      <c r="N863">
        <f t="shared" si="120"/>
        <v>0</v>
      </c>
      <c r="O863">
        <f t="shared" si="121"/>
        <v>4.1948867790554516</v>
      </c>
      <c r="P863">
        <f t="shared" si="122"/>
        <v>18.677941020590747</v>
      </c>
      <c r="Q863">
        <f t="shared" si="123"/>
        <v>2.7513416136074706E-2</v>
      </c>
      <c r="R863" t="str">
        <f t="shared" si="124"/>
        <v>out</v>
      </c>
      <c r="S863">
        <f t="shared" si="125"/>
        <v>1</v>
      </c>
    </row>
    <row r="864" spans="1:19" x14ac:dyDescent="0.3">
      <c r="A864" t="s">
        <v>282</v>
      </c>
      <c r="B864">
        <v>2008</v>
      </c>
      <c r="C864">
        <v>4.4597993867065866E-2</v>
      </c>
      <c r="D864">
        <v>0.54235467103728752</v>
      </c>
      <c r="E864">
        <v>0.27671928902313336</v>
      </c>
      <c r="F864">
        <v>0</v>
      </c>
      <c r="G864">
        <v>1.7015394684410081</v>
      </c>
      <c r="H864">
        <v>18.829927937616489</v>
      </c>
      <c r="I864">
        <v>2.2688078444425889E-2</v>
      </c>
      <c r="J864">
        <v>0.27136386869841411</v>
      </c>
      <c r="K864">
        <f t="shared" si="117"/>
        <v>4.4597993867065866E-2</v>
      </c>
      <c r="L864">
        <f t="shared" si="118"/>
        <v>0.54235467103728752</v>
      </c>
      <c r="M864">
        <f t="shared" si="119"/>
        <v>0.27671928902313336</v>
      </c>
      <c r="N864">
        <f t="shared" si="120"/>
        <v>0</v>
      </c>
      <c r="O864">
        <f t="shared" si="121"/>
        <v>1.7015394684410081</v>
      </c>
      <c r="P864">
        <f t="shared" si="122"/>
        <v>18.829927937616489</v>
      </c>
      <c r="Q864">
        <f t="shared" si="123"/>
        <v>2.2688078444425889E-2</v>
      </c>
      <c r="R864" t="str">
        <f t="shared" si="124"/>
        <v>out</v>
      </c>
      <c r="S864">
        <f t="shared" si="125"/>
        <v>1</v>
      </c>
    </row>
    <row r="865" spans="1:19" x14ac:dyDescent="0.3">
      <c r="A865" t="s">
        <v>282</v>
      </c>
      <c r="B865">
        <v>2009</v>
      </c>
      <c r="C865">
        <v>2.2325773961714635E-2</v>
      </c>
      <c r="D865">
        <v>0.47606427524016248</v>
      </c>
      <c r="E865">
        <v>0.36053939068273455</v>
      </c>
      <c r="F865">
        <v>0</v>
      </c>
      <c r="G865">
        <v>2.9634939865633361</v>
      </c>
      <c r="H865">
        <v>18.997251388242749</v>
      </c>
      <c r="I865">
        <v>1.8635377459891779E-2</v>
      </c>
      <c r="J865">
        <v>0.19934929692165052</v>
      </c>
      <c r="K865">
        <f t="shared" si="117"/>
        <v>2.2325773961714635E-2</v>
      </c>
      <c r="L865">
        <f t="shared" si="118"/>
        <v>0.47606427524016248</v>
      </c>
      <c r="M865">
        <f t="shared" si="119"/>
        <v>0.36053939068273455</v>
      </c>
      <c r="N865">
        <f t="shared" si="120"/>
        <v>0</v>
      </c>
      <c r="O865">
        <f t="shared" si="121"/>
        <v>2.9634939865633361</v>
      </c>
      <c r="P865">
        <f t="shared" si="122"/>
        <v>18.997251388242749</v>
      </c>
      <c r="Q865">
        <f t="shared" si="123"/>
        <v>1.8635377459891779E-2</v>
      </c>
      <c r="R865" t="str">
        <f t="shared" si="124"/>
        <v>out</v>
      </c>
      <c r="S865">
        <f t="shared" si="125"/>
        <v>1</v>
      </c>
    </row>
    <row r="866" spans="1:19" x14ac:dyDescent="0.3">
      <c r="A866" t="s">
        <v>282</v>
      </c>
      <c r="B866">
        <v>2010</v>
      </c>
      <c r="C866">
        <v>3.4272296524771866E-2</v>
      </c>
      <c r="D866">
        <v>0.40431419030031468</v>
      </c>
      <c r="E866">
        <v>0.3739845129969897</v>
      </c>
      <c r="F866">
        <v>0</v>
      </c>
      <c r="G866">
        <v>3.5221334885374436</v>
      </c>
      <c r="H866">
        <v>19.248654451213508</v>
      </c>
      <c r="I866">
        <v>2.5564425116954979E-2</v>
      </c>
      <c r="J866">
        <v>0.10335714067341041</v>
      </c>
      <c r="K866">
        <f t="shared" si="117"/>
        <v>3.4272296524771866E-2</v>
      </c>
      <c r="L866">
        <f t="shared" si="118"/>
        <v>0.40431419030031468</v>
      </c>
      <c r="M866">
        <f t="shared" si="119"/>
        <v>0.3739845129969897</v>
      </c>
      <c r="N866">
        <f t="shared" si="120"/>
        <v>0</v>
      </c>
      <c r="O866">
        <f t="shared" si="121"/>
        <v>3.5221334885374436</v>
      </c>
      <c r="P866">
        <f t="shared" si="122"/>
        <v>19.248654451213508</v>
      </c>
      <c r="Q866">
        <f t="shared" si="123"/>
        <v>2.5564425116954979E-2</v>
      </c>
      <c r="R866">
        <f t="shared" si="124"/>
        <v>0.10335714067341041</v>
      </c>
      <c r="S866">
        <f t="shared" si="125"/>
        <v>0</v>
      </c>
    </row>
    <row r="867" spans="1:19" x14ac:dyDescent="0.3">
      <c r="A867" t="s">
        <v>283</v>
      </c>
      <c r="B867">
        <v>2007</v>
      </c>
      <c r="C867">
        <v>2.4194498298426401E-4</v>
      </c>
      <c r="D867">
        <v>6.5048182069966667E-2</v>
      </c>
      <c r="E867">
        <v>0.61238185285288149</v>
      </c>
      <c r="F867">
        <v>0</v>
      </c>
      <c r="G867">
        <v>0.22208400584488144</v>
      </c>
      <c r="H867">
        <v>12.657533540980497</v>
      </c>
      <c r="I867">
        <v>7.0830741209999019E-3</v>
      </c>
      <c r="J867">
        <v>0</v>
      </c>
      <c r="K867">
        <f t="shared" si="117"/>
        <v>2.4194498298426401E-4</v>
      </c>
      <c r="L867">
        <f t="shared" si="118"/>
        <v>6.5048182069966667E-2</v>
      </c>
      <c r="M867">
        <f t="shared" si="119"/>
        <v>0.61238185285288149</v>
      </c>
      <c r="N867">
        <f t="shared" si="120"/>
        <v>0</v>
      </c>
      <c r="O867">
        <f t="shared" si="121"/>
        <v>0.22208400584488144</v>
      </c>
      <c r="P867">
        <f t="shared" si="122"/>
        <v>12.657533540980497</v>
      </c>
      <c r="Q867">
        <f t="shared" si="123"/>
        <v>7.0830741209999019E-3</v>
      </c>
      <c r="R867">
        <f t="shared" si="124"/>
        <v>0</v>
      </c>
      <c r="S867">
        <f t="shared" si="125"/>
        <v>0</v>
      </c>
    </row>
    <row r="868" spans="1:19" x14ac:dyDescent="0.3">
      <c r="A868" t="s">
        <v>283</v>
      </c>
      <c r="B868">
        <v>2008</v>
      </c>
      <c r="C868">
        <v>3.8299240170431621E-4</v>
      </c>
      <c r="D868">
        <v>8.6587058960312407E-2</v>
      </c>
      <c r="E868">
        <v>0.62365525212526585</v>
      </c>
      <c r="F868">
        <v>0</v>
      </c>
      <c r="G868">
        <v>7.8132501692689621E-2</v>
      </c>
      <c r="H868">
        <v>12.585994279167641</v>
      </c>
      <c r="I868">
        <v>1.325470487730942E-2</v>
      </c>
      <c r="J868">
        <v>0</v>
      </c>
      <c r="K868">
        <f t="shared" si="117"/>
        <v>3.8299240170431621E-4</v>
      </c>
      <c r="L868">
        <f t="shared" si="118"/>
        <v>8.6587058960312407E-2</v>
      </c>
      <c r="M868">
        <f t="shared" si="119"/>
        <v>0.62365525212526585</v>
      </c>
      <c r="N868">
        <f t="shared" si="120"/>
        <v>0</v>
      </c>
      <c r="O868">
        <f t="shared" si="121"/>
        <v>7.8132501692689621E-2</v>
      </c>
      <c r="P868">
        <f t="shared" si="122"/>
        <v>12.585994279167641</v>
      </c>
      <c r="Q868">
        <f t="shared" si="123"/>
        <v>1.325470487730942E-2</v>
      </c>
      <c r="R868">
        <f t="shared" si="124"/>
        <v>0</v>
      </c>
      <c r="S868">
        <f t="shared" si="125"/>
        <v>0</v>
      </c>
    </row>
    <row r="869" spans="1:19" x14ac:dyDescent="0.3">
      <c r="A869" t="s">
        <v>283</v>
      </c>
      <c r="B869">
        <v>2009</v>
      </c>
      <c r="C869">
        <v>1.5332132316301891E-4</v>
      </c>
      <c r="D869">
        <v>4.3285397189341379E-2</v>
      </c>
      <c r="E869">
        <v>0.62764522839650283</v>
      </c>
      <c r="F869">
        <v>0</v>
      </c>
      <c r="G869">
        <v>0.11213134062074227</v>
      </c>
      <c r="H869">
        <v>12.567164321332942</v>
      </c>
      <c r="I869">
        <v>4.4801617042714709E-4</v>
      </c>
      <c r="J869">
        <v>0</v>
      </c>
      <c r="K869">
        <f t="shared" si="117"/>
        <v>1.5332132316301891E-4</v>
      </c>
      <c r="L869">
        <f t="shared" si="118"/>
        <v>4.3285397189341379E-2</v>
      </c>
      <c r="M869">
        <f t="shared" si="119"/>
        <v>0.62764522839650283</v>
      </c>
      <c r="N869">
        <f t="shared" si="120"/>
        <v>0</v>
      </c>
      <c r="O869">
        <f t="shared" si="121"/>
        <v>0.11213134062074227</v>
      </c>
      <c r="P869">
        <f t="shared" si="122"/>
        <v>12.567164321332942</v>
      </c>
      <c r="Q869">
        <f t="shared" si="123"/>
        <v>4.4801617042714709E-4</v>
      </c>
      <c r="R869">
        <f t="shared" si="124"/>
        <v>0</v>
      </c>
      <c r="S869">
        <f t="shared" si="125"/>
        <v>0</v>
      </c>
    </row>
    <row r="870" spans="1:19" x14ac:dyDescent="0.3">
      <c r="A870" t="s">
        <v>283</v>
      </c>
      <c r="B870">
        <v>2010</v>
      </c>
      <c r="C870">
        <v>7.5351760588529386E-4</v>
      </c>
      <c r="D870">
        <v>4.4818227269480752E-2</v>
      </c>
      <c r="E870">
        <v>0.61688093707592317</v>
      </c>
      <c r="F870">
        <v>2.1748446539532891E-3</v>
      </c>
      <c r="G870">
        <v>0.12454556817370188</v>
      </c>
      <c r="H870">
        <v>12.542616308171917</v>
      </c>
      <c r="I870">
        <v>4.5089760186640786E-4</v>
      </c>
      <c r="J870">
        <v>0</v>
      </c>
      <c r="K870">
        <f t="shared" si="117"/>
        <v>7.5351760588529386E-4</v>
      </c>
      <c r="L870">
        <f t="shared" si="118"/>
        <v>4.4818227269480752E-2</v>
      </c>
      <c r="M870">
        <f t="shared" si="119"/>
        <v>0.61688093707592317</v>
      </c>
      <c r="N870">
        <f t="shared" si="120"/>
        <v>2.1748446539532891E-3</v>
      </c>
      <c r="O870">
        <f t="shared" si="121"/>
        <v>0.12454556817370188</v>
      </c>
      <c r="P870">
        <f t="shared" si="122"/>
        <v>12.542616308171917</v>
      </c>
      <c r="Q870">
        <f t="shared" si="123"/>
        <v>4.5089760186640786E-4</v>
      </c>
      <c r="R870">
        <f t="shared" si="124"/>
        <v>0</v>
      </c>
      <c r="S870">
        <f t="shared" si="125"/>
        <v>0</v>
      </c>
    </row>
    <row r="871" spans="1:19" x14ac:dyDescent="0.3">
      <c r="A871" t="s">
        <v>284</v>
      </c>
      <c r="B871">
        <v>2007</v>
      </c>
      <c r="C871">
        <v>1.033372659971819E-3</v>
      </c>
      <c r="D871">
        <v>1.4497271364988481E-2</v>
      </c>
      <c r="E871">
        <v>-8.8602357361723061E-2</v>
      </c>
      <c r="F871">
        <v>0.29944847185256424</v>
      </c>
      <c r="G871">
        <v>0.81957463627518956</v>
      </c>
      <c r="H871">
        <v>14.866857918698567</v>
      </c>
      <c r="I871">
        <v>1.1162459332579212E-2</v>
      </c>
      <c r="J871">
        <v>0</v>
      </c>
      <c r="K871">
        <f t="shared" si="117"/>
        <v>1.033372659971819E-3</v>
      </c>
      <c r="L871">
        <f t="shared" si="118"/>
        <v>1.4497271364988481E-2</v>
      </c>
      <c r="M871">
        <f t="shared" si="119"/>
        <v>-8.8602357361723061E-2</v>
      </c>
      <c r="N871">
        <f t="shared" si="120"/>
        <v>0.29944847185256424</v>
      </c>
      <c r="O871">
        <f t="shared" si="121"/>
        <v>0.81957463627518956</v>
      </c>
      <c r="P871">
        <f t="shared" si="122"/>
        <v>14.866857918698567</v>
      </c>
      <c r="Q871">
        <f t="shared" si="123"/>
        <v>1.1162459332579212E-2</v>
      </c>
      <c r="R871">
        <f t="shared" si="124"/>
        <v>0</v>
      </c>
      <c r="S871">
        <f t="shared" si="125"/>
        <v>0</v>
      </c>
    </row>
    <row r="872" spans="1:19" x14ac:dyDescent="0.3">
      <c r="A872" t="s">
        <v>284</v>
      </c>
      <c r="B872">
        <v>2008</v>
      </c>
      <c r="C872">
        <v>7.9449138096402659E-3</v>
      </c>
      <c r="D872">
        <v>4.6604281956102812E-2</v>
      </c>
      <c r="E872">
        <v>-2.2112843413649177E-2</v>
      </c>
      <c r="F872">
        <v>0.58781907161150204</v>
      </c>
      <c r="G872">
        <v>0.78793625886291097</v>
      </c>
      <c r="H872">
        <v>15.009386661725518</v>
      </c>
      <c r="I872">
        <v>2.9787022703920731E-3</v>
      </c>
      <c r="J872">
        <v>1.4464306981505507E-2</v>
      </c>
      <c r="K872">
        <f t="shared" si="117"/>
        <v>7.9449138096402659E-3</v>
      </c>
      <c r="L872">
        <f t="shared" si="118"/>
        <v>4.6604281956102812E-2</v>
      </c>
      <c r="M872">
        <f t="shared" si="119"/>
        <v>-2.2112843413649177E-2</v>
      </c>
      <c r="N872">
        <f t="shared" si="120"/>
        <v>0.58781907161150204</v>
      </c>
      <c r="O872">
        <f t="shared" si="121"/>
        <v>0.78793625886291097</v>
      </c>
      <c r="P872">
        <f t="shared" si="122"/>
        <v>15.009386661725518</v>
      </c>
      <c r="Q872">
        <f t="shared" si="123"/>
        <v>2.9787022703920731E-3</v>
      </c>
      <c r="R872">
        <f t="shared" si="124"/>
        <v>1.4464306981505507E-2</v>
      </c>
      <c r="S872">
        <f t="shared" si="125"/>
        <v>0</v>
      </c>
    </row>
    <row r="873" spans="1:19" x14ac:dyDescent="0.3">
      <c r="A873" t="s">
        <v>284</v>
      </c>
      <c r="B873">
        <v>2009</v>
      </c>
      <c r="C873">
        <v>7.0655410918580592E-3</v>
      </c>
      <c r="D873">
        <v>4.0697941304395226E-2</v>
      </c>
      <c r="E873">
        <v>-8.5618509554417896E-2</v>
      </c>
      <c r="F873">
        <v>0.6184679535952865</v>
      </c>
      <c r="G873">
        <v>0.81032779152995771</v>
      </c>
      <c r="H873">
        <v>15.064124359129023</v>
      </c>
      <c r="I873">
        <v>6.9978284063268422E-3</v>
      </c>
      <c r="J873">
        <v>1.0955074554412154E-2</v>
      </c>
      <c r="K873">
        <f t="shared" si="117"/>
        <v>7.0655410918580592E-3</v>
      </c>
      <c r="L873">
        <f t="shared" si="118"/>
        <v>4.0697941304395226E-2</v>
      </c>
      <c r="M873">
        <f t="shared" si="119"/>
        <v>-8.5618509554417896E-2</v>
      </c>
      <c r="N873">
        <f t="shared" si="120"/>
        <v>0.6184679535952865</v>
      </c>
      <c r="O873">
        <f t="shared" si="121"/>
        <v>0.81032779152995771</v>
      </c>
      <c r="P873">
        <f t="shared" si="122"/>
        <v>15.064124359129023</v>
      </c>
      <c r="Q873">
        <f t="shared" si="123"/>
        <v>6.9978284063268422E-3</v>
      </c>
      <c r="R873">
        <f t="shared" si="124"/>
        <v>1.0955074554412154E-2</v>
      </c>
      <c r="S873">
        <f t="shared" si="125"/>
        <v>0</v>
      </c>
    </row>
    <row r="874" spans="1:19" x14ac:dyDescent="0.3">
      <c r="A874" t="s">
        <v>284</v>
      </c>
      <c r="B874">
        <v>2010</v>
      </c>
      <c r="C874">
        <v>3.6988724890590794E-3</v>
      </c>
      <c r="D874">
        <v>6.1633599146333276E-2</v>
      </c>
      <c r="E874">
        <v>-0.12285550635207508</v>
      </c>
      <c r="F874">
        <v>0.59810605129128969</v>
      </c>
      <c r="G874">
        <v>0.77164387486664909</v>
      </c>
      <c r="H874">
        <v>15.10176660424503</v>
      </c>
      <c r="I874">
        <v>5.48612484818649E-3</v>
      </c>
      <c r="J874">
        <v>1.0550365811774997E-2</v>
      </c>
      <c r="K874">
        <f t="shared" si="117"/>
        <v>3.6988724890590794E-3</v>
      </c>
      <c r="L874">
        <f t="shared" si="118"/>
        <v>6.1633599146333276E-2</v>
      </c>
      <c r="M874">
        <f t="shared" si="119"/>
        <v>-0.12285550635207508</v>
      </c>
      <c r="N874">
        <f t="shared" si="120"/>
        <v>0.59810605129128969</v>
      </c>
      <c r="O874">
        <f t="shared" si="121"/>
        <v>0.77164387486664909</v>
      </c>
      <c r="P874">
        <f t="shared" si="122"/>
        <v>15.10176660424503</v>
      </c>
      <c r="Q874">
        <f t="shared" si="123"/>
        <v>5.48612484818649E-3</v>
      </c>
      <c r="R874">
        <f t="shared" si="124"/>
        <v>1.0550365811774997E-2</v>
      </c>
      <c r="S874">
        <f t="shared" si="125"/>
        <v>0</v>
      </c>
    </row>
    <row r="875" spans="1:19" x14ac:dyDescent="0.3">
      <c r="A875" t="s">
        <v>285</v>
      </c>
      <c r="B875">
        <v>2007</v>
      </c>
      <c r="C875">
        <v>1.2735789470309299E-2</v>
      </c>
      <c r="D875">
        <v>6.9864539482332427E-2</v>
      </c>
      <c r="E875">
        <v>-0.28755680524785265</v>
      </c>
      <c r="F875">
        <v>0.25023587763987704</v>
      </c>
      <c r="G875">
        <v>0.81863159548443576</v>
      </c>
      <c r="H875">
        <v>15.869310521303136</v>
      </c>
      <c r="I875">
        <v>1.1972415104144728E-3</v>
      </c>
      <c r="J875">
        <v>0</v>
      </c>
      <c r="K875">
        <f t="shared" si="117"/>
        <v>1.2735789470309299E-2</v>
      </c>
      <c r="L875">
        <f t="shared" si="118"/>
        <v>6.9864539482332427E-2</v>
      </c>
      <c r="M875">
        <f t="shared" si="119"/>
        <v>-0.28755680524785265</v>
      </c>
      <c r="N875">
        <f t="shared" si="120"/>
        <v>0.25023587763987704</v>
      </c>
      <c r="O875">
        <f t="shared" si="121"/>
        <v>0.81863159548443576</v>
      </c>
      <c r="P875">
        <f t="shared" si="122"/>
        <v>15.869310521303136</v>
      </c>
      <c r="Q875">
        <f t="shared" si="123"/>
        <v>1.1972415104144728E-3</v>
      </c>
      <c r="R875">
        <f t="shared" si="124"/>
        <v>0</v>
      </c>
      <c r="S875">
        <f t="shared" si="125"/>
        <v>0</v>
      </c>
    </row>
    <row r="876" spans="1:19" x14ac:dyDescent="0.3">
      <c r="A876" t="s">
        <v>285</v>
      </c>
      <c r="B876">
        <v>2008</v>
      </c>
      <c r="C876">
        <v>5.1680264665635882E-3</v>
      </c>
      <c r="D876">
        <v>7.2979806287215149E-2</v>
      </c>
      <c r="E876">
        <v>-0.28372099914592397</v>
      </c>
      <c r="F876">
        <v>0.25407029641034423</v>
      </c>
      <c r="G876">
        <v>0.81332346454027427</v>
      </c>
      <c r="H876">
        <v>15.890462285496254</v>
      </c>
      <c r="I876">
        <v>6.0997005908095883E-3</v>
      </c>
      <c r="J876">
        <v>0</v>
      </c>
      <c r="K876">
        <f t="shared" si="117"/>
        <v>5.1680264665635882E-3</v>
      </c>
      <c r="L876">
        <f t="shared" si="118"/>
        <v>7.2979806287215149E-2</v>
      </c>
      <c r="M876">
        <f t="shared" si="119"/>
        <v>-0.28372099914592397</v>
      </c>
      <c r="N876">
        <f t="shared" si="120"/>
        <v>0.25407029641034423</v>
      </c>
      <c r="O876">
        <f t="shared" si="121"/>
        <v>0.81332346454027427</v>
      </c>
      <c r="P876">
        <f t="shared" si="122"/>
        <v>15.890462285496254</v>
      </c>
      <c r="Q876">
        <f t="shared" si="123"/>
        <v>6.0997005908095883E-3</v>
      </c>
      <c r="R876">
        <f t="shared" si="124"/>
        <v>0</v>
      </c>
      <c r="S876">
        <f t="shared" si="125"/>
        <v>0</v>
      </c>
    </row>
    <row r="877" spans="1:19" x14ac:dyDescent="0.3">
      <c r="A877" t="s">
        <v>285</v>
      </c>
      <c r="B877">
        <v>2009</v>
      </c>
      <c r="C877">
        <v>4.8645505421286944E-4</v>
      </c>
      <c r="D877">
        <v>5.0555319962865497E-2</v>
      </c>
      <c r="E877">
        <v>-0.24378761538845797</v>
      </c>
      <c r="F877">
        <v>0.59243824594190087</v>
      </c>
      <c r="G877">
        <v>0.83964771528312243</v>
      </c>
      <c r="H877">
        <v>16.039976475443392</v>
      </c>
      <c r="I877">
        <v>3.5604252656954976E-3</v>
      </c>
      <c r="J877">
        <v>0</v>
      </c>
      <c r="K877">
        <f t="shared" si="117"/>
        <v>4.8645505421286944E-4</v>
      </c>
      <c r="L877">
        <f t="shared" si="118"/>
        <v>5.0555319962865497E-2</v>
      </c>
      <c r="M877">
        <f t="shared" si="119"/>
        <v>-0.24378761538845797</v>
      </c>
      <c r="N877">
        <f t="shared" si="120"/>
        <v>0.59243824594190087</v>
      </c>
      <c r="O877">
        <f t="shared" si="121"/>
        <v>0.83964771528312243</v>
      </c>
      <c r="P877">
        <f t="shared" si="122"/>
        <v>16.039976475443392</v>
      </c>
      <c r="Q877">
        <f t="shared" si="123"/>
        <v>3.5604252656954976E-3</v>
      </c>
      <c r="R877">
        <f t="shared" si="124"/>
        <v>0</v>
      </c>
      <c r="S877">
        <f t="shared" si="125"/>
        <v>0</v>
      </c>
    </row>
    <row r="878" spans="1:19" x14ac:dyDescent="0.3">
      <c r="A878" t="s">
        <v>285</v>
      </c>
      <c r="B878">
        <v>2010</v>
      </c>
      <c r="C878">
        <v>3.4757330140611658E-3</v>
      </c>
      <c r="D878">
        <v>3.9243647540214567E-2</v>
      </c>
      <c r="E878">
        <v>-0.24138854067652335</v>
      </c>
      <c r="F878">
        <v>0.48930376853978108</v>
      </c>
      <c r="G878">
        <v>0.84496383008601972</v>
      </c>
      <c r="H878">
        <v>16.254174907519143</v>
      </c>
      <c r="I878">
        <v>0.11119442324208141</v>
      </c>
      <c r="J878">
        <v>0</v>
      </c>
      <c r="K878">
        <f t="shared" si="117"/>
        <v>3.4757330140611658E-3</v>
      </c>
      <c r="L878">
        <f t="shared" si="118"/>
        <v>3.9243647540214567E-2</v>
      </c>
      <c r="M878">
        <f t="shared" si="119"/>
        <v>-0.24138854067652335</v>
      </c>
      <c r="N878">
        <f t="shared" si="120"/>
        <v>0.48930376853978108</v>
      </c>
      <c r="O878">
        <f t="shared" si="121"/>
        <v>0.84496383008601972</v>
      </c>
      <c r="P878">
        <f t="shared" si="122"/>
        <v>16.254174907519143</v>
      </c>
      <c r="Q878">
        <f t="shared" si="123"/>
        <v>0.11119442324208141</v>
      </c>
      <c r="R878">
        <f t="shared" si="124"/>
        <v>0</v>
      </c>
      <c r="S878">
        <f t="shared" si="125"/>
        <v>0</v>
      </c>
    </row>
    <row r="879" spans="1:19" x14ac:dyDescent="0.3">
      <c r="A879" t="s">
        <v>286</v>
      </c>
      <c r="B879">
        <v>2007</v>
      </c>
      <c r="C879">
        <v>0.16193770540883154</v>
      </c>
      <c r="D879">
        <v>0.10559364495699494</v>
      </c>
      <c r="E879">
        <v>-0.39571566618001697</v>
      </c>
      <c r="F879">
        <v>1.5380404107749858E-2</v>
      </c>
      <c r="G879">
        <v>1.2354897196631265</v>
      </c>
      <c r="H879">
        <v>18.242162242367815</v>
      </c>
      <c r="I879">
        <v>3.4628961386480653E-3</v>
      </c>
      <c r="J879">
        <v>1.9692756767659216E-2</v>
      </c>
      <c r="K879">
        <f t="shared" si="117"/>
        <v>0.16193770540883154</v>
      </c>
      <c r="L879">
        <f t="shared" si="118"/>
        <v>0.10559364495699494</v>
      </c>
      <c r="M879">
        <f t="shared" si="119"/>
        <v>-0.39571566618001697</v>
      </c>
      <c r="N879">
        <f t="shared" si="120"/>
        <v>1.5380404107749858E-2</v>
      </c>
      <c r="O879">
        <f t="shared" si="121"/>
        <v>1.2354897196631265</v>
      </c>
      <c r="P879">
        <f t="shared" si="122"/>
        <v>18.242162242367815</v>
      </c>
      <c r="Q879">
        <f t="shared" si="123"/>
        <v>3.4628961386480653E-3</v>
      </c>
      <c r="R879">
        <f t="shared" si="124"/>
        <v>1.9692756767659216E-2</v>
      </c>
      <c r="S879">
        <f t="shared" si="125"/>
        <v>0</v>
      </c>
    </row>
    <row r="880" spans="1:19" x14ac:dyDescent="0.3">
      <c r="A880" t="s">
        <v>286</v>
      </c>
      <c r="B880">
        <v>2008</v>
      </c>
      <c r="C880">
        <v>8.3331740019572206E-2</v>
      </c>
      <c r="D880">
        <v>9.1252279381694862E-2</v>
      </c>
      <c r="E880">
        <v>-0.43293728042160728</v>
      </c>
      <c r="F880">
        <v>1.5995214549111032E-2</v>
      </c>
      <c r="G880">
        <v>0.94516840677864589</v>
      </c>
      <c r="H880">
        <v>18.396876077770873</v>
      </c>
      <c r="I880">
        <v>9.4013729081585933E-3</v>
      </c>
      <c r="J880">
        <v>1.9681673217652577E-2</v>
      </c>
      <c r="K880">
        <f t="shared" si="117"/>
        <v>8.3331740019572206E-2</v>
      </c>
      <c r="L880">
        <f t="shared" si="118"/>
        <v>9.1252279381694862E-2</v>
      </c>
      <c r="M880">
        <f t="shared" si="119"/>
        <v>-0.43293728042160728</v>
      </c>
      <c r="N880">
        <f t="shared" si="120"/>
        <v>1.5995214549111032E-2</v>
      </c>
      <c r="O880">
        <f t="shared" si="121"/>
        <v>0.94516840677864589</v>
      </c>
      <c r="P880">
        <f t="shared" si="122"/>
        <v>18.396876077770873</v>
      </c>
      <c r="Q880">
        <f t="shared" si="123"/>
        <v>9.4013729081585933E-3</v>
      </c>
      <c r="R880">
        <f t="shared" si="124"/>
        <v>1.9681673217652577E-2</v>
      </c>
      <c r="S880">
        <f t="shared" si="125"/>
        <v>0</v>
      </c>
    </row>
    <row r="881" spans="1:19" x14ac:dyDescent="0.3">
      <c r="A881" t="s">
        <v>286</v>
      </c>
      <c r="B881">
        <v>2009</v>
      </c>
      <c r="C881">
        <v>1.0745458322405315E-2</v>
      </c>
      <c r="D881">
        <v>6.284183357260327E-2</v>
      </c>
      <c r="E881">
        <v>-7.551797497946218E-2</v>
      </c>
      <c r="F881">
        <v>2.2942676348176295E-2</v>
      </c>
      <c r="G881">
        <v>0.97934651099261882</v>
      </c>
      <c r="H881">
        <v>18.624045677602162</v>
      </c>
      <c r="I881">
        <v>3.8646698009773515E-3</v>
      </c>
      <c r="J881">
        <v>0</v>
      </c>
      <c r="K881">
        <f t="shared" si="117"/>
        <v>1.0745458322405315E-2</v>
      </c>
      <c r="L881">
        <f t="shared" si="118"/>
        <v>6.284183357260327E-2</v>
      </c>
      <c r="M881">
        <f t="shared" si="119"/>
        <v>-7.551797497946218E-2</v>
      </c>
      <c r="N881">
        <f t="shared" si="120"/>
        <v>2.2942676348176295E-2</v>
      </c>
      <c r="O881">
        <f t="shared" si="121"/>
        <v>0.97934651099261882</v>
      </c>
      <c r="P881">
        <f t="shared" si="122"/>
        <v>18.624045677602162</v>
      </c>
      <c r="Q881">
        <f t="shared" si="123"/>
        <v>3.8646698009773515E-3</v>
      </c>
      <c r="R881">
        <f t="shared" si="124"/>
        <v>0</v>
      </c>
      <c r="S881">
        <f t="shared" si="125"/>
        <v>0</v>
      </c>
    </row>
    <row r="882" spans="1:19" x14ac:dyDescent="0.3">
      <c r="A882" t="s">
        <v>286</v>
      </c>
      <c r="B882">
        <v>2010</v>
      </c>
      <c r="C882">
        <v>1.442948024799876E-2</v>
      </c>
      <c r="D882">
        <v>7.7550198847925161E-2</v>
      </c>
      <c r="E882">
        <v>-7.4549286211786817E-2</v>
      </c>
      <c r="F882">
        <v>1.6168223992320908E-2</v>
      </c>
      <c r="G882">
        <v>0.97113303216740554</v>
      </c>
      <c r="H882">
        <v>18.751690294377752</v>
      </c>
      <c r="I882">
        <v>5.7410277767140291E-3</v>
      </c>
      <c r="J882">
        <v>7.8873328412286392E-3</v>
      </c>
      <c r="K882">
        <f t="shared" si="117"/>
        <v>1.442948024799876E-2</v>
      </c>
      <c r="L882">
        <f t="shared" si="118"/>
        <v>7.7550198847925161E-2</v>
      </c>
      <c r="M882">
        <f t="shared" si="119"/>
        <v>-7.4549286211786817E-2</v>
      </c>
      <c r="N882">
        <f t="shared" si="120"/>
        <v>1.6168223992320908E-2</v>
      </c>
      <c r="O882">
        <f t="shared" si="121"/>
        <v>0.97113303216740554</v>
      </c>
      <c r="P882">
        <f t="shared" si="122"/>
        <v>18.751690294377752</v>
      </c>
      <c r="Q882">
        <f t="shared" si="123"/>
        <v>5.7410277767140291E-3</v>
      </c>
      <c r="R882">
        <f t="shared" si="124"/>
        <v>7.8873328412286392E-3</v>
      </c>
      <c r="S882">
        <f t="shared" si="125"/>
        <v>0</v>
      </c>
    </row>
    <row r="883" spans="1:19" x14ac:dyDescent="0.3">
      <c r="A883" t="s">
        <v>287</v>
      </c>
      <c r="B883">
        <v>2007</v>
      </c>
      <c r="C883">
        <v>8.5071841779302937E-2</v>
      </c>
      <c r="D883">
        <v>5.7874764601079952E-2</v>
      </c>
      <c r="E883">
        <v>-0.14852760798715256</v>
      </c>
      <c r="F883">
        <v>0.1008553487555509</v>
      </c>
      <c r="G883">
        <v>1.1261728828357558</v>
      </c>
      <c r="H883">
        <v>17.941351994608482</v>
      </c>
      <c r="I883">
        <v>5.4943437087961317E-4</v>
      </c>
      <c r="J883">
        <v>5.4196964080475019E-3</v>
      </c>
      <c r="K883">
        <f t="shared" si="117"/>
        <v>8.5071841779302937E-2</v>
      </c>
      <c r="L883">
        <f t="shared" si="118"/>
        <v>5.7874764601079952E-2</v>
      </c>
      <c r="M883">
        <f t="shared" si="119"/>
        <v>-0.14852760798715256</v>
      </c>
      <c r="N883">
        <f t="shared" si="120"/>
        <v>0.1008553487555509</v>
      </c>
      <c r="O883">
        <f t="shared" si="121"/>
        <v>1.1261728828357558</v>
      </c>
      <c r="P883">
        <f t="shared" si="122"/>
        <v>17.941351994608482</v>
      </c>
      <c r="Q883">
        <f t="shared" si="123"/>
        <v>5.4943437087961317E-4</v>
      </c>
      <c r="R883">
        <f t="shared" si="124"/>
        <v>5.4196964080475019E-3</v>
      </c>
      <c r="S883">
        <f t="shared" si="125"/>
        <v>0</v>
      </c>
    </row>
    <row r="884" spans="1:19" x14ac:dyDescent="0.3">
      <c r="A884" t="s">
        <v>287</v>
      </c>
      <c r="B884">
        <v>2008</v>
      </c>
      <c r="C884">
        <v>6.0755795887988025E-2</v>
      </c>
      <c r="D884">
        <v>6.4113456269497812E-2</v>
      </c>
      <c r="E884">
        <v>-0.11128405622176753</v>
      </c>
      <c r="F884">
        <v>3.3675274853581939E-2</v>
      </c>
      <c r="G884">
        <v>0.95451168491027916</v>
      </c>
      <c r="H884">
        <v>18.088041806841712</v>
      </c>
      <c r="I884">
        <v>1.0435612321662392E-2</v>
      </c>
      <c r="J884">
        <v>1.1700613966764861E-2</v>
      </c>
      <c r="K884">
        <f t="shared" si="117"/>
        <v>6.0755795887988025E-2</v>
      </c>
      <c r="L884">
        <f t="shared" si="118"/>
        <v>6.4113456269497812E-2</v>
      </c>
      <c r="M884">
        <f t="shared" si="119"/>
        <v>-0.11128405622176753</v>
      </c>
      <c r="N884">
        <f t="shared" si="120"/>
        <v>3.3675274853581939E-2</v>
      </c>
      <c r="O884">
        <f t="shared" si="121"/>
        <v>0.95451168491027916</v>
      </c>
      <c r="P884">
        <f t="shared" si="122"/>
        <v>18.088041806841712</v>
      </c>
      <c r="Q884">
        <f t="shared" si="123"/>
        <v>1.0435612321662392E-2</v>
      </c>
      <c r="R884">
        <f t="shared" si="124"/>
        <v>1.1700613966764861E-2</v>
      </c>
      <c r="S884">
        <f t="shared" si="125"/>
        <v>0</v>
      </c>
    </row>
    <row r="885" spans="1:19" x14ac:dyDescent="0.3">
      <c r="A885" t="s">
        <v>287</v>
      </c>
      <c r="B885">
        <v>2009</v>
      </c>
      <c r="C885">
        <v>1.4690852676173996E-2</v>
      </c>
      <c r="D885">
        <v>3.1719434333790798E-2</v>
      </c>
      <c r="E885">
        <v>3.0925343596475526E-2</v>
      </c>
      <c r="F885">
        <v>0.22342487618592996</v>
      </c>
      <c r="G885">
        <v>0.99332627066054058</v>
      </c>
      <c r="H885">
        <v>18.426205454595067</v>
      </c>
      <c r="I885">
        <v>1.8898575980527028E-2</v>
      </c>
      <c r="J885">
        <v>0</v>
      </c>
      <c r="K885">
        <f t="shared" si="117"/>
        <v>1.4690852676173996E-2</v>
      </c>
      <c r="L885">
        <f t="shared" si="118"/>
        <v>3.1719434333790798E-2</v>
      </c>
      <c r="M885">
        <f t="shared" si="119"/>
        <v>3.0925343596475526E-2</v>
      </c>
      <c r="N885">
        <f t="shared" si="120"/>
        <v>0.22342487618592996</v>
      </c>
      <c r="O885">
        <f t="shared" si="121"/>
        <v>0.99332627066054058</v>
      </c>
      <c r="P885">
        <f t="shared" si="122"/>
        <v>18.426205454595067</v>
      </c>
      <c r="Q885">
        <f t="shared" si="123"/>
        <v>1.8898575980527028E-2</v>
      </c>
      <c r="R885">
        <f t="shared" si="124"/>
        <v>0</v>
      </c>
      <c r="S885">
        <f t="shared" si="125"/>
        <v>0</v>
      </c>
    </row>
    <row r="886" spans="1:19" x14ac:dyDescent="0.3">
      <c r="A886" t="s">
        <v>287</v>
      </c>
      <c r="B886">
        <v>2010</v>
      </c>
      <c r="C886">
        <v>5.606335409284036E-3</v>
      </c>
      <c r="D886">
        <v>9.0025482645108401E-2</v>
      </c>
      <c r="E886">
        <v>1.0866434762212012E-2</v>
      </c>
      <c r="F886">
        <v>0.18418356966403709</v>
      </c>
      <c r="G886">
        <v>1.034959474743949</v>
      </c>
      <c r="H886">
        <v>18.522873502561545</v>
      </c>
      <c r="I886">
        <v>7.4358437298577586E-3</v>
      </c>
      <c r="J886">
        <v>9.0895970777095398E-3</v>
      </c>
      <c r="K886">
        <f t="shared" si="117"/>
        <v>5.606335409284036E-3</v>
      </c>
      <c r="L886">
        <f t="shared" si="118"/>
        <v>9.0025482645108401E-2</v>
      </c>
      <c r="M886">
        <f t="shared" si="119"/>
        <v>1.0866434762212012E-2</v>
      </c>
      <c r="N886">
        <f t="shared" si="120"/>
        <v>0.18418356966403709</v>
      </c>
      <c r="O886">
        <f t="shared" si="121"/>
        <v>1.034959474743949</v>
      </c>
      <c r="P886">
        <f t="shared" si="122"/>
        <v>18.522873502561545</v>
      </c>
      <c r="Q886">
        <f t="shared" si="123"/>
        <v>7.4358437298577586E-3</v>
      </c>
      <c r="R886">
        <f t="shared" si="124"/>
        <v>9.0895970777095398E-3</v>
      </c>
      <c r="S886">
        <f t="shared" si="125"/>
        <v>0</v>
      </c>
    </row>
    <row r="887" spans="1:19" x14ac:dyDescent="0.3">
      <c r="A887" t="s">
        <v>288</v>
      </c>
      <c r="B887">
        <v>2007</v>
      </c>
      <c r="C887">
        <v>1.6510401554535137E-2</v>
      </c>
      <c r="D887">
        <v>9.5820030953349608E-2</v>
      </c>
      <c r="E887">
        <v>0.12138722658143068</v>
      </c>
      <c r="F887">
        <v>6.8211207770719845E-2</v>
      </c>
      <c r="G887">
        <v>1.1386030186794698</v>
      </c>
      <c r="H887">
        <v>17.622028926238478</v>
      </c>
      <c r="I887">
        <v>4.7124552026691809E-3</v>
      </c>
      <c r="J887">
        <v>7.3297007357615865E-2</v>
      </c>
      <c r="K887">
        <f t="shared" si="117"/>
        <v>1.6510401554535137E-2</v>
      </c>
      <c r="L887">
        <f t="shared" si="118"/>
        <v>9.5820030953349608E-2</v>
      </c>
      <c r="M887">
        <f t="shared" si="119"/>
        <v>0.12138722658143068</v>
      </c>
      <c r="N887">
        <f t="shared" si="120"/>
        <v>6.8211207770719845E-2</v>
      </c>
      <c r="O887">
        <f t="shared" si="121"/>
        <v>1.1386030186794698</v>
      </c>
      <c r="P887">
        <f t="shared" si="122"/>
        <v>17.622028926238478</v>
      </c>
      <c r="Q887">
        <f t="shared" si="123"/>
        <v>4.7124552026691809E-3</v>
      </c>
      <c r="R887">
        <f t="shared" si="124"/>
        <v>7.3297007357615865E-2</v>
      </c>
      <c r="S887">
        <f t="shared" si="125"/>
        <v>0</v>
      </c>
    </row>
    <row r="888" spans="1:19" x14ac:dyDescent="0.3">
      <c r="A888" t="s">
        <v>288</v>
      </c>
      <c r="B888">
        <v>2008</v>
      </c>
      <c r="C888">
        <v>1.0562365841329349E-2</v>
      </c>
      <c r="D888">
        <v>6.8048249200289471E-2</v>
      </c>
      <c r="E888">
        <v>2.9063580314188219E-2</v>
      </c>
      <c r="F888">
        <v>0.22817514828400431</v>
      </c>
      <c r="G888">
        <v>0.80599163060272871</v>
      </c>
      <c r="H888">
        <v>17.953820154179141</v>
      </c>
      <c r="I888">
        <v>2.9617463751242003E-3</v>
      </c>
      <c r="J888">
        <v>3.9681196229169713E-2</v>
      </c>
      <c r="K888">
        <f t="shared" si="117"/>
        <v>1.0562365841329349E-2</v>
      </c>
      <c r="L888">
        <f t="shared" si="118"/>
        <v>6.8048249200289471E-2</v>
      </c>
      <c r="M888">
        <f t="shared" si="119"/>
        <v>2.9063580314188219E-2</v>
      </c>
      <c r="N888">
        <f t="shared" si="120"/>
        <v>0.22817514828400431</v>
      </c>
      <c r="O888">
        <f t="shared" si="121"/>
        <v>0.80599163060272871</v>
      </c>
      <c r="P888">
        <f t="shared" si="122"/>
        <v>17.953820154179141</v>
      </c>
      <c r="Q888">
        <f t="shared" si="123"/>
        <v>2.9617463751242003E-3</v>
      </c>
      <c r="R888">
        <f t="shared" si="124"/>
        <v>3.9681196229169713E-2</v>
      </c>
      <c r="S888">
        <f t="shared" si="125"/>
        <v>0</v>
      </c>
    </row>
    <row r="889" spans="1:19" x14ac:dyDescent="0.3">
      <c r="A889" t="s">
        <v>288</v>
      </c>
      <c r="B889">
        <v>2009</v>
      </c>
      <c r="C889">
        <v>1.1265871942839501E-2</v>
      </c>
      <c r="D889">
        <v>5.9088663193982816E-2</v>
      </c>
      <c r="E889">
        <v>1.0221231428858076E-3</v>
      </c>
      <c r="F889">
        <v>0.1733098791176492</v>
      </c>
      <c r="G889">
        <v>1.0696829252538915</v>
      </c>
      <c r="H889">
        <v>18.335560733564375</v>
      </c>
      <c r="I889">
        <v>1.7583338938384659E-3</v>
      </c>
      <c r="J889">
        <v>4.2208823007213202E-2</v>
      </c>
      <c r="K889">
        <f t="shared" si="117"/>
        <v>1.1265871942839501E-2</v>
      </c>
      <c r="L889">
        <f t="shared" si="118"/>
        <v>5.9088663193982816E-2</v>
      </c>
      <c r="M889">
        <f t="shared" si="119"/>
        <v>1.0221231428858076E-3</v>
      </c>
      <c r="N889">
        <f t="shared" si="120"/>
        <v>0.1733098791176492</v>
      </c>
      <c r="O889">
        <f t="shared" si="121"/>
        <v>1.0696829252538915</v>
      </c>
      <c r="P889">
        <f t="shared" si="122"/>
        <v>18.335560733564375</v>
      </c>
      <c r="Q889">
        <f t="shared" si="123"/>
        <v>1.7583338938384659E-3</v>
      </c>
      <c r="R889">
        <f t="shared" si="124"/>
        <v>4.2208823007213202E-2</v>
      </c>
      <c r="S889">
        <f t="shared" si="125"/>
        <v>0</v>
      </c>
    </row>
    <row r="890" spans="1:19" x14ac:dyDescent="0.3">
      <c r="A890" t="s">
        <v>288</v>
      </c>
      <c r="B890">
        <v>2010</v>
      </c>
      <c r="C890">
        <v>7.3627199544548244E-3</v>
      </c>
      <c r="D890">
        <v>5.7067570050415996E-2</v>
      </c>
      <c r="E890">
        <v>-3.411540102266541E-3</v>
      </c>
      <c r="F890">
        <v>0.26862114982209151</v>
      </c>
      <c r="G890">
        <v>1.1045024001321313</v>
      </c>
      <c r="H890">
        <v>18.652048209987971</v>
      </c>
      <c r="I890">
        <v>4.6835157030711318E-3</v>
      </c>
      <c r="J890">
        <v>4.5907083385052908E-2</v>
      </c>
      <c r="K890">
        <f t="shared" si="117"/>
        <v>7.3627199544548244E-3</v>
      </c>
      <c r="L890">
        <f t="shared" si="118"/>
        <v>5.7067570050415996E-2</v>
      </c>
      <c r="M890">
        <f t="shared" si="119"/>
        <v>-3.411540102266541E-3</v>
      </c>
      <c r="N890">
        <f t="shared" si="120"/>
        <v>0.26862114982209151</v>
      </c>
      <c r="O890">
        <f t="shared" si="121"/>
        <v>1.1045024001321313</v>
      </c>
      <c r="P890">
        <f t="shared" si="122"/>
        <v>18.652048209987971</v>
      </c>
      <c r="Q890">
        <f t="shared" si="123"/>
        <v>4.6835157030711318E-3</v>
      </c>
      <c r="R890">
        <f t="shared" si="124"/>
        <v>4.5907083385052908E-2</v>
      </c>
      <c r="S890">
        <f t="shared" si="125"/>
        <v>0</v>
      </c>
    </row>
    <row r="891" spans="1:19" x14ac:dyDescent="0.3">
      <c r="A891" t="s">
        <v>289</v>
      </c>
      <c r="B891">
        <v>2007</v>
      </c>
      <c r="C891">
        <v>4.2388531513480668E-2</v>
      </c>
      <c r="D891">
        <v>0.28955693818828243</v>
      </c>
      <c r="E891">
        <v>0.46714196759015153</v>
      </c>
      <c r="F891">
        <v>8.6167437492781357E-2</v>
      </c>
      <c r="G891">
        <v>3.3747657391644945</v>
      </c>
      <c r="H891">
        <v>14.281189850729888</v>
      </c>
      <c r="I891">
        <v>2.536510730698352E-2</v>
      </c>
      <c r="J891">
        <v>0</v>
      </c>
      <c r="K891">
        <f t="shared" si="117"/>
        <v>4.2388531513480668E-2</v>
      </c>
      <c r="L891">
        <f t="shared" si="118"/>
        <v>0.28955693818828243</v>
      </c>
      <c r="M891">
        <f t="shared" si="119"/>
        <v>0.46714196759015153</v>
      </c>
      <c r="N891">
        <f t="shared" si="120"/>
        <v>8.6167437492781357E-2</v>
      </c>
      <c r="O891">
        <f t="shared" si="121"/>
        <v>3.3747657391644945</v>
      </c>
      <c r="P891">
        <f t="shared" si="122"/>
        <v>14.281189850729888</v>
      </c>
      <c r="Q891">
        <f t="shared" si="123"/>
        <v>2.536510730698352E-2</v>
      </c>
      <c r="R891">
        <f t="shared" si="124"/>
        <v>0</v>
      </c>
      <c r="S891">
        <f t="shared" si="125"/>
        <v>0</v>
      </c>
    </row>
    <row r="892" spans="1:19" x14ac:dyDescent="0.3">
      <c r="A892" t="s">
        <v>289</v>
      </c>
      <c r="B892">
        <v>2008</v>
      </c>
      <c r="C892">
        <v>5.1637983158815869E-2</v>
      </c>
      <c r="D892">
        <v>0.34281722931764225</v>
      </c>
      <c r="E892">
        <v>0.42135614236620977</v>
      </c>
      <c r="F892">
        <v>8.6683823760907178E-2</v>
      </c>
      <c r="G892">
        <v>0.80249626034006882</v>
      </c>
      <c r="H892">
        <v>14.722759737920565</v>
      </c>
      <c r="I892">
        <v>0.10056316942603946</v>
      </c>
      <c r="J892">
        <v>2.411182572094912E-2</v>
      </c>
      <c r="K892">
        <f t="shared" si="117"/>
        <v>5.1637983158815869E-2</v>
      </c>
      <c r="L892">
        <f t="shared" si="118"/>
        <v>0.34281722931764225</v>
      </c>
      <c r="M892">
        <f t="shared" si="119"/>
        <v>0.42135614236620977</v>
      </c>
      <c r="N892">
        <f t="shared" si="120"/>
        <v>8.6683823760907178E-2</v>
      </c>
      <c r="O892">
        <f t="shared" si="121"/>
        <v>0.80249626034006882</v>
      </c>
      <c r="P892">
        <f t="shared" si="122"/>
        <v>14.722759737920565</v>
      </c>
      <c r="Q892">
        <f t="shared" si="123"/>
        <v>0.10056316942603946</v>
      </c>
      <c r="R892">
        <f t="shared" si="124"/>
        <v>2.411182572094912E-2</v>
      </c>
      <c r="S892">
        <f t="shared" si="125"/>
        <v>0</v>
      </c>
    </row>
    <row r="893" spans="1:19" x14ac:dyDescent="0.3">
      <c r="A893" t="s">
        <v>289</v>
      </c>
      <c r="B893">
        <v>2009</v>
      </c>
      <c r="C893">
        <v>7.8168703581417961E-2</v>
      </c>
      <c r="D893">
        <v>0.13331591618649513</v>
      </c>
      <c r="E893">
        <v>0.35861048196811018</v>
      </c>
      <c r="F893">
        <v>0.11040688237871597</v>
      </c>
      <c r="G893">
        <v>0.94657191807358121</v>
      </c>
      <c r="H893">
        <v>14.885951741094233</v>
      </c>
      <c r="I893">
        <v>7.9786745185963084E-2</v>
      </c>
      <c r="J893">
        <v>0</v>
      </c>
      <c r="K893">
        <f t="shared" si="117"/>
        <v>7.8168703581417961E-2</v>
      </c>
      <c r="L893">
        <f t="shared" si="118"/>
        <v>0.13331591618649513</v>
      </c>
      <c r="M893">
        <f t="shared" si="119"/>
        <v>0.35861048196811018</v>
      </c>
      <c r="N893">
        <f t="shared" si="120"/>
        <v>0.11040688237871597</v>
      </c>
      <c r="O893">
        <f t="shared" si="121"/>
        <v>0.94657191807358121</v>
      </c>
      <c r="P893">
        <f t="shared" si="122"/>
        <v>14.885951741094233</v>
      </c>
      <c r="Q893">
        <f t="shared" si="123"/>
        <v>7.9786745185963084E-2</v>
      </c>
      <c r="R893">
        <f t="shared" si="124"/>
        <v>0</v>
      </c>
      <c r="S893">
        <f t="shared" si="125"/>
        <v>0</v>
      </c>
    </row>
    <row r="894" spans="1:19" x14ac:dyDescent="0.3">
      <c r="A894" t="s">
        <v>289</v>
      </c>
      <c r="B894">
        <v>2010</v>
      </c>
      <c r="C894">
        <v>4.7112734512918891E-2</v>
      </c>
      <c r="D894">
        <v>0.30934761943925376</v>
      </c>
      <c r="E894">
        <v>0.34270109919114677</v>
      </c>
      <c r="F894">
        <v>6.275832522057459E-2</v>
      </c>
      <c r="G894">
        <v>0.50848194185973117</v>
      </c>
      <c r="H894">
        <v>15.24647039794648</v>
      </c>
      <c r="I894">
        <v>3.6194303626039051E-2</v>
      </c>
      <c r="J894">
        <v>2.328345819650026E-2</v>
      </c>
      <c r="K894">
        <f t="shared" si="117"/>
        <v>4.7112734512918891E-2</v>
      </c>
      <c r="L894">
        <f t="shared" si="118"/>
        <v>0.30934761943925376</v>
      </c>
      <c r="M894">
        <f t="shared" si="119"/>
        <v>0.34270109919114677</v>
      </c>
      <c r="N894">
        <f t="shared" si="120"/>
        <v>6.275832522057459E-2</v>
      </c>
      <c r="O894">
        <f t="shared" si="121"/>
        <v>0.50848194185973117</v>
      </c>
      <c r="P894">
        <f t="shared" si="122"/>
        <v>15.24647039794648</v>
      </c>
      <c r="Q894">
        <f t="shared" si="123"/>
        <v>3.6194303626039051E-2</v>
      </c>
      <c r="R894">
        <f t="shared" si="124"/>
        <v>2.328345819650026E-2</v>
      </c>
      <c r="S894">
        <f t="shared" si="125"/>
        <v>0</v>
      </c>
    </row>
    <row r="895" spans="1:19" x14ac:dyDescent="0.3">
      <c r="A895" t="s">
        <v>290</v>
      </c>
      <c r="B895">
        <v>2007</v>
      </c>
      <c r="C895">
        <v>9.381468430733772E-2</v>
      </c>
      <c r="D895">
        <v>0.30876936373911307</v>
      </c>
      <c r="E895">
        <v>0.17058262970103938</v>
      </c>
      <c r="F895">
        <v>0</v>
      </c>
      <c r="G895">
        <v>1.7965546026047323</v>
      </c>
      <c r="H895">
        <v>13.425197574425534</v>
      </c>
      <c r="I895">
        <v>3.3667837481622664E-4</v>
      </c>
      <c r="J895">
        <v>5.7921680739312545E-2</v>
      </c>
      <c r="K895">
        <f t="shared" si="117"/>
        <v>9.381468430733772E-2</v>
      </c>
      <c r="L895">
        <f t="shared" si="118"/>
        <v>0.30876936373911307</v>
      </c>
      <c r="M895">
        <f t="shared" si="119"/>
        <v>0.17058262970103938</v>
      </c>
      <c r="N895">
        <f t="shared" si="120"/>
        <v>0</v>
      </c>
      <c r="O895">
        <f t="shared" si="121"/>
        <v>1.7965546026047323</v>
      </c>
      <c r="P895">
        <f t="shared" si="122"/>
        <v>13.425197574425534</v>
      </c>
      <c r="Q895">
        <f t="shared" si="123"/>
        <v>3.3667837481622664E-4</v>
      </c>
      <c r="R895">
        <f t="shared" si="124"/>
        <v>5.7921680739312545E-2</v>
      </c>
      <c r="S895">
        <f t="shared" si="125"/>
        <v>0</v>
      </c>
    </row>
    <row r="896" spans="1:19" x14ac:dyDescent="0.3">
      <c r="A896" t="s">
        <v>290</v>
      </c>
      <c r="B896">
        <v>2008</v>
      </c>
      <c r="C896">
        <v>9.893900032173332E-2</v>
      </c>
      <c r="D896">
        <v>0.29445202091746819</v>
      </c>
      <c r="E896">
        <v>0.14279917597852551</v>
      </c>
      <c r="F896">
        <v>0</v>
      </c>
      <c r="G896">
        <v>0.87037508343457526</v>
      </c>
      <c r="H896">
        <v>13.632774515282911</v>
      </c>
      <c r="I896">
        <v>9.5128653431817423E-3</v>
      </c>
      <c r="J896">
        <v>3.7651202658381636E-2</v>
      </c>
      <c r="K896">
        <f t="shared" si="117"/>
        <v>9.893900032173332E-2</v>
      </c>
      <c r="L896">
        <f t="shared" si="118"/>
        <v>0.29445202091746819</v>
      </c>
      <c r="M896">
        <f t="shared" si="119"/>
        <v>0.14279917597852551</v>
      </c>
      <c r="N896">
        <f t="shared" si="120"/>
        <v>0</v>
      </c>
      <c r="O896">
        <f t="shared" si="121"/>
        <v>0.87037508343457526</v>
      </c>
      <c r="P896">
        <f t="shared" si="122"/>
        <v>13.632774515282911</v>
      </c>
      <c r="Q896">
        <f t="shared" si="123"/>
        <v>9.5128653431817423E-3</v>
      </c>
      <c r="R896">
        <f t="shared" si="124"/>
        <v>3.7651202658381636E-2</v>
      </c>
      <c r="S896">
        <f t="shared" si="125"/>
        <v>0</v>
      </c>
    </row>
    <row r="897" spans="1:19" x14ac:dyDescent="0.3">
      <c r="A897" t="s">
        <v>290</v>
      </c>
      <c r="B897">
        <v>2009</v>
      </c>
      <c r="C897">
        <v>0.12716345577600741</v>
      </c>
      <c r="D897">
        <v>0.32415978808920709</v>
      </c>
      <c r="E897">
        <v>0.25534371579023069</v>
      </c>
      <c r="F897">
        <v>0</v>
      </c>
      <c r="G897">
        <v>1.2004312927996676</v>
      </c>
      <c r="H897">
        <v>13.816685867017924</v>
      </c>
      <c r="I897">
        <v>1.6283539962863705E-2</v>
      </c>
      <c r="J897">
        <v>5.4821529880860108E-2</v>
      </c>
      <c r="K897">
        <f t="shared" si="117"/>
        <v>0.12716345577600741</v>
      </c>
      <c r="L897">
        <f t="shared" si="118"/>
        <v>0.32415978808920709</v>
      </c>
      <c r="M897">
        <f t="shared" si="119"/>
        <v>0.25534371579023069</v>
      </c>
      <c r="N897">
        <f t="shared" si="120"/>
        <v>0</v>
      </c>
      <c r="O897">
        <f t="shared" si="121"/>
        <v>1.2004312927996676</v>
      </c>
      <c r="P897">
        <f t="shared" si="122"/>
        <v>13.816685867017924</v>
      </c>
      <c r="Q897">
        <f t="shared" si="123"/>
        <v>1.6283539962863705E-2</v>
      </c>
      <c r="R897">
        <f t="shared" si="124"/>
        <v>5.4821529880860108E-2</v>
      </c>
      <c r="S897">
        <f t="shared" si="125"/>
        <v>0</v>
      </c>
    </row>
    <row r="898" spans="1:19" x14ac:dyDescent="0.3">
      <c r="A898" t="s">
        <v>290</v>
      </c>
      <c r="B898">
        <v>2010</v>
      </c>
      <c r="C898">
        <v>0.14026700685152801</v>
      </c>
      <c r="D898">
        <v>0.30077106305609069</v>
      </c>
      <c r="E898">
        <v>0.33351879333121642</v>
      </c>
      <c r="F898">
        <v>0</v>
      </c>
      <c r="G898">
        <v>0.94266860581912371</v>
      </c>
      <c r="H898">
        <v>13.892653989873601</v>
      </c>
      <c r="I898">
        <v>3.9316539001102241E-2</v>
      </c>
      <c r="J898">
        <v>5.8069037407065566E-2</v>
      </c>
      <c r="K898">
        <f t="shared" si="117"/>
        <v>0.14026700685152801</v>
      </c>
      <c r="L898">
        <f t="shared" si="118"/>
        <v>0.30077106305609069</v>
      </c>
      <c r="M898">
        <f t="shared" si="119"/>
        <v>0.33351879333121642</v>
      </c>
      <c r="N898">
        <f t="shared" si="120"/>
        <v>0</v>
      </c>
      <c r="O898">
        <f t="shared" si="121"/>
        <v>0.94266860581912371</v>
      </c>
      <c r="P898">
        <f t="shared" si="122"/>
        <v>13.892653989873601</v>
      </c>
      <c r="Q898">
        <f t="shared" si="123"/>
        <v>3.9316539001102241E-2</v>
      </c>
      <c r="R898">
        <f t="shared" si="124"/>
        <v>5.8069037407065566E-2</v>
      </c>
      <c r="S898">
        <f t="shared" si="125"/>
        <v>0</v>
      </c>
    </row>
    <row r="899" spans="1:19" x14ac:dyDescent="0.3">
      <c r="A899" t="s">
        <v>291</v>
      </c>
      <c r="B899">
        <v>2007</v>
      </c>
      <c r="C899">
        <v>5.5388484908308534E-2</v>
      </c>
      <c r="D899">
        <v>0.25047771413678788</v>
      </c>
      <c r="E899">
        <v>0.39364553873379793</v>
      </c>
      <c r="F899">
        <v>1.5786803510724576E-2</v>
      </c>
      <c r="G899">
        <v>0.93425502888613321</v>
      </c>
      <c r="H899">
        <v>16.612279688469453</v>
      </c>
      <c r="I899">
        <v>1.7015014754919823E-2</v>
      </c>
      <c r="J899">
        <v>1.2085151896684656E-2</v>
      </c>
      <c r="K899">
        <f t="shared" ref="K899:K962" si="126">IF(OR(C899&lt;$C$1007-3*$C$1008,C899&gt;$C$1007+3*$C$1008),"out",C899)</f>
        <v>5.5388484908308534E-2</v>
      </c>
      <c r="L899">
        <f t="shared" ref="L899:L962" si="127">IF(OR(D899&lt;$D$1007-3*$D$1008,D899&gt;$D$1007+3*$D$1008),"out",D899)</f>
        <v>0.25047771413678788</v>
      </c>
      <c r="M899">
        <f t="shared" ref="M899:M962" si="128">IF(OR(E899&lt;$E$1007-3*$E$1008,E899&gt;$E$1007+3*$E$1008),"out",E899)</f>
        <v>0.39364553873379793</v>
      </c>
      <c r="N899">
        <f t="shared" ref="N899:N962" si="129">IF(OR(F899&lt;$F$1007-3*$F$1008,F899&gt;$F$1007+3*$F$1008),"out",F899)</f>
        <v>1.5786803510724576E-2</v>
      </c>
      <c r="O899">
        <f t="shared" ref="O899:O962" si="130">IF(OR(G899&lt;$G$1007-3*$G$1008,G899&gt;$G$1007+3*$G$1008),"out",G899)</f>
        <v>0.93425502888613321</v>
      </c>
      <c r="P899">
        <f t="shared" ref="P899:P962" si="131">IF(OR(H899&lt;$H$1007-3*$H$1008,H899&gt;$H$1007+3*$H$1008),"out",H899)</f>
        <v>16.612279688469453</v>
      </c>
      <c r="Q899">
        <f t="shared" ref="Q899:Q962" si="132">IF(OR(I899&lt;$I$1007-3*$I$1008,I899&gt;$I$1007+3*$I$1008),"out",I899)</f>
        <v>1.7015014754919823E-2</v>
      </c>
      <c r="R899">
        <f t="shared" ref="R899:R962" si="133">IF(OR(J899&lt;$J$1007-3*$J$1008,J899&gt;$J$1007+3*$J$1008),"out",J899)</f>
        <v>1.2085151896684656E-2</v>
      </c>
      <c r="S899">
        <f t="shared" ref="S899:S962" si="134">IF(OR(K899="ot",L899="out",M899="out",N899="out",O899="out",P899="out",Q899="out",R899="out"),1,0)</f>
        <v>0</v>
      </c>
    </row>
    <row r="900" spans="1:19" x14ac:dyDescent="0.3">
      <c r="A900" t="s">
        <v>291</v>
      </c>
      <c r="B900">
        <v>2008</v>
      </c>
      <c r="C900">
        <v>0.24932174437299034</v>
      </c>
      <c r="D900">
        <v>0.26300357211692144</v>
      </c>
      <c r="E900">
        <v>0.37900607124724994</v>
      </c>
      <c r="F900">
        <v>1.8040321613922265E-2</v>
      </c>
      <c r="G900">
        <v>1.0419017534163988</v>
      </c>
      <c r="H900">
        <v>16.426633913161456</v>
      </c>
      <c r="I900">
        <v>3.7655858825033597E-2</v>
      </c>
      <c r="J900">
        <v>3.0071022193076474E-2</v>
      </c>
      <c r="K900">
        <f t="shared" si="126"/>
        <v>0.24932174437299034</v>
      </c>
      <c r="L900">
        <f t="shared" si="127"/>
        <v>0.26300357211692144</v>
      </c>
      <c r="M900">
        <f t="shared" si="128"/>
        <v>0.37900607124724994</v>
      </c>
      <c r="N900">
        <f t="shared" si="129"/>
        <v>1.8040321613922265E-2</v>
      </c>
      <c r="O900">
        <f t="shared" si="130"/>
        <v>1.0419017534163988</v>
      </c>
      <c r="P900">
        <f t="shared" si="131"/>
        <v>16.426633913161456</v>
      </c>
      <c r="Q900">
        <f t="shared" si="132"/>
        <v>3.7655858825033597E-2</v>
      </c>
      <c r="R900">
        <f t="shared" si="133"/>
        <v>3.0071022193076474E-2</v>
      </c>
      <c r="S900">
        <f t="shared" si="134"/>
        <v>0</v>
      </c>
    </row>
    <row r="901" spans="1:19" x14ac:dyDescent="0.3">
      <c r="A901" t="s">
        <v>291</v>
      </c>
      <c r="B901">
        <v>2009</v>
      </c>
      <c r="C901">
        <v>0.13200492691092056</v>
      </c>
      <c r="D901">
        <v>0.10356376040708146</v>
      </c>
      <c r="E901">
        <v>-0.10080328076600573</v>
      </c>
      <c r="F901">
        <v>3.4673852866125609E-3</v>
      </c>
      <c r="G901">
        <v>0.96375787136400592</v>
      </c>
      <c r="H901">
        <v>16.636888194372705</v>
      </c>
      <c r="I901">
        <v>1.692349638235633E-2</v>
      </c>
      <c r="J901">
        <v>1.1791383786848781E-2</v>
      </c>
      <c r="K901">
        <f t="shared" si="126"/>
        <v>0.13200492691092056</v>
      </c>
      <c r="L901">
        <f t="shared" si="127"/>
        <v>0.10356376040708146</v>
      </c>
      <c r="M901">
        <f t="shared" si="128"/>
        <v>-0.10080328076600573</v>
      </c>
      <c r="N901">
        <f t="shared" si="129"/>
        <v>3.4673852866125609E-3</v>
      </c>
      <c r="O901">
        <f t="shared" si="130"/>
        <v>0.96375787136400592</v>
      </c>
      <c r="P901">
        <f t="shared" si="131"/>
        <v>16.636888194372705</v>
      </c>
      <c r="Q901">
        <f t="shared" si="132"/>
        <v>1.692349638235633E-2</v>
      </c>
      <c r="R901">
        <f t="shared" si="133"/>
        <v>1.1791383786848781E-2</v>
      </c>
      <c r="S901">
        <f t="shared" si="134"/>
        <v>0</v>
      </c>
    </row>
    <row r="902" spans="1:19" x14ac:dyDescent="0.3">
      <c r="A902" t="s">
        <v>291</v>
      </c>
      <c r="B902">
        <v>2010</v>
      </c>
      <c r="C902">
        <v>7.061921453866217E-2</v>
      </c>
      <c r="D902">
        <v>6.3580191022032509E-2</v>
      </c>
      <c r="E902">
        <v>-0.44649174283969734</v>
      </c>
      <c r="F902">
        <v>2.7100661675337487E-3</v>
      </c>
      <c r="G902">
        <v>0.88542426702979415</v>
      </c>
      <c r="H902">
        <v>16.734433004948638</v>
      </c>
      <c r="I902">
        <v>7.706901475294849E-3</v>
      </c>
      <c r="J902">
        <v>1.0695512560417538E-2</v>
      </c>
      <c r="K902">
        <f t="shared" si="126"/>
        <v>7.061921453866217E-2</v>
      </c>
      <c r="L902">
        <f t="shared" si="127"/>
        <v>6.3580191022032509E-2</v>
      </c>
      <c r="M902">
        <f t="shared" si="128"/>
        <v>-0.44649174283969734</v>
      </c>
      <c r="N902">
        <f t="shared" si="129"/>
        <v>2.7100661675337487E-3</v>
      </c>
      <c r="O902">
        <f t="shared" si="130"/>
        <v>0.88542426702979415</v>
      </c>
      <c r="P902">
        <f t="shared" si="131"/>
        <v>16.734433004948638</v>
      </c>
      <c r="Q902">
        <f t="shared" si="132"/>
        <v>7.706901475294849E-3</v>
      </c>
      <c r="R902">
        <f t="shared" si="133"/>
        <v>1.0695512560417538E-2</v>
      </c>
      <c r="S902">
        <f t="shared" si="134"/>
        <v>0</v>
      </c>
    </row>
    <row r="903" spans="1:19" x14ac:dyDescent="0.3">
      <c r="A903" t="s">
        <v>292</v>
      </c>
      <c r="B903">
        <v>2007</v>
      </c>
      <c r="C903">
        <v>0.1499102589720232</v>
      </c>
      <c r="D903">
        <v>0.15062068296630157</v>
      </c>
      <c r="E903">
        <v>0.24247139056736047</v>
      </c>
      <c r="F903">
        <v>0.13016546295167189</v>
      </c>
      <c r="G903">
        <v>1.2381361051314239</v>
      </c>
      <c r="H903">
        <v>15.547192120483285</v>
      </c>
      <c r="I903">
        <v>0.10004001936561305</v>
      </c>
      <c r="J903">
        <v>0</v>
      </c>
      <c r="K903">
        <f t="shared" si="126"/>
        <v>0.1499102589720232</v>
      </c>
      <c r="L903">
        <f t="shared" si="127"/>
        <v>0.15062068296630157</v>
      </c>
      <c r="M903">
        <f t="shared" si="128"/>
        <v>0.24247139056736047</v>
      </c>
      <c r="N903">
        <f t="shared" si="129"/>
        <v>0.13016546295167189</v>
      </c>
      <c r="O903">
        <f t="shared" si="130"/>
        <v>1.2381361051314239</v>
      </c>
      <c r="P903">
        <f t="shared" si="131"/>
        <v>15.547192120483285</v>
      </c>
      <c r="Q903">
        <f t="shared" si="132"/>
        <v>0.10004001936561305</v>
      </c>
      <c r="R903">
        <f t="shared" si="133"/>
        <v>0</v>
      </c>
      <c r="S903">
        <f t="shared" si="134"/>
        <v>0</v>
      </c>
    </row>
    <row r="904" spans="1:19" x14ac:dyDescent="0.3">
      <c r="A904" t="s">
        <v>292</v>
      </c>
      <c r="B904">
        <v>2008</v>
      </c>
      <c r="C904">
        <v>1.4502422291076144E-3</v>
      </c>
      <c r="D904">
        <v>1.4131570826937982</v>
      </c>
      <c r="E904">
        <v>0.97575376273210712</v>
      </c>
      <c r="F904">
        <v>0</v>
      </c>
      <c r="G904">
        <v>0.48102979194755668</v>
      </c>
      <c r="H904">
        <v>14.22126828992057</v>
      </c>
      <c r="I904">
        <v>8.0066770099982587E-2</v>
      </c>
      <c r="J904">
        <v>0</v>
      </c>
      <c r="K904">
        <f t="shared" si="126"/>
        <v>1.4502422291076144E-3</v>
      </c>
      <c r="L904">
        <f t="shared" si="127"/>
        <v>1.4131570826937982</v>
      </c>
      <c r="M904">
        <f t="shared" si="128"/>
        <v>0.97575376273210712</v>
      </c>
      <c r="N904">
        <f t="shared" si="129"/>
        <v>0</v>
      </c>
      <c r="O904">
        <f t="shared" si="130"/>
        <v>0.48102979194755668</v>
      </c>
      <c r="P904">
        <f t="shared" si="131"/>
        <v>14.22126828992057</v>
      </c>
      <c r="Q904">
        <f t="shared" si="132"/>
        <v>8.0066770099982587E-2</v>
      </c>
      <c r="R904">
        <f t="shared" si="133"/>
        <v>0</v>
      </c>
      <c r="S904">
        <f t="shared" si="134"/>
        <v>0</v>
      </c>
    </row>
    <row r="905" spans="1:19" x14ac:dyDescent="0.3">
      <c r="A905" t="s">
        <v>292</v>
      </c>
      <c r="B905">
        <v>2009</v>
      </c>
      <c r="C905">
        <v>5.1324550679221717E-2</v>
      </c>
      <c r="D905">
        <v>0.36356291274081559</v>
      </c>
      <c r="E905">
        <v>-0.4692637208125503</v>
      </c>
      <c r="F905">
        <v>0.21661555448182762</v>
      </c>
      <c r="G905">
        <v>1.1090010435548698</v>
      </c>
      <c r="H905">
        <v>15.649131321453462</v>
      </c>
      <c r="I905">
        <v>0.13781270749009114</v>
      </c>
      <c r="J905">
        <v>6.1599945912242616E-4</v>
      </c>
      <c r="K905">
        <f t="shared" si="126"/>
        <v>5.1324550679221717E-2</v>
      </c>
      <c r="L905">
        <f t="shared" si="127"/>
        <v>0.36356291274081559</v>
      </c>
      <c r="M905">
        <f t="shared" si="128"/>
        <v>-0.4692637208125503</v>
      </c>
      <c r="N905">
        <f t="shared" si="129"/>
        <v>0.21661555448182762</v>
      </c>
      <c r="O905">
        <f t="shared" si="130"/>
        <v>1.1090010435548698</v>
      </c>
      <c r="P905">
        <f t="shared" si="131"/>
        <v>15.649131321453462</v>
      </c>
      <c r="Q905">
        <f t="shared" si="132"/>
        <v>0.13781270749009114</v>
      </c>
      <c r="R905">
        <f t="shared" si="133"/>
        <v>6.1599945912242616E-4</v>
      </c>
      <c r="S905">
        <f t="shared" si="134"/>
        <v>0</v>
      </c>
    </row>
    <row r="906" spans="1:19" x14ac:dyDescent="0.3">
      <c r="A906" t="s">
        <v>292</v>
      </c>
      <c r="B906">
        <v>2010</v>
      </c>
      <c r="C906">
        <v>9.591227794466442E-2</v>
      </c>
      <c r="D906">
        <v>0.34656657121335893</v>
      </c>
      <c r="E906">
        <v>-0.47610223114667538</v>
      </c>
      <c r="F906">
        <v>0.21894433791708379</v>
      </c>
      <c r="G906">
        <v>0.90795682132883815</v>
      </c>
      <c r="H906">
        <v>15.548380763354197</v>
      </c>
      <c r="I906">
        <v>2.0866326697240856E-2</v>
      </c>
      <c r="J906">
        <v>0</v>
      </c>
      <c r="K906">
        <f t="shared" si="126"/>
        <v>9.591227794466442E-2</v>
      </c>
      <c r="L906">
        <f t="shared" si="127"/>
        <v>0.34656657121335893</v>
      </c>
      <c r="M906">
        <f t="shared" si="128"/>
        <v>-0.47610223114667538</v>
      </c>
      <c r="N906">
        <f t="shared" si="129"/>
        <v>0.21894433791708379</v>
      </c>
      <c r="O906">
        <f t="shared" si="130"/>
        <v>0.90795682132883815</v>
      </c>
      <c r="P906">
        <f t="shared" si="131"/>
        <v>15.548380763354197</v>
      </c>
      <c r="Q906">
        <f t="shared" si="132"/>
        <v>2.0866326697240856E-2</v>
      </c>
      <c r="R906">
        <f t="shared" si="133"/>
        <v>0</v>
      </c>
      <c r="S906">
        <f t="shared" si="134"/>
        <v>0</v>
      </c>
    </row>
    <row r="907" spans="1:19" x14ac:dyDescent="0.3">
      <c r="A907" t="s">
        <v>293</v>
      </c>
      <c r="B907">
        <v>2007</v>
      </c>
      <c r="C907">
        <v>1.3555281886059459E-2</v>
      </c>
      <c r="D907">
        <v>0.11896602490845908</v>
      </c>
      <c r="E907">
        <v>-0.23661870000233226</v>
      </c>
      <c r="F907">
        <v>0.24099573447635927</v>
      </c>
      <c r="G907">
        <v>1.0012490410693045</v>
      </c>
      <c r="H907">
        <v>16.077736882465654</v>
      </c>
      <c r="I907">
        <v>1.0840896099646859E-2</v>
      </c>
      <c r="J907">
        <v>0</v>
      </c>
      <c r="K907">
        <f t="shared" si="126"/>
        <v>1.3555281886059459E-2</v>
      </c>
      <c r="L907">
        <f t="shared" si="127"/>
        <v>0.11896602490845908</v>
      </c>
      <c r="M907">
        <f t="shared" si="128"/>
        <v>-0.23661870000233226</v>
      </c>
      <c r="N907">
        <f t="shared" si="129"/>
        <v>0.24099573447635927</v>
      </c>
      <c r="O907">
        <f t="shared" si="130"/>
        <v>1.0012490410693045</v>
      </c>
      <c r="P907">
        <f t="shared" si="131"/>
        <v>16.077736882465654</v>
      </c>
      <c r="Q907">
        <f t="shared" si="132"/>
        <v>1.0840896099646859E-2</v>
      </c>
      <c r="R907">
        <f t="shared" si="133"/>
        <v>0</v>
      </c>
      <c r="S907">
        <f t="shared" si="134"/>
        <v>0</v>
      </c>
    </row>
    <row r="908" spans="1:19" x14ac:dyDescent="0.3">
      <c r="A908" t="s">
        <v>293</v>
      </c>
      <c r="B908">
        <v>2008</v>
      </c>
      <c r="C908">
        <v>3.4086095189431965E-3</v>
      </c>
      <c r="D908">
        <v>0.13213229129432896</v>
      </c>
      <c r="E908">
        <v>-0.37198370377609602</v>
      </c>
      <c r="F908">
        <v>0.19876485519277171</v>
      </c>
      <c r="G908">
        <v>0.79419227997462105</v>
      </c>
      <c r="H908">
        <v>16.156934368083483</v>
      </c>
      <c r="I908">
        <v>1.4706316572132543E-2</v>
      </c>
      <c r="J908">
        <v>0</v>
      </c>
      <c r="K908">
        <f t="shared" si="126"/>
        <v>3.4086095189431965E-3</v>
      </c>
      <c r="L908">
        <f t="shared" si="127"/>
        <v>0.13213229129432896</v>
      </c>
      <c r="M908">
        <f t="shared" si="128"/>
        <v>-0.37198370377609602</v>
      </c>
      <c r="N908">
        <f t="shared" si="129"/>
        <v>0.19876485519277171</v>
      </c>
      <c r="O908">
        <f t="shared" si="130"/>
        <v>0.79419227997462105</v>
      </c>
      <c r="P908">
        <f t="shared" si="131"/>
        <v>16.156934368083483</v>
      </c>
      <c r="Q908">
        <f t="shared" si="132"/>
        <v>1.4706316572132543E-2</v>
      </c>
      <c r="R908">
        <f t="shared" si="133"/>
        <v>0</v>
      </c>
      <c r="S908">
        <f t="shared" si="134"/>
        <v>0</v>
      </c>
    </row>
    <row r="909" spans="1:19" x14ac:dyDescent="0.3">
      <c r="A909" t="s">
        <v>293</v>
      </c>
      <c r="B909">
        <v>2009</v>
      </c>
      <c r="C909">
        <v>9.1282072948029058E-4</v>
      </c>
      <c r="D909">
        <v>0.10026542770573249</v>
      </c>
      <c r="E909">
        <v>-9.4636678722796047E-2</v>
      </c>
      <c r="F909">
        <v>9.0718375969963072E-2</v>
      </c>
      <c r="G909">
        <v>0.78549819543083899</v>
      </c>
      <c r="H909">
        <v>16.078291159439601</v>
      </c>
      <c r="I909">
        <v>3.8918878405977589E-2</v>
      </c>
      <c r="J909">
        <v>3.1218219202472315E-4</v>
      </c>
      <c r="K909">
        <f t="shared" si="126"/>
        <v>9.1282072948029058E-4</v>
      </c>
      <c r="L909">
        <f t="shared" si="127"/>
        <v>0.10026542770573249</v>
      </c>
      <c r="M909">
        <f t="shared" si="128"/>
        <v>-9.4636678722796047E-2</v>
      </c>
      <c r="N909">
        <f t="shared" si="129"/>
        <v>9.0718375969963072E-2</v>
      </c>
      <c r="O909">
        <f t="shared" si="130"/>
        <v>0.78549819543083899</v>
      </c>
      <c r="P909">
        <f t="shared" si="131"/>
        <v>16.078291159439601</v>
      </c>
      <c r="Q909">
        <f t="shared" si="132"/>
        <v>3.8918878405977589E-2</v>
      </c>
      <c r="R909">
        <f t="shared" si="133"/>
        <v>3.1218219202472315E-4</v>
      </c>
      <c r="S909">
        <f t="shared" si="134"/>
        <v>0</v>
      </c>
    </row>
    <row r="910" spans="1:19" x14ac:dyDescent="0.3">
      <c r="A910" t="s">
        <v>293</v>
      </c>
      <c r="B910">
        <v>2010</v>
      </c>
      <c r="C910">
        <v>7.8277038371880082E-3</v>
      </c>
      <c r="D910">
        <v>0.19931421647995248</v>
      </c>
      <c r="E910">
        <v>0.18935037388829506</v>
      </c>
      <c r="F910">
        <v>7.3190230529439029E-2</v>
      </c>
      <c r="G910">
        <v>0.71439240295173123</v>
      </c>
      <c r="H910">
        <v>16.171136482512942</v>
      </c>
      <c r="I910">
        <v>4.8663342570214145E-2</v>
      </c>
      <c r="J910">
        <v>0</v>
      </c>
      <c r="K910">
        <f t="shared" si="126"/>
        <v>7.8277038371880082E-3</v>
      </c>
      <c r="L910">
        <f t="shared" si="127"/>
        <v>0.19931421647995248</v>
      </c>
      <c r="M910">
        <f t="shared" si="128"/>
        <v>0.18935037388829506</v>
      </c>
      <c r="N910">
        <f t="shared" si="129"/>
        <v>7.3190230529439029E-2</v>
      </c>
      <c r="O910">
        <f t="shared" si="130"/>
        <v>0.71439240295173123</v>
      </c>
      <c r="P910">
        <f t="shared" si="131"/>
        <v>16.171136482512942</v>
      </c>
      <c r="Q910">
        <f t="shared" si="132"/>
        <v>4.8663342570214145E-2</v>
      </c>
      <c r="R910">
        <f t="shared" si="133"/>
        <v>0</v>
      </c>
      <c r="S910">
        <f t="shared" si="134"/>
        <v>0</v>
      </c>
    </row>
    <row r="911" spans="1:19" x14ac:dyDescent="0.3">
      <c r="A911" t="s">
        <v>294</v>
      </c>
      <c r="B911">
        <v>2007</v>
      </c>
      <c r="C911">
        <v>3.2248921229503819E-2</v>
      </c>
      <c r="D911">
        <v>8.2687424868053111E-2</v>
      </c>
      <c r="E911">
        <v>-5.3612799630346222E-2</v>
      </c>
      <c r="F911">
        <v>9.3174774627170651E-2</v>
      </c>
      <c r="G911">
        <v>1.024658235934103</v>
      </c>
      <c r="H911">
        <v>16.670989008189501</v>
      </c>
      <c r="I911">
        <v>1.1925307710202402E-2</v>
      </c>
      <c r="J911">
        <v>0</v>
      </c>
      <c r="K911">
        <f t="shared" si="126"/>
        <v>3.2248921229503819E-2</v>
      </c>
      <c r="L911">
        <f t="shared" si="127"/>
        <v>8.2687424868053111E-2</v>
      </c>
      <c r="M911">
        <f t="shared" si="128"/>
        <v>-5.3612799630346222E-2</v>
      </c>
      <c r="N911">
        <f t="shared" si="129"/>
        <v>9.3174774627170651E-2</v>
      </c>
      <c r="O911">
        <f t="shared" si="130"/>
        <v>1.024658235934103</v>
      </c>
      <c r="P911">
        <f t="shared" si="131"/>
        <v>16.670989008189501</v>
      </c>
      <c r="Q911">
        <f t="shared" si="132"/>
        <v>1.1925307710202402E-2</v>
      </c>
      <c r="R911">
        <f t="shared" si="133"/>
        <v>0</v>
      </c>
      <c r="S911">
        <f t="shared" si="134"/>
        <v>0</v>
      </c>
    </row>
    <row r="912" spans="1:19" x14ac:dyDescent="0.3">
      <c r="A912" t="s">
        <v>294</v>
      </c>
      <c r="B912">
        <v>2008</v>
      </c>
      <c r="C912">
        <v>4.3798931005644172E-2</v>
      </c>
      <c r="D912">
        <v>4.8244390441490995E-2</v>
      </c>
      <c r="E912">
        <v>4.1831940947172006E-3</v>
      </c>
      <c r="F912">
        <v>0.18714484041948423</v>
      </c>
      <c r="G912">
        <v>0.49408281260285047</v>
      </c>
      <c r="H912">
        <v>16.780007446597111</v>
      </c>
      <c r="I912">
        <v>1.1363143366486816E-2</v>
      </c>
      <c r="J912">
        <v>0</v>
      </c>
      <c r="K912">
        <f t="shared" si="126"/>
        <v>4.3798931005644172E-2</v>
      </c>
      <c r="L912">
        <f t="shared" si="127"/>
        <v>4.8244390441490995E-2</v>
      </c>
      <c r="M912">
        <f t="shared" si="128"/>
        <v>4.1831940947172006E-3</v>
      </c>
      <c r="N912">
        <f t="shared" si="129"/>
        <v>0.18714484041948423</v>
      </c>
      <c r="O912">
        <f t="shared" si="130"/>
        <v>0.49408281260285047</v>
      </c>
      <c r="P912">
        <f t="shared" si="131"/>
        <v>16.780007446597111</v>
      </c>
      <c r="Q912">
        <f t="shared" si="132"/>
        <v>1.1363143366486816E-2</v>
      </c>
      <c r="R912">
        <f t="shared" si="133"/>
        <v>0</v>
      </c>
      <c r="S912">
        <f t="shared" si="134"/>
        <v>0</v>
      </c>
    </row>
    <row r="913" spans="1:19" x14ac:dyDescent="0.3">
      <c r="A913" t="s">
        <v>294</v>
      </c>
      <c r="B913">
        <v>2009</v>
      </c>
      <c r="C913">
        <v>1.4747625085811955E-2</v>
      </c>
      <c r="D913">
        <v>7.7289862668877468E-2</v>
      </c>
      <c r="E913">
        <v>-5.1187425317904718E-2</v>
      </c>
      <c r="F913">
        <v>0.14829160413163167</v>
      </c>
      <c r="G913">
        <v>49.190058352786529</v>
      </c>
      <c r="H913">
        <v>16.942967211227913</v>
      </c>
      <c r="I913">
        <v>1.4621447866822035E-2</v>
      </c>
      <c r="J913">
        <v>0</v>
      </c>
      <c r="K913">
        <f t="shared" si="126"/>
        <v>1.4747625085811955E-2</v>
      </c>
      <c r="L913">
        <f t="shared" si="127"/>
        <v>7.7289862668877468E-2</v>
      </c>
      <c r="M913">
        <f t="shared" si="128"/>
        <v>-5.1187425317904718E-2</v>
      </c>
      <c r="N913">
        <f t="shared" si="129"/>
        <v>0.14829160413163167</v>
      </c>
      <c r="O913">
        <f t="shared" si="130"/>
        <v>49.190058352786529</v>
      </c>
      <c r="P913">
        <f t="shared" si="131"/>
        <v>16.942967211227913</v>
      </c>
      <c r="Q913">
        <f t="shared" si="132"/>
        <v>1.4621447866822035E-2</v>
      </c>
      <c r="R913">
        <f t="shared" si="133"/>
        <v>0</v>
      </c>
      <c r="S913">
        <f t="shared" si="134"/>
        <v>0</v>
      </c>
    </row>
    <row r="914" spans="1:19" x14ac:dyDescent="0.3">
      <c r="A914" t="s">
        <v>294</v>
      </c>
      <c r="B914">
        <v>2010</v>
      </c>
      <c r="C914">
        <v>8.3594349828994205E-3</v>
      </c>
      <c r="D914">
        <v>0.13294850668027733</v>
      </c>
      <c r="E914">
        <v>-0.21826813737465392</v>
      </c>
      <c r="F914">
        <v>0.10824373160524418</v>
      </c>
      <c r="G914">
        <v>0.64851577313958497</v>
      </c>
      <c r="H914">
        <v>16.90683806160099</v>
      </c>
      <c r="I914">
        <v>2.4190671116701892E-2</v>
      </c>
      <c r="J914">
        <v>0</v>
      </c>
      <c r="K914">
        <f t="shared" si="126"/>
        <v>8.3594349828994205E-3</v>
      </c>
      <c r="L914">
        <f t="shared" si="127"/>
        <v>0.13294850668027733</v>
      </c>
      <c r="M914">
        <f t="shared" si="128"/>
        <v>-0.21826813737465392</v>
      </c>
      <c r="N914">
        <f t="shared" si="129"/>
        <v>0.10824373160524418</v>
      </c>
      <c r="O914">
        <f t="shared" si="130"/>
        <v>0.64851577313958497</v>
      </c>
      <c r="P914">
        <f t="shared" si="131"/>
        <v>16.90683806160099</v>
      </c>
      <c r="Q914">
        <f t="shared" si="132"/>
        <v>2.4190671116701892E-2</v>
      </c>
      <c r="R914">
        <f t="shared" si="133"/>
        <v>0</v>
      </c>
      <c r="S914">
        <f t="shared" si="134"/>
        <v>0</v>
      </c>
    </row>
    <row r="915" spans="1:19" x14ac:dyDescent="0.3">
      <c r="A915" t="s">
        <v>295</v>
      </c>
      <c r="B915">
        <v>2007</v>
      </c>
      <c r="C915">
        <v>0.45268415799296663</v>
      </c>
      <c r="D915">
        <v>0.27817217432286478</v>
      </c>
      <c r="E915">
        <v>0.3175695674208826</v>
      </c>
      <c r="F915">
        <v>0</v>
      </c>
      <c r="G915">
        <v>3.1491133897395156</v>
      </c>
      <c r="H915">
        <v>16.010929840068552</v>
      </c>
      <c r="I915">
        <v>5.0876574789536916E-3</v>
      </c>
      <c r="J915">
        <v>6.2334653158302077E-2</v>
      </c>
      <c r="K915" t="str">
        <f t="shared" si="126"/>
        <v>out</v>
      </c>
      <c r="L915">
        <f t="shared" si="127"/>
        <v>0.27817217432286478</v>
      </c>
      <c r="M915">
        <f t="shared" si="128"/>
        <v>0.3175695674208826</v>
      </c>
      <c r="N915">
        <f t="shared" si="129"/>
        <v>0</v>
      </c>
      <c r="O915">
        <f t="shared" si="130"/>
        <v>3.1491133897395156</v>
      </c>
      <c r="P915">
        <f t="shared" si="131"/>
        <v>16.010929840068552</v>
      </c>
      <c r="Q915">
        <f t="shared" si="132"/>
        <v>5.0876574789536916E-3</v>
      </c>
      <c r="R915">
        <f t="shared" si="133"/>
        <v>6.2334653158302077E-2</v>
      </c>
      <c r="S915">
        <f t="shared" si="134"/>
        <v>0</v>
      </c>
    </row>
    <row r="916" spans="1:19" x14ac:dyDescent="0.3">
      <c r="A916" t="s">
        <v>295</v>
      </c>
      <c r="B916">
        <v>2008</v>
      </c>
      <c r="C916">
        <v>0.39436334003208595</v>
      </c>
      <c r="D916">
        <v>0.2324928049002484</v>
      </c>
      <c r="E916">
        <v>0.29737175807962901</v>
      </c>
      <c r="F916">
        <v>0</v>
      </c>
      <c r="G916">
        <v>1.0897905518194153</v>
      </c>
      <c r="H916">
        <v>16.557210599065439</v>
      </c>
      <c r="I916">
        <v>1.9223697433809517E-2</v>
      </c>
      <c r="J916">
        <v>6.1882241189129147E-2</v>
      </c>
      <c r="K916" t="str">
        <f t="shared" si="126"/>
        <v>out</v>
      </c>
      <c r="L916">
        <f t="shared" si="127"/>
        <v>0.2324928049002484</v>
      </c>
      <c r="M916">
        <f t="shared" si="128"/>
        <v>0.29737175807962901</v>
      </c>
      <c r="N916">
        <f t="shared" si="129"/>
        <v>0</v>
      </c>
      <c r="O916">
        <f t="shared" si="130"/>
        <v>1.0897905518194153</v>
      </c>
      <c r="P916">
        <f t="shared" si="131"/>
        <v>16.557210599065439</v>
      </c>
      <c r="Q916">
        <f t="shared" si="132"/>
        <v>1.9223697433809517E-2</v>
      </c>
      <c r="R916">
        <f t="shared" si="133"/>
        <v>6.1882241189129147E-2</v>
      </c>
      <c r="S916">
        <f t="shared" si="134"/>
        <v>0</v>
      </c>
    </row>
    <row r="917" spans="1:19" x14ac:dyDescent="0.3">
      <c r="A917" t="s">
        <v>295</v>
      </c>
      <c r="B917">
        <v>2009</v>
      </c>
      <c r="C917">
        <v>0.40689219694455558</v>
      </c>
      <c r="D917">
        <v>0.23877790323696374</v>
      </c>
      <c r="E917">
        <v>0.29933256831931293</v>
      </c>
      <c r="F917">
        <v>0</v>
      </c>
      <c r="G917">
        <v>1.7081678432296261</v>
      </c>
      <c r="H917">
        <v>16.720904033890438</v>
      </c>
      <c r="I917">
        <v>2.7313631738147548E-3</v>
      </c>
      <c r="J917">
        <v>7.8807243611578356E-2</v>
      </c>
      <c r="K917" t="str">
        <f t="shared" si="126"/>
        <v>out</v>
      </c>
      <c r="L917">
        <f t="shared" si="127"/>
        <v>0.23877790323696374</v>
      </c>
      <c r="M917">
        <f t="shared" si="128"/>
        <v>0.29933256831931293</v>
      </c>
      <c r="N917">
        <f t="shared" si="129"/>
        <v>0</v>
      </c>
      <c r="O917">
        <f t="shared" si="130"/>
        <v>1.7081678432296261</v>
      </c>
      <c r="P917">
        <f t="shared" si="131"/>
        <v>16.720904033890438</v>
      </c>
      <c r="Q917">
        <f t="shared" si="132"/>
        <v>2.7313631738147548E-3</v>
      </c>
      <c r="R917">
        <f t="shared" si="133"/>
        <v>7.8807243611578356E-2</v>
      </c>
      <c r="S917">
        <f t="shared" si="134"/>
        <v>0</v>
      </c>
    </row>
    <row r="918" spans="1:19" x14ac:dyDescent="0.3">
      <c r="A918" t="s">
        <v>295</v>
      </c>
      <c r="B918">
        <v>2010</v>
      </c>
      <c r="C918">
        <v>0.43257722971953283</v>
      </c>
      <c r="D918">
        <v>0.23194924769566749</v>
      </c>
      <c r="E918">
        <v>0.3503328786010238</v>
      </c>
      <c r="F918">
        <v>0</v>
      </c>
      <c r="G918">
        <v>1.4678264834032657</v>
      </c>
      <c r="H918">
        <v>16.880892580547251</v>
      </c>
      <c r="I918">
        <v>7.8829268586833035E-4</v>
      </c>
      <c r="J918">
        <v>8.0587046788802061E-2</v>
      </c>
      <c r="K918" t="str">
        <f t="shared" si="126"/>
        <v>out</v>
      </c>
      <c r="L918">
        <f t="shared" si="127"/>
        <v>0.23194924769566749</v>
      </c>
      <c r="M918">
        <f t="shared" si="128"/>
        <v>0.3503328786010238</v>
      </c>
      <c r="N918">
        <f t="shared" si="129"/>
        <v>0</v>
      </c>
      <c r="O918">
        <f t="shared" si="130"/>
        <v>1.4678264834032657</v>
      </c>
      <c r="P918">
        <f t="shared" si="131"/>
        <v>16.880892580547251</v>
      </c>
      <c r="Q918">
        <f t="shared" si="132"/>
        <v>7.8829268586833035E-4</v>
      </c>
      <c r="R918">
        <f t="shared" si="133"/>
        <v>8.0587046788802061E-2</v>
      </c>
      <c r="S918">
        <f t="shared" si="134"/>
        <v>0</v>
      </c>
    </row>
    <row r="919" spans="1:19" x14ac:dyDescent="0.3">
      <c r="A919" t="s">
        <v>296</v>
      </c>
      <c r="B919">
        <v>2007</v>
      </c>
      <c r="C919">
        <v>0.27588315417261855</v>
      </c>
      <c r="D919">
        <v>2.0694916511155587E-2</v>
      </c>
      <c r="E919">
        <v>8.4934540571747444E-2</v>
      </c>
      <c r="F919">
        <v>0</v>
      </c>
      <c r="G919">
        <v>1.2667819634258817</v>
      </c>
      <c r="H919">
        <v>17.287102810075602</v>
      </c>
      <c r="I919">
        <v>2.1275673913586535E-2</v>
      </c>
      <c r="J919">
        <v>7.0662461822284875E-3</v>
      </c>
      <c r="K919">
        <f t="shared" si="126"/>
        <v>0.27588315417261855</v>
      </c>
      <c r="L919">
        <f t="shared" si="127"/>
        <v>2.0694916511155587E-2</v>
      </c>
      <c r="M919">
        <f t="shared" si="128"/>
        <v>8.4934540571747444E-2</v>
      </c>
      <c r="N919">
        <f t="shared" si="129"/>
        <v>0</v>
      </c>
      <c r="O919">
        <f t="shared" si="130"/>
        <v>1.2667819634258817</v>
      </c>
      <c r="P919">
        <f t="shared" si="131"/>
        <v>17.287102810075602</v>
      </c>
      <c r="Q919">
        <f t="shared" si="132"/>
        <v>2.1275673913586535E-2</v>
      </c>
      <c r="R919">
        <f t="shared" si="133"/>
        <v>7.0662461822284875E-3</v>
      </c>
      <c r="S919">
        <f t="shared" si="134"/>
        <v>0</v>
      </c>
    </row>
    <row r="920" spans="1:19" x14ac:dyDescent="0.3">
      <c r="A920" t="s">
        <v>296</v>
      </c>
      <c r="B920">
        <v>2008</v>
      </c>
      <c r="C920">
        <v>0.3782784444209315</v>
      </c>
      <c r="D920">
        <v>6.5468281769621939E-2</v>
      </c>
      <c r="E920">
        <v>0.17357173851104915</v>
      </c>
      <c r="F920">
        <v>0</v>
      </c>
      <c r="G920">
        <v>0.8529270292996074</v>
      </c>
      <c r="H920">
        <v>17.729155906681591</v>
      </c>
      <c r="I920">
        <v>2.0463142426312659E-2</v>
      </c>
      <c r="J920">
        <v>1.1353965021153753E-2</v>
      </c>
      <c r="K920" t="str">
        <f t="shared" si="126"/>
        <v>out</v>
      </c>
      <c r="L920">
        <f t="shared" si="127"/>
        <v>6.5468281769621939E-2</v>
      </c>
      <c r="M920">
        <f t="shared" si="128"/>
        <v>0.17357173851104915</v>
      </c>
      <c r="N920">
        <f t="shared" si="129"/>
        <v>0</v>
      </c>
      <c r="O920">
        <f t="shared" si="130"/>
        <v>0.8529270292996074</v>
      </c>
      <c r="P920">
        <f t="shared" si="131"/>
        <v>17.729155906681591</v>
      </c>
      <c r="Q920">
        <f t="shared" si="132"/>
        <v>2.0463142426312659E-2</v>
      </c>
      <c r="R920">
        <f t="shared" si="133"/>
        <v>1.1353965021153753E-2</v>
      </c>
      <c r="S920">
        <f t="shared" si="134"/>
        <v>0</v>
      </c>
    </row>
    <row r="921" spans="1:19" x14ac:dyDescent="0.3">
      <c r="A921" t="s">
        <v>296</v>
      </c>
      <c r="B921">
        <v>2009</v>
      </c>
      <c r="C921">
        <v>0.14614771502368898</v>
      </c>
      <c r="D921">
        <v>2.5787680163867708E-2</v>
      </c>
      <c r="E921">
        <v>-8.9405951846440485E-2</v>
      </c>
      <c r="F921">
        <v>0</v>
      </c>
      <c r="G921">
        <v>0.94912491113046049</v>
      </c>
      <c r="H921">
        <v>17.656157919642752</v>
      </c>
      <c r="I921">
        <v>6.2137707664875266E-3</v>
      </c>
      <c r="J921">
        <v>0</v>
      </c>
      <c r="K921">
        <f t="shared" si="126"/>
        <v>0.14614771502368898</v>
      </c>
      <c r="L921">
        <f t="shared" si="127"/>
        <v>2.5787680163867708E-2</v>
      </c>
      <c r="M921">
        <f t="shared" si="128"/>
        <v>-8.9405951846440485E-2</v>
      </c>
      <c r="N921">
        <f t="shared" si="129"/>
        <v>0</v>
      </c>
      <c r="O921">
        <f t="shared" si="130"/>
        <v>0.94912491113046049</v>
      </c>
      <c r="P921">
        <f t="shared" si="131"/>
        <v>17.656157919642752</v>
      </c>
      <c r="Q921">
        <f t="shared" si="132"/>
        <v>6.2137707664875266E-3</v>
      </c>
      <c r="R921">
        <f t="shared" si="133"/>
        <v>0</v>
      </c>
      <c r="S921">
        <f t="shared" si="134"/>
        <v>0</v>
      </c>
    </row>
    <row r="922" spans="1:19" x14ac:dyDescent="0.3">
      <c r="A922" t="s">
        <v>296</v>
      </c>
      <c r="B922">
        <v>2010</v>
      </c>
      <c r="C922">
        <v>6.3798228807716045E-2</v>
      </c>
      <c r="D922">
        <v>4.9139602768788048E-3</v>
      </c>
      <c r="E922">
        <v>-6.3647910779391262E-2</v>
      </c>
      <c r="F922">
        <v>0</v>
      </c>
      <c r="G922">
        <v>0.91614012730770822</v>
      </c>
      <c r="H922">
        <v>17.946744190890804</v>
      </c>
      <c r="I922">
        <v>1.14737466554424E-2</v>
      </c>
      <c r="J922">
        <v>0</v>
      </c>
      <c r="K922">
        <f t="shared" si="126"/>
        <v>6.3798228807716045E-2</v>
      </c>
      <c r="L922">
        <f t="shared" si="127"/>
        <v>4.9139602768788048E-3</v>
      </c>
      <c r="M922">
        <f t="shared" si="128"/>
        <v>-6.3647910779391262E-2</v>
      </c>
      <c r="N922">
        <f t="shared" si="129"/>
        <v>0</v>
      </c>
      <c r="O922">
        <f t="shared" si="130"/>
        <v>0.91614012730770822</v>
      </c>
      <c r="P922">
        <f t="shared" si="131"/>
        <v>17.946744190890804</v>
      </c>
      <c r="Q922">
        <f t="shared" si="132"/>
        <v>1.14737466554424E-2</v>
      </c>
      <c r="R922">
        <f t="shared" si="133"/>
        <v>0</v>
      </c>
      <c r="S922">
        <f t="shared" si="134"/>
        <v>0</v>
      </c>
    </row>
    <row r="923" spans="1:19" x14ac:dyDescent="0.3">
      <c r="A923" t="s">
        <v>297</v>
      </c>
      <c r="B923">
        <v>2010</v>
      </c>
      <c r="C923">
        <v>3.3948061301253454E-2</v>
      </c>
      <c r="D923">
        <v>0.113004699251444</v>
      </c>
      <c r="E923">
        <v>-0.41217361167911004</v>
      </c>
      <c r="F923">
        <v>0.2855156437370367</v>
      </c>
      <c r="G923">
        <v>1.0441305687278135</v>
      </c>
      <c r="H923">
        <v>17.24374391820988</v>
      </c>
      <c r="I923">
        <v>6.2616632863908006E-3</v>
      </c>
      <c r="J923">
        <v>0</v>
      </c>
      <c r="K923">
        <f t="shared" si="126"/>
        <v>3.3948061301253454E-2</v>
      </c>
      <c r="L923">
        <f t="shared" si="127"/>
        <v>0.113004699251444</v>
      </c>
      <c r="M923">
        <f t="shared" si="128"/>
        <v>-0.41217361167911004</v>
      </c>
      <c r="N923">
        <f t="shared" si="129"/>
        <v>0.2855156437370367</v>
      </c>
      <c r="O923">
        <f t="shared" si="130"/>
        <v>1.0441305687278135</v>
      </c>
      <c r="P923">
        <f t="shared" si="131"/>
        <v>17.24374391820988</v>
      </c>
      <c r="Q923">
        <f t="shared" si="132"/>
        <v>6.2616632863908006E-3</v>
      </c>
      <c r="R923">
        <f t="shared" si="133"/>
        <v>0</v>
      </c>
      <c r="S923">
        <f t="shared" si="134"/>
        <v>0</v>
      </c>
    </row>
    <row r="924" spans="1:19" x14ac:dyDescent="0.3">
      <c r="A924" t="s">
        <v>298</v>
      </c>
      <c r="B924">
        <v>2007</v>
      </c>
      <c r="C924">
        <v>0.35207117405145999</v>
      </c>
      <c r="D924">
        <v>0.19271346690272972</v>
      </c>
      <c r="E924">
        <v>0.31814996949134688</v>
      </c>
      <c r="F924">
        <v>0</v>
      </c>
      <c r="G924">
        <v>1.3464775686725012</v>
      </c>
      <c r="H924">
        <v>17.301096850399933</v>
      </c>
      <c r="I924">
        <v>4.8073869053421314E-3</v>
      </c>
      <c r="J924">
        <v>4.0830770368535402E-3</v>
      </c>
      <c r="K924" t="str">
        <f t="shared" si="126"/>
        <v>out</v>
      </c>
      <c r="L924">
        <f t="shared" si="127"/>
        <v>0.19271346690272972</v>
      </c>
      <c r="M924">
        <f t="shared" si="128"/>
        <v>0.31814996949134688</v>
      </c>
      <c r="N924">
        <f t="shared" si="129"/>
        <v>0</v>
      </c>
      <c r="O924">
        <f t="shared" si="130"/>
        <v>1.3464775686725012</v>
      </c>
      <c r="P924">
        <f t="shared" si="131"/>
        <v>17.301096850399933</v>
      </c>
      <c r="Q924">
        <f t="shared" si="132"/>
        <v>4.8073869053421314E-3</v>
      </c>
      <c r="R924">
        <f t="shared" si="133"/>
        <v>4.0830770368535402E-3</v>
      </c>
      <c r="S924">
        <f t="shared" si="134"/>
        <v>0</v>
      </c>
    </row>
    <row r="925" spans="1:19" x14ac:dyDescent="0.3">
      <c r="A925" t="s">
        <v>298</v>
      </c>
      <c r="B925">
        <v>2008</v>
      </c>
      <c r="C925">
        <v>0.28156301688148266</v>
      </c>
      <c r="D925">
        <v>0.19462656219775659</v>
      </c>
      <c r="E925">
        <v>0.31769081237984692</v>
      </c>
      <c r="F925">
        <v>0</v>
      </c>
      <c r="G925">
        <v>0.78951697294355938</v>
      </c>
      <c r="H925">
        <v>17.657210128527062</v>
      </c>
      <c r="I925">
        <v>5.8628136400563101E-2</v>
      </c>
      <c r="J925">
        <v>3.4316987706045849E-3</v>
      </c>
      <c r="K925">
        <f t="shared" si="126"/>
        <v>0.28156301688148266</v>
      </c>
      <c r="L925">
        <f t="shared" si="127"/>
        <v>0.19462656219775659</v>
      </c>
      <c r="M925">
        <f t="shared" si="128"/>
        <v>0.31769081237984692</v>
      </c>
      <c r="N925">
        <f t="shared" si="129"/>
        <v>0</v>
      </c>
      <c r="O925">
        <f t="shared" si="130"/>
        <v>0.78951697294355938</v>
      </c>
      <c r="P925">
        <f t="shared" si="131"/>
        <v>17.657210128527062</v>
      </c>
      <c r="Q925">
        <f t="shared" si="132"/>
        <v>5.8628136400563101E-2</v>
      </c>
      <c r="R925">
        <f t="shared" si="133"/>
        <v>3.4316987706045849E-3</v>
      </c>
      <c r="S925">
        <f t="shared" si="134"/>
        <v>0</v>
      </c>
    </row>
    <row r="926" spans="1:19" x14ac:dyDescent="0.3">
      <c r="A926" t="s">
        <v>298</v>
      </c>
      <c r="B926">
        <v>2009</v>
      </c>
      <c r="C926">
        <v>0.18420476220693113</v>
      </c>
      <c r="D926">
        <v>7.1834099503240212E-2</v>
      </c>
      <c r="E926">
        <v>0.33769099921593326</v>
      </c>
      <c r="F926">
        <v>0</v>
      </c>
      <c r="G926">
        <v>0.92412314143114926</v>
      </c>
      <c r="H926">
        <v>17.561351721850961</v>
      </c>
      <c r="I926">
        <v>1.6956008108062495E-2</v>
      </c>
      <c r="J926">
        <v>2.3605908199274755E-2</v>
      </c>
      <c r="K926">
        <f t="shared" si="126"/>
        <v>0.18420476220693113</v>
      </c>
      <c r="L926">
        <f t="shared" si="127"/>
        <v>7.1834099503240212E-2</v>
      </c>
      <c r="M926">
        <f t="shared" si="128"/>
        <v>0.33769099921593326</v>
      </c>
      <c r="N926">
        <f t="shared" si="129"/>
        <v>0</v>
      </c>
      <c r="O926">
        <f t="shared" si="130"/>
        <v>0.92412314143114926</v>
      </c>
      <c r="P926">
        <f t="shared" si="131"/>
        <v>17.561351721850961</v>
      </c>
      <c r="Q926">
        <f t="shared" si="132"/>
        <v>1.6956008108062495E-2</v>
      </c>
      <c r="R926">
        <f t="shared" si="133"/>
        <v>2.3605908199274755E-2</v>
      </c>
      <c r="S926">
        <f t="shared" si="134"/>
        <v>0</v>
      </c>
    </row>
    <row r="927" spans="1:19" x14ac:dyDescent="0.3">
      <c r="A927" t="s">
        <v>298</v>
      </c>
      <c r="B927">
        <v>2010</v>
      </c>
      <c r="C927">
        <v>0.31389009560755676</v>
      </c>
      <c r="D927">
        <v>0.10400547306006518</v>
      </c>
      <c r="E927">
        <v>0.30995648860701902</v>
      </c>
      <c r="F927">
        <v>0</v>
      </c>
      <c r="G927">
        <v>1.043686224391241</v>
      </c>
      <c r="H927">
        <v>17.759790063378905</v>
      </c>
      <c r="I927">
        <v>2.5045960390873707E-2</v>
      </c>
      <c r="J927">
        <v>3.0971326214918576E-2</v>
      </c>
      <c r="K927">
        <f t="shared" si="126"/>
        <v>0.31389009560755676</v>
      </c>
      <c r="L927">
        <f t="shared" si="127"/>
        <v>0.10400547306006518</v>
      </c>
      <c r="M927">
        <f t="shared" si="128"/>
        <v>0.30995648860701902</v>
      </c>
      <c r="N927">
        <f t="shared" si="129"/>
        <v>0</v>
      </c>
      <c r="O927">
        <f t="shared" si="130"/>
        <v>1.043686224391241</v>
      </c>
      <c r="P927">
        <f t="shared" si="131"/>
        <v>17.759790063378905</v>
      </c>
      <c r="Q927">
        <f t="shared" si="132"/>
        <v>2.5045960390873707E-2</v>
      </c>
      <c r="R927">
        <f t="shared" si="133"/>
        <v>3.0971326214918576E-2</v>
      </c>
      <c r="S927">
        <f t="shared" si="134"/>
        <v>0</v>
      </c>
    </row>
    <row r="928" spans="1:19" x14ac:dyDescent="0.3">
      <c r="A928" t="s">
        <v>299</v>
      </c>
      <c r="B928">
        <v>2007</v>
      </c>
      <c r="C928">
        <v>0.12682864811572128</v>
      </c>
      <c r="D928">
        <v>0.34003326725923921</v>
      </c>
      <c r="E928">
        <v>0.45254583500596873</v>
      </c>
      <c r="F928">
        <v>0</v>
      </c>
      <c r="G928">
        <v>2.856221628146892</v>
      </c>
      <c r="H928">
        <v>17.035201890215919</v>
      </c>
      <c r="I928">
        <v>3.5216674377872709E-3</v>
      </c>
      <c r="J928">
        <v>0.11817654684602114</v>
      </c>
      <c r="K928">
        <f t="shared" si="126"/>
        <v>0.12682864811572128</v>
      </c>
      <c r="L928">
        <f t="shared" si="127"/>
        <v>0.34003326725923921</v>
      </c>
      <c r="M928">
        <f t="shared" si="128"/>
        <v>0.45254583500596873</v>
      </c>
      <c r="N928">
        <f t="shared" si="129"/>
        <v>0</v>
      </c>
      <c r="O928">
        <f t="shared" si="130"/>
        <v>2.856221628146892</v>
      </c>
      <c r="P928">
        <f t="shared" si="131"/>
        <v>17.035201890215919</v>
      </c>
      <c r="Q928">
        <f t="shared" si="132"/>
        <v>3.5216674377872709E-3</v>
      </c>
      <c r="R928">
        <f t="shared" si="133"/>
        <v>0.11817654684602114</v>
      </c>
      <c r="S928">
        <f t="shared" si="134"/>
        <v>0</v>
      </c>
    </row>
    <row r="929" spans="1:19" x14ac:dyDescent="0.3">
      <c r="A929" t="s">
        <v>299</v>
      </c>
      <c r="B929">
        <v>2008</v>
      </c>
      <c r="C929">
        <v>0.22589533013094687</v>
      </c>
      <c r="D929">
        <v>0.30902022356829384</v>
      </c>
      <c r="E929">
        <v>0.45669664963976497</v>
      </c>
      <c r="F929">
        <v>0</v>
      </c>
      <c r="G929">
        <v>0.84280518661501269</v>
      </c>
      <c r="H929">
        <v>17.308009732936398</v>
      </c>
      <c r="I929">
        <v>4.7750581218788238E-2</v>
      </c>
      <c r="J929">
        <v>9.5957988058167729E-2</v>
      </c>
      <c r="K929">
        <f t="shared" si="126"/>
        <v>0.22589533013094687</v>
      </c>
      <c r="L929">
        <f t="shared" si="127"/>
        <v>0.30902022356829384</v>
      </c>
      <c r="M929">
        <f t="shared" si="128"/>
        <v>0.45669664963976497</v>
      </c>
      <c r="N929">
        <f t="shared" si="129"/>
        <v>0</v>
      </c>
      <c r="O929">
        <f t="shared" si="130"/>
        <v>0.84280518661501269</v>
      </c>
      <c r="P929">
        <f t="shared" si="131"/>
        <v>17.308009732936398</v>
      </c>
      <c r="Q929">
        <f t="shared" si="132"/>
        <v>4.7750581218788238E-2</v>
      </c>
      <c r="R929">
        <f t="shared" si="133"/>
        <v>9.5957988058167729E-2</v>
      </c>
      <c r="S929">
        <f t="shared" si="134"/>
        <v>0</v>
      </c>
    </row>
    <row r="930" spans="1:19" x14ac:dyDescent="0.3">
      <c r="A930" t="s">
        <v>299</v>
      </c>
      <c r="B930">
        <v>2009</v>
      </c>
      <c r="C930">
        <v>0.11153973218842644</v>
      </c>
      <c r="D930">
        <v>0.20927305710171656</v>
      </c>
      <c r="E930">
        <v>0.1958258977043037</v>
      </c>
      <c r="F930">
        <v>0</v>
      </c>
      <c r="G930">
        <v>1.7393320702173574</v>
      </c>
      <c r="H930">
        <v>17.413695834623542</v>
      </c>
      <c r="I930">
        <v>2.0455760905883216E-2</v>
      </c>
      <c r="J930">
        <v>0.11655097182381448</v>
      </c>
      <c r="K930">
        <f t="shared" si="126"/>
        <v>0.11153973218842644</v>
      </c>
      <c r="L930">
        <f t="shared" si="127"/>
        <v>0.20927305710171656</v>
      </c>
      <c r="M930">
        <f t="shared" si="128"/>
        <v>0.1958258977043037</v>
      </c>
      <c r="N930">
        <f t="shared" si="129"/>
        <v>0</v>
      </c>
      <c r="O930">
        <f t="shared" si="130"/>
        <v>1.7393320702173574</v>
      </c>
      <c r="P930">
        <f t="shared" si="131"/>
        <v>17.413695834623542</v>
      </c>
      <c r="Q930">
        <f t="shared" si="132"/>
        <v>2.0455760905883216E-2</v>
      </c>
      <c r="R930">
        <f t="shared" si="133"/>
        <v>0.11655097182381448</v>
      </c>
      <c r="S930">
        <f t="shared" si="134"/>
        <v>0</v>
      </c>
    </row>
    <row r="931" spans="1:19" x14ac:dyDescent="0.3">
      <c r="A931" t="s">
        <v>299</v>
      </c>
      <c r="B931">
        <v>2010</v>
      </c>
      <c r="C931">
        <v>9.9856332245212148E-2</v>
      </c>
      <c r="D931">
        <v>0.26149508165498253</v>
      </c>
      <c r="E931">
        <v>0.21707283690320359</v>
      </c>
      <c r="F931">
        <v>0</v>
      </c>
      <c r="G931">
        <v>1.9214567648356484</v>
      </c>
      <c r="H931">
        <v>17.549253763682948</v>
      </c>
      <c r="I931">
        <v>2.7918622449593655E-2</v>
      </c>
      <c r="J931">
        <v>0.14418215151402589</v>
      </c>
      <c r="K931">
        <f t="shared" si="126"/>
        <v>9.9856332245212148E-2</v>
      </c>
      <c r="L931">
        <f t="shared" si="127"/>
        <v>0.26149508165498253</v>
      </c>
      <c r="M931">
        <f t="shared" si="128"/>
        <v>0.21707283690320359</v>
      </c>
      <c r="N931">
        <f t="shared" si="129"/>
        <v>0</v>
      </c>
      <c r="O931">
        <f t="shared" si="130"/>
        <v>1.9214567648356484</v>
      </c>
      <c r="P931">
        <f t="shared" si="131"/>
        <v>17.549253763682948</v>
      </c>
      <c r="Q931">
        <f t="shared" si="132"/>
        <v>2.7918622449593655E-2</v>
      </c>
      <c r="R931" t="str">
        <f t="shared" si="133"/>
        <v>out</v>
      </c>
      <c r="S931">
        <f t="shared" si="134"/>
        <v>1</v>
      </c>
    </row>
    <row r="932" spans="1:19" x14ac:dyDescent="0.3">
      <c r="A932" t="s">
        <v>300</v>
      </c>
      <c r="B932">
        <v>2007</v>
      </c>
      <c r="C932">
        <v>1.5632274731792541E-2</v>
      </c>
      <c r="D932">
        <v>0.51605258181475255</v>
      </c>
      <c r="E932">
        <v>0.49216767216027674</v>
      </c>
      <c r="F932">
        <v>1.0064895905974147E-3</v>
      </c>
      <c r="G932">
        <v>3.5403319672517641</v>
      </c>
      <c r="H932">
        <v>17.734888946119685</v>
      </c>
      <c r="I932">
        <v>5.322888851838431E-3</v>
      </c>
      <c r="J932">
        <v>6.127303184242331E-2</v>
      </c>
      <c r="K932">
        <f t="shared" si="126"/>
        <v>1.5632274731792541E-2</v>
      </c>
      <c r="L932">
        <f t="shared" si="127"/>
        <v>0.51605258181475255</v>
      </c>
      <c r="M932">
        <f t="shared" si="128"/>
        <v>0.49216767216027674</v>
      </c>
      <c r="N932">
        <f t="shared" si="129"/>
        <v>1.0064895905974147E-3</v>
      </c>
      <c r="O932">
        <f t="shared" si="130"/>
        <v>3.5403319672517641</v>
      </c>
      <c r="P932">
        <f t="shared" si="131"/>
        <v>17.734888946119685</v>
      </c>
      <c r="Q932">
        <f t="shared" si="132"/>
        <v>5.322888851838431E-3</v>
      </c>
      <c r="R932">
        <f t="shared" si="133"/>
        <v>6.127303184242331E-2</v>
      </c>
      <c r="S932">
        <f t="shared" si="134"/>
        <v>0</v>
      </c>
    </row>
    <row r="933" spans="1:19" x14ac:dyDescent="0.3">
      <c r="A933" t="s">
        <v>300</v>
      </c>
      <c r="B933">
        <v>2008</v>
      </c>
      <c r="C933">
        <v>1.7942207316649302E-2</v>
      </c>
      <c r="D933">
        <v>0.53412748623840345</v>
      </c>
      <c r="E933">
        <v>0.36648016893099172</v>
      </c>
      <c r="F933">
        <v>7.3406434310352572E-4</v>
      </c>
      <c r="G933">
        <v>1.5286772075323867</v>
      </c>
      <c r="H933">
        <v>17.926765677319445</v>
      </c>
      <c r="I933">
        <v>1.423699586030594E-2</v>
      </c>
      <c r="J933">
        <v>0.19162381374538473</v>
      </c>
      <c r="K933">
        <f t="shared" si="126"/>
        <v>1.7942207316649302E-2</v>
      </c>
      <c r="L933">
        <f t="shared" si="127"/>
        <v>0.53412748623840345</v>
      </c>
      <c r="M933">
        <f t="shared" si="128"/>
        <v>0.36648016893099172</v>
      </c>
      <c r="N933">
        <f t="shared" si="129"/>
        <v>7.3406434310352572E-4</v>
      </c>
      <c r="O933">
        <f t="shared" si="130"/>
        <v>1.5286772075323867</v>
      </c>
      <c r="P933">
        <f t="shared" si="131"/>
        <v>17.926765677319445</v>
      </c>
      <c r="Q933">
        <f t="shared" si="132"/>
        <v>1.423699586030594E-2</v>
      </c>
      <c r="R933" t="str">
        <f t="shared" si="133"/>
        <v>out</v>
      </c>
      <c r="S933">
        <f t="shared" si="134"/>
        <v>1</v>
      </c>
    </row>
    <row r="934" spans="1:19" x14ac:dyDescent="0.3">
      <c r="A934" t="s">
        <v>300</v>
      </c>
      <c r="B934">
        <v>2009</v>
      </c>
      <c r="C934">
        <v>1.6695822432911154E-2</v>
      </c>
      <c r="D934">
        <v>0.53327482200055865</v>
      </c>
      <c r="E934">
        <v>0.37134594473540983</v>
      </c>
      <c r="F934">
        <v>1.7614304748493391E-3</v>
      </c>
      <c r="G934">
        <v>2.1405148854569682</v>
      </c>
      <c r="H934">
        <v>18.233340185012491</v>
      </c>
      <c r="I934">
        <v>7.687402663251619E-2</v>
      </c>
      <c r="J934">
        <v>0.13010964054750698</v>
      </c>
      <c r="K934">
        <f t="shared" si="126"/>
        <v>1.6695822432911154E-2</v>
      </c>
      <c r="L934">
        <f t="shared" si="127"/>
        <v>0.53327482200055865</v>
      </c>
      <c r="M934">
        <f t="shared" si="128"/>
        <v>0.37134594473540983</v>
      </c>
      <c r="N934">
        <f t="shared" si="129"/>
        <v>1.7614304748493391E-3</v>
      </c>
      <c r="O934">
        <f t="shared" si="130"/>
        <v>2.1405148854569682</v>
      </c>
      <c r="P934">
        <f t="shared" si="131"/>
        <v>18.233340185012491</v>
      </c>
      <c r="Q934">
        <f t="shared" si="132"/>
        <v>7.687402663251619E-2</v>
      </c>
      <c r="R934" t="str">
        <f t="shared" si="133"/>
        <v>out</v>
      </c>
      <c r="S934">
        <f t="shared" si="134"/>
        <v>1</v>
      </c>
    </row>
    <row r="935" spans="1:19" x14ac:dyDescent="0.3">
      <c r="A935" t="s">
        <v>300</v>
      </c>
      <c r="B935">
        <v>2010</v>
      </c>
      <c r="C935">
        <v>1.7423315351575586E-2</v>
      </c>
      <c r="D935">
        <v>0.35290640604174867</v>
      </c>
      <c r="E935">
        <v>0.40373857928041978</v>
      </c>
      <c r="F935">
        <v>1.207114736631764E-2</v>
      </c>
      <c r="G935">
        <v>2.26734479905913</v>
      </c>
      <c r="H935">
        <v>18.493741438616695</v>
      </c>
      <c r="I935">
        <v>1.808022868824459E-2</v>
      </c>
      <c r="J935">
        <v>8.3310120285556413E-2</v>
      </c>
      <c r="K935">
        <f t="shared" si="126"/>
        <v>1.7423315351575586E-2</v>
      </c>
      <c r="L935">
        <f t="shared" si="127"/>
        <v>0.35290640604174867</v>
      </c>
      <c r="M935">
        <f t="shared" si="128"/>
        <v>0.40373857928041978</v>
      </c>
      <c r="N935">
        <f t="shared" si="129"/>
        <v>1.207114736631764E-2</v>
      </c>
      <c r="O935">
        <f t="shared" si="130"/>
        <v>2.26734479905913</v>
      </c>
      <c r="P935">
        <f t="shared" si="131"/>
        <v>18.493741438616695</v>
      </c>
      <c r="Q935">
        <f t="shared" si="132"/>
        <v>1.808022868824459E-2</v>
      </c>
      <c r="R935">
        <f t="shared" si="133"/>
        <v>8.3310120285556413E-2</v>
      </c>
      <c r="S935">
        <f t="shared" si="134"/>
        <v>0</v>
      </c>
    </row>
    <row r="936" spans="1:19" x14ac:dyDescent="0.3">
      <c r="A936" t="s">
        <v>301</v>
      </c>
      <c r="B936">
        <v>2007</v>
      </c>
      <c r="C936">
        <v>0.11563498342324904</v>
      </c>
      <c r="D936">
        <v>4.3330512381649228E-2</v>
      </c>
      <c r="E936">
        <v>0.26234680438194635</v>
      </c>
      <c r="F936">
        <v>0</v>
      </c>
      <c r="G936">
        <v>1.1831893885371041</v>
      </c>
      <c r="H936">
        <v>16.502441509403344</v>
      </c>
      <c r="I936">
        <v>4.7500777214102008E-2</v>
      </c>
      <c r="J936">
        <v>6.7408693392783719E-3</v>
      </c>
      <c r="K936">
        <f t="shared" si="126"/>
        <v>0.11563498342324904</v>
      </c>
      <c r="L936">
        <f t="shared" si="127"/>
        <v>4.3330512381649228E-2</v>
      </c>
      <c r="M936">
        <f t="shared" si="128"/>
        <v>0.26234680438194635</v>
      </c>
      <c r="N936">
        <f t="shared" si="129"/>
        <v>0</v>
      </c>
      <c r="O936">
        <f t="shared" si="130"/>
        <v>1.1831893885371041</v>
      </c>
      <c r="P936">
        <f t="shared" si="131"/>
        <v>16.502441509403344</v>
      </c>
      <c r="Q936">
        <f t="shared" si="132"/>
        <v>4.7500777214102008E-2</v>
      </c>
      <c r="R936">
        <f t="shared" si="133"/>
        <v>6.7408693392783719E-3</v>
      </c>
      <c r="S936">
        <f t="shared" si="134"/>
        <v>0</v>
      </c>
    </row>
    <row r="937" spans="1:19" x14ac:dyDescent="0.3">
      <c r="A937" t="s">
        <v>301</v>
      </c>
      <c r="B937">
        <v>2008</v>
      </c>
      <c r="C937">
        <v>0.11131190225035457</v>
      </c>
      <c r="D937">
        <v>0.1429597061695411</v>
      </c>
      <c r="E937">
        <v>0.24465848081589509</v>
      </c>
      <c r="F937">
        <v>0</v>
      </c>
      <c r="G937">
        <v>0.85858169896478531</v>
      </c>
      <c r="H937">
        <v>16.984022172502112</v>
      </c>
      <c r="I937">
        <v>6.3585320400255108E-3</v>
      </c>
      <c r="J937">
        <v>0</v>
      </c>
      <c r="K937">
        <f t="shared" si="126"/>
        <v>0.11131190225035457</v>
      </c>
      <c r="L937">
        <f t="shared" si="127"/>
        <v>0.1429597061695411</v>
      </c>
      <c r="M937">
        <f t="shared" si="128"/>
        <v>0.24465848081589509</v>
      </c>
      <c r="N937">
        <f t="shared" si="129"/>
        <v>0</v>
      </c>
      <c r="O937">
        <f t="shared" si="130"/>
        <v>0.85858169896478531</v>
      </c>
      <c r="P937">
        <f t="shared" si="131"/>
        <v>16.984022172502112</v>
      </c>
      <c r="Q937">
        <f t="shared" si="132"/>
        <v>6.3585320400255108E-3</v>
      </c>
      <c r="R937">
        <f t="shared" si="133"/>
        <v>0</v>
      </c>
      <c r="S937">
        <f t="shared" si="134"/>
        <v>0</v>
      </c>
    </row>
    <row r="938" spans="1:19" x14ac:dyDescent="0.3">
      <c r="A938" t="s">
        <v>301</v>
      </c>
      <c r="B938">
        <v>2009</v>
      </c>
      <c r="C938">
        <v>0.12005562712629977</v>
      </c>
      <c r="D938">
        <v>0.1729430959615523</v>
      </c>
      <c r="E938">
        <v>-3.7744583486671798E-2</v>
      </c>
      <c r="F938">
        <v>0.12607718064184603</v>
      </c>
      <c r="G938">
        <v>1.0627913634249804</v>
      </c>
      <c r="H938">
        <v>17.298805304276684</v>
      </c>
      <c r="I938">
        <v>4.8744350451449037E-2</v>
      </c>
      <c r="J938">
        <v>0</v>
      </c>
      <c r="K938">
        <f t="shared" si="126"/>
        <v>0.12005562712629977</v>
      </c>
      <c r="L938">
        <f t="shared" si="127"/>
        <v>0.1729430959615523</v>
      </c>
      <c r="M938">
        <f t="shared" si="128"/>
        <v>-3.7744583486671798E-2</v>
      </c>
      <c r="N938">
        <f t="shared" si="129"/>
        <v>0.12607718064184603</v>
      </c>
      <c r="O938">
        <f t="shared" si="130"/>
        <v>1.0627913634249804</v>
      </c>
      <c r="P938">
        <f t="shared" si="131"/>
        <v>17.298805304276684</v>
      </c>
      <c r="Q938">
        <f t="shared" si="132"/>
        <v>4.8744350451449037E-2</v>
      </c>
      <c r="R938">
        <f t="shared" si="133"/>
        <v>0</v>
      </c>
      <c r="S938">
        <f t="shared" si="134"/>
        <v>0</v>
      </c>
    </row>
    <row r="939" spans="1:19" x14ac:dyDescent="0.3">
      <c r="A939" t="s">
        <v>301</v>
      </c>
      <c r="B939">
        <v>2010</v>
      </c>
      <c r="C939">
        <v>3.1076112301227918E-4</v>
      </c>
      <c r="D939">
        <v>6.706766193182076E-2</v>
      </c>
      <c r="E939">
        <v>-0.10843635113168248</v>
      </c>
      <c r="F939">
        <v>0.10277832757760959</v>
      </c>
      <c r="G939">
        <v>1.0460561360966512</v>
      </c>
      <c r="H939">
        <v>17.244962202005354</v>
      </c>
      <c r="I939">
        <v>1.1218727229749656E-2</v>
      </c>
      <c r="J939">
        <v>0</v>
      </c>
      <c r="K939">
        <f t="shared" si="126"/>
        <v>3.1076112301227918E-4</v>
      </c>
      <c r="L939">
        <f t="shared" si="127"/>
        <v>6.706766193182076E-2</v>
      </c>
      <c r="M939">
        <f t="shared" si="128"/>
        <v>-0.10843635113168248</v>
      </c>
      <c r="N939">
        <f t="shared" si="129"/>
        <v>0.10277832757760959</v>
      </c>
      <c r="O939">
        <f t="shared" si="130"/>
        <v>1.0460561360966512</v>
      </c>
      <c r="P939">
        <f t="shared" si="131"/>
        <v>17.244962202005354</v>
      </c>
      <c r="Q939">
        <f t="shared" si="132"/>
        <v>1.1218727229749656E-2</v>
      </c>
      <c r="R939">
        <f t="shared" si="133"/>
        <v>0</v>
      </c>
      <c r="S939">
        <f t="shared" si="134"/>
        <v>0</v>
      </c>
    </row>
    <row r="940" spans="1:19" x14ac:dyDescent="0.3">
      <c r="A940" t="s">
        <v>302</v>
      </c>
      <c r="B940">
        <v>2007</v>
      </c>
      <c r="C940">
        <v>2.0368352810105635E-2</v>
      </c>
      <c r="D940">
        <v>0.10998705265234641</v>
      </c>
      <c r="E940">
        <v>0.17127572752647055</v>
      </c>
      <c r="F940">
        <v>0.12128855579037058</v>
      </c>
      <c r="G940">
        <v>1.6529645197984433</v>
      </c>
      <c r="H940">
        <v>18.129490056837909</v>
      </c>
      <c r="I940">
        <v>4.3116963666785017E-2</v>
      </c>
      <c r="J940">
        <v>4.8194118292850099E-2</v>
      </c>
      <c r="K940">
        <f t="shared" si="126"/>
        <v>2.0368352810105635E-2</v>
      </c>
      <c r="L940">
        <f t="shared" si="127"/>
        <v>0.10998705265234641</v>
      </c>
      <c r="M940">
        <f t="shared" si="128"/>
        <v>0.17127572752647055</v>
      </c>
      <c r="N940">
        <f t="shared" si="129"/>
        <v>0.12128855579037058</v>
      </c>
      <c r="O940">
        <f t="shared" si="130"/>
        <v>1.6529645197984433</v>
      </c>
      <c r="P940">
        <f t="shared" si="131"/>
        <v>18.129490056837909</v>
      </c>
      <c r="Q940">
        <f t="shared" si="132"/>
        <v>4.3116963666785017E-2</v>
      </c>
      <c r="R940">
        <f t="shared" si="133"/>
        <v>4.8194118292850099E-2</v>
      </c>
      <c r="S940">
        <f t="shared" si="134"/>
        <v>0</v>
      </c>
    </row>
    <row r="941" spans="1:19" x14ac:dyDescent="0.3">
      <c r="A941" t="s">
        <v>302</v>
      </c>
      <c r="B941">
        <v>2008</v>
      </c>
      <c r="C941">
        <v>2.374824581099114E-2</v>
      </c>
      <c r="D941">
        <v>0.17698485925814503</v>
      </c>
      <c r="E941">
        <v>0.18408464572659181</v>
      </c>
      <c r="F941">
        <v>8.6522746200496228E-2</v>
      </c>
      <c r="G941">
        <v>0.95148880741266506</v>
      </c>
      <c r="H941">
        <v>18.660563568614872</v>
      </c>
      <c r="I941">
        <v>5.0676282265417455E-2</v>
      </c>
      <c r="J941">
        <v>3.1710293177516613E-2</v>
      </c>
      <c r="K941">
        <f t="shared" si="126"/>
        <v>2.374824581099114E-2</v>
      </c>
      <c r="L941">
        <f t="shared" si="127"/>
        <v>0.17698485925814503</v>
      </c>
      <c r="M941">
        <f t="shared" si="128"/>
        <v>0.18408464572659181</v>
      </c>
      <c r="N941">
        <f t="shared" si="129"/>
        <v>8.6522746200496228E-2</v>
      </c>
      <c r="O941">
        <f t="shared" si="130"/>
        <v>0.95148880741266506</v>
      </c>
      <c r="P941">
        <f t="shared" si="131"/>
        <v>18.660563568614872</v>
      </c>
      <c r="Q941">
        <f t="shared" si="132"/>
        <v>5.0676282265417455E-2</v>
      </c>
      <c r="R941">
        <f t="shared" si="133"/>
        <v>3.1710293177516613E-2</v>
      </c>
      <c r="S941">
        <f t="shared" si="134"/>
        <v>0</v>
      </c>
    </row>
    <row r="942" spans="1:19" x14ac:dyDescent="0.3">
      <c r="A942" t="s">
        <v>302</v>
      </c>
      <c r="B942">
        <v>2009</v>
      </c>
      <c r="C942">
        <v>1.8792120483288006E-2</v>
      </c>
      <c r="D942">
        <v>8.1465442264883059E-2</v>
      </c>
      <c r="E942">
        <v>5.6487493097698085E-2</v>
      </c>
      <c r="F942">
        <v>0.12158992457146349</v>
      </c>
      <c r="G942">
        <v>1.1964958664925782</v>
      </c>
      <c r="H942">
        <v>18.848700525602467</v>
      </c>
      <c r="I942">
        <v>6.858740836311137E-3</v>
      </c>
      <c r="J942">
        <v>5.5897915263493818E-3</v>
      </c>
      <c r="K942">
        <f t="shared" si="126"/>
        <v>1.8792120483288006E-2</v>
      </c>
      <c r="L942">
        <f t="shared" si="127"/>
        <v>8.1465442264883059E-2</v>
      </c>
      <c r="M942">
        <f t="shared" si="128"/>
        <v>5.6487493097698085E-2</v>
      </c>
      <c r="N942">
        <f t="shared" si="129"/>
        <v>0.12158992457146349</v>
      </c>
      <c r="O942">
        <f t="shared" si="130"/>
        <v>1.1964958664925782</v>
      </c>
      <c r="P942">
        <f t="shared" si="131"/>
        <v>18.848700525602467</v>
      </c>
      <c r="Q942">
        <f t="shared" si="132"/>
        <v>6.858740836311137E-3</v>
      </c>
      <c r="R942">
        <f t="shared" si="133"/>
        <v>5.5897915263493818E-3</v>
      </c>
      <c r="S942">
        <f t="shared" si="134"/>
        <v>0</v>
      </c>
    </row>
    <row r="943" spans="1:19" x14ac:dyDescent="0.3">
      <c r="A943" t="s">
        <v>302</v>
      </c>
      <c r="B943">
        <v>2010</v>
      </c>
      <c r="C943">
        <v>8.7914752036711251E-3</v>
      </c>
      <c r="D943">
        <v>9.4442533229580058E-2</v>
      </c>
      <c r="E943">
        <v>0.11519383052095498</v>
      </c>
      <c r="F943">
        <v>6.4381510199414294E-2</v>
      </c>
      <c r="G943">
        <v>1.1052769972842367</v>
      </c>
      <c r="H943">
        <v>19.125003944495628</v>
      </c>
      <c r="I943">
        <v>8.8978103326125615E-3</v>
      </c>
      <c r="J943">
        <v>6.7845108836098195E-3</v>
      </c>
      <c r="K943">
        <f t="shared" si="126"/>
        <v>8.7914752036711251E-3</v>
      </c>
      <c r="L943">
        <f t="shared" si="127"/>
        <v>9.4442533229580058E-2</v>
      </c>
      <c r="M943">
        <f t="shared" si="128"/>
        <v>0.11519383052095498</v>
      </c>
      <c r="N943">
        <f t="shared" si="129"/>
        <v>6.4381510199414294E-2</v>
      </c>
      <c r="O943">
        <f t="shared" si="130"/>
        <v>1.1052769972842367</v>
      </c>
      <c r="P943">
        <f t="shared" si="131"/>
        <v>19.125003944495628</v>
      </c>
      <c r="Q943">
        <f t="shared" si="132"/>
        <v>8.8978103326125615E-3</v>
      </c>
      <c r="R943">
        <f t="shared" si="133"/>
        <v>6.7845108836098195E-3</v>
      </c>
      <c r="S943">
        <f t="shared" si="134"/>
        <v>0</v>
      </c>
    </row>
    <row r="944" spans="1:19" x14ac:dyDescent="0.3">
      <c r="A944" t="s">
        <v>303</v>
      </c>
      <c r="B944">
        <v>2007</v>
      </c>
      <c r="C944">
        <v>2.7883473760563621E-2</v>
      </c>
      <c r="D944">
        <v>3.2761686690508302E-2</v>
      </c>
      <c r="E944">
        <v>9.8635225262612772E-2</v>
      </c>
      <c r="F944">
        <v>0.25907359689074944</v>
      </c>
      <c r="G944">
        <v>1.4382049941450283</v>
      </c>
      <c r="H944">
        <v>17.19008764274599</v>
      </c>
      <c r="I944">
        <v>7.8457911078135462E-2</v>
      </c>
      <c r="J944">
        <v>3.0009831258307609E-2</v>
      </c>
      <c r="K944">
        <f t="shared" si="126"/>
        <v>2.7883473760563621E-2</v>
      </c>
      <c r="L944">
        <f t="shared" si="127"/>
        <v>3.2761686690508302E-2</v>
      </c>
      <c r="M944">
        <f t="shared" si="128"/>
        <v>9.8635225262612772E-2</v>
      </c>
      <c r="N944">
        <f t="shared" si="129"/>
        <v>0.25907359689074944</v>
      </c>
      <c r="O944">
        <f t="shared" si="130"/>
        <v>1.4382049941450283</v>
      </c>
      <c r="P944">
        <f t="shared" si="131"/>
        <v>17.19008764274599</v>
      </c>
      <c r="Q944">
        <f t="shared" si="132"/>
        <v>7.8457911078135462E-2</v>
      </c>
      <c r="R944">
        <f t="shared" si="133"/>
        <v>3.0009831258307609E-2</v>
      </c>
      <c r="S944">
        <f t="shared" si="134"/>
        <v>0</v>
      </c>
    </row>
    <row r="945" spans="1:19" x14ac:dyDescent="0.3">
      <c r="A945" t="s">
        <v>303</v>
      </c>
      <c r="B945">
        <v>2009</v>
      </c>
      <c r="C945">
        <v>2.5840313168230104E-2</v>
      </c>
      <c r="D945">
        <v>0.13827411063135256</v>
      </c>
      <c r="E945">
        <v>-0.11309449682743962</v>
      </c>
      <c r="F945">
        <v>0.25238207600922014</v>
      </c>
      <c r="G945">
        <v>1.2568271840749436</v>
      </c>
      <c r="H945">
        <v>17.331634544009038</v>
      </c>
      <c r="I945">
        <v>5.1512421034100794E-3</v>
      </c>
      <c r="J945">
        <v>6.7157601803045142E-2</v>
      </c>
      <c r="K945">
        <f t="shared" si="126"/>
        <v>2.5840313168230104E-2</v>
      </c>
      <c r="L945">
        <f t="shared" si="127"/>
        <v>0.13827411063135256</v>
      </c>
      <c r="M945">
        <f t="shared" si="128"/>
        <v>-0.11309449682743962</v>
      </c>
      <c r="N945">
        <f t="shared" si="129"/>
        <v>0.25238207600922014</v>
      </c>
      <c r="O945">
        <f t="shared" si="130"/>
        <v>1.2568271840749436</v>
      </c>
      <c r="P945">
        <f t="shared" si="131"/>
        <v>17.331634544009038</v>
      </c>
      <c r="Q945">
        <f t="shared" si="132"/>
        <v>5.1512421034100794E-3</v>
      </c>
      <c r="R945">
        <f t="shared" si="133"/>
        <v>6.7157601803045142E-2</v>
      </c>
      <c r="S945">
        <f t="shared" si="134"/>
        <v>0</v>
      </c>
    </row>
    <row r="946" spans="1:19" x14ac:dyDescent="0.3">
      <c r="A946" t="s">
        <v>303</v>
      </c>
      <c r="B946">
        <v>2010</v>
      </c>
      <c r="C946">
        <v>2.714526141703031E-2</v>
      </c>
      <c r="D946">
        <v>9.9831415075120056E-2</v>
      </c>
      <c r="E946">
        <v>-0.12774721981376927</v>
      </c>
      <c r="F946">
        <v>0.2181959244066454</v>
      </c>
      <c r="G946">
        <v>1.1652194179514619</v>
      </c>
      <c r="H946">
        <v>17.466104147817504</v>
      </c>
      <c r="I946">
        <v>8.1085975310892164E-3</v>
      </c>
      <c r="J946">
        <v>2.1348289243946186E-2</v>
      </c>
      <c r="K946">
        <f t="shared" si="126"/>
        <v>2.714526141703031E-2</v>
      </c>
      <c r="L946">
        <f t="shared" si="127"/>
        <v>9.9831415075120056E-2</v>
      </c>
      <c r="M946">
        <f t="shared" si="128"/>
        <v>-0.12774721981376927</v>
      </c>
      <c r="N946">
        <f t="shared" si="129"/>
        <v>0.2181959244066454</v>
      </c>
      <c r="O946">
        <f t="shared" si="130"/>
        <v>1.1652194179514619</v>
      </c>
      <c r="P946">
        <f t="shared" si="131"/>
        <v>17.466104147817504</v>
      </c>
      <c r="Q946">
        <f t="shared" si="132"/>
        <v>8.1085975310892164E-3</v>
      </c>
      <c r="R946">
        <f t="shared" si="133"/>
        <v>2.1348289243946186E-2</v>
      </c>
      <c r="S946">
        <f t="shared" si="134"/>
        <v>0</v>
      </c>
    </row>
    <row r="947" spans="1:19" x14ac:dyDescent="0.3">
      <c r="A947" t="s">
        <v>304</v>
      </c>
      <c r="B947">
        <v>2008</v>
      </c>
      <c r="C947">
        <v>6.3879116068678158E-4</v>
      </c>
      <c r="D947">
        <v>1.9442597966893106E-2</v>
      </c>
      <c r="E947">
        <v>-0.27722887854861461</v>
      </c>
      <c r="F947">
        <v>0.32922388495273919</v>
      </c>
      <c r="G947">
        <v>1.0332900987370093</v>
      </c>
      <c r="H947">
        <v>12.639136707829119</v>
      </c>
      <c r="I947">
        <v>2.6472814168206783E-3</v>
      </c>
      <c r="J947">
        <v>0</v>
      </c>
      <c r="K947">
        <f t="shared" si="126"/>
        <v>6.3879116068678158E-4</v>
      </c>
      <c r="L947">
        <f t="shared" si="127"/>
        <v>1.9442597966893106E-2</v>
      </c>
      <c r="M947">
        <f t="shared" si="128"/>
        <v>-0.27722887854861461</v>
      </c>
      <c r="N947">
        <f t="shared" si="129"/>
        <v>0.32922388495273919</v>
      </c>
      <c r="O947">
        <f t="shared" si="130"/>
        <v>1.0332900987370093</v>
      </c>
      <c r="P947">
        <f t="shared" si="131"/>
        <v>12.639136707829119</v>
      </c>
      <c r="Q947">
        <f t="shared" si="132"/>
        <v>2.6472814168206783E-3</v>
      </c>
      <c r="R947">
        <f t="shared" si="133"/>
        <v>0</v>
      </c>
      <c r="S947">
        <f t="shared" si="134"/>
        <v>0</v>
      </c>
    </row>
    <row r="948" spans="1:19" x14ac:dyDescent="0.3">
      <c r="A948" t="s">
        <v>305</v>
      </c>
      <c r="B948">
        <v>2007</v>
      </c>
      <c r="C948">
        <v>2.262667399098793E-3</v>
      </c>
      <c r="D948">
        <v>3.8461610297824141E-2</v>
      </c>
      <c r="E948">
        <v>-0.2190396104800329</v>
      </c>
      <c r="F948">
        <v>5.8891299200253017E-2</v>
      </c>
      <c r="G948">
        <v>1.2063623745991874</v>
      </c>
      <c r="H948">
        <v>16.081151336841586</v>
      </c>
      <c r="I948">
        <v>1.0048885934489713E-2</v>
      </c>
      <c r="J948">
        <v>0</v>
      </c>
      <c r="K948">
        <f t="shared" si="126"/>
        <v>2.262667399098793E-3</v>
      </c>
      <c r="L948">
        <f t="shared" si="127"/>
        <v>3.8461610297824141E-2</v>
      </c>
      <c r="M948">
        <f t="shared" si="128"/>
        <v>-0.2190396104800329</v>
      </c>
      <c r="N948">
        <f t="shared" si="129"/>
        <v>5.8891299200253017E-2</v>
      </c>
      <c r="O948">
        <f t="shared" si="130"/>
        <v>1.2063623745991874</v>
      </c>
      <c r="P948">
        <f t="shared" si="131"/>
        <v>16.081151336841586</v>
      </c>
      <c r="Q948">
        <f t="shared" si="132"/>
        <v>1.0048885934489713E-2</v>
      </c>
      <c r="R948">
        <f t="shared" si="133"/>
        <v>0</v>
      </c>
      <c r="S948">
        <f t="shared" si="134"/>
        <v>0</v>
      </c>
    </row>
    <row r="949" spans="1:19" x14ac:dyDescent="0.3">
      <c r="A949" t="s">
        <v>305</v>
      </c>
      <c r="B949">
        <v>2008</v>
      </c>
      <c r="C949">
        <v>1.2291702682857731E-3</v>
      </c>
      <c r="D949">
        <v>2.4312113445387244E-2</v>
      </c>
      <c r="E949">
        <v>-0.18109235587262323</v>
      </c>
      <c r="F949">
        <v>0.12262939471832833</v>
      </c>
      <c r="G949">
        <v>0.93333967665972495</v>
      </c>
      <c r="H949">
        <v>16.410954575358996</v>
      </c>
      <c r="I949">
        <v>4.6477561709000921E-2</v>
      </c>
      <c r="J949">
        <v>0</v>
      </c>
      <c r="K949">
        <f t="shared" si="126"/>
        <v>1.2291702682857731E-3</v>
      </c>
      <c r="L949">
        <f t="shared" si="127"/>
        <v>2.4312113445387244E-2</v>
      </c>
      <c r="M949">
        <f t="shared" si="128"/>
        <v>-0.18109235587262323</v>
      </c>
      <c r="N949">
        <f t="shared" si="129"/>
        <v>0.12262939471832833</v>
      </c>
      <c r="O949">
        <f t="shared" si="130"/>
        <v>0.93333967665972495</v>
      </c>
      <c r="P949">
        <f t="shared" si="131"/>
        <v>16.410954575358996</v>
      </c>
      <c r="Q949">
        <f t="shared" si="132"/>
        <v>4.6477561709000921E-2</v>
      </c>
      <c r="R949">
        <f t="shared" si="133"/>
        <v>0</v>
      </c>
      <c r="S949">
        <f t="shared" si="134"/>
        <v>0</v>
      </c>
    </row>
    <row r="950" spans="1:19" x14ac:dyDescent="0.3">
      <c r="A950" t="s">
        <v>305</v>
      </c>
      <c r="B950">
        <v>2009</v>
      </c>
      <c r="C950">
        <v>2.9530868627842505E-2</v>
      </c>
      <c r="D950">
        <v>0.16627779794402947</v>
      </c>
      <c r="E950">
        <v>5.2545001528981738E-3</v>
      </c>
      <c r="F950">
        <v>0.6456345847611511</v>
      </c>
      <c r="G950">
        <v>0.93157017532590025</v>
      </c>
      <c r="H950">
        <v>16.438521472591074</v>
      </c>
      <c r="I950">
        <v>3.6795315930274707E-2</v>
      </c>
      <c r="J950">
        <v>0</v>
      </c>
      <c r="K950">
        <f t="shared" si="126"/>
        <v>2.9530868627842505E-2</v>
      </c>
      <c r="L950">
        <f t="shared" si="127"/>
        <v>0.16627779794402947</v>
      </c>
      <c r="M950">
        <f t="shared" si="128"/>
        <v>5.2545001528981738E-3</v>
      </c>
      <c r="N950">
        <f t="shared" si="129"/>
        <v>0.6456345847611511</v>
      </c>
      <c r="O950">
        <f t="shared" si="130"/>
        <v>0.93157017532590025</v>
      </c>
      <c r="P950">
        <f t="shared" si="131"/>
        <v>16.438521472591074</v>
      </c>
      <c r="Q950">
        <f t="shared" si="132"/>
        <v>3.6795315930274707E-2</v>
      </c>
      <c r="R950">
        <f t="shared" si="133"/>
        <v>0</v>
      </c>
      <c r="S950">
        <f t="shared" si="134"/>
        <v>0</v>
      </c>
    </row>
    <row r="951" spans="1:19" x14ac:dyDescent="0.3">
      <c r="A951" t="s">
        <v>305</v>
      </c>
      <c r="B951">
        <v>2010</v>
      </c>
      <c r="C951">
        <v>1.8830390585785568E-2</v>
      </c>
      <c r="D951">
        <v>5.8145414427094269E-2</v>
      </c>
      <c r="E951">
        <v>-1.4980157475031769E-3</v>
      </c>
      <c r="F951">
        <v>0.30029970265709444</v>
      </c>
      <c r="G951">
        <v>0.66569137023236014</v>
      </c>
      <c r="H951">
        <v>16.459504112919621</v>
      </c>
      <c r="I951">
        <v>1.5374919555639948E-2</v>
      </c>
      <c r="J951">
        <v>0</v>
      </c>
      <c r="K951">
        <f t="shared" si="126"/>
        <v>1.8830390585785568E-2</v>
      </c>
      <c r="L951">
        <f t="shared" si="127"/>
        <v>5.8145414427094269E-2</v>
      </c>
      <c r="M951">
        <f t="shared" si="128"/>
        <v>-1.4980157475031769E-3</v>
      </c>
      <c r="N951">
        <f t="shared" si="129"/>
        <v>0.30029970265709444</v>
      </c>
      <c r="O951">
        <f t="shared" si="130"/>
        <v>0.66569137023236014</v>
      </c>
      <c r="P951">
        <f t="shared" si="131"/>
        <v>16.459504112919621</v>
      </c>
      <c r="Q951">
        <f t="shared" si="132"/>
        <v>1.5374919555639948E-2</v>
      </c>
      <c r="R951">
        <f t="shared" si="133"/>
        <v>0</v>
      </c>
      <c r="S951">
        <f t="shared" si="134"/>
        <v>0</v>
      </c>
    </row>
    <row r="952" spans="1:19" x14ac:dyDescent="0.3">
      <c r="A952" t="s">
        <v>306</v>
      </c>
      <c r="B952">
        <v>2007</v>
      </c>
      <c r="C952">
        <v>3.4389373683531787E-3</v>
      </c>
      <c r="D952">
        <v>6.4394102222413277E-2</v>
      </c>
      <c r="E952">
        <v>0.21762025534109961</v>
      </c>
      <c r="F952">
        <v>3.1509263637535999E-2</v>
      </c>
      <c r="G952">
        <v>0.67888922323002188</v>
      </c>
      <c r="H952">
        <v>11.440913755659935</v>
      </c>
      <c r="I952">
        <v>4.6531201385018504E-2</v>
      </c>
      <c r="J952">
        <v>0</v>
      </c>
      <c r="K952">
        <f t="shared" si="126"/>
        <v>3.4389373683531787E-3</v>
      </c>
      <c r="L952">
        <f t="shared" si="127"/>
        <v>6.4394102222413277E-2</v>
      </c>
      <c r="M952">
        <f t="shared" si="128"/>
        <v>0.21762025534109961</v>
      </c>
      <c r="N952">
        <f t="shared" si="129"/>
        <v>3.1509263637535999E-2</v>
      </c>
      <c r="O952">
        <f t="shared" si="130"/>
        <v>0.67888922323002188</v>
      </c>
      <c r="P952">
        <f t="shared" si="131"/>
        <v>11.440913755659935</v>
      </c>
      <c r="Q952">
        <f t="shared" si="132"/>
        <v>4.6531201385018504E-2</v>
      </c>
      <c r="R952">
        <f t="shared" si="133"/>
        <v>0</v>
      </c>
      <c r="S952">
        <f t="shared" si="134"/>
        <v>0</v>
      </c>
    </row>
    <row r="953" spans="1:19" x14ac:dyDescent="0.3">
      <c r="A953" t="s">
        <v>307</v>
      </c>
      <c r="B953">
        <v>2007</v>
      </c>
      <c r="C953">
        <v>4.9785920541670818E-4</v>
      </c>
      <c r="D953">
        <v>0.14698463274585946</v>
      </c>
      <c r="E953">
        <v>-0.11395812819690147</v>
      </c>
      <c r="F953">
        <v>0.18574942561799079</v>
      </c>
      <c r="G953">
        <v>1.1329873211855686</v>
      </c>
      <c r="H953">
        <v>13.203615199957614</v>
      </c>
      <c r="I953">
        <v>2.8889672934205426E-2</v>
      </c>
      <c r="J953">
        <v>0</v>
      </c>
      <c r="K953">
        <f t="shared" si="126"/>
        <v>4.9785920541670818E-4</v>
      </c>
      <c r="L953">
        <f t="shared" si="127"/>
        <v>0.14698463274585946</v>
      </c>
      <c r="M953">
        <f t="shared" si="128"/>
        <v>-0.11395812819690147</v>
      </c>
      <c r="N953">
        <f t="shared" si="129"/>
        <v>0.18574942561799079</v>
      </c>
      <c r="O953">
        <f t="shared" si="130"/>
        <v>1.1329873211855686</v>
      </c>
      <c r="P953">
        <f t="shared" si="131"/>
        <v>13.203615199957614</v>
      </c>
      <c r="Q953">
        <f t="shared" si="132"/>
        <v>2.8889672934205426E-2</v>
      </c>
      <c r="R953">
        <f t="shared" si="133"/>
        <v>0</v>
      </c>
      <c r="S953">
        <f t="shared" si="134"/>
        <v>0</v>
      </c>
    </row>
    <row r="954" spans="1:19" x14ac:dyDescent="0.3">
      <c r="A954" t="s">
        <v>307</v>
      </c>
      <c r="B954">
        <v>2009</v>
      </c>
      <c r="C954">
        <v>5.9343133602464111E-4</v>
      </c>
      <c r="D954">
        <v>0.10275014199600579</v>
      </c>
      <c r="E954">
        <v>-6.2613622251944681E-2</v>
      </c>
      <c r="F954">
        <v>0</v>
      </c>
      <c r="G954">
        <v>0.83044816789526299</v>
      </c>
      <c r="H954">
        <v>13.797776230261078</v>
      </c>
      <c r="I954">
        <v>1.3031639680332698E-2</v>
      </c>
      <c r="J954">
        <v>0</v>
      </c>
      <c r="K954">
        <f t="shared" si="126"/>
        <v>5.9343133602464111E-4</v>
      </c>
      <c r="L954">
        <f t="shared" si="127"/>
        <v>0.10275014199600579</v>
      </c>
      <c r="M954">
        <f t="shared" si="128"/>
        <v>-6.2613622251944681E-2</v>
      </c>
      <c r="N954">
        <f t="shared" si="129"/>
        <v>0</v>
      </c>
      <c r="O954">
        <f t="shared" si="130"/>
        <v>0.83044816789526299</v>
      </c>
      <c r="P954">
        <f t="shared" si="131"/>
        <v>13.797776230261078</v>
      </c>
      <c r="Q954">
        <f t="shared" si="132"/>
        <v>1.3031639680332698E-2</v>
      </c>
      <c r="R954">
        <f t="shared" si="133"/>
        <v>0</v>
      </c>
      <c r="S954">
        <f t="shared" si="134"/>
        <v>0</v>
      </c>
    </row>
    <row r="955" spans="1:19" x14ac:dyDescent="0.3">
      <c r="A955" t="s">
        <v>307</v>
      </c>
      <c r="B955">
        <v>2010</v>
      </c>
      <c r="C955">
        <v>4.2264818307865745E-4</v>
      </c>
      <c r="D955">
        <v>6.6140629195249059E-2</v>
      </c>
      <c r="E955">
        <v>3.4967149479397386E-2</v>
      </c>
      <c r="F955">
        <v>0.62026542983489619</v>
      </c>
      <c r="G955">
        <v>0.89740496556560745</v>
      </c>
      <c r="H955">
        <v>13.981576539229412</v>
      </c>
      <c r="I955">
        <v>6.0219360265690441E-3</v>
      </c>
      <c r="J955">
        <v>0</v>
      </c>
      <c r="K955">
        <f t="shared" si="126"/>
        <v>4.2264818307865745E-4</v>
      </c>
      <c r="L955">
        <f t="shared" si="127"/>
        <v>6.6140629195249059E-2</v>
      </c>
      <c r="M955">
        <f t="shared" si="128"/>
        <v>3.4967149479397386E-2</v>
      </c>
      <c r="N955">
        <f t="shared" si="129"/>
        <v>0.62026542983489619</v>
      </c>
      <c r="O955">
        <f t="shared" si="130"/>
        <v>0.89740496556560745</v>
      </c>
      <c r="P955">
        <f t="shared" si="131"/>
        <v>13.981576539229412</v>
      </c>
      <c r="Q955">
        <f t="shared" si="132"/>
        <v>6.0219360265690441E-3</v>
      </c>
      <c r="R955">
        <f t="shared" si="133"/>
        <v>0</v>
      </c>
      <c r="S955">
        <f t="shared" si="134"/>
        <v>0</v>
      </c>
    </row>
    <row r="956" spans="1:19" x14ac:dyDescent="0.3">
      <c r="A956" t="s">
        <v>308</v>
      </c>
      <c r="B956">
        <v>2007</v>
      </c>
      <c r="C956">
        <v>6.2359298957991222E-2</v>
      </c>
      <c r="D956">
        <v>0.15033589108171858</v>
      </c>
      <c r="E956">
        <v>0.20988266204878631</v>
      </c>
      <c r="F956">
        <v>1.1088884244468994E-2</v>
      </c>
      <c r="G956">
        <v>1.1347415877944644</v>
      </c>
      <c r="H956">
        <v>12.721676833749138</v>
      </c>
      <c r="I956">
        <v>8.5021064016476133E-3</v>
      </c>
      <c r="J956">
        <v>5.2249723822888366E-2</v>
      </c>
      <c r="K956">
        <f t="shared" si="126"/>
        <v>6.2359298957991222E-2</v>
      </c>
      <c r="L956">
        <f t="shared" si="127"/>
        <v>0.15033589108171858</v>
      </c>
      <c r="M956">
        <f t="shared" si="128"/>
        <v>0.20988266204878631</v>
      </c>
      <c r="N956">
        <f t="shared" si="129"/>
        <v>1.1088884244468994E-2</v>
      </c>
      <c r="O956">
        <f t="shared" si="130"/>
        <v>1.1347415877944644</v>
      </c>
      <c r="P956">
        <f t="shared" si="131"/>
        <v>12.721676833749138</v>
      </c>
      <c r="Q956">
        <f t="shared" si="132"/>
        <v>8.5021064016476133E-3</v>
      </c>
      <c r="R956">
        <f t="shared" si="133"/>
        <v>5.2249723822888366E-2</v>
      </c>
      <c r="S956">
        <f t="shared" si="134"/>
        <v>0</v>
      </c>
    </row>
    <row r="957" spans="1:19" x14ac:dyDescent="0.3">
      <c r="A957" t="s">
        <v>308</v>
      </c>
      <c r="B957">
        <v>2009</v>
      </c>
      <c r="C957">
        <v>3.51953420933908E-2</v>
      </c>
      <c r="D957">
        <v>0.15343625596921967</v>
      </c>
      <c r="E957">
        <v>0.29173488294228972</v>
      </c>
      <c r="F957">
        <v>0</v>
      </c>
      <c r="G957">
        <v>0.66062201893693273</v>
      </c>
      <c r="H957">
        <v>12.772615812246707</v>
      </c>
      <c r="I957">
        <v>4.043074584168041E-3</v>
      </c>
      <c r="J957">
        <v>2.1280640575655516E-2</v>
      </c>
      <c r="K957">
        <f t="shared" si="126"/>
        <v>3.51953420933908E-2</v>
      </c>
      <c r="L957">
        <f t="shared" si="127"/>
        <v>0.15343625596921967</v>
      </c>
      <c r="M957">
        <f t="shared" si="128"/>
        <v>0.29173488294228972</v>
      </c>
      <c r="N957">
        <f t="shared" si="129"/>
        <v>0</v>
      </c>
      <c r="O957">
        <f t="shared" si="130"/>
        <v>0.66062201893693273</v>
      </c>
      <c r="P957">
        <f t="shared" si="131"/>
        <v>12.772615812246707</v>
      </c>
      <c r="Q957">
        <f t="shared" si="132"/>
        <v>4.043074584168041E-3</v>
      </c>
      <c r="R957">
        <f t="shared" si="133"/>
        <v>2.1280640575655516E-2</v>
      </c>
      <c r="S957">
        <f t="shared" si="134"/>
        <v>0</v>
      </c>
    </row>
    <row r="958" spans="1:19" x14ac:dyDescent="0.3">
      <c r="A958" t="s">
        <v>308</v>
      </c>
      <c r="B958">
        <v>2010</v>
      </c>
      <c r="C958">
        <v>1.5518745467349148E-2</v>
      </c>
      <c r="D958">
        <v>0.15767055905321464</v>
      </c>
      <c r="E958">
        <v>0.30065007409898786</v>
      </c>
      <c r="F958">
        <v>0</v>
      </c>
      <c r="G958">
        <v>0.59922301167715963</v>
      </c>
      <c r="H958">
        <v>12.849430663087478</v>
      </c>
      <c r="I958">
        <v>5.758102515178401E-3</v>
      </c>
      <c r="J958">
        <v>2.463397202106303E-2</v>
      </c>
      <c r="K958">
        <f t="shared" si="126"/>
        <v>1.5518745467349148E-2</v>
      </c>
      <c r="L958">
        <f t="shared" si="127"/>
        <v>0.15767055905321464</v>
      </c>
      <c r="M958">
        <f t="shared" si="128"/>
        <v>0.30065007409898786</v>
      </c>
      <c r="N958">
        <f t="shared" si="129"/>
        <v>0</v>
      </c>
      <c r="O958">
        <f t="shared" si="130"/>
        <v>0.59922301167715963</v>
      </c>
      <c r="P958">
        <f t="shared" si="131"/>
        <v>12.849430663087478</v>
      </c>
      <c r="Q958">
        <f t="shared" si="132"/>
        <v>5.758102515178401E-3</v>
      </c>
      <c r="R958">
        <f t="shared" si="133"/>
        <v>2.463397202106303E-2</v>
      </c>
      <c r="S958">
        <f t="shared" si="134"/>
        <v>0</v>
      </c>
    </row>
    <row r="959" spans="1:19" x14ac:dyDescent="0.3">
      <c r="A959" t="s">
        <v>309</v>
      </c>
      <c r="B959">
        <v>2007</v>
      </c>
      <c r="C959">
        <v>6.3282067093268543E-2</v>
      </c>
      <c r="D959">
        <v>0.19541361736371923</v>
      </c>
      <c r="E959">
        <v>0.4609149429221403</v>
      </c>
      <c r="F959">
        <v>0</v>
      </c>
      <c r="G959">
        <v>1.0110017989973983</v>
      </c>
      <c r="H959">
        <v>14.855165875180452</v>
      </c>
      <c r="I959">
        <v>5.3561425388697487E-3</v>
      </c>
      <c r="J959">
        <v>3.0311762571943984E-2</v>
      </c>
      <c r="K959">
        <f t="shared" si="126"/>
        <v>6.3282067093268543E-2</v>
      </c>
      <c r="L959">
        <f t="shared" si="127"/>
        <v>0.19541361736371923</v>
      </c>
      <c r="M959">
        <f t="shared" si="128"/>
        <v>0.4609149429221403</v>
      </c>
      <c r="N959">
        <f t="shared" si="129"/>
        <v>0</v>
      </c>
      <c r="O959">
        <f t="shared" si="130"/>
        <v>1.0110017989973983</v>
      </c>
      <c r="P959">
        <f t="shared" si="131"/>
        <v>14.855165875180452</v>
      </c>
      <c r="Q959">
        <f t="shared" si="132"/>
        <v>5.3561425388697487E-3</v>
      </c>
      <c r="R959">
        <f t="shared" si="133"/>
        <v>3.0311762571943984E-2</v>
      </c>
      <c r="S959">
        <f t="shared" si="134"/>
        <v>0</v>
      </c>
    </row>
    <row r="960" spans="1:19" x14ac:dyDescent="0.3">
      <c r="A960" t="s">
        <v>309</v>
      </c>
      <c r="B960">
        <v>2009</v>
      </c>
      <c r="C960">
        <v>2.0126914309201129E-2</v>
      </c>
      <c r="D960">
        <v>0.17316896798077924</v>
      </c>
      <c r="E960">
        <v>0.53053917261755756</v>
      </c>
      <c r="F960">
        <v>0</v>
      </c>
      <c r="G960">
        <v>0.71268417933687467</v>
      </c>
      <c r="H960">
        <v>15.053166560128428</v>
      </c>
      <c r="I960">
        <v>4.0830708302427854E-4</v>
      </c>
      <c r="J960">
        <v>5.9680530050125843E-2</v>
      </c>
      <c r="K960">
        <f t="shared" si="126"/>
        <v>2.0126914309201129E-2</v>
      </c>
      <c r="L960">
        <f t="shared" si="127"/>
        <v>0.17316896798077924</v>
      </c>
      <c r="M960">
        <f t="shared" si="128"/>
        <v>0.53053917261755756</v>
      </c>
      <c r="N960">
        <f t="shared" si="129"/>
        <v>0</v>
      </c>
      <c r="O960">
        <f t="shared" si="130"/>
        <v>0.71268417933687467</v>
      </c>
      <c r="P960">
        <f t="shared" si="131"/>
        <v>15.053166560128428</v>
      </c>
      <c r="Q960">
        <f t="shared" si="132"/>
        <v>4.0830708302427854E-4</v>
      </c>
      <c r="R960">
        <f t="shared" si="133"/>
        <v>5.9680530050125843E-2</v>
      </c>
      <c r="S960">
        <f t="shared" si="134"/>
        <v>0</v>
      </c>
    </row>
    <row r="961" spans="1:19" x14ac:dyDescent="0.3">
      <c r="A961" t="s">
        <v>309</v>
      </c>
      <c r="B961">
        <v>2010</v>
      </c>
      <c r="C961">
        <v>1.3692202954017732E-2</v>
      </c>
      <c r="D961">
        <v>0.17467059405619095</v>
      </c>
      <c r="E961">
        <v>0.55182767257591292</v>
      </c>
      <c r="F961">
        <v>0</v>
      </c>
      <c r="G961">
        <v>0.65200382171985094</v>
      </c>
      <c r="H961">
        <v>15.105835171813032</v>
      </c>
      <c r="I961">
        <v>1.3277460558007628E-2</v>
      </c>
      <c r="J961">
        <v>5.6618581461686766E-2</v>
      </c>
      <c r="K961">
        <f t="shared" si="126"/>
        <v>1.3692202954017732E-2</v>
      </c>
      <c r="L961">
        <f t="shared" si="127"/>
        <v>0.17467059405619095</v>
      </c>
      <c r="M961">
        <f t="shared" si="128"/>
        <v>0.55182767257591292</v>
      </c>
      <c r="N961">
        <f t="shared" si="129"/>
        <v>0</v>
      </c>
      <c r="O961">
        <f t="shared" si="130"/>
        <v>0.65200382171985094</v>
      </c>
      <c r="P961">
        <f t="shared" si="131"/>
        <v>15.105835171813032</v>
      </c>
      <c r="Q961">
        <f t="shared" si="132"/>
        <v>1.3277460558007628E-2</v>
      </c>
      <c r="R961">
        <f t="shared" si="133"/>
        <v>5.6618581461686766E-2</v>
      </c>
      <c r="S961">
        <f t="shared" si="134"/>
        <v>0</v>
      </c>
    </row>
    <row r="962" spans="1:19" x14ac:dyDescent="0.3">
      <c r="A962" t="s">
        <v>310</v>
      </c>
      <c r="B962">
        <v>2007</v>
      </c>
      <c r="C962">
        <v>0.68903837613312779</v>
      </c>
      <c r="D962">
        <v>7.1887980354763709E-2</v>
      </c>
      <c r="E962">
        <v>8.2998510932887487E-2</v>
      </c>
      <c r="F962">
        <v>0</v>
      </c>
      <c r="G962">
        <v>1.1433709083309387</v>
      </c>
      <c r="H962">
        <v>12.855241814917731</v>
      </c>
      <c r="I962">
        <v>1.4498518803481584E-2</v>
      </c>
      <c r="J962">
        <v>0</v>
      </c>
      <c r="K962" t="str">
        <f t="shared" si="126"/>
        <v>out</v>
      </c>
      <c r="L962">
        <f t="shared" si="127"/>
        <v>7.1887980354763709E-2</v>
      </c>
      <c r="M962">
        <f t="shared" si="128"/>
        <v>8.2998510932887487E-2</v>
      </c>
      <c r="N962">
        <f t="shared" si="129"/>
        <v>0</v>
      </c>
      <c r="O962">
        <f t="shared" si="130"/>
        <v>1.1433709083309387</v>
      </c>
      <c r="P962">
        <f t="shared" si="131"/>
        <v>12.855241814917731</v>
      </c>
      <c r="Q962">
        <f t="shared" si="132"/>
        <v>1.4498518803481584E-2</v>
      </c>
      <c r="R962">
        <f t="shared" si="133"/>
        <v>0</v>
      </c>
      <c r="S962">
        <f t="shared" si="134"/>
        <v>0</v>
      </c>
    </row>
    <row r="963" spans="1:19" x14ac:dyDescent="0.3">
      <c r="A963" t="s">
        <v>310</v>
      </c>
      <c r="B963">
        <v>2009</v>
      </c>
      <c r="C963">
        <v>0.41380910958253231</v>
      </c>
      <c r="D963">
        <v>0.29319230122586826</v>
      </c>
      <c r="E963">
        <v>0.14820067104772625</v>
      </c>
      <c r="F963">
        <v>0</v>
      </c>
      <c r="G963">
        <v>1.0810551275209976</v>
      </c>
      <c r="H963">
        <v>13.212576955205281</v>
      </c>
      <c r="I963">
        <v>9.6597175766327675E-2</v>
      </c>
      <c r="J963">
        <v>2.4058669161775133E-2</v>
      </c>
      <c r="K963" t="str">
        <f t="shared" ref="K963:K1008" si="135">IF(OR(C963&lt;$C$1007-3*$C$1008,C963&gt;$C$1007+3*$C$1008),"out",C963)</f>
        <v>out</v>
      </c>
      <c r="L963">
        <f t="shared" ref="L963:L1008" si="136">IF(OR(D963&lt;$D$1007-3*$D$1008,D963&gt;$D$1007+3*$D$1008),"out",D963)</f>
        <v>0.29319230122586826</v>
      </c>
      <c r="M963">
        <f t="shared" ref="M963:M1008" si="137">IF(OR(E963&lt;$E$1007-3*$E$1008,E963&gt;$E$1007+3*$E$1008),"out",E963)</f>
        <v>0.14820067104772625</v>
      </c>
      <c r="N963">
        <f t="shared" ref="N963:N1008" si="138">IF(OR(F963&lt;$F$1007-3*$F$1008,F963&gt;$F$1007+3*$F$1008),"out",F963)</f>
        <v>0</v>
      </c>
      <c r="O963">
        <f t="shared" ref="O963:O1008" si="139">IF(OR(G963&lt;$G$1007-3*$G$1008,G963&gt;$G$1007+3*$G$1008),"out",G963)</f>
        <v>1.0810551275209976</v>
      </c>
      <c r="P963">
        <f t="shared" ref="P963:P1008" si="140">IF(OR(H963&lt;$H$1007-3*$H$1008,H963&gt;$H$1007+3*$H$1008),"out",H963)</f>
        <v>13.212576955205281</v>
      </c>
      <c r="Q963">
        <f t="shared" ref="Q963:Q1008" si="141">IF(OR(I963&lt;$I$1007-3*$I$1008,I963&gt;$I$1007+3*$I$1008),"out",I963)</f>
        <v>9.6597175766327675E-2</v>
      </c>
      <c r="R963">
        <f t="shared" ref="R963:R1008" si="142">IF(OR(J963&lt;$J$1007-3*$J$1008,J963&gt;$J$1007+3*$J$1008),"out",J963)</f>
        <v>2.4058669161775133E-2</v>
      </c>
      <c r="S963">
        <f t="shared" ref="S963:S1008" si="143">IF(OR(K963="ot",L963="out",M963="out",N963="out",O963="out",P963="out",Q963="out",R963="out"),1,0)</f>
        <v>0</v>
      </c>
    </row>
    <row r="964" spans="1:19" x14ac:dyDescent="0.3">
      <c r="A964" t="s">
        <v>310</v>
      </c>
      <c r="B964">
        <v>2010</v>
      </c>
      <c r="C964">
        <v>0.32607167955024596</v>
      </c>
      <c r="D964">
        <v>0.1503571151826725</v>
      </c>
      <c r="E964">
        <v>0.22590307522531791</v>
      </c>
      <c r="F964">
        <v>0</v>
      </c>
      <c r="G964">
        <v>0.89819077672886238</v>
      </c>
      <c r="H964">
        <v>12.832676630267617</v>
      </c>
      <c r="I964">
        <v>1.1405331395074955E-2</v>
      </c>
      <c r="J964">
        <v>0</v>
      </c>
      <c r="K964">
        <f t="shared" si="135"/>
        <v>0.32607167955024596</v>
      </c>
      <c r="L964">
        <f t="shared" si="136"/>
        <v>0.1503571151826725</v>
      </c>
      <c r="M964">
        <f t="shared" si="137"/>
        <v>0.22590307522531791</v>
      </c>
      <c r="N964">
        <f t="shared" si="138"/>
        <v>0</v>
      </c>
      <c r="O964">
        <f t="shared" si="139"/>
        <v>0.89819077672886238</v>
      </c>
      <c r="P964">
        <f t="shared" si="140"/>
        <v>12.832676630267617</v>
      </c>
      <c r="Q964">
        <f t="shared" si="141"/>
        <v>1.1405331395074955E-2</v>
      </c>
      <c r="R964">
        <f t="shared" si="142"/>
        <v>0</v>
      </c>
      <c r="S964">
        <f t="shared" si="143"/>
        <v>0</v>
      </c>
    </row>
    <row r="965" spans="1:19" x14ac:dyDescent="0.3">
      <c r="A965" t="s">
        <v>311</v>
      </c>
      <c r="B965">
        <v>2007</v>
      </c>
      <c r="C965">
        <v>3.2638351654998746E-2</v>
      </c>
      <c r="D965">
        <v>0.10702654174187941</v>
      </c>
      <c r="E965">
        <v>3.6219910922641506E-2</v>
      </c>
      <c r="F965">
        <v>0</v>
      </c>
      <c r="G965">
        <v>1.6493764903266064</v>
      </c>
      <c r="H965">
        <v>12.657495338411369</v>
      </c>
      <c r="I965">
        <v>9.4037909987368558E-3</v>
      </c>
      <c r="J965">
        <v>0</v>
      </c>
      <c r="K965">
        <f t="shared" si="135"/>
        <v>3.2638351654998746E-2</v>
      </c>
      <c r="L965">
        <f t="shared" si="136"/>
        <v>0.10702654174187941</v>
      </c>
      <c r="M965">
        <f t="shared" si="137"/>
        <v>3.6219910922641506E-2</v>
      </c>
      <c r="N965">
        <f t="shared" si="138"/>
        <v>0</v>
      </c>
      <c r="O965">
        <f t="shared" si="139"/>
        <v>1.6493764903266064</v>
      </c>
      <c r="P965">
        <f t="shared" si="140"/>
        <v>12.657495338411369</v>
      </c>
      <c r="Q965">
        <f t="shared" si="141"/>
        <v>9.4037909987368558E-3</v>
      </c>
      <c r="R965">
        <f t="shared" si="142"/>
        <v>0</v>
      </c>
      <c r="S965">
        <f t="shared" si="143"/>
        <v>0</v>
      </c>
    </row>
    <row r="966" spans="1:19" x14ac:dyDescent="0.3">
      <c r="A966" t="s">
        <v>311</v>
      </c>
      <c r="B966">
        <v>2009</v>
      </c>
      <c r="C966">
        <v>1.0699029277854571E-2</v>
      </c>
      <c r="D966">
        <v>7.0246546244015967E-2</v>
      </c>
      <c r="E966">
        <v>-8.9726068406104961E-2</v>
      </c>
      <c r="F966">
        <v>0.34496950386180292</v>
      </c>
      <c r="G966">
        <v>0.95730368843177216</v>
      </c>
      <c r="H966">
        <v>12.858780570815853</v>
      </c>
      <c r="I966">
        <v>7.1213937915658799E-3</v>
      </c>
      <c r="J966">
        <v>0</v>
      </c>
      <c r="K966">
        <f t="shared" si="135"/>
        <v>1.0699029277854571E-2</v>
      </c>
      <c r="L966">
        <f t="shared" si="136"/>
        <v>7.0246546244015967E-2</v>
      </c>
      <c r="M966">
        <f t="shared" si="137"/>
        <v>-8.9726068406104961E-2</v>
      </c>
      <c r="N966">
        <f t="shared" si="138"/>
        <v>0.34496950386180292</v>
      </c>
      <c r="O966">
        <f t="shared" si="139"/>
        <v>0.95730368843177216</v>
      </c>
      <c r="P966">
        <f t="shared" si="140"/>
        <v>12.858780570815853</v>
      </c>
      <c r="Q966">
        <f t="shared" si="141"/>
        <v>7.1213937915658799E-3</v>
      </c>
      <c r="R966">
        <f t="shared" si="142"/>
        <v>0</v>
      </c>
      <c r="S966">
        <f t="shared" si="143"/>
        <v>0</v>
      </c>
    </row>
    <row r="967" spans="1:19" x14ac:dyDescent="0.3">
      <c r="A967" t="s">
        <v>311</v>
      </c>
      <c r="B967">
        <v>2010</v>
      </c>
      <c r="C967">
        <v>1.480010302188684E-2</v>
      </c>
      <c r="D967">
        <v>4.4705657441605443E-2</v>
      </c>
      <c r="E967">
        <v>-7.628664512411748E-2</v>
      </c>
      <c r="F967">
        <v>0.37764159535233222</v>
      </c>
      <c r="G967">
        <v>0.88622966446196283</v>
      </c>
      <c r="H967">
        <v>12.838989345339888</v>
      </c>
      <c r="I967">
        <v>5.9343460750260237E-3</v>
      </c>
      <c r="J967">
        <v>0</v>
      </c>
      <c r="K967">
        <f t="shared" si="135"/>
        <v>1.480010302188684E-2</v>
      </c>
      <c r="L967">
        <f t="shared" si="136"/>
        <v>4.4705657441605443E-2</v>
      </c>
      <c r="M967">
        <f t="shared" si="137"/>
        <v>-7.628664512411748E-2</v>
      </c>
      <c r="N967">
        <f t="shared" si="138"/>
        <v>0.37764159535233222</v>
      </c>
      <c r="O967">
        <f t="shared" si="139"/>
        <v>0.88622966446196283</v>
      </c>
      <c r="P967">
        <f t="shared" si="140"/>
        <v>12.838989345339888</v>
      </c>
      <c r="Q967">
        <f t="shared" si="141"/>
        <v>5.9343460750260237E-3</v>
      </c>
      <c r="R967">
        <f t="shared" si="142"/>
        <v>0</v>
      </c>
      <c r="S967">
        <f t="shared" si="143"/>
        <v>0</v>
      </c>
    </row>
    <row r="968" spans="1:19" x14ac:dyDescent="0.3">
      <c r="A968" t="s">
        <v>312</v>
      </c>
      <c r="B968">
        <v>2007</v>
      </c>
      <c r="C968">
        <v>4.6469582556312887E-2</v>
      </c>
      <c r="D968">
        <v>7.8692681309653539E-2</v>
      </c>
      <c r="E968">
        <v>8.1215549375284662E-2</v>
      </c>
      <c r="F968">
        <v>0.28485441697637065</v>
      </c>
      <c r="G968">
        <v>1.0933735416604058</v>
      </c>
      <c r="H968">
        <v>16.261917081580489</v>
      </c>
      <c r="I968">
        <v>7.0021201432192322E-3</v>
      </c>
      <c r="J968">
        <v>0</v>
      </c>
      <c r="K968">
        <f t="shared" si="135"/>
        <v>4.6469582556312887E-2</v>
      </c>
      <c r="L968">
        <f t="shared" si="136"/>
        <v>7.8692681309653539E-2</v>
      </c>
      <c r="M968">
        <f t="shared" si="137"/>
        <v>8.1215549375284662E-2</v>
      </c>
      <c r="N968">
        <f t="shared" si="138"/>
        <v>0.28485441697637065</v>
      </c>
      <c r="O968">
        <f t="shared" si="139"/>
        <v>1.0933735416604058</v>
      </c>
      <c r="P968">
        <f t="shared" si="140"/>
        <v>16.261917081580489</v>
      </c>
      <c r="Q968">
        <f t="shared" si="141"/>
        <v>7.0021201432192322E-3</v>
      </c>
      <c r="R968">
        <f t="shared" si="142"/>
        <v>0</v>
      </c>
      <c r="S968">
        <f t="shared" si="143"/>
        <v>0</v>
      </c>
    </row>
    <row r="969" spans="1:19" x14ac:dyDescent="0.3">
      <c r="A969" t="s">
        <v>312</v>
      </c>
      <c r="B969">
        <v>2009</v>
      </c>
      <c r="C969">
        <v>5.3743979783058542E-3</v>
      </c>
      <c r="D969">
        <v>1.9117933030509408E-2</v>
      </c>
      <c r="E969">
        <v>7.2403970836120171E-2</v>
      </c>
      <c r="F969">
        <v>0.36682796153688518</v>
      </c>
      <c r="G969">
        <v>0.75702298691706471</v>
      </c>
      <c r="H969">
        <v>16.948184278293542</v>
      </c>
      <c r="I969">
        <v>5.537031688086223E-3</v>
      </c>
      <c r="J969">
        <v>0</v>
      </c>
      <c r="K969">
        <f t="shared" si="135"/>
        <v>5.3743979783058542E-3</v>
      </c>
      <c r="L969">
        <f t="shared" si="136"/>
        <v>1.9117933030509408E-2</v>
      </c>
      <c r="M969">
        <f t="shared" si="137"/>
        <v>7.2403970836120171E-2</v>
      </c>
      <c r="N969">
        <f t="shared" si="138"/>
        <v>0.36682796153688518</v>
      </c>
      <c r="O969">
        <f t="shared" si="139"/>
        <v>0.75702298691706471</v>
      </c>
      <c r="P969">
        <f t="shared" si="140"/>
        <v>16.948184278293542</v>
      </c>
      <c r="Q969">
        <f t="shared" si="141"/>
        <v>5.537031688086223E-3</v>
      </c>
      <c r="R969">
        <f t="shared" si="142"/>
        <v>0</v>
      </c>
      <c r="S969">
        <f t="shared" si="143"/>
        <v>0</v>
      </c>
    </row>
    <row r="970" spans="1:19" x14ac:dyDescent="0.3">
      <c r="A970" t="s">
        <v>313</v>
      </c>
      <c r="B970">
        <v>2007</v>
      </c>
      <c r="C970">
        <v>4.2998019808008136E-3</v>
      </c>
      <c r="D970">
        <v>6.4235236458667869E-2</v>
      </c>
      <c r="E970">
        <v>-0.14193151671138968</v>
      </c>
      <c r="F970">
        <v>0.14437136895040692</v>
      </c>
      <c r="G970">
        <v>1.9594899293310424</v>
      </c>
      <c r="H970">
        <v>13.395449951900096</v>
      </c>
      <c r="I970">
        <v>4.2013150852786098E-2</v>
      </c>
      <c r="J970">
        <v>0</v>
      </c>
      <c r="K970">
        <f t="shared" si="135"/>
        <v>4.2998019808008136E-3</v>
      </c>
      <c r="L970">
        <f t="shared" si="136"/>
        <v>6.4235236458667869E-2</v>
      </c>
      <c r="M970">
        <f t="shared" si="137"/>
        <v>-0.14193151671138968</v>
      </c>
      <c r="N970">
        <f t="shared" si="138"/>
        <v>0.14437136895040692</v>
      </c>
      <c r="O970">
        <f t="shared" si="139"/>
        <v>1.9594899293310424</v>
      </c>
      <c r="P970">
        <f t="shared" si="140"/>
        <v>13.395449951900096</v>
      </c>
      <c r="Q970">
        <f t="shared" si="141"/>
        <v>4.2013150852786098E-2</v>
      </c>
      <c r="R970">
        <f t="shared" si="142"/>
        <v>0</v>
      </c>
      <c r="S970">
        <f t="shared" si="143"/>
        <v>0</v>
      </c>
    </row>
    <row r="971" spans="1:19" x14ac:dyDescent="0.3">
      <c r="A971" t="s">
        <v>313</v>
      </c>
      <c r="B971">
        <v>2008</v>
      </c>
      <c r="C971">
        <v>7.0433967581077939E-3</v>
      </c>
      <c r="D971">
        <v>0.19107070657567479</v>
      </c>
      <c r="E971">
        <v>0.10841685146840808</v>
      </c>
      <c r="F971">
        <v>0.28710992538502067</v>
      </c>
      <c r="G971">
        <v>1.1467080888028525</v>
      </c>
      <c r="H971">
        <v>13.389258898665533</v>
      </c>
      <c r="I971">
        <v>4.6152361057694227E-3</v>
      </c>
      <c r="J971">
        <v>0</v>
      </c>
      <c r="K971">
        <f t="shared" si="135"/>
        <v>7.0433967581077939E-3</v>
      </c>
      <c r="L971">
        <f t="shared" si="136"/>
        <v>0.19107070657567479</v>
      </c>
      <c r="M971">
        <f t="shared" si="137"/>
        <v>0.10841685146840808</v>
      </c>
      <c r="N971">
        <f t="shared" si="138"/>
        <v>0.28710992538502067</v>
      </c>
      <c r="O971">
        <f t="shared" si="139"/>
        <v>1.1467080888028525</v>
      </c>
      <c r="P971">
        <f t="shared" si="140"/>
        <v>13.389258898665533</v>
      </c>
      <c r="Q971">
        <f t="shared" si="141"/>
        <v>4.6152361057694227E-3</v>
      </c>
      <c r="R971">
        <f t="shared" si="142"/>
        <v>0</v>
      </c>
      <c r="S971">
        <f t="shared" si="143"/>
        <v>0</v>
      </c>
    </row>
    <row r="972" spans="1:19" x14ac:dyDescent="0.3">
      <c r="A972" t="s">
        <v>313</v>
      </c>
      <c r="B972">
        <v>2009</v>
      </c>
      <c r="C972">
        <v>2.2146792245522854E-3</v>
      </c>
      <c r="D972">
        <v>0.19107894143155074</v>
      </c>
      <c r="E972">
        <v>-1.6203667825670648E-2</v>
      </c>
      <c r="F972">
        <v>0.29811201179325297</v>
      </c>
      <c r="G972">
        <v>1.3702533792801774</v>
      </c>
      <c r="H972">
        <v>13.271939610385196</v>
      </c>
      <c r="I972">
        <v>1.511023597021709E-2</v>
      </c>
      <c r="J972">
        <v>0</v>
      </c>
      <c r="K972">
        <f t="shared" si="135"/>
        <v>2.2146792245522854E-3</v>
      </c>
      <c r="L972">
        <f t="shared" si="136"/>
        <v>0.19107894143155074</v>
      </c>
      <c r="M972">
        <f t="shared" si="137"/>
        <v>-1.6203667825670648E-2</v>
      </c>
      <c r="N972">
        <f t="shared" si="138"/>
        <v>0.29811201179325297</v>
      </c>
      <c r="O972">
        <f t="shared" si="139"/>
        <v>1.3702533792801774</v>
      </c>
      <c r="P972">
        <f t="shared" si="140"/>
        <v>13.271939610385196</v>
      </c>
      <c r="Q972">
        <f t="shared" si="141"/>
        <v>1.511023597021709E-2</v>
      </c>
      <c r="R972">
        <f t="shared" si="142"/>
        <v>0</v>
      </c>
      <c r="S972">
        <f t="shared" si="143"/>
        <v>0</v>
      </c>
    </row>
    <row r="973" spans="1:19" x14ac:dyDescent="0.3">
      <c r="A973" t="s">
        <v>313</v>
      </c>
      <c r="B973">
        <v>2010</v>
      </c>
      <c r="C973">
        <v>5.4104598890905723E-3</v>
      </c>
      <c r="D973">
        <v>0.28856452798487869</v>
      </c>
      <c r="E973">
        <v>-0.30941129996049666</v>
      </c>
      <c r="F973">
        <v>0.61455723736517609</v>
      </c>
      <c r="G973">
        <v>0.15475865448563131</v>
      </c>
      <c r="H973">
        <v>12.899134822477414</v>
      </c>
      <c r="I973">
        <v>2.3200566776768166E-2</v>
      </c>
      <c r="J973">
        <v>9.1882810038853305E-2</v>
      </c>
      <c r="K973">
        <f t="shared" si="135"/>
        <v>5.4104598890905723E-3</v>
      </c>
      <c r="L973">
        <f t="shared" si="136"/>
        <v>0.28856452798487869</v>
      </c>
      <c r="M973">
        <f t="shared" si="137"/>
        <v>-0.30941129996049666</v>
      </c>
      <c r="N973">
        <f t="shared" si="138"/>
        <v>0.61455723736517609</v>
      </c>
      <c r="O973">
        <f t="shared" si="139"/>
        <v>0.15475865448563131</v>
      </c>
      <c r="P973">
        <f t="shared" si="140"/>
        <v>12.899134822477414</v>
      </c>
      <c r="Q973">
        <f t="shared" si="141"/>
        <v>2.3200566776768166E-2</v>
      </c>
      <c r="R973">
        <f t="shared" si="142"/>
        <v>9.1882810038853305E-2</v>
      </c>
      <c r="S973">
        <f t="shared" si="143"/>
        <v>0</v>
      </c>
    </row>
    <row r="974" spans="1:19" x14ac:dyDescent="0.3">
      <c r="A974" t="s">
        <v>314</v>
      </c>
      <c r="B974">
        <v>2007</v>
      </c>
      <c r="C974">
        <v>0.18837978419449705</v>
      </c>
      <c r="D974">
        <v>0.12308202210839236</v>
      </c>
      <c r="E974">
        <v>0.21682745752577667</v>
      </c>
      <c r="F974">
        <v>0.13407530031256443</v>
      </c>
      <c r="G974">
        <v>1.4925899049292715</v>
      </c>
      <c r="H974">
        <v>16.682330241497887</v>
      </c>
      <c r="I974">
        <v>5.6913165652841616E-3</v>
      </c>
      <c r="J974">
        <v>4.2217696633687157E-2</v>
      </c>
      <c r="K974">
        <f t="shared" si="135"/>
        <v>0.18837978419449705</v>
      </c>
      <c r="L974">
        <f t="shared" si="136"/>
        <v>0.12308202210839236</v>
      </c>
      <c r="M974">
        <f t="shared" si="137"/>
        <v>0.21682745752577667</v>
      </c>
      <c r="N974">
        <f t="shared" si="138"/>
        <v>0.13407530031256443</v>
      </c>
      <c r="O974">
        <f t="shared" si="139"/>
        <v>1.4925899049292715</v>
      </c>
      <c r="P974">
        <f t="shared" si="140"/>
        <v>16.682330241497887</v>
      </c>
      <c r="Q974">
        <f t="shared" si="141"/>
        <v>5.6913165652841616E-3</v>
      </c>
      <c r="R974">
        <f t="shared" si="142"/>
        <v>4.2217696633687157E-2</v>
      </c>
      <c r="S974">
        <f t="shared" si="143"/>
        <v>0</v>
      </c>
    </row>
    <row r="975" spans="1:19" x14ac:dyDescent="0.3">
      <c r="A975" t="s">
        <v>314</v>
      </c>
      <c r="B975">
        <v>2008</v>
      </c>
      <c r="C975">
        <v>0.13752518528271329</v>
      </c>
      <c r="D975">
        <v>0.11180194920909797</v>
      </c>
      <c r="E975">
        <v>0.18940341666578542</v>
      </c>
      <c r="F975">
        <v>3.6645610550020982E-2</v>
      </c>
      <c r="G975">
        <v>1.1224996853731659</v>
      </c>
      <c r="H975">
        <v>17.025361056830377</v>
      </c>
      <c r="I975">
        <v>1.4258538358532044E-2</v>
      </c>
      <c r="J975">
        <v>2.9958367544040288E-2</v>
      </c>
      <c r="K975">
        <f t="shared" si="135"/>
        <v>0.13752518528271329</v>
      </c>
      <c r="L975">
        <f t="shared" si="136"/>
        <v>0.11180194920909797</v>
      </c>
      <c r="M975">
        <f t="shared" si="137"/>
        <v>0.18940341666578542</v>
      </c>
      <c r="N975">
        <f t="shared" si="138"/>
        <v>3.6645610550020982E-2</v>
      </c>
      <c r="O975">
        <f t="shared" si="139"/>
        <v>1.1224996853731659</v>
      </c>
      <c r="P975">
        <f t="shared" si="140"/>
        <v>17.025361056830377</v>
      </c>
      <c r="Q975">
        <f t="shared" si="141"/>
        <v>1.4258538358532044E-2</v>
      </c>
      <c r="R975">
        <f t="shared" si="142"/>
        <v>2.9958367544040288E-2</v>
      </c>
      <c r="S975">
        <f t="shared" si="143"/>
        <v>0</v>
      </c>
    </row>
    <row r="976" spans="1:19" x14ac:dyDescent="0.3">
      <c r="A976" t="s">
        <v>314</v>
      </c>
      <c r="B976">
        <v>2009</v>
      </c>
      <c r="C976">
        <v>5.7839403968391212E-2</v>
      </c>
      <c r="D976">
        <v>9.7227707711685554E-2</v>
      </c>
      <c r="E976">
        <v>0.13318528866957466</v>
      </c>
      <c r="F976">
        <v>6.4186307077803212E-3</v>
      </c>
      <c r="G976">
        <v>1.1437486788621447</v>
      </c>
      <c r="H976">
        <v>17.004275362146387</v>
      </c>
      <c r="I976">
        <v>7.1129214363722312E-3</v>
      </c>
      <c r="J976">
        <v>3.0596767435010778E-2</v>
      </c>
      <c r="K976">
        <f t="shared" si="135"/>
        <v>5.7839403968391212E-2</v>
      </c>
      <c r="L976">
        <f t="shared" si="136"/>
        <v>9.7227707711685554E-2</v>
      </c>
      <c r="M976">
        <f t="shared" si="137"/>
        <v>0.13318528866957466</v>
      </c>
      <c r="N976">
        <f t="shared" si="138"/>
        <v>6.4186307077803212E-3</v>
      </c>
      <c r="O976">
        <f t="shared" si="139"/>
        <v>1.1437486788621447</v>
      </c>
      <c r="P976">
        <f t="shared" si="140"/>
        <v>17.004275362146387</v>
      </c>
      <c r="Q976">
        <f t="shared" si="141"/>
        <v>7.1129214363722312E-3</v>
      </c>
      <c r="R976">
        <f t="shared" si="142"/>
        <v>3.0596767435010778E-2</v>
      </c>
      <c r="S976">
        <f t="shared" si="143"/>
        <v>0</v>
      </c>
    </row>
    <row r="977" spans="1:19" x14ac:dyDescent="0.3">
      <c r="A977" t="s">
        <v>314</v>
      </c>
      <c r="B977">
        <v>2010</v>
      </c>
      <c r="C977">
        <v>5.6735855512041071E-2</v>
      </c>
      <c r="D977">
        <v>7.3817408738095253E-2</v>
      </c>
      <c r="E977">
        <v>0.13580402877861547</v>
      </c>
      <c r="F977">
        <v>6.5453227435743444E-4</v>
      </c>
      <c r="G977">
        <v>1.1342573760846226</v>
      </c>
      <c r="H977">
        <v>17.018660984330946</v>
      </c>
      <c r="I977">
        <v>1.9391320219192335E-2</v>
      </c>
      <c r="J977">
        <v>3.0159764712957449E-2</v>
      </c>
      <c r="K977">
        <f t="shared" si="135"/>
        <v>5.6735855512041071E-2</v>
      </c>
      <c r="L977">
        <f t="shared" si="136"/>
        <v>7.3817408738095253E-2</v>
      </c>
      <c r="M977">
        <f t="shared" si="137"/>
        <v>0.13580402877861547</v>
      </c>
      <c r="N977">
        <f t="shared" si="138"/>
        <v>6.5453227435743444E-4</v>
      </c>
      <c r="O977">
        <f t="shared" si="139"/>
        <v>1.1342573760846226</v>
      </c>
      <c r="P977">
        <f t="shared" si="140"/>
        <v>17.018660984330946</v>
      </c>
      <c r="Q977">
        <f t="shared" si="141"/>
        <v>1.9391320219192335E-2</v>
      </c>
      <c r="R977">
        <f t="shared" si="142"/>
        <v>3.0159764712957449E-2</v>
      </c>
      <c r="S977">
        <f t="shared" si="143"/>
        <v>0</v>
      </c>
    </row>
    <row r="978" spans="1:19" x14ac:dyDescent="0.3">
      <c r="A978" t="s">
        <v>315</v>
      </c>
      <c r="B978">
        <v>2007</v>
      </c>
      <c r="C978">
        <v>6.3619189748538682E-2</v>
      </c>
      <c r="D978">
        <v>4.8559284179323779E-2</v>
      </c>
      <c r="E978">
        <v>0.28755313171545849</v>
      </c>
      <c r="F978">
        <v>0.34963388552347141</v>
      </c>
      <c r="G978">
        <v>2.1063823973234799</v>
      </c>
      <c r="H978">
        <v>14.261878297341463</v>
      </c>
      <c r="I978">
        <v>1.3820059807507085E-3</v>
      </c>
      <c r="J978">
        <v>0</v>
      </c>
      <c r="K978">
        <f t="shared" si="135"/>
        <v>6.3619189748538682E-2</v>
      </c>
      <c r="L978">
        <f t="shared" si="136"/>
        <v>4.8559284179323779E-2</v>
      </c>
      <c r="M978">
        <f t="shared" si="137"/>
        <v>0.28755313171545849</v>
      </c>
      <c r="N978">
        <f t="shared" si="138"/>
        <v>0.34963388552347141</v>
      </c>
      <c r="O978">
        <f t="shared" si="139"/>
        <v>2.1063823973234799</v>
      </c>
      <c r="P978">
        <f t="shared" si="140"/>
        <v>14.261878297341463</v>
      </c>
      <c r="Q978">
        <f t="shared" si="141"/>
        <v>1.3820059807507085E-3</v>
      </c>
      <c r="R978">
        <f t="shared" si="142"/>
        <v>0</v>
      </c>
      <c r="S978">
        <f t="shared" si="143"/>
        <v>0</v>
      </c>
    </row>
    <row r="979" spans="1:19" x14ac:dyDescent="0.3">
      <c r="A979" t="s">
        <v>315</v>
      </c>
      <c r="B979">
        <v>2008</v>
      </c>
      <c r="C979">
        <v>6.9407503348220892E-2</v>
      </c>
      <c r="D979">
        <v>4.6688527551650774E-2</v>
      </c>
      <c r="E979">
        <v>0.23401469829989413</v>
      </c>
      <c r="F979">
        <v>0.41010020199543751</v>
      </c>
      <c r="G979">
        <v>1.2961330911753748</v>
      </c>
      <c r="H979">
        <v>14.43605640005852</v>
      </c>
      <c r="I979">
        <v>9.9391570322232229E-3</v>
      </c>
      <c r="J979">
        <v>0</v>
      </c>
      <c r="K979">
        <f t="shared" si="135"/>
        <v>6.9407503348220892E-2</v>
      </c>
      <c r="L979">
        <f t="shared" si="136"/>
        <v>4.6688527551650774E-2</v>
      </c>
      <c r="M979">
        <f t="shared" si="137"/>
        <v>0.23401469829989413</v>
      </c>
      <c r="N979">
        <f t="shared" si="138"/>
        <v>0.41010020199543751</v>
      </c>
      <c r="O979">
        <f t="shared" si="139"/>
        <v>1.2961330911753748</v>
      </c>
      <c r="P979">
        <f t="shared" si="140"/>
        <v>14.43605640005852</v>
      </c>
      <c r="Q979">
        <f t="shared" si="141"/>
        <v>9.9391570322232229E-3</v>
      </c>
      <c r="R979">
        <f t="shared" si="142"/>
        <v>0</v>
      </c>
      <c r="S979">
        <f t="shared" si="143"/>
        <v>0</v>
      </c>
    </row>
    <row r="980" spans="1:19" x14ac:dyDescent="0.3">
      <c r="A980" t="s">
        <v>315</v>
      </c>
      <c r="B980">
        <v>2009</v>
      </c>
      <c r="C980">
        <v>7.6157862145541516E-2</v>
      </c>
      <c r="D980">
        <v>2.2333553980184488E-2</v>
      </c>
      <c r="E980">
        <v>0.24003992996241885</v>
      </c>
      <c r="F980">
        <v>0.4356182738298599</v>
      </c>
      <c r="G980">
        <v>1.2442101554492655</v>
      </c>
      <c r="H980">
        <v>14.443201463045604</v>
      </c>
      <c r="I980">
        <v>2.4465514067976944E-3</v>
      </c>
      <c r="J980">
        <v>0</v>
      </c>
      <c r="K980">
        <f t="shared" si="135"/>
        <v>7.6157862145541516E-2</v>
      </c>
      <c r="L980">
        <f t="shared" si="136"/>
        <v>2.2333553980184488E-2</v>
      </c>
      <c r="M980">
        <f t="shared" si="137"/>
        <v>0.24003992996241885</v>
      </c>
      <c r="N980">
        <f t="shared" si="138"/>
        <v>0.4356182738298599</v>
      </c>
      <c r="O980">
        <f t="shared" si="139"/>
        <v>1.2442101554492655</v>
      </c>
      <c r="P980">
        <f t="shared" si="140"/>
        <v>14.443201463045604</v>
      </c>
      <c r="Q980">
        <f t="shared" si="141"/>
        <v>2.4465514067976944E-3</v>
      </c>
      <c r="R980">
        <f t="shared" si="142"/>
        <v>0</v>
      </c>
      <c r="S980">
        <f t="shared" si="143"/>
        <v>0</v>
      </c>
    </row>
    <row r="981" spans="1:19" x14ac:dyDescent="0.3">
      <c r="A981" t="s">
        <v>315</v>
      </c>
      <c r="B981">
        <v>2010</v>
      </c>
      <c r="C981">
        <v>6.2414994416020955E-2</v>
      </c>
      <c r="D981">
        <v>2.4520456669813787E-2</v>
      </c>
      <c r="E981">
        <v>0.19326649824475486</v>
      </c>
      <c r="F981">
        <v>0.42451386419982717</v>
      </c>
      <c r="G981">
        <v>0.95394343503787926</v>
      </c>
      <c r="H981">
        <v>14.75096135779639</v>
      </c>
      <c r="I981">
        <v>5.4350395215889066E-4</v>
      </c>
      <c r="J981">
        <v>0</v>
      </c>
      <c r="K981">
        <f t="shared" si="135"/>
        <v>6.2414994416020955E-2</v>
      </c>
      <c r="L981">
        <f t="shared" si="136"/>
        <v>2.4520456669813787E-2</v>
      </c>
      <c r="M981">
        <f t="shared" si="137"/>
        <v>0.19326649824475486</v>
      </c>
      <c r="N981">
        <f t="shared" si="138"/>
        <v>0.42451386419982717</v>
      </c>
      <c r="O981">
        <f t="shared" si="139"/>
        <v>0.95394343503787926</v>
      </c>
      <c r="P981">
        <f t="shared" si="140"/>
        <v>14.75096135779639</v>
      </c>
      <c r="Q981">
        <f t="shared" si="141"/>
        <v>5.4350395215889066E-4</v>
      </c>
      <c r="R981">
        <f t="shared" si="142"/>
        <v>0</v>
      </c>
      <c r="S981">
        <f t="shared" si="143"/>
        <v>0</v>
      </c>
    </row>
    <row r="982" spans="1:19" x14ac:dyDescent="0.3">
      <c r="A982" t="s">
        <v>316</v>
      </c>
      <c r="B982">
        <v>2007</v>
      </c>
      <c r="C982">
        <v>2.3720873140893189E-2</v>
      </c>
      <c r="D982">
        <v>0.10018821218878501</v>
      </c>
      <c r="E982">
        <v>-0.1953622061741781</v>
      </c>
      <c r="F982">
        <v>0</v>
      </c>
      <c r="G982">
        <v>6.178126470407725</v>
      </c>
      <c r="H982">
        <v>13.099729144895393</v>
      </c>
      <c r="I982">
        <v>5.0085801948462211E-3</v>
      </c>
      <c r="J982">
        <v>0</v>
      </c>
      <c r="K982">
        <f t="shared" si="135"/>
        <v>2.3720873140893189E-2</v>
      </c>
      <c r="L982">
        <f t="shared" si="136"/>
        <v>0.10018821218878501</v>
      </c>
      <c r="M982">
        <f t="shared" si="137"/>
        <v>-0.1953622061741781</v>
      </c>
      <c r="N982">
        <f t="shared" si="138"/>
        <v>0</v>
      </c>
      <c r="O982">
        <f t="shared" si="139"/>
        <v>6.178126470407725</v>
      </c>
      <c r="P982">
        <f t="shared" si="140"/>
        <v>13.099729144895393</v>
      </c>
      <c r="Q982">
        <f t="shared" si="141"/>
        <v>5.0085801948462211E-3</v>
      </c>
      <c r="R982">
        <f t="shared" si="142"/>
        <v>0</v>
      </c>
      <c r="S982">
        <f t="shared" si="143"/>
        <v>0</v>
      </c>
    </row>
    <row r="983" spans="1:19" x14ac:dyDescent="0.3">
      <c r="A983" t="s">
        <v>316</v>
      </c>
      <c r="B983">
        <v>2009</v>
      </c>
      <c r="C983">
        <v>1.4381729390979699E-2</v>
      </c>
      <c r="D983">
        <v>8.1136037867928931E-2</v>
      </c>
      <c r="E983">
        <v>4.0390929697656591E-2</v>
      </c>
      <c r="F983">
        <v>0.19333977799259974</v>
      </c>
      <c r="G983">
        <v>39.611676639221308</v>
      </c>
      <c r="H983">
        <v>13.081508048995172</v>
      </c>
      <c r="I983">
        <v>7.506991451703901E-4</v>
      </c>
      <c r="J983">
        <v>6.6668888962965439E-2</v>
      </c>
      <c r="K983">
        <f t="shared" si="135"/>
        <v>1.4381729390979699E-2</v>
      </c>
      <c r="L983">
        <f t="shared" si="136"/>
        <v>8.1136037867928931E-2</v>
      </c>
      <c r="M983">
        <f t="shared" si="137"/>
        <v>4.0390929697656591E-2</v>
      </c>
      <c r="N983">
        <f t="shared" si="138"/>
        <v>0.19333977799259974</v>
      </c>
      <c r="O983">
        <f t="shared" si="139"/>
        <v>39.611676639221308</v>
      </c>
      <c r="P983">
        <f t="shared" si="140"/>
        <v>13.081508048995172</v>
      </c>
      <c r="Q983">
        <f t="shared" si="141"/>
        <v>7.506991451703901E-4</v>
      </c>
      <c r="R983">
        <f t="shared" si="142"/>
        <v>6.6668888962965439E-2</v>
      </c>
      <c r="S983">
        <f t="shared" si="143"/>
        <v>0</v>
      </c>
    </row>
    <row r="984" spans="1:19" x14ac:dyDescent="0.3">
      <c r="A984" t="s">
        <v>316</v>
      </c>
      <c r="B984">
        <v>2010</v>
      </c>
      <c r="C984">
        <v>1.2122060905964552E-2</v>
      </c>
      <c r="D984">
        <v>8.2813705286979178E-2</v>
      </c>
      <c r="E984">
        <v>3.418985819433978E-3</v>
      </c>
      <c r="F984">
        <v>0.12170967075033179</v>
      </c>
      <c r="G984">
        <v>43.603975626943743</v>
      </c>
      <c r="H984">
        <v>13.01664946597624</v>
      </c>
      <c r="I984">
        <v>3.7003470023135414E-3</v>
      </c>
      <c r="J984">
        <v>0</v>
      </c>
      <c r="K984">
        <f t="shared" si="135"/>
        <v>1.2122060905964552E-2</v>
      </c>
      <c r="L984">
        <f t="shared" si="136"/>
        <v>8.2813705286979178E-2</v>
      </c>
      <c r="M984">
        <f t="shared" si="137"/>
        <v>3.418985819433978E-3</v>
      </c>
      <c r="N984">
        <f t="shared" si="138"/>
        <v>0.12170967075033179</v>
      </c>
      <c r="O984">
        <f t="shared" si="139"/>
        <v>43.603975626943743</v>
      </c>
      <c r="P984">
        <f t="shared" si="140"/>
        <v>13.01664946597624</v>
      </c>
      <c r="Q984">
        <f t="shared" si="141"/>
        <v>3.7003470023135414E-3</v>
      </c>
      <c r="R984">
        <f t="shared" si="142"/>
        <v>0</v>
      </c>
      <c r="S984">
        <f t="shared" si="143"/>
        <v>0</v>
      </c>
    </row>
    <row r="985" spans="1:19" x14ac:dyDescent="0.3">
      <c r="A985" t="s">
        <v>317</v>
      </c>
      <c r="B985">
        <v>2007</v>
      </c>
      <c r="C985">
        <v>8.7869207480480355E-2</v>
      </c>
      <c r="D985">
        <v>5.4816174872886883E-2</v>
      </c>
      <c r="E985">
        <v>-8.2991105703069543E-2</v>
      </c>
      <c r="F985">
        <v>2.829262816334217E-2</v>
      </c>
      <c r="G985">
        <v>1.1036922558776237</v>
      </c>
      <c r="H985">
        <v>13.22178147179852</v>
      </c>
      <c r="I985">
        <v>2.4130995596209973E-3</v>
      </c>
      <c r="J985">
        <v>0</v>
      </c>
      <c r="K985">
        <f t="shared" si="135"/>
        <v>8.7869207480480355E-2</v>
      </c>
      <c r="L985">
        <f t="shared" si="136"/>
        <v>5.4816174872886883E-2</v>
      </c>
      <c r="M985">
        <f t="shared" si="137"/>
        <v>-8.2991105703069543E-2</v>
      </c>
      <c r="N985">
        <f t="shared" si="138"/>
        <v>2.829262816334217E-2</v>
      </c>
      <c r="O985">
        <f t="shared" si="139"/>
        <v>1.1036922558776237</v>
      </c>
      <c r="P985">
        <f t="shared" si="140"/>
        <v>13.22178147179852</v>
      </c>
      <c r="Q985">
        <f t="shared" si="141"/>
        <v>2.4130995596209973E-3</v>
      </c>
      <c r="R985">
        <f t="shared" si="142"/>
        <v>0</v>
      </c>
      <c r="S985">
        <f t="shared" si="143"/>
        <v>0</v>
      </c>
    </row>
    <row r="986" spans="1:19" x14ac:dyDescent="0.3">
      <c r="A986" t="s">
        <v>317</v>
      </c>
      <c r="B986">
        <v>2009</v>
      </c>
      <c r="C986">
        <v>0.10213013353454077</v>
      </c>
      <c r="D986">
        <v>4.2363361477973697E-2</v>
      </c>
      <c r="E986">
        <v>0.21198854694261365</v>
      </c>
      <c r="F986">
        <v>6.9329286661467555E-3</v>
      </c>
      <c r="G986">
        <v>0.47241524934612278</v>
      </c>
      <c r="H986">
        <v>13.473552501712096</v>
      </c>
      <c r="I986">
        <v>2.0371345585775864E-3</v>
      </c>
      <c r="J986">
        <v>0</v>
      </c>
      <c r="K986">
        <f t="shared" si="135"/>
        <v>0.10213013353454077</v>
      </c>
      <c r="L986">
        <f t="shared" si="136"/>
        <v>4.2363361477973697E-2</v>
      </c>
      <c r="M986">
        <f t="shared" si="137"/>
        <v>0.21198854694261365</v>
      </c>
      <c r="N986">
        <f t="shared" si="138"/>
        <v>6.9329286661467555E-3</v>
      </c>
      <c r="O986">
        <f t="shared" si="139"/>
        <v>0.47241524934612278</v>
      </c>
      <c r="P986">
        <f t="shared" si="140"/>
        <v>13.473552501712096</v>
      </c>
      <c r="Q986">
        <f t="shared" si="141"/>
        <v>2.0371345585775864E-3</v>
      </c>
      <c r="R986">
        <f t="shared" si="142"/>
        <v>0</v>
      </c>
      <c r="S986">
        <f t="shared" si="143"/>
        <v>0</v>
      </c>
    </row>
    <row r="987" spans="1:19" x14ac:dyDescent="0.3">
      <c r="A987" t="s">
        <v>317</v>
      </c>
      <c r="B987">
        <v>2010</v>
      </c>
      <c r="C987">
        <v>5.6753586028397959E-2</v>
      </c>
      <c r="D987">
        <v>5.7557872330132313E-2</v>
      </c>
      <c r="E987">
        <v>0.18617262523886699</v>
      </c>
      <c r="F987">
        <v>7.4456955564693649E-3</v>
      </c>
      <c r="G987">
        <v>0.41582283628843036</v>
      </c>
      <c r="H987">
        <v>13.402198744829807</v>
      </c>
      <c r="I987">
        <v>1.2483777309821292E-2</v>
      </c>
      <c r="J987">
        <v>0</v>
      </c>
      <c r="K987">
        <f t="shared" si="135"/>
        <v>5.6753586028397959E-2</v>
      </c>
      <c r="L987">
        <f t="shared" si="136"/>
        <v>5.7557872330132313E-2</v>
      </c>
      <c r="M987">
        <f t="shared" si="137"/>
        <v>0.18617262523886699</v>
      </c>
      <c r="N987">
        <f t="shared" si="138"/>
        <v>7.4456955564693649E-3</v>
      </c>
      <c r="O987">
        <f t="shared" si="139"/>
        <v>0.41582283628843036</v>
      </c>
      <c r="P987">
        <f t="shared" si="140"/>
        <v>13.402198744829807</v>
      </c>
      <c r="Q987">
        <f t="shared" si="141"/>
        <v>1.2483777309821292E-2</v>
      </c>
      <c r="R987">
        <f t="shared" si="142"/>
        <v>0</v>
      </c>
      <c r="S987">
        <f t="shared" si="143"/>
        <v>0</v>
      </c>
    </row>
    <row r="988" spans="1:19" x14ac:dyDescent="0.3">
      <c r="A988" t="s">
        <v>318</v>
      </c>
      <c r="B988">
        <v>2007</v>
      </c>
      <c r="C988">
        <v>1.3605442176870747E-3</v>
      </c>
      <c r="D988">
        <v>1.3756613756613757E-2</v>
      </c>
      <c r="E988">
        <v>0.67003023431594855</v>
      </c>
      <c r="F988">
        <v>0</v>
      </c>
      <c r="G988">
        <v>1.5510204081632653</v>
      </c>
      <c r="H988">
        <v>10.183389437668946</v>
      </c>
      <c r="I988">
        <v>1.8219978292046512E-3</v>
      </c>
      <c r="J988">
        <v>0</v>
      </c>
      <c r="K988">
        <f t="shared" si="135"/>
        <v>1.3605442176870747E-3</v>
      </c>
      <c r="L988">
        <f t="shared" si="136"/>
        <v>1.3756613756613757E-2</v>
      </c>
      <c r="M988">
        <f t="shared" si="137"/>
        <v>0.67003023431594855</v>
      </c>
      <c r="N988">
        <f t="shared" si="138"/>
        <v>0</v>
      </c>
      <c r="O988">
        <f t="shared" si="139"/>
        <v>1.5510204081632653</v>
      </c>
      <c r="P988">
        <f t="shared" si="140"/>
        <v>10.183389437668946</v>
      </c>
      <c r="Q988">
        <f t="shared" si="141"/>
        <v>1.8219978292046512E-3</v>
      </c>
      <c r="R988">
        <f t="shared" si="142"/>
        <v>0</v>
      </c>
      <c r="S988">
        <f t="shared" si="143"/>
        <v>0</v>
      </c>
    </row>
    <row r="989" spans="1:19" x14ac:dyDescent="0.3">
      <c r="A989" t="s">
        <v>318</v>
      </c>
      <c r="B989">
        <v>2008</v>
      </c>
      <c r="C989">
        <v>3.0230888410233154E-3</v>
      </c>
      <c r="D989">
        <v>8.2001284812757442E-3</v>
      </c>
      <c r="E989">
        <v>0.66878282885538298</v>
      </c>
      <c r="F989">
        <v>0</v>
      </c>
      <c r="G989">
        <v>0.37707931829346636</v>
      </c>
      <c r="H989">
        <v>10.183502809926877</v>
      </c>
      <c r="I989">
        <v>1.3233231181406667E-3</v>
      </c>
      <c r="J989">
        <v>0</v>
      </c>
      <c r="K989">
        <f t="shared" si="135"/>
        <v>3.0230888410233154E-3</v>
      </c>
      <c r="L989">
        <f t="shared" si="136"/>
        <v>8.2001284812757442E-3</v>
      </c>
      <c r="M989">
        <f t="shared" si="137"/>
        <v>0.66878282885538298</v>
      </c>
      <c r="N989">
        <f t="shared" si="138"/>
        <v>0</v>
      </c>
      <c r="O989">
        <f t="shared" si="139"/>
        <v>0.37707931829346636</v>
      </c>
      <c r="P989">
        <f t="shared" si="140"/>
        <v>10.183502809926877</v>
      </c>
      <c r="Q989">
        <f t="shared" si="141"/>
        <v>1.3233231181406667E-3</v>
      </c>
      <c r="R989">
        <f t="shared" si="142"/>
        <v>0</v>
      </c>
      <c r="S989">
        <f t="shared" si="143"/>
        <v>0</v>
      </c>
    </row>
    <row r="990" spans="1:19" x14ac:dyDescent="0.3">
      <c r="A990" t="s">
        <v>318</v>
      </c>
      <c r="B990">
        <v>2009</v>
      </c>
      <c r="C990">
        <v>1.8873622225577534E-4</v>
      </c>
      <c r="D990">
        <v>4.2276913785293671E-3</v>
      </c>
      <c r="E990">
        <v>0.96968896270572247</v>
      </c>
      <c r="F990">
        <v>0</v>
      </c>
      <c r="G990">
        <v>0.46789370375962558</v>
      </c>
      <c r="H990">
        <v>10.18459807960487</v>
      </c>
      <c r="I990">
        <v>2.440686108097413E-3</v>
      </c>
      <c r="J990">
        <v>0</v>
      </c>
      <c r="K990">
        <f t="shared" si="135"/>
        <v>1.8873622225577534E-4</v>
      </c>
      <c r="L990">
        <f t="shared" si="136"/>
        <v>4.2276913785293671E-3</v>
      </c>
      <c r="M990">
        <f t="shared" si="137"/>
        <v>0.96968896270572247</v>
      </c>
      <c r="N990">
        <f t="shared" si="138"/>
        <v>0</v>
      </c>
      <c r="O990">
        <f t="shared" si="139"/>
        <v>0.46789370375962558</v>
      </c>
      <c r="P990">
        <f t="shared" si="140"/>
        <v>10.18459807960487</v>
      </c>
      <c r="Q990">
        <f t="shared" si="141"/>
        <v>2.440686108097413E-3</v>
      </c>
      <c r="R990">
        <f t="shared" si="142"/>
        <v>0</v>
      </c>
      <c r="S990">
        <f t="shared" si="143"/>
        <v>0</v>
      </c>
    </row>
    <row r="991" spans="1:19" x14ac:dyDescent="0.3">
      <c r="A991" t="s">
        <v>318</v>
      </c>
      <c r="B991">
        <v>2010</v>
      </c>
      <c r="C991">
        <v>1.8884314688219963E-4</v>
      </c>
      <c r="D991">
        <v>1.1557200589190618E-2</v>
      </c>
      <c r="E991">
        <v>0.97099369263889412</v>
      </c>
      <c r="F991">
        <v>0</v>
      </c>
      <c r="G991">
        <v>0.48047739547531815</v>
      </c>
      <c r="H991">
        <v>10.184031710581442</v>
      </c>
      <c r="I991">
        <v>1.0698821474433703E-3</v>
      </c>
      <c r="J991">
        <v>0</v>
      </c>
      <c r="K991">
        <f t="shared" si="135"/>
        <v>1.8884314688219963E-4</v>
      </c>
      <c r="L991">
        <f t="shared" si="136"/>
        <v>1.1557200589190618E-2</v>
      </c>
      <c r="M991">
        <f t="shared" si="137"/>
        <v>0.97099369263889412</v>
      </c>
      <c r="N991">
        <f t="shared" si="138"/>
        <v>0</v>
      </c>
      <c r="O991">
        <f t="shared" si="139"/>
        <v>0.48047739547531815</v>
      </c>
      <c r="P991">
        <f t="shared" si="140"/>
        <v>10.184031710581442</v>
      </c>
      <c r="Q991">
        <f t="shared" si="141"/>
        <v>1.0698821474433703E-3</v>
      </c>
      <c r="R991">
        <f t="shared" si="142"/>
        <v>0</v>
      </c>
      <c r="S991">
        <f t="shared" si="143"/>
        <v>0</v>
      </c>
    </row>
    <row r="992" spans="1:19" x14ac:dyDescent="0.3">
      <c r="A992" t="s">
        <v>319</v>
      </c>
      <c r="B992">
        <v>2007</v>
      </c>
      <c r="C992">
        <v>6.3355871609543793E-3</v>
      </c>
      <c r="D992">
        <v>0.15127380119686018</v>
      </c>
      <c r="E992">
        <v>8.3429703893681512E-2</v>
      </c>
      <c r="F992">
        <v>0.60231600217610948</v>
      </c>
      <c r="G992">
        <v>5.0688920494287713</v>
      </c>
      <c r="H992">
        <v>14.067591359173081</v>
      </c>
      <c r="I992">
        <v>4.1803446960728366E-2</v>
      </c>
      <c r="J992">
        <v>0</v>
      </c>
      <c r="K992">
        <f t="shared" si="135"/>
        <v>6.3355871609543793E-3</v>
      </c>
      <c r="L992">
        <f t="shared" si="136"/>
        <v>0.15127380119686018</v>
      </c>
      <c r="M992">
        <f t="shared" si="137"/>
        <v>8.3429703893681512E-2</v>
      </c>
      <c r="N992">
        <f t="shared" si="138"/>
        <v>0.60231600217610948</v>
      </c>
      <c r="O992">
        <f t="shared" si="139"/>
        <v>5.0688920494287713</v>
      </c>
      <c r="P992">
        <f t="shared" si="140"/>
        <v>14.067591359173081</v>
      </c>
      <c r="Q992">
        <f t="shared" si="141"/>
        <v>4.1803446960728366E-2</v>
      </c>
      <c r="R992">
        <f t="shared" si="142"/>
        <v>0</v>
      </c>
      <c r="S992">
        <f t="shared" si="143"/>
        <v>0</v>
      </c>
    </row>
    <row r="993" spans="1:19" x14ac:dyDescent="0.3">
      <c r="A993" t="s">
        <v>319</v>
      </c>
      <c r="B993">
        <v>2008</v>
      </c>
      <c r="C993">
        <v>5.208738945730431E-2</v>
      </c>
      <c r="D993">
        <v>5.3917439537117869E-2</v>
      </c>
      <c r="E993">
        <v>7.2897360125363908E-2</v>
      </c>
      <c r="F993">
        <v>0.47851608873368573</v>
      </c>
      <c r="G993">
        <v>4.7938587756563154</v>
      </c>
      <c r="H993">
        <v>14.129455960003876</v>
      </c>
      <c r="I993">
        <v>2.606351363933548E-2</v>
      </c>
      <c r="J993">
        <v>0</v>
      </c>
      <c r="K993">
        <f t="shared" si="135"/>
        <v>5.208738945730431E-2</v>
      </c>
      <c r="L993">
        <f t="shared" si="136"/>
        <v>5.3917439537117869E-2</v>
      </c>
      <c r="M993">
        <f t="shared" si="137"/>
        <v>7.2897360125363908E-2</v>
      </c>
      <c r="N993">
        <f t="shared" si="138"/>
        <v>0.47851608873368573</v>
      </c>
      <c r="O993">
        <f t="shared" si="139"/>
        <v>4.7938587756563154</v>
      </c>
      <c r="P993">
        <f t="shared" si="140"/>
        <v>14.129455960003876</v>
      </c>
      <c r="Q993">
        <f t="shared" si="141"/>
        <v>2.606351363933548E-2</v>
      </c>
      <c r="R993">
        <f t="shared" si="142"/>
        <v>0</v>
      </c>
      <c r="S993">
        <f t="shared" si="143"/>
        <v>0</v>
      </c>
    </row>
    <row r="994" spans="1:19" x14ac:dyDescent="0.3">
      <c r="A994" t="s">
        <v>319</v>
      </c>
      <c r="B994">
        <v>2009</v>
      </c>
      <c r="C994">
        <v>1.2254959249944422E-2</v>
      </c>
      <c r="D994">
        <v>6.5702544129472046E-2</v>
      </c>
      <c r="E994">
        <v>-3.0564802304776532E-2</v>
      </c>
      <c r="F994">
        <v>0.79613745877777298</v>
      </c>
      <c r="G994">
        <v>1.2333627697583045</v>
      </c>
      <c r="H994">
        <v>15.583868160397751</v>
      </c>
      <c r="I994">
        <v>2.88538702916801E-2</v>
      </c>
      <c r="J994">
        <v>0</v>
      </c>
      <c r="K994">
        <f t="shared" si="135"/>
        <v>1.2254959249944422E-2</v>
      </c>
      <c r="L994">
        <f t="shared" si="136"/>
        <v>6.5702544129472046E-2</v>
      </c>
      <c r="M994">
        <f t="shared" si="137"/>
        <v>-3.0564802304776532E-2</v>
      </c>
      <c r="N994">
        <f t="shared" si="138"/>
        <v>0.79613745877777298</v>
      </c>
      <c r="O994">
        <f t="shared" si="139"/>
        <v>1.2333627697583045</v>
      </c>
      <c r="P994">
        <f t="shared" si="140"/>
        <v>15.583868160397751</v>
      </c>
      <c r="Q994">
        <f t="shared" si="141"/>
        <v>2.88538702916801E-2</v>
      </c>
      <c r="R994">
        <f t="shared" si="142"/>
        <v>0</v>
      </c>
      <c r="S994">
        <f t="shared" si="143"/>
        <v>0</v>
      </c>
    </row>
    <row r="995" spans="1:19" x14ac:dyDescent="0.3">
      <c r="A995" t="s">
        <v>319</v>
      </c>
      <c r="B995">
        <v>2010</v>
      </c>
      <c r="C995">
        <v>8.6105180579211862E-3</v>
      </c>
      <c r="D995">
        <v>3.5595757395468344E-2</v>
      </c>
      <c r="E995">
        <v>-7.4167234856960834E-2</v>
      </c>
      <c r="F995">
        <v>0.53030113646833976</v>
      </c>
      <c r="G995">
        <v>0.93720431947475524</v>
      </c>
      <c r="H995">
        <v>16.066436500179798</v>
      </c>
      <c r="I995">
        <v>3.6973045600922662E-3</v>
      </c>
      <c r="J995">
        <v>0</v>
      </c>
      <c r="K995">
        <f t="shared" si="135"/>
        <v>8.6105180579211862E-3</v>
      </c>
      <c r="L995">
        <f t="shared" si="136"/>
        <v>3.5595757395468344E-2</v>
      </c>
      <c r="M995">
        <f t="shared" si="137"/>
        <v>-7.4167234856960834E-2</v>
      </c>
      <c r="N995">
        <f t="shared" si="138"/>
        <v>0.53030113646833976</v>
      </c>
      <c r="O995">
        <f t="shared" si="139"/>
        <v>0.93720431947475524</v>
      </c>
      <c r="P995">
        <f t="shared" si="140"/>
        <v>16.066436500179798</v>
      </c>
      <c r="Q995">
        <f t="shared" si="141"/>
        <v>3.6973045600922662E-3</v>
      </c>
      <c r="R995">
        <f t="shared" si="142"/>
        <v>0</v>
      </c>
      <c r="S995">
        <f t="shared" si="143"/>
        <v>0</v>
      </c>
    </row>
    <row r="996" spans="1:19" x14ac:dyDescent="0.3">
      <c r="A996" t="s">
        <v>320</v>
      </c>
      <c r="B996">
        <v>2008</v>
      </c>
      <c r="C996">
        <v>2.9555181426297629E-2</v>
      </c>
      <c r="D996">
        <v>6.4980690372763286E-2</v>
      </c>
      <c r="E996">
        <v>-4.4445937871626803E-2</v>
      </c>
      <c r="F996">
        <v>2.3579412797306268E-3</v>
      </c>
      <c r="G996">
        <v>0.64351094946049303</v>
      </c>
      <c r="H996">
        <v>14.766829766295787</v>
      </c>
      <c r="I996">
        <v>1.3468860754346395E-2</v>
      </c>
      <c r="J996">
        <v>0</v>
      </c>
      <c r="K996">
        <f t="shared" si="135"/>
        <v>2.9555181426297629E-2</v>
      </c>
      <c r="L996">
        <f t="shared" si="136"/>
        <v>6.4980690372763286E-2</v>
      </c>
      <c r="M996">
        <f t="shared" si="137"/>
        <v>-4.4445937871626803E-2</v>
      </c>
      <c r="N996">
        <f t="shared" si="138"/>
        <v>2.3579412797306268E-3</v>
      </c>
      <c r="O996">
        <f t="shared" si="139"/>
        <v>0.64351094946049303</v>
      </c>
      <c r="P996">
        <f t="shared" si="140"/>
        <v>14.766829766295787</v>
      </c>
      <c r="Q996">
        <f t="shared" si="141"/>
        <v>1.3468860754346395E-2</v>
      </c>
      <c r="R996">
        <f t="shared" si="142"/>
        <v>0</v>
      </c>
      <c r="S996">
        <f t="shared" si="143"/>
        <v>0</v>
      </c>
    </row>
    <row r="997" spans="1:19" x14ac:dyDescent="0.3">
      <c r="A997" t="s">
        <v>320</v>
      </c>
      <c r="B997">
        <v>2009</v>
      </c>
      <c r="C997">
        <v>2.6181018292315086E-2</v>
      </c>
      <c r="D997">
        <v>2.5222995893447776E-2</v>
      </c>
      <c r="E997">
        <v>2.3060454089832778E-2</v>
      </c>
      <c r="F997">
        <v>4.0913708869058157E-3</v>
      </c>
      <c r="G997">
        <v>0.35594327852204072</v>
      </c>
      <c r="H997">
        <v>14.733029734990618</v>
      </c>
      <c r="I997">
        <v>7.702435969784184E-4</v>
      </c>
      <c r="J997">
        <v>0</v>
      </c>
      <c r="K997">
        <f t="shared" si="135"/>
        <v>2.6181018292315086E-2</v>
      </c>
      <c r="L997">
        <f t="shared" si="136"/>
        <v>2.5222995893447776E-2</v>
      </c>
      <c r="M997">
        <f t="shared" si="137"/>
        <v>2.3060454089832778E-2</v>
      </c>
      <c r="N997">
        <f t="shared" si="138"/>
        <v>4.0913708869058157E-3</v>
      </c>
      <c r="O997">
        <f t="shared" si="139"/>
        <v>0.35594327852204072</v>
      </c>
      <c r="P997">
        <f t="shared" si="140"/>
        <v>14.733029734990618</v>
      </c>
      <c r="Q997">
        <f t="shared" si="141"/>
        <v>7.702435969784184E-4</v>
      </c>
      <c r="R997">
        <f t="shared" si="142"/>
        <v>0</v>
      </c>
      <c r="S997">
        <f t="shared" si="143"/>
        <v>0</v>
      </c>
    </row>
    <row r="998" spans="1:19" x14ac:dyDescent="0.3">
      <c r="A998" t="s">
        <v>320</v>
      </c>
      <c r="B998">
        <v>2010</v>
      </c>
      <c r="C998">
        <v>2.974565431465542E-2</v>
      </c>
      <c r="D998">
        <v>2.6938602624302175E-2</v>
      </c>
      <c r="E998">
        <v>4.1608419081091405E-2</v>
      </c>
      <c r="F998">
        <v>2.9530279504653891E-3</v>
      </c>
      <c r="G998">
        <v>0.35507837050609492</v>
      </c>
      <c r="H998">
        <v>14.734699884850038</v>
      </c>
      <c r="I998">
        <v>3.0776336854800943E-3</v>
      </c>
      <c r="J998">
        <v>0</v>
      </c>
      <c r="K998">
        <f t="shared" si="135"/>
        <v>2.974565431465542E-2</v>
      </c>
      <c r="L998">
        <f t="shared" si="136"/>
        <v>2.6938602624302175E-2</v>
      </c>
      <c r="M998">
        <f t="shared" si="137"/>
        <v>4.1608419081091405E-2</v>
      </c>
      <c r="N998">
        <f t="shared" si="138"/>
        <v>2.9530279504653891E-3</v>
      </c>
      <c r="O998">
        <f t="shared" si="139"/>
        <v>0.35507837050609492</v>
      </c>
      <c r="P998">
        <f t="shared" si="140"/>
        <v>14.734699884850038</v>
      </c>
      <c r="Q998">
        <f t="shared" si="141"/>
        <v>3.0776336854800943E-3</v>
      </c>
      <c r="R998">
        <f t="shared" si="142"/>
        <v>0</v>
      </c>
      <c r="S998">
        <f t="shared" si="143"/>
        <v>0</v>
      </c>
    </row>
    <row r="999" spans="1:19" x14ac:dyDescent="0.3">
      <c r="A999" t="s">
        <v>321</v>
      </c>
      <c r="B999">
        <v>2007</v>
      </c>
      <c r="C999">
        <v>4.0353898336820043E-2</v>
      </c>
      <c r="D999">
        <v>8.8899546067216145E-2</v>
      </c>
      <c r="E999">
        <v>5.0086837749636029E-2</v>
      </c>
      <c r="F999">
        <v>3.2393121153963873E-2</v>
      </c>
      <c r="G999">
        <v>1.5047633986386817</v>
      </c>
      <c r="H999">
        <v>16.405573302517574</v>
      </c>
      <c r="I999">
        <v>1.2761819377662523E-2</v>
      </c>
      <c r="J999">
        <v>6.0994967371330701E-3</v>
      </c>
      <c r="K999">
        <f t="shared" si="135"/>
        <v>4.0353898336820043E-2</v>
      </c>
      <c r="L999">
        <f t="shared" si="136"/>
        <v>8.8899546067216145E-2</v>
      </c>
      <c r="M999">
        <f t="shared" si="137"/>
        <v>5.0086837749636029E-2</v>
      </c>
      <c r="N999">
        <f t="shared" si="138"/>
        <v>3.2393121153963873E-2</v>
      </c>
      <c r="O999">
        <f t="shared" si="139"/>
        <v>1.5047633986386817</v>
      </c>
      <c r="P999">
        <f t="shared" si="140"/>
        <v>16.405573302517574</v>
      </c>
      <c r="Q999">
        <f t="shared" si="141"/>
        <v>1.2761819377662523E-2</v>
      </c>
      <c r="R999">
        <f t="shared" si="142"/>
        <v>6.0994967371330701E-3</v>
      </c>
      <c r="S999">
        <f t="shared" si="143"/>
        <v>0</v>
      </c>
    </row>
    <row r="1000" spans="1:19" x14ac:dyDescent="0.3">
      <c r="A1000" t="s">
        <v>321</v>
      </c>
      <c r="B1000">
        <v>2008</v>
      </c>
      <c r="C1000">
        <v>2.0968951438113195E-2</v>
      </c>
      <c r="D1000">
        <v>5.0068303152670864E-2</v>
      </c>
      <c r="E1000">
        <v>4.2705224000399111E-2</v>
      </c>
      <c r="F1000">
        <v>5.2581678525191015E-2</v>
      </c>
      <c r="G1000">
        <v>1.1886539413484121</v>
      </c>
      <c r="H1000">
        <v>16.466735066339314</v>
      </c>
      <c r="I1000">
        <v>7.7757302448244045E-3</v>
      </c>
      <c r="J1000">
        <v>3.4425720400855782E-3</v>
      </c>
      <c r="K1000">
        <f t="shared" si="135"/>
        <v>2.0968951438113195E-2</v>
      </c>
      <c r="L1000">
        <f t="shared" si="136"/>
        <v>5.0068303152670864E-2</v>
      </c>
      <c r="M1000">
        <f t="shared" si="137"/>
        <v>4.2705224000399111E-2</v>
      </c>
      <c r="N1000">
        <f t="shared" si="138"/>
        <v>5.2581678525191015E-2</v>
      </c>
      <c r="O1000">
        <f t="shared" si="139"/>
        <v>1.1886539413484121</v>
      </c>
      <c r="P1000">
        <f t="shared" si="140"/>
        <v>16.466735066339314</v>
      </c>
      <c r="Q1000">
        <f t="shared" si="141"/>
        <v>7.7757302448244045E-3</v>
      </c>
      <c r="R1000">
        <f t="shared" si="142"/>
        <v>3.4425720400855782E-3</v>
      </c>
      <c r="S1000">
        <f t="shared" si="143"/>
        <v>0</v>
      </c>
    </row>
    <row r="1001" spans="1:19" x14ac:dyDescent="0.3">
      <c r="A1001" t="s">
        <v>321</v>
      </c>
      <c r="B1001">
        <v>2009</v>
      </c>
      <c r="C1001">
        <v>8.6411775065529939E-3</v>
      </c>
      <c r="D1001">
        <v>2.8717050540646123E-2</v>
      </c>
      <c r="E1001">
        <v>-7.9605428751205562E-2</v>
      </c>
      <c r="F1001">
        <v>6.7301473253044919E-2</v>
      </c>
      <c r="G1001">
        <v>0.62291036864729477</v>
      </c>
      <c r="H1001">
        <v>16.471221092861434</v>
      </c>
      <c r="I1001">
        <v>5.5145281387523832E-3</v>
      </c>
      <c r="J1001">
        <v>0</v>
      </c>
      <c r="K1001">
        <f t="shared" si="135"/>
        <v>8.6411775065529939E-3</v>
      </c>
      <c r="L1001">
        <f t="shared" si="136"/>
        <v>2.8717050540646123E-2</v>
      </c>
      <c r="M1001">
        <f t="shared" si="137"/>
        <v>-7.9605428751205562E-2</v>
      </c>
      <c r="N1001">
        <f t="shared" si="138"/>
        <v>6.7301473253044919E-2</v>
      </c>
      <c r="O1001">
        <f t="shared" si="139"/>
        <v>0.62291036864729477</v>
      </c>
      <c r="P1001">
        <f t="shared" si="140"/>
        <v>16.471221092861434</v>
      </c>
      <c r="Q1001">
        <f t="shared" si="141"/>
        <v>5.5145281387523832E-3</v>
      </c>
      <c r="R1001">
        <f t="shared" si="142"/>
        <v>0</v>
      </c>
      <c r="S1001">
        <f t="shared" si="143"/>
        <v>0</v>
      </c>
    </row>
    <row r="1002" spans="1:19" x14ac:dyDescent="0.3">
      <c r="A1002" t="s">
        <v>321</v>
      </c>
      <c r="B1002">
        <v>2010</v>
      </c>
      <c r="C1002">
        <v>3.88233322756713E-3</v>
      </c>
      <c r="D1002">
        <v>3.1834876047436046E-2</v>
      </c>
      <c r="E1002">
        <v>-4.116598827755108E-2</v>
      </c>
      <c r="F1002">
        <v>3.7861140850706049E-2</v>
      </c>
      <c r="G1002">
        <v>0.32348136755506524</v>
      </c>
      <c r="H1002">
        <v>17.063524164418425</v>
      </c>
      <c r="I1002">
        <v>1.0492476301792383E-3</v>
      </c>
      <c r="J1002">
        <v>0</v>
      </c>
      <c r="K1002">
        <f t="shared" si="135"/>
        <v>3.88233322756713E-3</v>
      </c>
      <c r="L1002">
        <f t="shared" si="136"/>
        <v>3.1834876047436046E-2</v>
      </c>
      <c r="M1002">
        <f t="shared" si="137"/>
        <v>-4.116598827755108E-2</v>
      </c>
      <c r="N1002">
        <f t="shared" si="138"/>
        <v>3.7861140850706049E-2</v>
      </c>
      <c r="O1002">
        <f t="shared" si="139"/>
        <v>0.32348136755506524</v>
      </c>
      <c r="P1002">
        <f t="shared" si="140"/>
        <v>17.063524164418425</v>
      </c>
      <c r="Q1002">
        <f t="shared" si="141"/>
        <v>1.0492476301792383E-3</v>
      </c>
      <c r="R1002">
        <f t="shared" si="142"/>
        <v>0</v>
      </c>
      <c r="S1002">
        <f t="shared" si="143"/>
        <v>0</v>
      </c>
    </row>
    <row r="1003" spans="1:19" x14ac:dyDescent="0.3">
      <c r="A1003" t="s">
        <v>322</v>
      </c>
      <c r="B1003">
        <v>2007</v>
      </c>
      <c r="C1003">
        <v>5.7604225732043664E-2</v>
      </c>
      <c r="D1003">
        <v>9.8480677937487493E-2</v>
      </c>
      <c r="E1003">
        <v>-0.13870981948703268</v>
      </c>
      <c r="F1003">
        <v>8.7499334797695921E-2</v>
      </c>
      <c r="G1003">
        <v>1.1277211361838857</v>
      </c>
      <c r="H1003">
        <v>14.594738182329985</v>
      </c>
      <c r="I1003">
        <v>1.3326080803284129E-2</v>
      </c>
      <c r="J1003">
        <v>2.3173813233213506E-2</v>
      </c>
      <c r="K1003">
        <f t="shared" si="135"/>
        <v>5.7604225732043664E-2</v>
      </c>
      <c r="L1003">
        <f t="shared" si="136"/>
        <v>9.8480677937487493E-2</v>
      </c>
      <c r="M1003">
        <f t="shared" si="137"/>
        <v>-0.13870981948703268</v>
      </c>
      <c r="N1003">
        <f t="shared" si="138"/>
        <v>8.7499334797695921E-2</v>
      </c>
      <c r="O1003">
        <f t="shared" si="139"/>
        <v>1.1277211361838857</v>
      </c>
      <c r="P1003">
        <f t="shared" si="140"/>
        <v>14.594738182329985</v>
      </c>
      <c r="Q1003">
        <f t="shared" si="141"/>
        <v>1.3326080803284129E-2</v>
      </c>
      <c r="R1003">
        <f t="shared" si="142"/>
        <v>2.3173813233213506E-2</v>
      </c>
      <c r="S1003">
        <f t="shared" si="143"/>
        <v>0</v>
      </c>
    </row>
    <row r="1004" spans="1:19" x14ac:dyDescent="0.3">
      <c r="A1004" t="s">
        <v>322</v>
      </c>
      <c r="B1004">
        <v>2008</v>
      </c>
      <c r="C1004">
        <v>7.2554837182783438E-2</v>
      </c>
      <c r="D1004">
        <v>0.14883698914551891</v>
      </c>
      <c r="E1004">
        <v>-4.9276977527243776E-2</v>
      </c>
      <c r="F1004">
        <v>3.1541035102251577E-2</v>
      </c>
      <c r="G1004">
        <v>0.86286573361876995</v>
      </c>
      <c r="H1004">
        <v>14.658768124488265</v>
      </c>
      <c r="I1004">
        <v>7.3966176947473039E-2</v>
      </c>
      <c r="J1004">
        <v>2.1736501823423734E-2</v>
      </c>
      <c r="K1004">
        <f t="shared" si="135"/>
        <v>7.2554837182783438E-2</v>
      </c>
      <c r="L1004">
        <f t="shared" si="136"/>
        <v>0.14883698914551891</v>
      </c>
      <c r="M1004">
        <f t="shared" si="137"/>
        <v>-4.9276977527243776E-2</v>
      </c>
      <c r="N1004">
        <f t="shared" si="138"/>
        <v>3.1541035102251577E-2</v>
      </c>
      <c r="O1004">
        <f t="shared" si="139"/>
        <v>0.86286573361876995</v>
      </c>
      <c r="P1004">
        <f t="shared" si="140"/>
        <v>14.658768124488265</v>
      </c>
      <c r="Q1004">
        <f t="shared" si="141"/>
        <v>7.3966176947473039E-2</v>
      </c>
      <c r="R1004">
        <f t="shared" si="142"/>
        <v>2.1736501823423734E-2</v>
      </c>
      <c r="S1004">
        <f t="shared" si="143"/>
        <v>0</v>
      </c>
    </row>
    <row r="1005" spans="1:19" x14ac:dyDescent="0.3">
      <c r="A1005" t="s">
        <v>322</v>
      </c>
      <c r="B1005">
        <v>2009</v>
      </c>
      <c r="C1005">
        <v>4.7006545210697741E-2</v>
      </c>
      <c r="D1005">
        <v>0.33151365393501558</v>
      </c>
      <c r="E1005">
        <v>-8.8215591858355216E-2</v>
      </c>
      <c r="F1005">
        <v>0.24684749349141769</v>
      </c>
      <c r="G1005">
        <v>0.75483710230026269</v>
      </c>
      <c r="H1005">
        <v>14.859077962420217</v>
      </c>
      <c r="I1005">
        <v>6.9049007317022515E-2</v>
      </c>
      <c r="J1005">
        <v>4.4477073448365247E-2</v>
      </c>
      <c r="K1005">
        <f t="shared" si="135"/>
        <v>4.7006545210697741E-2</v>
      </c>
      <c r="L1005">
        <f t="shared" si="136"/>
        <v>0.33151365393501558</v>
      </c>
      <c r="M1005">
        <f t="shared" si="137"/>
        <v>-8.8215591858355216E-2</v>
      </c>
      <c r="N1005">
        <f t="shared" si="138"/>
        <v>0.24684749349141769</v>
      </c>
      <c r="O1005">
        <f t="shared" si="139"/>
        <v>0.75483710230026269</v>
      </c>
      <c r="P1005">
        <f t="shared" si="140"/>
        <v>14.859077962420217</v>
      </c>
      <c r="Q1005">
        <f t="shared" si="141"/>
        <v>6.9049007317022515E-2</v>
      </c>
      <c r="R1005">
        <f t="shared" si="142"/>
        <v>4.4477073448365247E-2</v>
      </c>
      <c r="S1005">
        <f t="shared" si="143"/>
        <v>0</v>
      </c>
    </row>
    <row r="1006" spans="1:19" x14ac:dyDescent="0.3">
      <c r="A1006" t="s">
        <v>322</v>
      </c>
      <c r="B1006">
        <v>2010</v>
      </c>
      <c r="C1006">
        <v>5.6338231703979925E-2</v>
      </c>
      <c r="D1006">
        <v>0.15561432971730804</v>
      </c>
      <c r="E1006">
        <v>-5.6709037767489222E-2</v>
      </c>
      <c r="F1006">
        <v>0.27354480142812604</v>
      </c>
      <c r="G1006">
        <v>0.97763023256242976</v>
      </c>
      <c r="H1006">
        <v>14.994895749187199</v>
      </c>
      <c r="I1006">
        <v>1.1185630809110586E-3</v>
      </c>
      <c r="J1006">
        <v>1.8637770440914851E-2</v>
      </c>
      <c r="K1006">
        <f t="shared" si="135"/>
        <v>5.6338231703979925E-2</v>
      </c>
      <c r="L1006">
        <f t="shared" si="136"/>
        <v>0.15561432971730804</v>
      </c>
      <c r="M1006">
        <f t="shared" si="137"/>
        <v>-5.6709037767489222E-2</v>
      </c>
      <c r="N1006">
        <f t="shared" si="138"/>
        <v>0.27354480142812604</v>
      </c>
      <c r="O1006">
        <f t="shared" si="139"/>
        <v>0.97763023256242976</v>
      </c>
      <c r="P1006">
        <f t="shared" si="140"/>
        <v>14.994895749187199</v>
      </c>
      <c r="Q1006">
        <f t="shared" si="141"/>
        <v>1.1185630809110586E-3</v>
      </c>
      <c r="R1006">
        <f t="shared" si="142"/>
        <v>1.8637770440914851E-2</v>
      </c>
      <c r="S1006">
        <f t="shared" si="143"/>
        <v>0</v>
      </c>
    </row>
    <row r="1007" spans="1:19" x14ac:dyDescent="0.3">
      <c r="B1007" t="s">
        <v>323</v>
      </c>
      <c r="C1007" s="2">
        <f>AVERAGE(C2:C1006)</f>
        <v>4.4410839071202281E-2</v>
      </c>
      <c r="D1007" s="2">
        <f t="shared" ref="D1007:J1007" si="144">AVERAGE(D2:D1006)</f>
        <v>0.42726742806741985</v>
      </c>
      <c r="E1007" s="2">
        <f t="shared" si="144"/>
        <v>-18.084493749369443</v>
      </c>
      <c r="F1007" s="2">
        <f t="shared" si="144"/>
        <v>7.7507758217653242</v>
      </c>
      <c r="G1007" s="2">
        <f t="shared" si="144"/>
        <v>21.859357485114582</v>
      </c>
      <c r="H1007" s="2">
        <f t="shared" si="144"/>
        <v>14.638202999343889</v>
      </c>
      <c r="I1007" s="2">
        <f t="shared" si="144"/>
        <v>3.3607798569477931E-2</v>
      </c>
      <c r="J1007" s="2">
        <f t="shared" si="144"/>
        <v>1.6125129629126118E-2</v>
      </c>
      <c r="K1007">
        <f t="shared" si="135"/>
        <v>4.4410839071202281E-2</v>
      </c>
      <c r="L1007">
        <f t="shared" si="136"/>
        <v>0.42726742806741985</v>
      </c>
      <c r="M1007">
        <f t="shared" si="137"/>
        <v>-18.084493749369443</v>
      </c>
      <c r="N1007">
        <f t="shared" si="138"/>
        <v>7.7507758217653242</v>
      </c>
      <c r="O1007">
        <f t="shared" si="139"/>
        <v>21.859357485114582</v>
      </c>
      <c r="P1007">
        <f t="shared" si="140"/>
        <v>14.638202999343889</v>
      </c>
      <c r="Q1007">
        <f t="shared" si="141"/>
        <v>3.3607798569477931E-2</v>
      </c>
      <c r="R1007">
        <f t="shared" si="142"/>
        <v>1.6125129629126118E-2</v>
      </c>
      <c r="S1007">
        <f t="shared" si="143"/>
        <v>0</v>
      </c>
    </row>
    <row r="1008" spans="1:19" x14ac:dyDescent="0.3">
      <c r="B1008" t="s">
        <v>324</v>
      </c>
      <c r="C1008" s="2">
        <f>_xlfn.STDEV.P(C2:C1007)</f>
        <v>9.9332702786211535E-2</v>
      </c>
      <c r="D1008" s="2">
        <f t="shared" ref="D1008:J1008" si="145">_xlfn.STDEV.P(D2:D1007)</f>
        <v>8.7689206279724772</v>
      </c>
      <c r="E1008" s="2">
        <f t="shared" si="145"/>
        <v>301.45568887985405</v>
      </c>
      <c r="F1008" s="2">
        <f t="shared" si="145"/>
        <v>162.65279106624902</v>
      </c>
      <c r="G1008" s="2">
        <f t="shared" si="145"/>
        <v>328.83256950800836</v>
      </c>
      <c r="H1008" s="2">
        <f t="shared" si="145"/>
        <v>1.8063152030486536</v>
      </c>
      <c r="I1008" s="2">
        <f t="shared" si="145"/>
        <v>0.25089331032210532</v>
      </c>
      <c r="J1008" s="2">
        <f t="shared" si="145"/>
        <v>3.778066812733296E-2</v>
      </c>
      <c r="K1008">
        <f t="shared" si="135"/>
        <v>9.9332702786211535E-2</v>
      </c>
      <c r="L1008">
        <f t="shared" si="136"/>
        <v>8.7689206279724772</v>
      </c>
      <c r="M1008">
        <f t="shared" si="137"/>
        <v>301.45568887985405</v>
      </c>
      <c r="N1008">
        <f t="shared" si="138"/>
        <v>162.65279106624902</v>
      </c>
      <c r="O1008">
        <f t="shared" si="139"/>
        <v>328.83256950800836</v>
      </c>
      <c r="P1008" t="str">
        <f t="shared" si="140"/>
        <v>out</v>
      </c>
      <c r="Q1008">
        <f t="shared" si="141"/>
        <v>0.25089331032210532</v>
      </c>
      <c r="R1008">
        <f t="shared" si="142"/>
        <v>3.778066812733296E-2</v>
      </c>
      <c r="S1008">
        <f t="shared" si="143"/>
        <v>1</v>
      </c>
    </row>
  </sheetData>
  <autoFilter ref="A1:R1008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Outliers</vt:lpstr>
      <vt:lpstr>Sheet2</vt:lpstr>
      <vt:lpstr>My practice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Naeem Ullah</dc:creator>
  <cp:lastModifiedBy>PMLS</cp:lastModifiedBy>
  <dcterms:created xsi:type="dcterms:W3CDTF">2015-06-09T06:30:08Z</dcterms:created>
  <dcterms:modified xsi:type="dcterms:W3CDTF">2026-01-03T17:42:41Z</dcterms:modified>
</cp:coreProperties>
</file>