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LS\Downloads\Financial modeling\Finals\Hetroscedacity\"/>
    </mc:Choice>
  </mc:AlternateContent>
  <bookViews>
    <workbookView xWindow="0" yWindow="0" windowWidth="9432" windowHeight="7056" activeTab="6"/>
  </bookViews>
  <sheets>
    <sheet name="Sheet1" sheetId="1" r:id="rId1"/>
    <sheet name="Breuch Pegan Test" sheetId="2" r:id="rId2"/>
    <sheet name="Glesjer Test" sheetId="3" r:id="rId3"/>
    <sheet name="Harvey Goldfrey test" sheetId="5" r:id="rId4"/>
    <sheet name="Park test" sheetId="7" r:id="rId5"/>
    <sheet name="White test" sheetId="8" r:id="rId6"/>
    <sheet name="Sheet4" sheetId="11" r:id="rId7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5" l="1"/>
  <c r="F2" i="5"/>
  <c r="H3" i="3"/>
  <c r="S7" i="2"/>
  <c r="S6" i="2"/>
  <c r="F10" i="3" l="1"/>
  <c r="F2" i="2"/>
  <c r="L7" i="8" l="1"/>
  <c r="L6" i="8"/>
  <c r="H3" i="8"/>
  <c r="I3" i="8"/>
  <c r="J3" i="8"/>
  <c r="H4" i="8"/>
  <c r="I4" i="8"/>
  <c r="J4" i="8"/>
  <c r="H5" i="8"/>
  <c r="I5" i="8"/>
  <c r="J5" i="8"/>
  <c r="H6" i="8"/>
  <c r="I6" i="8"/>
  <c r="J6" i="8"/>
  <c r="H7" i="8"/>
  <c r="I7" i="8"/>
  <c r="J7" i="8"/>
  <c r="H8" i="8"/>
  <c r="I8" i="8"/>
  <c r="J8" i="8"/>
  <c r="H9" i="8"/>
  <c r="I9" i="8"/>
  <c r="J9" i="8"/>
  <c r="H10" i="8"/>
  <c r="I10" i="8"/>
  <c r="J10" i="8"/>
  <c r="H11" i="8"/>
  <c r="I11" i="8"/>
  <c r="J11" i="8"/>
  <c r="H12" i="8"/>
  <c r="I12" i="8"/>
  <c r="J12" i="8"/>
  <c r="H13" i="8"/>
  <c r="I13" i="8"/>
  <c r="J13" i="8"/>
  <c r="H14" i="8"/>
  <c r="I14" i="8"/>
  <c r="J14" i="8"/>
  <c r="H15" i="8"/>
  <c r="I15" i="8"/>
  <c r="J15" i="8"/>
  <c r="H16" i="8"/>
  <c r="I16" i="8"/>
  <c r="J16" i="8"/>
  <c r="H17" i="8"/>
  <c r="I17" i="8"/>
  <c r="J17" i="8"/>
  <c r="H18" i="8"/>
  <c r="I18" i="8"/>
  <c r="J18" i="8"/>
  <c r="H19" i="8"/>
  <c r="I19" i="8"/>
  <c r="J19" i="8"/>
  <c r="H20" i="8"/>
  <c r="I20" i="8"/>
  <c r="J20" i="8"/>
  <c r="H21" i="8"/>
  <c r="I21" i="8"/>
  <c r="J21" i="8"/>
  <c r="H22" i="8"/>
  <c r="I22" i="8"/>
  <c r="J22" i="8"/>
  <c r="H23" i="8"/>
  <c r="I23" i="8"/>
  <c r="J23" i="8"/>
  <c r="H24" i="8"/>
  <c r="I24" i="8"/>
  <c r="J24" i="8"/>
  <c r="H25" i="8"/>
  <c r="I25" i="8"/>
  <c r="J25" i="8"/>
  <c r="H26" i="8"/>
  <c r="I26" i="8"/>
  <c r="J26" i="8"/>
  <c r="H27" i="8"/>
  <c r="I27" i="8"/>
  <c r="J27" i="8"/>
  <c r="H28" i="8"/>
  <c r="I28" i="8"/>
  <c r="J28" i="8"/>
  <c r="H29" i="8"/>
  <c r="I29" i="8"/>
  <c r="J29" i="8"/>
  <c r="H30" i="8"/>
  <c r="I30" i="8"/>
  <c r="J30" i="8"/>
  <c r="H31" i="8"/>
  <c r="I31" i="8"/>
  <c r="J31" i="8"/>
  <c r="H32" i="8"/>
  <c r="I32" i="8"/>
  <c r="J32" i="8"/>
  <c r="H33" i="8"/>
  <c r="I33" i="8"/>
  <c r="J33" i="8"/>
  <c r="H34" i="8"/>
  <c r="I34" i="8"/>
  <c r="J34" i="8"/>
  <c r="H35" i="8"/>
  <c r="I35" i="8"/>
  <c r="J35" i="8"/>
  <c r="H36" i="8"/>
  <c r="I36" i="8"/>
  <c r="J36" i="8"/>
  <c r="H37" i="8"/>
  <c r="I37" i="8"/>
  <c r="J37" i="8"/>
  <c r="H38" i="8"/>
  <c r="I38" i="8"/>
  <c r="J38" i="8"/>
  <c r="H39" i="8"/>
  <c r="I39" i="8"/>
  <c r="J39" i="8"/>
  <c r="H40" i="8"/>
  <c r="I40" i="8"/>
  <c r="J40" i="8"/>
  <c r="H41" i="8"/>
  <c r="I41" i="8"/>
  <c r="J41" i="8"/>
  <c r="H42" i="8"/>
  <c r="I42" i="8"/>
  <c r="J42" i="8"/>
  <c r="H43" i="8"/>
  <c r="I43" i="8"/>
  <c r="J43" i="8"/>
  <c r="H44" i="8"/>
  <c r="I44" i="8"/>
  <c r="J44" i="8"/>
  <c r="H45" i="8"/>
  <c r="I45" i="8"/>
  <c r="J45" i="8"/>
  <c r="H46" i="8"/>
  <c r="I46" i="8"/>
  <c r="J46" i="8"/>
  <c r="H47" i="8"/>
  <c r="I47" i="8"/>
  <c r="J47" i="8"/>
  <c r="H48" i="8"/>
  <c r="I48" i="8"/>
  <c r="J48" i="8"/>
  <c r="H49" i="8"/>
  <c r="I49" i="8"/>
  <c r="J49" i="8"/>
  <c r="H50" i="8"/>
  <c r="I50" i="8"/>
  <c r="J50" i="8"/>
  <c r="H51" i="8"/>
  <c r="I51" i="8"/>
  <c r="J51" i="8"/>
  <c r="H52" i="8"/>
  <c r="I52" i="8"/>
  <c r="J52" i="8"/>
  <c r="H53" i="8"/>
  <c r="I53" i="8"/>
  <c r="J53" i="8"/>
  <c r="H54" i="8"/>
  <c r="I54" i="8"/>
  <c r="J54" i="8"/>
  <c r="H55" i="8"/>
  <c r="I55" i="8"/>
  <c r="J55" i="8"/>
  <c r="H56" i="8"/>
  <c r="I56" i="8"/>
  <c r="J56" i="8"/>
  <c r="H57" i="8"/>
  <c r="I57" i="8"/>
  <c r="J57" i="8"/>
  <c r="H58" i="8"/>
  <c r="I58" i="8"/>
  <c r="J58" i="8"/>
  <c r="H59" i="8"/>
  <c r="I59" i="8"/>
  <c r="J59" i="8"/>
  <c r="H60" i="8"/>
  <c r="I60" i="8"/>
  <c r="J60" i="8"/>
  <c r="H61" i="8"/>
  <c r="I61" i="8"/>
  <c r="J61" i="8"/>
  <c r="H62" i="8"/>
  <c r="I62" i="8"/>
  <c r="J62" i="8"/>
  <c r="H63" i="8"/>
  <c r="I63" i="8"/>
  <c r="J63" i="8"/>
  <c r="H64" i="8"/>
  <c r="I64" i="8"/>
  <c r="J64" i="8"/>
  <c r="H65" i="8"/>
  <c r="I65" i="8"/>
  <c r="J65" i="8"/>
  <c r="H66" i="8"/>
  <c r="I66" i="8"/>
  <c r="J66" i="8"/>
  <c r="H67" i="8"/>
  <c r="I67" i="8"/>
  <c r="J67" i="8"/>
  <c r="H68" i="8"/>
  <c r="I68" i="8"/>
  <c r="J68" i="8"/>
  <c r="H69" i="8"/>
  <c r="I69" i="8"/>
  <c r="J69" i="8"/>
  <c r="H70" i="8"/>
  <c r="I70" i="8"/>
  <c r="J70" i="8"/>
  <c r="H71" i="8"/>
  <c r="I71" i="8"/>
  <c r="J71" i="8"/>
  <c r="H72" i="8"/>
  <c r="I72" i="8"/>
  <c r="J72" i="8"/>
  <c r="H73" i="8"/>
  <c r="I73" i="8"/>
  <c r="J73" i="8"/>
  <c r="H74" i="8"/>
  <c r="I74" i="8"/>
  <c r="J74" i="8"/>
  <c r="H75" i="8"/>
  <c r="I75" i="8"/>
  <c r="J75" i="8"/>
  <c r="H76" i="8"/>
  <c r="I76" i="8"/>
  <c r="J76" i="8"/>
  <c r="H77" i="8"/>
  <c r="I77" i="8"/>
  <c r="J77" i="8"/>
  <c r="H78" i="8"/>
  <c r="I78" i="8"/>
  <c r="J78" i="8"/>
  <c r="H79" i="8"/>
  <c r="I79" i="8"/>
  <c r="J79" i="8"/>
  <c r="H80" i="8"/>
  <c r="I80" i="8"/>
  <c r="J80" i="8"/>
  <c r="H81" i="8"/>
  <c r="I81" i="8"/>
  <c r="J81" i="8"/>
  <c r="H82" i="8"/>
  <c r="I82" i="8"/>
  <c r="J82" i="8"/>
  <c r="H83" i="8"/>
  <c r="I83" i="8"/>
  <c r="J83" i="8"/>
  <c r="H84" i="8"/>
  <c r="I84" i="8"/>
  <c r="J84" i="8"/>
  <c r="H85" i="8"/>
  <c r="I85" i="8"/>
  <c r="J85" i="8"/>
  <c r="H86" i="8"/>
  <c r="I86" i="8"/>
  <c r="J86" i="8"/>
  <c r="H87" i="8"/>
  <c r="I87" i="8"/>
  <c r="J87" i="8"/>
  <c r="H88" i="8"/>
  <c r="I88" i="8"/>
  <c r="J88" i="8"/>
  <c r="H89" i="8"/>
  <c r="I89" i="8"/>
  <c r="J89" i="8"/>
  <c r="H90" i="8"/>
  <c r="I90" i="8"/>
  <c r="J90" i="8"/>
  <c r="H91" i="8"/>
  <c r="I91" i="8"/>
  <c r="J91" i="8"/>
  <c r="H92" i="8"/>
  <c r="I92" i="8"/>
  <c r="J92" i="8"/>
  <c r="H93" i="8"/>
  <c r="I93" i="8"/>
  <c r="J93" i="8"/>
  <c r="H94" i="8"/>
  <c r="I94" i="8"/>
  <c r="J94" i="8"/>
  <c r="H95" i="8"/>
  <c r="I95" i="8"/>
  <c r="J95" i="8"/>
  <c r="H96" i="8"/>
  <c r="I96" i="8"/>
  <c r="J96" i="8"/>
  <c r="H97" i="8"/>
  <c r="I97" i="8"/>
  <c r="J97" i="8"/>
  <c r="H98" i="8"/>
  <c r="I98" i="8"/>
  <c r="J98" i="8"/>
  <c r="H99" i="8"/>
  <c r="I99" i="8"/>
  <c r="J99" i="8"/>
  <c r="H100" i="8"/>
  <c r="I100" i="8"/>
  <c r="J100" i="8"/>
  <c r="H101" i="8"/>
  <c r="I101" i="8"/>
  <c r="J101" i="8"/>
  <c r="H102" i="8"/>
  <c r="I102" i="8"/>
  <c r="J102" i="8"/>
  <c r="H103" i="8"/>
  <c r="I103" i="8"/>
  <c r="J103" i="8"/>
  <c r="H104" i="8"/>
  <c r="I104" i="8"/>
  <c r="J104" i="8"/>
  <c r="H105" i="8"/>
  <c r="I105" i="8"/>
  <c r="J105" i="8"/>
  <c r="H106" i="8"/>
  <c r="I106" i="8"/>
  <c r="J106" i="8"/>
  <c r="H107" i="8"/>
  <c r="I107" i="8"/>
  <c r="J107" i="8"/>
  <c r="H108" i="8"/>
  <c r="I108" i="8"/>
  <c r="J108" i="8"/>
  <c r="H109" i="8"/>
  <c r="I109" i="8"/>
  <c r="J109" i="8"/>
  <c r="H110" i="8"/>
  <c r="I110" i="8"/>
  <c r="J110" i="8"/>
  <c r="H111" i="8"/>
  <c r="I111" i="8"/>
  <c r="J111" i="8"/>
  <c r="H112" i="8"/>
  <c r="I112" i="8"/>
  <c r="J112" i="8"/>
  <c r="H113" i="8"/>
  <c r="I113" i="8"/>
  <c r="J113" i="8"/>
  <c r="H114" i="8"/>
  <c r="I114" i="8"/>
  <c r="J114" i="8"/>
  <c r="H115" i="8"/>
  <c r="I115" i="8"/>
  <c r="J115" i="8"/>
  <c r="H116" i="8"/>
  <c r="I116" i="8"/>
  <c r="J116" i="8"/>
  <c r="H117" i="8"/>
  <c r="I117" i="8"/>
  <c r="J117" i="8"/>
  <c r="H118" i="8"/>
  <c r="I118" i="8"/>
  <c r="J118" i="8"/>
  <c r="H119" i="8"/>
  <c r="I119" i="8"/>
  <c r="J119" i="8"/>
  <c r="H120" i="8"/>
  <c r="I120" i="8"/>
  <c r="J120" i="8"/>
  <c r="H121" i="8"/>
  <c r="I121" i="8"/>
  <c r="J121" i="8"/>
  <c r="H122" i="8"/>
  <c r="I122" i="8"/>
  <c r="J122" i="8"/>
  <c r="H123" i="8"/>
  <c r="I123" i="8"/>
  <c r="J123" i="8"/>
  <c r="H124" i="8"/>
  <c r="I124" i="8"/>
  <c r="J124" i="8"/>
  <c r="H125" i="8"/>
  <c r="I125" i="8"/>
  <c r="J125" i="8"/>
  <c r="H126" i="8"/>
  <c r="I126" i="8"/>
  <c r="J126" i="8"/>
  <c r="H127" i="8"/>
  <c r="I127" i="8"/>
  <c r="J127" i="8"/>
  <c r="H128" i="8"/>
  <c r="I128" i="8"/>
  <c r="J128" i="8"/>
  <c r="H129" i="8"/>
  <c r="I129" i="8"/>
  <c r="J129" i="8"/>
  <c r="H130" i="8"/>
  <c r="I130" i="8"/>
  <c r="J130" i="8"/>
  <c r="H131" i="8"/>
  <c r="I131" i="8"/>
  <c r="J131" i="8"/>
  <c r="H132" i="8"/>
  <c r="I132" i="8"/>
  <c r="J132" i="8"/>
  <c r="H133" i="8"/>
  <c r="I133" i="8"/>
  <c r="J133" i="8"/>
  <c r="J2" i="8"/>
  <c r="I2" i="8"/>
  <c r="H2" i="8"/>
  <c r="E3" i="8"/>
  <c r="F3" i="8"/>
  <c r="G3" i="8"/>
  <c r="E4" i="8"/>
  <c r="F4" i="8"/>
  <c r="G4" i="8"/>
  <c r="E5" i="8"/>
  <c r="F5" i="8"/>
  <c r="G5" i="8"/>
  <c r="E6" i="8"/>
  <c r="F6" i="8"/>
  <c r="G6" i="8"/>
  <c r="E7" i="8"/>
  <c r="F7" i="8"/>
  <c r="G7" i="8"/>
  <c r="E8" i="8"/>
  <c r="F8" i="8"/>
  <c r="G8" i="8"/>
  <c r="E9" i="8"/>
  <c r="F9" i="8"/>
  <c r="G9" i="8"/>
  <c r="E10" i="8"/>
  <c r="F10" i="8"/>
  <c r="G10" i="8"/>
  <c r="E11" i="8"/>
  <c r="F11" i="8"/>
  <c r="G11" i="8"/>
  <c r="E12" i="8"/>
  <c r="F12" i="8"/>
  <c r="G12" i="8"/>
  <c r="E13" i="8"/>
  <c r="F13" i="8"/>
  <c r="G13" i="8"/>
  <c r="E14" i="8"/>
  <c r="F14" i="8"/>
  <c r="G14" i="8"/>
  <c r="E15" i="8"/>
  <c r="F15" i="8"/>
  <c r="G15" i="8"/>
  <c r="E16" i="8"/>
  <c r="F16" i="8"/>
  <c r="G16" i="8"/>
  <c r="E17" i="8"/>
  <c r="F17" i="8"/>
  <c r="G17" i="8"/>
  <c r="E18" i="8"/>
  <c r="F18" i="8"/>
  <c r="G18" i="8"/>
  <c r="E19" i="8"/>
  <c r="F19" i="8"/>
  <c r="G19" i="8"/>
  <c r="E20" i="8"/>
  <c r="F20" i="8"/>
  <c r="G20" i="8"/>
  <c r="E21" i="8"/>
  <c r="F21" i="8"/>
  <c r="G21" i="8"/>
  <c r="E22" i="8"/>
  <c r="F22" i="8"/>
  <c r="G22" i="8"/>
  <c r="E23" i="8"/>
  <c r="F23" i="8"/>
  <c r="G23" i="8"/>
  <c r="E24" i="8"/>
  <c r="F24" i="8"/>
  <c r="G24" i="8"/>
  <c r="E25" i="8"/>
  <c r="F25" i="8"/>
  <c r="G25" i="8"/>
  <c r="E26" i="8"/>
  <c r="F26" i="8"/>
  <c r="G26" i="8"/>
  <c r="E27" i="8"/>
  <c r="F27" i="8"/>
  <c r="G27" i="8"/>
  <c r="E28" i="8"/>
  <c r="F28" i="8"/>
  <c r="G28" i="8"/>
  <c r="E29" i="8"/>
  <c r="F29" i="8"/>
  <c r="G29" i="8"/>
  <c r="E30" i="8"/>
  <c r="F30" i="8"/>
  <c r="G30" i="8"/>
  <c r="E31" i="8"/>
  <c r="F31" i="8"/>
  <c r="G31" i="8"/>
  <c r="E32" i="8"/>
  <c r="F32" i="8"/>
  <c r="G32" i="8"/>
  <c r="E33" i="8"/>
  <c r="F33" i="8"/>
  <c r="G33" i="8"/>
  <c r="E34" i="8"/>
  <c r="F34" i="8"/>
  <c r="G34" i="8"/>
  <c r="E35" i="8"/>
  <c r="F35" i="8"/>
  <c r="G35" i="8"/>
  <c r="E36" i="8"/>
  <c r="F36" i="8"/>
  <c r="G36" i="8"/>
  <c r="E37" i="8"/>
  <c r="F37" i="8"/>
  <c r="G37" i="8"/>
  <c r="E38" i="8"/>
  <c r="F38" i="8"/>
  <c r="G38" i="8"/>
  <c r="E39" i="8"/>
  <c r="F39" i="8"/>
  <c r="G39" i="8"/>
  <c r="E40" i="8"/>
  <c r="F40" i="8"/>
  <c r="G40" i="8"/>
  <c r="E41" i="8"/>
  <c r="F41" i="8"/>
  <c r="G41" i="8"/>
  <c r="E42" i="8"/>
  <c r="F42" i="8"/>
  <c r="G42" i="8"/>
  <c r="E43" i="8"/>
  <c r="F43" i="8"/>
  <c r="G43" i="8"/>
  <c r="E44" i="8"/>
  <c r="F44" i="8"/>
  <c r="G44" i="8"/>
  <c r="E45" i="8"/>
  <c r="F45" i="8"/>
  <c r="G45" i="8"/>
  <c r="E46" i="8"/>
  <c r="F46" i="8"/>
  <c r="G46" i="8"/>
  <c r="E47" i="8"/>
  <c r="F47" i="8"/>
  <c r="G47" i="8"/>
  <c r="E48" i="8"/>
  <c r="F48" i="8"/>
  <c r="G48" i="8"/>
  <c r="E49" i="8"/>
  <c r="F49" i="8"/>
  <c r="G49" i="8"/>
  <c r="E50" i="8"/>
  <c r="F50" i="8"/>
  <c r="G50" i="8"/>
  <c r="E51" i="8"/>
  <c r="F51" i="8"/>
  <c r="G51" i="8"/>
  <c r="E52" i="8"/>
  <c r="F52" i="8"/>
  <c r="G52" i="8"/>
  <c r="E53" i="8"/>
  <c r="F53" i="8"/>
  <c r="G53" i="8"/>
  <c r="E54" i="8"/>
  <c r="F54" i="8"/>
  <c r="G54" i="8"/>
  <c r="E55" i="8"/>
  <c r="F55" i="8"/>
  <c r="G55" i="8"/>
  <c r="E56" i="8"/>
  <c r="F56" i="8"/>
  <c r="G56" i="8"/>
  <c r="E57" i="8"/>
  <c r="F57" i="8"/>
  <c r="G57" i="8"/>
  <c r="E58" i="8"/>
  <c r="F58" i="8"/>
  <c r="G58" i="8"/>
  <c r="E59" i="8"/>
  <c r="F59" i="8"/>
  <c r="G59" i="8"/>
  <c r="E60" i="8"/>
  <c r="F60" i="8"/>
  <c r="G60" i="8"/>
  <c r="E61" i="8"/>
  <c r="F61" i="8"/>
  <c r="G61" i="8"/>
  <c r="E62" i="8"/>
  <c r="F62" i="8"/>
  <c r="G62" i="8"/>
  <c r="E63" i="8"/>
  <c r="F63" i="8"/>
  <c r="G63" i="8"/>
  <c r="E64" i="8"/>
  <c r="F64" i="8"/>
  <c r="G64" i="8"/>
  <c r="E65" i="8"/>
  <c r="F65" i="8"/>
  <c r="G65" i="8"/>
  <c r="E66" i="8"/>
  <c r="F66" i="8"/>
  <c r="G66" i="8"/>
  <c r="E67" i="8"/>
  <c r="F67" i="8"/>
  <c r="G67" i="8"/>
  <c r="E68" i="8"/>
  <c r="F68" i="8"/>
  <c r="G68" i="8"/>
  <c r="E69" i="8"/>
  <c r="F69" i="8"/>
  <c r="G69" i="8"/>
  <c r="E70" i="8"/>
  <c r="F70" i="8"/>
  <c r="G70" i="8"/>
  <c r="E71" i="8"/>
  <c r="F71" i="8"/>
  <c r="G71" i="8"/>
  <c r="E72" i="8"/>
  <c r="F72" i="8"/>
  <c r="G72" i="8"/>
  <c r="E73" i="8"/>
  <c r="F73" i="8"/>
  <c r="G73" i="8"/>
  <c r="E74" i="8"/>
  <c r="F74" i="8"/>
  <c r="G74" i="8"/>
  <c r="E75" i="8"/>
  <c r="F75" i="8"/>
  <c r="G75" i="8"/>
  <c r="E76" i="8"/>
  <c r="F76" i="8"/>
  <c r="G76" i="8"/>
  <c r="E77" i="8"/>
  <c r="F77" i="8"/>
  <c r="G77" i="8"/>
  <c r="E78" i="8"/>
  <c r="F78" i="8"/>
  <c r="G78" i="8"/>
  <c r="E79" i="8"/>
  <c r="F79" i="8"/>
  <c r="G79" i="8"/>
  <c r="E80" i="8"/>
  <c r="F80" i="8"/>
  <c r="G80" i="8"/>
  <c r="E81" i="8"/>
  <c r="F81" i="8"/>
  <c r="G81" i="8"/>
  <c r="E82" i="8"/>
  <c r="F82" i="8"/>
  <c r="G82" i="8"/>
  <c r="E83" i="8"/>
  <c r="F83" i="8"/>
  <c r="G83" i="8"/>
  <c r="E84" i="8"/>
  <c r="F84" i="8"/>
  <c r="G84" i="8"/>
  <c r="E85" i="8"/>
  <c r="F85" i="8"/>
  <c r="G85" i="8"/>
  <c r="E86" i="8"/>
  <c r="F86" i="8"/>
  <c r="G86" i="8"/>
  <c r="E87" i="8"/>
  <c r="F87" i="8"/>
  <c r="G87" i="8"/>
  <c r="E88" i="8"/>
  <c r="F88" i="8"/>
  <c r="G88" i="8"/>
  <c r="E89" i="8"/>
  <c r="F89" i="8"/>
  <c r="G89" i="8"/>
  <c r="E90" i="8"/>
  <c r="F90" i="8"/>
  <c r="G90" i="8"/>
  <c r="E91" i="8"/>
  <c r="F91" i="8"/>
  <c r="G91" i="8"/>
  <c r="E92" i="8"/>
  <c r="F92" i="8"/>
  <c r="G92" i="8"/>
  <c r="E93" i="8"/>
  <c r="F93" i="8"/>
  <c r="G93" i="8"/>
  <c r="E94" i="8"/>
  <c r="F94" i="8"/>
  <c r="G94" i="8"/>
  <c r="E95" i="8"/>
  <c r="F95" i="8"/>
  <c r="G95" i="8"/>
  <c r="E96" i="8"/>
  <c r="F96" i="8"/>
  <c r="G96" i="8"/>
  <c r="E97" i="8"/>
  <c r="F97" i="8"/>
  <c r="G97" i="8"/>
  <c r="E98" i="8"/>
  <c r="F98" i="8"/>
  <c r="G98" i="8"/>
  <c r="E99" i="8"/>
  <c r="F99" i="8"/>
  <c r="G99" i="8"/>
  <c r="E100" i="8"/>
  <c r="F100" i="8"/>
  <c r="G100" i="8"/>
  <c r="E101" i="8"/>
  <c r="F101" i="8"/>
  <c r="G101" i="8"/>
  <c r="E102" i="8"/>
  <c r="F102" i="8"/>
  <c r="G102" i="8"/>
  <c r="E103" i="8"/>
  <c r="F103" i="8"/>
  <c r="G103" i="8"/>
  <c r="E104" i="8"/>
  <c r="F104" i="8"/>
  <c r="G104" i="8"/>
  <c r="E105" i="8"/>
  <c r="F105" i="8"/>
  <c r="G105" i="8"/>
  <c r="E106" i="8"/>
  <c r="F106" i="8"/>
  <c r="G106" i="8"/>
  <c r="E107" i="8"/>
  <c r="F107" i="8"/>
  <c r="G107" i="8"/>
  <c r="E108" i="8"/>
  <c r="F108" i="8"/>
  <c r="G108" i="8"/>
  <c r="E109" i="8"/>
  <c r="F109" i="8"/>
  <c r="G109" i="8"/>
  <c r="E110" i="8"/>
  <c r="F110" i="8"/>
  <c r="G110" i="8"/>
  <c r="E111" i="8"/>
  <c r="F111" i="8"/>
  <c r="G111" i="8"/>
  <c r="E112" i="8"/>
  <c r="F112" i="8"/>
  <c r="G112" i="8"/>
  <c r="E113" i="8"/>
  <c r="F113" i="8"/>
  <c r="G113" i="8"/>
  <c r="E114" i="8"/>
  <c r="F114" i="8"/>
  <c r="G114" i="8"/>
  <c r="E115" i="8"/>
  <c r="F115" i="8"/>
  <c r="G115" i="8"/>
  <c r="E116" i="8"/>
  <c r="F116" i="8"/>
  <c r="G116" i="8"/>
  <c r="E117" i="8"/>
  <c r="F117" i="8"/>
  <c r="G117" i="8"/>
  <c r="E118" i="8"/>
  <c r="F118" i="8"/>
  <c r="G118" i="8"/>
  <c r="E119" i="8"/>
  <c r="F119" i="8"/>
  <c r="G119" i="8"/>
  <c r="E120" i="8"/>
  <c r="F120" i="8"/>
  <c r="G120" i="8"/>
  <c r="E121" i="8"/>
  <c r="F121" i="8"/>
  <c r="G121" i="8"/>
  <c r="E122" i="8"/>
  <c r="F122" i="8"/>
  <c r="G122" i="8"/>
  <c r="E123" i="8"/>
  <c r="F123" i="8"/>
  <c r="G123" i="8"/>
  <c r="E124" i="8"/>
  <c r="F124" i="8"/>
  <c r="G124" i="8"/>
  <c r="E125" i="8"/>
  <c r="F125" i="8"/>
  <c r="G125" i="8"/>
  <c r="E126" i="8"/>
  <c r="F126" i="8"/>
  <c r="G126" i="8"/>
  <c r="E127" i="8"/>
  <c r="F127" i="8"/>
  <c r="G127" i="8"/>
  <c r="E128" i="8"/>
  <c r="F128" i="8"/>
  <c r="G128" i="8"/>
  <c r="E129" i="8"/>
  <c r="F129" i="8"/>
  <c r="G129" i="8"/>
  <c r="E130" i="8"/>
  <c r="F130" i="8"/>
  <c r="G130" i="8"/>
  <c r="E131" i="8"/>
  <c r="F131" i="8"/>
  <c r="G131" i="8"/>
  <c r="E132" i="8"/>
  <c r="F132" i="8"/>
  <c r="G132" i="8"/>
  <c r="E133" i="8"/>
  <c r="F133" i="8"/>
  <c r="G133" i="8"/>
  <c r="F2" i="8"/>
  <c r="G2" i="8"/>
  <c r="E2" i="8"/>
  <c r="L7" i="7"/>
  <c r="L6" i="7"/>
  <c r="H3" i="7"/>
  <c r="I3" i="7"/>
  <c r="J3" i="7"/>
  <c r="H4" i="7"/>
  <c r="I4" i="7"/>
  <c r="J4" i="7"/>
  <c r="H5" i="7"/>
  <c r="I5" i="7"/>
  <c r="J5" i="7"/>
  <c r="H6" i="7"/>
  <c r="I6" i="7"/>
  <c r="J6" i="7"/>
  <c r="H7" i="7"/>
  <c r="I7" i="7"/>
  <c r="J7" i="7"/>
  <c r="H8" i="7"/>
  <c r="I8" i="7"/>
  <c r="J8" i="7"/>
  <c r="H9" i="7"/>
  <c r="I9" i="7"/>
  <c r="J9" i="7"/>
  <c r="H10" i="7"/>
  <c r="I10" i="7"/>
  <c r="J10" i="7"/>
  <c r="H11" i="7"/>
  <c r="I11" i="7"/>
  <c r="J11" i="7"/>
  <c r="H12" i="7"/>
  <c r="I12" i="7"/>
  <c r="J12" i="7"/>
  <c r="H13" i="7"/>
  <c r="I13" i="7"/>
  <c r="J13" i="7"/>
  <c r="H14" i="7"/>
  <c r="I14" i="7"/>
  <c r="J14" i="7"/>
  <c r="H15" i="7"/>
  <c r="I15" i="7"/>
  <c r="J15" i="7"/>
  <c r="H16" i="7"/>
  <c r="I16" i="7"/>
  <c r="J16" i="7"/>
  <c r="H17" i="7"/>
  <c r="I17" i="7"/>
  <c r="J17" i="7"/>
  <c r="H18" i="7"/>
  <c r="I18" i="7"/>
  <c r="J18" i="7"/>
  <c r="H19" i="7"/>
  <c r="I19" i="7"/>
  <c r="J19" i="7"/>
  <c r="H20" i="7"/>
  <c r="I20" i="7"/>
  <c r="J20" i="7"/>
  <c r="H21" i="7"/>
  <c r="I21" i="7"/>
  <c r="J21" i="7"/>
  <c r="H22" i="7"/>
  <c r="I22" i="7"/>
  <c r="J22" i="7"/>
  <c r="H23" i="7"/>
  <c r="I23" i="7"/>
  <c r="J23" i="7"/>
  <c r="H24" i="7"/>
  <c r="I24" i="7"/>
  <c r="J24" i="7"/>
  <c r="H25" i="7"/>
  <c r="I25" i="7"/>
  <c r="J25" i="7"/>
  <c r="H26" i="7"/>
  <c r="I26" i="7"/>
  <c r="J26" i="7"/>
  <c r="H27" i="7"/>
  <c r="I27" i="7"/>
  <c r="J27" i="7"/>
  <c r="H28" i="7"/>
  <c r="I28" i="7"/>
  <c r="J28" i="7"/>
  <c r="H29" i="7"/>
  <c r="I29" i="7"/>
  <c r="J29" i="7"/>
  <c r="H30" i="7"/>
  <c r="I30" i="7"/>
  <c r="J30" i="7"/>
  <c r="H31" i="7"/>
  <c r="I31" i="7"/>
  <c r="J31" i="7"/>
  <c r="H32" i="7"/>
  <c r="I32" i="7"/>
  <c r="J32" i="7"/>
  <c r="H33" i="7"/>
  <c r="I33" i="7"/>
  <c r="J33" i="7"/>
  <c r="H34" i="7"/>
  <c r="I34" i="7"/>
  <c r="J34" i="7"/>
  <c r="H35" i="7"/>
  <c r="I35" i="7"/>
  <c r="J35" i="7"/>
  <c r="H36" i="7"/>
  <c r="I36" i="7"/>
  <c r="J36" i="7"/>
  <c r="H37" i="7"/>
  <c r="I37" i="7"/>
  <c r="J37" i="7"/>
  <c r="H38" i="7"/>
  <c r="I38" i="7"/>
  <c r="J38" i="7"/>
  <c r="H39" i="7"/>
  <c r="I39" i="7"/>
  <c r="J39" i="7"/>
  <c r="H40" i="7"/>
  <c r="I40" i="7"/>
  <c r="J40" i="7"/>
  <c r="H41" i="7"/>
  <c r="I41" i="7"/>
  <c r="J41" i="7"/>
  <c r="H42" i="7"/>
  <c r="I42" i="7"/>
  <c r="J42" i="7"/>
  <c r="H43" i="7"/>
  <c r="I43" i="7"/>
  <c r="J43" i="7"/>
  <c r="H44" i="7"/>
  <c r="I44" i="7"/>
  <c r="J44" i="7"/>
  <c r="H45" i="7"/>
  <c r="I45" i="7"/>
  <c r="J45" i="7"/>
  <c r="H46" i="7"/>
  <c r="I46" i="7"/>
  <c r="J46" i="7"/>
  <c r="H47" i="7"/>
  <c r="I47" i="7"/>
  <c r="J47" i="7"/>
  <c r="H48" i="7"/>
  <c r="I48" i="7"/>
  <c r="J48" i="7"/>
  <c r="H49" i="7"/>
  <c r="I49" i="7"/>
  <c r="J49" i="7"/>
  <c r="H50" i="7"/>
  <c r="I50" i="7"/>
  <c r="J50" i="7"/>
  <c r="H51" i="7"/>
  <c r="I51" i="7"/>
  <c r="J51" i="7"/>
  <c r="H52" i="7"/>
  <c r="I52" i="7"/>
  <c r="J52" i="7"/>
  <c r="H53" i="7"/>
  <c r="I53" i="7"/>
  <c r="J53" i="7"/>
  <c r="H54" i="7"/>
  <c r="I54" i="7"/>
  <c r="J54" i="7"/>
  <c r="H55" i="7"/>
  <c r="I55" i="7"/>
  <c r="J55" i="7"/>
  <c r="H56" i="7"/>
  <c r="I56" i="7"/>
  <c r="J56" i="7"/>
  <c r="H57" i="7"/>
  <c r="I57" i="7"/>
  <c r="J57" i="7"/>
  <c r="H58" i="7"/>
  <c r="I58" i="7"/>
  <c r="J58" i="7"/>
  <c r="H59" i="7"/>
  <c r="I59" i="7"/>
  <c r="J59" i="7"/>
  <c r="H60" i="7"/>
  <c r="I60" i="7"/>
  <c r="J60" i="7"/>
  <c r="H61" i="7"/>
  <c r="I61" i="7"/>
  <c r="J61" i="7"/>
  <c r="H62" i="7"/>
  <c r="I62" i="7"/>
  <c r="J62" i="7"/>
  <c r="H63" i="7"/>
  <c r="I63" i="7"/>
  <c r="J63" i="7"/>
  <c r="H64" i="7"/>
  <c r="I64" i="7"/>
  <c r="J64" i="7"/>
  <c r="H65" i="7"/>
  <c r="I65" i="7"/>
  <c r="J65" i="7"/>
  <c r="H66" i="7"/>
  <c r="I66" i="7"/>
  <c r="J66" i="7"/>
  <c r="H67" i="7"/>
  <c r="I67" i="7"/>
  <c r="J67" i="7"/>
  <c r="H68" i="7"/>
  <c r="I68" i="7"/>
  <c r="J68" i="7"/>
  <c r="H69" i="7"/>
  <c r="I69" i="7"/>
  <c r="J69" i="7"/>
  <c r="H70" i="7"/>
  <c r="I70" i="7"/>
  <c r="J70" i="7"/>
  <c r="H71" i="7"/>
  <c r="I71" i="7"/>
  <c r="J71" i="7"/>
  <c r="H72" i="7"/>
  <c r="I72" i="7"/>
  <c r="J72" i="7"/>
  <c r="H73" i="7"/>
  <c r="I73" i="7"/>
  <c r="J73" i="7"/>
  <c r="H74" i="7"/>
  <c r="I74" i="7"/>
  <c r="J74" i="7"/>
  <c r="H75" i="7"/>
  <c r="I75" i="7"/>
  <c r="J75" i="7"/>
  <c r="H76" i="7"/>
  <c r="I76" i="7"/>
  <c r="J76" i="7"/>
  <c r="H77" i="7"/>
  <c r="I77" i="7"/>
  <c r="J77" i="7"/>
  <c r="H78" i="7"/>
  <c r="I78" i="7"/>
  <c r="J78" i="7"/>
  <c r="H79" i="7"/>
  <c r="I79" i="7"/>
  <c r="J79" i="7"/>
  <c r="H80" i="7"/>
  <c r="I80" i="7"/>
  <c r="J80" i="7"/>
  <c r="H81" i="7"/>
  <c r="I81" i="7"/>
  <c r="J81" i="7"/>
  <c r="H82" i="7"/>
  <c r="I82" i="7"/>
  <c r="J82" i="7"/>
  <c r="H83" i="7"/>
  <c r="I83" i="7"/>
  <c r="J83" i="7"/>
  <c r="H84" i="7"/>
  <c r="I84" i="7"/>
  <c r="J84" i="7"/>
  <c r="H85" i="7"/>
  <c r="I85" i="7"/>
  <c r="J85" i="7"/>
  <c r="H86" i="7"/>
  <c r="I86" i="7"/>
  <c r="J86" i="7"/>
  <c r="H87" i="7"/>
  <c r="I87" i="7"/>
  <c r="J87" i="7"/>
  <c r="H88" i="7"/>
  <c r="I88" i="7"/>
  <c r="J88" i="7"/>
  <c r="H89" i="7"/>
  <c r="I89" i="7"/>
  <c r="J89" i="7"/>
  <c r="H90" i="7"/>
  <c r="I90" i="7"/>
  <c r="J90" i="7"/>
  <c r="H91" i="7"/>
  <c r="I91" i="7"/>
  <c r="J91" i="7"/>
  <c r="H92" i="7"/>
  <c r="I92" i="7"/>
  <c r="J92" i="7"/>
  <c r="H93" i="7"/>
  <c r="I93" i="7"/>
  <c r="J93" i="7"/>
  <c r="H94" i="7"/>
  <c r="I94" i="7"/>
  <c r="J94" i="7"/>
  <c r="H95" i="7"/>
  <c r="I95" i="7"/>
  <c r="J95" i="7"/>
  <c r="H96" i="7"/>
  <c r="I96" i="7"/>
  <c r="J96" i="7"/>
  <c r="H97" i="7"/>
  <c r="I97" i="7"/>
  <c r="J97" i="7"/>
  <c r="H98" i="7"/>
  <c r="I98" i="7"/>
  <c r="J98" i="7"/>
  <c r="H99" i="7"/>
  <c r="I99" i="7"/>
  <c r="J99" i="7"/>
  <c r="H100" i="7"/>
  <c r="I100" i="7"/>
  <c r="J100" i="7"/>
  <c r="H101" i="7"/>
  <c r="I101" i="7"/>
  <c r="J101" i="7"/>
  <c r="H102" i="7"/>
  <c r="I102" i="7"/>
  <c r="J102" i="7"/>
  <c r="H103" i="7"/>
  <c r="I103" i="7"/>
  <c r="J103" i="7"/>
  <c r="H104" i="7"/>
  <c r="I104" i="7"/>
  <c r="J104" i="7"/>
  <c r="H105" i="7"/>
  <c r="I105" i="7"/>
  <c r="J105" i="7"/>
  <c r="H106" i="7"/>
  <c r="I106" i="7"/>
  <c r="J106" i="7"/>
  <c r="H107" i="7"/>
  <c r="I107" i="7"/>
  <c r="J107" i="7"/>
  <c r="H108" i="7"/>
  <c r="I108" i="7"/>
  <c r="J108" i="7"/>
  <c r="H109" i="7"/>
  <c r="I109" i="7"/>
  <c r="J109" i="7"/>
  <c r="H110" i="7"/>
  <c r="I110" i="7"/>
  <c r="J110" i="7"/>
  <c r="H111" i="7"/>
  <c r="I111" i="7"/>
  <c r="J111" i="7"/>
  <c r="H112" i="7"/>
  <c r="I112" i="7"/>
  <c r="J112" i="7"/>
  <c r="H113" i="7"/>
  <c r="I113" i="7"/>
  <c r="J113" i="7"/>
  <c r="H114" i="7"/>
  <c r="I114" i="7"/>
  <c r="J114" i="7"/>
  <c r="H115" i="7"/>
  <c r="I115" i="7"/>
  <c r="J115" i="7"/>
  <c r="H116" i="7"/>
  <c r="I116" i="7"/>
  <c r="J116" i="7"/>
  <c r="H117" i="7"/>
  <c r="I117" i="7"/>
  <c r="J117" i="7"/>
  <c r="H118" i="7"/>
  <c r="I118" i="7"/>
  <c r="J118" i="7"/>
  <c r="H119" i="7"/>
  <c r="I119" i="7"/>
  <c r="J119" i="7"/>
  <c r="H120" i="7"/>
  <c r="I120" i="7"/>
  <c r="J120" i="7"/>
  <c r="H121" i="7"/>
  <c r="I121" i="7"/>
  <c r="J121" i="7"/>
  <c r="H122" i="7"/>
  <c r="I122" i="7"/>
  <c r="J122" i="7"/>
  <c r="H123" i="7"/>
  <c r="I123" i="7"/>
  <c r="J123" i="7"/>
  <c r="H124" i="7"/>
  <c r="I124" i="7"/>
  <c r="J124" i="7"/>
  <c r="H125" i="7"/>
  <c r="I125" i="7"/>
  <c r="J125" i="7"/>
  <c r="H126" i="7"/>
  <c r="I126" i="7"/>
  <c r="J126" i="7"/>
  <c r="H127" i="7"/>
  <c r="I127" i="7"/>
  <c r="J127" i="7"/>
  <c r="H128" i="7"/>
  <c r="I128" i="7"/>
  <c r="J128" i="7"/>
  <c r="H129" i="7"/>
  <c r="I129" i="7"/>
  <c r="J129" i="7"/>
  <c r="H130" i="7"/>
  <c r="I130" i="7"/>
  <c r="J130" i="7"/>
  <c r="H131" i="7"/>
  <c r="I131" i="7"/>
  <c r="J131" i="7"/>
  <c r="H132" i="7"/>
  <c r="I132" i="7"/>
  <c r="J132" i="7"/>
  <c r="H133" i="7"/>
  <c r="I133" i="7"/>
  <c r="J133" i="7"/>
  <c r="J2" i="7"/>
  <c r="I2" i="7"/>
  <c r="H2" i="7"/>
  <c r="F133" i="7"/>
  <c r="G133" i="7" s="1"/>
  <c r="F132" i="7"/>
  <c r="G132" i="7" s="1"/>
  <c r="F131" i="7"/>
  <c r="G131" i="7" s="1"/>
  <c r="F130" i="7"/>
  <c r="G130" i="7" s="1"/>
  <c r="F129" i="7"/>
  <c r="G129" i="7" s="1"/>
  <c r="F128" i="7"/>
  <c r="G128" i="7" s="1"/>
  <c r="F127" i="7"/>
  <c r="G127" i="7" s="1"/>
  <c r="F126" i="7"/>
  <c r="G126" i="7" s="1"/>
  <c r="F125" i="7"/>
  <c r="G125" i="7" s="1"/>
  <c r="F124" i="7"/>
  <c r="G124" i="7" s="1"/>
  <c r="F123" i="7"/>
  <c r="G123" i="7" s="1"/>
  <c r="F122" i="7"/>
  <c r="G122" i="7" s="1"/>
  <c r="F121" i="7"/>
  <c r="G121" i="7" s="1"/>
  <c r="F120" i="7"/>
  <c r="G120" i="7" s="1"/>
  <c r="F119" i="7"/>
  <c r="G119" i="7" s="1"/>
  <c r="F118" i="7"/>
  <c r="G118" i="7" s="1"/>
  <c r="F117" i="7"/>
  <c r="G117" i="7" s="1"/>
  <c r="F116" i="7"/>
  <c r="G116" i="7" s="1"/>
  <c r="F115" i="7"/>
  <c r="G115" i="7" s="1"/>
  <c r="F114" i="7"/>
  <c r="G114" i="7" s="1"/>
  <c r="F113" i="7"/>
  <c r="G113" i="7" s="1"/>
  <c r="F112" i="7"/>
  <c r="G112" i="7" s="1"/>
  <c r="F111" i="7"/>
  <c r="G111" i="7" s="1"/>
  <c r="F110" i="7"/>
  <c r="G110" i="7" s="1"/>
  <c r="F109" i="7"/>
  <c r="G109" i="7" s="1"/>
  <c r="F108" i="7"/>
  <c r="G108" i="7" s="1"/>
  <c r="F107" i="7"/>
  <c r="G107" i="7" s="1"/>
  <c r="F106" i="7"/>
  <c r="G106" i="7" s="1"/>
  <c r="F105" i="7"/>
  <c r="G105" i="7" s="1"/>
  <c r="F104" i="7"/>
  <c r="G104" i="7" s="1"/>
  <c r="F103" i="7"/>
  <c r="G103" i="7" s="1"/>
  <c r="F102" i="7"/>
  <c r="G102" i="7" s="1"/>
  <c r="F101" i="7"/>
  <c r="G101" i="7" s="1"/>
  <c r="F100" i="7"/>
  <c r="G100" i="7" s="1"/>
  <c r="F99" i="7"/>
  <c r="G99" i="7" s="1"/>
  <c r="F98" i="7"/>
  <c r="G98" i="7" s="1"/>
  <c r="F97" i="7"/>
  <c r="G97" i="7" s="1"/>
  <c r="F96" i="7"/>
  <c r="G96" i="7" s="1"/>
  <c r="F95" i="7"/>
  <c r="G95" i="7" s="1"/>
  <c r="F94" i="7"/>
  <c r="G94" i="7" s="1"/>
  <c r="F93" i="7"/>
  <c r="G93" i="7" s="1"/>
  <c r="F92" i="7"/>
  <c r="G92" i="7" s="1"/>
  <c r="F91" i="7"/>
  <c r="G91" i="7" s="1"/>
  <c r="F90" i="7"/>
  <c r="G90" i="7" s="1"/>
  <c r="F89" i="7"/>
  <c r="G89" i="7" s="1"/>
  <c r="F88" i="7"/>
  <c r="G88" i="7" s="1"/>
  <c r="F87" i="7"/>
  <c r="G87" i="7" s="1"/>
  <c r="F86" i="7"/>
  <c r="G86" i="7" s="1"/>
  <c r="F85" i="7"/>
  <c r="G85" i="7" s="1"/>
  <c r="F84" i="7"/>
  <c r="G84" i="7" s="1"/>
  <c r="F83" i="7"/>
  <c r="G83" i="7" s="1"/>
  <c r="F82" i="7"/>
  <c r="G82" i="7" s="1"/>
  <c r="F81" i="7"/>
  <c r="G81" i="7" s="1"/>
  <c r="F80" i="7"/>
  <c r="G80" i="7" s="1"/>
  <c r="F79" i="7"/>
  <c r="G79" i="7" s="1"/>
  <c r="F78" i="7"/>
  <c r="G78" i="7" s="1"/>
  <c r="F77" i="7"/>
  <c r="G77" i="7" s="1"/>
  <c r="F76" i="7"/>
  <c r="G76" i="7" s="1"/>
  <c r="F75" i="7"/>
  <c r="G75" i="7" s="1"/>
  <c r="F74" i="7"/>
  <c r="G74" i="7" s="1"/>
  <c r="F73" i="7"/>
  <c r="G73" i="7" s="1"/>
  <c r="F72" i="7"/>
  <c r="G72" i="7" s="1"/>
  <c r="F71" i="7"/>
  <c r="G71" i="7" s="1"/>
  <c r="F70" i="7"/>
  <c r="G70" i="7" s="1"/>
  <c r="F69" i="7"/>
  <c r="G69" i="7" s="1"/>
  <c r="F68" i="7"/>
  <c r="G68" i="7" s="1"/>
  <c r="F67" i="7"/>
  <c r="G67" i="7" s="1"/>
  <c r="F66" i="7"/>
  <c r="G66" i="7" s="1"/>
  <c r="F65" i="7"/>
  <c r="G65" i="7" s="1"/>
  <c r="F64" i="7"/>
  <c r="G64" i="7" s="1"/>
  <c r="F63" i="7"/>
  <c r="G63" i="7" s="1"/>
  <c r="F62" i="7"/>
  <c r="G62" i="7" s="1"/>
  <c r="F61" i="7"/>
  <c r="G61" i="7" s="1"/>
  <c r="F60" i="7"/>
  <c r="G60" i="7" s="1"/>
  <c r="F59" i="7"/>
  <c r="G59" i="7" s="1"/>
  <c r="F58" i="7"/>
  <c r="G58" i="7" s="1"/>
  <c r="F57" i="7"/>
  <c r="G57" i="7" s="1"/>
  <c r="F56" i="7"/>
  <c r="G56" i="7" s="1"/>
  <c r="F55" i="7"/>
  <c r="G55" i="7" s="1"/>
  <c r="F54" i="7"/>
  <c r="G54" i="7" s="1"/>
  <c r="F53" i="7"/>
  <c r="G53" i="7" s="1"/>
  <c r="F52" i="7"/>
  <c r="G52" i="7" s="1"/>
  <c r="F51" i="7"/>
  <c r="G51" i="7" s="1"/>
  <c r="F50" i="7"/>
  <c r="G50" i="7" s="1"/>
  <c r="F49" i="7"/>
  <c r="G49" i="7" s="1"/>
  <c r="F48" i="7"/>
  <c r="G48" i="7" s="1"/>
  <c r="F47" i="7"/>
  <c r="G47" i="7" s="1"/>
  <c r="F46" i="7"/>
  <c r="G46" i="7" s="1"/>
  <c r="F45" i="7"/>
  <c r="G45" i="7" s="1"/>
  <c r="F44" i="7"/>
  <c r="G44" i="7" s="1"/>
  <c r="F43" i="7"/>
  <c r="G43" i="7" s="1"/>
  <c r="F42" i="7"/>
  <c r="G42" i="7" s="1"/>
  <c r="F41" i="7"/>
  <c r="G41" i="7" s="1"/>
  <c r="F40" i="7"/>
  <c r="G40" i="7" s="1"/>
  <c r="F39" i="7"/>
  <c r="G39" i="7" s="1"/>
  <c r="F38" i="7"/>
  <c r="G38" i="7" s="1"/>
  <c r="F37" i="7"/>
  <c r="G37" i="7" s="1"/>
  <c r="F36" i="7"/>
  <c r="G36" i="7" s="1"/>
  <c r="F35" i="7"/>
  <c r="G35" i="7" s="1"/>
  <c r="F34" i="7"/>
  <c r="G34" i="7" s="1"/>
  <c r="F33" i="7"/>
  <c r="G33" i="7" s="1"/>
  <c r="F32" i="7"/>
  <c r="G32" i="7" s="1"/>
  <c r="F31" i="7"/>
  <c r="G31" i="7" s="1"/>
  <c r="F30" i="7"/>
  <c r="G30" i="7" s="1"/>
  <c r="F29" i="7"/>
  <c r="G29" i="7" s="1"/>
  <c r="F28" i="7"/>
  <c r="G28" i="7" s="1"/>
  <c r="F27" i="7"/>
  <c r="G27" i="7" s="1"/>
  <c r="F26" i="7"/>
  <c r="G26" i="7" s="1"/>
  <c r="F25" i="7"/>
  <c r="G25" i="7" s="1"/>
  <c r="F24" i="7"/>
  <c r="G24" i="7" s="1"/>
  <c r="F23" i="7"/>
  <c r="G23" i="7" s="1"/>
  <c r="F22" i="7"/>
  <c r="G22" i="7" s="1"/>
  <c r="F21" i="7"/>
  <c r="G21" i="7" s="1"/>
  <c r="F20" i="7"/>
  <c r="G20" i="7" s="1"/>
  <c r="F19" i="7"/>
  <c r="G19" i="7" s="1"/>
  <c r="F18" i="7"/>
  <c r="G18" i="7" s="1"/>
  <c r="F17" i="7"/>
  <c r="G17" i="7" s="1"/>
  <c r="F16" i="7"/>
  <c r="G16" i="7" s="1"/>
  <c r="F15" i="7"/>
  <c r="G15" i="7" s="1"/>
  <c r="F14" i="7"/>
  <c r="G14" i="7" s="1"/>
  <c r="F13" i="7"/>
  <c r="G13" i="7" s="1"/>
  <c r="F12" i="7"/>
  <c r="G12" i="7" s="1"/>
  <c r="F11" i="7"/>
  <c r="G11" i="7" s="1"/>
  <c r="F10" i="7"/>
  <c r="G10" i="7" s="1"/>
  <c r="F9" i="7"/>
  <c r="G9" i="7" s="1"/>
  <c r="F8" i="7"/>
  <c r="G8" i="7" s="1"/>
  <c r="F7" i="7"/>
  <c r="G7" i="7" s="1"/>
  <c r="F6" i="7"/>
  <c r="G6" i="7" s="1"/>
  <c r="F5" i="7"/>
  <c r="G5" i="7" s="1"/>
  <c r="F4" i="7"/>
  <c r="G4" i="7" s="1"/>
  <c r="F3" i="7"/>
  <c r="G3" i="7" s="1"/>
  <c r="F2" i="7"/>
  <c r="G2" i="7" s="1"/>
  <c r="J4" i="5"/>
  <c r="J5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H4" i="3"/>
  <c r="F3" i="3"/>
  <c r="F4" i="3"/>
  <c r="F5" i="3"/>
  <c r="F6" i="3"/>
  <c r="F7" i="3"/>
  <c r="F8" i="3"/>
  <c r="F9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</calcChain>
</file>

<file path=xl/sharedStrings.xml><?xml version="1.0" encoding="utf-8"?>
<sst xmlns="http://schemas.openxmlformats.org/spreadsheetml/2006/main" count="251" uniqueCount="65">
  <si>
    <t>Y</t>
  </si>
  <si>
    <t>X1</t>
  </si>
  <si>
    <t>X2</t>
  </si>
  <si>
    <t>X3</t>
  </si>
  <si>
    <t>Regression 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</si>
  <si>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</si>
  <si>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</si>
  <si>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</si>
  <si>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</si>
  <si>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</si>
  <si>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</si>
  <si>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</si>
  <si>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</si>
  <si>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</si>
  <si>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</si>
  <si>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</si>
  <si>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</si>
  <si>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</si>
  <si>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</si>
  <si>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</si>
  <si>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</si>
  <si>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</si>
  <si>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</si>
  <si>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</si>
  <si>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</si>
  <si>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</si>
  <si>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</si>
  <si>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</si>
  <si>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</si>
  <si>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Sq residual</t>
  </si>
  <si>
    <t>Regression 2</t>
  </si>
  <si>
    <t>Lag range multiplier</t>
  </si>
  <si>
    <t>Chi sq</t>
  </si>
  <si>
    <t>since Chi Sq is &lt; LM , the data is hetroscadastic</t>
  </si>
  <si>
    <t>ABS Resid</t>
  </si>
  <si>
    <t>LM Score</t>
  </si>
  <si>
    <t>Chi Square</t>
  </si>
  <si>
    <t>LN SQRESID</t>
  </si>
  <si>
    <t>LnX1</t>
  </si>
  <si>
    <t>LnX2</t>
  </si>
  <si>
    <t>LnX3</t>
  </si>
  <si>
    <t>Chi square</t>
  </si>
  <si>
    <t>SqX1</t>
  </si>
  <si>
    <t>SqX2</t>
  </si>
  <si>
    <t>SqX3</t>
  </si>
  <si>
    <t>XIX2</t>
  </si>
  <si>
    <t>X1X3</t>
  </si>
  <si>
    <t>X2X3</t>
  </si>
  <si>
    <t>LM score</t>
  </si>
  <si>
    <t>Chi Squre</t>
  </si>
  <si>
    <t>Datais hetroscadastic</t>
  </si>
  <si>
    <t>in regression 2, y= sq residuals</t>
  </si>
  <si>
    <t>in regression2, y is equal to abs residuals</t>
  </si>
  <si>
    <t>in regression 2, y is equal to ln of sq residuals</t>
  </si>
  <si>
    <t>in regression 2, y is equal to Lnx and x is equal to lnx1, lnx2,lnx3</t>
  </si>
  <si>
    <t>Breuch Pegan test</t>
  </si>
  <si>
    <t>Glesjet test</t>
  </si>
  <si>
    <t>harvey</t>
  </si>
  <si>
    <t>ark test</t>
  </si>
  <si>
    <t>whites test</t>
  </si>
  <si>
    <t>regression 1: y=y, x=x1,x2,x3  Regression 2: y= residuals square, x is same</t>
  </si>
  <si>
    <t>regression 1: y=y, x=x1,x2,x3  Regression 2: y= residuals abs, x is same</t>
  </si>
  <si>
    <t>regression 1: y=y, x=x1,x2,x3  Regression 2: y= residuals ln, x is same</t>
  </si>
  <si>
    <t>regression 1: y=y, x=x1,x2,x3  Regression 2: y=ln residuals sq, x islnx1,lnx2,lnx3</t>
  </si>
  <si>
    <t>regression 1: y=y, x=x1,x2,x3  Regression 2: y= residuals sq, x is x1,x2,x3,sqx1,sqx2,sqx3,x1x2,x1x3,x2x3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</si>
</sst>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3" fillId="4" borderId="2" xfId="0" applyFont="1" applyFill="1" applyBorder="1" applyAlignment="1">
      <alignment horizontal="centerContinuous"/>
    </xf>
    <xf numFmtId="0" fontId="0" fillId="4" borderId="0" xfId="0" applyFill="1" applyBorder="1" applyAlignment="1"/>
    <xf numFmtId="0" fontId="0" fillId="4" borderId="1" xfId="0" applyFill="1" applyBorder="1" applyAlignment="1"/>
    <xf numFmtId="0" fontId="3" fillId="4" borderId="2" xfId="0" applyFont="1" applyFill="1" applyBorder="1" applyAlignment="1">
      <alignment horizontal="center"/>
    </xf>
    <xf numFmtId="0" fontId="0" fillId="2" borderId="0" xfId="0" applyFill="1"/>
    <xf numFmtId="0" fontId="3" fillId="2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1" xfId="0" applyFill="1" applyBorder="1" applyAlignment="1"/>
    <xf numFmtId="0" fontId="3" fillId="2" borderId="2" xfId="0" applyFont="1" applyFill="1" applyBorder="1" applyAlignment="1">
      <alignment horizontal="center"/>
    </xf>
    <xf numFmtId="0" fontId="2" fillId="0" borderId="0" xfId="0" applyFont="1"/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zoomScale="130" zoomScaleNormal="130" workbookViewId="0">
      <selection sqref="A1: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>
        <v>1671</v>
      </c>
      <c r="B2">
        <v>6.3472</v>
      </c>
      <c r="C2">
        <v>102.158</v>
      </c>
      <c r="D2" s="1">
        <v>81.046599999999998</v>
      </c>
    </row>
    <row r="3" spans="1:4" x14ac:dyDescent="0.3">
      <c r="A3">
        <v>1331</v>
      </c>
      <c r="B3">
        <v>6.3861999999999997</v>
      </c>
      <c r="C3">
        <v>103.19799999999999</v>
      </c>
      <c r="D3" s="1">
        <v>81.322199999999995</v>
      </c>
    </row>
    <row r="4" spans="1:4" x14ac:dyDescent="0.3">
      <c r="A4">
        <v>1350</v>
      </c>
      <c r="B4">
        <v>6.4435000000000002</v>
      </c>
      <c r="C4">
        <v>103.63800000000001</v>
      </c>
      <c r="D4" s="1">
        <v>82.424400000000006</v>
      </c>
    </row>
    <row r="5" spans="1:4" x14ac:dyDescent="0.3">
      <c r="A5">
        <v>1363</v>
      </c>
      <c r="B5">
        <v>6.4488000000000003</v>
      </c>
      <c r="C5">
        <v>102.97799999999999</v>
      </c>
      <c r="D5" s="1">
        <v>82.7</v>
      </c>
    </row>
    <row r="6" spans="1:4" x14ac:dyDescent="0.3">
      <c r="A6">
        <v>1787</v>
      </c>
      <c r="B6">
        <v>6.4318999999999997</v>
      </c>
      <c r="C6">
        <v>100.498</v>
      </c>
      <c r="D6" s="1">
        <v>81.999300000000005</v>
      </c>
    </row>
    <row r="7" spans="1:4" x14ac:dyDescent="0.3">
      <c r="A7">
        <v>1656</v>
      </c>
      <c r="B7">
        <v>6.2809999999999997</v>
      </c>
      <c r="C7">
        <v>99.548299999999998</v>
      </c>
      <c r="D7" s="1">
        <v>82.589799999999997</v>
      </c>
    </row>
    <row r="8" spans="1:4" x14ac:dyDescent="0.3">
      <c r="A8">
        <v>1398</v>
      </c>
      <c r="B8">
        <v>6.4044999999999996</v>
      </c>
      <c r="C8">
        <v>98.588399999999993</v>
      </c>
      <c r="D8" s="1">
        <v>83.487300000000005</v>
      </c>
    </row>
    <row r="9" spans="1:4" x14ac:dyDescent="0.3">
      <c r="A9">
        <v>1369</v>
      </c>
      <c r="B9">
        <v>6.3985000000000003</v>
      </c>
      <c r="C9">
        <v>99.828299999999999</v>
      </c>
      <c r="D9" s="1">
        <v>83.747100000000003</v>
      </c>
    </row>
    <row r="10" spans="1:4" x14ac:dyDescent="0.3">
      <c r="A10">
        <v>1387</v>
      </c>
      <c r="B10">
        <v>6.3651</v>
      </c>
      <c r="C10">
        <v>100.438</v>
      </c>
      <c r="D10" s="1">
        <v>83.904600000000002</v>
      </c>
    </row>
    <row r="11" spans="1:4" x14ac:dyDescent="0.3">
      <c r="A11">
        <v>1384</v>
      </c>
      <c r="B11">
        <v>6.3448000000000002</v>
      </c>
      <c r="C11">
        <v>100.858</v>
      </c>
      <c r="D11" s="1">
        <v>84.038399999999996</v>
      </c>
    </row>
    <row r="12" spans="1:4" x14ac:dyDescent="0.3">
      <c r="A12">
        <v>1375</v>
      </c>
      <c r="B12">
        <v>4.7619999999999996</v>
      </c>
      <c r="C12">
        <v>100.44799999999999</v>
      </c>
      <c r="D12" s="1">
        <v>83.967600000000004</v>
      </c>
    </row>
    <row r="13" spans="1:4" x14ac:dyDescent="0.3">
      <c r="A13">
        <v>1752</v>
      </c>
      <c r="B13">
        <v>4.3247</v>
      </c>
      <c r="C13">
        <v>100.158</v>
      </c>
      <c r="D13" s="1">
        <v>83.762900000000002</v>
      </c>
    </row>
    <row r="14" spans="1:4" x14ac:dyDescent="0.3">
      <c r="A14">
        <v>2667</v>
      </c>
      <c r="B14">
        <v>3.8426999999999998</v>
      </c>
      <c r="C14">
        <v>98.688400000000001</v>
      </c>
      <c r="D14" s="1">
        <v>83.896699999999996</v>
      </c>
    </row>
    <row r="15" spans="1:4" x14ac:dyDescent="0.3">
      <c r="A15">
        <v>2711</v>
      </c>
      <c r="B15">
        <v>3.1943000000000001</v>
      </c>
      <c r="C15">
        <v>99.068299999999994</v>
      </c>
      <c r="D15" s="1">
        <v>84.290400000000005</v>
      </c>
    </row>
    <row r="16" spans="1:4" x14ac:dyDescent="0.3">
      <c r="A16">
        <v>2745</v>
      </c>
      <c r="B16">
        <v>2.0914999999999999</v>
      </c>
      <c r="C16">
        <v>99.068299999999994</v>
      </c>
      <c r="D16" s="1">
        <v>84.313999999999993</v>
      </c>
    </row>
    <row r="17" spans="1:4" x14ac:dyDescent="0.3">
      <c r="A17">
        <v>2477</v>
      </c>
      <c r="B17">
        <v>1.6389</v>
      </c>
      <c r="C17">
        <v>99.298299999999998</v>
      </c>
      <c r="D17" s="1">
        <v>84.597399999999993</v>
      </c>
    </row>
    <row r="18" spans="1:4" x14ac:dyDescent="0.3">
      <c r="A18">
        <v>2470</v>
      </c>
      <c r="B18">
        <v>1.7989999999999999</v>
      </c>
      <c r="C18">
        <v>96.888400000000004</v>
      </c>
      <c r="D18" s="1">
        <v>84.353300000000004</v>
      </c>
    </row>
    <row r="19" spans="1:4" x14ac:dyDescent="0.3">
      <c r="A19">
        <v>2766</v>
      </c>
      <c r="B19">
        <v>1.6557999999999999</v>
      </c>
      <c r="C19">
        <v>96.338399999999993</v>
      </c>
      <c r="D19" s="1">
        <v>84.180099999999996</v>
      </c>
    </row>
    <row r="20" spans="1:4" x14ac:dyDescent="0.3">
      <c r="A20">
        <v>2780</v>
      </c>
      <c r="B20">
        <v>1.2116</v>
      </c>
      <c r="C20">
        <v>96.998400000000004</v>
      </c>
      <c r="D20" s="1">
        <v>84.660399999999996</v>
      </c>
    </row>
    <row r="21" spans="1:4" x14ac:dyDescent="0.3">
      <c r="A21">
        <v>2778</v>
      </c>
      <c r="B21">
        <v>1.2146999999999999</v>
      </c>
      <c r="C21">
        <v>98.068399999999997</v>
      </c>
      <c r="D21" s="1">
        <v>85.219399999999993</v>
      </c>
    </row>
    <row r="22" spans="1:4" x14ac:dyDescent="0.3">
      <c r="A22">
        <v>2830</v>
      </c>
      <c r="B22">
        <v>1.2146999999999999</v>
      </c>
      <c r="C22">
        <v>97.758399999999995</v>
      </c>
      <c r="D22" s="1">
        <v>85.731200000000001</v>
      </c>
    </row>
    <row r="23" spans="1:4" x14ac:dyDescent="0.3">
      <c r="A23">
        <v>2869</v>
      </c>
      <c r="B23">
        <v>1.2146999999999999</v>
      </c>
      <c r="C23">
        <v>97.148399999999995</v>
      </c>
      <c r="D23" s="1">
        <v>86.990899999999996</v>
      </c>
    </row>
    <row r="24" spans="1:4" x14ac:dyDescent="0.3">
      <c r="A24">
        <v>2482</v>
      </c>
      <c r="B24">
        <v>1.6580999999999999</v>
      </c>
      <c r="C24">
        <v>97.728399999999993</v>
      </c>
      <c r="D24" s="1">
        <v>87.510499999999993</v>
      </c>
    </row>
    <row r="25" spans="1:4" x14ac:dyDescent="0.3">
      <c r="A25">
        <v>2540</v>
      </c>
      <c r="B25">
        <v>1.6445000000000001</v>
      </c>
      <c r="C25">
        <v>97.358400000000003</v>
      </c>
      <c r="D25" s="1">
        <v>88.297799999999995</v>
      </c>
    </row>
    <row r="26" spans="1:4" x14ac:dyDescent="0.3">
      <c r="A26">
        <v>4473</v>
      </c>
      <c r="B26">
        <v>1.6445000000000001</v>
      </c>
      <c r="C26">
        <v>95.638400000000004</v>
      </c>
      <c r="D26" s="1">
        <v>88.219099999999997</v>
      </c>
    </row>
    <row r="27" spans="1:4" x14ac:dyDescent="0.3">
      <c r="A27">
        <v>4474</v>
      </c>
      <c r="B27">
        <v>1.675</v>
      </c>
      <c r="C27">
        <v>95.258399999999995</v>
      </c>
      <c r="D27" s="1">
        <v>87.919899999999998</v>
      </c>
    </row>
    <row r="28" spans="1:4" x14ac:dyDescent="0.3">
      <c r="A28">
        <v>4854</v>
      </c>
      <c r="B28">
        <v>1.7356</v>
      </c>
      <c r="C28">
        <v>96.788399999999996</v>
      </c>
      <c r="D28" s="1">
        <v>88.817400000000006</v>
      </c>
    </row>
    <row r="29" spans="1:4" x14ac:dyDescent="0.3">
      <c r="A29">
        <v>4888</v>
      </c>
      <c r="B29">
        <v>1.8418000000000001</v>
      </c>
      <c r="C29">
        <v>97.808400000000006</v>
      </c>
      <c r="D29" s="1">
        <v>89.6678</v>
      </c>
    </row>
    <row r="30" spans="1:4" x14ac:dyDescent="0.3">
      <c r="A30">
        <v>4501</v>
      </c>
      <c r="B30">
        <v>2.0756000000000001</v>
      </c>
      <c r="C30">
        <v>99.028300000000002</v>
      </c>
      <c r="D30" s="1">
        <v>90.289699999999996</v>
      </c>
    </row>
    <row r="31" spans="1:4" x14ac:dyDescent="0.3">
      <c r="A31">
        <v>4515</v>
      </c>
      <c r="B31">
        <v>2.0756000000000001</v>
      </c>
      <c r="C31">
        <v>98.868399999999994</v>
      </c>
      <c r="D31" s="1">
        <v>91.297499999999999</v>
      </c>
    </row>
    <row r="32" spans="1:4" x14ac:dyDescent="0.3">
      <c r="A32">
        <v>4565</v>
      </c>
      <c r="B32">
        <v>2.5529000000000002</v>
      </c>
      <c r="C32">
        <v>98.398399999999995</v>
      </c>
      <c r="D32" s="1">
        <v>92.557199999999995</v>
      </c>
    </row>
    <row r="33" spans="1:4" x14ac:dyDescent="0.3">
      <c r="A33">
        <v>4564</v>
      </c>
      <c r="B33">
        <v>2.6164000000000001</v>
      </c>
      <c r="C33">
        <v>98.628399999999999</v>
      </c>
      <c r="D33" s="1">
        <v>93.092600000000004</v>
      </c>
    </row>
    <row r="34" spans="1:4" x14ac:dyDescent="0.3">
      <c r="A34">
        <v>4570</v>
      </c>
      <c r="B34">
        <v>3.0005000000000002</v>
      </c>
      <c r="C34">
        <v>98.078400000000002</v>
      </c>
      <c r="D34" s="1">
        <v>93.446899999999999</v>
      </c>
    </row>
    <row r="35" spans="1:4" x14ac:dyDescent="0.3">
      <c r="A35">
        <v>4908</v>
      </c>
      <c r="B35">
        <v>3.1888999999999998</v>
      </c>
      <c r="C35">
        <v>97.118399999999994</v>
      </c>
      <c r="D35" s="1">
        <v>94.557000000000002</v>
      </c>
    </row>
    <row r="36" spans="1:4" x14ac:dyDescent="0.3">
      <c r="A36">
        <v>4890</v>
      </c>
      <c r="B36">
        <v>3.7321</v>
      </c>
      <c r="C36">
        <v>95.398399999999995</v>
      </c>
      <c r="D36" s="1">
        <v>95.611999999999995</v>
      </c>
    </row>
    <row r="37" spans="1:4" x14ac:dyDescent="0.3">
      <c r="A37">
        <v>4598</v>
      </c>
      <c r="B37">
        <v>3.7321</v>
      </c>
      <c r="C37">
        <v>94.008399999999995</v>
      </c>
      <c r="D37" s="1">
        <v>94.801100000000005</v>
      </c>
    </row>
    <row r="38" spans="1:4" x14ac:dyDescent="0.3">
      <c r="A38">
        <v>6869</v>
      </c>
      <c r="B38">
        <v>4.1611000000000002</v>
      </c>
      <c r="C38">
        <v>95.048400000000001</v>
      </c>
      <c r="D38" s="1">
        <v>95.722200000000001</v>
      </c>
    </row>
    <row r="39" spans="1:4" x14ac:dyDescent="0.3">
      <c r="A39">
        <v>6950</v>
      </c>
      <c r="B39">
        <v>4.7948000000000004</v>
      </c>
      <c r="C39">
        <v>96.858400000000003</v>
      </c>
      <c r="D39" s="1">
        <v>96.667000000000002</v>
      </c>
    </row>
    <row r="40" spans="1:4" x14ac:dyDescent="0.3">
      <c r="A40">
        <v>6220</v>
      </c>
      <c r="B40">
        <v>5.5069999999999997</v>
      </c>
      <c r="C40">
        <v>97.278400000000005</v>
      </c>
      <c r="D40" s="1">
        <v>97.918899999999994</v>
      </c>
    </row>
    <row r="41" spans="1:4" x14ac:dyDescent="0.3">
      <c r="A41">
        <v>6298</v>
      </c>
      <c r="B41">
        <v>7.0762</v>
      </c>
      <c r="C41">
        <v>99.548299999999998</v>
      </c>
      <c r="D41" s="1">
        <v>99.619500000000002</v>
      </c>
    </row>
    <row r="42" spans="1:4" x14ac:dyDescent="0.3">
      <c r="A42">
        <v>6286</v>
      </c>
      <c r="B42">
        <v>7.8234000000000004</v>
      </c>
      <c r="C42">
        <v>99.198300000000003</v>
      </c>
      <c r="D42" s="1">
        <v>99.178600000000003</v>
      </c>
    </row>
    <row r="43" spans="1:4" x14ac:dyDescent="0.3">
      <c r="A43">
        <v>6353</v>
      </c>
      <c r="B43">
        <v>7.9564000000000004</v>
      </c>
      <c r="C43">
        <v>100.458</v>
      </c>
      <c r="D43" s="1">
        <v>99.272999999999996</v>
      </c>
    </row>
    <row r="44" spans="1:4" x14ac:dyDescent="0.3">
      <c r="A44">
        <v>6319</v>
      </c>
      <c r="B44">
        <v>7.9676999999999998</v>
      </c>
      <c r="C44">
        <v>101.908</v>
      </c>
      <c r="D44" s="1">
        <v>100.879</v>
      </c>
    </row>
    <row r="45" spans="1:4" x14ac:dyDescent="0.3">
      <c r="A45">
        <v>7155</v>
      </c>
      <c r="B45">
        <v>8.1056000000000008</v>
      </c>
      <c r="C45">
        <v>100.318</v>
      </c>
      <c r="D45" s="1">
        <v>100.919</v>
      </c>
    </row>
    <row r="46" spans="1:4" x14ac:dyDescent="0.3">
      <c r="A46">
        <v>7157</v>
      </c>
      <c r="B46">
        <v>8.1387999999999998</v>
      </c>
      <c r="C46">
        <v>100.288</v>
      </c>
      <c r="D46" s="1">
        <v>101.422</v>
      </c>
    </row>
    <row r="47" spans="1:4" x14ac:dyDescent="0.3">
      <c r="A47">
        <v>6484</v>
      </c>
      <c r="B47">
        <v>8.1387999999999998</v>
      </c>
      <c r="C47">
        <v>101.83799999999999</v>
      </c>
      <c r="D47" s="1">
        <v>102.375</v>
      </c>
    </row>
    <row r="48" spans="1:4" x14ac:dyDescent="0.3">
      <c r="A48">
        <v>6710</v>
      </c>
      <c r="B48">
        <v>8.2583000000000002</v>
      </c>
      <c r="C48">
        <v>103.598</v>
      </c>
      <c r="D48" s="1">
        <v>103.155</v>
      </c>
    </row>
    <row r="49" spans="1:4" x14ac:dyDescent="0.3">
      <c r="A49">
        <v>6657</v>
      </c>
      <c r="B49">
        <v>8.2451000000000008</v>
      </c>
      <c r="C49">
        <v>103.658</v>
      </c>
      <c r="D49" s="1">
        <v>102.871</v>
      </c>
    </row>
    <row r="50" spans="1:4" x14ac:dyDescent="0.3">
      <c r="A50">
        <v>10497</v>
      </c>
      <c r="B50">
        <v>8.2899999999999991</v>
      </c>
      <c r="C50">
        <v>102.798</v>
      </c>
      <c r="D50" s="1">
        <v>104.107</v>
      </c>
    </row>
    <row r="51" spans="1:4" x14ac:dyDescent="0.3">
      <c r="A51">
        <v>9672</v>
      </c>
      <c r="B51">
        <v>8.2899999999999991</v>
      </c>
      <c r="C51">
        <v>103.828</v>
      </c>
      <c r="D51" s="1">
        <v>104.446</v>
      </c>
    </row>
    <row r="52" spans="1:4" x14ac:dyDescent="0.3">
      <c r="A52">
        <v>9767</v>
      </c>
      <c r="B52">
        <v>8.2899999999999991</v>
      </c>
      <c r="C52">
        <v>103.44799999999999</v>
      </c>
      <c r="D52" s="1">
        <v>104.69</v>
      </c>
    </row>
    <row r="53" spans="1:4" x14ac:dyDescent="0.3">
      <c r="A53">
        <v>9853</v>
      </c>
      <c r="B53">
        <v>8.2899999999999991</v>
      </c>
      <c r="C53">
        <v>102.878</v>
      </c>
      <c r="D53" s="1">
        <v>105.761</v>
      </c>
    </row>
    <row r="54" spans="1:4" x14ac:dyDescent="0.3">
      <c r="A54">
        <v>9907</v>
      </c>
      <c r="B54">
        <v>8.2899999999999991</v>
      </c>
      <c r="C54">
        <v>101.068</v>
      </c>
      <c r="D54" s="1">
        <v>106.241</v>
      </c>
    </row>
    <row r="55" spans="1:4" x14ac:dyDescent="0.3">
      <c r="A55">
        <v>9886</v>
      </c>
      <c r="B55">
        <v>8.49</v>
      </c>
      <c r="C55">
        <v>102.428</v>
      </c>
      <c r="D55" s="1">
        <v>106.863</v>
      </c>
    </row>
    <row r="56" spans="1:4" x14ac:dyDescent="0.3">
      <c r="A56">
        <v>10914</v>
      </c>
      <c r="B56">
        <v>8.49</v>
      </c>
      <c r="C56">
        <v>102.798</v>
      </c>
      <c r="D56" s="1">
        <v>108.57899999999999</v>
      </c>
    </row>
    <row r="57" spans="1:4" x14ac:dyDescent="0.3">
      <c r="A57">
        <v>10594</v>
      </c>
      <c r="B57">
        <v>8.81</v>
      </c>
      <c r="C57">
        <v>102.958</v>
      </c>
      <c r="D57" s="1">
        <v>109.93300000000001</v>
      </c>
    </row>
    <row r="58" spans="1:4" x14ac:dyDescent="0.3">
      <c r="A58">
        <v>9990</v>
      </c>
      <c r="B58">
        <v>8.81</v>
      </c>
      <c r="C58">
        <v>103.358</v>
      </c>
      <c r="D58" s="1">
        <v>110.28</v>
      </c>
    </row>
    <row r="59" spans="1:4" x14ac:dyDescent="0.3">
      <c r="A59">
        <v>11053</v>
      </c>
      <c r="B59">
        <v>8.81</v>
      </c>
      <c r="C59">
        <v>103.518</v>
      </c>
      <c r="D59" s="1">
        <v>110.673</v>
      </c>
    </row>
    <row r="60" spans="1:4" x14ac:dyDescent="0.3">
      <c r="A60">
        <v>11531</v>
      </c>
      <c r="B60">
        <v>8.81</v>
      </c>
      <c r="C60">
        <v>102.748</v>
      </c>
      <c r="D60" s="1">
        <v>111.476</v>
      </c>
    </row>
    <row r="61" spans="1:4" x14ac:dyDescent="0.3">
      <c r="A61">
        <v>11512</v>
      </c>
      <c r="B61">
        <v>8.81</v>
      </c>
      <c r="C61">
        <v>102.348</v>
      </c>
      <c r="D61" s="1">
        <v>112.004</v>
      </c>
    </row>
    <row r="62" spans="1:4" x14ac:dyDescent="0.3">
      <c r="A62">
        <v>11349</v>
      </c>
      <c r="B62">
        <v>8.81</v>
      </c>
      <c r="C62">
        <v>101.66800000000001</v>
      </c>
      <c r="D62" s="1">
        <v>111.02</v>
      </c>
    </row>
    <row r="63" spans="1:4" x14ac:dyDescent="0.3">
      <c r="A63">
        <v>11589</v>
      </c>
      <c r="B63">
        <v>8.81</v>
      </c>
      <c r="C63">
        <v>102.83799999999999</v>
      </c>
      <c r="D63" s="1">
        <v>112.169</v>
      </c>
    </row>
    <row r="64" spans="1:4" x14ac:dyDescent="0.3">
      <c r="A64">
        <v>10066</v>
      </c>
      <c r="B64">
        <v>8.83</v>
      </c>
      <c r="C64">
        <v>102.508</v>
      </c>
      <c r="D64" s="1">
        <v>112.72</v>
      </c>
    </row>
    <row r="65" spans="1:4" x14ac:dyDescent="0.3">
      <c r="A65">
        <v>10186</v>
      </c>
      <c r="B65">
        <v>8.9</v>
      </c>
      <c r="C65">
        <v>101.108</v>
      </c>
      <c r="D65" s="1">
        <v>113.075</v>
      </c>
    </row>
    <row r="66" spans="1:4" x14ac:dyDescent="0.3">
      <c r="A66">
        <v>10147</v>
      </c>
      <c r="B66">
        <v>8.9</v>
      </c>
      <c r="C66">
        <v>101.66800000000001</v>
      </c>
      <c r="D66" s="1">
        <v>114.114</v>
      </c>
    </row>
    <row r="67" spans="1:4" x14ac:dyDescent="0.3">
      <c r="A67">
        <v>11632</v>
      </c>
      <c r="B67">
        <v>8.9</v>
      </c>
      <c r="C67">
        <v>102.008</v>
      </c>
      <c r="D67" s="1">
        <v>114.342</v>
      </c>
    </row>
    <row r="68" spans="1:4" x14ac:dyDescent="0.3">
      <c r="A68">
        <v>11729</v>
      </c>
      <c r="B68">
        <v>8.9</v>
      </c>
      <c r="C68">
        <v>101.02800000000001</v>
      </c>
      <c r="D68" s="1">
        <v>115.5</v>
      </c>
    </row>
    <row r="69" spans="1:4" x14ac:dyDescent="0.3">
      <c r="A69">
        <v>10237</v>
      </c>
      <c r="B69">
        <v>9.14</v>
      </c>
      <c r="C69">
        <v>101.878</v>
      </c>
      <c r="D69" s="1">
        <v>117.027</v>
      </c>
    </row>
    <row r="70" spans="1:4" x14ac:dyDescent="0.3">
      <c r="A70">
        <v>10405</v>
      </c>
      <c r="B70">
        <v>9.14</v>
      </c>
      <c r="C70">
        <v>102.55800000000001</v>
      </c>
      <c r="D70" s="1">
        <v>119.515</v>
      </c>
    </row>
    <row r="71" spans="1:4" x14ac:dyDescent="0.3">
      <c r="A71">
        <v>10374</v>
      </c>
      <c r="B71">
        <v>9.14</v>
      </c>
      <c r="C71">
        <v>101.568</v>
      </c>
      <c r="D71" s="1">
        <v>120.979</v>
      </c>
    </row>
    <row r="72" spans="1:4" x14ac:dyDescent="0.3">
      <c r="A72">
        <v>10358</v>
      </c>
      <c r="B72">
        <v>9.14</v>
      </c>
      <c r="C72">
        <v>99.2483</v>
      </c>
      <c r="D72" s="1">
        <v>121.145</v>
      </c>
    </row>
    <row r="73" spans="1:4" x14ac:dyDescent="0.3">
      <c r="A73">
        <v>10425</v>
      </c>
      <c r="B73">
        <v>9.26</v>
      </c>
      <c r="C73">
        <v>100.69799999999999</v>
      </c>
      <c r="D73" s="1">
        <v>121.85299999999999</v>
      </c>
    </row>
    <row r="74" spans="1:4" x14ac:dyDescent="0.3">
      <c r="A74">
        <v>13666</v>
      </c>
      <c r="B74">
        <v>9.3000000000000007</v>
      </c>
      <c r="C74">
        <v>100.938</v>
      </c>
      <c r="D74" s="1">
        <v>124.184</v>
      </c>
    </row>
    <row r="75" spans="1:4" x14ac:dyDescent="0.3">
      <c r="A75">
        <v>13353</v>
      </c>
      <c r="B75">
        <v>9.74</v>
      </c>
      <c r="C75">
        <v>101.11799999999999</v>
      </c>
      <c r="D75" s="1">
        <v>124.79</v>
      </c>
    </row>
    <row r="76" spans="1:4" x14ac:dyDescent="0.3">
      <c r="A76">
        <v>13996</v>
      </c>
      <c r="B76">
        <v>9.82</v>
      </c>
      <c r="C76">
        <v>101.298</v>
      </c>
      <c r="D76" s="1">
        <v>128.63200000000001</v>
      </c>
    </row>
    <row r="77" spans="1:4" x14ac:dyDescent="0.3">
      <c r="A77">
        <v>14259</v>
      </c>
      <c r="B77">
        <v>9.8699999999999992</v>
      </c>
      <c r="C77">
        <v>99.328299999999999</v>
      </c>
      <c r="D77" s="1">
        <v>132.53700000000001</v>
      </c>
    </row>
    <row r="78" spans="1:4" x14ac:dyDescent="0.3">
      <c r="A78">
        <v>14957</v>
      </c>
      <c r="B78">
        <v>9.89</v>
      </c>
      <c r="C78">
        <v>96.228399999999993</v>
      </c>
      <c r="D78" s="1">
        <v>136.10400000000001</v>
      </c>
    </row>
    <row r="79" spans="1:4" x14ac:dyDescent="0.3">
      <c r="A79">
        <v>14018</v>
      </c>
      <c r="B79">
        <v>11.47</v>
      </c>
      <c r="C79">
        <v>98.568399999999997</v>
      </c>
      <c r="D79" s="1">
        <v>138.96199999999999</v>
      </c>
    </row>
    <row r="80" spans="1:4" x14ac:dyDescent="0.3">
      <c r="A80">
        <v>14163</v>
      </c>
      <c r="B80">
        <v>11.47</v>
      </c>
      <c r="C80">
        <v>95.038399999999996</v>
      </c>
      <c r="D80" s="1">
        <v>143.59899999999999</v>
      </c>
    </row>
    <row r="81" spans="1:4" x14ac:dyDescent="0.3">
      <c r="A81">
        <v>14324</v>
      </c>
      <c r="B81">
        <v>11.47</v>
      </c>
      <c r="C81">
        <v>93.878399999999999</v>
      </c>
      <c r="D81" s="1">
        <v>146.66999999999999</v>
      </c>
    </row>
    <row r="82" spans="1:4" x14ac:dyDescent="0.3">
      <c r="A82">
        <v>14267</v>
      </c>
      <c r="B82">
        <v>12.69</v>
      </c>
      <c r="C82">
        <v>93.378399999999999</v>
      </c>
      <c r="D82" s="1">
        <v>148.095</v>
      </c>
    </row>
    <row r="83" spans="1:4" x14ac:dyDescent="0.3">
      <c r="A83">
        <v>14083</v>
      </c>
      <c r="B83">
        <v>12.66</v>
      </c>
      <c r="C83">
        <v>95.328400000000002</v>
      </c>
      <c r="D83" s="1">
        <v>151.22800000000001</v>
      </c>
    </row>
    <row r="84" spans="1:4" x14ac:dyDescent="0.3">
      <c r="A84">
        <v>13915</v>
      </c>
      <c r="B84">
        <v>14.01</v>
      </c>
      <c r="C84">
        <v>98.778400000000005</v>
      </c>
      <c r="D84" s="1">
        <v>151.047</v>
      </c>
    </row>
    <row r="85" spans="1:4" x14ac:dyDescent="0.3">
      <c r="A85">
        <v>14099</v>
      </c>
      <c r="B85">
        <v>14.01</v>
      </c>
      <c r="C85">
        <v>99.018299999999996</v>
      </c>
      <c r="D85" s="1">
        <v>150.29900000000001</v>
      </c>
    </row>
    <row r="86" spans="1:4" x14ac:dyDescent="0.3">
      <c r="A86">
        <v>5751</v>
      </c>
      <c r="B86">
        <v>13.99</v>
      </c>
      <c r="C86">
        <v>98.758399999999995</v>
      </c>
      <c r="D86" s="1">
        <v>149.661</v>
      </c>
    </row>
    <row r="87" spans="1:4" x14ac:dyDescent="0.3">
      <c r="A87">
        <v>5815</v>
      </c>
      <c r="B87">
        <v>12.96</v>
      </c>
      <c r="C87">
        <v>102.02800000000001</v>
      </c>
      <c r="D87" s="1">
        <v>151.08699999999999</v>
      </c>
    </row>
    <row r="88" spans="1:4" x14ac:dyDescent="0.3">
      <c r="A88">
        <v>5379</v>
      </c>
      <c r="B88">
        <v>11.77</v>
      </c>
      <c r="C88">
        <v>102.718</v>
      </c>
      <c r="D88" s="1">
        <v>153.15700000000001</v>
      </c>
    </row>
    <row r="89" spans="1:4" x14ac:dyDescent="0.3">
      <c r="A89">
        <v>5521</v>
      </c>
      <c r="B89">
        <v>12.95</v>
      </c>
      <c r="C89">
        <v>101.66800000000001</v>
      </c>
      <c r="D89" s="1">
        <v>155.322</v>
      </c>
    </row>
    <row r="90" spans="1:4" x14ac:dyDescent="0.3">
      <c r="A90">
        <v>5917</v>
      </c>
      <c r="B90">
        <v>13.14</v>
      </c>
      <c r="C90">
        <v>99.538300000000007</v>
      </c>
      <c r="D90" s="1">
        <v>155.684</v>
      </c>
    </row>
    <row r="91" spans="1:4" x14ac:dyDescent="0.3">
      <c r="A91">
        <v>6078</v>
      </c>
      <c r="B91">
        <v>12.01</v>
      </c>
      <c r="C91">
        <v>98.588399999999993</v>
      </c>
      <c r="D91" s="1">
        <v>157.22</v>
      </c>
    </row>
    <row r="92" spans="1:4" x14ac:dyDescent="0.3">
      <c r="A92">
        <v>7635</v>
      </c>
      <c r="B92">
        <v>11.38</v>
      </c>
      <c r="C92">
        <v>97.608400000000003</v>
      </c>
      <c r="D92" s="1">
        <v>159.64500000000001</v>
      </c>
    </row>
    <row r="93" spans="1:4" x14ac:dyDescent="0.3">
      <c r="A93">
        <v>7340</v>
      </c>
      <c r="B93">
        <v>12.44</v>
      </c>
      <c r="C93">
        <v>96.828400000000002</v>
      </c>
      <c r="D93" s="1">
        <v>162.35300000000001</v>
      </c>
    </row>
    <row r="94" spans="1:4" x14ac:dyDescent="0.3">
      <c r="A94">
        <v>6143</v>
      </c>
      <c r="B94">
        <v>12.58</v>
      </c>
      <c r="C94">
        <v>96.028400000000005</v>
      </c>
      <c r="D94" s="1">
        <v>163.08500000000001</v>
      </c>
    </row>
    <row r="95" spans="1:4" x14ac:dyDescent="0.3">
      <c r="A95">
        <v>7620</v>
      </c>
      <c r="B95">
        <v>12.59</v>
      </c>
      <c r="C95">
        <v>95.088399999999993</v>
      </c>
      <c r="D95" s="1">
        <v>164.636</v>
      </c>
    </row>
    <row r="96" spans="1:4" x14ac:dyDescent="0.3">
      <c r="A96">
        <v>5569</v>
      </c>
      <c r="B96">
        <v>12.32</v>
      </c>
      <c r="C96">
        <v>95.508399999999995</v>
      </c>
      <c r="D96" s="1">
        <v>166.92699999999999</v>
      </c>
    </row>
    <row r="97" spans="1:4" x14ac:dyDescent="0.3">
      <c r="A97">
        <v>6038</v>
      </c>
      <c r="B97">
        <v>12.1</v>
      </c>
      <c r="C97">
        <v>96.288399999999996</v>
      </c>
      <c r="D97" s="1">
        <v>166.11600000000001</v>
      </c>
    </row>
    <row r="98" spans="1:4" x14ac:dyDescent="0.3">
      <c r="A98">
        <v>9591</v>
      </c>
      <c r="B98">
        <v>11.9</v>
      </c>
      <c r="C98">
        <v>97.588399999999993</v>
      </c>
      <c r="D98" s="1">
        <v>170.059</v>
      </c>
    </row>
    <row r="99" spans="1:4" x14ac:dyDescent="0.3">
      <c r="A99">
        <v>9595</v>
      </c>
      <c r="B99">
        <v>12.22</v>
      </c>
      <c r="C99">
        <v>99.778300000000002</v>
      </c>
      <c r="D99" s="1">
        <v>170.702</v>
      </c>
    </row>
    <row r="100" spans="1:4" x14ac:dyDescent="0.3">
      <c r="A100">
        <v>9627</v>
      </c>
      <c r="B100">
        <v>12.34</v>
      </c>
      <c r="C100">
        <v>101.188</v>
      </c>
      <c r="D100" s="1">
        <v>172.827</v>
      </c>
    </row>
    <row r="101" spans="1:4" x14ac:dyDescent="0.3">
      <c r="A101">
        <v>9437</v>
      </c>
      <c r="B101">
        <v>12.27</v>
      </c>
      <c r="C101">
        <v>102.878</v>
      </c>
      <c r="D101" s="1">
        <v>175.988</v>
      </c>
    </row>
    <row r="102" spans="1:4" x14ac:dyDescent="0.3">
      <c r="A102">
        <v>9657</v>
      </c>
      <c r="B102">
        <v>12.0884</v>
      </c>
      <c r="C102">
        <v>105.428</v>
      </c>
      <c r="D102" s="1">
        <v>176.22399999999999</v>
      </c>
    </row>
    <row r="103" spans="1:4" x14ac:dyDescent="0.3">
      <c r="A103">
        <v>9727</v>
      </c>
      <c r="B103">
        <v>12.2705</v>
      </c>
      <c r="C103">
        <v>105.58799999999999</v>
      </c>
      <c r="D103" s="1">
        <v>176.85400000000001</v>
      </c>
    </row>
    <row r="104" spans="1:4" x14ac:dyDescent="0.3">
      <c r="A104">
        <v>9737</v>
      </c>
      <c r="B104">
        <v>12.334</v>
      </c>
      <c r="C104">
        <v>104.498</v>
      </c>
      <c r="D104" s="1">
        <v>180.52699999999999</v>
      </c>
    </row>
    <row r="105" spans="1:4" x14ac:dyDescent="0.3">
      <c r="A105">
        <v>9776</v>
      </c>
      <c r="B105">
        <v>12.651199999999999</v>
      </c>
      <c r="C105">
        <v>104.818</v>
      </c>
      <c r="D105" s="1">
        <v>184.476</v>
      </c>
    </row>
    <row r="106" spans="1:4" x14ac:dyDescent="0.3">
      <c r="A106">
        <v>9786</v>
      </c>
      <c r="B106">
        <v>12.8226</v>
      </c>
      <c r="C106">
        <v>105.27800000000001</v>
      </c>
      <c r="D106" s="1">
        <v>188.227</v>
      </c>
    </row>
    <row r="107" spans="1:4" x14ac:dyDescent="0.3">
      <c r="A107">
        <v>9733</v>
      </c>
      <c r="B107">
        <v>13.0785</v>
      </c>
      <c r="C107">
        <v>102.688</v>
      </c>
      <c r="D107" s="1">
        <v>190.077</v>
      </c>
    </row>
    <row r="108" spans="1:4" x14ac:dyDescent="0.3">
      <c r="A108">
        <v>9797</v>
      </c>
      <c r="B108">
        <v>13.183299999999999</v>
      </c>
      <c r="C108">
        <v>104.58799999999999</v>
      </c>
      <c r="D108" s="1">
        <v>191.96600000000001</v>
      </c>
    </row>
    <row r="109" spans="1:4" x14ac:dyDescent="0.3">
      <c r="A109">
        <v>9805</v>
      </c>
      <c r="B109">
        <v>13.407299999999999</v>
      </c>
      <c r="C109">
        <v>106.398</v>
      </c>
      <c r="D109" s="1">
        <v>191.38900000000001</v>
      </c>
    </row>
    <row r="110" spans="1:4" x14ac:dyDescent="0.3">
      <c r="A110">
        <v>12273</v>
      </c>
      <c r="B110">
        <v>13.6195</v>
      </c>
      <c r="C110">
        <v>105.91800000000001</v>
      </c>
      <c r="D110" s="1">
        <v>193.71</v>
      </c>
    </row>
    <row r="111" spans="1:4" x14ac:dyDescent="0.3">
      <c r="A111">
        <v>12242</v>
      </c>
      <c r="B111">
        <v>13.675000000000001</v>
      </c>
      <c r="C111">
        <v>105.608</v>
      </c>
      <c r="D111" s="1">
        <v>192.63499999999999</v>
      </c>
    </row>
    <row r="112" spans="1:4" x14ac:dyDescent="0.3">
      <c r="A112">
        <v>11849</v>
      </c>
      <c r="B112">
        <v>13.608499999999999</v>
      </c>
      <c r="C112">
        <v>105.328</v>
      </c>
      <c r="D112" s="1">
        <v>195.33699999999999</v>
      </c>
    </row>
    <row r="113" spans="1:4" x14ac:dyDescent="0.3">
      <c r="A113">
        <v>12110</v>
      </c>
      <c r="B113">
        <v>13.6098</v>
      </c>
      <c r="C113">
        <v>105.348</v>
      </c>
      <c r="D113" s="1">
        <v>198.066</v>
      </c>
    </row>
    <row r="114" spans="1:4" x14ac:dyDescent="0.3">
      <c r="A114">
        <v>12140</v>
      </c>
      <c r="B114">
        <v>13.5421</v>
      </c>
      <c r="C114">
        <v>105.068</v>
      </c>
      <c r="D114" s="1">
        <v>198.512</v>
      </c>
    </row>
    <row r="115" spans="1:4" x14ac:dyDescent="0.3">
      <c r="A115">
        <v>12323</v>
      </c>
      <c r="B115">
        <v>13.728300000000001</v>
      </c>
      <c r="C115">
        <v>105.11799999999999</v>
      </c>
      <c r="D115" s="1">
        <v>200.41399999999999</v>
      </c>
    </row>
    <row r="116" spans="1:4" x14ac:dyDescent="0.3">
      <c r="A116">
        <v>12363</v>
      </c>
      <c r="B116">
        <v>13.7623</v>
      </c>
      <c r="C116">
        <v>105.288</v>
      </c>
      <c r="D116" s="1">
        <v>202.958</v>
      </c>
    </row>
    <row r="117" spans="1:4" x14ac:dyDescent="0.3">
      <c r="A117">
        <v>12360</v>
      </c>
      <c r="B117">
        <v>13.277200000000001</v>
      </c>
      <c r="C117">
        <v>104.72799999999999</v>
      </c>
      <c r="D117" s="1">
        <v>205.792</v>
      </c>
    </row>
    <row r="118" spans="1:4" x14ac:dyDescent="0.3">
      <c r="A118">
        <v>12299</v>
      </c>
      <c r="B118">
        <v>13.1965</v>
      </c>
      <c r="C118">
        <v>106.36799999999999</v>
      </c>
      <c r="D118" s="1">
        <v>207.917</v>
      </c>
    </row>
    <row r="119" spans="1:4" x14ac:dyDescent="0.3">
      <c r="A119">
        <v>12306</v>
      </c>
      <c r="B119">
        <v>11.8978</v>
      </c>
      <c r="C119">
        <v>108.688</v>
      </c>
      <c r="D119" s="1">
        <v>210.92099999999999</v>
      </c>
    </row>
    <row r="120" spans="1:4" x14ac:dyDescent="0.3">
      <c r="A120">
        <v>12267</v>
      </c>
      <c r="B120">
        <v>11.798</v>
      </c>
      <c r="C120">
        <v>109.428</v>
      </c>
      <c r="D120" s="1">
        <v>211.524</v>
      </c>
    </row>
    <row r="121" spans="1:4" x14ac:dyDescent="0.3">
      <c r="A121">
        <v>12281</v>
      </c>
      <c r="B121">
        <v>11.671799999999999</v>
      </c>
      <c r="C121">
        <v>108.248</v>
      </c>
      <c r="D121" s="1">
        <v>210.042</v>
      </c>
    </row>
    <row r="122" spans="1:4" x14ac:dyDescent="0.3">
      <c r="A122">
        <v>11930</v>
      </c>
      <c r="B122">
        <v>11.6264</v>
      </c>
      <c r="C122">
        <v>108.098</v>
      </c>
      <c r="D122" s="1">
        <v>213.26900000000001</v>
      </c>
    </row>
    <row r="123" spans="1:4" x14ac:dyDescent="0.3">
      <c r="A123">
        <v>11282</v>
      </c>
      <c r="B123">
        <v>11.807</v>
      </c>
      <c r="C123">
        <v>107.468</v>
      </c>
      <c r="D123" s="1">
        <v>213.91200000000001</v>
      </c>
    </row>
    <row r="124" spans="1:4" x14ac:dyDescent="0.3">
      <c r="A124">
        <v>11402</v>
      </c>
      <c r="B124">
        <v>11.928800000000001</v>
      </c>
      <c r="C124">
        <v>108.488</v>
      </c>
      <c r="D124" s="1">
        <v>216.417</v>
      </c>
    </row>
    <row r="125" spans="1:4" x14ac:dyDescent="0.3">
      <c r="A125">
        <v>11361</v>
      </c>
      <c r="B125">
        <v>11.9414</v>
      </c>
      <c r="C125">
        <v>109.648</v>
      </c>
      <c r="D125" s="1">
        <v>220.37899999999999</v>
      </c>
    </row>
    <row r="126" spans="1:4" x14ac:dyDescent="0.3">
      <c r="A126">
        <v>11187</v>
      </c>
      <c r="B126">
        <v>11.942</v>
      </c>
      <c r="C126">
        <v>112.008</v>
      </c>
      <c r="D126" s="1">
        <v>222.911</v>
      </c>
    </row>
    <row r="127" spans="1:4" x14ac:dyDescent="0.3">
      <c r="A127">
        <v>11125</v>
      </c>
      <c r="B127">
        <v>11.9419</v>
      </c>
      <c r="C127">
        <v>109.788</v>
      </c>
      <c r="D127" s="1">
        <v>222.989</v>
      </c>
    </row>
    <row r="128" spans="1:4" x14ac:dyDescent="0.3">
      <c r="A128">
        <v>12284</v>
      </c>
      <c r="B128">
        <v>11.8424</v>
      </c>
      <c r="C128">
        <v>108.928</v>
      </c>
      <c r="D128" s="1">
        <v>222.43799999999999</v>
      </c>
    </row>
    <row r="129" spans="1:4" x14ac:dyDescent="0.3">
      <c r="A129">
        <v>12263</v>
      </c>
      <c r="B129">
        <v>10.4314</v>
      </c>
      <c r="C129">
        <v>108.068</v>
      </c>
      <c r="D129" s="1">
        <v>224.43199999999999</v>
      </c>
    </row>
    <row r="130" spans="1:4" x14ac:dyDescent="0.3">
      <c r="A130">
        <v>11040</v>
      </c>
      <c r="B130">
        <v>10.230700000000001</v>
      </c>
      <c r="C130">
        <v>106.58799999999999</v>
      </c>
      <c r="D130" s="1">
        <v>226.203</v>
      </c>
    </row>
    <row r="131" spans="1:4" x14ac:dyDescent="0.3">
      <c r="A131">
        <v>10933</v>
      </c>
      <c r="B131">
        <v>9.6466999999999992</v>
      </c>
      <c r="C131">
        <v>105.188</v>
      </c>
      <c r="D131" s="1">
        <v>227.06899999999999</v>
      </c>
    </row>
    <row r="132" spans="1:4" x14ac:dyDescent="0.3">
      <c r="A132">
        <v>10930</v>
      </c>
      <c r="B132">
        <v>9.3192000000000004</v>
      </c>
      <c r="C132">
        <v>104.828</v>
      </c>
      <c r="D132" s="1">
        <v>226.17699999999999</v>
      </c>
    </row>
    <row r="133" spans="1:4" x14ac:dyDescent="0.3">
      <c r="A133">
        <v>10909</v>
      </c>
      <c r="B133">
        <v>9.2840000000000007</v>
      </c>
      <c r="C133">
        <v>104.468</v>
      </c>
      <c r="D133" s="1">
        <v>226.702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1"/>
  <sheetViews>
    <sheetView workbookViewId="0">
      <selection activeCell="Q16" sqref="Q16"/>
    </sheetView>
  </sheetViews>
  <sheetFormatPr defaultRowHeight="14.4" x14ac:dyDescent="0.3"/>
  <cols>
    <col min="6" max="6" width="11" bestFit="1" customWidth="1"/>
  </cols>
  <sheetData>
    <row r="1" spans="1:2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14</v>
      </c>
      <c r="F1" s="7" t="s">
        <v>29</v>
      </c>
      <c r="G1" s="8"/>
      <c r="H1" s="8"/>
      <c r="I1" s="8"/>
      <c r="J1" s="8"/>
      <c r="K1" s="8"/>
      <c r="L1" s="8"/>
      <c r="M1" s="8"/>
      <c r="N1" s="8"/>
      <c r="O1" s="8"/>
    </row>
    <row r="2" spans="1:21" x14ac:dyDescent="0.3">
      <c r="A2" s="1">
        <v>1671</v>
      </c>
      <c r="B2" s="1">
        <v>6.3472</v>
      </c>
      <c r="C2" s="1">
        <v>102.158</v>
      </c>
      <c r="D2" s="1">
        <v>81.046599999999998</v>
      </c>
      <c r="E2" s="2">
        <v>-4251.3426725137842</v>
      </c>
      <c r="F2">
        <f>E2^2</f>
        <v>18073914.519136645</v>
      </c>
      <c r="G2" s="19" t="s">
        <v>4</v>
      </c>
      <c r="H2" s="19"/>
      <c r="I2" s="19"/>
      <c r="J2" s="8"/>
      <c r="K2" s="8"/>
      <c r="L2" s="8"/>
      <c r="M2" s="8"/>
      <c r="N2" s="8"/>
      <c r="O2" s="8"/>
    </row>
    <row r="3" spans="1:21" x14ac:dyDescent="0.3">
      <c r="A3" s="1">
        <v>1331</v>
      </c>
      <c r="B3" s="1">
        <v>6.3861999999999997</v>
      </c>
      <c r="C3" s="1">
        <v>103.19799999999999</v>
      </c>
      <c r="D3" s="1">
        <v>81.322199999999995</v>
      </c>
      <c r="E3" s="2">
        <v>-4634.5536744829742</v>
      </c>
      <c r="F3" s="1">
        <f t="shared" ref="F3:F66" si="0">E3^2</f>
        <v>21479087.761663638</v>
      </c>
      <c r="G3" s="8"/>
      <c r="H3" s="8"/>
      <c r="I3" s="8"/>
      <c r="J3" s="8"/>
      <c r="K3" s="8"/>
      <c r="L3" s="8"/>
      <c r="M3" s="8"/>
      <c r="N3" s="8"/>
      <c r="O3" s="8"/>
    </row>
    <row r="4" spans="1:21" x14ac:dyDescent="0.3">
      <c r="A4" s="1">
        <v>1350</v>
      </c>
      <c r="B4" s="1">
        <v>6.4435000000000002</v>
      </c>
      <c r="C4" s="1">
        <v>103.63800000000001</v>
      </c>
      <c r="D4" s="1">
        <v>82.424400000000006</v>
      </c>
      <c r="E4" s="2">
        <v>-4674.7065606156357</v>
      </c>
      <c r="F4" s="1">
        <f t="shared" si="0"/>
        <v>21852881.427862868</v>
      </c>
      <c r="G4" s="8" t="s">
        <v>5</v>
      </c>
      <c r="H4" s="8"/>
      <c r="I4" s="8"/>
      <c r="J4" s="8"/>
      <c r="K4" s="8"/>
      <c r="L4" s="8"/>
      <c r="M4" s="8"/>
      <c r="N4" s="8"/>
      <c r="O4" s="8"/>
    </row>
    <row r="5" spans="1:21" ht="15" thickBot="1" x14ac:dyDescent="0.35">
      <c r="A5" s="1">
        <v>1363</v>
      </c>
      <c r="B5" s="1">
        <v>6.4488000000000003</v>
      </c>
      <c r="C5" s="1">
        <v>102.97799999999999</v>
      </c>
      <c r="D5" s="1">
        <v>82.7</v>
      </c>
      <c r="E5" s="2">
        <v>-4658.9931428625932</v>
      </c>
      <c r="F5" s="1">
        <f t="shared" si="0"/>
        <v>21706217.105240665</v>
      </c>
      <c r="G5" s="8"/>
      <c r="H5" s="8"/>
      <c r="I5" s="8"/>
      <c r="J5" s="8"/>
      <c r="K5" s="8"/>
      <c r="L5" s="8"/>
      <c r="M5" s="8"/>
      <c r="N5" s="8"/>
      <c r="O5" s="8"/>
    </row>
    <row r="6" spans="1:21" x14ac:dyDescent="0.3">
      <c r="A6" s="1">
        <v>1787</v>
      </c>
      <c r="B6" s="1">
        <v>6.4318999999999997</v>
      </c>
      <c r="C6" s="1">
        <v>100.498</v>
      </c>
      <c r="D6" s="1">
        <v>81.999300000000005</v>
      </c>
      <c r="E6" s="2">
        <v>-4171.3315229809305</v>
      </c>
      <c r="F6" s="1">
        <f t="shared" si="0"/>
        <v>17400006.674614407</v>
      </c>
      <c r="G6" s="9" t="s">
        <v>6</v>
      </c>
      <c r="H6" s="9"/>
      <c r="I6" s="8"/>
      <c r="J6" s="8"/>
      <c r="K6" s="8"/>
      <c r="L6" s="8"/>
      <c r="M6" s="8"/>
      <c r="N6" s="8"/>
      <c r="O6" s="8"/>
      <c r="Q6" t="s">
        <v>31</v>
      </c>
      <c r="S6">
        <f>M35*M32</f>
        <v>47.120229063411692</v>
      </c>
    </row>
    <row r="7" spans="1:21" x14ac:dyDescent="0.3">
      <c r="A7" s="1">
        <v>1656</v>
      </c>
      <c r="B7" s="1">
        <v>6.2809999999999997</v>
      </c>
      <c r="C7" s="1">
        <v>99.548299999999998</v>
      </c>
      <c r="D7" s="1">
        <v>82.589799999999997</v>
      </c>
      <c r="E7" s="2">
        <v>-4218.4165371170566</v>
      </c>
      <c r="F7" s="1">
        <f t="shared" si="0"/>
        <v>17795038.080622658</v>
      </c>
      <c r="G7" s="10" t="s">
        <v>7</v>
      </c>
      <c r="H7" s="10">
        <v>0.72801881059815043</v>
      </c>
      <c r="I7" s="8"/>
      <c r="J7" s="8"/>
      <c r="K7" s="8"/>
      <c r="L7" s="8"/>
      <c r="M7" s="8"/>
      <c r="N7" s="8"/>
      <c r="O7" s="8"/>
      <c r="Q7" t="s">
        <v>32</v>
      </c>
      <c r="S7">
        <f>_xlfn.CHISQ.INV(0.95,2)</f>
        <v>5.9914645471079799</v>
      </c>
    </row>
    <row r="8" spans="1:21" x14ac:dyDescent="0.3">
      <c r="A8" s="1">
        <v>1398</v>
      </c>
      <c r="B8" s="1">
        <v>6.4044999999999996</v>
      </c>
      <c r="C8" s="1">
        <v>98.588399999999993</v>
      </c>
      <c r="D8" s="1">
        <v>83.487300000000005</v>
      </c>
      <c r="E8" s="2">
        <v>-4543.4124395838371</v>
      </c>
      <c r="F8" s="1">
        <f t="shared" si="0"/>
        <v>20642596.596165154</v>
      </c>
      <c r="G8" s="10" t="s">
        <v>8</v>
      </c>
      <c r="H8" s="10">
        <v>0.53001138858474561</v>
      </c>
      <c r="I8" s="8"/>
      <c r="J8" s="8"/>
      <c r="K8" s="8"/>
      <c r="L8" s="8"/>
      <c r="M8" s="8"/>
      <c r="N8" s="8"/>
      <c r="O8" s="8"/>
      <c r="Q8" s="21" t="s">
        <v>33</v>
      </c>
      <c r="R8" s="21"/>
      <c r="S8" s="21"/>
      <c r="T8" s="21"/>
      <c r="U8" s="21"/>
    </row>
    <row r="9" spans="1:21" x14ac:dyDescent="0.3">
      <c r="A9" s="1">
        <v>1369</v>
      </c>
      <c r="B9" s="1">
        <v>6.3985000000000003</v>
      </c>
      <c r="C9" s="1">
        <v>99.828299999999999</v>
      </c>
      <c r="D9" s="1">
        <v>83.747100000000003</v>
      </c>
      <c r="E9" s="2">
        <v>-4594.8290082407148</v>
      </c>
      <c r="F9" s="1">
        <f t="shared" si="0"/>
        <v>21112453.614970349</v>
      </c>
      <c r="G9" s="10" t="s">
        <v>9</v>
      </c>
      <c r="H9" s="10">
        <v>0.51924829061340394</v>
      </c>
      <c r="I9" s="8"/>
      <c r="J9" s="8"/>
      <c r="K9" s="8"/>
      <c r="L9" s="8"/>
      <c r="M9" s="8"/>
      <c r="N9" s="8"/>
      <c r="O9" s="8"/>
    </row>
    <row r="10" spans="1:21" x14ac:dyDescent="0.3">
      <c r="A10" s="1">
        <v>1387</v>
      </c>
      <c r="B10" s="1">
        <v>6.3651</v>
      </c>
      <c r="C10" s="1">
        <v>100.438</v>
      </c>
      <c r="D10" s="1">
        <v>83.904600000000002</v>
      </c>
      <c r="E10" s="2">
        <v>-4572.336715379266</v>
      </c>
      <c r="F10" s="1">
        <f t="shared" si="0"/>
        <v>20906263.038805254</v>
      </c>
      <c r="G10" s="10" t="s">
        <v>10</v>
      </c>
      <c r="H10" s="10">
        <v>2729.2923166373353</v>
      </c>
      <c r="I10" s="8"/>
      <c r="J10" s="8"/>
      <c r="K10" s="8"/>
      <c r="L10" s="8"/>
      <c r="M10" s="8"/>
      <c r="N10" s="8"/>
      <c r="O10" s="8"/>
    </row>
    <row r="11" spans="1:21" ht="15" thickBot="1" x14ac:dyDescent="0.35">
      <c r="A11" s="1">
        <v>1384</v>
      </c>
      <c r="B11" s="1">
        <v>6.3448000000000002</v>
      </c>
      <c r="C11" s="1">
        <v>100.858</v>
      </c>
      <c r="D11" s="1">
        <v>84.038399999999996</v>
      </c>
      <c r="E11" s="2">
        <v>-4574.1693424068035</v>
      </c>
      <c r="F11" s="1">
        <f t="shared" si="0"/>
        <v>20923025.173014291</v>
      </c>
      <c r="G11" s="11" t="s">
        <v>11</v>
      </c>
      <c r="H11" s="11">
        <v>135</v>
      </c>
      <c r="I11" s="8"/>
      <c r="J11" s="8"/>
      <c r="K11" s="8"/>
      <c r="L11" s="8"/>
      <c r="M11" s="8"/>
      <c r="N11" s="8"/>
      <c r="O11" s="8"/>
    </row>
    <row r="12" spans="1:21" x14ac:dyDescent="0.3">
      <c r="A12" s="1">
        <v>1375</v>
      </c>
      <c r="B12" s="1">
        <v>4.7619999999999996</v>
      </c>
      <c r="C12" s="1">
        <v>100.44799999999999</v>
      </c>
      <c r="D12" s="1">
        <v>83.967600000000004</v>
      </c>
      <c r="E12" s="2">
        <v>-3738.222910562572</v>
      </c>
      <c r="F12" s="1">
        <f t="shared" si="0"/>
        <v>13974310.529054908</v>
      </c>
      <c r="G12" s="8"/>
      <c r="H12" s="8"/>
      <c r="I12" s="8"/>
      <c r="J12" s="8"/>
      <c r="K12" s="8"/>
      <c r="L12" s="8"/>
      <c r="M12" s="8"/>
      <c r="N12" s="8"/>
      <c r="O12" s="8"/>
    </row>
    <row r="13" spans="1:21" ht="15" thickBot="1" x14ac:dyDescent="0.35">
      <c r="A13" s="1">
        <v>1752</v>
      </c>
      <c r="B13" s="1">
        <v>4.3247</v>
      </c>
      <c r="C13" s="1">
        <v>100.158</v>
      </c>
      <c r="D13" s="1">
        <v>83.762900000000002</v>
      </c>
      <c r="E13" s="2">
        <v>-3121.2312900961333</v>
      </c>
      <c r="F13" s="1">
        <f t="shared" si="0"/>
        <v>9742084.7662751731</v>
      </c>
      <c r="G13" s="8" t="s">
        <v>12</v>
      </c>
      <c r="H13" s="8"/>
      <c r="I13" s="8"/>
      <c r="J13" s="8"/>
      <c r="K13" s="8"/>
      <c r="L13" s="8"/>
      <c r="M13" s="8"/>
      <c r="N13" s="8"/>
      <c r="O13" s="8"/>
    </row>
    <row r="14" spans="1:21" x14ac:dyDescent="0.3">
      <c r="A14" s="1">
        <v>2667</v>
      </c>
      <c r="B14" s="1">
        <v>3.8426999999999998</v>
      </c>
      <c r="C14" s="1">
        <v>98.688400000000001</v>
      </c>
      <c r="D14" s="1">
        <v>83.896699999999996</v>
      </c>
      <c r="E14" s="2">
        <v>-1929.7333040683152</v>
      </c>
      <c r="F14" s="1">
        <f t="shared" si="0"/>
        <v>3723870.6248304164</v>
      </c>
      <c r="G14" s="12"/>
      <c r="H14" s="12" t="s">
        <v>17</v>
      </c>
      <c r="I14" s="12" t="s">
        <v>18</v>
      </c>
      <c r="J14" s="12" t="s">
        <v>19</v>
      </c>
      <c r="K14" s="12" t="s">
        <v>20</v>
      </c>
      <c r="L14" s="12" t="s">
        <v>21</v>
      </c>
      <c r="M14" s="8"/>
      <c r="N14" s="8"/>
      <c r="O14" s="8"/>
    </row>
    <row r="15" spans="1:21" x14ac:dyDescent="0.3">
      <c r="A15" s="1">
        <v>2711</v>
      </c>
      <c r="B15" s="1">
        <v>3.1943000000000001</v>
      </c>
      <c r="C15" s="1">
        <v>99.068299999999994</v>
      </c>
      <c r="D15" s="1">
        <v>84.290400000000005</v>
      </c>
      <c r="E15" s="2">
        <v>-1556.9342428417285</v>
      </c>
      <c r="F15" s="1">
        <f t="shared" si="0"/>
        <v>2424044.2365331464</v>
      </c>
      <c r="G15" s="10" t="s">
        <v>13</v>
      </c>
      <c r="H15" s="10">
        <v>3</v>
      </c>
      <c r="I15" s="10">
        <v>1100447347.7284513</v>
      </c>
      <c r="J15" s="10">
        <v>366815782.57615042</v>
      </c>
      <c r="K15" s="10">
        <v>49.24338605817556</v>
      </c>
      <c r="L15" s="10">
        <v>2.2375872425432676E-21</v>
      </c>
      <c r="M15" s="8"/>
      <c r="N15" s="8"/>
      <c r="O15" s="8"/>
      <c r="Q15" t="s">
        <v>51</v>
      </c>
    </row>
    <row r="16" spans="1:21" x14ac:dyDescent="0.3">
      <c r="A16" s="1">
        <v>2745</v>
      </c>
      <c r="B16" s="1">
        <v>2.0914999999999999</v>
      </c>
      <c r="C16" s="1">
        <v>99.068299999999994</v>
      </c>
      <c r="D16" s="1">
        <v>84.313999999999993</v>
      </c>
      <c r="E16" s="2">
        <v>-940.37774005554638</v>
      </c>
      <c r="F16" s="1">
        <f t="shared" si="0"/>
        <v>884310.29399197677</v>
      </c>
      <c r="G16" s="10" t="s">
        <v>14</v>
      </c>
      <c r="H16" s="10">
        <v>131</v>
      </c>
      <c r="I16" s="10">
        <v>975823788.00488269</v>
      </c>
      <c r="J16" s="10">
        <v>7449036.549655593</v>
      </c>
      <c r="K16" s="10"/>
      <c r="L16" s="10"/>
      <c r="M16" s="8"/>
      <c r="N16" s="8"/>
      <c r="O16" s="8"/>
    </row>
    <row r="17" spans="1:20" ht="15" thickBot="1" x14ac:dyDescent="0.35">
      <c r="A17" s="1">
        <v>2477</v>
      </c>
      <c r="B17" s="1">
        <v>1.6389</v>
      </c>
      <c r="C17" s="1">
        <v>99.298299999999998</v>
      </c>
      <c r="D17" s="1">
        <v>84.597399999999993</v>
      </c>
      <c r="E17" s="2">
        <v>-978.45396870529112</v>
      </c>
      <c r="F17" s="1">
        <f t="shared" si="0"/>
        <v>957372.16887513478</v>
      </c>
      <c r="G17" s="11" t="s">
        <v>15</v>
      </c>
      <c r="H17" s="11">
        <v>134</v>
      </c>
      <c r="I17" s="11">
        <v>2076271135.7333341</v>
      </c>
      <c r="J17" s="11"/>
      <c r="K17" s="11"/>
      <c r="L17" s="11"/>
      <c r="M17" s="8"/>
      <c r="N17" s="8"/>
      <c r="O17" s="8"/>
    </row>
    <row r="18" spans="1:20" ht="15" thickBot="1" x14ac:dyDescent="0.35">
      <c r="A18" s="1">
        <v>2470</v>
      </c>
      <c r="B18" s="1">
        <v>1.7989999999999999</v>
      </c>
      <c r="C18" s="1">
        <v>96.888400000000004</v>
      </c>
      <c r="D18" s="1">
        <v>84.353300000000004</v>
      </c>
      <c r="E18" s="2">
        <v>-1025.4680497870495</v>
      </c>
      <c r="F18" s="1">
        <f t="shared" si="0"/>
        <v>1051584.7211340547</v>
      </c>
      <c r="G18" s="8"/>
      <c r="H18" s="8"/>
      <c r="I18" s="8"/>
      <c r="J18" s="8"/>
      <c r="K18" s="8"/>
      <c r="L18" s="8"/>
      <c r="M18" s="8"/>
      <c r="N18" s="8"/>
      <c r="O18" s="8"/>
    </row>
    <row r="19" spans="1:20" x14ac:dyDescent="0.3">
      <c r="A19" s="1">
        <v>2766</v>
      </c>
      <c r="B19" s="1">
        <v>1.6557999999999999</v>
      </c>
      <c r="C19" s="1">
        <v>96.338399999999993</v>
      </c>
      <c r="D19" s="1">
        <v>84.180099999999996</v>
      </c>
      <c r="E19" s="2">
        <v>-641.27662924534025</v>
      </c>
      <c r="F19" s="1">
        <f t="shared" si="0"/>
        <v>411235.71521626558</v>
      </c>
      <c r="G19" s="12"/>
      <c r="H19" s="12" t="s">
        <v>22</v>
      </c>
      <c r="I19" s="12" t="s">
        <v>10</v>
      </c>
      <c r="J19" s="12" t="s">
        <v>23</v>
      </c>
      <c r="K19" s="12" t="s">
        <v>24</v>
      </c>
      <c r="L19" s="12" t="s">
        <v>25</v>
      </c>
      <c r="M19" s="12" t="s">
        <v>26</v>
      </c>
      <c r="N19" s="12" t="s">
        <v>27</v>
      </c>
      <c r="O19" s="12" t="s">
        <v>28</v>
      </c>
    </row>
    <row r="20" spans="1:20" x14ac:dyDescent="0.3">
      <c r="A20" s="1">
        <v>2780</v>
      </c>
      <c r="B20" s="1">
        <v>1.2116</v>
      </c>
      <c r="C20" s="1">
        <v>96.998400000000004</v>
      </c>
      <c r="D20" s="1">
        <v>84.660399999999996</v>
      </c>
      <c r="E20" s="2">
        <v>-412.75941297086547</v>
      </c>
      <c r="F20" s="1">
        <f t="shared" si="0"/>
        <v>170370.33299605348</v>
      </c>
      <c r="G20" s="10" t="s">
        <v>16</v>
      </c>
      <c r="H20" s="10">
        <v>-709.52187366769431</v>
      </c>
      <c r="I20" s="10">
        <v>7398.9935075499816</v>
      </c>
      <c r="J20" s="10">
        <v>-9.5894377112737503E-2</v>
      </c>
      <c r="K20" s="10">
        <v>0.92375100148918921</v>
      </c>
      <c r="L20" s="10">
        <v>-15346.49598181846</v>
      </c>
      <c r="M20" s="10">
        <v>13927.452234483071</v>
      </c>
      <c r="N20" s="10">
        <v>-15346.49598181846</v>
      </c>
      <c r="O20" s="10">
        <v>13927.452234483071</v>
      </c>
    </row>
    <row r="21" spans="1:20" x14ac:dyDescent="0.3">
      <c r="A21" s="1">
        <v>2778</v>
      </c>
      <c r="B21" s="1">
        <v>1.2146999999999999</v>
      </c>
      <c r="C21" s="1">
        <v>98.068399999999997</v>
      </c>
      <c r="D21" s="1">
        <v>85.219399999999993</v>
      </c>
      <c r="E21" s="2">
        <v>-445.0371139857707</v>
      </c>
      <c r="F21" s="1">
        <f t="shared" si="0"/>
        <v>198058.03282478388</v>
      </c>
      <c r="G21" s="10" t="s">
        <v>1</v>
      </c>
      <c r="H21" s="10">
        <v>528.67126762630085</v>
      </c>
      <c r="I21" s="10">
        <v>95.746672757279342</v>
      </c>
      <c r="J21" s="10">
        <v>5.5215628115506235</v>
      </c>
      <c r="K21" s="10">
        <v>1.7360710402317493E-7</v>
      </c>
      <c r="L21" s="10">
        <v>339.26150957477103</v>
      </c>
      <c r="M21" s="10">
        <v>718.08102567783067</v>
      </c>
      <c r="N21" s="10">
        <v>339.26150957477103</v>
      </c>
      <c r="O21" s="10">
        <v>718.08102567783067</v>
      </c>
    </row>
    <row r="22" spans="1:20" x14ac:dyDescent="0.3">
      <c r="A22" s="1">
        <v>2830</v>
      </c>
      <c r="B22" s="1">
        <v>1.2146999999999999</v>
      </c>
      <c r="C22" s="1">
        <v>97.758399999999995</v>
      </c>
      <c r="D22" s="1">
        <v>85.731200000000001</v>
      </c>
      <c r="E22" s="2">
        <v>-397.93434868185705</v>
      </c>
      <c r="F22" s="1">
        <f t="shared" si="0"/>
        <v>158351.74586085379</v>
      </c>
      <c r="G22" s="10" t="s">
        <v>2</v>
      </c>
      <c r="H22" s="10">
        <v>16.534234119544802</v>
      </c>
      <c r="I22" s="10">
        <v>78.025807808906322</v>
      </c>
      <c r="J22" s="10">
        <v>0.21190724689501372</v>
      </c>
      <c r="K22" s="10">
        <v>0.83250873960507987</v>
      </c>
      <c r="L22" s="10">
        <v>-137.81942594261668</v>
      </c>
      <c r="M22" s="10">
        <v>170.88789418170629</v>
      </c>
      <c r="N22" s="10">
        <v>-137.81942594261668</v>
      </c>
      <c r="O22" s="10">
        <v>170.88789418170629</v>
      </c>
    </row>
    <row r="23" spans="1:20" ht="15" thickBot="1" x14ac:dyDescent="0.35">
      <c r="A23" s="1">
        <v>2869</v>
      </c>
      <c r="B23" s="1">
        <v>1.2146999999999999</v>
      </c>
      <c r="C23" s="1">
        <v>97.148399999999995</v>
      </c>
      <c r="D23" s="1">
        <v>86.990899999999996</v>
      </c>
      <c r="E23" s="2">
        <v>-373.51783028859245</v>
      </c>
      <c r="F23" s="1">
        <f t="shared" si="0"/>
        <v>139515.56954349775</v>
      </c>
      <c r="G23" s="11" t="s">
        <v>3</v>
      </c>
      <c r="H23" s="11">
        <v>19.583523394187591</v>
      </c>
      <c r="I23" s="11">
        <v>8.5512502926944851</v>
      </c>
      <c r="J23" s="11">
        <v>2.2901356788630327</v>
      </c>
      <c r="K23" s="11">
        <v>2.3611753801508078E-2</v>
      </c>
      <c r="L23" s="11">
        <v>2.6671105065742644</v>
      </c>
      <c r="M23" s="11">
        <v>36.499936281800913</v>
      </c>
      <c r="N23" s="11">
        <v>2.6671105065742644</v>
      </c>
      <c r="O23" s="11">
        <v>36.499936281800913</v>
      </c>
    </row>
    <row r="24" spans="1:20" x14ac:dyDescent="0.3">
      <c r="A24" s="1">
        <v>2482</v>
      </c>
      <c r="B24" s="1">
        <v>1.6580999999999999</v>
      </c>
      <c r="C24" s="1">
        <v>97.728399999999993</v>
      </c>
      <c r="D24" s="1">
        <v>87.510499999999993</v>
      </c>
      <c r="E24" s="2">
        <v>-1014.6961248990501</v>
      </c>
      <c r="F24" s="1">
        <f t="shared" si="0"/>
        <v>1029608.2258851487</v>
      </c>
    </row>
    <row r="25" spans="1:20" x14ac:dyDescent="0.3">
      <c r="A25" s="1">
        <v>2540</v>
      </c>
      <c r="B25" s="1">
        <v>1.6445000000000001</v>
      </c>
      <c r="C25" s="1">
        <v>97.358400000000003</v>
      </c>
      <c r="D25" s="1">
        <v>88.297799999999995</v>
      </c>
      <c r="E25" s="2">
        <v>-958.8066370033448</v>
      </c>
      <c r="F25" s="1">
        <f t="shared" si="0"/>
        <v>919310.16716166376</v>
      </c>
    </row>
    <row r="26" spans="1:20" x14ac:dyDescent="0.3">
      <c r="A26" s="1">
        <v>4473</v>
      </c>
      <c r="B26" s="1">
        <v>1.6445000000000001</v>
      </c>
      <c r="C26" s="1">
        <v>95.638400000000004</v>
      </c>
      <c r="D26" s="1">
        <v>88.219099999999997</v>
      </c>
      <c r="E26" s="2">
        <v>1004.1734689733944</v>
      </c>
      <c r="F26" s="1">
        <f t="shared" si="0"/>
        <v>1008364.3557900607</v>
      </c>
      <c r="L26" s="13"/>
      <c r="M26" s="13"/>
      <c r="N26" s="13"/>
      <c r="O26" s="13"/>
      <c r="P26" s="20" t="s">
        <v>30</v>
      </c>
      <c r="Q26" s="20"/>
      <c r="R26" s="20"/>
      <c r="S26" s="13"/>
      <c r="T26" s="13"/>
    </row>
    <row r="27" spans="1:20" x14ac:dyDescent="0.3">
      <c r="A27" s="1">
        <v>4474</v>
      </c>
      <c r="B27" s="1">
        <v>1.675</v>
      </c>
      <c r="C27" s="1">
        <v>95.258399999999995</v>
      </c>
      <c r="D27" s="1">
        <v>87.919899999999998</v>
      </c>
      <c r="E27" s="2">
        <v>1001.1913944757603</v>
      </c>
      <c r="F27" s="1">
        <f t="shared" si="0"/>
        <v>1002384.2083723174</v>
      </c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5" thickBot="1" x14ac:dyDescent="0.35">
      <c r="A28" s="1">
        <v>4854</v>
      </c>
      <c r="B28" s="1">
        <v>1.7356</v>
      </c>
      <c r="C28" s="1">
        <v>96.788399999999996</v>
      </c>
      <c r="D28" s="1">
        <v>88.817400000000006</v>
      </c>
      <c r="E28" s="2">
        <v>1306.2803252084195</v>
      </c>
      <c r="F28" s="1">
        <f t="shared" si="0"/>
        <v>1706368.2880266143</v>
      </c>
      <c r="L28" s="13" t="s">
        <v>5</v>
      </c>
      <c r="M28" s="13"/>
      <c r="N28" s="13"/>
      <c r="O28" s="13"/>
      <c r="P28" s="13"/>
      <c r="Q28" s="13"/>
      <c r="R28" s="13"/>
      <c r="S28" s="13"/>
      <c r="T28" s="13"/>
    </row>
    <row r="29" spans="1:20" ht="15" thickBot="1" x14ac:dyDescent="0.35">
      <c r="A29" s="1">
        <v>4888</v>
      </c>
      <c r="B29" s="1">
        <v>1.8418000000000001</v>
      </c>
      <c r="C29" s="1">
        <v>97.808400000000006</v>
      </c>
      <c r="D29" s="1">
        <v>89.6678</v>
      </c>
      <c r="E29" s="2">
        <v>1250.6166894901535</v>
      </c>
      <c r="F29" s="1">
        <f t="shared" si="0"/>
        <v>1564042.1040313109</v>
      </c>
      <c r="G29" s="4"/>
      <c r="H29" s="4"/>
      <c r="I29" s="4"/>
      <c r="L29" s="13"/>
      <c r="M29" s="13"/>
      <c r="N29" s="13"/>
      <c r="O29" s="13"/>
      <c r="P29" s="13"/>
      <c r="Q29" s="13"/>
      <c r="R29" s="13"/>
      <c r="S29" s="13"/>
      <c r="T29" s="13"/>
    </row>
    <row r="30" spans="1:20" x14ac:dyDescent="0.3">
      <c r="A30" s="1">
        <v>4501</v>
      </c>
      <c r="B30" s="1">
        <v>2.0756000000000001</v>
      </c>
      <c r="C30" s="1">
        <v>99.028300000000002</v>
      </c>
      <c r="D30" s="1">
        <v>90.289699999999996</v>
      </c>
      <c r="E30" s="2">
        <v>707.66424171784638</v>
      </c>
      <c r="F30" s="1">
        <f t="shared" si="0"/>
        <v>500788.67900609452</v>
      </c>
      <c r="G30" s="2"/>
      <c r="H30" s="2"/>
      <c r="I30" s="2"/>
      <c r="L30" s="14" t="s">
        <v>6</v>
      </c>
      <c r="M30" s="14"/>
      <c r="N30" s="13"/>
      <c r="O30" s="13"/>
      <c r="P30" s="13"/>
      <c r="Q30" s="13"/>
      <c r="R30" s="13"/>
      <c r="S30" s="13"/>
      <c r="T30" s="13"/>
    </row>
    <row r="31" spans="1:20" x14ac:dyDescent="0.3">
      <c r="A31" s="1">
        <v>4515</v>
      </c>
      <c r="B31" s="1">
        <v>2.0756000000000001</v>
      </c>
      <c r="C31" s="1">
        <v>98.868399999999994</v>
      </c>
      <c r="D31" s="1">
        <v>91.297499999999999</v>
      </c>
      <c r="E31" s="2">
        <v>704.57179087689929</v>
      </c>
      <c r="F31" s="1">
        <f t="shared" si="0"/>
        <v>496421.4084994811</v>
      </c>
      <c r="G31" s="2"/>
      <c r="H31" s="2"/>
      <c r="I31" s="2"/>
      <c r="L31" s="15" t="s">
        <v>7</v>
      </c>
      <c r="M31" s="15">
        <v>0.59747086313775455</v>
      </c>
      <c r="N31" s="13"/>
      <c r="O31" s="13"/>
      <c r="P31" s="13"/>
      <c r="Q31" s="13"/>
      <c r="R31" s="13"/>
      <c r="S31" s="13"/>
      <c r="T31" s="13"/>
    </row>
    <row r="32" spans="1:20" x14ac:dyDescent="0.3">
      <c r="A32" s="1">
        <v>4565</v>
      </c>
      <c r="B32" s="1">
        <v>2.5529000000000002</v>
      </c>
      <c r="C32" s="1">
        <v>98.398399999999995</v>
      </c>
      <c r="D32" s="1">
        <v>92.557199999999995</v>
      </c>
      <c r="E32" s="2">
        <v>485.33872045539374</v>
      </c>
      <c r="F32" s="1">
        <f t="shared" si="0"/>
        <v>235553.67357327882</v>
      </c>
      <c r="G32" s="2"/>
      <c r="H32" s="2"/>
      <c r="I32" s="2"/>
      <c r="L32" s="15" t="s">
        <v>8</v>
      </c>
      <c r="M32" s="15">
        <v>0.35697143229857342</v>
      </c>
      <c r="N32" s="13"/>
      <c r="O32" s="13"/>
      <c r="P32" s="13"/>
      <c r="Q32" s="13"/>
      <c r="R32" s="13"/>
      <c r="S32" s="13"/>
      <c r="T32" s="13"/>
    </row>
    <row r="33" spans="1:20" x14ac:dyDescent="0.3">
      <c r="A33" s="1">
        <v>4564</v>
      </c>
      <c r="B33" s="1">
        <v>2.6164000000000001</v>
      </c>
      <c r="C33" s="1">
        <v>98.628399999999999</v>
      </c>
      <c r="D33" s="1">
        <v>93.092600000000004</v>
      </c>
      <c r="E33" s="2">
        <v>436.48020268838081</v>
      </c>
      <c r="F33" s="1">
        <f t="shared" si="0"/>
        <v>190514.96733889001</v>
      </c>
      <c r="G33" s="2"/>
      <c r="H33" s="2"/>
      <c r="I33" s="2"/>
      <c r="L33" s="15" t="s">
        <v>9</v>
      </c>
      <c r="M33" s="15">
        <v>0.34190045024307125</v>
      </c>
      <c r="N33" s="13"/>
      <c r="O33" s="13"/>
      <c r="P33" s="13"/>
      <c r="Q33" s="13"/>
      <c r="R33" s="13"/>
      <c r="S33" s="13"/>
      <c r="T33" s="13"/>
    </row>
    <row r="34" spans="1:20" x14ac:dyDescent="0.3">
      <c r="A34" s="1">
        <v>4570</v>
      </c>
      <c r="B34" s="1">
        <v>3.0005000000000002</v>
      </c>
      <c r="C34" s="1">
        <v>98.078400000000002</v>
      </c>
      <c r="D34" s="1">
        <v>93.446899999999999</v>
      </c>
      <c r="E34" s="2">
        <v>241.57295522030654</v>
      </c>
      <c r="F34" s="1">
        <f t="shared" si="0"/>
        <v>58357.492693872227</v>
      </c>
      <c r="G34" s="2"/>
      <c r="H34" s="2"/>
      <c r="I34" s="2"/>
      <c r="L34" s="15" t="s">
        <v>10</v>
      </c>
      <c r="M34" s="15">
        <v>7432422.6446217038</v>
      </c>
      <c r="N34" s="13"/>
      <c r="O34" s="13"/>
      <c r="P34" s="13"/>
      <c r="Q34" s="13"/>
      <c r="R34" s="13"/>
      <c r="S34" s="13"/>
      <c r="T34" s="13"/>
    </row>
    <row r="35" spans="1:20" ht="15" thickBot="1" x14ac:dyDescent="0.35">
      <c r="A35" s="1">
        <v>4908</v>
      </c>
      <c r="B35" s="1">
        <v>3.1888999999999998</v>
      </c>
      <c r="C35" s="1">
        <v>97.118399999999994</v>
      </c>
      <c r="D35" s="1">
        <v>94.557000000000002</v>
      </c>
      <c r="E35" s="2">
        <v>474.10448383438779</v>
      </c>
      <c r="F35" s="1">
        <f t="shared" si="0"/>
        <v>224775.06159187129</v>
      </c>
      <c r="G35" s="2"/>
      <c r="H35" s="2"/>
      <c r="I35" s="2"/>
      <c r="L35" s="16" t="s">
        <v>11</v>
      </c>
      <c r="M35" s="16">
        <v>132</v>
      </c>
      <c r="N35" s="13"/>
      <c r="O35" s="13"/>
      <c r="P35" s="13"/>
      <c r="Q35" s="13"/>
      <c r="R35" s="13"/>
      <c r="S35" s="13"/>
      <c r="T35" s="13"/>
    </row>
    <row r="36" spans="1:20" x14ac:dyDescent="0.3">
      <c r="A36" s="1">
        <v>4890</v>
      </c>
      <c r="B36" s="1">
        <v>3.7321</v>
      </c>
      <c r="C36" s="1">
        <v>95.398399999999995</v>
      </c>
      <c r="D36" s="1">
        <v>95.611999999999995</v>
      </c>
      <c r="E36" s="2">
        <v>176.70851676453003</v>
      </c>
      <c r="F36" s="1">
        <f t="shared" si="0"/>
        <v>31225.899897120191</v>
      </c>
      <c r="G36" s="2"/>
      <c r="H36" s="2"/>
      <c r="I36" s="2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15" thickBot="1" x14ac:dyDescent="0.35">
      <c r="A37" s="1">
        <v>4598</v>
      </c>
      <c r="B37" s="1">
        <v>3.7321</v>
      </c>
      <c r="C37" s="1">
        <v>94.008399999999995</v>
      </c>
      <c r="D37" s="1">
        <v>94.801100000000005</v>
      </c>
      <c r="E37" s="2">
        <v>-76.428618688955794</v>
      </c>
      <c r="F37" s="1">
        <f t="shared" si="0"/>
        <v>5841.3337547018027</v>
      </c>
      <c r="G37" s="2"/>
      <c r="H37" s="2"/>
      <c r="I37" s="2"/>
      <c r="L37" s="13" t="s">
        <v>12</v>
      </c>
      <c r="M37" s="13"/>
      <c r="N37" s="13"/>
      <c r="O37" s="13"/>
      <c r="P37" s="13"/>
      <c r="Q37" s="13"/>
      <c r="R37" s="13"/>
      <c r="S37" s="13"/>
      <c r="T37" s="13"/>
    </row>
    <row r="38" spans="1:20" x14ac:dyDescent="0.3">
      <c r="A38" s="1">
        <v>6869</v>
      </c>
      <c r="B38" s="1">
        <v>4.1611000000000002</v>
      </c>
      <c r="C38" s="1">
        <v>95.048400000000001</v>
      </c>
      <c r="D38" s="1">
        <v>95.722200000000001</v>
      </c>
      <c r="E38" s="2">
        <v>1932.5374206166489</v>
      </c>
      <c r="F38" s="1">
        <f t="shared" si="0"/>
        <v>3734700.8820836507</v>
      </c>
      <c r="G38" s="2"/>
      <c r="H38" s="2"/>
      <c r="I38" s="2"/>
      <c r="L38" s="17"/>
      <c r="M38" s="17" t="s">
        <v>17</v>
      </c>
      <c r="N38" s="17" t="s">
        <v>18</v>
      </c>
      <c r="O38" s="17" t="s">
        <v>19</v>
      </c>
      <c r="P38" s="17" t="s">
        <v>20</v>
      </c>
      <c r="Q38" s="17" t="s">
        <v>21</v>
      </c>
      <c r="R38" s="13"/>
      <c r="S38" s="13"/>
      <c r="T38" s="13"/>
    </row>
    <row r="39" spans="1:20" x14ac:dyDescent="0.3">
      <c r="A39" s="1">
        <v>6950</v>
      </c>
      <c r="B39" s="1">
        <v>4.7948000000000004</v>
      </c>
      <c r="C39" s="1">
        <v>96.858400000000003</v>
      </c>
      <c r="D39" s="1">
        <v>96.667000000000002</v>
      </c>
      <c r="E39" s="2">
        <v>1630.0889616626564</v>
      </c>
      <c r="F39" s="1">
        <f t="shared" si="0"/>
        <v>2657190.0229344373</v>
      </c>
      <c r="G39" s="2"/>
      <c r="H39" s="2"/>
      <c r="I39" s="2"/>
      <c r="L39" s="15" t="s">
        <v>13</v>
      </c>
      <c r="M39" s="15">
        <v>3</v>
      </c>
      <c r="N39" s="15">
        <v>3925309988785832</v>
      </c>
      <c r="O39" s="15">
        <v>1308436662928610.8</v>
      </c>
      <c r="P39" s="15">
        <v>23.686010041279864</v>
      </c>
      <c r="Q39" s="15">
        <v>2.9310887969167952E-12</v>
      </c>
      <c r="R39" s="13"/>
      <c r="S39" s="13"/>
      <c r="T39" s="13"/>
    </row>
    <row r="40" spans="1:20" x14ac:dyDescent="0.3">
      <c r="A40" s="1">
        <v>6220</v>
      </c>
      <c r="B40" s="1">
        <v>5.5069999999999997</v>
      </c>
      <c r="C40" s="1">
        <v>97.278400000000005</v>
      </c>
      <c r="D40" s="1">
        <v>97.918899999999994</v>
      </c>
      <c r="E40" s="2">
        <v>492.10829359181389</v>
      </c>
      <c r="F40" s="1">
        <f t="shared" si="0"/>
        <v>242170.57262184689</v>
      </c>
      <c r="G40" s="2"/>
      <c r="H40" s="2"/>
      <c r="I40" s="2"/>
      <c r="L40" s="15" t="s">
        <v>14</v>
      </c>
      <c r="M40" s="15">
        <v>128</v>
      </c>
      <c r="N40" s="15">
        <v>7070836015140542</v>
      </c>
      <c r="O40" s="15">
        <v>55240906368285.484</v>
      </c>
      <c r="P40" s="15"/>
      <c r="Q40" s="15"/>
      <c r="R40" s="13"/>
      <c r="S40" s="13"/>
      <c r="T40" s="13"/>
    </row>
    <row r="41" spans="1:20" ht="15" thickBot="1" x14ac:dyDescent="0.35">
      <c r="A41" s="1">
        <v>6298</v>
      </c>
      <c r="B41" s="1">
        <v>7.0762</v>
      </c>
      <c r="C41" s="1">
        <v>99.548299999999998</v>
      </c>
      <c r="D41" s="1">
        <v>99.619500000000002</v>
      </c>
      <c r="E41" s="2">
        <v>-330.31745747948844</v>
      </c>
      <c r="F41" s="1">
        <f t="shared" si="0"/>
        <v>109109.62271571366</v>
      </c>
      <c r="G41" s="2"/>
      <c r="H41" s="2"/>
      <c r="I41" s="2"/>
      <c r="L41" s="16" t="s">
        <v>15</v>
      </c>
      <c r="M41" s="16">
        <v>131</v>
      </c>
      <c r="N41" s="16">
        <v>1.0996146003926374E+16</v>
      </c>
      <c r="O41" s="16"/>
      <c r="P41" s="16"/>
      <c r="Q41" s="16"/>
      <c r="R41" s="13"/>
      <c r="S41" s="13"/>
      <c r="T41" s="13"/>
    </row>
    <row r="42" spans="1:20" ht="15" thickBot="1" x14ac:dyDescent="0.35">
      <c r="A42" s="1">
        <v>6286</v>
      </c>
      <c r="B42" s="1">
        <v>7.8234000000000004</v>
      </c>
      <c r="C42" s="1">
        <v>99.198300000000003</v>
      </c>
      <c r="D42" s="1">
        <v>99.178600000000003</v>
      </c>
      <c r="E42" s="2">
        <v>-722.91927124352242</v>
      </c>
      <c r="F42" s="1">
        <f t="shared" si="0"/>
        <v>522612.27273526555</v>
      </c>
      <c r="G42" s="2"/>
      <c r="H42" s="2"/>
      <c r="I42" s="2"/>
      <c r="L42" s="13"/>
      <c r="M42" s="13"/>
      <c r="N42" s="13"/>
      <c r="O42" s="13"/>
      <c r="P42" s="13"/>
      <c r="Q42" s="13"/>
      <c r="R42" s="13"/>
      <c r="S42" s="13"/>
      <c r="T42" s="13"/>
    </row>
    <row r="43" spans="1:20" x14ac:dyDescent="0.3">
      <c r="A43" s="1">
        <v>6353</v>
      </c>
      <c r="B43" s="1">
        <v>7.9564000000000004</v>
      </c>
      <c r="C43" s="1">
        <v>100.458</v>
      </c>
      <c r="D43" s="1">
        <v>99.272999999999996</v>
      </c>
      <c r="E43" s="2">
        <v>-748.90940916662203</v>
      </c>
      <c r="F43" s="1">
        <f t="shared" si="0"/>
        <v>560865.30313829891</v>
      </c>
      <c r="G43" s="2"/>
      <c r="H43" s="2"/>
      <c r="I43" s="2"/>
      <c r="L43" s="17"/>
      <c r="M43" s="17" t="s">
        <v>22</v>
      </c>
      <c r="N43" s="17" t="s">
        <v>10</v>
      </c>
      <c r="O43" s="17" t="s">
        <v>23</v>
      </c>
      <c r="P43" s="17" t="s">
        <v>24</v>
      </c>
      <c r="Q43" s="17" t="s">
        <v>25</v>
      </c>
      <c r="R43" s="17" t="s">
        <v>26</v>
      </c>
      <c r="S43" s="17" t="s">
        <v>27</v>
      </c>
      <c r="T43" s="17" t="s">
        <v>28</v>
      </c>
    </row>
    <row r="44" spans="1:20" x14ac:dyDescent="0.3">
      <c r="A44" s="1">
        <v>6319</v>
      </c>
      <c r="B44" s="1">
        <v>7.9676999999999998</v>
      </c>
      <c r="C44" s="1">
        <v>101.908</v>
      </c>
      <c r="D44" s="1">
        <v>100.879</v>
      </c>
      <c r="E44" s="2">
        <v>-844.3091725352042</v>
      </c>
      <c r="F44" s="1">
        <f t="shared" si="0"/>
        <v>712857.97882708116</v>
      </c>
      <c r="G44" s="2"/>
      <c r="H44" s="2"/>
      <c r="I44" s="2"/>
      <c r="L44" s="15" t="s">
        <v>16</v>
      </c>
      <c r="M44" s="15">
        <v>63226079.5841382</v>
      </c>
      <c r="N44" s="15">
        <v>20167127.932046965</v>
      </c>
      <c r="O44" s="15">
        <v>3.1351057918201417</v>
      </c>
      <c r="P44" s="15">
        <v>2.1310417761846714E-3</v>
      </c>
      <c r="Q44" s="15">
        <v>23321971.420046493</v>
      </c>
      <c r="R44" s="15">
        <v>103130187.74822991</v>
      </c>
      <c r="S44" s="15">
        <v>23321971.420046493</v>
      </c>
      <c r="T44" s="15">
        <v>103130187.74822991</v>
      </c>
    </row>
    <row r="45" spans="1:20" x14ac:dyDescent="0.3">
      <c r="A45" s="1">
        <v>7155</v>
      </c>
      <c r="B45" s="1">
        <v>8.1056000000000008</v>
      </c>
      <c r="C45" s="1">
        <v>100.318</v>
      </c>
      <c r="D45" s="1">
        <v>100.919</v>
      </c>
      <c r="E45" s="2">
        <v>-55.70684902656285</v>
      </c>
      <c r="F45" s="1">
        <f t="shared" si="0"/>
        <v>3103.2530284682662</v>
      </c>
      <c r="G45" s="2"/>
      <c r="H45" s="2"/>
      <c r="I45" s="2"/>
      <c r="L45" s="15" t="s">
        <v>1</v>
      </c>
      <c r="M45" s="15">
        <v>2072169.2787563032</v>
      </c>
      <c r="N45" s="15">
        <v>273547.49943559559</v>
      </c>
      <c r="O45" s="15">
        <v>7.5751717088687105</v>
      </c>
      <c r="P45" s="15">
        <v>6.3081007240548227E-12</v>
      </c>
      <c r="Q45" s="15">
        <v>1530908.8155770586</v>
      </c>
      <c r="R45" s="15">
        <v>2613429.7419355479</v>
      </c>
      <c r="S45" s="15">
        <v>1530908.8155770586</v>
      </c>
      <c r="T45" s="15">
        <v>2613429.7419355479</v>
      </c>
    </row>
    <row r="46" spans="1:20" x14ac:dyDescent="0.3">
      <c r="A46" s="1">
        <v>7157</v>
      </c>
      <c r="B46" s="1">
        <v>8.1387999999999998</v>
      </c>
      <c r="C46" s="1">
        <v>100.288</v>
      </c>
      <c r="D46" s="1">
        <v>101.422</v>
      </c>
      <c r="E46" s="2">
        <v>-80.613220355446174</v>
      </c>
      <c r="F46" s="1">
        <f t="shared" si="0"/>
        <v>6498.491296075721</v>
      </c>
      <c r="G46" s="2"/>
      <c r="H46" s="2"/>
      <c r="I46" s="2"/>
      <c r="L46" s="15" t="s">
        <v>2</v>
      </c>
      <c r="M46" s="15">
        <v>-541748.95307271229</v>
      </c>
      <c r="N46" s="15">
        <v>212892.45870725255</v>
      </c>
      <c r="O46" s="15">
        <v>-2.5447071087551714</v>
      </c>
      <c r="P46" s="15">
        <v>1.2124771755391726E-2</v>
      </c>
      <c r="Q46" s="15">
        <v>-962993.05526705785</v>
      </c>
      <c r="R46" s="15">
        <v>-120504.85087836673</v>
      </c>
      <c r="S46" s="15">
        <v>-962993.05526705785</v>
      </c>
      <c r="T46" s="15">
        <v>-120504.85087836673</v>
      </c>
    </row>
    <row r="47" spans="1:20" ht="15" thickBot="1" x14ac:dyDescent="0.35">
      <c r="A47" s="1">
        <v>6484</v>
      </c>
      <c r="B47" s="1">
        <v>8.1387999999999998</v>
      </c>
      <c r="C47" s="1">
        <v>101.83799999999999</v>
      </c>
      <c r="D47" s="1">
        <v>102.375</v>
      </c>
      <c r="E47" s="2">
        <v>-797.90438103540055</v>
      </c>
      <c r="F47" s="1">
        <f t="shared" si="0"/>
        <v>636651.40127548564</v>
      </c>
      <c r="G47" s="2"/>
      <c r="H47" s="2"/>
      <c r="I47" s="2"/>
      <c r="L47" s="16" t="s">
        <v>3</v>
      </c>
      <c r="M47" s="16">
        <v>-140521.57696755428</v>
      </c>
      <c r="N47" s="16">
        <v>25215.548685746664</v>
      </c>
      <c r="O47" s="16">
        <v>-5.5728145644907379</v>
      </c>
      <c r="P47" s="16">
        <v>1.4175697925495548E-7</v>
      </c>
      <c r="Q47" s="16">
        <v>-190414.84811470794</v>
      </c>
      <c r="R47" s="16">
        <v>-90628.305820400623</v>
      </c>
      <c r="S47" s="16">
        <v>-190414.84811470794</v>
      </c>
      <c r="T47" s="16">
        <v>-90628.305820400623</v>
      </c>
    </row>
    <row r="48" spans="1:20" x14ac:dyDescent="0.3">
      <c r="A48" s="1">
        <v>6710</v>
      </c>
      <c r="B48" s="1">
        <v>8.2583000000000002</v>
      </c>
      <c r="C48" s="1">
        <v>103.598</v>
      </c>
      <c r="D48" s="1">
        <v>103.155</v>
      </c>
      <c r="E48" s="2">
        <v>-679.45599781460896</v>
      </c>
      <c r="F48" s="1">
        <f t="shared" si="0"/>
        <v>461660.45296624588</v>
      </c>
      <c r="G48" s="2"/>
      <c r="H48" s="2"/>
      <c r="I48" s="2"/>
    </row>
    <row r="49" spans="1:9" x14ac:dyDescent="0.3">
      <c r="A49" s="1">
        <v>6657</v>
      </c>
      <c r="B49" s="1">
        <v>8.2451000000000008</v>
      </c>
      <c r="C49" s="1">
        <v>103.658</v>
      </c>
      <c r="D49" s="1">
        <v>102.871</v>
      </c>
      <c r="E49" s="2">
        <v>-720.9078704851654</v>
      </c>
      <c r="F49" s="1">
        <f t="shared" si="0"/>
        <v>519708.15772745601</v>
      </c>
      <c r="G49" s="2"/>
      <c r="H49" s="2"/>
      <c r="I49" s="2"/>
    </row>
    <row r="50" spans="1:9" x14ac:dyDescent="0.3">
      <c r="A50" s="1">
        <v>10497</v>
      </c>
      <c r="B50" s="1">
        <v>8.2899999999999991</v>
      </c>
      <c r="C50" s="1">
        <v>102.798</v>
      </c>
      <c r="D50" s="1">
        <v>104.107</v>
      </c>
      <c r="E50" s="2">
        <v>3085.3689960260072</v>
      </c>
      <c r="F50" s="1">
        <f t="shared" si="0"/>
        <v>9519501.8416385315</v>
      </c>
      <c r="G50" s="2"/>
      <c r="H50" s="2"/>
      <c r="I50" s="2"/>
    </row>
    <row r="51" spans="1:9" x14ac:dyDescent="0.3">
      <c r="A51" s="1">
        <v>9672</v>
      </c>
      <c r="B51" s="1">
        <v>8.2899999999999991</v>
      </c>
      <c r="C51" s="1">
        <v>103.828</v>
      </c>
      <c r="D51" s="1">
        <v>104.446</v>
      </c>
      <c r="E51" s="2">
        <v>2236.6999204522454</v>
      </c>
      <c r="F51" s="1">
        <f t="shared" si="0"/>
        <v>5002826.534151081</v>
      </c>
      <c r="G51" s="2"/>
      <c r="H51" s="2"/>
      <c r="I51" s="2"/>
    </row>
    <row r="52" spans="1:9" x14ac:dyDescent="0.3">
      <c r="A52" s="1">
        <v>9767</v>
      </c>
      <c r="B52" s="1">
        <v>8.2899999999999991</v>
      </c>
      <c r="C52" s="1">
        <v>103.44799999999999</v>
      </c>
      <c r="D52" s="1">
        <v>104.69</v>
      </c>
      <c r="E52" s="2">
        <v>2333.2045497094914</v>
      </c>
      <c r="F52" s="1">
        <f t="shared" si="0"/>
        <v>5443843.4707850702</v>
      </c>
      <c r="G52" s="2"/>
      <c r="H52" s="2"/>
      <c r="I52" s="2"/>
    </row>
    <row r="53" spans="1:9" x14ac:dyDescent="0.3">
      <c r="A53" s="1">
        <v>9853</v>
      </c>
      <c r="B53" s="1">
        <v>8.2899999999999991</v>
      </c>
      <c r="C53" s="1">
        <v>102.878</v>
      </c>
      <c r="D53" s="1">
        <v>105.761</v>
      </c>
      <c r="E53" s="2">
        <v>2407.6551096024577</v>
      </c>
      <c r="F53" s="1">
        <f t="shared" si="0"/>
        <v>5796803.1267948225</v>
      </c>
      <c r="G53" s="2"/>
      <c r="H53" s="2"/>
      <c r="I53" s="2"/>
    </row>
    <row r="54" spans="1:9" x14ac:dyDescent="0.3">
      <c r="A54" s="1">
        <v>9907</v>
      </c>
      <c r="B54" s="1">
        <v>8.2899999999999991</v>
      </c>
      <c r="C54" s="1">
        <v>101.068</v>
      </c>
      <c r="D54" s="1">
        <v>106.241</v>
      </c>
      <c r="E54" s="2">
        <v>2482.1819821296231</v>
      </c>
      <c r="F54" s="1">
        <f t="shared" si="0"/>
        <v>6161227.3924089447</v>
      </c>
      <c r="G54" s="2"/>
      <c r="H54" s="2"/>
      <c r="I54" s="2"/>
    </row>
    <row r="55" spans="1:9" x14ac:dyDescent="0.3">
      <c r="A55" s="1">
        <v>9886</v>
      </c>
      <c r="B55" s="1">
        <v>8.49</v>
      </c>
      <c r="C55" s="1">
        <v>102.428</v>
      </c>
      <c r="D55" s="1">
        <v>106.863</v>
      </c>
      <c r="E55" s="2">
        <v>2320.7802186505969</v>
      </c>
      <c r="F55" s="1">
        <f t="shared" si="0"/>
        <v>5386020.8232799126</v>
      </c>
      <c r="G55" s="2"/>
      <c r="H55" s="2"/>
      <c r="I55" s="2"/>
    </row>
    <row r="56" spans="1:9" x14ac:dyDescent="0.3">
      <c r="A56" s="1">
        <v>10914</v>
      </c>
      <c r="B56" s="1">
        <v>8.49</v>
      </c>
      <c r="C56" s="1">
        <v>102.798</v>
      </c>
      <c r="D56" s="1">
        <v>108.57899999999999</v>
      </c>
      <c r="E56" s="2">
        <v>3309.0572258819393</v>
      </c>
      <c r="F56" s="1">
        <f t="shared" si="0"/>
        <v>10949859.724161476</v>
      </c>
      <c r="G56" s="2"/>
      <c r="H56" s="2"/>
      <c r="I56" s="2"/>
    </row>
    <row r="57" spans="1:9" x14ac:dyDescent="0.3">
      <c r="A57" s="1">
        <v>10594</v>
      </c>
      <c r="B57" s="1">
        <v>8.81</v>
      </c>
      <c r="C57" s="1">
        <v>102.958</v>
      </c>
      <c r="D57" s="1">
        <v>109.93300000000001</v>
      </c>
      <c r="E57" s="2">
        <v>2790.720852106665</v>
      </c>
      <c r="F57" s="1">
        <f t="shared" si="0"/>
        <v>7788122.8743829504</v>
      </c>
      <c r="G57" s="2"/>
      <c r="H57" s="2"/>
      <c r="I57" s="2"/>
    </row>
    <row r="58" spans="1:9" x14ac:dyDescent="0.3">
      <c r="A58" s="1">
        <v>9990</v>
      </c>
      <c r="B58" s="1">
        <v>8.81</v>
      </c>
      <c r="C58" s="1">
        <v>103.358</v>
      </c>
      <c r="D58" s="1">
        <v>110.28</v>
      </c>
      <c r="E58" s="2">
        <v>2173.3116758410633</v>
      </c>
      <c r="F58" s="1">
        <f t="shared" si="0"/>
        <v>4723283.6403470915</v>
      </c>
      <c r="G58" s="2"/>
      <c r="H58" s="2"/>
      <c r="I58" s="2"/>
    </row>
    <row r="59" spans="1:9" x14ac:dyDescent="0.3">
      <c r="A59" s="1">
        <v>11053</v>
      </c>
      <c r="B59" s="1">
        <v>8.81</v>
      </c>
      <c r="C59" s="1">
        <v>103.518</v>
      </c>
      <c r="D59" s="1">
        <v>110.673</v>
      </c>
      <c r="E59" s="2">
        <v>3225.9698736880218</v>
      </c>
      <c r="F59" s="1">
        <f t="shared" si="0"/>
        <v>10406881.625942711</v>
      </c>
      <c r="G59" s="2"/>
      <c r="H59" s="2"/>
      <c r="I59" s="2"/>
    </row>
    <row r="60" spans="1:9" x14ac:dyDescent="0.3">
      <c r="A60" s="1">
        <v>11531</v>
      </c>
      <c r="B60" s="1">
        <v>8.81</v>
      </c>
      <c r="C60" s="1">
        <v>102.748</v>
      </c>
      <c r="D60" s="1">
        <v>111.476</v>
      </c>
      <c r="E60" s="2">
        <v>3700.9756646745373</v>
      </c>
      <c r="F60" s="1">
        <f t="shared" si="0"/>
        <v>13697220.870513134</v>
      </c>
      <c r="G60" s="2"/>
      <c r="H60" s="2"/>
      <c r="I60" s="2"/>
    </row>
    <row r="61" spans="1:9" x14ac:dyDescent="0.3">
      <c r="A61" s="1">
        <v>11512</v>
      </c>
      <c r="B61" s="1">
        <v>8.81</v>
      </c>
      <c r="C61" s="1">
        <v>102.348</v>
      </c>
      <c r="D61" s="1">
        <v>112.004</v>
      </c>
      <c r="E61" s="2">
        <v>3678.2492579702248</v>
      </c>
      <c r="F61" s="1">
        <f t="shared" si="0"/>
        <v>13529517.60375851</v>
      </c>
      <c r="G61" s="2"/>
      <c r="H61" s="2"/>
      <c r="I61" s="2"/>
    </row>
    <row r="62" spans="1:9" x14ac:dyDescent="0.3">
      <c r="A62" s="1">
        <v>11349</v>
      </c>
      <c r="B62" s="1">
        <v>8.81</v>
      </c>
      <c r="C62" s="1">
        <v>101.66800000000001</v>
      </c>
      <c r="D62" s="1">
        <v>111.02</v>
      </c>
      <c r="E62" s="2">
        <v>3545.762724191396</v>
      </c>
      <c r="F62" s="1">
        <f t="shared" si="0"/>
        <v>12572433.29626519</v>
      </c>
      <c r="G62" s="2"/>
      <c r="H62" s="2"/>
      <c r="I62" s="2"/>
    </row>
    <row r="63" spans="1:9" x14ac:dyDescent="0.3">
      <c r="A63" s="1">
        <v>11589</v>
      </c>
      <c r="B63" s="1">
        <v>8.81</v>
      </c>
      <c r="C63" s="1">
        <v>102.83799999999999</v>
      </c>
      <c r="D63" s="1">
        <v>112.169</v>
      </c>
      <c r="E63" s="2">
        <v>3743.9162018916068</v>
      </c>
      <c r="F63" s="1">
        <f t="shared" si="0"/>
        <v>14016908.526786475</v>
      </c>
      <c r="G63" s="2"/>
      <c r="H63" s="2"/>
      <c r="I63" s="2"/>
    </row>
    <row r="64" spans="1:9" x14ac:dyDescent="0.3">
      <c r="A64" s="1">
        <v>10066</v>
      </c>
      <c r="B64" s="1">
        <v>8.83</v>
      </c>
      <c r="C64" s="1">
        <v>102.508</v>
      </c>
      <c r="D64" s="1">
        <v>112.72</v>
      </c>
      <c r="E64" s="2">
        <v>2205.0085524083352</v>
      </c>
      <c r="F64" s="1">
        <f t="shared" si="0"/>
        <v>4862062.7161939014</v>
      </c>
      <c r="G64" s="2"/>
      <c r="H64" s="2"/>
      <c r="I64" s="2"/>
    </row>
    <row r="65" spans="1:9" x14ac:dyDescent="0.3">
      <c r="A65" s="1">
        <v>10186</v>
      </c>
      <c r="B65" s="1">
        <v>8.9</v>
      </c>
      <c r="C65" s="1">
        <v>101.108</v>
      </c>
      <c r="D65" s="1">
        <v>113.075</v>
      </c>
      <c r="E65" s="2">
        <v>2304.1973406369189</v>
      </c>
      <c r="F65" s="1">
        <f t="shared" si="0"/>
        <v>5309325.3845982486</v>
      </c>
      <c r="G65" s="2"/>
      <c r="H65" s="2"/>
      <c r="I65" s="2"/>
    </row>
    <row r="66" spans="1:9" x14ac:dyDescent="0.3">
      <c r="A66" s="1">
        <v>10147</v>
      </c>
      <c r="B66" s="1">
        <v>8.9</v>
      </c>
      <c r="C66" s="1">
        <v>101.66800000000001</v>
      </c>
      <c r="D66" s="1">
        <v>114.114</v>
      </c>
      <c r="E66" s="2">
        <v>2235.5908887234127</v>
      </c>
      <c r="F66" s="1">
        <f t="shared" si="0"/>
        <v>4997866.6217431379</v>
      </c>
      <c r="G66" s="2"/>
      <c r="H66" s="2"/>
      <c r="I66" s="2"/>
    </row>
    <row r="67" spans="1:9" x14ac:dyDescent="0.3">
      <c r="A67" s="1">
        <v>11632</v>
      </c>
      <c r="B67" s="1">
        <v>8.9</v>
      </c>
      <c r="C67" s="1">
        <v>102.008</v>
      </c>
      <c r="D67" s="1">
        <v>114.342</v>
      </c>
      <c r="E67" s="2">
        <v>3710.5042057888932</v>
      </c>
      <c r="F67" s="1">
        <f t="shared" ref="F67:F130" si="1">E67^2</f>
        <v>13767841.461177064</v>
      </c>
      <c r="G67" s="2"/>
      <c r="H67" s="2"/>
      <c r="I67" s="2"/>
    </row>
    <row r="68" spans="1:9" x14ac:dyDescent="0.3">
      <c r="A68" s="1">
        <v>11729</v>
      </c>
      <c r="B68" s="1">
        <v>8.9</v>
      </c>
      <c r="C68" s="1">
        <v>101.02800000000001</v>
      </c>
      <c r="D68" s="1">
        <v>115.5</v>
      </c>
      <c r="E68" s="2">
        <v>3801.0300351355781</v>
      </c>
      <c r="F68" s="1">
        <f t="shared" si="1"/>
        <v>14447829.328002775</v>
      </c>
      <c r="G68" s="2"/>
      <c r="H68" s="2"/>
      <c r="I68" s="2"/>
    </row>
    <row r="69" spans="1:9" x14ac:dyDescent="0.3">
      <c r="A69" s="1">
        <v>10237</v>
      </c>
      <c r="B69" s="1">
        <v>9.14</v>
      </c>
      <c r="C69" s="1">
        <v>101.878</v>
      </c>
      <c r="D69" s="1">
        <v>117.027</v>
      </c>
      <c r="E69" s="2">
        <v>2138.1907916807277</v>
      </c>
      <c r="F69" s="1">
        <f t="shared" si="1"/>
        <v>4571859.8616282567</v>
      </c>
      <c r="G69" s="2"/>
      <c r="H69" s="2"/>
      <c r="I69" s="2"/>
    </row>
    <row r="70" spans="1:9" x14ac:dyDescent="0.3">
      <c r="A70" s="1">
        <v>10405</v>
      </c>
      <c r="B70" s="1">
        <v>9.14</v>
      </c>
      <c r="C70" s="1">
        <v>102.55800000000001</v>
      </c>
      <c r="D70" s="1">
        <v>119.515</v>
      </c>
      <c r="E70" s="2">
        <v>2246.223706274699</v>
      </c>
      <c r="F70" s="1">
        <f t="shared" si="1"/>
        <v>5045520.9386304449</v>
      </c>
      <c r="G70" s="2"/>
      <c r="H70" s="2"/>
      <c r="I70" s="2"/>
    </row>
    <row r="71" spans="1:9" x14ac:dyDescent="0.3">
      <c r="A71" s="1">
        <v>10374</v>
      </c>
      <c r="B71" s="1">
        <v>9.14</v>
      </c>
      <c r="C71" s="1">
        <v>101.568</v>
      </c>
      <c r="D71" s="1">
        <v>120.979</v>
      </c>
      <c r="E71" s="2">
        <v>2202.9223198039572</v>
      </c>
      <c r="F71" s="1">
        <f t="shared" si="1"/>
        <v>4852866.7470904486</v>
      </c>
      <c r="G71" s="2"/>
      <c r="H71" s="2"/>
      <c r="I71" s="2"/>
    </row>
    <row r="72" spans="1:9" x14ac:dyDescent="0.3">
      <c r="A72" s="1">
        <v>10358</v>
      </c>
      <c r="B72" s="1">
        <v>9.14</v>
      </c>
      <c r="C72" s="1">
        <v>99.2483</v>
      </c>
      <c r="D72" s="1">
        <v>121.145</v>
      </c>
      <c r="E72" s="2">
        <v>2222.0259178076303</v>
      </c>
      <c r="F72" s="1">
        <f t="shared" si="1"/>
        <v>4937399.1794088418</v>
      </c>
      <c r="G72" s="2"/>
      <c r="H72" s="2"/>
      <c r="I72" s="2"/>
    </row>
    <row r="73" spans="1:9" x14ac:dyDescent="0.3">
      <c r="A73" s="1">
        <v>10425</v>
      </c>
      <c r="B73" s="1">
        <v>9.26</v>
      </c>
      <c r="C73" s="1">
        <v>100.69799999999999</v>
      </c>
      <c r="D73" s="1">
        <v>121.85299999999999</v>
      </c>
      <c r="E73" s="2">
        <v>2187.750551926285</v>
      </c>
      <c r="F73" s="1">
        <f t="shared" si="1"/>
        <v>4786252.4774537645</v>
      </c>
      <c r="G73" s="2"/>
      <c r="H73" s="2"/>
      <c r="I73" s="2"/>
    </row>
    <row r="74" spans="1:9" x14ac:dyDescent="0.3">
      <c r="A74" s="1">
        <v>13666</v>
      </c>
      <c r="B74" s="1">
        <v>9.3000000000000007</v>
      </c>
      <c r="C74" s="1">
        <v>100.938</v>
      </c>
      <c r="D74" s="1">
        <v>124.184</v>
      </c>
      <c r="E74" s="2">
        <v>5357.9862920006926</v>
      </c>
      <c r="F74" s="1">
        <f t="shared" si="1"/>
        <v>28708017.105267331</v>
      </c>
      <c r="G74" s="2"/>
      <c r="H74" s="2"/>
      <c r="I74" s="2"/>
    </row>
    <row r="75" spans="1:9" x14ac:dyDescent="0.3">
      <c r="A75" s="1">
        <v>13353</v>
      </c>
      <c r="B75" s="1">
        <v>9.74</v>
      </c>
      <c r="C75" s="1">
        <v>101.11799999999999</v>
      </c>
      <c r="D75" s="1">
        <v>124.79</v>
      </c>
      <c r="E75" s="2">
        <v>4797.5271569267243</v>
      </c>
      <c r="F75" s="1">
        <f t="shared" si="1"/>
        <v>23016266.821449418</v>
      </c>
      <c r="G75" s="2"/>
      <c r="H75" s="2"/>
      <c r="I75" s="2"/>
    </row>
    <row r="76" spans="1:9" x14ac:dyDescent="0.3">
      <c r="A76" s="1">
        <v>13996</v>
      </c>
      <c r="B76" s="1">
        <v>9.82</v>
      </c>
      <c r="C76" s="1">
        <v>101.298</v>
      </c>
      <c r="D76" s="1">
        <v>128.63200000000001</v>
      </c>
      <c r="E76" s="2">
        <v>5320.0173964946316</v>
      </c>
      <c r="F76" s="1">
        <f t="shared" si="1"/>
        <v>28302585.099005517</v>
      </c>
      <c r="G76" s="2"/>
      <c r="H76" s="2"/>
      <c r="I76" s="2"/>
    </row>
    <row r="77" spans="1:9" x14ac:dyDescent="0.3">
      <c r="A77" s="1">
        <v>14259</v>
      </c>
      <c r="B77" s="1">
        <v>9.8699999999999992</v>
      </c>
      <c r="C77" s="1">
        <v>99.328299999999999</v>
      </c>
      <c r="D77" s="1">
        <v>132.53700000000001</v>
      </c>
      <c r="E77" s="2">
        <v>5512.6776552042829</v>
      </c>
      <c r="F77" s="1">
        <f t="shared" si="1"/>
        <v>30389614.930188593</v>
      </c>
      <c r="G77" s="2"/>
      <c r="H77" s="2"/>
      <c r="I77" s="2"/>
    </row>
    <row r="78" spans="1:9" x14ac:dyDescent="0.3">
      <c r="A78" s="1">
        <v>14957</v>
      </c>
      <c r="B78" s="1">
        <v>9.89</v>
      </c>
      <c r="C78" s="1">
        <v>96.228399999999993</v>
      </c>
      <c r="D78" s="1">
        <v>136.10400000000001</v>
      </c>
      <c r="E78" s="2">
        <v>6181.5042742518654</v>
      </c>
      <c r="F78" s="1">
        <f t="shared" si="1"/>
        <v>38210995.09259408</v>
      </c>
      <c r="G78" s="2"/>
      <c r="H78" s="2"/>
      <c r="I78" s="2"/>
    </row>
    <row r="79" spans="1:9" x14ac:dyDescent="0.3">
      <c r="A79" s="1">
        <v>14018</v>
      </c>
      <c r="B79" s="1">
        <v>11.47</v>
      </c>
      <c r="C79" s="1">
        <v>98.568399999999997</v>
      </c>
      <c r="D79" s="1">
        <v>138.96199999999999</v>
      </c>
      <c r="E79" s="2">
        <v>4312.5438537019872</v>
      </c>
      <c r="F79" s="1">
        <f t="shared" si="1"/>
        <v>18598034.490102787</v>
      </c>
      <c r="G79" s="2"/>
      <c r="H79" s="2"/>
      <c r="I79" s="2"/>
    </row>
    <row r="80" spans="1:9" x14ac:dyDescent="0.3">
      <c r="A80" s="1">
        <v>14163</v>
      </c>
      <c r="B80" s="1">
        <v>11.47</v>
      </c>
      <c r="C80" s="1">
        <v>95.038399999999996</v>
      </c>
      <c r="D80" s="1">
        <v>143.59899999999999</v>
      </c>
      <c r="E80" s="2">
        <v>4425.1009021651334</v>
      </c>
      <c r="F80" s="1">
        <f t="shared" si="1"/>
        <v>19581517.994342677</v>
      </c>
      <c r="G80" s="2"/>
      <c r="H80" s="2"/>
      <c r="I80" s="2"/>
    </row>
    <row r="81" spans="1:9" x14ac:dyDescent="0.3">
      <c r="A81" s="1">
        <v>14324</v>
      </c>
      <c r="B81" s="1">
        <v>11.47</v>
      </c>
      <c r="C81" s="1">
        <v>93.878399999999999</v>
      </c>
      <c r="D81" s="1">
        <v>146.66999999999999</v>
      </c>
      <c r="E81" s="2">
        <v>4545.1396134002553</v>
      </c>
      <c r="F81" s="1">
        <f t="shared" si="1"/>
        <v>20658294.105300222</v>
      </c>
      <c r="G81" s="2"/>
      <c r="H81" s="2"/>
      <c r="I81" s="2"/>
    </row>
    <row r="82" spans="1:9" x14ac:dyDescent="0.3">
      <c r="A82" s="1">
        <v>14267</v>
      </c>
      <c r="B82" s="1">
        <v>12.69</v>
      </c>
      <c r="C82" s="1">
        <v>93.378399999999999</v>
      </c>
      <c r="D82" s="1">
        <v>148.095</v>
      </c>
      <c r="E82" s="2">
        <v>3823.5212631192226</v>
      </c>
      <c r="F82" s="1">
        <f t="shared" si="1"/>
        <v>14619314.849524815</v>
      </c>
      <c r="G82" s="2"/>
      <c r="H82" s="2"/>
      <c r="I82" s="2"/>
    </row>
    <row r="83" spans="1:9" x14ac:dyDescent="0.3">
      <c r="A83" s="1">
        <v>14083</v>
      </c>
      <c r="B83" s="1">
        <v>12.66</v>
      </c>
      <c r="C83" s="1">
        <v>95.328400000000002</v>
      </c>
      <c r="D83" s="1">
        <v>151.22800000000001</v>
      </c>
      <c r="E83" s="2">
        <v>3561.7844658209087</v>
      </c>
      <c r="F83" s="1">
        <f t="shared" si="1"/>
        <v>12686308.580963137</v>
      </c>
      <c r="G83" s="2"/>
      <c r="H83" s="2"/>
      <c r="I83" s="2"/>
    </row>
    <row r="84" spans="1:9" x14ac:dyDescent="0.3">
      <c r="A84" s="1">
        <v>13915</v>
      </c>
      <c r="B84" s="1">
        <v>14.01</v>
      </c>
      <c r="C84" s="1">
        <v>98.778400000000005</v>
      </c>
      <c r="D84" s="1">
        <v>151.047</v>
      </c>
      <c r="E84" s="2">
        <v>2626.5797645473212</v>
      </c>
      <c r="F84" s="1">
        <f t="shared" si="1"/>
        <v>6898921.2595294612</v>
      </c>
      <c r="G84" s="2"/>
      <c r="H84" s="2"/>
      <c r="I84" s="2"/>
    </row>
    <row r="85" spans="1:9" x14ac:dyDescent="0.3">
      <c r="A85" s="1">
        <v>14099</v>
      </c>
      <c r="B85" s="1">
        <v>14.01</v>
      </c>
      <c r="C85" s="1">
        <v>99.018299999999996</v>
      </c>
      <c r="D85" s="1">
        <v>150.29900000000001</v>
      </c>
      <c r="E85" s="2">
        <v>2821.261677280896</v>
      </c>
      <c r="F85" s="1">
        <f t="shared" si="1"/>
        <v>7959517.4516938152</v>
      </c>
      <c r="G85" s="2"/>
      <c r="H85" s="2"/>
      <c r="I85" s="2"/>
    </row>
    <row r="86" spans="1:9" x14ac:dyDescent="0.3">
      <c r="A86" s="1">
        <v>5751</v>
      </c>
      <c r="B86" s="1">
        <v>13.99</v>
      </c>
      <c r="C86" s="1">
        <v>98.758399999999995</v>
      </c>
      <c r="D86" s="1">
        <v>149.661</v>
      </c>
      <c r="E86" s="2">
        <v>-5499.3733619934173</v>
      </c>
      <c r="F86" s="1">
        <f t="shared" si="1"/>
        <v>30243107.374602783</v>
      </c>
      <c r="G86" s="2"/>
      <c r="H86" s="2"/>
      <c r="I86" s="2"/>
    </row>
    <row r="87" spans="1:9" x14ac:dyDescent="0.3">
      <c r="A87" s="1">
        <v>5815</v>
      </c>
      <c r="B87" s="1">
        <v>12.96</v>
      </c>
      <c r="C87" s="1">
        <v>102.02800000000001</v>
      </c>
      <c r="D87" s="1">
        <v>151.08699999999999</v>
      </c>
      <c r="E87" s="2">
        <v>-4972.8283925757023</v>
      </c>
      <c r="F87" s="1">
        <f t="shared" si="1"/>
        <v>24729022.222007044</v>
      </c>
      <c r="G87" s="2"/>
      <c r="H87" s="2"/>
      <c r="I87" s="2"/>
    </row>
    <row r="88" spans="1:9" x14ac:dyDescent="0.3">
      <c r="A88" s="1">
        <v>5379</v>
      </c>
      <c r="B88" s="1">
        <v>11.77</v>
      </c>
      <c r="C88" s="1">
        <v>102.718</v>
      </c>
      <c r="D88" s="1">
        <v>153.15700000000001</v>
      </c>
      <c r="E88" s="2">
        <v>-4831.6560990688595</v>
      </c>
      <c r="F88" s="1">
        <f t="shared" si="1"/>
        <v>23344900.65966931</v>
      </c>
      <c r="G88" s="2"/>
      <c r="H88" s="2"/>
      <c r="I88" s="2"/>
    </row>
    <row r="89" spans="1:9" x14ac:dyDescent="0.3">
      <c r="A89" s="1">
        <v>5521</v>
      </c>
      <c r="B89" s="1">
        <v>12.95</v>
      </c>
      <c r="C89" s="1">
        <v>101.66800000000001</v>
      </c>
      <c r="D89" s="1">
        <v>155.322</v>
      </c>
      <c r="E89" s="2">
        <v>-5338.5255771907869</v>
      </c>
      <c r="F89" s="1">
        <f t="shared" si="1"/>
        <v>28499855.338320225</v>
      </c>
      <c r="G89" s="2"/>
      <c r="H89" s="2"/>
      <c r="I89" s="2"/>
    </row>
    <row r="90" spans="1:9" x14ac:dyDescent="0.3">
      <c r="A90" s="1">
        <v>5917</v>
      </c>
      <c r="B90" s="1">
        <v>13.14</v>
      </c>
      <c r="C90" s="1">
        <v>99.538300000000007</v>
      </c>
      <c r="D90" s="1">
        <v>155.684</v>
      </c>
      <c r="E90" s="2">
        <v>-5014.8493951040873</v>
      </c>
      <c r="F90" s="1">
        <f t="shared" si="1"/>
        <v>25148714.455575831</v>
      </c>
      <c r="G90" s="2"/>
      <c r="H90" s="2"/>
      <c r="I90" s="2"/>
    </row>
    <row r="91" spans="1:9" x14ac:dyDescent="0.3">
      <c r="A91" s="1">
        <v>6078</v>
      </c>
      <c r="B91" s="1">
        <v>12.01</v>
      </c>
      <c r="C91" s="1">
        <v>98.588399999999993</v>
      </c>
      <c r="D91" s="1">
        <v>157.22</v>
      </c>
      <c r="E91" s="2">
        <v>-4270.8252856296822</v>
      </c>
      <c r="F91" s="1">
        <f t="shared" si="1"/>
        <v>18239948.620373856</v>
      </c>
      <c r="G91" s="2"/>
      <c r="H91" s="2"/>
      <c r="I91" s="2"/>
    </row>
    <row r="92" spans="1:9" x14ac:dyDescent="0.3">
      <c r="A92" s="1">
        <v>7635</v>
      </c>
      <c r="B92" s="1">
        <v>11.38</v>
      </c>
      <c r="C92" s="1">
        <v>97.608400000000003</v>
      </c>
      <c r="D92" s="1">
        <v>159.64500000000001</v>
      </c>
      <c r="E92" s="2">
        <v>-2412.0488818188642</v>
      </c>
      <c r="F92" s="1">
        <f t="shared" si="1"/>
        <v>5817979.8082836326</v>
      </c>
      <c r="G92" s="2"/>
      <c r="H92" s="2"/>
      <c r="I92" s="2"/>
    </row>
    <row r="93" spans="1:9" x14ac:dyDescent="0.3">
      <c r="A93" s="1">
        <v>7340</v>
      </c>
      <c r="B93" s="1">
        <v>12.44</v>
      </c>
      <c r="C93" s="1">
        <v>96.828400000000002</v>
      </c>
      <c r="D93" s="1">
        <v>162.35300000000001</v>
      </c>
      <c r="E93" s="2">
        <v>-3307.5759042409591</v>
      </c>
      <c r="F93" s="1">
        <f t="shared" si="1"/>
        <v>10940058.362315398</v>
      </c>
      <c r="G93" s="2"/>
      <c r="H93" s="2"/>
      <c r="I93" s="2"/>
    </row>
    <row r="94" spans="1:9" x14ac:dyDescent="0.3">
      <c r="A94" s="1">
        <v>6143</v>
      </c>
      <c r="B94" s="1">
        <v>12.58</v>
      </c>
      <c r="C94" s="1">
        <v>96.028400000000005</v>
      </c>
      <c r="D94" s="1">
        <v>163.08500000000001</v>
      </c>
      <c r="E94" s="2">
        <v>-4579.6976335375512</v>
      </c>
      <c r="F94" s="1">
        <f t="shared" si="1"/>
        <v>20973630.414629444</v>
      </c>
      <c r="G94" s="2"/>
      <c r="H94" s="2"/>
      <c r="I94" s="2"/>
    </row>
    <row r="95" spans="1:9" x14ac:dyDescent="0.3">
      <c r="A95" s="1">
        <v>7620</v>
      </c>
      <c r="B95" s="1">
        <v>12.59</v>
      </c>
      <c r="C95" s="1">
        <v>95.088399999999993</v>
      </c>
      <c r="D95" s="1">
        <v>164.636</v>
      </c>
      <c r="E95" s="2">
        <v>-3122.8162109258265</v>
      </c>
      <c r="F95" s="1">
        <f t="shared" si="1"/>
        <v>9751981.0872211363</v>
      </c>
      <c r="G95" s="2"/>
      <c r="H95" s="2"/>
      <c r="I95" s="2"/>
    </row>
    <row r="96" spans="1:9" x14ac:dyDescent="0.3">
      <c r="A96" s="1">
        <v>5569</v>
      </c>
      <c r="B96" s="1">
        <v>12.32</v>
      </c>
      <c r="C96" s="1">
        <v>95.508399999999995</v>
      </c>
      <c r="D96" s="1">
        <v>166.92699999999999</v>
      </c>
      <c r="E96" s="2">
        <v>-5082.8851990930161</v>
      </c>
      <c r="F96" s="1">
        <f t="shared" si="1"/>
        <v>25835721.947158851</v>
      </c>
      <c r="G96" s="2"/>
      <c r="H96" s="2"/>
      <c r="I96" s="2"/>
    </row>
    <row r="97" spans="1:9" x14ac:dyDescent="0.3">
      <c r="A97" s="1">
        <v>6038</v>
      </c>
      <c r="B97" s="1">
        <v>12.1</v>
      </c>
      <c r="C97" s="1">
        <v>96.288399999999996</v>
      </c>
      <c r="D97" s="1">
        <v>166.11600000000001</v>
      </c>
      <c r="E97" s="2">
        <v>-4494.5919853557898</v>
      </c>
      <c r="F97" s="1">
        <f t="shared" si="1"/>
        <v>20201357.1148245</v>
      </c>
      <c r="G97" s="2"/>
      <c r="H97" s="2"/>
      <c r="I97" s="2"/>
    </row>
    <row r="98" spans="1:9" x14ac:dyDescent="0.3">
      <c r="A98" s="1">
        <v>9591</v>
      </c>
      <c r="B98" s="1">
        <v>11.9</v>
      </c>
      <c r="C98" s="1">
        <v>97.588399999999993</v>
      </c>
      <c r="D98" s="1">
        <v>170.059</v>
      </c>
      <c r="E98" s="2">
        <v>-934.57006892922072</v>
      </c>
      <c r="F98" s="1">
        <f t="shared" si="1"/>
        <v>873421.21373836836</v>
      </c>
      <c r="G98" s="2"/>
      <c r="H98" s="2"/>
      <c r="I98" s="2"/>
    </row>
    <row r="99" spans="1:9" x14ac:dyDescent="0.3">
      <c r="A99" s="1">
        <v>9595</v>
      </c>
      <c r="B99" s="1">
        <v>12.22</v>
      </c>
      <c r="C99" s="1">
        <v>99.778300000000002</v>
      </c>
      <c r="D99" s="1">
        <v>170.702</v>
      </c>
      <c r="E99" s="2">
        <v>-1148.5453994104901</v>
      </c>
      <c r="F99" s="1">
        <f t="shared" si="1"/>
        <v>1319156.5345070022</v>
      </c>
      <c r="G99" s="2"/>
      <c r="H99" s="2"/>
      <c r="I99" s="2"/>
    </row>
    <row r="100" spans="1:9" x14ac:dyDescent="0.3">
      <c r="A100" s="1">
        <v>9627</v>
      </c>
      <c r="B100" s="1">
        <v>12.34</v>
      </c>
      <c r="C100" s="1">
        <v>101.188</v>
      </c>
      <c r="D100" s="1">
        <v>172.827</v>
      </c>
      <c r="E100" s="2">
        <v>-1244.9092485766159</v>
      </c>
      <c r="F100" s="1">
        <f t="shared" si="1"/>
        <v>1549799.0371915945</v>
      </c>
      <c r="G100" s="2"/>
      <c r="H100" s="2"/>
      <c r="I100" s="2"/>
    </row>
    <row r="101" spans="1:9" x14ac:dyDescent="0.3">
      <c r="A101" s="1">
        <v>9437</v>
      </c>
      <c r="B101" s="1">
        <v>12.27</v>
      </c>
      <c r="C101" s="1">
        <v>102.878</v>
      </c>
      <c r="D101" s="1">
        <v>175.988</v>
      </c>
      <c r="E101" s="2">
        <v>-1487.7486329538333</v>
      </c>
      <c r="F101" s="1">
        <f t="shared" si="1"/>
        <v>2213395.9948559999</v>
      </c>
      <c r="G101" s="2"/>
      <c r="H101" s="2"/>
      <c r="I101" s="2"/>
    </row>
    <row r="102" spans="1:9" x14ac:dyDescent="0.3">
      <c r="A102" s="1">
        <v>9657</v>
      </c>
      <c r="B102" s="1">
        <v>12.0884</v>
      </c>
      <c r="C102" s="1">
        <v>105.428</v>
      </c>
      <c r="D102" s="1">
        <v>176.22399999999999</v>
      </c>
      <c r="E102" s="2">
        <v>-1218.525939278763</v>
      </c>
      <c r="F102" s="1">
        <f t="shared" si="1"/>
        <v>1484805.4646951915</v>
      </c>
      <c r="G102" s="2"/>
      <c r="H102" s="2"/>
      <c r="I102" s="2"/>
    </row>
    <row r="103" spans="1:9" x14ac:dyDescent="0.3">
      <c r="A103" s="1">
        <v>9727</v>
      </c>
      <c r="B103" s="1">
        <v>12.2705</v>
      </c>
      <c r="C103" s="1">
        <v>105.58799999999999</v>
      </c>
      <c r="D103" s="1">
        <v>176.85400000000001</v>
      </c>
      <c r="E103" s="2">
        <v>-1259.7800743109801</v>
      </c>
      <c r="F103" s="1">
        <f t="shared" si="1"/>
        <v>1587045.8356309787</v>
      </c>
      <c r="G103" s="2"/>
      <c r="H103" s="2"/>
      <c r="I103" s="2"/>
    </row>
    <row r="104" spans="1:9" x14ac:dyDescent="0.3">
      <c r="A104" s="1">
        <v>9737</v>
      </c>
      <c r="B104" s="1">
        <v>12.334</v>
      </c>
      <c r="C104" s="1">
        <v>104.498</v>
      </c>
      <c r="D104" s="1">
        <v>180.52699999999999</v>
      </c>
      <c r="E104" s="2">
        <v>-1337.2586660417965</v>
      </c>
      <c r="F104" s="1">
        <f t="shared" si="1"/>
        <v>1788260.7399038849</v>
      </c>
      <c r="G104" s="2"/>
      <c r="H104" s="2"/>
      <c r="I104" s="2"/>
    </row>
    <row r="105" spans="1:9" x14ac:dyDescent="0.3">
      <c r="A105" s="1">
        <v>9776</v>
      </c>
      <c r="B105" s="1">
        <v>12.651199999999999</v>
      </c>
      <c r="C105" s="1">
        <v>104.818</v>
      </c>
      <c r="D105" s="1">
        <v>184.476</v>
      </c>
      <c r="E105" s="2">
        <v>-1548.5794809347608</v>
      </c>
      <c r="F105" s="1">
        <f t="shared" si="1"/>
        <v>2398098.4087721733</v>
      </c>
      <c r="G105" s="2"/>
      <c r="H105" s="2"/>
      <c r="I105" s="2"/>
    </row>
    <row r="106" spans="1:9" x14ac:dyDescent="0.3">
      <c r="A106" s="1">
        <v>9786</v>
      </c>
      <c r="B106" s="1">
        <v>12.8226</v>
      </c>
      <c r="C106" s="1">
        <v>105.27800000000001</v>
      </c>
      <c r="D106" s="1">
        <v>188.227</v>
      </c>
      <c r="E106" s="2">
        <v>-1710.2572801524966</v>
      </c>
      <c r="F106" s="1">
        <f t="shared" si="1"/>
        <v>2924979.9643146154</v>
      </c>
      <c r="G106" s="2"/>
      <c r="H106" s="2"/>
      <c r="I106" s="2"/>
    </row>
    <row r="107" spans="1:9" x14ac:dyDescent="0.3">
      <c r="A107" s="1">
        <v>9733</v>
      </c>
      <c r="B107" s="1">
        <v>13.0785</v>
      </c>
      <c r="C107" s="1">
        <v>102.688</v>
      </c>
      <c r="D107" s="1">
        <v>190.077</v>
      </c>
      <c r="E107" s="2">
        <v>-1891.9501094476927</v>
      </c>
      <c r="F107" s="1">
        <f t="shared" si="1"/>
        <v>3579475.2166391364</v>
      </c>
      <c r="G107" s="2"/>
      <c r="H107" s="2"/>
      <c r="I107" s="2"/>
    </row>
    <row r="108" spans="1:9" x14ac:dyDescent="0.3">
      <c r="A108" s="1">
        <v>9797</v>
      </c>
      <c r="B108" s="1">
        <v>13.183299999999999</v>
      </c>
      <c r="C108" s="1">
        <v>104.58799999999999</v>
      </c>
      <c r="D108" s="1">
        <v>191.96600000000001</v>
      </c>
      <c r="E108" s="2">
        <v>-1951.7631788136841</v>
      </c>
      <c r="F108" s="1">
        <f t="shared" si="1"/>
        <v>3809379.5061728973</v>
      </c>
      <c r="G108" s="2"/>
      <c r="H108" s="2"/>
      <c r="I108" s="2"/>
    </row>
    <row r="109" spans="1:9" x14ac:dyDescent="0.3">
      <c r="A109" s="1">
        <v>9805</v>
      </c>
      <c r="B109" s="1">
        <v>13.407299999999999</v>
      </c>
      <c r="C109" s="1">
        <v>106.398</v>
      </c>
      <c r="D109" s="1">
        <v>191.38900000000001</v>
      </c>
      <c r="E109" s="2">
        <v>-2080.8128135199058</v>
      </c>
      <c r="F109" s="1">
        <f t="shared" si="1"/>
        <v>4329781.9649086269</v>
      </c>
      <c r="G109" s="2"/>
      <c r="H109" s="2"/>
      <c r="I109" s="2"/>
    </row>
    <row r="110" spans="1:9" x14ac:dyDescent="0.3">
      <c r="A110" s="1">
        <v>12273</v>
      </c>
      <c r="B110" s="1">
        <v>13.6195</v>
      </c>
      <c r="C110" s="1">
        <v>105.91800000000001</v>
      </c>
      <c r="D110" s="1">
        <v>193.71</v>
      </c>
      <c r="E110" s="2">
        <v>237.48621806926531</v>
      </c>
      <c r="F110" s="1">
        <f t="shared" si="1"/>
        <v>56399.703772842637</v>
      </c>
      <c r="G110" s="2"/>
      <c r="H110" s="2"/>
      <c r="I110" s="2"/>
    </row>
    <row r="111" spans="1:9" x14ac:dyDescent="0.3">
      <c r="A111" s="1">
        <v>12242</v>
      </c>
      <c r="B111" s="1">
        <v>13.675000000000001</v>
      </c>
      <c r="C111" s="1">
        <v>105.608</v>
      </c>
      <c r="D111" s="1">
        <v>192.63499999999999</v>
      </c>
      <c r="E111" s="2">
        <v>203.3228629418154</v>
      </c>
      <c r="F111" s="1">
        <f t="shared" si="1"/>
        <v>41340.186594856248</v>
      </c>
      <c r="G111" s="2"/>
      <c r="H111" s="2"/>
      <c r="I111" s="2"/>
    </row>
    <row r="112" spans="1:9" x14ac:dyDescent="0.3">
      <c r="A112" s="1">
        <v>11849</v>
      </c>
      <c r="B112" s="1">
        <v>13.608499999999999</v>
      </c>
      <c r="C112" s="1">
        <v>105.328</v>
      </c>
      <c r="D112" s="1">
        <v>195.33699999999999</v>
      </c>
      <c r="E112" s="2">
        <v>-202.80559241865558</v>
      </c>
      <c r="F112" s="1">
        <f t="shared" si="1"/>
        <v>41130.108316281847</v>
      </c>
      <c r="G112" s="2"/>
      <c r="H112" s="2"/>
      <c r="I112" s="2"/>
    </row>
    <row r="113" spans="1:9" x14ac:dyDescent="0.3">
      <c r="A113" s="1">
        <v>12110</v>
      </c>
      <c r="B113" s="1">
        <v>13.6098</v>
      </c>
      <c r="C113" s="1">
        <v>105.348</v>
      </c>
      <c r="D113" s="1">
        <v>198.066</v>
      </c>
      <c r="E113" s="2">
        <v>3.7330149082990829</v>
      </c>
      <c r="F113" s="1">
        <f t="shared" si="1"/>
        <v>13.93540030558321</v>
      </c>
      <c r="G113" s="2"/>
      <c r="H113" s="2"/>
      <c r="I113" s="2"/>
    </row>
    <row r="114" spans="1:9" x14ac:dyDescent="0.3">
      <c r="A114" s="1">
        <v>12140</v>
      </c>
      <c r="B114" s="1">
        <v>13.5421</v>
      </c>
      <c r="C114" s="1">
        <v>105.068</v>
      </c>
      <c r="D114" s="1">
        <v>198.512</v>
      </c>
      <c r="E114" s="2">
        <v>65.419393846266757</v>
      </c>
      <c r="F114" s="1">
        <f t="shared" si="1"/>
        <v>4279.6970912129646</v>
      </c>
      <c r="G114" s="2"/>
      <c r="H114" s="2"/>
      <c r="I114" s="2"/>
    </row>
    <row r="115" spans="1:9" x14ac:dyDescent="0.3">
      <c r="A115" s="1">
        <v>12323</v>
      </c>
      <c r="B115" s="1">
        <v>13.728300000000001</v>
      </c>
      <c r="C115" s="1">
        <v>105.11799999999999</v>
      </c>
      <c r="D115" s="1">
        <v>200.41399999999999</v>
      </c>
      <c r="E115" s="2">
        <v>111.906230612527</v>
      </c>
      <c r="F115" s="1">
        <f t="shared" si="1"/>
        <v>12523.004449904074</v>
      </c>
      <c r="G115" s="2"/>
      <c r="H115" s="2"/>
      <c r="I115" s="2"/>
    </row>
    <row r="116" spans="1:9" x14ac:dyDescent="0.3">
      <c r="A116" s="1">
        <v>12363</v>
      </c>
      <c r="B116" s="1">
        <v>13.7623</v>
      </c>
      <c r="C116" s="1">
        <v>105.288</v>
      </c>
      <c r="D116" s="1">
        <v>202.958</v>
      </c>
      <c r="E116" s="2">
        <v>81.30010419809696</v>
      </c>
      <c r="F116" s="1">
        <f t="shared" si="1"/>
        <v>6609.706942621423</v>
      </c>
      <c r="G116" s="2"/>
      <c r="H116" s="2"/>
      <c r="I116" s="2"/>
    </row>
    <row r="117" spans="1:9" x14ac:dyDescent="0.3">
      <c r="A117" s="1">
        <v>12360</v>
      </c>
      <c r="B117" s="1">
        <v>13.277200000000001</v>
      </c>
      <c r="C117" s="1">
        <v>104.72799999999999</v>
      </c>
      <c r="D117" s="1">
        <v>205.792</v>
      </c>
      <c r="E117" s="2">
        <v>288.51800193143208</v>
      </c>
      <c r="F117" s="1">
        <f t="shared" si="1"/>
        <v>83242.637438505844</v>
      </c>
      <c r="G117" s="2"/>
      <c r="H117" s="2"/>
      <c r="I117" s="2"/>
    </row>
    <row r="118" spans="1:9" x14ac:dyDescent="0.3">
      <c r="A118" s="1">
        <v>12299</v>
      </c>
      <c r="B118" s="1">
        <v>13.1965</v>
      </c>
      <c r="C118" s="1">
        <v>106.36799999999999</v>
      </c>
      <c r="D118" s="1">
        <v>207.917</v>
      </c>
      <c r="E118" s="2">
        <v>201.45064206017378</v>
      </c>
      <c r="F118" s="1">
        <f t="shared" si="1"/>
        <v>40582.361186456255</v>
      </c>
      <c r="G118" s="2"/>
      <c r="H118" s="2"/>
      <c r="I118" s="2"/>
    </row>
    <row r="119" spans="1:9" x14ac:dyDescent="0.3">
      <c r="A119" s="1">
        <v>12306</v>
      </c>
      <c r="B119" s="1">
        <v>11.8978</v>
      </c>
      <c r="C119" s="1">
        <v>108.688</v>
      </c>
      <c r="D119" s="1">
        <v>210.92099999999999</v>
      </c>
      <c r="E119" s="2">
        <v>797.84768989296572</v>
      </c>
      <c r="F119" s="1">
        <f t="shared" si="1"/>
        <v>636560.93626754195</v>
      </c>
      <c r="G119" s="2"/>
      <c r="H119" s="2"/>
      <c r="I119" s="2"/>
    </row>
    <row r="120" spans="1:9" x14ac:dyDescent="0.3">
      <c r="A120" s="1">
        <v>12267</v>
      </c>
      <c r="B120" s="1">
        <v>11.798</v>
      </c>
      <c r="C120" s="1">
        <v>109.428</v>
      </c>
      <c r="D120" s="1">
        <v>211.524</v>
      </c>
      <c r="E120" s="2">
        <v>787.56488454691134</v>
      </c>
      <c r="F120" s="1">
        <f t="shared" si="1"/>
        <v>620258.44737138983</v>
      </c>
      <c r="G120" s="2"/>
      <c r="H120" s="2"/>
      <c r="I120" s="2"/>
    </row>
    <row r="121" spans="1:9" x14ac:dyDescent="0.3">
      <c r="A121" s="1">
        <v>12281</v>
      </c>
      <c r="B121" s="1">
        <v>11.671799999999999</v>
      </c>
      <c r="C121" s="1">
        <v>108.248</v>
      </c>
      <c r="D121" s="1">
        <v>210.042</v>
      </c>
      <c r="E121" s="2">
        <v>916.8163764525998</v>
      </c>
      <c r="F121" s="1">
        <f t="shared" si="1"/>
        <v>840552.2681316752</v>
      </c>
      <c r="G121" s="2"/>
      <c r="H121" s="2"/>
      <c r="I121" s="2"/>
    </row>
    <row r="122" spans="1:9" x14ac:dyDescent="0.3">
      <c r="A122" s="1">
        <v>11930</v>
      </c>
      <c r="B122" s="1">
        <v>11.6264</v>
      </c>
      <c r="C122" s="1">
        <v>108.098</v>
      </c>
      <c r="D122" s="1">
        <v>213.26900000000001</v>
      </c>
      <c r="E122" s="2">
        <v>529.10215712772333</v>
      </c>
      <c r="F122" s="1">
        <f t="shared" si="1"/>
        <v>279949.09267721005</v>
      </c>
      <c r="G122" s="2"/>
      <c r="H122" s="2"/>
      <c r="I122" s="2"/>
    </row>
    <row r="123" spans="1:9" x14ac:dyDescent="0.3">
      <c r="A123" s="1">
        <v>11282</v>
      </c>
      <c r="B123" s="1">
        <v>11.807</v>
      </c>
      <c r="C123" s="1">
        <v>107.468</v>
      </c>
      <c r="D123" s="1">
        <v>213.91200000000001</v>
      </c>
      <c r="E123" s="2">
        <v>-216.55151185273644</v>
      </c>
      <c r="F123" s="1">
        <f t="shared" si="1"/>
        <v>46894.557285705851</v>
      </c>
      <c r="G123" s="2"/>
      <c r="H123" s="2"/>
      <c r="I123" s="2"/>
    </row>
    <row r="124" spans="1:9" x14ac:dyDescent="0.3">
      <c r="A124" s="1">
        <v>11402</v>
      </c>
      <c r="B124" s="1">
        <v>11.928800000000001</v>
      </c>
      <c r="C124" s="1">
        <v>108.488</v>
      </c>
      <c r="D124" s="1">
        <v>216.417</v>
      </c>
      <c r="E124" s="2">
        <v>-226.86531715399542</v>
      </c>
      <c r="F124" s="1">
        <f t="shared" si="1"/>
        <v>51467.872127382929</v>
      </c>
      <c r="G124" s="2"/>
      <c r="H124" s="2"/>
      <c r="I124" s="2"/>
    </row>
    <row r="125" spans="1:9" x14ac:dyDescent="0.3">
      <c r="A125" s="1">
        <v>11361</v>
      </c>
      <c r="B125" s="1">
        <v>11.9414</v>
      </c>
      <c r="C125" s="1">
        <v>109.648</v>
      </c>
      <c r="D125" s="1">
        <v>220.37899999999999</v>
      </c>
      <c r="E125" s="2">
        <v>-371.29620639252971</v>
      </c>
      <c r="F125" s="1">
        <f t="shared" si="1"/>
        <v>137860.87288148401</v>
      </c>
      <c r="G125" s="2"/>
      <c r="H125" s="2"/>
      <c r="I125" s="2"/>
    </row>
    <row r="126" spans="1:9" x14ac:dyDescent="0.3">
      <c r="A126" s="1">
        <v>11187</v>
      </c>
      <c r="B126" s="1">
        <v>11.942</v>
      </c>
      <c r="C126" s="1">
        <v>112.008</v>
      </c>
      <c r="D126" s="1">
        <v>222.911</v>
      </c>
      <c r="E126" s="2">
        <v>-634.21968290931545</v>
      </c>
      <c r="F126" s="1">
        <f t="shared" si="1"/>
        <v>402234.60618959263</v>
      </c>
      <c r="G126" s="2"/>
      <c r="H126" s="2"/>
      <c r="I126" s="2"/>
    </row>
    <row r="127" spans="1:9" x14ac:dyDescent="0.3">
      <c r="A127" s="1">
        <v>11125</v>
      </c>
      <c r="B127" s="1">
        <v>11.9419</v>
      </c>
      <c r="C127" s="1">
        <v>109.788</v>
      </c>
      <c r="D127" s="1">
        <v>222.989</v>
      </c>
      <c r="E127" s="2">
        <v>-660.98833086191007</v>
      </c>
      <c r="F127" s="1">
        <f t="shared" si="1"/>
        <v>436905.57353561389</v>
      </c>
      <c r="G127" s="2"/>
      <c r="H127" s="2"/>
      <c r="I127" s="2"/>
    </row>
    <row r="128" spans="1:9" x14ac:dyDescent="0.3">
      <c r="A128" s="1">
        <v>12284</v>
      </c>
      <c r="B128" s="1">
        <v>11.8424</v>
      </c>
      <c r="C128" s="1">
        <v>108.928</v>
      </c>
      <c r="D128" s="1">
        <v>222.43799999999999</v>
      </c>
      <c r="E128" s="2">
        <v>575.6244229999138</v>
      </c>
      <c r="F128" s="1">
        <f t="shared" si="1"/>
        <v>331343.47635398369</v>
      </c>
      <c r="G128" s="2"/>
      <c r="H128" s="2"/>
      <c r="I128" s="2"/>
    </row>
    <row r="129" spans="1:9" x14ac:dyDescent="0.3">
      <c r="A129" s="1">
        <v>12263</v>
      </c>
      <c r="B129" s="1">
        <v>10.4314</v>
      </c>
      <c r="C129" s="1">
        <v>108.068</v>
      </c>
      <c r="D129" s="1">
        <v>224.43199999999999</v>
      </c>
      <c r="E129" s="2">
        <v>1275.7494773154231</v>
      </c>
      <c r="F129" s="1">
        <f t="shared" si="1"/>
        <v>1627536.7288705751</v>
      </c>
      <c r="G129" s="2"/>
      <c r="H129" s="2"/>
      <c r="I129" s="2"/>
    </row>
    <row r="130" spans="1:9" x14ac:dyDescent="0.3">
      <c r="A130" s="1">
        <v>11040</v>
      </c>
      <c r="B130" s="1">
        <v>10.230700000000001</v>
      </c>
      <c r="C130" s="1">
        <v>106.58799999999999</v>
      </c>
      <c r="D130" s="1">
        <v>226.203</v>
      </c>
      <c r="E130" s="2">
        <v>148.64204729384073</v>
      </c>
      <c r="F130" s="1">
        <f t="shared" si="1"/>
        <v>22094.458223704387</v>
      </c>
      <c r="G130" s="2"/>
      <c r="H130" s="2"/>
      <c r="I130" s="2"/>
    </row>
    <row r="131" spans="1:9" x14ac:dyDescent="0.3">
      <c r="A131" s="1">
        <v>10933</v>
      </c>
      <c r="B131" s="1">
        <v>9.6466999999999992</v>
      </c>
      <c r="C131" s="1">
        <v>105.188</v>
      </c>
      <c r="D131" s="1">
        <v>227.06899999999999</v>
      </c>
      <c r="E131" s="2">
        <v>356.57466409559856</v>
      </c>
      <c r="F131" s="1">
        <f t="shared" ref="F131:F133" si="2">E131^2</f>
        <v>127145.49107488895</v>
      </c>
      <c r="G131" s="2"/>
      <c r="H131" s="2"/>
      <c r="I131" s="2"/>
    </row>
    <row r="132" spans="1:9" x14ac:dyDescent="0.3">
      <c r="A132" s="1">
        <v>10930</v>
      </c>
      <c r="B132" s="1">
        <v>9.3192000000000004</v>
      </c>
      <c r="C132" s="1">
        <v>104.828</v>
      </c>
      <c r="D132" s="1">
        <v>226.17699999999999</v>
      </c>
      <c r="E132" s="2">
        <v>550.13533139386345</v>
      </c>
      <c r="F132" s="1">
        <f t="shared" si="2"/>
        <v>302648.88284783595</v>
      </c>
      <c r="G132" s="2"/>
      <c r="H132" s="2"/>
      <c r="I132" s="2"/>
    </row>
    <row r="133" spans="1:9" x14ac:dyDescent="0.3">
      <c r="A133" s="1">
        <v>10909</v>
      </c>
      <c r="B133" s="1">
        <v>9.2840000000000007</v>
      </c>
      <c r="C133" s="1">
        <v>104.468</v>
      </c>
      <c r="D133" s="1">
        <v>226.702</v>
      </c>
      <c r="E133" s="2">
        <v>543.41553451539585</v>
      </c>
      <c r="F133" s="1">
        <f t="shared" si="2"/>
        <v>295300.4431526534</v>
      </c>
      <c r="G133" s="2"/>
      <c r="H133" s="2"/>
      <c r="I133" s="2"/>
    </row>
    <row r="134" spans="1:9" x14ac:dyDescent="0.3">
      <c r="F134" s="1"/>
      <c r="G134" s="2"/>
      <c r="H134" s="2"/>
      <c r="I134" s="2"/>
    </row>
    <row r="135" spans="1:9" x14ac:dyDescent="0.3">
      <c r="F135" s="1"/>
      <c r="G135" s="2"/>
      <c r="H135" s="2"/>
      <c r="I135" s="2"/>
    </row>
    <row r="136" spans="1:9" x14ac:dyDescent="0.3">
      <c r="F136" s="1"/>
      <c r="G136" s="2"/>
      <c r="H136" s="2"/>
      <c r="I136" s="2"/>
    </row>
    <row r="137" spans="1:9" x14ac:dyDescent="0.3">
      <c r="F137" s="1"/>
      <c r="G137" s="2"/>
      <c r="H137" s="2"/>
      <c r="I137" s="2"/>
    </row>
    <row r="138" spans="1:9" x14ac:dyDescent="0.3">
      <c r="F138" s="1"/>
      <c r="G138" s="2"/>
      <c r="H138" s="2"/>
      <c r="I138" s="2"/>
    </row>
    <row r="139" spans="1:9" x14ac:dyDescent="0.3">
      <c r="F139" s="1"/>
      <c r="G139" s="2"/>
      <c r="H139" s="2"/>
      <c r="I139" s="2"/>
    </row>
    <row r="140" spans="1:9" x14ac:dyDescent="0.3">
      <c r="F140" s="1"/>
      <c r="G140" s="2"/>
      <c r="H140" s="2"/>
      <c r="I140" s="2"/>
    </row>
    <row r="141" spans="1:9" x14ac:dyDescent="0.3">
      <c r="F141" s="1"/>
      <c r="G141" s="2"/>
      <c r="H141" s="2"/>
      <c r="I141" s="2"/>
    </row>
    <row r="142" spans="1:9" x14ac:dyDescent="0.3">
      <c r="F142" s="1"/>
      <c r="G142" s="2"/>
      <c r="H142" s="2"/>
      <c r="I142" s="2"/>
    </row>
    <row r="143" spans="1:9" x14ac:dyDescent="0.3">
      <c r="F143" s="1"/>
      <c r="G143" s="2"/>
      <c r="H143" s="2"/>
      <c r="I143" s="2"/>
    </row>
    <row r="144" spans="1:9" x14ac:dyDescent="0.3">
      <c r="F144" s="1"/>
      <c r="G144" s="2"/>
      <c r="H144" s="2"/>
      <c r="I144" s="2"/>
    </row>
    <row r="145" spans="6:9" x14ac:dyDescent="0.3">
      <c r="F145" s="1"/>
      <c r="G145" s="2"/>
      <c r="H145" s="2"/>
      <c r="I145" s="2"/>
    </row>
    <row r="146" spans="6:9" x14ac:dyDescent="0.3">
      <c r="F146" s="1"/>
      <c r="G146" s="2"/>
      <c r="H146" s="2"/>
      <c r="I146" s="2"/>
    </row>
    <row r="147" spans="6:9" x14ac:dyDescent="0.3">
      <c r="F147" s="1"/>
      <c r="G147" s="2"/>
      <c r="H147" s="2"/>
      <c r="I147" s="2"/>
    </row>
    <row r="148" spans="6:9" x14ac:dyDescent="0.3">
      <c r="F148" s="1"/>
      <c r="G148" s="2"/>
      <c r="H148" s="2"/>
      <c r="I148" s="2"/>
    </row>
    <row r="149" spans="6:9" x14ac:dyDescent="0.3">
      <c r="F149" s="1"/>
      <c r="G149" s="2"/>
      <c r="H149" s="2"/>
      <c r="I149" s="2"/>
    </row>
    <row r="150" spans="6:9" x14ac:dyDescent="0.3">
      <c r="F150" s="1"/>
      <c r="G150" s="2"/>
      <c r="H150" s="2"/>
      <c r="I150" s="2"/>
    </row>
    <row r="151" spans="6:9" x14ac:dyDescent="0.3">
      <c r="F151" s="1"/>
      <c r="G151" s="2"/>
      <c r="H151" s="2"/>
      <c r="I151" s="2"/>
    </row>
    <row r="152" spans="6:9" x14ac:dyDescent="0.3">
      <c r="F152" s="1"/>
      <c r="G152" s="2"/>
      <c r="H152" s="2"/>
      <c r="I152" s="2"/>
    </row>
    <row r="153" spans="6:9" x14ac:dyDescent="0.3">
      <c r="F153" s="1"/>
      <c r="G153" s="2"/>
      <c r="H153" s="2"/>
      <c r="I153" s="2"/>
    </row>
    <row r="154" spans="6:9" x14ac:dyDescent="0.3">
      <c r="F154" s="1"/>
      <c r="G154" s="2"/>
      <c r="H154" s="2"/>
      <c r="I154" s="2"/>
    </row>
    <row r="155" spans="6:9" x14ac:dyDescent="0.3">
      <c r="F155" s="1"/>
      <c r="G155" s="2"/>
      <c r="H155" s="2"/>
      <c r="I155" s="2"/>
    </row>
    <row r="156" spans="6:9" x14ac:dyDescent="0.3">
      <c r="F156" s="1"/>
      <c r="G156" s="2"/>
      <c r="H156" s="2"/>
      <c r="I156" s="2"/>
    </row>
    <row r="157" spans="6:9" x14ac:dyDescent="0.3">
      <c r="F157" s="1"/>
      <c r="G157" s="2"/>
      <c r="H157" s="2"/>
      <c r="I157" s="2"/>
    </row>
    <row r="158" spans="6:9" x14ac:dyDescent="0.3">
      <c r="F158" s="1"/>
      <c r="G158" s="2"/>
      <c r="H158" s="2"/>
      <c r="I158" s="2"/>
    </row>
    <row r="159" spans="6:9" x14ac:dyDescent="0.3">
      <c r="F159" s="1"/>
      <c r="G159" s="2"/>
      <c r="H159" s="2"/>
      <c r="I159" s="2"/>
    </row>
    <row r="160" spans="6:9" x14ac:dyDescent="0.3">
      <c r="F160" s="1"/>
      <c r="G160" s="2"/>
      <c r="H160" s="2"/>
      <c r="I160" s="2"/>
    </row>
    <row r="161" spans="6:9" ht="15" thickBot="1" x14ac:dyDescent="0.35">
      <c r="F161" s="1"/>
      <c r="G161" s="3"/>
      <c r="H161" s="3"/>
      <c r="I161" s="3"/>
    </row>
  </sheetData>
  <mergeCells count="3">
    <mergeCell ref="G2:I2"/>
    <mergeCell ref="P26:R26"/>
    <mergeCell ref="Q8:U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3"/>
  <sheetViews>
    <sheetView workbookViewId="0">
      <selection activeCell="O6" sqref="O6"/>
    </sheetView>
  </sheetViews>
  <sheetFormatPr defaultRowHeight="14.4" x14ac:dyDescent="0.3"/>
  <cols>
    <col min="1" max="5" width="8.88671875" style="1"/>
  </cols>
  <sheetData>
    <row r="1" spans="1:1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14</v>
      </c>
      <c r="F1" s="7" t="s">
        <v>34</v>
      </c>
    </row>
    <row r="2" spans="1:15" x14ac:dyDescent="0.3">
      <c r="A2" s="1">
        <v>1671</v>
      </c>
      <c r="B2" s="1">
        <v>6.3472</v>
      </c>
      <c r="C2" s="1">
        <v>102.158</v>
      </c>
      <c r="D2" s="1">
        <v>81.046599999999998</v>
      </c>
      <c r="E2" s="2">
        <v>-4251.3426725137842</v>
      </c>
      <c r="F2">
        <f>ABS(E2)</f>
        <v>4251.3426725137842</v>
      </c>
      <c r="K2" s="18" t="s">
        <v>30</v>
      </c>
    </row>
    <row r="3" spans="1:15" x14ac:dyDescent="0.3">
      <c r="A3" s="1">
        <v>1331</v>
      </c>
      <c r="B3" s="1">
        <v>6.3861999999999997</v>
      </c>
      <c r="C3" s="1">
        <v>103.19799999999999</v>
      </c>
      <c r="D3" s="1">
        <v>81.322199999999995</v>
      </c>
      <c r="E3" s="2">
        <v>-4634.5536744829742</v>
      </c>
      <c r="F3" s="1">
        <f t="shared" ref="F3:F66" si="0">ABS(E3)</f>
        <v>4634.5536744829742</v>
      </c>
      <c r="G3" t="s">
        <v>35</v>
      </c>
      <c r="H3">
        <f>K10*K7</f>
        <v>57.645490074676971</v>
      </c>
      <c r="J3" t="s">
        <v>5</v>
      </c>
    </row>
    <row r="4" spans="1:15" x14ac:dyDescent="0.3">
      <c r="A4" s="1">
        <v>1350</v>
      </c>
      <c r="B4" s="1">
        <v>6.4435000000000002</v>
      </c>
      <c r="C4" s="1">
        <v>103.63800000000001</v>
      </c>
      <c r="D4" s="1">
        <v>82.424400000000006</v>
      </c>
      <c r="E4" s="2">
        <v>-4674.7065606156357</v>
      </c>
      <c r="F4" s="1">
        <f t="shared" si="0"/>
        <v>4674.7065606156357</v>
      </c>
      <c r="G4" t="s">
        <v>36</v>
      </c>
      <c r="H4">
        <f>_xlfn.CHISQ.INV(0.95,2)</f>
        <v>5.9914645471079799</v>
      </c>
    </row>
    <row r="5" spans="1:15" ht="15.6" customHeight="1" x14ac:dyDescent="0.3">
      <c r="A5" s="1">
        <v>1363</v>
      </c>
      <c r="B5" s="1">
        <v>6.4488000000000003</v>
      </c>
      <c r="C5" s="1">
        <v>102.97799999999999</v>
      </c>
      <c r="D5" s="1">
        <v>82.7</v>
      </c>
      <c r="E5" s="2">
        <v>-4658.9931428625932</v>
      </c>
      <c r="F5" s="1">
        <f t="shared" si="0"/>
        <v>4658.9931428625932</v>
      </c>
      <c r="G5" s="21" t="s">
        <v>33</v>
      </c>
      <c r="H5" s="21"/>
      <c r="I5" s="21"/>
      <c r="J5" s="21"/>
      <c r="K5" s="21"/>
    </row>
    <row r="6" spans="1:15" x14ac:dyDescent="0.3">
      <c r="A6" s="1">
        <v>1787</v>
      </c>
      <c r="B6" s="1">
        <v>6.4318999999999997</v>
      </c>
      <c r="C6" s="1">
        <v>100.498</v>
      </c>
      <c r="D6" s="1">
        <v>81.999300000000005</v>
      </c>
      <c r="E6" s="2">
        <v>-4171.3315229809305</v>
      </c>
      <c r="F6" s="1">
        <f t="shared" si="0"/>
        <v>4171.3315229809305</v>
      </c>
      <c r="J6" s="2" t="s">
        <v>7</v>
      </c>
      <c r="K6" s="2">
        <v>0.66083905615625671</v>
      </c>
      <c r="O6" t="s">
        <v>52</v>
      </c>
    </row>
    <row r="7" spans="1:15" x14ac:dyDescent="0.3">
      <c r="A7" s="1">
        <v>1656</v>
      </c>
      <c r="B7" s="1">
        <v>6.2809999999999997</v>
      </c>
      <c r="C7" s="1">
        <v>99.548299999999998</v>
      </c>
      <c r="D7" s="1">
        <v>82.589799999999997</v>
      </c>
      <c r="E7" s="2">
        <v>-4218.4165371170566</v>
      </c>
      <c r="F7" s="1">
        <f t="shared" si="0"/>
        <v>4218.4165371170566</v>
      </c>
      <c r="J7" s="2" t="s">
        <v>8</v>
      </c>
      <c r="K7" s="2">
        <v>0.43670825814149222</v>
      </c>
    </row>
    <row r="8" spans="1:15" x14ac:dyDescent="0.3">
      <c r="A8" s="1">
        <v>1398</v>
      </c>
      <c r="B8" s="1">
        <v>6.4044999999999996</v>
      </c>
      <c r="C8" s="1">
        <v>98.588399999999993</v>
      </c>
      <c r="D8" s="1">
        <v>83.487300000000005</v>
      </c>
      <c r="E8" s="2">
        <v>-4543.4124395838371</v>
      </c>
      <c r="F8" s="1">
        <f t="shared" si="0"/>
        <v>4543.4124395838371</v>
      </c>
      <c r="J8" s="2" t="s">
        <v>9</v>
      </c>
      <c r="K8" s="2">
        <v>0.42350610794168347</v>
      </c>
    </row>
    <row r="9" spans="1:15" x14ac:dyDescent="0.3">
      <c r="A9" s="1">
        <v>1369</v>
      </c>
      <c r="B9" s="1">
        <v>6.3985000000000003</v>
      </c>
      <c r="C9" s="1">
        <v>99.828299999999999</v>
      </c>
      <c r="D9" s="1">
        <v>83.747100000000003</v>
      </c>
      <c r="E9" s="2">
        <v>-4594.8290082407148</v>
      </c>
      <c r="F9" s="1">
        <f t="shared" si="0"/>
        <v>4594.8290082407148</v>
      </c>
      <c r="H9" s="6"/>
      <c r="J9" s="2" t="s">
        <v>10</v>
      </c>
      <c r="K9" s="2">
        <v>1297.781991906211</v>
      </c>
    </row>
    <row r="10" spans="1:15" ht="15" thickBot="1" x14ac:dyDescent="0.35">
      <c r="A10" s="1">
        <v>1387</v>
      </c>
      <c r="B10" s="1">
        <v>6.3651</v>
      </c>
      <c r="C10" s="1">
        <v>100.438</v>
      </c>
      <c r="D10" s="1">
        <v>83.904600000000002</v>
      </c>
      <c r="E10" s="2">
        <v>-4572.336715379266</v>
      </c>
      <c r="F10" s="1">
        <f>ABS(E10)</f>
        <v>4572.336715379266</v>
      </c>
      <c r="J10" s="3" t="s">
        <v>11</v>
      </c>
      <c r="K10" s="3">
        <v>132</v>
      </c>
    </row>
    <row r="11" spans="1:15" x14ac:dyDescent="0.3">
      <c r="A11" s="1">
        <v>1384</v>
      </c>
      <c r="B11" s="1">
        <v>6.3448000000000002</v>
      </c>
      <c r="C11" s="1">
        <v>100.858</v>
      </c>
      <c r="D11" s="1">
        <v>84.038399999999996</v>
      </c>
      <c r="E11" s="2">
        <v>-4574.1693424068035</v>
      </c>
      <c r="F11" s="1">
        <f t="shared" si="0"/>
        <v>4574.1693424068035</v>
      </c>
    </row>
    <row r="12" spans="1:15" ht="15" thickBot="1" x14ac:dyDescent="0.35">
      <c r="A12" s="1">
        <v>1375</v>
      </c>
      <c r="B12" s="1">
        <v>4.7619999999999996</v>
      </c>
      <c r="C12" s="1">
        <v>100.44799999999999</v>
      </c>
      <c r="D12" s="1">
        <v>83.967600000000004</v>
      </c>
      <c r="E12" s="2">
        <v>-3738.222910562572</v>
      </c>
      <c r="F12" s="1">
        <f t="shared" si="0"/>
        <v>3738.222910562572</v>
      </c>
      <c r="J12" t="s">
        <v>12</v>
      </c>
    </row>
    <row r="13" spans="1:15" x14ac:dyDescent="0.3">
      <c r="A13" s="1">
        <v>1752</v>
      </c>
      <c r="B13" s="1">
        <v>4.3247</v>
      </c>
      <c r="C13" s="1">
        <v>100.158</v>
      </c>
      <c r="D13" s="1">
        <v>83.762900000000002</v>
      </c>
      <c r="E13" s="2">
        <v>-3121.2312900961333</v>
      </c>
      <c r="F13" s="1">
        <f t="shared" si="0"/>
        <v>3121.2312900961333</v>
      </c>
      <c r="J13" s="4"/>
      <c r="K13" s="4" t="s">
        <v>17</v>
      </c>
      <c r="L13" s="4" t="s">
        <v>18</v>
      </c>
      <c r="M13" s="4" t="s">
        <v>19</v>
      </c>
      <c r="N13" s="4" t="s">
        <v>20</v>
      </c>
      <c r="O13" s="4" t="s">
        <v>21</v>
      </c>
    </row>
    <row r="14" spans="1:15" x14ac:dyDescent="0.3">
      <c r="A14" s="1">
        <v>2667</v>
      </c>
      <c r="B14" s="1">
        <v>3.8426999999999998</v>
      </c>
      <c r="C14" s="1">
        <v>98.688400000000001</v>
      </c>
      <c r="D14" s="1">
        <v>83.896699999999996</v>
      </c>
      <c r="E14" s="2">
        <v>-1929.7333040683152</v>
      </c>
      <c r="F14" s="1">
        <f t="shared" si="0"/>
        <v>1929.7333040683152</v>
      </c>
      <c r="J14" s="2" t="s">
        <v>13</v>
      </c>
      <c r="K14" s="2">
        <v>3</v>
      </c>
      <c r="L14" s="2">
        <v>167136566.80920157</v>
      </c>
      <c r="M14" s="2">
        <v>55712188.936400525</v>
      </c>
      <c r="N14" s="2">
        <v>33.078570651909239</v>
      </c>
      <c r="O14" s="2">
        <v>6.7508140330580856E-16</v>
      </c>
    </row>
    <row r="15" spans="1:15" x14ac:dyDescent="0.3">
      <c r="A15" s="1">
        <v>2711</v>
      </c>
      <c r="B15" s="1">
        <v>3.1943000000000001</v>
      </c>
      <c r="C15" s="1">
        <v>99.068299999999994</v>
      </c>
      <c r="D15" s="1">
        <v>84.290400000000005</v>
      </c>
      <c r="E15" s="2">
        <v>-1556.9342428417285</v>
      </c>
      <c r="F15" s="1">
        <f t="shared" si="0"/>
        <v>1556.9342428417285</v>
      </c>
      <c r="J15" s="2" t="s">
        <v>14</v>
      </c>
      <c r="K15" s="2">
        <v>128</v>
      </c>
      <c r="L15" s="2">
        <v>215582476.61005476</v>
      </c>
      <c r="M15" s="2">
        <v>1684238.0985160528</v>
      </c>
      <c r="N15" s="2"/>
      <c r="O15" s="2"/>
    </row>
    <row r="16" spans="1:15" ht="15" thickBot="1" x14ac:dyDescent="0.35">
      <c r="A16" s="1">
        <v>2745</v>
      </c>
      <c r="B16" s="1">
        <v>2.0914999999999999</v>
      </c>
      <c r="C16" s="1">
        <v>99.068299999999994</v>
      </c>
      <c r="D16" s="1">
        <v>84.313999999999993</v>
      </c>
      <c r="E16" s="2">
        <v>-940.37774005554638</v>
      </c>
      <c r="F16" s="1">
        <f t="shared" si="0"/>
        <v>940.37774005554638</v>
      </c>
      <c r="J16" s="3" t="s">
        <v>15</v>
      </c>
      <c r="K16" s="3">
        <v>131</v>
      </c>
      <c r="L16" s="3">
        <v>382719043.41925633</v>
      </c>
      <c r="M16" s="3"/>
      <c r="N16" s="3"/>
      <c r="O16" s="3"/>
    </row>
    <row r="17" spans="1:18" ht="15" thickBot="1" x14ac:dyDescent="0.35">
      <c r="A17" s="1">
        <v>2477</v>
      </c>
      <c r="B17" s="1">
        <v>1.6389</v>
      </c>
      <c r="C17" s="1">
        <v>99.298299999999998</v>
      </c>
      <c r="D17" s="1">
        <v>84.597399999999993</v>
      </c>
      <c r="E17" s="2">
        <v>-978.45396870529112</v>
      </c>
      <c r="F17" s="1">
        <f t="shared" si="0"/>
        <v>978.45396870529112</v>
      </c>
    </row>
    <row r="18" spans="1:18" x14ac:dyDescent="0.3">
      <c r="A18" s="1">
        <v>2470</v>
      </c>
      <c r="B18" s="1">
        <v>1.7989999999999999</v>
      </c>
      <c r="C18" s="1">
        <v>96.888400000000004</v>
      </c>
      <c r="D18" s="1">
        <v>84.353300000000004</v>
      </c>
      <c r="E18" s="2">
        <v>-1025.4680497870495</v>
      </c>
      <c r="F18" s="1">
        <f t="shared" si="0"/>
        <v>1025.4680497870495</v>
      </c>
      <c r="J18" s="4"/>
      <c r="K18" s="4" t="s">
        <v>22</v>
      </c>
      <c r="L18" s="4" t="s">
        <v>10</v>
      </c>
      <c r="M18" s="4" t="s">
        <v>23</v>
      </c>
      <c r="N18" s="4" t="s">
        <v>24</v>
      </c>
      <c r="O18" s="4" t="s">
        <v>25</v>
      </c>
      <c r="P18" s="4" t="s">
        <v>26</v>
      </c>
      <c r="Q18" s="4" t="s">
        <v>27</v>
      </c>
      <c r="R18" s="4" t="s">
        <v>28</v>
      </c>
    </row>
    <row r="19" spans="1:18" x14ac:dyDescent="0.3">
      <c r="A19" s="1">
        <v>2766</v>
      </c>
      <c r="B19" s="1">
        <v>1.6557999999999999</v>
      </c>
      <c r="C19" s="1">
        <v>96.338399999999993</v>
      </c>
      <c r="D19" s="1">
        <v>84.180099999999996</v>
      </c>
      <c r="E19" s="2">
        <v>-641.27662924534025</v>
      </c>
      <c r="F19" s="1">
        <f t="shared" si="0"/>
        <v>641.27662924534025</v>
      </c>
      <c r="J19" s="2" t="s">
        <v>16</v>
      </c>
      <c r="K19" s="2">
        <v>11326.032933779512</v>
      </c>
      <c r="L19" s="2">
        <v>3521.400317246279</v>
      </c>
      <c r="M19" s="2">
        <v>3.2163434751537778</v>
      </c>
      <c r="N19" s="2">
        <v>1.6442401553144078E-3</v>
      </c>
      <c r="O19" s="2">
        <v>4358.3407754345953</v>
      </c>
      <c r="P19" s="2">
        <v>18293.725092124427</v>
      </c>
      <c r="Q19" s="2">
        <v>4358.3407754345953</v>
      </c>
      <c r="R19" s="2">
        <v>18293.725092124427</v>
      </c>
    </row>
    <row r="20" spans="1:18" x14ac:dyDescent="0.3">
      <c r="A20" s="1">
        <v>2780</v>
      </c>
      <c r="B20" s="1">
        <v>1.2116</v>
      </c>
      <c r="C20" s="1">
        <v>96.998400000000004</v>
      </c>
      <c r="D20" s="1">
        <v>84.660399999999996</v>
      </c>
      <c r="E20" s="2">
        <v>-412.75941297086547</v>
      </c>
      <c r="F20" s="1">
        <f t="shared" si="0"/>
        <v>412.75941297086547</v>
      </c>
      <c r="J20" s="2" t="s">
        <v>1</v>
      </c>
      <c r="K20" s="2">
        <v>428.67433586909107</v>
      </c>
      <c r="L20" s="2">
        <v>47.76437450787077</v>
      </c>
      <c r="M20" s="2">
        <v>8.974771265945348</v>
      </c>
      <c r="N20" s="2">
        <v>3.0293976183705517E-15</v>
      </c>
      <c r="O20" s="2">
        <v>334.16436036962978</v>
      </c>
      <c r="P20" s="2">
        <v>523.18431136855236</v>
      </c>
      <c r="Q20" s="2">
        <v>334.16436036962978</v>
      </c>
      <c r="R20" s="2">
        <v>523.18431136855236</v>
      </c>
    </row>
    <row r="21" spans="1:18" x14ac:dyDescent="0.3">
      <c r="A21" s="1">
        <v>2778</v>
      </c>
      <c r="B21" s="1">
        <v>1.2146999999999999</v>
      </c>
      <c r="C21" s="1">
        <v>98.068399999999997</v>
      </c>
      <c r="D21" s="1">
        <v>85.219399999999993</v>
      </c>
      <c r="E21" s="2">
        <v>-445.0371139857707</v>
      </c>
      <c r="F21" s="1">
        <f t="shared" si="0"/>
        <v>445.0371139857707</v>
      </c>
      <c r="J21" s="2" t="s">
        <v>2</v>
      </c>
      <c r="K21" s="2">
        <v>-85.24451104108779</v>
      </c>
      <c r="L21" s="2">
        <v>37.173343381224193</v>
      </c>
      <c r="M21" s="2">
        <v>-2.2931623385843674</v>
      </c>
      <c r="N21" s="2">
        <v>2.346942190012612E-2</v>
      </c>
      <c r="O21" s="2">
        <v>-158.79832198052833</v>
      </c>
      <c r="P21" s="2">
        <v>-11.690700101647266</v>
      </c>
      <c r="Q21" s="2">
        <v>-158.79832198052833</v>
      </c>
      <c r="R21" s="2">
        <v>-11.690700101647266</v>
      </c>
    </row>
    <row r="22" spans="1:18" ht="15" thickBot="1" x14ac:dyDescent="0.35">
      <c r="A22" s="1">
        <v>2830</v>
      </c>
      <c r="B22" s="1">
        <v>1.2146999999999999</v>
      </c>
      <c r="C22" s="1">
        <v>97.758399999999995</v>
      </c>
      <c r="D22" s="1">
        <v>85.731200000000001</v>
      </c>
      <c r="E22" s="2">
        <v>-397.93434868185705</v>
      </c>
      <c r="F22" s="1">
        <f t="shared" si="0"/>
        <v>397.93434868185705</v>
      </c>
      <c r="J22" s="3" t="s">
        <v>3</v>
      </c>
      <c r="K22" s="3">
        <v>-31.828412390044807</v>
      </c>
      <c r="L22" s="3">
        <v>4.4029095982689439</v>
      </c>
      <c r="M22" s="3">
        <v>-7.2289497841514905</v>
      </c>
      <c r="N22" s="3">
        <v>3.9152086581603798E-11</v>
      </c>
      <c r="O22" s="3">
        <v>-40.540321266610775</v>
      </c>
      <c r="P22" s="3">
        <v>-23.116503513478836</v>
      </c>
      <c r="Q22" s="3">
        <v>-40.540321266610775</v>
      </c>
      <c r="R22" s="3">
        <v>-23.116503513478836</v>
      </c>
    </row>
    <row r="23" spans="1:18" x14ac:dyDescent="0.3">
      <c r="A23" s="1">
        <v>2869</v>
      </c>
      <c r="B23" s="1">
        <v>1.2146999999999999</v>
      </c>
      <c r="C23" s="1">
        <v>97.148399999999995</v>
      </c>
      <c r="D23" s="1">
        <v>86.990899999999996</v>
      </c>
      <c r="E23" s="2">
        <v>-373.51783028859245</v>
      </c>
      <c r="F23" s="1">
        <f t="shared" si="0"/>
        <v>373.51783028859245</v>
      </c>
    </row>
    <row r="24" spans="1:18" x14ac:dyDescent="0.3">
      <c r="A24" s="1">
        <v>2482</v>
      </c>
      <c r="B24" s="1">
        <v>1.6580999999999999</v>
      </c>
      <c r="C24" s="1">
        <v>97.728399999999993</v>
      </c>
      <c r="D24" s="1">
        <v>87.510499999999993</v>
      </c>
      <c r="E24" s="2">
        <v>-1014.6961248990501</v>
      </c>
      <c r="F24" s="1">
        <f t="shared" si="0"/>
        <v>1014.6961248990501</v>
      </c>
    </row>
    <row r="25" spans="1:18" x14ac:dyDescent="0.3">
      <c r="A25" s="1">
        <v>2540</v>
      </c>
      <c r="B25" s="1">
        <v>1.6445000000000001</v>
      </c>
      <c r="C25" s="1">
        <v>97.358400000000003</v>
      </c>
      <c r="D25" s="1">
        <v>88.297799999999995</v>
      </c>
      <c r="E25" s="2">
        <v>-958.8066370033448</v>
      </c>
      <c r="F25" s="1">
        <f t="shared" si="0"/>
        <v>958.8066370033448</v>
      </c>
    </row>
    <row r="26" spans="1:18" x14ac:dyDescent="0.3">
      <c r="A26" s="1">
        <v>4473</v>
      </c>
      <c r="B26" s="1">
        <v>1.6445000000000001</v>
      </c>
      <c r="C26" s="1">
        <v>95.638400000000004</v>
      </c>
      <c r="D26" s="1">
        <v>88.219099999999997</v>
      </c>
      <c r="E26" s="2">
        <v>1004.1734689733944</v>
      </c>
      <c r="F26" s="1">
        <f t="shared" si="0"/>
        <v>1004.1734689733944</v>
      </c>
    </row>
    <row r="27" spans="1:18" x14ac:dyDescent="0.3">
      <c r="A27" s="1">
        <v>4474</v>
      </c>
      <c r="B27" s="1">
        <v>1.675</v>
      </c>
      <c r="C27" s="1">
        <v>95.258399999999995</v>
      </c>
      <c r="D27" s="1">
        <v>87.919899999999998</v>
      </c>
      <c r="E27" s="2">
        <v>1001.1913944757603</v>
      </c>
      <c r="F27" s="1">
        <f t="shared" si="0"/>
        <v>1001.1913944757603</v>
      </c>
    </row>
    <row r="28" spans="1:18" x14ac:dyDescent="0.3">
      <c r="A28" s="1">
        <v>4854</v>
      </c>
      <c r="B28" s="1">
        <v>1.7356</v>
      </c>
      <c r="C28" s="1">
        <v>96.788399999999996</v>
      </c>
      <c r="D28" s="1">
        <v>88.817400000000006</v>
      </c>
      <c r="E28" s="2">
        <v>1306.2803252084195</v>
      </c>
      <c r="F28" s="1">
        <f t="shared" si="0"/>
        <v>1306.2803252084195</v>
      </c>
    </row>
    <row r="29" spans="1:18" x14ac:dyDescent="0.3">
      <c r="A29" s="1">
        <v>4888</v>
      </c>
      <c r="B29" s="1">
        <v>1.8418000000000001</v>
      </c>
      <c r="C29" s="1">
        <v>97.808400000000006</v>
      </c>
      <c r="D29" s="1">
        <v>89.6678</v>
      </c>
      <c r="E29" s="2">
        <v>1250.6166894901535</v>
      </c>
      <c r="F29" s="1">
        <f t="shared" si="0"/>
        <v>1250.6166894901535</v>
      </c>
    </row>
    <row r="30" spans="1:18" x14ac:dyDescent="0.3">
      <c r="A30" s="1">
        <v>4501</v>
      </c>
      <c r="B30" s="1">
        <v>2.0756000000000001</v>
      </c>
      <c r="C30" s="1">
        <v>99.028300000000002</v>
      </c>
      <c r="D30" s="1">
        <v>90.289699999999996</v>
      </c>
      <c r="E30" s="2">
        <v>707.66424171784638</v>
      </c>
      <c r="F30" s="1">
        <f t="shared" si="0"/>
        <v>707.66424171784638</v>
      </c>
    </row>
    <row r="31" spans="1:18" x14ac:dyDescent="0.3">
      <c r="A31" s="1">
        <v>4515</v>
      </c>
      <c r="B31" s="1">
        <v>2.0756000000000001</v>
      </c>
      <c r="C31" s="1">
        <v>98.868399999999994</v>
      </c>
      <c r="D31" s="1">
        <v>91.297499999999999</v>
      </c>
      <c r="E31" s="2">
        <v>704.57179087689929</v>
      </c>
      <c r="F31" s="1">
        <f t="shared" si="0"/>
        <v>704.57179087689929</v>
      </c>
    </row>
    <row r="32" spans="1:18" x14ac:dyDescent="0.3">
      <c r="A32" s="1">
        <v>4565</v>
      </c>
      <c r="B32" s="1">
        <v>2.5529000000000002</v>
      </c>
      <c r="C32" s="1">
        <v>98.398399999999995</v>
      </c>
      <c r="D32" s="1">
        <v>92.557199999999995</v>
      </c>
      <c r="E32" s="2">
        <v>485.33872045539374</v>
      </c>
      <c r="F32" s="1">
        <f t="shared" si="0"/>
        <v>485.33872045539374</v>
      </c>
    </row>
    <row r="33" spans="1:6" x14ac:dyDescent="0.3">
      <c r="A33" s="1">
        <v>4564</v>
      </c>
      <c r="B33" s="1">
        <v>2.6164000000000001</v>
      </c>
      <c r="C33" s="1">
        <v>98.628399999999999</v>
      </c>
      <c r="D33" s="1">
        <v>93.092600000000004</v>
      </c>
      <c r="E33" s="2">
        <v>436.48020268838081</v>
      </c>
      <c r="F33" s="1">
        <f t="shared" si="0"/>
        <v>436.48020268838081</v>
      </c>
    </row>
    <row r="34" spans="1:6" x14ac:dyDescent="0.3">
      <c r="A34" s="1">
        <v>4570</v>
      </c>
      <c r="B34" s="1">
        <v>3.0005000000000002</v>
      </c>
      <c r="C34" s="1">
        <v>98.078400000000002</v>
      </c>
      <c r="D34" s="1">
        <v>93.446899999999999</v>
      </c>
      <c r="E34" s="2">
        <v>241.57295522030654</v>
      </c>
      <c r="F34" s="1">
        <f t="shared" si="0"/>
        <v>241.57295522030654</v>
      </c>
    </row>
    <row r="35" spans="1:6" x14ac:dyDescent="0.3">
      <c r="A35" s="1">
        <v>4908</v>
      </c>
      <c r="B35" s="1">
        <v>3.1888999999999998</v>
      </c>
      <c r="C35" s="1">
        <v>97.118399999999994</v>
      </c>
      <c r="D35" s="1">
        <v>94.557000000000002</v>
      </c>
      <c r="E35" s="2">
        <v>474.10448383438779</v>
      </c>
      <c r="F35" s="1">
        <f t="shared" si="0"/>
        <v>474.10448383438779</v>
      </c>
    </row>
    <row r="36" spans="1:6" x14ac:dyDescent="0.3">
      <c r="A36" s="1">
        <v>4890</v>
      </c>
      <c r="B36" s="1">
        <v>3.7321</v>
      </c>
      <c r="C36" s="1">
        <v>95.398399999999995</v>
      </c>
      <c r="D36" s="1">
        <v>95.611999999999995</v>
      </c>
      <c r="E36" s="2">
        <v>176.70851676453003</v>
      </c>
      <c r="F36" s="1">
        <f t="shared" si="0"/>
        <v>176.70851676453003</v>
      </c>
    </row>
    <row r="37" spans="1:6" x14ac:dyDescent="0.3">
      <c r="A37" s="1">
        <v>4598</v>
      </c>
      <c r="B37" s="1">
        <v>3.7321</v>
      </c>
      <c r="C37" s="1">
        <v>94.008399999999995</v>
      </c>
      <c r="D37" s="1">
        <v>94.801100000000005</v>
      </c>
      <c r="E37" s="2">
        <v>-76.428618688955794</v>
      </c>
      <c r="F37" s="1">
        <f t="shared" si="0"/>
        <v>76.428618688955794</v>
      </c>
    </row>
    <row r="38" spans="1:6" x14ac:dyDescent="0.3">
      <c r="A38" s="1">
        <v>6869</v>
      </c>
      <c r="B38" s="1">
        <v>4.1611000000000002</v>
      </c>
      <c r="C38" s="1">
        <v>95.048400000000001</v>
      </c>
      <c r="D38" s="1">
        <v>95.722200000000001</v>
      </c>
      <c r="E38" s="2">
        <v>1932.5374206166489</v>
      </c>
      <c r="F38" s="1">
        <f t="shared" si="0"/>
        <v>1932.5374206166489</v>
      </c>
    </row>
    <row r="39" spans="1:6" x14ac:dyDescent="0.3">
      <c r="A39" s="1">
        <v>6950</v>
      </c>
      <c r="B39" s="1">
        <v>4.7948000000000004</v>
      </c>
      <c r="C39" s="1">
        <v>96.858400000000003</v>
      </c>
      <c r="D39" s="1">
        <v>96.667000000000002</v>
      </c>
      <c r="E39" s="2">
        <v>1630.0889616626564</v>
      </c>
      <c r="F39" s="1">
        <f t="shared" si="0"/>
        <v>1630.0889616626564</v>
      </c>
    </row>
    <row r="40" spans="1:6" x14ac:dyDescent="0.3">
      <c r="A40" s="1">
        <v>6220</v>
      </c>
      <c r="B40" s="1">
        <v>5.5069999999999997</v>
      </c>
      <c r="C40" s="1">
        <v>97.278400000000005</v>
      </c>
      <c r="D40" s="1">
        <v>97.918899999999994</v>
      </c>
      <c r="E40" s="2">
        <v>492.10829359181389</v>
      </c>
      <c r="F40" s="1">
        <f t="shared" si="0"/>
        <v>492.10829359181389</v>
      </c>
    </row>
    <row r="41" spans="1:6" x14ac:dyDescent="0.3">
      <c r="A41" s="1">
        <v>6298</v>
      </c>
      <c r="B41" s="1">
        <v>7.0762</v>
      </c>
      <c r="C41" s="1">
        <v>99.548299999999998</v>
      </c>
      <c r="D41" s="1">
        <v>99.619500000000002</v>
      </c>
      <c r="E41" s="2">
        <v>-330.31745747948844</v>
      </c>
      <c r="F41" s="1">
        <f t="shared" si="0"/>
        <v>330.31745747948844</v>
      </c>
    </row>
    <row r="42" spans="1:6" x14ac:dyDescent="0.3">
      <c r="A42" s="1">
        <v>6286</v>
      </c>
      <c r="B42" s="1">
        <v>7.8234000000000004</v>
      </c>
      <c r="C42" s="1">
        <v>99.198300000000003</v>
      </c>
      <c r="D42" s="1">
        <v>99.178600000000003</v>
      </c>
      <c r="E42" s="2">
        <v>-722.91927124352242</v>
      </c>
      <c r="F42" s="1">
        <f t="shared" si="0"/>
        <v>722.91927124352242</v>
      </c>
    </row>
    <row r="43" spans="1:6" x14ac:dyDescent="0.3">
      <c r="A43" s="1">
        <v>6353</v>
      </c>
      <c r="B43" s="1">
        <v>7.9564000000000004</v>
      </c>
      <c r="C43" s="1">
        <v>100.458</v>
      </c>
      <c r="D43" s="1">
        <v>99.272999999999996</v>
      </c>
      <c r="E43" s="2">
        <v>-748.90940916662203</v>
      </c>
      <c r="F43" s="1">
        <f t="shared" si="0"/>
        <v>748.90940916662203</v>
      </c>
    </row>
    <row r="44" spans="1:6" x14ac:dyDescent="0.3">
      <c r="A44" s="1">
        <v>6319</v>
      </c>
      <c r="B44" s="1">
        <v>7.9676999999999998</v>
      </c>
      <c r="C44" s="1">
        <v>101.908</v>
      </c>
      <c r="D44" s="1">
        <v>100.879</v>
      </c>
      <c r="E44" s="2">
        <v>-844.3091725352042</v>
      </c>
      <c r="F44" s="1">
        <f t="shared" si="0"/>
        <v>844.3091725352042</v>
      </c>
    </row>
    <row r="45" spans="1:6" x14ac:dyDescent="0.3">
      <c r="A45" s="1">
        <v>7155</v>
      </c>
      <c r="B45" s="1">
        <v>8.1056000000000008</v>
      </c>
      <c r="C45" s="1">
        <v>100.318</v>
      </c>
      <c r="D45" s="1">
        <v>100.919</v>
      </c>
      <c r="E45" s="2">
        <v>-55.70684902656285</v>
      </c>
      <c r="F45" s="1">
        <f t="shared" si="0"/>
        <v>55.70684902656285</v>
      </c>
    </row>
    <row r="46" spans="1:6" x14ac:dyDescent="0.3">
      <c r="A46" s="1">
        <v>7157</v>
      </c>
      <c r="B46" s="1">
        <v>8.1387999999999998</v>
      </c>
      <c r="C46" s="1">
        <v>100.288</v>
      </c>
      <c r="D46" s="1">
        <v>101.422</v>
      </c>
      <c r="E46" s="2">
        <v>-80.613220355446174</v>
      </c>
      <c r="F46" s="1">
        <f t="shared" si="0"/>
        <v>80.613220355446174</v>
      </c>
    </row>
    <row r="47" spans="1:6" x14ac:dyDescent="0.3">
      <c r="A47" s="1">
        <v>6484</v>
      </c>
      <c r="B47" s="1">
        <v>8.1387999999999998</v>
      </c>
      <c r="C47" s="1">
        <v>101.83799999999999</v>
      </c>
      <c r="D47" s="1">
        <v>102.375</v>
      </c>
      <c r="E47" s="2">
        <v>-797.90438103540055</v>
      </c>
      <c r="F47" s="1">
        <f t="shared" si="0"/>
        <v>797.90438103540055</v>
      </c>
    </row>
    <row r="48" spans="1:6" x14ac:dyDescent="0.3">
      <c r="A48" s="1">
        <v>6710</v>
      </c>
      <c r="B48" s="1">
        <v>8.2583000000000002</v>
      </c>
      <c r="C48" s="1">
        <v>103.598</v>
      </c>
      <c r="D48" s="1">
        <v>103.155</v>
      </c>
      <c r="E48" s="2">
        <v>-679.45599781460896</v>
      </c>
      <c r="F48" s="1">
        <f t="shared" si="0"/>
        <v>679.45599781460896</v>
      </c>
    </row>
    <row r="49" spans="1:6" x14ac:dyDescent="0.3">
      <c r="A49" s="1">
        <v>6657</v>
      </c>
      <c r="B49" s="1">
        <v>8.2451000000000008</v>
      </c>
      <c r="C49" s="1">
        <v>103.658</v>
      </c>
      <c r="D49" s="1">
        <v>102.871</v>
      </c>
      <c r="E49" s="2">
        <v>-720.9078704851654</v>
      </c>
      <c r="F49" s="1">
        <f t="shared" si="0"/>
        <v>720.9078704851654</v>
      </c>
    </row>
    <row r="50" spans="1:6" x14ac:dyDescent="0.3">
      <c r="A50" s="1">
        <v>10497</v>
      </c>
      <c r="B50" s="1">
        <v>8.2899999999999991</v>
      </c>
      <c r="C50" s="1">
        <v>102.798</v>
      </c>
      <c r="D50" s="1">
        <v>104.107</v>
      </c>
      <c r="E50" s="2">
        <v>3085.3689960260072</v>
      </c>
      <c r="F50" s="1">
        <f t="shared" si="0"/>
        <v>3085.3689960260072</v>
      </c>
    </row>
    <row r="51" spans="1:6" x14ac:dyDescent="0.3">
      <c r="A51" s="1">
        <v>9672</v>
      </c>
      <c r="B51" s="1">
        <v>8.2899999999999991</v>
      </c>
      <c r="C51" s="1">
        <v>103.828</v>
      </c>
      <c r="D51" s="1">
        <v>104.446</v>
      </c>
      <c r="E51" s="2">
        <v>2236.6999204522454</v>
      </c>
      <c r="F51" s="1">
        <f t="shared" si="0"/>
        <v>2236.6999204522454</v>
      </c>
    </row>
    <row r="52" spans="1:6" x14ac:dyDescent="0.3">
      <c r="A52" s="1">
        <v>9767</v>
      </c>
      <c r="B52" s="1">
        <v>8.2899999999999991</v>
      </c>
      <c r="C52" s="1">
        <v>103.44799999999999</v>
      </c>
      <c r="D52" s="1">
        <v>104.69</v>
      </c>
      <c r="E52" s="2">
        <v>2333.2045497094914</v>
      </c>
      <c r="F52" s="1">
        <f t="shared" si="0"/>
        <v>2333.2045497094914</v>
      </c>
    </row>
    <row r="53" spans="1:6" x14ac:dyDescent="0.3">
      <c r="A53" s="1">
        <v>9853</v>
      </c>
      <c r="B53" s="1">
        <v>8.2899999999999991</v>
      </c>
      <c r="C53" s="1">
        <v>102.878</v>
      </c>
      <c r="D53" s="1">
        <v>105.761</v>
      </c>
      <c r="E53" s="2">
        <v>2407.6551096024577</v>
      </c>
      <c r="F53" s="1">
        <f t="shared" si="0"/>
        <v>2407.6551096024577</v>
      </c>
    </row>
    <row r="54" spans="1:6" x14ac:dyDescent="0.3">
      <c r="A54" s="1">
        <v>9907</v>
      </c>
      <c r="B54" s="1">
        <v>8.2899999999999991</v>
      </c>
      <c r="C54" s="1">
        <v>101.068</v>
      </c>
      <c r="D54" s="1">
        <v>106.241</v>
      </c>
      <c r="E54" s="2">
        <v>2482.1819821296231</v>
      </c>
      <c r="F54" s="1">
        <f t="shared" si="0"/>
        <v>2482.1819821296231</v>
      </c>
    </row>
    <row r="55" spans="1:6" x14ac:dyDescent="0.3">
      <c r="A55" s="1">
        <v>9886</v>
      </c>
      <c r="B55" s="1">
        <v>8.49</v>
      </c>
      <c r="C55" s="1">
        <v>102.428</v>
      </c>
      <c r="D55" s="1">
        <v>106.863</v>
      </c>
      <c r="E55" s="2">
        <v>2320.7802186505969</v>
      </c>
      <c r="F55" s="1">
        <f t="shared" si="0"/>
        <v>2320.7802186505969</v>
      </c>
    </row>
    <row r="56" spans="1:6" x14ac:dyDescent="0.3">
      <c r="A56" s="1">
        <v>10914</v>
      </c>
      <c r="B56" s="1">
        <v>8.49</v>
      </c>
      <c r="C56" s="1">
        <v>102.798</v>
      </c>
      <c r="D56" s="1">
        <v>108.57899999999999</v>
      </c>
      <c r="E56" s="2">
        <v>3309.0572258819393</v>
      </c>
      <c r="F56" s="1">
        <f t="shared" si="0"/>
        <v>3309.0572258819393</v>
      </c>
    </row>
    <row r="57" spans="1:6" x14ac:dyDescent="0.3">
      <c r="A57" s="1">
        <v>10594</v>
      </c>
      <c r="B57" s="1">
        <v>8.81</v>
      </c>
      <c r="C57" s="1">
        <v>102.958</v>
      </c>
      <c r="D57" s="1">
        <v>109.93300000000001</v>
      </c>
      <c r="E57" s="2">
        <v>2790.720852106665</v>
      </c>
      <c r="F57" s="1">
        <f t="shared" si="0"/>
        <v>2790.720852106665</v>
      </c>
    </row>
    <row r="58" spans="1:6" x14ac:dyDescent="0.3">
      <c r="A58" s="1">
        <v>9990</v>
      </c>
      <c r="B58" s="1">
        <v>8.81</v>
      </c>
      <c r="C58" s="1">
        <v>103.358</v>
      </c>
      <c r="D58" s="1">
        <v>110.28</v>
      </c>
      <c r="E58" s="2">
        <v>2173.3116758410633</v>
      </c>
      <c r="F58" s="1">
        <f t="shared" si="0"/>
        <v>2173.3116758410633</v>
      </c>
    </row>
    <row r="59" spans="1:6" x14ac:dyDescent="0.3">
      <c r="A59" s="1">
        <v>11053</v>
      </c>
      <c r="B59" s="1">
        <v>8.81</v>
      </c>
      <c r="C59" s="1">
        <v>103.518</v>
      </c>
      <c r="D59" s="1">
        <v>110.673</v>
      </c>
      <c r="E59" s="2">
        <v>3225.9698736880218</v>
      </c>
      <c r="F59" s="1">
        <f t="shared" si="0"/>
        <v>3225.9698736880218</v>
      </c>
    </row>
    <row r="60" spans="1:6" x14ac:dyDescent="0.3">
      <c r="A60" s="1">
        <v>11531</v>
      </c>
      <c r="B60" s="1">
        <v>8.81</v>
      </c>
      <c r="C60" s="1">
        <v>102.748</v>
      </c>
      <c r="D60" s="1">
        <v>111.476</v>
      </c>
      <c r="E60" s="2">
        <v>3700.9756646745373</v>
      </c>
      <c r="F60" s="1">
        <f t="shared" si="0"/>
        <v>3700.9756646745373</v>
      </c>
    </row>
    <row r="61" spans="1:6" x14ac:dyDescent="0.3">
      <c r="A61" s="1">
        <v>11512</v>
      </c>
      <c r="B61" s="1">
        <v>8.81</v>
      </c>
      <c r="C61" s="1">
        <v>102.348</v>
      </c>
      <c r="D61" s="1">
        <v>112.004</v>
      </c>
      <c r="E61" s="2">
        <v>3678.2492579702248</v>
      </c>
      <c r="F61" s="1">
        <f t="shared" si="0"/>
        <v>3678.2492579702248</v>
      </c>
    </row>
    <row r="62" spans="1:6" x14ac:dyDescent="0.3">
      <c r="A62" s="1">
        <v>11349</v>
      </c>
      <c r="B62" s="1">
        <v>8.81</v>
      </c>
      <c r="C62" s="1">
        <v>101.66800000000001</v>
      </c>
      <c r="D62" s="1">
        <v>111.02</v>
      </c>
      <c r="E62" s="2">
        <v>3545.762724191396</v>
      </c>
      <c r="F62" s="1">
        <f t="shared" si="0"/>
        <v>3545.762724191396</v>
      </c>
    </row>
    <row r="63" spans="1:6" x14ac:dyDescent="0.3">
      <c r="A63" s="1">
        <v>11589</v>
      </c>
      <c r="B63" s="1">
        <v>8.81</v>
      </c>
      <c r="C63" s="1">
        <v>102.83799999999999</v>
      </c>
      <c r="D63" s="1">
        <v>112.169</v>
      </c>
      <c r="E63" s="2">
        <v>3743.9162018916068</v>
      </c>
      <c r="F63" s="1">
        <f t="shared" si="0"/>
        <v>3743.9162018916068</v>
      </c>
    </row>
    <row r="64" spans="1:6" x14ac:dyDescent="0.3">
      <c r="A64" s="1">
        <v>10066</v>
      </c>
      <c r="B64" s="1">
        <v>8.83</v>
      </c>
      <c r="C64" s="1">
        <v>102.508</v>
      </c>
      <c r="D64" s="1">
        <v>112.72</v>
      </c>
      <c r="E64" s="2">
        <v>2205.0085524083352</v>
      </c>
      <c r="F64" s="1">
        <f t="shared" si="0"/>
        <v>2205.0085524083352</v>
      </c>
    </row>
    <row r="65" spans="1:6" x14ac:dyDescent="0.3">
      <c r="A65" s="1">
        <v>10186</v>
      </c>
      <c r="B65" s="1">
        <v>8.9</v>
      </c>
      <c r="C65" s="1">
        <v>101.108</v>
      </c>
      <c r="D65" s="1">
        <v>113.075</v>
      </c>
      <c r="E65" s="2">
        <v>2304.1973406369189</v>
      </c>
      <c r="F65" s="1">
        <f t="shared" si="0"/>
        <v>2304.1973406369189</v>
      </c>
    </row>
    <row r="66" spans="1:6" x14ac:dyDescent="0.3">
      <c r="A66" s="1">
        <v>10147</v>
      </c>
      <c r="B66" s="1">
        <v>8.9</v>
      </c>
      <c r="C66" s="1">
        <v>101.66800000000001</v>
      </c>
      <c r="D66" s="1">
        <v>114.114</v>
      </c>
      <c r="E66" s="2">
        <v>2235.5908887234127</v>
      </c>
      <c r="F66" s="1">
        <f t="shared" si="0"/>
        <v>2235.5908887234127</v>
      </c>
    </row>
    <row r="67" spans="1:6" x14ac:dyDescent="0.3">
      <c r="A67" s="1">
        <v>11632</v>
      </c>
      <c r="B67" s="1">
        <v>8.9</v>
      </c>
      <c r="C67" s="1">
        <v>102.008</v>
      </c>
      <c r="D67" s="1">
        <v>114.342</v>
      </c>
      <c r="E67" s="2">
        <v>3710.5042057888932</v>
      </c>
      <c r="F67" s="1">
        <f t="shared" ref="F67:F130" si="1">ABS(E67)</f>
        <v>3710.5042057888932</v>
      </c>
    </row>
    <row r="68" spans="1:6" x14ac:dyDescent="0.3">
      <c r="A68" s="1">
        <v>11729</v>
      </c>
      <c r="B68" s="1">
        <v>8.9</v>
      </c>
      <c r="C68" s="1">
        <v>101.02800000000001</v>
      </c>
      <c r="D68" s="1">
        <v>115.5</v>
      </c>
      <c r="E68" s="2">
        <v>3801.0300351355781</v>
      </c>
      <c r="F68" s="1">
        <f t="shared" si="1"/>
        <v>3801.0300351355781</v>
      </c>
    </row>
    <row r="69" spans="1:6" x14ac:dyDescent="0.3">
      <c r="A69" s="1">
        <v>10237</v>
      </c>
      <c r="B69" s="1">
        <v>9.14</v>
      </c>
      <c r="C69" s="1">
        <v>101.878</v>
      </c>
      <c r="D69" s="1">
        <v>117.027</v>
      </c>
      <c r="E69" s="2">
        <v>2138.1907916807277</v>
      </c>
      <c r="F69" s="1">
        <f t="shared" si="1"/>
        <v>2138.1907916807277</v>
      </c>
    </row>
    <row r="70" spans="1:6" x14ac:dyDescent="0.3">
      <c r="A70" s="1">
        <v>10405</v>
      </c>
      <c r="B70" s="1">
        <v>9.14</v>
      </c>
      <c r="C70" s="1">
        <v>102.55800000000001</v>
      </c>
      <c r="D70" s="1">
        <v>119.515</v>
      </c>
      <c r="E70" s="2">
        <v>2246.223706274699</v>
      </c>
      <c r="F70" s="1">
        <f t="shared" si="1"/>
        <v>2246.223706274699</v>
      </c>
    </row>
    <row r="71" spans="1:6" x14ac:dyDescent="0.3">
      <c r="A71" s="1">
        <v>10374</v>
      </c>
      <c r="B71" s="1">
        <v>9.14</v>
      </c>
      <c r="C71" s="1">
        <v>101.568</v>
      </c>
      <c r="D71" s="1">
        <v>120.979</v>
      </c>
      <c r="E71" s="2">
        <v>2202.9223198039572</v>
      </c>
      <c r="F71" s="1">
        <f t="shared" si="1"/>
        <v>2202.9223198039572</v>
      </c>
    </row>
    <row r="72" spans="1:6" x14ac:dyDescent="0.3">
      <c r="A72" s="1">
        <v>10358</v>
      </c>
      <c r="B72" s="1">
        <v>9.14</v>
      </c>
      <c r="C72" s="1">
        <v>99.2483</v>
      </c>
      <c r="D72" s="1">
        <v>121.145</v>
      </c>
      <c r="E72" s="2">
        <v>2222.0259178076303</v>
      </c>
      <c r="F72" s="1">
        <f t="shared" si="1"/>
        <v>2222.0259178076303</v>
      </c>
    </row>
    <row r="73" spans="1:6" x14ac:dyDescent="0.3">
      <c r="A73" s="1">
        <v>10425</v>
      </c>
      <c r="B73" s="1">
        <v>9.26</v>
      </c>
      <c r="C73" s="1">
        <v>100.69799999999999</v>
      </c>
      <c r="D73" s="1">
        <v>121.85299999999999</v>
      </c>
      <c r="E73" s="2">
        <v>2187.750551926285</v>
      </c>
      <c r="F73" s="1">
        <f t="shared" si="1"/>
        <v>2187.750551926285</v>
      </c>
    </row>
    <row r="74" spans="1:6" x14ac:dyDescent="0.3">
      <c r="A74" s="1">
        <v>13666</v>
      </c>
      <c r="B74" s="1">
        <v>9.3000000000000007</v>
      </c>
      <c r="C74" s="1">
        <v>100.938</v>
      </c>
      <c r="D74" s="1">
        <v>124.184</v>
      </c>
      <c r="E74" s="2">
        <v>5357.9862920006926</v>
      </c>
      <c r="F74" s="1">
        <f t="shared" si="1"/>
        <v>5357.9862920006926</v>
      </c>
    </row>
    <row r="75" spans="1:6" x14ac:dyDescent="0.3">
      <c r="A75" s="1">
        <v>13353</v>
      </c>
      <c r="B75" s="1">
        <v>9.74</v>
      </c>
      <c r="C75" s="1">
        <v>101.11799999999999</v>
      </c>
      <c r="D75" s="1">
        <v>124.79</v>
      </c>
      <c r="E75" s="2">
        <v>4797.5271569267243</v>
      </c>
      <c r="F75" s="1">
        <f t="shared" si="1"/>
        <v>4797.5271569267243</v>
      </c>
    </row>
    <row r="76" spans="1:6" x14ac:dyDescent="0.3">
      <c r="A76" s="1">
        <v>13996</v>
      </c>
      <c r="B76" s="1">
        <v>9.82</v>
      </c>
      <c r="C76" s="1">
        <v>101.298</v>
      </c>
      <c r="D76" s="1">
        <v>128.63200000000001</v>
      </c>
      <c r="E76" s="2">
        <v>5320.0173964946316</v>
      </c>
      <c r="F76" s="1">
        <f t="shared" si="1"/>
        <v>5320.0173964946316</v>
      </c>
    </row>
    <row r="77" spans="1:6" x14ac:dyDescent="0.3">
      <c r="A77" s="1">
        <v>14259</v>
      </c>
      <c r="B77" s="1">
        <v>9.8699999999999992</v>
      </c>
      <c r="C77" s="1">
        <v>99.328299999999999</v>
      </c>
      <c r="D77" s="1">
        <v>132.53700000000001</v>
      </c>
      <c r="E77" s="2">
        <v>5512.6776552042829</v>
      </c>
      <c r="F77" s="1">
        <f t="shared" si="1"/>
        <v>5512.6776552042829</v>
      </c>
    </row>
    <row r="78" spans="1:6" x14ac:dyDescent="0.3">
      <c r="A78" s="1">
        <v>14957</v>
      </c>
      <c r="B78" s="1">
        <v>9.89</v>
      </c>
      <c r="C78" s="1">
        <v>96.228399999999993</v>
      </c>
      <c r="D78" s="1">
        <v>136.10400000000001</v>
      </c>
      <c r="E78" s="2">
        <v>6181.5042742518654</v>
      </c>
      <c r="F78" s="1">
        <f t="shared" si="1"/>
        <v>6181.5042742518654</v>
      </c>
    </row>
    <row r="79" spans="1:6" x14ac:dyDescent="0.3">
      <c r="A79" s="1">
        <v>14018</v>
      </c>
      <c r="B79" s="1">
        <v>11.47</v>
      </c>
      <c r="C79" s="1">
        <v>98.568399999999997</v>
      </c>
      <c r="D79" s="1">
        <v>138.96199999999999</v>
      </c>
      <c r="E79" s="2">
        <v>4312.5438537019872</v>
      </c>
      <c r="F79" s="1">
        <f t="shared" si="1"/>
        <v>4312.5438537019872</v>
      </c>
    </row>
    <row r="80" spans="1:6" x14ac:dyDescent="0.3">
      <c r="A80" s="1">
        <v>14163</v>
      </c>
      <c r="B80" s="1">
        <v>11.47</v>
      </c>
      <c r="C80" s="1">
        <v>95.038399999999996</v>
      </c>
      <c r="D80" s="1">
        <v>143.59899999999999</v>
      </c>
      <c r="E80" s="2">
        <v>4425.1009021651334</v>
      </c>
      <c r="F80" s="1">
        <f t="shared" si="1"/>
        <v>4425.1009021651334</v>
      </c>
    </row>
    <row r="81" spans="1:6" x14ac:dyDescent="0.3">
      <c r="A81" s="1">
        <v>14324</v>
      </c>
      <c r="B81" s="1">
        <v>11.47</v>
      </c>
      <c r="C81" s="1">
        <v>93.878399999999999</v>
      </c>
      <c r="D81" s="1">
        <v>146.66999999999999</v>
      </c>
      <c r="E81" s="2">
        <v>4545.1396134002553</v>
      </c>
      <c r="F81" s="1">
        <f t="shared" si="1"/>
        <v>4545.1396134002553</v>
      </c>
    </row>
    <row r="82" spans="1:6" x14ac:dyDescent="0.3">
      <c r="A82" s="1">
        <v>14267</v>
      </c>
      <c r="B82" s="1">
        <v>12.69</v>
      </c>
      <c r="C82" s="1">
        <v>93.378399999999999</v>
      </c>
      <c r="D82" s="1">
        <v>148.095</v>
      </c>
      <c r="E82" s="2">
        <v>3823.5212631192226</v>
      </c>
      <c r="F82" s="1">
        <f t="shared" si="1"/>
        <v>3823.5212631192226</v>
      </c>
    </row>
    <row r="83" spans="1:6" x14ac:dyDescent="0.3">
      <c r="A83" s="1">
        <v>14083</v>
      </c>
      <c r="B83" s="1">
        <v>12.66</v>
      </c>
      <c r="C83" s="1">
        <v>95.328400000000002</v>
      </c>
      <c r="D83" s="1">
        <v>151.22800000000001</v>
      </c>
      <c r="E83" s="2">
        <v>3561.7844658209087</v>
      </c>
      <c r="F83" s="1">
        <f t="shared" si="1"/>
        <v>3561.7844658209087</v>
      </c>
    </row>
    <row r="84" spans="1:6" x14ac:dyDescent="0.3">
      <c r="A84" s="1">
        <v>13915</v>
      </c>
      <c r="B84" s="1">
        <v>14.01</v>
      </c>
      <c r="C84" s="1">
        <v>98.778400000000005</v>
      </c>
      <c r="D84" s="1">
        <v>151.047</v>
      </c>
      <c r="E84" s="2">
        <v>2626.5797645473212</v>
      </c>
      <c r="F84" s="1">
        <f t="shared" si="1"/>
        <v>2626.5797645473212</v>
      </c>
    </row>
    <row r="85" spans="1:6" x14ac:dyDescent="0.3">
      <c r="A85" s="1">
        <v>14099</v>
      </c>
      <c r="B85" s="1">
        <v>14.01</v>
      </c>
      <c r="C85" s="1">
        <v>99.018299999999996</v>
      </c>
      <c r="D85" s="1">
        <v>150.29900000000001</v>
      </c>
      <c r="E85" s="2">
        <v>2821.261677280896</v>
      </c>
      <c r="F85" s="1">
        <f t="shared" si="1"/>
        <v>2821.261677280896</v>
      </c>
    </row>
    <row r="86" spans="1:6" x14ac:dyDescent="0.3">
      <c r="A86" s="1">
        <v>5751</v>
      </c>
      <c r="B86" s="1">
        <v>13.99</v>
      </c>
      <c r="C86" s="1">
        <v>98.758399999999995</v>
      </c>
      <c r="D86" s="1">
        <v>149.661</v>
      </c>
      <c r="E86" s="2">
        <v>-5499.3733619934173</v>
      </c>
      <c r="F86" s="1">
        <f t="shared" si="1"/>
        <v>5499.3733619934173</v>
      </c>
    </row>
    <row r="87" spans="1:6" x14ac:dyDescent="0.3">
      <c r="A87" s="1">
        <v>5815</v>
      </c>
      <c r="B87" s="1">
        <v>12.96</v>
      </c>
      <c r="C87" s="1">
        <v>102.02800000000001</v>
      </c>
      <c r="D87" s="1">
        <v>151.08699999999999</v>
      </c>
      <c r="E87" s="2">
        <v>-4972.8283925757023</v>
      </c>
      <c r="F87" s="1">
        <f t="shared" si="1"/>
        <v>4972.8283925757023</v>
      </c>
    </row>
    <row r="88" spans="1:6" x14ac:dyDescent="0.3">
      <c r="A88" s="1">
        <v>5379</v>
      </c>
      <c r="B88" s="1">
        <v>11.77</v>
      </c>
      <c r="C88" s="1">
        <v>102.718</v>
      </c>
      <c r="D88" s="1">
        <v>153.15700000000001</v>
      </c>
      <c r="E88" s="2">
        <v>-4831.6560990688595</v>
      </c>
      <c r="F88" s="1">
        <f t="shared" si="1"/>
        <v>4831.6560990688595</v>
      </c>
    </row>
    <row r="89" spans="1:6" x14ac:dyDescent="0.3">
      <c r="A89" s="1">
        <v>5521</v>
      </c>
      <c r="B89" s="1">
        <v>12.95</v>
      </c>
      <c r="C89" s="1">
        <v>101.66800000000001</v>
      </c>
      <c r="D89" s="1">
        <v>155.322</v>
      </c>
      <c r="E89" s="2">
        <v>-5338.5255771907869</v>
      </c>
      <c r="F89" s="1">
        <f t="shared" si="1"/>
        <v>5338.5255771907869</v>
      </c>
    </row>
    <row r="90" spans="1:6" x14ac:dyDescent="0.3">
      <c r="A90" s="1">
        <v>5917</v>
      </c>
      <c r="B90" s="1">
        <v>13.14</v>
      </c>
      <c r="C90" s="1">
        <v>99.538300000000007</v>
      </c>
      <c r="D90" s="1">
        <v>155.684</v>
      </c>
      <c r="E90" s="2">
        <v>-5014.8493951040873</v>
      </c>
      <c r="F90" s="1">
        <f t="shared" si="1"/>
        <v>5014.8493951040873</v>
      </c>
    </row>
    <row r="91" spans="1:6" x14ac:dyDescent="0.3">
      <c r="A91" s="1">
        <v>6078</v>
      </c>
      <c r="B91" s="1">
        <v>12.01</v>
      </c>
      <c r="C91" s="1">
        <v>98.588399999999993</v>
      </c>
      <c r="D91" s="1">
        <v>157.22</v>
      </c>
      <c r="E91" s="2">
        <v>-4270.8252856296822</v>
      </c>
      <c r="F91" s="1">
        <f t="shared" si="1"/>
        <v>4270.8252856296822</v>
      </c>
    </row>
    <row r="92" spans="1:6" x14ac:dyDescent="0.3">
      <c r="A92" s="1">
        <v>7635</v>
      </c>
      <c r="B92" s="1">
        <v>11.38</v>
      </c>
      <c r="C92" s="1">
        <v>97.608400000000003</v>
      </c>
      <c r="D92" s="1">
        <v>159.64500000000001</v>
      </c>
      <c r="E92" s="2">
        <v>-2412.0488818188642</v>
      </c>
      <c r="F92" s="1">
        <f t="shared" si="1"/>
        <v>2412.0488818188642</v>
      </c>
    </row>
    <row r="93" spans="1:6" x14ac:dyDescent="0.3">
      <c r="A93" s="1">
        <v>7340</v>
      </c>
      <c r="B93" s="1">
        <v>12.44</v>
      </c>
      <c r="C93" s="1">
        <v>96.828400000000002</v>
      </c>
      <c r="D93" s="1">
        <v>162.35300000000001</v>
      </c>
      <c r="E93" s="2">
        <v>-3307.5759042409591</v>
      </c>
      <c r="F93" s="1">
        <f t="shared" si="1"/>
        <v>3307.5759042409591</v>
      </c>
    </row>
    <row r="94" spans="1:6" x14ac:dyDescent="0.3">
      <c r="A94" s="1">
        <v>6143</v>
      </c>
      <c r="B94" s="1">
        <v>12.58</v>
      </c>
      <c r="C94" s="1">
        <v>96.028400000000005</v>
      </c>
      <c r="D94" s="1">
        <v>163.08500000000001</v>
      </c>
      <c r="E94" s="2">
        <v>-4579.6976335375512</v>
      </c>
      <c r="F94" s="1">
        <f t="shared" si="1"/>
        <v>4579.6976335375512</v>
      </c>
    </row>
    <row r="95" spans="1:6" x14ac:dyDescent="0.3">
      <c r="A95" s="1">
        <v>7620</v>
      </c>
      <c r="B95" s="1">
        <v>12.59</v>
      </c>
      <c r="C95" s="1">
        <v>95.088399999999993</v>
      </c>
      <c r="D95" s="1">
        <v>164.636</v>
      </c>
      <c r="E95" s="2">
        <v>-3122.8162109258265</v>
      </c>
      <c r="F95" s="1">
        <f t="shared" si="1"/>
        <v>3122.8162109258265</v>
      </c>
    </row>
    <row r="96" spans="1:6" x14ac:dyDescent="0.3">
      <c r="A96" s="1">
        <v>5569</v>
      </c>
      <c r="B96" s="1">
        <v>12.32</v>
      </c>
      <c r="C96" s="1">
        <v>95.508399999999995</v>
      </c>
      <c r="D96" s="1">
        <v>166.92699999999999</v>
      </c>
      <c r="E96" s="2">
        <v>-5082.8851990930161</v>
      </c>
      <c r="F96" s="1">
        <f t="shared" si="1"/>
        <v>5082.8851990930161</v>
      </c>
    </row>
    <row r="97" spans="1:6" x14ac:dyDescent="0.3">
      <c r="A97" s="1">
        <v>6038</v>
      </c>
      <c r="B97" s="1">
        <v>12.1</v>
      </c>
      <c r="C97" s="1">
        <v>96.288399999999996</v>
      </c>
      <c r="D97" s="1">
        <v>166.11600000000001</v>
      </c>
      <c r="E97" s="2">
        <v>-4494.5919853557898</v>
      </c>
      <c r="F97" s="1">
        <f t="shared" si="1"/>
        <v>4494.5919853557898</v>
      </c>
    </row>
    <row r="98" spans="1:6" x14ac:dyDescent="0.3">
      <c r="A98" s="1">
        <v>9591</v>
      </c>
      <c r="B98" s="1">
        <v>11.9</v>
      </c>
      <c r="C98" s="1">
        <v>97.588399999999993</v>
      </c>
      <c r="D98" s="1">
        <v>170.059</v>
      </c>
      <c r="E98" s="2">
        <v>-934.57006892922072</v>
      </c>
      <c r="F98" s="1">
        <f t="shared" si="1"/>
        <v>934.57006892922072</v>
      </c>
    </row>
    <row r="99" spans="1:6" x14ac:dyDescent="0.3">
      <c r="A99" s="1">
        <v>9595</v>
      </c>
      <c r="B99" s="1">
        <v>12.22</v>
      </c>
      <c r="C99" s="1">
        <v>99.778300000000002</v>
      </c>
      <c r="D99" s="1">
        <v>170.702</v>
      </c>
      <c r="E99" s="2">
        <v>-1148.5453994104901</v>
      </c>
      <c r="F99" s="1">
        <f t="shared" si="1"/>
        <v>1148.5453994104901</v>
      </c>
    </row>
    <row r="100" spans="1:6" x14ac:dyDescent="0.3">
      <c r="A100" s="1">
        <v>9627</v>
      </c>
      <c r="B100" s="1">
        <v>12.34</v>
      </c>
      <c r="C100" s="1">
        <v>101.188</v>
      </c>
      <c r="D100" s="1">
        <v>172.827</v>
      </c>
      <c r="E100" s="2">
        <v>-1244.9092485766159</v>
      </c>
      <c r="F100" s="1">
        <f t="shared" si="1"/>
        <v>1244.9092485766159</v>
      </c>
    </row>
    <row r="101" spans="1:6" x14ac:dyDescent="0.3">
      <c r="A101" s="1">
        <v>9437</v>
      </c>
      <c r="B101" s="1">
        <v>12.27</v>
      </c>
      <c r="C101" s="1">
        <v>102.878</v>
      </c>
      <c r="D101" s="1">
        <v>175.988</v>
      </c>
      <c r="E101" s="2">
        <v>-1487.7486329538333</v>
      </c>
      <c r="F101" s="1">
        <f t="shared" si="1"/>
        <v>1487.7486329538333</v>
      </c>
    </row>
    <row r="102" spans="1:6" x14ac:dyDescent="0.3">
      <c r="A102" s="1">
        <v>9657</v>
      </c>
      <c r="B102" s="1">
        <v>12.0884</v>
      </c>
      <c r="C102" s="1">
        <v>105.428</v>
      </c>
      <c r="D102" s="1">
        <v>176.22399999999999</v>
      </c>
      <c r="E102" s="2">
        <v>-1218.525939278763</v>
      </c>
      <c r="F102" s="1">
        <f t="shared" si="1"/>
        <v>1218.525939278763</v>
      </c>
    </row>
    <row r="103" spans="1:6" x14ac:dyDescent="0.3">
      <c r="A103" s="1">
        <v>9727</v>
      </c>
      <c r="B103" s="1">
        <v>12.2705</v>
      </c>
      <c r="C103" s="1">
        <v>105.58799999999999</v>
      </c>
      <c r="D103" s="1">
        <v>176.85400000000001</v>
      </c>
      <c r="E103" s="2">
        <v>-1259.7800743109801</v>
      </c>
      <c r="F103" s="1">
        <f t="shared" si="1"/>
        <v>1259.7800743109801</v>
      </c>
    </row>
    <row r="104" spans="1:6" x14ac:dyDescent="0.3">
      <c r="A104" s="1">
        <v>9737</v>
      </c>
      <c r="B104" s="1">
        <v>12.334</v>
      </c>
      <c r="C104" s="1">
        <v>104.498</v>
      </c>
      <c r="D104" s="1">
        <v>180.52699999999999</v>
      </c>
      <c r="E104" s="2">
        <v>-1337.2586660417965</v>
      </c>
      <c r="F104" s="1">
        <f t="shared" si="1"/>
        <v>1337.2586660417965</v>
      </c>
    </row>
    <row r="105" spans="1:6" x14ac:dyDescent="0.3">
      <c r="A105" s="1">
        <v>9776</v>
      </c>
      <c r="B105" s="1">
        <v>12.651199999999999</v>
      </c>
      <c r="C105" s="1">
        <v>104.818</v>
      </c>
      <c r="D105" s="1">
        <v>184.476</v>
      </c>
      <c r="E105" s="2">
        <v>-1548.5794809347608</v>
      </c>
      <c r="F105" s="1">
        <f t="shared" si="1"/>
        <v>1548.5794809347608</v>
      </c>
    </row>
    <row r="106" spans="1:6" x14ac:dyDescent="0.3">
      <c r="A106" s="1">
        <v>9786</v>
      </c>
      <c r="B106" s="1">
        <v>12.8226</v>
      </c>
      <c r="C106" s="1">
        <v>105.27800000000001</v>
      </c>
      <c r="D106" s="1">
        <v>188.227</v>
      </c>
      <c r="E106" s="2">
        <v>-1710.2572801524966</v>
      </c>
      <c r="F106" s="1">
        <f t="shared" si="1"/>
        <v>1710.2572801524966</v>
      </c>
    </row>
    <row r="107" spans="1:6" x14ac:dyDescent="0.3">
      <c r="A107" s="1">
        <v>9733</v>
      </c>
      <c r="B107" s="1">
        <v>13.0785</v>
      </c>
      <c r="C107" s="1">
        <v>102.688</v>
      </c>
      <c r="D107" s="1">
        <v>190.077</v>
      </c>
      <c r="E107" s="2">
        <v>-1891.9501094476927</v>
      </c>
      <c r="F107" s="1">
        <f t="shared" si="1"/>
        <v>1891.9501094476927</v>
      </c>
    </row>
    <row r="108" spans="1:6" x14ac:dyDescent="0.3">
      <c r="A108" s="1">
        <v>9797</v>
      </c>
      <c r="B108" s="1">
        <v>13.183299999999999</v>
      </c>
      <c r="C108" s="1">
        <v>104.58799999999999</v>
      </c>
      <c r="D108" s="1">
        <v>191.96600000000001</v>
      </c>
      <c r="E108" s="2">
        <v>-1951.7631788136841</v>
      </c>
      <c r="F108" s="1">
        <f t="shared" si="1"/>
        <v>1951.7631788136841</v>
      </c>
    </row>
    <row r="109" spans="1:6" x14ac:dyDescent="0.3">
      <c r="A109" s="1">
        <v>9805</v>
      </c>
      <c r="B109" s="1">
        <v>13.407299999999999</v>
      </c>
      <c r="C109" s="1">
        <v>106.398</v>
      </c>
      <c r="D109" s="1">
        <v>191.38900000000001</v>
      </c>
      <c r="E109" s="2">
        <v>-2080.8128135199058</v>
      </c>
      <c r="F109" s="1">
        <f t="shared" si="1"/>
        <v>2080.8128135199058</v>
      </c>
    </row>
    <row r="110" spans="1:6" x14ac:dyDescent="0.3">
      <c r="A110" s="1">
        <v>12273</v>
      </c>
      <c r="B110" s="1">
        <v>13.6195</v>
      </c>
      <c r="C110" s="1">
        <v>105.91800000000001</v>
      </c>
      <c r="D110" s="1">
        <v>193.71</v>
      </c>
      <c r="E110" s="2">
        <v>237.48621806926531</v>
      </c>
      <c r="F110" s="1">
        <f t="shared" si="1"/>
        <v>237.48621806926531</v>
      </c>
    </row>
    <row r="111" spans="1:6" x14ac:dyDescent="0.3">
      <c r="A111" s="1">
        <v>12242</v>
      </c>
      <c r="B111" s="1">
        <v>13.675000000000001</v>
      </c>
      <c r="C111" s="1">
        <v>105.608</v>
      </c>
      <c r="D111" s="1">
        <v>192.63499999999999</v>
      </c>
      <c r="E111" s="2">
        <v>203.3228629418154</v>
      </c>
      <c r="F111" s="1">
        <f t="shared" si="1"/>
        <v>203.3228629418154</v>
      </c>
    </row>
    <row r="112" spans="1:6" x14ac:dyDescent="0.3">
      <c r="A112" s="1">
        <v>11849</v>
      </c>
      <c r="B112" s="1">
        <v>13.608499999999999</v>
      </c>
      <c r="C112" s="1">
        <v>105.328</v>
      </c>
      <c r="D112" s="1">
        <v>195.33699999999999</v>
      </c>
      <c r="E112" s="2">
        <v>-202.80559241865558</v>
      </c>
      <c r="F112" s="1">
        <f t="shared" si="1"/>
        <v>202.80559241865558</v>
      </c>
    </row>
    <row r="113" spans="1:6" x14ac:dyDescent="0.3">
      <c r="A113" s="1">
        <v>12110</v>
      </c>
      <c r="B113" s="1">
        <v>13.6098</v>
      </c>
      <c r="C113" s="1">
        <v>105.348</v>
      </c>
      <c r="D113" s="1">
        <v>198.066</v>
      </c>
      <c r="E113" s="2">
        <v>3.7330149082990829</v>
      </c>
      <c r="F113" s="1">
        <f t="shared" si="1"/>
        <v>3.7330149082990829</v>
      </c>
    </row>
    <row r="114" spans="1:6" x14ac:dyDescent="0.3">
      <c r="A114" s="1">
        <v>12140</v>
      </c>
      <c r="B114" s="1">
        <v>13.5421</v>
      </c>
      <c r="C114" s="1">
        <v>105.068</v>
      </c>
      <c r="D114" s="1">
        <v>198.512</v>
      </c>
      <c r="E114" s="2">
        <v>65.419393846266757</v>
      </c>
      <c r="F114" s="1">
        <f t="shared" si="1"/>
        <v>65.419393846266757</v>
      </c>
    </row>
    <row r="115" spans="1:6" x14ac:dyDescent="0.3">
      <c r="A115" s="1">
        <v>12323</v>
      </c>
      <c r="B115" s="1">
        <v>13.728300000000001</v>
      </c>
      <c r="C115" s="1">
        <v>105.11799999999999</v>
      </c>
      <c r="D115" s="1">
        <v>200.41399999999999</v>
      </c>
      <c r="E115" s="2">
        <v>111.906230612527</v>
      </c>
      <c r="F115" s="1">
        <f t="shared" si="1"/>
        <v>111.906230612527</v>
      </c>
    </row>
    <row r="116" spans="1:6" x14ac:dyDescent="0.3">
      <c r="A116" s="1">
        <v>12363</v>
      </c>
      <c r="B116" s="1">
        <v>13.7623</v>
      </c>
      <c r="C116" s="1">
        <v>105.288</v>
      </c>
      <c r="D116" s="1">
        <v>202.958</v>
      </c>
      <c r="E116" s="2">
        <v>81.30010419809696</v>
      </c>
      <c r="F116" s="1">
        <f t="shared" si="1"/>
        <v>81.30010419809696</v>
      </c>
    </row>
    <row r="117" spans="1:6" x14ac:dyDescent="0.3">
      <c r="A117" s="1">
        <v>12360</v>
      </c>
      <c r="B117" s="1">
        <v>13.277200000000001</v>
      </c>
      <c r="C117" s="1">
        <v>104.72799999999999</v>
      </c>
      <c r="D117" s="1">
        <v>205.792</v>
      </c>
      <c r="E117" s="2">
        <v>288.51800193143208</v>
      </c>
      <c r="F117" s="1">
        <f t="shared" si="1"/>
        <v>288.51800193143208</v>
      </c>
    </row>
    <row r="118" spans="1:6" x14ac:dyDescent="0.3">
      <c r="A118" s="1">
        <v>12299</v>
      </c>
      <c r="B118" s="1">
        <v>13.1965</v>
      </c>
      <c r="C118" s="1">
        <v>106.36799999999999</v>
      </c>
      <c r="D118" s="1">
        <v>207.917</v>
      </c>
      <c r="E118" s="2">
        <v>201.45064206017378</v>
      </c>
      <c r="F118" s="1">
        <f t="shared" si="1"/>
        <v>201.45064206017378</v>
      </c>
    </row>
    <row r="119" spans="1:6" x14ac:dyDescent="0.3">
      <c r="A119" s="1">
        <v>12306</v>
      </c>
      <c r="B119" s="1">
        <v>11.8978</v>
      </c>
      <c r="C119" s="1">
        <v>108.688</v>
      </c>
      <c r="D119" s="1">
        <v>210.92099999999999</v>
      </c>
      <c r="E119" s="2">
        <v>797.84768989296572</v>
      </c>
      <c r="F119" s="1">
        <f t="shared" si="1"/>
        <v>797.84768989296572</v>
      </c>
    </row>
    <row r="120" spans="1:6" x14ac:dyDescent="0.3">
      <c r="A120" s="1">
        <v>12267</v>
      </c>
      <c r="B120" s="1">
        <v>11.798</v>
      </c>
      <c r="C120" s="1">
        <v>109.428</v>
      </c>
      <c r="D120" s="1">
        <v>211.524</v>
      </c>
      <c r="E120" s="2">
        <v>787.56488454691134</v>
      </c>
      <c r="F120" s="1">
        <f t="shared" si="1"/>
        <v>787.56488454691134</v>
      </c>
    </row>
    <row r="121" spans="1:6" x14ac:dyDescent="0.3">
      <c r="A121" s="1">
        <v>12281</v>
      </c>
      <c r="B121" s="1">
        <v>11.671799999999999</v>
      </c>
      <c r="C121" s="1">
        <v>108.248</v>
      </c>
      <c r="D121" s="1">
        <v>210.042</v>
      </c>
      <c r="E121" s="2">
        <v>916.8163764525998</v>
      </c>
      <c r="F121" s="1">
        <f t="shared" si="1"/>
        <v>916.8163764525998</v>
      </c>
    </row>
    <row r="122" spans="1:6" x14ac:dyDescent="0.3">
      <c r="A122" s="1">
        <v>11930</v>
      </c>
      <c r="B122" s="1">
        <v>11.6264</v>
      </c>
      <c r="C122" s="1">
        <v>108.098</v>
      </c>
      <c r="D122" s="1">
        <v>213.26900000000001</v>
      </c>
      <c r="E122" s="2">
        <v>529.10215712772333</v>
      </c>
      <c r="F122" s="1">
        <f t="shared" si="1"/>
        <v>529.10215712772333</v>
      </c>
    </row>
    <row r="123" spans="1:6" x14ac:dyDescent="0.3">
      <c r="A123" s="1">
        <v>11282</v>
      </c>
      <c r="B123" s="1">
        <v>11.807</v>
      </c>
      <c r="C123" s="1">
        <v>107.468</v>
      </c>
      <c r="D123" s="1">
        <v>213.91200000000001</v>
      </c>
      <c r="E123" s="2">
        <v>-216.55151185273644</v>
      </c>
      <c r="F123" s="1">
        <f t="shared" si="1"/>
        <v>216.55151185273644</v>
      </c>
    </row>
    <row r="124" spans="1:6" x14ac:dyDescent="0.3">
      <c r="A124" s="1">
        <v>11402</v>
      </c>
      <c r="B124" s="1">
        <v>11.928800000000001</v>
      </c>
      <c r="C124" s="1">
        <v>108.488</v>
      </c>
      <c r="D124" s="1">
        <v>216.417</v>
      </c>
      <c r="E124" s="2">
        <v>-226.86531715399542</v>
      </c>
      <c r="F124" s="1">
        <f t="shared" si="1"/>
        <v>226.86531715399542</v>
      </c>
    </row>
    <row r="125" spans="1:6" x14ac:dyDescent="0.3">
      <c r="A125" s="1">
        <v>11361</v>
      </c>
      <c r="B125" s="1">
        <v>11.9414</v>
      </c>
      <c r="C125" s="1">
        <v>109.648</v>
      </c>
      <c r="D125" s="1">
        <v>220.37899999999999</v>
      </c>
      <c r="E125" s="2">
        <v>-371.29620639252971</v>
      </c>
      <c r="F125" s="1">
        <f t="shared" si="1"/>
        <v>371.29620639252971</v>
      </c>
    </row>
    <row r="126" spans="1:6" x14ac:dyDescent="0.3">
      <c r="A126" s="1">
        <v>11187</v>
      </c>
      <c r="B126" s="1">
        <v>11.942</v>
      </c>
      <c r="C126" s="1">
        <v>112.008</v>
      </c>
      <c r="D126" s="1">
        <v>222.911</v>
      </c>
      <c r="E126" s="2">
        <v>-634.21968290931545</v>
      </c>
      <c r="F126" s="1">
        <f t="shared" si="1"/>
        <v>634.21968290931545</v>
      </c>
    </row>
    <row r="127" spans="1:6" x14ac:dyDescent="0.3">
      <c r="A127" s="1">
        <v>11125</v>
      </c>
      <c r="B127" s="1">
        <v>11.9419</v>
      </c>
      <c r="C127" s="1">
        <v>109.788</v>
      </c>
      <c r="D127" s="1">
        <v>222.989</v>
      </c>
      <c r="E127" s="2">
        <v>-660.98833086191007</v>
      </c>
      <c r="F127" s="1">
        <f t="shared" si="1"/>
        <v>660.98833086191007</v>
      </c>
    </row>
    <row r="128" spans="1:6" x14ac:dyDescent="0.3">
      <c r="A128" s="1">
        <v>12284</v>
      </c>
      <c r="B128" s="1">
        <v>11.8424</v>
      </c>
      <c r="C128" s="1">
        <v>108.928</v>
      </c>
      <c r="D128" s="1">
        <v>222.43799999999999</v>
      </c>
      <c r="E128" s="2">
        <v>575.6244229999138</v>
      </c>
      <c r="F128" s="1">
        <f t="shared" si="1"/>
        <v>575.6244229999138</v>
      </c>
    </row>
    <row r="129" spans="1:6" x14ac:dyDescent="0.3">
      <c r="A129" s="1">
        <v>12263</v>
      </c>
      <c r="B129" s="1">
        <v>10.4314</v>
      </c>
      <c r="C129" s="1">
        <v>108.068</v>
      </c>
      <c r="D129" s="1">
        <v>224.43199999999999</v>
      </c>
      <c r="E129" s="2">
        <v>1275.7494773154231</v>
      </c>
      <c r="F129" s="1">
        <f t="shared" si="1"/>
        <v>1275.7494773154231</v>
      </c>
    </row>
    <row r="130" spans="1:6" x14ac:dyDescent="0.3">
      <c r="A130" s="1">
        <v>11040</v>
      </c>
      <c r="B130" s="1">
        <v>10.230700000000001</v>
      </c>
      <c r="C130" s="1">
        <v>106.58799999999999</v>
      </c>
      <c r="D130" s="1">
        <v>226.203</v>
      </c>
      <c r="E130" s="2">
        <v>148.64204729384073</v>
      </c>
      <c r="F130" s="1">
        <f t="shared" si="1"/>
        <v>148.64204729384073</v>
      </c>
    </row>
    <row r="131" spans="1:6" x14ac:dyDescent="0.3">
      <c r="A131" s="1">
        <v>10933</v>
      </c>
      <c r="B131" s="1">
        <v>9.6466999999999992</v>
      </c>
      <c r="C131" s="1">
        <v>105.188</v>
      </c>
      <c r="D131" s="1">
        <v>227.06899999999999</v>
      </c>
      <c r="E131" s="2">
        <v>356.57466409559856</v>
      </c>
      <c r="F131" s="1">
        <f t="shared" ref="F131:F133" si="2">ABS(E131)</f>
        <v>356.57466409559856</v>
      </c>
    </row>
    <row r="132" spans="1:6" x14ac:dyDescent="0.3">
      <c r="A132" s="1">
        <v>10930</v>
      </c>
      <c r="B132" s="1">
        <v>9.3192000000000004</v>
      </c>
      <c r="C132" s="1">
        <v>104.828</v>
      </c>
      <c r="D132" s="1">
        <v>226.17699999999999</v>
      </c>
      <c r="E132" s="2">
        <v>550.13533139386345</v>
      </c>
      <c r="F132" s="1">
        <f t="shared" si="2"/>
        <v>550.13533139386345</v>
      </c>
    </row>
    <row r="133" spans="1:6" x14ac:dyDescent="0.3">
      <c r="A133" s="1">
        <v>10909</v>
      </c>
      <c r="B133" s="1">
        <v>9.2840000000000007</v>
      </c>
      <c r="C133" s="1">
        <v>104.468</v>
      </c>
      <c r="D133" s="1">
        <v>226.702</v>
      </c>
      <c r="E133" s="2">
        <v>543.41553451539585</v>
      </c>
      <c r="F133" s="1">
        <f t="shared" si="2"/>
        <v>543.41553451539585</v>
      </c>
    </row>
  </sheetData>
  <mergeCells count="1">
    <mergeCell ref="G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3"/>
  <sheetViews>
    <sheetView workbookViewId="0">
      <selection activeCell="J16" sqref="J16"/>
    </sheetView>
  </sheetViews>
  <sheetFormatPr defaultRowHeight="14.4" x14ac:dyDescent="0.3"/>
  <cols>
    <col min="1" max="5" width="8.88671875" style="1"/>
    <col min="6" max="6" width="11" style="1" bestFit="1" customWidth="1"/>
    <col min="7" max="7" width="11.21875" customWidth="1"/>
  </cols>
  <sheetData>
    <row r="1" spans="1:1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14</v>
      </c>
      <c r="F1" s="7" t="s">
        <v>29</v>
      </c>
      <c r="G1" s="7" t="s">
        <v>37</v>
      </c>
    </row>
    <row r="2" spans="1:18" x14ac:dyDescent="0.3">
      <c r="A2" s="1">
        <v>1671</v>
      </c>
      <c r="B2" s="1">
        <v>6.3472</v>
      </c>
      <c r="C2" s="1">
        <v>102.158</v>
      </c>
      <c r="D2" s="1">
        <v>81.046599999999998</v>
      </c>
      <c r="E2" s="2">
        <v>-4251.3426725137842</v>
      </c>
      <c r="F2" s="1">
        <f>E2^2</f>
        <v>18073914.519136645</v>
      </c>
      <c r="G2">
        <f>LN(F2)</f>
        <v>16.709980269939475</v>
      </c>
      <c r="M2" s="18" t="s">
        <v>30</v>
      </c>
      <c r="N2" s="18"/>
    </row>
    <row r="3" spans="1:18" x14ac:dyDescent="0.3">
      <c r="A3" s="1">
        <v>1331</v>
      </c>
      <c r="B3" s="1">
        <v>6.3861999999999997</v>
      </c>
      <c r="C3" s="1">
        <v>103.19799999999999</v>
      </c>
      <c r="D3" s="1">
        <v>81.322199999999995</v>
      </c>
      <c r="E3" s="2">
        <v>-4634.5536744829742</v>
      </c>
      <c r="F3" s="1">
        <f t="shared" ref="F3:F66" si="0">E3^2</f>
        <v>21479087.761663638</v>
      </c>
      <c r="G3" s="1">
        <f t="shared" ref="G3:G66" si="1">LN(F3)</f>
        <v>16.882590357506803</v>
      </c>
      <c r="M3" t="s">
        <v>5</v>
      </c>
    </row>
    <row r="4" spans="1:18" ht="15" thickBot="1" x14ac:dyDescent="0.35">
      <c r="A4" s="1">
        <v>1350</v>
      </c>
      <c r="B4" s="1">
        <v>6.4435000000000002</v>
      </c>
      <c r="C4" s="1">
        <v>103.63800000000001</v>
      </c>
      <c r="D4" s="1">
        <v>82.424400000000006</v>
      </c>
      <c r="E4" s="2">
        <v>-4674.7065606156357</v>
      </c>
      <c r="F4" s="1">
        <f t="shared" si="0"/>
        <v>21852881.427862868</v>
      </c>
      <c r="G4" s="1">
        <f t="shared" si="1"/>
        <v>16.899843343940113</v>
      </c>
      <c r="I4" t="s">
        <v>35</v>
      </c>
      <c r="J4">
        <f>N10*N7</f>
        <v>39.620698076274657</v>
      </c>
    </row>
    <row r="5" spans="1:18" x14ac:dyDescent="0.3">
      <c r="A5" s="1">
        <v>1363</v>
      </c>
      <c r="B5" s="1">
        <v>6.4488000000000003</v>
      </c>
      <c r="C5" s="1">
        <v>102.97799999999999</v>
      </c>
      <c r="D5" s="1">
        <v>82.7</v>
      </c>
      <c r="E5" s="2">
        <v>-4658.9931428625932</v>
      </c>
      <c r="F5" s="1">
        <f t="shared" si="0"/>
        <v>21706217.105240665</v>
      </c>
      <c r="G5" s="1">
        <f t="shared" si="1"/>
        <v>16.893109280022323</v>
      </c>
      <c r="I5" t="s">
        <v>36</v>
      </c>
      <c r="J5">
        <f>_xlfn.CHISQ.INV(0.95,2)</f>
        <v>5.9914645471079799</v>
      </c>
      <c r="M5" s="5" t="s">
        <v>6</v>
      </c>
      <c r="N5" s="5"/>
    </row>
    <row r="6" spans="1:18" x14ac:dyDescent="0.3">
      <c r="A6" s="1">
        <v>1787</v>
      </c>
      <c r="B6" s="1">
        <v>6.4318999999999997</v>
      </c>
      <c r="C6" s="1">
        <v>100.498</v>
      </c>
      <c r="D6" s="1">
        <v>81.999300000000005</v>
      </c>
      <c r="E6" s="2">
        <v>-4171.3315229809305</v>
      </c>
      <c r="F6" s="1">
        <f t="shared" si="0"/>
        <v>17400006.674614407</v>
      </c>
      <c r="G6" s="1">
        <f t="shared" si="1"/>
        <v>16.671981147783214</v>
      </c>
      <c r="H6" s="21" t="s">
        <v>33</v>
      </c>
      <c r="I6" s="21"/>
      <c r="J6" s="21"/>
      <c r="K6" s="21"/>
      <c r="L6" s="21"/>
      <c r="M6" s="2" t="s">
        <v>7</v>
      </c>
      <c r="N6" s="2">
        <v>0.54786568026126747</v>
      </c>
      <c r="Q6" t="s">
        <v>53</v>
      </c>
    </row>
    <row r="7" spans="1:18" x14ac:dyDescent="0.3">
      <c r="A7" s="1">
        <v>1656</v>
      </c>
      <c r="B7" s="1">
        <v>6.2809999999999997</v>
      </c>
      <c r="C7" s="1">
        <v>99.548299999999998</v>
      </c>
      <c r="D7" s="1">
        <v>82.589799999999997</v>
      </c>
      <c r="E7" s="2">
        <v>-4218.4165371170566</v>
      </c>
      <c r="F7" s="1">
        <f t="shared" si="0"/>
        <v>17795038.080622658</v>
      </c>
      <c r="G7" s="1">
        <f t="shared" si="1"/>
        <v>16.694430216886076</v>
      </c>
      <c r="M7" s="2" t="s">
        <v>8</v>
      </c>
      <c r="N7" s="2">
        <v>0.30015680360814134</v>
      </c>
    </row>
    <row r="8" spans="1:18" x14ac:dyDescent="0.3">
      <c r="A8" s="1">
        <v>1398</v>
      </c>
      <c r="B8" s="1">
        <v>6.4044999999999996</v>
      </c>
      <c r="C8" s="1">
        <v>98.588399999999993</v>
      </c>
      <c r="D8" s="1">
        <v>83.487300000000005</v>
      </c>
      <c r="E8" s="2">
        <v>-4543.4124395838371</v>
      </c>
      <c r="F8" s="1">
        <f t="shared" si="0"/>
        <v>20642596.596165154</v>
      </c>
      <c r="G8" s="1">
        <f t="shared" si="1"/>
        <v>16.842867294742735</v>
      </c>
      <c r="M8" s="2" t="s">
        <v>9</v>
      </c>
      <c r="N8" s="2">
        <v>0.28375422869270717</v>
      </c>
    </row>
    <row r="9" spans="1:18" x14ac:dyDescent="0.3">
      <c r="A9" s="1">
        <v>1369</v>
      </c>
      <c r="B9" s="1">
        <v>6.3985000000000003</v>
      </c>
      <c r="C9" s="1">
        <v>99.828299999999999</v>
      </c>
      <c r="D9" s="1">
        <v>83.747100000000003</v>
      </c>
      <c r="E9" s="2">
        <v>-4594.8290082407148</v>
      </c>
      <c r="F9" s="1">
        <f t="shared" si="0"/>
        <v>21112453.614970349</v>
      </c>
      <c r="G9" s="1">
        <f t="shared" si="1"/>
        <v>16.865373643054706</v>
      </c>
      <c r="M9" s="2" t="s">
        <v>10</v>
      </c>
      <c r="N9" s="2">
        <v>2.1264445272369028</v>
      </c>
    </row>
    <row r="10" spans="1:18" ht="15" thickBot="1" x14ac:dyDescent="0.35">
      <c r="A10" s="1">
        <v>1387</v>
      </c>
      <c r="B10" s="1">
        <v>6.3651</v>
      </c>
      <c r="C10" s="1">
        <v>100.438</v>
      </c>
      <c r="D10" s="1">
        <v>83.904600000000002</v>
      </c>
      <c r="E10" s="2">
        <v>-4572.336715379266</v>
      </c>
      <c r="F10" s="1">
        <f t="shared" si="0"/>
        <v>20906263.038805254</v>
      </c>
      <c r="G10" s="1">
        <f t="shared" si="1"/>
        <v>16.855559338972355</v>
      </c>
      <c r="M10" s="3" t="s">
        <v>11</v>
      </c>
      <c r="N10" s="3">
        <v>132</v>
      </c>
    </row>
    <row r="11" spans="1:18" x14ac:dyDescent="0.3">
      <c r="A11" s="1">
        <v>1384</v>
      </c>
      <c r="B11" s="1">
        <v>6.3448000000000002</v>
      </c>
      <c r="C11" s="1">
        <v>100.858</v>
      </c>
      <c r="D11" s="1">
        <v>84.038399999999996</v>
      </c>
      <c r="E11" s="2">
        <v>-4574.1693424068035</v>
      </c>
      <c r="F11" s="1">
        <f t="shared" si="0"/>
        <v>20923025.173014291</v>
      </c>
      <c r="G11" s="1">
        <f t="shared" si="1"/>
        <v>16.856360793447095</v>
      </c>
    </row>
    <row r="12" spans="1:18" ht="15" thickBot="1" x14ac:dyDescent="0.35">
      <c r="A12" s="1">
        <v>1375</v>
      </c>
      <c r="B12" s="1">
        <v>4.7619999999999996</v>
      </c>
      <c r="C12" s="1">
        <v>100.44799999999999</v>
      </c>
      <c r="D12" s="1">
        <v>83.967600000000004</v>
      </c>
      <c r="E12" s="2">
        <v>-3738.222910562572</v>
      </c>
      <c r="F12" s="1">
        <f t="shared" si="0"/>
        <v>13974310.529054908</v>
      </c>
      <c r="G12" s="1">
        <f t="shared" si="1"/>
        <v>16.452731239763683</v>
      </c>
      <c r="M12" t="s">
        <v>12</v>
      </c>
    </row>
    <row r="13" spans="1:18" x14ac:dyDescent="0.3">
      <c r="A13" s="1">
        <v>1752</v>
      </c>
      <c r="B13" s="1">
        <v>4.3247</v>
      </c>
      <c r="C13" s="1">
        <v>100.158</v>
      </c>
      <c r="D13" s="1">
        <v>83.762900000000002</v>
      </c>
      <c r="E13" s="2">
        <v>-3121.2312900961333</v>
      </c>
      <c r="F13" s="1">
        <f t="shared" si="0"/>
        <v>9742084.7662751731</v>
      </c>
      <c r="G13" s="1">
        <f t="shared" si="1"/>
        <v>16.091965694427088</v>
      </c>
      <c r="M13" s="4"/>
      <c r="N13" s="4" t="s">
        <v>17</v>
      </c>
      <c r="O13" s="4" t="s">
        <v>18</v>
      </c>
      <c r="P13" s="4" t="s">
        <v>19</v>
      </c>
      <c r="Q13" s="4" t="s">
        <v>20</v>
      </c>
      <c r="R13" s="4" t="s">
        <v>21</v>
      </c>
    </row>
    <row r="14" spans="1:18" x14ac:dyDescent="0.3">
      <c r="A14" s="1">
        <v>2667</v>
      </c>
      <c r="B14" s="1">
        <v>3.8426999999999998</v>
      </c>
      <c r="C14" s="1">
        <v>98.688400000000001</v>
      </c>
      <c r="D14" s="1">
        <v>83.896699999999996</v>
      </c>
      <c r="E14" s="2">
        <v>-1929.7333040683152</v>
      </c>
      <c r="F14" s="1">
        <f t="shared" si="0"/>
        <v>3723870.6248304164</v>
      </c>
      <c r="G14" s="1">
        <f t="shared" si="1"/>
        <v>15.130274175860045</v>
      </c>
      <c r="M14" s="2" t="s">
        <v>13</v>
      </c>
      <c r="N14" s="2">
        <v>3</v>
      </c>
      <c r="O14" s="2">
        <v>248.23643869895102</v>
      </c>
      <c r="P14" s="2">
        <v>82.745479566317002</v>
      </c>
      <c r="Q14" s="2">
        <v>18.299370992398604</v>
      </c>
      <c r="R14" s="2">
        <v>6.0868114975152411E-10</v>
      </c>
    </row>
    <row r="15" spans="1:18" x14ac:dyDescent="0.3">
      <c r="A15" s="1">
        <v>2711</v>
      </c>
      <c r="B15" s="1">
        <v>3.1943000000000001</v>
      </c>
      <c r="C15" s="1">
        <v>99.068299999999994</v>
      </c>
      <c r="D15" s="1">
        <v>84.290400000000005</v>
      </c>
      <c r="E15" s="2">
        <v>-1556.9342428417285</v>
      </c>
      <c r="F15" s="1">
        <f t="shared" si="0"/>
        <v>2424044.2365331464</v>
      </c>
      <c r="G15" s="1">
        <f t="shared" si="1"/>
        <v>14.700947875399686</v>
      </c>
      <c r="M15" s="2" t="s">
        <v>14</v>
      </c>
      <c r="N15" s="2">
        <v>128</v>
      </c>
      <c r="O15" s="2">
        <v>578.78608990921919</v>
      </c>
      <c r="P15" s="2">
        <v>4.5217663274157749</v>
      </c>
      <c r="Q15" s="2"/>
      <c r="R15" s="2"/>
    </row>
    <row r="16" spans="1:18" ht="15" thickBot="1" x14ac:dyDescent="0.35">
      <c r="A16" s="1">
        <v>2745</v>
      </c>
      <c r="B16" s="1">
        <v>2.0914999999999999</v>
      </c>
      <c r="C16" s="1">
        <v>99.068299999999994</v>
      </c>
      <c r="D16" s="1">
        <v>84.313999999999993</v>
      </c>
      <c r="E16" s="2">
        <v>-940.37774005554638</v>
      </c>
      <c r="F16" s="1">
        <f t="shared" si="0"/>
        <v>884310.29399197677</v>
      </c>
      <c r="G16" s="1">
        <f t="shared" si="1"/>
        <v>13.692563291332867</v>
      </c>
      <c r="M16" s="3" t="s">
        <v>15</v>
      </c>
      <c r="N16" s="3">
        <v>131</v>
      </c>
      <c r="O16" s="3">
        <v>827.02252860817021</v>
      </c>
      <c r="P16" s="3"/>
      <c r="Q16" s="3"/>
      <c r="R16" s="3"/>
    </row>
    <row r="17" spans="1:21" ht="15" thickBot="1" x14ac:dyDescent="0.35">
      <c r="A17" s="1">
        <v>2477</v>
      </c>
      <c r="B17" s="1">
        <v>1.6389</v>
      </c>
      <c r="C17" s="1">
        <v>99.298299999999998</v>
      </c>
      <c r="D17" s="1">
        <v>84.597399999999993</v>
      </c>
      <c r="E17" s="2">
        <v>-978.45396870529112</v>
      </c>
      <c r="F17" s="1">
        <f t="shared" si="0"/>
        <v>957372.16887513478</v>
      </c>
      <c r="G17" s="1">
        <f t="shared" si="1"/>
        <v>13.771947486033097</v>
      </c>
    </row>
    <row r="18" spans="1:21" x14ac:dyDescent="0.3">
      <c r="A18" s="1">
        <v>2470</v>
      </c>
      <c r="B18" s="1">
        <v>1.7989999999999999</v>
      </c>
      <c r="C18" s="1">
        <v>96.888400000000004</v>
      </c>
      <c r="D18" s="1">
        <v>84.353300000000004</v>
      </c>
      <c r="E18" s="2">
        <v>-1025.4680497870495</v>
      </c>
      <c r="F18" s="1">
        <f t="shared" si="0"/>
        <v>1051584.7211340547</v>
      </c>
      <c r="G18" s="1">
        <f t="shared" si="1"/>
        <v>13.865808842571088</v>
      </c>
      <c r="M18" s="4"/>
      <c r="N18" s="4" t="s">
        <v>22</v>
      </c>
      <c r="O18" s="4" t="s">
        <v>10</v>
      </c>
      <c r="P18" s="4" t="s">
        <v>23</v>
      </c>
      <c r="Q18" s="4" t="s">
        <v>24</v>
      </c>
      <c r="R18" s="4" t="s">
        <v>25</v>
      </c>
      <c r="S18" s="4" t="s">
        <v>26</v>
      </c>
      <c r="T18" s="4" t="s">
        <v>27</v>
      </c>
      <c r="U18" s="4" t="s">
        <v>28</v>
      </c>
    </row>
    <row r="19" spans="1:21" x14ac:dyDescent="0.3">
      <c r="A19" s="1">
        <v>2766</v>
      </c>
      <c r="B19" s="1">
        <v>1.6557999999999999</v>
      </c>
      <c r="C19" s="1">
        <v>96.338399999999993</v>
      </c>
      <c r="D19" s="1">
        <v>84.180099999999996</v>
      </c>
      <c r="E19" s="2">
        <v>-641.27662924534025</v>
      </c>
      <c r="F19" s="1">
        <f t="shared" si="0"/>
        <v>411235.71521626558</v>
      </c>
      <c r="G19" s="1">
        <f t="shared" si="1"/>
        <v>12.926921845422006</v>
      </c>
      <c r="M19" s="2" t="s">
        <v>16</v>
      </c>
      <c r="N19" s="2">
        <v>23.486958017517928</v>
      </c>
      <c r="O19" s="2">
        <v>5.7698923852534056</v>
      </c>
      <c r="P19" s="2">
        <v>4.0706059055010284</v>
      </c>
      <c r="Q19" s="2">
        <v>8.1567118772350733E-5</v>
      </c>
      <c r="R19" s="2">
        <v>12.070240148115719</v>
      </c>
      <c r="S19" s="2">
        <v>34.903675886920141</v>
      </c>
      <c r="T19" s="2">
        <v>12.070240148115719</v>
      </c>
      <c r="U19" s="2">
        <v>34.903675886920141</v>
      </c>
    </row>
    <row r="20" spans="1:21" x14ac:dyDescent="0.3">
      <c r="A20" s="1">
        <v>2780</v>
      </c>
      <c r="B20" s="1">
        <v>1.2116</v>
      </c>
      <c r="C20" s="1">
        <v>96.998400000000004</v>
      </c>
      <c r="D20" s="1">
        <v>84.660399999999996</v>
      </c>
      <c r="E20" s="2">
        <v>-412.75941297086547</v>
      </c>
      <c r="F20" s="1">
        <f t="shared" si="0"/>
        <v>170370.33299605348</v>
      </c>
      <c r="G20" s="1">
        <f t="shared" si="1"/>
        <v>12.045729776083979</v>
      </c>
      <c r="M20" s="2" t="s">
        <v>1</v>
      </c>
      <c r="N20" s="2">
        <v>0.48023303108977855</v>
      </c>
      <c r="O20" s="2">
        <v>7.8262985156674778E-2</v>
      </c>
      <c r="P20" s="2">
        <v>6.1361450771191439</v>
      </c>
      <c r="Q20" s="2">
        <v>9.8014039703266468E-9</v>
      </c>
      <c r="R20" s="2">
        <v>0.325376343738975</v>
      </c>
      <c r="S20" s="2">
        <v>0.63508971844058215</v>
      </c>
      <c r="T20" s="2">
        <v>0.325376343738975</v>
      </c>
      <c r="U20" s="2">
        <v>0.63508971844058215</v>
      </c>
    </row>
    <row r="21" spans="1:21" x14ac:dyDescent="0.3">
      <c r="A21" s="1">
        <v>2778</v>
      </c>
      <c r="B21" s="1">
        <v>1.2146999999999999</v>
      </c>
      <c r="C21" s="1">
        <v>98.068399999999997</v>
      </c>
      <c r="D21" s="1">
        <v>85.219399999999993</v>
      </c>
      <c r="E21" s="2">
        <v>-445.0371139857707</v>
      </c>
      <c r="F21" s="1">
        <f t="shared" si="0"/>
        <v>198058.03282478388</v>
      </c>
      <c r="G21" s="1">
        <f t="shared" si="1"/>
        <v>12.196315361807368</v>
      </c>
      <c r="M21" s="2" t="s">
        <v>2</v>
      </c>
      <c r="N21" s="2">
        <v>-7.5208144826182849E-2</v>
      </c>
      <c r="O21" s="2">
        <v>6.0909346165295648E-2</v>
      </c>
      <c r="P21" s="2">
        <v>-1.2347554121182511</v>
      </c>
      <c r="Q21" s="2">
        <v>0.21918341593662649</v>
      </c>
      <c r="R21" s="2">
        <v>-0.19572769256613526</v>
      </c>
      <c r="S21" s="2">
        <v>4.5311402913769561E-2</v>
      </c>
      <c r="T21" s="2">
        <v>-0.19572769256613526</v>
      </c>
      <c r="U21" s="2">
        <v>4.5311402913769561E-2</v>
      </c>
    </row>
    <row r="22" spans="1:21" ht="15" thickBot="1" x14ac:dyDescent="0.35">
      <c r="A22" s="1">
        <v>2830</v>
      </c>
      <c r="B22" s="1">
        <v>1.2146999999999999</v>
      </c>
      <c r="C22" s="1">
        <v>97.758399999999995</v>
      </c>
      <c r="D22" s="1">
        <v>85.731200000000001</v>
      </c>
      <c r="E22" s="2">
        <v>-397.93434868185705</v>
      </c>
      <c r="F22" s="1">
        <f t="shared" si="0"/>
        <v>158351.74586085379</v>
      </c>
      <c r="G22" s="1">
        <f t="shared" si="1"/>
        <v>11.972574077235048</v>
      </c>
      <c r="M22" s="3" t="s">
        <v>3</v>
      </c>
      <c r="N22" s="3">
        <v>-4.2659367144457651E-2</v>
      </c>
      <c r="O22" s="3">
        <v>7.214264859235652E-3</v>
      </c>
      <c r="P22" s="3">
        <v>-5.9131966980454598</v>
      </c>
      <c r="Q22" s="3">
        <v>2.8673478933845597E-8</v>
      </c>
      <c r="R22" s="3">
        <v>-5.6934022724436685E-2</v>
      </c>
      <c r="S22" s="3">
        <v>-2.8384711564478617E-2</v>
      </c>
      <c r="T22" s="3">
        <v>-5.6934022724436685E-2</v>
      </c>
      <c r="U22" s="3">
        <v>-2.8384711564478617E-2</v>
      </c>
    </row>
    <row r="23" spans="1:21" x14ac:dyDescent="0.3">
      <c r="A23" s="1">
        <v>2869</v>
      </c>
      <c r="B23" s="1">
        <v>1.2146999999999999</v>
      </c>
      <c r="C23" s="1">
        <v>97.148399999999995</v>
      </c>
      <c r="D23" s="1">
        <v>86.990899999999996</v>
      </c>
      <c r="E23" s="2">
        <v>-373.51783028859245</v>
      </c>
      <c r="F23" s="1">
        <f t="shared" si="0"/>
        <v>139515.56954349775</v>
      </c>
      <c r="G23" s="1">
        <f t="shared" si="1"/>
        <v>11.845931483646474</v>
      </c>
    </row>
    <row r="24" spans="1:21" x14ac:dyDescent="0.3">
      <c r="A24" s="1">
        <v>2482</v>
      </c>
      <c r="B24" s="1">
        <v>1.6580999999999999</v>
      </c>
      <c r="C24" s="1">
        <v>97.728399999999993</v>
      </c>
      <c r="D24" s="1">
        <v>87.510499999999993</v>
      </c>
      <c r="E24" s="2">
        <v>-1014.6961248990501</v>
      </c>
      <c r="F24" s="1">
        <f t="shared" si="0"/>
        <v>1029608.2258851487</v>
      </c>
      <c r="G24" s="1">
        <f t="shared" si="1"/>
        <v>13.844688924631079</v>
      </c>
    </row>
    <row r="25" spans="1:21" x14ac:dyDescent="0.3">
      <c r="A25" s="1">
        <v>2540</v>
      </c>
      <c r="B25" s="1">
        <v>1.6445000000000001</v>
      </c>
      <c r="C25" s="1">
        <v>97.358400000000003</v>
      </c>
      <c r="D25" s="1">
        <v>88.297799999999995</v>
      </c>
      <c r="E25" s="2">
        <v>-958.8066370033448</v>
      </c>
      <c r="F25" s="1">
        <f t="shared" si="0"/>
        <v>919310.16716166376</v>
      </c>
      <c r="G25" s="1">
        <f t="shared" si="1"/>
        <v>13.731378849468339</v>
      </c>
    </row>
    <row r="26" spans="1:21" x14ac:dyDescent="0.3">
      <c r="A26" s="1">
        <v>4473</v>
      </c>
      <c r="B26" s="1">
        <v>1.6445000000000001</v>
      </c>
      <c r="C26" s="1">
        <v>95.638400000000004</v>
      </c>
      <c r="D26" s="1">
        <v>88.219099999999997</v>
      </c>
      <c r="E26" s="2">
        <v>1004.1734689733944</v>
      </c>
      <c r="F26" s="1">
        <f t="shared" si="0"/>
        <v>1008364.3557900607</v>
      </c>
      <c r="G26" s="1">
        <f t="shared" si="1"/>
        <v>13.82384012637849</v>
      </c>
    </row>
    <row r="27" spans="1:21" x14ac:dyDescent="0.3">
      <c r="A27" s="1">
        <v>4474</v>
      </c>
      <c r="B27" s="1">
        <v>1.675</v>
      </c>
      <c r="C27" s="1">
        <v>95.258399999999995</v>
      </c>
      <c r="D27" s="1">
        <v>87.919899999999998</v>
      </c>
      <c r="E27" s="2">
        <v>1001.1913944757603</v>
      </c>
      <c r="F27" s="1">
        <f t="shared" si="0"/>
        <v>1002384.2083723174</v>
      </c>
      <c r="G27" s="1">
        <f t="shared" si="1"/>
        <v>13.817891928621385</v>
      </c>
    </row>
    <row r="28" spans="1:21" x14ac:dyDescent="0.3">
      <c r="A28" s="1">
        <v>4854</v>
      </c>
      <c r="B28" s="1">
        <v>1.7356</v>
      </c>
      <c r="C28" s="1">
        <v>96.788399999999996</v>
      </c>
      <c r="D28" s="1">
        <v>88.817400000000006</v>
      </c>
      <c r="E28" s="2">
        <v>1306.2803252084195</v>
      </c>
      <c r="F28" s="1">
        <f t="shared" si="0"/>
        <v>1706368.2880266143</v>
      </c>
      <c r="G28" s="1">
        <f t="shared" si="1"/>
        <v>14.349877861828414</v>
      </c>
    </row>
    <row r="29" spans="1:21" x14ac:dyDescent="0.3">
      <c r="A29" s="1">
        <v>4888</v>
      </c>
      <c r="B29" s="1">
        <v>1.8418000000000001</v>
      </c>
      <c r="C29" s="1">
        <v>97.808400000000006</v>
      </c>
      <c r="D29" s="1">
        <v>89.6678</v>
      </c>
      <c r="E29" s="2">
        <v>1250.6166894901535</v>
      </c>
      <c r="F29" s="1">
        <f t="shared" si="0"/>
        <v>1564042.1040313109</v>
      </c>
      <c r="G29" s="1">
        <f t="shared" si="1"/>
        <v>14.26278412046117</v>
      </c>
    </row>
    <row r="30" spans="1:21" x14ac:dyDescent="0.3">
      <c r="A30" s="1">
        <v>4501</v>
      </c>
      <c r="B30" s="1">
        <v>2.0756000000000001</v>
      </c>
      <c r="C30" s="1">
        <v>99.028300000000002</v>
      </c>
      <c r="D30" s="1">
        <v>90.289699999999996</v>
      </c>
      <c r="E30" s="2">
        <v>707.66424171784638</v>
      </c>
      <c r="F30" s="1">
        <f t="shared" si="0"/>
        <v>500788.67900609452</v>
      </c>
      <c r="G30" s="1">
        <f t="shared" si="1"/>
        <v>13.123939492694008</v>
      </c>
    </row>
    <row r="31" spans="1:21" x14ac:dyDescent="0.3">
      <c r="A31" s="1">
        <v>4515</v>
      </c>
      <c r="B31" s="1">
        <v>2.0756000000000001</v>
      </c>
      <c r="C31" s="1">
        <v>98.868399999999994</v>
      </c>
      <c r="D31" s="1">
        <v>91.297499999999999</v>
      </c>
      <c r="E31" s="2">
        <v>704.57179087689929</v>
      </c>
      <c r="F31" s="1">
        <f t="shared" si="0"/>
        <v>496421.4084994811</v>
      </c>
      <c r="G31" s="1">
        <f t="shared" si="1"/>
        <v>13.11518045889971</v>
      </c>
    </row>
    <row r="32" spans="1:21" x14ac:dyDescent="0.3">
      <c r="A32" s="1">
        <v>4565</v>
      </c>
      <c r="B32" s="1">
        <v>2.5529000000000002</v>
      </c>
      <c r="C32" s="1">
        <v>98.398399999999995</v>
      </c>
      <c r="D32" s="1">
        <v>92.557199999999995</v>
      </c>
      <c r="E32" s="2">
        <v>485.33872045539374</v>
      </c>
      <c r="F32" s="1">
        <f t="shared" si="0"/>
        <v>235553.67357327882</v>
      </c>
      <c r="G32" s="1">
        <f t="shared" si="1"/>
        <v>12.369694079732659</v>
      </c>
    </row>
    <row r="33" spans="1:7" x14ac:dyDescent="0.3">
      <c r="A33" s="1">
        <v>4564</v>
      </c>
      <c r="B33" s="1">
        <v>2.6164000000000001</v>
      </c>
      <c r="C33" s="1">
        <v>98.628399999999999</v>
      </c>
      <c r="D33" s="1">
        <v>93.092600000000004</v>
      </c>
      <c r="E33" s="2">
        <v>436.48020268838081</v>
      </c>
      <c r="F33" s="1">
        <f t="shared" si="0"/>
        <v>190514.96733889001</v>
      </c>
      <c r="G33" s="1">
        <f t="shared" si="1"/>
        <v>12.157486039170617</v>
      </c>
    </row>
    <row r="34" spans="1:7" x14ac:dyDescent="0.3">
      <c r="A34" s="1">
        <v>4570</v>
      </c>
      <c r="B34" s="1">
        <v>3.0005000000000002</v>
      </c>
      <c r="C34" s="1">
        <v>98.078400000000002</v>
      </c>
      <c r="D34" s="1">
        <v>93.446899999999999</v>
      </c>
      <c r="E34" s="2">
        <v>241.57295522030654</v>
      </c>
      <c r="F34" s="1">
        <f t="shared" si="0"/>
        <v>58357.492693872227</v>
      </c>
      <c r="G34" s="1">
        <f t="shared" si="1"/>
        <v>10.974343038963148</v>
      </c>
    </row>
    <row r="35" spans="1:7" x14ac:dyDescent="0.3">
      <c r="A35" s="1">
        <v>4908</v>
      </c>
      <c r="B35" s="1">
        <v>3.1888999999999998</v>
      </c>
      <c r="C35" s="1">
        <v>97.118399999999994</v>
      </c>
      <c r="D35" s="1">
        <v>94.557000000000002</v>
      </c>
      <c r="E35" s="2">
        <v>474.10448383438779</v>
      </c>
      <c r="F35" s="1">
        <f t="shared" si="0"/>
        <v>224775.06159187129</v>
      </c>
      <c r="G35" s="1">
        <f t="shared" si="1"/>
        <v>12.322855454868602</v>
      </c>
    </row>
    <row r="36" spans="1:7" x14ac:dyDescent="0.3">
      <c r="A36" s="1">
        <v>4890</v>
      </c>
      <c r="B36" s="1">
        <v>3.7321</v>
      </c>
      <c r="C36" s="1">
        <v>95.398399999999995</v>
      </c>
      <c r="D36" s="1">
        <v>95.611999999999995</v>
      </c>
      <c r="E36" s="2">
        <v>176.70851676453003</v>
      </c>
      <c r="F36" s="1">
        <f t="shared" si="0"/>
        <v>31225.899897120191</v>
      </c>
      <c r="G36" s="1">
        <f t="shared" si="1"/>
        <v>10.349003154342155</v>
      </c>
    </row>
    <row r="37" spans="1:7" x14ac:dyDescent="0.3">
      <c r="A37" s="1">
        <v>4598</v>
      </c>
      <c r="B37" s="1">
        <v>3.7321</v>
      </c>
      <c r="C37" s="1">
        <v>94.008399999999995</v>
      </c>
      <c r="D37" s="1">
        <v>94.801100000000005</v>
      </c>
      <c r="E37" s="2">
        <v>-76.428618688955794</v>
      </c>
      <c r="F37" s="1">
        <f t="shared" si="0"/>
        <v>5841.3337547018027</v>
      </c>
      <c r="G37" s="1">
        <f t="shared" si="1"/>
        <v>8.6727144324013423</v>
      </c>
    </row>
    <row r="38" spans="1:7" x14ac:dyDescent="0.3">
      <c r="A38" s="1">
        <v>6869</v>
      </c>
      <c r="B38" s="1">
        <v>4.1611000000000002</v>
      </c>
      <c r="C38" s="1">
        <v>95.048400000000001</v>
      </c>
      <c r="D38" s="1">
        <v>95.722200000000001</v>
      </c>
      <c r="E38" s="2">
        <v>1932.5374206166489</v>
      </c>
      <c r="F38" s="1">
        <f t="shared" si="0"/>
        <v>3734700.8820836507</v>
      </c>
      <c r="G38" s="1">
        <f t="shared" si="1"/>
        <v>15.133178288223904</v>
      </c>
    </row>
    <row r="39" spans="1:7" x14ac:dyDescent="0.3">
      <c r="A39" s="1">
        <v>6950</v>
      </c>
      <c r="B39" s="1">
        <v>4.7948000000000004</v>
      </c>
      <c r="C39" s="1">
        <v>96.858400000000003</v>
      </c>
      <c r="D39" s="1">
        <v>96.667000000000002</v>
      </c>
      <c r="E39" s="2">
        <v>1630.0889616626564</v>
      </c>
      <c r="F39" s="1">
        <f t="shared" si="0"/>
        <v>2657190.0229344373</v>
      </c>
      <c r="G39" s="1">
        <f t="shared" si="1"/>
        <v>14.7927797400373</v>
      </c>
    </row>
    <row r="40" spans="1:7" x14ac:dyDescent="0.3">
      <c r="A40" s="1">
        <v>6220</v>
      </c>
      <c r="B40" s="1">
        <v>5.5069999999999997</v>
      </c>
      <c r="C40" s="1">
        <v>97.278400000000005</v>
      </c>
      <c r="D40" s="1">
        <v>97.918899999999994</v>
      </c>
      <c r="E40" s="2">
        <v>492.10829359181389</v>
      </c>
      <c r="F40" s="1">
        <f t="shared" si="0"/>
        <v>242170.57262184689</v>
      </c>
      <c r="G40" s="1">
        <f t="shared" si="1"/>
        <v>12.397397602396687</v>
      </c>
    </row>
    <row r="41" spans="1:7" x14ac:dyDescent="0.3">
      <c r="A41" s="1">
        <v>6298</v>
      </c>
      <c r="B41" s="1">
        <v>7.0762</v>
      </c>
      <c r="C41" s="1">
        <v>99.548299999999998</v>
      </c>
      <c r="D41" s="1">
        <v>99.619500000000002</v>
      </c>
      <c r="E41" s="2">
        <v>-330.31745747948844</v>
      </c>
      <c r="F41" s="1">
        <f t="shared" si="0"/>
        <v>109109.62271571366</v>
      </c>
      <c r="G41" s="1">
        <f t="shared" si="1"/>
        <v>11.600108368808996</v>
      </c>
    </row>
    <row r="42" spans="1:7" x14ac:dyDescent="0.3">
      <c r="A42" s="1">
        <v>6286</v>
      </c>
      <c r="B42" s="1">
        <v>7.8234000000000004</v>
      </c>
      <c r="C42" s="1">
        <v>99.198300000000003</v>
      </c>
      <c r="D42" s="1">
        <v>99.178600000000003</v>
      </c>
      <c r="E42" s="2">
        <v>-722.91927124352242</v>
      </c>
      <c r="F42" s="1">
        <f t="shared" si="0"/>
        <v>522612.27273526555</v>
      </c>
      <c r="G42" s="1">
        <f t="shared" si="1"/>
        <v>13.166595115786906</v>
      </c>
    </row>
    <row r="43" spans="1:7" x14ac:dyDescent="0.3">
      <c r="A43" s="1">
        <v>6353</v>
      </c>
      <c r="B43" s="1">
        <v>7.9564000000000004</v>
      </c>
      <c r="C43" s="1">
        <v>100.458</v>
      </c>
      <c r="D43" s="1">
        <v>99.272999999999996</v>
      </c>
      <c r="E43" s="2">
        <v>-748.90940916662203</v>
      </c>
      <c r="F43" s="1">
        <f t="shared" si="0"/>
        <v>560865.30313829891</v>
      </c>
      <c r="G43" s="1">
        <f t="shared" si="1"/>
        <v>13.237236054318132</v>
      </c>
    </row>
    <row r="44" spans="1:7" x14ac:dyDescent="0.3">
      <c r="A44" s="1">
        <v>6319</v>
      </c>
      <c r="B44" s="1">
        <v>7.9676999999999998</v>
      </c>
      <c r="C44" s="1">
        <v>101.908</v>
      </c>
      <c r="D44" s="1">
        <v>100.879</v>
      </c>
      <c r="E44" s="2">
        <v>-844.3091725352042</v>
      </c>
      <c r="F44" s="1">
        <f t="shared" si="0"/>
        <v>712857.97882708116</v>
      </c>
      <c r="G44" s="1">
        <f t="shared" si="1"/>
        <v>13.47703749137502</v>
      </c>
    </row>
    <row r="45" spans="1:7" x14ac:dyDescent="0.3">
      <c r="A45" s="1">
        <v>7155</v>
      </c>
      <c r="B45" s="1">
        <v>8.1056000000000008</v>
      </c>
      <c r="C45" s="1">
        <v>100.318</v>
      </c>
      <c r="D45" s="1">
        <v>100.919</v>
      </c>
      <c r="E45" s="2">
        <v>-55.70684902656285</v>
      </c>
      <c r="F45" s="1">
        <f t="shared" si="0"/>
        <v>3103.2530284682662</v>
      </c>
      <c r="G45" s="1">
        <f t="shared" si="1"/>
        <v>8.0402062042977054</v>
      </c>
    </row>
    <row r="46" spans="1:7" x14ac:dyDescent="0.3">
      <c r="A46" s="1">
        <v>7157</v>
      </c>
      <c r="B46" s="1">
        <v>8.1387999999999998</v>
      </c>
      <c r="C46" s="1">
        <v>100.288</v>
      </c>
      <c r="D46" s="1">
        <v>101.422</v>
      </c>
      <c r="E46" s="2">
        <v>-80.613220355446174</v>
      </c>
      <c r="F46" s="1">
        <f t="shared" si="0"/>
        <v>6498.491296075721</v>
      </c>
      <c r="G46" s="1">
        <f t="shared" si="1"/>
        <v>8.7793253206463859</v>
      </c>
    </row>
    <row r="47" spans="1:7" x14ac:dyDescent="0.3">
      <c r="A47" s="1">
        <v>6484</v>
      </c>
      <c r="B47" s="1">
        <v>8.1387999999999998</v>
      </c>
      <c r="C47" s="1">
        <v>101.83799999999999</v>
      </c>
      <c r="D47" s="1">
        <v>102.375</v>
      </c>
      <c r="E47" s="2">
        <v>-797.90438103540055</v>
      </c>
      <c r="F47" s="1">
        <f t="shared" si="0"/>
        <v>636651.40127548564</v>
      </c>
      <c r="G47" s="1">
        <f t="shared" si="1"/>
        <v>13.363977534013038</v>
      </c>
    </row>
    <row r="48" spans="1:7" x14ac:dyDescent="0.3">
      <c r="A48" s="1">
        <v>6710</v>
      </c>
      <c r="B48" s="1">
        <v>8.2583000000000002</v>
      </c>
      <c r="C48" s="1">
        <v>103.598</v>
      </c>
      <c r="D48" s="1">
        <v>103.155</v>
      </c>
      <c r="E48" s="2">
        <v>-679.45599781460896</v>
      </c>
      <c r="F48" s="1">
        <f t="shared" si="0"/>
        <v>461660.45296624588</v>
      </c>
      <c r="G48" s="1">
        <f t="shared" si="1"/>
        <v>13.042584949565999</v>
      </c>
    </row>
    <row r="49" spans="1:7" x14ac:dyDescent="0.3">
      <c r="A49" s="1">
        <v>6657</v>
      </c>
      <c r="B49" s="1">
        <v>8.2451000000000008</v>
      </c>
      <c r="C49" s="1">
        <v>103.658</v>
      </c>
      <c r="D49" s="1">
        <v>102.871</v>
      </c>
      <c r="E49" s="2">
        <v>-720.9078704851654</v>
      </c>
      <c r="F49" s="1">
        <f t="shared" si="0"/>
        <v>519708.15772745601</v>
      </c>
      <c r="G49" s="1">
        <f t="shared" si="1"/>
        <v>13.161022697866709</v>
      </c>
    </row>
    <row r="50" spans="1:7" x14ac:dyDescent="0.3">
      <c r="A50" s="1">
        <v>10497</v>
      </c>
      <c r="B50" s="1">
        <v>8.2899999999999991</v>
      </c>
      <c r="C50" s="1">
        <v>102.798</v>
      </c>
      <c r="D50" s="1">
        <v>104.107</v>
      </c>
      <c r="E50" s="2">
        <v>3085.3689960260072</v>
      </c>
      <c r="F50" s="1">
        <f t="shared" si="0"/>
        <v>9519501.8416385315</v>
      </c>
      <c r="G50" s="1">
        <f t="shared" si="1"/>
        <v>16.068853077839435</v>
      </c>
    </row>
    <row r="51" spans="1:7" x14ac:dyDescent="0.3">
      <c r="A51" s="1">
        <v>9672</v>
      </c>
      <c r="B51" s="1">
        <v>8.2899999999999991</v>
      </c>
      <c r="C51" s="1">
        <v>103.828</v>
      </c>
      <c r="D51" s="1">
        <v>104.446</v>
      </c>
      <c r="E51" s="2">
        <v>2236.6999204522454</v>
      </c>
      <c r="F51" s="1">
        <f t="shared" si="0"/>
        <v>5002826.534151081</v>
      </c>
      <c r="G51" s="1">
        <f t="shared" si="1"/>
        <v>15.425513617502878</v>
      </c>
    </row>
    <row r="52" spans="1:7" x14ac:dyDescent="0.3">
      <c r="A52" s="1">
        <v>9767</v>
      </c>
      <c r="B52" s="1">
        <v>8.2899999999999991</v>
      </c>
      <c r="C52" s="1">
        <v>103.44799999999999</v>
      </c>
      <c r="D52" s="1">
        <v>104.69</v>
      </c>
      <c r="E52" s="2">
        <v>2333.2045497094914</v>
      </c>
      <c r="F52" s="1">
        <f t="shared" si="0"/>
        <v>5443843.4707850702</v>
      </c>
      <c r="G52" s="1">
        <f t="shared" si="1"/>
        <v>15.50999588972901</v>
      </c>
    </row>
    <row r="53" spans="1:7" x14ac:dyDescent="0.3">
      <c r="A53" s="1">
        <v>9853</v>
      </c>
      <c r="B53" s="1">
        <v>8.2899999999999991</v>
      </c>
      <c r="C53" s="1">
        <v>102.878</v>
      </c>
      <c r="D53" s="1">
        <v>105.761</v>
      </c>
      <c r="E53" s="2">
        <v>2407.6551096024577</v>
      </c>
      <c r="F53" s="1">
        <f t="shared" si="0"/>
        <v>5796803.1267948225</v>
      </c>
      <c r="G53" s="1">
        <f t="shared" si="1"/>
        <v>15.572817138522961</v>
      </c>
    </row>
    <row r="54" spans="1:7" x14ac:dyDescent="0.3">
      <c r="A54" s="1">
        <v>9907</v>
      </c>
      <c r="B54" s="1">
        <v>8.2899999999999991</v>
      </c>
      <c r="C54" s="1">
        <v>101.068</v>
      </c>
      <c r="D54" s="1">
        <v>106.241</v>
      </c>
      <c r="E54" s="2">
        <v>2482.1819821296231</v>
      </c>
      <c r="F54" s="1">
        <f t="shared" si="0"/>
        <v>6161227.3924089447</v>
      </c>
      <c r="G54" s="1">
        <f t="shared" si="1"/>
        <v>15.633786567676095</v>
      </c>
    </row>
    <row r="55" spans="1:7" x14ac:dyDescent="0.3">
      <c r="A55" s="1">
        <v>9886</v>
      </c>
      <c r="B55" s="1">
        <v>8.49</v>
      </c>
      <c r="C55" s="1">
        <v>102.428</v>
      </c>
      <c r="D55" s="1">
        <v>106.863</v>
      </c>
      <c r="E55" s="2">
        <v>2320.7802186505969</v>
      </c>
      <c r="F55" s="1">
        <f t="shared" si="0"/>
        <v>5386020.8232799126</v>
      </c>
      <c r="G55" s="1">
        <f t="shared" si="1"/>
        <v>15.4993174185326</v>
      </c>
    </row>
    <row r="56" spans="1:7" x14ac:dyDescent="0.3">
      <c r="A56" s="1">
        <v>10914</v>
      </c>
      <c r="B56" s="1">
        <v>8.49</v>
      </c>
      <c r="C56" s="1">
        <v>102.798</v>
      </c>
      <c r="D56" s="1">
        <v>108.57899999999999</v>
      </c>
      <c r="E56" s="2">
        <v>3309.0572258819393</v>
      </c>
      <c r="F56" s="1">
        <f t="shared" si="0"/>
        <v>10949859.724161476</v>
      </c>
      <c r="G56" s="1">
        <f t="shared" si="1"/>
        <v>16.208837203565867</v>
      </c>
    </row>
    <row r="57" spans="1:7" x14ac:dyDescent="0.3">
      <c r="A57" s="1">
        <v>10594</v>
      </c>
      <c r="B57" s="1">
        <v>8.81</v>
      </c>
      <c r="C57" s="1">
        <v>102.958</v>
      </c>
      <c r="D57" s="1">
        <v>109.93300000000001</v>
      </c>
      <c r="E57" s="2">
        <v>2790.720852106665</v>
      </c>
      <c r="F57" s="1">
        <f t="shared" si="0"/>
        <v>7788122.8743829504</v>
      </c>
      <c r="G57" s="1">
        <f t="shared" si="1"/>
        <v>15.868110422748707</v>
      </c>
    </row>
    <row r="58" spans="1:7" x14ac:dyDescent="0.3">
      <c r="A58" s="1">
        <v>9990</v>
      </c>
      <c r="B58" s="1">
        <v>8.81</v>
      </c>
      <c r="C58" s="1">
        <v>103.358</v>
      </c>
      <c r="D58" s="1">
        <v>110.28</v>
      </c>
      <c r="E58" s="2">
        <v>2173.3116758410633</v>
      </c>
      <c r="F58" s="1">
        <f t="shared" si="0"/>
        <v>4723283.6403470915</v>
      </c>
      <c r="G58" s="1">
        <f t="shared" si="1"/>
        <v>15.368014802198264</v>
      </c>
    </row>
    <row r="59" spans="1:7" x14ac:dyDescent="0.3">
      <c r="A59" s="1">
        <v>11053</v>
      </c>
      <c r="B59" s="1">
        <v>8.81</v>
      </c>
      <c r="C59" s="1">
        <v>103.518</v>
      </c>
      <c r="D59" s="1">
        <v>110.673</v>
      </c>
      <c r="E59" s="2">
        <v>3225.9698736880218</v>
      </c>
      <c r="F59" s="1">
        <f t="shared" si="0"/>
        <v>10406881.625942711</v>
      </c>
      <c r="G59" s="1">
        <f t="shared" si="1"/>
        <v>16.157977840090304</v>
      </c>
    </row>
    <row r="60" spans="1:7" x14ac:dyDescent="0.3">
      <c r="A60" s="1">
        <v>11531</v>
      </c>
      <c r="B60" s="1">
        <v>8.81</v>
      </c>
      <c r="C60" s="1">
        <v>102.748</v>
      </c>
      <c r="D60" s="1">
        <v>111.476</v>
      </c>
      <c r="E60" s="2">
        <v>3700.9756646745373</v>
      </c>
      <c r="F60" s="1">
        <f t="shared" si="0"/>
        <v>13697220.870513134</v>
      </c>
      <c r="G60" s="1">
        <f t="shared" si="1"/>
        <v>16.432703514053333</v>
      </c>
    </row>
    <row r="61" spans="1:7" x14ac:dyDescent="0.3">
      <c r="A61" s="1">
        <v>11512</v>
      </c>
      <c r="B61" s="1">
        <v>8.81</v>
      </c>
      <c r="C61" s="1">
        <v>102.348</v>
      </c>
      <c r="D61" s="1">
        <v>112.004</v>
      </c>
      <c r="E61" s="2">
        <v>3678.2492579702248</v>
      </c>
      <c r="F61" s="1">
        <f t="shared" si="0"/>
        <v>13529517.60375851</v>
      </c>
      <c r="G61" s="1">
        <f t="shared" si="1"/>
        <v>16.420384345687154</v>
      </c>
    </row>
    <row r="62" spans="1:7" x14ac:dyDescent="0.3">
      <c r="A62" s="1">
        <v>11349</v>
      </c>
      <c r="B62" s="1">
        <v>8.81</v>
      </c>
      <c r="C62" s="1">
        <v>101.66800000000001</v>
      </c>
      <c r="D62" s="1">
        <v>111.02</v>
      </c>
      <c r="E62" s="2">
        <v>3545.762724191396</v>
      </c>
      <c r="F62" s="1">
        <f t="shared" si="0"/>
        <v>12572433.29626519</v>
      </c>
      <c r="G62" s="1">
        <f t="shared" si="1"/>
        <v>16.347017141487452</v>
      </c>
    </row>
    <row r="63" spans="1:7" x14ac:dyDescent="0.3">
      <c r="A63" s="1">
        <v>11589</v>
      </c>
      <c r="B63" s="1">
        <v>8.81</v>
      </c>
      <c r="C63" s="1">
        <v>102.83799999999999</v>
      </c>
      <c r="D63" s="1">
        <v>112.169</v>
      </c>
      <c r="E63" s="2">
        <v>3743.9162018916068</v>
      </c>
      <c r="F63" s="1">
        <f t="shared" si="0"/>
        <v>14016908.526786475</v>
      </c>
      <c r="G63" s="1">
        <f t="shared" si="1"/>
        <v>16.455774910747213</v>
      </c>
    </row>
    <row r="64" spans="1:7" x14ac:dyDescent="0.3">
      <c r="A64" s="1">
        <v>10066</v>
      </c>
      <c r="B64" s="1">
        <v>8.83</v>
      </c>
      <c r="C64" s="1">
        <v>102.508</v>
      </c>
      <c r="D64" s="1">
        <v>112.72</v>
      </c>
      <c r="E64" s="2">
        <v>2205.0085524083352</v>
      </c>
      <c r="F64" s="1">
        <f t="shared" si="0"/>
        <v>4862062.7161939014</v>
      </c>
      <c r="G64" s="1">
        <f t="shared" si="1"/>
        <v>15.396973333033321</v>
      </c>
    </row>
    <row r="65" spans="1:7" x14ac:dyDescent="0.3">
      <c r="A65" s="1">
        <v>10186</v>
      </c>
      <c r="B65" s="1">
        <v>8.9</v>
      </c>
      <c r="C65" s="1">
        <v>101.108</v>
      </c>
      <c r="D65" s="1">
        <v>113.075</v>
      </c>
      <c r="E65" s="2">
        <v>2304.1973406369189</v>
      </c>
      <c r="F65" s="1">
        <f t="shared" si="0"/>
        <v>5309325.3845982486</v>
      </c>
      <c r="G65" s="1">
        <f t="shared" si="1"/>
        <v>15.484975338932049</v>
      </c>
    </row>
    <row r="66" spans="1:7" x14ac:dyDescent="0.3">
      <c r="A66" s="1">
        <v>10147</v>
      </c>
      <c r="B66" s="1">
        <v>8.9</v>
      </c>
      <c r="C66" s="1">
        <v>101.66800000000001</v>
      </c>
      <c r="D66" s="1">
        <v>114.114</v>
      </c>
      <c r="E66" s="2">
        <v>2235.5908887234127</v>
      </c>
      <c r="F66" s="1">
        <f t="shared" si="0"/>
        <v>4997866.6217431379</v>
      </c>
      <c r="G66" s="1">
        <f t="shared" si="1"/>
        <v>15.424521703695046</v>
      </c>
    </row>
    <row r="67" spans="1:7" x14ac:dyDescent="0.3">
      <c r="A67" s="1">
        <v>11632</v>
      </c>
      <c r="B67" s="1">
        <v>8.9</v>
      </c>
      <c r="C67" s="1">
        <v>102.008</v>
      </c>
      <c r="D67" s="1">
        <v>114.342</v>
      </c>
      <c r="E67" s="2">
        <v>3710.5042057888932</v>
      </c>
      <c r="F67" s="1">
        <f t="shared" ref="F67:F130" si="2">E67^2</f>
        <v>13767841.461177064</v>
      </c>
      <c r="G67" s="1">
        <f t="shared" ref="G67:G130" si="3">LN(F67)</f>
        <v>16.437846101785212</v>
      </c>
    </row>
    <row r="68" spans="1:7" x14ac:dyDescent="0.3">
      <c r="A68" s="1">
        <v>11729</v>
      </c>
      <c r="B68" s="1">
        <v>8.9</v>
      </c>
      <c r="C68" s="1">
        <v>101.02800000000001</v>
      </c>
      <c r="D68" s="1">
        <v>115.5</v>
      </c>
      <c r="E68" s="2">
        <v>3801.0300351355781</v>
      </c>
      <c r="F68" s="1">
        <f t="shared" si="2"/>
        <v>14447829.328002775</v>
      </c>
      <c r="G68" s="1">
        <f t="shared" si="3"/>
        <v>16.486054741723255</v>
      </c>
    </row>
    <row r="69" spans="1:7" x14ac:dyDescent="0.3">
      <c r="A69" s="1">
        <v>10237</v>
      </c>
      <c r="B69" s="1">
        <v>9.14</v>
      </c>
      <c r="C69" s="1">
        <v>101.878</v>
      </c>
      <c r="D69" s="1">
        <v>117.027</v>
      </c>
      <c r="E69" s="2">
        <v>2138.1907916807277</v>
      </c>
      <c r="F69" s="1">
        <f t="shared" si="2"/>
        <v>4571859.8616282567</v>
      </c>
      <c r="G69" s="1">
        <f t="shared" si="3"/>
        <v>15.335430651989684</v>
      </c>
    </row>
    <row r="70" spans="1:7" x14ac:dyDescent="0.3">
      <c r="A70" s="1">
        <v>10405</v>
      </c>
      <c r="B70" s="1">
        <v>9.14</v>
      </c>
      <c r="C70" s="1">
        <v>102.55800000000001</v>
      </c>
      <c r="D70" s="1">
        <v>119.515</v>
      </c>
      <c r="E70" s="2">
        <v>2246.223706274699</v>
      </c>
      <c r="F70" s="1">
        <f t="shared" si="2"/>
        <v>5045520.9386304449</v>
      </c>
      <c r="G70" s="1">
        <f t="shared" si="3"/>
        <v>15.43401146483955</v>
      </c>
    </row>
    <row r="71" spans="1:7" x14ac:dyDescent="0.3">
      <c r="A71" s="1">
        <v>10374</v>
      </c>
      <c r="B71" s="1">
        <v>9.14</v>
      </c>
      <c r="C71" s="1">
        <v>101.568</v>
      </c>
      <c r="D71" s="1">
        <v>120.979</v>
      </c>
      <c r="E71" s="2">
        <v>2202.9223198039572</v>
      </c>
      <c r="F71" s="1">
        <f t="shared" si="2"/>
        <v>4852866.7470904486</v>
      </c>
      <c r="G71" s="1">
        <f t="shared" si="3"/>
        <v>15.395080170167901</v>
      </c>
    </row>
    <row r="72" spans="1:7" x14ac:dyDescent="0.3">
      <c r="A72" s="1">
        <v>10358</v>
      </c>
      <c r="B72" s="1">
        <v>9.14</v>
      </c>
      <c r="C72" s="1">
        <v>99.2483</v>
      </c>
      <c r="D72" s="1">
        <v>121.145</v>
      </c>
      <c r="E72" s="2">
        <v>2222.0259178076303</v>
      </c>
      <c r="F72" s="1">
        <f t="shared" si="2"/>
        <v>4937399.1794088418</v>
      </c>
      <c r="G72" s="1">
        <f t="shared" si="3"/>
        <v>15.412349268622801</v>
      </c>
    </row>
    <row r="73" spans="1:7" x14ac:dyDescent="0.3">
      <c r="A73" s="1">
        <v>10425</v>
      </c>
      <c r="B73" s="1">
        <v>9.26</v>
      </c>
      <c r="C73" s="1">
        <v>100.69799999999999</v>
      </c>
      <c r="D73" s="1">
        <v>121.85299999999999</v>
      </c>
      <c r="E73" s="2">
        <v>2187.750551926285</v>
      </c>
      <c r="F73" s="1">
        <f t="shared" si="2"/>
        <v>4786252.4774537645</v>
      </c>
      <c r="G73" s="1">
        <f t="shared" si="3"/>
        <v>15.381258299392471</v>
      </c>
    </row>
    <row r="74" spans="1:7" x14ac:dyDescent="0.3">
      <c r="A74" s="1">
        <v>13666</v>
      </c>
      <c r="B74" s="1">
        <v>9.3000000000000007</v>
      </c>
      <c r="C74" s="1">
        <v>100.938</v>
      </c>
      <c r="D74" s="1">
        <v>124.184</v>
      </c>
      <c r="E74" s="2">
        <v>5357.9862920006926</v>
      </c>
      <c r="F74" s="1">
        <f t="shared" si="2"/>
        <v>28708017.105267331</v>
      </c>
      <c r="G74" s="1">
        <f t="shared" si="3"/>
        <v>17.17268698336818</v>
      </c>
    </row>
    <row r="75" spans="1:7" x14ac:dyDescent="0.3">
      <c r="A75" s="1">
        <v>13353</v>
      </c>
      <c r="B75" s="1">
        <v>9.74</v>
      </c>
      <c r="C75" s="1">
        <v>101.11799999999999</v>
      </c>
      <c r="D75" s="1">
        <v>124.79</v>
      </c>
      <c r="E75" s="2">
        <v>4797.5271569267243</v>
      </c>
      <c r="F75" s="1">
        <f t="shared" si="2"/>
        <v>23016266.821449418</v>
      </c>
      <c r="G75" s="1">
        <f t="shared" si="3"/>
        <v>16.951711777014303</v>
      </c>
    </row>
    <row r="76" spans="1:7" x14ac:dyDescent="0.3">
      <c r="A76" s="1">
        <v>13996</v>
      </c>
      <c r="B76" s="1">
        <v>9.82</v>
      </c>
      <c r="C76" s="1">
        <v>101.298</v>
      </c>
      <c r="D76" s="1">
        <v>128.63200000000001</v>
      </c>
      <c r="E76" s="2">
        <v>5320.0173964946316</v>
      </c>
      <c r="F76" s="1">
        <f t="shared" si="2"/>
        <v>28302585.099005517</v>
      </c>
      <c r="G76" s="1">
        <f t="shared" si="3"/>
        <v>17.158463704696263</v>
      </c>
    </row>
    <row r="77" spans="1:7" x14ac:dyDescent="0.3">
      <c r="A77" s="1">
        <v>14259</v>
      </c>
      <c r="B77" s="1">
        <v>9.8699999999999992</v>
      </c>
      <c r="C77" s="1">
        <v>99.328299999999999</v>
      </c>
      <c r="D77" s="1">
        <v>132.53700000000001</v>
      </c>
      <c r="E77" s="2">
        <v>5512.6776552042829</v>
      </c>
      <c r="F77" s="1">
        <f t="shared" si="2"/>
        <v>30389614.930188593</v>
      </c>
      <c r="G77" s="1">
        <f t="shared" si="3"/>
        <v>17.229611493874515</v>
      </c>
    </row>
    <row r="78" spans="1:7" x14ac:dyDescent="0.3">
      <c r="A78" s="1">
        <v>14957</v>
      </c>
      <c r="B78" s="1">
        <v>9.89</v>
      </c>
      <c r="C78" s="1">
        <v>96.228399999999993</v>
      </c>
      <c r="D78" s="1">
        <v>136.10400000000001</v>
      </c>
      <c r="E78" s="2">
        <v>6181.5042742518654</v>
      </c>
      <c r="F78" s="1">
        <f t="shared" si="2"/>
        <v>38210995.09259408</v>
      </c>
      <c r="G78" s="1">
        <f t="shared" si="3"/>
        <v>17.458633861810856</v>
      </c>
    </row>
    <row r="79" spans="1:7" x14ac:dyDescent="0.3">
      <c r="A79" s="1">
        <v>14018</v>
      </c>
      <c r="B79" s="1">
        <v>11.47</v>
      </c>
      <c r="C79" s="1">
        <v>98.568399999999997</v>
      </c>
      <c r="D79" s="1">
        <v>138.96199999999999</v>
      </c>
      <c r="E79" s="2">
        <v>4312.5438537019872</v>
      </c>
      <c r="F79" s="1">
        <f t="shared" si="2"/>
        <v>18598034.490102787</v>
      </c>
      <c r="G79" s="1">
        <f t="shared" si="3"/>
        <v>16.73856646052457</v>
      </c>
    </row>
    <row r="80" spans="1:7" x14ac:dyDescent="0.3">
      <c r="A80" s="1">
        <v>14163</v>
      </c>
      <c r="B80" s="1">
        <v>11.47</v>
      </c>
      <c r="C80" s="1">
        <v>95.038399999999996</v>
      </c>
      <c r="D80" s="1">
        <v>143.59899999999999</v>
      </c>
      <c r="E80" s="2">
        <v>4425.1009021651334</v>
      </c>
      <c r="F80" s="1">
        <f t="shared" si="2"/>
        <v>19581517.994342677</v>
      </c>
      <c r="G80" s="1">
        <f t="shared" si="3"/>
        <v>16.790096719862468</v>
      </c>
    </row>
    <row r="81" spans="1:7" x14ac:dyDescent="0.3">
      <c r="A81" s="1">
        <v>14324</v>
      </c>
      <c r="B81" s="1">
        <v>11.47</v>
      </c>
      <c r="C81" s="1">
        <v>93.878399999999999</v>
      </c>
      <c r="D81" s="1">
        <v>146.66999999999999</v>
      </c>
      <c r="E81" s="2">
        <v>4545.1396134002553</v>
      </c>
      <c r="F81" s="1">
        <f t="shared" si="2"/>
        <v>20658294.105300222</v>
      </c>
      <c r="G81" s="1">
        <f t="shared" si="3"/>
        <v>16.843627448319296</v>
      </c>
    </row>
    <row r="82" spans="1:7" x14ac:dyDescent="0.3">
      <c r="A82" s="1">
        <v>14267</v>
      </c>
      <c r="B82" s="1">
        <v>12.69</v>
      </c>
      <c r="C82" s="1">
        <v>93.378399999999999</v>
      </c>
      <c r="D82" s="1">
        <v>148.095</v>
      </c>
      <c r="E82" s="2">
        <v>3823.5212631192226</v>
      </c>
      <c r="F82" s="1">
        <f t="shared" si="2"/>
        <v>14619314.849524815</v>
      </c>
      <c r="G82" s="1">
        <f t="shared" si="3"/>
        <v>16.497854147270168</v>
      </c>
    </row>
    <row r="83" spans="1:7" x14ac:dyDescent="0.3">
      <c r="A83" s="1">
        <v>14083</v>
      </c>
      <c r="B83" s="1">
        <v>12.66</v>
      </c>
      <c r="C83" s="1">
        <v>95.328400000000002</v>
      </c>
      <c r="D83" s="1">
        <v>151.22800000000001</v>
      </c>
      <c r="E83" s="2">
        <v>3561.7844658209087</v>
      </c>
      <c r="F83" s="1">
        <f t="shared" si="2"/>
        <v>12686308.580963137</v>
      </c>
      <c r="G83" s="1">
        <f t="shared" si="3"/>
        <v>16.356033905408218</v>
      </c>
    </row>
    <row r="84" spans="1:7" x14ac:dyDescent="0.3">
      <c r="A84" s="1">
        <v>13915</v>
      </c>
      <c r="B84" s="1">
        <v>14.01</v>
      </c>
      <c r="C84" s="1">
        <v>98.778400000000005</v>
      </c>
      <c r="D84" s="1">
        <v>151.047</v>
      </c>
      <c r="E84" s="2">
        <v>2626.5797645473212</v>
      </c>
      <c r="F84" s="1">
        <f t="shared" si="2"/>
        <v>6898921.2595294612</v>
      </c>
      <c r="G84" s="1">
        <f t="shared" si="3"/>
        <v>15.746875618146612</v>
      </c>
    </row>
    <row r="85" spans="1:7" x14ac:dyDescent="0.3">
      <c r="A85" s="1">
        <v>14099</v>
      </c>
      <c r="B85" s="1">
        <v>14.01</v>
      </c>
      <c r="C85" s="1">
        <v>99.018299999999996</v>
      </c>
      <c r="D85" s="1">
        <v>150.29900000000001</v>
      </c>
      <c r="E85" s="2">
        <v>2821.261677280896</v>
      </c>
      <c r="F85" s="1">
        <f t="shared" si="2"/>
        <v>7959517.4516938152</v>
      </c>
      <c r="G85" s="1">
        <f t="shared" si="3"/>
        <v>15.889878934336494</v>
      </c>
    </row>
    <row r="86" spans="1:7" x14ac:dyDescent="0.3">
      <c r="A86" s="1">
        <v>5751</v>
      </c>
      <c r="B86" s="1">
        <v>13.99</v>
      </c>
      <c r="C86" s="1">
        <v>98.758399999999995</v>
      </c>
      <c r="D86" s="1">
        <v>149.661</v>
      </c>
      <c r="E86" s="2">
        <v>-5499.3733619934173</v>
      </c>
      <c r="F86" s="1">
        <f t="shared" si="2"/>
        <v>30243107.374602783</v>
      </c>
      <c r="G86" s="1">
        <f t="shared" si="3"/>
        <v>17.22477886109311</v>
      </c>
    </row>
    <row r="87" spans="1:7" x14ac:dyDescent="0.3">
      <c r="A87" s="1">
        <v>5815</v>
      </c>
      <c r="B87" s="1">
        <v>12.96</v>
      </c>
      <c r="C87" s="1">
        <v>102.02800000000001</v>
      </c>
      <c r="D87" s="1">
        <v>151.08699999999999</v>
      </c>
      <c r="E87" s="2">
        <v>-4972.8283925757023</v>
      </c>
      <c r="F87" s="1">
        <f t="shared" si="2"/>
        <v>24729022.222007044</v>
      </c>
      <c r="G87" s="1">
        <f t="shared" si="3"/>
        <v>17.023488100584409</v>
      </c>
    </row>
    <row r="88" spans="1:7" x14ac:dyDescent="0.3">
      <c r="A88" s="1">
        <v>5379</v>
      </c>
      <c r="B88" s="1">
        <v>11.77</v>
      </c>
      <c r="C88" s="1">
        <v>102.718</v>
      </c>
      <c r="D88" s="1">
        <v>153.15700000000001</v>
      </c>
      <c r="E88" s="2">
        <v>-4831.6560990688595</v>
      </c>
      <c r="F88" s="1">
        <f t="shared" si="2"/>
        <v>23344900.65966931</v>
      </c>
      <c r="G88" s="1">
        <f t="shared" si="3"/>
        <v>16.965889131063033</v>
      </c>
    </row>
    <row r="89" spans="1:7" x14ac:dyDescent="0.3">
      <c r="A89" s="1">
        <v>5521</v>
      </c>
      <c r="B89" s="1">
        <v>12.95</v>
      </c>
      <c r="C89" s="1">
        <v>101.66800000000001</v>
      </c>
      <c r="D89" s="1">
        <v>155.322</v>
      </c>
      <c r="E89" s="2">
        <v>-5338.5255771907869</v>
      </c>
      <c r="F89" s="1">
        <f t="shared" si="2"/>
        <v>28499855.338320225</v>
      </c>
      <c r="G89" s="1">
        <f t="shared" si="3"/>
        <v>17.165409569377584</v>
      </c>
    </row>
    <row r="90" spans="1:7" x14ac:dyDescent="0.3">
      <c r="A90" s="1">
        <v>5917</v>
      </c>
      <c r="B90" s="1">
        <v>13.14</v>
      </c>
      <c r="C90" s="1">
        <v>99.538300000000007</v>
      </c>
      <c r="D90" s="1">
        <v>155.684</v>
      </c>
      <c r="E90" s="2">
        <v>-5014.8493951040873</v>
      </c>
      <c r="F90" s="1">
        <f t="shared" si="2"/>
        <v>25148714.455575831</v>
      </c>
      <c r="G90" s="1">
        <f t="shared" si="3"/>
        <v>17.040317338117152</v>
      </c>
    </row>
    <row r="91" spans="1:7" x14ac:dyDescent="0.3">
      <c r="A91" s="1">
        <v>6078</v>
      </c>
      <c r="B91" s="1">
        <v>12.01</v>
      </c>
      <c r="C91" s="1">
        <v>98.588399999999993</v>
      </c>
      <c r="D91" s="1">
        <v>157.22</v>
      </c>
      <c r="E91" s="2">
        <v>-4270.8252856296822</v>
      </c>
      <c r="F91" s="1">
        <f t="shared" si="2"/>
        <v>18239948.620373856</v>
      </c>
      <c r="G91" s="1">
        <f t="shared" si="3"/>
        <v>16.719124725741025</v>
      </c>
    </row>
    <row r="92" spans="1:7" x14ac:dyDescent="0.3">
      <c r="A92" s="1">
        <v>7635</v>
      </c>
      <c r="B92" s="1">
        <v>11.38</v>
      </c>
      <c r="C92" s="1">
        <v>97.608400000000003</v>
      </c>
      <c r="D92" s="1">
        <v>159.64500000000001</v>
      </c>
      <c r="E92" s="2">
        <v>-2412.0488818188642</v>
      </c>
      <c r="F92" s="1">
        <f t="shared" si="2"/>
        <v>5817979.8082836326</v>
      </c>
      <c r="G92" s="1">
        <f t="shared" si="3"/>
        <v>15.576463647471556</v>
      </c>
    </row>
    <row r="93" spans="1:7" x14ac:dyDescent="0.3">
      <c r="A93" s="1">
        <v>7340</v>
      </c>
      <c r="B93" s="1">
        <v>12.44</v>
      </c>
      <c r="C93" s="1">
        <v>96.828400000000002</v>
      </c>
      <c r="D93" s="1">
        <v>162.35300000000001</v>
      </c>
      <c r="E93" s="2">
        <v>-3307.5759042409591</v>
      </c>
      <c r="F93" s="1">
        <f t="shared" si="2"/>
        <v>10940058.362315398</v>
      </c>
      <c r="G93" s="1">
        <f t="shared" si="3"/>
        <v>16.207941689707628</v>
      </c>
    </row>
    <row r="94" spans="1:7" x14ac:dyDescent="0.3">
      <c r="A94" s="1">
        <v>6143</v>
      </c>
      <c r="B94" s="1">
        <v>12.58</v>
      </c>
      <c r="C94" s="1">
        <v>96.028400000000005</v>
      </c>
      <c r="D94" s="1">
        <v>163.08500000000001</v>
      </c>
      <c r="E94" s="2">
        <v>-4579.6976335375512</v>
      </c>
      <c r="F94" s="1">
        <f t="shared" si="2"/>
        <v>20973630.414629444</v>
      </c>
      <c r="G94" s="1">
        <f t="shared" si="3"/>
        <v>16.858776512101251</v>
      </c>
    </row>
    <row r="95" spans="1:7" x14ac:dyDescent="0.3">
      <c r="A95" s="1">
        <v>7620</v>
      </c>
      <c r="B95" s="1">
        <v>12.59</v>
      </c>
      <c r="C95" s="1">
        <v>95.088399999999993</v>
      </c>
      <c r="D95" s="1">
        <v>164.636</v>
      </c>
      <c r="E95" s="2">
        <v>-3122.8162109258265</v>
      </c>
      <c r="F95" s="1">
        <f t="shared" si="2"/>
        <v>9751981.0872211363</v>
      </c>
      <c r="G95" s="1">
        <f t="shared" si="3"/>
        <v>16.092981010766994</v>
      </c>
    </row>
    <row r="96" spans="1:7" x14ac:dyDescent="0.3">
      <c r="A96" s="1">
        <v>5569</v>
      </c>
      <c r="B96" s="1">
        <v>12.32</v>
      </c>
      <c r="C96" s="1">
        <v>95.508399999999995</v>
      </c>
      <c r="D96" s="1">
        <v>166.92699999999999</v>
      </c>
      <c r="E96" s="2">
        <v>-5082.8851990930161</v>
      </c>
      <c r="F96" s="1">
        <f t="shared" si="2"/>
        <v>25835721.947158851</v>
      </c>
      <c r="G96" s="1">
        <f t="shared" si="3"/>
        <v>17.067268663851742</v>
      </c>
    </row>
    <row r="97" spans="1:7" x14ac:dyDescent="0.3">
      <c r="A97" s="1">
        <v>6038</v>
      </c>
      <c r="B97" s="1">
        <v>12.1</v>
      </c>
      <c r="C97" s="1">
        <v>96.288399999999996</v>
      </c>
      <c r="D97" s="1">
        <v>166.11600000000001</v>
      </c>
      <c r="E97" s="2">
        <v>-4494.5919853557898</v>
      </c>
      <c r="F97" s="1">
        <f t="shared" si="2"/>
        <v>20201357.1148245</v>
      </c>
      <c r="G97" s="1">
        <f t="shared" si="3"/>
        <v>16.821260344016899</v>
      </c>
    </row>
    <row r="98" spans="1:7" x14ac:dyDescent="0.3">
      <c r="A98" s="1">
        <v>9591</v>
      </c>
      <c r="B98" s="1">
        <v>11.9</v>
      </c>
      <c r="C98" s="1">
        <v>97.588399999999993</v>
      </c>
      <c r="D98" s="1">
        <v>170.059</v>
      </c>
      <c r="E98" s="2">
        <v>-934.57006892922072</v>
      </c>
      <c r="F98" s="1">
        <f t="shared" si="2"/>
        <v>873421.21373836836</v>
      </c>
      <c r="G98" s="1">
        <f t="shared" si="3"/>
        <v>13.68017320842465</v>
      </c>
    </row>
    <row r="99" spans="1:7" x14ac:dyDescent="0.3">
      <c r="A99" s="1">
        <v>9595</v>
      </c>
      <c r="B99" s="1">
        <v>12.22</v>
      </c>
      <c r="C99" s="1">
        <v>99.778300000000002</v>
      </c>
      <c r="D99" s="1">
        <v>170.702</v>
      </c>
      <c r="E99" s="2">
        <v>-1148.5453994104901</v>
      </c>
      <c r="F99" s="1">
        <f t="shared" si="2"/>
        <v>1319156.5345070022</v>
      </c>
      <c r="G99" s="1">
        <f t="shared" si="3"/>
        <v>14.09250310131222</v>
      </c>
    </row>
    <row r="100" spans="1:7" x14ac:dyDescent="0.3">
      <c r="A100" s="1">
        <v>9627</v>
      </c>
      <c r="B100" s="1">
        <v>12.34</v>
      </c>
      <c r="C100" s="1">
        <v>101.188</v>
      </c>
      <c r="D100" s="1">
        <v>172.827</v>
      </c>
      <c r="E100" s="2">
        <v>-1244.9092485766159</v>
      </c>
      <c r="F100" s="1">
        <f t="shared" si="2"/>
        <v>1549799.0371915945</v>
      </c>
      <c r="G100" s="1">
        <f t="shared" si="3"/>
        <v>14.253635827064921</v>
      </c>
    </row>
    <row r="101" spans="1:7" x14ac:dyDescent="0.3">
      <c r="A101" s="1">
        <v>9437</v>
      </c>
      <c r="B101" s="1">
        <v>12.27</v>
      </c>
      <c r="C101" s="1">
        <v>102.878</v>
      </c>
      <c r="D101" s="1">
        <v>175.988</v>
      </c>
      <c r="E101" s="2">
        <v>-1487.7486329538333</v>
      </c>
      <c r="F101" s="1">
        <f t="shared" si="2"/>
        <v>2213395.9948559999</v>
      </c>
      <c r="G101" s="1">
        <f t="shared" si="3"/>
        <v>14.610038543312676</v>
      </c>
    </row>
    <row r="102" spans="1:7" x14ac:dyDescent="0.3">
      <c r="A102" s="1">
        <v>9657</v>
      </c>
      <c r="B102" s="1">
        <v>12.0884</v>
      </c>
      <c r="C102" s="1">
        <v>105.428</v>
      </c>
      <c r="D102" s="1">
        <v>176.22399999999999</v>
      </c>
      <c r="E102" s="2">
        <v>-1218.525939278763</v>
      </c>
      <c r="F102" s="1">
        <f t="shared" si="2"/>
        <v>1484805.4646951915</v>
      </c>
      <c r="G102" s="1">
        <f t="shared" si="3"/>
        <v>14.210794321432402</v>
      </c>
    </row>
    <row r="103" spans="1:7" x14ac:dyDescent="0.3">
      <c r="A103" s="1">
        <v>9727</v>
      </c>
      <c r="B103" s="1">
        <v>12.2705</v>
      </c>
      <c r="C103" s="1">
        <v>105.58799999999999</v>
      </c>
      <c r="D103" s="1">
        <v>176.85400000000001</v>
      </c>
      <c r="E103" s="2">
        <v>-1259.7800743109801</v>
      </c>
      <c r="F103" s="1">
        <f t="shared" si="2"/>
        <v>1587045.8356309787</v>
      </c>
      <c r="G103" s="1">
        <f t="shared" si="3"/>
        <v>14.277384881026554</v>
      </c>
    </row>
    <row r="104" spans="1:7" x14ac:dyDescent="0.3">
      <c r="A104" s="1">
        <v>9737</v>
      </c>
      <c r="B104" s="1">
        <v>12.334</v>
      </c>
      <c r="C104" s="1">
        <v>104.498</v>
      </c>
      <c r="D104" s="1">
        <v>180.52699999999999</v>
      </c>
      <c r="E104" s="2">
        <v>-1337.2586660417965</v>
      </c>
      <c r="F104" s="1">
        <f t="shared" si="2"/>
        <v>1788260.7399038849</v>
      </c>
      <c r="G104" s="1">
        <f t="shared" si="3"/>
        <v>14.396754051770509</v>
      </c>
    </row>
    <row r="105" spans="1:7" x14ac:dyDescent="0.3">
      <c r="A105" s="1">
        <v>9776</v>
      </c>
      <c r="B105" s="1">
        <v>12.651199999999999</v>
      </c>
      <c r="C105" s="1">
        <v>104.818</v>
      </c>
      <c r="D105" s="1">
        <v>184.476</v>
      </c>
      <c r="E105" s="2">
        <v>-1548.5794809347608</v>
      </c>
      <c r="F105" s="1">
        <f t="shared" si="2"/>
        <v>2398098.4087721733</v>
      </c>
      <c r="G105" s="1">
        <f t="shared" si="3"/>
        <v>14.69018665158085</v>
      </c>
    </row>
    <row r="106" spans="1:7" x14ac:dyDescent="0.3">
      <c r="A106" s="1">
        <v>9786</v>
      </c>
      <c r="B106" s="1">
        <v>12.8226</v>
      </c>
      <c r="C106" s="1">
        <v>105.27800000000001</v>
      </c>
      <c r="D106" s="1">
        <v>188.227</v>
      </c>
      <c r="E106" s="2">
        <v>-1710.2572801524966</v>
      </c>
      <c r="F106" s="1">
        <f t="shared" si="2"/>
        <v>2924979.9643146154</v>
      </c>
      <c r="G106" s="1">
        <f t="shared" si="3"/>
        <v>14.888798188817665</v>
      </c>
    </row>
    <row r="107" spans="1:7" x14ac:dyDescent="0.3">
      <c r="A107" s="1">
        <v>9733</v>
      </c>
      <c r="B107" s="1">
        <v>13.0785</v>
      </c>
      <c r="C107" s="1">
        <v>102.688</v>
      </c>
      <c r="D107" s="1">
        <v>190.077</v>
      </c>
      <c r="E107" s="2">
        <v>-1891.9501094476927</v>
      </c>
      <c r="F107" s="1">
        <f t="shared" si="2"/>
        <v>3579475.2166391364</v>
      </c>
      <c r="G107" s="1">
        <f t="shared" si="3"/>
        <v>15.090726760100914</v>
      </c>
    </row>
    <row r="108" spans="1:7" x14ac:dyDescent="0.3">
      <c r="A108" s="1">
        <v>9797</v>
      </c>
      <c r="B108" s="1">
        <v>13.183299999999999</v>
      </c>
      <c r="C108" s="1">
        <v>104.58799999999999</v>
      </c>
      <c r="D108" s="1">
        <v>191.96600000000001</v>
      </c>
      <c r="E108" s="2">
        <v>-1951.7631788136841</v>
      </c>
      <c r="F108" s="1">
        <f t="shared" si="2"/>
        <v>3809379.5061728973</v>
      </c>
      <c r="G108" s="1">
        <f t="shared" si="3"/>
        <v>15.152976874567667</v>
      </c>
    </row>
    <row r="109" spans="1:7" x14ac:dyDescent="0.3">
      <c r="A109" s="1">
        <v>9805</v>
      </c>
      <c r="B109" s="1">
        <v>13.407299999999999</v>
      </c>
      <c r="C109" s="1">
        <v>106.398</v>
      </c>
      <c r="D109" s="1">
        <v>191.38900000000001</v>
      </c>
      <c r="E109" s="2">
        <v>-2080.8128135199058</v>
      </c>
      <c r="F109" s="1">
        <f t="shared" si="2"/>
        <v>4329781.9649086269</v>
      </c>
      <c r="G109" s="1">
        <f t="shared" si="3"/>
        <v>15.281027744186275</v>
      </c>
    </row>
    <row r="110" spans="1:7" x14ac:dyDescent="0.3">
      <c r="A110" s="1">
        <v>12273</v>
      </c>
      <c r="B110" s="1">
        <v>13.6195</v>
      </c>
      <c r="C110" s="1">
        <v>105.91800000000001</v>
      </c>
      <c r="D110" s="1">
        <v>193.71</v>
      </c>
      <c r="E110" s="2">
        <v>237.48621806926531</v>
      </c>
      <c r="F110" s="1">
        <f t="shared" si="2"/>
        <v>56399.703772842637</v>
      </c>
      <c r="G110" s="1">
        <f t="shared" si="3"/>
        <v>10.940219185217794</v>
      </c>
    </row>
    <row r="111" spans="1:7" x14ac:dyDescent="0.3">
      <c r="A111" s="1">
        <v>12242</v>
      </c>
      <c r="B111" s="1">
        <v>13.675000000000001</v>
      </c>
      <c r="C111" s="1">
        <v>105.608</v>
      </c>
      <c r="D111" s="1">
        <v>192.63499999999999</v>
      </c>
      <c r="E111" s="2">
        <v>203.3228629418154</v>
      </c>
      <c r="F111" s="1">
        <f t="shared" si="2"/>
        <v>41340.186594856248</v>
      </c>
      <c r="G111" s="1">
        <f t="shared" si="3"/>
        <v>10.629590346889247</v>
      </c>
    </row>
    <row r="112" spans="1:7" x14ac:dyDescent="0.3">
      <c r="A112" s="1">
        <v>11849</v>
      </c>
      <c r="B112" s="1">
        <v>13.608499999999999</v>
      </c>
      <c r="C112" s="1">
        <v>105.328</v>
      </c>
      <c r="D112" s="1">
        <v>195.33699999999999</v>
      </c>
      <c r="E112" s="2">
        <v>-202.80559241865558</v>
      </c>
      <c r="F112" s="1">
        <f t="shared" si="2"/>
        <v>41130.108316281847</v>
      </c>
      <c r="G112" s="1">
        <f t="shared" si="3"/>
        <v>10.62449569473138</v>
      </c>
    </row>
    <row r="113" spans="1:7" x14ac:dyDescent="0.3">
      <c r="A113" s="1">
        <v>12110</v>
      </c>
      <c r="B113" s="1">
        <v>13.6098</v>
      </c>
      <c r="C113" s="1">
        <v>105.348</v>
      </c>
      <c r="D113" s="1">
        <v>198.066</v>
      </c>
      <c r="E113" s="2">
        <v>3.7330149082990829</v>
      </c>
      <c r="F113" s="1">
        <f t="shared" si="2"/>
        <v>13.93540030558321</v>
      </c>
      <c r="G113" s="1">
        <f t="shared" si="3"/>
        <v>2.6344323871508908</v>
      </c>
    </row>
    <row r="114" spans="1:7" x14ac:dyDescent="0.3">
      <c r="A114" s="1">
        <v>12140</v>
      </c>
      <c r="B114" s="1">
        <v>13.5421</v>
      </c>
      <c r="C114" s="1">
        <v>105.068</v>
      </c>
      <c r="D114" s="1">
        <v>198.512</v>
      </c>
      <c r="E114" s="2">
        <v>65.419393846266757</v>
      </c>
      <c r="F114" s="1">
        <f t="shared" si="2"/>
        <v>4279.6970912129646</v>
      </c>
      <c r="G114" s="1">
        <f t="shared" si="3"/>
        <v>8.3616375129902263</v>
      </c>
    </row>
    <row r="115" spans="1:7" x14ac:dyDescent="0.3">
      <c r="A115" s="1">
        <v>12323</v>
      </c>
      <c r="B115" s="1">
        <v>13.728300000000001</v>
      </c>
      <c r="C115" s="1">
        <v>105.11799999999999</v>
      </c>
      <c r="D115" s="1">
        <v>200.41399999999999</v>
      </c>
      <c r="E115" s="2">
        <v>111.906230612527</v>
      </c>
      <c r="F115" s="1">
        <f t="shared" si="2"/>
        <v>12523.004449904074</v>
      </c>
      <c r="G115" s="1">
        <f t="shared" si="3"/>
        <v>9.4353225879024727</v>
      </c>
    </row>
    <row r="116" spans="1:7" x14ac:dyDescent="0.3">
      <c r="A116" s="1">
        <v>12363</v>
      </c>
      <c r="B116" s="1">
        <v>13.7623</v>
      </c>
      <c r="C116" s="1">
        <v>105.288</v>
      </c>
      <c r="D116" s="1">
        <v>202.958</v>
      </c>
      <c r="E116" s="2">
        <v>81.30010419809696</v>
      </c>
      <c r="F116" s="1">
        <f t="shared" si="2"/>
        <v>6609.706942621423</v>
      </c>
      <c r="G116" s="1">
        <f t="shared" si="3"/>
        <v>8.7962945964047048</v>
      </c>
    </row>
    <row r="117" spans="1:7" x14ac:dyDescent="0.3">
      <c r="A117" s="1">
        <v>12360</v>
      </c>
      <c r="B117" s="1">
        <v>13.277200000000001</v>
      </c>
      <c r="C117" s="1">
        <v>104.72799999999999</v>
      </c>
      <c r="D117" s="1">
        <v>205.792</v>
      </c>
      <c r="E117" s="2">
        <v>288.51800193143208</v>
      </c>
      <c r="F117" s="1">
        <f t="shared" si="2"/>
        <v>83242.637438505844</v>
      </c>
      <c r="G117" s="1">
        <f t="shared" si="3"/>
        <v>11.329514964754608</v>
      </c>
    </row>
    <row r="118" spans="1:7" x14ac:dyDescent="0.3">
      <c r="A118" s="1">
        <v>12299</v>
      </c>
      <c r="B118" s="1">
        <v>13.1965</v>
      </c>
      <c r="C118" s="1">
        <v>106.36799999999999</v>
      </c>
      <c r="D118" s="1">
        <v>207.917</v>
      </c>
      <c r="E118" s="2">
        <v>201.45064206017378</v>
      </c>
      <c r="F118" s="1">
        <f t="shared" si="2"/>
        <v>40582.361186456255</v>
      </c>
      <c r="G118" s="1">
        <f t="shared" si="3"/>
        <v>10.611088797651984</v>
      </c>
    </row>
    <row r="119" spans="1:7" x14ac:dyDescent="0.3">
      <c r="A119" s="1">
        <v>12306</v>
      </c>
      <c r="B119" s="1">
        <v>11.8978</v>
      </c>
      <c r="C119" s="1">
        <v>108.688</v>
      </c>
      <c r="D119" s="1">
        <v>210.92099999999999</v>
      </c>
      <c r="E119" s="2">
        <v>797.84768989296572</v>
      </c>
      <c r="F119" s="1">
        <f t="shared" si="2"/>
        <v>636560.93626754195</v>
      </c>
      <c r="G119" s="1">
        <f t="shared" si="3"/>
        <v>13.363835428874047</v>
      </c>
    </row>
    <row r="120" spans="1:7" x14ac:dyDescent="0.3">
      <c r="A120" s="1">
        <v>12267</v>
      </c>
      <c r="B120" s="1">
        <v>11.798</v>
      </c>
      <c r="C120" s="1">
        <v>109.428</v>
      </c>
      <c r="D120" s="1">
        <v>211.524</v>
      </c>
      <c r="E120" s="2">
        <v>787.56488454691134</v>
      </c>
      <c r="F120" s="1">
        <f t="shared" si="2"/>
        <v>620258.44737138983</v>
      </c>
      <c r="G120" s="1">
        <f t="shared" si="3"/>
        <v>13.337891520762216</v>
      </c>
    </row>
    <row r="121" spans="1:7" x14ac:dyDescent="0.3">
      <c r="A121" s="1">
        <v>12281</v>
      </c>
      <c r="B121" s="1">
        <v>11.671799999999999</v>
      </c>
      <c r="C121" s="1">
        <v>108.248</v>
      </c>
      <c r="D121" s="1">
        <v>210.042</v>
      </c>
      <c r="E121" s="2">
        <v>916.8163764525998</v>
      </c>
      <c r="F121" s="1">
        <f t="shared" si="2"/>
        <v>840552.2681316752</v>
      </c>
      <c r="G121" s="1">
        <f t="shared" si="3"/>
        <v>13.641814416847517</v>
      </c>
    </row>
    <row r="122" spans="1:7" x14ac:dyDescent="0.3">
      <c r="A122" s="1">
        <v>11930</v>
      </c>
      <c r="B122" s="1">
        <v>11.6264</v>
      </c>
      <c r="C122" s="1">
        <v>108.098</v>
      </c>
      <c r="D122" s="1">
        <v>213.26900000000001</v>
      </c>
      <c r="E122" s="2">
        <v>529.10215712772333</v>
      </c>
      <c r="F122" s="1">
        <f t="shared" si="2"/>
        <v>279949.09267721005</v>
      </c>
      <c r="G122" s="1">
        <f t="shared" si="3"/>
        <v>12.542363053754499</v>
      </c>
    </row>
    <row r="123" spans="1:7" x14ac:dyDescent="0.3">
      <c r="A123" s="1">
        <v>11282</v>
      </c>
      <c r="B123" s="1">
        <v>11.807</v>
      </c>
      <c r="C123" s="1">
        <v>107.468</v>
      </c>
      <c r="D123" s="1">
        <v>213.91200000000001</v>
      </c>
      <c r="E123" s="2">
        <v>-216.55151185273644</v>
      </c>
      <c r="F123" s="1">
        <f t="shared" si="2"/>
        <v>46894.557285705851</v>
      </c>
      <c r="G123" s="1">
        <f t="shared" si="3"/>
        <v>10.755656898354834</v>
      </c>
    </row>
    <row r="124" spans="1:7" x14ac:dyDescent="0.3">
      <c r="A124" s="1">
        <v>11402</v>
      </c>
      <c r="B124" s="1">
        <v>11.928800000000001</v>
      </c>
      <c r="C124" s="1">
        <v>108.488</v>
      </c>
      <c r="D124" s="1">
        <v>216.417</v>
      </c>
      <c r="E124" s="2">
        <v>-226.86531715399542</v>
      </c>
      <c r="F124" s="1">
        <f t="shared" si="2"/>
        <v>51467.872127382929</v>
      </c>
      <c r="G124" s="1">
        <f t="shared" si="3"/>
        <v>10.848713049794585</v>
      </c>
    </row>
    <row r="125" spans="1:7" x14ac:dyDescent="0.3">
      <c r="A125" s="1">
        <v>11361</v>
      </c>
      <c r="B125" s="1">
        <v>11.9414</v>
      </c>
      <c r="C125" s="1">
        <v>109.648</v>
      </c>
      <c r="D125" s="1">
        <v>220.37899999999999</v>
      </c>
      <c r="E125" s="2">
        <v>-371.29620639252971</v>
      </c>
      <c r="F125" s="1">
        <f t="shared" si="2"/>
        <v>137860.87288148401</v>
      </c>
      <c r="G125" s="1">
        <f t="shared" si="3"/>
        <v>11.834000288071158</v>
      </c>
    </row>
    <row r="126" spans="1:7" x14ac:dyDescent="0.3">
      <c r="A126" s="1">
        <v>11187</v>
      </c>
      <c r="B126" s="1">
        <v>11.942</v>
      </c>
      <c r="C126" s="1">
        <v>112.008</v>
      </c>
      <c r="D126" s="1">
        <v>222.911</v>
      </c>
      <c r="E126" s="2">
        <v>-634.21968290931545</v>
      </c>
      <c r="F126" s="1">
        <f t="shared" si="2"/>
        <v>402234.60618959263</v>
      </c>
      <c r="G126" s="1">
        <f t="shared" si="3"/>
        <v>12.90479079486092</v>
      </c>
    </row>
    <row r="127" spans="1:7" x14ac:dyDescent="0.3">
      <c r="A127" s="1">
        <v>11125</v>
      </c>
      <c r="B127" s="1">
        <v>11.9419</v>
      </c>
      <c r="C127" s="1">
        <v>109.788</v>
      </c>
      <c r="D127" s="1">
        <v>222.989</v>
      </c>
      <c r="E127" s="2">
        <v>-660.98833086191007</v>
      </c>
      <c r="F127" s="1">
        <f t="shared" si="2"/>
        <v>436905.57353561389</v>
      </c>
      <c r="G127" s="1">
        <f t="shared" si="3"/>
        <v>12.987472371863454</v>
      </c>
    </row>
    <row r="128" spans="1:7" x14ac:dyDescent="0.3">
      <c r="A128" s="1">
        <v>12284</v>
      </c>
      <c r="B128" s="1">
        <v>11.8424</v>
      </c>
      <c r="C128" s="1">
        <v>108.928</v>
      </c>
      <c r="D128" s="1">
        <v>222.43799999999999</v>
      </c>
      <c r="E128" s="2">
        <v>575.6244229999138</v>
      </c>
      <c r="F128" s="1">
        <f t="shared" si="2"/>
        <v>331343.47635398369</v>
      </c>
      <c r="G128" s="1">
        <f t="shared" si="3"/>
        <v>12.710910809240422</v>
      </c>
    </row>
    <row r="129" spans="1:7" x14ac:dyDescent="0.3">
      <c r="A129" s="1">
        <v>12263</v>
      </c>
      <c r="B129" s="1">
        <v>10.4314</v>
      </c>
      <c r="C129" s="1">
        <v>108.068</v>
      </c>
      <c r="D129" s="1">
        <v>224.43199999999999</v>
      </c>
      <c r="E129" s="2">
        <v>1275.7494773154231</v>
      </c>
      <c r="F129" s="1">
        <f t="shared" si="2"/>
        <v>1627536.7288705751</v>
      </c>
      <c r="G129" s="1">
        <f t="shared" si="3"/>
        <v>14.302578220472627</v>
      </c>
    </row>
    <row r="130" spans="1:7" x14ac:dyDescent="0.3">
      <c r="A130" s="1">
        <v>11040</v>
      </c>
      <c r="B130" s="1">
        <v>10.230700000000001</v>
      </c>
      <c r="C130" s="1">
        <v>106.58799999999999</v>
      </c>
      <c r="D130" s="1">
        <v>226.203</v>
      </c>
      <c r="E130" s="2">
        <v>148.64204729384073</v>
      </c>
      <c r="F130" s="1">
        <f t="shared" si="2"/>
        <v>22094.458223704387</v>
      </c>
      <c r="G130" s="1">
        <f t="shared" si="3"/>
        <v>10.003082096952124</v>
      </c>
    </row>
    <row r="131" spans="1:7" x14ac:dyDescent="0.3">
      <c r="A131" s="1">
        <v>10933</v>
      </c>
      <c r="B131" s="1">
        <v>9.6466999999999992</v>
      </c>
      <c r="C131" s="1">
        <v>105.188</v>
      </c>
      <c r="D131" s="1">
        <v>227.06899999999999</v>
      </c>
      <c r="E131" s="2">
        <v>356.57466409559856</v>
      </c>
      <c r="F131" s="1">
        <f t="shared" ref="F131:F133" si="4">E131^2</f>
        <v>127145.49107488895</v>
      </c>
      <c r="G131" s="1">
        <f t="shared" ref="G131:G133" si="5">LN(F131)</f>
        <v>11.753087308757781</v>
      </c>
    </row>
    <row r="132" spans="1:7" x14ac:dyDescent="0.3">
      <c r="A132" s="1">
        <v>10930</v>
      </c>
      <c r="B132" s="1">
        <v>9.3192000000000004</v>
      </c>
      <c r="C132" s="1">
        <v>104.828</v>
      </c>
      <c r="D132" s="1">
        <v>226.17699999999999</v>
      </c>
      <c r="E132" s="2">
        <v>550.13533139386345</v>
      </c>
      <c r="F132" s="1">
        <f t="shared" si="4"/>
        <v>302648.88284783595</v>
      </c>
      <c r="G132" s="1">
        <f t="shared" si="5"/>
        <v>12.62032861007838</v>
      </c>
    </row>
    <row r="133" spans="1:7" x14ac:dyDescent="0.3">
      <c r="A133" s="1">
        <v>10909</v>
      </c>
      <c r="B133" s="1">
        <v>9.2840000000000007</v>
      </c>
      <c r="C133" s="1">
        <v>104.468</v>
      </c>
      <c r="D133" s="1">
        <v>226.702</v>
      </c>
      <c r="E133" s="2">
        <v>543.41553451539585</v>
      </c>
      <c r="F133" s="1">
        <f t="shared" si="4"/>
        <v>295300.4431526534</v>
      </c>
      <c r="G133" s="1">
        <f t="shared" si="5"/>
        <v>12.59574856841715</v>
      </c>
    </row>
  </sheetData>
  <mergeCells count="1">
    <mergeCell ref="H6:L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3"/>
  <sheetViews>
    <sheetView workbookViewId="0">
      <selection activeCell="M12" sqref="M12"/>
    </sheetView>
  </sheetViews>
  <sheetFormatPr defaultRowHeight="14.4" x14ac:dyDescent="0.3"/>
  <cols>
    <col min="1" max="5" width="8.88671875" style="1"/>
    <col min="6" max="6" width="11" style="1" bestFit="1" customWidth="1"/>
    <col min="7" max="7" width="11.21875" style="1" customWidth="1"/>
  </cols>
  <sheetData>
    <row r="1" spans="1:2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14</v>
      </c>
      <c r="F1" s="7" t="s">
        <v>29</v>
      </c>
      <c r="G1" s="7" t="s">
        <v>37</v>
      </c>
      <c r="H1" s="7" t="s">
        <v>38</v>
      </c>
      <c r="I1" s="7" t="s">
        <v>39</v>
      </c>
      <c r="J1" s="7" t="s">
        <v>40</v>
      </c>
    </row>
    <row r="2" spans="1:21" x14ac:dyDescent="0.3">
      <c r="A2" s="1">
        <v>1671</v>
      </c>
      <c r="B2" s="1">
        <v>6.3472</v>
      </c>
      <c r="C2" s="1">
        <v>102.158</v>
      </c>
      <c r="D2" s="1">
        <v>81.046599999999998</v>
      </c>
      <c r="E2" s="2">
        <v>-4251.3426725137842</v>
      </c>
      <c r="F2" s="1">
        <f>E2^2</f>
        <v>18073914.519136645</v>
      </c>
      <c r="G2" s="1">
        <f>LN(F2)</f>
        <v>16.709980269939475</v>
      </c>
      <c r="H2">
        <f>LN(B2)</f>
        <v>1.8480137707779287</v>
      </c>
      <c r="I2">
        <f>LN(C2)</f>
        <v>4.6265206343987417</v>
      </c>
      <c r="J2">
        <f>LN(D2)</f>
        <v>4.3950242978878418</v>
      </c>
      <c r="P2" s="18" t="s">
        <v>30</v>
      </c>
    </row>
    <row r="3" spans="1:21" x14ac:dyDescent="0.3">
      <c r="A3" s="1">
        <v>1331</v>
      </c>
      <c r="B3" s="1">
        <v>6.3861999999999997</v>
      </c>
      <c r="C3" s="1">
        <v>103.19799999999999</v>
      </c>
      <c r="D3" s="1">
        <v>81.322199999999995</v>
      </c>
      <c r="E3" s="2">
        <v>-4634.5536744829742</v>
      </c>
      <c r="F3" s="1">
        <f t="shared" ref="F3:F66" si="0">E3^2</f>
        <v>21479087.761663638</v>
      </c>
      <c r="G3" s="1">
        <f t="shared" ref="G3:G66" si="1">LN(F3)</f>
        <v>16.882590357506803</v>
      </c>
      <c r="H3" s="1">
        <f t="shared" ref="H3:H66" si="2">LN(B3)</f>
        <v>1.854139412311415</v>
      </c>
      <c r="I3" s="1">
        <f t="shared" ref="I3:I66" si="3">LN(C3)</f>
        <v>4.6366494730147094</v>
      </c>
      <c r="J3" s="1">
        <f t="shared" ref="J3:J66" si="4">LN(D3)</f>
        <v>4.3984190420095501</v>
      </c>
    </row>
    <row r="4" spans="1:21" x14ac:dyDescent="0.3">
      <c r="A4" s="1">
        <v>1350</v>
      </c>
      <c r="B4" s="1">
        <v>6.4435000000000002</v>
      </c>
      <c r="C4" s="1">
        <v>103.63800000000001</v>
      </c>
      <c r="D4" s="1">
        <v>82.424400000000006</v>
      </c>
      <c r="E4" s="2">
        <v>-4674.7065606156357</v>
      </c>
      <c r="F4" s="1">
        <f t="shared" si="0"/>
        <v>21852881.427862868</v>
      </c>
      <c r="G4" s="1">
        <f t="shared" si="1"/>
        <v>16.899843343940113</v>
      </c>
      <c r="H4" s="1">
        <f t="shared" si="2"/>
        <v>1.8630718707463088</v>
      </c>
      <c r="I4" s="1">
        <f t="shared" si="3"/>
        <v>4.6409040579392027</v>
      </c>
      <c r="J4" s="1">
        <f t="shared" si="4"/>
        <v>4.4118815095864417</v>
      </c>
      <c r="P4" t="s">
        <v>5</v>
      </c>
    </row>
    <row r="5" spans="1:21" ht="15" thickBot="1" x14ac:dyDescent="0.35">
      <c r="A5" s="1">
        <v>1363</v>
      </c>
      <c r="B5" s="1">
        <v>6.4488000000000003</v>
      </c>
      <c r="C5" s="1">
        <v>102.97799999999999</v>
      </c>
      <c r="D5" s="1">
        <v>82.7</v>
      </c>
      <c r="E5" s="2">
        <v>-4658.9931428625932</v>
      </c>
      <c r="F5" s="1">
        <f t="shared" si="0"/>
        <v>21706217.105240665</v>
      </c>
      <c r="G5" s="1">
        <f t="shared" si="1"/>
        <v>16.893109280022323</v>
      </c>
      <c r="H5" s="1">
        <f t="shared" si="2"/>
        <v>1.8638940669872541</v>
      </c>
      <c r="I5" s="1">
        <f t="shared" si="3"/>
        <v>4.6345153731825564</v>
      </c>
      <c r="J5" s="1">
        <f t="shared" si="4"/>
        <v>4.4152196020296453</v>
      </c>
    </row>
    <row r="6" spans="1:21" x14ac:dyDescent="0.3">
      <c r="A6" s="1">
        <v>1787</v>
      </c>
      <c r="B6" s="1">
        <v>6.4318999999999997</v>
      </c>
      <c r="C6" s="1">
        <v>100.498</v>
      </c>
      <c r="D6" s="1">
        <v>81.999300000000005</v>
      </c>
      <c r="E6" s="2">
        <v>-4171.3315229809305</v>
      </c>
      <c r="F6" s="1">
        <f t="shared" si="0"/>
        <v>17400006.674614407</v>
      </c>
      <c r="G6" s="1">
        <f t="shared" si="1"/>
        <v>16.671981147783214</v>
      </c>
      <c r="H6" s="1">
        <f t="shared" si="2"/>
        <v>1.8612699844921237</v>
      </c>
      <c r="I6" s="1">
        <f t="shared" si="3"/>
        <v>4.6101378268036006</v>
      </c>
      <c r="J6" s="1">
        <f t="shared" si="4"/>
        <v>4.4067107106424501</v>
      </c>
      <c r="K6" t="s">
        <v>35</v>
      </c>
      <c r="L6">
        <f>Q11*Q8</f>
        <v>40.30293018043951</v>
      </c>
      <c r="P6" s="5" t="s">
        <v>6</v>
      </c>
      <c r="Q6" s="5"/>
    </row>
    <row r="7" spans="1:21" x14ac:dyDescent="0.3">
      <c r="A7" s="1">
        <v>1656</v>
      </c>
      <c r="B7" s="1">
        <v>6.2809999999999997</v>
      </c>
      <c r="C7" s="1">
        <v>99.548299999999998</v>
      </c>
      <c r="D7" s="1">
        <v>82.589799999999997</v>
      </c>
      <c r="E7" s="2">
        <v>-4218.4165371170566</v>
      </c>
      <c r="F7" s="1">
        <f t="shared" si="0"/>
        <v>17795038.080622658</v>
      </c>
      <c r="G7" s="1">
        <f t="shared" si="1"/>
        <v>16.694430216886076</v>
      </c>
      <c r="H7" s="1">
        <f t="shared" si="2"/>
        <v>1.8375292034722437</v>
      </c>
      <c r="I7" s="1">
        <f t="shared" si="3"/>
        <v>4.6006429535185882</v>
      </c>
      <c r="J7" s="1">
        <f t="shared" si="4"/>
        <v>4.4138861862190151</v>
      </c>
      <c r="K7" t="s">
        <v>41</v>
      </c>
      <c r="L7">
        <f>_xlfn.CHISQ.INV(0.95,2)</f>
        <v>5.9914645471079799</v>
      </c>
      <c r="P7" s="2" t="s">
        <v>7</v>
      </c>
      <c r="Q7" s="2">
        <v>0.55256242058223004</v>
      </c>
    </row>
    <row r="8" spans="1:21" x14ac:dyDescent="0.3">
      <c r="A8" s="1">
        <v>1398</v>
      </c>
      <c r="B8" s="1">
        <v>6.4044999999999996</v>
      </c>
      <c r="C8" s="1">
        <v>98.588399999999993</v>
      </c>
      <c r="D8" s="1">
        <v>83.487300000000005</v>
      </c>
      <c r="E8" s="2">
        <v>-4543.4124395838371</v>
      </c>
      <c r="F8" s="1">
        <f t="shared" si="0"/>
        <v>20642596.596165154</v>
      </c>
      <c r="G8" s="1">
        <f t="shared" si="1"/>
        <v>16.842867294742735</v>
      </c>
      <c r="H8" s="1">
        <f t="shared" si="2"/>
        <v>1.8570008682890538</v>
      </c>
      <c r="I8" s="1">
        <f t="shared" si="3"/>
        <v>4.5909536076288084</v>
      </c>
      <c r="J8" s="1">
        <f t="shared" si="4"/>
        <v>4.4246945244806861</v>
      </c>
      <c r="K8" s="21" t="s">
        <v>33</v>
      </c>
      <c r="L8" s="21"/>
      <c r="M8" s="21"/>
      <c r="N8" s="21"/>
      <c r="O8" s="21"/>
      <c r="P8" s="2" t="s">
        <v>8</v>
      </c>
      <c r="Q8" s="2">
        <v>0.30532522863969325</v>
      </c>
    </row>
    <row r="9" spans="1:21" x14ac:dyDescent="0.3">
      <c r="A9" s="1">
        <v>1369</v>
      </c>
      <c r="B9" s="1">
        <v>6.3985000000000003</v>
      </c>
      <c r="C9" s="1">
        <v>99.828299999999999</v>
      </c>
      <c r="D9" s="1">
        <v>83.747100000000003</v>
      </c>
      <c r="E9" s="2">
        <v>-4594.8290082407148</v>
      </c>
      <c r="F9" s="1">
        <f t="shared" si="0"/>
        <v>21112453.614970349</v>
      </c>
      <c r="G9" s="1">
        <f t="shared" si="1"/>
        <v>16.865373643054706</v>
      </c>
      <c r="H9" s="1">
        <f t="shared" si="2"/>
        <v>1.8560635878955136</v>
      </c>
      <c r="I9" s="1">
        <f t="shared" si="3"/>
        <v>4.6034517102541264</v>
      </c>
      <c r="J9" s="1">
        <f t="shared" si="4"/>
        <v>4.4278015432399807</v>
      </c>
      <c r="P9" s="2" t="s">
        <v>9</v>
      </c>
      <c r="Q9" s="2">
        <v>0.28904378868593605</v>
      </c>
    </row>
    <row r="10" spans="1:21" x14ac:dyDescent="0.3">
      <c r="A10" s="1">
        <v>1387</v>
      </c>
      <c r="B10" s="1">
        <v>6.3651</v>
      </c>
      <c r="C10" s="1">
        <v>100.438</v>
      </c>
      <c r="D10" s="1">
        <v>83.904600000000002</v>
      </c>
      <c r="E10" s="2">
        <v>-4572.336715379266</v>
      </c>
      <c r="F10" s="1">
        <f t="shared" si="0"/>
        <v>20906263.038805254</v>
      </c>
      <c r="G10" s="1">
        <f t="shared" si="1"/>
        <v>16.855559338972355</v>
      </c>
      <c r="H10" s="1">
        <f t="shared" si="2"/>
        <v>1.8508299428050434</v>
      </c>
      <c r="I10" s="1">
        <f t="shared" si="3"/>
        <v>4.6095406217056265</v>
      </c>
      <c r="J10" s="1">
        <f t="shared" si="4"/>
        <v>4.4296804391454145</v>
      </c>
      <c r="P10" s="2" t="s">
        <v>10</v>
      </c>
      <c r="Q10" s="2">
        <v>2.1185779538752216</v>
      </c>
    </row>
    <row r="11" spans="1:21" ht="15" thickBot="1" x14ac:dyDescent="0.35">
      <c r="A11" s="1">
        <v>1384</v>
      </c>
      <c r="B11" s="1">
        <v>6.3448000000000002</v>
      </c>
      <c r="C11" s="1">
        <v>100.858</v>
      </c>
      <c r="D11" s="1">
        <v>84.038399999999996</v>
      </c>
      <c r="E11" s="2">
        <v>-4574.1693424068035</v>
      </c>
      <c r="F11" s="1">
        <f t="shared" si="0"/>
        <v>20923025.173014291</v>
      </c>
      <c r="G11" s="1">
        <f t="shared" si="1"/>
        <v>16.856360793447095</v>
      </c>
      <c r="H11" s="1">
        <f t="shared" si="2"/>
        <v>1.8476355797869728</v>
      </c>
      <c r="I11" s="1">
        <f t="shared" si="3"/>
        <v>4.6137135869853854</v>
      </c>
      <c r="J11" s="1">
        <f t="shared" si="4"/>
        <v>4.431273837242494</v>
      </c>
      <c r="P11" s="3" t="s">
        <v>11</v>
      </c>
      <c r="Q11" s="3">
        <v>132</v>
      </c>
    </row>
    <row r="12" spans="1:21" x14ac:dyDescent="0.3">
      <c r="A12" s="1">
        <v>1375</v>
      </c>
      <c r="B12" s="1">
        <v>4.7619999999999996</v>
      </c>
      <c r="C12" s="1">
        <v>100.44799999999999</v>
      </c>
      <c r="D12" s="1">
        <v>83.967600000000004</v>
      </c>
      <c r="E12" s="2">
        <v>-3738.222910562572</v>
      </c>
      <c r="F12" s="1">
        <f t="shared" si="0"/>
        <v>13974310.529054908</v>
      </c>
      <c r="G12" s="1">
        <f t="shared" si="1"/>
        <v>16.452731239763683</v>
      </c>
      <c r="H12" s="1">
        <f t="shared" si="2"/>
        <v>1.5606677480646709</v>
      </c>
      <c r="I12" s="1">
        <f t="shared" si="3"/>
        <v>4.6096401806595431</v>
      </c>
      <c r="J12" s="1">
        <f t="shared" si="4"/>
        <v>4.4304310101507101</v>
      </c>
      <c r="K12" t="s">
        <v>54</v>
      </c>
    </row>
    <row r="13" spans="1:21" ht="15" thickBot="1" x14ac:dyDescent="0.35">
      <c r="A13" s="1">
        <v>1752</v>
      </c>
      <c r="B13" s="1">
        <v>4.3247</v>
      </c>
      <c r="C13" s="1">
        <v>100.158</v>
      </c>
      <c r="D13" s="1">
        <v>83.762900000000002</v>
      </c>
      <c r="E13" s="2">
        <v>-3121.2312900961333</v>
      </c>
      <c r="F13" s="1">
        <f t="shared" si="0"/>
        <v>9742084.7662751731</v>
      </c>
      <c r="G13" s="1">
        <f t="shared" si="1"/>
        <v>16.091965694427088</v>
      </c>
      <c r="H13" s="1">
        <f t="shared" si="2"/>
        <v>1.4643427738161883</v>
      </c>
      <c r="I13" s="1">
        <f t="shared" si="3"/>
        <v>4.6067489391013057</v>
      </c>
      <c r="J13" s="1">
        <f t="shared" si="4"/>
        <v>4.427990188694543</v>
      </c>
      <c r="P13" t="s">
        <v>12</v>
      </c>
    </row>
    <row r="14" spans="1:21" x14ac:dyDescent="0.3">
      <c r="A14" s="1">
        <v>2667</v>
      </c>
      <c r="B14" s="1">
        <v>3.8426999999999998</v>
      </c>
      <c r="C14" s="1">
        <v>98.688400000000001</v>
      </c>
      <c r="D14" s="1">
        <v>83.896699999999996</v>
      </c>
      <c r="E14" s="2">
        <v>-1929.7333040683152</v>
      </c>
      <c r="F14" s="1">
        <f t="shared" si="0"/>
        <v>3723870.6248304164</v>
      </c>
      <c r="G14" s="1">
        <f t="shared" si="1"/>
        <v>15.130274175860045</v>
      </c>
      <c r="H14" s="1">
        <f t="shared" si="2"/>
        <v>1.346175244523063</v>
      </c>
      <c r="I14" s="1">
        <f t="shared" si="3"/>
        <v>4.5919674116702867</v>
      </c>
      <c r="J14" s="1">
        <f t="shared" si="4"/>
        <v>4.429586280160879</v>
      </c>
      <c r="P14" s="4"/>
      <c r="Q14" s="4" t="s">
        <v>17</v>
      </c>
      <c r="R14" s="4" t="s">
        <v>18</v>
      </c>
      <c r="S14" s="4" t="s">
        <v>19</v>
      </c>
      <c r="T14" s="4" t="s">
        <v>20</v>
      </c>
      <c r="U14" s="4" t="s">
        <v>21</v>
      </c>
    </row>
    <row r="15" spans="1:21" x14ac:dyDescent="0.3">
      <c r="A15" s="1">
        <v>2711</v>
      </c>
      <c r="B15" s="1">
        <v>3.1943000000000001</v>
      </c>
      <c r="C15" s="1">
        <v>99.068299999999994</v>
      </c>
      <c r="D15" s="1">
        <v>84.290400000000005</v>
      </c>
      <c r="E15" s="2">
        <v>-1556.9342428417285</v>
      </c>
      <c r="F15" s="1">
        <f t="shared" si="0"/>
        <v>2424044.2365331464</v>
      </c>
      <c r="G15" s="1">
        <f t="shared" si="1"/>
        <v>14.700947875399686</v>
      </c>
      <c r="H15" s="1">
        <f t="shared" si="2"/>
        <v>1.1613679714934988</v>
      </c>
      <c r="I15" s="1">
        <f t="shared" si="3"/>
        <v>4.5958095112535791</v>
      </c>
      <c r="J15" s="1">
        <f t="shared" si="4"/>
        <v>4.4342679795195448</v>
      </c>
      <c r="P15" s="2" t="s">
        <v>13</v>
      </c>
      <c r="Q15" s="2">
        <v>3</v>
      </c>
      <c r="R15" s="2">
        <v>252.51084263746679</v>
      </c>
      <c r="S15" s="2">
        <v>84.170280879155598</v>
      </c>
      <c r="T15" s="2">
        <v>18.752962238406607</v>
      </c>
      <c r="U15" s="2">
        <v>3.8184576492349234E-10</v>
      </c>
    </row>
    <row r="16" spans="1:21" x14ac:dyDescent="0.3">
      <c r="A16" s="1">
        <v>2745</v>
      </c>
      <c r="B16" s="1">
        <v>2.0914999999999999</v>
      </c>
      <c r="C16" s="1">
        <v>99.068299999999994</v>
      </c>
      <c r="D16" s="1">
        <v>84.313999999999993</v>
      </c>
      <c r="E16" s="2">
        <v>-940.37774005554638</v>
      </c>
      <c r="F16" s="1">
        <f t="shared" si="0"/>
        <v>884310.29399197677</v>
      </c>
      <c r="G16" s="1">
        <f t="shared" si="1"/>
        <v>13.692563291332867</v>
      </c>
      <c r="H16" s="1">
        <f t="shared" si="2"/>
        <v>0.73788151190011597</v>
      </c>
      <c r="I16" s="1">
        <f t="shared" si="3"/>
        <v>4.5958095112535791</v>
      </c>
      <c r="J16" s="1">
        <f t="shared" si="4"/>
        <v>4.4345479247659814</v>
      </c>
      <c r="P16" s="2" t="s">
        <v>14</v>
      </c>
      <c r="Q16" s="2">
        <v>128</v>
      </c>
      <c r="R16" s="2">
        <v>574.51168597070341</v>
      </c>
      <c r="S16" s="2">
        <v>4.4883725466461204</v>
      </c>
      <c r="T16" s="2"/>
      <c r="U16" s="2"/>
    </row>
    <row r="17" spans="1:24" ht="15" thickBot="1" x14ac:dyDescent="0.35">
      <c r="A17" s="1">
        <v>2477</v>
      </c>
      <c r="B17" s="1">
        <v>1.6389</v>
      </c>
      <c r="C17" s="1">
        <v>99.298299999999998</v>
      </c>
      <c r="D17" s="1">
        <v>84.597399999999993</v>
      </c>
      <c r="E17" s="2">
        <v>-978.45396870529112</v>
      </c>
      <c r="F17" s="1">
        <f t="shared" si="0"/>
        <v>957372.16887513478</v>
      </c>
      <c r="G17" s="1">
        <f t="shared" si="1"/>
        <v>13.771947486033097</v>
      </c>
      <c r="H17" s="1">
        <f t="shared" si="2"/>
        <v>0.49402528508764459</v>
      </c>
      <c r="I17" s="1">
        <f t="shared" si="3"/>
        <v>4.5981284510657083</v>
      </c>
      <c r="J17" s="1">
        <f t="shared" si="4"/>
        <v>4.4379035332793935</v>
      </c>
      <c r="P17" s="3" t="s">
        <v>15</v>
      </c>
      <c r="Q17" s="3">
        <v>131</v>
      </c>
      <c r="R17" s="3">
        <v>827.02252860817021</v>
      </c>
      <c r="S17" s="3"/>
      <c r="T17" s="3"/>
      <c r="U17" s="3"/>
    </row>
    <row r="18" spans="1:24" ht="15" thickBot="1" x14ac:dyDescent="0.35">
      <c r="A18" s="1">
        <v>2470</v>
      </c>
      <c r="B18" s="1">
        <v>1.7989999999999999</v>
      </c>
      <c r="C18" s="1">
        <v>96.888400000000004</v>
      </c>
      <c r="D18" s="1">
        <v>84.353300000000004</v>
      </c>
      <c r="E18" s="2">
        <v>-1025.4680497870495</v>
      </c>
      <c r="F18" s="1">
        <f t="shared" si="0"/>
        <v>1051584.7211340547</v>
      </c>
      <c r="G18" s="1">
        <f t="shared" si="1"/>
        <v>13.865808842571088</v>
      </c>
      <c r="H18" s="1">
        <f t="shared" si="2"/>
        <v>0.58723095496839606</v>
      </c>
      <c r="I18" s="1">
        <f t="shared" si="3"/>
        <v>4.5735598006884706</v>
      </c>
      <c r="J18" s="1">
        <f t="shared" si="4"/>
        <v>4.4350139309297276</v>
      </c>
    </row>
    <row r="19" spans="1:24" x14ac:dyDescent="0.3">
      <c r="A19" s="1">
        <v>2766</v>
      </c>
      <c r="B19" s="1">
        <v>1.6557999999999999</v>
      </c>
      <c r="C19" s="1">
        <v>96.338399999999993</v>
      </c>
      <c r="D19" s="1">
        <v>84.180099999999996</v>
      </c>
      <c r="E19" s="2">
        <v>-641.27662924534025</v>
      </c>
      <c r="F19" s="1">
        <f t="shared" si="0"/>
        <v>411235.71521626558</v>
      </c>
      <c r="G19" s="1">
        <f t="shared" si="1"/>
        <v>12.926921845422006</v>
      </c>
      <c r="H19" s="1">
        <f t="shared" si="2"/>
        <v>0.5042842757225684</v>
      </c>
      <c r="I19" s="1">
        <f t="shared" si="3"/>
        <v>4.5678669932169553</v>
      </c>
      <c r="J19" s="1">
        <f t="shared" si="4"/>
        <v>4.4329585512723435</v>
      </c>
      <c r="P19" s="4"/>
      <c r="Q19" s="4" t="s">
        <v>22</v>
      </c>
      <c r="R19" s="4" t="s">
        <v>10</v>
      </c>
      <c r="S19" s="4" t="s">
        <v>23</v>
      </c>
      <c r="T19" s="4" t="s">
        <v>24</v>
      </c>
      <c r="U19" s="4" t="s">
        <v>25</v>
      </c>
      <c r="V19" s="4" t="s">
        <v>26</v>
      </c>
      <c r="W19" s="4" t="s">
        <v>27</v>
      </c>
      <c r="X19" s="4" t="s">
        <v>28</v>
      </c>
    </row>
    <row r="20" spans="1:24" x14ac:dyDescent="0.3">
      <c r="A20" s="1">
        <v>2780</v>
      </c>
      <c r="B20" s="1">
        <v>1.2116</v>
      </c>
      <c r="C20" s="1">
        <v>96.998400000000004</v>
      </c>
      <c r="D20" s="1">
        <v>84.660399999999996</v>
      </c>
      <c r="E20" s="2">
        <v>-412.75941297086547</v>
      </c>
      <c r="F20" s="1">
        <f t="shared" si="0"/>
        <v>170370.33299605348</v>
      </c>
      <c r="G20" s="1">
        <f t="shared" si="1"/>
        <v>12.045729776083979</v>
      </c>
      <c r="H20" s="1">
        <f t="shared" si="2"/>
        <v>0.1919418001709452</v>
      </c>
      <c r="I20" s="1">
        <f t="shared" si="3"/>
        <v>4.5746944835219807</v>
      </c>
      <c r="J20" s="1">
        <f t="shared" si="4"/>
        <v>4.4386479598630943</v>
      </c>
      <c r="P20" s="2" t="s">
        <v>16</v>
      </c>
      <c r="Q20" s="2">
        <v>106.9545474466717</v>
      </c>
      <c r="R20" s="2">
        <v>26.000973693821592</v>
      </c>
      <c r="S20" s="2">
        <v>4.1134823913185397</v>
      </c>
      <c r="T20" s="2">
        <v>6.9267911516521767E-5</v>
      </c>
      <c r="U20" s="2">
        <v>55.507178731306539</v>
      </c>
      <c r="V20" s="2">
        <v>158.40191616203685</v>
      </c>
      <c r="W20" s="2">
        <v>55.507178731306539</v>
      </c>
      <c r="X20" s="2">
        <v>158.40191616203685</v>
      </c>
    </row>
    <row r="21" spans="1:24" x14ac:dyDescent="0.3">
      <c r="A21" s="1">
        <v>2778</v>
      </c>
      <c r="B21" s="1">
        <v>1.2146999999999999</v>
      </c>
      <c r="C21" s="1">
        <v>98.068399999999997</v>
      </c>
      <c r="D21" s="1">
        <v>85.219399999999993</v>
      </c>
      <c r="E21" s="2">
        <v>-445.0371139857707</v>
      </c>
      <c r="F21" s="1">
        <f t="shared" si="0"/>
        <v>198058.03282478388</v>
      </c>
      <c r="G21" s="1">
        <f t="shared" si="1"/>
        <v>12.196315361807368</v>
      </c>
      <c r="H21" s="1">
        <f t="shared" si="2"/>
        <v>0.194497132724088</v>
      </c>
      <c r="I21" s="1">
        <f t="shared" si="3"/>
        <v>4.5856651943940117</v>
      </c>
      <c r="J21" s="1">
        <f t="shared" si="4"/>
        <v>4.4452291074461829</v>
      </c>
      <c r="P21" s="2" t="s">
        <v>38</v>
      </c>
      <c r="Q21" s="2">
        <v>2.6233806643149804</v>
      </c>
      <c r="R21" s="2">
        <v>0.40536408742785712</v>
      </c>
      <c r="S21" s="2">
        <v>6.471665215734892</v>
      </c>
      <c r="T21" s="2">
        <v>1.8784519806922294E-9</v>
      </c>
      <c r="U21" s="2">
        <v>1.821298560950364</v>
      </c>
      <c r="V21" s="2">
        <v>3.4254627676795968</v>
      </c>
      <c r="W21" s="2">
        <v>1.821298560950364</v>
      </c>
      <c r="X21" s="2">
        <v>3.4254627676795968</v>
      </c>
    </row>
    <row r="22" spans="1:24" x14ac:dyDescent="0.3">
      <c r="A22" s="1">
        <v>2830</v>
      </c>
      <c r="B22" s="1">
        <v>1.2146999999999999</v>
      </c>
      <c r="C22" s="1">
        <v>97.758399999999995</v>
      </c>
      <c r="D22" s="1">
        <v>85.731200000000001</v>
      </c>
      <c r="E22" s="2">
        <v>-397.93434868185705</v>
      </c>
      <c r="F22" s="1">
        <f t="shared" si="0"/>
        <v>158351.74586085379</v>
      </c>
      <c r="G22" s="1">
        <f t="shared" si="1"/>
        <v>11.972574077235048</v>
      </c>
      <c r="H22" s="1">
        <f t="shared" si="2"/>
        <v>0.194497132724088</v>
      </c>
      <c r="I22" s="1">
        <f t="shared" si="3"/>
        <v>4.582499128677239</v>
      </c>
      <c r="J22" s="1">
        <f t="shared" si="4"/>
        <v>4.451216820026505</v>
      </c>
      <c r="P22" s="2" t="s">
        <v>39</v>
      </c>
      <c r="Q22" s="2">
        <v>-16.446829229679306</v>
      </c>
      <c r="R22" s="2">
        <v>5.9354959141442327</v>
      </c>
      <c r="S22" s="2">
        <v>-2.7709275631858596</v>
      </c>
      <c r="T22" s="2">
        <v>6.4229450651489637E-3</v>
      </c>
      <c r="U22" s="2">
        <v>-28.191221974328073</v>
      </c>
      <c r="V22" s="2">
        <v>-4.7024364850305407</v>
      </c>
      <c r="W22" s="2">
        <v>-28.191221974328073</v>
      </c>
      <c r="X22" s="2">
        <v>-4.7024364850305407</v>
      </c>
    </row>
    <row r="23" spans="1:24" ht="15" thickBot="1" x14ac:dyDescent="0.35">
      <c r="A23" s="1">
        <v>2869</v>
      </c>
      <c r="B23" s="1">
        <v>1.2146999999999999</v>
      </c>
      <c r="C23" s="1">
        <v>97.148399999999995</v>
      </c>
      <c r="D23" s="1">
        <v>86.990899999999996</v>
      </c>
      <c r="E23" s="2">
        <v>-373.51783028859245</v>
      </c>
      <c r="F23" s="1">
        <f t="shared" si="0"/>
        <v>139515.56954349775</v>
      </c>
      <c r="G23" s="1">
        <f t="shared" si="1"/>
        <v>11.845931483646474</v>
      </c>
      <c r="H23" s="1">
        <f t="shared" si="2"/>
        <v>0.194497132724088</v>
      </c>
      <c r="I23" s="1">
        <f t="shared" si="3"/>
        <v>4.5762397063105755</v>
      </c>
      <c r="J23" s="1">
        <f t="shared" si="4"/>
        <v>4.4658035154827136</v>
      </c>
      <c r="P23" s="3" t="s">
        <v>40</v>
      </c>
      <c r="Q23" s="3">
        <v>-4.5317942747025155</v>
      </c>
      <c r="R23" s="3">
        <v>0.8617261727745622</v>
      </c>
      <c r="S23" s="3">
        <v>-5.2589725342926155</v>
      </c>
      <c r="T23" s="3">
        <v>5.9027501879594595E-7</v>
      </c>
      <c r="U23" s="3">
        <v>-6.2368667333138639</v>
      </c>
      <c r="V23" s="3">
        <v>-2.8267218160911676</v>
      </c>
      <c r="W23" s="3">
        <v>-6.2368667333138639</v>
      </c>
      <c r="X23" s="3">
        <v>-2.8267218160911676</v>
      </c>
    </row>
    <row r="24" spans="1:24" x14ac:dyDescent="0.3">
      <c r="A24" s="1">
        <v>2482</v>
      </c>
      <c r="B24" s="1">
        <v>1.6580999999999999</v>
      </c>
      <c r="C24" s="1">
        <v>97.728399999999993</v>
      </c>
      <c r="D24" s="1">
        <v>87.510499999999993</v>
      </c>
      <c r="E24" s="2">
        <v>-1014.6961248990501</v>
      </c>
      <c r="F24" s="1">
        <f t="shared" si="0"/>
        <v>1029608.2258851487</v>
      </c>
      <c r="G24" s="1">
        <f t="shared" si="1"/>
        <v>13.844688924631079</v>
      </c>
      <c r="H24" s="1">
        <f t="shared" si="2"/>
        <v>0.50567236852518982</v>
      </c>
      <c r="I24" s="1">
        <f t="shared" si="3"/>
        <v>4.582192202580587</v>
      </c>
      <c r="J24" s="1">
        <f t="shared" si="4"/>
        <v>4.4717587861641448</v>
      </c>
    </row>
    <row r="25" spans="1:24" x14ac:dyDescent="0.3">
      <c r="A25" s="1">
        <v>2540</v>
      </c>
      <c r="B25" s="1">
        <v>1.6445000000000001</v>
      </c>
      <c r="C25" s="1">
        <v>97.358400000000003</v>
      </c>
      <c r="D25" s="1">
        <v>88.297799999999995</v>
      </c>
      <c r="E25" s="2">
        <v>-958.8066370033448</v>
      </c>
      <c r="F25" s="1">
        <f t="shared" si="0"/>
        <v>919310.16716166376</v>
      </c>
      <c r="G25" s="1">
        <f t="shared" si="1"/>
        <v>13.731378849468339</v>
      </c>
      <c r="H25" s="1">
        <f t="shared" si="2"/>
        <v>0.49743638664697465</v>
      </c>
      <c r="I25" s="1">
        <f t="shared" si="3"/>
        <v>4.578399014690496</v>
      </c>
      <c r="J25" s="1">
        <f t="shared" si="4"/>
        <v>4.4807151922372412</v>
      </c>
    </row>
    <row r="26" spans="1:24" x14ac:dyDescent="0.3">
      <c r="A26" s="1">
        <v>4473</v>
      </c>
      <c r="B26" s="1">
        <v>1.6445000000000001</v>
      </c>
      <c r="C26" s="1">
        <v>95.638400000000004</v>
      </c>
      <c r="D26" s="1">
        <v>88.219099999999997</v>
      </c>
      <c r="E26" s="2">
        <v>1004.1734689733944</v>
      </c>
      <c r="F26" s="1">
        <f t="shared" si="0"/>
        <v>1008364.3557900607</v>
      </c>
      <c r="G26" s="1">
        <f t="shared" si="1"/>
        <v>13.82384012637849</v>
      </c>
      <c r="H26" s="1">
        <f t="shared" si="2"/>
        <v>0.49743638664697465</v>
      </c>
      <c r="I26" s="1">
        <f t="shared" si="3"/>
        <v>4.5605744130482622</v>
      </c>
      <c r="J26" s="1">
        <f t="shared" si="4"/>
        <v>4.4798234928564487</v>
      </c>
    </row>
    <row r="27" spans="1:24" x14ac:dyDescent="0.3">
      <c r="A27" s="1">
        <v>4474</v>
      </c>
      <c r="B27" s="1">
        <v>1.675</v>
      </c>
      <c r="C27" s="1">
        <v>95.258399999999995</v>
      </c>
      <c r="D27" s="1">
        <v>87.919899999999998</v>
      </c>
      <c r="E27" s="2">
        <v>1001.1913944757603</v>
      </c>
      <c r="F27" s="1">
        <f t="shared" si="0"/>
        <v>1002384.2083723174</v>
      </c>
      <c r="G27" s="1">
        <f t="shared" si="1"/>
        <v>13.817891928621385</v>
      </c>
      <c r="H27" s="1">
        <f t="shared" si="2"/>
        <v>0.51581316527702981</v>
      </c>
      <c r="I27" s="1">
        <f t="shared" si="3"/>
        <v>4.5565931990947695</v>
      </c>
      <c r="J27" s="1">
        <f t="shared" si="4"/>
        <v>4.4764261726970851</v>
      </c>
    </row>
    <row r="28" spans="1:24" x14ac:dyDescent="0.3">
      <c r="A28" s="1">
        <v>4854</v>
      </c>
      <c r="B28" s="1">
        <v>1.7356</v>
      </c>
      <c r="C28" s="1">
        <v>96.788399999999996</v>
      </c>
      <c r="D28" s="1">
        <v>88.817400000000006</v>
      </c>
      <c r="E28" s="2">
        <v>1306.2803252084195</v>
      </c>
      <c r="F28" s="1">
        <f t="shared" si="0"/>
        <v>1706368.2880266143</v>
      </c>
      <c r="G28" s="1">
        <f t="shared" si="1"/>
        <v>14.349877861828414</v>
      </c>
      <c r="H28" s="1">
        <f t="shared" si="2"/>
        <v>0.5513531749420586</v>
      </c>
      <c r="I28" s="1">
        <f t="shared" si="3"/>
        <v>4.5725271523910349</v>
      </c>
      <c r="J28" s="1">
        <f t="shared" si="4"/>
        <v>4.4865825767491705</v>
      </c>
    </row>
    <row r="29" spans="1:24" x14ac:dyDescent="0.3">
      <c r="A29" s="1">
        <v>4888</v>
      </c>
      <c r="B29" s="1">
        <v>1.8418000000000001</v>
      </c>
      <c r="C29" s="1">
        <v>97.808400000000006</v>
      </c>
      <c r="D29" s="1">
        <v>89.6678</v>
      </c>
      <c r="E29" s="2">
        <v>1250.6166894901535</v>
      </c>
      <c r="F29" s="1">
        <f t="shared" si="0"/>
        <v>1564042.1040313109</v>
      </c>
      <c r="G29" s="1">
        <f t="shared" si="1"/>
        <v>14.26278412046117</v>
      </c>
      <c r="H29" s="1">
        <f t="shared" si="2"/>
        <v>0.6107433543051296</v>
      </c>
      <c r="I29" s="1">
        <f t="shared" si="3"/>
        <v>4.5830104629230259</v>
      </c>
      <c r="J29" s="1">
        <f t="shared" si="4"/>
        <v>4.4961117302590576</v>
      </c>
    </row>
    <row r="30" spans="1:24" x14ac:dyDescent="0.3">
      <c r="A30" s="1">
        <v>4501</v>
      </c>
      <c r="B30" s="1">
        <v>2.0756000000000001</v>
      </c>
      <c r="C30" s="1">
        <v>99.028300000000002</v>
      </c>
      <c r="D30" s="1">
        <v>90.289699999999996</v>
      </c>
      <c r="E30" s="2">
        <v>707.66424171784638</v>
      </c>
      <c r="F30" s="1">
        <f t="shared" si="0"/>
        <v>500788.67900609452</v>
      </c>
      <c r="G30" s="1">
        <f t="shared" si="1"/>
        <v>13.123939492694008</v>
      </c>
      <c r="H30" s="1">
        <f t="shared" si="2"/>
        <v>0.73025026851144759</v>
      </c>
      <c r="I30" s="1">
        <f t="shared" si="3"/>
        <v>4.5954056678706676</v>
      </c>
      <c r="J30" s="1">
        <f t="shared" si="4"/>
        <v>4.5030233896867777</v>
      </c>
    </row>
    <row r="31" spans="1:24" x14ac:dyDescent="0.3">
      <c r="A31" s="1">
        <v>4515</v>
      </c>
      <c r="B31" s="1">
        <v>2.0756000000000001</v>
      </c>
      <c r="C31" s="1">
        <v>98.868399999999994</v>
      </c>
      <c r="D31" s="1">
        <v>91.297499999999999</v>
      </c>
      <c r="E31" s="2">
        <v>704.57179087689929</v>
      </c>
      <c r="F31" s="1">
        <f t="shared" si="0"/>
        <v>496421.4084994811</v>
      </c>
      <c r="G31" s="1">
        <f t="shared" si="1"/>
        <v>13.11518045889971</v>
      </c>
      <c r="H31" s="1">
        <f t="shared" si="2"/>
        <v>0.73025026851144759</v>
      </c>
      <c r="I31" s="1">
        <f t="shared" si="3"/>
        <v>4.5937896729117069</v>
      </c>
      <c r="J31" s="1">
        <f t="shared" si="4"/>
        <v>4.5141234049697241</v>
      </c>
    </row>
    <row r="32" spans="1:24" x14ac:dyDescent="0.3">
      <c r="A32" s="1">
        <v>4565</v>
      </c>
      <c r="B32" s="1">
        <v>2.5529000000000002</v>
      </c>
      <c r="C32" s="1">
        <v>98.398399999999995</v>
      </c>
      <c r="D32" s="1">
        <v>92.557199999999995</v>
      </c>
      <c r="E32" s="2">
        <v>485.33872045539374</v>
      </c>
      <c r="F32" s="1">
        <f t="shared" si="0"/>
        <v>235553.67357327882</v>
      </c>
      <c r="G32" s="1">
        <f t="shared" si="1"/>
        <v>12.369694079732659</v>
      </c>
      <c r="H32" s="1">
        <f t="shared" si="2"/>
        <v>0.93722996788781088</v>
      </c>
      <c r="I32" s="1">
        <f t="shared" si="3"/>
        <v>4.5890245437634078</v>
      </c>
      <c r="J32" s="1">
        <f t="shared" si="4"/>
        <v>4.5278268317796329</v>
      </c>
    </row>
    <row r="33" spans="1:10" x14ac:dyDescent="0.3">
      <c r="A33" s="1">
        <v>4564</v>
      </c>
      <c r="B33" s="1">
        <v>2.6164000000000001</v>
      </c>
      <c r="C33" s="1">
        <v>98.628399999999999</v>
      </c>
      <c r="D33" s="1">
        <v>93.092600000000004</v>
      </c>
      <c r="E33" s="2">
        <v>436.48020268838081</v>
      </c>
      <c r="F33" s="1">
        <f t="shared" si="0"/>
        <v>190514.96733889001</v>
      </c>
      <c r="G33" s="1">
        <f t="shared" si="1"/>
        <v>12.157486039170617</v>
      </c>
      <c r="H33" s="1">
        <f t="shared" si="2"/>
        <v>0.96179932710492066</v>
      </c>
      <c r="I33" s="1">
        <f t="shared" si="3"/>
        <v>4.5913592525895668</v>
      </c>
      <c r="J33" s="1">
        <f t="shared" si="4"/>
        <v>4.5335946966986178</v>
      </c>
    </row>
    <row r="34" spans="1:10" x14ac:dyDescent="0.3">
      <c r="A34" s="1">
        <v>4570</v>
      </c>
      <c r="B34" s="1">
        <v>3.0005000000000002</v>
      </c>
      <c r="C34" s="1">
        <v>98.078400000000002</v>
      </c>
      <c r="D34" s="1">
        <v>93.446899999999999</v>
      </c>
      <c r="E34" s="2">
        <v>241.57295522030654</v>
      </c>
      <c r="F34" s="1">
        <f t="shared" si="0"/>
        <v>58357.492693872227</v>
      </c>
      <c r="G34" s="1">
        <f t="shared" si="1"/>
        <v>10.974343038963148</v>
      </c>
      <c r="H34" s="1">
        <f t="shared" si="2"/>
        <v>1.0987789414474305</v>
      </c>
      <c r="I34" s="1">
        <f t="shared" si="3"/>
        <v>4.5857671588411364</v>
      </c>
      <c r="J34" s="1">
        <f t="shared" si="4"/>
        <v>4.5373933605316523</v>
      </c>
    </row>
    <row r="35" spans="1:10" x14ac:dyDescent="0.3">
      <c r="A35" s="1">
        <v>4908</v>
      </c>
      <c r="B35" s="1">
        <v>3.1888999999999998</v>
      </c>
      <c r="C35" s="1">
        <v>97.118399999999994</v>
      </c>
      <c r="D35" s="1">
        <v>94.557000000000002</v>
      </c>
      <c r="E35" s="2">
        <v>474.10448383438779</v>
      </c>
      <c r="F35" s="1">
        <f t="shared" si="0"/>
        <v>224775.06159187129</v>
      </c>
      <c r="G35" s="1">
        <f t="shared" si="1"/>
        <v>12.322855454868602</v>
      </c>
      <c r="H35" s="1">
        <f t="shared" si="2"/>
        <v>1.1596760297438433</v>
      </c>
      <c r="I35" s="1">
        <f t="shared" si="3"/>
        <v>4.5759308527109024</v>
      </c>
      <c r="J35" s="1">
        <f t="shared" si="4"/>
        <v>4.5492028272661864</v>
      </c>
    </row>
    <row r="36" spans="1:10" x14ac:dyDescent="0.3">
      <c r="A36" s="1">
        <v>4890</v>
      </c>
      <c r="B36" s="1">
        <v>3.7321</v>
      </c>
      <c r="C36" s="1">
        <v>95.398399999999995</v>
      </c>
      <c r="D36" s="1">
        <v>95.611999999999995</v>
      </c>
      <c r="E36" s="2">
        <v>176.70851676453003</v>
      </c>
      <c r="F36" s="1">
        <f t="shared" si="0"/>
        <v>31225.899897120191</v>
      </c>
      <c r="G36" s="1">
        <f t="shared" si="1"/>
        <v>10.349003154342155</v>
      </c>
      <c r="H36" s="1">
        <f t="shared" si="2"/>
        <v>1.3169710779101402</v>
      </c>
      <c r="I36" s="1">
        <f t="shared" si="3"/>
        <v>4.558061806825128</v>
      </c>
      <c r="J36" s="1">
        <f t="shared" si="4"/>
        <v>4.5602983351925541</v>
      </c>
    </row>
    <row r="37" spans="1:10" x14ac:dyDescent="0.3">
      <c r="A37" s="1">
        <v>4598</v>
      </c>
      <c r="B37" s="1">
        <v>3.7321</v>
      </c>
      <c r="C37" s="1">
        <v>94.008399999999995</v>
      </c>
      <c r="D37" s="1">
        <v>94.801100000000005</v>
      </c>
      <c r="E37" s="2">
        <v>-76.428618688955794</v>
      </c>
      <c r="F37" s="1">
        <f t="shared" si="0"/>
        <v>5841.3337547018027</v>
      </c>
      <c r="G37" s="1">
        <f t="shared" si="1"/>
        <v>8.6727144324013423</v>
      </c>
      <c r="H37" s="1">
        <f t="shared" si="2"/>
        <v>1.3169710779101402</v>
      </c>
      <c r="I37" s="1">
        <f t="shared" si="3"/>
        <v>4.5433841399796124</v>
      </c>
      <c r="J37" s="1">
        <f t="shared" si="4"/>
        <v>4.5517810125691849</v>
      </c>
    </row>
    <row r="38" spans="1:10" x14ac:dyDescent="0.3">
      <c r="A38" s="1">
        <v>6869</v>
      </c>
      <c r="B38" s="1">
        <v>4.1611000000000002</v>
      </c>
      <c r="C38" s="1">
        <v>95.048400000000001</v>
      </c>
      <c r="D38" s="1">
        <v>95.722200000000001</v>
      </c>
      <c r="E38" s="2">
        <v>1932.5374206166489</v>
      </c>
      <c r="F38" s="1">
        <f t="shared" si="0"/>
        <v>3734700.8820836507</v>
      </c>
      <c r="G38" s="1">
        <f t="shared" si="1"/>
        <v>15.133178288223904</v>
      </c>
      <c r="H38" s="1">
        <f t="shared" si="2"/>
        <v>1.4257794623964748</v>
      </c>
      <c r="I38" s="1">
        <f t="shared" si="3"/>
        <v>4.5543862355470974</v>
      </c>
      <c r="J38" s="1">
        <f t="shared" si="4"/>
        <v>4.5614502464785165</v>
      </c>
    </row>
    <row r="39" spans="1:10" x14ac:dyDescent="0.3">
      <c r="A39" s="1">
        <v>6950</v>
      </c>
      <c r="B39" s="1">
        <v>4.7948000000000004</v>
      </c>
      <c r="C39" s="1">
        <v>96.858400000000003</v>
      </c>
      <c r="D39" s="1">
        <v>96.667000000000002</v>
      </c>
      <c r="E39" s="2">
        <v>1630.0889616626564</v>
      </c>
      <c r="F39" s="1">
        <f t="shared" si="0"/>
        <v>2657190.0229344373</v>
      </c>
      <c r="G39" s="1">
        <f t="shared" si="1"/>
        <v>14.7927797400373</v>
      </c>
      <c r="H39" s="1">
        <f t="shared" si="2"/>
        <v>1.5675319973508077</v>
      </c>
      <c r="I39" s="1">
        <f t="shared" si="3"/>
        <v>4.5732501181518836</v>
      </c>
      <c r="J39" s="1">
        <f t="shared" si="4"/>
        <v>4.5712720825823272</v>
      </c>
    </row>
    <row r="40" spans="1:10" x14ac:dyDescent="0.3">
      <c r="A40" s="1">
        <v>6220</v>
      </c>
      <c r="B40" s="1">
        <v>5.5069999999999997</v>
      </c>
      <c r="C40" s="1">
        <v>97.278400000000005</v>
      </c>
      <c r="D40" s="1">
        <v>97.918899999999994</v>
      </c>
      <c r="E40" s="2">
        <v>492.10829359181389</v>
      </c>
      <c r="F40" s="1">
        <f t="shared" si="0"/>
        <v>242170.57262184689</v>
      </c>
      <c r="G40" s="1">
        <f t="shared" si="1"/>
        <v>12.397397602396687</v>
      </c>
      <c r="H40" s="1">
        <f t="shared" si="2"/>
        <v>1.7060200102803444</v>
      </c>
      <c r="I40" s="1">
        <f t="shared" si="3"/>
        <v>4.5775769707141762</v>
      </c>
      <c r="J40" s="1">
        <f t="shared" si="4"/>
        <v>4.5841395850407869</v>
      </c>
    </row>
    <row r="41" spans="1:10" x14ac:dyDescent="0.3">
      <c r="A41" s="1">
        <v>6298</v>
      </c>
      <c r="B41" s="1">
        <v>7.0762</v>
      </c>
      <c r="C41" s="1">
        <v>99.548299999999998</v>
      </c>
      <c r="D41" s="1">
        <v>99.619500000000002</v>
      </c>
      <c r="E41" s="2">
        <v>-330.31745747948844</v>
      </c>
      <c r="F41" s="1">
        <f t="shared" si="0"/>
        <v>109109.62271571366</v>
      </c>
      <c r="G41" s="1">
        <f t="shared" si="1"/>
        <v>11.600108368808996</v>
      </c>
      <c r="H41" s="1">
        <f t="shared" si="2"/>
        <v>1.9567370404543503</v>
      </c>
      <c r="I41" s="1">
        <f t="shared" si="3"/>
        <v>4.6006429535185882</v>
      </c>
      <c r="J41" s="1">
        <f t="shared" si="4"/>
        <v>4.6013579285600663</v>
      </c>
    </row>
    <row r="42" spans="1:10" x14ac:dyDescent="0.3">
      <c r="A42" s="1">
        <v>6286</v>
      </c>
      <c r="B42" s="1">
        <v>7.8234000000000004</v>
      </c>
      <c r="C42" s="1">
        <v>99.198300000000003</v>
      </c>
      <c r="D42" s="1">
        <v>99.178600000000003</v>
      </c>
      <c r="E42" s="2">
        <v>-722.91927124352242</v>
      </c>
      <c r="F42" s="1">
        <f t="shared" si="0"/>
        <v>522612.27273526555</v>
      </c>
      <c r="G42" s="1">
        <f t="shared" si="1"/>
        <v>13.166595115786906</v>
      </c>
      <c r="H42" s="1">
        <f t="shared" si="2"/>
        <v>2.0571192426753444</v>
      </c>
      <c r="I42" s="1">
        <f t="shared" si="3"/>
        <v>4.5971208770472112</v>
      </c>
      <c r="J42" s="1">
        <f t="shared" si="4"/>
        <v>4.5969222652122168</v>
      </c>
    </row>
    <row r="43" spans="1:10" x14ac:dyDescent="0.3">
      <c r="A43" s="1">
        <v>6353</v>
      </c>
      <c r="B43" s="1">
        <v>7.9564000000000004</v>
      </c>
      <c r="C43" s="1">
        <v>100.458</v>
      </c>
      <c r="D43" s="1">
        <v>99.272999999999996</v>
      </c>
      <c r="E43" s="2">
        <v>-748.90940916662203</v>
      </c>
      <c r="F43" s="1">
        <f t="shared" si="0"/>
        <v>560865.30313829891</v>
      </c>
      <c r="G43" s="1">
        <f t="shared" si="1"/>
        <v>13.237236054318132</v>
      </c>
      <c r="H43" s="1">
        <f t="shared" si="2"/>
        <v>2.0739766362487688</v>
      </c>
      <c r="I43" s="1">
        <f t="shared" si="3"/>
        <v>4.6097397297024614</v>
      </c>
      <c r="J43" s="1">
        <f t="shared" si="4"/>
        <v>4.5978736307554531</v>
      </c>
    </row>
    <row r="44" spans="1:10" x14ac:dyDescent="0.3">
      <c r="A44" s="1">
        <v>6319</v>
      </c>
      <c r="B44" s="1">
        <v>7.9676999999999998</v>
      </c>
      <c r="C44" s="1">
        <v>101.908</v>
      </c>
      <c r="D44" s="1">
        <v>100.879</v>
      </c>
      <c r="E44" s="2">
        <v>-844.3091725352042</v>
      </c>
      <c r="F44" s="1">
        <f t="shared" si="0"/>
        <v>712857.97882708116</v>
      </c>
      <c r="G44" s="1">
        <f t="shared" si="1"/>
        <v>13.47703749137502</v>
      </c>
      <c r="H44" s="1">
        <f t="shared" si="2"/>
        <v>2.0753958689710856</v>
      </c>
      <c r="I44" s="1">
        <f t="shared" si="3"/>
        <v>4.6240704454885719</v>
      </c>
      <c r="J44" s="1">
        <f t="shared" si="4"/>
        <v>4.6139217788398881</v>
      </c>
    </row>
    <row r="45" spans="1:10" x14ac:dyDescent="0.3">
      <c r="A45" s="1">
        <v>7155</v>
      </c>
      <c r="B45" s="1">
        <v>8.1056000000000008</v>
      </c>
      <c r="C45" s="1">
        <v>100.318</v>
      </c>
      <c r="D45" s="1">
        <v>100.919</v>
      </c>
      <c r="E45" s="2">
        <v>-55.70684902656285</v>
      </c>
      <c r="F45" s="1">
        <f t="shared" si="0"/>
        <v>3103.2530284682662</v>
      </c>
      <c r="G45" s="1">
        <f t="shared" si="1"/>
        <v>8.0402062042977054</v>
      </c>
      <c r="H45" s="1">
        <f t="shared" si="2"/>
        <v>2.0925551808252192</v>
      </c>
      <c r="I45" s="1">
        <f t="shared" si="3"/>
        <v>4.6083451404817355</v>
      </c>
      <c r="J45" s="1">
        <f t="shared" si="4"/>
        <v>4.6143182148850803</v>
      </c>
    </row>
    <row r="46" spans="1:10" x14ac:dyDescent="0.3">
      <c r="A46" s="1">
        <v>7157</v>
      </c>
      <c r="B46" s="1">
        <v>8.1387999999999998</v>
      </c>
      <c r="C46" s="1">
        <v>100.288</v>
      </c>
      <c r="D46" s="1">
        <v>101.422</v>
      </c>
      <c r="E46" s="2">
        <v>-80.613220355446174</v>
      </c>
      <c r="F46" s="1">
        <f t="shared" si="0"/>
        <v>6498.491296075721</v>
      </c>
      <c r="G46" s="1">
        <f t="shared" si="1"/>
        <v>8.7793253206463859</v>
      </c>
      <c r="H46" s="1">
        <f t="shared" si="2"/>
        <v>2.0966427489996109</v>
      </c>
      <c r="I46" s="1">
        <f t="shared" si="3"/>
        <v>4.6080460467335556</v>
      </c>
      <c r="J46" s="1">
        <f t="shared" si="4"/>
        <v>4.6192900301487727</v>
      </c>
    </row>
    <row r="47" spans="1:10" x14ac:dyDescent="0.3">
      <c r="A47" s="1">
        <v>6484</v>
      </c>
      <c r="B47" s="1">
        <v>8.1387999999999998</v>
      </c>
      <c r="C47" s="1">
        <v>101.83799999999999</v>
      </c>
      <c r="D47" s="1">
        <v>102.375</v>
      </c>
      <c r="E47" s="2">
        <v>-797.90438103540055</v>
      </c>
      <c r="F47" s="1">
        <f t="shared" si="0"/>
        <v>636651.40127548564</v>
      </c>
      <c r="G47" s="1">
        <f t="shared" si="1"/>
        <v>13.363977534013038</v>
      </c>
      <c r="H47" s="1">
        <f t="shared" si="2"/>
        <v>2.0966427489996109</v>
      </c>
      <c r="I47" s="1">
        <f t="shared" si="3"/>
        <v>4.6233833154074491</v>
      </c>
      <c r="J47" s="1">
        <f t="shared" si="4"/>
        <v>4.6286425421732336</v>
      </c>
    </row>
    <row r="48" spans="1:10" x14ac:dyDescent="0.3">
      <c r="A48" s="1">
        <v>6710</v>
      </c>
      <c r="B48" s="1">
        <v>8.2583000000000002</v>
      </c>
      <c r="C48" s="1">
        <v>103.598</v>
      </c>
      <c r="D48" s="1">
        <v>103.155</v>
      </c>
      <c r="E48" s="2">
        <v>-679.45599781460896</v>
      </c>
      <c r="F48" s="1">
        <f t="shared" si="0"/>
        <v>461660.45296624588</v>
      </c>
      <c r="G48" s="1">
        <f t="shared" si="1"/>
        <v>13.042584949565999</v>
      </c>
      <c r="H48" s="1">
        <f t="shared" si="2"/>
        <v>2.1112187552128536</v>
      </c>
      <c r="I48" s="1">
        <f t="shared" si="3"/>
        <v>4.6405180246197331</v>
      </c>
      <c r="J48" s="1">
        <f t="shared" si="4"/>
        <v>4.6362327114399093</v>
      </c>
    </row>
    <row r="49" spans="1:10" x14ac:dyDescent="0.3">
      <c r="A49" s="1">
        <v>6657</v>
      </c>
      <c r="B49" s="1">
        <v>8.2451000000000008</v>
      </c>
      <c r="C49" s="1">
        <v>103.658</v>
      </c>
      <c r="D49" s="1">
        <v>102.871</v>
      </c>
      <c r="E49" s="2">
        <v>-720.9078704851654</v>
      </c>
      <c r="F49" s="1">
        <f t="shared" si="0"/>
        <v>519708.15772745601</v>
      </c>
      <c r="G49" s="1">
        <f t="shared" si="1"/>
        <v>13.161022697866709</v>
      </c>
      <c r="H49" s="1">
        <f t="shared" si="2"/>
        <v>2.1096190845007774</v>
      </c>
      <c r="I49" s="1">
        <f t="shared" si="3"/>
        <v>4.6410970187301688</v>
      </c>
      <c r="J49" s="1">
        <f t="shared" si="4"/>
        <v>4.6334757761027863</v>
      </c>
    </row>
    <row r="50" spans="1:10" x14ac:dyDescent="0.3">
      <c r="A50" s="1">
        <v>10497</v>
      </c>
      <c r="B50" s="1">
        <v>8.2899999999999991</v>
      </c>
      <c r="C50" s="1">
        <v>102.798</v>
      </c>
      <c r="D50" s="1">
        <v>104.107</v>
      </c>
      <c r="E50" s="2">
        <v>3085.3689960260072</v>
      </c>
      <c r="F50" s="1">
        <f t="shared" si="0"/>
        <v>9519501.8416385315</v>
      </c>
      <c r="G50" s="1">
        <f t="shared" si="1"/>
        <v>16.068853077839435</v>
      </c>
      <c r="H50" s="1">
        <f t="shared" si="2"/>
        <v>2.1150499691472033</v>
      </c>
      <c r="I50" s="1">
        <f t="shared" si="3"/>
        <v>4.6327658975788903</v>
      </c>
      <c r="J50" s="1">
        <f t="shared" si="4"/>
        <v>4.6454192163957542</v>
      </c>
    </row>
    <row r="51" spans="1:10" x14ac:dyDescent="0.3">
      <c r="A51" s="1">
        <v>9672</v>
      </c>
      <c r="B51" s="1">
        <v>8.2899999999999991</v>
      </c>
      <c r="C51" s="1">
        <v>103.828</v>
      </c>
      <c r="D51" s="1">
        <v>104.446</v>
      </c>
      <c r="E51" s="2">
        <v>2236.6999204522454</v>
      </c>
      <c r="F51" s="1">
        <f t="shared" si="0"/>
        <v>5002826.534151081</v>
      </c>
      <c r="G51" s="1">
        <f t="shared" si="1"/>
        <v>15.425513617502878</v>
      </c>
      <c r="H51" s="1">
        <f t="shared" si="2"/>
        <v>2.1150499691472033</v>
      </c>
      <c r="I51" s="1">
        <f t="shared" si="3"/>
        <v>4.6427356838742329</v>
      </c>
      <c r="J51" s="1">
        <f t="shared" si="4"/>
        <v>4.6486701914339426</v>
      </c>
    </row>
    <row r="52" spans="1:10" x14ac:dyDescent="0.3">
      <c r="A52" s="1">
        <v>9767</v>
      </c>
      <c r="B52" s="1">
        <v>8.2899999999999991</v>
      </c>
      <c r="C52" s="1">
        <v>103.44799999999999</v>
      </c>
      <c r="D52" s="1">
        <v>104.69</v>
      </c>
      <c r="E52" s="2">
        <v>2333.2045497094914</v>
      </c>
      <c r="F52" s="1">
        <f t="shared" si="0"/>
        <v>5443843.4707850702</v>
      </c>
      <c r="G52" s="1">
        <f t="shared" si="1"/>
        <v>15.50999588972901</v>
      </c>
      <c r="H52" s="1">
        <f t="shared" si="2"/>
        <v>2.1150499691472033</v>
      </c>
      <c r="I52" s="1">
        <f t="shared" si="3"/>
        <v>4.6390690709935507</v>
      </c>
      <c r="J52" s="1">
        <f t="shared" si="4"/>
        <v>4.6510036023312633</v>
      </c>
    </row>
    <row r="53" spans="1:10" x14ac:dyDescent="0.3">
      <c r="A53" s="1">
        <v>9853</v>
      </c>
      <c r="B53" s="1">
        <v>8.2899999999999991</v>
      </c>
      <c r="C53" s="1">
        <v>102.878</v>
      </c>
      <c r="D53" s="1">
        <v>105.761</v>
      </c>
      <c r="E53" s="2">
        <v>2407.6551096024577</v>
      </c>
      <c r="F53" s="1">
        <f t="shared" si="0"/>
        <v>5796803.1267948225</v>
      </c>
      <c r="G53" s="1">
        <f t="shared" si="1"/>
        <v>15.572817138522961</v>
      </c>
      <c r="H53" s="1">
        <f t="shared" si="2"/>
        <v>2.1150499691472033</v>
      </c>
      <c r="I53" s="1">
        <f t="shared" si="3"/>
        <v>4.6335438201759311</v>
      </c>
      <c r="J53" s="1">
        <f t="shared" si="4"/>
        <v>4.6611818314293245</v>
      </c>
    </row>
    <row r="54" spans="1:10" x14ac:dyDescent="0.3">
      <c r="A54" s="1">
        <v>9907</v>
      </c>
      <c r="B54" s="1">
        <v>8.2899999999999991</v>
      </c>
      <c r="C54" s="1">
        <v>101.068</v>
      </c>
      <c r="D54" s="1">
        <v>106.241</v>
      </c>
      <c r="E54" s="2">
        <v>2482.1819821296231</v>
      </c>
      <c r="F54" s="1">
        <f t="shared" si="0"/>
        <v>6161227.3924089447</v>
      </c>
      <c r="G54" s="1">
        <f t="shared" si="1"/>
        <v>15.633786567676095</v>
      </c>
      <c r="H54" s="1">
        <f t="shared" si="2"/>
        <v>2.1150499691472033</v>
      </c>
      <c r="I54" s="1">
        <f t="shared" si="3"/>
        <v>4.6157935576252225</v>
      </c>
      <c r="J54" s="1">
        <f t="shared" si="4"/>
        <v>4.6657100983344275</v>
      </c>
    </row>
    <row r="55" spans="1:10" x14ac:dyDescent="0.3">
      <c r="A55" s="1">
        <v>9886</v>
      </c>
      <c r="B55" s="1">
        <v>8.49</v>
      </c>
      <c r="C55" s="1">
        <v>102.428</v>
      </c>
      <c r="D55" s="1">
        <v>106.863</v>
      </c>
      <c r="E55" s="2">
        <v>2320.7802186505969</v>
      </c>
      <c r="F55" s="1">
        <f t="shared" si="0"/>
        <v>5386020.8232799126</v>
      </c>
      <c r="G55" s="1">
        <f t="shared" si="1"/>
        <v>15.4993174185326</v>
      </c>
      <c r="H55" s="1">
        <f t="shared" si="2"/>
        <v>2.1388890003232559</v>
      </c>
      <c r="I55" s="1">
        <f t="shared" si="3"/>
        <v>4.6291601127281874</v>
      </c>
      <c r="J55" s="1">
        <f t="shared" si="4"/>
        <v>4.6715476402512204</v>
      </c>
    </row>
    <row r="56" spans="1:10" x14ac:dyDescent="0.3">
      <c r="A56" s="1">
        <v>10914</v>
      </c>
      <c r="B56" s="1">
        <v>8.49</v>
      </c>
      <c r="C56" s="1">
        <v>102.798</v>
      </c>
      <c r="D56" s="1">
        <v>108.57899999999999</v>
      </c>
      <c r="E56" s="2">
        <v>3309.0572258819393</v>
      </c>
      <c r="F56" s="1">
        <f t="shared" si="0"/>
        <v>10949859.724161476</v>
      </c>
      <c r="G56" s="1">
        <f t="shared" si="1"/>
        <v>16.208837203565867</v>
      </c>
      <c r="H56" s="1">
        <f t="shared" si="2"/>
        <v>2.1388890003232559</v>
      </c>
      <c r="I56" s="1">
        <f t="shared" si="3"/>
        <v>4.6327658975788903</v>
      </c>
      <c r="J56" s="1">
        <f t="shared" si="4"/>
        <v>4.6874780186356677</v>
      </c>
    </row>
    <row r="57" spans="1:10" x14ac:dyDescent="0.3">
      <c r="A57" s="1">
        <v>10594</v>
      </c>
      <c r="B57" s="1">
        <v>8.81</v>
      </c>
      <c r="C57" s="1">
        <v>102.958</v>
      </c>
      <c r="D57" s="1">
        <v>109.93300000000001</v>
      </c>
      <c r="E57" s="2">
        <v>2790.720852106665</v>
      </c>
      <c r="F57" s="1">
        <f t="shared" si="0"/>
        <v>7788122.8743829504</v>
      </c>
      <c r="G57" s="1">
        <f t="shared" si="1"/>
        <v>15.868110422748707</v>
      </c>
      <c r="H57" s="1">
        <f t="shared" si="2"/>
        <v>2.1758874399480881</v>
      </c>
      <c r="I57" s="1">
        <f t="shared" si="3"/>
        <v>4.6343211380797777</v>
      </c>
      <c r="J57" s="1">
        <f t="shared" si="4"/>
        <v>4.6998710893121007</v>
      </c>
    </row>
    <row r="58" spans="1:10" x14ac:dyDescent="0.3">
      <c r="A58" s="1">
        <v>9990</v>
      </c>
      <c r="B58" s="1">
        <v>8.81</v>
      </c>
      <c r="C58" s="1">
        <v>103.358</v>
      </c>
      <c r="D58" s="1">
        <v>110.28</v>
      </c>
      <c r="E58" s="2">
        <v>2173.3116758410633</v>
      </c>
      <c r="F58" s="1">
        <f t="shared" si="0"/>
        <v>4723283.6403470915</v>
      </c>
      <c r="G58" s="1">
        <f t="shared" si="1"/>
        <v>15.368014802198264</v>
      </c>
      <c r="H58" s="1">
        <f t="shared" si="2"/>
        <v>2.1758874399480881</v>
      </c>
      <c r="I58" s="1">
        <f t="shared" si="3"/>
        <v>4.6381986900018797</v>
      </c>
      <c r="J58" s="1">
        <f t="shared" si="4"/>
        <v>4.7030225861555959</v>
      </c>
    </row>
    <row r="59" spans="1:10" x14ac:dyDescent="0.3">
      <c r="A59" s="1">
        <v>11053</v>
      </c>
      <c r="B59" s="1">
        <v>8.81</v>
      </c>
      <c r="C59" s="1">
        <v>103.518</v>
      </c>
      <c r="D59" s="1">
        <v>110.673</v>
      </c>
      <c r="E59" s="2">
        <v>3225.9698736880218</v>
      </c>
      <c r="F59" s="1">
        <f t="shared" si="0"/>
        <v>10406881.625942711</v>
      </c>
      <c r="G59" s="1">
        <f t="shared" si="1"/>
        <v>16.157977840090304</v>
      </c>
      <c r="H59" s="1">
        <f t="shared" si="2"/>
        <v>2.1758874399480881</v>
      </c>
      <c r="I59" s="1">
        <f t="shared" si="3"/>
        <v>4.6397455106277814</v>
      </c>
      <c r="J59" s="1">
        <f t="shared" si="4"/>
        <v>4.70657990752653</v>
      </c>
    </row>
    <row r="60" spans="1:10" x14ac:dyDescent="0.3">
      <c r="A60" s="1">
        <v>11531</v>
      </c>
      <c r="B60" s="1">
        <v>8.81</v>
      </c>
      <c r="C60" s="1">
        <v>102.748</v>
      </c>
      <c r="D60" s="1">
        <v>111.476</v>
      </c>
      <c r="E60" s="2">
        <v>3700.9756646745373</v>
      </c>
      <c r="F60" s="1">
        <f t="shared" si="0"/>
        <v>13697220.870513134</v>
      </c>
      <c r="G60" s="1">
        <f t="shared" si="1"/>
        <v>16.432703514053333</v>
      </c>
      <c r="H60" s="1">
        <f t="shared" si="2"/>
        <v>2.1758874399480881</v>
      </c>
      <c r="I60" s="1">
        <f t="shared" si="3"/>
        <v>4.6322793884667091</v>
      </c>
      <c r="J60" s="1">
        <f t="shared" si="4"/>
        <v>4.7138093210945202</v>
      </c>
    </row>
    <row r="61" spans="1:10" x14ac:dyDescent="0.3">
      <c r="A61" s="1">
        <v>11512</v>
      </c>
      <c r="B61" s="1">
        <v>8.81</v>
      </c>
      <c r="C61" s="1">
        <v>102.348</v>
      </c>
      <c r="D61" s="1">
        <v>112.004</v>
      </c>
      <c r="E61" s="2">
        <v>3678.2492579702248</v>
      </c>
      <c r="F61" s="1">
        <f t="shared" si="0"/>
        <v>13529517.60375851</v>
      </c>
      <c r="G61" s="1">
        <f t="shared" si="1"/>
        <v>16.420384345687154</v>
      </c>
      <c r="H61" s="1">
        <f t="shared" si="2"/>
        <v>2.1758874399480881</v>
      </c>
      <c r="I61" s="1">
        <f t="shared" si="3"/>
        <v>4.6283787711249724</v>
      </c>
      <c r="J61" s="1">
        <f t="shared" si="4"/>
        <v>4.7185345849430691</v>
      </c>
    </row>
    <row r="62" spans="1:10" x14ac:dyDescent="0.3">
      <c r="A62" s="1">
        <v>11349</v>
      </c>
      <c r="B62" s="1">
        <v>8.81</v>
      </c>
      <c r="C62" s="1">
        <v>101.66800000000001</v>
      </c>
      <c r="D62" s="1">
        <v>111.02</v>
      </c>
      <c r="E62" s="2">
        <v>3545.762724191396</v>
      </c>
      <c r="F62" s="1">
        <f t="shared" si="0"/>
        <v>12572433.29626519</v>
      </c>
      <c r="G62" s="1">
        <f t="shared" si="1"/>
        <v>16.347017141487452</v>
      </c>
      <c r="H62" s="1">
        <f t="shared" si="2"/>
        <v>2.1758874399480881</v>
      </c>
      <c r="I62" s="1">
        <f t="shared" si="3"/>
        <v>4.6217126026074027</v>
      </c>
      <c r="J62" s="1">
        <f t="shared" si="4"/>
        <v>4.7097103652620156</v>
      </c>
    </row>
    <row r="63" spans="1:10" x14ac:dyDescent="0.3">
      <c r="A63" s="1">
        <v>11589</v>
      </c>
      <c r="B63" s="1">
        <v>8.81</v>
      </c>
      <c r="C63" s="1">
        <v>102.83799999999999</v>
      </c>
      <c r="D63" s="1">
        <v>112.169</v>
      </c>
      <c r="E63" s="2">
        <v>3743.9162018916068</v>
      </c>
      <c r="F63" s="1">
        <f t="shared" si="0"/>
        <v>14016908.526786475</v>
      </c>
      <c r="G63" s="1">
        <f t="shared" si="1"/>
        <v>16.455774910747213</v>
      </c>
      <c r="H63" s="1">
        <f t="shared" si="2"/>
        <v>2.1758874399480881</v>
      </c>
      <c r="I63" s="1">
        <f t="shared" si="3"/>
        <v>4.6331549345228549</v>
      </c>
      <c r="J63" s="1">
        <f t="shared" si="4"/>
        <v>4.7200066625777213</v>
      </c>
    </row>
    <row r="64" spans="1:10" x14ac:dyDescent="0.3">
      <c r="A64" s="1">
        <v>10066</v>
      </c>
      <c r="B64" s="1">
        <v>8.83</v>
      </c>
      <c r="C64" s="1">
        <v>102.508</v>
      </c>
      <c r="D64" s="1">
        <v>112.72</v>
      </c>
      <c r="E64" s="2">
        <v>2205.0085524083352</v>
      </c>
      <c r="F64" s="1">
        <f t="shared" si="0"/>
        <v>4862062.7161939014</v>
      </c>
      <c r="G64" s="1">
        <f t="shared" si="1"/>
        <v>15.396973333033321</v>
      </c>
      <c r="H64" s="1">
        <f t="shared" si="2"/>
        <v>2.1781550146158688</v>
      </c>
      <c r="I64" s="1">
        <f t="shared" si="3"/>
        <v>4.6299408443133032</v>
      </c>
      <c r="J64" s="1">
        <f t="shared" si="4"/>
        <v>4.7249068675904251</v>
      </c>
    </row>
    <row r="65" spans="1:10" x14ac:dyDescent="0.3">
      <c r="A65" s="1">
        <v>10186</v>
      </c>
      <c r="B65" s="1">
        <v>8.9</v>
      </c>
      <c r="C65" s="1">
        <v>101.108</v>
      </c>
      <c r="D65" s="1">
        <v>113.075</v>
      </c>
      <c r="E65" s="2">
        <v>2304.1973406369189</v>
      </c>
      <c r="F65" s="1">
        <f t="shared" si="0"/>
        <v>5309325.3845982486</v>
      </c>
      <c r="G65" s="1">
        <f t="shared" si="1"/>
        <v>15.484975338932049</v>
      </c>
      <c r="H65" s="1">
        <f t="shared" si="2"/>
        <v>2.1860512767380942</v>
      </c>
      <c r="I65" s="1">
        <f t="shared" si="3"/>
        <v>4.6161892524705248</v>
      </c>
      <c r="J65" s="1">
        <f t="shared" si="4"/>
        <v>4.7280513153639072</v>
      </c>
    </row>
    <row r="66" spans="1:10" x14ac:dyDescent="0.3">
      <c r="A66" s="1">
        <v>10147</v>
      </c>
      <c r="B66" s="1">
        <v>8.9</v>
      </c>
      <c r="C66" s="1">
        <v>101.66800000000001</v>
      </c>
      <c r="D66" s="1">
        <v>114.114</v>
      </c>
      <c r="E66" s="2">
        <v>2235.5908887234127</v>
      </c>
      <c r="F66" s="1">
        <f t="shared" si="0"/>
        <v>4997866.6217431379</v>
      </c>
      <c r="G66" s="1">
        <f t="shared" si="1"/>
        <v>15.424521703695046</v>
      </c>
      <c r="H66" s="1">
        <f t="shared" si="2"/>
        <v>2.1860512767380942</v>
      </c>
      <c r="I66" s="1">
        <f t="shared" si="3"/>
        <v>4.6217126026074027</v>
      </c>
      <c r="J66" s="1">
        <f t="shared" si="4"/>
        <v>4.7371979487275793</v>
      </c>
    </row>
    <row r="67" spans="1:10" x14ac:dyDescent="0.3">
      <c r="A67" s="1">
        <v>11632</v>
      </c>
      <c r="B67" s="1">
        <v>8.9</v>
      </c>
      <c r="C67" s="1">
        <v>102.008</v>
      </c>
      <c r="D67" s="1">
        <v>114.342</v>
      </c>
      <c r="E67" s="2">
        <v>3710.5042057888932</v>
      </c>
      <c r="F67" s="1">
        <f t="shared" ref="F67:F130" si="5">E67^2</f>
        <v>13767841.461177064</v>
      </c>
      <c r="G67" s="1">
        <f t="shared" ref="G67:G130" si="6">LN(F67)</f>
        <v>16.437846101785212</v>
      </c>
      <c r="H67" s="1">
        <f t="shared" ref="H67:H130" si="7">LN(B67)</f>
        <v>2.1860512767380942</v>
      </c>
      <c r="I67" s="1">
        <f t="shared" ref="I67:I130" si="8">LN(C67)</f>
        <v>4.6250512415812404</v>
      </c>
      <c r="J67" s="1">
        <f t="shared" ref="J67:J130" si="9">LN(D67)</f>
        <v>4.7391939573742938</v>
      </c>
    </row>
    <row r="68" spans="1:10" x14ac:dyDescent="0.3">
      <c r="A68" s="1">
        <v>11729</v>
      </c>
      <c r="B68" s="1">
        <v>8.9</v>
      </c>
      <c r="C68" s="1">
        <v>101.02800000000001</v>
      </c>
      <c r="D68" s="1">
        <v>115.5</v>
      </c>
      <c r="E68" s="2">
        <v>3801.0300351355781</v>
      </c>
      <c r="F68" s="1">
        <f t="shared" si="5"/>
        <v>14447829.328002775</v>
      </c>
      <c r="G68" s="1">
        <f t="shared" si="6"/>
        <v>16.486054741723255</v>
      </c>
      <c r="H68" s="1">
        <f t="shared" si="7"/>
        <v>2.1860512767380942</v>
      </c>
      <c r="I68" s="1">
        <f t="shared" si="8"/>
        <v>4.6153977061435274</v>
      </c>
      <c r="J68" s="1">
        <f t="shared" si="9"/>
        <v>4.7492705299618478</v>
      </c>
    </row>
    <row r="69" spans="1:10" x14ac:dyDescent="0.3">
      <c r="A69" s="1">
        <v>10237</v>
      </c>
      <c r="B69" s="1">
        <v>9.14</v>
      </c>
      <c r="C69" s="1">
        <v>101.878</v>
      </c>
      <c r="D69" s="1">
        <v>117.027</v>
      </c>
      <c r="E69" s="2">
        <v>2138.1907916807277</v>
      </c>
      <c r="F69" s="1">
        <f t="shared" si="5"/>
        <v>4571859.8616282567</v>
      </c>
      <c r="G69" s="1">
        <f t="shared" si="6"/>
        <v>15.335430651989684</v>
      </c>
      <c r="H69" s="1">
        <f t="shared" si="7"/>
        <v>2.2126603854660587</v>
      </c>
      <c r="I69" s="1">
        <f t="shared" si="8"/>
        <v>4.623776018980208</v>
      </c>
      <c r="J69" s="1">
        <f t="shared" si="9"/>
        <v>4.7624046774054021</v>
      </c>
    </row>
    <row r="70" spans="1:10" x14ac:dyDescent="0.3">
      <c r="A70" s="1">
        <v>10405</v>
      </c>
      <c r="B70" s="1">
        <v>9.14</v>
      </c>
      <c r="C70" s="1">
        <v>102.55800000000001</v>
      </c>
      <c r="D70" s="1">
        <v>119.515</v>
      </c>
      <c r="E70" s="2">
        <v>2246.223706274699</v>
      </c>
      <c r="F70" s="1">
        <f t="shared" si="5"/>
        <v>5045520.9386304449</v>
      </c>
      <c r="G70" s="1">
        <f t="shared" si="6"/>
        <v>15.43401146483955</v>
      </c>
      <c r="H70" s="1">
        <f t="shared" si="7"/>
        <v>2.2126603854660587</v>
      </c>
      <c r="I70" s="1">
        <f t="shared" si="8"/>
        <v>4.6304284922021859</v>
      </c>
      <c r="J70" s="1">
        <f t="shared" si="9"/>
        <v>4.7834418865067638</v>
      </c>
    </row>
    <row r="71" spans="1:10" x14ac:dyDescent="0.3">
      <c r="A71" s="1">
        <v>10374</v>
      </c>
      <c r="B71" s="1">
        <v>9.14</v>
      </c>
      <c r="C71" s="1">
        <v>101.568</v>
      </c>
      <c r="D71" s="1">
        <v>120.979</v>
      </c>
      <c r="E71" s="2">
        <v>2202.9223198039572</v>
      </c>
      <c r="F71" s="1">
        <f t="shared" si="5"/>
        <v>4852866.7470904486</v>
      </c>
      <c r="G71" s="1">
        <f t="shared" si="6"/>
        <v>15.395080170167901</v>
      </c>
      <c r="H71" s="1">
        <f t="shared" si="7"/>
        <v>2.2126603854660587</v>
      </c>
      <c r="I71" s="1">
        <f t="shared" si="8"/>
        <v>4.620728524903944</v>
      </c>
      <c r="J71" s="1">
        <f t="shared" si="9"/>
        <v>4.795616976815543</v>
      </c>
    </row>
    <row r="72" spans="1:10" x14ac:dyDescent="0.3">
      <c r="A72" s="1">
        <v>10358</v>
      </c>
      <c r="B72" s="1">
        <v>9.14</v>
      </c>
      <c r="C72" s="1">
        <v>99.2483</v>
      </c>
      <c r="D72" s="1">
        <v>121.145</v>
      </c>
      <c r="E72" s="2">
        <v>2222.0259178076303</v>
      </c>
      <c r="F72" s="1">
        <f t="shared" si="5"/>
        <v>4937399.1794088418</v>
      </c>
      <c r="G72" s="1">
        <f t="shared" si="6"/>
        <v>15.412349268622801</v>
      </c>
      <c r="H72" s="1">
        <f t="shared" si="7"/>
        <v>2.2126603854660587</v>
      </c>
      <c r="I72" s="1">
        <f t="shared" si="8"/>
        <v>4.5976247909571297</v>
      </c>
      <c r="J72" s="1">
        <f t="shared" si="9"/>
        <v>4.7969881752593926</v>
      </c>
    </row>
    <row r="73" spans="1:10" x14ac:dyDescent="0.3">
      <c r="A73" s="1">
        <v>10425</v>
      </c>
      <c r="B73" s="1">
        <v>9.26</v>
      </c>
      <c r="C73" s="1">
        <v>100.69799999999999</v>
      </c>
      <c r="D73" s="1">
        <v>121.85299999999999</v>
      </c>
      <c r="E73" s="2">
        <v>2187.750551926285</v>
      </c>
      <c r="F73" s="1">
        <f t="shared" si="5"/>
        <v>4786252.4774537645</v>
      </c>
      <c r="G73" s="1">
        <f t="shared" si="6"/>
        <v>15.381258299392471</v>
      </c>
      <c r="H73" s="1">
        <f t="shared" si="7"/>
        <v>2.2257040486580881</v>
      </c>
      <c r="I73" s="1">
        <f t="shared" si="8"/>
        <v>4.6121259385540974</v>
      </c>
      <c r="J73" s="1">
        <f t="shared" si="9"/>
        <v>4.8028154002030981</v>
      </c>
    </row>
    <row r="74" spans="1:10" x14ac:dyDescent="0.3">
      <c r="A74" s="1">
        <v>13666</v>
      </c>
      <c r="B74" s="1">
        <v>9.3000000000000007</v>
      </c>
      <c r="C74" s="1">
        <v>100.938</v>
      </c>
      <c r="D74" s="1">
        <v>124.184</v>
      </c>
      <c r="E74" s="2">
        <v>5357.9862920006926</v>
      </c>
      <c r="F74" s="1">
        <f t="shared" si="5"/>
        <v>28708017.105267331</v>
      </c>
      <c r="G74" s="1">
        <f t="shared" si="6"/>
        <v>17.17268698336818</v>
      </c>
      <c r="H74" s="1">
        <f t="shared" si="7"/>
        <v>2.2300144001592104</v>
      </c>
      <c r="I74" s="1">
        <f t="shared" si="8"/>
        <v>4.6145064669650786</v>
      </c>
      <c r="J74" s="1">
        <f t="shared" si="9"/>
        <v>4.8217643367241418</v>
      </c>
    </row>
    <row r="75" spans="1:10" x14ac:dyDescent="0.3">
      <c r="A75" s="1">
        <v>13353</v>
      </c>
      <c r="B75" s="1">
        <v>9.74</v>
      </c>
      <c r="C75" s="1">
        <v>101.11799999999999</v>
      </c>
      <c r="D75" s="1">
        <v>124.79</v>
      </c>
      <c r="E75" s="2">
        <v>4797.5271569267243</v>
      </c>
      <c r="F75" s="1">
        <f t="shared" si="5"/>
        <v>23016266.821449418</v>
      </c>
      <c r="G75" s="1">
        <f t="shared" si="6"/>
        <v>16.951711777014303</v>
      </c>
      <c r="H75" s="1">
        <f t="shared" si="7"/>
        <v>2.2762411176544437</v>
      </c>
      <c r="I75" s="1">
        <f t="shared" si="8"/>
        <v>4.6162881517219381</v>
      </c>
      <c r="J75" s="1">
        <f t="shared" si="9"/>
        <v>4.8266323245197631</v>
      </c>
    </row>
    <row r="76" spans="1:10" x14ac:dyDescent="0.3">
      <c r="A76" s="1">
        <v>13996</v>
      </c>
      <c r="B76" s="1">
        <v>9.82</v>
      </c>
      <c r="C76" s="1">
        <v>101.298</v>
      </c>
      <c r="D76" s="1">
        <v>128.63200000000001</v>
      </c>
      <c r="E76" s="2">
        <v>5320.0173964946316</v>
      </c>
      <c r="F76" s="1">
        <f t="shared" si="5"/>
        <v>28302585.099005517</v>
      </c>
      <c r="G76" s="1">
        <f t="shared" si="6"/>
        <v>17.158463704696263</v>
      </c>
      <c r="H76" s="1">
        <f t="shared" si="7"/>
        <v>2.2844211223663744</v>
      </c>
      <c r="I76" s="1">
        <f t="shared" si="8"/>
        <v>4.6180666677231113</v>
      </c>
      <c r="J76" s="1">
        <f t="shared" si="9"/>
        <v>4.8569556144421107</v>
      </c>
    </row>
    <row r="77" spans="1:10" x14ac:dyDescent="0.3">
      <c r="A77" s="1">
        <v>14259</v>
      </c>
      <c r="B77" s="1">
        <v>9.8699999999999992</v>
      </c>
      <c r="C77" s="1">
        <v>99.328299999999999</v>
      </c>
      <c r="D77" s="1">
        <v>132.53700000000001</v>
      </c>
      <c r="E77" s="2">
        <v>5512.6776552042829</v>
      </c>
      <c r="F77" s="1">
        <f t="shared" si="5"/>
        <v>30389614.930188593</v>
      </c>
      <c r="G77" s="1">
        <f t="shared" si="6"/>
        <v>17.229611493874515</v>
      </c>
      <c r="H77" s="1">
        <f t="shared" si="7"/>
        <v>2.2894998534453901</v>
      </c>
      <c r="I77" s="1">
        <f t="shared" si="8"/>
        <v>4.5984305254125299</v>
      </c>
      <c r="J77" s="1">
        <f t="shared" si="9"/>
        <v>4.8868618517275886</v>
      </c>
    </row>
    <row r="78" spans="1:10" x14ac:dyDescent="0.3">
      <c r="A78" s="1">
        <v>14957</v>
      </c>
      <c r="B78" s="1">
        <v>9.89</v>
      </c>
      <c r="C78" s="1">
        <v>96.228399999999993</v>
      </c>
      <c r="D78" s="1">
        <v>136.10400000000001</v>
      </c>
      <c r="E78" s="2">
        <v>6181.5042742518654</v>
      </c>
      <c r="F78" s="1">
        <f t="shared" si="5"/>
        <v>38210995.09259408</v>
      </c>
      <c r="G78" s="1">
        <f t="shared" si="6"/>
        <v>17.458633861810856</v>
      </c>
      <c r="H78" s="1">
        <f t="shared" si="7"/>
        <v>2.2915241456346207</v>
      </c>
      <c r="I78" s="1">
        <f t="shared" si="8"/>
        <v>4.566724532398533</v>
      </c>
      <c r="J78" s="1">
        <f t="shared" si="9"/>
        <v>4.9134192993798367</v>
      </c>
    </row>
    <row r="79" spans="1:10" x14ac:dyDescent="0.3">
      <c r="A79" s="1">
        <v>14018</v>
      </c>
      <c r="B79" s="1">
        <v>11.47</v>
      </c>
      <c r="C79" s="1">
        <v>98.568399999999997</v>
      </c>
      <c r="D79" s="1">
        <v>138.96199999999999</v>
      </c>
      <c r="E79" s="2">
        <v>4312.5438537019872</v>
      </c>
      <c r="F79" s="1">
        <f t="shared" si="5"/>
        <v>18598034.490102787</v>
      </c>
      <c r="G79" s="1">
        <f t="shared" si="6"/>
        <v>16.73856646052457</v>
      </c>
      <c r="H79" s="1">
        <f t="shared" si="7"/>
        <v>2.4397349311412793</v>
      </c>
      <c r="I79" s="1">
        <f t="shared" si="8"/>
        <v>4.5907507234262992</v>
      </c>
      <c r="J79" s="1">
        <f t="shared" si="9"/>
        <v>4.9342005144602492</v>
      </c>
    </row>
    <row r="80" spans="1:10" x14ac:dyDescent="0.3">
      <c r="A80" s="1">
        <v>14163</v>
      </c>
      <c r="B80" s="1">
        <v>11.47</v>
      </c>
      <c r="C80" s="1">
        <v>95.038399999999996</v>
      </c>
      <c r="D80" s="1">
        <v>143.59899999999999</v>
      </c>
      <c r="E80" s="2">
        <v>4425.1009021651334</v>
      </c>
      <c r="F80" s="1">
        <f t="shared" si="5"/>
        <v>19581517.994342677</v>
      </c>
      <c r="G80" s="1">
        <f t="shared" si="6"/>
        <v>16.790096719862468</v>
      </c>
      <c r="H80" s="1">
        <f t="shared" si="7"/>
        <v>2.4397349311412793</v>
      </c>
      <c r="I80" s="1">
        <f t="shared" si="8"/>
        <v>4.5542810204557895</v>
      </c>
      <c r="J80" s="1">
        <f t="shared" si="9"/>
        <v>4.9670246928015755</v>
      </c>
    </row>
    <row r="81" spans="1:10" x14ac:dyDescent="0.3">
      <c r="A81" s="1">
        <v>14324</v>
      </c>
      <c r="B81" s="1">
        <v>11.47</v>
      </c>
      <c r="C81" s="1">
        <v>93.878399999999999</v>
      </c>
      <c r="D81" s="1">
        <v>146.66999999999999</v>
      </c>
      <c r="E81" s="2">
        <v>4545.1396134002553</v>
      </c>
      <c r="F81" s="1">
        <f t="shared" si="5"/>
        <v>20658294.105300222</v>
      </c>
      <c r="G81" s="1">
        <f t="shared" si="6"/>
        <v>16.843627448319296</v>
      </c>
      <c r="H81" s="1">
        <f t="shared" si="7"/>
        <v>2.4397349311412793</v>
      </c>
      <c r="I81" s="1">
        <f t="shared" si="8"/>
        <v>4.5420003278039287</v>
      </c>
      <c r="J81" s="1">
        <f t="shared" si="9"/>
        <v>4.9881851652586642</v>
      </c>
    </row>
    <row r="82" spans="1:10" x14ac:dyDescent="0.3">
      <c r="A82" s="1">
        <v>14267</v>
      </c>
      <c r="B82" s="1">
        <v>12.69</v>
      </c>
      <c r="C82" s="1">
        <v>93.378399999999999</v>
      </c>
      <c r="D82" s="1">
        <v>148.095</v>
      </c>
      <c r="E82" s="2">
        <v>3823.5212631192226</v>
      </c>
      <c r="F82" s="1">
        <f t="shared" si="5"/>
        <v>14619314.849524815</v>
      </c>
      <c r="G82" s="1">
        <f t="shared" si="6"/>
        <v>16.497854147270168</v>
      </c>
      <c r="H82" s="1">
        <f t="shared" si="7"/>
        <v>2.5408142817262962</v>
      </c>
      <c r="I82" s="1">
        <f t="shared" si="8"/>
        <v>4.5366600551059992</v>
      </c>
      <c r="J82" s="1">
        <f t="shared" si="9"/>
        <v>4.9978539597315228</v>
      </c>
    </row>
    <row r="83" spans="1:10" x14ac:dyDescent="0.3">
      <c r="A83" s="1">
        <v>14083</v>
      </c>
      <c r="B83" s="1">
        <v>12.66</v>
      </c>
      <c r="C83" s="1">
        <v>95.328400000000002</v>
      </c>
      <c r="D83" s="1">
        <v>151.22800000000001</v>
      </c>
      <c r="E83" s="2">
        <v>3561.7844658209087</v>
      </c>
      <c r="F83" s="1">
        <f t="shared" si="5"/>
        <v>12686308.580963137</v>
      </c>
      <c r="G83" s="1">
        <f t="shared" si="6"/>
        <v>16.356033905408218</v>
      </c>
      <c r="H83" s="1">
        <f t="shared" si="7"/>
        <v>2.5384474167160302</v>
      </c>
      <c r="I83" s="1">
        <f t="shared" si="8"/>
        <v>4.557327772561008</v>
      </c>
      <c r="J83" s="1">
        <f t="shared" si="9"/>
        <v>5.0187886317859585</v>
      </c>
    </row>
    <row r="84" spans="1:10" x14ac:dyDescent="0.3">
      <c r="A84" s="1">
        <v>13915</v>
      </c>
      <c r="B84" s="1">
        <v>14.01</v>
      </c>
      <c r="C84" s="1">
        <v>98.778400000000005</v>
      </c>
      <c r="D84" s="1">
        <v>151.047</v>
      </c>
      <c r="E84" s="2">
        <v>2626.5797645473212</v>
      </c>
      <c r="F84" s="1">
        <f t="shared" si="5"/>
        <v>6898921.2595294612</v>
      </c>
      <c r="G84" s="1">
        <f t="shared" si="6"/>
        <v>15.746875618146612</v>
      </c>
      <c r="H84" s="1">
        <f t="shared" si="7"/>
        <v>2.6397713603489157</v>
      </c>
      <c r="I84" s="1">
        <f t="shared" si="8"/>
        <v>4.592878957370444</v>
      </c>
      <c r="J84" s="1">
        <f t="shared" si="9"/>
        <v>5.017591046662262</v>
      </c>
    </row>
    <row r="85" spans="1:10" x14ac:dyDescent="0.3">
      <c r="A85" s="1">
        <v>14099</v>
      </c>
      <c r="B85" s="1">
        <v>14.01</v>
      </c>
      <c r="C85" s="1">
        <v>99.018299999999996</v>
      </c>
      <c r="D85" s="1">
        <v>150.29900000000001</v>
      </c>
      <c r="E85" s="2">
        <v>2821.261677280896</v>
      </c>
      <c r="F85" s="1">
        <f t="shared" si="5"/>
        <v>7959517.4516938152</v>
      </c>
      <c r="G85" s="1">
        <f t="shared" si="6"/>
        <v>15.889878934336494</v>
      </c>
      <c r="H85" s="1">
        <f t="shared" si="7"/>
        <v>2.6397713603489157</v>
      </c>
      <c r="I85" s="1">
        <f t="shared" si="8"/>
        <v>4.595304681537062</v>
      </c>
      <c r="J85" s="1">
        <f t="shared" si="9"/>
        <v>5.0126266433768487</v>
      </c>
    </row>
    <row r="86" spans="1:10" x14ac:dyDescent="0.3">
      <c r="A86" s="1">
        <v>5751</v>
      </c>
      <c r="B86" s="1">
        <v>13.99</v>
      </c>
      <c r="C86" s="1">
        <v>98.758399999999995</v>
      </c>
      <c r="D86" s="1">
        <v>149.661</v>
      </c>
      <c r="E86" s="2">
        <v>-5499.3733619934173</v>
      </c>
      <c r="F86" s="1">
        <f t="shared" si="5"/>
        <v>30243107.374602783</v>
      </c>
      <c r="G86" s="1">
        <f t="shared" si="6"/>
        <v>17.22477886109311</v>
      </c>
      <c r="H86" s="1">
        <f t="shared" si="7"/>
        <v>2.6383427886773898</v>
      </c>
      <c r="I86" s="1">
        <f t="shared" si="8"/>
        <v>4.5926764634546942</v>
      </c>
      <c r="J86" s="1">
        <f t="shared" si="9"/>
        <v>5.0083727364419968</v>
      </c>
    </row>
    <row r="87" spans="1:10" x14ac:dyDescent="0.3">
      <c r="A87" s="1">
        <v>5815</v>
      </c>
      <c r="B87" s="1">
        <v>12.96</v>
      </c>
      <c r="C87" s="1">
        <v>102.02800000000001</v>
      </c>
      <c r="D87" s="1">
        <v>151.08699999999999</v>
      </c>
      <c r="E87" s="2">
        <v>-4972.8283925757023</v>
      </c>
      <c r="F87" s="1">
        <f t="shared" si="5"/>
        <v>24729022.222007044</v>
      </c>
      <c r="G87" s="1">
        <f t="shared" si="6"/>
        <v>17.023488100584409</v>
      </c>
      <c r="H87" s="1">
        <f t="shared" si="7"/>
        <v>2.5618676909241289</v>
      </c>
      <c r="I87" s="1">
        <f t="shared" si="8"/>
        <v>4.6252472854172701</v>
      </c>
      <c r="J87" s="1">
        <f t="shared" si="9"/>
        <v>5.0178558298394851</v>
      </c>
    </row>
    <row r="88" spans="1:10" x14ac:dyDescent="0.3">
      <c r="A88" s="1">
        <v>5379</v>
      </c>
      <c r="B88" s="1">
        <v>11.77</v>
      </c>
      <c r="C88" s="1">
        <v>102.718</v>
      </c>
      <c r="D88" s="1">
        <v>153.15700000000001</v>
      </c>
      <c r="E88" s="2">
        <v>-4831.6560990688595</v>
      </c>
      <c r="F88" s="1">
        <f t="shared" si="5"/>
        <v>23344900.65966931</v>
      </c>
      <c r="G88" s="1">
        <f t="shared" si="6"/>
        <v>16.965889131063033</v>
      </c>
      <c r="H88" s="1">
        <f t="shared" si="7"/>
        <v>2.4655539212721855</v>
      </c>
      <c r="I88" s="1">
        <f t="shared" si="8"/>
        <v>4.6319873693471161</v>
      </c>
      <c r="J88" s="1">
        <f t="shared" si="9"/>
        <v>5.0314635390576354</v>
      </c>
    </row>
    <row r="89" spans="1:10" x14ac:dyDescent="0.3">
      <c r="A89" s="1">
        <v>5521</v>
      </c>
      <c r="B89" s="1">
        <v>12.95</v>
      </c>
      <c r="C89" s="1">
        <v>101.66800000000001</v>
      </c>
      <c r="D89" s="1">
        <v>155.322</v>
      </c>
      <c r="E89" s="2">
        <v>-5338.5255771907869</v>
      </c>
      <c r="F89" s="1">
        <f t="shared" si="5"/>
        <v>28499855.338320225</v>
      </c>
      <c r="G89" s="1">
        <f t="shared" si="6"/>
        <v>17.165409569377584</v>
      </c>
      <c r="H89" s="1">
        <f t="shared" si="7"/>
        <v>2.5610957881455465</v>
      </c>
      <c r="I89" s="1">
        <f t="shared" si="8"/>
        <v>4.6217126026074027</v>
      </c>
      <c r="J89" s="1">
        <f t="shared" si="9"/>
        <v>5.0455003814223351</v>
      </c>
    </row>
    <row r="90" spans="1:10" x14ac:dyDescent="0.3">
      <c r="A90" s="1">
        <v>5917</v>
      </c>
      <c r="B90" s="1">
        <v>13.14</v>
      </c>
      <c r="C90" s="1">
        <v>99.538300000000007</v>
      </c>
      <c r="D90" s="1">
        <v>155.684</v>
      </c>
      <c r="E90" s="2">
        <v>-5014.8493951040873</v>
      </c>
      <c r="F90" s="1">
        <f t="shared" si="5"/>
        <v>25148714.455575831</v>
      </c>
      <c r="G90" s="1">
        <f t="shared" si="6"/>
        <v>17.040317338117152</v>
      </c>
      <c r="H90" s="1">
        <f t="shared" si="7"/>
        <v>2.5756610130564646</v>
      </c>
      <c r="I90" s="1">
        <f t="shared" si="8"/>
        <v>4.6005424947231859</v>
      </c>
      <c r="J90" s="1">
        <f t="shared" si="9"/>
        <v>5.0478283118383462</v>
      </c>
    </row>
    <row r="91" spans="1:10" x14ac:dyDescent="0.3">
      <c r="A91" s="1">
        <v>6078</v>
      </c>
      <c r="B91" s="1">
        <v>12.01</v>
      </c>
      <c r="C91" s="1">
        <v>98.588399999999993</v>
      </c>
      <c r="D91" s="1">
        <v>157.22</v>
      </c>
      <c r="E91" s="2">
        <v>-4270.8252856296822</v>
      </c>
      <c r="F91" s="1">
        <f t="shared" si="5"/>
        <v>18239948.620373856</v>
      </c>
      <c r="G91" s="1">
        <f t="shared" si="6"/>
        <v>16.719124725741025</v>
      </c>
      <c r="H91" s="1">
        <f t="shared" si="7"/>
        <v>2.4857396360918922</v>
      </c>
      <c r="I91" s="1">
        <f t="shared" si="8"/>
        <v>4.5909536076288084</v>
      </c>
      <c r="J91" s="1">
        <f t="shared" si="9"/>
        <v>5.0576460983656109</v>
      </c>
    </row>
    <row r="92" spans="1:10" x14ac:dyDescent="0.3">
      <c r="A92" s="1">
        <v>7635</v>
      </c>
      <c r="B92" s="1">
        <v>11.38</v>
      </c>
      <c r="C92" s="1">
        <v>97.608400000000003</v>
      </c>
      <c r="D92" s="1">
        <v>159.64500000000001</v>
      </c>
      <c r="E92" s="2">
        <v>-2412.0488818188642</v>
      </c>
      <c r="F92" s="1">
        <f t="shared" si="5"/>
        <v>5817979.8082836326</v>
      </c>
      <c r="G92" s="1">
        <f t="shared" si="6"/>
        <v>15.576463647471556</v>
      </c>
      <c r="H92" s="1">
        <f t="shared" si="7"/>
        <v>2.4318574286981849</v>
      </c>
      <c r="I92" s="1">
        <f t="shared" si="8"/>
        <v>4.5809635552893884</v>
      </c>
      <c r="J92" s="1">
        <f t="shared" si="9"/>
        <v>5.0729526001611172</v>
      </c>
    </row>
    <row r="93" spans="1:10" x14ac:dyDescent="0.3">
      <c r="A93" s="1">
        <v>7340</v>
      </c>
      <c r="B93" s="1">
        <v>12.44</v>
      </c>
      <c r="C93" s="1">
        <v>96.828400000000002</v>
      </c>
      <c r="D93" s="1">
        <v>162.35300000000001</v>
      </c>
      <c r="E93" s="2">
        <v>-3307.5759042409591</v>
      </c>
      <c r="F93" s="1">
        <f t="shared" si="5"/>
        <v>10940058.362315398</v>
      </c>
      <c r="G93" s="1">
        <f t="shared" si="6"/>
        <v>16.207941689707628</v>
      </c>
      <c r="H93" s="1">
        <f t="shared" si="7"/>
        <v>2.5209170873110334</v>
      </c>
      <c r="I93" s="1">
        <f t="shared" si="8"/>
        <v>4.5729403396823143</v>
      </c>
      <c r="J93" s="1">
        <f t="shared" si="9"/>
        <v>5.0897729769737543</v>
      </c>
    </row>
    <row r="94" spans="1:10" x14ac:dyDescent="0.3">
      <c r="A94" s="1">
        <v>6143</v>
      </c>
      <c r="B94" s="1">
        <v>12.58</v>
      </c>
      <c r="C94" s="1">
        <v>96.028400000000005</v>
      </c>
      <c r="D94" s="1">
        <v>163.08500000000001</v>
      </c>
      <c r="E94" s="2">
        <v>-4579.6976335375512</v>
      </c>
      <c r="F94" s="1">
        <f t="shared" si="5"/>
        <v>20973630.414629444</v>
      </c>
      <c r="G94" s="1">
        <f t="shared" si="6"/>
        <v>16.858776512101251</v>
      </c>
      <c r="H94" s="1">
        <f t="shared" si="7"/>
        <v>2.5321082512722946</v>
      </c>
      <c r="I94" s="1">
        <f t="shared" si="8"/>
        <v>4.564643981051117</v>
      </c>
      <c r="J94" s="1">
        <f t="shared" si="9"/>
        <v>5.0942715372799228</v>
      </c>
    </row>
    <row r="95" spans="1:10" x14ac:dyDescent="0.3">
      <c r="A95" s="1">
        <v>7620</v>
      </c>
      <c r="B95" s="1">
        <v>12.59</v>
      </c>
      <c r="C95" s="1">
        <v>95.088399999999993</v>
      </c>
      <c r="D95" s="1">
        <v>164.636</v>
      </c>
      <c r="E95" s="2">
        <v>-3122.8162109258265</v>
      </c>
      <c r="F95" s="1">
        <f t="shared" si="5"/>
        <v>9751981.0872211363</v>
      </c>
      <c r="G95" s="1">
        <f t="shared" si="6"/>
        <v>16.092981010766994</v>
      </c>
      <c r="H95" s="1">
        <f t="shared" si="7"/>
        <v>2.5329028480562559</v>
      </c>
      <c r="I95" s="1">
        <f t="shared" si="8"/>
        <v>4.5548069852451052</v>
      </c>
      <c r="J95" s="1">
        <f t="shared" si="9"/>
        <v>5.1037369763581424</v>
      </c>
    </row>
    <row r="96" spans="1:10" x14ac:dyDescent="0.3">
      <c r="A96" s="1">
        <v>5569</v>
      </c>
      <c r="B96" s="1">
        <v>12.32</v>
      </c>
      <c r="C96" s="1">
        <v>95.508399999999995</v>
      </c>
      <c r="D96" s="1">
        <v>166.92699999999999</v>
      </c>
      <c r="E96" s="2">
        <v>-5082.8851990930161</v>
      </c>
      <c r="F96" s="1">
        <f t="shared" si="5"/>
        <v>25835721.947158851</v>
      </c>
      <c r="G96" s="1">
        <f t="shared" si="6"/>
        <v>17.067268663851742</v>
      </c>
      <c r="H96" s="1">
        <f t="shared" si="7"/>
        <v>2.5112239581053739</v>
      </c>
      <c r="I96" s="1">
        <f t="shared" si="8"/>
        <v>4.5592142017337798</v>
      </c>
      <c r="J96" s="1">
        <f t="shared" si="9"/>
        <v>5.1175565911009411</v>
      </c>
    </row>
    <row r="97" spans="1:10" x14ac:dyDescent="0.3">
      <c r="A97" s="1">
        <v>6038</v>
      </c>
      <c r="B97" s="1">
        <v>12.1</v>
      </c>
      <c r="C97" s="1">
        <v>96.288399999999996</v>
      </c>
      <c r="D97" s="1">
        <v>166.11600000000001</v>
      </c>
      <c r="E97" s="2">
        <v>-4494.5919853557898</v>
      </c>
      <c r="F97" s="1">
        <f t="shared" si="5"/>
        <v>20201357.1148245</v>
      </c>
      <c r="G97" s="1">
        <f t="shared" si="6"/>
        <v>16.821260344016899</v>
      </c>
      <c r="H97" s="1">
        <f t="shared" si="7"/>
        <v>2.4932054526026954</v>
      </c>
      <c r="I97" s="1">
        <f t="shared" si="8"/>
        <v>4.5673478546430601</v>
      </c>
      <c r="J97" s="1">
        <f t="shared" si="9"/>
        <v>5.1126863394935986</v>
      </c>
    </row>
    <row r="98" spans="1:10" x14ac:dyDescent="0.3">
      <c r="A98" s="1">
        <v>9591</v>
      </c>
      <c r="B98" s="1">
        <v>11.9</v>
      </c>
      <c r="C98" s="1">
        <v>97.588399999999993</v>
      </c>
      <c r="D98" s="1">
        <v>170.059</v>
      </c>
      <c r="E98" s="2">
        <v>-934.57006892922072</v>
      </c>
      <c r="F98" s="1">
        <f t="shared" si="5"/>
        <v>873421.21373836836</v>
      </c>
      <c r="G98" s="1">
        <f t="shared" si="6"/>
        <v>13.68017320842465</v>
      </c>
      <c r="H98" s="1">
        <f t="shared" si="7"/>
        <v>2.4765384001174837</v>
      </c>
      <c r="I98" s="1">
        <f t="shared" si="8"/>
        <v>4.5807586338965169</v>
      </c>
      <c r="J98" s="1">
        <f t="shared" si="9"/>
        <v>5.136145435662808</v>
      </c>
    </row>
    <row r="99" spans="1:10" x14ac:dyDescent="0.3">
      <c r="A99" s="1">
        <v>9595</v>
      </c>
      <c r="B99" s="1">
        <v>12.22</v>
      </c>
      <c r="C99" s="1">
        <v>99.778300000000002</v>
      </c>
      <c r="D99" s="1">
        <v>170.702</v>
      </c>
      <c r="E99" s="2">
        <v>-1148.5453994104901</v>
      </c>
      <c r="F99" s="1">
        <f t="shared" si="5"/>
        <v>1319156.5345070022</v>
      </c>
      <c r="G99" s="1">
        <f t="shared" si="6"/>
        <v>14.09250310131222</v>
      </c>
      <c r="H99" s="1">
        <f t="shared" si="7"/>
        <v>2.5030739537434492</v>
      </c>
      <c r="I99" s="1">
        <f t="shared" si="8"/>
        <v>4.6029507248052903</v>
      </c>
      <c r="J99" s="1">
        <f t="shared" si="9"/>
        <v>5.1399193461933859</v>
      </c>
    </row>
    <row r="100" spans="1:10" x14ac:dyDescent="0.3">
      <c r="A100" s="1">
        <v>9627</v>
      </c>
      <c r="B100" s="1">
        <v>12.34</v>
      </c>
      <c r="C100" s="1">
        <v>101.188</v>
      </c>
      <c r="D100" s="1">
        <v>172.827</v>
      </c>
      <c r="E100" s="2">
        <v>-1244.9092485766159</v>
      </c>
      <c r="F100" s="1">
        <f t="shared" si="5"/>
        <v>1549799.0371915945</v>
      </c>
      <c r="G100" s="1">
        <f t="shared" si="6"/>
        <v>14.253635827064921</v>
      </c>
      <c r="H100" s="1">
        <f t="shared" si="7"/>
        <v>2.5128460184772416</v>
      </c>
      <c r="I100" s="1">
        <f t="shared" si="8"/>
        <v>4.6169801727474491</v>
      </c>
      <c r="J100" s="1">
        <f t="shared" si="9"/>
        <v>5.1522910941641955</v>
      </c>
    </row>
    <row r="101" spans="1:10" x14ac:dyDescent="0.3">
      <c r="A101" s="1">
        <v>9437</v>
      </c>
      <c r="B101" s="1">
        <v>12.27</v>
      </c>
      <c r="C101" s="1">
        <v>102.878</v>
      </c>
      <c r="D101" s="1">
        <v>175.988</v>
      </c>
      <c r="E101" s="2">
        <v>-1487.7486329538333</v>
      </c>
      <c r="F101" s="1">
        <f t="shared" si="5"/>
        <v>2213395.9948559999</v>
      </c>
      <c r="G101" s="1">
        <f t="shared" si="6"/>
        <v>14.610038543312676</v>
      </c>
      <c r="H101" s="1">
        <f t="shared" si="7"/>
        <v>2.5071572587228199</v>
      </c>
      <c r="I101" s="1">
        <f t="shared" si="8"/>
        <v>4.6335438201759311</v>
      </c>
      <c r="J101" s="1">
        <f t="shared" si="9"/>
        <v>5.1704158108954843</v>
      </c>
    </row>
    <row r="102" spans="1:10" x14ac:dyDescent="0.3">
      <c r="A102" s="1">
        <v>9657</v>
      </c>
      <c r="B102" s="1">
        <v>12.0884</v>
      </c>
      <c r="C102" s="1">
        <v>105.428</v>
      </c>
      <c r="D102" s="1">
        <v>176.22399999999999</v>
      </c>
      <c r="E102" s="2">
        <v>-1218.525939278763</v>
      </c>
      <c r="F102" s="1">
        <f t="shared" si="5"/>
        <v>1484805.4646951915</v>
      </c>
      <c r="G102" s="1">
        <f t="shared" si="6"/>
        <v>14.210794321432402</v>
      </c>
      <c r="H102" s="1">
        <f t="shared" si="7"/>
        <v>2.4922463150913861</v>
      </c>
      <c r="I102" s="1">
        <f t="shared" si="8"/>
        <v>4.6580282554762702</v>
      </c>
      <c r="J102" s="1">
        <f t="shared" si="9"/>
        <v>5.1717559130800712</v>
      </c>
    </row>
    <row r="103" spans="1:10" x14ac:dyDescent="0.3">
      <c r="A103" s="1">
        <v>9727</v>
      </c>
      <c r="B103" s="1">
        <v>12.2705</v>
      </c>
      <c r="C103" s="1">
        <v>105.58799999999999</v>
      </c>
      <c r="D103" s="1">
        <v>176.85400000000001</v>
      </c>
      <c r="E103" s="2">
        <v>-1259.7800743109801</v>
      </c>
      <c r="F103" s="1">
        <f t="shared" si="5"/>
        <v>1587045.8356309787</v>
      </c>
      <c r="G103" s="1">
        <f t="shared" si="6"/>
        <v>14.277384881026554</v>
      </c>
      <c r="H103" s="1">
        <f t="shared" si="7"/>
        <v>2.5071980076888205</v>
      </c>
      <c r="I103" s="1">
        <f t="shared" si="8"/>
        <v>4.659544728451424</v>
      </c>
      <c r="J103" s="1">
        <f t="shared" si="9"/>
        <v>5.1753245334335913</v>
      </c>
    </row>
    <row r="104" spans="1:10" x14ac:dyDescent="0.3">
      <c r="A104" s="1">
        <v>9737</v>
      </c>
      <c r="B104" s="1">
        <v>12.334</v>
      </c>
      <c r="C104" s="1">
        <v>104.498</v>
      </c>
      <c r="D104" s="1">
        <v>180.52699999999999</v>
      </c>
      <c r="E104" s="2">
        <v>-1337.2586660417965</v>
      </c>
      <c r="F104" s="1">
        <f t="shared" si="5"/>
        <v>1788260.7399038849</v>
      </c>
      <c r="G104" s="1">
        <f t="shared" si="6"/>
        <v>14.396754051770509</v>
      </c>
      <c r="H104" s="1">
        <f t="shared" si="7"/>
        <v>2.512359676569301</v>
      </c>
      <c r="I104" s="1">
        <f t="shared" si="8"/>
        <v>4.6491679324657369</v>
      </c>
      <c r="J104" s="1">
        <f t="shared" si="9"/>
        <v>5.1958803510738258</v>
      </c>
    </row>
    <row r="105" spans="1:10" x14ac:dyDescent="0.3">
      <c r="A105" s="1">
        <v>9776</v>
      </c>
      <c r="B105" s="1">
        <v>12.651199999999999</v>
      </c>
      <c r="C105" s="1">
        <v>104.818</v>
      </c>
      <c r="D105" s="1">
        <v>184.476</v>
      </c>
      <c r="E105" s="2">
        <v>-1548.5794809347608</v>
      </c>
      <c r="F105" s="1">
        <f t="shared" si="5"/>
        <v>2398098.4087721733</v>
      </c>
      <c r="G105" s="1">
        <f t="shared" si="6"/>
        <v>14.69018665158085</v>
      </c>
      <c r="H105" s="1">
        <f t="shared" si="7"/>
        <v>2.5377520723345257</v>
      </c>
      <c r="I105" s="1">
        <f t="shared" si="8"/>
        <v>4.652225512863807</v>
      </c>
      <c r="J105" s="1">
        <f t="shared" si="9"/>
        <v>5.2175193737184626</v>
      </c>
    </row>
    <row r="106" spans="1:10" x14ac:dyDescent="0.3">
      <c r="A106" s="1">
        <v>9786</v>
      </c>
      <c r="B106" s="1">
        <v>12.8226</v>
      </c>
      <c r="C106" s="1">
        <v>105.27800000000001</v>
      </c>
      <c r="D106" s="1">
        <v>188.227</v>
      </c>
      <c r="E106" s="2">
        <v>-1710.2572801524966</v>
      </c>
      <c r="F106" s="1">
        <f t="shared" si="5"/>
        <v>2924979.9643146154</v>
      </c>
      <c r="G106" s="1">
        <f t="shared" si="6"/>
        <v>14.888798188817665</v>
      </c>
      <c r="H106" s="1">
        <f t="shared" si="7"/>
        <v>2.5512092390420635</v>
      </c>
      <c r="I106" s="1">
        <f t="shared" si="8"/>
        <v>4.6566044704360765</v>
      </c>
      <c r="J106" s="1">
        <f t="shared" si="9"/>
        <v>5.2376486812608212</v>
      </c>
    </row>
    <row r="107" spans="1:10" x14ac:dyDescent="0.3">
      <c r="A107" s="1">
        <v>9733</v>
      </c>
      <c r="B107" s="1">
        <v>13.0785</v>
      </c>
      <c r="C107" s="1">
        <v>102.688</v>
      </c>
      <c r="D107" s="1">
        <v>190.077</v>
      </c>
      <c r="E107" s="2">
        <v>-1891.9501094476927</v>
      </c>
      <c r="F107" s="1">
        <f t="shared" si="5"/>
        <v>3579475.2166391364</v>
      </c>
      <c r="G107" s="1">
        <f t="shared" si="6"/>
        <v>15.090726760100914</v>
      </c>
      <c r="H107" s="1">
        <f t="shared" si="7"/>
        <v>2.5709696605538426</v>
      </c>
      <c r="I107" s="1">
        <f t="shared" si="8"/>
        <v>4.6316952649274468</v>
      </c>
      <c r="J107" s="1">
        <f t="shared" si="9"/>
        <v>5.2474292532214468</v>
      </c>
    </row>
    <row r="108" spans="1:10" x14ac:dyDescent="0.3">
      <c r="A108" s="1">
        <v>9797</v>
      </c>
      <c r="B108" s="1">
        <v>13.183299999999999</v>
      </c>
      <c r="C108" s="1">
        <v>104.58799999999999</v>
      </c>
      <c r="D108" s="1">
        <v>191.96600000000001</v>
      </c>
      <c r="E108" s="2">
        <v>-1951.7631788136841</v>
      </c>
      <c r="F108" s="1">
        <f t="shared" si="5"/>
        <v>3809379.5061728973</v>
      </c>
      <c r="G108" s="1">
        <f t="shared" si="6"/>
        <v>15.152976874567667</v>
      </c>
      <c r="H108" s="1">
        <f t="shared" si="7"/>
        <v>2.5789508770973502</v>
      </c>
      <c r="I108" s="1">
        <f t="shared" si="8"/>
        <v>4.650028822296318</v>
      </c>
      <c r="J108" s="1">
        <f t="shared" si="9"/>
        <v>5.2573182730133432</v>
      </c>
    </row>
    <row r="109" spans="1:10" x14ac:dyDescent="0.3">
      <c r="A109" s="1">
        <v>9805</v>
      </c>
      <c r="B109" s="1">
        <v>13.407299999999999</v>
      </c>
      <c r="C109" s="1">
        <v>106.398</v>
      </c>
      <c r="D109" s="1">
        <v>191.38900000000001</v>
      </c>
      <c r="E109" s="2">
        <v>-2080.8128135199058</v>
      </c>
      <c r="F109" s="1">
        <f t="shared" si="5"/>
        <v>4329781.9649086269</v>
      </c>
      <c r="G109" s="1">
        <f t="shared" si="6"/>
        <v>15.281027744186275</v>
      </c>
      <c r="H109" s="1">
        <f t="shared" si="7"/>
        <v>2.5957993347396298</v>
      </c>
      <c r="I109" s="1">
        <f t="shared" si="8"/>
        <v>4.6671867797383975</v>
      </c>
      <c r="J109" s="1">
        <f t="shared" si="9"/>
        <v>5.2543080061029501</v>
      </c>
    </row>
    <row r="110" spans="1:10" x14ac:dyDescent="0.3">
      <c r="A110" s="1">
        <v>12273</v>
      </c>
      <c r="B110" s="1">
        <v>13.6195</v>
      </c>
      <c r="C110" s="1">
        <v>105.91800000000001</v>
      </c>
      <c r="D110" s="1">
        <v>193.71</v>
      </c>
      <c r="E110" s="2">
        <v>237.48621806926531</v>
      </c>
      <c r="F110" s="1">
        <f t="shared" si="5"/>
        <v>56399.703772842637</v>
      </c>
      <c r="G110" s="1">
        <f t="shared" si="6"/>
        <v>10.940219185217794</v>
      </c>
      <c r="H110" s="1">
        <f t="shared" si="7"/>
        <v>2.6115025893279813</v>
      </c>
      <c r="I110" s="1">
        <f t="shared" si="8"/>
        <v>4.6626652098352013</v>
      </c>
      <c r="J110" s="1">
        <f t="shared" si="9"/>
        <v>5.2663621953064856</v>
      </c>
    </row>
    <row r="111" spans="1:10" x14ac:dyDescent="0.3">
      <c r="A111" s="1">
        <v>12242</v>
      </c>
      <c r="B111" s="1">
        <v>13.675000000000001</v>
      </c>
      <c r="C111" s="1">
        <v>105.608</v>
      </c>
      <c r="D111" s="1">
        <v>192.63499999999999</v>
      </c>
      <c r="E111" s="2">
        <v>203.3228629418154</v>
      </c>
      <c r="F111" s="1">
        <f t="shared" si="5"/>
        <v>41340.186594856248</v>
      </c>
      <c r="G111" s="1">
        <f t="shared" si="6"/>
        <v>10.629590346889247</v>
      </c>
      <c r="H111" s="1">
        <f t="shared" si="7"/>
        <v>2.6155693483080449</v>
      </c>
      <c r="I111" s="1">
        <f t="shared" si="8"/>
        <v>4.6597341259784582</v>
      </c>
      <c r="J111" s="1">
        <f t="shared" si="9"/>
        <v>5.2607972066341135</v>
      </c>
    </row>
    <row r="112" spans="1:10" x14ac:dyDescent="0.3">
      <c r="A112" s="1">
        <v>11849</v>
      </c>
      <c r="B112" s="1">
        <v>13.608499999999999</v>
      </c>
      <c r="C112" s="1">
        <v>105.328</v>
      </c>
      <c r="D112" s="1">
        <v>195.33699999999999</v>
      </c>
      <c r="E112" s="2">
        <v>-202.80559241865558</v>
      </c>
      <c r="F112" s="1">
        <f t="shared" si="5"/>
        <v>41130.108316281847</v>
      </c>
      <c r="G112" s="1">
        <f t="shared" si="6"/>
        <v>10.62449569473138</v>
      </c>
      <c r="H112" s="1">
        <f t="shared" si="7"/>
        <v>2.6106945975108484</v>
      </c>
      <c r="I112" s="1">
        <f t="shared" si="8"/>
        <v>4.6570792907255205</v>
      </c>
      <c r="J112" s="1">
        <f t="shared" si="9"/>
        <v>5.2747262720637815</v>
      </c>
    </row>
    <row r="113" spans="1:10" x14ac:dyDescent="0.3">
      <c r="A113" s="1">
        <v>12110</v>
      </c>
      <c r="B113" s="1">
        <v>13.6098</v>
      </c>
      <c r="C113" s="1">
        <v>105.348</v>
      </c>
      <c r="D113" s="1">
        <v>198.066</v>
      </c>
      <c r="E113" s="2">
        <v>3.7330149082990829</v>
      </c>
      <c r="F113" s="1">
        <f t="shared" si="5"/>
        <v>13.93540030558321</v>
      </c>
      <c r="G113" s="1">
        <f t="shared" si="6"/>
        <v>2.6344323871508908</v>
      </c>
      <c r="H113" s="1">
        <f t="shared" si="7"/>
        <v>2.6107901214782516</v>
      </c>
      <c r="I113" s="1">
        <f t="shared" si="8"/>
        <v>4.657269155732072</v>
      </c>
      <c r="J113" s="1">
        <f t="shared" si="9"/>
        <v>5.2886003084846553</v>
      </c>
    </row>
    <row r="114" spans="1:10" x14ac:dyDescent="0.3">
      <c r="A114" s="1">
        <v>12140</v>
      </c>
      <c r="B114" s="1">
        <v>13.5421</v>
      </c>
      <c r="C114" s="1">
        <v>105.068</v>
      </c>
      <c r="D114" s="1">
        <v>198.512</v>
      </c>
      <c r="E114" s="2">
        <v>65.419393846266757</v>
      </c>
      <c r="F114" s="1">
        <f t="shared" si="5"/>
        <v>4279.6970912129646</v>
      </c>
      <c r="G114" s="1">
        <f t="shared" si="6"/>
        <v>8.3616375129902263</v>
      </c>
      <c r="H114" s="1">
        <f t="shared" si="7"/>
        <v>2.6058033514698029</v>
      </c>
      <c r="I114" s="1">
        <f t="shared" si="8"/>
        <v>4.6546077595904221</v>
      </c>
      <c r="J114" s="1">
        <f t="shared" si="9"/>
        <v>5.2908495517005161</v>
      </c>
    </row>
    <row r="115" spans="1:10" x14ac:dyDescent="0.3">
      <c r="A115" s="1">
        <v>12323</v>
      </c>
      <c r="B115" s="1">
        <v>13.728300000000001</v>
      </c>
      <c r="C115" s="1">
        <v>105.11799999999999</v>
      </c>
      <c r="D115" s="1">
        <v>200.41399999999999</v>
      </c>
      <c r="E115" s="2">
        <v>111.906230612527</v>
      </c>
      <c r="F115" s="1">
        <f t="shared" si="5"/>
        <v>12523.004449904074</v>
      </c>
      <c r="G115" s="1">
        <f t="shared" si="6"/>
        <v>9.4353225879024727</v>
      </c>
      <c r="H115" s="1">
        <f t="shared" si="7"/>
        <v>2.6194593956536831</v>
      </c>
      <c r="I115" s="1">
        <f t="shared" si="8"/>
        <v>4.655083528680116</v>
      </c>
      <c r="J115" s="1">
        <f t="shared" si="9"/>
        <v>5.3003852270500351</v>
      </c>
    </row>
    <row r="116" spans="1:10" x14ac:dyDescent="0.3">
      <c r="A116" s="1">
        <v>12363</v>
      </c>
      <c r="B116" s="1">
        <v>13.7623</v>
      </c>
      <c r="C116" s="1">
        <v>105.288</v>
      </c>
      <c r="D116" s="1">
        <v>202.958</v>
      </c>
      <c r="E116" s="2">
        <v>81.30010419809696</v>
      </c>
      <c r="F116" s="1">
        <f t="shared" si="5"/>
        <v>6609.706942621423</v>
      </c>
      <c r="G116" s="1">
        <f t="shared" si="6"/>
        <v>8.7962945964047048</v>
      </c>
      <c r="H116" s="1">
        <f t="shared" si="7"/>
        <v>2.6219329696997891</v>
      </c>
      <c r="I116" s="1">
        <f t="shared" si="8"/>
        <v>4.6566994525320222</v>
      </c>
      <c r="J116" s="1">
        <f t="shared" si="9"/>
        <v>5.3129990610840192</v>
      </c>
    </row>
    <row r="117" spans="1:10" x14ac:dyDescent="0.3">
      <c r="A117" s="1">
        <v>12360</v>
      </c>
      <c r="B117" s="1">
        <v>13.277200000000001</v>
      </c>
      <c r="C117" s="1">
        <v>104.72799999999999</v>
      </c>
      <c r="D117" s="1">
        <v>205.792</v>
      </c>
      <c r="E117" s="2">
        <v>288.51800193143208</v>
      </c>
      <c r="F117" s="1">
        <f t="shared" si="5"/>
        <v>83242.637438505844</v>
      </c>
      <c r="G117" s="1">
        <f t="shared" si="6"/>
        <v>11.329514964754608</v>
      </c>
      <c r="H117" s="1">
        <f t="shared" si="7"/>
        <v>2.5860482784442049</v>
      </c>
      <c r="I117" s="1">
        <f t="shared" si="8"/>
        <v>4.6513665128777975</v>
      </c>
      <c r="J117" s="1">
        <f t="shared" si="9"/>
        <v>5.3268659499524524</v>
      </c>
    </row>
    <row r="118" spans="1:10" x14ac:dyDescent="0.3">
      <c r="A118" s="1">
        <v>12299</v>
      </c>
      <c r="B118" s="1">
        <v>13.1965</v>
      </c>
      <c r="C118" s="1">
        <v>106.36799999999999</v>
      </c>
      <c r="D118" s="1">
        <v>207.917</v>
      </c>
      <c r="E118" s="2">
        <v>201.45064206017378</v>
      </c>
      <c r="F118" s="1">
        <f t="shared" si="5"/>
        <v>40582.361186456255</v>
      </c>
      <c r="G118" s="1">
        <f t="shared" si="6"/>
        <v>10.611088797651984</v>
      </c>
      <c r="H118" s="1">
        <f t="shared" si="7"/>
        <v>2.5799516429182958</v>
      </c>
      <c r="I118" s="1">
        <f t="shared" si="8"/>
        <v>4.6669047797929286</v>
      </c>
      <c r="J118" s="1">
        <f t="shared" si="9"/>
        <v>5.3371389616027463</v>
      </c>
    </row>
    <row r="119" spans="1:10" x14ac:dyDescent="0.3">
      <c r="A119" s="1">
        <v>12306</v>
      </c>
      <c r="B119" s="1">
        <v>11.8978</v>
      </c>
      <c r="C119" s="1">
        <v>108.688</v>
      </c>
      <c r="D119" s="1">
        <v>210.92099999999999</v>
      </c>
      <c r="E119" s="2">
        <v>797.84768989296572</v>
      </c>
      <c r="F119" s="1">
        <f t="shared" si="5"/>
        <v>636560.93626754195</v>
      </c>
      <c r="G119" s="1">
        <f t="shared" si="6"/>
        <v>13.363835428874047</v>
      </c>
      <c r="H119" s="1">
        <f t="shared" si="7"/>
        <v>2.4763535090766089</v>
      </c>
      <c r="I119" s="1">
        <f t="shared" si="8"/>
        <v>4.6884813924489466</v>
      </c>
      <c r="J119" s="1">
        <f t="shared" si="9"/>
        <v>5.3514836557851089</v>
      </c>
    </row>
    <row r="120" spans="1:10" x14ac:dyDescent="0.3">
      <c r="A120" s="1">
        <v>12267</v>
      </c>
      <c r="B120" s="1">
        <v>11.798</v>
      </c>
      <c r="C120" s="1">
        <v>109.428</v>
      </c>
      <c r="D120" s="1">
        <v>211.524</v>
      </c>
      <c r="E120" s="2">
        <v>787.56488454691134</v>
      </c>
      <c r="F120" s="1">
        <f t="shared" si="5"/>
        <v>620258.44737138983</v>
      </c>
      <c r="G120" s="1">
        <f t="shared" si="6"/>
        <v>13.337891520762216</v>
      </c>
      <c r="H120" s="1">
        <f t="shared" si="7"/>
        <v>2.4679300255808836</v>
      </c>
      <c r="I120" s="1">
        <f t="shared" si="8"/>
        <v>4.6952667987395289</v>
      </c>
      <c r="J120" s="1">
        <f t="shared" si="9"/>
        <v>5.3543384672258165</v>
      </c>
    </row>
    <row r="121" spans="1:10" x14ac:dyDescent="0.3">
      <c r="A121" s="1">
        <v>12281</v>
      </c>
      <c r="B121" s="1">
        <v>11.671799999999999</v>
      </c>
      <c r="C121" s="1">
        <v>108.248</v>
      </c>
      <c r="D121" s="1">
        <v>210.042</v>
      </c>
      <c r="E121" s="2">
        <v>916.8163764525998</v>
      </c>
      <c r="F121" s="1">
        <f t="shared" si="5"/>
        <v>840552.2681316752</v>
      </c>
      <c r="G121" s="1">
        <f t="shared" si="6"/>
        <v>13.641814416847517</v>
      </c>
      <c r="H121" s="1">
        <f t="shared" si="7"/>
        <v>2.457175676049689</v>
      </c>
      <c r="I121" s="1">
        <f t="shared" si="8"/>
        <v>4.6844248909613428</v>
      </c>
      <c r="J121" s="1">
        <f t="shared" si="9"/>
        <v>5.3473075107201353</v>
      </c>
    </row>
    <row r="122" spans="1:10" x14ac:dyDescent="0.3">
      <c r="A122" s="1">
        <v>11930</v>
      </c>
      <c r="B122" s="1">
        <v>11.6264</v>
      </c>
      <c r="C122" s="1">
        <v>108.098</v>
      </c>
      <c r="D122" s="1">
        <v>213.26900000000001</v>
      </c>
      <c r="E122" s="2">
        <v>529.10215712772333</v>
      </c>
      <c r="F122" s="1">
        <f t="shared" si="5"/>
        <v>279949.09267721005</v>
      </c>
      <c r="G122" s="1">
        <f t="shared" si="6"/>
        <v>12.542363053754499</v>
      </c>
      <c r="H122" s="1">
        <f t="shared" si="7"/>
        <v>2.4532783743298237</v>
      </c>
      <c r="I122" s="1">
        <f t="shared" si="8"/>
        <v>4.683038223086406</v>
      </c>
      <c r="J122" s="1">
        <f t="shared" si="9"/>
        <v>5.3625542797064938</v>
      </c>
    </row>
    <row r="123" spans="1:10" x14ac:dyDescent="0.3">
      <c r="A123" s="1">
        <v>11282</v>
      </c>
      <c r="B123" s="1">
        <v>11.807</v>
      </c>
      <c r="C123" s="1">
        <v>107.468</v>
      </c>
      <c r="D123" s="1">
        <v>213.91200000000001</v>
      </c>
      <c r="E123" s="2">
        <v>-216.55151185273644</v>
      </c>
      <c r="F123" s="1">
        <f t="shared" si="5"/>
        <v>46894.557285705851</v>
      </c>
      <c r="G123" s="1">
        <f t="shared" si="6"/>
        <v>10.755656898354834</v>
      </c>
      <c r="H123" s="1">
        <f t="shared" si="7"/>
        <v>2.4686925759249729</v>
      </c>
      <c r="I123" s="1">
        <f t="shared" si="8"/>
        <v>4.677193128835289</v>
      </c>
      <c r="J123" s="1">
        <f t="shared" si="9"/>
        <v>5.365564715496526</v>
      </c>
    </row>
    <row r="124" spans="1:10" x14ac:dyDescent="0.3">
      <c r="A124" s="1">
        <v>11402</v>
      </c>
      <c r="B124" s="1">
        <v>11.928800000000001</v>
      </c>
      <c r="C124" s="1">
        <v>108.488</v>
      </c>
      <c r="D124" s="1">
        <v>216.417</v>
      </c>
      <c r="E124" s="2">
        <v>-226.86531715399542</v>
      </c>
      <c r="F124" s="1">
        <f t="shared" si="5"/>
        <v>51467.872127382929</v>
      </c>
      <c r="G124" s="1">
        <f t="shared" si="6"/>
        <v>10.848713049794585</v>
      </c>
      <c r="H124" s="1">
        <f t="shared" si="7"/>
        <v>2.4789556442945608</v>
      </c>
      <c r="I124" s="1">
        <f t="shared" si="8"/>
        <v>4.6866395677856438</v>
      </c>
      <c r="J124" s="1">
        <f t="shared" si="9"/>
        <v>5.3772071021122994</v>
      </c>
    </row>
    <row r="125" spans="1:10" x14ac:dyDescent="0.3">
      <c r="A125" s="1">
        <v>11361</v>
      </c>
      <c r="B125" s="1">
        <v>11.9414</v>
      </c>
      <c r="C125" s="1">
        <v>109.648</v>
      </c>
      <c r="D125" s="1">
        <v>220.37899999999999</v>
      </c>
      <c r="E125" s="2">
        <v>-371.29620639252971</v>
      </c>
      <c r="F125" s="1">
        <f t="shared" si="5"/>
        <v>137860.87288148401</v>
      </c>
      <c r="G125" s="1">
        <f t="shared" si="6"/>
        <v>11.834000288071158</v>
      </c>
      <c r="H125" s="1">
        <f t="shared" si="7"/>
        <v>2.4800113540221917</v>
      </c>
      <c r="I125" s="1">
        <f t="shared" si="8"/>
        <v>4.6972752348434677</v>
      </c>
      <c r="J125" s="1">
        <f t="shared" si="9"/>
        <v>5.3953487914324922</v>
      </c>
    </row>
    <row r="126" spans="1:10" x14ac:dyDescent="0.3">
      <c r="A126" s="1">
        <v>11187</v>
      </c>
      <c r="B126" s="1">
        <v>11.942</v>
      </c>
      <c r="C126" s="1">
        <v>112.008</v>
      </c>
      <c r="D126" s="1">
        <v>222.911</v>
      </c>
      <c r="E126" s="2">
        <v>-634.21968290931545</v>
      </c>
      <c r="F126" s="1">
        <f t="shared" si="5"/>
        <v>402234.60618959263</v>
      </c>
      <c r="G126" s="1">
        <f t="shared" si="6"/>
        <v>12.90479079486092</v>
      </c>
      <c r="H126" s="1">
        <f t="shared" si="7"/>
        <v>2.4800615981248009</v>
      </c>
      <c r="I126" s="1">
        <f t="shared" si="8"/>
        <v>4.7185702973156243</v>
      </c>
      <c r="J126" s="1">
        <f t="shared" si="9"/>
        <v>5.4067725886582512</v>
      </c>
    </row>
    <row r="127" spans="1:10" x14ac:dyDescent="0.3">
      <c r="A127" s="1">
        <v>11125</v>
      </c>
      <c r="B127" s="1">
        <v>11.9419</v>
      </c>
      <c r="C127" s="1">
        <v>109.788</v>
      </c>
      <c r="D127" s="1">
        <v>222.989</v>
      </c>
      <c r="E127" s="2">
        <v>-660.98833086191007</v>
      </c>
      <c r="F127" s="1">
        <f t="shared" si="5"/>
        <v>436905.57353561389</v>
      </c>
      <c r="G127" s="1">
        <f t="shared" si="6"/>
        <v>12.987472371863454</v>
      </c>
      <c r="H127" s="1">
        <f t="shared" si="7"/>
        <v>2.4800532242830076</v>
      </c>
      <c r="I127" s="1">
        <f t="shared" si="8"/>
        <v>4.6985512334853983</v>
      </c>
      <c r="J127" s="1">
        <f t="shared" si="9"/>
        <v>5.4071224428892251</v>
      </c>
    </row>
    <row r="128" spans="1:10" x14ac:dyDescent="0.3">
      <c r="A128" s="1">
        <v>12284</v>
      </c>
      <c r="B128" s="1">
        <v>11.8424</v>
      </c>
      <c r="C128" s="1">
        <v>108.928</v>
      </c>
      <c r="D128" s="1">
        <v>222.43799999999999</v>
      </c>
      <c r="E128" s="2">
        <v>575.6244229999138</v>
      </c>
      <c r="F128" s="1">
        <f t="shared" si="5"/>
        <v>331343.47635398369</v>
      </c>
      <c r="G128" s="1">
        <f t="shared" si="6"/>
        <v>12.710910809240422</v>
      </c>
      <c r="H128" s="1">
        <f t="shared" si="7"/>
        <v>2.4716863116171455</v>
      </c>
      <c r="I128" s="1">
        <f t="shared" si="8"/>
        <v>4.6906871135108545</v>
      </c>
      <c r="J128" s="1">
        <f t="shared" si="9"/>
        <v>5.4046484110903075</v>
      </c>
    </row>
    <row r="129" spans="1:10" x14ac:dyDescent="0.3">
      <c r="A129" s="1">
        <v>12263</v>
      </c>
      <c r="B129" s="1">
        <v>10.4314</v>
      </c>
      <c r="C129" s="1">
        <v>108.068</v>
      </c>
      <c r="D129" s="1">
        <v>224.43199999999999</v>
      </c>
      <c r="E129" s="2">
        <v>1275.7494773154231</v>
      </c>
      <c r="F129" s="1">
        <f t="shared" si="5"/>
        <v>1627536.7288705751</v>
      </c>
      <c r="G129" s="1">
        <f t="shared" si="6"/>
        <v>14.302578220472627</v>
      </c>
      <c r="H129" s="1">
        <f t="shared" si="7"/>
        <v>2.3448204881928034</v>
      </c>
      <c r="I129" s="1">
        <f t="shared" si="8"/>
        <v>4.6827606586202766</v>
      </c>
      <c r="J129" s="1">
        <f t="shared" si="9"/>
        <v>5.4135727659773156</v>
      </c>
    </row>
    <row r="130" spans="1:10" x14ac:dyDescent="0.3">
      <c r="A130" s="1">
        <v>11040</v>
      </c>
      <c r="B130" s="1">
        <v>10.230700000000001</v>
      </c>
      <c r="C130" s="1">
        <v>106.58799999999999</v>
      </c>
      <c r="D130" s="1">
        <v>226.203</v>
      </c>
      <c r="E130" s="2">
        <v>148.64204729384073</v>
      </c>
      <c r="F130" s="1">
        <f t="shared" si="5"/>
        <v>22094.458223704387</v>
      </c>
      <c r="G130" s="1">
        <f t="shared" si="6"/>
        <v>10.003082096952124</v>
      </c>
      <c r="H130" s="1">
        <f t="shared" si="7"/>
        <v>2.3253930038200283</v>
      </c>
      <c r="I130" s="1">
        <f t="shared" si="8"/>
        <v>4.6689709350387529</v>
      </c>
      <c r="J130" s="1">
        <f t="shared" si="9"/>
        <v>5.4214328261935423</v>
      </c>
    </row>
    <row r="131" spans="1:10" x14ac:dyDescent="0.3">
      <c r="A131" s="1">
        <v>10933</v>
      </c>
      <c r="B131" s="1">
        <v>9.6466999999999992</v>
      </c>
      <c r="C131" s="1">
        <v>105.188</v>
      </c>
      <c r="D131" s="1">
        <v>227.06899999999999</v>
      </c>
      <c r="E131" s="2">
        <v>356.57466409559856</v>
      </c>
      <c r="F131" s="1">
        <f t="shared" ref="F131:F133" si="10">E131^2</f>
        <v>127145.49107488895</v>
      </c>
      <c r="G131" s="1">
        <f t="shared" ref="G131:G133" si="11">LN(F131)</f>
        <v>11.753087308757781</v>
      </c>
      <c r="H131" s="1">
        <f t="shared" ref="H131:H133" si="12">LN(B131)</f>
        <v>2.2666158879542753</v>
      </c>
      <c r="I131" s="1">
        <f t="shared" ref="I131:I133" si="13">LN(C131)</f>
        <v>4.6557492253562458</v>
      </c>
      <c r="J131" s="1">
        <f t="shared" ref="J131:J133" si="14">LN(D131)</f>
        <v>5.4252539360511847</v>
      </c>
    </row>
    <row r="132" spans="1:10" x14ac:dyDescent="0.3">
      <c r="A132" s="1">
        <v>10930</v>
      </c>
      <c r="B132" s="1">
        <v>9.3192000000000004</v>
      </c>
      <c r="C132" s="1">
        <v>104.828</v>
      </c>
      <c r="D132" s="1">
        <v>226.17699999999999</v>
      </c>
      <c r="E132" s="2">
        <v>550.13533139386345</v>
      </c>
      <c r="F132" s="1">
        <f t="shared" si="10"/>
        <v>302648.88284783595</v>
      </c>
      <c r="G132" s="1">
        <f t="shared" si="11"/>
        <v>12.62032861007838</v>
      </c>
      <c r="H132" s="1">
        <f t="shared" si="12"/>
        <v>2.2320767881034302</v>
      </c>
      <c r="I132" s="1">
        <f t="shared" si="13"/>
        <v>4.6523209117744235</v>
      </c>
      <c r="J132" s="1">
        <f t="shared" si="14"/>
        <v>5.4213178785829994</v>
      </c>
    </row>
    <row r="133" spans="1:10" x14ac:dyDescent="0.3">
      <c r="A133" s="1">
        <v>10909</v>
      </c>
      <c r="B133" s="1">
        <v>9.2840000000000007</v>
      </c>
      <c r="C133" s="1">
        <v>104.468</v>
      </c>
      <c r="D133" s="1">
        <v>226.702</v>
      </c>
      <c r="E133" s="2">
        <v>543.41553451539585</v>
      </c>
      <c r="F133" s="1">
        <f t="shared" si="10"/>
        <v>295300.4431526534</v>
      </c>
      <c r="G133" s="1">
        <f t="shared" si="11"/>
        <v>12.59574856841715</v>
      </c>
      <c r="H133" s="1">
        <f t="shared" si="12"/>
        <v>2.2282924884121909</v>
      </c>
      <c r="I133" s="1">
        <f t="shared" si="13"/>
        <v>4.6488808044142251</v>
      </c>
      <c r="J133" s="1">
        <f t="shared" si="14"/>
        <v>5.4236363797065925</v>
      </c>
    </row>
  </sheetData>
  <mergeCells count="1">
    <mergeCell ref="K8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3"/>
  <sheetViews>
    <sheetView workbookViewId="0">
      <selection activeCell="J2" sqref="J2"/>
    </sheetView>
  </sheetViews>
  <sheetFormatPr defaultRowHeight="14.4" x14ac:dyDescent="0.3"/>
  <cols>
    <col min="2" max="4" width="8.88671875" style="1"/>
  </cols>
  <sheetData>
    <row r="1" spans="1:19" x14ac:dyDescent="0.3">
      <c r="A1" t="s">
        <v>29</v>
      </c>
      <c r="B1" s="7" t="s">
        <v>1</v>
      </c>
      <c r="C1" s="7" t="s">
        <v>2</v>
      </c>
      <c r="D1" s="7" t="s">
        <v>3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</row>
    <row r="2" spans="1:19" x14ac:dyDescent="0.3">
      <c r="A2">
        <v>18073914.519136645</v>
      </c>
      <c r="B2" s="1">
        <v>6.3472</v>
      </c>
      <c r="C2" s="1">
        <v>102.158</v>
      </c>
      <c r="D2" s="1">
        <v>81.046599999999998</v>
      </c>
      <c r="E2">
        <f>B2^2</f>
        <v>40.286947839999996</v>
      </c>
      <c r="F2" s="1">
        <f t="shared" ref="F2:G2" si="0">C2^2</f>
        <v>10436.256964</v>
      </c>
      <c r="G2" s="1">
        <f t="shared" si="0"/>
        <v>6568.55137156</v>
      </c>
      <c r="H2">
        <f>B2*C2</f>
        <v>648.41725759999997</v>
      </c>
      <c r="I2">
        <f>B2*D2</f>
        <v>514.41897951999999</v>
      </c>
      <c r="J2">
        <f>C2*D2</f>
        <v>8279.5585628000008</v>
      </c>
      <c r="Q2" s="18" t="s">
        <v>30</v>
      </c>
    </row>
    <row r="3" spans="1:19" x14ac:dyDescent="0.3">
      <c r="A3">
        <v>21479087.761663638</v>
      </c>
      <c r="B3" s="1">
        <v>6.3861999999999997</v>
      </c>
      <c r="C3" s="1">
        <v>103.19799999999999</v>
      </c>
      <c r="D3" s="1">
        <v>81.322199999999995</v>
      </c>
      <c r="E3" s="1">
        <f t="shared" ref="E3:E66" si="1">B3^2</f>
        <v>40.783550439999999</v>
      </c>
      <c r="F3" s="1">
        <f t="shared" ref="F3:F66" si="2">C3^2</f>
        <v>10649.827203999999</v>
      </c>
      <c r="G3" s="1">
        <f t="shared" ref="G3:G66" si="3">D3^2</f>
        <v>6613.3002128399994</v>
      </c>
      <c r="H3" s="1">
        <f t="shared" ref="H3:H66" si="4">B3*C3</f>
        <v>659.04306759999997</v>
      </c>
      <c r="I3" s="1">
        <f t="shared" ref="I3:I66" si="5">B3*D3</f>
        <v>519.33983363999994</v>
      </c>
      <c r="J3" s="1">
        <f t="shared" ref="J3:J66" si="6">C3*D3</f>
        <v>8392.2883955999987</v>
      </c>
    </row>
    <row r="4" spans="1:19" x14ac:dyDescent="0.3">
      <c r="A4">
        <v>21852881.427862868</v>
      </c>
      <c r="B4" s="1">
        <v>6.4435000000000002</v>
      </c>
      <c r="C4" s="1">
        <v>103.63800000000001</v>
      </c>
      <c r="D4" s="1">
        <v>82.424400000000006</v>
      </c>
      <c r="E4" s="1">
        <f t="shared" si="1"/>
        <v>41.518692250000001</v>
      </c>
      <c r="F4" s="1">
        <f t="shared" si="2"/>
        <v>10740.835044000001</v>
      </c>
      <c r="G4" s="1">
        <f t="shared" si="3"/>
        <v>6793.7817153600008</v>
      </c>
      <c r="H4" s="1">
        <f t="shared" si="4"/>
        <v>667.79145300000005</v>
      </c>
      <c r="I4" s="1">
        <f t="shared" si="5"/>
        <v>531.1016214</v>
      </c>
      <c r="J4" s="1">
        <f t="shared" si="6"/>
        <v>8542.2999672000005</v>
      </c>
      <c r="N4" t="s">
        <v>5</v>
      </c>
    </row>
    <row r="5" spans="1:19" ht="15" thickBot="1" x14ac:dyDescent="0.35">
      <c r="A5">
        <v>21706217.105240665</v>
      </c>
      <c r="B5" s="1">
        <v>6.4488000000000003</v>
      </c>
      <c r="C5" s="1">
        <v>102.97799999999999</v>
      </c>
      <c r="D5" s="1">
        <v>82.7</v>
      </c>
      <c r="E5" s="1">
        <f t="shared" si="1"/>
        <v>41.587021440000001</v>
      </c>
      <c r="F5" s="1">
        <f t="shared" si="2"/>
        <v>10604.468483999999</v>
      </c>
      <c r="G5" s="1">
        <f t="shared" si="3"/>
        <v>6839.2900000000009</v>
      </c>
      <c r="H5" s="1">
        <f t="shared" si="4"/>
        <v>664.08452639999996</v>
      </c>
      <c r="I5" s="1">
        <f t="shared" si="5"/>
        <v>533.31576000000007</v>
      </c>
      <c r="J5" s="1">
        <f t="shared" si="6"/>
        <v>8516.2806</v>
      </c>
    </row>
    <row r="6" spans="1:19" x14ac:dyDescent="0.3">
      <c r="A6">
        <v>17400006.674614407</v>
      </c>
      <c r="B6" s="1">
        <v>6.4318999999999997</v>
      </c>
      <c r="C6" s="1">
        <v>100.498</v>
      </c>
      <c r="D6" s="1">
        <v>81.999300000000005</v>
      </c>
      <c r="E6" s="1">
        <f t="shared" si="1"/>
        <v>41.369337609999995</v>
      </c>
      <c r="F6" s="1">
        <f t="shared" si="2"/>
        <v>10099.848004000001</v>
      </c>
      <c r="G6" s="1">
        <f t="shared" si="3"/>
        <v>6723.8852004900009</v>
      </c>
      <c r="H6" s="1">
        <f t="shared" si="4"/>
        <v>646.39308619999997</v>
      </c>
      <c r="I6" s="1">
        <f t="shared" si="5"/>
        <v>527.41129767000007</v>
      </c>
      <c r="J6" s="1">
        <f t="shared" si="6"/>
        <v>8240.7656514000009</v>
      </c>
      <c r="K6" t="s">
        <v>48</v>
      </c>
      <c r="L6">
        <f>O11*O8</f>
        <v>56.639133152787345</v>
      </c>
      <c r="N6" s="5" t="s">
        <v>6</v>
      </c>
      <c r="O6" s="5"/>
    </row>
    <row r="7" spans="1:19" x14ac:dyDescent="0.3">
      <c r="A7">
        <v>17795038.080622658</v>
      </c>
      <c r="B7" s="1">
        <v>6.2809999999999997</v>
      </c>
      <c r="C7" s="1">
        <v>99.548299999999998</v>
      </c>
      <c r="D7" s="1">
        <v>82.589799999999997</v>
      </c>
      <c r="E7" s="1">
        <f t="shared" si="1"/>
        <v>39.450961</v>
      </c>
      <c r="F7" s="1">
        <f t="shared" si="2"/>
        <v>9909.8640328900001</v>
      </c>
      <c r="G7" s="1">
        <f t="shared" si="3"/>
        <v>6821.0750640399992</v>
      </c>
      <c r="H7" s="1">
        <f t="shared" si="4"/>
        <v>625.26287229999991</v>
      </c>
      <c r="I7" s="1">
        <f t="shared" si="5"/>
        <v>518.74653379999995</v>
      </c>
      <c r="J7" s="1">
        <f t="shared" si="6"/>
        <v>8221.6741873399988</v>
      </c>
      <c r="K7" t="s">
        <v>49</v>
      </c>
      <c r="L7">
        <f>_xlfn.CHISQ.INV(0.95,8)</f>
        <v>15.507313055865449</v>
      </c>
      <c r="N7" s="2" t="s">
        <v>7</v>
      </c>
      <c r="O7" s="2">
        <v>0.65504529772113529</v>
      </c>
    </row>
    <row r="8" spans="1:19" x14ac:dyDescent="0.3">
      <c r="A8">
        <v>20642596.596165154</v>
      </c>
      <c r="B8" s="1">
        <v>6.4044999999999996</v>
      </c>
      <c r="C8" s="1">
        <v>98.588399999999993</v>
      </c>
      <c r="D8" s="1">
        <v>83.487300000000005</v>
      </c>
      <c r="E8" s="1">
        <f t="shared" si="1"/>
        <v>41.017620249999993</v>
      </c>
      <c r="F8" s="1">
        <f t="shared" si="2"/>
        <v>9719.6726145599987</v>
      </c>
      <c r="G8" s="1">
        <f t="shared" si="3"/>
        <v>6970.1292612900006</v>
      </c>
      <c r="H8" s="1">
        <f t="shared" si="4"/>
        <v>631.40940779999994</v>
      </c>
      <c r="I8" s="1">
        <f t="shared" si="5"/>
        <v>534.69441285000005</v>
      </c>
      <c r="J8" s="1">
        <f t="shared" si="6"/>
        <v>8230.879327319999</v>
      </c>
      <c r="N8" s="2" t="s">
        <v>8</v>
      </c>
      <c r="O8" s="2">
        <v>0.42908434206657081</v>
      </c>
    </row>
    <row r="9" spans="1:19" x14ac:dyDescent="0.3">
      <c r="A9">
        <v>21112453.614970349</v>
      </c>
      <c r="B9" s="1">
        <v>6.3985000000000003</v>
      </c>
      <c r="C9" s="1">
        <v>99.828299999999999</v>
      </c>
      <c r="D9" s="1">
        <v>83.747100000000003</v>
      </c>
      <c r="E9" s="1">
        <f t="shared" si="1"/>
        <v>40.940802250000004</v>
      </c>
      <c r="F9" s="1">
        <f t="shared" si="2"/>
        <v>9965.6894808899997</v>
      </c>
      <c r="G9" s="1">
        <f t="shared" si="3"/>
        <v>7013.5767584100004</v>
      </c>
      <c r="H9" s="1">
        <f t="shared" si="4"/>
        <v>638.75137755000003</v>
      </c>
      <c r="I9" s="1">
        <f t="shared" si="5"/>
        <v>535.85581935000005</v>
      </c>
      <c r="J9" s="1">
        <f t="shared" si="6"/>
        <v>8360.3306229299997</v>
      </c>
      <c r="K9" t="s">
        <v>50</v>
      </c>
      <c r="N9" s="2" t="s">
        <v>9</v>
      </c>
      <c r="O9" s="2">
        <v>0.38696761320262935</v>
      </c>
    </row>
    <row r="10" spans="1:19" x14ac:dyDescent="0.3">
      <c r="A10">
        <v>20906263.038805254</v>
      </c>
      <c r="B10" s="1">
        <v>6.3651</v>
      </c>
      <c r="C10" s="1">
        <v>100.438</v>
      </c>
      <c r="D10" s="1">
        <v>83.904600000000002</v>
      </c>
      <c r="E10" s="1">
        <f t="shared" si="1"/>
        <v>40.514498009999997</v>
      </c>
      <c r="F10" s="1">
        <f t="shared" si="2"/>
        <v>10087.791844000001</v>
      </c>
      <c r="G10" s="1">
        <f t="shared" si="3"/>
        <v>7039.9819011600002</v>
      </c>
      <c r="H10" s="1">
        <f t="shared" si="4"/>
        <v>639.29791380000006</v>
      </c>
      <c r="I10" s="1">
        <f t="shared" si="5"/>
        <v>534.06116945999997</v>
      </c>
      <c r="J10" s="1">
        <f t="shared" si="6"/>
        <v>8427.2102148000013</v>
      </c>
      <c r="N10" s="2" t="s">
        <v>10</v>
      </c>
      <c r="O10" s="2">
        <v>7173420.8467065794</v>
      </c>
    </row>
    <row r="11" spans="1:19" ht="15" thickBot="1" x14ac:dyDescent="0.35">
      <c r="A11">
        <v>20923025.173014291</v>
      </c>
      <c r="B11" s="1">
        <v>6.3448000000000002</v>
      </c>
      <c r="C11" s="1">
        <v>100.858</v>
      </c>
      <c r="D11" s="1">
        <v>84.038399999999996</v>
      </c>
      <c r="E11" s="1">
        <f t="shared" si="1"/>
        <v>40.256487040000003</v>
      </c>
      <c r="F11" s="1">
        <f t="shared" si="2"/>
        <v>10172.336164</v>
      </c>
      <c r="G11" s="1">
        <f t="shared" si="3"/>
        <v>7062.4526745599997</v>
      </c>
      <c r="H11" s="1">
        <f t="shared" si="4"/>
        <v>639.92383840000002</v>
      </c>
      <c r="I11" s="1">
        <f t="shared" si="5"/>
        <v>533.20684031999997</v>
      </c>
      <c r="J11" s="1">
        <f t="shared" si="6"/>
        <v>8475.9449471999997</v>
      </c>
      <c r="N11" s="3" t="s">
        <v>11</v>
      </c>
      <c r="O11" s="3">
        <v>132</v>
      </c>
    </row>
    <row r="12" spans="1:19" x14ac:dyDescent="0.3">
      <c r="A12">
        <v>13974310.529054908</v>
      </c>
      <c r="B12" s="1">
        <v>4.7619999999999996</v>
      </c>
      <c r="C12" s="1">
        <v>100.44799999999999</v>
      </c>
      <c r="D12" s="1">
        <v>83.967600000000004</v>
      </c>
      <c r="E12" s="1">
        <f t="shared" si="1"/>
        <v>22.676643999999996</v>
      </c>
      <c r="F12" s="1">
        <f t="shared" si="2"/>
        <v>10089.800703999999</v>
      </c>
      <c r="G12" s="1">
        <f t="shared" si="3"/>
        <v>7050.5578497600009</v>
      </c>
      <c r="H12" s="1">
        <f t="shared" si="4"/>
        <v>478.33337599999993</v>
      </c>
      <c r="I12" s="1">
        <f t="shared" si="5"/>
        <v>399.85371119999996</v>
      </c>
      <c r="J12" s="1">
        <f t="shared" si="6"/>
        <v>8434.3774847999994</v>
      </c>
    </row>
    <row r="13" spans="1:19" ht="15" thickBot="1" x14ac:dyDescent="0.35">
      <c r="A13">
        <v>9742084.7662751731</v>
      </c>
      <c r="B13" s="1">
        <v>4.3247</v>
      </c>
      <c r="C13" s="1">
        <v>100.158</v>
      </c>
      <c r="D13" s="1">
        <v>83.762900000000002</v>
      </c>
      <c r="E13" s="1">
        <f t="shared" si="1"/>
        <v>18.703030089999999</v>
      </c>
      <c r="F13" s="1">
        <f t="shared" si="2"/>
        <v>10031.624964000001</v>
      </c>
      <c r="G13" s="1">
        <f t="shared" si="3"/>
        <v>7016.22341641</v>
      </c>
      <c r="H13" s="1">
        <f t="shared" si="4"/>
        <v>433.15330260000002</v>
      </c>
      <c r="I13" s="1">
        <f t="shared" si="5"/>
        <v>362.24941362999999</v>
      </c>
      <c r="J13" s="1">
        <f t="shared" si="6"/>
        <v>8389.5245382000012</v>
      </c>
      <c r="N13" t="s">
        <v>12</v>
      </c>
    </row>
    <row r="14" spans="1:19" x14ac:dyDescent="0.3">
      <c r="A14">
        <v>3723870.6248304164</v>
      </c>
      <c r="B14" s="1">
        <v>3.8426999999999998</v>
      </c>
      <c r="C14" s="1">
        <v>98.688400000000001</v>
      </c>
      <c r="D14" s="1">
        <v>83.896699999999996</v>
      </c>
      <c r="E14" s="1">
        <f t="shared" si="1"/>
        <v>14.766343289999998</v>
      </c>
      <c r="F14" s="1">
        <f t="shared" si="2"/>
        <v>9739.4002945600005</v>
      </c>
      <c r="G14" s="1">
        <f t="shared" si="3"/>
        <v>7038.6562708899992</v>
      </c>
      <c r="H14" s="1">
        <f t="shared" si="4"/>
        <v>379.22991467999998</v>
      </c>
      <c r="I14" s="1">
        <f t="shared" si="5"/>
        <v>322.38984908999998</v>
      </c>
      <c r="J14" s="1">
        <f t="shared" si="6"/>
        <v>8279.6310882799989</v>
      </c>
      <c r="N14" s="4"/>
      <c r="O14" s="4" t="s">
        <v>17</v>
      </c>
      <c r="P14" s="4" t="s">
        <v>18</v>
      </c>
      <c r="Q14" s="4" t="s">
        <v>19</v>
      </c>
      <c r="R14" s="4" t="s">
        <v>20</v>
      </c>
      <c r="S14" s="4" t="s">
        <v>21</v>
      </c>
    </row>
    <row r="15" spans="1:19" x14ac:dyDescent="0.3">
      <c r="A15">
        <v>2424044.2365331464</v>
      </c>
      <c r="B15" s="1">
        <v>3.1943000000000001</v>
      </c>
      <c r="C15" s="1">
        <v>99.068299999999994</v>
      </c>
      <c r="D15" s="1">
        <v>84.290400000000005</v>
      </c>
      <c r="E15" s="1">
        <f t="shared" si="1"/>
        <v>10.203552490000002</v>
      </c>
      <c r="F15" s="1">
        <f t="shared" si="2"/>
        <v>9814.5280648899989</v>
      </c>
      <c r="G15" s="1">
        <f t="shared" si="3"/>
        <v>7104.8715321600012</v>
      </c>
      <c r="H15" s="1">
        <f t="shared" si="4"/>
        <v>316.45387068999997</v>
      </c>
      <c r="I15" s="1">
        <f t="shared" si="5"/>
        <v>269.24882472000002</v>
      </c>
      <c r="J15" s="1">
        <f t="shared" si="6"/>
        <v>8350.5066343199996</v>
      </c>
      <c r="N15" s="2" t="s">
        <v>13</v>
      </c>
      <c r="O15" s="2">
        <v>9</v>
      </c>
      <c r="P15" s="2">
        <v>4718274073362700</v>
      </c>
      <c r="Q15" s="2">
        <v>524252674818077.75</v>
      </c>
      <c r="R15" s="2">
        <v>10.187978830282189</v>
      </c>
      <c r="S15" s="2">
        <v>1.367038643167635E-11</v>
      </c>
    </row>
    <row r="16" spans="1:19" x14ac:dyDescent="0.3">
      <c r="A16">
        <v>884310.29399197677</v>
      </c>
      <c r="B16" s="1">
        <v>2.0914999999999999</v>
      </c>
      <c r="C16" s="1">
        <v>99.068299999999994</v>
      </c>
      <c r="D16" s="1">
        <v>84.313999999999993</v>
      </c>
      <c r="E16" s="1">
        <f t="shared" si="1"/>
        <v>4.3743722499999995</v>
      </c>
      <c r="F16" s="1">
        <f t="shared" si="2"/>
        <v>9814.5280648899989</v>
      </c>
      <c r="G16" s="1">
        <f t="shared" si="3"/>
        <v>7108.8505959999984</v>
      </c>
      <c r="H16" s="1">
        <f t="shared" si="4"/>
        <v>207.20134944999998</v>
      </c>
      <c r="I16" s="1">
        <f t="shared" si="5"/>
        <v>176.34273099999999</v>
      </c>
      <c r="J16" s="1">
        <f t="shared" si="6"/>
        <v>8352.8446461999993</v>
      </c>
      <c r="N16" s="2" t="s">
        <v>14</v>
      </c>
      <c r="O16" s="2">
        <v>122</v>
      </c>
      <c r="P16" s="2">
        <v>6277871930563674</v>
      </c>
      <c r="Q16" s="2">
        <v>51457966643964.539</v>
      </c>
      <c r="R16" s="2"/>
      <c r="S16" s="2"/>
    </row>
    <row r="17" spans="1:22" ht="15" thickBot="1" x14ac:dyDescent="0.35">
      <c r="A17">
        <v>957372.16887513478</v>
      </c>
      <c r="B17" s="1">
        <v>1.6389</v>
      </c>
      <c r="C17" s="1">
        <v>99.298299999999998</v>
      </c>
      <c r="D17" s="1">
        <v>84.597399999999993</v>
      </c>
      <c r="E17" s="1">
        <f t="shared" si="1"/>
        <v>2.6859932099999999</v>
      </c>
      <c r="F17" s="1">
        <f t="shared" si="2"/>
        <v>9860.152382889999</v>
      </c>
      <c r="G17" s="1">
        <f t="shared" si="3"/>
        <v>7156.7200867599986</v>
      </c>
      <c r="H17" s="1">
        <f t="shared" si="4"/>
        <v>162.73998387</v>
      </c>
      <c r="I17" s="1">
        <f t="shared" si="5"/>
        <v>138.64667885999998</v>
      </c>
      <c r="J17" s="1">
        <f t="shared" si="6"/>
        <v>8400.3780044199993</v>
      </c>
      <c r="N17" s="3" t="s">
        <v>15</v>
      </c>
      <c r="O17" s="3">
        <v>131</v>
      </c>
      <c r="P17" s="3">
        <v>1.0996146003926374E+16</v>
      </c>
      <c r="Q17" s="3"/>
      <c r="R17" s="3"/>
      <c r="S17" s="3"/>
    </row>
    <row r="18" spans="1:22" ht="15" thickBot="1" x14ac:dyDescent="0.35">
      <c r="A18">
        <v>1051584.7211340547</v>
      </c>
      <c r="B18" s="1">
        <v>1.7989999999999999</v>
      </c>
      <c r="C18" s="1">
        <v>96.888400000000004</v>
      </c>
      <c r="D18" s="1">
        <v>84.353300000000004</v>
      </c>
      <c r="E18" s="1">
        <f t="shared" si="1"/>
        <v>3.2364009999999999</v>
      </c>
      <c r="F18" s="1">
        <f t="shared" si="2"/>
        <v>9387.3620545600006</v>
      </c>
      <c r="G18" s="1">
        <f t="shared" si="3"/>
        <v>7115.4792208900008</v>
      </c>
      <c r="H18" s="1">
        <f t="shared" si="4"/>
        <v>174.3022316</v>
      </c>
      <c r="I18" s="1">
        <f t="shared" si="5"/>
        <v>151.75158669999999</v>
      </c>
      <c r="J18" s="1">
        <f t="shared" si="6"/>
        <v>8172.8562717200011</v>
      </c>
    </row>
    <row r="19" spans="1:22" x14ac:dyDescent="0.3">
      <c r="A19">
        <v>411235.71521626558</v>
      </c>
      <c r="B19" s="1">
        <v>1.6557999999999999</v>
      </c>
      <c r="C19" s="1">
        <v>96.338399999999993</v>
      </c>
      <c r="D19" s="1">
        <v>84.180099999999996</v>
      </c>
      <c r="E19" s="1">
        <f t="shared" si="1"/>
        <v>2.7416736399999997</v>
      </c>
      <c r="F19" s="1">
        <f t="shared" si="2"/>
        <v>9281.087314559998</v>
      </c>
      <c r="G19" s="1">
        <f t="shared" si="3"/>
        <v>7086.2892360099995</v>
      </c>
      <c r="H19" s="1">
        <f t="shared" si="4"/>
        <v>159.51712271999997</v>
      </c>
      <c r="I19" s="1">
        <f t="shared" si="5"/>
        <v>139.38540957999999</v>
      </c>
      <c r="J19" s="1">
        <f t="shared" si="6"/>
        <v>8109.7761458399991</v>
      </c>
      <c r="N19" s="4"/>
      <c r="O19" s="4" t="s">
        <v>22</v>
      </c>
      <c r="P19" s="4" t="s">
        <v>10</v>
      </c>
      <c r="Q19" s="4" t="s">
        <v>23</v>
      </c>
      <c r="R19" s="4" t="s">
        <v>24</v>
      </c>
      <c r="S19" s="4" t="s">
        <v>25</v>
      </c>
      <c r="T19" s="4" t="s">
        <v>26</v>
      </c>
      <c r="U19" s="4" t="s">
        <v>27</v>
      </c>
      <c r="V19" s="4" t="s">
        <v>28</v>
      </c>
    </row>
    <row r="20" spans="1:22" x14ac:dyDescent="0.3">
      <c r="A20">
        <v>170370.33299605348</v>
      </c>
      <c r="B20" s="1">
        <v>1.2116</v>
      </c>
      <c r="C20" s="1">
        <v>96.998400000000004</v>
      </c>
      <c r="D20" s="1">
        <v>84.660399999999996</v>
      </c>
      <c r="E20" s="1">
        <f t="shared" si="1"/>
        <v>1.46797456</v>
      </c>
      <c r="F20" s="1">
        <f t="shared" si="2"/>
        <v>9408.6896025599999</v>
      </c>
      <c r="G20" s="1">
        <f t="shared" si="3"/>
        <v>7167.3833281599991</v>
      </c>
      <c r="H20" s="1">
        <f t="shared" si="4"/>
        <v>117.52326144</v>
      </c>
      <c r="I20" s="1">
        <f t="shared" si="5"/>
        <v>102.57454064</v>
      </c>
      <c r="J20" s="1">
        <f t="shared" si="6"/>
        <v>8211.9233433600002</v>
      </c>
      <c r="N20" s="2" t="s">
        <v>16</v>
      </c>
      <c r="O20" s="2">
        <v>111601619.67054692</v>
      </c>
      <c r="P20" s="2">
        <v>587417108.73817134</v>
      </c>
      <c r="Q20" s="2">
        <v>0.18998700924846737</v>
      </c>
      <c r="R20" s="2">
        <v>0.84963506111577924</v>
      </c>
      <c r="S20" s="2">
        <v>-1051249217.4085106</v>
      </c>
      <c r="T20" s="2">
        <v>1274452456.7496045</v>
      </c>
      <c r="U20" s="2">
        <v>-1051249217.4085106</v>
      </c>
      <c r="V20" s="2">
        <v>1274452456.7496045</v>
      </c>
    </row>
    <row r="21" spans="1:22" x14ac:dyDescent="0.3">
      <c r="A21">
        <v>198058.03282478388</v>
      </c>
      <c r="B21" s="1">
        <v>1.2146999999999999</v>
      </c>
      <c r="C21" s="1">
        <v>98.068399999999997</v>
      </c>
      <c r="D21" s="1">
        <v>85.219399999999993</v>
      </c>
      <c r="E21" s="1">
        <f t="shared" si="1"/>
        <v>1.4754960899999998</v>
      </c>
      <c r="F21" s="1">
        <f t="shared" si="2"/>
        <v>9617.4110785599987</v>
      </c>
      <c r="G21" s="1">
        <f t="shared" si="3"/>
        <v>7262.346136359999</v>
      </c>
      <c r="H21" s="1">
        <f t="shared" si="4"/>
        <v>119.12368547999999</v>
      </c>
      <c r="I21" s="1">
        <f t="shared" si="5"/>
        <v>103.51600517999998</v>
      </c>
      <c r="J21" s="1">
        <f t="shared" si="6"/>
        <v>8357.3302069599995</v>
      </c>
      <c r="N21" s="2" t="s">
        <v>1</v>
      </c>
      <c r="O21" s="2">
        <v>28391806.358195923</v>
      </c>
      <c r="P21" s="2">
        <v>14352231.831592573</v>
      </c>
      <c r="Q21" s="2">
        <v>1.9782154226145516</v>
      </c>
      <c r="R21" s="2">
        <v>5.0157930641731553E-2</v>
      </c>
      <c r="S21" s="2">
        <v>-19870.031636822969</v>
      </c>
      <c r="T21" s="2">
        <v>56803482.748028666</v>
      </c>
      <c r="U21" s="2">
        <v>-19870.031636822969</v>
      </c>
      <c r="V21" s="2">
        <v>56803482.748028666</v>
      </c>
    </row>
    <row r="22" spans="1:22" x14ac:dyDescent="0.3">
      <c r="A22">
        <v>158351.74586085379</v>
      </c>
      <c r="B22" s="1">
        <v>1.2146999999999999</v>
      </c>
      <c r="C22" s="1">
        <v>97.758399999999995</v>
      </c>
      <c r="D22" s="1">
        <v>85.731200000000001</v>
      </c>
      <c r="E22" s="1">
        <f t="shared" si="1"/>
        <v>1.4754960899999998</v>
      </c>
      <c r="F22" s="1">
        <f t="shared" si="2"/>
        <v>9556.7047705599998</v>
      </c>
      <c r="G22" s="1">
        <f t="shared" si="3"/>
        <v>7349.8386534400006</v>
      </c>
      <c r="H22" s="1">
        <f t="shared" si="4"/>
        <v>118.74712847999999</v>
      </c>
      <c r="I22" s="1">
        <f t="shared" si="5"/>
        <v>104.13768863999999</v>
      </c>
      <c r="J22" s="1">
        <f t="shared" si="6"/>
        <v>8380.9449420799992</v>
      </c>
      <c r="N22" s="2" t="s">
        <v>2</v>
      </c>
      <c r="O22" s="2">
        <v>-2047743.4633359399</v>
      </c>
      <c r="P22" s="2">
        <v>12334808.694631534</v>
      </c>
      <c r="Q22" s="2">
        <v>-0.16601339461609788</v>
      </c>
      <c r="R22" s="2">
        <v>0.86842121600529232</v>
      </c>
      <c r="S22" s="2">
        <v>-26465729.256384477</v>
      </c>
      <c r="T22" s="2">
        <v>22370242.3297126</v>
      </c>
      <c r="U22" s="2">
        <v>-26465729.256384477</v>
      </c>
      <c r="V22" s="2">
        <v>22370242.3297126</v>
      </c>
    </row>
    <row r="23" spans="1:22" x14ac:dyDescent="0.3">
      <c r="A23">
        <v>139515.56954349775</v>
      </c>
      <c r="B23" s="1">
        <v>1.2146999999999999</v>
      </c>
      <c r="C23" s="1">
        <v>97.148399999999995</v>
      </c>
      <c r="D23" s="1">
        <v>86.990899999999996</v>
      </c>
      <c r="E23" s="1">
        <f t="shared" si="1"/>
        <v>1.4754960899999998</v>
      </c>
      <c r="F23" s="1">
        <f t="shared" si="2"/>
        <v>9437.8116225599988</v>
      </c>
      <c r="G23" s="1">
        <f t="shared" si="3"/>
        <v>7567.4166828099997</v>
      </c>
      <c r="H23" s="1">
        <f t="shared" si="4"/>
        <v>118.00616147999999</v>
      </c>
      <c r="I23" s="1">
        <f t="shared" si="5"/>
        <v>105.66784622999998</v>
      </c>
      <c r="J23" s="1">
        <f t="shared" si="6"/>
        <v>8451.0267495600001</v>
      </c>
      <c r="N23" s="2" t="s">
        <v>3</v>
      </c>
      <c r="O23" s="2">
        <v>-1428005.4590127594</v>
      </c>
      <c r="P23" s="2">
        <v>1367945.7551409486</v>
      </c>
      <c r="Q23" s="2">
        <v>-1.0439050332559587</v>
      </c>
      <c r="R23" s="2">
        <v>0.29859339424579234</v>
      </c>
      <c r="S23" s="2">
        <v>-4135990.7096660966</v>
      </c>
      <c r="T23" s="2">
        <v>1279979.7916405778</v>
      </c>
      <c r="U23" s="2">
        <v>-4135990.7096660966</v>
      </c>
      <c r="V23" s="2">
        <v>1279979.7916405778</v>
      </c>
    </row>
    <row r="24" spans="1:22" x14ac:dyDescent="0.3">
      <c r="A24">
        <v>1029608.2258851487</v>
      </c>
      <c r="B24" s="1">
        <v>1.6580999999999999</v>
      </c>
      <c r="C24" s="1">
        <v>97.728399999999993</v>
      </c>
      <c r="D24" s="1">
        <v>87.510499999999993</v>
      </c>
      <c r="E24" s="1">
        <f t="shared" si="1"/>
        <v>2.7492956099999999</v>
      </c>
      <c r="F24" s="1">
        <f t="shared" si="2"/>
        <v>9550.8401665599995</v>
      </c>
      <c r="G24" s="1">
        <f t="shared" si="3"/>
        <v>7658.0876102499988</v>
      </c>
      <c r="H24" s="1">
        <f t="shared" si="4"/>
        <v>162.04346003999999</v>
      </c>
      <c r="I24" s="1">
        <f t="shared" si="5"/>
        <v>145.10116004999998</v>
      </c>
      <c r="J24" s="1">
        <f t="shared" si="6"/>
        <v>8552.2611481999993</v>
      </c>
      <c r="N24" s="2" t="s">
        <v>42</v>
      </c>
      <c r="O24" s="2">
        <v>95607.052584572957</v>
      </c>
      <c r="P24" s="2">
        <v>143431.35304128585</v>
      </c>
      <c r="Q24" s="2">
        <v>0.66657010867807298</v>
      </c>
      <c r="R24" s="2">
        <v>0.50630537897099681</v>
      </c>
      <c r="S24" s="2">
        <v>-188329.63646713088</v>
      </c>
      <c r="T24" s="2">
        <v>379543.74163627683</v>
      </c>
      <c r="U24" s="2">
        <v>-188329.63646713088</v>
      </c>
      <c r="V24" s="2">
        <v>379543.74163627683</v>
      </c>
    </row>
    <row r="25" spans="1:22" x14ac:dyDescent="0.3">
      <c r="A25">
        <v>919310.16716166376</v>
      </c>
      <c r="B25" s="1">
        <v>1.6445000000000001</v>
      </c>
      <c r="C25" s="1">
        <v>97.358400000000003</v>
      </c>
      <c r="D25" s="1">
        <v>88.297799999999995</v>
      </c>
      <c r="E25" s="1">
        <f t="shared" si="1"/>
        <v>2.7043802500000003</v>
      </c>
      <c r="F25" s="1">
        <f t="shared" si="2"/>
        <v>9478.6580505600014</v>
      </c>
      <c r="G25" s="1">
        <f t="shared" si="3"/>
        <v>7796.5014848399987</v>
      </c>
      <c r="H25" s="1">
        <f t="shared" si="4"/>
        <v>160.1058888</v>
      </c>
      <c r="I25" s="1">
        <f t="shared" si="5"/>
        <v>145.20573210000001</v>
      </c>
      <c r="J25" s="1">
        <f t="shared" si="6"/>
        <v>8596.5325315200007</v>
      </c>
      <c r="N25" s="2" t="s">
        <v>43</v>
      </c>
      <c r="O25" s="2">
        <v>11654.50067064894</v>
      </c>
      <c r="P25" s="2">
        <v>65221.919371625198</v>
      </c>
      <c r="Q25" s="2">
        <v>0.17868993710907613</v>
      </c>
      <c r="R25" s="2">
        <v>0.85847757038126549</v>
      </c>
      <c r="S25" s="2">
        <v>-117458.80299208575</v>
      </c>
      <c r="T25" s="2">
        <v>140767.80433338362</v>
      </c>
      <c r="U25" s="2">
        <v>-117458.80299208575</v>
      </c>
      <c r="V25" s="2">
        <v>140767.80433338362</v>
      </c>
    </row>
    <row r="26" spans="1:22" x14ac:dyDescent="0.3">
      <c r="A26">
        <v>1008364.3557900607</v>
      </c>
      <c r="B26" s="1">
        <v>1.6445000000000001</v>
      </c>
      <c r="C26" s="1">
        <v>95.638400000000004</v>
      </c>
      <c r="D26" s="1">
        <v>88.219099999999997</v>
      </c>
      <c r="E26" s="1">
        <f t="shared" si="1"/>
        <v>2.7043802500000003</v>
      </c>
      <c r="F26" s="1">
        <f t="shared" si="2"/>
        <v>9146.7035545600011</v>
      </c>
      <c r="G26" s="1">
        <f t="shared" si="3"/>
        <v>7782.6096048099998</v>
      </c>
      <c r="H26" s="1">
        <f t="shared" si="4"/>
        <v>157.27734880000003</v>
      </c>
      <c r="I26" s="1">
        <f t="shared" si="5"/>
        <v>145.07630995</v>
      </c>
      <c r="J26" s="1">
        <f t="shared" si="6"/>
        <v>8437.13357344</v>
      </c>
      <c r="N26" s="2" t="s">
        <v>44</v>
      </c>
      <c r="O26" s="2">
        <v>1094.9177431542098</v>
      </c>
      <c r="P26" s="2">
        <v>1192.7575639772597</v>
      </c>
      <c r="Q26" s="2">
        <v>0.91797174566070061</v>
      </c>
      <c r="R26" s="2">
        <v>0.36044489393967771</v>
      </c>
      <c r="S26" s="2">
        <v>-1266.2649855591944</v>
      </c>
      <c r="T26" s="2">
        <v>3456.100471867614</v>
      </c>
      <c r="U26" s="2">
        <v>-1266.2649855591944</v>
      </c>
      <c r="V26" s="2">
        <v>3456.100471867614</v>
      </c>
    </row>
    <row r="27" spans="1:22" x14ac:dyDescent="0.3">
      <c r="A27">
        <v>1002384.2083723174</v>
      </c>
      <c r="B27" s="1">
        <v>1.675</v>
      </c>
      <c r="C27" s="1">
        <v>95.258399999999995</v>
      </c>
      <c r="D27" s="1">
        <v>87.919899999999998</v>
      </c>
      <c r="E27" s="1">
        <f t="shared" si="1"/>
        <v>2.805625</v>
      </c>
      <c r="F27" s="1">
        <f t="shared" si="2"/>
        <v>9074.1627705599985</v>
      </c>
      <c r="G27" s="1">
        <f t="shared" si="3"/>
        <v>7729.90881601</v>
      </c>
      <c r="H27" s="1">
        <f t="shared" si="4"/>
        <v>159.55781999999999</v>
      </c>
      <c r="I27" s="1">
        <f t="shared" si="5"/>
        <v>147.26583249999999</v>
      </c>
      <c r="J27" s="1">
        <f t="shared" si="6"/>
        <v>8375.1090021599994</v>
      </c>
      <c r="N27" s="2" t="s">
        <v>45</v>
      </c>
      <c r="O27" s="2">
        <v>-258222.49547050503</v>
      </c>
      <c r="P27" s="2">
        <v>154008.26416516307</v>
      </c>
      <c r="Q27" s="2">
        <v>-1.6766794747688312</v>
      </c>
      <c r="R27" s="2">
        <v>9.6165797832314256E-2</v>
      </c>
      <c r="S27" s="2">
        <v>-563097.23649780022</v>
      </c>
      <c r="T27" s="2">
        <v>46652.245556790149</v>
      </c>
      <c r="U27" s="2">
        <v>-563097.23649780022</v>
      </c>
      <c r="V27" s="2">
        <v>46652.245556790149</v>
      </c>
    </row>
    <row r="28" spans="1:22" x14ac:dyDescent="0.3">
      <c r="A28">
        <v>1706368.2880266143</v>
      </c>
      <c r="B28" s="1">
        <v>1.7356</v>
      </c>
      <c r="C28" s="1">
        <v>96.788399999999996</v>
      </c>
      <c r="D28" s="1">
        <v>88.817400000000006</v>
      </c>
      <c r="E28" s="1">
        <f t="shared" si="1"/>
        <v>3.0123073600000003</v>
      </c>
      <c r="F28" s="1">
        <f t="shared" si="2"/>
        <v>9367.9943745599994</v>
      </c>
      <c r="G28" s="1">
        <f t="shared" si="3"/>
        <v>7888.5305427600015</v>
      </c>
      <c r="H28" s="1">
        <f t="shared" si="4"/>
        <v>167.98594703999999</v>
      </c>
      <c r="I28" s="1">
        <f t="shared" si="5"/>
        <v>154.15147944</v>
      </c>
      <c r="J28" s="1">
        <f t="shared" si="6"/>
        <v>8596.4940381600009</v>
      </c>
      <c r="N28" s="2" t="s">
        <v>46</v>
      </c>
      <c r="O28" s="2">
        <v>-13996.570010599939</v>
      </c>
      <c r="P28" s="2">
        <v>21464.887366615163</v>
      </c>
      <c r="Q28" s="2">
        <v>-0.65206817867440237</v>
      </c>
      <c r="R28" s="2">
        <v>0.51558381851952861</v>
      </c>
      <c r="S28" s="2">
        <v>-56488.458433280728</v>
      </c>
      <c r="T28" s="2">
        <v>28495.318412080855</v>
      </c>
      <c r="U28" s="2">
        <v>-56488.458433280728</v>
      </c>
      <c r="V28" s="2">
        <v>28495.318412080855</v>
      </c>
    </row>
    <row r="29" spans="1:22" ht="15" thickBot="1" x14ac:dyDescent="0.35">
      <c r="A29">
        <v>1564042.1040313109</v>
      </c>
      <c r="B29" s="1">
        <v>1.8418000000000001</v>
      </c>
      <c r="C29" s="1">
        <v>97.808400000000006</v>
      </c>
      <c r="D29" s="1">
        <v>89.6678</v>
      </c>
      <c r="E29" s="1">
        <f t="shared" si="1"/>
        <v>3.3922272400000004</v>
      </c>
      <c r="F29" s="1">
        <f t="shared" si="2"/>
        <v>9566.4831105600006</v>
      </c>
      <c r="G29" s="1">
        <f t="shared" si="3"/>
        <v>8040.3143568400001</v>
      </c>
      <c r="H29" s="1">
        <f t="shared" si="4"/>
        <v>180.14351112000003</v>
      </c>
      <c r="I29" s="1">
        <f t="shared" si="5"/>
        <v>165.15015404000002</v>
      </c>
      <c r="J29" s="1">
        <f t="shared" si="6"/>
        <v>8770.2640495200012</v>
      </c>
      <c r="N29" s="3" t="s">
        <v>47</v>
      </c>
      <c r="O29" s="3">
        <v>10594.609277921805</v>
      </c>
      <c r="P29" s="3">
        <v>14404.881473590196</v>
      </c>
      <c r="Q29" s="3">
        <v>0.73548743162836039</v>
      </c>
      <c r="R29" s="3">
        <v>0.46345429894312073</v>
      </c>
      <c r="S29" s="3">
        <v>-17921.292336811803</v>
      </c>
      <c r="T29" s="3">
        <v>39110.510892655409</v>
      </c>
      <c r="U29" s="3">
        <v>-17921.292336811803</v>
      </c>
      <c r="V29" s="3">
        <v>39110.510892655409</v>
      </c>
    </row>
    <row r="30" spans="1:22" x14ac:dyDescent="0.3">
      <c r="A30">
        <v>500788.67900609452</v>
      </c>
      <c r="B30" s="1">
        <v>2.0756000000000001</v>
      </c>
      <c r="C30" s="1">
        <v>99.028300000000002</v>
      </c>
      <c r="D30" s="1">
        <v>90.289699999999996</v>
      </c>
      <c r="E30" s="1">
        <f t="shared" si="1"/>
        <v>4.3081153600000004</v>
      </c>
      <c r="F30" s="1">
        <f t="shared" si="2"/>
        <v>9806.6042008900004</v>
      </c>
      <c r="G30" s="1">
        <f t="shared" si="3"/>
        <v>8152.229926089999</v>
      </c>
      <c r="H30" s="1">
        <f t="shared" si="4"/>
        <v>205.54313948000001</v>
      </c>
      <c r="I30" s="1">
        <f t="shared" si="5"/>
        <v>187.40530132000001</v>
      </c>
      <c r="J30" s="1">
        <f t="shared" si="6"/>
        <v>8941.2354985099992</v>
      </c>
    </row>
    <row r="31" spans="1:22" x14ac:dyDescent="0.3">
      <c r="A31">
        <v>496421.4084994811</v>
      </c>
      <c r="B31" s="1">
        <v>2.0756000000000001</v>
      </c>
      <c r="C31" s="1">
        <v>98.868399999999994</v>
      </c>
      <c r="D31" s="1">
        <v>91.297499999999999</v>
      </c>
      <c r="E31" s="1">
        <f t="shared" si="1"/>
        <v>4.3081153600000004</v>
      </c>
      <c r="F31" s="1">
        <f t="shared" si="2"/>
        <v>9774.9605185599994</v>
      </c>
      <c r="G31" s="1">
        <f t="shared" si="3"/>
        <v>8335.2335062500006</v>
      </c>
      <c r="H31" s="1">
        <f t="shared" si="4"/>
        <v>205.21125104000001</v>
      </c>
      <c r="I31" s="1">
        <f t="shared" si="5"/>
        <v>189.49709100000001</v>
      </c>
      <c r="J31" s="1">
        <f t="shared" si="6"/>
        <v>9026.4377489999988</v>
      </c>
    </row>
    <row r="32" spans="1:22" x14ac:dyDescent="0.3">
      <c r="A32">
        <v>235553.67357327882</v>
      </c>
      <c r="B32" s="1">
        <v>2.5529000000000002</v>
      </c>
      <c r="C32" s="1">
        <v>98.398399999999995</v>
      </c>
      <c r="D32" s="1">
        <v>92.557199999999995</v>
      </c>
      <c r="E32" s="1">
        <f t="shared" si="1"/>
        <v>6.5172984100000004</v>
      </c>
      <c r="F32" s="1">
        <f t="shared" si="2"/>
        <v>9682.2451225599998</v>
      </c>
      <c r="G32" s="1">
        <f t="shared" si="3"/>
        <v>8566.8352718399983</v>
      </c>
      <c r="H32" s="1">
        <f t="shared" si="4"/>
        <v>251.20127536000001</v>
      </c>
      <c r="I32" s="1">
        <f t="shared" si="5"/>
        <v>236.28927587999999</v>
      </c>
      <c r="J32" s="1">
        <f t="shared" si="6"/>
        <v>9107.4803884799985</v>
      </c>
    </row>
    <row r="33" spans="1:10" x14ac:dyDescent="0.3">
      <c r="A33">
        <v>190514.96733889001</v>
      </c>
      <c r="B33" s="1">
        <v>2.6164000000000001</v>
      </c>
      <c r="C33" s="1">
        <v>98.628399999999999</v>
      </c>
      <c r="D33" s="1">
        <v>93.092600000000004</v>
      </c>
      <c r="E33" s="1">
        <f t="shared" si="1"/>
        <v>6.8455489600000003</v>
      </c>
      <c r="F33" s="1">
        <f t="shared" si="2"/>
        <v>9727.5612865599996</v>
      </c>
      <c r="G33" s="1">
        <f t="shared" si="3"/>
        <v>8666.2321747600017</v>
      </c>
      <c r="H33" s="1">
        <f t="shared" si="4"/>
        <v>258.05134576</v>
      </c>
      <c r="I33" s="1">
        <f t="shared" si="5"/>
        <v>243.56747864000002</v>
      </c>
      <c r="J33" s="1">
        <f t="shared" si="6"/>
        <v>9181.5741898400011</v>
      </c>
    </row>
    <row r="34" spans="1:10" x14ac:dyDescent="0.3">
      <c r="A34">
        <v>58357.492693872227</v>
      </c>
      <c r="B34" s="1">
        <v>3.0005000000000002</v>
      </c>
      <c r="C34" s="1">
        <v>98.078400000000002</v>
      </c>
      <c r="D34" s="1">
        <v>93.446899999999999</v>
      </c>
      <c r="E34" s="1">
        <f t="shared" si="1"/>
        <v>9.0030002500000013</v>
      </c>
      <c r="F34" s="1">
        <f t="shared" si="2"/>
        <v>9619.37254656</v>
      </c>
      <c r="G34" s="1">
        <f t="shared" si="3"/>
        <v>8732.3231196100005</v>
      </c>
      <c r="H34" s="1">
        <f t="shared" si="4"/>
        <v>294.2842392</v>
      </c>
      <c r="I34" s="1">
        <f t="shared" si="5"/>
        <v>280.38742345000003</v>
      </c>
      <c r="J34" s="1">
        <f t="shared" si="6"/>
        <v>9165.1224369600004</v>
      </c>
    </row>
    <row r="35" spans="1:10" x14ac:dyDescent="0.3">
      <c r="A35">
        <v>224775.06159187129</v>
      </c>
      <c r="B35" s="1">
        <v>3.1888999999999998</v>
      </c>
      <c r="C35" s="1">
        <v>97.118399999999994</v>
      </c>
      <c r="D35" s="1">
        <v>94.557000000000002</v>
      </c>
      <c r="E35" s="1">
        <f t="shared" si="1"/>
        <v>10.169083209999998</v>
      </c>
      <c r="F35" s="1">
        <f t="shared" si="2"/>
        <v>9431.9836185599997</v>
      </c>
      <c r="G35" s="1">
        <f t="shared" si="3"/>
        <v>8941.0262490000005</v>
      </c>
      <c r="H35" s="1">
        <f t="shared" si="4"/>
        <v>309.70086575999994</v>
      </c>
      <c r="I35" s="1">
        <f t="shared" si="5"/>
        <v>301.53281729999998</v>
      </c>
      <c r="J35" s="1">
        <f t="shared" si="6"/>
        <v>9183.224548799999</v>
      </c>
    </row>
    <row r="36" spans="1:10" x14ac:dyDescent="0.3">
      <c r="A36">
        <v>31225.899897120191</v>
      </c>
      <c r="B36" s="1">
        <v>3.7321</v>
      </c>
      <c r="C36" s="1">
        <v>95.398399999999995</v>
      </c>
      <c r="D36" s="1">
        <v>95.611999999999995</v>
      </c>
      <c r="E36" s="1">
        <f t="shared" si="1"/>
        <v>13.928570409999999</v>
      </c>
      <c r="F36" s="1">
        <f t="shared" si="2"/>
        <v>9100.8547225599996</v>
      </c>
      <c r="G36" s="1">
        <f t="shared" si="3"/>
        <v>9141.6545439999991</v>
      </c>
      <c r="H36" s="1">
        <f t="shared" si="4"/>
        <v>356.03636863999998</v>
      </c>
      <c r="I36" s="1">
        <f t="shared" si="5"/>
        <v>356.8335452</v>
      </c>
      <c r="J36" s="1">
        <f t="shared" si="6"/>
        <v>9121.2318207999997</v>
      </c>
    </row>
    <row r="37" spans="1:10" x14ac:dyDescent="0.3">
      <c r="A37">
        <v>5841.3337547018027</v>
      </c>
      <c r="B37" s="1">
        <v>3.7321</v>
      </c>
      <c r="C37" s="1">
        <v>94.008399999999995</v>
      </c>
      <c r="D37" s="1">
        <v>94.801100000000005</v>
      </c>
      <c r="E37" s="1">
        <f t="shared" si="1"/>
        <v>13.928570409999999</v>
      </c>
      <c r="F37" s="1">
        <f t="shared" si="2"/>
        <v>8837.5792705599997</v>
      </c>
      <c r="G37" s="1">
        <f t="shared" si="3"/>
        <v>8987.2485612100008</v>
      </c>
      <c r="H37" s="1">
        <f t="shared" si="4"/>
        <v>350.84874963999999</v>
      </c>
      <c r="I37" s="1">
        <f t="shared" si="5"/>
        <v>353.80718531000002</v>
      </c>
      <c r="J37" s="1">
        <f t="shared" si="6"/>
        <v>8912.0997292400007</v>
      </c>
    </row>
    <row r="38" spans="1:10" x14ac:dyDescent="0.3">
      <c r="A38">
        <v>3734700.8820836507</v>
      </c>
      <c r="B38" s="1">
        <v>4.1611000000000002</v>
      </c>
      <c r="C38" s="1">
        <v>95.048400000000001</v>
      </c>
      <c r="D38" s="1">
        <v>95.722200000000001</v>
      </c>
      <c r="E38" s="1">
        <f t="shared" si="1"/>
        <v>17.314753210000003</v>
      </c>
      <c r="F38" s="1">
        <f t="shared" si="2"/>
        <v>9034.198342560001</v>
      </c>
      <c r="G38" s="1">
        <f t="shared" si="3"/>
        <v>9162.7395728400006</v>
      </c>
      <c r="H38" s="1">
        <f t="shared" si="4"/>
        <v>395.50589724000002</v>
      </c>
      <c r="I38" s="1">
        <f t="shared" si="5"/>
        <v>398.30964642000004</v>
      </c>
      <c r="J38" s="1">
        <f t="shared" si="6"/>
        <v>9098.2419544799995</v>
      </c>
    </row>
    <row r="39" spans="1:10" x14ac:dyDescent="0.3">
      <c r="A39">
        <v>2657190.0229344373</v>
      </c>
      <c r="B39" s="1">
        <v>4.7948000000000004</v>
      </c>
      <c r="C39" s="1">
        <v>96.858400000000003</v>
      </c>
      <c r="D39" s="1">
        <v>96.667000000000002</v>
      </c>
      <c r="E39" s="1">
        <f t="shared" si="1"/>
        <v>22.990107040000005</v>
      </c>
      <c r="F39" s="1">
        <f t="shared" si="2"/>
        <v>9381.5496505600004</v>
      </c>
      <c r="G39" s="1">
        <f t="shared" si="3"/>
        <v>9344.5088890000006</v>
      </c>
      <c r="H39" s="1">
        <f t="shared" si="4"/>
        <v>464.41665632000007</v>
      </c>
      <c r="I39" s="1">
        <f t="shared" si="5"/>
        <v>463.49893160000005</v>
      </c>
      <c r="J39" s="1">
        <f t="shared" si="6"/>
        <v>9363.0109528000012</v>
      </c>
    </row>
    <row r="40" spans="1:10" x14ac:dyDescent="0.3">
      <c r="A40">
        <v>242170.57262184689</v>
      </c>
      <c r="B40" s="1">
        <v>5.5069999999999997</v>
      </c>
      <c r="C40" s="1">
        <v>97.278400000000005</v>
      </c>
      <c r="D40" s="1">
        <v>97.918899999999994</v>
      </c>
      <c r="E40" s="1">
        <f t="shared" si="1"/>
        <v>30.327048999999995</v>
      </c>
      <c r="F40" s="1">
        <f t="shared" si="2"/>
        <v>9463.0871065600004</v>
      </c>
      <c r="G40" s="1">
        <f t="shared" si="3"/>
        <v>9588.110977209999</v>
      </c>
      <c r="H40" s="1">
        <f t="shared" si="4"/>
        <v>535.71214880000002</v>
      </c>
      <c r="I40" s="1">
        <f t="shared" si="5"/>
        <v>539.23938229999999</v>
      </c>
      <c r="J40" s="1">
        <f t="shared" si="6"/>
        <v>9525.39392176</v>
      </c>
    </row>
    <row r="41" spans="1:10" x14ac:dyDescent="0.3">
      <c r="A41">
        <v>109109.62271571366</v>
      </c>
      <c r="B41" s="1">
        <v>7.0762</v>
      </c>
      <c r="C41" s="1">
        <v>99.548299999999998</v>
      </c>
      <c r="D41" s="1">
        <v>99.619500000000002</v>
      </c>
      <c r="E41" s="1">
        <f t="shared" si="1"/>
        <v>50.072606440000001</v>
      </c>
      <c r="F41" s="1">
        <f t="shared" si="2"/>
        <v>9909.8640328900001</v>
      </c>
      <c r="G41" s="1">
        <f t="shared" si="3"/>
        <v>9924.0447802500003</v>
      </c>
      <c r="H41" s="1">
        <f t="shared" si="4"/>
        <v>704.42368046000001</v>
      </c>
      <c r="I41" s="1">
        <f t="shared" si="5"/>
        <v>704.92750590000003</v>
      </c>
      <c r="J41" s="1">
        <f t="shared" si="6"/>
        <v>9916.9518718500003</v>
      </c>
    </row>
    <row r="42" spans="1:10" x14ac:dyDescent="0.3">
      <c r="A42">
        <v>522612.27273526555</v>
      </c>
      <c r="B42" s="1">
        <v>7.8234000000000004</v>
      </c>
      <c r="C42" s="1">
        <v>99.198300000000003</v>
      </c>
      <c r="D42" s="1">
        <v>99.178600000000003</v>
      </c>
      <c r="E42" s="1">
        <f t="shared" si="1"/>
        <v>61.205587560000005</v>
      </c>
      <c r="F42" s="1">
        <f t="shared" si="2"/>
        <v>9840.302722890001</v>
      </c>
      <c r="G42" s="1">
        <f t="shared" si="3"/>
        <v>9836.3946979600005</v>
      </c>
      <c r="H42" s="1">
        <f t="shared" si="4"/>
        <v>776.06798022000009</v>
      </c>
      <c r="I42" s="1">
        <f t="shared" si="5"/>
        <v>775.91385924000008</v>
      </c>
      <c r="J42" s="1">
        <f t="shared" si="6"/>
        <v>9838.3485163800015</v>
      </c>
    </row>
    <row r="43" spans="1:10" x14ac:dyDescent="0.3">
      <c r="A43">
        <v>560865.30313829891</v>
      </c>
      <c r="B43" s="1">
        <v>7.9564000000000004</v>
      </c>
      <c r="C43" s="1">
        <v>100.458</v>
      </c>
      <c r="D43" s="1">
        <v>99.272999999999996</v>
      </c>
      <c r="E43" s="1">
        <f t="shared" si="1"/>
        <v>63.304300960000006</v>
      </c>
      <c r="F43" s="1">
        <f t="shared" si="2"/>
        <v>10091.809764</v>
      </c>
      <c r="G43" s="1">
        <f t="shared" si="3"/>
        <v>9855.1285289999996</v>
      </c>
      <c r="H43" s="1">
        <f t="shared" si="4"/>
        <v>799.28403120000007</v>
      </c>
      <c r="I43" s="1">
        <f t="shared" si="5"/>
        <v>789.85569720000001</v>
      </c>
      <c r="J43" s="1">
        <f t="shared" si="6"/>
        <v>9972.7670339999986</v>
      </c>
    </row>
    <row r="44" spans="1:10" x14ac:dyDescent="0.3">
      <c r="A44">
        <v>712857.97882708116</v>
      </c>
      <c r="B44" s="1">
        <v>7.9676999999999998</v>
      </c>
      <c r="C44" s="1">
        <v>101.908</v>
      </c>
      <c r="D44" s="1">
        <v>100.879</v>
      </c>
      <c r="E44" s="1">
        <f t="shared" si="1"/>
        <v>63.484243289999995</v>
      </c>
      <c r="F44" s="1">
        <f t="shared" si="2"/>
        <v>10385.240464</v>
      </c>
      <c r="G44" s="1">
        <f t="shared" si="3"/>
        <v>10176.572641000001</v>
      </c>
      <c r="H44" s="1">
        <f t="shared" si="4"/>
        <v>811.97237159999997</v>
      </c>
      <c r="I44" s="1">
        <f t="shared" si="5"/>
        <v>803.77360829999998</v>
      </c>
      <c r="J44" s="1">
        <f t="shared" si="6"/>
        <v>10280.377132000001</v>
      </c>
    </row>
    <row r="45" spans="1:10" x14ac:dyDescent="0.3">
      <c r="A45">
        <v>3103.2530284682662</v>
      </c>
      <c r="B45" s="1">
        <v>8.1056000000000008</v>
      </c>
      <c r="C45" s="1">
        <v>100.318</v>
      </c>
      <c r="D45" s="1">
        <v>100.919</v>
      </c>
      <c r="E45" s="1">
        <f t="shared" si="1"/>
        <v>65.700751360000012</v>
      </c>
      <c r="F45" s="1">
        <f t="shared" si="2"/>
        <v>10063.701123999999</v>
      </c>
      <c r="G45" s="1">
        <f t="shared" si="3"/>
        <v>10184.644560999999</v>
      </c>
      <c r="H45" s="1">
        <f t="shared" si="4"/>
        <v>813.13758080000002</v>
      </c>
      <c r="I45" s="1">
        <f t="shared" si="5"/>
        <v>818.0090464000001</v>
      </c>
      <c r="J45" s="1">
        <f t="shared" si="6"/>
        <v>10123.992242</v>
      </c>
    </row>
    <row r="46" spans="1:10" x14ac:dyDescent="0.3">
      <c r="A46">
        <v>6498.491296075721</v>
      </c>
      <c r="B46" s="1">
        <v>8.1387999999999998</v>
      </c>
      <c r="C46" s="1">
        <v>100.288</v>
      </c>
      <c r="D46" s="1">
        <v>101.422</v>
      </c>
      <c r="E46" s="1">
        <f t="shared" si="1"/>
        <v>66.240065439999995</v>
      </c>
      <c r="F46" s="1">
        <f t="shared" si="2"/>
        <v>10057.682944</v>
      </c>
      <c r="G46" s="1">
        <f t="shared" si="3"/>
        <v>10286.422084</v>
      </c>
      <c r="H46" s="1">
        <f t="shared" si="4"/>
        <v>816.22397439999997</v>
      </c>
      <c r="I46" s="1">
        <f t="shared" si="5"/>
        <v>825.45337359999996</v>
      </c>
      <c r="J46" s="1">
        <f t="shared" si="6"/>
        <v>10171.409535999999</v>
      </c>
    </row>
    <row r="47" spans="1:10" x14ac:dyDescent="0.3">
      <c r="A47">
        <v>636651.40127548564</v>
      </c>
      <c r="B47" s="1">
        <v>8.1387999999999998</v>
      </c>
      <c r="C47" s="1">
        <v>101.83799999999999</v>
      </c>
      <c r="D47" s="1">
        <v>102.375</v>
      </c>
      <c r="E47" s="1">
        <f t="shared" si="1"/>
        <v>66.240065439999995</v>
      </c>
      <c r="F47" s="1">
        <f t="shared" si="2"/>
        <v>10370.978243999998</v>
      </c>
      <c r="G47" s="1">
        <f t="shared" si="3"/>
        <v>10480.640625</v>
      </c>
      <c r="H47" s="1">
        <f t="shared" si="4"/>
        <v>828.83911439999997</v>
      </c>
      <c r="I47" s="1">
        <f t="shared" si="5"/>
        <v>833.20965000000001</v>
      </c>
      <c r="J47" s="1">
        <f t="shared" si="6"/>
        <v>10425.66525</v>
      </c>
    </row>
    <row r="48" spans="1:10" x14ac:dyDescent="0.3">
      <c r="A48">
        <v>461660.45296624588</v>
      </c>
      <c r="B48" s="1">
        <v>8.2583000000000002</v>
      </c>
      <c r="C48" s="1">
        <v>103.598</v>
      </c>
      <c r="D48" s="1">
        <v>103.155</v>
      </c>
      <c r="E48" s="1">
        <f t="shared" si="1"/>
        <v>68.199518890000007</v>
      </c>
      <c r="F48" s="1">
        <f t="shared" si="2"/>
        <v>10732.545603999999</v>
      </c>
      <c r="G48" s="1">
        <f t="shared" si="3"/>
        <v>10640.954025000001</v>
      </c>
      <c r="H48" s="1">
        <f t="shared" si="4"/>
        <v>855.54336339999998</v>
      </c>
      <c r="I48" s="1">
        <f t="shared" si="5"/>
        <v>851.88493649999998</v>
      </c>
      <c r="J48" s="1">
        <f t="shared" si="6"/>
        <v>10686.651690000001</v>
      </c>
    </row>
    <row r="49" spans="1:10" x14ac:dyDescent="0.3">
      <c r="A49">
        <v>519708.15772745601</v>
      </c>
      <c r="B49" s="1">
        <v>8.2451000000000008</v>
      </c>
      <c r="C49" s="1">
        <v>103.658</v>
      </c>
      <c r="D49" s="1">
        <v>102.871</v>
      </c>
      <c r="E49" s="1">
        <f t="shared" si="1"/>
        <v>67.981674010000006</v>
      </c>
      <c r="F49" s="1">
        <f t="shared" si="2"/>
        <v>10744.980964</v>
      </c>
      <c r="G49" s="1">
        <f t="shared" si="3"/>
        <v>10582.442641</v>
      </c>
      <c r="H49" s="1">
        <f t="shared" si="4"/>
        <v>854.67057580000005</v>
      </c>
      <c r="I49" s="1">
        <f t="shared" si="5"/>
        <v>848.18168209999999</v>
      </c>
      <c r="J49" s="1">
        <f t="shared" si="6"/>
        <v>10663.402118</v>
      </c>
    </row>
    <row r="50" spans="1:10" x14ac:dyDescent="0.3">
      <c r="A50">
        <v>9519501.8416385315</v>
      </c>
      <c r="B50" s="1">
        <v>8.2899999999999991</v>
      </c>
      <c r="C50" s="1">
        <v>102.798</v>
      </c>
      <c r="D50" s="1">
        <v>104.107</v>
      </c>
      <c r="E50" s="1">
        <f t="shared" si="1"/>
        <v>68.724099999999993</v>
      </c>
      <c r="F50" s="1">
        <f t="shared" si="2"/>
        <v>10567.428804000001</v>
      </c>
      <c r="G50" s="1">
        <f t="shared" si="3"/>
        <v>10838.267448999999</v>
      </c>
      <c r="H50" s="1">
        <f t="shared" si="4"/>
        <v>852.1954199999999</v>
      </c>
      <c r="I50" s="1">
        <f t="shared" si="5"/>
        <v>863.04702999999995</v>
      </c>
      <c r="J50" s="1">
        <f t="shared" si="6"/>
        <v>10701.991386</v>
      </c>
    </row>
    <row r="51" spans="1:10" x14ac:dyDescent="0.3">
      <c r="A51">
        <v>5002826.534151081</v>
      </c>
      <c r="B51" s="1">
        <v>8.2899999999999991</v>
      </c>
      <c r="C51" s="1">
        <v>103.828</v>
      </c>
      <c r="D51" s="1">
        <v>104.446</v>
      </c>
      <c r="E51" s="1">
        <f t="shared" si="1"/>
        <v>68.724099999999993</v>
      </c>
      <c r="F51" s="1">
        <f t="shared" si="2"/>
        <v>10780.253584</v>
      </c>
      <c r="G51" s="1">
        <f t="shared" si="3"/>
        <v>10908.966915999999</v>
      </c>
      <c r="H51" s="1">
        <f t="shared" si="4"/>
        <v>860.73411999999996</v>
      </c>
      <c r="I51" s="1">
        <f t="shared" si="5"/>
        <v>865.85733999999991</v>
      </c>
      <c r="J51" s="1">
        <f t="shared" si="6"/>
        <v>10844.419288000001</v>
      </c>
    </row>
    <row r="52" spans="1:10" x14ac:dyDescent="0.3">
      <c r="A52">
        <v>5443843.4707850702</v>
      </c>
      <c r="B52" s="1">
        <v>8.2899999999999991</v>
      </c>
      <c r="C52" s="1">
        <v>103.44799999999999</v>
      </c>
      <c r="D52" s="1">
        <v>104.69</v>
      </c>
      <c r="E52" s="1">
        <f t="shared" si="1"/>
        <v>68.724099999999993</v>
      </c>
      <c r="F52" s="1">
        <f t="shared" si="2"/>
        <v>10701.488703999999</v>
      </c>
      <c r="G52" s="1">
        <f t="shared" si="3"/>
        <v>10959.9961</v>
      </c>
      <c r="H52" s="1">
        <f t="shared" si="4"/>
        <v>857.58391999999981</v>
      </c>
      <c r="I52" s="1">
        <f t="shared" si="5"/>
        <v>867.88009999999986</v>
      </c>
      <c r="J52" s="1">
        <f t="shared" si="6"/>
        <v>10829.971119999998</v>
      </c>
    </row>
    <row r="53" spans="1:10" x14ac:dyDescent="0.3">
      <c r="A53">
        <v>5796803.1267948225</v>
      </c>
      <c r="B53" s="1">
        <v>8.2899999999999991</v>
      </c>
      <c r="C53" s="1">
        <v>102.878</v>
      </c>
      <c r="D53" s="1">
        <v>105.761</v>
      </c>
      <c r="E53" s="1">
        <f t="shared" si="1"/>
        <v>68.724099999999993</v>
      </c>
      <c r="F53" s="1">
        <f t="shared" si="2"/>
        <v>10583.882884000001</v>
      </c>
      <c r="G53" s="1">
        <f t="shared" si="3"/>
        <v>11185.389120999998</v>
      </c>
      <c r="H53" s="1">
        <f t="shared" si="4"/>
        <v>852.85861999999986</v>
      </c>
      <c r="I53" s="1">
        <f t="shared" si="5"/>
        <v>876.75868999999989</v>
      </c>
      <c r="J53" s="1">
        <f t="shared" si="6"/>
        <v>10880.480158</v>
      </c>
    </row>
    <row r="54" spans="1:10" x14ac:dyDescent="0.3">
      <c r="A54">
        <v>6161227.3924089447</v>
      </c>
      <c r="B54" s="1">
        <v>8.2899999999999991</v>
      </c>
      <c r="C54" s="1">
        <v>101.068</v>
      </c>
      <c r="D54" s="1">
        <v>106.241</v>
      </c>
      <c r="E54" s="1">
        <f t="shared" si="1"/>
        <v>68.724099999999993</v>
      </c>
      <c r="F54" s="1">
        <f t="shared" si="2"/>
        <v>10214.740624</v>
      </c>
      <c r="G54" s="1">
        <f t="shared" si="3"/>
        <v>11287.150081</v>
      </c>
      <c r="H54" s="1">
        <f t="shared" si="4"/>
        <v>837.85371999999984</v>
      </c>
      <c r="I54" s="1">
        <f t="shared" si="5"/>
        <v>880.73788999999988</v>
      </c>
      <c r="J54" s="1">
        <f t="shared" si="6"/>
        <v>10737.565387999999</v>
      </c>
    </row>
    <row r="55" spans="1:10" x14ac:dyDescent="0.3">
      <c r="A55">
        <v>5386020.8232799126</v>
      </c>
      <c r="B55" s="1">
        <v>8.49</v>
      </c>
      <c r="C55" s="1">
        <v>102.428</v>
      </c>
      <c r="D55" s="1">
        <v>106.863</v>
      </c>
      <c r="E55" s="1">
        <f t="shared" si="1"/>
        <v>72.080100000000002</v>
      </c>
      <c r="F55" s="1">
        <f t="shared" si="2"/>
        <v>10491.495183999999</v>
      </c>
      <c r="G55" s="1">
        <f t="shared" si="3"/>
        <v>11419.700768999999</v>
      </c>
      <c r="H55" s="1">
        <f t="shared" si="4"/>
        <v>869.61371999999994</v>
      </c>
      <c r="I55" s="1">
        <f t="shared" si="5"/>
        <v>907.26687000000004</v>
      </c>
      <c r="J55" s="1">
        <f t="shared" si="6"/>
        <v>10945.763364</v>
      </c>
    </row>
    <row r="56" spans="1:10" x14ac:dyDescent="0.3">
      <c r="A56">
        <v>10949859.724161476</v>
      </c>
      <c r="B56" s="1">
        <v>8.49</v>
      </c>
      <c r="C56" s="1">
        <v>102.798</v>
      </c>
      <c r="D56" s="1">
        <v>108.57899999999999</v>
      </c>
      <c r="E56" s="1">
        <f t="shared" si="1"/>
        <v>72.080100000000002</v>
      </c>
      <c r="F56" s="1">
        <f t="shared" si="2"/>
        <v>10567.428804000001</v>
      </c>
      <c r="G56" s="1">
        <f t="shared" si="3"/>
        <v>11789.399240999999</v>
      </c>
      <c r="H56" s="1">
        <f t="shared" si="4"/>
        <v>872.75502000000006</v>
      </c>
      <c r="I56" s="1">
        <f t="shared" si="5"/>
        <v>921.83570999999995</v>
      </c>
      <c r="J56" s="1">
        <f t="shared" si="6"/>
        <v>11161.704041999999</v>
      </c>
    </row>
    <row r="57" spans="1:10" x14ac:dyDescent="0.3">
      <c r="A57">
        <v>7788122.8743829504</v>
      </c>
      <c r="B57" s="1">
        <v>8.81</v>
      </c>
      <c r="C57" s="1">
        <v>102.958</v>
      </c>
      <c r="D57" s="1">
        <v>109.93300000000001</v>
      </c>
      <c r="E57" s="1">
        <f t="shared" si="1"/>
        <v>77.616100000000003</v>
      </c>
      <c r="F57" s="1">
        <f t="shared" si="2"/>
        <v>10600.349764000001</v>
      </c>
      <c r="G57" s="1">
        <f t="shared" si="3"/>
        <v>12085.264489000001</v>
      </c>
      <c r="H57" s="1">
        <f t="shared" si="4"/>
        <v>907.05998</v>
      </c>
      <c r="I57" s="1">
        <f t="shared" si="5"/>
        <v>968.5097300000001</v>
      </c>
      <c r="J57" s="1">
        <f t="shared" si="6"/>
        <v>11318.481814000001</v>
      </c>
    </row>
    <row r="58" spans="1:10" x14ac:dyDescent="0.3">
      <c r="A58">
        <v>4723283.6403470915</v>
      </c>
      <c r="B58" s="1">
        <v>8.81</v>
      </c>
      <c r="C58" s="1">
        <v>103.358</v>
      </c>
      <c r="D58" s="1">
        <v>110.28</v>
      </c>
      <c r="E58" s="1">
        <f t="shared" si="1"/>
        <v>77.616100000000003</v>
      </c>
      <c r="F58" s="1">
        <f t="shared" si="2"/>
        <v>10682.876164000001</v>
      </c>
      <c r="G58" s="1">
        <f t="shared" si="3"/>
        <v>12161.678400000001</v>
      </c>
      <c r="H58" s="1">
        <f t="shared" si="4"/>
        <v>910.58398000000011</v>
      </c>
      <c r="I58" s="1">
        <f t="shared" si="5"/>
        <v>971.56680000000006</v>
      </c>
      <c r="J58" s="1">
        <f t="shared" si="6"/>
        <v>11398.320240000001</v>
      </c>
    </row>
    <row r="59" spans="1:10" x14ac:dyDescent="0.3">
      <c r="A59">
        <v>10406881.625942711</v>
      </c>
      <c r="B59" s="1">
        <v>8.81</v>
      </c>
      <c r="C59" s="1">
        <v>103.518</v>
      </c>
      <c r="D59" s="1">
        <v>110.673</v>
      </c>
      <c r="E59" s="1">
        <f t="shared" si="1"/>
        <v>77.616100000000003</v>
      </c>
      <c r="F59" s="1">
        <f t="shared" si="2"/>
        <v>10715.976323999999</v>
      </c>
      <c r="G59" s="1">
        <f t="shared" si="3"/>
        <v>12248.512929</v>
      </c>
      <c r="H59" s="1">
        <f t="shared" si="4"/>
        <v>911.99358000000007</v>
      </c>
      <c r="I59" s="1">
        <f t="shared" si="5"/>
        <v>975.02913000000012</v>
      </c>
      <c r="J59" s="1">
        <f t="shared" si="6"/>
        <v>11456.647614</v>
      </c>
    </row>
    <row r="60" spans="1:10" x14ac:dyDescent="0.3">
      <c r="A60">
        <v>13697220.870513134</v>
      </c>
      <c r="B60" s="1">
        <v>8.81</v>
      </c>
      <c r="C60" s="1">
        <v>102.748</v>
      </c>
      <c r="D60" s="1">
        <v>111.476</v>
      </c>
      <c r="E60" s="1">
        <f t="shared" si="1"/>
        <v>77.616100000000003</v>
      </c>
      <c r="F60" s="1">
        <f t="shared" si="2"/>
        <v>10557.151504000001</v>
      </c>
      <c r="G60" s="1">
        <f t="shared" si="3"/>
        <v>12426.898576</v>
      </c>
      <c r="H60" s="1">
        <f t="shared" si="4"/>
        <v>905.20988000000011</v>
      </c>
      <c r="I60" s="1">
        <f t="shared" si="5"/>
        <v>982.10356000000002</v>
      </c>
      <c r="J60" s="1">
        <f t="shared" si="6"/>
        <v>11453.936048</v>
      </c>
    </row>
    <row r="61" spans="1:10" x14ac:dyDescent="0.3">
      <c r="A61">
        <v>13529517.60375851</v>
      </c>
      <c r="B61" s="1">
        <v>8.81</v>
      </c>
      <c r="C61" s="1">
        <v>102.348</v>
      </c>
      <c r="D61" s="1">
        <v>112.004</v>
      </c>
      <c r="E61" s="1">
        <f t="shared" si="1"/>
        <v>77.616100000000003</v>
      </c>
      <c r="F61" s="1">
        <f t="shared" si="2"/>
        <v>10475.113104</v>
      </c>
      <c r="G61" s="1">
        <f t="shared" si="3"/>
        <v>12544.896016000001</v>
      </c>
      <c r="H61" s="1">
        <f t="shared" si="4"/>
        <v>901.68588</v>
      </c>
      <c r="I61" s="1">
        <f t="shared" si="5"/>
        <v>986.75524000000007</v>
      </c>
      <c r="J61" s="1">
        <f t="shared" si="6"/>
        <v>11463.385392</v>
      </c>
    </row>
    <row r="62" spans="1:10" x14ac:dyDescent="0.3">
      <c r="A62">
        <v>12572433.29626519</v>
      </c>
      <c r="B62" s="1">
        <v>8.81</v>
      </c>
      <c r="C62" s="1">
        <v>101.66800000000001</v>
      </c>
      <c r="D62" s="1">
        <v>111.02</v>
      </c>
      <c r="E62" s="1">
        <f t="shared" si="1"/>
        <v>77.616100000000003</v>
      </c>
      <c r="F62" s="1">
        <f t="shared" si="2"/>
        <v>10336.382224000001</v>
      </c>
      <c r="G62" s="1">
        <f t="shared" si="3"/>
        <v>12325.440399999999</v>
      </c>
      <c r="H62" s="1">
        <f t="shared" si="4"/>
        <v>895.69508000000008</v>
      </c>
      <c r="I62" s="1">
        <f t="shared" si="5"/>
        <v>978.08620000000008</v>
      </c>
      <c r="J62" s="1">
        <f t="shared" si="6"/>
        <v>11287.18136</v>
      </c>
    </row>
    <row r="63" spans="1:10" x14ac:dyDescent="0.3">
      <c r="A63">
        <v>14016908.526786475</v>
      </c>
      <c r="B63" s="1">
        <v>8.81</v>
      </c>
      <c r="C63" s="1">
        <v>102.83799999999999</v>
      </c>
      <c r="D63" s="1">
        <v>112.169</v>
      </c>
      <c r="E63" s="1">
        <f t="shared" si="1"/>
        <v>77.616100000000003</v>
      </c>
      <c r="F63" s="1">
        <f t="shared" si="2"/>
        <v>10575.654243999999</v>
      </c>
      <c r="G63" s="1">
        <f t="shared" si="3"/>
        <v>12581.884560999999</v>
      </c>
      <c r="H63" s="1">
        <f t="shared" si="4"/>
        <v>906.00278000000003</v>
      </c>
      <c r="I63" s="1">
        <f t="shared" si="5"/>
        <v>988.20889</v>
      </c>
      <c r="J63" s="1">
        <f t="shared" si="6"/>
        <v>11535.235621999998</v>
      </c>
    </row>
    <row r="64" spans="1:10" x14ac:dyDescent="0.3">
      <c r="A64">
        <v>4862062.7161939014</v>
      </c>
      <c r="B64" s="1">
        <v>8.83</v>
      </c>
      <c r="C64" s="1">
        <v>102.508</v>
      </c>
      <c r="D64" s="1">
        <v>112.72</v>
      </c>
      <c r="E64" s="1">
        <f t="shared" si="1"/>
        <v>77.968900000000005</v>
      </c>
      <c r="F64" s="1">
        <f t="shared" si="2"/>
        <v>10507.890063999999</v>
      </c>
      <c r="G64" s="1">
        <f t="shared" si="3"/>
        <v>12705.7984</v>
      </c>
      <c r="H64" s="1">
        <f t="shared" si="4"/>
        <v>905.14563999999996</v>
      </c>
      <c r="I64" s="1">
        <f t="shared" si="5"/>
        <v>995.31759999999997</v>
      </c>
      <c r="J64" s="1">
        <f t="shared" si="6"/>
        <v>11554.70176</v>
      </c>
    </row>
    <row r="65" spans="1:10" x14ac:dyDescent="0.3">
      <c r="A65">
        <v>5309325.3845982486</v>
      </c>
      <c r="B65" s="1">
        <v>8.9</v>
      </c>
      <c r="C65" s="1">
        <v>101.108</v>
      </c>
      <c r="D65" s="1">
        <v>113.075</v>
      </c>
      <c r="E65" s="1">
        <f t="shared" si="1"/>
        <v>79.210000000000008</v>
      </c>
      <c r="F65" s="1">
        <f t="shared" si="2"/>
        <v>10222.827664</v>
      </c>
      <c r="G65" s="1">
        <f t="shared" si="3"/>
        <v>12785.955625000001</v>
      </c>
      <c r="H65" s="1">
        <f t="shared" si="4"/>
        <v>899.86120000000005</v>
      </c>
      <c r="I65" s="1">
        <f t="shared" si="5"/>
        <v>1006.3675000000001</v>
      </c>
      <c r="J65" s="1">
        <f t="shared" si="6"/>
        <v>11432.787100000001</v>
      </c>
    </row>
    <row r="66" spans="1:10" x14ac:dyDescent="0.3">
      <c r="A66">
        <v>4997866.6217431379</v>
      </c>
      <c r="B66" s="1">
        <v>8.9</v>
      </c>
      <c r="C66" s="1">
        <v>101.66800000000001</v>
      </c>
      <c r="D66" s="1">
        <v>114.114</v>
      </c>
      <c r="E66" s="1">
        <f t="shared" si="1"/>
        <v>79.210000000000008</v>
      </c>
      <c r="F66" s="1">
        <f t="shared" si="2"/>
        <v>10336.382224000001</v>
      </c>
      <c r="G66" s="1">
        <f t="shared" si="3"/>
        <v>13022.004996000001</v>
      </c>
      <c r="H66" s="1">
        <f t="shared" si="4"/>
        <v>904.84520000000009</v>
      </c>
      <c r="I66" s="1">
        <f t="shared" si="5"/>
        <v>1015.6146000000001</v>
      </c>
      <c r="J66" s="1">
        <f t="shared" si="6"/>
        <v>11601.742152000001</v>
      </c>
    </row>
    <row r="67" spans="1:10" x14ac:dyDescent="0.3">
      <c r="A67">
        <v>13767841.461177064</v>
      </c>
      <c r="B67" s="1">
        <v>8.9</v>
      </c>
      <c r="C67" s="1">
        <v>102.008</v>
      </c>
      <c r="D67" s="1">
        <v>114.342</v>
      </c>
      <c r="E67" s="1">
        <f t="shared" ref="E67:E130" si="7">B67^2</f>
        <v>79.210000000000008</v>
      </c>
      <c r="F67" s="1">
        <f t="shared" ref="F67:F130" si="8">C67^2</f>
        <v>10405.632063999999</v>
      </c>
      <c r="G67" s="1">
        <f t="shared" ref="G67:G130" si="9">D67^2</f>
        <v>13074.092963999999</v>
      </c>
      <c r="H67" s="1">
        <f t="shared" ref="H67:H130" si="10">B67*C67</f>
        <v>907.87120000000004</v>
      </c>
      <c r="I67" s="1">
        <f t="shared" ref="I67:I130" si="11">B67*D67</f>
        <v>1017.6438000000001</v>
      </c>
      <c r="J67" s="1">
        <f t="shared" ref="J67:J130" si="12">C67*D67</f>
        <v>11663.798735999999</v>
      </c>
    </row>
    <row r="68" spans="1:10" x14ac:dyDescent="0.3">
      <c r="A68">
        <v>14447829.328002775</v>
      </c>
      <c r="B68" s="1">
        <v>8.9</v>
      </c>
      <c r="C68" s="1">
        <v>101.02800000000001</v>
      </c>
      <c r="D68" s="1">
        <v>115.5</v>
      </c>
      <c r="E68" s="1">
        <f t="shared" si="7"/>
        <v>79.210000000000008</v>
      </c>
      <c r="F68" s="1">
        <f t="shared" si="8"/>
        <v>10206.656784000001</v>
      </c>
      <c r="G68" s="1">
        <f t="shared" si="9"/>
        <v>13340.25</v>
      </c>
      <c r="H68" s="1">
        <f t="shared" si="10"/>
        <v>899.14920000000006</v>
      </c>
      <c r="I68" s="1">
        <f t="shared" si="11"/>
        <v>1027.95</v>
      </c>
      <c r="J68" s="1">
        <f t="shared" si="12"/>
        <v>11668.734</v>
      </c>
    </row>
    <row r="69" spans="1:10" x14ac:dyDescent="0.3">
      <c r="A69">
        <v>4571859.8616282567</v>
      </c>
      <c r="B69" s="1">
        <v>9.14</v>
      </c>
      <c r="C69" s="1">
        <v>101.878</v>
      </c>
      <c r="D69" s="1">
        <v>117.027</v>
      </c>
      <c r="E69" s="1">
        <f t="shared" si="7"/>
        <v>83.539600000000007</v>
      </c>
      <c r="F69" s="1">
        <f t="shared" si="8"/>
        <v>10379.126883999999</v>
      </c>
      <c r="G69" s="1">
        <f t="shared" si="9"/>
        <v>13695.318729000001</v>
      </c>
      <c r="H69" s="1">
        <f t="shared" si="10"/>
        <v>931.16492000000005</v>
      </c>
      <c r="I69" s="1">
        <f t="shared" si="11"/>
        <v>1069.6267800000001</v>
      </c>
      <c r="J69" s="1">
        <f t="shared" si="12"/>
        <v>11922.476705999999</v>
      </c>
    </row>
    <row r="70" spans="1:10" x14ac:dyDescent="0.3">
      <c r="A70">
        <v>5045520.9386304449</v>
      </c>
      <c r="B70" s="1">
        <v>9.14</v>
      </c>
      <c r="C70" s="1">
        <v>102.55800000000001</v>
      </c>
      <c r="D70" s="1">
        <v>119.515</v>
      </c>
      <c r="E70" s="1">
        <f t="shared" si="7"/>
        <v>83.539600000000007</v>
      </c>
      <c r="F70" s="1">
        <f t="shared" si="8"/>
        <v>10518.143364000001</v>
      </c>
      <c r="G70" s="1">
        <f t="shared" si="9"/>
        <v>14283.835225000001</v>
      </c>
      <c r="H70" s="1">
        <f t="shared" si="10"/>
        <v>937.38012000000015</v>
      </c>
      <c r="I70" s="1">
        <f t="shared" si="11"/>
        <v>1092.3671000000002</v>
      </c>
      <c r="J70" s="1">
        <f t="shared" si="12"/>
        <v>12257.219370000001</v>
      </c>
    </row>
    <row r="71" spans="1:10" x14ac:dyDescent="0.3">
      <c r="A71">
        <v>4852866.7470904486</v>
      </c>
      <c r="B71" s="1">
        <v>9.14</v>
      </c>
      <c r="C71" s="1">
        <v>101.568</v>
      </c>
      <c r="D71" s="1">
        <v>120.979</v>
      </c>
      <c r="E71" s="1">
        <f t="shared" si="7"/>
        <v>83.539600000000007</v>
      </c>
      <c r="F71" s="1">
        <f t="shared" si="8"/>
        <v>10316.058623999999</v>
      </c>
      <c r="G71" s="1">
        <f t="shared" si="9"/>
        <v>14635.918441</v>
      </c>
      <c r="H71" s="1">
        <f t="shared" si="10"/>
        <v>928.33152000000007</v>
      </c>
      <c r="I71" s="1">
        <f t="shared" si="11"/>
        <v>1105.7480600000001</v>
      </c>
      <c r="J71" s="1">
        <f t="shared" si="12"/>
        <v>12287.595072</v>
      </c>
    </row>
    <row r="72" spans="1:10" x14ac:dyDescent="0.3">
      <c r="A72">
        <v>4937399.1794088418</v>
      </c>
      <c r="B72" s="1">
        <v>9.14</v>
      </c>
      <c r="C72" s="1">
        <v>99.2483</v>
      </c>
      <c r="D72" s="1">
        <v>121.145</v>
      </c>
      <c r="E72" s="1">
        <f t="shared" si="7"/>
        <v>83.539600000000007</v>
      </c>
      <c r="F72" s="1">
        <f t="shared" si="8"/>
        <v>9850.2250528900004</v>
      </c>
      <c r="G72" s="1">
        <f t="shared" si="9"/>
        <v>14676.111024999998</v>
      </c>
      <c r="H72" s="1">
        <f t="shared" si="10"/>
        <v>907.1294620000001</v>
      </c>
      <c r="I72" s="1">
        <f t="shared" si="11"/>
        <v>1107.2653</v>
      </c>
      <c r="J72" s="1">
        <f t="shared" si="12"/>
        <v>12023.4353035</v>
      </c>
    </row>
    <row r="73" spans="1:10" x14ac:dyDescent="0.3">
      <c r="A73">
        <v>4786252.4774537645</v>
      </c>
      <c r="B73" s="1">
        <v>9.26</v>
      </c>
      <c r="C73" s="1">
        <v>100.69799999999999</v>
      </c>
      <c r="D73" s="1">
        <v>121.85299999999999</v>
      </c>
      <c r="E73" s="1">
        <f t="shared" si="7"/>
        <v>85.747599999999991</v>
      </c>
      <c r="F73" s="1">
        <f t="shared" si="8"/>
        <v>10140.087203999999</v>
      </c>
      <c r="G73" s="1">
        <f t="shared" si="9"/>
        <v>14848.153608999999</v>
      </c>
      <c r="H73" s="1">
        <f t="shared" si="10"/>
        <v>932.46347999999989</v>
      </c>
      <c r="I73" s="1">
        <f t="shared" si="11"/>
        <v>1128.35878</v>
      </c>
      <c r="J73" s="1">
        <f t="shared" si="12"/>
        <v>12270.353393999998</v>
      </c>
    </row>
    <row r="74" spans="1:10" x14ac:dyDescent="0.3">
      <c r="A74">
        <v>28708017.105267331</v>
      </c>
      <c r="B74" s="1">
        <v>9.3000000000000007</v>
      </c>
      <c r="C74" s="1">
        <v>100.938</v>
      </c>
      <c r="D74" s="1">
        <v>124.184</v>
      </c>
      <c r="E74" s="1">
        <f t="shared" si="7"/>
        <v>86.490000000000009</v>
      </c>
      <c r="F74" s="1">
        <f t="shared" si="8"/>
        <v>10188.479844000001</v>
      </c>
      <c r="G74" s="1">
        <f t="shared" si="9"/>
        <v>15421.665856</v>
      </c>
      <c r="H74" s="1">
        <f t="shared" si="10"/>
        <v>938.72340000000008</v>
      </c>
      <c r="I74" s="1">
        <f t="shared" si="11"/>
        <v>1154.9112</v>
      </c>
      <c r="J74" s="1">
        <f t="shared" si="12"/>
        <v>12534.884592</v>
      </c>
    </row>
    <row r="75" spans="1:10" x14ac:dyDescent="0.3">
      <c r="A75">
        <v>23016266.821449418</v>
      </c>
      <c r="B75" s="1">
        <v>9.74</v>
      </c>
      <c r="C75" s="1">
        <v>101.11799999999999</v>
      </c>
      <c r="D75" s="1">
        <v>124.79</v>
      </c>
      <c r="E75" s="1">
        <f t="shared" si="7"/>
        <v>94.86760000000001</v>
      </c>
      <c r="F75" s="1">
        <f t="shared" si="8"/>
        <v>10224.849923999998</v>
      </c>
      <c r="G75" s="1">
        <f t="shared" si="9"/>
        <v>15572.544100000001</v>
      </c>
      <c r="H75" s="1">
        <f t="shared" si="10"/>
        <v>984.88932</v>
      </c>
      <c r="I75" s="1">
        <f t="shared" si="11"/>
        <v>1215.4546</v>
      </c>
      <c r="J75" s="1">
        <f t="shared" si="12"/>
        <v>12618.515219999999</v>
      </c>
    </row>
    <row r="76" spans="1:10" x14ac:dyDescent="0.3">
      <c r="A76">
        <v>28302585.099005517</v>
      </c>
      <c r="B76" s="1">
        <v>9.82</v>
      </c>
      <c r="C76" s="1">
        <v>101.298</v>
      </c>
      <c r="D76" s="1">
        <v>128.63200000000001</v>
      </c>
      <c r="E76" s="1">
        <f t="shared" si="7"/>
        <v>96.432400000000001</v>
      </c>
      <c r="F76" s="1">
        <f t="shared" si="8"/>
        <v>10261.284804000001</v>
      </c>
      <c r="G76" s="1">
        <f t="shared" si="9"/>
        <v>16546.191424000001</v>
      </c>
      <c r="H76" s="1">
        <f t="shared" si="10"/>
        <v>994.7463600000001</v>
      </c>
      <c r="I76" s="1">
        <f t="shared" si="11"/>
        <v>1263.16624</v>
      </c>
      <c r="J76" s="1">
        <f t="shared" si="12"/>
        <v>13030.164336000002</v>
      </c>
    </row>
    <row r="77" spans="1:10" x14ac:dyDescent="0.3">
      <c r="A77">
        <v>30389614.930188593</v>
      </c>
      <c r="B77" s="1">
        <v>9.8699999999999992</v>
      </c>
      <c r="C77" s="1">
        <v>99.328299999999999</v>
      </c>
      <c r="D77" s="1">
        <v>132.53700000000001</v>
      </c>
      <c r="E77" s="1">
        <f t="shared" si="7"/>
        <v>97.416899999999984</v>
      </c>
      <c r="F77" s="1">
        <f t="shared" si="8"/>
        <v>9866.1111808900005</v>
      </c>
      <c r="G77" s="1">
        <f t="shared" si="9"/>
        <v>17566.056369000002</v>
      </c>
      <c r="H77" s="1">
        <f t="shared" si="10"/>
        <v>980.37032099999988</v>
      </c>
      <c r="I77" s="1">
        <f t="shared" si="11"/>
        <v>1308.1401899999998</v>
      </c>
      <c r="J77" s="1">
        <f t="shared" si="12"/>
        <v>13164.6748971</v>
      </c>
    </row>
    <row r="78" spans="1:10" x14ac:dyDescent="0.3">
      <c r="A78">
        <v>38210995.09259408</v>
      </c>
      <c r="B78" s="1">
        <v>9.89</v>
      </c>
      <c r="C78" s="1">
        <v>96.228399999999993</v>
      </c>
      <c r="D78" s="1">
        <v>136.10400000000001</v>
      </c>
      <c r="E78" s="1">
        <f t="shared" si="7"/>
        <v>97.812100000000015</v>
      </c>
      <c r="F78" s="1">
        <f t="shared" si="8"/>
        <v>9259.9049665599996</v>
      </c>
      <c r="G78" s="1">
        <f t="shared" si="9"/>
        <v>18524.298816000002</v>
      </c>
      <c r="H78" s="1">
        <f t="shared" si="10"/>
        <v>951.69887600000004</v>
      </c>
      <c r="I78" s="1">
        <f t="shared" si="11"/>
        <v>1346.0685600000002</v>
      </c>
      <c r="J78" s="1">
        <f t="shared" si="12"/>
        <v>13097.0701536</v>
      </c>
    </row>
    <row r="79" spans="1:10" x14ac:dyDescent="0.3">
      <c r="A79">
        <v>18598034.490102787</v>
      </c>
      <c r="B79" s="1">
        <v>11.47</v>
      </c>
      <c r="C79" s="1">
        <v>98.568399999999997</v>
      </c>
      <c r="D79" s="1">
        <v>138.96199999999999</v>
      </c>
      <c r="E79" s="1">
        <f t="shared" si="7"/>
        <v>131.5609</v>
      </c>
      <c r="F79" s="1">
        <f t="shared" si="8"/>
        <v>9715.7294785599988</v>
      </c>
      <c r="G79" s="1">
        <f t="shared" si="9"/>
        <v>19310.437443999996</v>
      </c>
      <c r="H79" s="1">
        <f t="shared" si="10"/>
        <v>1130.5795479999999</v>
      </c>
      <c r="I79" s="1">
        <f t="shared" si="11"/>
        <v>1593.8941399999999</v>
      </c>
      <c r="J79" s="1">
        <f t="shared" si="12"/>
        <v>13697.262000799998</v>
      </c>
    </row>
    <row r="80" spans="1:10" x14ac:dyDescent="0.3">
      <c r="A80">
        <v>19581517.994342677</v>
      </c>
      <c r="B80" s="1">
        <v>11.47</v>
      </c>
      <c r="C80" s="1">
        <v>95.038399999999996</v>
      </c>
      <c r="D80" s="1">
        <v>143.59899999999999</v>
      </c>
      <c r="E80" s="1">
        <f t="shared" si="7"/>
        <v>131.5609</v>
      </c>
      <c r="F80" s="1">
        <f t="shared" si="8"/>
        <v>9032.2974745599986</v>
      </c>
      <c r="G80" s="1">
        <f t="shared" si="9"/>
        <v>20620.672800999997</v>
      </c>
      <c r="H80" s="1">
        <f t="shared" si="10"/>
        <v>1090.0904479999999</v>
      </c>
      <c r="I80" s="1">
        <f t="shared" si="11"/>
        <v>1647.08053</v>
      </c>
      <c r="J80" s="1">
        <f t="shared" si="12"/>
        <v>13647.419201599998</v>
      </c>
    </row>
    <row r="81" spans="1:10" x14ac:dyDescent="0.3">
      <c r="A81">
        <v>20658294.105300222</v>
      </c>
      <c r="B81" s="1">
        <v>11.47</v>
      </c>
      <c r="C81" s="1">
        <v>93.878399999999999</v>
      </c>
      <c r="D81" s="1">
        <v>146.66999999999999</v>
      </c>
      <c r="E81" s="1">
        <f t="shared" si="7"/>
        <v>131.5609</v>
      </c>
      <c r="F81" s="1">
        <f t="shared" si="8"/>
        <v>8813.1539865600007</v>
      </c>
      <c r="G81" s="1">
        <f t="shared" si="9"/>
        <v>21512.088899999995</v>
      </c>
      <c r="H81" s="1">
        <f t="shared" si="10"/>
        <v>1076.7852480000001</v>
      </c>
      <c r="I81" s="1">
        <f t="shared" si="11"/>
        <v>1682.3048999999999</v>
      </c>
      <c r="J81" s="1">
        <f t="shared" si="12"/>
        <v>13769.144927999998</v>
      </c>
    </row>
    <row r="82" spans="1:10" x14ac:dyDescent="0.3">
      <c r="A82">
        <v>14619314.849524815</v>
      </c>
      <c r="B82" s="1">
        <v>12.69</v>
      </c>
      <c r="C82" s="1">
        <v>93.378399999999999</v>
      </c>
      <c r="D82" s="1">
        <v>148.095</v>
      </c>
      <c r="E82" s="1">
        <f t="shared" si="7"/>
        <v>161.03609999999998</v>
      </c>
      <c r="F82" s="1">
        <f t="shared" si="8"/>
        <v>8719.5255865599993</v>
      </c>
      <c r="G82" s="1">
        <f t="shared" si="9"/>
        <v>21932.129024999998</v>
      </c>
      <c r="H82" s="1">
        <f t="shared" si="10"/>
        <v>1184.971896</v>
      </c>
      <c r="I82" s="1">
        <f t="shared" si="11"/>
        <v>1879.32555</v>
      </c>
      <c r="J82" s="1">
        <f t="shared" si="12"/>
        <v>13828.874147999999</v>
      </c>
    </row>
    <row r="83" spans="1:10" x14ac:dyDescent="0.3">
      <c r="A83">
        <v>12686308.580963137</v>
      </c>
      <c r="B83" s="1">
        <v>12.66</v>
      </c>
      <c r="C83" s="1">
        <v>95.328400000000002</v>
      </c>
      <c r="D83" s="1">
        <v>151.22800000000001</v>
      </c>
      <c r="E83" s="1">
        <f t="shared" si="7"/>
        <v>160.2756</v>
      </c>
      <c r="F83" s="1">
        <f t="shared" si="8"/>
        <v>9087.503846560001</v>
      </c>
      <c r="G83" s="1">
        <f t="shared" si="9"/>
        <v>22869.907984000001</v>
      </c>
      <c r="H83" s="1">
        <f t="shared" si="10"/>
        <v>1206.857544</v>
      </c>
      <c r="I83" s="1">
        <f t="shared" si="11"/>
        <v>1914.5464800000002</v>
      </c>
      <c r="J83" s="1">
        <f t="shared" si="12"/>
        <v>14416.3232752</v>
      </c>
    </row>
    <row r="84" spans="1:10" x14ac:dyDescent="0.3">
      <c r="A84">
        <v>6898921.2595294612</v>
      </c>
      <c r="B84" s="1">
        <v>14.01</v>
      </c>
      <c r="C84" s="1">
        <v>98.778400000000005</v>
      </c>
      <c r="D84" s="1">
        <v>151.047</v>
      </c>
      <c r="E84" s="1">
        <f t="shared" si="7"/>
        <v>196.2801</v>
      </c>
      <c r="F84" s="1">
        <f t="shared" si="8"/>
        <v>9757.1723065600017</v>
      </c>
      <c r="G84" s="1">
        <f t="shared" si="9"/>
        <v>22815.196208999998</v>
      </c>
      <c r="H84" s="1">
        <f t="shared" si="10"/>
        <v>1383.8853840000002</v>
      </c>
      <c r="I84" s="1">
        <f t="shared" si="11"/>
        <v>2116.1684700000001</v>
      </c>
      <c r="J84" s="1">
        <f t="shared" si="12"/>
        <v>14920.180984800001</v>
      </c>
    </row>
    <row r="85" spans="1:10" x14ac:dyDescent="0.3">
      <c r="A85">
        <v>7959517.4516938152</v>
      </c>
      <c r="B85" s="1">
        <v>14.01</v>
      </c>
      <c r="C85" s="1">
        <v>99.018299999999996</v>
      </c>
      <c r="D85" s="1">
        <v>150.29900000000001</v>
      </c>
      <c r="E85" s="1">
        <f t="shared" si="7"/>
        <v>196.2801</v>
      </c>
      <c r="F85" s="1">
        <f t="shared" si="8"/>
        <v>9804.6237348899995</v>
      </c>
      <c r="G85" s="1">
        <f t="shared" si="9"/>
        <v>22589.789401000002</v>
      </c>
      <c r="H85" s="1">
        <f t="shared" si="10"/>
        <v>1387.2463829999999</v>
      </c>
      <c r="I85" s="1">
        <f t="shared" si="11"/>
        <v>2105.6889900000001</v>
      </c>
      <c r="J85" s="1">
        <f t="shared" si="12"/>
        <v>14882.3514717</v>
      </c>
    </row>
    <row r="86" spans="1:10" x14ac:dyDescent="0.3">
      <c r="A86">
        <v>30243107.374602783</v>
      </c>
      <c r="B86" s="1">
        <v>13.99</v>
      </c>
      <c r="C86" s="1">
        <v>98.758399999999995</v>
      </c>
      <c r="D86" s="1">
        <v>149.661</v>
      </c>
      <c r="E86" s="1">
        <f t="shared" si="7"/>
        <v>195.7201</v>
      </c>
      <c r="F86" s="1">
        <f t="shared" si="8"/>
        <v>9753.2215705599992</v>
      </c>
      <c r="G86" s="1">
        <f t="shared" si="9"/>
        <v>22398.414921</v>
      </c>
      <c r="H86" s="1">
        <f t="shared" si="10"/>
        <v>1381.6300159999998</v>
      </c>
      <c r="I86" s="1">
        <f t="shared" si="11"/>
        <v>2093.7573900000002</v>
      </c>
      <c r="J86" s="1">
        <f t="shared" si="12"/>
        <v>14780.2809024</v>
      </c>
    </row>
    <row r="87" spans="1:10" x14ac:dyDescent="0.3">
      <c r="A87">
        <v>24729022.222007044</v>
      </c>
      <c r="B87" s="1">
        <v>12.96</v>
      </c>
      <c r="C87" s="1">
        <v>102.02800000000001</v>
      </c>
      <c r="D87" s="1">
        <v>151.08699999999999</v>
      </c>
      <c r="E87" s="1">
        <f t="shared" si="7"/>
        <v>167.96160000000003</v>
      </c>
      <c r="F87" s="1">
        <f t="shared" si="8"/>
        <v>10409.712784000001</v>
      </c>
      <c r="G87" s="1">
        <f t="shared" si="9"/>
        <v>22827.281568999995</v>
      </c>
      <c r="H87" s="1">
        <f t="shared" si="10"/>
        <v>1322.2828800000002</v>
      </c>
      <c r="I87" s="1">
        <f t="shared" si="11"/>
        <v>1958.08752</v>
      </c>
      <c r="J87" s="1">
        <f t="shared" si="12"/>
        <v>15415.104436</v>
      </c>
    </row>
    <row r="88" spans="1:10" x14ac:dyDescent="0.3">
      <c r="A88">
        <v>23344900.65966931</v>
      </c>
      <c r="B88" s="1">
        <v>11.77</v>
      </c>
      <c r="C88" s="1">
        <v>102.718</v>
      </c>
      <c r="D88" s="1">
        <v>153.15700000000001</v>
      </c>
      <c r="E88" s="1">
        <f t="shared" si="7"/>
        <v>138.53289999999998</v>
      </c>
      <c r="F88" s="1">
        <f t="shared" si="8"/>
        <v>10550.987524</v>
      </c>
      <c r="G88" s="1">
        <f t="shared" si="9"/>
        <v>23457.066649000004</v>
      </c>
      <c r="H88" s="1">
        <f t="shared" si="10"/>
        <v>1208.9908599999999</v>
      </c>
      <c r="I88" s="1">
        <f t="shared" si="11"/>
        <v>1802.65789</v>
      </c>
      <c r="J88" s="1">
        <f t="shared" si="12"/>
        <v>15731.980726000002</v>
      </c>
    </row>
    <row r="89" spans="1:10" x14ac:dyDescent="0.3">
      <c r="A89">
        <v>28499855.338320225</v>
      </c>
      <c r="B89" s="1">
        <v>12.95</v>
      </c>
      <c r="C89" s="1">
        <v>101.66800000000001</v>
      </c>
      <c r="D89" s="1">
        <v>155.322</v>
      </c>
      <c r="E89" s="1">
        <f t="shared" si="7"/>
        <v>167.70249999999999</v>
      </c>
      <c r="F89" s="1">
        <f t="shared" si="8"/>
        <v>10336.382224000001</v>
      </c>
      <c r="G89" s="1">
        <f t="shared" si="9"/>
        <v>24124.923684000001</v>
      </c>
      <c r="H89" s="1">
        <f t="shared" si="10"/>
        <v>1316.6006</v>
      </c>
      <c r="I89" s="1">
        <f t="shared" si="11"/>
        <v>2011.4198999999999</v>
      </c>
      <c r="J89" s="1">
        <f t="shared" si="12"/>
        <v>15791.277096000002</v>
      </c>
    </row>
    <row r="90" spans="1:10" x14ac:dyDescent="0.3">
      <c r="A90">
        <v>25148714.455575831</v>
      </c>
      <c r="B90" s="1">
        <v>13.14</v>
      </c>
      <c r="C90" s="1">
        <v>99.538300000000007</v>
      </c>
      <c r="D90" s="1">
        <v>155.684</v>
      </c>
      <c r="E90" s="1">
        <f t="shared" si="7"/>
        <v>172.65960000000001</v>
      </c>
      <c r="F90" s="1">
        <f t="shared" si="8"/>
        <v>9907.8731668900018</v>
      </c>
      <c r="G90" s="1">
        <f t="shared" si="9"/>
        <v>24237.507856</v>
      </c>
      <c r="H90" s="1">
        <f t="shared" si="10"/>
        <v>1307.9332620000002</v>
      </c>
      <c r="I90" s="1">
        <f t="shared" si="11"/>
        <v>2045.68776</v>
      </c>
      <c r="J90" s="1">
        <f t="shared" si="12"/>
        <v>15496.520697200001</v>
      </c>
    </row>
    <row r="91" spans="1:10" x14ac:dyDescent="0.3">
      <c r="A91">
        <v>18239948.620373856</v>
      </c>
      <c r="B91" s="1">
        <v>12.01</v>
      </c>
      <c r="C91" s="1">
        <v>98.588399999999993</v>
      </c>
      <c r="D91" s="1">
        <v>157.22</v>
      </c>
      <c r="E91" s="1">
        <f t="shared" si="7"/>
        <v>144.24009999999998</v>
      </c>
      <c r="F91" s="1">
        <f t="shared" si="8"/>
        <v>9719.6726145599987</v>
      </c>
      <c r="G91" s="1">
        <f t="shared" si="9"/>
        <v>24718.128400000001</v>
      </c>
      <c r="H91" s="1">
        <f t="shared" si="10"/>
        <v>1184.0466839999999</v>
      </c>
      <c r="I91" s="1">
        <f t="shared" si="11"/>
        <v>1888.2121999999999</v>
      </c>
      <c r="J91" s="1">
        <f t="shared" si="12"/>
        <v>15500.068248</v>
      </c>
    </row>
    <row r="92" spans="1:10" x14ac:dyDescent="0.3">
      <c r="A92">
        <v>5817979.8082836326</v>
      </c>
      <c r="B92" s="1">
        <v>11.38</v>
      </c>
      <c r="C92" s="1">
        <v>97.608400000000003</v>
      </c>
      <c r="D92" s="1">
        <v>159.64500000000001</v>
      </c>
      <c r="E92" s="1">
        <f t="shared" si="7"/>
        <v>129.5044</v>
      </c>
      <c r="F92" s="1">
        <f t="shared" si="8"/>
        <v>9527.39975056</v>
      </c>
      <c r="G92" s="1">
        <f t="shared" si="9"/>
        <v>25486.526025000003</v>
      </c>
      <c r="H92" s="1">
        <f t="shared" si="10"/>
        <v>1110.783592</v>
      </c>
      <c r="I92" s="1">
        <f t="shared" si="11"/>
        <v>1816.7601000000002</v>
      </c>
      <c r="J92" s="1">
        <f t="shared" si="12"/>
        <v>15582.693018000002</v>
      </c>
    </row>
    <row r="93" spans="1:10" x14ac:dyDescent="0.3">
      <c r="A93">
        <v>10940058.362315398</v>
      </c>
      <c r="B93" s="1">
        <v>12.44</v>
      </c>
      <c r="C93" s="1">
        <v>96.828400000000002</v>
      </c>
      <c r="D93" s="1">
        <v>162.35300000000001</v>
      </c>
      <c r="E93" s="1">
        <f t="shared" si="7"/>
        <v>154.75359999999998</v>
      </c>
      <c r="F93" s="1">
        <f t="shared" si="8"/>
        <v>9375.7390465600001</v>
      </c>
      <c r="G93" s="1">
        <f t="shared" si="9"/>
        <v>26358.496609000002</v>
      </c>
      <c r="H93" s="1">
        <f t="shared" si="10"/>
        <v>1204.545296</v>
      </c>
      <c r="I93" s="1">
        <f t="shared" si="11"/>
        <v>2019.6713199999999</v>
      </c>
      <c r="J93" s="1">
        <f t="shared" si="12"/>
        <v>15720.381225200001</v>
      </c>
    </row>
    <row r="94" spans="1:10" x14ac:dyDescent="0.3">
      <c r="A94">
        <v>20973630.414629444</v>
      </c>
      <c r="B94" s="1">
        <v>12.58</v>
      </c>
      <c r="C94" s="1">
        <v>96.028400000000005</v>
      </c>
      <c r="D94" s="1">
        <v>163.08500000000001</v>
      </c>
      <c r="E94" s="1">
        <f t="shared" si="7"/>
        <v>158.25640000000001</v>
      </c>
      <c r="F94" s="1">
        <f t="shared" si="8"/>
        <v>9221.4536065600005</v>
      </c>
      <c r="G94" s="1">
        <f t="shared" si="9"/>
        <v>26596.717225000004</v>
      </c>
      <c r="H94" s="1">
        <f t="shared" si="10"/>
        <v>1208.037272</v>
      </c>
      <c r="I94" s="1">
        <f t="shared" si="11"/>
        <v>2051.6093000000001</v>
      </c>
      <c r="J94" s="1">
        <f t="shared" si="12"/>
        <v>15660.791614000002</v>
      </c>
    </row>
    <row r="95" spans="1:10" x14ac:dyDescent="0.3">
      <c r="A95">
        <v>9751981.0872211363</v>
      </c>
      <c r="B95" s="1">
        <v>12.59</v>
      </c>
      <c r="C95" s="1">
        <v>95.088399999999993</v>
      </c>
      <c r="D95" s="1">
        <v>164.636</v>
      </c>
      <c r="E95" s="1">
        <f t="shared" si="7"/>
        <v>158.50809999999998</v>
      </c>
      <c r="F95" s="1">
        <f t="shared" si="8"/>
        <v>9041.8038145599985</v>
      </c>
      <c r="G95" s="1">
        <f t="shared" si="9"/>
        <v>27105.012495999999</v>
      </c>
      <c r="H95" s="1">
        <f t="shared" si="10"/>
        <v>1197.1629559999999</v>
      </c>
      <c r="I95" s="1">
        <f t="shared" si="11"/>
        <v>2072.7672400000001</v>
      </c>
      <c r="J95" s="1">
        <f t="shared" si="12"/>
        <v>15654.973822399998</v>
      </c>
    </row>
    <row r="96" spans="1:10" x14ac:dyDescent="0.3">
      <c r="A96">
        <v>25835721.947158851</v>
      </c>
      <c r="B96" s="1">
        <v>12.32</v>
      </c>
      <c r="C96" s="1">
        <v>95.508399999999995</v>
      </c>
      <c r="D96" s="1">
        <v>166.92699999999999</v>
      </c>
      <c r="E96" s="1">
        <f t="shared" si="7"/>
        <v>151.7824</v>
      </c>
      <c r="F96" s="1">
        <f t="shared" si="8"/>
        <v>9121.8544705599998</v>
      </c>
      <c r="G96" s="1">
        <f t="shared" si="9"/>
        <v>27864.623328999998</v>
      </c>
      <c r="H96" s="1">
        <f t="shared" si="10"/>
        <v>1176.6634879999999</v>
      </c>
      <c r="I96" s="1">
        <f t="shared" si="11"/>
        <v>2056.5406400000002</v>
      </c>
      <c r="J96" s="1">
        <f t="shared" si="12"/>
        <v>15942.930686799999</v>
      </c>
    </row>
    <row r="97" spans="1:10" x14ac:dyDescent="0.3">
      <c r="A97">
        <v>20201357.1148245</v>
      </c>
      <c r="B97" s="1">
        <v>12.1</v>
      </c>
      <c r="C97" s="1">
        <v>96.288399999999996</v>
      </c>
      <c r="D97" s="1">
        <v>166.11600000000001</v>
      </c>
      <c r="E97" s="1">
        <f t="shared" si="7"/>
        <v>146.41</v>
      </c>
      <c r="F97" s="1">
        <f t="shared" si="8"/>
        <v>9271.45597456</v>
      </c>
      <c r="G97" s="1">
        <f t="shared" si="9"/>
        <v>27594.525456000003</v>
      </c>
      <c r="H97" s="1">
        <f t="shared" si="10"/>
        <v>1165.0896399999999</v>
      </c>
      <c r="I97" s="1">
        <f t="shared" si="11"/>
        <v>2010.0036</v>
      </c>
      <c r="J97" s="1">
        <f t="shared" si="12"/>
        <v>15995.043854400001</v>
      </c>
    </row>
    <row r="98" spans="1:10" x14ac:dyDescent="0.3">
      <c r="A98">
        <v>873421.21373836836</v>
      </c>
      <c r="B98" s="1">
        <v>11.9</v>
      </c>
      <c r="C98" s="1">
        <v>97.588399999999993</v>
      </c>
      <c r="D98" s="1">
        <v>170.059</v>
      </c>
      <c r="E98" s="1">
        <f t="shared" si="7"/>
        <v>141.61000000000001</v>
      </c>
      <c r="F98" s="1">
        <f t="shared" si="8"/>
        <v>9523.4958145599994</v>
      </c>
      <c r="G98" s="1">
        <f t="shared" si="9"/>
        <v>28920.063480999997</v>
      </c>
      <c r="H98" s="1">
        <f t="shared" si="10"/>
        <v>1161.30196</v>
      </c>
      <c r="I98" s="1">
        <f t="shared" si="11"/>
        <v>2023.7021</v>
      </c>
      <c r="J98" s="1">
        <f t="shared" si="12"/>
        <v>16595.785715599999</v>
      </c>
    </row>
    <row r="99" spans="1:10" x14ac:dyDescent="0.3">
      <c r="A99">
        <v>1319156.5345070022</v>
      </c>
      <c r="B99" s="1">
        <v>12.22</v>
      </c>
      <c r="C99" s="1">
        <v>99.778300000000002</v>
      </c>
      <c r="D99" s="1">
        <v>170.702</v>
      </c>
      <c r="E99" s="1">
        <f t="shared" si="7"/>
        <v>149.32840000000002</v>
      </c>
      <c r="F99" s="1">
        <f t="shared" si="8"/>
        <v>9955.7091508900012</v>
      </c>
      <c r="G99" s="1">
        <f t="shared" si="9"/>
        <v>29139.172803999998</v>
      </c>
      <c r="H99" s="1">
        <f t="shared" si="10"/>
        <v>1219.2908260000002</v>
      </c>
      <c r="I99" s="1">
        <f t="shared" si="11"/>
        <v>2085.9784399999999</v>
      </c>
      <c r="J99" s="1">
        <f t="shared" si="12"/>
        <v>17032.355366600001</v>
      </c>
    </row>
    <row r="100" spans="1:10" x14ac:dyDescent="0.3">
      <c r="A100">
        <v>1549799.0371915945</v>
      </c>
      <c r="B100" s="1">
        <v>12.34</v>
      </c>
      <c r="C100" s="1">
        <v>101.188</v>
      </c>
      <c r="D100" s="1">
        <v>172.827</v>
      </c>
      <c r="E100" s="1">
        <f t="shared" si="7"/>
        <v>152.2756</v>
      </c>
      <c r="F100" s="1">
        <f t="shared" si="8"/>
        <v>10239.011344</v>
      </c>
      <c r="G100" s="1">
        <f t="shared" si="9"/>
        <v>29869.171929</v>
      </c>
      <c r="H100" s="1">
        <f t="shared" si="10"/>
        <v>1248.6599200000001</v>
      </c>
      <c r="I100" s="1">
        <f t="shared" si="11"/>
        <v>2132.6851799999999</v>
      </c>
      <c r="J100" s="1">
        <f t="shared" si="12"/>
        <v>17488.018476000001</v>
      </c>
    </row>
    <row r="101" spans="1:10" x14ac:dyDescent="0.3">
      <c r="A101">
        <v>2213395.9948559999</v>
      </c>
      <c r="B101" s="1">
        <v>12.27</v>
      </c>
      <c r="C101" s="1">
        <v>102.878</v>
      </c>
      <c r="D101" s="1">
        <v>175.988</v>
      </c>
      <c r="E101" s="1">
        <f t="shared" si="7"/>
        <v>150.55289999999999</v>
      </c>
      <c r="F101" s="1">
        <f t="shared" si="8"/>
        <v>10583.882884000001</v>
      </c>
      <c r="G101" s="1">
        <f t="shared" si="9"/>
        <v>30971.776143999999</v>
      </c>
      <c r="H101" s="1">
        <f t="shared" si="10"/>
        <v>1262.31306</v>
      </c>
      <c r="I101" s="1">
        <f t="shared" si="11"/>
        <v>2159.3727599999997</v>
      </c>
      <c r="J101" s="1">
        <f t="shared" si="12"/>
        <v>18105.293463999998</v>
      </c>
    </row>
    <row r="102" spans="1:10" x14ac:dyDescent="0.3">
      <c r="A102">
        <v>1484805.4646951915</v>
      </c>
      <c r="B102" s="1">
        <v>12.0884</v>
      </c>
      <c r="C102" s="1">
        <v>105.428</v>
      </c>
      <c r="D102" s="1">
        <v>176.22399999999999</v>
      </c>
      <c r="E102" s="1">
        <f t="shared" si="7"/>
        <v>146.12941456000001</v>
      </c>
      <c r="F102" s="1">
        <f t="shared" si="8"/>
        <v>11115.063183999999</v>
      </c>
      <c r="G102" s="1">
        <f t="shared" si="9"/>
        <v>31054.898175999995</v>
      </c>
      <c r="H102" s="1">
        <f t="shared" si="10"/>
        <v>1274.4558351999999</v>
      </c>
      <c r="I102" s="1">
        <f t="shared" si="11"/>
        <v>2130.2662015999999</v>
      </c>
      <c r="J102" s="1">
        <f t="shared" si="12"/>
        <v>18578.943872</v>
      </c>
    </row>
    <row r="103" spans="1:10" x14ac:dyDescent="0.3">
      <c r="A103">
        <v>1587045.8356309787</v>
      </c>
      <c r="B103" s="1">
        <v>12.2705</v>
      </c>
      <c r="C103" s="1">
        <v>105.58799999999999</v>
      </c>
      <c r="D103" s="1">
        <v>176.85400000000001</v>
      </c>
      <c r="E103" s="1">
        <f t="shared" si="7"/>
        <v>150.56517024999999</v>
      </c>
      <c r="F103" s="1">
        <f t="shared" si="8"/>
        <v>11148.825743999998</v>
      </c>
      <c r="G103" s="1">
        <f t="shared" si="9"/>
        <v>31277.337316000005</v>
      </c>
      <c r="H103" s="1">
        <f t="shared" si="10"/>
        <v>1295.6175539999999</v>
      </c>
      <c r="I103" s="1">
        <f t="shared" si="11"/>
        <v>2170.0870070000001</v>
      </c>
      <c r="J103" s="1">
        <f t="shared" si="12"/>
        <v>18673.660152</v>
      </c>
    </row>
    <row r="104" spans="1:10" x14ac:dyDescent="0.3">
      <c r="A104">
        <v>1788260.7399038849</v>
      </c>
      <c r="B104" s="1">
        <v>12.334</v>
      </c>
      <c r="C104" s="1">
        <v>104.498</v>
      </c>
      <c r="D104" s="1">
        <v>180.52699999999999</v>
      </c>
      <c r="E104" s="1">
        <f t="shared" si="7"/>
        <v>152.127556</v>
      </c>
      <c r="F104" s="1">
        <f t="shared" si="8"/>
        <v>10919.832004000002</v>
      </c>
      <c r="G104" s="1">
        <f t="shared" si="9"/>
        <v>32589.997728999995</v>
      </c>
      <c r="H104" s="1">
        <f t="shared" si="10"/>
        <v>1288.878332</v>
      </c>
      <c r="I104" s="1">
        <f t="shared" si="11"/>
        <v>2226.6200179999996</v>
      </c>
      <c r="J104" s="1">
        <f t="shared" si="12"/>
        <v>18864.710446000001</v>
      </c>
    </row>
    <row r="105" spans="1:10" x14ac:dyDescent="0.3">
      <c r="A105">
        <v>2398098.4087721733</v>
      </c>
      <c r="B105" s="1">
        <v>12.651199999999999</v>
      </c>
      <c r="C105" s="1">
        <v>104.818</v>
      </c>
      <c r="D105" s="1">
        <v>184.476</v>
      </c>
      <c r="E105" s="1">
        <f t="shared" si="7"/>
        <v>160.05286143999999</v>
      </c>
      <c r="F105" s="1">
        <f t="shared" si="8"/>
        <v>10986.813124</v>
      </c>
      <c r="G105" s="1">
        <f t="shared" si="9"/>
        <v>34031.394575999999</v>
      </c>
      <c r="H105" s="1">
        <f t="shared" si="10"/>
        <v>1326.0734815999999</v>
      </c>
      <c r="I105" s="1">
        <f t="shared" si="11"/>
        <v>2333.8427711999998</v>
      </c>
      <c r="J105" s="1">
        <f t="shared" si="12"/>
        <v>19336.405368</v>
      </c>
    </row>
    <row r="106" spans="1:10" x14ac:dyDescent="0.3">
      <c r="A106">
        <v>2924979.9643146154</v>
      </c>
      <c r="B106" s="1">
        <v>12.8226</v>
      </c>
      <c r="C106" s="1">
        <v>105.27800000000001</v>
      </c>
      <c r="D106" s="1">
        <v>188.227</v>
      </c>
      <c r="E106" s="1">
        <f t="shared" si="7"/>
        <v>164.41907075999998</v>
      </c>
      <c r="F106" s="1">
        <f t="shared" si="8"/>
        <v>11083.457284000002</v>
      </c>
      <c r="G106" s="1">
        <f t="shared" si="9"/>
        <v>35429.403529000003</v>
      </c>
      <c r="H106" s="1">
        <f t="shared" si="10"/>
        <v>1349.9376827999999</v>
      </c>
      <c r="I106" s="1">
        <f t="shared" si="11"/>
        <v>2413.5595302000002</v>
      </c>
      <c r="J106" s="1">
        <f t="shared" si="12"/>
        <v>19816.162106</v>
      </c>
    </row>
    <row r="107" spans="1:10" x14ac:dyDescent="0.3">
      <c r="A107">
        <v>3579475.2166391364</v>
      </c>
      <c r="B107" s="1">
        <v>13.0785</v>
      </c>
      <c r="C107" s="1">
        <v>102.688</v>
      </c>
      <c r="D107" s="1">
        <v>190.077</v>
      </c>
      <c r="E107" s="1">
        <f t="shared" si="7"/>
        <v>171.04716225000001</v>
      </c>
      <c r="F107" s="1">
        <f t="shared" si="8"/>
        <v>10544.825344000001</v>
      </c>
      <c r="G107" s="1">
        <f t="shared" si="9"/>
        <v>36129.265929000001</v>
      </c>
      <c r="H107" s="1">
        <f t="shared" si="10"/>
        <v>1343.0050080000001</v>
      </c>
      <c r="I107" s="1">
        <f t="shared" si="11"/>
        <v>2485.9220445000001</v>
      </c>
      <c r="J107" s="1">
        <f t="shared" si="12"/>
        <v>19518.626976</v>
      </c>
    </row>
    <row r="108" spans="1:10" x14ac:dyDescent="0.3">
      <c r="A108">
        <v>3809379.5061728973</v>
      </c>
      <c r="B108" s="1">
        <v>13.183299999999999</v>
      </c>
      <c r="C108" s="1">
        <v>104.58799999999999</v>
      </c>
      <c r="D108" s="1">
        <v>191.96600000000001</v>
      </c>
      <c r="E108" s="1">
        <f t="shared" si="7"/>
        <v>173.79939888999996</v>
      </c>
      <c r="F108" s="1">
        <f t="shared" si="8"/>
        <v>10938.649743999998</v>
      </c>
      <c r="G108" s="1">
        <f t="shared" si="9"/>
        <v>36850.945156000002</v>
      </c>
      <c r="H108" s="1">
        <f t="shared" si="10"/>
        <v>1378.8149803999997</v>
      </c>
      <c r="I108" s="1">
        <f t="shared" si="11"/>
        <v>2530.7453678000002</v>
      </c>
      <c r="J108" s="1">
        <f t="shared" si="12"/>
        <v>20077.340007999999</v>
      </c>
    </row>
    <row r="109" spans="1:10" x14ac:dyDescent="0.3">
      <c r="A109">
        <v>4329781.9649086269</v>
      </c>
      <c r="B109" s="1">
        <v>13.407299999999999</v>
      </c>
      <c r="C109" s="1">
        <v>106.398</v>
      </c>
      <c r="D109" s="1">
        <v>191.38900000000001</v>
      </c>
      <c r="E109" s="1">
        <f t="shared" si="7"/>
        <v>179.75569328999998</v>
      </c>
      <c r="F109" s="1">
        <f t="shared" si="8"/>
        <v>11320.534404</v>
      </c>
      <c r="G109" s="1">
        <f t="shared" si="9"/>
        <v>36629.749321000003</v>
      </c>
      <c r="H109" s="1">
        <f t="shared" si="10"/>
        <v>1426.5099054</v>
      </c>
      <c r="I109" s="1">
        <f t="shared" si="11"/>
        <v>2566.0097397</v>
      </c>
      <c r="J109" s="1">
        <f t="shared" si="12"/>
        <v>20363.406822000001</v>
      </c>
    </row>
    <row r="110" spans="1:10" x14ac:dyDescent="0.3">
      <c r="A110">
        <v>56399.703772842637</v>
      </c>
      <c r="B110" s="1">
        <v>13.6195</v>
      </c>
      <c r="C110" s="1">
        <v>105.91800000000001</v>
      </c>
      <c r="D110" s="1">
        <v>193.71</v>
      </c>
      <c r="E110" s="1">
        <f t="shared" si="7"/>
        <v>185.49078025</v>
      </c>
      <c r="F110" s="1">
        <f t="shared" si="8"/>
        <v>11218.622724000001</v>
      </c>
      <c r="G110" s="1">
        <f t="shared" si="9"/>
        <v>37523.564100000003</v>
      </c>
      <c r="H110" s="1">
        <f t="shared" si="10"/>
        <v>1442.550201</v>
      </c>
      <c r="I110" s="1">
        <f t="shared" si="11"/>
        <v>2638.2333450000001</v>
      </c>
      <c r="J110" s="1">
        <f t="shared" si="12"/>
        <v>20517.375780000002</v>
      </c>
    </row>
    <row r="111" spans="1:10" x14ac:dyDescent="0.3">
      <c r="A111">
        <v>41340.186594856248</v>
      </c>
      <c r="B111" s="1">
        <v>13.675000000000001</v>
      </c>
      <c r="C111" s="1">
        <v>105.608</v>
      </c>
      <c r="D111" s="1">
        <v>192.63499999999999</v>
      </c>
      <c r="E111" s="1">
        <f t="shared" si="7"/>
        <v>187.00562500000001</v>
      </c>
      <c r="F111" s="1">
        <f t="shared" si="8"/>
        <v>11153.049664</v>
      </c>
      <c r="G111" s="1">
        <f t="shared" si="9"/>
        <v>37108.243224999998</v>
      </c>
      <c r="H111" s="1">
        <f t="shared" si="10"/>
        <v>1444.1894000000002</v>
      </c>
      <c r="I111" s="1">
        <f t="shared" si="11"/>
        <v>2634.283625</v>
      </c>
      <c r="J111" s="1">
        <f t="shared" si="12"/>
        <v>20343.79708</v>
      </c>
    </row>
    <row r="112" spans="1:10" x14ac:dyDescent="0.3">
      <c r="A112">
        <v>41130.108316281847</v>
      </c>
      <c r="B112" s="1">
        <v>13.608499999999999</v>
      </c>
      <c r="C112" s="1">
        <v>105.328</v>
      </c>
      <c r="D112" s="1">
        <v>195.33699999999999</v>
      </c>
      <c r="E112" s="1">
        <f t="shared" si="7"/>
        <v>185.19127224999997</v>
      </c>
      <c r="F112" s="1">
        <f t="shared" si="8"/>
        <v>11093.987584</v>
      </c>
      <c r="G112" s="1">
        <f t="shared" si="9"/>
        <v>38156.543568999994</v>
      </c>
      <c r="H112" s="1">
        <f t="shared" si="10"/>
        <v>1433.356088</v>
      </c>
      <c r="I112" s="1">
        <f t="shared" si="11"/>
        <v>2658.2435644999996</v>
      </c>
      <c r="J112" s="1">
        <f t="shared" si="12"/>
        <v>20574.455535999998</v>
      </c>
    </row>
    <row r="113" spans="1:10" x14ac:dyDescent="0.3">
      <c r="A113">
        <v>13.93540030558321</v>
      </c>
      <c r="B113" s="1">
        <v>13.6098</v>
      </c>
      <c r="C113" s="1">
        <v>105.348</v>
      </c>
      <c r="D113" s="1">
        <v>198.066</v>
      </c>
      <c r="E113" s="1">
        <f t="shared" si="7"/>
        <v>185.22665603999999</v>
      </c>
      <c r="F113" s="1">
        <f t="shared" si="8"/>
        <v>11098.201104</v>
      </c>
      <c r="G113" s="1">
        <f t="shared" si="9"/>
        <v>39230.140356000004</v>
      </c>
      <c r="H113" s="1">
        <f t="shared" si="10"/>
        <v>1433.7652103999999</v>
      </c>
      <c r="I113" s="1">
        <f t="shared" si="11"/>
        <v>2695.6386468000001</v>
      </c>
      <c r="J113" s="1">
        <f t="shared" si="12"/>
        <v>20865.856968</v>
      </c>
    </row>
    <row r="114" spans="1:10" x14ac:dyDescent="0.3">
      <c r="A114">
        <v>4279.6970912129646</v>
      </c>
      <c r="B114" s="1">
        <v>13.5421</v>
      </c>
      <c r="C114" s="1">
        <v>105.068</v>
      </c>
      <c r="D114" s="1">
        <v>198.512</v>
      </c>
      <c r="E114" s="1">
        <f t="shared" si="7"/>
        <v>183.38847240999999</v>
      </c>
      <c r="F114" s="1">
        <f t="shared" si="8"/>
        <v>11039.284624</v>
      </c>
      <c r="G114" s="1">
        <f t="shared" si="9"/>
        <v>39407.014144000001</v>
      </c>
      <c r="H114" s="1">
        <f t="shared" si="10"/>
        <v>1422.8413627999998</v>
      </c>
      <c r="I114" s="1">
        <f t="shared" si="11"/>
        <v>2688.2693552000001</v>
      </c>
      <c r="J114" s="1">
        <f t="shared" si="12"/>
        <v>20857.258816000001</v>
      </c>
    </row>
    <row r="115" spans="1:10" x14ac:dyDescent="0.3">
      <c r="A115">
        <v>12523.004449904074</v>
      </c>
      <c r="B115" s="1">
        <v>13.728300000000001</v>
      </c>
      <c r="C115" s="1">
        <v>105.11799999999999</v>
      </c>
      <c r="D115" s="1">
        <v>200.41399999999999</v>
      </c>
      <c r="E115" s="1">
        <f t="shared" si="7"/>
        <v>188.46622089000002</v>
      </c>
      <c r="F115" s="1">
        <f t="shared" si="8"/>
        <v>11049.793924</v>
      </c>
      <c r="G115" s="1">
        <f t="shared" si="9"/>
        <v>40165.771395999996</v>
      </c>
      <c r="H115" s="1">
        <f t="shared" si="10"/>
        <v>1443.0914394000001</v>
      </c>
      <c r="I115" s="1">
        <f t="shared" si="11"/>
        <v>2751.3435162000001</v>
      </c>
      <c r="J115" s="1">
        <f t="shared" si="12"/>
        <v>21067.118851999996</v>
      </c>
    </row>
    <row r="116" spans="1:10" x14ac:dyDescent="0.3">
      <c r="A116">
        <v>6609.706942621423</v>
      </c>
      <c r="B116" s="1">
        <v>13.7623</v>
      </c>
      <c r="C116" s="1">
        <v>105.288</v>
      </c>
      <c r="D116" s="1">
        <v>202.958</v>
      </c>
      <c r="E116" s="1">
        <f t="shared" si="7"/>
        <v>189.40090129000001</v>
      </c>
      <c r="F116" s="1">
        <f t="shared" si="8"/>
        <v>11085.562943999999</v>
      </c>
      <c r="G116" s="1">
        <f t="shared" si="9"/>
        <v>41191.949763999997</v>
      </c>
      <c r="H116" s="1">
        <f t="shared" si="10"/>
        <v>1449.0050423999999</v>
      </c>
      <c r="I116" s="1">
        <f t="shared" si="11"/>
        <v>2793.1688834000001</v>
      </c>
      <c r="J116" s="1">
        <f t="shared" si="12"/>
        <v>21369.041903999998</v>
      </c>
    </row>
    <row r="117" spans="1:10" x14ac:dyDescent="0.3">
      <c r="A117">
        <v>83242.637438505844</v>
      </c>
      <c r="B117" s="1">
        <v>13.277200000000001</v>
      </c>
      <c r="C117" s="1">
        <v>104.72799999999999</v>
      </c>
      <c r="D117" s="1">
        <v>205.792</v>
      </c>
      <c r="E117" s="1">
        <f t="shared" si="7"/>
        <v>176.28403984000002</v>
      </c>
      <c r="F117" s="1">
        <f t="shared" si="8"/>
        <v>10967.953983999998</v>
      </c>
      <c r="G117" s="1">
        <f t="shared" si="9"/>
        <v>42350.347264000004</v>
      </c>
      <c r="H117" s="1">
        <f t="shared" si="10"/>
        <v>1390.4946015999999</v>
      </c>
      <c r="I117" s="1">
        <f t="shared" si="11"/>
        <v>2732.3415424</v>
      </c>
      <c r="J117" s="1">
        <f t="shared" si="12"/>
        <v>21552.184576</v>
      </c>
    </row>
    <row r="118" spans="1:10" x14ac:dyDescent="0.3">
      <c r="A118">
        <v>40582.361186456255</v>
      </c>
      <c r="B118" s="1">
        <v>13.1965</v>
      </c>
      <c r="C118" s="1">
        <v>106.36799999999999</v>
      </c>
      <c r="D118" s="1">
        <v>207.917</v>
      </c>
      <c r="E118" s="1">
        <f t="shared" si="7"/>
        <v>174.14761225000001</v>
      </c>
      <c r="F118" s="1">
        <f t="shared" si="8"/>
        <v>11314.151424</v>
      </c>
      <c r="G118" s="1">
        <f t="shared" si="9"/>
        <v>43229.478888999998</v>
      </c>
      <c r="H118" s="1">
        <f t="shared" si="10"/>
        <v>1403.6853120000001</v>
      </c>
      <c r="I118" s="1">
        <f t="shared" si="11"/>
        <v>2743.7766905000003</v>
      </c>
      <c r="J118" s="1">
        <f t="shared" si="12"/>
        <v>22115.715455999998</v>
      </c>
    </row>
    <row r="119" spans="1:10" x14ac:dyDescent="0.3">
      <c r="A119">
        <v>636560.93626754195</v>
      </c>
      <c r="B119" s="1">
        <v>11.8978</v>
      </c>
      <c r="C119" s="1">
        <v>108.688</v>
      </c>
      <c r="D119" s="1">
        <v>210.92099999999999</v>
      </c>
      <c r="E119" s="1">
        <f t="shared" si="7"/>
        <v>141.55764483999999</v>
      </c>
      <c r="F119" s="1">
        <f t="shared" si="8"/>
        <v>11813.081344</v>
      </c>
      <c r="G119" s="1">
        <f t="shared" si="9"/>
        <v>44487.668240999999</v>
      </c>
      <c r="H119" s="1">
        <f t="shared" si="10"/>
        <v>1293.1480864</v>
      </c>
      <c r="I119" s="1">
        <f t="shared" si="11"/>
        <v>2509.4958738</v>
      </c>
      <c r="J119" s="1">
        <f t="shared" si="12"/>
        <v>22924.581647999999</v>
      </c>
    </row>
    <row r="120" spans="1:10" x14ac:dyDescent="0.3">
      <c r="A120">
        <v>620258.44737138983</v>
      </c>
      <c r="B120" s="1">
        <v>11.798</v>
      </c>
      <c r="C120" s="1">
        <v>109.428</v>
      </c>
      <c r="D120" s="1">
        <v>211.524</v>
      </c>
      <c r="E120" s="1">
        <f t="shared" si="7"/>
        <v>139.192804</v>
      </c>
      <c r="F120" s="1">
        <f t="shared" si="8"/>
        <v>11974.487184</v>
      </c>
      <c r="G120" s="1">
        <f t="shared" si="9"/>
        <v>44742.402576</v>
      </c>
      <c r="H120" s="1">
        <f t="shared" si="10"/>
        <v>1291.0315439999999</v>
      </c>
      <c r="I120" s="1">
        <f t="shared" si="11"/>
        <v>2495.560152</v>
      </c>
      <c r="J120" s="1">
        <f t="shared" si="12"/>
        <v>23146.648271999999</v>
      </c>
    </row>
    <row r="121" spans="1:10" x14ac:dyDescent="0.3">
      <c r="A121">
        <v>840552.2681316752</v>
      </c>
      <c r="B121" s="1">
        <v>11.671799999999999</v>
      </c>
      <c r="C121" s="1">
        <v>108.248</v>
      </c>
      <c r="D121" s="1">
        <v>210.042</v>
      </c>
      <c r="E121" s="1">
        <f t="shared" si="7"/>
        <v>136.23091523999997</v>
      </c>
      <c r="F121" s="1">
        <f t="shared" si="8"/>
        <v>11717.629504</v>
      </c>
      <c r="G121" s="1">
        <f t="shared" si="9"/>
        <v>44117.641764</v>
      </c>
      <c r="H121" s="1">
        <f t="shared" si="10"/>
        <v>1263.4490063999999</v>
      </c>
      <c r="I121" s="1">
        <f t="shared" si="11"/>
        <v>2451.5682155999998</v>
      </c>
      <c r="J121" s="1">
        <f t="shared" si="12"/>
        <v>22736.626416000003</v>
      </c>
    </row>
    <row r="122" spans="1:10" x14ac:dyDescent="0.3">
      <c r="A122">
        <v>279949.09267721005</v>
      </c>
      <c r="B122" s="1">
        <v>11.6264</v>
      </c>
      <c r="C122" s="1">
        <v>108.098</v>
      </c>
      <c r="D122" s="1">
        <v>213.26900000000001</v>
      </c>
      <c r="E122" s="1">
        <f t="shared" si="7"/>
        <v>135.17317696000001</v>
      </c>
      <c r="F122" s="1">
        <f t="shared" si="8"/>
        <v>11685.177604</v>
      </c>
      <c r="G122" s="1">
        <f t="shared" si="9"/>
        <v>45483.666361000003</v>
      </c>
      <c r="H122" s="1">
        <f t="shared" si="10"/>
        <v>1256.7905872000001</v>
      </c>
      <c r="I122" s="1">
        <f t="shared" si="11"/>
        <v>2479.5507016000001</v>
      </c>
      <c r="J122" s="1">
        <f t="shared" si="12"/>
        <v>23053.952362</v>
      </c>
    </row>
    <row r="123" spans="1:10" x14ac:dyDescent="0.3">
      <c r="A123">
        <v>46894.557285705851</v>
      </c>
      <c r="B123" s="1">
        <v>11.807</v>
      </c>
      <c r="C123" s="1">
        <v>107.468</v>
      </c>
      <c r="D123" s="1">
        <v>213.91200000000001</v>
      </c>
      <c r="E123" s="1">
        <f t="shared" si="7"/>
        <v>139.405249</v>
      </c>
      <c r="F123" s="1">
        <f t="shared" si="8"/>
        <v>11549.371024</v>
      </c>
      <c r="G123" s="1">
        <f t="shared" si="9"/>
        <v>45758.343744000005</v>
      </c>
      <c r="H123" s="1">
        <f t="shared" si="10"/>
        <v>1268.8746760000001</v>
      </c>
      <c r="I123" s="1">
        <f t="shared" si="11"/>
        <v>2525.6589840000001</v>
      </c>
      <c r="J123" s="1">
        <f t="shared" si="12"/>
        <v>22988.694816000003</v>
      </c>
    </row>
    <row r="124" spans="1:10" x14ac:dyDescent="0.3">
      <c r="A124">
        <v>51467.872127382929</v>
      </c>
      <c r="B124" s="1">
        <v>11.928800000000001</v>
      </c>
      <c r="C124" s="1">
        <v>108.488</v>
      </c>
      <c r="D124" s="1">
        <v>216.417</v>
      </c>
      <c r="E124" s="1">
        <f t="shared" si="7"/>
        <v>142.29626944000003</v>
      </c>
      <c r="F124" s="1">
        <f t="shared" si="8"/>
        <v>11769.646144</v>
      </c>
      <c r="G124" s="1">
        <f t="shared" si="9"/>
        <v>46836.317888999998</v>
      </c>
      <c r="H124" s="1">
        <f t="shared" si="10"/>
        <v>1294.1316544000001</v>
      </c>
      <c r="I124" s="1">
        <f t="shared" si="11"/>
        <v>2581.5951096000003</v>
      </c>
      <c r="J124" s="1">
        <f t="shared" si="12"/>
        <v>23478.647496000001</v>
      </c>
    </row>
    <row r="125" spans="1:10" x14ac:dyDescent="0.3">
      <c r="A125">
        <v>137860.87288148401</v>
      </c>
      <c r="B125" s="1">
        <v>11.9414</v>
      </c>
      <c r="C125" s="1">
        <v>109.648</v>
      </c>
      <c r="D125" s="1">
        <v>220.37899999999999</v>
      </c>
      <c r="E125" s="1">
        <f t="shared" si="7"/>
        <v>142.59703396</v>
      </c>
      <c r="F125" s="1">
        <f t="shared" si="8"/>
        <v>12022.683904</v>
      </c>
      <c r="G125" s="1">
        <f t="shared" si="9"/>
        <v>48566.903640999997</v>
      </c>
      <c r="H125" s="1">
        <f t="shared" si="10"/>
        <v>1309.3506272</v>
      </c>
      <c r="I125" s="1">
        <f t="shared" si="11"/>
        <v>2631.6337905999999</v>
      </c>
      <c r="J125" s="1">
        <f t="shared" si="12"/>
        <v>24164.116591999998</v>
      </c>
    </row>
    <row r="126" spans="1:10" x14ac:dyDescent="0.3">
      <c r="A126">
        <v>402234.60618959263</v>
      </c>
      <c r="B126" s="1">
        <v>11.942</v>
      </c>
      <c r="C126" s="1">
        <v>112.008</v>
      </c>
      <c r="D126" s="1">
        <v>222.911</v>
      </c>
      <c r="E126" s="1">
        <f t="shared" si="7"/>
        <v>142.61136400000001</v>
      </c>
      <c r="F126" s="1">
        <f t="shared" si="8"/>
        <v>12545.792063999999</v>
      </c>
      <c r="G126" s="1">
        <f t="shared" si="9"/>
        <v>49689.313921000001</v>
      </c>
      <c r="H126" s="1">
        <f t="shared" si="10"/>
        <v>1337.5995359999999</v>
      </c>
      <c r="I126" s="1">
        <f t="shared" si="11"/>
        <v>2662.003162</v>
      </c>
      <c r="J126" s="1">
        <f t="shared" si="12"/>
        <v>24967.815287999998</v>
      </c>
    </row>
    <row r="127" spans="1:10" x14ac:dyDescent="0.3">
      <c r="A127">
        <v>436905.57353561389</v>
      </c>
      <c r="B127" s="1">
        <v>11.9419</v>
      </c>
      <c r="C127" s="1">
        <v>109.788</v>
      </c>
      <c r="D127" s="1">
        <v>222.989</v>
      </c>
      <c r="E127" s="1">
        <f t="shared" si="7"/>
        <v>142.60897561000002</v>
      </c>
      <c r="F127" s="1">
        <f t="shared" si="8"/>
        <v>12053.404944</v>
      </c>
      <c r="G127" s="1">
        <f t="shared" si="9"/>
        <v>49724.094121000002</v>
      </c>
      <c r="H127" s="1">
        <f t="shared" si="10"/>
        <v>1311.0773171999999</v>
      </c>
      <c r="I127" s="1">
        <f t="shared" si="11"/>
        <v>2662.9123391000003</v>
      </c>
      <c r="J127" s="1">
        <f t="shared" si="12"/>
        <v>24481.516331999999</v>
      </c>
    </row>
    <row r="128" spans="1:10" x14ac:dyDescent="0.3">
      <c r="A128">
        <v>331343.47635398369</v>
      </c>
      <c r="B128" s="1">
        <v>11.8424</v>
      </c>
      <c r="C128" s="1">
        <v>108.928</v>
      </c>
      <c r="D128" s="1">
        <v>222.43799999999999</v>
      </c>
      <c r="E128" s="1">
        <f t="shared" si="7"/>
        <v>140.24243776</v>
      </c>
      <c r="F128" s="1">
        <f t="shared" si="8"/>
        <v>11865.309184</v>
      </c>
      <c r="G128" s="1">
        <f t="shared" si="9"/>
        <v>49478.663843999995</v>
      </c>
      <c r="H128" s="1">
        <f t="shared" si="10"/>
        <v>1289.9689472</v>
      </c>
      <c r="I128" s="1">
        <f t="shared" si="11"/>
        <v>2634.1997711999998</v>
      </c>
      <c r="J128" s="1">
        <f t="shared" si="12"/>
        <v>24229.726463999999</v>
      </c>
    </row>
    <row r="129" spans="1:10" x14ac:dyDescent="0.3">
      <c r="A129">
        <v>1627536.7288705751</v>
      </c>
      <c r="B129" s="1">
        <v>10.4314</v>
      </c>
      <c r="C129" s="1">
        <v>108.068</v>
      </c>
      <c r="D129" s="1">
        <v>224.43199999999999</v>
      </c>
      <c r="E129" s="1">
        <f t="shared" si="7"/>
        <v>108.81410596000001</v>
      </c>
      <c r="F129" s="1">
        <f t="shared" si="8"/>
        <v>11678.692623999999</v>
      </c>
      <c r="G129" s="1">
        <f t="shared" si="9"/>
        <v>50369.722623999995</v>
      </c>
      <c r="H129" s="1">
        <f t="shared" si="10"/>
        <v>1127.3005352</v>
      </c>
      <c r="I129" s="1">
        <f t="shared" si="11"/>
        <v>2341.1399647999997</v>
      </c>
      <c r="J129" s="1">
        <f t="shared" si="12"/>
        <v>24253.917375999998</v>
      </c>
    </row>
    <row r="130" spans="1:10" x14ac:dyDescent="0.3">
      <c r="A130">
        <v>22094.458223704387</v>
      </c>
      <c r="B130" s="1">
        <v>10.230700000000001</v>
      </c>
      <c r="C130" s="1">
        <v>106.58799999999999</v>
      </c>
      <c r="D130" s="1">
        <v>226.203</v>
      </c>
      <c r="E130" s="1">
        <f t="shared" si="7"/>
        <v>104.66722249000001</v>
      </c>
      <c r="F130" s="1">
        <f t="shared" si="8"/>
        <v>11361.001743999999</v>
      </c>
      <c r="G130" s="1">
        <f t="shared" si="9"/>
        <v>51167.797209000004</v>
      </c>
      <c r="H130" s="1">
        <f t="shared" si="10"/>
        <v>1090.4698516000001</v>
      </c>
      <c r="I130" s="1">
        <f t="shared" si="11"/>
        <v>2314.2150321000004</v>
      </c>
      <c r="J130" s="1">
        <f t="shared" si="12"/>
        <v>24110.525363999997</v>
      </c>
    </row>
    <row r="131" spans="1:10" x14ac:dyDescent="0.3">
      <c r="A131">
        <v>127145.49107488895</v>
      </c>
      <c r="B131" s="1">
        <v>9.6466999999999992</v>
      </c>
      <c r="C131" s="1">
        <v>105.188</v>
      </c>
      <c r="D131" s="1">
        <v>227.06899999999999</v>
      </c>
      <c r="E131" s="1">
        <f t="shared" ref="E131:E133" si="13">B131^2</f>
        <v>93.058820889999978</v>
      </c>
      <c r="F131" s="1">
        <f t="shared" ref="F131:F133" si="14">C131^2</f>
        <v>11064.515344000001</v>
      </c>
      <c r="G131" s="1">
        <f t="shared" ref="G131:G133" si="15">D131^2</f>
        <v>51560.330760999997</v>
      </c>
      <c r="H131" s="1">
        <f t="shared" ref="H131:H133" si="16">B131*C131</f>
        <v>1014.7170795999999</v>
      </c>
      <c r="I131" s="1">
        <f t="shared" ref="I131:I133" si="17">B131*D131</f>
        <v>2190.4665222999997</v>
      </c>
      <c r="J131" s="1">
        <f t="shared" ref="J131:J133" si="18">C131*D131</f>
        <v>23884.933971999999</v>
      </c>
    </row>
    <row r="132" spans="1:10" x14ac:dyDescent="0.3">
      <c r="A132">
        <v>302648.88284783595</v>
      </c>
      <c r="B132" s="1">
        <v>9.3192000000000004</v>
      </c>
      <c r="C132" s="1">
        <v>104.828</v>
      </c>
      <c r="D132" s="1">
        <v>226.17699999999999</v>
      </c>
      <c r="E132" s="1">
        <f t="shared" si="13"/>
        <v>86.847488640000009</v>
      </c>
      <c r="F132" s="1">
        <f t="shared" si="14"/>
        <v>10988.909584000001</v>
      </c>
      <c r="G132" s="1">
        <f t="shared" si="15"/>
        <v>51156.035328999998</v>
      </c>
      <c r="H132" s="1">
        <f t="shared" si="16"/>
        <v>976.91309760000001</v>
      </c>
      <c r="I132" s="1">
        <f t="shared" si="17"/>
        <v>2107.7886984000002</v>
      </c>
      <c r="J132" s="1">
        <f t="shared" si="18"/>
        <v>23709.682556</v>
      </c>
    </row>
    <row r="133" spans="1:10" x14ac:dyDescent="0.3">
      <c r="A133">
        <v>295300.4431526534</v>
      </c>
      <c r="B133" s="1">
        <v>9.2840000000000007</v>
      </c>
      <c r="C133" s="1">
        <v>104.468</v>
      </c>
      <c r="D133" s="1">
        <v>226.702</v>
      </c>
      <c r="E133" s="1">
        <f t="shared" si="13"/>
        <v>86.192656000000014</v>
      </c>
      <c r="F133" s="1">
        <f t="shared" si="14"/>
        <v>10913.563024000001</v>
      </c>
      <c r="G133" s="1">
        <f t="shared" si="15"/>
        <v>51393.796803999998</v>
      </c>
      <c r="H133" s="1">
        <f t="shared" si="16"/>
        <v>969.88091200000008</v>
      </c>
      <c r="I133" s="1">
        <f t="shared" si="17"/>
        <v>2104.701368</v>
      </c>
      <c r="J133" s="1">
        <f t="shared" si="18"/>
        <v>23683.104535999999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defaultRowHeight="14.4" x14ac:dyDescent="0.3"/>
  <cols>
    <col min="1" max="1" width="18.44140625" customWidth="1"/>
  </cols>
  <sheetData>
    <row r="1" spans="1:3" x14ac:dyDescent="0.3">
      <c r="A1" t="s">
        <v>55</v>
      </c>
      <c r="C1" t="s">
        <v>60</v>
      </c>
    </row>
    <row r="2" spans="1:3" x14ac:dyDescent="0.3">
      <c r="A2" t="s">
        <v>56</v>
      </c>
      <c r="C2" t="s">
        <v>61</v>
      </c>
    </row>
    <row r="3" spans="1:3" x14ac:dyDescent="0.3">
      <c r="A3" t="s">
        <v>57</v>
      </c>
      <c r="C3" t="s">
        <v>62</v>
      </c>
    </row>
    <row r="4" spans="1:3" x14ac:dyDescent="0.3">
      <c r="A4" t="s">
        <v>58</v>
      </c>
      <c r="C4" t="s">
        <v>63</v>
      </c>
    </row>
    <row r="5" spans="1:3" x14ac:dyDescent="0.3">
      <c r="A5" t="s">
        <v>59</v>
      </c>
      <c r="C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Breuch Pegan Test</vt:lpstr>
      <vt:lpstr>Glesjer Test</vt:lpstr>
      <vt:lpstr>Harvey Goldfrey test</vt:lpstr>
      <vt:lpstr>Park test</vt:lpstr>
      <vt:lpstr>White test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 Ullah</dc:creator>
  <cp:lastModifiedBy>PMLS</cp:lastModifiedBy>
  <dcterms:created xsi:type="dcterms:W3CDTF">2015-12-08T12:36:55Z</dcterms:created>
  <dcterms:modified xsi:type="dcterms:W3CDTF">2025-12-28T17:49:47Z</dcterms:modified>
</cp:coreProperties>
</file>