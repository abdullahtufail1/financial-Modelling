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\Desktop\"/>
    </mc:Choice>
  </mc:AlternateContent>
  <xr:revisionPtr revIDLastSave="0" documentId="13_ncr:1_{5E3E2B80-12D6-4621-8332-1C24630073FF}" xr6:coauthVersionLast="47" xr6:coauthVersionMax="47" xr10:uidLastSave="{00000000-0000-0000-0000-000000000000}"/>
  <bookViews>
    <workbookView xWindow="-120" yWindow="-120" windowWidth="20730" windowHeight="11160" xr2:uid="{A8E00E4C-0060-4ACA-AADB-34243AB7CA11}"/>
  </bookViews>
  <sheets>
    <sheet name="Sector Leaders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5" i="2" l="1"/>
  <c r="L23" i="2"/>
  <c r="G27" i="2"/>
  <c r="G25" i="2"/>
  <c r="G23" i="2"/>
  <c r="B25" i="2"/>
  <c r="B23" i="2"/>
  <c r="Q28" i="2"/>
  <c r="Q27" i="2"/>
  <c r="Q26" i="2"/>
  <c r="Q25" i="2"/>
  <c r="Q24" i="2"/>
  <c r="Q23" i="2"/>
  <c r="N18" i="2"/>
  <c r="I18" i="2"/>
  <c r="D18" i="2"/>
  <c r="N17" i="2"/>
  <c r="I17" i="2"/>
  <c r="D17" i="2"/>
  <c r="N16" i="2"/>
  <c r="I16" i="2"/>
  <c r="D16" i="2"/>
  <c r="N15" i="2"/>
  <c r="I15" i="2"/>
  <c r="D15" i="2"/>
  <c r="N14" i="2"/>
  <c r="I14" i="2"/>
  <c r="D14" i="2"/>
  <c r="N13" i="2"/>
  <c r="I13" i="2"/>
  <c r="D13" i="2"/>
  <c r="N12" i="2"/>
  <c r="I12" i="2"/>
  <c r="D12" i="2"/>
  <c r="N11" i="2"/>
  <c r="I11" i="2"/>
  <c r="D11" i="2"/>
  <c r="N10" i="2"/>
  <c r="I10" i="2"/>
  <c r="D10" i="2"/>
  <c r="N9" i="2"/>
  <c r="I9" i="2"/>
  <c r="D9" i="2"/>
  <c r="N8" i="2"/>
  <c r="I8" i="2"/>
  <c r="D8" i="2"/>
  <c r="N7" i="2"/>
  <c r="I7" i="2"/>
  <c r="D7" i="2"/>
  <c r="N6" i="2"/>
  <c r="I6" i="2"/>
  <c r="D6" i="2"/>
  <c r="N5" i="2"/>
  <c r="I5" i="2"/>
  <c r="D5" i="2"/>
  <c r="N4" i="2"/>
  <c r="I4" i="2"/>
  <c r="D4" i="2"/>
  <c r="N3" i="2"/>
  <c r="I3" i="2"/>
  <c r="D3" i="2"/>
  <c r="L27" i="2" l="1"/>
</calcChain>
</file>

<file path=xl/sharedStrings.xml><?xml version="1.0" encoding="utf-8"?>
<sst xmlns="http://schemas.openxmlformats.org/spreadsheetml/2006/main" count="83" uniqueCount="33">
  <si>
    <t>Company</t>
  </si>
  <si>
    <t>MPS</t>
  </si>
  <si>
    <t>Os shares</t>
  </si>
  <si>
    <t>MV</t>
  </si>
  <si>
    <t xml:space="preserve">Crescent Steel &amp; Allied Products Ltd [200,850,000] </t>
  </si>
  <si>
    <t xml:space="preserve">International Industries Ltd [128,860,000] </t>
  </si>
  <si>
    <t xml:space="preserve">KSB Pumps Co Ltd [120,000,000] </t>
  </si>
  <si>
    <t xml:space="preserve">International Industries Ltd [141,746,000] </t>
  </si>
  <si>
    <t xml:space="preserve">Sazgar Engineering Works Ltd [71,630,000] </t>
  </si>
  <si>
    <t xml:space="preserve">Bolan Castings Ltd [55,253,000] </t>
  </si>
  <si>
    <t xml:space="preserve">Metropolitan Steel Corp Ltd [309,775,000] </t>
  </si>
  <si>
    <t xml:space="preserve">Metropolitan Steel Corp Ltd [81,777,000] </t>
  </si>
  <si>
    <t xml:space="preserve">Transmission Engineering Industries Ltd [40,000,000] </t>
  </si>
  <si>
    <t xml:space="preserve">Huffaz Seamless Pipe Industries Ltd [122,002,000] </t>
  </si>
  <si>
    <t xml:space="preserve">Abbas Engineering Industries Ltd [42,000,000] </t>
  </si>
  <si>
    <t xml:space="preserve">Pakistan Engineering Co Ltd [56,902,000] </t>
  </si>
  <si>
    <t xml:space="preserve">Karachi Pipe Mills Ltd [20,000,000] </t>
  </si>
  <si>
    <t xml:space="preserve">Gauhar Engineering Ltd [22,392,000] </t>
  </si>
  <si>
    <t xml:space="preserve">Quality Steel Works Ltd [17,718,000] </t>
  </si>
  <si>
    <t xml:space="preserve">Ados Pakistan Ltd [43,884,000] </t>
  </si>
  <si>
    <t xml:space="preserve">Multiple Industries Ltd [60,000,000] </t>
  </si>
  <si>
    <t xml:space="preserve">Taxila Engineering Ltd [42,500,000] </t>
  </si>
  <si>
    <t>index 1998</t>
  </si>
  <si>
    <t>base year</t>
  </si>
  <si>
    <t>INDEX 1999</t>
  </si>
  <si>
    <t>% change in index</t>
  </si>
  <si>
    <t>INDEX 2000</t>
  </si>
  <si>
    <t>mv</t>
  </si>
  <si>
    <t>INDEX 1998</t>
  </si>
  <si>
    <t>new divisor 1999</t>
  </si>
  <si>
    <t>index 2000</t>
  </si>
  <si>
    <t>percentage change</t>
  </si>
  <si>
    <t>(index rasen by 18%)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</si>
</sst>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3" borderId="0" xfId="0" applyFill="1"/>
    <xf numFmtId="0" fontId="0" fillId="4" borderId="0" xfId="0" applyFill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39B20-59B4-40FD-9B97-5A655E74E61D}">
  <dimension ref="A1:Q28"/>
  <sheetViews>
    <sheetView tabSelected="1" zoomScale="75" zoomScaleNormal="75" workbookViewId="0">
      <selection activeCell="Q28" sqref="Q28"/>
    </sheetView>
  </sheetViews>
  <sheetFormatPr defaultRowHeight="14.25"/>
  <cols>
    <col min="1" max="1" width="16.5" customWidth="1"/>
    <col min="2" max="2" width="12.125" bestFit="1" customWidth="1"/>
    <col min="3" max="3" width="12.875" customWidth="1"/>
    <col min="4" max="4" width="14.125" customWidth="1"/>
    <col min="5" max="5" width="2.875" customWidth="1"/>
    <col min="6" max="6" width="16.25" customWidth="1"/>
    <col min="7" max="7" width="12.125" bestFit="1" customWidth="1"/>
    <col min="8" max="8" width="10.75" customWidth="1"/>
    <col min="9" max="9" width="11" bestFit="1" customWidth="1"/>
    <col min="10" max="10" width="6.25" customWidth="1"/>
    <col min="11" max="11" width="16" customWidth="1"/>
    <col min="12" max="12" width="12.125" bestFit="1" customWidth="1"/>
    <col min="13" max="13" width="10" bestFit="1" customWidth="1"/>
    <col min="14" max="14" width="11" bestFit="1" customWidth="1"/>
    <col min="16" max="16" width="13.625" customWidth="1"/>
    <col min="17" max="17" width="12.625" customWidth="1"/>
  </cols>
  <sheetData>
    <row r="1" spans="1:14">
      <c r="A1" s="2">
        <v>1998</v>
      </c>
      <c r="B1" s="2"/>
      <c r="C1" s="2"/>
      <c r="D1" s="2"/>
      <c r="F1" s="2">
        <v>1999</v>
      </c>
      <c r="G1" s="2"/>
      <c r="H1" s="2"/>
      <c r="I1" s="2"/>
      <c r="K1" s="2">
        <v>2000</v>
      </c>
      <c r="L1" s="2"/>
      <c r="M1" s="2"/>
      <c r="N1" s="2"/>
    </row>
    <row r="2" spans="1:14">
      <c r="A2" t="s">
        <v>0</v>
      </c>
      <c r="B2" t="s">
        <v>1</v>
      </c>
      <c r="C2" t="s">
        <v>2</v>
      </c>
      <c r="D2" t="s">
        <v>3</v>
      </c>
      <c r="F2" t="s">
        <v>0</v>
      </c>
      <c r="G2" t="s">
        <v>1</v>
      </c>
      <c r="H2" t="s">
        <v>2</v>
      </c>
      <c r="I2" t="s">
        <v>3</v>
      </c>
      <c r="K2" t="s">
        <v>0</v>
      </c>
      <c r="L2" t="s">
        <v>1</v>
      </c>
      <c r="M2" t="s">
        <v>2</v>
      </c>
      <c r="N2" t="s">
        <v>3</v>
      </c>
    </row>
    <row r="3" spans="1:14">
      <c r="A3" s="1" t="s">
        <v>4</v>
      </c>
      <c r="B3" s="1">
        <v>19.5</v>
      </c>
      <c r="C3" s="1">
        <v>200850000</v>
      </c>
      <c r="D3" s="1">
        <f>B3*C3</f>
        <v>3916575000</v>
      </c>
      <c r="F3" s="1" t="s">
        <v>5</v>
      </c>
      <c r="G3" s="1">
        <v>28</v>
      </c>
      <c r="H3" s="1">
        <v>128860000</v>
      </c>
      <c r="I3" s="1">
        <f>G3*H3</f>
        <v>3608080000</v>
      </c>
      <c r="K3" s="1" t="s">
        <v>4</v>
      </c>
      <c r="L3" s="1">
        <v>20</v>
      </c>
      <c r="M3" s="1">
        <v>200850000</v>
      </c>
      <c r="N3" s="1">
        <f>L3*M3</f>
        <v>4017000000</v>
      </c>
    </row>
    <row r="4" spans="1:14">
      <c r="A4" s="1" t="s">
        <v>6</v>
      </c>
      <c r="B4" s="1">
        <v>29</v>
      </c>
      <c r="C4" s="1">
        <v>120000000</v>
      </c>
      <c r="D4" s="1">
        <f>B4*C4</f>
        <v>3480000000</v>
      </c>
      <c r="F4" s="1" t="s">
        <v>6</v>
      </c>
      <c r="G4" s="1">
        <v>27.5</v>
      </c>
      <c r="H4" s="1">
        <v>120000000</v>
      </c>
      <c r="I4" s="1">
        <f>G4*H4</f>
        <v>3300000000</v>
      </c>
      <c r="K4" s="1" t="s">
        <v>7</v>
      </c>
      <c r="L4" s="1">
        <v>26</v>
      </c>
      <c r="M4" s="1">
        <v>141746000</v>
      </c>
      <c r="N4" s="1">
        <f>L4*M4</f>
        <v>3685396000</v>
      </c>
    </row>
    <row r="5" spans="1:14">
      <c r="A5" s="1" t="s">
        <v>5</v>
      </c>
      <c r="B5" s="1">
        <v>25</v>
      </c>
      <c r="C5" s="1">
        <v>128860000</v>
      </c>
      <c r="D5" s="1">
        <f>B5*C5</f>
        <v>3221500000</v>
      </c>
      <c r="F5" s="1" t="s">
        <v>4</v>
      </c>
      <c r="G5" s="1">
        <v>14.25</v>
      </c>
      <c r="H5" s="1">
        <v>200850000</v>
      </c>
      <c r="I5" s="1">
        <f>G5*H5</f>
        <v>2862112500</v>
      </c>
      <c r="K5" s="1" t="s">
        <v>6</v>
      </c>
      <c r="L5" s="1">
        <v>25</v>
      </c>
      <c r="M5" s="1">
        <v>120000000</v>
      </c>
      <c r="N5" s="1">
        <f>L5*M5</f>
        <v>3000000000</v>
      </c>
    </row>
    <row r="6" spans="1:14">
      <c r="A6" s="1" t="s">
        <v>8</v>
      </c>
      <c r="B6" s="1">
        <v>9</v>
      </c>
      <c r="C6" s="1">
        <v>71630000</v>
      </c>
      <c r="D6" s="1">
        <f>B6*C6</f>
        <v>644670000</v>
      </c>
      <c r="F6" s="1" t="s">
        <v>9</v>
      </c>
      <c r="G6" s="1">
        <v>27</v>
      </c>
      <c r="H6" s="1">
        <v>55253000</v>
      </c>
      <c r="I6" s="1">
        <f>G6*H6</f>
        <v>1491831000</v>
      </c>
      <c r="K6" s="1" t="s">
        <v>9</v>
      </c>
      <c r="L6" s="1">
        <v>37.9</v>
      </c>
      <c r="M6" s="1">
        <v>55253000</v>
      </c>
      <c r="N6" s="1">
        <f>L6*M6</f>
        <v>2094088700</v>
      </c>
    </row>
    <row r="7" spans="1:14">
      <c r="A7" s="1" t="s">
        <v>9</v>
      </c>
      <c r="B7" s="1">
        <v>10</v>
      </c>
      <c r="C7" s="1">
        <v>55253000</v>
      </c>
      <c r="D7" s="1">
        <f>B7*C7</f>
        <v>552530000</v>
      </c>
      <c r="F7" s="3" t="s">
        <v>8</v>
      </c>
      <c r="G7" s="1">
        <v>18</v>
      </c>
      <c r="H7" s="1">
        <v>71630000</v>
      </c>
      <c r="I7" s="1">
        <f>G7*H7</f>
        <v>1289340000</v>
      </c>
      <c r="K7" s="4" t="s">
        <v>10</v>
      </c>
      <c r="L7" s="1">
        <v>6</v>
      </c>
      <c r="M7" s="1">
        <v>309775000</v>
      </c>
      <c r="N7" s="1">
        <f>L7*M7</f>
        <v>1858650000</v>
      </c>
    </row>
    <row r="8" spans="1:14">
      <c r="A8" t="s">
        <v>11</v>
      </c>
      <c r="B8">
        <v>5</v>
      </c>
      <c r="C8">
        <v>81777000</v>
      </c>
      <c r="D8">
        <f>B8*C8</f>
        <v>408885000</v>
      </c>
      <c r="F8" t="s">
        <v>11</v>
      </c>
      <c r="G8">
        <v>5</v>
      </c>
      <c r="H8">
        <v>81777000</v>
      </c>
      <c r="I8">
        <f>G8*H8</f>
        <v>408885000</v>
      </c>
      <c r="K8" t="s">
        <v>8</v>
      </c>
      <c r="L8">
        <v>23</v>
      </c>
      <c r="M8">
        <v>71630000</v>
      </c>
      <c r="N8">
        <f>L8*M8</f>
        <v>1647490000</v>
      </c>
    </row>
    <row r="9" spans="1:14">
      <c r="A9" t="s">
        <v>12</v>
      </c>
      <c r="B9">
        <v>9.25</v>
      </c>
      <c r="C9">
        <v>40000000</v>
      </c>
      <c r="D9">
        <f>B9*C9</f>
        <v>370000000</v>
      </c>
      <c r="F9" t="s">
        <v>12</v>
      </c>
      <c r="G9">
        <v>9.25</v>
      </c>
      <c r="H9">
        <v>40000000</v>
      </c>
      <c r="I9">
        <f>G9*H9</f>
        <v>370000000</v>
      </c>
      <c r="K9" t="s">
        <v>12</v>
      </c>
      <c r="L9">
        <v>9.25</v>
      </c>
      <c r="M9">
        <v>40000000</v>
      </c>
      <c r="N9">
        <f>L9*M9</f>
        <v>370000000</v>
      </c>
    </row>
    <row r="10" spans="1:14">
      <c r="A10" t="s">
        <v>13</v>
      </c>
      <c r="B10">
        <v>3</v>
      </c>
      <c r="C10">
        <v>122002000</v>
      </c>
      <c r="D10">
        <f>B10*C10</f>
        <v>366006000</v>
      </c>
      <c r="F10" t="s">
        <v>13</v>
      </c>
      <c r="G10">
        <v>2.5</v>
      </c>
      <c r="H10">
        <v>122002000</v>
      </c>
      <c r="I10">
        <f>G10*H10</f>
        <v>305005000</v>
      </c>
      <c r="K10" t="s">
        <v>13</v>
      </c>
      <c r="L10">
        <v>2.25</v>
      </c>
      <c r="M10">
        <v>122002000</v>
      </c>
      <c r="N10">
        <f>L10*M10</f>
        <v>274504500</v>
      </c>
    </row>
    <row r="11" spans="1:14">
      <c r="A11" t="s">
        <v>14</v>
      </c>
      <c r="B11">
        <v>4.4000000000000004</v>
      </c>
      <c r="C11">
        <v>42000000</v>
      </c>
      <c r="D11">
        <f>B11*C11</f>
        <v>184800000.00000003</v>
      </c>
      <c r="F11" t="s">
        <v>14</v>
      </c>
      <c r="G11">
        <v>4.4000000000000004</v>
      </c>
      <c r="H11">
        <v>42000000</v>
      </c>
      <c r="I11">
        <f>G11*H11</f>
        <v>184800000.00000003</v>
      </c>
      <c r="K11" t="s">
        <v>15</v>
      </c>
      <c r="L11">
        <v>3</v>
      </c>
      <c r="M11">
        <v>56902000</v>
      </c>
      <c r="N11">
        <f>L11*M11</f>
        <v>170706000</v>
      </c>
    </row>
    <row r="12" spans="1:14">
      <c r="A12" t="s">
        <v>15</v>
      </c>
      <c r="B12">
        <v>2.65</v>
      </c>
      <c r="C12">
        <v>56902000</v>
      </c>
      <c r="D12">
        <f>B12*C12</f>
        <v>150790300</v>
      </c>
      <c r="F12" t="s">
        <v>15</v>
      </c>
      <c r="G12">
        <v>3</v>
      </c>
      <c r="H12">
        <v>56902000</v>
      </c>
      <c r="I12">
        <f>G12*H12</f>
        <v>170706000</v>
      </c>
      <c r="K12" t="s">
        <v>16</v>
      </c>
      <c r="L12">
        <v>7.25</v>
      </c>
      <c r="M12">
        <v>20000000</v>
      </c>
      <c r="N12">
        <f>L12*M12</f>
        <v>145000000</v>
      </c>
    </row>
    <row r="13" spans="1:14">
      <c r="A13" t="s">
        <v>16</v>
      </c>
      <c r="B13">
        <v>7.25</v>
      </c>
      <c r="C13">
        <v>20000000</v>
      </c>
      <c r="D13">
        <f>B13*C13</f>
        <v>145000000</v>
      </c>
      <c r="F13" t="s">
        <v>17</v>
      </c>
      <c r="G13">
        <v>6.5</v>
      </c>
      <c r="H13">
        <v>22392000</v>
      </c>
      <c r="I13">
        <f>G13*H13</f>
        <v>145548000</v>
      </c>
      <c r="K13" t="s">
        <v>14</v>
      </c>
      <c r="L13">
        <v>3</v>
      </c>
      <c r="M13">
        <v>42000000</v>
      </c>
      <c r="N13">
        <f>L13*M13</f>
        <v>126000000</v>
      </c>
    </row>
    <row r="14" spans="1:14">
      <c r="A14" t="s">
        <v>18</v>
      </c>
      <c r="B14">
        <v>6</v>
      </c>
      <c r="C14">
        <v>17718000</v>
      </c>
      <c r="D14">
        <f>B14*C14</f>
        <v>106308000</v>
      </c>
      <c r="F14" t="s">
        <v>16</v>
      </c>
      <c r="G14">
        <v>7.25</v>
      </c>
      <c r="H14">
        <v>20000000</v>
      </c>
      <c r="I14">
        <f>G14*H14</f>
        <v>145000000</v>
      </c>
      <c r="K14" t="s">
        <v>18</v>
      </c>
      <c r="L14">
        <v>5.2</v>
      </c>
      <c r="M14">
        <v>17718000</v>
      </c>
      <c r="N14">
        <f>L14*M14</f>
        <v>92133600</v>
      </c>
    </row>
    <row r="15" spans="1:14">
      <c r="A15" t="s">
        <v>17</v>
      </c>
      <c r="B15">
        <v>4</v>
      </c>
      <c r="C15">
        <v>22392000</v>
      </c>
      <c r="D15">
        <f>B15*C15</f>
        <v>89568000</v>
      </c>
      <c r="F15" t="s">
        <v>18</v>
      </c>
      <c r="G15">
        <v>5.2</v>
      </c>
      <c r="H15">
        <v>17718000</v>
      </c>
      <c r="I15">
        <f>G15*H15</f>
        <v>92133600</v>
      </c>
      <c r="K15" t="s">
        <v>19</v>
      </c>
      <c r="L15">
        <v>1.85</v>
      </c>
      <c r="M15">
        <v>43884000</v>
      </c>
      <c r="N15">
        <f>L15*M15</f>
        <v>81185400</v>
      </c>
    </row>
    <row r="16" spans="1:14">
      <c r="A16" t="s">
        <v>20</v>
      </c>
      <c r="B16">
        <v>1.1000000000000001</v>
      </c>
      <c r="C16">
        <v>60000000</v>
      </c>
      <c r="D16">
        <f>B16*C16</f>
        <v>66000000.000000007</v>
      </c>
      <c r="F16" t="s">
        <v>20</v>
      </c>
      <c r="G16">
        <v>0.95</v>
      </c>
      <c r="H16">
        <v>60000000</v>
      </c>
      <c r="I16">
        <f>G16*H16</f>
        <v>57000000</v>
      </c>
      <c r="K16" t="s">
        <v>17</v>
      </c>
      <c r="L16">
        <v>3.5</v>
      </c>
      <c r="M16">
        <v>22392000</v>
      </c>
      <c r="N16">
        <f>L16*M16</f>
        <v>78372000</v>
      </c>
    </row>
    <row r="17" spans="1:17">
      <c r="A17" t="s">
        <v>19</v>
      </c>
      <c r="B17">
        <v>1.1499999999999999</v>
      </c>
      <c r="C17">
        <v>43884000</v>
      </c>
      <c r="D17">
        <f>B17*C17</f>
        <v>50466599.999999993</v>
      </c>
      <c r="F17" t="s">
        <v>19</v>
      </c>
      <c r="G17">
        <v>1</v>
      </c>
      <c r="H17">
        <v>43884000</v>
      </c>
      <c r="I17">
        <f>G17*H17</f>
        <v>43884000</v>
      </c>
      <c r="K17" t="s">
        <v>21</v>
      </c>
      <c r="L17">
        <v>0.9</v>
      </c>
      <c r="M17">
        <v>42500000</v>
      </c>
      <c r="N17">
        <f>L17*M17</f>
        <v>38250000</v>
      </c>
    </row>
    <row r="18" spans="1:17">
      <c r="A18" t="s">
        <v>21</v>
      </c>
      <c r="B18">
        <v>0.9</v>
      </c>
      <c r="C18">
        <v>42500000</v>
      </c>
      <c r="D18">
        <f>B18*C18</f>
        <v>38250000</v>
      </c>
      <c r="F18" t="s">
        <v>21</v>
      </c>
      <c r="G18">
        <v>0.9</v>
      </c>
      <c r="H18">
        <v>42500000</v>
      </c>
      <c r="I18">
        <f>G18*H18</f>
        <v>38250000</v>
      </c>
      <c r="K18" t="s">
        <v>20</v>
      </c>
      <c r="L18">
        <v>0.6</v>
      </c>
      <c r="M18">
        <v>60000000</v>
      </c>
      <c r="N18">
        <f>L18*M18</f>
        <v>36000000</v>
      </c>
    </row>
    <row r="20" spans="1:17">
      <c r="N20" t="s">
        <v>29</v>
      </c>
    </row>
    <row r="21" spans="1:17">
      <c r="A21" t="s">
        <v>22</v>
      </c>
      <c r="B21" t="s">
        <v>23</v>
      </c>
      <c r="G21" t="s">
        <v>24</v>
      </c>
      <c r="K21" t="s">
        <v>26</v>
      </c>
    </row>
    <row r="22" spans="1:17">
      <c r="N22" t="s">
        <v>0</v>
      </c>
      <c r="O22" t="s">
        <v>1</v>
      </c>
      <c r="P22" t="s">
        <v>2</v>
      </c>
      <c r="Q22" t="s">
        <v>3</v>
      </c>
    </row>
    <row r="23" spans="1:17">
      <c r="A23" t="s">
        <v>3</v>
      </c>
      <c r="B23">
        <f>SUM(D3:D7)</f>
        <v>11815275000</v>
      </c>
      <c r="F23" t="s">
        <v>3</v>
      </c>
      <c r="G23">
        <f>SUM(I3:I7)</f>
        <v>12551363500</v>
      </c>
      <c r="K23" t="s">
        <v>27</v>
      </c>
      <c r="L23">
        <f>SUM(N3:N7)</f>
        <v>14655134700</v>
      </c>
      <c r="N23" s="1" t="s">
        <v>5</v>
      </c>
      <c r="O23" s="1">
        <v>28</v>
      </c>
      <c r="P23" s="1">
        <v>128860000</v>
      </c>
      <c r="Q23" s="1">
        <f>O23*P23</f>
        <v>3608080000</v>
      </c>
    </row>
    <row r="24" spans="1:17">
      <c r="N24" s="1" t="s">
        <v>6</v>
      </c>
      <c r="O24" s="1">
        <v>27.5</v>
      </c>
      <c r="P24" s="1">
        <v>120000000</v>
      </c>
      <c r="Q24" s="1">
        <f>O24*P24</f>
        <v>3300000000</v>
      </c>
    </row>
    <row r="25" spans="1:17">
      <c r="A25" t="s">
        <v>28</v>
      </c>
      <c r="B25">
        <f>(B23/B23)*1000</f>
        <v>1000</v>
      </c>
      <c r="F25" t="s">
        <v>24</v>
      </c>
      <c r="G25">
        <f>(G23/B23)*1000</f>
        <v>1062.2997348770978</v>
      </c>
      <c r="K25" t="s">
        <v>30</v>
      </c>
      <c r="L25">
        <f>L23/Q28*1000</f>
        <v>1255.6978490577662</v>
      </c>
      <c r="N25" s="1" t="s">
        <v>4</v>
      </c>
      <c r="O25" s="1">
        <v>14.25</v>
      </c>
      <c r="P25" s="1">
        <v>200850000</v>
      </c>
      <c r="Q25" s="1">
        <f>O25*P25</f>
        <v>2862112500</v>
      </c>
    </row>
    <row r="26" spans="1:17">
      <c r="N26" s="1" t="s">
        <v>9</v>
      </c>
      <c r="O26" s="1">
        <v>27</v>
      </c>
      <c r="P26" s="1">
        <v>55253000</v>
      </c>
      <c r="Q26" s="1">
        <f>O26*P26</f>
        <v>1491831000</v>
      </c>
    </row>
    <row r="27" spans="1:17">
      <c r="F27" t="s">
        <v>25</v>
      </c>
      <c r="G27" s="5">
        <f>G25/B25-1</f>
        <v>6.2299734877097723E-2</v>
      </c>
      <c r="K27" t="s">
        <v>31</v>
      </c>
      <c r="L27" s="5">
        <f>L25/G25-1</f>
        <v>0.18205606932872254</v>
      </c>
      <c r="N27" t="s">
        <v>11</v>
      </c>
      <c r="O27">
        <v>5</v>
      </c>
      <c r="P27">
        <v>81777000</v>
      </c>
      <c r="Q27">
        <f>O27*P27</f>
        <v>408885000</v>
      </c>
    </row>
    <row r="28" spans="1:17">
      <c r="L28" t="s">
        <v>32</v>
      </c>
      <c r="Q28" s="1">
        <f>SUM(Q23:Q27)</f>
        <v>11670908500</v>
      </c>
    </row>
  </sheetData>
  <sortState xmlns:xlrd2="http://schemas.microsoft.com/office/spreadsheetml/2017/richdata2" ref="K3:N18">
    <sortCondition descending="1" ref="N3:N18"/>
  </sortState>
  <mergeCells count="3">
    <mergeCell ref="A1:D1"/>
    <mergeCell ref="F1:I1"/>
    <mergeCell ref="K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11178-A319-49E0-9EC4-94C0A3EB8E2D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Sector Leaders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Naeemullah Khan</dc:creator>
  <cp:lastModifiedBy>Student</cp:lastModifiedBy>
  <dcterms:created xsi:type="dcterms:W3CDTF">2025-11-22T03:03:16Z</dcterms:created>
  <dcterms:modified xsi:type="dcterms:W3CDTF">2025-11-22T06:17:13Z</dcterms:modified>
</cp:coreProperties>
</file>