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MLS\Downloads\Financial modeling\Finals\Indices\"/>
    </mc:Choice>
  </mc:AlternateContent>
  <bookViews>
    <workbookView xWindow="0" yWindow="0" windowWidth="23040" windowHeight="8616"/>
  </bookViews>
  <sheets>
    <sheet name="Sector Leader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G22" i="2"/>
  <c r="B22" i="2"/>
  <c r="N23" i="2" l="1"/>
  <c r="N22" i="2"/>
  <c r="N21" i="2"/>
  <c r="H23" i="2"/>
  <c r="H22" i="2"/>
  <c r="H21" i="2"/>
  <c r="C22" i="2"/>
  <c r="C21" i="2"/>
  <c r="L22" i="1"/>
  <c r="G23" i="1"/>
  <c r="G22" i="1"/>
  <c r="B21" i="1"/>
  <c r="S4" i="1" l="1"/>
  <c r="Q21" i="1"/>
  <c r="S7" i="1"/>
  <c r="S6" i="1"/>
  <c r="S5" i="1"/>
  <c r="S8" i="1"/>
  <c r="L21" i="1"/>
  <c r="L23" i="1"/>
  <c r="G21" i="1"/>
  <c r="B22" i="1"/>
  <c r="N18" i="1"/>
  <c r="I18" i="1"/>
  <c r="D18" i="1"/>
  <c r="N17" i="1"/>
  <c r="I17" i="1"/>
  <c r="D17" i="1"/>
  <c r="N16" i="1"/>
  <c r="I16" i="1"/>
  <c r="D16" i="1"/>
  <c r="N15" i="1"/>
  <c r="I15" i="1"/>
  <c r="D15" i="1"/>
  <c r="N14" i="1"/>
  <c r="I14" i="1"/>
  <c r="D14" i="1"/>
  <c r="N13" i="1"/>
  <c r="I13" i="1"/>
  <c r="D13" i="1"/>
  <c r="N12" i="1"/>
  <c r="I12" i="1"/>
  <c r="D12" i="1"/>
  <c r="N11" i="1"/>
  <c r="I11" i="1"/>
  <c r="D11" i="1"/>
  <c r="N10" i="1"/>
  <c r="I10" i="1"/>
  <c r="D10" i="1"/>
  <c r="N9" i="1"/>
  <c r="I9" i="1"/>
  <c r="D9" i="1"/>
  <c r="N8" i="1"/>
  <c r="I8" i="1"/>
  <c r="D8" i="1"/>
  <c r="N7" i="1"/>
  <c r="I7" i="1"/>
  <c r="D7" i="1"/>
  <c r="N6" i="1"/>
  <c r="I6" i="1"/>
  <c r="D6" i="1"/>
  <c r="N5" i="1"/>
  <c r="I5" i="1"/>
  <c r="D5" i="1"/>
  <c r="N4" i="1"/>
  <c r="I4" i="1"/>
  <c r="D4" i="1"/>
  <c r="N3" i="1"/>
  <c r="I3" i="1"/>
  <c r="D3" i="1"/>
  <c r="Q21" i="2"/>
  <c r="L22" i="2"/>
  <c r="L21" i="2"/>
  <c r="G21" i="2"/>
  <c r="B21" i="2"/>
  <c r="D3" i="2"/>
  <c r="S8" i="2" l="1"/>
  <c r="S7" i="2"/>
  <c r="S6" i="2"/>
  <c r="S5" i="2"/>
  <c r="S4" i="2"/>
  <c r="N18" i="2" l="1"/>
  <c r="I18" i="2"/>
  <c r="D18" i="2"/>
  <c r="N17" i="2"/>
  <c r="I17" i="2"/>
  <c r="D17" i="2"/>
  <c r="N16" i="2"/>
  <c r="I16" i="2"/>
  <c r="D16" i="2"/>
  <c r="N15" i="2"/>
  <c r="I15" i="2"/>
  <c r="D15" i="2"/>
  <c r="N14" i="2"/>
  <c r="I14" i="2"/>
  <c r="D14" i="2"/>
  <c r="N13" i="2"/>
  <c r="I13" i="2"/>
  <c r="D13" i="2"/>
  <c r="N12" i="2"/>
  <c r="I12" i="2"/>
  <c r="D12" i="2"/>
  <c r="N11" i="2"/>
  <c r="I11" i="2"/>
  <c r="D11" i="2"/>
  <c r="N10" i="2"/>
  <c r="I10" i="2"/>
  <c r="D10" i="2"/>
  <c r="N9" i="2"/>
  <c r="I9" i="2"/>
  <c r="D9" i="2"/>
  <c r="N8" i="2"/>
  <c r="I8" i="2"/>
  <c r="D8" i="2"/>
  <c r="N7" i="2"/>
  <c r="I7" i="2"/>
  <c r="D7" i="2"/>
  <c r="N6" i="2"/>
  <c r="I6" i="2"/>
  <c r="D6" i="2"/>
  <c r="N5" i="2"/>
  <c r="I5" i="2"/>
  <c r="D5" i="2"/>
  <c r="N4" i="2"/>
  <c r="I4" i="2"/>
  <c r="D4" i="2"/>
  <c r="N3" i="2"/>
  <c r="I3" i="2"/>
  <c r="L23" i="2" l="1"/>
</calcChain>
</file>

<file path=xl/comments1.xml><?xml version="1.0" encoding="utf-8"?>
<comments xmlns="http://schemas.openxmlformats.org/spreadsheetml/2006/main">
  <authors>
    <author>PMLS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PMLS:</t>
        </r>
        <r>
          <rPr>
            <sz val="9"/>
            <color indexed="81"/>
            <rFont val="Tahoma"/>
            <charset val="1"/>
          </rPr>
          <t xml:space="preserve">
custom sort &gt; mv &gt; largest to smallest</t>
        </r>
      </text>
    </comment>
    <comment ref="P1" authorId="0" shapeId="0">
      <text>
        <r>
          <rPr>
            <b/>
            <sz val="9"/>
            <color indexed="81"/>
            <rFont val="Tahoma"/>
            <charset val="1"/>
          </rPr>
          <t>PMLS:</t>
        </r>
        <r>
          <rPr>
            <sz val="9"/>
            <color indexed="81"/>
            <rFont val="Tahoma"/>
            <charset val="1"/>
          </rPr>
          <t xml:space="preserve">
1999 company in addition with new company
</t>
        </r>
      </text>
    </comment>
    <comment ref="B21" authorId="0" shapeId="0">
      <text>
        <r>
          <rPr>
            <b/>
            <sz val="9"/>
            <color indexed="81"/>
            <rFont val="Tahoma"/>
            <charset val="1"/>
          </rPr>
          <t>PMLS:</t>
        </r>
        <r>
          <rPr>
            <sz val="9"/>
            <color indexed="81"/>
            <rFont val="Tahoma"/>
            <charset val="1"/>
          </rPr>
          <t xml:space="preserve">
MV Sum</t>
        </r>
      </text>
    </comment>
    <comment ref="B22" authorId="0" shapeId="0">
      <text>
        <r>
          <rPr>
            <b/>
            <sz val="9"/>
            <color indexed="81"/>
            <rFont val="Tahoma"/>
            <charset val="1"/>
          </rPr>
          <t>PMLS:</t>
        </r>
        <r>
          <rPr>
            <sz val="9"/>
            <color indexed="81"/>
            <rFont val="Tahoma"/>
            <charset val="1"/>
          </rPr>
          <t xml:space="preserve">
MV/MV *1000</t>
        </r>
      </text>
    </comment>
    <comment ref="G22" authorId="0" shapeId="0">
      <text>
        <r>
          <rPr>
            <b/>
            <sz val="9"/>
            <color indexed="81"/>
            <rFont val="Tahoma"/>
            <charset val="1"/>
          </rPr>
          <t>PMLS:</t>
        </r>
        <r>
          <rPr>
            <sz val="9"/>
            <color indexed="81"/>
            <rFont val="Tahoma"/>
            <charset val="1"/>
          </rPr>
          <t xml:space="preserve">
MV current/Mv previous*1000</t>
        </r>
      </text>
    </comment>
    <comment ref="G23" authorId="0" shapeId="0">
      <text>
        <r>
          <rPr>
            <b/>
            <sz val="9"/>
            <color indexed="81"/>
            <rFont val="Tahoma"/>
            <charset val="1"/>
          </rPr>
          <t>PMLS:</t>
        </r>
        <r>
          <rPr>
            <sz val="9"/>
            <color indexed="81"/>
            <rFont val="Tahoma"/>
            <charset val="1"/>
          </rPr>
          <t xml:space="preserve">
current index/previous index-1</t>
        </r>
      </text>
    </comment>
  </commentList>
</comments>
</file>

<file path=xl/comments2.xml><?xml version="1.0" encoding="utf-8"?>
<comments xmlns="http://schemas.openxmlformats.org/spreadsheetml/2006/main">
  <authors>
    <author>PMLS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PMLS:</t>
        </r>
        <r>
          <rPr>
            <sz val="9"/>
            <color indexed="81"/>
            <rFont val="Tahoma"/>
            <charset val="1"/>
          </rPr>
          <t xml:space="preserve">
custom sort &gt; mv &gt; largest to smallest</t>
        </r>
      </text>
    </comment>
  </commentList>
</comments>
</file>

<file path=xl/sharedStrings.xml><?xml version="1.0" encoding="utf-8"?>
<sst xmlns="http://schemas.openxmlformats.org/spreadsheetml/2006/main" count="168" uniqueCount="30">
  <si>
    <t>Company</t>
  </si>
  <si>
    <t>MPS</t>
  </si>
  <si>
    <t>Os shares</t>
  </si>
  <si>
    <t>MV</t>
  </si>
  <si>
    <t xml:space="preserve">Crescent Steel &amp; Allied Products Ltd [200,850,000] </t>
  </si>
  <si>
    <t xml:space="preserve">International Industries Ltd [128,860,000] </t>
  </si>
  <si>
    <t xml:space="preserve">KSB Pumps Co Ltd [120,000,000] </t>
  </si>
  <si>
    <t xml:space="preserve">International Industries Ltd [141,746,000] </t>
  </si>
  <si>
    <t xml:space="preserve">Sazgar Engineering Works Ltd [71,630,000] </t>
  </si>
  <si>
    <t xml:space="preserve">Bolan Castings Ltd [55,253,000] </t>
  </si>
  <si>
    <t xml:space="preserve">Metropolitan Steel Corp Ltd [309,775,000] </t>
  </si>
  <si>
    <t xml:space="preserve">Metropolitan Steel Corp Ltd [81,777,000] </t>
  </si>
  <si>
    <t xml:space="preserve">Transmission Engineering Industries Ltd [40,000,000] </t>
  </si>
  <si>
    <t xml:space="preserve">Huffaz Seamless Pipe Industries Ltd [122,002,000] </t>
  </si>
  <si>
    <t xml:space="preserve">Abbas Engineering Industries Ltd [42,000,000] </t>
  </si>
  <si>
    <t xml:space="preserve">Pakistan Engineering Co Ltd [56,902,000] </t>
  </si>
  <si>
    <t xml:space="preserve">Karachi Pipe Mills Ltd [20,000,000] </t>
  </si>
  <si>
    <t xml:space="preserve">Gauhar Engineering Ltd [22,392,000] </t>
  </si>
  <si>
    <t xml:space="preserve">Quality Steel Works Ltd [17,718,000] </t>
  </si>
  <si>
    <t xml:space="preserve">Ados Pakistan Ltd [43,884,000] </t>
  </si>
  <si>
    <t xml:space="preserve">Multiple Industries Ltd [60,000,000] </t>
  </si>
  <si>
    <t xml:space="preserve">Taxila Engineering Ltd [42,500,000] </t>
  </si>
  <si>
    <t>Index 1999</t>
  </si>
  <si>
    <t>Base Year</t>
  </si>
  <si>
    <t>Index</t>
  </si>
  <si>
    <t>Index 1998</t>
  </si>
  <si>
    <t>Percentage change in index</t>
  </si>
  <si>
    <t>Index 2000</t>
  </si>
  <si>
    <t>New Divisor</t>
  </si>
  <si>
    <t>New Divisior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</si>
</sst>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10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3"/>
  <sheetViews>
    <sheetView tabSelected="1" topLeftCell="J1" workbookViewId="0">
      <selection activeCell="Q24" sqref="Q24"/>
    </sheetView>
  </sheetViews>
  <sheetFormatPr defaultRowHeight="13.8"/>
  <cols>
    <col min="1" max="1" width="40.09765625" customWidth="1"/>
    <col min="2" max="3" width="11.8984375" bestFit="1" customWidth="1"/>
    <col min="4" max="4" width="10" bestFit="1" customWidth="1"/>
    <col min="6" max="6" width="42.09765625" customWidth="1"/>
    <col min="7" max="8" width="11.8984375" bestFit="1" customWidth="1"/>
    <col min="9" max="9" width="11" bestFit="1" customWidth="1"/>
    <col min="11" max="11" width="40.296875" customWidth="1"/>
    <col min="12" max="12" width="11.8984375" bestFit="1" customWidth="1"/>
    <col min="13" max="13" width="10" bestFit="1" customWidth="1"/>
    <col min="14" max="14" width="11.8984375" bestFit="1" customWidth="1"/>
    <col min="16" max="16" width="32.69921875" customWidth="1"/>
    <col min="17" max="17" width="11.8984375" bestFit="1" customWidth="1"/>
  </cols>
  <sheetData>
    <row r="1" spans="1:19">
      <c r="A1" s="6">
        <v>1998</v>
      </c>
      <c r="B1" s="6"/>
      <c r="C1" s="6"/>
      <c r="D1" s="6"/>
      <c r="F1" s="6">
        <v>1999</v>
      </c>
      <c r="G1" s="6"/>
      <c r="H1" s="6"/>
      <c r="I1" s="6"/>
      <c r="K1" s="6">
        <v>2000</v>
      </c>
      <c r="L1" s="6"/>
      <c r="M1" s="6"/>
      <c r="N1" s="6"/>
      <c r="P1" s="6" t="s">
        <v>29</v>
      </c>
      <c r="Q1" s="6"/>
      <c r="R1" s="6"/>
      <c r="S1" s="6"/>
    </row>
    <row r="2" spans="1:19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</row>
    <row r="3" spans="1:19">
      <c r="A3" s="1" t="s">
        <v>4</v>
      </c>
      <c r="B3" s="1">
        <v>19.5</v>
      </c>
      <c r="C3" s="1">
        <v>200850000</v>
      </c>
      <c r="D3" s="1">
        <f t="shared" ref="D3:D18" si="0">B3*C3</f>
        <v>3916575000</v>
      </c>
      <c r="F3" s="1" t="s">
        <v>5</v>
      </c>
      <c r="G3" s="1">
        <v>28</v>
      </c>
      <c r="H3" s="1">
        <v>128860000</v>
      </c>
      <c r="I3" s="1">
        <f t="shared" ref="I3:I18" si="1">G3*H3</f>
        <v>3608080000</v>
      </c>
      <c r="K3" s="1" t="s">
        <v>4</v>
      </c>
      <c r="L3" s="1">
        <v>20</v>
      </c>
      <c r="M3" s="1">
        <v>200850000</v>
      </c>
      <c r="N3" s="1">
        <f t="shared" ref="N3:N18" si="2">L3*M3</f>
        <v>4017000000</v>
      </c>
      <c r="P3" t="s">
        <v>0</v>
      </c>
      <c r="Q3" t="s">
        <v>1</v>
      </c>
      <c r="R3" t="s">
        <v>2</v>
      </c>
      <c r="S3" t="s">
        <v>3</v>
      </c>
    </row>
    <row r="4" spans="1:19">
      <c r="A4" s="1" t="s">
        <v>6</v>
      </c>
      <c r="B4" s="1">
        <v>29</v>
      </c>
      <c r="C4" s="1">
        <v>120000000</v>
      </c>
      <c r="D4" s="1">
        <f t="shared" si="0"/>
        <v>3480000000</v>
      </c>
      <c r="F4" s="1" t="s">
        <v>6</v>
      </c>
      <c r="G4" s="1">
        <v>27.5</v>
      </c>
      <c r="H4" s="1">
        <v>120000000</v>
      </c>
      <c r="I4" s="1">
        <f t="shared" si="1"/>
        <v>3300000000</v>
      </c>
      <c r="K4" s="1" t="s">
        <v>7</v>
      </c>
      <c r="L4" s="1">
        <v>26</v>
      </c>
      <c r="M4" s="1">
        <v>141746000</v>
      </c>
      <c r="N4" s="1">
        <f t="shared" si="2"/>
        <v>3685396000</v>
      </c>
      <c r="P4" s="1" t="s">
        <v>5</v>
      </c>
      <c r="Q4" s="1">
        <v>28</v>
      </c>
      <c r="R4" s="1">
        <v>128860000</v>
      </c>
      <c r="S4" s="1">
        <f>Q4*R4</f>
        <v>3608080000</v>
      </c>
    </row>
    <row r="5" spans="1:19">
      <c r="A5" s="1" t="s">
        <v>5</v>
      </c>
      <c r="B5" s="1">
        <v>25</v>
      </c>
      <c r="C5" s="1">
        <v>128860000</v>
      </c>
      <c r="D5" s="1">
        <f t="shared" si="0"/>
        <v>3221500000</v>
      </c>
      <c r="F5" s="1" t="s">
        <v>4</v>
      </c>
      <c r="G5" s="1">
        <v>14.25</v>
      </c>
      <c r="H5" s="1">
        <v>200850000</v>
      </c>
      <c r="I5" s="1">
        <f t="shared" si="1"/>
        <v>2862112500</v>
      </c>
      <c r="K5" s="1" t="s">
        <v>6</v>
      </c>
      <c r="L5" s="1">
        <v>25</v>
      </c>
      <c r="M5" s="1">
        <v>120000000</v>
      </c>
      <c r="N5" s="1">
        <f t="shared" si="2"/>
        <v>3000000000</v>
      </c>
      <c r="P5" s="1" t="s">
        <v>6</v>
      </c>
      <c r="Q5" s="1">
        <v>27.5</v>
      </c>
      <c r="R5" s="1">
        <v>120000000</v>
      </c>
      <c r="S5" s="1">
        <f>Q5*R5</f>
        <v>3300000000</v>
      </c>
    </row>
    <row r="6" spans="1:19">
      <c r="A6" s="1" t="s">
        <v>8</v>
      </c>
      <c r="B6" s="1">
        <v>9</v>
      </c>
      <c r="C6" s="1">
        <v>71630000</v>
      </c>
      <c r="D6" s="1">
        <f t="shared" si="0"/>
        <v>644670000</v>
      </c>
      <c r="F6" s="1" t="s">
        <v>9</v>
      </c>
      <c r="G6" s="1">
        <v>27</v>
      </c>
      <c r="H6" s="1">
        <v>55253000</v>
      </c>
      <c r="I6" s="1">
        <f t="shared" si="1"/>
        <v>1491831000</v>
      </c>
      <c r="K6" s="1" t="s">
        <v>9</v>
      </c>
      <c r="L6" s="1">
        <v>37.9</v>
      </c>
      <c r="M6" s="1">
        <v>55253000</v>
      </c>
      <c r="N6" s="1">
        <f t="shared" si="2"/>
        <v>2094088700</v>
      </c>
      <c r="P6" s="1" t="s">
        <v>4</v>
      </c>
      <c r="Q6" s="1">
        <v>14.25</v>
      </c>
      <c r="R6" s="1">
        <v>200850000</v>
      </c>
      <c r="S6" s="1">
        <f>Q6*R6</f>
        <v>2862112500</v>
      </c>
    </row>
    <row r="7" spans="1:19">
      <c r="A7" s="1" t="s">
        <v>9</v>
      </c>
      <c r="B7" s="1">
        <v>10</v>
      </c>
      <c r="C7" s="1">
        <v>55253000</v>
      </c>
      <c r="D7" s="1">
        <f t="shared" si="0"/>
        <v>552530000</v>
      </c>
      <c r="F7" s="3" t="s">
        <v>8</v>
      </c>
      <c r="G7" s="3">
        <v>18</v>
      </c>
      <c r="H7" s="3">
        <v>71630000</v>
      </c>
      <c r="I7" s="3">
        <f t="shared" si="1"/>
        <v>1289340000</v>
      </c>
      <c r="K7" s="2" t="s">
        <v>10</v>
      </c>
      <c r="L7" s="2">
        <v>6</v>
      </c>
      <c r="M7" s="2">
        <v>309775000</v>
      </c>
      <c r="N7" s="2">
        <f t="shared" si="2"/>
        <v>1858650000</v>
      </c>
      <c r="P7" s="1" t="s">
        <v>9</v>
      </c>
      <c r="Q7" s="1">
        <v>27</v>
      </c>
      <c r="R7" s="1">
        <v>55253000</v>
      </c>
      <c r="S7" s="1">
        <f>Q7*R7</f>
        <v>1491831000</v>
      </c>
    </row>
    <row r="8" spans="1:19">
      <c r="A8" t="s">
        <v>11</v>
      </c>
      <c r="B8">
        <v>5</v>
      </c>
      <c r="C8">
        <v>81777000</v>
      </c>
      <c r="D8">
        <f t="shared" si="0"/>
        <v>408885000</v>
      </c>
      <c r="F8" t="s">
        <v>11</v>
      </c>
      <c r="G8">
        <v>5</v>
      </c>
      <c r="H8">
        <v>81777000</v>
      </c>
      <c r="I8">
        <f t="shared" si="1"/>
        <v>408885000</v>
      </c>
      <c r="K8" t="s">
        <v>8</v>
      </c>
      <c r="L8">
        <v>23</v>
      </c>
      <c r="M8">
        <v>71630000</v>
      </c>
      <c r="N8">
        <f t="shared" si="2"/>
        <v>1647490000</v>
      </c>
      <c r="P8" t="s">
        <v>11</v>
      </c>
      <c r="Q8">
        <v>5</v>
      </c>
      <c r="R8">
        <v>81777000</v>
      </c>
      <c r="S8">
        <f>Q8*R8</f>
        <v>408885000</v>
      </c>
    </row>
    <row r="9" spans="1:19">
      <c r="A9" t="s">
        <v>12</v>
      </c>
      <c r="B9">
        <v>9.25</v>
      </c>
      <c r="C9">
        <v>40000000</v>
      </c>
      <c r="D9">
        <f t="shared" si="0"/>
        <v>370000000</v>
      </c>
      <c r="F9" t="s">
        <v>12</v>
      </c>
      <c r="G9">
        <v>9.25</v>
      </c>
      <c r="H9">
        <v>40000000</v>
      </c>
      <c r="I9">
        <f t="shared" si="1"/>
        <v>370000000</v>
      </c>
      <c r="K9" t="s">
        <v>12</v>
      </c>
      <c r="L9">
        <v>9.25</v>
      </c>
      <c r="M9">
        <v>40000000</v>
      </c>
      <c r="N9">
        <f t="shared" si="2"/>
        <v>370000000</v>
      </c>
    </row>
    <row r="10" spans="1:19">
      <c r="A10" t="s">
        <v>13</v>
      </c>
      <c r="B10">
        <v>3</v>
      </c>
      <c r="C10">
        <v>122002000</v>
      </c>
      <c r="D10">
        <f t="shared" si="0"/>
        <v>366006000</v>
      </c>
      <c r="F10" t="s">
        <v>13</v>
      </c>
      <c r="G10">
        <v>2.5</v>
      </c>
      <c r="H10">
        <v>122002000</v>
      </c>
      <c r="I10">
        <f t="shared" si="1"/>
        <v>305005000</v>
      </c>
      <c r="K10" t="s">
        <v>13</v>
      </c>
      <c r="L10">
        <v>2.25</v>
      </c>
      <c r="M10">
        <v>122002000</v>
      </c>
      <c r="N10">
        <f t="shared" si="2"/>
        <v>274504500</v>
      </c>
    </row>
    <row r="11" spans="1:19">
      <c r="A11" t="s">
        <v>14</v>
      </c>
      <c r="B11">
        <v>4.4000000000000004</v>
      </c>
      <c r="C11">
        <v>42000000</v>
      </c>
      <c r="D11">
        <f t="shared" si="0"/>
        <v>184800000.00000003</v>
      </c>
      <c r="F11" t="s">
        <v>14</v>
      </c>
      <c r="G11">
        <v>4.4000000000000004</v>
      </c>
      <c r="H11">
        <v>42000000</v>
      </c>
      <c r="I11">
        <f t="shared" si="1"/>
        <v>184800000.00000003</v>
      </c>
      <c r="K11" t="s">
        <v>15</v>
      </c>
      <c r="L11">
        <v>3</v>
      </c>
      <c r="M11">
        <v>56902000</v>
      </c>
      <c r="N11">
        <f t="shared" si="2"/>
        <v>170706000</v>
      </c>
    </row>
    <row r="12" spans="1:19">
      <c r="A12" t="s">
        <v>15</v>
      </c>
      <c r="B12">
        <v>2.65</v>
      </c>
      <c r="C12">
        <v>56902000</v>
      </c>
      <c r="D12">
        <f t="shared" si="0"/>
        <v>150790300</v>
      </c>
      <c r="F12" t="s">
        <v>15</v>
      </c>
      <c r="G12">
        <v>3</v>
      </c>
      <c r="H12">
        <v>56902000</v>
      </c>
      <c r="I12">
        <f t="shared" si="1"/>
        <v>170706000</v>
      </c>
      <c r="K12" t="s">
        <v>16</v>
      </c>
      <c r="L12">
        <v>7.25</v>
      </c>
      <c r="M12">
        <v>20000000</v>
      </c>
      <c r="N12">
        <f t="shared" si="2"/>
        <v>145000000</v>
      </c>
    </row>
    <row r="13" spans="1:19">
      <c r="A13" t="s">
        <v>16</v>
      </c>
      <c r="B13">
        <v>7.25</v>
      </c>
      <c r="C13">
        <v>20000000</v>
      </c>
      <c r="D13">
        <f t="shared" si="0"/>
        <v>145000000</v>
      </c>
      <c r="F13" t="s">
        <v>17</v>
      </c>
      <c r="G13">
        <v>6.5</v>
      </c>
      <c r="H13">
        <v>22392000</v>
      </c>
      <c r="I13">
        <f t="shared" si="1"/>
        <v>145548000</v>
      </c>
      <c r="K13" t="s">
        <v>14</v>
      </c>
      <c r="L13">
        <v>3</v>
      </c>
      <c r="M13">
        <v>42000000</v>
      </c>
      <c r="N13">
        <f t="shared" si="2"/>
        <v>126000000</v>
      </c>
    </row>
    <row r="14" spans="1:19">
      <c r="A14" t="s">
        <v>18</v>
      </c>
      <c r="B14">
        <v>6</v>
      </c>
      <c r="C14">
        <v>17718000</v>
      </c>
      <c r="D14">
        <f t="shared" si="0"/>
        <v>106308000</v>
      </c>
      <c r="F14" t="s">
        <v>16</v>
      </c>
      <c r="G14">
        <v>7.25</v>
      </c>
      <c r="H14">
        <v>20000000</v>
      </c>
      <c r="I14">
        <f t="shared" si="1"/>
        <v>145000000</v>
      </c>
      <c r="K14" t="s">
        <v>18</v>
      </c>
      <c r="L14">
        <v>5.2</v>
      </c>
      <c r="M14">
        <v>17718000</v>
      </c>
      <c r="N14">
        <f t="shared" si="2"/>
        <v>92133600</v>
      </c>
    </row>
    <row r="15" spans="1:19">
      <c r="A15" t="s">
        <v>17</v>
      </c>
      <c r="B15">
        <v>4</v>
      </c>
      <c r="C15">
        <v>22392000</v>
      </c>
      <c r="D15">
        <f t="shared" si="0"/>
        <v>89568000</v>
      </c>
      <c r="F15" t="s">
        <v>18</v>
      </c>
      <c r="G15">
        <v>5.2</v>
      </c>
      <c r="H15">
        <v>17718000</v>
      </c>
      <c r="I15">
        <f t="shared" si="1"/>
        <v>92133600</v>
      </c>
      <c r="K15" t="s">
        <v>19</v>
      </c>
      <c r="L15">
        <v>1.85</v>
      </c>
      <c r="M15">
        <v>43884000</v>
      </c>
      <c r="N15">
        <f t="shared" si="2"/>
        <v>81185400</v>
      </c>
    </row>
    <row r="16" spans="1:19">
      <c r="A16" t="s">
        <v>20</v>
      </c>
      <c r="B16">
        <v>1.1000000000000001</v>
      </c>
      <c r="C16">
        <v>60000000</v>
      </c>
      <c r="D16">
        <f t="shared" si="0"/>
        <v>66000000.000000007</v>
      </c>
      <c r="F16" t="s">
        <v>20</v>
      </c>
      <c r="G16">
        <v>0.95</v>
      </c>
      <c r="H16">
        <v>60000000</v>
      </c>
      <c r="I16">
        <f t="shared" si="1"/>
        <v>57000000</v>
      </c>
      <c r="K16" t="s">
        <v>17</v>
      </c>
      <c r="L16">
        <v>3.5</v>
      </c>
      <c r="M16">
        <v>22392000</v>
      </c>
      <c r="N16">
        <f t="shared" si="2"/>
        <v>78372000</v>
      </c>
    </row>
    <row r="17" spans="1:17">
      <c r="A17" t="s">
        <v>19</v>
      </c>
      <c r="B17">
        <v>1.1499999999999999</v>
      </c>
      <c r="C17">
        <v>43884000</v>
      </c>
      <c r="D17">
        <f t="shared" si="0"/>
        <v>50466599.999999993</v>
      </c>
      <c r="F17" t="s">
        <v>19</v>
      </c>
      <c r="G17">
        <v>1</v>
      </c>
      <c r="H17">
        <v>43884000</v>
      </c>
      <c r="I17">
        <f t="shared" si="1"/>
        <v>43884000</v>
      </c>
      <c r="K17" t="s">
        <v>21</v>
      </c>
      <c r="L17">
        <v>0.9</v>
      </c>
      <c r="M17">
        <v>42500000</v>
      </c>
      <c r="N17">
        <f t="shared" si="2"/>
        <v>38250000</v>
      </c>
    </row>
    <row r="18" spans="1:17">
      <c r="A18" t="s">
        <v>21</v>
      </c>
      <c r="B18">
        <v>0.9</v>
      </c>
      <c r="C18">
        <v>42500000</v>
      </c>
      <c r="D18">
        <f t="shared" si="0"/>
        <v>38250000</v>
      </c>
      <c r="F18" t="s">
        <v>21</v>
      </c>
      <c r="G18">
        <v>0.9</v>
      </c>
      <c r="H18">
        <v>42500000</v>
      </c>
      <c r="I18">
        <f t="shared" si="1"/>
        <v>38250000</v>
      </c>
      <c r="K18" t="s">
        <v>20</v>
      </c>
      <c r="L18">
        <v>0.6</v>
      </c>
      <c r="M18">
        <v>60000000</v>
      </c>
      <c r="N18">
        <f t="shared" si="2"/>
        <v>36000000</v>
      </c>
    </row>
    <row r="20" spans="1:17">
      <c r="A20" s="4" t="s">
        <v>25</v>
      </c>
      <c r="B20" s="4" t="s">
        <v>23</v>
      </c>
      <c r="F20" t="s">
        <v>22</v>
      </c>
      <c r="K20" t="s">
        <v>27</v>
      </c>
      <c r="P20" t="s">
        <v>28</v>
      </c>
    </row>
    <row r="21" spans="1:17">
      <c r="A21" t="s">
        <v>3</v>
      </c>
      <c r="B21">
        <f>SUM(D3:D7)</f>
        <v>11815275000</v>
      </c>
      <c r="C21">
        <f>SUM(D3:D7)</f>
        <v>11815275000</v>
      </c>
      <c r="F21" t="s">
        <v>3</v>
      </c>
      <c r="G21">
        <f>SUM(I3:I7)</f>
        <v>12551363500</v>
      </c>
      <c r="H21">
        <f>SUM(I3:I7)</f>
        <v>12551363500</v>
      </c>
      <c r="K21" t="s">
        <v>3</v>
      </c>
      <c r="L21">
        <f>SUM(N3:N7)</f>
        <v>14655134700</v>
      </c>
      <c r="N21">
        <f>SUM(N3:N7)</f>
        <v>14655134700</v>
      </c>
      <c r="P21" t="s">
        <v>3</v>
      </c>
      <c r="Q21">
        <f>SUM(S4:S8)</f>
        <v>11670908500</v>
      </c>
    </row>
    <row r="22" spans="1:17">
      <c r="A22" t="s">
        <v>24</v>
      </c>
      <c r="B22">
        <f>B21/B21*1000</f>
        <v>1000</v>
      </c>
      <c r="C22">
        <f>C21/C21*1000</f>
        <v>1000</v>
      </c>
      <c r="F22" t="s">
        <v>22</v>
      </c>
      <c r="G22">
        <f>G21/B21*1000</f>
        <v>1062.2997348770978</v>
      </c>
      <c r="H22">
        <f>H21/C21*1000</f>
        <v>1062.2997348770978</v>
      </c>
      <c r="K22" t="s">
        <v>27</v>
      </c>
      <c r="L22">
        <f>L21/Q21*1000</f>
        <v>1255.6978490577662</v>
      </c>
      <c r="N22">
        <f>N21/Q21*1000</f>
        <v>1255.6978490577662</v>
      </c>
    </row>
    <row r="23" spans="1:17">
      <c r="F23" t="s">
        <v>26</v>
      </c>
      <c r="G23" s="5">
        <f>G22/B22-1</f>
        <v>6.2299734877097723E-2</v>
      </c>
      <c r="H23" s="5">
        <f>H22/C22-1</f>
        <v>6.2299734877097723E-2</v>
      </c>
      <c r="K23" t="s">
        <v>26</v>
      </c>
      <c r="L23" s="5">
        <f>L22/G22-1</f>
        <v>0.18205606932872254</v>
      </c>
      <c r="N23" s="5">
        <f>N22/H22-1</f>
        <v>0.18205606932872254</v>
      </c>
    </row>
  </sheetData>
  <sortState ref="A3:D18">
    <sortCondition descending="1" ref="D3:D18"/>
  </sortState>
  <mergeCells count="4">
    <mergeCell ref="A1:D1"/>
    <mergeCell ref="F1:I1"/>
    <mergeCell ref="K1:N1"/>
    <mergeCell ref="P1:S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3"/>
  <sheetViews>
    <sheetView topLeftCell="G1" workbookViewId="0">
      <selection activeCell="N20" sqref="N20"/>
    </sheetView>
  </sheetViews>
  <sheetFormatPr defaultRowHeight="13.8"/>
  <cols>
    <col min="1" max="1" width="40.09765625" customWidth="1"/>
    <col min="2" max="2" width="11.8984375" bestFit="1" customWidth="1"/>
    <col min="4" max="4" width="10" bestFit="1" customWidth="1"/>
    <col min="6" max="6" width="42.09765625" customWidth="1"/>
    <col min="7" max="7" width="11.8984375" bestFit="1" customWidth="1"/>
    <col min="9" max="9" width="11" bestFit="1" customWidth="1"/>
    <col min="11" max="11" width="40.296875" customWidth="1"/>
    <col min="12" max="12" width="11.8984375" bestFit="1" customWidth="1"/>
    <col min="13" max="13" width="10" bestFit="1" customWidth="1"/>
    <col min="14" max="14" width="11" bestFit="1" customWidth="1"/>
    <col min="16" max="16" width="32.69921875" customWidth="1"/>
    <col min="17" max="17" width="11.8984375" bestFit="1" customWidth="1"/>
  </cols>
  <sheetData>
    <row r="1" spans="1:19">
      <c r="A1" s="6">
        <v>1998</v>
      </c>
      <c r="B1" s="6"/>
      <c r="C1" s="6"/>
      <c r="D1" s="6"/>
      <c r="F1" s="6">
        <v>1999</v>
      </c>
      <c r="G1" s="6"/>
      <c r="H1" s="6"/>
      <c r="I1" s="6"/>
      <c r="K1" s="6">
        <v>2000</v>
      </c>
      <c r="L1" s="6"/>
      <c r="M1" s="6"/>
      <c r="N1" s="6"/>
      <c r="P1" s="6" t="s">
        <v>29</v>
      </c>
      <c r="Q1" s="6"/>
      <c r="R1" s="6"/>
      <c r="S1" s="6"/>
    </row>
    <row r="2" spans="1:19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</row>
    <row r="3" spans="1:19">
      <c r="A3" s="1" t="s">
        <v>4</v>
      </c>
      <c r="B3" s="1">
        <v>19.5</v>
      </c>
      <c r="C3" s="1">
        <v>200850000</v>
      </c>
      <c r="D3" s="1">
        <f t="shared" ref="D3:D18" si="0">B3*C3</f>
        <v>3916575000</v>
      </c>
      <c r="F3" s="1" t="s">
        <v>5</v>
      </c>
      <c r="G3" s="1">
        <v>28</v>
      </c>
      <c r="H3" s="1">
        <v>128860000</v>
      </c>
      <c r="I3" s="1">
        <f t="shared" ref="I3:I18" si="1">G3*H3</f>
        <v>3608080000</v>
      </c>
      <c r="K3" s="1" t="s">
        <v>4</v>
      </c>
      <c r="L3" s="1">
        <v>20</v>
      </c>
      <c r="M3" s="1">
        <v>200850000</v>
      </c>
      <c r="N3" s="1">
        <f t="shared" ref="N3:N18" si="2">L3*M3</f>
        <v>4017000000</v>
      </c>
      <c r="P3" t="s">
        <v>0</v>
      </c>
      <c r="Q3" t="s">
        <v>1</v>
      </c>
      <c r="R3" t="s">
        <v>2</v>
      </c>
      <c r="S3" t="s">
        <v>3</v>
      </c>
    </row>
    <row r="4" spans="1:19">
      <c r="A4" s="1" t="s">
        <v>6</v>
      </c>
      <c r="B4" s="1">
        <v>29</v>
      </c>
      <c r="C4" s="1">
        <v>120000000</v>
      </c>
      <c r="D4" s="1">
        <f t="shared" si="0"/>
        <v>3480000000</v>
      </c>
      <c r="F4" s="1" t="s">
        <v>6</v>
      </c>
      <c r="G4" s="1">
        <v>27.5</v>
      </c>
      <c r="H4" s="1">
        <v>120000000</v>
      </c>
      <c r="I4" s="1">
        <f t="shared" si="1"/>
        <v>3300000000</v>
      </c>
      <c r="K4" s="1" t="s">
        <v>7</v>
      </c>
      <c r="L4" s="1">
        <v>26</v>
      </c>
      <c r="M4" s="1">
        <v>141746000</v>
      </c>
      <c r="N4" s="1">
        <f t="shared" si="2"/>
        <v>3685396000</v>
      </c>
      <c r="P4" s="1" t="s">
        <v>5</v>
      </c>
      <c r="Q4" s="1">
        <v>28</v>
      </c>
      <c r="R4" s="1">
        <v>128860000</v>
      </c>
      <c r="S4" s="1">
        <f>Q4*R4</f>
        <v>3608080000</v>
      </c>
    </row>
    <row r="5" spans="1:19">
      <c r="A5" s="1" t="s">
        <v>5</v>
      </c>
      <c r="B5" s="1">
        <v>25</v>
      </c>
      <c r="C5" s="1">
        <v>128860000</v>
      </c>
      <c r="D5" s="1">
        <f t="shared" si="0"/>
        <v>3221500000</v>
      </c>
      <c r="F5" s="1" t="s">
        <v>4</v>
      </c>
      <c r="G5" s="1">
        <v>14.25</v>
      </c>
      <c r="H5" s="1">
        <v>200850000</v>
      </c>
      <c r="I5" s="1">
        <f t="shared" si="1"/>
        <v>2862112500</v>
      </c>
      <c r="K5" s="1" t="s">
        <v>6</v>
      </c>
      <c r="L5" s="1">
        <v>25</v>
      </c>
      <c r="M5" s="1">
        <v>120000000</v>
      </c>
      <c r="N5" s="1">
        <f t="shared" si="2"/>
        <v>3000000000</v>
      </c>
      <c r="P5" s="1" t="s">
        <v>6</v>
      </c>
      <c r="Q5" s="1">
        <v>27.5</v>
      </c>
      <c r="R5" s="1">
        <v>120000000</v>
      </c>
      <c r="S5" s="1">
        <f t="shared" ref="S5:S7" si="3">Q5*R5</f>
        <v>3300000000</v>
      </c>
    </row>
    <row r="6" spans="1:19">
      <c r="A6" s="1" t="s">
        <v>8</v>
      </c>
      <c r="B6" s="1">
        <v>9</v>
      </c>
      <c r="C6" s="1">
        <v>71630000</v>
      </c>
      <c r="D6" s="1">
        <f t="shared" si="0"/>
        <v>644670000</v>
      </c>
      <c r="F6" s="1" t="s">
        <v>9</v>
      </c>
      <c r="G6" s="1">
        <v>27</v>
      </c>
      <c r="H6" s="1">
        <v>55253000</v>
      </c>
      <c r="I6" s="1">
        <f t="shared" si="1"/>
        <v>1491831000</v>
      </c>
      <c r="K6" s="1" t="s">
        <v>9</v>
      </c>
      <c r="L6" s="1">
        <v>37.9</v>
      </c>
      <c r="M6" s="1">
        <v>55253000</v>
      </c>
      <c r="N6" s="1">
        <f t="shared" si="2"/>
        <v>2094088700</v>
      </c>
      <c r="P6" s="1" t="s">
        <v>4</v>
      </c>
      <c r="Q6" s="1">
        <v>14.25</v>
      </c>
      <c r="R6" s="1">
        <v>200850000</v>
      </c>
      <c r="S6" s="1">
        <f t="shared" si="3"/>
        <v>2862112500</v>
      </c>
    </row>
    <row r="7" spans="1:19">
      <c r="A7" s="1" t="s">
        <v>9</v>
      </c>
      <c r="B7" s="1">
        <v>10</v>
      </c>
      <c r="C7" s="1">
        <v>55253000</v>
      </c>
      <c r="D7" s="1">
        <f t="shared" si="0"/>
        <v>552530000</v>
      </c>
      <c r="F7" s="3" t="s">
        <v>8</v>
      </c>
      <c r="G7" s="3">
        <v>18</v>
      </c>
      <c r="H7" s="3">
        <v>71630000</v>
      </c>
      <c r="I7" s="3">
        <f t="shared" si="1"/>
        <v>1289340000</v>
      </c>
      <c r="K7" s="2" t="s">
        <v>10</v>
      </c>
      <c r="L7" s="2">
        <v>6</v>
      </c>
      <c r="M7" s="2">
        <v>309775000</v>
      </c>
      <c r="N7" s="2">
        <f t="shared" si="2"/>
        <v>1858650000</v>
      </c>
      <c r="P7" s="1" t="s">
        <v>9</v>
      </c>
      <c r="Q7" s="1">
        <v>27</v>
      </c>
      <c r="R7" s="1">
        <v>55253000</v>
      </c>
      <c r="S7" s="1">
        <f t="shared" si="3"/>
        <v>1491831000</v>
      </c>
    </row>
    <row r="8" spans="1:19">
      <c r="A8" t="s">
        <v>11</v>
      </c>
      <c r="B8">
        <v>5</v>
      </c>
      <c r="C8">
        <v>81777000</v>
      </c>
      <c r="D8">
        <f t="shared" si="0"/>
        <v>408885000</v>
      </c>
      <c r="F8" t="s">
        <v>11</v>
      </c>
      <c r="G8">
        <v>5</v>
      </c>
      <c r="H8">
        <v>81777000</v>
      </c>
      <c r="I8">
        <f t="shared" si="1"/>
        <v>408885000</v>
      </c>
      <c r="K8" t="s">
        <v>8</v>
      </c>
      <c r="L8">
        <v>23</v>
      </c>
      <c r="M8">
        <v>71630000</v>
      </c>
      <c r="N8">
        <f t="shared" si="2"/>
        <v>1647490000</v>
      </c>
      <c r="P8" t="s">
        <v>11</v>
      </c>
      <c r="Q8">
        <v>5</v>
      </c>
      <c r="R8">
        <v>81777000</v>
      </c>
      <c r="S8">
        <f t="shared" ref="S8" si="4">Q8*R8</f>
        <v>408885000</v>
      </c>
    </row>
    <row r="9" spans="1:19">
      <c r="A9" t="s">
        <v>12</v>
      </c>
      <c r="B9">
        <v>9.25</v>
      </c>
      <c r="C9">
        <v>40000000</v>
      </c>
      <c r="D9">
        <f t="shared" si="0"/>
        <v>370000000</v>
      </c>
      <c r="F9" t="s">
        <v>12</v>
      </c>
      <c r="G9">
        <v>9.25</v>
      </c>
      <c r="H9">
        <v>40000000</v>
      </c>
      <c r="I9">
        <f t="shared" si="1"/>
        <v>370000000</v>
      </c>
      <c r="K9" t="s">
        <v>12</v>
      </c>
      <c r="L9">
        <v>9.25</v>
      </c>
      <c r="M9">
        <v>40000000</v>
      </c>
      <c r="N9">
        <f t="shared" si="2"/>
        <v>370000000</v>
      </c>
    </row>
    <row r="10" spans="1:19">
      <c r="A10" t="s">
        <v>13</v>
      </c>
      <c r="B10">
        <v>3</v>
      </c>
      <c r="C10">
        <v>122002000</v>
      </c>
      <c r="D10">
        <f t="shared" si="0"/>
        <v>366006000</v>
      </c>
      <c r="F10" t="s">
        <v>13</v>
      </c>
      <c r="G10">
        <v>2.5</v>
      </c>
      <c r="H10">
        <v>122002000</v>
      </c>
      <c r="I10">
        <f t="shared" si="1"/>
        <v>305005000</v>
      </c>
      <c r="K10" t="s">
        <v>13</v>
      </c>
      <c r="L10">
        <v>2.25</v>
      </c>
      <c r="M10">
        <v>122002000</v>
      </c>
      <c r="N10">
        <f t="shared" si="2"/>
        <v>274504500</v>
      </c>
    </row>
    <row r="11" spans="1:19">
      <c r="A11" t="s">
        <v>14</v>
      </c>
      <c r="B11">
        <v>4.4000000000000004</v>
      </c>
      <c r="C11">
        <v>42000000</v>
      </c>
      <c r="D11">
        <f t="shared" si="0"/>
        <v>184800000.00000003</v>
      </c>
      <c r="F11" t="s">
        <v>14</v>
      </c>
      <c r="G11">
        <v>4.4000000000000004</v>
      </c>
      <c r="H11">
        <v>42000000</v>
      </c>
      <c r="I11">
        <f t="shared" si="1"/>
        <v>184800000.00000003</v>
      </c>
      <c r="K11" t="s">
        <v>15</v>
      </c>
      <c r="L11">
        <v>3</v>
      </c>
      <c r="M11">
        <v>56902000</v>
      </c>
      <c r="N11">
        <f t="shared" si="2"/>
        <v>170706000</v>
      </c>
    </row>
    <row r="12" spans="1:19">
      <c r="A12" t="s">
        <v>15</v>
      </c>
      <c r="B12">
        <v>2.65</v>
      </c>
      <c r="C12">
        <v>56902000</v>
      </c>
      <c r="D12">
        <f t="shared" si="0"/>
        <v>150790300</v>
      </c>
      <c r="F12" t="s">
        <v>15</v>
      </c>
      <c r="G12">
        <v>3</v>
      </c>
      <c r="H12">
        <v>56902000</v>
      </c>
      <c r="I12">
        <f t="shared" si="1"/>
        <v>170706000</v>
      </c>
      <c r="K12" t="s">
        <v>16</v>
      </c>
      <c r="L12">
        <v>7.25</v>
      </c>
      <c r="M12">
        <v>20000000</v>
      </c>
      <c r="N12">
        <f t="shared" si="2"/>
        <v>145000000</v>
      </c>
    </row>
    <row r="13" spans="1:19">
      <c r="A13" t="s">
        <v>16</v>
      </c>
      <c r="B13">
        <v>7.25</v>
      </c>
      <c r="C13">
        <v>20000000</v>
      </c>
      <c r="D13">
        <f t="shared" si="0"/>
        <v>145000000</v>
      </c>
      <c r="F13" t="s">
        <v>17</v>
      </c>
      <c r="G13">
        <v>6.5</v>
      </c>
      <c r="H13">
        <v>22392000</v>
      </c>
      <c r="I13">
        <f t="shared" si="1"/>
        <v>145548000</v>
      </c>
      <c r="K13" t="s">
        <v>14</v>
      </c>
      <c r="L13">
        <v>3</v>
      </c>
      <c r="M13">
        <v>42000000</v>
      </c>
      <c r="N13">
        <f t="shared" si="2"/>
        <v>126000000</v>
      </c>
    </row>
    <row r="14" spans="1:19">
      <c r="A14" t="s">
        <v>18</v>
      </c>
      <c r="B14">
        <v>6</v>
      </c>
      <c r="C14">
        <v>17718000</v>
      </c>
      <c r="D14">
        <f t="shared" si="0"/>
        <v>106308000</v>
      </c>
      <c r="F14" t="s">
        <v>16</v>
      </c>
      <c r="G14">
        <v>7.25</v>
      </c>
      <c r="H14">
        <v>20000000</v>
      </c>
      <c r="I14">
        <f t="shared" si="1"/>
        <v>145000000</v>
      </c>
      <c r="K14" t="s">
        <v>18</v>
      </c>
      <c r="L14">
        <v>5.2</v>
      </c>
      <c r="M14">
        <v>17718000</v>
      </c>
      <c r="N14">
        <f t="shared" si="2"/>
        <v>92133600</v>
      </c>
    </row>
    <row r="15" spans="1:19">
      <c r="A15" t="s">
        <v>17</v>
      </c>
      <c r="B15">
        <v>4</v>
      </c>
      <c r="C15">
        <v>22392000</v>
      </c>
      <c r="D15">
        <f t="shared" si="0"/>
        <v>89568000</v>
      </c>
      <c r="F15" t="s">
        <v>18</v>
      </c>
      <c r="G15">
        <v>5.2</v>
      </c>
      <c r="H15">
        <v>17718000</v>
      </c>
      <c r="I15">
        <f t="shared" si="1"/>
        <v>92133600</v>
      </c>
      <c r="K15" t="s">
        <v>19</v>
      </c>
      <c r="L15">
        <v>1.85</v>
      </c>
      <c r="M15">
        <v>43884000</v>
      </c>
      <c r="N15">
        <f t="shared" si="2"/>
        <v>81185400</v>
      </c>
    </row>
    <row r="16" spans="1:19">
      <c r="A16" t="s">
        <v>20</v>
      </c>
      <c r="B16">
        <v>1.1000000000000001</v>
      </c>
      <c r="C16">
        <v>60000000</v>
      </c>
      <c r="D16">
        <f t="shared" si="0"/>
        <v>66000000.000000007</v>
      </c>
      <c r="F16" t="s">
        <v>20</v>
      </c>
      <c r="G16">
        <v>0.95</v>
      </c>
      <c r="H16">
        <v>60000000</v>
      </c>
      <c r="I16">
        <f t="shared" si="1"/>
        <v>57000000</v>
      </c>
      <c r="K16" t="s">
        <v>17</v>
      </c>
      <c r="L16">
        <v>3.5</v>
      </c>
      <c r="M16">
        <v>22392000</v>
      </c>
      <c r="N16">
        <f t="shared" si="2"/>
        <v>78372000</v>
      </c>
    </row>
    <row r="17" spans="1:17">
      <c r="A17" t="s">
        <v>19</v>
      </c>
      <c r="B17">
        <v>1.1499999999999999</v>
      </c>
      <c r="C17">
        <v>43884000</v>
      </c>
      <c r="D17">
        <f t="shared" si="0"/>
        <v>50466599.999999993</v>
      </c>
      <c r="F17" t="s">
        <v>19</v>
      </c>
      <c r="G17">
        <v>1</v>
      </c>
      <c r="H17">
        <v>43884000</v>
      </c>
      <c r="I17">
        <f t="shared" si="1"/>
        <v>43884000</v>
      </c>
      <c r="K17" t="s">
        <v>21</v>
      </c>
      <c r="L17">
        <v>0.9</v>
      </c>
      <c r="M17">
        <v>42500000</v>
      </c>
      <c r="N17">
        <f t="shared" si="2"/>
        <v>38250000</v>
      </c>
    </row>
    <row r="18" spans="1:17">
      <c r="A18" t="s">
        <v>21</v>
      </c>
      <c r="B18">
        <v>0.9</v>
      </c>
      <c r="C18">
        <v>42500000</v>
      </c>
      <c r="D18">
        <f t="shared" si="0"/>
        <v>38250000</v>
      </c>
      <c r="F18" t="s">
        <v>21</v>
      </c>
      <c r="G18">
        <v>0.9</v>
      </c>
      <c r="H18">
        <v>42500000</v>
      </c>
      <c r="I18">
        <f t="shared" si="1"/>
        <v>38250000</v>
      </c>
      <c r="K18" t="s">
        <v>20</v>
      </c>
      <c r="L18">
        <v>0.6</v>
      </c>
      <c r="M18">
        <v>60000000</v>
      </c>
      <c r="N18">
        <f t="shared" si="2"/>
        <v>36000000</v>
      </c>
    </row>
    <row r="20" spans="1:17">
      <c r="A20" s="4" t="s">
        <v>25</v>
      </c>
      <c r="B20" s="4" t="s">
        <v>23</v>
      </c>
      <c r="F20" t="s">
        <v>22</v>
      </c>
      <c r="K20" t="s">
        <v>27</v>
      </c>
      <c r="P20" t="s">
        <v>28</v>
      </c>
    </row>
    <row r="21" spans="1:17">
      <c r="A21" t="s">
        <v>3</v>
      </c>
      <c r="B21">
        <f>SUM(D3:D7)</f>
        <v>11815275000</v>
      </c>
      <c r="F21" t="s">
        <v>3</v>
      </c>
      <c r="G21">
        <f>SUM(I3:I7)</f>
        <v>12551363500</v>
      </c>
      <c r="K21" t="s">
        <v>3</v>
      </c>
      <c r="L21">
        <f>SUM(N3:N7)</f>
        <v>14655134700</v>
      </c>
      <c r="P21" t="s">
        <v>3</v>
      </c>
      <c r="Q21">
        <f>SUM(S4:S8)</f>
        <v>11670908500</v>
      </c>
    </row>
    <row r="22" spans="1:17">
      <c r="A22" t="s">
        <v>24</v>
      </c>
      <c r="B22">
        <f>B21/B21*1000</f>
        <v>1000</v>
      </c>
      <c r="F22" t="s">
        <v>22</v>
      </c>
      <c r="G22">
        <f>G21/B21*1000</f>
        <v>1062.2997348770978</v>
      </c>
      <c r="K22" t="s">
        <v>27</v>
      </c>
      <c r="L22">
        <f>L21/Q21*1000</f>
        <v>1255.6978490577662</v>
      </c>
    </row>
    <row r="23" spans="1:17">
      <c r="F23" t="s">
        <v>26</v>
      </c>
      <c r="G23" s="5">
        <f>G22/B22-1</f>
        <v>6.2299734877097723E-2</v>
      </c>
      <c r="K23" t="s">
        <v>26</v>
      </c>
      <c r="L23" s="5">
        <f>L22/G22-1</f>
        <v>0.18205606932872254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Sector Leaders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Naeemullah Khan</dc:creator>
  <cp:lastModifiedBy>PMLS</cp:lastModifiedBy>
  <dcterms:created xsi:type="dcterms:W3CDTF">2025-11-22T03:03:16Z</dcterms:created>
  <dcterms:modified xsi:type="dcterms:W3CDTF">2026-01-03T17:54:44Z</dcterms:modified>
</cp:coreProperties>
</file>