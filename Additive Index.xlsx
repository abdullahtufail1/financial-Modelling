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8_{3DEF3777-C4ED-4799-9184-59CCB85373D0}" xr6:coauthVersionLast="47" xr6:coauthVersionMax="47" xr10:uidLastSave="{00000000-0000-0000-0000-000000000000}"/>
  <bookViews>
    <workbookView xWindow="-120" yWindow="-120" windowWidth="20730" windowHeight="11160" xr2:uid="{B9DC4F94-9BEF-4F91-B38E-DE48564929C8}"/>
  </bookViews>
  <sheets>
    <sheet name="Additive Index" sheetId="1" r:id="rId1"/>
  </sheets>
  <definedNames>
    <definedName name="_xlnm._FilterDatabase" localSheetId="0" hidden="1">'Additive Index'!$A$1:$X$1387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387" i="1" l="1"/>
  <c r="X1387" i="1" s="1"/>
  <c r="W1387" i="1" a="1"/>
  <c r="R1387" i="1"/>
  <c r="Q1387" i="1"/>
  <c r="W1386" i="1"/>
  <c r="X1386" i="1" s="1"/>
  <c r="W1386" i="1" a="1"/>
  <c r="R1386" i="1"/>
  <c r="Q1386" i="1"/>
  <c r="W1385" i="1"/>
  <c r="W1385" i="1" a="1"/>
  <c r="R1385" i="1"/>
  <c r="Q1385" i="1"/>
  <c r="X1385" i="1" s="1"/>
  <c r="W1384" i="1"/>
  <c r="W1384" i="1" a="1"/>
  <c r="Q1384" i="1"/>
  <c r="R1384" i="1" s="1"/>
  <c r="W1383" i="1"/>
  <c r="W1383" i="1" a="1"/>
  <c r="Q1383" i="1"/>
  <c r="X1383" i="1" s="1"/>
  <c r="W1382" i="1"/>
  <c r="W1382" i="1" a="1"/>
  <c r="Q1382" i="1"/>
  <c r="R1382" i="1" s="1"/>
  <c r="W1381" i="1"/>
  <c r="W1381" i="1" a="1"/>
  <c r="Q1381" i="1"/>
  <c r="X1381" i="1" s="1"/>
  <c r="W1380" i="1"/>
  <c r="W1380" i="1" a="1"/>
  <c r="Q1380" i="1"/>
  <c r="R1380" i="1" s="1"/>
  <c r="W1379" i="1"/>
  <c r="W1379" i="1" a="1"/>
  <c r="Q1379" i="1"/>
  <c r="R1379" i="1" s="1"/>
  <c r="W1378" i="1" a="1"/>
  <c r="W1378" i="1" s="1"/>
  <c r="X1378" i="1" s="1"/>
  <c r="Q1378" i="1"/>
  <c r="R1378" i="1" s="1"/>
  <c r="W1377" i="1" a="1"/>
  <c r="W1377" i="1" s="1"/>
  <c r="Q1377" i="1"/>
  <c r="R1377" i="1" s="1"/>
  <c r="W1376" i="1" a="1"/>
  <c r="W1376" i="1" s="1"/>
  <c r="Q1376" i="1"/>
  <c r="W1375" i="1" a="1"/>
  <c r="W1375" i="1" s="1"/>
  <c r="R1375" i="1"/>
  <c r="Q1375" i="1"/>
  <c r="X1375" i="1" s="1"/>
  <c r="W1374" i="1"/>
  <c r="W1374" i="1" a="1"/>
  <c r="R1374" i="1"/>
  <c r="Q1374" i="1"/>
  <c r="X1374" i="1" s="1"/>
  <c r="W1373" i="1"/>
  <c r="W1373" i="1" a="1"/>
  <c r="R1373" i="1"/>
  <c r="Q1373" i="1"/>
  <c r="X1373" i="1" s="1"/>
  <c r="W1372" i="1"/>
  <c r="W1372" i="1" a="1"/>
  <c r="R1372" i="1"/>
  <c r="Q1372" i="1"/>
  <c r="X1372" i="1" s="1"/>
  <c r="W1371" i="1"/>
  <c r="W1371" i="1" a="1"/>
  <c r="Q1371" i="1"/>
  <c r="X1371" i="1" s="1"/>
  <c r="W1370" i="1"/>
  <c r="W1370" i="1" a="1"/>
  <c r="Q1370" i="1"/>
  <c r="R1370" i="1" s="1"/>
  <c r="W1369" i="1"/>
  <c r="W1369" i="1" a="1"/>
  <c r="Q1369" i="1"/>
  <c r="X1369" i="1" s="1"/>
  <c r="W1368" i="1"/>
  <c r="W1368" i="1" a="1"/>
  <c r="Q1368" i="1"/>
  <c r="R1368" i="1" s="1"/>
  <c r="W1367" i="1"/>
  <c r="W1367" i="1" a="1"/>
  <c r="Q1367" i="1"/>
  <c r="R1367" i="1" s="1"/>
  <c r="X1366" i="1"/>
  <c r="W1366" i="1"/>
  <c r="W1366" i="1" a="1"/>
  <c r="Q1366" i="1"/>
  <c r="R1366" i="1" s="1"/>
  <c r="W1365" i="1"/>
  <c r="W1365" i="1" a="1"/>
  <c r="Q1365" i="1"/>
  <c r="R1365" i="1" s="1"/>
  <c r="W1364" i="1" a="1"/>
  <c r="W1364" i="1" s="1"/>
  <c r="Q1364" i="1"/>
  <c r="X1364" i="1" s="1"/>
  <c r="W1363" i="1" a="1"/>
  <c r="W1363" i="1" s="1"/>
  <c r="R1363" i="1"/>
  <c r="Q1363" i="1"/>
  <c r="X1363" i="1" s="1"/>
  <c r="W1362" i="1"/>
  <c r="W1362" i="1" a="1"/>
  <c r="R1362" i="1"/>
  <c r="Q1362" i="1"/>
  <c r="X1362" i="1" s="1"/>
  <c r="W1361" i="1"/>
  <c r="W1361" i="1" a="1"/>
  <c r="R1361" i="1"/>
  <c r="Q1361" i="1"/>
  <c r="X1361" i="1" s="1"/>
  <c r="W1360" i="1"/>
  <c r="W1360" i="1" a="1"/>
  <c r="R1360" i="1"/>
  <c r="Q1360" i="1"/>
  <c r="X1360" i="1" s="1"/>
  <c r="W1359" i="1"/>
  <c r="W1359" i="1" a="1"/>
  <c r="Q1359" i="1"/>
  <c r="X1359" i="1" s="1"/>
  <c r="W1358" i="1"/>
  <c r="W1358" i="1" a="1"/>
  <c r="Q1358" i="1"/>
  <c r="R1358" i="1" s="1"/>
  <c r="W1357" i="1"/>
  <c r="W1357" i="1" a="1"/>
  <c r="Q1357" i="1"/>
  <c r="X1357" i="1" s="1"/>
  <c r="W1356" i="1"/>
  <c r="W1356" i="1" a="1"/>
  <c r="Q1356" i="1"/>
  <c r="R1356" i="1" s="1"/>
  <c r="W1355" i="1"/>
  <c r="W1355" i="1" a="1"/>
  <c r="Q1355" i="1"/>
  <c r="R1355" i="1" s="1"/>
  <c r="X1354" i="1"/>
  <c r="W1354" i="1"/>
  <c r="W1354" i="1" a="1"/>
  <c r="Q1354" i="1"/>
  <c r="R1354" i="1" s="1"/>
  <c r="X1353" i="1"/>
  <c r="W1353" i="1"/>
  <c r="W1353" i="1" a="1"/>
  <c r="R1353" i="1"/>
  <c r="Q1353" i="1"/>
  <c r="W1352" i="1" a="1"/>
  <c r="W1352" i="1" s="1"/>
  <c r="Q1352" i="1"/>
  <c r="X1352" i="1" s="1"/>
  <c r="W1351" i="1" a="1"/>
  <c r="W1351" i="1" s="1"/>
  <c r="R1351" i="1"/>
  <c r="Q1351" i="1"/>
  <c r="X1351" i="1" s="1"/>
  <c r="W1350" i="1"/>
  <c r="W1350" i="1" a="1"/>
  <c r="R1350" i="1"/>
  <c r="Q1350" i="1"/>
  <c r="X1350" i="1" s="1"/>
  <c r="W1349" i="1"/>
  <c r="W1349" i="1" a="1"/>
  <c r="R1349" i="1"/>
  <c r="Q1349" i="1"/>
  <c r="X1349" i="1" s="1"/>
  <c r="W1348" i="1"/>
  <c r="W1348" i="1" a="1"/>
  <c r="R1348" i="1"/>
  <c r="Q1348" i="1"/>
  <c r="X1348" i="1" s="1"/>
  <c r="W1347" i="1"/>
  <c r="W1347" i="1" a="1"/>
  <c r="Q1347" i="1"/>
  <c r="X1347" i="1" s="1"/>
  <c r="W1346" i="1"/>
  <c r="W1346" i="1" a="1"/>
  <c r="Q1346" i="1"/>
  <c r="R1346" i="1" s="1"/>
  <c r="W1345" i="1"/>
  <c r="W1345" i="1" a="1"/>
  <c r="Q1345" i="1"/>
  <c r="X1345" i="1" s="1"/>
  <c r="W1344" i="1"/>
  <c r="W1344" i="1" a="1"/>
  <c r="Q1344" i="1"/>
  <c r="R1344" i="1" s="1"/>
  <c r="W1343" i="1"/>
  <c r="W1343" i="1" a="1"/>
  <c r="Q1343" i="1"/>
  <c r="R1343" i="1" s="1"/>
  <c r="X1342" i="1"/>
  <c r="W1342" i="1"/>
  <c r="W1342" i="1" a="1"/>
  <c r="Q1342" i="1"/>
  <c r="R1342" i="1" s="1"/>
  <c r="X1341" i="1"/>
  <c r="W1341" i="1"/>
  <c r="W1341" i="1" a="1"/>
  <c r="R1341" i="1"/>
  <c r="Q1341" i="1"/>
  <c r="W1340" i="1" a="1"/>
  <c r="W1340" i="1" s="1"/>
  <c r="Q1340" i="1"/>
  <c r="X1340" i="1" s="1"/>
  <c r="W1339" i="1" a="1"/>
  <c r="W1339" i="1" s="1"/>
  <c r="R1339" i="1"/>
  <c r="Q1339" i="1"/>
  <c r="W1338" i="1"/>
  <c r="W1338" i="1" a="1"/>
  <c r="R1338" i="1"/>
  <c r="Q1338" i="1"/>
  <c r="X1338" i="1" s="1"/>
  <c r="W1337" i="1"/>
  <c r="W1337" i="1" a="1"/>
  <c r="R1337" i="1"/>
  <c r="Q1337" i="1"/>
  <c r="X1337" i="1" s="1"/>
  <c r="W1336" i="1"/>
  <c r="W1336" i="1" a="1"/>
  <c r="R1336" i="1"/>
  <c r="Q1336" i="1"/>
  <c r="X1336" i="1" s="1"/>
  <c r="W1335" i="1"/>
  <c r="W1335" i="1" a="1"/>
  <c r="Q1335" i="1"/>
  <c r="X1335" i="1" s="1"/>
  <c r="W1334" i="1"/>
  <c r="W1334" i="1" a="1"/>
  <c r="Q1334" i="1"/>
  <c r="R1334" i="1" s="1"/>
  <c r="W1333" i="1"/>
  <c r="W1333" i="1" a="1"/>
  <c r="Q1333" i="1"/>
  <c r="X1333" i="1" s="1"/>
  <c r="W1332" i="1"/>
  <c r="W1332" i="1" a="1"/>
  <c r="Q1332" i="1"/>
  <c r="R1332" i="1" s="1"/>
  <c r="W1331" i="1"/>
  <c r="W1331" i="1" a="1"/>
  <c r="Q1331" i="1"/>
  <c r="R1331" i="1" s="1"/>
  <c r="X1330" i="1"/>
  <c r="W1330" i="1"/>
  <c r="W1330" i="1" a="1"/>
  <c r="Q1330" i="1"/>
  <c r="R1330" i="1" s="1"/>
  <c r="X1329" i="1"/>
  <c r="W1329" i="1"/>
  <c r="W1329" i="1" a="1"/>
  <c r="R1329" i="1"/>
  <c r="Q1329" i="1"/>
  <c r="W1328" i="1" a="1"/>
  <c r="W1328" i="1" s="1"/>
  <c r="Q1328" i="1"/>
  <c r="X1328" i="1" s="1"/>
  <c r="W1327" i="1" a="1"/>
  <c r="W1327" i="1" s="1"/>
  <c r="R1327" i="1"/>
  <c r="Q1327" i="1"/>
  <c r="W1326" i="1"/>
  <c r="W1326" i="1" a="1"/>
  <c r="R1326" i="1"/>
  <c r="Q1326" i="1"/>
  <c r="X1326" i="1" s="1"/>
  <c r="W1325" i="1"/>
  <c r="W1325" i="1" a="1"/>
  <c r="R1325" i="1"/>
  <c r="Q1325" i="1"/>
  <c r="X1325" i="1" s="1"/>
  <c r="W1324" i="1"/>
  <c r="W1324" i="1" a="1"/>
  <c r="R1324" i="1"/>
  <c r="Q1324" i="1"/>
  <c r="X1324" i="1" s="1"/>
  <c r="W1323" i="1"/>
  <c r="W1323" i="1" a="1"/>
  <c r="Q1323" i="1"/>
  <c r="W1322" i="1"/>
  <c r="W1322" i="1" a="1"/>
  <c r="Q1322" i="1"/>
  <c r="W1321" i="1"/>
  <c r="W1321" i="1" a="1"/>
  <c r="Q1321" i="1"/>
  <c r="R1321" i="1" s="1"/>
  <c r="W1320" i="1"/>
  <c r="W1320" i="1" a="1"/>
  <c r="Q1320" i="1"/>
  <c r="R1320" i="1" s="1"/>
  <c r="W1319" i="1" a="1"/>
  <c r="W1319" i="1" s="1"/>
  <c r="R1319" i="1"/>
  <c r="Q1319" i="1"/>
  <c r="W1318" i="1"/>
  <c r="X1318" i="1" s="1"/>
  <c r="W1318" i="1" a="1"/>
  <c r="R1318" i="1"/>
  <c r="Q1318" i="1"/>
  <c r="W1317" i="1"/>
  <c r="W1317" i="1" a="1"/>
  <c r="Q1317" i="1"/>
  <c r="R1317" i="1" s="1"/>
  <c r="W1316" i="1"/>
  <c r="W1316" i="1" a="1"/>
  <c r="Q1316" i="1"/>
  <c r="R1316" i="1" s="1"/>
  <c r="W1315" i="1"/>
  <c r="W1315" i="1" a="1"/>
  <c r="Q1315" i="1"/>
  <c r="R1315" i="1" s="1"/>
  <c r="W1314" i="1"/>
  <c r="W1314" i="1" a="1"/>
  <c r="Q1314" i="1"/>
  <c r="X1314" i="1" s="1"/>
  <c r="W1313" i="1"/>
  <c r="W1313" i="1" a="1"/>
  <c r="Q1313" i="1"/>
  <c r="R1313" i="1" s="1"/>
  <c r="W1312" i="1"/>
  <c r="W1312" i="1" a="1"/>
  <c r="Q1312" i="1"/>
  <c r="X1312" i="1" s="1"/>
  <c r="W1311" i="1"/>
  <c r="X1311" i="1" s="1"/>
  <c r="W1311" i="1" a="1"/>
  <c r="Q1311" i="1"/>
  <c r="R1311" i="1" s="1"/>
  <c r="W1310" i="1"/>
  <c r="W1310" i="1" a="1"/>
  <c r="R1310" i="1"/>
  <c r="Q1310" i="1"/>
  <c r="X1310" i="1" s="1"/>
  <c r="W1309" i="1" a="1"/>
  <c r="W1309" i="1" s="1"/>
  <c r="Q1309" i="1"/>
  <c r="R1309" i="1" s="1"/>
  <c r="W1308" i="1"/>
  <c r="W1308" i="1" a="1"/>
  <c r="R1308" i="1"/>
  <c r="Q1308" i="1"/>
  <c r="X1308" i="1" s="1"/>
  <c r="W1307" i="1"/>
  <c r="W1307" i="1" a="1"/>
  <c r="R1307" i="1"/>
  <c r="Q1307" i="1"/>
  <c r="X1307" i="1" s="1"/>
  <c r="W1306" i="1"/>
  <c r="X1306" i="1" s="1"/>
  <c r="W1306" i="1" a="1"/>
  <c r="R1306" i="1"/>
  <c r="Q1306" i="1"/>
  <c r="W1305" i="1"/>
  <c r="W1305" i="1" a="1"/>
  <c r="R1305" i="1"/>
  <c r="Q1305" i="1"/>
  <c r="X1305" i="1" s="1"/>
  <c r="W1304" i="1"/>
  <c r="W1304" i="1" a="1"/>
  <c r="Q1304" i="1"/>
  <c r="R1304" i="1" s="1"/>
  <c r="W1303" i="1"/>
  <c r="W1303" i="1" a="1"/>
  <c r="Q1303" i="1"/>
  <c r="R1303" i="1" s="1"/>
  <c r="W1302" i="1"/>
  <c r="W1302" i="1" a="1"/>
  <c r="Q1302" i="1"/>
  <c r="X1302" i="1" s="1"/>
  <c r="W1301" i="1"/>
  <c r="W1301" i="1" a="1"/>
  <c r="Q1301" i="1"/>
  <c r="R1301" i="1" s="1"/>
  <c r="W1300" i="1"/>
  <c r="W1300" i="1" a="1"/>
  <c r="Q1300" i="1"/>
  <c r="X1300" i="1" s="1"/>
  <c r="W1299" i="1"/>
  <c r="X1299" i="1" s="1"/>
  <c r="W1299" i="1" a="1"/>
  <c r="Q1299" i="1"/>
  <c r="R1299" i="1" s="1"/>
  <c r="W1298" i="1"/>
  <c r="W1298" i="1" a="1"/>
  <c r="R1298" i="1"/>
  <c r="Q1298" i="1"/>
  <c r="X1298" i="1" s="1"/>
  <c r="W1297" i="1" a="1"/>
  <c r="W1297" i="1" s="1"/>
  <c r="Q1297" i="1"/>
  <c r="R1297" i="1" s="1"/>
  <c r="W1296" i="1"/>
  <c r="W1296" i="1" a="1"/>
  <c r="R1296" i="1"/>
  <c r="Q1296" i="1"/>
  <c r="X1296" i="1" s="1"/>
  <c r="W1295" i="1"/>
  <c r="W1295" i="1" a="1"/>
  <c r="R1295" i="1"/>
  <c r="Q1295" i="1"/>
  <c r="X1295" i="1" s="1"/>
  <c r="W1294" i="1"/>
  <c r="X1294" i="1" s="1"/>
  <c r="W1294" i="1" a="1"/>
  <c r="R1294" i="1"/>
  <c r="Q1294" i="1"/>
  <c r="W1293" i="1"/>
  <c r="W1293" i="1" a="1"/>
  <c r="R1293" i="1"/>
  <c r="Q1293" i="1"/>
  <c r="X1293" i="1" s="1"/>
  <c r="W1292" i="1"/>
  <c r="W1292" i="1" a="1"/>
  <c r="Q1292" i="1"/>
  <c r="R1292" i="1" s="1"/>
  <c r="W1291" i="1"/>
  <c r="W1291" i="1" a="1"/>
  <c r="Q1291" i="1"/>
  <c r="R1291" i="1" s="1"/>
  <c r="W1290" i="1"/>
  <c r="W1290" i="1" a="1"/>
  <c r="Q1290" i="1"/>
  <c r="X1290" i="1" s="1"/>
  <c r="W1289" i="1"/>
  <c r="W1289" i="1" a="1"/>
  <c r="Q1289" i="1"/>
  <c r="R1289" i="1" s="1"/>
  <c r="W1288" i="1"/>
  <c r="W1288" i="1" a="1"/>
  <c r="Q1288" i="1"/>
  <c r="X1288" i="1" s="1"/>
  <c r="W1287" i="1"/>
  <c r="X1287" i="1" s="1"/>
  <c r="W1287" i="1" a="1"/>
  <c r="Q1287" i="1"/>
  <c r="R1287" i="1" s="1"/>
  <c r="W1286" i="1"/>
  <c r="W1286" i="1" a="1"/>
  <c r="R1286" i="1"/>
  <c r="Q1286" i="1"/>
  <c r="X1286" i="1" s="1"/>
  <c r="W1285" i="1" a="1"/>
  <c r="W1285" i="1" s="1"/>
  <c r="Q1285" i="1"/>
  <c r="R1285" i="1" s="1"/>
  <c r="W1284" i="1"/>
  <c r="W1284" i="1" a="1"/>
  <c r="R1284" i="1"/>
  <c r="Q1284" i="1"/>
  <c r="X1284" i="1" s="1"/>
  <c r="W1283" i="1"/>
  <c r="W1283" i="1" a="1"/>
  <c r="R1283" i="1"/>
  <c r="Q1283" i="1"/>
  <c r="X1283" i="1" s="1"/>
  <c r="W1282" i="1"/>
  <c r="X1282" i="1" s="1"/>
  <c r="W1282" i="1" a="1"/>
  <c r="R1282" i="1"/>
  <c r="Q1282" i="1"/>
  <c r="W1281" i="1"/>
  <c r="W1281" i="1" a="1"/>
  <c r="R1281" i="1"/>
  <c r="Q1281" i="1"/>
  <c r="X1281" i="1" s="1"/>
  <c r="W1280" i="1"/>
  <c r="W1280" i="1" a="1"/>
  <c r="Q1280" i="1"/>
  <c r="R1280" i="1" s="1"/>
  <c r="W1279" i="1"/>
  <c r="W1279" i="1" a="1"/>
  <c r="Q1279" i="1"/>
  <c r="R1279" i="1" s="1"/>
  <c r="W1278" i="1"/>
  <c r="W1278" i="1" a="1"/>
  <c r="Q1278" i="1"/>
  <c r="X1278" i="1" s="1"/>
  <c r="W1277" i="1"/>
  <c r="W1277" i="1" a="1"/>
  <c r="Q1277" i="1"/>
  <c r="R1277" i="1" s="1"/>
  <c r="W1276" i="1"/>
  <c r="W1276" i="1" a="1"/>
  <c r="Q1276" i="1"/>
  <c r="X1276" i="1" s="1"/>
  <c r="W1275" i="1"/>
  <c r="X1275" i="1" s="1"/>
  <c r="W1275" i="1" a="1"/>
  <c r="Q1275" i="1"/>
  <c r="R1275" i="1" s="1"/>
  <c r="W1274" i="1"/>
  <c r="W1274" i="1" a="1"/>
  <c r="R1274" i="1"/>
  <c r="Q1274" i="1"/>
  <c r="X1274" i="1" s="1"/>
  <c r="W1273" i="1" a="1"/>
  <c r="W1273" i="1" s="1"/>
  <c r="Q1273" i="1"/>
  <c r="R1273" i="1" s="1"/>
  <c r="W1272" i="1"/>
  <c r="W1272" i="1" a="1"/>
  <c r="Q1272" i="1"/>
  <c r="R1272" i="1" s="1"/>
  <c r="W1271" i="1"/>
  <c r="W1271" i="1" a="1"/>
  <c r="R1271" i="1"/>
  <c r="Q1271" i="1"/>
  <c r="X1271" i="1" s="1"/>
  <c r="W1270" i="1"/>
  <c r="X1270" i="1" s="1"/>
  <c r="W1270" i="1" a="1"/>
  <c r="R1270" i="1"/>
  <c r="Q1270" i="1"/>
  <c r="W1269" i="1"/>
  <c r="W1269" i="1" a="1"/>
  <c r="R1269" i="1"/>
  <c r="Q1269" i="1"/>
  <c r="X1269" i="1" s="1"/>
  <c r="W1268" i="1"/>
  <c r="W1268" i="1" a="1"/>
  <c r="Q1268" i="1"/>
  <c r="R1268" i="1" s="1"/>
  <c r="W1267" i="1"/>
  <c r="W1267" i="1" a="1"/>
  <c r="Q1267" i="1"/>
  <c r="W1266" i="1"/>
  <c r="W1266" i="1" a="1"/>
  <c r="R1266" i="1"/>
  <c r="Q1266" i="1"/>
  <c r="X1266" i="1" s="1"/>
  <c r="X1265" i="1"/>
  <c r="W1265" i="1"/>
  <c r="W1265" i="1" a="1"/>
  <c r="Q1265" i="1"/>
  <c r="R1265" i="1" s="1"/>
  <c r="W1264" i="1"/>
  <c r="W1264" i="1" a="1"/>
  <c r="Q1264" i="1"/>
  <c r="W1263" i="1" a="1"/>
  <c r="W1263" i="1" s="1"/>
  <c r="X1263" i="1" s="1"/>
  <c r="Q1263" i="1"/>
  <c r="R1263" i="1" s="1"/>
  <c r="W1262" i="1"/>
  <c r="W1262" i="1" a="1"/>
  <c r="Q1262" i="1"/>
  <c r="R1262" i="1" s="1"/>
  <c r="W1261" i="1" a="1"/>
  <c r="W1261" i="1" s="1"/>
  <c r="Q1261" i="1"/>
  <c r="W1260" i="1"/>
  <c r="X1260" i="1" s="1"/>
  <c r="W1260" i="1" a="1"/>
  <c r="R1260" i="1"/>
  <c r="Q1260" i="1"/>
  <c r="W1259" i="1"/>
  <c r="W1259" i="1" a="1"/>
  <c r="Q1259" i="1"/>
  <c r="R1259" i="1" s="1"/>
  <c r="W1258" i="1" a="1"/>
  <c r="W1258" i="1" s="1"/>
  <c r="X1258" i="1" s="1"/>
  <c r="R1258" i="1"/>
  <c r="Q1258" i="1"/>
  <c r="X1257" i="1"/>
  <c r="W1257" i="1"/>
  <c r="W1257" i="1" a="1"/>
  <c r="Q1257" i="1"/>
  <c r="R1257" i="1" s="1"/>
  <c r="W1256" i="1"/>
  <c r="W1256" i="1" a="1"/>
  <c r="Q1256" i="1"/>
  <c r="R1256" i="1" s="1"/>
  <c r="W1255" i="1" a="1"/>
  <c r="W1255" i="1" s="1"/>
  <c r="R1255" i="1"/>
  <c r="Q1255" i="1"/>
  <c r="X1254" i="1"/>
  <c r="W1254" i="1"/>
  <c r="W1254" i="1" a="1"/>
  <c r="R1254" i="1"/>
  <c r="Q1254" i="1"/>
  <c r="W1253" i="1"/>
  <c r="W1253" i="1" a="1"/>
  <c r="Q1253" i="1"/>
  <c r="R1253" i="1" s="1"/>
  <c r="W1252" i="1"/>
  <c r="X1252" i="1" s="1"/>
  <c r="W1252" i="1" a="1"/>
  <c r="Q1252" i="1"/>
  <c r="R1252" i="1" s="1"/>
  <c r="X1251" i="1"/>
  <c r="W1251" i="1"/>
  <c r="W1251" i="1" a="1"/>
  <c r="Q1251" i="1"/>
  <c r="R1251" i="1" s="1"/>
  <c r="W1250" i="1"/>
  <c r="W1250" i="1" a="1"/>
  <c r="Q1250" i="1"/>
  <c r="R1250" i="1" s="1"/>
  <c r="W1249" i="1" a="1"/>
  <c r="W1249" i="1" s="1"/>
  <c r="Q1249" i="1"/>
  <c r="R1249" i="1" s="1"/>
  <c r="W1248" i="1"/>
  <c r="W1248" i="1" a="1"/>
  <c r="R1248" i="1"/>
  <c r="Q1248" i="1"/>
  <c r="X1248" i="1" s="1"/>
  <c r="W1247" i="1"/>
  <c r="W1247" i="1" a="1"/>
  <c r="Q1247" i="1"/>
  <c r="X1247" i="1" s="1"/>
  <c r="W1246" i="1" a="1"/>
  <c r="W1246" i="1" s="1"/>
  <c r="X1246" i="1" s="1"/>
  <c r="R1246" i="1"/>
  <c r="Q1246" i="1"/>
  <c r="X1245" i="1"/>
  <c r="W1245" i="1"/>
  <c r="W1245" i="1" a="1"/>
  <c r="R1245" i="1"/>
  <c r="Q1245" i="1"/>
  <c r="W1244" i="1"/>
  <c r="W1244" i="1" a="1"/>
  <c r="Q1244" i="1"/>
  <c r="R1244" i="1" s="1"/>
  <c r="W1243" i="1" a="1"/>
  <c r="W1243" i="1" s="1"/>
  <c r="X1243" i="1" s="1"/>
  <c r="R1243" i="1"/>
  <c r="Q1243" i="1"/>
  <c r="X1242" i="1"/>
  <c r="W1242" i="1"/>
  <c r="W1242" i="1" a="1"/>
  <c r="R1242" i="1"/>
  <c r="Q1242" i="1"/>
  <c r="W1241" i="1"/>
  <c r="W1241" i="1" a="1"/>
  <c r="Q1241" i="1"/>
  <c r="R1241" i="1" s="1"/>
  <c r="W1240" i="1"/>
  <c r="X1240" i="1" s="1"/>
  <c r="W1240" i="1" a="1"/>
  <c r="Q1240" i="1"/>
  <c r="R1240" i="1" s="1"/>
  <c r="X1239" i="1"/>
  <c r="W1239" i="1"/>
  <c r="W1239" i="1" a="1"/>
  <c r="Q1239" i="1"/>
  <c r="R1239" i="1" s="1"/>
  <c r="W1238" i="1"/>
  <c r="W1238" i="1" a="1"/>
  <c r="Q1238" i="1"/>
  <c r="R1238" i="1" s="1"/>
  <c r="W1237" i="1" a="1"/>
  <c r="W1237" i="1" s="1"/>
  <c r="Q1237" i="1"/>
  <c r="R1237" i="1" s="1"/>
  <c r="W1236" i="1"/>
  <c r="W1236" i="1" a="1"/>
  <c r="R1236" i="1"/>
  <c r="Q1236" i="1"/>
  <c r="X1236" i="1" s="1"/>
  <c r="W1235" i="1"/>
  <c r="W1235" i="1" a="1"/>
  <c r="Q1235" i="1"/>
  <c r="X1235" i="1" s="1"/>
  <c r="W1234" i="1" a="1"/>
  <c r="W1234" i="1" s="1"/>
  <c r="X1234" i="1" s="1"/>
  <c r="R1234" i="1"/>
  <c r="Q1234" i="1"/>
  <c r="X1233" i="1"/>
  <c r="W1233" i="1"/>
  <c r="W1233" i="1" a="1"/>
  <c r="Q1233" i="1"/>
  <c r="R1233" i="1" s="1"/>
  <c r="W1232" i="1"/>
  <c r="W1232" i="1" a="1"/>
  <c r="Q1232" i="1"/>
  <c r="R1232" i="1" s="1"/>
  <c r="W1231" i="1" a="1"/>
  <c r="W1231" i="1" s="1"/>
  <c r="X1231" i="1" s="1"/>
  <c r="R1231" i="1"/>
  <c r="Q1231" i="1"/>
  <c r="W1230" i="1"/>
  <c r="X1230" i="1" s="1"/>
  <c r="W1230" i="1" a="1"/>
  <c r="R1230" i="1"/>
  <c r="Q1230" i="1"/>
  <c r="W1229" i="1"/>
  <c r="W1229" i="1" a="1"/>
  <c r="Q1229" i="1"/>
  <c r="R1229" i="1" s="1"/>
  <c r="W1228" i="1"/>
  <c r="X1228" i="1" s="1"/>
  <c r="W1228" i="1" a="1"/>
  <c r="Q1228" i="1"/>
  <c r="R1228" i="1" s="1"/>
  <c r="X1227" i="1"/>
  <c r="W1227" i="1"/>
  <c r="W1227" i="1" a="1"/>
  <c r="Q1227" i="1"/>
  <c r="R1227" i="1" s="1"/>
  <c r="W1226" i="1"/>
  <c r="W1226" i="1" a="1"/>
  <c r="Q1226" i="1"/>
  <c r="R1226" i="1" s="1"/>
  <c r="W1225" i="1" a="1"/>
  <c r="W1225" i="1" s="1"/>
  <c r="Q1225" i="1"/>
  <c r="R1225" i="1" s="1"/>
  <c r="W1224" i="1"/>
  <c r="W1224" i="1" a="1"/>
  <c r="R1224" i="1"/>
  <c r="Q1224" i="1"/>
  <c r="X1224" i="1" s="1"/>
  <c r="W1223" i="1"/>
  <c r="W1223" i="1" a="1"/>
  <c r="Q1223" i="1"/>
  <c r="X1223" i="1" s="1"/>
  <c r="W1222" i="1" a="1"/>
  <c r="W1222" i="1" s="1"/>
  <c r="X1222" i="1" s="1"/>
  <c r="R1222" i="1"/>
  <c r="Q1222" i="1"/>
  <c r="X1221" i="1"/>
  <c r="W1221" i="1"/>
  <c r="W1221" i="1" a="1"/>
  <c r="Q1221" i="1"/>
  <c r="R1221" i="1" s="1"/>
  <c r="W1220" i="1"/>
  <c r="W1220" i="1" a="1"/>
  <c r="Q1220" i="1"/>
  <c r="R1220" i="1" s="1"/>
  <c r="W1219" i="1" a="1"/>
  <c r="W1219" i="1" s="1"/>
  <c r="X1219" i="1" s="1"/>
  <c r="R1219" i="1"/>
  <c r="Q1219" i="1"/>
  <c r="W1218" i="1"/>
  <c r="X1218" i="1" s="1"/>
  <c r="W1218" i="1" a="1"/>
  <c r="R1218" i="1"/>
  <c r="Q1218" i="1"/>
  <c r="W1217" i="1"/>
  <c r="W1217" i="1" a="1"/>
  <c r="Q1217" i="1"/>
  <c r="R1217" i="1" s="1"/>
  <c r="W1216" i="1"/>
  <c r="X1216" i="1" s="1"/>
  <c r="W1216" i="1" a="1"/>
  <c r="Q1216" i="1"/>
  <c r="R1216" i="1" s="1"/>
  <c r="X1215" i="1"/>
  <c r="W1215" i="1"/>
  <c r="W1215" i="1" a="1"/>
  <c r="Q1215" i="1"/>
  <c r="R1215" i="1" s="1"/>
  <c r="W1214" i="1"/>
  <c r="W1214" i="1" a="1"/>
  <c r="Q1214" i="1"/>
  <c r="R1214" i="1" s="1"/>
  <c r="W1213" i="1" a="1"/>
  <c r="W1213" i="1" s="1"/>
  <c r="Q1213" i="1"/>
  <c r="R1213" i="1" s="1"/>
  <c r="W1212" i="1"/>
  <c r="W1212" i="1" a="1"/>
  <c r="R1212" i="1"/>
  <c r="Q1212" i="1"/>
  <c r="X1212" i="1" s="1"/>
  <c r="W1211" i="1"/>
  <c r="W1211" i="1" a="1"/>
  <c r="Q1211" i="1"/>
  <c r="X1211" i="1" s="1"/>
  <c r="W1210" i="1" a="1"/>
  <c r="W1210" i="1" s="1"/>
  <c r="X1210" i="1" s="1"/>
  <c r="R1210" i="1"/>
  <c r="Q1210" i="1"/>
  <c r="X1209" i="1"/>
  <c r="W1209" i="1"/>
  <c r="W1209" i="1" a="1"/>
  <c r="Q1209" i="1"/>
  <c r="R1209" i="1" s="1"/>
  <c r="W1208" i="1"/>
  <c r="W1208" i="1" a="1"/>
  <c r="Q1208" i="1"/>
  <c r="W1207" i="1" a="1"/>
  <c r="W1207" i="1" s="1"/>
  <c r="X1207" i="1" s="1"/>
  <c r="R1207" i="1"/>
  <c r="Q1207" i="1"/>
  <c r="W1206" i="1"/>
  <c r="X1206" i="1" s="1"/>
  <c r="W1206" i="1" a="1"/>
  <c r="R1206" i="1"/>
  <c r="Q1206" i="1"/>
  <c r="W1205" i="1"/>
  <c r="W1205" i="1" a="1"/>
  <c r="Q1205" i="1"/>
  <c r="W1204" i="1"/>
  <c r="X1204" i="1" s="1"/>
  <c r="W1204" i="1" a="1"/>
  <c r="Q1204" i="1"/>
  <c r="R1204" i="1" s="1"/>
  <c r="X1203" i="1"/>
  <c r="W1203" i="1"/>
  <c r="W1203" i="1" a="1"/>
  <c r="Q1203" i="1"/>
  <c r="R1203" i="1" s="1"/>
  <c r="W1202" i="1" a="1"/>
  <c r="W1202" i="1" s="1"/>
  <c r="X1202" i="1" s="1"/>
  <c r="Q1202" i="1"/>
  <c r="R1202" i="1" s="1"/>
  <c r="W1201" i="1"/>
  <c r="W1201" i="1" a="1"/>
  <c r="Q1201" i="1"/>
  <c r="R1201" i="1" s="1"/>
  <c r="W1200" i="1" a="1"/>
  <c r="W1200" i="1" s="1"/>
  <c r="Q1200" i="1"/>
  <c r="R1200" i="1" s="1"/>
  <c r="W1199" i="1"/>
  <c r="X1199" i="1" s="1"/>
  <c r="W1199" i="1" a="1"/>
  <c r="R1199" i="1"/>
  <c r="Q1199" i="1"/>
  <c r="W1198" i="1" a="1"/>
  <c r="W1198" i="1" s="1"/>
  <c r="X1198" i="1" s="1"/>
  <c r="Q1198" i="1"/>
  <c r="R1198" i="1" s="1"/>
  <c r="W1197" i="1"/>
  <c r="W1197" i="1" a="1"/>
  <c r="R1197" i="1"/>
  <c r="Q1197" i="1"/>
  <c r="X1197" i="1" s="1"/>
  <c r="W1196" i="1" a="1"/>
  <c r="W1196" i="1" s="1"/>
  <c r="Q1196" i="1"/>
  <c r="R1196" i="1" s="1"/>
  <c r="W1195" i="1"/>
  <c r="W1195" i="1" a="1"/>
  <c r="R1195" i="1"/>
  <c r="Q1195" i="1"/>
  <c r="X1195" i="1" s="1"/>
  <c r="W1194" i="1"/>
  <c r="W1194" i="1" a="1"/>
  <c r="Q1194" i="1"/>
  <c r="R1194" i="1" s="1"/>
  <c r="W1193" i="1"/>
  <c r="W1193" i="1" a="1"/>
  <c r="Q1193" i="1"/>
  <c r="R1193" i="1" s="1"/>
  <c r="W1192" i="1" a="1"/>
  <c r="W1192" i="1" s="1"/>
  <c r="X1192" i="1" s="1"/>
  <c r="Q1192" i="1"/>
  <c r="R1192" i="1" s="1"/>
  <c r="W1191" i="1"/>
  <c r="W1191" i="1" a="1"/>
  <c r="R1191" i="1"/>
  <c r="Q1191" i="1"/>
  <c r="X1191" i="1" s="1"/>
  <c r="W1190" i="1" a="1"/>
  <c r="W1190" i="1" s="1"/>
  <c r="Q1190" i="1"/>
  <c r="W1189" i="1"/>
  <c r="X1189" i="1" s="1"/>
  <c r="W1189" i="1" a="1"/>
  <c r="R1189" i="1"/>
  <c r="Q1189" i="1"/>
  <c r="W1188" i="1" a="1"/>
  <c r="W1188" i="1" s="1"/>
  <c r="Q1188" i="1"/>
  <c r="R1188" i="1" s="1"/>
  <c r="W1187" i="1"/>
  <c r="W1187" i="1" a="1"/>
  <c r="R1187" i="1"/>
  <c r="Q1187" i="1"/>
  <c r="X1187" i="1" s="1"/>
  <c r="W1186" i="1" a="1"/>
  <c r="W1186" i="1" s="1"/>
  <c r="X1186" i="1" s="1"/>
  <c r="Q1186" i="1"/>
  <c r="R1186" i="1" s="1"/>
  <c r="W1185" i="1"/>
  <c r="W1185" i="1" a="1"/>
  <c r="R1185" i="1"/>
  <c r="Q1185" i="1"/>
  <c r="X1185" i="1" s="1"/>
  <c r="W1184" i="1" a="1"/>
  <c r="W1184" i="1" s="1"/>
  <c r="Q1184" i="1"/>
  <c r="R1184" i="1" s="1"/>
  <c r="W1183" i="1"/>
  <c r="W1183" i="1" a="1"/>
  <c r="R1183" i="1"/>
  <c r="Q1183" i="1"/>
  <c r="X1183" i="1" s="1"/>
  <c r="W1182" i="1"/>
  <c r="W1182" i="1" a="1"/>
  <c r="Q1182" i="1"/>
  <c r="R1182" i="1" s="1"/>
  <c r="W1181" i="1"/>
  <c r="W1181" i="1" a="1"/>
  <c r="Q1181" i="1"/>
  <c r="R1181" i="1" s="1"/>
  <c r="W1180" i="1" a="1"/>
  <c r="W1180" i="1" s="1"/>
  <c r="X1180" i="1" s="1"/>
  <c r="Q1180" i="1"/>
  <c r="R1180" i="1" s="1"/>
  <c r="W1179" i="1"/>
  <c r="W1179" i="1" a="1"/>
  <c r="R1179" i="1"/>
  <c r="Q1179" i="1"/>
  <c r="X1179" i="1" s="1"/>
  <c r="W1178" i="1" a="1"/>
  <c r="W1178" i="1" s="1"/>
  <c r="Q1178" i="1"/>
  <c r="W1177" i="1"/>
  <c r="X1177" i="1" s="1"/>
  <c r="W1177" i="1" a="1"/>
  <c r="R1177" i="1"/>
  <c r="Q1177" i="1"/>
  <c r="W1176" i="1" a="1"/>
  <c r="W1176" i="1" s="1"/>
  <c r="Q1176" i="1"/>
  <c r="R1176" i="1" s="1"/>
  <c r="W1175" i="1"/>
  <c r="W1175" i="1" a="1"/>
  <c r="R1175" i="1"/>
  <c r="Q1175" i="1"/>
  <c r="X1175" i="1" s="1"/>
  <c r="W1174" i="1" a="1"/>
  <c r="W1174" i="1" s="1"/>
  <c r="X1174" i="1" s="1"/>
  <c r="Q1174" i="1"/>
  <c r="R1174" i="1" s="1"/>
  <c r="W1173" i="1"/>
  <c r="W1173" i="1" a="1"/>
  <c r="R1173" i="1"/>
  <c r="Q1173" i="1"/>
  <c r="X1173" i="1" s="1"/>
  <c r="W1172" i="1" a="1"/>
  <c r="W1172" i="1" s="1"/>
  <c r="Q1172" i="1"/>
  <c r="R1172" i="1" s="1"/>
  <c r="W1171" i="1"/>
  <c r="W1171" i="1" a="1"/>
  <c r="R1171" i="1"/>
  <c r="Q1171" i="1"/>
  <c r="X1171" i="1" s="1"/>
  <c r="W1170" i="1"/>
  <c r="W1170" i="1" a="1"/>
  <c r="Q1170" i="1"/>
  <c r="R1170" i="1" s="1"/>
  <c r="W1169" i="1"/>
  <c r="W1169" i="1" a="1"/>
  <c r="Q1169" i="1"/>
  <c r="R1169" i="1" s="1"/>
  <c r="W1168" i="1" a="1"/>
  <c r="W1168" i="1" s="1"/>
  <c r="X1168" i="1" s="1"/>
  <c r="Q1168" i="1"/>
  <c r="R1168" i="1" s="1"/>
  <c r="W1167" i="1"/>
  <c r="W1167" i="1" a="1"/>
  <c r="R1167" i="1"/>
  <c r="Q1167" i="1"/>
  <c r="X1167" i="1" s="1"/>
  <c r="W1166" i="1" a="1"/>
  <c r="W1166" i="1" s="1"/>
  <c r="Q1166" i="1"/>
  <c r="W1165" i="1"/>
  <c r="X1165" i="1" s="1"/>
  <c r="W1165" i="1" a="1"/>
  <c r="R1165" i="1"/>
  <c r="Q1165" i="1"/>
  <c r="W1164" i="1" a="1"/>
  <c r="W1164" i="1" s="1"/>
  <c r="Q1164" i="1"/>
  <c r="R1164" i="1" s="1"/>
  <c r="W1163" i="1"/>
  <c r="W1163" i="1" a="1"/>
  <c r="R1163" i="1"/>
  <c r="Q1163" i="1"/>
  <c r="X1163" i="1" s="1"/>
  <c r="W1162" i="1" a="1"/>
  <c r="W1162" i="1" s="1"/>
  <c r="X1162" i="1" s="1"/>
  <c r="Q1162" i="1"/>
  <c r="R1162" i="1" s="1"/>
  <c r="W1161" i="1"/>
  <c r="W1161" i="1" a="1"/>
  <c r="R1161" i="1"/>
  <c r="Q1161" i="1"/>
  <c r="X1161" i="1" s="1"/>
  <c r="W1160" i="1" a="1"/>
  <c r="W1160" i="1" s="1"/>
  <c r="Q1160" i="1"/>
  <c r="R1160" i="1" s="1"/>
  <c r="W1159" i="1"/>
  <c r="W1159" i="1" a="1"/>
  <c r="R1159" i="1"/>
  <c r="Q1159" i="1"/>
  <c r="X1159" i="1" s="1"/>
  <c r="W1158" i="1"/>
  <c r="W1158" i="1" a="1"/>
  <c r="Q1158" i="1"/>
  <c r="W1157" i="1"/>
  <c r="W1157" i="1" a="1"/>
  <c r="R1157" i="1"/>
  <c r="Q1157" i="1"/>
  <c r="X1157" i="1" s="1"/>
  <c r="X1156" i="1"/>
  <c r="W1156" i="1" a="1"/>
  <c r="W1156" i="1" s="1"/>
  <c r="Q1156" i="1"/>
  <c r="R1156" i="1" s="1"/>
  <c r="W1155" i="1"/>
  <c r="W1155" i="1" a="1"/>
  <c r="R1155" i="1"/>
  <c r="Q1155" i="1"/>
  <c r="X1155" i="1" s="1"/>
  <c r="W1154" i="1" a="1"/>
  <c r="W1154" i="1" s="1"/>
  <c r="Q1154" i="1"/>
  <c r="X1154" i="1" s="1"/>
  <c r="W1153" i="1"/>
  <c r="X1153" i="1" s="1"/>
  <c r="W1153" i="1" a="1"/>
  <c r="R1153" i="1"/>
  <c r="Q1153" i="1"/>
  <c r="W1152" i="1" a="1"/>
  <c r="W1152" i="1" s="1"/>
  <c r="Q1152" i="1"/>
  <c r="W1151" i="1"/>
  <c r="W1151" i="1" a="1"/>
  <c r="R1151" i="1"/>
  <c r="Q1151" i="1"/>
  <c r="X1151" i="1" s="1"/>
  <c r="W1150" i="1"/>
  <c r="W1150" i="1" a="1"/>
  <c r="Q1150" i="1"/>
  <c r="R1150" i="1" s="1"/>
  <c r="W1149" i="1"/>
  <c r="W1149" i="1" a="1"/>
  <c r="R1149" i="1"/>
  <c r="Q1149" i="1"/>
  <c r="X1149" i="1" s="1"/>
  <c r="W1148" i="1"/>
  <c r="W1148" i="1" a="1"/>
  <c r="Q1148" i="1"/>
  <c r="R1148" i="1" s="1"/>
  <c r="W1147" i="1"/>
  <c r="W1147" i="1" a="1"/>
  <c r="R1147" i="1"/>
  <c r="Q1147" i="1"/>
  <c r="X1147" i="1" s="1"/>
  <c r="W1146" i="1" a="1"/>
  <c r="W1146" i="1" s="1"/>
  <c r="Q1146" i="1"/>
  <c r="R1146" i="1" s="1"/>
  <c r="X1145" i="1"/>
  <c r="W1145" i="1"/>
  <c r="W1145" i="1" a="1"/>
  <c r="R1145" i="1"/>
  <c r="Q1145" i="1"/>
  <c r="W1144" i="1" a="1"/>
  <c r="W1144" i="1" s="1"/>
  <c r="Q1144" i="1"/>
  <c r="R1144" i="1" s="1"/>
  <c r="X1143" i="1"/>
  <c r="W1143" i="1"/>
  <c r="W1143" i="1" a="1"/>
  <c r="R1143" i="1"/>
  <c r="Q1143" i="1"/>
  <c r="W1142" i="1"/>
  <c r="X1142" i="1" s="1"/>
  <c r="W1142" i="1" a="1"/>
  <c r="R1142" i="1"/>
  <c r="Q1142" i="1"/>
  <c r="W1141" i="1"/>
  <c r="X1141" i="1" s="1"/>
  <c r="W1141" i="1" a="1"/>
  <c r="R1141" i="1"/>
  <c r="Q1141" i="1"/>
  <c r="W1140" i="1"/>
  <c r="W1140" i="1" a="1"/>
  <c r="R1140" i="1"/>
  <c r="Q1140" i="1"/>
  <c r="X1140" i="1" s="1"/>
  <c r="W1139" i="1"/>
  <c r="W1139" i="1" a="1"/>
  <c r="Q1139" i="1"/>
  <c r="R1139" i="1" s="1"/>
  <c r="W1138" i="1"/>
  <c r="W1138" i="1" a="1"/>
  <c r="Q1138" i="1"/>
  <c r="X1138" i="1" s="1"/>
  <c r="W1137" i="1"/>
  <c r="W1137" i="1" a="1"/>
  <c r="Q1137" i="1"/>
  <c r="R1137" i="1" s="1"/>
  <c r="W1136" i="1"/>
  <c r="W1136" i="1" a="1"/>
  <c r="Q1136" i="1"/>
  <c r="R1136" i="1" s="1"/>
  <c r="W1135" i="1" a="1"/>
  <c r="W1135" i="1" s="1"/>
  <c r="X1135" i="1" s="1"/>
  <c r="Q1135" i="1"/>
  <c r="R1135" i="1" s="1"/>
  <c r="W1134" i="1" a="1"/>
  <c r="W1134" i="1" s="1"/>
  <c r="X1134" i="1" s="1"/>
  <c r="Q1134" i="1"/>
  <c r="R1134" i="1" s="1"/>
  <c r="W1133" i="1" a="1"/>
  <c r="W1133" i="1" s="1"/>
  <c r="Q1133" i="1"/>
  <c r="X1133" i="1" s="1"/>
  <c r="W1132" i="1" a="1"/>
  <c r="W1132" i="1" s="1"/>
  <c r="X1132" i="1" s="1"/>
  <c r="R1132" i="1"/>
  <c r="Q1132" i="1"/>
  <c r="X1131" i="1"/>
  <c r="W1131" i="1"/>
  <c r="W1131" i="1" a="1"/>
  <c r="R1131" i="1"/>
  <c r="Q1131" i="1"/>
  <c r="W1130" i="1"/>
  <c r="W1130" i="1" a="1"/>
  <c r="R1130" i="1"/>
  <c r="Q1130" i="1"/>
  <c r="X1130" i="1" s="1"/>
  <c r="W1129" i="1"/>
  <c r="X1129" i="1" s="1"/>
  <c r="W1129" i="1" a="1"/>
  <c r="R1129" i="1"/>
  <c r="Q1129" i="1"/>
  <c r="W1128" i="1"/>
  <c r="W1128" i="1" a="1"/>
  <c r="R1128" i="1"/>
  <c r="Q1128" i="1"/>
  <c r="X1128" i="1" s="1"/>
  <c r="W1127" i="1"/>
  <c r="W1127" i="1" a="1"/>
  <c r="Q1127" i="1"/>
  <c r="R1127" i="1" s="1"/>
  <c r="W1126" i="1"/>
  <c r="W1126" i="1" a="1"/>
  <c r="Q1126" i="1"/>
  <c r="X1126" i="1" s="1"/>
  <c r="W1125" i="1"/>
  <c r="W1125" i="1" a="1"/>
  <c r="Q1125" i="1"/>
  <c r="R1125" i="1" s="1"/>
  <c r="W1124" i="1"/>
  <c r="W1124" i="1" a="1"/>
  <c r="Q1124" i="1"/>
  <c r="R1124" i="1" s="1"/>
  <c r="W1123" i="1" a="1"/>
  <c r="W1123" i="1" s="1"/>
  <c r="X1123" i="1" s="1"/>
  <c r="Q1123" i="1"/>
  <c r="R1123" i="1" s="1"/>
  <c r="W1122" i="1" a="1"/>
  <c r="W1122" i="1" s="1"/>
  <c r="X1122" i="1" s="1"/>
  <c r="Q1122" i="1"/>
  <c r="R1122" i="1" s="1"/>
  <c r="W1121" i="1" a="1"/>
  <c r="W1121" i="1" s="1"/>
  <c r="Q1121" i="1"/>
  <c r="W1120" i="1" a="1"/>
  <c r="W1120" i="1" s="1"/>
  <c r="X1120" i="1" s="1"/>
  <c r="R1120" i="1"/>
  <c r="Q1120" i="1"/>
  <c r="W1119" i="1" a="1"/>
  <c r="W1119" i="1" s="1"/>
  <c r="X1119" i="1" s="1"/>
  <c r="R1119" i="1"/>
  <c r="Q1119" i="1"/>
  <c r="W1118" i="1"/>
  <c r="W1118" i="1" a="1"/>
  <c r="R1118" i="1"/>
  <c r="Q1118" i="1"/>
  <c r="X1118" i="1" s="1"/>
  <c r="W1117" i="1"/>
  <c r="X1117" i="1" s="1"/>
  <c r="W1117" i="1" a="1"/>
  <c r="R1117" i="1"/>
  <c r="Q1117" i="1"/>
  <c r="W1116" i="1"/>
  <c r="W1116" i="1" a="1"/>
  <c r="R1116" i="1"/>
  <c r="Q1116" i="1"/>
  <c r="X1116" i="1" s="1"/>
  <c r="W1115" i="1"/>
  <c r="W1115" i="1" a="1"/>
  <c r="Q1115" i="1"/>
  <c r="R1115" i="1" s="1"/>
  <c r="W1114" i="1"/>
  <c r="W1114" i="1" a="1"/>
  <c r="Q1114" i="1"/>
  <c r="X1114" i="1" s="1"/>
  <c r="W1113" i="1"/>
  <c r="W1113" i="1" a="1"/>
  <c r="Q1113" i="1"/>
  <c r="R1113" i="1" s="1"/>
  <c r="W1112" i="1"/>
  <c r="W1112" i="1" a="1"/>
  <c r="Q1112" i="1"/>
  <c r="R1112" i="1" s="1"/>
  <c r="W1111" i="1" a="1"/>
  <c r="W1111" i="1" s="1"/>
  <c r="X1111" i="1" s="1"/>
  <c r="Q1111" i="1"/>
  <c r="R1111" i="1" s="1"/>
  <c r="X1110" i="1"/>
  <c r="W1110" i="1"/>
  <c r="W1110" i="1" a="1"/>
  <c r="Q1110" i="1"/>
  <c r="R1110" i="1" s="1"/>
  <c r="W1109" i="1" a="1"/>
  <c r="W1109" i="1" s="1"/>
  <c r="Q1109" i="1"/>
  <c r="W1108" i="1" a="1"/>
  <c r="W1108" i="1" s="1"/>
  <c r="X1108" i="1" s="1"/>
  <c r="R1108" i="1"/>
  <c r="Q1108" i="1"/>
  <c r="W1107" i="1" a="1"/>
  <c r="W1107" i="1" s="1"/>
  <c r="X1107" i="1" s="1"/>
  <c r="R1107" i="1"/>
  <c r="Q1107" i="1"/>
  <c r="W1106" i="1"/>
  <c r="W1106" i="1" a="1"/>
  <c r="R1106" i="1"/>
  <c r="Q1106" i="1"/>
  <c r="X1106" i="1" s="1"/>
  <c r="W1105" i="1"/>
  <c r="X1105" i="1" s="1"/>
  <c r="W1105" i="1" a="1"/>
  <c r="R1105" i="1"/>
  <c r="Q1105" i="1"/>
  <c r="W1104" i="1"/>
  <c r="W1104" i="1" a="1"/>
  <c r="R1104" i="1"/>
  <c r="Q1104" i="1"/>
  <c r="X1104" i="1" s="1"/>
  <c r="W1103" i="1"/>
  <c r="W1103" i="1" a="1"/>
  <c r="Q1103" i="1"/>
  <c r="R1103" i="1" s="1"/>
  <c r="W1102" i="1"/>
  <c r="W1102" i="1" a="1"/>
  <c r="Q1102" i="1"/>
  <c r="X1102" i="1" s="1"/>
  <c r="W1101" i="1"/>
  <c r="W1101" i="1" a="1"/>
  <c r="Q1101" i="1"/>
  <c r="R1101" i="1" s="1"/>
  <c r="W1100" i="1"/>
  <c r="W1100" i="1" a="1"/>
  <c r="Q1100" i="1"/>
  <c r="R1100" i="1" s="1"/>
  <c r="W1099" i="1" a="1"/>
  <c r="W1099" i="1" s="1"/>
  <c r="X1099" i="1" s="1"/>
  <c r="Q1099" i="1"/>
  <c r="R1099" i="1" s="1"/>
  <c r="X1098" i="1"/>
  <c r="W1098" i="1"/>
  <c r="W1098" i="1" a="1"/>
  <c r="Q1098" i="1"/>
  <c r="R1098" i="1" s="1"/>
  <c r="W1097" i="1" a="1"/>
  <c r="W1097" i="1" s="1"/>
  <c r="Q1097" i="1"/>
  <c r="X1097" i="1" s="1"/>
  <c r="W1096" i="1" a="1"/>
  <c r="W1096" i="1" s="1"/>
  <c r="X1096" i="1" s="1"/>
  <c r="R1096" i="1"/>
  <c r="Q1096" i="1"/>
  <c r="W1095" i="1" a="1"/>
  <c r="W1095" i="1" s="1"/>
  <c r="X1095" i="1" s="1"/>
  <c r="R1095" i="1"/>
  <c r="Q1095" i="1"/>
  <c r="W1094" i="1"/>
  <c r="W1094" i="1" a="1"/>
  <c r="R1094" i="1"/>
  <c r="Q1094" i="1"/>
  <c r="X1094" i="1" s="1"/>
  <c r="W1093" i="1"/>
  <c r="X1093" i="1" s="1"/>
  <c r="W1093" i="1" a="1"/>
  <c r="R1093" i="1"/>
  <c r="Q1093" i="1"/>
  <c r="W1092" i="1"/>
  <c r="W1092" i="1" a="1"/>
  <c r="R1092" i="1"/>
  <c r="Q1092" i="1"/>
  <c r="X1092" i="1" s="1"/>
  <c r="W1091" i="1"/>
  <c r="W1091" i="1" a="1"/>
  <c r="Q1091" i="1"/>
  <c r="R1091" i="1" s="1"/>
  <c r="W1090" i="1"/>
  <c r="W1090" i="1" a="1"/>
  <c r="Q1090" i="1"/>
  <c r="W1089" i="1"/>
  <c r="W1089" i="1" a="1"/>
  <c r="Q1089" i="1"/>
  <c r="W1088" i="1"/>
  <c r="W1088" i="1" a="1"/>
  <c r="Q1088" i="1"/>
  <c r="R1088" i="1" s="1"/>
  <c r="W1087" i="1" a="1"/>
  <c r="W1087" i="1" s="1"/>
  <c r="Q1087" i="1"/>
  <c r="R1087" i="1" s="1"/>
  <c r="W1086" i="1"/>
  <c r="W1086" i="1" a="1"/>
  <c r="Q1086" i="1"/>
  <c r="R1086" i="1" s="1"/>
  <c r="W1085" i="1" a="1"/>
  <c r="W1085" i="1" s="1"/>
  <c r="R1085" i="1"/>
  <c r="Q1085" i="1"/>
  <c r="X1085" i="1" s="1"/>
  <c r="W1084" i="1"/>
  <c r="W1084" i="1" a="1"/>
  <c r="Q1084" i="1"/>
  <c r="R1084" i="1" s="1"/>
  <c r="W1083" i="1" a="1"/>
  <c r="W1083" i="1" s="1"/>
  <c r="X1083" i="1" s="1"/>
  <c r="R1083" i="1"/>
  <c r="Q1083" i="1"/>
  <c r="W1082" i="1" a="1"/>
  <c r="W1082" i="1" s="1"/>
  <c r="X1082" i="1" s="1"/>
  <c r="R1082" i="1"/>
  <c r="Q1082" i="1"/>
  <c r="W1081" i="1" a="1"/>
  <c r="W1081" i="1" s="1"/>
  <c r="X1081" i="1" s="1"/>
  <c r="R1081" i="1"/>
  <c r="Q1081" i="1"/>
  <c r="W1080" i="1" a="1"/>
  <c r="W1080" i="1" s="1"/>
  <c r="X1080" i="1" s="1"/>
  <c r="R1080" i="1"/>
  <c r="Q1080" i="1"/>
  <c r="W1079" i="1"/>
  <c r="W1079" i="1" a="1"/>
  <c r="R1079" i="1"/>
  <c r="Q1079" i="1"/>
  <c r="X1079" i="1" s="1"/>
  <c r="W1078" i="1"/>
  <c r="W1078" i="1" a="1"/>
  <c r="R1078" i="1"/>
  <c r="Q1078" i="1"/>
  <c r="X1078" i="1" s="1"/>
  <c r="W1077" i="1"/>
  <c r="W1077" i="1" a="1"/>
  <c r="Q1077" i="1"/>
  <c r="R1077" i="1" s="1"/>
  <c r="W1076" i="1"/>
  <c r="W1076" i="1" a="1"/>
  <c r="Q1076" i="1"/>
  <c r="X1076" i="1" s="1"/>
  <c r="W1075" i="1"/>
  <c r="W1075" i="1" a="1"/>
  <c r="Q1075" i="1"/>
  <c r="R1075" i="1" s="1"/>
  <c r="X1074" i="1"/>
  <c r="W1074" i="1"/>
  <c r="W1074" i="1" a="1"/>
  <c r="Q1074" i="1"/>
  <c r="R1074" i="1" s="1"/>
  <c r="W1073" i="1"/>
  <c r="W1073" i="1" a="1"/>
  <c r="Q1073" i="1"/>
  <c r="R1073" i="1" s="1"/>
  <c r="W1072" i="1" a="1"/>
  <c r="W1072" i="1" s="1"/>
  <c r="Q1072" i="1"/>
  <c r="R1072" i="1" s="1"/>
  <c r="W1071" i="1" a="1"/>
  <c r="W1071" i="1" s="1"/>
  <c r="X1071" i="1" s="1"/>
  <c r="R1071" i="1"/>
  <c r="Q1071" i="1"/>
  <c r="W1070" i="1" a="1"/>
  <c r="W1070" i="1" s="1"/>
  <c r="X1070" i="1" s="1"/>
  <c r="R1070" i="1"/>
  <c r="Q1070" i="1"/>
  <c r="W1069" i="1" a="1"/>
  <c r="W1069" i="1" s="1"/>
  <c r="X1069" i="1" s="1"/>
  <c r="R1069" i="1"/>
  <c r="Q1069" i="1"/>
  <c r="W1068" i="1" a="1"/>
  <c r="W1068" i="1" s="1"/>
  <c r="X1068" i="1" s="1"/>
  <c r="R1068" i="1"/>
  <c r="Q1068" i="1"/>
  <c r="W1067" i="1"/>
  <c r="W1067" i="1" a="1"/>
  <c r="R1067" i="1"/>
  <c r="Q1067" i="1"/>
  <c r="X1067" i="1" s="1"/>
  <c r="W1066" i="1"/>
  <c r="W1066" i="1" a="1"/>
  <c r="Q1066" i="1"/>
  <c r="R1066" i="1" s="1"/>
  <c r="W1065" i="1"/>
  <c r="W1065" i="1" a="1"/>
  <c r="Q1065" i="1"/>
  <c r="R1065" i="1" s="1"/>
  <c r="W1064" i="1"/>
  <c r="W1064" i="1" a="1"/>
  <c r="Q1064" i="1"/>
  <c r="X1064" i="1" s="1"/>
  <c r="W1063" i="1"/>
  <c r="W1063" i="1" a="1"/>
  <c r="Q1063" i="1"/>
  <c r="R1063" i="1" s="1"/>
  <c r="X1062" i="1"/>
  <c r="W1062" i="1"/>
  <c r="W1062" i="1" a="1"/>
  <c r="Q1062" i="1"/>
  <c r="R1062" i="1" s="1"/>
  <c r="W1061" i="1"/>
  <c r="W1061" i="1" a="1"/>
  <c r="Q1061" i="1"/>
  <c r="R1061" i="1" s="1"/>
  <c r="W1060" i="1" a="1"/>
  <c r="W1060" i="1" s="1"/>
  <c r="Q1060" i="1"/>
  <c r="R1060" i="1" s="1"/>
  <c r="W1059" i="1" a="1"/>
  <c r="W1059" i="1" s="1"/>
  <c r="X1059" i="1" s="1"/>
  <c r="R1059" i="1"/>
  <c r="Q1059" i="1"/>
  <c r="X1058" i="1"/>
  <c r="W1058" i="1"/>
  <c r="W1058" i="1" a="1"/>
  <c r="R1058" i="1"/>
  <c r="Q1058" i="1"/>
  <c r="W1057" i="1" a="1"/>
  <c r="W1057" i="1" s="1"/>
  <c r="X1057" i="1" s="1"/>
  <c r="R1057" i="1"/>
  <c r="Q1057" i="1"/>
  <c r="W1056" i="1" a="1"/>
  <c r="W1056" i="1" s="1"/>
  <c r="X1056" i="1" s="1"/>
  <c r="R1056" i="1"/>
  <c r="Q1056" i="1"/>
  <c r="W1055" i="1"/>
  <c r="W1055" i="1" a="1"/>
  <c r="R1055" i="1"/>
  <c r="Q1055" i="1"/>
  <c r="X1055" i="1" s="1"/>
  <c r="W1054" i="1"/>
  <c r="W1054" i="1" a="1"/>
  <c r="Q1054" i="1"/>
  <c r="R1054" i="1" s="1"/>
  <c r="W1053" i="1"/>
  <c r="W1053" i="1" a="1"/>
  <c r="Q1053" i="1"/>
  <c r="R1053" i="1" s="1"/>
  <c r="W1052" i="1"/>
  <c r="W1052" i="1" a="1"/>
  <c r="Q1052" i="1"/>
  <c r="X1052" i="1" s="1"/>
  <c r="W1051" i="1"/>
  <c r="W1051" i="1" a="1"/>
  <c r="Q1051" i="1"/>
  <c r="R1051" i="1" s="1"/>
  <c r="X1050" i="1"/>
  <c r="W1050" i="1"/>
  <c r="W1050" i="1" a="1"/>
  <c r="Q1050" i="1"/>
  <c r="R1050" i="1" s="1"/>
  <c r="W1049" i="1"/>
  <c r="W1049" i="1" a="1"/>
  <c r="Q1049" i="1"/>
  <c r="R1049" i="1" s="1"/>
  <c r="W1048" i="1" a="1"/>
  <c r="W1048" i="1" s="1"/>
  <c r="Q1048" i="1"/>
  <c r="R1048" i="1" s="1"/>
  <c r="W1047" i="1" a="1"/>
  <c r="W1047" i="1" s="1"/>
  <c r="X1047" i="1" s="1"/>
  <c r="R1047" i="1"/>
  <c r="Q1047" i="1"/>
  <c r="X1046" i="1"/>
  <c r="W1046" i="1"/>
  <c r="W1046" i="1" a="1"/>
  <c r="R1046" i="1"/>
  <c r="Q1046" i="1"/>
  <c r="W1045" i="1" a="1"/>
  <c r="W1045" i="1" s="1"/>
  <c r="X1045" i="1" s="1"/>
  <c r="R1045" i="1"/>
  <c r="Q1045" i="1"/>
  <c r="W1044" i="1" a="1"/>
  <c r="W1044" i="1" s="1"/>
  <c r="X1044" i="1" s="1"/>
  <c r="R1044" i="1"/>
  <c r="Q1044" i="1"/>
  <c r="W1043" i="1"/>
  <c r="W1043" i="1" a="1"/>
  <c r="R1043" i="1"/>
  <c r="Q1043" i="1"/>
  <c r="X1043" i="1" s="1"/>
  <c r="W1042" i="1"/>
  <c r="W1042" i="1" a="1"/>
  <c r="Q1042" i="1"/>
  <c r="R1042" i="1" s="1"/>
  <c r="W1041" i="1"/>
  <c r="W1041" i="1" a="1"/>
  <c r="Q1041" i="1"/>
  <c r="R1041" i="1" s="1"/>
  <c r="W1040" i="1"/>
  <c r="W1040" i="1" a="1"/>
  <c r="Q1040" i="1"/>
  <c r="W1039" i="1"/>
  <c r="W1039" i="1" a="1"/>
  <c r="Q1039" i="1"/>
  <c r="R1039" i="1" s="1"/>
  <c r="X1038" i="1"/>
  <c r="W1038" i="1"/>
  <c r="W1038" i="1" a="1"/>
  <c r="Q1038" i="1"/>
  <c r="R1038" i="1" s="1"/>
  <c r="W1037" i="1"/>
  <c r="W1037" i="1" a="1"/>
  <c r="Q1037" i="1"/>
  <c r="W1036" i="1" a="1"/>
  <c r="W1036" i="1" s="1"/>
  <c r="Q1036" i="1"/>
  <c r="W1035" i="1" a="1"/>
  <c r="W1035" i="1" s="1"/>
  <c r="X1035" i="1" s="1"/>
  <c r="R1035" i="1"/>
  <c r="Q1035" i="1"/>
  <c r="X1034" i="1"/>
  <c r="W1034" i="1"/>
  <c r="W1034" i="1" a="1"/>
  <c r="R1034" i="1"/>
  <c r="Q1034" i="1"/>
  <c r="W1033" i="1"/>
  <c r="X1033" i="1" s="1"/>
  <c r="W1033" i="1" a="1"/>
  <c r="R1033" i="1"/>
  <c r="Q1033" i="1"/>
  <c r="W1032" i="1" a="1"/>
  <c r="W1032" i="1" s="1"/>
  <c r="R1032" i="1"/>
  <c r="Q1032" i="1"/>
  <c r="W1031" i="1"/>
  <c r="W1031" i="1" a="1"/>
  <c r="R1031" i="1"/>
  <c r="Q1031" i="1"/>
  <c r="X1030" i="1"/>
  <c r="W1030" i="1"/>
  <c r="W1030" i="1" a="1"/>
  <c r="Q1030" i="1"/>
  <c r="R1030" i="1" s="1"/>
  <c r="X1029" i="1"/>
  <c r="W1029" i="1"/>
  <c r="W1029" i="1" a="1"/>
  <c r="R1029" i="1"/>
  <c r="Q1029" i="1"/>
  <c r="W1028" i="1" a="1"/>
  <c r="W1028" i="1" s="1"/>
  <c r="Q1028" i="1"/>
  <c r="R1028" i="1" s="1"/>
  <c r="X1027" i="1"/>
  <c r="W1027" i="1"/>
  <c r="W1027" i="1" a="1"/>
  <c r="Q1027" i="1"/>
  <c r="R1027" i="1" s="1"/>
  <c r="X1026" i="1"/>
  <c r="W1026" i="1"/>
  <c r="W1026" i="1" a="1"/>
  <c r="R1026" i="1"/>
  <c r="Q1026" i="1"/>
  <c r="W1025" i="1"/>
  <c r="W1025" i="1" a="1"/>
  <c r="Q1025" i="1"/>
  <c r="R1025" i="1" s="1"/>
  <c r="W1024" i="1" a="1"/>
  <c r="W1024" i="1" s="1"/>
  <c r="Q1024" i="1"/>
  <c r="W1023" i="1" a="1"/>
  <c r="W1023" i="1" s="1"/>
  <c r="R1023" i="1"/>
  <c r="Q1023" i="1"/>
  <c r="X1023" i="1" s="1"/>
  <c r="W1022" i="1"/>
  <c r="X1022" i="1" s="1"/>
  <c r="W1022" i="1" a="1"/>
  <c r="Q1022" i="1"/>
  <c r="R1022" i="1" s="1"/>
  <c r="W1021" i="1"/>
  <c r="W1021" i="1" a="1"/>
  <c r="Q1021" i="1"/>
  <c r="R1021" i="1" s="1"/>
  <c r="W1020" i="1"/>
  <c r="X1020" i="1" s="1"/>
  <c r="W1020" i="1" a="1"/>
  <c r="R1020" i="1"/>
  <c r="Q1020" i="1"/>
  <c r="W1019" i="1"/>
  <c r="W1019" i="1" a="1"/>
  <c r="Q1019" i="1"/>
  <c r="R1019" i="1" s="1"/>
  <c r="W1018" i="1"/>
  <c r="W1018" i="1" a="1"/>
  <c r="Q1018" i="1"/>
  <c r="R1018" i="1" s="1"/>
  <c r="W1017" i="1" a="1"/>
  <c r="W1017" i="1" s="1"/>
  <c r="Q1017" i="1"/>
  <c r="X1017" i="1" s="1"/>
  <c r="W1016" i="1"/>
  <c r="W1016" i="1" a="1"/>
  <c r="Q1016" i="1"/>
  <c r="R1016" i="1" s="1"/>
  <c r="W1015" i="1"/>
  <c r="X1015" i="1" s="1"/>
  <c r="W1015" i="1" a="1"/>
  <c r="Q1015" i="1"/>
  <c r="R1015" i="1" s="1"/>
  <c r="X1014" i="1"/>
  <c r="W1014" i="1"/>
  <c r="W1014" i="1" a="1"/>
  <c r="R1014" i="1"/>
  <c r="Q1014" i="1"/>
  <c r="W1013" i="1"/>
  <c r="W1013" i="1" a="1"/>
  <c r="Q1013" i="1"/>
  <c r="R1013" i="1" s="1"/>
  <c r="W1012" i="1" a="1"/>
  <c r="W1012" i="1" s="1"/>
  <c r="Q1012" i="1"/>
  <c r="X1012" i="1" s="1"/>
  <c r="W1011" i="1" a="1"/>
  <c r="W1011" i="1" s="1"/>
  <c r="R1011" i="1"/>
  <c r="Q1011" i="1"/>
  <c r="X1011" i="1" s="1"/>
  <c r="W1010" i="1"/>
  <c r="W1010" i="1" a="1"/>
  <c r="Q1010" i="1"/>
  <c r="X1010" i="1" s="1"/>
  <c r="W1009" i="1"/>
  <c r="W1009" i="1" a="1"/>
  <c r="Q1009" i="1"/>
  <c r="R1009" i="1" s="1"/>
  <c r="W1008" i="1"/>
  <c r="X1008" i="1" s="1"/>
  <c r="W1008" i="1" a="1"/>
  <c r="R1008" i="1"/>
  <c r="Q1008" i="1"/>
  <c r="W1007" i="1"/>
  <c r="W1007" i="1" a="1"/>
  <c r="Q1007" i="1"/>
  <c r="R1007" i="1" s="1"/>
  <c r="W1006" i="1"/>
  <c r="W1006" i="1" a="1"/>
  <c r="Q1006" i="1"/>
  <c r="R1006" i="1" s="1"/>
  <c r="W1005" i="1" a="1"/>
  <c r="W1005" i="1" s="1"/>
  <c r="Q1005" i="1"/>
  <c r="W1004" i="1"/>
  <c r="W1004" i="1" a="1"/>
  <c r="Q1004" i="1"/>
  <c r="R1004" i="1" s="1"/>
  <c r="W1003" i="1"/>
  <c r="X1003" i="1" s="1"/>
  <c r="W1003" i="1" a="1"/>
  <c r="Q1003" i="1"/>
  <c r="R1003" i="1" s="1"/>
  <c r="X1002" i="1"/>
  <c r="W1002" i="1"/>
  <c r="W1002" i="1" a="1"/>
  <c r="R1002" i="1"/>
  <c r="Q1002" i="1"/>
  <c r="W1001" i="1"/>
  <c r="W1001" i="1" a="1"/>
  <c r="Q1001" i="1"/>
  <c r="R1001" i="1" s="1"/>
  <c r="W1000" i="1" a="1"/>
  <c r="W1000" i="1" s="1"/>
  <c r="Q1000" i="1"/>
  <c r="W999" i="1" a="1"/>
  <c r="W999" i="1" s="1"/>
  <c r="R999" i="1"/>
  <c r="Q999" i="1"/>
  <c r="W998" i="1"/>
  <c r="W998" i="1" a="1"/>
  <c r="Q998" i="1"/>
  <c r="X998" i="1" s="1"/>
  <c r="W997" i="1"/>
  <c r="W997" i="1" a="1"/>
  <c r="Q997" i="1"/>
  <c r="R997" i="1" s="1"/>
  <c r="W996" i="1"/>
  <c r="X996" i="1" s="1"/>
  <c r="W996" i="1" a="1"/>
  <c r="R996" i="1"/>
  <c r="Q996" i="1"/>
  <c r="W995" i="1"/>
  <c r="W995" i="1" a="1"/>
  <c r="Q995" i="1"/>
  <c r="R995" i="1" s="1"/>
  <c r="W994" i="1"/>
  <c r="W994" i="1" a="1"/>
  <c r="Q994" i="1"/>
  <c r="R994" i="1" s="1"/>
  <c r="W993" i="1" a="1"/>
  <c r="W993" i="1" s="1"/>
  <c r="Q993" i="1"/>
  <c r="X993" i="1" s="1"/>
  <c r="W992" i="1"/>
  <c r="W992" i="1" a="1"/>
  <c r="Q992" i="1"/>
  <c r="R992" i="1" s="1"/>
  <c r="W991" i="1"/>
  <c r="X991" i="1" s="1"/>
  <c r="W991" i="1" a="1"/>
  <c r="Q991" i="1"/>
  <c r="R991" i="1" s="1"/>
  <c r="X990" i="1"/>
  <c r="W990" i="1"/>
  <c r="W990" i="1" a="1"/>
  <c r="R990" i="1"/>
  <c r="Q990" i="1"/>
  <c r="W989" i="1"/>
  <c r="W989" i="1" a="1"/>
  <c r="Q989" i="1"/>
  <c r="R989" i="1" s="1"/>
  <c r="W988" i="1" a="1"/>
  <c r="W988" i="1" s="1"/>
  <c r="Q988" i="1"/>
  <c r="X988" i="1" s="1"/>
  <c r="W987" i="1" a="1"/>
  <c r="W987" i="1" s="1"/>
  <c r="R987" i="1"/>
  <c r="Q987" i="1"/>
  <c r="W986" i="1"/>
  <c r="W986" i="1" a="1"/>
  <c r="Q986" i="1"/>
  <c r="X986" i="1" s="1"/>
  <c r="W985" i="1"/>
  <c r="W985" i="1" a="1"/>
  <c r="Q985" i="1"/>
  <c r="R985" i="1" s="1"/>
  <c r="W984" i="1"/>
  <c r="X984" i="1" s="1"/>
  <c r="W984" i="1" a="1"/>
  <c r="R984" i="1"/>
  <c r="Q984" i="1"/>
  <c r="W983" i="1"/>
  <c r="W983" i="1" a="1"/>
  <c r="Q983" i="1"/>
  <c r="R983" i="1" s="1"/>
  <c r="W982" i="1"/>
  <c r="W982" i="1" a="1"/>
  <c r="Q982" i="1"/>
  <c r="R982" i="1" s="1"/>
  <c r="W981" i="1" a="1"/>
  <c r="W981" i="1" s="1"/>
  <c r="Q981" i="1"/>
  <c r="W980" i="1"/>
  <c r="W980" i="1" a="1"/>
  <c r="Q980" i="1"/>
  <c r="R980" i="1" s="1"/>
  <c r="W979" i="1"/>
  <c r="X979" i="1" s="1"/>
  <c r="W979" i="1" a="1"/>
  <c r="Q979" i="1"/>
  <c r="R979" i="1" s="1"/>
  <c r="X978" i="1"/>
  <c r="W978" i="1"/>
  <c r="W978" i="1" a="1"/>
  <c r="R978" i="1"/>
  <c r="Q978" i="1"/>
  <c r="W977" i="1"/>
  <c r="W977" i="1" a="1"/>
  <c r="Q977" i="1"/>
  <c r="R977" i="1" s="1"/>
  <c r="W976" i="1" a="1"/>
  <c r="W976" i="1" s="1"/>
  <c r="Q976" i="1"/>
  <c r="X976" i="1" s="1"/>
  <c r="W975" i="1" a="1"/>
  <c r="W975" i="1" s="1"/>
  <c r="R975" i="1"/>
  <c r="Q975" i="1"/>
  <c r="W974" i="1"/>
  <c r="W974" i="1" a="1"/>
  <c r="Q974" i="1"/>
  <c r="W973" i="1"/>
  <c r="W973" i="1" a="1"/>
  <c r="Q973" i="1"/>
  <c r="R973" i="1" s="1"/>
  <c r="W972" i="1"/>
  <c r="X972" i="1" s="1"/>
  <c r="W972" i="1" a="1"/>
  <c r="R972" i="1"/>
  <c r="Q972" i="1"/>
  <c r="W971" i="1"/>
  <c r="W971" i="1" a="1"/>
  <c r="Q971" i="1"/>
  <c r="X971" i="1" s="1"/>
  <c r="W970" i="1"/>
  <c r="W970" i="1" a="1"/>
  <c r="Q970" i="1"/>
  <c r="X970" i="1" s="1"/>
  <c r="X969" i="1"/>
  <c r="W969" i="1" a="1"/>
  <c r="W969" i="1" s="1"/>
  <c r="R969" i="1"/>
  <c r="Q969" i="1"/>
  <c r="W968" i="1"/>
  <c r="W968" i="1" a="1"/>
  <c r="Q968" i="1"/>
  <c r="R968" i="1" s="1"/>
  <c r="W967" i="1" a="1"/>
  <c r="W967" i="1" s="1"/>
  <c r="X967" i="1" s="1"/>
  <c r="Q967" i="1"/>
  <c r="R967" i="1" s="1"/>
  <c r="W966" i="1" a="1"/>
  <c r="W966" i="1" s="1"/>
  <c r="R966" i="1"/>
  <c r="Q966" i="1"/>
  <c r="X966" i="1" s="1"/>
  <c r="W965" i="1"/>
  <c r="W965" i="1" a="1"/>
  <c r="Q965" i="1"/>
  <c r="R965" i="1" s="1"/>
  <c r="W964" i="1"/>
  <c r="W964" i="1" a="1"/>
  <c r="Q964" i="1"/>
  <c r="R964" i="1" s="1"/>
  <c r="W963" i="1" a="1"/>
  <c r="W963" i="1" s="1"/>
  <c r="X963" i="1" s="1"/>
  <c r="R963" i="1"/>
  <c r="Q963" i="1"/>
  <c r="W962" i="1"/>
  <c r="W962" i="1" a="1"/>
  <c r="Q962" i="1"/>
  <c r="R962" i="1" s="1"/>
  <c r="W961" i="1" a="1"/>
  <c r="W961" i="1" s="1"/>
  <c r="Q961" i="1"/>
  <c r="R961" i="1" s="1"/>
  <c r="X960" i="1"/>
  <c r="W960" i="1"/>
  <c r="W960" i="1" a="1"/>
  <c r="R960" i="1"/>
  <c r="Q960" i="1"/>
  <c r="W959" i="1"/>
  <c r="X959" i="1" s="1"/>
  <c r="W959" i="1" a="1"/>
  <c r="R959" i="1"/>
  <c r="Q959" i="1"/>
  <c r="W958" i="1" a="1"/>
  <c r="W958" i="1" s="1"/>
  <c r="R958" i="1"/>
  <c r="Q958" i="1"/>
  <c r="X958" i="1" s="1"/>
  <c r="W957" i="1"/>
  <c r="W957" i="1" a="1"/>
  <c r="R957" i="1"/>
  <c r="Q957" i="1"/>
  <c r="X957" i="1" s="1"/>
  <c r="W956" i="1"/>
  <c r="W956" i="1" a="1"/>
  <c r="Q956" i="1"/>
  <c r="X956" i="1" s="1"/>
  <c r="W955" i="1"/>
  <c r="W955" i="1" a="1"/>
  <c r="Q955" i="1"/>
  <c r="R955" i="1" s="1"/>
  <c r="X954" i="1"/>
  <c r="W954" i="1"/>
  <c r="W954" i="1" a="1"/>
  <c r="Q954" i="1"/>
  <c r="R954" i="1" s="1"/>
  <c r="W953" i="1"/>
  <c r="W953" i="1" a="1"/>
  <c r="Q953" i="1"/>
  <c r="R953" i="1" s="1"/>
  <c r="W952" i="1" a="1"/>
  <c r="W952" i="1" s="1"/>
  <c r="Q952" i="1"/>
  <c r="R952" i="1" s="1"/>
  <c r="W951" i="1" a="1"/>
  <c r="W951" i="1" s="1"/>
  <c r="X951" i="1" s="1"/>
  <c r="R951" i="1"/>
  <c r="Q951" i="1"/>
  <c r="W950" i="1"/>
  <c r="W950" i="1" a="1"/>
  <c r="Q950" i="1"/>
  <c r="R950" i="1" s="1"/>
  <c r="W949" i="1" a="1"/>
  <c r="W949" i="1" s="1"/>
  <c r="Q949" i="1"/>
  <c r="R949" i="1" s="1"/>
  <c r="X948" i="1"/>
  <c r="W948" i="1"/>
  <c r="W948" i="1" a="1"/>
  <c r="R948" i="1"/>
  <c r="Q948" i="1"/>
  <c r="W947" i="1"/>
  <c r="X947" i="1" s="1"/>
  <c r="W947" i="1" a="1"/>
  <c r="R947" i="1"/>
  <c r="Q947" i="1"/>
  <c r="W946" i="1" a="1"/>
  <c r="W946" i="1" s="1"/>
  <c r="Q946" i="1"/>
  <c r="X946" i="1" s="1"/>
  <c r="W945" i="1"/>
  <c r="W945" i="1" a="1"/>
  <c r="R945" i="1"/>
  <c r="Q945" i="1"/>
  <c r="X945" i="1" s="1"/>
  <c r="W944" i="1"/>
  <c r="W944" i="1" a="1"/>
  <c r="Q944" i="1"/>
  <c r="X944" i="1" s="1"/>
  <c r="W943" i="1"/>
  <c r="W943" i="1" a="1"/>
  <c r="Q943" i="1"/>
  <c r="R943" i="1" s="1"/>
  <c r="X942" i="1"/>
  <c r="W942" i="1"/>
  <c r="W942" i="1" a="1"/>
  <c r="Q942" i="1"/>
  <c r="R942" i="1" s="1"/>
  <c r="W941" i="1"/>
  <c r="W941" i="1" a="1"/>
  <c r="Q941" i="1"/>
  <c r="R941" i="1" s="1"/>
  <c r="W940" i="1" a="1"/>
  <c r="W940" i="1" s="1"/>
  <c r="Q940" i="1"/>
  <c r="R940" i="1" s="1"/>
  <c r="W939" i="1" a="1"/>
  <c r="W939" i="1" s="1"/>
  <c r="X939" i="1" s="1"/>
  <c r="R939" i="1"/>
  <c r="Q939" i="1"/>
  <c r="W938" i="1"/>
  <c r="W938" i="1" a="1"/>
  <c r="Q938" i="1"/>
  <c r="R938" i="1" s="1"/>
  <c r="W937" i="1" a="1"/>
  <c r="W937" i="1" s="1"/>
  <c r="Q937" i="1"/>
  <c r="R937" i="1" s="1"/>
  <c r="X936" i="1"/>
  <c r="W936" i="1"/>
  <c r="W936" i="1" a="1"/>
  <c r="R936" i="1"/>
  <c r="Q936" i="1"/>
  <c r="W935" i="1"/>
  <c r="X935" i="1" s="1"/>
  <c r="W935" i="1" a="1"/>
  <c r="R935" i="1"/>
  <c r="Q935" i="1"/>
  <c r="W934" i="1" a="1"/>
  <c r="W934" i="1" s="1"/>
  <c r="Q934" i="1"/>
  <c r="X934" i="1" s="1"/>
  <c r="W933" i="1"/>
  <c r="W933" i="1" a="1"/>
  <c r="R933" i="1"/>
  <c r="Q933" i="1"/>
  <c r="X933" i="1" s="1"/>
  <c r="W932" i="1"/>
  <c r="W932" i="1" a="1"/>
  <c r="Q932" i="1"/>
  <c r="X932" i="1" s="1"/>
  <c r="W931" i="1"/>
  <c r="W931" i="1" a="1"/>
  <c r="Q931" i="1"/>
  <c r="R931" i="1" s="1"/>
  <c r="X930" i="1"/>
  <c r="W930" i="1"/>
  <c r="W930" i="1" a="1"/>
  <c r="Q930" i="1"/>
  <c r="R930" i="1" s="1"/>
  <c r="W929" i="1"/>
  <c r="W929" i="1" a="1"/>
  <c r="Q929" i="1"/>
  <c r="R929" i="1" s="1"/>
  <c r="W928" i="1" a="1"/>
  <c r="W928" i="1" s="1"/>
  <c r="Q928" i="1"/>
  <c r="R928" i="1" s="1"/>
  <c r="W927" i="1" a="1"/>
  <c r="W927" i="1" s="1"/>
  <c r="X927" i="1" s="1"/>
  <c r="R927" i="1"/>
  <c r="Q927" i="1"/>
  <c r="W926" i="1"/>
  <c r="W926" i="1" a="1"/>
  <c r="Q926" i="1"/>
  <c r="R926" i="1" s="1"/>
  <c r="W925" i="1" a="1"/>
  <c r="W925" i="1" s="1"/>
  <c r="Q925" i="1"/>
  <c r="R925" i="1" s="1"/>
  <c r="W924" i="1" a="1"/>
  <c r="W924" i="1" s="1"/>
  <c r="X924" i="1" s="1"/>
  <c r="R924" i="1"/>
  <c r="Q924" i="1"/>
  <c r="W923" i="1"/>
  <c r="X923" i="1" s="1"/>
  <c r="W923" i="1" a="1"/>
  <c r="R923" i="1"/>
  <c r="Q923" i="1"/>
  <c r="W922" i="1" a="1"/>
  <c r="W922" i="1" s="1"/>
  <c r="Q922" i="1"/>
  <c r="X922" i="1" s="1"/>
  <c r="W921" i="1"/>
  <c r="W921" i="1" a="1"/>
  <c r="R921" i="1"/>
  <c r="Q921" i="1"/>
  <c r="X921" i="1" s="1"/>
  <c r="W920" i="1"/>
  <c r="W920" i="1" a="1"/>
  <c r="Q920" i="1"/>
  <c r="X920" i="1" s="1"/>
  <c r="W919" i="1"/>
  <c r="W919" i="1" a="1"/>
  <c r="Q919" i="1"/>
  <c r="R919" i="1" s="1"/>
  <c r="X918" i="1"/>
  <c r="W918" i="1"/>
  <c r="W918" i="1" a="1"/>
  <c r="Q918" i="1"/>
  <c r="R918" i="1" s="1"/>
  <c r="W917" i="1"/>
  <c r="W917" i="1" a="1"/>
  <c r="Q917" i="1"/>
  <c r="R917" i="1" s="1"/>
  <c r="W916" i="1" a="1"/>
  <c r="W916" i="1" s="1"/>
  <c r="Q916" i="1"/>
  <c r="R916" i="1" s="1"/>
  <c r="W915" i="1" a="1"/>
  <c r="W915" i="1" s="1"/>
  <c r="X915" i="1" s="1"/>
  <c r="R915" i="1"/>
  <c r="Q915" i="1"/>
  <c r="W914" i="1"/>
  <c r="W914" i="1" a="1"/>
  <c r="Q914" i="1"/>
  <c r="W913" i="1" a="1"/>
  <c r="W913" i="1" s="1"/>
  <c r="Q913" i="1"/>
  <c r="R913" i="1" s="1"/>
  <c r="X912" i="1"/>
  <c r="W912" i="1" a="1"/>
  <c r="W912" i="1" s="1"/>
  <c r="R912" i="1"/>
  <c r="Q912" i="1"/>
  <c r="W911" i="1"/>
  <c r="X911" i="1" s="1"/>
  <c r="W911" i="1" a="1"/>
  <c r="R911" i="1"/>
  <c r="Q911" i="1"/>
  <c r="W910" i="1" a="1"/>
  <c r="W910" i="1" s="1"/>
  <c r="Q910" i="1"/>
  <c r="W909" i="1"/>
  <c r="W909" i="1" a="1"/>
  <c r="R909" i="1"/>
  <c r="Q909" i="1"/>
  <c r="X909" i="1" s="1"/>
  <c r="W908" i="1"/>
  <c r="W908" i="1" a="1"/>
  <c r="Q908" i="1"/>
  <c r="R908" i="1" s="1"/>
  <c r="W907" i="1"/>
  <c r="W907" i="1" a="1"/>
  <c r="Q907" i="1"/>
  <c r="R907" i="1" s="1"/>
  <c r="X906" i="1"/>
  <c r="W906" i="1"/>
  <c r="W906" i="1" a="1"/>
  <c r="Q906" i="1"/>
  <c r="R906" i="1" s="1"/>
  <c r="W905" i="1" a="1"/>
  <c r="W905" i="1" s="1"/>
  <c r="X905" i="1" s="1"/>
  <c r="R905" i="1"/>
  <c r="Q905" i="1"/>
  <c r="W904" i="1" a="1"/>
  <c r="W904" i="1" s="1"/>
  <c r="X904" i="1" s="1"/>
  <c r="R904" i="1"/>
  <c r="Q904" i="1"/>
  <c r="W903" i="1"/>
  <c r="W903" i="1" a="1"/>
  <c r="R903" i="1"/>
  <c r="Q903" i="1"/>
  <c r="X903" i="1" s="1"/>
  <c r="W902" i="1"/>
  <c r="W902" i="1" a="1"/>
  <c r="R902" i="1"/>
  <c r="Q902" i="1"/>
  <c r="X902" i="1" s="1"/>
  <c r="W901" i="1"/>
  <c r="X901" i="1" s="1"/>
  <c r="W901" i="1" a="1"/>
  <c r="Q901" i="1"/>
  <c r="R901" i="1" s="1"/>
  <c r="W900" i="1"/>
  <c r="W900" i="1" a="1"/>
  <c r="Q900" i="1"/>
  <c r="X900" i="1" s="1"/>
  <c r="W899" i="1"/>
  <c r="W899" i="1" a="1"/>
  <c r="Q899" i="1"/>
  <c r="R899" i="1" s="1"/>
  <c r="W898" i="1"/>
  <c r="W898" i="1" a="1"/>
  <c r="Q898" i="1"/>
  <c r="R898" i="1" s="1"/>
  <c r="W897" i="1"/>
  <c r="W897" i="1" a="1"/>
  <c r="Q897" i="1"/>
  <c r="R897" i="1" s="1"/>
  <c r="W896" i="1"/>
  <c r="W896" i="1" a="1"/>
  <c r="Q896" i="1"/>
  <c r="R896" i="1" s="1"/>
  <c r="W895" i="1"/>
  <c r="W895" i="1" a="1"/>
  <c r="Q895" i="1"/>
  <c r="X895" i="1" s="1"/>
  <c r="X894" i="1"/>
  <c r="W894" i="1"/>
  <c r="W894" i="1" a="1"/>
  <c r="Q894" i="1"/>
  <c r="R894" i="1" s="1"/>
  <c r="W893" i="1" a="1"/>
  <c r="W893" i="1" s="1"/>
  <c r="X893" i="1" s="1"/>
  <c r="R893" i="1"/>
  <c r="Q893" i="1"/>
  <c r="W892" i="1" a="1"/>
  <c r="W892" i="1" s="1"/>
  <c r="R892" i="1"/>
  <c r="Q892" i="1"/>
  <c r="X892" i="1" s="1"/>
  <c r="W891" i="1"/>
  <c r="W891" i="1" a="1"/>
  <c r="R891" i="1"/>
  <c r="Q891" i="1"/>
  <c r="X891" i="1" s="1"/>
  <c r="W890" i="1"/>
  <c r="X890" i="1" s="1"/>
  <c r="W890" i="1" a="1"/>
  <c r="R890" i="1"/>
  <c r="Q890" i="1"/>
  <c r="W889" i="1"/>
  <c r="X889" i="1" s="1"/>
  <c r="W889" i="1" a="1"/>
  <c r="Q889" i="1"/>
  <c r="R889" i="1" s="1"/>
  <c r="W888" i="1"/>
  <c r="W888" i="1" a="1"/>
  <c r="Q888" i="1"/>
  <c r="X888" i="1" s="1"/>
  <c r="W887" i="1"/>
  <c r="W887" i="1" a="1"/>
  <c r="Q887" i="1"/>
  <c r="R887" i="1" s="1"/>
  <c r="W886" i="1"/>
  <c r="W886" i="1" a="1"/>
  <c r="Q886" i="1"/>
  <c r="R886" i="1" s="1"/>
  <c r="W885" i="1"/>
  <c r="W885" i="1" a="1"/>
  <c r="Q885" i="1"/>
  <c r="R885" i="1" s="1"/>
  <c r="W884" i="1"/>
  <c r="W884" i="1" a="1"/>
  <c r="Q884" i="1"/>
  <c r="R884" i="1" s="1"/>
  <c r="W883" i="1"/>
  <c r="W883" i="1" a="1"/>
  <c r="Q883" i="1"/>
  <c r="X883" i="1" s="1"/>
  <c r="X882" i="1"/>
  <c r="W882" i="1"/>
  <c r="W882" i="1" a="1"/>
  <c r="R882" i="1"/>
  <c r="Q882" i="1"/>
  <c r="W881" i="1" a="1"/>
  <c r="W881" i="1" s="1"/>
  <c r="X881" i="1" s="1"/>
  <c r="R881" i="1"/>
  <c r="Q881" i="1"/>
  <c r="W880" i="1" a="1"/>
  <c r="W880" i="1" s="1"/>
  <c r="R880" i="1"/>
  <c r="Q880" i="1"/>
  <c r="W879" i="1"/>
  <c r="W879" i="1" a="1"/>
  <c r="R879" i="1"/>
  <c r="Q879" i="1"/>
  <c r="X879" i="1" s="1"/>
  <c r="W878" i="1"/>
  <c r="X878" i="1" s="1"/>
  <c r="W878" i="1" a="1"/>
  <c r="R878" i="1"/>
  <c r="Q878" i="1"/>
  <c r="W877" i="1"/>
  <c r="X877" i="1" s="1"/>
  <c r="W877" i="1" a="1"/>
  <c r="Q877" i="1"/>
  <c r="R877" i="1" s="1"/>
  <c r="W876" i="1"/>
  <c r="W876" i="1" a="1"/>
  <c r="Q876" i="1"/>
  <c r="X876" i="1" s="1"/>
  <c r="W875" i="1"/>
  <c r="W875" i="1" a="1"/>
  <c r="Q875" i="1"/>
  <c r="R875" i="1" s="1"/>
  <c r="W874" i="1"/>
  <c r="W874" i="1" a="1"/>
  <c r="Q874" i="1"/>
  <c r="R874" i="1" s="1"/>
  <c r="W873" i="1"/>
  <c r="W873" i="1" a="1"/>
  <c r="Q873" i="1"/>
  <c r="R873" i="1" s="1"/>
  <c r="W872" i="1"/>
  <c r="W872" i="1" a="1"/>
  <c r="Q872" i="1"/>
  <c r="R872" i="1" s="1"/>
  <c r="W871" i="1"/>
  <c r="W871" i="1" a="1"/>
  <c r="Q871" i="1"/>
  <c r="X871" i="1" s="1"/>
  <c r="X870" i="1"/>
  <c r="W870" i="1"/>
  <c r="W870" i="1" a="1"/>
  <c r="R870" i="1"/>
  <c r="Q870" i="1"/>
  <c r="W869" i="1" a="1"/>
  <c r="W869" i="1" s="1"/>
  <c r="X869" i="1" s="1"/>
  <c r="R869" i="1"/>
  <c r="Q869" i="1"/>
  <c r="W868" i="1" a="1"/>
  <c r="W868" i="1" s="1"/>
  <c r="R868" i="1"/>
  <c r="Q868" i="1"/>
  <c r="X868" i="1" s="1"/>
  <c r="W867" i="1"/>
  <c r="W867" i="1" a="1"/>
  <c r="R867" i="1"/>
  <c r="Q867" i="1"/>
  <c r="X867" i="1" s="1"/>
  <c r="W866" i="1"/>
  <c r="X866" i="1" s="1"/>
  <c r="W866" i="1" a="1"/>
  <c r="R866" i="1"/>
  <c r="Q866" i="1"/>
  <c r="W865" i="1"/>
  <c r="X865" i="1" s="1"/>
  <c r="W865" i="1" a="1"/>
  <c r="Q865" i="1"/>
  <c r="R865" i="1" s="1"/>
  <c r="W864" i="1"/>
  <c r="W864" i="1" a="1"/>
  <c r="Q864" i="1"/>
  <c r="X864" i="1" s="1"/>
  <c r="W863" i="1"/>
  <c r="W863" i="1" a="1"/>
  <c r="Q863" i="1"/>
  <c r="R863" i="1" s="1"/>
  <c r="W862" i="1"/>
  <c r="W862" i="1" a="1"/>
  <c r="Q862" i="1"/>
  <c r="R862" i="1" s="1"/>
  <c r="W861" i="1" a="1"/>
  <c r="W861" i="1" s="1"/>
  <c r="Q861" i="1"/>
  <c r="R861" i="1" s="1"/>
  <c r="W860" i="1"/>
  <c r="W860" i="1" a="1"/>
  <c r="Q860" i="1"/>
  <c r="R860" i="1" s="1"/>
  <c r="W859" i="1"/>
  <c r="W859" i="1" a="1"/>
  <c r="Q859" i="1"/>
  <c r="X859" i="1" s="1"/>
  <c r="W858" i="1"/>
  <c r="X858" i="1" s="1"/>
  <c r="W858" i="1" a="1"/>
  <c r="R858" i="1"/>
  <c r="Q858" i="1"/>
  <c r="W857" i="1" a="1"/>
  <c r="W857" i="1" s="1"/>
  <c r="X857" i="1" s="1"/>
  <c r="R857" i="1"/>
  <c r="Q857" i="1"/>
  <c r="W856" i="1" a="1"/>
  <c r="W856" i="1" s="1"/>
  <c r="R856" i="1"/>
  <c r="Q856" i="1"/>
  <c r="W855" i="1"/>
  <c r="W855" i="1" a="1"/>
  <c r="Q855" i="1"/>
  <c r="R855" i="1" s="1"/>
  <c r="W854" i="1"/>
  <c r="X854" i="1" s="1"/>
  <c r="W854" i="1" a="1"/>
  <c r="R854" i="1"/>
  <c r="Q854" i="1"/>
  <c r="W853" i="1"/>
  <c r="X853" i="1" s="1"/>
  <c r="W853" i="1" a="1"/>
  <c r="Q853" i="1"/>
  <c r="R853" i="1" s="1"/>
  <c r="W852" i="1"/>
  <c r="W852" i="1" a="1"/>
  <c r="Q852" i="1"/>
  <c r="X852" i="1" s="1"/>
  <c r="W851" i="1"/>
  <c r="W851" i="1" a="1"/>
  <c r="Q851" i="1"/>
  <c r="R851" i="1" s="1"/>
  <c r="W850" i="1"/>
  <c r="W850" i="1" a="1"/>
  <c r="Q850" i="1"/>
  <c r="W849" i="1" a="1"/>
  <c r="W849" i="1" s="1"/>
  <c r="Q849" i="1"/>
  <c r="X848" i="1"/>
  <c r="W848" i="1"/>
  <c r="W848" i="1" a="1"/>
  <c r="Q848" i="1"/>
  <c r="R848" i="1" s="1"/>
  <c r="X847" i="1"/>
  <c r="W847" i="1"/>
  <c r="W847" i="1" a="1"/>
  <c r="Q847" i="1"/>
  <c r="R847" i="1" s="1"/>
  <c r="W846" i="1" a="1"/>
  <c r="W846" i="1" s="1"/>
  <c r="X846" i="1" s="1"/>
  <c r="R846" i="1"/>
  <c r="Q846" i="1"/>
  <c r="X845" i="1"/>
  <c r="W845" i="1" a="1"/>
  <c r="W845" i="1" s="1"/>
  <c r="R845" i="1"/>
  <c r="Q845" i="1"/>
  <c r="W844" i="1"/>
  <c r="W844" i="1" a="1"/>
  <c r="R844" i="1"/>
  <c r="Q844" i="1"/>
  <c r="W843" i="1" a="1"/>
  <c r="W843" i="1" s="1"/>
  <c r="Q843" i="1"/>
  <c r="X842" i="1"/>
  <c r="W842" i="1"/>
  <c r="W842" i="1" a="1"/>
  <c r="R842" i="1"/>
  <c r="Q842" i="1"/>
  <c r="W841" i="1" a="1"/>
  <c r="W841" i="1" s="1"/>
  <c r="Q841" i="1"/>
  <c r="W840" i="1" a="1"/>
  <c r="W840" i="1" s="1"/>
  <c r="R840" i="1"/>
  <c r="Q840" i="1"/>
  <c r="W839" i="1"/>
  <c r="W839" i="1" a="1"/>
  <c r="Q839" i="1"/>
  <c r="R839" i="1" s="1"/>
  <c r="W838" i="1"/>
  <c r="X838" i="1" s="1"/>
  <c r="W838" i="1" a="1"/>
  <c r="R838" i="1"/>
  <c r="Q838" i="1"/>
  <c r="W837" i="1"/>
  <c r="X837" i="1" s="1"/>
  <c r="W837" i="1" a="1"/>
  <c r="R837" i="1"/>
  <c r="Q837" i="1"/>
  <c r="W836" i="1"/>
  <c r="W836" i="1" a="1"/>
  <c r="Q836" i="1"/>
  <c r="W835" i="1"/>
  <c r="W835" i="1" a="1"/>
  <c r="Q835" i="1"/>
  <c r="R835" i="1" s="1"/>
  <c r="X834" i="1"/>
  <c r="W834" i="1"/>
  <c r="W834" i="1" a="1"/>
  <c r="Q834" i="1"/>
  <c r="R834" i="1" s="1"/>
  <c r="W833" i="1"/>
  <c r="W833" i="1" a="1"/>
  <c r="Q833" i="1"/>
  <c r="R833" i="1" s="1"/>
  <c r="W832" i="1" a="1"/>
  <c r="W832" i="1" s="1"/>
  <c r="Q832" i="1"/>
  <c r="R832" i="1" s="1"/>
  <c r="X831" i="1"/>
  <c r="W831" i="1"/>
  <c r="W831" i="1" a="1"/>
  <c r="R831" i="1"/>
  <c r="Q831" i="1"/>
  <c r="W830" i="1"/>
  <c r="W830" i="1" a="1"/>
  <c r="Q830" i="1"/>
  <c r="R830" i="1" s="1"/>
  <c r="W829" i="1" a="1"/>
  <c r="W829" i="1" s="1"/>
  <c r="Q829" i="1"/>
  <c r="W828" i="1"/>
  <c r="W828" i="1" a="1"/>
  <c r="R828" i="1"/>
  <c r="Q828" i="1"/>
  <c r="X828" i="1" s="1"/>
  <c r="W827" i="1"/>
  <c r="W827" i="1" a="1"/>
  <c r="Q827" i="1"/>
  <c r="R827" i="1" s="1"/>
  <c r="W826" i="1"/>
  <c r="X826" i="1" s="1"/>
  <c r="W826" i="1" a="1"/>
  <c r="R826" i="1"/>
  <c r="Q826" i="1"/>
  <c r="W825" i="1"/>
  <c r="X825" i="1" s="1"/>
  <c r="W825" i="1" a="1"/>
  <c r="R825" i="1"/>
  <c r="Q825" i="1"/>
  <c r="W824" i="1"/>
  <c r="W824" i="1" a="1"/>
  <c r="Q824" i="1"/>
  <c r="W823" i="1"/>
  <c r="W823" i="1" a="1"/>
  <c r="Q823" i="1"/>
  <c r="R823" i="1" s="1"/>
  <c r="X822" i="1"/>
  <c r="W822" i="1"/>
  <c r="W822" i="1" a="1"/>
  <c r="Q822" i="1"/>
  <c r="R822" i="1" s="1"/>
  <c r="W821" i="1"/>
  <c r="W821" i="1" a="1"/>
  <c r="Q821" i="1"/>
  <c r="R821" i="1" s="1"/>
  <c r="W820" i="1" a="1"/>
  <c r="W820" i="1" s="1"/>
  <c r="Q820" i="1"/>
  <c r="R820" i="1" s="1"/>
  <c r="X819" i="1"/>
  <c r="W819" i="1"/>
  <c r="W819" i="1" a="1"/>
  <c r="R819" i="1"/>
  <c r="Q819" i="1"/>
  <c r="W818" i="1"/>
  <c r="W818" i="1" a="1"/>
  <c r="Q818" i="1"/>
  <c r="R818" i="1" s="1"/>
  <c r="W817" i="1" a="1"/>
  <c r="W817" i="1" s="1"/>
  <c r="Q817" i="1"/>
  <c r="X817" i="1" s="1"/>
  <c r="W816" i="1"/>
  <c r="W816" i="1" a="1"/>
  <c r="R816" i="1"/>
  <c r="Q816" i="1"/>
  <c r="X816" i="1" s="1"/>
  <c r="W815" i="1"/>
  <c r="W815" i="1" a="1"/>
  <c r="Q815" i="1"/>
  <c r="R815" i="1" s="1"/>
  <c r="W814" i="1"/>
  <c r="X814" i="1" s="1"/>
  <c r="W814" i="1" a="1"/>
  <c r="R814" i="1"/>
  <c r="Q814" i="1"/>
  <c r="W813" i="1"/>
  <c r="X813" i="1" s="1"/>
  <c r="W813" i="1" a="1"/>
  <c r="R813" i="1"/>
  <c r="Q813" i="1"/>
  <c r="W812" i="1"/>
  <c r="W812" i="1" a="1"/>
  <c r="Q812" i="1"/>
  <c r="W811" i="1"/>
  <c r="W811" i="1" a="1"/>
  <c r="Q811" i="1"/>
  <c r="R811" i="1" s="1"/>
  <c r="X810" i="1"/>
  <c r="W810" i="1"/>
  <c r="W810" i="1" a="1"/>
  <c r="Q810" i="1"/>
  <c r="R810" i="1" s="1"/>
  <c r="W809" i="1"/>
  <c r="W809" i="1" a="1"/>
  <c r="Q809" i="1"/>
  <c r="R809" i="1" s="1"/>
  <c r="W808" i="1" a="1"/>
  <c r="W808" i="1" s="1"/>
  <c r="Q808" i="1"/>
  <c r="R808" i="1" s="1"/>
  <c r="X807" i="1"/>
  <c r="W807" i="1"/>
  <c r="W807" i="1" a="1"/>
  <c r="R807" i="1"/>
  <c r="Q807" i="1"/>
  <c r="W806" i="1"/>
  <c r="W806" i="1" a="1"/>
  <c r="Q806" i="1"/>
  <c r="R806" i="1" s="1"/>
  <c r="W805" i="1" a="1"/>
  <c r="W805" i="1" s="1"/>
  <c r="Q805" i="1"/>
  <c r="X805" i="1" s="1"/>
  <c r="W804" i="1"/>
  <c r="W804" i="1" a="1"/>
  <c r="R804" i="1"/>
  <c r="Q804" i="1"/>
  <c r="X804" i="1" s="1"/>
  <c r="W803" i="1"/>
  <c r="W803" i="1" a="1"/>
  <c r="Q803" i="1"/>
  <c r="R803" i="1" s="1"/>
  <c r="W802" i="1"/>
  <c r="X802" i="1" s="1"/>
  <c r="W802" i="1" a="1"/>
  <c r="R802" i="1"/>
  <c r="Q802" i="1"/>
  <c r="W801" i="1"/>
  <c r="X801" i="1" s="1"/>
  <c r="W801" i="1" a="1"/>
  <c r="R801" i="1"/>
  <c r="Q801" i="1"/>
  <c r="W800" i="1"/>
  <c r="W800" i="1" a="1"/>
  <c r="Q800" i="1"/>
  <c r="W799" i="1"/>
  <c r="W799" i="1" a="1"/>
  <c r="Q799" i="1"/>
  <c r="R799" i="1" s="1"/>
  <c r="X798" i="1"/>
  <c r="W798" i="1"/>
  <c r="W798" i="1" a="1"/>
  <c r="Q798" i="1"/>
  <c r="R798" i="1" s="1"/>
  <c r="W797" i="1"/>
  <c r="W797" i="1" a="1"/>
  <c r="Q797" i="1"/>
  <c r="R797" i="1" s="1"/>
  <c r="W796" i="1" a="1"/>
  <c r="W796" i="1" s="1"/>
  <c r="Q796" i="1"/>
  <c r="R796" i="1" s="1"/>
  <c r="X795" i="1"/>
  <c r="W795" i="1"/>
  <c r="W795" i="1" a="1"/>
  <c r="R795" i="1"/>
  <c r="Q795" i="1"/>
  <c r="W794" i="1"/>
  <c r="W794" i="1" a="1"/>
  <c r="Q794" i="1"/>
  <c r="R794" i="1" s="1"/>
  <c r="W793" i="1" a="1"/>
  <c r="W793" i="1" s="1"/>
  <c r="Q793" i="1"/>
  <c r="W792" i="1" a="1"/>
  <c r="W792" i="1" s="1"/>
  <c r="R792" i="1"/>
  <c r="Q792" i="1"/>
  <c r="X792" i="1" s="1"/>
  <c r="W791" i="1"/>
  <c r="W791" i="1" a="1"/>
  <c r="R791" i="1"/>
  <c r="Q791" i="1"/>
  <c r="X791" i="1" s="1"/>
  <c r="W790" i="1"/>
  <c r="X790" i="1" s="1"/>
  <c r="W790" i="1" a="1"/>
  <c r="R790" i="1"/>
  <c r="Q790" i="1"/>
  <c r="W789" i="1"/>
  <c r="W789" i="1" a="1"/>
  <c r="R789" i="1"/>
  <c r="Q789" i="1"/>
  <c r="X789" i="1" s="1"/>
  <c r="W788" i="1"/>
  <c r="W788" i="1" a="1"/>
  <c r="Q788" i="1"/>
  <c r="W787" i="1"/>
  <c r="W787" i="1" a="1"/>
  <c r="Q787" i="1"/>
  <c r="R787" i="1" s="1"/>
  <c r="X786" i="1"/>
  <c r="W786" i="1"/>
  <c r="W786" i="1" a="1"/>
  <c r="Q786" i="1"/>
  <c r="R786" i="1" s="1"/>
  <c r="W785" i="1"/>
  <c r="W785" i="1" a="1"/>
  <c r="Q785" i="1"/>
  <c r="W784" i="1" a="1"/>
  <c r="W784" i="1" s="1"/>
  <c r="Q784" i="1"/>
  <c r="X783" i="1"/>
  <c r="W783" i="1"/>
  <c r="W783" i="1" a="1"/>
  <c r="R783" i="1"/>
  <c r="Q783" i="1"/>
  <c r="X782" i="1"/>
  <c r="W782" i="1"/>
  <c r="W782" i="1" a="1"/>
  <c r="R782" i="1"/>
  <c r="Q782" i="1"/>
  <c r="X781" i="1"/>
  <c r="W781" i="1" a="1"/>
  <c r="W781" i="1" s="1"/>
  <c r="Q781" i="1"/>
  <c r="R781" i="1" s="1"/>
  <c r="X780" i="1"/>
  <c r="W780" i="1" a="1"/>
  <c r="W780" i="1" s="1"/>
  <c r="Q780" i="1"/>
  <c r="R780" i="1" s="1"/>
  <c r="W779" i="1" a="1"/>
  <c r="W779" i="1" s="1"/>
  <c r="R779" i="1"/>
  <c r="Q779" i="1"/>
  <c r="X779" i="1" s="1"/>
  <c r="W778" i="1"/>
  <c r="W778" i="1" a="1"/>
  <c r="Q778" i="1"/>
  <c r="R778" i="1" s="1"/>
  <c r="X777" i="1"/>
  <c r="W777" i="1"/>
  <c r="W777" i="1" a="1"/>
  <c r="Q777" i="1"/>
  <c r="R777" i="1" s="1"/>
  <c r="X776" i="1"/>
  <c r="W776" i="1"/>
  <c r="W776" i="1" a="1"/>
  <c r="Q776" i="1"/>
  <c r="R776" i="1" s="1"/>
  <c r="W775" i="1"/>
  <c r="W775" i="1" a="1"/>
  <c r="Q775" i="1"/>
  <c r="R775" i="1" s="1"/>
  <c r="W774" i="1"/>
  <c r="W774" i="1" a="1"/>
  <c r="R774" i="1"/>
  <c r="Q774" i="1"/>
  <c r="X774" i="1" s="1"/>
  <c r="W773" i="1"/>
  <c r="X773" i="1" s="1"/>
  <c r="W773" i="1" a="1"/>
  <c r="R773" i="1"/>
  <c r="Q773" i="1"/>
  <c r="W772" i="1"/>
  <c r="W772" i="1" a="1"/>
  <c r="Q772" i="1"/>
  <c r="W771" i="1"/>
  <c r="W771" i="1" a="1"/>
  <c r="Q771" i="1"/>
  <c r="R771" i="1" s="1"/>
  <c r="X770" i="1"/>
  <c r="W770" i="1"/>
  <c r="W770" i="1" a="1"/>
  <c r="Q770" i="1"/>
  <c r="R770" i="1" s="1"/>
  <c r="W769" i="1"/>
  <c r="X769" i="1" s="1"/>
  <c r="W769" i="1" a="1"/>
  <c r="R769" i="1"/>
  <c r="Q769" i="1"/>
  <c r="W768" i="1" a="1"/>
  <c r="W768" i="1" s="1"/>
  <c r="Q768" i="1"/>
  <c r="R768" i="1" s="1"/>
  <c r="W767" i="1" a="1"/>
  <c r="W767" i="1" s="1"/>
  <c r="R767" i="1"/>
  <c r="Q767" i="1"/>
  <c r="X767" i="1" s="1"/>
  <c r="W766" i="1"/>
  <c r="W766" i="1" a="1"/>
  <c r="Q766" i="1"/>
  <c r="R766" i="1" s="1"/>
  <c r="X765" i="1"/>
  <c r="W765" i="1"/>
  <c r="W765" i="1" a="1"/>
  <c r="Q765" i="1"/>
  <c r="R765" i="1" s="1"/>
  <c r="W764" i="1"/>
  <c r="X764" i="1" s="1"/>
  <c r="W764" i="1" a="1"/>
  <c r="Q764" i="1"/>
  <c r="R764" i="1" s="1"/>
  <c r="W763" i="1"/>
  <c r="W763" i="1" a="1"/>
  <c r="Q763" i="1"/>
  <c r="R763" i="1" s="1"/>
  <c r="W762" i="1"/>
  <c r="W762" i="1" a="1"/>
  <c r="R762" i="1"/>
  <c r="Q762" i="1"/>
  <c r="X762" i="1" s="1"/>
  <c r="W761" i="1"/>
  <c r="W761" i="1" a="1"/>
  <c r="Q761" i="1"/>
  <c r="R761" i="1" s="1"/>
  <c r="W760" i="1"/>
  <c r="W760" i="1" a="1"/>
  <c r="Q760" i="1"/>
  <c r="W759" i="1"/>
  <c r="W759" i="1" a="1"/>
  <c r="Q759" i="1"/>
  <c r="R759" i="1" s="1"/>
  <c r="X758" i="1"/>
  <c r="W758" i="1"/>
  <c r="W758" i="1" a="1"/>
  <c r="Q758" i="1"/>
  <c r="R758" i="1" s="1"/>
  <c r="W757" i="1"/>
  <c r="X757" i="1" s="1"/>
  <c r="W757" i="1" a="1"/>
  <c r="R757" i="1"/>
  <c r="Q757" i="1"/>
  <c r="W756" i="1" a="1"/>
  <c r="W756" i="1" s="1"/>
  <c r="Q756" i="1"/>
  <c r="R756" i="1" s="1"/>
  <c r="W755" i="1" a="1"/>
  <c r="W755" i="1" s="1"/>
  <c r="R755" i="1"/>
  <c r="Q755" i="1"/>
  <c r="W754" i="1"/>
  <c r="W754" i="1" a="1"/>
  <c r="Q754" i="1"/>
  <c r="R754" i="1" s="1"/>
  <c r="X753" i="1"/>
  <c r="W753" i="1"/>
  <c r="W753" i="1" a="1"/>
  <c r="Q753" i="1"/>
  <c r="R753" i="1" s="1"/>
  <c r="W752" i="1"/>
  <c r="X752" i="1" s="1"/>
  <c r="W752" i="1" a="1"/>
  <c r="Q752" i="1"/>
  <c r="R752" i="1" s="1"/>
  <c r="W751" i="1"/>
  <c r="W751" i="1" a="1"/>
  <c r="Q751" i="1"/>
  <c r="R751" i="1" s="1"/>
  <c r="W750" i="1"/>
  <c r="W750" i="1" a="1"/>
  <c r="R750" i="1"/>
  <c r="Q750" i="1"/>
  <c r="X750" i="1" s="1"/>
  <c r="W749" i="1"/>
  <c r="W749" i="1" a="1"/>
  <c r="Q749" i="1"/>
  <c r="R749" i="1" s="1"/>
  <c r="W748" i="1"/>
  <c r="W748" i="1" a="1"/>
  <c r="Q748" i="1"/>
  <c r="W747" i="1"/>
  <c r="W747" i="1" a="1"/>
  <c r="Q747" i="1"/>
  <c r="R747" i="1" s="1"/>
  <c r="X746" i="1"/>
  <c r="W746" i="1"/>
  <c r="W746" i="1" a="1"/>
  <c r="Q746" i="1"/>
  <c r="R746" i="1" s="1"/>
  <c r="W745" i="1"/>
  <c r="X745" i="1" s="1"/>
  <c r="W745" i="1" a="1"/>
  <c r="R745" i="1"/>
  <c r="Q745" i="1"/>
  <c r="W744" i="1" a="1"/>
  <c r="W744" i="1" s="1"/>
  <c r="Q744" i="1"/>
  <c r="R744" i="1" s="1"/>
  <c r="W743" i="1" a="1"/>
  <c r="W743" i="1" s="1"/>
  <c r="R743" i="1"/>
  <c r="Q743" i="1"/>
  <c r="W742" i="1"/>
  <c r="W742" i="1" a="1"/>
  <c r="Q742" i="1"/>
  <c r="R742" i="1" s="1"/>
  <c r="X741" i="1"/>
  <c r="W741" i="1"/>
  <c r="W741" i="1" a="1"/>
  <c r="Q741" i="1"/>
  <c r="R741" i="1" s="1"/>
  <c r="W740" i="1"/>
  <c r="X740" i="1" s="1"/>
  <c r="W740" i="1" a="1"/>
  <c r="Q740" i="1"/>
  <c r="R740" i="1" s="1"/>
  <c r="W739" i="1"/>
  <c r="W739" i="1" a="1"/>
  <c r="Q739" i="1"/>
  <c r="R739" i="1" s="1"/>
  <c r="W738" i="1"/>
  <c r="W738" i="1" a="1"/>
  <c r="R738" i="1"/>
  <c r="Q738" i="1"/>
  <c r="X738" i="1" s="1"/>
  <c r="W737" i="1"/>
  <c r="W737" i="1" a="1"/>
  <c r="Q737" i="1"/>
  <c r="R737" i="1" s="1"/>
  <c r="W736" i="1"/>
  <c r="W736" i="1" a="1"/>
  <c r="Q736" i="1"/>
  <c r="W735" i="1"/>
  <c r="W735" i="1" a="1"/>
  <c r="Q735" i="1"/>
  <c r="R735" i="1" s="1"/>
  <c r="X734" i="1"/>
  <c r="W734" i="1"/>
  <c r="W734" i="1" a="1"/>
  <c r="Q734" i="1"/>
  <c r="R734" i="1" s="1"/>
  <c r="W733" i="1"/>
  <c r="X733" i="1" s="1"/>
  <c r="W733" i="1" a="1"/>
  <c r="R733" i="1"/>
  <c r="Q733" i="1"/>
  <c r="W732" i="1" a="1"/>
  <c r="W732" i="1" s="1"/>
  <c r="Q732" i="1"/>
  <c r="R732" i="1" s="1"/>
  <c r="W731" i="1" a="1"/>
  <c r="W731" i="1" s="1"/>
  <c r="R731" i="1"/>
  <c r="Q731" i="1"/>
  <c r="X731" i="1" s="1"/>
  <c r="W730" i="1"/>
  <c r="W730" i="1" a="1"/>
  <c r="Q730" i="1"/>
  <c r="R730" i="1" s="1"/>
  <c r="X729" i="1"/>
  <c r="W729" i="1"/>
  <c r="W729" i="1" a="1"/>
  <c r="Q729" i="1"/>
  <c r="R729" i="1" s="1"/>
  <c r="W728" i="1"/>
  <c r="X728" i="1" s="1"/>
  <c r="W728" i="1" a="1"/>
  <c r="Q728" i="1"/>
  <c r="R728" i="1" s="1"/>
  <c r="W727" i="1"/>
  <c r="W727" i="1" a="1"/>
  <c r="Q727" i="1"/>
  <c r="R727" i="1" s="1"/>
  <c r="W726" i="1"/>
  <c r="W726" i="1" a="1"/>
  <c r="R726" i="1"/>
  <c r="Q726" i="1"/>
  <c r="X726" i="1" s="1"/>
  <c r="W725" i="1"/>
  <c r="W725" i="1" a="1"/>
  <c r="Q725" i="1"/>
  <c r="R725" i="1" s="1"/>
  <c r="W724" i="1"/>
  <c r="W724" i="1" a="1"/>
  <c r="Q724" i="1"/>
  <c r="W723" i="1"/>
  <c r="W723" i="1" a="1"/>
  <c r="Q723" i="1"/>
  <c r="R723" i="1" s="1"/>
  <c r="X722" i="1"/>
  <c r="W722" i="1"/>
  <c r="W722" i="1" a="1"/>
  <c r="Q722" i="1"/>
  <c r="R722" i="1" s="1"/>
  <c r="W721" i="1"/>
  <c r="X721" i="1" s="1"/>
  <c r="W721" i="1" a="1"/>
  <c r="R721" i="1"/>
  <c r="Q721" i="1"/>
  <c r="W720" i="1" a="1"/>
  <c r="W720" i="1" s="1"/>
  <c r="X720" i="1" s="1"/>
  <c r="Q720" i="1"/>
  <c r="R720" i="1" s="1"/>
  <c r="W719" i="1" a="1"/>
  <c r="W719" i="1" s="1"/>
  <c r="R719" i="1"/>
  <c r="Q719" i="1"/>
  <c r="W718" i="1"/>
  <c r="W718" i="1" a="1"/>
  <c r="Q718" i="1"/>
  <c r="R718" i="1" s="1"/>
  <c r="W717" i="1"/>
  <c r="W717" i="1" a="1"/>
  <c r="Q717" i="1"/>
  <c r="X717" i="1" s="1"/>
  <c r="W716" i="1"/>
  <c r="X716" i="1" s="1"/>
  <c r="W716" i="1" a="1"/>
  <c r="Q716" i="1"/>
  <c r="R716" i="1" s="1"/>
  <c r="W715" i="1" a="1"/>
  <c r="W715" i="1" s="1"/>
  <c r="Q715" i="1"/>
  <c r="X715" i="1" s="1"/>
  <c r="W714" i="1"/>
  <c r="W714" i="1" a="1"/>
  <c r="Q714" i="1"/>
  <c r="X714" i="1" s="1"/>
  <c r="W713" i="1" a="1"/>
  <c r="W713" i="1" s="1"/>
  <c r="Q713" i="1"/>
  <c r="X713" i="1" s="1"/>
  <c r="X712" i="1"/>
  <c r="W712" i="1"/>
  <c r="W712" i="1" a="1"/>
  <c r="R712" i="1"/>
  <c r="Q712" i="1"/>
  <c r="W711" i="1" a="1"/>
  <c r="W711" i="1" s="1"/>
  <c r="Q711" i="1"/>
  <c r="R711" i="1" s="1"/>
  <c r="X710" i="1"/>
  <c r="W710" i="1"/>
  <c r="W710" i="1" a="1"/>
  <c r="Q710" i="1"/>
  <c r="R710" i="1" s="1"/>
  <c r="W709" i="1"/>
  <c r="W709" i="1" a="1"/>
  <c r="R709" i="1"/>
  <c r="Q709" i="1"/>
  <c r="X709" i="1" s="1"/>
  <c r="W708" i="1" a="1"/>
  <c r="W708" i="1" s="1"/>
  <c r="R708" i="1"/>
  <c r="Q708" i="1"/>
  <c r="X708" i="1" s="1"/>
  <c r="W707" i="1" a="1"/>
  <c r="W707" i="1" s="1"/>
  <c r="X707" i="1" s="1"/>
  <c r="R707" i="1"/>
  <c r="Q707" i="1"/>
  <c r="W706" i="1"/>
  <c r="W706" i="1" a="1"/>
  <c r="R706" i="1"/>
  <c r="Q706" i="1"/>
  <c r="X706" i="1" s="1"/>
  <c r="W705" i="1"/>
  <c r="W705" i="1" a="1"/>
  <c r="Q705" i="1"/>
  <c r="X705" i="1" s="1"/>
  <c r="W704" i="1"/>
  <c r="X704" i="1" s="1"/>
  <c r="W704" i="1" a="1"/>
  <c r="R704" i="1"/>
  <c r="Q704" i="1"/>
  <c r="W703" i="1"/>
  <c r="W703" i="1" a="1"/>
  <c r="Q703" i="1"/>
  <c r="R703" i="1" s="1"/>
  <c r="W702" i="1"/>
  <c r="W702" i="1" a="1"/>
  <c r="Q702" i="1"/>
  <c r="R702" i="1" s="1"/>
  <c r="W701" i="1" a="1"/>
  <c r="W701" i="1" s="1"/>
  <c r="X701" i="1" s="1"/>
  <c r="Q701" i="1"/>
  <c r="R701" i="1" s="1"/>
  <c r="W700" i="1"/>
  <c r="W700" i="1" a="1"/>
  <c r="Q700" i="1"/>
  <c r="X700" i="1" s="1"/>
  <c r="W699" i="1" a="1"/>
  <c r="W699" i="1" s="1"/>
  <c r="Q699" i="1"/>
  <c r="R699" i="1" s="1"/>
  <c r="W698" i="1" a="1"/>
  <c r="W698" i="1" s="1"/>
  <c r="X698" i="1" s="1"/>
  <c r="R698" i="1"/>
  <c r="Q698" i="1"/>
  <c r="W697" i="1"/>
  <c r="W697" i="1" a="1"/>
  <c r="Q697" i="1"/>
  <c r="R697" i="1" s="1"/>
  <c r="W696" i="1" a="1"/>
  <c r="W696" i="1" s="1"/>
  <c r="R696" i="1"/>
  <c r="Q696" i="1"/>
  <c r="X696" i="1" s="1"/>
  <c r="W695" i="1" a="1"/>
  <c r="W695" i="1" s="1"/>
  <c r="X695" i="1" s="1"/>
  <c r="R695" i="1"/>
  <c r="Q695" i="1"/>
  <c r="W694" i="1"/>
  <c r="W694" i="1" a="1"/>
  <c r="R694" i="1"/>
  <c r="Q694" i="1"/>
  <c r="X694" i="1" s="1"/>
  <c r="W693" i="1"/>
  <c r="W693" i="1" a="1"/>
  <c r="Q693" i="1"/>
  <c r="X693" i="1" s="1"/>
  <c r="W692" i="1"/>
  <c r="X692" i="1" s="1"/>
  <c r="W692" i="1" a="1"/>
  <c r="R692" i="1"/>
  <c r="Q692" i="1"/>
  <c r="W691" i="1"/>
  <c r="W691" i="1" a="1"/>
  <c r="Q691" i="1"/>
  <c r="R691" i="1" s="1"/>
  <c r="W690" i="1"/>
  <c r="W690" i="1" a="1"/>
  <c r="Q690" i="1"/>
  <c r="R690" i="1" s="1"/>
  <c r="W689" i="1" a="1"/>
  <c r="W689" i="1" s="1"/>
  <c r="X689" i="1" s="1"/>
  <c r="Q689" i="1"/>
  <c r="R689" i="1" s="1"/>
  <c r="W688" i="1"/>
  <c r="W688" i="1" a="1"/>
  <c r="Q688" i="1"/>
  <c r="X688" i="1" s="1"/>
  <c r="W687" i="1" a="1"/>
  <c r="W687" i="1" s="1"/>
  <c r="Q687" i="1"/>
  <c r="R687" i="1" s="1"/>
  <c r="W686" i="1" a="1"/>
  <c r="W686" i="1" s="1"/>
  <c r="X686" i="1" s="1"/>
  <c r="R686" i="1"/>
  <c r="Q686" i="1"/>
  <c r="W685" i="1"/>
  <c r="W685" i="1" a="1"/>
  <c r="Q685" i="1"/>
  <c r="R685" i="1" s="1"/>
  <c r="W684" i="1" a="1"/>
  <c r="W684" i="1" s="1"/>
  <c r="R684" i="1"/>
  <c r="Q684" i="1"/>
  <c r="W683" i="1" a="1"/>
  <c r="W683" i="1" s="1"/>
  <c r="X683" i="1" s="1"/>
  <c r="R683" i="1"/>
  <c r="Q683" i="1"/>
  <c r="W682" i="1"/>
  <c r="W682" i="1" a="1"/>
  <c r="R682" i="1"/>
  <c r="Q682" i="1"/>
  <c r="X682" i="1" s="1"/>
  <c r="W681" i="1"/>
  <c r="W681" i="1" a="1"/>
  <c r="Q681" i="1"/>
  <c r="X681" i="1" s="1"/>
  <c r="W680" i="1"/>
  <c r="X680" i="1" s="1"/>
  <c r="W680" i="1" a="1"/>
  <c r="R680" i="1"/>
  <c r="Q680" i="1"/>
  <c r="W679" i="1"/>
  <c r="W679" i="1" a="1"/>
  <c r="Q679" i="1"/>
  <c r="R679" i="1" s="1"/>
  <c r="W678" i="1"/>
  <c r="W678" i="1" a="1"/>
  <c r="Q678" i="1"/>
  <c r="R678" i="1" s="1"/>
  <c r="W677" i="1" a="1"/>
  <c r="W677" i="1" s="1"/>
  <c r="X677" i="1" s="1"/>
  <c r="Q677" i="1"/>
  <c r="R677" i="1" s="1"/>
  <c r="W676" i="1"/>
  <c r="W676" i="1" a="1"/>
  <c r="Q676" i="1"/>
  <c r="X676" i="1" s="1"/>
  <c r="W675" i="1" a="1"/>
  <c r="W675" i="1" s="1"/>
  <c r="Q675" i="1"/>
  <c r="R675" i="1" s="1"/>
  <c r="W674" i="1" a="1"/>
  <c r="W674" i="1" s="1"/>
  <c r="X674" i="1" s="1"/>
  <c r="R674" i="1"/>
  <c r="Q674" i="1"/>
  <c r="W673" i="1"/>
  <c r="W673" i="1" a="1"/>
  <c r="Q673" i="1"/>
  <c r="R673" i="1" s="1"/>
  <c r="W672" i="1" a="1"/>
  <c r="W672" i="1" s="1"/>
  <c r="R672" i="1"/>
  <c r="Q672" i="1"/>
  <c r="W671" i="1" a="1"/>
  <c r="W671" i="1" s="1"/>
  <c r="X671" i="1" s="1"/>
  <c r="R671" i="1"/>
  <c r="Q671" i="1"/>
  <c r="W670" i="1"/>
  <c r="W670" i="1" a="1"/>
  <c r="R670" i="1"/>
  <c r="Q670" i="1"/>
  <c r="X670" i="1" s="1"/>
  <c r="W669" i="1"/>
  <c r="W669" i="1" a="1"/>
  <c r="Q669" i="1"/>
  <c r="X669" i="1" s="1"/>
  <c r="W668" i="1"/>
  <c r="X668" i="1" s="1"/>
  <c r="W668" i="1" a="1"/>
  <c r="R668" i="1"/>
  <c r="Q668" i="1"/>
  <c r="W667" i="1"/>
  <c r="W667" i="1" a="1"/>
  <c r="Q667" i="1"/>
  <c r="R667" i="1" s="1"/>
  <c r="W666" i="1"/>
  <c r="W666" i="1" a="1"/>
  <c r="Q666" i="1"/>
  <c r="R666" i="1" s="1"/>
  <c r="W665" i="1" a="1"/>
  <c r="W665" i="1" s="1"/>
  <c r="X665" i="1" s="1"/>
  <c r="Q665" i="1"/>
  <c r="R665" i="1" s="1"/>
  <c r="W664" i="1"/>
  <c r="W664" i="1" a="1"/>
  <c r="Q664" i="1"/>
  <c r="X664" i="1" s="1"/>
  <c r="W663" i="1" a="1"/>
  <c r="W663" i="1" s="1"/>
  <c r="Q663" i="1"/>
  <c r="R663" i="1" s="1"/>
  <c r="W662" i="1" a="1"/>
  <c r="W662" i="1" s="1"/>
  <c r="X662" i="1" s="1"/>
  <c r="R662" i="1"/>
  <c r="Q662" i="1"/>
  <c r="W661" i="1"/>
  <c r="W661" i="1" a="1"/>
  <c r="Q661" i="1"/>
  <c r="R661" i="1" s="1"/>
  <c r="W660" i="1" a="1"/>
  <c r="W660" i="1" s="1"/>
  <c r="R660" i="1"/>
  <c r="Q660" i="1"/>
  <c r="W659" i="1" a="1"/>
  <c r="W659" i="1" s="1"/>
  <c r="X659" i="1" s="1"/>
  <c r="R659" i="1"/>
  <c r="Q659" i="1"/>
  <c r="W658" i="1"/>
  <c r="W658" i="1" a="1"/>
  <c r="R658" i="1"/>
  <c r="Q658" i="1"/>
  <c r="X658" i="1" s="1"/>
  <c r="W657" i="1"/>
  <c r="W657" i="1" a="1"/>
  <c r="Q657" i="1"/>
  <c r="X657" i="1" s="1"/>
  <c r="W656" i="1"/>
  <c r="X656" i="1" s="1"/>
  <c r="W656" i="1" a="1"/>
  <c r="R656" i="1"/>
  <c r="Q656" i="1"/>
  <c r="W655" i="1"/>
  <c r="W655" i="1" a="1"/>
  <c r="Q655" i="1"/>
  <c r="R655" i="1" s="1"/>
  <c r="W654" i="1"/>
  <c r="W654" i="1" a="1"/>
  <c r="Q654" i="1"/>
  <c r="R654" i="1" s="1"/>
  <c r="W653" i="1" a="1"/>
  <c r="W653" i="1" s="1"/>
  <c r="X653" i="1" s="1"/>
  <c r="Q653" i="1"/>
  <c r="R653" i="1" s="1"/>
  <c r="W652" i="1"/>
  <c r="W652" i="1" a="1"/>
  <c r="Q652" i="1"/>
  <c r="W651" i="1" a="1"/>
  <c r="W651" i="1" s="1"/>
  <c r="Q651" i="1"/>
  <c r="R651" i="1" s="1"/>
  <c r="X650" i="1"/>
  <c r="W650" i="1" a="1"/>
  <c r="W650" i="1" s="1"/>
  <c r="R650" i="1"/>
  <c r="Q650" i="1"/>
  <c r="W649" i="1"/>
  <c r="W649" i="1" a="1"/>
  <c r="Q649" i="1"/>
  <c r="R649" i="1" s="1"/>
  <c r="W648" i="1" a="1"/>
  <c r="W648" i="1" s="1"/>
  <c r="R648" i="1"/>
  <c r="Q648" i="1"/>
  <c r="W647" i="1" a="1"/>
  <c r="W647" i="1" s="1"/>
  <c r="X647" i="1" s="1"/>
  <c r="R647" i="1"/>
  <c r="Q647" i="1"/>
  <c r="W646" i="1"/>
  <c r="W646" i="1" a="1"/>
  <c r="R646" i="1"/>
  <c r="Q646" i="1"/>
  <c r="X646" i="1" s="1"/>
  <c r="W645" i="1"/>
  <c r="W645" i="1" a="1"/>
  <c r="Q645" i="1"/>
  <c r="X645" i="1" s="1"/>
  <c r="W644" i="1"/>
  <c r="X644" i="1" s="1"/>
  <c r="W644" i="1" a="1"/>
  <c r="R644" i="1"/>
  <c r="Q644" i="1"/>
  <c r="W643" i="1"/>
  <c r="W643" i="1" a="1"/>
  <c r="Q643" i="1"/>
  <c r="R643" i="1" s="1"/>
  <c r="W642" i="1"/>
  <c r="W642" i="1" a="1"/>
  <c r="Q642" i="1"/>
  <c r="R642" i="1" s="1"/>
  <c r="W641" i="1" a="1"/>
  <c r="W641" i="1" s="1"/>
  <c r="X641" i="1" s="1"/>
  <c r="Q641" i="1"/>
  <c r="R641" i="1" s="1"/>
  <c r="W640" i="1"/>
  <c r="W640" i="1" a="1"/>
  <c r="Q640" i="1"/>
  <c r="W639" i="1" a="1"/>
  <c r="W639" i="1" s="1"/>
  <c r="Q639" i="1"/>
  <c r="R639" i="1" s="1"/>
  <c r="X638" i="1"/>
  <c r="W638" i="1" a="1"/>
  <c r="W638" i="1" s="1"/>
  <c r="R638" i="1"/>
  <c r="Q638" i="1"/>
  <c r="W637" i="1"/>
  <c r="W637" i="1" a="1"/>
  <c r="Q637" i="1"/>
  <c r="R637" i="1" s="1"/>
  <c r="W636" i="1" a="1"/>
  <c r="W636" i="1" s="1"/>
  <c r="R636" i="1"/>
  <c r="Q636" i="1"/>
  <c r="X636" i="1" s="1"/>
  <c r="W635" i="1" a="1"/>
  <c r="W635" i="1" s="1"/>
  <c r="X635" i="1" s="1"/>
  <c r="R635" i="1"/>
  <c r="Q635" i="1"/>
  <c r="W634" i="1"/>
  <c r="W634" i="1" a="1"/>
  <c r="R634" i="1"/>
  <c r="Q634" i="1"/>
  <c r="X634" i="1" s="1"/>
  <c r="W633" i="1"/>
  <c r="W633" i="1" a="1"/>
  <c r="Q633" i="1"/>
  <c r="W632" i="1"/>
  <c r="X632" i="1" s="1"/>
  <c r="W632" i="1" a="1"/>
  <c r="R632" i="1"/>
  <c r="Q632" i="1"/>
  <c r="W631" i="1"/>
  <c r="W631" i="1" a="1"/>
  <c r="Q631" i="1"/>
  <c r="R631" i="1" s="1"/>
  <c r="W630" i="1"/>
  <c r="W630" i="1" a="1"/>
  <c r="Q630" i="1"/>
  <c r="W629" i="1" a="1"/>
  <c r="W629" i="1" s="1"/>
  <c r="Q629" i="1"/>
  <c r="R629" i="1" s="1"/>
  <c r="X628" i="1"/>
  <c r="W628" i="1"/>
  <c r="W628" i="1" a="1"/>
  <c r="R628" i="1"/>
  <c r="Q628" i="1"/>
  <c r="X627" i="1"/>
  <c r="W627" i="1" a="1"/>
  <c r="W627" i="1" s="1"/>
  <c r="Q627" i="1"/>
  <c r="R627" i="1" s="1"/>
  <c r="X626" i="1"/>
  <c r="W626" i="1" a="1"/>
  <c r="W626" i="1" s="1"/>
  <c r="R626" i="1"/>
  <c r="Q626" i="1"/>
  <c r="X625" i="1"/>
  <c r="W625" i="1"/>
  <c r="W625" i="1" a="1"/>
  <c r="Q625" i="1"/>
  <c r="R625" i="1" s="1"/>
  <c r="W624" i="1"/>
  <c r="W624" i="1" a="1"/>
  <c r="Q624" i="1"/>
  <c r="X624" i="1" s="1"/>
  <c r="W623" i="1" a="1"/>
  <c r="W623" i="1" s="1"/>
  <c r="R623" i="1"/>
  <c r="Q623" i="1"/>
  <c r="X623" i="1" s="1"/>
  <c r="W622" i="1"/>
  <c r="X622" i="1" s="1"/>
  <c r="W622" i="1" a="1"/>
  <c r="Q622" i="1"/>
  <c r="R622" i="1" s="1"/>
  <c r="X621" i="1"/>
  <c r="W621" i="1"/>
  <c r="W621" i="1" a="1"/>
  <c r="Q621" i="1"/>
  <c r="R621" i="1" s="1"/>
  <c r="W620" i="1" a="1"/>
  <c r="W620" i="1" s="1"/>
  <c r="R620" i="1"/>
  <c r="Q620" i="1"/>
  <c r="X620" i="1" s="1"/>
  <c r="W619" i="1" a="1"/>
  <c r="W619" i="1" s="1"/>
  <c r="X619" i="1" s="1"/>
  <c r="R619" i="1"/>
  <c r="Q619" i="1"/>
  <c r="W618" i="1"/>
  <c r="W618" i="1" a="1"/>
  <c r="R618" i="1"/>
  <c r="Q618" i="1"/>
  <c r="X618" i="1" s="1"/>
  <c r="W617" i="1"/>
  <c r="W617" i="1" a="1"/>
  <c r="Q617" i="1"/>
  <c r="R617" i="1" s="1"/>
  <c r="W616" i="1"/>
  <c r="X616" i="1" s="1"/>
  <c r="W616" i="1" a="1"/>
  <c r="Q616" i="1"/>
  <c r="R616" i="1" s="1"/>
  <c r="W615" i="1"/>
  <c r="W615" i="1" a="1"/>
  <c r="Q615" i="1"/>
  <c r="R615" i="1" s="1"/>
  <c r="W614" i="1"/>
  <c r="W614" i="1" a="1"/>
  <c r="Q614" i="1"/>
  <c r="R614" i="1" s="1"/>
  <c r="W613" i="1"/>
  <c r="W613" i="1" a="1"/>
  <c r="Q613" i="1"/>
  <c r="R613" i="1" s="1"/>
  <c r="X612" i="1"/>
  <c r="W612" i="1"/>
  <c r="W612" i="1" a="1"/>
  <c r="R612" i="1"/>
  <c r="Q612" i="1"/>
  <c r="X611" i="1"/>
  <c r="W611" i="1"/>
  <c r="W611" i="1" a="1"/>
  <c r="Q611" i="1"/>
  <c r="R611" i="1" s="1"/>
  <c r="W610" i="1" a="1"/>
  <c r="W610" i="1" s="1"/>
  <c r="R610" i="1"/>
  <c r="Q610" i="1"/>
  <c r="W609" i="1" a="1"/>
  <c r="W609" i="1" s="1"/>
  <c r="X609" i="1" s="1"/>
  <c r="R609" i="1"/>
  <c r="Q609" i="1"/>
  <c r="W608" i="1"/>
  <c r="W608" i="1" a="1"/>
  <c r="R608" i="1"/>
  <c r="Q608" i="1"/>
  <c r="X608" i="1" s="1"/>
  <c r="W607" i="1" a="1"/>
  <c r="W607" i="1" s="1"/>
  <c r="X607" i="1" s="1"/>
  <c r="R607" i="1"/>
  <c r="Q607" i="1"/>
  <c r="W606" i="1"/>
  <c r="W606" i="1" a="1"/>
  <c r="R606" i="1"/>
  <c r="Q606" i="1"/>
  <c r="X606" i="1" s="1"/>
  <c r="W605" i="1"/>
  <c r="W605" i="1" a="1"/>
  <c r="Q605" i="1"/>
  <c r="R605" i="1" s="1"/>
  <c r="W604" i="1"/>
  <c r="X604" i="1" s="1"/>
  <c r="W604" i="1" a="1"/>
  <c r="Q604" i="1"/>
  <c r="R604" i="1" s="1"/>
  <c r="W603" i="1"/>
  <c r="W603" i="1" a="1"/>
  <c r="Q603" i="1"/>
  <c r="R603" i="1" s="1"/>
  <c r="W602" i="1"/>
  <c r="W602" i="1" a="1"/>
  <c r="Q602" i="1"/>
  <c r="R602" i="1" s="1"/>
  <c r="W601" i="1"/>
  <c r="W601" i="1" a="1"/>
  <c r="Q601" i="1"/>
  <c r="R601" i="1" s="1"/>
  <c r="X600" i="1"/>
  <c r="W600" i="1"/>
  <c r="W600" i="1" a="1"/>
  <c r="R600" i="1"/>
  <c r="Q600" i="1"/>
  <c r="X599" i="1"/>
  <c r="W599" i="1"/>
  <c r="W599" i="1" a="1"/>
  <c r="Q599" i="1"/>
  <c r="R599" i="1" s="1"/>
  <c r="W598" i="1" a="1"/>
  <c r="W598" i="1" s="1"/>
  <c r="R598" i="1"/>
  <c r="Q598" i="1"/>
  <c r="W597" i="1" a="1"/>
  <c r="W597" i="1" s="1"/>
  <c r="X597" i="1" s="1"/>
  <c r="R597" i="1"/>
  <c r="Q597" i="1"/>
  <c r="W596" i="1"/>
  <c r="W596" i="1" a="1"/>
  <c r="R596" i="1"/>
  <c r="Q596" i="1"/>
  <c r="X596" i="1" s="1"/>
  <c r="W595" i="1" a="1"/>
  <c r="W595" i="1" s="1"/>
  <c r="X595" i="1" s="1"/>
  <c r="R595" i="1"/>
  <c r="Q595" i="1"/>
  <c r="W594" i="1"/>
  <c r="W594" i="1" a="1"/>
  <c r="R594" i="1"/>
  <c r="Q594" i="1"/>
  <c r="X594" i="1" s="1"/>
  <c r="W593" i="1"/>
  <c r="W593" i="1" a="1"/>
  <c r="Q593" i="1"/>
  <c r="R593" i="1" s="1"/>
  <c r="W592" i="1"/>
  <c r="X592" i="1" s="1"/>
  <c r="W592" i="1" a="1"/>
  <c r="Q592" i="1"/>
  <c r="R592" i="1" s="1"/>
  <c r="W591" i="1"/>
  <c r="W591" i="1" a="1"/>
  <c r="Q591" i="1"/>
  <c r="R591" i="1" s="1"/>
  <c r="W590" i="1"/>
  <c r="W590" i="1" a="1"/>
  <c r="Q590" i="1"/>
  <c r="R590" i="1" s="1"/>
  <c r="W589" i="1"/>
  <c r="W589" i="1" a="1"/>
  <c r="Q589" i="1"/>
  <c r="R589" i="1" s="1"/>
  <c r="X588" i="1"/>
  <c r="W588" i="1"/>
  <c r="W588" i="1" a="1"/>
  <c r="R588" i="1"/>
  <c r="Q588" i="1"/>
  <c r="W587" i="1"/>
  <c r="W587" i="1" a="1"/>
  <c r="Q587" i="1"/>
  <c r="X587" i="1" s="1"/>
  <c r="W586" i="1" a="1"/>
  <c r="W586" i="1" s="1"/>
  <c r="R586" i="1"/>
  <c r="Q586" i="1"/>
  <c r="W585" i="1" a="1"/>
  <c r="W585" i="1" s="1"/>
  <c r="X585" i="1" s="1"/>
  <c r="R585" i="1"/>
  <c r="Q585" i="1"/>
  <c r="W584" i="1"/>
  <c r="W584" i="1" a="1"/>
  <c r="R584" i="1"/>
  <c r="Q584" i="1"/>
  <c r="X584" i="1" s="1"/>
  <c r="W583" i="1" a="1"/>
  <c r="W583" i="1" s="1"/>
  <c r="X583" i="1" s="1"/>
  <c r="R583" i="1"/>
  <c r="Q583" i="1"/>
  <c r="W582" i="1"/>
  <c r="W582" i="1" a="1"/>
  <c r="R582" i="1"/>
  <c r="Q582" i="1"/>
  <c r="X582" i="1" s="1"/>
  <c r="W581" i="1"/>
  <c r="W581" i="1" a="1"/>
  <c r="Q581" i="1"/>
  <c r="R581" i="1" s="1"/>
  <c r="W580" i="1"/>
  <c r="X580" i="1" s="1"/>
  <c r="W580" i="1" a="1"/>
  <c r="Q580" i="1"/>
  <c r="R580" i="1" s="1"/>
  <c r="W579" i="1"/>
  <c r="W579" i="1" a="1"/>
  <c r="Q579" i="1"/>
  <c r="R579" i="1" s="1"/>
  <c r="W578" i="1"/>
  <c r="W578" i="1" a="1"/>
  <c r="Q578" i="1"/>
  <c r="R578" i="1" s="1"/>
  <c r="W577" i="1"/>
  <c r="W577" i="1" a="1"/>
  <c r="Q577" i="1"/>
  <c r="R577" i="1" s="1"/>
  <c r="X576" i="1"/>
  <c r="W576" i="1"/>
  <c r="W576" i="1" a="1"/>
  <c r="R576" i="1"/>
  <c r="Q576" i="1"/>
  <c r="W575" i="1"/>
  <c r="W575" i="1" a="1"/>
  <c r="Q575" i="1"/>
  <c r="X575" i="1" s="1"/>
  <c r="W574" i="1" a="1"/>
  <c r="W574" i="1" s="1"/>
  <c r="R574" i="1"/>
  <c r="Q574" i="1"/>
  <c r="X574" i="1" s="1"/>
  <c r="W573" i="1" a="1"/>
  <c r="W573" i="1" s="1"/>
  <c r="X573" i="1" s="1"/>
  <c r="R573" i="1"/>
  <c r="Q573" i="1"/>
  <c r="W572" i="1"/>
  <c r="W572" i="1" a="1"/>
  <c r="R572" i="1"/>
  <c r="Q572" i="1"/>
  <c r="X572" i="1" s="1"/>
  <c r="W571" i="1" a="1"/>
  <c r="W571" i="1" s="1"/>
  <c r="X571" i="1" s="1"/>
  <c r="R571" i="1"/>
  <c r="Q571" i="1"/>
  <c r="W570" i="1"/>
  <c r="W570" i="1" a="1"/>
  <c r="R570" i="1"/>
  <c r="Q570" i="1"/>
  <c r="X570" i="1" s="1"/>
  <c r="W569" i="1"/>
  <c r="W569" i="1" a="1"/>
  <c r="Q569" i="1"/>
  <c r="R569" i="1" s="1"/>
  <c r="W568" i="1"/>
  <c r="X568" i="1" s="1"/>
  <c r="W568" i="1" a="1"/>
  <c r="Q568" i="1"/>
  <c r="R568" i="1" s="1"/>
  <c r="W567" i="1"/>
  <c r="W567" i="1" a="1"/>
  <c r="Q567" i="1"/>
  <c r="R567" i="1" s="1"/>
  <c r="W566" i="1"/>
  <c r="W566" i="1" a="1"/>
  <c r="Q566" i="1"/>
  <c r="R566" i="1" s="1"/>
  <c r="W565" i="1"/>
  <c r="W565" i="1" a="1"/>
  <c r="Q565" i="1"/>
  <c r="R565" i="1" s="1"/>
  <c r="X564" i="1"/>
  <c r="W564" i="1"/>
  <c r="W564" i="1" a="1"/>
  <c r="R564" i="1"/>
  <c r="Q564" i="1"/>
  <c r="W563" i="1"/>
  <c r="W563" i="1" a="1"/>
  <c r="Q563" i="1"/>
  <c r="X563" i="1" s="1"/>
  <c r="W562" i="1" a="1"/>
  <c r="W562" i="1" s="1"/>
  <c r="R562" i="1"/>
  <c r="Q562" i="1"/>
  <c r="W561" i="1" a="1"/>
  <c r="W561" i="1" s="1"/>
  <c r="X561" i="1" s="1"/>
  <c r="R561" i="1"/>
  <c r="Q561" i="1"/>
  <c r="W560" i="1"/>
  <c r="W560" i="1" a="1"/>
  <c r="R560" i="1"/>
  <c r="Q560" i="1"/>
  <c r="X560" i="1" s="1"/>
  <c r="W559" i="1" a="1"/>
  <c r="W559" i="1" s="1"/>
  <c r="X559" i="1" s="1"/>
  <c r="R559" i="1"/>
  <c r="Q559" i="1"/>
  <c r="W558" i="1"/>
  <c r="W558" i="1" a="1"/>
  <c r="R558" i="1"/>
  <c r="Q558" i="1"/>
  <c r="X558" i="1" s="1"/>
  <c r="W557" i="1"/>
  <c r="W557" i="1" a="1"/>
  <c r="Q557" i="1"/>
  <c r="R557" i="1" s="1"/>
  <c r="W556" i="1"/>
  <c r="X556" i="1" s="1"/>
  <c r="W556" i="1" a="1"/>
  <c r="Q556" i="1"/>
  <c r="R556" i="1" s="1"/>
  <c r="W555" i="1"/>
  <c r="W555" i="1" a="1"/>
  <c r="Q555" i="1"/>
  <c r="R555" i="1" s="1"/>
  <c r="W554" i="1"/>
  <c r="W554" i="1" a="1"/>
  <c r="Q554" i="1"/>
  <c r="R554" i="1" s="1"/>
  <c r="W553" i="1"/>
  <c r="W553" i="1" a="1"/>
  <c r="Q553" i="1"/>
  <c r="R553" i="1" s="1"/>
  <c r="X552" i="1"/>
  <c r="W552" i="1"/>
  <c r="W552" i="1" a="1"/>
  <c r="R552" i="1"/>
  <c r="Q552" i="1"/>
  <c r="W551" i="1"/>
  <c r="W551" i="1" a="1"/>
  <c r="Q551" i="1"/>
  <c r="X551" i="1" s="1"/>
  <c r="W550" i="1" a="1"/>
  <c r="W550" i="1" s="1"/>
  <c r="R550" i="1"/>
  <c r="Q550" i="1"/>
  <c r="W549" i="1" a="1"/>
  <c r="W549" i="1" s="1"/>
  <c r="X549" i="1" s="1"/>
  <c r="R549" i="1"/>
  <c r="Q549" i="1"/>
  <c r="W548" i="1"/>
  <c r="W548" i="1" a="1"/>
  <c r="R548" i="1"/>
  <c r="Q548" i="1"/>
  <c r="X548" i="1" s="1"/>
  <c r="W547" i="1" a="1"/>
  <c r="W547" i="1" s="1"/>
  <c r="X547" i="1" s="1"/>
  <c r="R547" i="1"/>
  <c r="Q547" i="1"/>
  <c r="W546" i="1"/>
  <c r="W546" i="1" a="1"/>
  <c r="R546" i="1"/>
  <c r="Q546" i="1"/>
  <c r="X546" i="1" s="1"/>
  <c r="W545" i="1"/>
  <c r="W545" i="1" a="1"/>
  <c r="Q545" i="1"/>
  <c r="R545" i="1" s="1"/>
  <c r="W544" i="1"/>
  <c r="X544" i="1" s="1"/>
  <c r="W544" i="1" a="1"/>
  <c r="Q544" i="1"/>
  <c r="R544" i="1" s="1"/>
  <c r="W543" i="1"/>
  <c r="W543" i="1" a="1"/>
  <c r="Q543" i="1"/>
  <c r="R543" i="1" s="1"/>
  <c r="W542" i="1"/>
  <c r="W542" i="1" a="1"/>
  <c r="Q542" i="1"/>
  <c r="R542" i="1" s="1"/>
  <c r="W541" i="1"/>
  <c r="W541" i="1" a="1"/>
  <c r="Q541" i="1"/>
  <c r="R541" i="1" s="1"/>
  <c r="W540" i="1"/>
  <c r="W540" i="1" a="1"/>
  <c r="R540" i="1"/>
  <c r="Q540" i="1"/>
  <c r="X540" i="1" s="1"/>
  <c r="W539" i="1"/>
  <c r="W539" i="1" a="1"/>
  <c r="Q539" i="1"/>
  <c r="X539" i="1" s="1"/>
  <c r="W538" i="1" a="1"/>
  <c r="W538" i="1" s="1"/>
  <c r="R538" i="1"/>
  <c r="Q538" i="1"/>
  <c r="W537" i="1" a="1"/>
  <c r="W537" i="1" s="1"/>
  <c r="X537" i="1" s="1"/>
  <c r="Q537" i="1"/>
  <c r="R537" i="1" s="1"/>
  <c r="W536" i="1"/>
  <c r="W536" i="1" a="1"/>
  <c r="R536" i="1"/>
  <c r="Q536" i="1"/>
  <c r="X536" i="1" s="1"/>
  <c r="W535" i="1" a="1"/>
  <c r="W535" i="1" s="1"/>
  <c r="X535" i="1" s="1"/>
  <c r="R535" i="1"/>
  <c r="Q535" i="1"/>
  <c r="W534" i="1"/>
  <c r="W534" i="1" a="1"/>
  <c r="R534" i="1"/>
  <c r="Q534" i="1"/>
  <c r="X534" i="1" s="1"/>
  <c r="W533" i="1"/>
  <c r="W533" i="1" a="1"/>
  <c r="Q533" i="1"/>
  <c r="R533" i="1" s="1"/>
  <c r="W532" i="1"/>
  <c r="X532" i="1" s="1"/>
  <c r="W532" i="1" a="1"/>
  <c r="Q532" i="1"/>
  <c r="R532" i="1" s="1"/>
  <c r="W531" i="1"/>
  <c r="W531" i="1" a="1"/>
  <c r="Q531" i="1"/>
  <c r="R531" i="1" s="1"/>
  <c r="W530" i="1"/>
  <c r="W530" i="1" a="1"/>
  <c r="Q530" i="1"/>
  <c r="R530" i="1" s="1"/>
  <c r="W529" i="1"/>
  <c r="W529" i="1" a="1"/>
  <c r="Q529" i="1"/>
  <c r="R529" i="1" s="1"/>
  <c r="W528" i="1"/>
  <c r="W528" i="1" a="1"/>
  <c r="Q528" i="1"/>
  <c r="R528" i="1" s="1"/>
  <c r="W527" i="1"/>
  <c r="W527" i="1" a="1"/>
  <c r="Q527" i="1"/>
  <c r="X527" i="1" s="1"/>
  <c r="W526" i="1" a="1"/>
  <c r="W526" i="1" s="1"/>
  <c r="R526" i="1"/>
  <c r="Q526" i="1"/>
  <c r="X526" i="1" s="1"/>
  <c r="W525" i="1" a="1"/>
  <c r="W525" i="1" s="1"/>
  <c r="X525" i="1" s="1"/>
  <c r="Q525" i="1"/>
  <c r="R525" i="1" s="1"/>
  <c r="W524" i="1"/>
  <c r="W524" i="1" a="1"/>
  <c r="R524" i="1"/>
  <c r="Q524" i="1"/>
  <c r="X524" i="1" s="1"/>
  <c r="W523" i="1" a="1"/>
  <c r="W523" i="1" s="1"/>
  <c r="X523" i="1" s="1"/>
  <c r="R523" i="1"/>
  <c r="Q523" i="1"/>
  <c r="W522" i="1"/>
  <c r="W522" i="1" a="1"/>
  <c r="R522" i="1"/>
  <c r="Q522" i="1"/>
  <c r="X522" i="1" s="1"/>
  <c r="W521" i="1"/>
  <c r="W521" i="1" a="1"/>
  <c r="Q521" i="1"/>
  <c r="R521" i="1" s="1"/>
  <c r="W520" i="1"/>
  <c r="X520" i="1" s="1"/>
  <c r="W520" i="1" a="1"/>
  <c r="Q520" i="1"/>
  <c r="R520" i="1" s="1"/>
  <c r="W519" i="1"/>
  <c r="W519" i="1" a="1"/>
  <c r="Q519" i="1"/>
  <c r="R519" i="1" s="1"/>
  <c r="W518" i="1"/>
  <c r="W518" i="1" a="1"/>
  <c r="Q518" i="1"/>
  <c r="R518" i="1" s="1"/>
  <c r="W517" i="1"/>
  <c r="W517" i="1" a="1"/>
  <c r="Q517" i="1"/>
  <c r="W516" i="1"/>
  <c r="W516" i="1" a="1"/>
  <c r="Q516" i="1"/>
  <c r="R516" i="1" s="1"/>
  <c r="X515" i="1"/>
  <c r="W515" i="1"/>
  <c r="W515" i="1" a="1"/>
  <c r="Q515" i="1"/>
  <c r="R515" i="1" s="1"/>
  <c r="W514" i="1" a="1"/>
  <c r="W514" i="1" s="1"/>
  <c r="Q514" i="1"/>
  <c r="R514" i="1" s="1"/>
  <c r="W513" i="1" a="1"/>
  <c r="W513" i="1" s="1"/>
  <c r="X513" i="1" s="1"/>
  <c r="Q513" i="1"/>
  <c r="R513" i="1" s="1"/>
  <c r="W512" i="1"/>
  <c r="W512" i="1" a="1"/>
  <c r="R512" i="1"/>
  <c r="Q512" i="1"/>
  <c r="X512" i="1" s="1"/>
  <c r="W511" i="1" a="1"/>
  <c r="W511" i="1" s="1"/>
  <c r="X511" i="1" s="1"/>
  <c r="R511" i="1"/>
  <c r="Q511" i="1"/>
  <c r="W510" i="1"/>
  <c r="W510" i="1" a="1"/>
  <c r="Q510" i="1"/>
  <c r="X510" i="1" s="1"/>
  <c r="W509" i="1"/>
  <c r="W509" i="1" a="1"/>
  <c r="Q509" i="1"/>
  <c r="X509" i="1" s="1"/>
  <c r="W508" i="1"/>
  <c r="W508" i="1" a="1"/>
  <c r="Q508" i="1"/>
  <c r="R508" i="1" s="1"/>
  <c r="W507" i="1"/>
  <c r="X507" i="1" s="1"/>
  <c r="W507" i="1" a="1"/>
  <c r="R507" i="1"/>
  <c r="Q507" i="1"/>
  <c r="W506" i="1" a="1"/>
  <c r="W506" i="1" s="1"/>
  <c r="X506" i="1" s="1"/>
  <c r="Q506" i="1"/>
  <c r="R506" i="1" s="1"/>
  <c r="W505" i="1"/>
  <c r="W505" i="1" a="1"/>
  <c r="R505" i="1"/>
  <c r="Q505" i="1"/>
  <c r="X505" i="1" s="1"/>
  <c r="W504" i="1"/>
  <c r="W504" i="1" a="1"/>
  <c r="Q504" i="1"/>
  <c r="R504" i="1" s="1"/>
  <c r="W503" i="1" a="1"/>
  <c r="W503" i="1" s="1"/>
  <c r="X503" i="1" s="1"/>
  <c r="Q503" i="1"/>
  <c r="R503" i="1" s="1"/>
  <c r="X502" i="1"/>
  <c r="W502" i="1" a="1"/>
  <c r="W502" i="1" s="1"/>
  <c r="R502" i="1"/>
  <c r="Q502" i="1"/>
  <c r="W501" i="1" a="1"/>
  <c r="W501" i="1" s="1"/>
  <c r="X501" i="1" s="1"/>
  <c r="R501" i="1"/>
  <c r="Q501" i="1"/>
  <c r="X500" i="1"/>
  <c r="W500" i="1"/>
  <c r="W500" i="1" a="1"/>
  <c r="R500" i="1"/>
  <c r="Q500" i="1"/>
  <c r="W499" i="1"/>
  <c r="W499" i="1" a="1"/>
  <c r="Q499" i="1"/>
  <c r="X499" i="1" s="1"/>
  <c r="W498" i="1"/>
  <c r="X498" i="1" s="1"/>
  <c r="W498" i="1" a="1"/>
  <c r="R498" i="1"/>
  <c r="Q498" i="1"/>
  <c r="W497" i="1"/>
  <c r="W497" i="1" a="1"/>
  <c r="R497" i="1"/>
  <c r="Q497" i="1"/>
  <c r="X497" i="1" s="1"/>
  <c r="W496" i="1"/>
  <c r="W496" i="1" a="1"/>
  <c r="Q496" i="1"/>
  <c r="R496" i="1" s="1"/>
  <c r="W495" i="1"/>
  <c r="W495" i="1" a="1"/>
  <c r="Q495" i="1"/>
  <c r="R495" i="1" s="1"/>
  <c r="W494" i="1"/>
  <c r="W494" i="1" a="1"/>
  <c r="Q494" i="1"/>
  <c r="R494" i="1" s="1"/>
  <c r="W493" i="1"/>
  <c r="W493" i="1" a="1"/>
  <c r="Q493" i="1"/>
  <c r="R493" i="1" s="1"/>
  <c r="W492" i="1" a="1"/>
  <c r="W492" i="1" s="1"/>
  <c r="X492" i="1" s="1"/>
  <c r="Q492" i="1"/>
  <c r="R492" i="1" s="1"/>
  <c r="W491" i="1" a="1"/>
  <c r="W491" i="1" s="1"/>
  <c r="X491" i="1" s="1"/>
  <c r="R491" i="1"/>
  <c r="Q491" i="1"/>
  <c r="W490" i="1" a="1"/>
  <c r="W490" i="1" s="1"/>
  <c r="Q490" i="1"/>
  <c r="R490" i="1" s="1"/>
  <c r="W489" i="1" a="1"/>
  <c r="W489" i="1" s="1"/>
  <c r="X489" i="1" s="1"/>
  <c r="R489" i="1"/>
  <c r="Q489" i="1"/>
  <c r="X488" i="1"/>
  <c r="W488" i="1"/>
  <c r="W488" i="1" a="1"/>
  <c r="R488" i="1"/>
  <c r="Q488" i="1"/>
  <c r="W487" i="1"/>
  <c r="W487" i="1" a="1"/>
  <c r="R487" i="1"/>
  <c r="Q487" i="1"/>
  <c r="X487" i="1" s="1"/>
  <c r="W486" i="1"/>
  <c r="X486" i="1" s="1"/>
  <c r="W486" i="1" a="1"/>
  <c r="R486" i="1"/>
  <c r="Q486" i="1"/>
  <c r="W485" i="1"/>
  <c r="W485" i="1" a="1"/>
  <c r="R485" i="1"/>
  <c r="Q485" i="1"/>
  <c r="X485" i="1" s="1"/>
  <c r="W484" i="1"/>
  <c r="W484" i="1" a="1"/>
  <c r="Q484" i="1"/>
  <c r="R484" i="1" s="1"/>
  <c r="W483" i="1"/>
  <c r="W483" i="1" a="1"/>
  <c r="Q483" i="1"/>
  <c r="R483" i="1" s="1"/>
  <c r="W482" i="1"/>
  <c r="W482" i="1" a="1"/>
  <c r="Q482" i="1"/>
  <c r="R482" i="1" s="1"/>
  <c r="W481" i="1"/>
  <c r="W481" i="1" a="1"/>
  <c r="Q481" i="1"/>
  <c r="R481" i="1" s="1"/>
  <c r="W480" i="1" a="1"/>
  <c r="W480" i="1" s="1"/>
  <c r="X480" i="1" s="1"/>
  <c r="Q480" i="1"/>
  <c r="R480" i="1" s="1"/>
  <c r="W479" i="1" a="1"/>
  <c r="W479" i="1" s="1"/>
  <c r="X479" i="1" s="1"/>
  <c r="R479" i="1"/>
  <c r="Q479" i="1"/>
  <c r="W478" i="1" a="1"/>
  <c r="W478" i="1" s="1"/>
  <c r="Q478" i="1"/>
  <c r="R478" i="1" s="1"/>
  <c r="W477" i="1" a="1"/>
  <c r="W477" i="1" s="1"/>
  <c r="X477" i="1" s="1"/>
  <c r="R477" i="1"/>
  <c r="Q477" i="1"/>
  <c r="X476" i="1"/>
  <c r="W476" i="1"/>
  <c r="W476" i="1" a="1"/>
  <c r="R476" i="1"/>
  <c r="Q476" i="1"/>
  <c r="W475" i="1"/>
  <c r="W475" i="1" a="1"/>
  <c r="R475" i="1"/>
  <c r="Q475" i="1"/>
  <c r="X475" i="1" s="1"/>
  <c r="W474" i="1" a="1"/>
  <c r="W474" i="1" s="1"/>
  <c r="X474" i="1" s="1"/>
  <c r="R474" i="1"/>
  <c r="Q474" i="1"/>
  <c r="W473" i="1"/>
  <c r="W473" i="1" a="1"/>
  <c r="R473" i="1"/>
  <c r="Q473" i="1"/>
  <c r="X473" i="1" s="1"/>
  <c r="W472" i="1"/>
  <c r="W472" i="1" a="1"/>
  <c r="Q472" i="1"/>
  <c r="R472" i="1" s="1"/>
  <c r="W471" i="1"/>
  <c r="W471" i="1" a="1"/>
  <c r="Q471" i="1"/>
  <c r="R471" i="1" s="1"/>
  <c r="W470" i="1"/>
  <c r="W470" i="1" a="1"/>
  <c r="Q470" i="1"/>
  <c r="R470" i="1" s="1"/>
  <c r="W469" i="1"/>
  <c r="W469" i="1" a="1"/>
  <c r="Q469" i="1"/>
  <c r="R469" i="1" s="1"/>
  <c r="W468" i="1" a="1"/>
  <c r="W468" i="1" s="1"/>
  <c r="X468" i="1" s="1"/>
  <c r="Q468" i="1"/>
  <c r="R468" i="1" s="1"/>
  <c r="W467" i="1" a="1"/>
  <c r="W467" i="1" s="1"/>
  <c r="X467" i="1" s="1"/>
  <c r="R467" i="1"/>
  <c r="Q467" i="1"/>
  <c r="W466" i="1" a="1"/>
  <c r="W466" i="1" s="1"/>
  <c r="Q466" i="1"/>
  <c r="R466" i="1" s="1"/>
  <c r="W465" i="1" a="1"/>
  <c r="W465" i="1" s="1"/>
  <c r="X465" i="1" s="1"/>
  <c r="R465" i="1"/>
  <c r="Q465" i="1"/>
  <c r="X464" i="1"/>
  <c r="W464" i="1"/>
  <c r="W464" i="1" a="1"/>
  <c r="R464" i="1"/>
  <c r="Q464" i="1"/>
  <c r="W463" i="1"/>
  <c r="W463" i="1" a="1"/>
  <c r="R463" i="1"/>
  <c r="Q463" i="1"/>
  <c r="X463" i="1" s="1"/>
  <c r="W462" i="1" a="1"/>
  <c r="W462" i="1" s="1"/>
  <c r="X462" i="1" s="1"/>
  <c r="R462" i="1"/>
  <c r="Q462" i="1"/>
  <c r="W461" i="1"/>
  <c r="W461" i="1" a="1"/>
  <c r="R461" i="1"/>
  <c r="Q461" i="1"/>
  <c r="X461" i="1" s="1"/>
  <c r="W460" i="1"/>
  <c r="W460" i="1" a="1"/>
  <c r="Q460" i="1"/>
  <c r="R460" i="1" s="1"/>
  <c r="W459" i="1"/>
  <c r="W459" i="1" a="1"/>
  <c r="Q459" i="1"/>
  <c r="R459" i="1" s="1"/>
  <c r="W458" i="1"/>
  <c r="W458" i="1" a="1"/>
  <c r="Q458" i="1"/>
  <c r="R458" i="1" s="1"/>
  <c r="W457" i="1"/>
  <c r="W457" i="1" a="1"/>
  <c r="Q457" i="1"/>
  <c r="R457" i="1" s="1"/>
  <c r="W456" i="1" a="1"/>
  <c r="W456" i="1" s="1"/>
  <c r="X456" i="1" s="1"/>
  <c r="Q456" i="1"/>
  <c r="R456" i="1" s="1"/>
  <c r="W455" i="1" a="1"/>
  <c r="W455" i="1" s="1"/>
  <c r="X455" i="1" s="1"/>
  <c r="R455" i="1"/>
  <c r="Q455" i="1"/>
  <c r="W454" i="1" a="1"/>
  <c r="W454" i="1" s="1"/>
  <c r="Q454" i="1"/>
  <c r="R454" i="1" s="1"/>
  <c r="W453" i="1" a="1"/>
  <c r="W453" i="1" s="1"/>
  <c r="X453" i="1" s="1"/>
  <c r="R453" i="1"/>
  <c r="Q453" i="1"/>
  <c r="X452" i="1"/>
  <c r="W452" i="1"/>
  <c r="W452" i="1" a="1"/>
  <c r="R452" i="1"/>
  <c r="Q452" i="1"/>
  <c r="W451" i="1"/>
  <c r="W451" i="1" a="1"/>
  <c r="R451" i="1"/>
  <c r="Q451" i="1"/>
  <c r="X451" i="1" s="1"/>
  <c r="W450" i="1" a="1"/>
  <c r="W450" i="1" s="1"/>
  <c r="X450" i="1" s="1"/>
  <c r="R450" i="1"/>
  <c r="Q450" i="1"/>
  <c r="W449" i="1"/>
  <c r="W449" i="1" a="1"/>
  <c r="R449" i="1"/>
  <c r="Q449" i="1"/>
  <c r="X449" i="1" s="1"/>
  <c r="W448" i="1"/>
  <c r="W448" i="1" a="1"/>
  <c r="Q448" i="1"/>
  <c r="R448" i="1" s="1"/>
  <c r="W447" i="1"/>
  <c r="W447" i="1" a="1"/>
  <c r="Q447" i="1"/>
  <c r="R447" i="1" s="1"/>
  <c r="W446" i="1"/>
  <c r="W446" i="1" a="1"/>
  <c r="Q446" i="1"/>
  <c r="R446" i="1" s="1"/>
  <c r="W445" i="1"/>
  <c r="W445" i="1" a="1"/>
  <c r="Q445" i="1"/>
  <c r="R445" i="1" s="1"/>
  <c r="W444" i="1" a="1"/>
  <c r="W444" i="1" s="1"/>
  <c r="X444" i="1" s="1"/>
  <c r="Q444" i="1"/>
  <c r="R444" i="1" s="1"/>
  <c r="W443" i="1" a="1"/>
  <c r="W443" i="1" s="1"/>
  <c r="X443" i="1" s="1"/>
  <c r="R443" i="1"/>
  <c r="Q443" i="1"/>
  <c r="W442" i="1" a="1"/>
  <c r="W442" i="1" s="1"/>
  <c r="Q442" i="1"/>
  <c r="R442" i="1" s="1"/>
  <c r="W441" i="1" a="1"/>
  <c r="W441" i="1" s="1"/>
  <c r="X441" i="1" s="1"/>
  <c r="R441" i="1"/>
  <c r="Q441" i="1"/>
  <c r="X440" i="1"/>
  <c r="W440" i="1"/>
  <c r="W440" i="1" a="1"/>
  <c r="R440" i="1"/>
  <c r="Q440" i="1"/>
  <c r="W439" i="1"/>
  <c r="W439" i="1" a="1"/>
  <c r="R439" i="1"/>
  <c r="Q439" i="1"/>
  <c r="X439" i="1" s="1"/>
  <c r="W438" i="1" a="1"/>
  <c r="W438" i="1" s="1"/>
  <c r="X438" i="1" s="1"/>
  <c r="R438" i="1"/>
  <c r="Q438" i="1"/>
  <c r="W437" i="1"/>
  <c r="W437" i="1" a="1"/>
  <c r="R437" i="1"/>
  <c r="Q437" i="1"/>
  <c r="X437" i="1" s="1"/>
  <c r="W436" i="1"/>
  <c r="W436" i="1" a="1"/>
  <c r="Q436" i="1"/>
  <c r="R436" i="1" s="1"/>
  <c r="W435" i="1"/>
  <c r="W435" i="1" a="1"/>
  <c r="Q435" i="1"/>
  <c r="R435" i="1" s="1"/>
  <c r="W434" i="1"/>
  <c r="W434" i="1" a="1"/>
  <c r="Q434" i="1"/>
  <c r="R434" i="1" s="1"/>
  <c r="W433" i="1"/>
  <c r="W433" i="1" a="1"/>
  <c r="Q433" i="1"/>
  <c r="R433" i="1" s="1"/>
  <c r="W432" i="1" a="1"/>
  <c r="W432" i="1" s="1"/>
  <c r="X432" i="1" s="1"/>
  <c r="Q432" i="1"/>
  <c r="R432" i="1" s="1"/>
  <c r="W431" i="1" a="1"/>
  <c r="W431" i="1" s="1"/>
  <c r="X431" i="1" s="1"/>
  <c r="R431" i="1"/>
  <c r="Q431" i="1"/>
  <c r="W430" i="1" a="1"/>
  <c r="W430" i="1" s="1"/>
  <c r="Q430" i="1"/>
  <c r="R430" i="1" s="1"/>
  <c r="W429" i="1" a="1"/>
  <c r="W429" i="1" s="1"/>
  <c r="X429" i="1" s="1"/>
  <c r="R429" i="1"/>
  <c r="Q429" i="1"/>
  <c r="X428" i="1"/>
  <c r="W428" i="1"/>
  <c r="W428" i="1" a="1"/>
  <c r="R428" i="1"/>
  <c r="Q428" i="1"/>
  <c r="W427" i="1"/>
  <c r="W427" i="1" a="1"/>
  <c r="R427" i="1"/>
  <c r="Q427" i="1"/>
  <c r="X427" i="1" s="1"/>
  <c r="W426" i="1" a="1"/>
  <c r="W426" i="1" s="1"/>
  <c r="X426" i="1" s="1"/>
  <c r="R426" i="1"/>
  <c r="Q426" i="1"/>
  <c r="W425" i="1"/>
  <c r="W425" i="1" a="1"/>
  <c r="R425" i="1"/>
  <c r="Q425" i="1"/>
  <c r="X425" i="1" s="1"/>
  <c r="W424" i="1"/>
  <c r="W424" i="1" a="1"/>
  <c r="Q424" i="1"/>
  <c r="R424" i="1" s="1"/>
  <c r="W423" i="1"/>
  <c r="W423" i="1" a="1"/>
  <c r="Q423" i="1"/>
  <c r="R423" i="1" s="1"/>
  <c r="W422" i="1"/>
  <c r="W422" i="1" a="1"/>
  <c r="Q422" i="1"/>
  <c r="R422" i="1" s="1"/>
  <c r="W421" i="1"/>
  <c r="W421" i="1" a="1"/>
  <c r="Q421" i="1"/>
  <c r="R421" i="1" s="1"/>
  <c r="W420" i="1" a="1"/>
  <c r="W420" i="1" s="1"/>
  <c r="X420" i="1" s="1"/>
  <c r="Q420" i="1"/>
  <c r="R420" i="1" s="1"/>
  <c r="W419" i="1" a="1"/>
  <c r="W419" i="1" s="1"/>
  <c r="X419" i="1" s="1"/>
  <c r="R419" i="1"/>
  <c r="Q419" i="1"/>
  <c r="W418" i="1" a="1"/>
  <c r="W418" i="1" s="1"/>
  <c r="Q418" i="1"/>
  <c r="R418" i="1" s="1"/>
  <c r="W417" i="1" a="1"/>
  <c r="W417" i="1" s="1"/>
  <c r="X417" i="1" s="1"/>
  <c r="R417" i="1"/>
  <c r="Q417" i="1"/>
  <c r="X416" i="1"/>
  <c r="W416" i="1"/>
  <c r="W416" i="1" a="1"/>
  <c r="R416" i="1"/>
  <c r="Q416" i="1"/>
  <c r="W415" i="1"/>
  <c r="W415" i="1" a="1"/>
  <c r="R415" i="1"/>
  <c r="Q415" i="1"/>
  <c r="X415" i="1" s="1"/>
  <c r="W414" i="1" a="1"/>
  <c r="W414" i="1" s="1"/>
  <c r="X414" i="1" s="1"/>
  <c r="R414" i="1"/>
  <c r="Q414" i="1"/>
  <c r="W413" i="1"/>
  <c r="W413" i="1" a="1"/>
  <c r="R413" i="1"/>
  <c r="Q413" i="1"/>
  <c r="W412" i="1"/>
  <c r="W412" i="1" a="1"/>
  <c r="Q412" i="1"/>
  <c r="R412" i="1" s="1"/>
  <c r="W411" i="1"/>
  <c r="W411" i="1" a="1"/>
  <c r="Q411" i="1"/>
  <c r="R411" i="1" s="1"/>
  <c r="W410" i="1"/>
  <c r="W410" i="1" a="1"/>
  <c r="Q410" i="1"/>
  <c r="W409" i="1"/>
  <c r="W409" i="1" a="1"/>
  <c r="Q409" i="1"/>
  <c r="W408" i="1" a="1"/>
  <c r="W408" i="1" s="1"/>
  <c r="X408" i="1" s="1"/>
  <c r="Q408" i="1"/>
  <c r="R408" i="1" s="1"/>
  <c r="X407" i="1"/>
  <c r="W407" i="1" a="1"/>
  <c r="W407" i="1" s="1"/>
  <c r="R407" i="1"/>
  <c r="Q407" i="1"/>
  <c r="W406" i="1" a="1"/>
  <c r="W406" i="1" s="1"/>
  <c r="Q406" i="1"/>
  <c r="W405" i="1" a="1"/>
  <c r="W405" i="1" s="1"/>
  <c r="X405" i="1" s="1"/>
  <c r="R405" i="1"/>
  <c r="Q405" i="1"/>
  <c r="X404" i="1"/>
  <c r="W404" i="1"/>
  <c r="W404" i="1" a="1"/>
  <c r="R404" i="1"/>
  <c r="Q404" i="1"/>
  <c r="W403" i="1"/>
  <c r="W403" i="1" a="1"/>
  <c r="R403" i="1"/>
  <c r="Q403" i="1"/>
  <c r="X403" i="1" s="1"/>
  <c r="W402" i="1" a="1"/>
  <c r="W402" i="1" s="1"/>
  <c r="X402" i="1" s="1"/>
  <c r="R402" i="1"/>
  <c r="Q402" i="1"/>
  <c r="W401" i="1"/>
  <c r="W401" i="1" a="1"/>
  <c r="R401" i="1"/>
  <c r="Q401" i="1"/>
  <c r="X401" i="1" s="1"/>
  <c r="W400" i="1"/>
  <c r="W400" i="1" a="1"/>
  <c r="Q400" i="1"/>
  <c r="R400" i="1" s="1"/>
  <c r="W399" i="1"/>
  <c r="W399" i="1" a="1"/>
  <c r="Q399" i="1"/>
  <c r="W398" i="1"/>
  <c r="W398" i="1" a="1"/>
  <c r="Q398" i="1"/>
  <c r="W397" i="1"/>
  <c r="X397" i="1" s="1"/>
  <c r="W397" i="1" a="1"/>
  <c r="Q397" i="1"/>
  <c r="R397" i="1" s="1"/>
  <c r="X396" i="1"/>
  <c r="W396" i="1" a="1"/>
  <c r="W396" i="1" s="1"/>
  <c r="R396" i="1"/>
  <c r="Q396" i="1"/>
  <c r="X395" i="1"/>
  <c r="W395" i="1" a="1"/>
  <c r="W395" i="1" s="1"/>
  <c r="R395" i="1"/>
  <c r="Q395" i="1"/>
  <c r="X394" i="1"/>
  <c r="W394" i="1"/>
  <c r="W394" i="1" a="1"/>
  <c r="Q394" i="1"/>
  <c r="R394" i="1" s="1"/>
  <c r="W393" i="1" a="1"/>
  <c r="W393" i="1" s="1"/>
  <c r="X393" i="1" s="1"/>
  <c r="R393" i="1"/>
  <c r="Q393" i="1"/>
  <c r="X392" i="1"/>
  <c r="W392" i="1"/>
  <c r="W392" i="1" a="1"/>
  <c r="R392" i="1"/>
  <c r="Q392" i="1"/>
  <c r="W391" i="1"/>
  <c r="W391" i="1" a="1"/>
  <c r="Q391" i="1"/>
  <c r="X391" i="1" s="1"/>
  <c r="W390" i="1"/>
  <c r="W390" i="1" a="1"/>
  <c r="R390" i="1"/>
  <c r="Q390" i="1"/>
  <c r="X390" i="1" s="1"/>
  <c r="W389" i="1"/>
  <c r="W389" i="1" a="1"/>
  <c r="R389" i="1"/>
  <c r="Q389" i="1"/>
  <c r="X389" i="1" s="1"/>
  <c r="W388" i="1"/>
  <c r="W388" i="1" a="1"/>
  <c r="R388" i="1"/>
  <c r="Q388" i="1"/>
  <c r="W387" i="1" a="1"/>
  <c r="W387" i="1" s="1"/>
  <c r="Q387" i="1"/>
  <c r="R387" i="1" s="1"/>
  <c r="X386" i="1"/>
  <c r="W386" i="1"/>
  <c r="W386" i="1" a="1"/>
  <c r="Q386" i="1"/>
  <c r="R386" i="1" s="1"/>
  <c r="X385" i="1"/>
  <c r="W385" i="1"/>
  <c r="W385" i="1" a="1"/>
  <c r="R385" i="1"/>
  <c r="Q385" i="1"/>
  <c r="W384" i="1" a="1"/>
  <c r="W384" i="1" s="1"/>
  <c r="X384" i="1" s="1"/>
  <c r="R384" i="1"/>
  <c r="Q384" i="1"/>
  <c r="W383" i="1"/>
  <c r="W383" i="1" a="1"/>
  <c r="R383" i="1"/>
  <c r="Q383" i="1"/>
  <c r="X383" i="1" s="1"/>
  <c r="W382" i="1"/>
  <c r="W382" i="1" a="1"/>
  <c r="R382" i="1"/>
  <c r="Q382" i="1"/>
  <c r="X382" i="1" s="1"/>
  <c r="W381" i="1"/>
  <c r="W381" i="1" a="1"/>
  <c r="Q381" i="1"/>
  <c r="R381" i="1" s="1"/>
  <c r="W380" i="1"/>
  <c r="W380" i="1" a="1"/>
  <c r="Q380" i="1"/>
  <c r="R380" i="1" s="1"/>
  <c r="W379" i="1"/>
  <c r="W379" i="1" a="1"/>
  <c r="Q379" i="1"/>
  <c r="X379" i="1" s="1"/>
  <c r="W378" i="1"/>
  <c r="X378" i="1" s="1"/>
  <c r="W378" i="1" a="1"/>
  <c r="Q378" i="1"/>
  <c r="R378" i="1" s="1"/>
  <c r="W377" i="1"/>
  <c r="W377" i="1" a="1"/>
  <c r="Q377" i="1"/>
  <c r="R377" i="1" s="1"/>
  <c r="W376" i="1" a="1"/>
  <c r="W376" i="1" s="1"/>
  <c r="Q376" i="1"/>
  <c r="R376" i="1" s="1"/>
  <c r="W375" i="1" a="1"/>
  <c r="W375" i="1" s="1"/>
  <c r="Q375" i="1"/>
  <c r="R375" i="1" s="1"/>
  <c r="X374" i="1"/>
  <c r="W374" i="1"/>
  <c r="W374" i="1" a="1"/>
  <c r="Q374" i="1"/>
  <c r="R374" i="1" s="1"/>
  <c r="W373" i="1" a="1"/>
  <c r="W373" i="1" s="1"/>
  <c r="X373" i="1" s="1"/>
  <c r="R373" i="1"/>
  <c r="Q373" i="1"/>
  <c r="W372" i="1" a="1"/>
  <c r="W372" i="1" s="1"/>
  <c r="X372" i="1" s="1"/>
  <c r="R372" i="1"/>
  <c r="Q372" i="1"/>
  <c r="W371" i="1"/>
  <c r="W371" i="1" a="1"/>
  <c r="R371" i="1"/>
  <c r="Q371" i="1"/>
  <c r="X371" i="1" s="1"/>
  <c r="W370" i="1"/>
  <c r="W370" i="1" a="1"/>
  <c r="R370" i="1"/>
  <c r="Q370" i="1"/>
  <c r="X370" i="1" s="1"/>
  <c r="W369" i="1"/>
  <c r="W369" i="1" a="1"/>
  <c r="Q369" i="1"/>
  <c r="R369" i="1" s="1"/>
  <c r="W368" i="1"/>
  <c r="W368" i="1" a="1"/>
  <c r="Q368" i="1"/>
  <c r="R368" i="1" s="1"/>
  <c r="W367" i="1"/>
  <c r="W367" i="1" a="1"/>
  <c r="Q367" i="1"/>
  <c r="X367" i="1" s="1"/>
  <c r="W366" i="1"/>
  <c r="X366" i="1" s="1"/>
  <c r="W366" i="1" a="1"/>
  <c r="Q366" i="1"/>
  <c r="R366" i="1" s="1"/>
  <c r="W365" i="1"/>
  <c r="W365" i="1" a="1"/>
  <c r="Q365" i="1"/>
  <c r="R365" i="1" s="1"/>
  <c r="W364" i="1" a="1"/>
  <c r="W364" i="1" s="1"/>
  <c r="Q364" i="1"/>
  <c r="R364" i="1" s="1"/>
  <c r="W363" i="1" a="1"/>
  <c r="W363" i="1" s="1"/>
  <c r="X363" i="1" s="1"/>
  <c r="Q363" i="1"/>
  <c r="R363" i="1" s="1"/>
  <c r="X362" i="1"/>
  <c r="W362" i="1"/>
  <c r="W362" i="1" a="1"/>
  <c r="Q362" i="1"/>
  <c r="R362" i="1" s="1"/>
  <c r="W361" i="1" a="1"/>
  <c r="W361" i="1" s="1"/>
  <c r="X361" i="1" s="1"/>
  <c r="R361" i="1"/>
  <c r="Q361" i="1"/>
  <c r="W360" i="1" a="1"/>
  <c r="W360" i="1" s="1"/>
  <c r="X360" i="1" s="1"/>
  <c r="R360" i="1"/>
  <c r="Q360" i="1"/>
  <c r="W359" i="1"/>
  <c r="W359" i="1" a="1"/>
  <c r="R359" i="1"/>
  <c r="Q359" i="1"/>
  <c r="X359" i="1" s="1"/>
  <c r="W358" i="1"/>
  <c r="W358" i="1" a="1"/>
  <c r="R358" i="1"/>
  <c r="Q358" i="1"/>
  <c r="X358" i="1" s="1"/>
  <c r="W357" i="1"/>
  <c r="W357" i="1" a="1"/>
  <c r="Q357" i="1"/>
  <c r="R357" i="1" s="1"/>
  <c r="W356" i="1"/>
  <c r="W356" i="1" a="1"/>
  <c r="Q356" i="1"/>
  <c r="R356" i="1" s="1"/>
  <c r="W355" i="1"/>
  <c r="X355" i="1" s="1"/>
  <c r="W355" i="1" a="1"/>
  <c r="Q355" i="1"/>
  <c r="R355" i="1" s="1"/>
  <c r="W354" i="1"/>
  <c r="X354" i="1" s="1"/>
  <c r="W354" i="1" a="1"/>
  <c r="Q354" i="1"/>
  <c r="R354" i="1" s="1"/>
  <c r="W353" i="1" a="1"/>
  <c r="W353" i="1" s="1"/>
  <c r="Q353" i="1"/>
  <c r="R353" i="1" s="1"/>
  <c r="W352" i="1" a="1"/>
  <c r="W352" i="1" s="1"/>
  <c r="Q352" i="1"/>
  <c r="R352" i="1" s="1"/>
  <c r="W351" i="1" a="1"/>
  <c r="W351" i="1" s="1"/>
  <c r="X351" i="1" s="1"/>
  <c r="Q351" i="1"/>
  <c r="R351" i="1" s="1"/>
  <c r="X350" i="1"/>
  <c r="W350" i="1"/>
  <c r="W350" i="1" a="1"/>
  <c r="Q350" i="1"/>
  <c r="R350" i="1" s="1"/>
  <c r="W349" i="1" a="1"/>
  <c r="W349" i="1" s="1"/>
  <c r="X349" i="1" s="1"/>
  <c r="R349" i="1"/>
  <c r="Q349" i="1"/>
  <c r="W348" i="1"/>
  <c r="X348" i="1" s="1"/>
  <c r="W348" i="1" a="1"/>
  <c r="R348" i="1"/>
  <c r="Q348" i="1"/>
  <c r="W347" i="1"/>
  <c r="W347" i="1" a="1"/>
  <c r="R347" i="1"/>
  <c r="Q347" i="1"/>
  <c r="X347" i="1" s="1"/>
  <c r="W346" i="1"/>
  <c r="W346" i="1" a="1"/>
  <c r="R346" i="1"/>
  <c r="Q346" i="1"/>
  <c r="X346" i="1" s="1"/>
  <c r="W345" i="1"/>
  <c r="W345" i="1" a="1"/>
  <c r="Q345" i="1"/>
  <c r="R345" i="1" s="1"/>
  <c r="W344" i="1"/>
  <c r="W344" i="1" a="1"/>
  <c r="Q344" i="1"/>
  <c r="R344" i="1" s="1"/>
  <c r="W343" i="1"/>
  <c r="X343" i="1" s="1"/>
  <c r="W343" i="1" a="1"/>
  <c r="Q343" i="1"/>
  <c r="R343" i="1" s="1"/>
  <c r="W342" i="1"/>
  <c r="X342" i="1" s="1"/>
  <c r="W342" i="1" a="1"/>
  <c r="Q342" i="1"/>
  <c r="R342" i="1" s="1"/>
  <c r="W341" i="1" a="1"/>
  <c r="W341" i="1" s="1"/>
  <c r="Q341" i="1"/>
  <c r="R341" i="1" s="1"/>
  <c r="W340" i="1" a="1"/>
  <c r="W340" i="1" s="1"/>
  <c r="Q340" i="1"/>
  <c r="R340" i="1" s="1"/>
  <c r="W339" i="1" a="1"/>
  <c r="W339" i="1" s="1"/>
  <c r="X339" i="1" s="1"/>
  <c r="Q339" i="1"/>
  <c r="R339" i="1" s="1"/>
  <c r="X338" i="1"/>
  <c r="W338" i="1"/>
  <c r="W338" i="1" a="1"/>
  <c r="Q338" i="1"/>
  <c r="R338" i="1" s="1"/>
  <c r="W337" i="1" a="1"/>
  <c r="W337" i="1" s="1"/>
  <c r="X337" i="1" s="1"/>
  <c r="R337" i="1"/>
  <c r="Q337" i="1"/>
  <c r="W336" i="1"/>
  <c r="X336" i="1" s="1"/>
  <c r="W336" i="1" a="1"/>
  <c r="R336" i="1"/>
  <c r="Q336" i="1"/>
  <c r="W335" i="1"/>
  <c r="W335" i="1" a="1"/>
  <c r="R335" i="1"/>
  <c r="Q335" i="1"/>
  <c r="X335" i="1" s="1"/>
  <c r="W334" i="1"/>
  <c r="W334" i="1" a="1"/>
  <c r="R334" i="1"/>
  <c r="Q334" i="1"/>
  <c r="X334" i="1" s="1"/>
  <c r="W333" i="1"/>
  <c r="W333" i="1" a="1"/>
  <c r="Q333" i="1"/>
  <c r="R333" i="1" s="1"/>
  <c r="W332" i="1"/>
  <c r="W332" i="1" a="1"/>
  <c r="Q332" i="1"/>
  <c r="R332" i="1" s="1"/>
  <c r="W331" i="1"/>
  <c r="X331" i="1" s="1"/>
  <c r="W331" i="1" a="1"/>
  <c r="Q331" i="1"/>
  <c r="R331" i="1" s="1"/>
  <c r="W330" i="1"/>
  <c r="X330" i="1" s="1"/>
  <c r="W330" i="1" a="1"/>
  <c r="Q330" i="1"/>
  <c r="R330" i="1" s="1"/>
  <c r="W329" i="1" a="1"/>
  <c r="W329" i="1" s="1"/>
  <c r="Q329" i="1"/>
  <c r="R329" i="1" s="1"/>
  <c r="W328" i="1" a="1"/>
  <c r="W328" i="1" s="1"/>
  <c r="Q328" i="1"/>
  <c r="R328" i="1" s="1"/>
  <c r="W327" i="1" a="1"/>
  <c r="W327" i="1" s="1"/>
  <c r="X327" i="1" s="1"/>
  <c r="Q327" i="1"/>
  <c r="R327" i="1" s="1"/>
  <c r="X326" i="1"/>
  <c r="W326" i="1"/>
  <c r="W326" i="1" a="1"/>
  <c r="Q326" i="1"/>
  <c r="R326" i="1" s="1"/>
  <c r="W325" i="1" a="1"/>
  <c r="W325" i="1" s="1"/>
  <c r="X325" i="1" s="1"/>
  <c r="R325" i="1"/>
  <c r="Q325" i="1"/>
  <c r="W324" i="1"/>
  <c r="X324" i="1" s="1"/>
  <c r="W324" i="1" a="1"/>
  <c r="R324" i="1"/>
  <c r="Q324" i="1"/>
  <c r="W323" i="1"/>
  <c r="W323" i="1" a="1"/>
  <c r="R323" i="1"/>
  <c r="Q323" i="1"/>
  <c r="X323" i="1" s="1"/>
  <c r="W322" i="1"/>
  <c r="W322" i="1" a="1"/>
  <c r="R322" i="1"/>
  <c r="Q322" i="1"/>
  <c r="X322" i="1" s="1"/>
  <c r="W321" i="1"/>
  <c r="W321" i="1" a="1"/>
  <c r="Q321" i="1"/>
  <c r="R321" i="1" s="1"/>
  <c r="W320" i="1"/>
  <c r="W320" i="1" a="1"/>
  <c r="Q320" i="1"/>
  <c r="R320" i="1" s="1"/>
  <c r="W319" i="1"/>
  <c r="X319" i="1" s="1"/>
  <c r="W319" i="1" a="1"/>
  <c r="Q319" i="1"/>
  <c r="R319" i="1" s="1"/>
  <c r="X318" i="1"/>
  <c r="W318" i="1"/>
  <c r="W318" i="1" a="1"/>
  <c r="Q318" i="1"/>
  <c r="R318" i="1" s="1"/>
  <c r="W317" i="1" a="1"/>
  <c r="W317" i="1" s="1"/>
  <c r="Q317" i="1"/>
  <c r="R317" i="1" s="1"/>
  <c r="W316" i="1" a="1"/>
  <c r="W316" i="1" s="1"/>
  <c r="Q316" i="1"/>
  <c r="R316" i="1" s="1"/>
  <c r="W315" i="1" a="1"/>
  <c r="W315" i="1" s="1"/>
  <c r="X315" i="1" s="1"/>
  <c r="R315" i="1"/>
  <c r="Q315" i="1"/>
  <c r="X314" i="1"/>
  <c r="W314" i="1"/>
  <c r="W314" i="1" a="1"/>
  <c r="Q314" i="1"/>
  <c r="R314" i="1" s="1"/>
  <c r="W313" i="1" a="1"/>
  <c r="W313" i="1" s="1"/>
  <c r="X313" i="1" s="1"/>
  <c r="R313" i="1"/>
  <c r="Q313" i="1"/>
  <c r="W312" i="1"/>
  <c r="X312" i="1" s="1"/>
  <c r="W312" i="1" a="1"/>
  <c r="R312" i="1"/>
  <c r="Q312" i="1"/>
  <c r="W311" i="1"/>
  <c r="W311" i="1" a="1"/>
  <c r="R311" i="1"/>
  <c r="Q311" i="1"/>
  <c r="X311" i="1" s="1"/>
  <c r="W310" i="1"/>
  <c r="W310" i="1" a="1"/>
  <c r="R310" i="1"/>
  <c r="Q310" i="1"/>
  <c r="X310" i="1" s="1"/>
  <c r="W309" i="1"/>
  <c r="W309" i="1" a="1"/>
  <c r="Q309" i="1"/>
  <c r="R309" i="1" s="1"/>
  <c r="W308" i="1"/>
  <c r="W308" i="1" a="1"/>
  <c r="Q308" i="1"/>
  <c r="W307" i="1"/>
  <c r="X307" i="1" s="1"/>
  <c r="W307" i="1" a="1"/>
  <c r="Q307" i="1"/>
  <c r="R307" i="1" s="1"/>
  <c r="X306" i="1"/>
  <c r="W306" i="1"/>
  <c r="W306" i="1" a="1"/>
  <c r="Q306" i="1"/>
  <c r="R306" i="1" s="1"/>
  <c r="W305" i="1" a="1"/>
  <c r="W305" i="1" s="1"/>
  <c r="Q305" i="1"/>
  <c r="W304" i="1" a="1"/>
  <c r="W304" i="1" s="1"/>
  <c r="Q304" i="1"/>
  <c r="R304" i="1" s="1"/>
  <c r="X303" i="1"/>
  <c r="W303" i="1" a="1"/>
  <c r="W303" i="1" s="1"/>
  <c r="R303" i="1"/>
  <c r="Q303" i="1"/>
  <c r="X302" i="1"/>
  <c r="W302" i="1"/>
  <c r="W302" i="1" a="1"/>
  <c r="Q302" i="1"/>
  <c r="R302" i="1" s="1"/>
  <c r="W301" i="1" a="1"/>
  <c r="W301" i="1" s="1"/>
  <c r="X301" i="1" s="1"/>
  <c r="R301" i="1"/>
  <c r="Q301" i="1"/>
  <c r="W300" i="1"/>
  <c r="X300" i="1" s="1"/>
  <c r="W300" i="1" a="1"/>
  <c r="R300" i="1"/>
  <c r="Q300" i="1"/>
  <c r="W299" i="1"/>
  <c r="W299" i="1" a="1"/>
  <c r="R299" i="1"/>
  <c r="Q299" i="1"/>
  <c r="W298" i="1"/>
  <c r="W298" i="1" a="1"/>
  <c r="R298" i="1"/>
  <c r="Q298" i="1"/>
  <c r="X298" i="1" s="1"/>
  <c r="W297" i="1"/>
  <c r="W297" i="1" a="1"/>
  <c r="Q297" i="1"/>
  <c r="R297" i="1" s="1"/>
  <c r="W296" i="1"/>
  <c r="W296" i="1" a="1"/>
  <c r="Q296" i="1"/>
  <c r="W295" i="1"/>
  <c r="X295" i="1" s="1"/>
  <c r="W295" i="1" a="1"/>
  <c r="Q295" i="1"/>
  <c r="R295" i="1" s="1"/>
  <c r="X294" i="1"/>
  <c r="W294" i="1"/>
  <c r="W294" i="1" a="1"/>
  <c r="Q294" i="1"/>
  <c r="R294" i="1" s="1"/>
  <c r="W293" i="1" a="1"/>
  <c r="W293" i="1" s="1"/>
  <c r="Q293" i="1"/>
  <c r="W292" i="1" a="1"/>
  <c r="W292" i="1" s="1"/>
  <c r="Q292" i="1"/>
  <c r="R292" i="1" s="1"/>
  <c r="X291" i="1"/>
  <c r="W291" i="1" a="1"/>
  <c r="W291" i="1" s="1"/>
  <c r="R291" i="1"/>
  <c r="Q291" i="1"/>
  <c r="W290" i="1" a="1"/>
  <c r="W290" i="1" s="1"/>
  <c r="X290" i="1" s="1"/>
  <c r="Q290" i="1"/>
  <c r="R290" i="1" s="1"/>
  <c r="W289" i="1" a="1"/>
  <c r="W289" i="1" s="1"/>
  <c r="X289" i="1" s="1"/>
  <c r="R289" i="1"/>
  <c r="Q289" i="1"/>
  <c r="W288" i="1"/>
  <c r="X288" i="1" s="1"/>
  <c r="W288" i="1" a="1"/>
  <c r="R288" i="1"/>
  <c r="Q288" i="1"/>
  <c r="W287" i="1"/>
  <c r="W287" i="1" a="1"/>
  <c r="R287" i="1"/>
  <c r="Q287" i="1"/>
  <c r="X287" i="1" s="1"/>
  <c r="W286" i="1"/>
  <c r="W286" i="1" a="1"/>
  <c r="Q286" i="1"/>
  <c r="R286" i="1" s="1"/>
  <c r="W285" i="1"/>
  <c r="W285" i="1" a="1"/>
  <c r="Q285" i="1"/>
  <c r="W284" i="1"/>
  <c r="W284" i="1" a="1"/>
  <c r="Q284" i="1"/>
  <c r="W283" i="1"/>
  <c r="X283" i="1" s="1"/>
  <c r="W283" i="1" a="1"/>
  <c r="Q283" i="1"/>
  <c r="R283" i="1" s="1"/>
  <c r="W282" i="1"/>
  <c r="W282" i="1" a="1"/>
  <c r="Q282" i="1"/>
  <c r="R282" i="1" s="1"/>
  <c r="W281" i="1" a="1"/>
  <c r="W281" i="1" s="1"/>
  <c r="Q281" i="1"/>
  <c r="W280" i="1" a="1"/>
  <c r="W280" i="1" s="1"/>
  <c r="X280" i="1" s="1"/>
  <c r="R280" i="1"/>
  <c r="Q280" i="1"/>
  <c r="X279" i="1"/>
  <c r="W279" i="1" a="1"/>
  <c r="W279" i="1" s="1"/>
  <c r="R279" i="1"/>
  <c r="Q279" i="1"/>
  <c r="X278" i="1"/>
  <c r="W278" i="1" a="1"/>
  <c r="W278" i="1" s="1"/>
  <c r="R278" i="1"/>
  <c r="Q278" i="1"/>
  <c r="W277" i="1" a="1"/>
  <c r="W277" i="1" s="1"/>
  <c r="X277" i="1" s="1"/>
  <c r="R277" i="1"/>
  <c r="Q277" i="1"/>
  <c r="W276" i="1" a="1"/>
  <c r="W276" i="1" s="1"/>
  <c r="X276" i="1" s="1"/>
  <c r="R276" i="1"/>
  <c r="Q276" i="1"/>
  <c r="W275" i="1"/>
  <c r="W275" i="1" a="1"/>
  <c r="R275" i="1"/>
  <c r="Q275" i="1"/>
  <c r="W274" i="1"/>
  <c r="W274" i="1" a="1"/>
  <c r="Q274" i="1"/>
  <c r="W273" i="1"/>
  <c r="W273" i="1" a="1"/>
  <c r="Q273" i="1"/>
  <c r="X273" i="1" s="1"/>
  <c r="W272" i="1"/>
  <c r="W272" i="1" a="1"/>
  <c r="Q272" i="1"/>
  <c r="R272" i="1" s="1"/>
  <c r="W271" i="1"/>
  <c r="W271" i="1" a="1"/>
  <c r="Q271" i="1"/>
  <c r="R271" i="1" s="1"/>
  <c r="W270" i="1" a="1"/>
  <c r="W270" i="1" s="1"/>
  <c r="X270" i="1" s="1"/>
  <c r="Q270" i="1"/>
  <c r="R270" i="1" s="1"/>
  <c r="W269" i="1"/>
  <c r="X269" i="1" s="1"/>
  <c r="W269" i="1" a="1"/>
  <c r="R269" i="1"/>
  <c r="Q269" i="1"/>
  <c r="W268" i="1" a="1"/>
  <c r="W268" i="1" s="1"/>
  <c r="Q268" i="1"/>
  <c r="R268" i="1" s="1"/>
  <c r="W267" i="1" a="1"/>
  <c r="W267" i="1" s="1"/>
  <c r="X267" i="1" s="1"/>
  <c r="R267" i="1"/>
  <c r="Q267" i="1"/>
  <c r="W266" i="1" a="1"/>
  <c r="W266" i="1" s="1"/>
  <c r="X266" i="1" s="1"/>
  <c r="Q266" i="1"/>
  <c r="R266" i="1" s="1"/>
  <c r="W265" i="1"/>
  <c r="W265" i="1" a="1"/>
  <c r="R265" i="1"/>
  <c r="Q265" i="1"/>
  <c r="X265" i="1" s="1"/>
  <c r="W264" i="1" a="1"/>
  <c r="W264" i="1" s="1"/>
  <c r="R264" i="1"/>
  <c r="Q264" i="1"/>
  <c r="X264" i="1" s="1"/>
  <c r="W263" i="1"/>
  <c r="X263" i="1" s="1"/>
  <c r="W263" i="1" a="1"/>
  <c r="R263" i="1"/>
  <c r="Q263" i="1"/>
  <c r="W262" i="1"/>
  <c r="W262" i="1" a="1"/>
  <c r="Q262" i="1"/>
  <c r="X262" i="1" s="1"/>
  <c r="W261" i="1"/>
  <c r="W261" i="1" a="1"/>
  <c r="Q261" i="1"/>
  <c r="R261" i="1" s="1"/>
  <c r="W260" i="1"/>
  <c r="W260" i="1" a="1"/>
  <c r="Q260" i="1"/>
  <c r="X260" i="1" s="1"/>
  <c r="W259" i="1"/>
  <c r="W259" i="1" a="1"/>
  <c r="Q259" i="1"/>
  <c r="R259" i="1" s="1"/>
  <c r="W258" i="1" a="1"/>
  <c r="W258" i="1" s="1"/>
  <c r="X258" i="1" s="1"/>
  <c r="Q258" i="1"/>
  <c r="R258" i="1" s="1"/>
  <c r="W257" i="1"/>
  <c r="W257" i="1" a="1"/>
  <c r="Q257" i="1"/>
  <c r="R257" i="1" s="1"/>
  <c r="W256" i="1" a="1"/>
  <c r="W256" i="1" s="1"/>
  <c r="Q256" i="1"/>
  <c r="R256" i="1" s="1"/>
  <c r="W255" i="1"/>
  <c r="X255" i="1" s="1"/>
  <c r="W255" i="1" a="1"/>
  <c r="R255" i="1"/>
  <c r="Q255" i="1"/>
  <c r="W254" i="1" a="1"/>
  <c r="W254" i="1" s="1"/>
  <c r="X254" i="1" s="1"/>
  <c r="Q254" i="1"/>
  <c r="R254" i="1" s="1"/>
  <c r="W253" i="1"/>
  <c r="W253" i="1" a="1"/>
  <c r="R253" i="1"/>
  <c r="Q253" i="1"/>
  <c r="X253" i="1" s="1"/>
  <c r="W252" i="1"/>
  <c r="W252" i="1" a="1"/>
  <c r="Q252" i="1"/>
  <c r="R252" i="1" s="1"/>
  <c r="W251" i="1"/>
  <c r="X251" i="1" s="1"/>
  <c r="W251" i="1" a="1"/>
  <c r="R251" i="1"/>
  <c r="Q251" i="1"/>
  <c r="W250" i="1"/>
  <c r="W250" i="1" a="1"/>
  <c r="Q250" i="1"/>
  <c r="X250" i="1" s="1"/>
  <c r="W249" i="1"/>
  <c r="W249" i="1" a="1"/>
  <c r="Q249" i="1"/>
  <c r="R249" i="1" s="1"/>
  <c r="W248" i="1"/>
  <c r="W248" i="1" a="1"/>
  <c r="Q248" i="1"/>
  <c r="X248" i="1" s="1"/>
  <c r="W247" i="1"/>
  <c r="W247" i="1" a="1"/>
  <c r="Q247" i="1"/>
  <c r="R247" i="1" s="1"/>
  <c r="W246" i="1" a="1"/>
  <c r="W246" i="1" s="1"/>
  <c r="X246" i="1" s="1"/>
  <c r="Q246" i="1"/>
  <c r="R246" i="1" s="1"/>
  <c r="W245" i="1"/>
  <c r="W245" i="1" a="1"/>
  <c r="Q245" i="1"/>
  <c r="R245" i="1" s="1"/>
  <c r="W244" i="1" a="1"/>
  <c r="W244" i="1" s="1"/>
  <c r="X244" i="1" s="1"/>
  <c r="Q244" i="1"/>
  <c r="R244" i="1" s="1"/>
  <c r="W243" i="1"/>
  <c r="X243" i="1" s="1"/>
  <c r="W243" i="1" a="1"/>
  <c r="R243" i="1"/>
  <c r="Q243" i="1"/>
  <c r="W242" i="1" a="1"/>
  <c r="W242" i="1" s="1"/>
  <c r="X242" i="1" s="1"/>
  <c r="Q242" i="1"/>
  <c r="R242" i="1" s="1"/>
  <c r="W241" i="1"/>
  <c r="W241" i="1" a="1"/>
  <c r="R241" i="1"/>
  <c r="Q241" i="1"/>
  <c r="X241" i="1" s="1"/>
  <c r="W240" i="1"/>
  <c r="W240" i="1" a="1"/>
  <c r="Q240" i="1"/>
  <c r="R240" i="1" s="1"/>
  <c r="W239" i="1"/>
  <c r="X239" i="1" s="1"/>
  <c r="W239" i="1" a="1"/>
  <c r="R239" i="1"/>
  <c r="Q239" i="1"/>
  <c r="W238" i="1"/>
  <c r="W238" i="1" a="1"/>
  <c r="Q238" i="1"/>
  <c r="X238" i="1" s="1"/>
  <c r="W237" i="1"/>
  <c r="W237" i="1" a="1"/>
  <c r="Q237" i="1"/>
  <c r="R237" i="1" s="1"/>
  <c r="W236" i="1"/>
  <c r="W236" i="1" a="1"/>
  <c r="Q236" i="1"/>
  <c r="X236" i="1" s="1"/>
  <c r="W235" i="1"/>
  <c r="W235" i="1" a="1"/>
  <c r="Q235" i="1"/>
  <c r="R235" i="1" s="1"/>
  <c r="W234" i="1" a="1"/>
  <c r="W234" i="1" s="1"/>
  <c r="X234" i="1" s="1"/>
  <c r="Q234" i="1"/>
  <c r="R234" i="1" s="1"/>
  <c r="W233" i="1"/>
  <c r="W233" i="1" a="1"/>
  <c r="Q233" i="1"/>
  <c r="R233" i="1" s="1"/>
  <c r="W232" i="1" a="1"/>
  <c r="W232" i="1" s="1"/>
  <c r="X232" i="1" s="1"/>
  <c r="Q232" i="1"/>
  <c r="R232" i="1" s="1"/>
  <c r="W231" i="1"/>
  <c r="X231" i="1" s="1"/>
  <c r="W231" i="1" a="1"/>
  <c r="R231" i="1"/>
  <c r="Q231" i="1"/>
  <c r="W230" i="1" a="1"/>
  <c r="W230" i="1" s="1"/>
  <c r="X230" i="1" s="1"/>
  <c r="Q230" i="1"/>
  <c r="R230" i="1" s="1"/>
  <c r="W229" i="1"/>
  <c r="W229" i="1" a="1"/>
  <c r="R229" i="1"/>
  <c r="Q229" i="1"/>
  <c r="X229" i="1" s="1"/>
  <c r="W228" i="1"/>
  <c r="W228" i="1" a="1"/>
  <c r="Q228" i="1"/>
  <c r="R228" i="1" s="1"/>
  <c r="W227" i="1"/>
  <c r="X227" i="1" s="1"/>
  <c r="W227" i="1" a="1"/>
  <c r="R227" i="1"/>
  <c r="Q227" i="1"/>
  <c r="W226" i="1"/>
  <c r="W226" i="1" a="1"/>
  <c r="Q226" i="1"/>
  <c r="X226" i="1" s="1"/>
  <c r="W225" i="1"/>
  <c r="W225" i="1" a="1"/>
  <c r="Q225" i="1"/>
  <c r="R225" i="1" s="1"/>
  <c r="W224" i="1"/>
  <c r="W224" i="1" a="1"/>
  <c r="Q224" i="1"/>
  <c r="X224" i="1" s="1"/>
  <c r="W223" i="1"/>
  <c r="W223" i="1" a="1"/>
  <c r="Q223" i="1"/>
  <c r="R223" i="1" s="1"/>
  <c r="W222" i="1" a="1"/>
  <c r="W222" i="1" s="1"/>
  <c r="X222" i="1" s="1"/>
  <c r="Q222" i="1"/>
  <c r="R222" i="1" s="1"/>
  <c r="W221" i="1"/>
  <c r="W221" i="1" a="1"/>
  <c r="Q221" i="1"/>
  <c r="R221" i="1" s="1"/>
  <c r="W220" i="1" a="1"/>
  <c r="W220" i="1" s="1"/>
  <c r="X220" i="1" s="1"/>
  <c r="Q220" i="1"/>
  <c r="R220" i="1" s="1"/>
  <c r="W219" i="1"/>
  <c r="X219" i="1" s="1"/>
  <c r="W219" i="1" a="1"/>
  <c r="R219" i="1"/>
  <c r="Q219" i="1"/>
  <c r="W218" i="1" a="1"/>
  <c r="W218" i="1" s="1"/>
  <c r="X218" i="1" s="1"/>
  <c r="Q218" i="1"/>
  <c r="R218" i="1" s="1"/>
  <c r="W217" i="1"/>
  <c r="W217" i="1" a="1"/>
  <c r="R217" i="1"/>
  <c r="Q217" i="1"/>
  <c r="X217" i="1" s="1"/>
  <c r="W216" i="1"/>
  <c r="W216" i="1" a="1"/>
  <c r="Q216" i="1"/>
  <c r="R216" i="1" s="1"/>
  <c r="W215" i="1"/>
  <c r="X215" i="1" s="1"/>
  <c r="W215" i="1" a="1"/>
  <c r="R215" i="1"/>
  <c r="Q215" i="1"/>
  <c r="W214" i="1"/>
  <c r="W214" i="1" a="1"/>
  <c r="Q214" i="1"/>
  <c r="X214" i="1" s="1"/>
  <c r="W213" i="1"/>
  <c r="W213" i="1" a="1"/>
  <c r="Q213" i="1"/>
  <c r="R213" i="1" s="1"/>
  <c r="W212" i="1"/>
  <c r="W212" i="1" a="1"/>
  <c r="Q212" i="1"/>
  <c r="X212" i="1" s="1"/>
  <c r="W211" i="1"/>
  <c r="W211" i="1" a="1"/>
  <c r="Q211" i="1"/>
  <c r="R211" i="1" s="1"/>
  <c r="W210" i="1" a="1"/>
  <c r="W210" i="1" s="1"/>
  <c r="X210" i="1" s="1"/>
  <c r="Q210" i="1"/>
  <c r="R210" i="1" s="1"/>
  <c r="W209" i="1"/>
  <c r="W209" i="1" a="1"/>
  <c r="Q209" i="1"/>
  <c r="R209" i="1" s="1"/>
  <c r="W208" i="1" a="1"/>
  <c r="W208" i="1" s="1"/>
  <c r="Q208" i="1"/>
  <c r="R208" i="1" s="1"/>
  <c r="W207" i="1"/>
  <c r="X207" i="1" s="1"/>
  <c r="W207" i="1" a="1"/>
  <c r="R207" i="1"/>
  <c r="Q207" i="1"/>
  <c r="W206" i="1" a="1"/>
  <c r="W206" i="1" s="1"/>
  <c r="X206" i="1" s="1"/>
  <c r="Q206" i="1"/>
  <c r="R206" i="1" s="1"/>
  <c r="W205" i="1"/>
  <c r="W205" i="1" a="1"/>
  <c r="R205" i="1"/>
  <c r="Q205" i="1"/>
  <c r="X205" i="1" s="1"/>
  <c r="W204" i="1" a="1"/>
  <c r="W204" i="1" s="1"/>
  <c r="Q204" i="1"/>
  <c r="R204" i="1" s="1"/>
  <c r="W203" i="1"/>
  <c r="X203" i="1" s="1"/>
  <c r="W203" i="1" a="1"/>
  <c r="R203" i="1"/>
  <c r="Q203" i="1"/>
  <c r="W202" i="1"/>
  <c r="W202" i="1" a="1"/>
  <c r="Q202" i="1"/>
  <c r="X202" i="1" s="1"/>
  <c r="W201" i="1"/>
  <c r="W201" i="1" a="1"/>
  <c r="Q201" i="1"/>
  <c r="R201" i="1" s="1"/>
  <c r="W200" i="1"/>
  <c r="W200" i="1" a="1"/>
  <c r="Q200" i="1"/>
  <c r="X200" i="1" s="1"/>
  <c r="W199" i="1"/>
  <c r="W199" i="1" a="1"/>
  <c r="Q199" i="1"/>
  <c r="R199" i="1" s="1"/>
  <c r="W198" i="1" a="1"/>
  <c r="W198" i="1" s="1"/>
  <c r="X198" i="1" s="1"/>
  <c r="Q198" i="1"/>
  <c r="R198" i="1" s="1"/>
  <c r="W197" i="1"/>
  <c r="W197" i="1" a="1"/>
  <c r="Q197" i="1"/>
  <c r="R197" i="1" s="1"/>
  <c r="W196" i="1" a="1"/>
  <c r="W196" i="1" s="1"/>
  <c r="Q196" i="1"/>
  <c r="R196" i="1" s="1"/>
  <c r="W195" i="1"/>
  <c r="X195" i="1" s="1"/>
  <c r="W195" i="1" a="1"/>
  <c r="R195" i="1"/>
  <c r="Q195" i="1"/>
  <c r="W194" i="1" a="1"/>
  <c r="W194" i="1" s="1"/>
  <c r="X194" i="1" s="1"/>
  <c r="R194" i="1"/>
  <c r="Q194" i="1"/>
  <c r="W193" i="1"/>
  <c r="W193" i="1" a="1"/>
  <c r="R193" i="1"/>
  <c r="Q193" i="1"/>
  <c r="X193" i="1" s="1"/>
  <c r="W192" i="1" a="1"/>
  <c r="W192" i="1" s="1"/>
  <c r="Q192" i="1"/>
  <c r="R192" i="1" s="1"/>
  <c r="W191" i="1"/>
  <c r="X191" i="1" s="1"/>
  <c r="W191" i="1" a="1"/>
  <c r="R191" i="1"/>
  <c r="Q191" i="1"/>
  <c r="W190" i="1"/>
  <c r="W190" i="1" a="1"/>
  <c r="Q190" i="1"/>
  <c r="X190" i="1" s="1"/>
  <c r="W189" i="1"/>
  <c r="W189" i="1" a="1"/>
  <c r="Q189" i="1"/>
  <c r="R189" i="1" s="1"/>
  <c r="W188" i="1"/>
  <c r="W188" i="1" a="1"/>
  <c r="Q188" i="1"/>
  <c r="X188" i="1" s="1"/>
  <c r="W187" i="1"/>
  <c r="W187" i="1" a="1"/>
  <c r="Q187" i="1"/>
  <c r="R187" i="1" s="1"/>
  <c r="W186" i="1" a="1"/>
  <c r="W186" i="1" s="1"/>
  <c r="X186" i="1" s="1"/>
  <c r="Q186" i="1"/>
  <c r="R186" i="1" s="1"/>
  <c r="W185" i="1"/>
  <c r="W185" i="1" a="1"/>
  <c r="Q185" i="1"/>
  <c r="R185" i="1" s="1"/>
  <c r="W184" i="1" a="1"/>
  <c r="W184" i="1" s="1"/>
  <c r="Q184" i="1"/>
  <c r="R184" i="1" s="1"/>
  <c r="W183" i="1"/>
  <c r="X183" i="1" s="1"/>
  <c r="W183" i="1" a="1"/>
  <c r="R183" i="1"/>
  <c r="Q183" i="1"/>
  <c r="W182" i="1" a="1"/>
  <c r="W182" i="1" s="1"/>
  <c r="X182" i="1" s="1"/>
  <c r="R182" i="1"/>
  <c r="Q182" i="1"/>
  <c r="W181" i="1"/>
  <c r="W181" i="1" a="1"/>
  <c r="R181" i="1"/>
  <c r="Q181" i="1"/>
  <c r="X181" i="1" s="1"/>
  <c r="W180" i="1" a="1"/>
  <c r="W180" i="1" s="1"/>
  <c r="Q180" i="1"/>
  <c r="R180" i="1" s="1"/>
  <c r="W179" i="1"/>
  <c r="X179" i="1" s="1"/>
  <c r="W179" i="1" a="1"/>
  <c r="R179" i="1"/>
  <c r="Q179" i="1"/>
  <c r="W178" i="1"/>
  <c r="W178" i="1" a="1"/>
  <c r="Q178" i="1"/>
  <c r="X178" i="1" s="1"/>
  <c r="W177" i="1"/>
  <c r="W177" i="1" a="1"/>
  <c r="Q177" i="1"/>
  <c r="R177" i="1" s="1"/>
  <c r="W176" i="1"/>
  <c r="W176" i="1" a="1"/>
  <c r="Q176" i="1"/>
  <c r="W175" i="1"/>
  <c r="W175" i="1" a="1"/>
  <c r="Q175" i="1"/>
  <c r="R175" i="1" s="1"/>
  <c r="X174" i="1"/>
  <c r="W174" i="1" a="1"/>
  <c r="W174" i="1" s="1"/>
  <c r="Q174" i="1"/>
  <c r="R174" i="1" s="1"/>
  <c r="W173" i="1"/>
  <c r="W173" i="1" a="1"/>
  <c r="Q173" i="1"/>
  <c r="R173" i="1" s="1"/>
  <c r="W172" i="1" a="1"/>
  <c r="W172" i="1" s="1"/>
  <c r="Q172" i="1"/>
  <c r="R172" i="1" s="1"/>
  <c r="W171" i="1"/>
  <c r="X171" i="1" s="1"/>
  <c r="W171" i="1" a="1"/>
  <c r="R171" i="1"/>
  <c r="Q171" i="1"/>
  <c r="W170" i="1" a="1"/>
  <c r="W170" i="1" s="1"/>
  <c r="X170" i="1" s="1"/>
  <c r="R170" i="1"/>
  <c r="Q170" i="1"/>
  <c r="W169" i="1"/>
  <c r="W169" i="1" a="1"/>
  <c r="R169" i="1"/>
  <c r="Q169" i="1"/>
  <c r="X169" i="1" s="1"/>
  <c r="W168" i="1" a="1"/>
  <c r="W168" i="1" s="1"/>
  <c r="Q168" i="1"/>
  <c r="R168" i="1" s="1"/>
  <c r="W167" i="1"/>
  <c r="X167" i="1" s="1"/>
  <c r="W167" i="1" a="1"/>
  <c r="R167" i="1"/>
  <c r="Q167" i="1"/>
  <c r="W166" i="1"/>
  <c r="W166" i="1" a="1"/>
  <c r="Q166" i="1"/>
  <c r="X166" i="1" s="1"/>
  <c r="W165" i="1"/>
  <c r="W165" i="1" a="1"/>
  <c r="Q165" i="1"/>
  <c r="R165" i="1" s="1"/>
  <c r="W164" i="1"/>
  <c r="W164" i="1" a="1"/>
  <c r="Q164" i="1"/>
  <c r="W163" i="1"/>
  <c r="W163" i="1" a="1"/>
  <c r="Q163" i="1"/>
  <c r="R163" i="1" s="1"/>
  <c r="X162" i="1"/>
  <c r="W162" i="1"/>
  <c r="W162" i="1" a="1"/>
  <c r="Q162" i="1"/>
  <c r="R162" i="1" s="1"/>
  <c r="W161" i="1"/>
  <c r="W161" i="1" a="1"/>
  <c r="Q161" i="1"/>
  <c r="W160" i="1" a="1"/>
  <c r="W160" i="1" s="1"/>
  <c r="X160" i="1" s="1"/>
  <c r="Q160" i="1"/>
  <c r="R160" i="1" s="1"/>
  <c r="X159" i="1"/>
  <c r="W159" i="1"/>
  <c r="W159" i="1" a="1"/>
  <c r="R159" i="1"/>
  <c r="Q159" i="1"/>
  <c r="X158" i="1"/>
  <c r="W158" i="1" a="1"/>
  <c r="W158" i="1" s="1"/>
  <c r="R158" i="1"/>
  <c r="Q158" i="1"/>
  <c r="W157" i="1"/>
  <c r="W157" i="1" a="1"/>
  <c r="Q157" i="1"/>
  <c r="X157" i="1" s="1"/>
  <c r="W156" i="1" a="1"/>
  <c r="W156" i="1" s="1"/>
  <c r="R156" i="1"/>
  <c r="Q156" i="1"/>
  <c r="X156" i="1" s="1"/>
  <c r="X155" i="1"/>
  <c r="W155" i="1"/>
  <c r="W155" i="1" a="1"/>
  <c r="R155" i="1"/>
  <c r="Q155" i="1"/>
  <c r="W154" i="1" a="1"/>
  <c r="W154" i="1" s="1"/>
  <c r="X154" i="1" s="1"/>
  <c r="R154" i="1"/>
  <c r="Q154" i="1"/>
  <c r="W153" i="1" a="1"/>
  <c r="W153" i="1" s="1"/>
  <c r="R153" i="1"/>
  <c r="Q153" i="1"/>
  <c r="W152" i="1" a="1"/>
  <c r="W152" i="1" s="1"/>
  <c r="X152" i="1" s="1"/>
  <c r="R152" i="1"/>
  <c r="Q152" i="1"/>
  <c r="W151" i="1"/>
  <c r="X151" i="1" s="1"/>
  <c r="W151" i="1" a="1"/>
  <c r="R151" i="1"/>
  <c r="Q151" i="1"/>
  <c r="W150" i="1" a="1"/>
  <c r="W150" i="1" s="1"/>
  <c r="Q150" i="1"/>
  <c r="R150" i="1" s="1"/>
  <c r="W149" i="1" a="1"/>
  <c r="W149" i="1" s="1"/>
  <c r="X149" i="1" s="1"/>
  <c r="Q149" i="1"/>
  <c r="R149" i="1" s="1"/>
  <c r="W148" i="1" a="1"/>
  <c r="W148" i="1" s="1"/>
  <c r="R148" i="1"/>
  <c r="Q148" i="1"/>
  <c r="X148" i="1" s="1"/>
  <c r="W147" i="1" a="1"/>
  <c r="W147" i="1" s="1"/>
  <c r="Q147" i="1"/>
  <c r="R147" i="1" s="1"/>
  <c r="X146" i="1"/>
  <c r="W146" i="1"/>
  <c r="W146" i="1" a="1"/>
  <c r="Q146" i="1"/>
  <c r="R146" i="1" s="1"/>
  <c r="W145" i="1"/>
  <c r="X145" i="1" s="1"/>
  <c r="W145" i="1" a="1"/>
  <c r="R145" i="1"/>
  <c r="Q145" i="1"/>
  <c r="W144" i="1"/>
  <c r="W144" i="1" a="1"/>
  <c r="Q144" i="1"/>
  <c r="X144" i="1" s="1"/>
  <c r="W143" i="1" a="1"/>
  <c r="W143" i="1" s="1"/>
  <c r="R143" i="1"/>
  <c r="Q143" i="1"/>
  <c r="W142" i="1"/>
  <c r="W142" i="1" a="1"/>
  <c r="Q142" i="1"/>
  <c r="R142" i="1" s="1"/>
  <c r="W141" i="1"/>
  <c r="W141" i="1" a="1"/>
  <c r="Q141" i="1"/>
  <c r="R141" i="1" s="1"/>
  <c r="X140" i="1"/>
  <c r="W140" i="1"/>
  <c r="W140" i="1" a="1"/>
  <c r="Q140" i="1"/>
  <c r="R140" i="1" s="1"/>
  <c r="W139" i="1"/>
  <c r="X139" i="1" s="1"/>
  <c r="W139" i="1" a="1"/>
  <c r="R139" i="1"/>
  <c r="Q139" i="1"/>
  <c r="W138" i="1"/>
  <c r="W138" i="1" a="1"/>
  <c r="Q138" i="1"/>
  <c r="R138" i="1" s="1"/>
  <c r="W137" i="1" a="1"/>
  <c r="W137" i="1" s="1"/>
  <c r="R137" i="1"/>
  <c r="Q137" i="1"/>
  <c r="X137" i="1" s="1"/>
  <c r="W136" i="1"/>
  <c r="W136" i="1" a="1"/>
  <c r="Q136" i="1"/>
  <c r="R136" i="1" s="1"/>
  <c r="W135" i="1"/>
  <c r="W135" i="1" a="1"/>
  <c r="Q135" i="1"/>
  <c r="R135" i="1" s="1"/>
  <c r="X134" i="1"/>
  <c r="W134" i="1"/>
  <c r="W134" i="1" a="1"/>
  <c r="Q134" i="1"/>
  <c r="R134" i="1" s="1"/>
  <c r="W133" i="1"/>
  <c r="X133" i="1" s="1"/>
  <c r="W133" i="1" a="1"/>
  <c r="R133" i="1"/>
  <c r="Q133" i="1"/>
  <c r="W132" i="1"/>
  <c r="W132" i="1" a="1"/>
  <c r="R132" i="1"/>
  <c r="Q132" i="1"/>
  <c r="X132" i="1" s="1"/>
  <c r="W131" i="1" a="1"/>
  <c r="W131" i="1" s="1"/>
  <c r="R131" i="1"/>
  <c r="Q131" i="1"/>
  <c r="W130" i="1"/>
  <c r="W130" i="1" a="1"/>
  <c r="Q130" i="1"/>
  <c r="R130" i="1" s="1"/>
  <c r="W129" i="1"/>
  <c r="W129" i="1" a="1"/>
  <c r="Q129" i="1"/>
  <c r="R129" i="1" s="1"/>
  <c r="X128" i="1"/>
  <c r="W128" i="1"/>
  <c r="W128" i="1" a="1"/>
  <c r="Q128" i="1"/>
  <c r="R128" i="1" s="1"/>
  <c r="W127" i="1"/>
  <c r="X127" i="1" s="1"/>
  <c r="W127" i="1" a="1"/>
  <c r="R127" i="1"/>
  <c r="Q127" i="1"/>
  <c r="W126" i="1"/>
  <c r="W126" i="1" a="1"/>
  <c r="Q126" i="1"/>
  <c r="R126" i="1" s="1"/>
  <c r="W125" i="1" a="1"/>
  <c r="W125" i="1" s="1"/>
  <c r="R125" i="1"/>
  <c r="Q125" i="1"/>
  <c r="W124" i="1"/>
  <c r="W124" i="1" a="1"/>
  <c r="Q124" i="1"/>
  <c r="R124" i="1" s="1"/>
  <c r="W123" i="1"/>
  <c r="W123" i="1" a="1"/>
  <c r="Q123" i="1"/>
  <c r="R123" i="1" s="1"/>
  <c r="X122" i="1"/>
  <c r="W122" i="1"/>
  <c r="W122" i="1" a="1"/>
  <c r="Q122" i="1"/>
  <c r="R122" i="1" s="1"/>
  <c r="W121" i="1"/>
  <c r="X121" i="1" s="1"/>
  <c r="W121" i="1" a="1"/>
  <c r="R121" i="1"/>
  <c r="Q121" i="1"/>
  <c r="W120" i="1"/>
  <c r="W120" i="1" a="1"/>
  <c r="R120" i="1"/>
  <c r="Q120" i="1"/>
  <c r="X120" i="1" s="1"/>
  <c r="W119" i="1" a="1"/>
  <c r="W119" i="1" s="1"/>
  <c r="R119" i="1"/>
  <c r="Q119" i="1"/>
  <c r="X119" i="1" s="1"/>
  <c r="W118" i="1"/>
  <c r="W118" i="1" a="1"/>
  <c r="Q118" i="1"/>
  <c r="R118" i="1" s="1"/>
  <c r="W117" i="1"/>
  <c r="W117" i="1" a="1"/>
  <c r="Q117" i="1"/>
  <c r="R117" i="1" s="1"/>
  <c r="X116" i="1"/>
  <c r="W116" i="1"/>
  <c r="W116" i="1" a="1"/>
  <c r="Q116" i="1"/>
  <c r="R116" i="1" s="1"/>
  <c r="W115" i="1"/>
  <c r="X115" i="1" s="1"/>
  <c r="W115" i="1" a="1"/>
  <c r="R115" i="1"/>
  <c r="Q115" i="1"/>
  <c r="W114" i="1"/>
  <c r="W114" i="1" a="1"/>
  <c r="Q114" i="1"/>
  <c r="R114" i="1" s="1"/>
  <c r="W113" i="1" a="1"/>
  <c r="W113" i="1" s="1"/>
  <c r="R113" i="1"/>
  <c r="Q113" i="1"/>
  <c r="W112" i="1"/>
  <c r="W112" i="1" a="1"/>
  <c r="Q112" i="1"/>
  <c r="R112" i="1" s="1"/>
  <c r="W111" i="1"/>
  <c r="W111" i="1" a="1"/>
  <c r="Q111" i="1"/>
  <c r="R111" i="1" s="1"/>
  <c r="X110" i="1"/>
  <c r="W110" i="1"/>
  <c r="W110" i="1" a="1"/>
  <c r="Q110" i="1"/>
  <c r="R110" i="1" s="1"/>
  <c r="W109" i="1"/>
  <c r="X109" i="1" s="1"/>
  <c r="W109" i="1" a="1"/>
  <c r="R109" i="1"/>
  <c r="Q109" i="1"/>
  <c r="W108" i="1"/>
  <c r="W108" i="1" a="1"/>
  <c r="R108" i="1"/>
  <c r="Q108" i="1"/>
  <c r="X108" i="1" s="1"/>
  <c r="W107" i="1" a="1"/>
  <c r="W107" i="1" s="1"/>
  <c r="R107" i="1"/>
  <c r="Q107" i="1"/>
  <c r="X107" i="1" s="1"/>
  <c r="W106" i="1"/>
  <c r="W106" i="1" a="1"/>
  <c r="Q106" i="1"/>
  <c r="R106" i="1" s="1"/>
  <c r="W105" i="1"/>
  <c r="W105" i="1" a="1"/>
  <c r="Q105" i="1"/>
  <c r="R105" i="1" s="1"/>
  <c r="X104" i="1"/>
  <c r="W104" i="1"/>
  <c r="W104" i="1" a="1"/>
  <c r="Q104" i="1"/>
  <c r="R104" i="1" s="1"/>
  <c r="W103" i="1"/>
  <c r="X103" i="1" s="1"/>
  <c r="W103" i="1" a="1"/>
  <c r="R103" i="1"/>
  <c r="Q103" i="1"/>
  <c r="W102" i="1"/>
  <c r="W102" i="1" a="1"/>
  <c r="Q102" i="1"/>
  <c r="R102" i="1" s="1"/>
  <c r="W101" i="1" a="1"/>
  <c r="W101" i="1" s="1"/>
  <c r="R101" i="1"/>
  <c r="Q101" i="1"/>
  <c r="X101" i="1" s="1"/>
  <c r="W100" i="1"/>
  <c r="W100" i="1" a="1"/>
  <c r="Q100" i="1"/>
  <c r="R100" i="1" s="1"/>
  <c r="W99" i="1"/>
  <c r="W99" i="1" a="1"/>
  <c r="Q99" i="1"/>
  <c r="R99" i="1" s="1"/>
  <c r="X98" i="1"/>
  <c r="W98" i="1"/>
  <c r="W98" i="1" a="1"/>
  <c r="Q98" i="1"/>
  <c r="R98" i="1" s="1"/>
  <c r="W97" i="1"/>
  <c r="X97" i="1" s="1"/>
  <c r="W97" i="1" a="1"/>
  <c r="R97" i="1"/>
  <c r="Q97" i="1"/>
  <c r="W96" i="1"/>
  <c r="W96" i="1" a="1"/>
  <c r="R96" i="1"/>
  <c r="Q96" i="1"/>
  <c r="X96" i="1" s="1"/>
  <c r="W95" i="1" a="1"/>
  <c r="W95" i="1" s="1"/>
  <c r="R95" i="1"/>
  <c r="Q95" i="1"/>
  <c r="X95" i="1" s="1"/>
  <c r="W94" i="1"/>
  <c r="W94" i="1" a="1"/>
  <c r="Q94" i="1"/>
  <c r="R94" i="1" s="1"/>
  <c r="W93" i="1"/>
  <c r="W93" i="1" a="1"/>
  <c r="Q93" i="1"/>
  <c r="R93" i="1" s="1"/>
  <c r="X92" i="1"/>
  <c r="W92" i="1"/>
  <c r="W92" i="1" a="1"/>
  <c r="Q92" i="1"/>
  <c r="R92" i="1" s="1"/>
  <c r="W91" i="1"/>
  <c r="X91" i="1" s="1"/>
  <c r="W91" i="1" a="1"/>
  <c r="R91" i="1"/>
  <c r="Q91" i="1"/>
  <c r="W90" i="1"/>
  <c r="W90" i="1" a="1"/>
  <c r="Q90" i="1"/>
  <c r="R90" i="1" s="1"/>
  <c r="W89" i="1"/>
  <c r="W89" i="1" a="1"/>
  <c r="R89" i="1"/>
  <c r="Q89" i="1"/>
  <c r="X89" i="1" s="1"/>
  <c r="W88" i="1"/>
  <c r="W88" i="1" a="1"/>
  <c r="Q88" i="1"/>
  <c r="R88" i="1" s="1"/>
  <c r="W87" i="1"/>
  <c r="W87" i="1" a="1"/>
  <c r="Q87" i="1"/>
  <c r="R87" i="1" s="1"/>
  <c r="X86" i="1"/>
  <c r="W86" i="1"/>
  <c r="W86" i="1" a="1"/>
  <c r="Q86" i="1"/>
  <c r="R86" i="1" s="1"/>
  <c r="W85" i="1"/>
  <c r="X85" i="1" s="1"/>
  <c r="W85" i="1" a="1"/>
  <c r="R85" i="1"/>
  <c r="Q85" i="1"/>
  <c r="W84" i="1"/>
  <c r="W84" i="1" a="1"/>
  <c r="R84" i="1"/>
  <c r="Q84" i="1"/>
  <c r="X84" i="1" s="1"/>
  <c r="W83" i="1" a="1"/>
  <c r="W83" i="1" s="1"/>
  <c r="R83" i="1"/>
  <c r="Q83" i="1"/>
  <c r="X83" i="1" s="1"/>
  <c r="W82" i="1"/>
  <c r="W82" i="1" a="1"/>
  <c r="Q82" i="1"/>
  <c r="R82" i="1" s="1"/>
  <c r="W81" i="1"/>
  <c r="W81" i="1" a="1"/>
  <c r="Q81" i="1"/>
  <c r="R81" i="1" s="1"/>
  <c r="X80" i="1"/>
  <c r="W80" i="1"/>
  <c r="W80" i="1" a="1"/>
  <c r="Q80" i="1"/>
  <c r="R80" i="1" s="1"/>
  <c r="W79" i="1"/>
  <c r="X79" i="1" s="1"/>
  <c r="W79" i="1" a="1"/>
  <c r="R79" i="1"/>
  <c r="Q79" i="1"/>
  <c r="W78" i="1"/>
  <c r="W78" i="1" a="1"/>
  <c r="Q78" i="1"/>
  <c r="R78" i="1" s="1"/>
  <c r="W77" i="1"/>
  <c r="W77" i="1" a="1"/>
  <c r="R77" i="1"/>
  <c r="Q77" i="1"/>
  <c r="X77" i="1" s="1"/>
  <c r="W76" i="1"/>
  <c r="W76" i="1" a="1"/>
  <c r="Q76" i="1"/>
  <c r="R76" i="1" s="1"/>
  <c r="W75" i="1"/>
  <c r="W75" i="1" a="1"/>
  <c r="Q75" i="1"/>
  <c r="R75" i="1" s="1"/>
  <c r="X74" i="1"/>
  <c r="W74" i="1"/>
  <c r="W74" i="1" a="1"/>
  <c r="Q74" i="1"/>
  <c r="R74" i="1" s="1"/>
  <c r="W73" i="1"/>
  <c r="X73" i="1" s="1"/>
  <c r="W73" i="1" a="1"/>
  <c r="Q73" i="1"/>
  <c r="R73" i="1" s="1"/>
  <c r="W72" i="1"/>
  <c r="W72" i="1" a="1"/>
  <c r="R72" i="1"/>
  <c r="Q72" i="1"/>
  <c r="X72" i="1" s="1"/>
  <c r="W71" i="1" a="1"/>
  <c r="W71" i="1" s="1"/>
  <c r="R71" i="1"/>
  <c r="Q71" i="1"/>
  <c r="X71" i="1" s="1"/>
  <c r="W70" i="1"/>
  <c r="W70" i="1" a="1"/>
  <c r="Q70" i="1"/>
  <c r="R70" i="1" s="1"/>
  <c r="W69" i="1"/>
  <c r="W69" i="1" a="1"/>
  <c r="Q69" i="1"/>
  <c r="R69" i="1" s="1"/>
  <c r="X68" i="1"/>
  <c r="W68" i="1"/>
  <c r="W68" i="1" a="1"/>
  <c r="R68" i="1"/>
  <c r="Q68" i="1"/>
  <c r="W67" i="1"/>
  <c r="X67" i="1" s="1"/>
  <c r="W67" i="1" a="1"/>
  <c r="R67" i="1"/>
  <c r="Q67" i="1"/>
  <c r="W66" i="1"/>
  <c r="W66" i="1" a="1"/>
  <c r="Q66" i="1"/>
  <c r="R66" i="1" s="1"/>
  <c r="W65" i="1"/>
  <c r="W65" i="1" a="1"/>
  <c r="R65" i="1"/>
  <c r="Q65" i="1"/>
  <c r="X65" i="1" s="1"/>
  <c r="W64" i="1"/>
  <c r="W64" i="1" a="1"/>
  <c r="Q64" i="1"/>
  <c r="R64" i="1" s="1"/>
  <c r="W63" i="1"/>
  <c r="W63" i="1" a="1"/>
  <c r="Q63" i="1"/>
  <c r="R63" i="1" s="1"/>
  <c r="X62" i="1"/>
  <c r="W62" i="1"/>
  <c r="W62" i="1" a="1"/>
  <c r="Q62" i="1"/>
  <c r="R62" i="1" s="1"/>
  <c r="W61" i="1"/>
  <c r="X61" i="1" s="1"/>
  <c r="W61" i="1" a="1"/>
  <c r="Q61" i="1"/>
  <c r="R61" i="1" s="1"/>
  <c r="W60" i="1"/>
  <c r="W60" i="1" a="1"/>
  <c r="R60" i="1"/>
  <c r="Q60" i="1"/>
  <c r="X60" i="1" s="1"/>
  <c r="W59" i="1" a="1"/>
  <c r="W59" i="1" s="1"/>
  <c r="R59" i="1"/>
  <c r="Q59" i="1"/>
  <c r="W58" i="1"/>
  <c r="W58" i="1" a="1"/>
  <c r="Q58" i="1"/>
  <c r="R58" i="1" s="1"/>
  <c r="W57" i="1"/>
  <c r="W57" i="1" a="1"/>
  <c r="Q57" i="1"/>
  <c r="R57" i="1" s="1"/>
  <c r="X56" i="1"/>
  <c r="W56" i="1"/>
  <c r="W56" i="1" a="1"/>
  <c r="R56" i="1"/>
  <c r="Q56" i="1"/>
  <c r="W55" i="1"/>
  <c r="X55" i="1" s="1"/>
  <c r="W55" i="1" a="1"/>
  <c r="R55" i="1"/>
  <c r="Q55" i="1"/>
  <c r="W54" i="1"/>
  <c r="W54" i="1" a="1"/>
  <c r="Q54" i="1"/>
  <c r="R54" i="1" s="1"/>
  <c r="W53" i="1"/>
  <c r="W53" i="1" a="1"/>
  <c r="R53" i="1"/>
  <c r="Q53" i="1"/>
  <c r="X53" i="1" s="1"/>
  <c r="W52" i="1"/>
  <c r="W52" i="1" a="1"/>
  <c r="Q52" i="1"/>
  <c r="R52" i="1" s="1"/>
  <c r="W51" i="1"/>
  <c r="W51" i="1" a="1"/>
  <c r="Q51" i="1"/>
  <c r="R51" i="1" s="1"/>
  <c r="X50" i="1"/>
  <c r="W50" i="1"/>
  <c r="W50" i="1" a="1"/>
  <c r="Q50" i="1"/>
  <c r="R50" i="1" s="1"/>
  <c r="W49" i="1"/>
  <c r="X49" i="1" s="1"/>
  <c r="W49" i="1" a="1"/>
  <c r="Q49" i="1"/>
  <c r="R49" i="1" s="1"/>
  <c r="W48" i="1"/>
  <c r="W48" i="1" a="1"/>
  <c r="R48" i="1"/>
  <c r="Q48" i="1"/>
  <c r="X48" i="1" s="1"/>
  <c r="W47" i="1" a="1"/>
  <c r="W47" i="1" s="1"/>
  <c r="R47" i="1"/>
  <c r="Q47" i="1"/>
  <c r="W46" i="1"/>
  <c r="W46" i="1" a="1"/>
  <c r="Q46" i="1"/>
  <c r="W45" i="1"/>
  <c r="W45" i="1" a="1"/>
  <c r="Q45" i="1"/>
  <c r="R45" i="1" s="1"/>
  <c r="X44" i="1"/>
  <c r="W44" i="1"/>
  <c r="W44" i="1" a="1"/>
  <c r="R44" i="1"/>
  <c r="Q44" i="1"/>
  <c r="W43" i="1"/>
  <c r="X43" i="1" s="1"/>
  <c r="W43" i="1" a="1"/>
  <c r="R43" i="1"/>
  <c r="Q43" i="1"/>
  <c r="W42" i="1" a="1"/>
  <c r="W42" i="1" s="1"/>
  <c r="Q42" i="1"/>
  <c r="R42" i="1" s="1"/>
  <c r="W41" i="1" a="1"/>
  <c r="W41" i="1" s="1"/>
  <c r="R41" i="1"/>
  <c r="Q41" i="1"/>
  <c r="W40" i="1"/>
  <c r="W40" i="1" a="1"/>
  <c r="Q40" i="1"/>
  <c r="R40" i="1" s="1"/>
  <c r="W39" i="1"/>
  <c r="W39" i="1" a="1"/>
  <c r="Q39" i="1"/>
  <c r="X38" i="1"/>
  <c r="W38" i="1"/>
  <c r="W38" i="1" a="1"/>
  <c r="Q38" i="1"/>
  <c r="R38" i="1" s="1"/>
  <c r="W37" i="1"/>
  <c r="X37" i="1" s="1"/>
  <c r="W37" i="1" a="1"/>
  <c r="R37" i="1"/>
  <c r="Q37" i="1"/>
  <c r="W36" i="1"/>
  <c r="W36" i="1" a="1"/>
  <c r="R36" i="1"/>
  <c r="Q36" i="1"/>
  <c r="X36" i="1" s="1"/>
  <c r="W35" i="1" a="1"/>
  <c r="W35" i="1" s="1"/>
  <c r="R35" i="1"/>
  <c r="Q35" i="1"/>
  <c r="W34" i="1"/>
  <c r="W34" i="1" a="1"/>
  <c r="Q34" i="1"/>
  <c r="R34" i="1" s="1"/>
  <c r="W33" i="1"/>
  <c r="W33" i="1" a="1"/>
  <c r="Q33" i="1"/>
  <c r="W32" i="1" a="1"/>
  <c r="W32" i="1" s="1"/>
  <c r="X32" i="1" s="1"/>
  <c r="R32" i="1"/>
  <c r="Q32" i="1"/>
  <c r="X31" i="1"/>
  <c r="W31" i="1"/>
  <c r="W31" i="1" a="1"/>
  <c r="R31" i="1"/>
  <c r="Q31" i="1"/>
  <c r="W30" i="1" a="1"/>
  <c r="W30" i="1" s="1"/>
  <c r="R30" i="1"/>
  <c r="Q30" i="1"/>
  <c r="W29" i="1" a="1"/>
  <c r="W29" i="1" s="1"/>
  <c r="X29" i="1" s="1"/>
  <c r="Q29" i="1"/>
  <c r="R29" i="1" s="1"/>
  <c r="W28" i="1"/>
  <c r="W28" i="1" a="1"/>
  <c r="R28" i="1"/>
  <c r="Q28" i="1"/>
  <c r="X28" i="1" s="1"/>
  <c r="W27" i="1" a="1"/>
  <c r="W27" i="1" s="1"/>
  <c r="Q27" i="1"/>
  <c r="R27" i="1" s="1"/>
  <c r="W26" i="1"/>
  <c r="W26" i="1" a="1"/>
  <c r="R26" i="1"/>
  <c r="Q26" i="1"/>
  <c r="X26" i="1" s="1"/>
  <c r="W25" i="1"/>
  <c r="X25" i="1" s="1"/>
  <c r="W25" i="1" a="1"/>
  <c r="R25" i="1"/>
  <c r="Q25" i="1"/>
  <c r="W24" i="1"/>
  <c r="W24" i="1" a="1"/>
  <c r="Q24" i="1"/>
  <c r="X24" i="1" s="1"/>
  <c r="W23" i="1"/>
  <c r="W23" i="1" a="1"/>
  <c r="Q23" i="1"/>
  <c r="R23" i="1" s="1"/>
  <c r="W22" i="1"/>
  <c r="W22" i="1" a="1"/>
  <c r="Q22" i="1"/>
  <c r="R22" i="1" s="1"/>
  <c r="W21" i="1"/>
  <c r="W21" i="1" a="1"/>
  <c r="Q21" i="1"/>
  <c r="R21" i="1" s="1"/>
  <c r="X20" i="1"/>
  <c r="W20" i="1"/>
  <c r="W20" i="1" a="1"/>
  <c r="Q20" i="1"/>
  <c r="R20" i="1" s="1"/>
  <c r="W19" i="1"/>
  <c r="W19" i="1" a="1"/>
  <c r="Q19" i="1"/>
  <c r="X19" i="1" s="1"/>
  <c r="W18" i="1" a="1"/>
  <c r="W18" i="1" s="1"/>
  <c r="Q18" i="1"/>
  <c r="R18" i="1" s="1"/>
  <c r="W17" i="1" a="1"/>
  <c r="W17" i="1" s="1"/>
  <c r="X17" i="1" s="1"/>
  <c r="R17" i="1"/>
  <c r="Q17" i="1"/>
  <c r="W16" i="1" a="1"/>
  <c r="W16" i="1" s="1"/>
  <c r="R16" i="1"/>
  <c r="Q16" i="1"/>
  <c r="X16" i="1" s="1"/>
  <c r="W15" i="1" a="1"/>
  <c r="W15" i="1" s="1"/>
  <c r="Q15" i="1"/>
  <c r="R15" i="1" s="1"/>
  <c r="W14" i="1"/>
  <c r="W14" i="1" a="1"/>
  <c r="R14" i="1"/>
  <c r="Q14" i="1"/>
  <c r="X14" i="1" s="1"/>
  <c r="W13" i="1"/>
  <c r="X13" i="1" s="1"/>
  <c r="W13" i="1" a="1"/>
  <c r="R13" i="1"/>
  <c r="Q13" i="1"/>
  <c r="W12" i="1"/>
  <c r="W12" i="1" a="1"/>
  <c r="Q12" i="1"/>
  <c r="X12" i="1" s="1"/>
  <c r="W11" i="1"/>
  <c r="W11" i="1" a="1"/>
  <c r="Q11" i="1"/>
  <c r="R11" i="1" s="1"/>
  <c r="W10" i="1"/>
  <c r="W10" i="1" a="1"/>
  <c r="Q10" i="1"/>
  <c r="R10" i="1" s="1"/>
  <c r="W9" i="1"/>
  <c r="W9" i="1" a="1"/>
  <c r="Q9" i="1"/>
  <c r="R9" i="1" s="1"/>
  <c r="X8" i="1"/>
  <c r="W8" i="1"/>
  <c r="W8" i="1" a="1"/>
  <c r="Q8" i="1"/>
  <c r="R8" i="1" s="1"/>
  <c r="W7" i="1"/>
  <c r="W7" i="1" a="1"/>
  <c r="Q7" i="1"/>
  <c r="X7" i="1" s="1"/>
  <c r="W6" i="1" a="1"/>
  <c r="W6" i="1" s="1"/>
  <c r="Q6" i="1"/>
  <c r="R6" i="1" s="1"/>
  <c r="W5" i="1" a="1"/>
  <c r="W5" i="1" s="1"/>
  <c r="X5" i="1" s="1"/>
  <c r="R5" i="1"/>
  <c r="Q5" i="1"/>
  <c r="W4" i="1" a="1"/>
  <c r="W4" i="1" s="1"/>
  <c r="R4" i="1"/>
  <c r="Q4" i="1"/>
  <c r="W3" i="1" a="1"/>
  <c r="W3" i="1" s="1"/>
  <c r="R3" i="1"/>
  <c r="Q3" i="1"/>
  <c r="X3" i="1" s="1"/>
  <c r="W2" i="1"/>
  <c r="W2" i="1" a="1"/>
  <c r="R2" i="1"/>
  <c r="Q2" i="1"/>
  <c r="X2" i="1" s="1"/>
  <c r="X4" i="1" l="1"/>
  <c r="R7" i="1"/>
  <c r="X10" i="1"/>
  <c r="R19" i="1"/>
  <c r="X22" i="1"/>
  <c r="X34" i="1"/>
  <c r="R12" i="1"/>
  <c r="X15" i="1"/>
  <c r="R24" i="1"/>
  <c r="X27" i="1"/>
  <c r="X47" i="1"/>
  <c r="X30" i="1"/>
  <c r="X6" i="1"/>
  <c r="X18" i="1"/>
  <c r="X35" i="1"/>
  <c r="X113" i="1"/>
  <c r="X11" i="1"/>
  <c r="X23" i="1"/>
  <c r="X131" i="1"/>
  <c r="X9" i="1"/>
  <c r="X21" i="1"/>
  <c r="R33" i="1"/>
  <c r="X33" i="1"/>
  <c r="X41" i="1"/>
  <c r="X59" i="1"/>
  <c r="X125" i="1"/>
  <c r="R39" i="1"/>
  <c r="X39" i="1"/>
  <c r="R46" i="1"/>
  <c r="X46" i="1"/>
  <c r="X143" i="1"/>
  <c r="X58" i="1"/>
  <c r="X70" i="1"/>
  <c r="X82" i="1"/>
  <c r="X94" i="1"/>
  <c r="X106" i="1"/>
  <c r="X118" i="1"/>
  <c r="X130" i="1"/>
  <c r="X142" i="1"/>
  <c r="X147" i="1"/>
  <c r="X51" i="1"/>
  <c r="X63" i="1"/>
  <c r="X75" i="1"/>
  <c r="X87" i="1"/>
  <c r="X99" i="1"/>
  <c r="X111" i="1"/>
  <c r="X123" i="1"/>
  <c r="X135" i="1"/>
  <c r="R144" i="1"/>
  <c r="X153" i="1"/>
  <c r="X164" i="1"/>
  <c r="R164" i="1"/>
  <c r="S41" i="1" s="1" a="1"/>
  <c r="S41" i="1" s="1"/>
  <c r="R161" i="1"/>
  <c r="X161" i="1"/>
  <c r="X42" i="1"/>
  <c r="X54" i="1"/>
  <c r="X66" i="1"/>
  <c r="X78" i="1"/>
  <c r="X90" i="1"/>
  <c r="X102" i="1"/>
  <c r="X114" i="1"/>
  <c r="X126" i="1"/>
  <c r="X138" i="1"/>
  <c r="R157" i="1"/>
  <c r="X40" i="1"/>
  <c r="X52" i="1"/>
  <c r="X64" i="1"/>
  <c r="X76" i="1"/>
  <c r="X88" i="1"/>
  <c r="X100" i="1"/>
  <c r="X112" i="1"/>
  <c r="X124" i="1"/>
  <c r="X136" i="1"/>
  <c r="X176" i="1"/>
  <c r="R176" i="1"/>
  <c r="X45" i="1"/>
  <c r="X57" i="1"/>
  <c r="X69" i="1"/>
  <c r="X81" i="1"/>
  <c r="X93" i="1"/>
  <c r="X105" i="1"/>
  <c r="X117" i="1"/>
  <c r="X129" i="1"/>
  <c r="X141" i="1"/>
  <c r="X150" i="1"/>
  <c r="R166" i="1"/>
  <c r="R178" i="1"/>
  <c r="R190" i="1"/>
  <c r="R202" i="1"/>
  <c r="R214" i="1"/>
  <c r="R226" i="1"/>
  <c r="R238" i="1"/>
  <c r="R250" i="1"/>
  <c r="R262" i="1"/>
  <c r="X268" i="1"/>
  <c r="R188" i="1"/>
  <c r="R200" i="1"/>
  <c r="R212" i="1"/>
  <c r="R224" i="1"/>
  <c r="R236" i="1"/>
  <c r="R248" i="1"/>
  <c r="R260" i="1"/>
  <c r="R273" i="1"/>
  <c r="R296" i="1"/>
  <c r="X296" i="1"/>
  <c r="R305" i="1"/>
  <c r="X305" i="1"/>
  <c r="X172" i="1"/>
  <c r="X184" i="1"/>
  <c r="X196" i="1"/>
  <c r="X208" i="1"/>
  <c r="X256" i="1"/>
  <c r="X274" i="1"/>
  <c r="X275" i="1"/>
  <c r="R285" i="1"/>
  <c r="X285" i="1"/>
  <c r="X165" i="1"/>
  <c r="X177" i="1"/>
  <c r="X189" i="1"/>
  <c r="X201" i="1"/>
  <c r="X213" i="1"/>
  <c r="X225" i="1"/>
  <c r="X237" i="1"/>
  <c r="X249" i="1"/>
  <c r="X261" i="1"/>
  <c r="R274" i="1"/>
  <c r="X163" i="1"/>
  <c r="X175" i="1"/>
  <c r="X187" i="1"/>
  <c r="X199" i="1"/>
  <c r="X211" i="1"/>
  <c r="X223" i="1"/>
  <c r="X235" i="1"/>
  <c r="X247" i="1"/>
  <c r="X259" i="1"/>
  <c r="X271" i="1"/>
  <c r="R308" i="1"/>
  <c r="X308" i="1"/>
  <c r="X168" i="1"/>
  <c r="X180" i="1"/>
  <c r="X192" i="1"/>
  <c r="X204" i="1"/>
  <c r="X216" i="1"/>
  <c r="X228" i="1"/>
  <c r="X240" i="1"/>
  <c r="X252" i="1"/>
  <c r="R281" i="1"/>
  <c r="X281" i="1"/>
  <c r="X299" i="1"/>
  <c r="X173" i="1"/>
  <c r="X185" i="1"/>
  <c r="X197" i="1"/>
  <c r="X209" i="1"/>
  <c r="X221" i="1"/>
  <c r="X233" i="1"/>
  <c r="X245" i="1"/>
  <c r="X257" i="1"/>
  <c r="X272" i="1"/>
  <c r="X282" i="1"/>
  <c r="R284" i="1"/>
  <c r="X284" i="1"/>
  <c r="R293" i="1"/>
  <c r="X293" i="1"/>
  <c r="X317" i="1"/>
  <c r="X329" i="1"/>
  <c r="X341" i="1"/>
  <c r="X353" i="1"/>
  <c r="X365" i="1"/>
  <c r="X377" i="1"/>
  <c r="X286" i="1"/>
  <c r="R367" i="1"/>
  <c r="R379" i="1"/>
  <c r="R391" i="1"/>
  <c r="X375" i="1"/>
  <c r="X387" i="1"/>
  <c r="X320" i="1"/>
  <c r="X332" i="1"/>
  <c r="X344" i="1"/>
  <c r="X356" i="1"/>
  <c r="X368" i="1"/>
  <c r="X380" i="1"/>
  <c r="R398" i="1"/>
  <c r="X398" i="1"/>
  <c r="X413" i="1"/>
  <c r="R409" i="1"/>
  <c r="X409" i="1"/>
  <c r="X292" i="1"/>
  <c r="X304" i="1"/>
  <c r="X316" i="1"/>
  <c r="X328" i="1"/>
  <c r="X340" i="1"/>
  <c r="X352" i="1"/>
  <c r="X364" i="1"/>
  <c r="X376" i="1"/>
  <c r="X388" i="1"/>
  <c r="X297" i="1"/>
  <c r="X309" i="1"/>
  <c r="X321" i="1"/>
  <c r="X333" i="1"/>
  <c r="X345" i="1"/>
  <c r="X357" i="1"/>
  <c r="X369" i="1"/>
  <c r="X381" i="1"/>
  <c r="R410" i="1"/>
  <c r="X410" i="1"/>
  <c r="R399" i="1"/>
  <c r="X399" i="1"/>
  <c r="R406" i="1"/>
  <c r="X406" i="1"/>
  <c r="X418" i="1"/>
  <c r="X430" i="1"/>
  <c r="X442" i="1"/>
  <c r="X454" i="1"/>
  <c r="X466" i="1"/>
  <c r="X478" i="1"/>
  <c r="X490" i="1"/>
  <c r="R499" i="1"/>
  <c r="X562" i="1"/>
  <c r="X598" i="1"/>
  <c r="X411" i="1"/>
  <c r="X423" i="1"/>
  <c r="X435" i="1"/>
  <c r="X447" i="1"/>
  <c r="X459" i="1"/>
  <c r="X471" i="1"/>
  <c r="X483" i="1"/>
  <c r="X495" i="1"/>
  <c r="X421" i="1"/>
  <c r="X433" i="1"/>
  <c r="X445" i="1"/>
  <c r="X457" i="1"/>
  <c r="X469" i="1"/>
  <c r="X481" i="1"/>
  <c r="X493" i="1"/>
  <c r="X508" i="1"/>
  <c r="X538" i="1"/>
  <c r="X610" i="1"/>
  <c r="X400" i="1"/>
  <c r="X412" i="1"/>
  <c r="X424" i="1"/>
  <c r="X436" i="1"/>
  <c r="X448" i="1"/>
  <c r="X460" i="1"/>
  <c r="X472" i="1"/>
  <c r="X484" i="1"/>
  <c r="X496" i="1"/>
  <c r="X504" i="1"/>
  <c r="X422" i="1"/>
  <c r="X434" i="1"/>
  <c r="X446" i="1"/>
  <c r="X458" i="1"/>
  <c r="X470" i="1"/>
  <c r="X482" i="1"/>
  <c r="X494" i="1"/>
  <c r="X550" i="1"/>
  <c r="X586" i="1"/>
  <c r="R509" i="1"/>
  <c r="R510" i="1"/>
  <c r="R517" i="1"/>
  <c r="X517" i="1"/>
  <c r="R624" i="1"/>
  <c r="X518" i="1"/>
  <c r="R527" i="1"/>
  <c r="X530" i="1"/>
  <c r="R539" i="1"/>
  <c r="X542" i="1"/>
  <c r="R551" i="1"/>
  <c r="X554" i="1"/>
  <c r="R563" i="1"/>
  <c r="X566" i="1"/>
  <c r="R575" i="1"/>
  <c r="X578" i="1"/>
  <c r="R587" i="1"/>
  <c r="X590" i="1"/>
  <c r="X602" i="1"/>
  <c r="X614" i="1"/>
  <c r="X648" i="1"/>
  <c r="X516" i="1"/>
  <c r="X528" i="1"/>
  <c r="X631" i="1"/>
  <c r="X640" i="1"/>
  <c r="R640" i="1"/>
  <c r="X521" i="1"/>
  <c r="X533" i="1"/>
  <c r="X545" i="1"/>
  <c r="X557" i="1"/>
  <c r="X569" i="1"/>
  <c r="X581" i="1"/>
  <c r="X593" i="1"/>
  <c r="X605" i="1"/>
  <c r="X617" i="1"/>
  <c r="X652" i="1"/>
  <c r="R652" i="1"/>
  <c r="X514" i="1"/>
  <c r="X633" i="1"/>
  <c r="R633" i="1"/>
  <c r="X519" i="1"/>
  <c r="X531" i="1"/>
  <c r="X543" i="1"/>
  <c r="X555" i="1"/>
  <c r="X567" i="1"/>
  <c r="X579" i="1"/>
  <c r="X591" i="1"/>
  <c r="X603" i="1"/>
  <c r="X615" i="1"/>
  <c r="X629" i="1"/>
  <c r="X529" i="1"/>
  <c r="X541" i="1"/>
  <c r="X553" i="1"/>
  <c r="X565" i="1"/>
  <c r="X577" i="1"/>
  <c r="X589" i="1"/>
  <c r="X601" i="1"/>
  <c r="X613" i="1"/>
  <c r="R630" i="1"/>
  <c r="X630" i="1"/>
  <c r="X660" i="1"/>
  <c r="X672" i="1"/>
  <c r="X684" i="1"/>
  <c r="X736" i="1"/>
  <c r="R736" i="1"/>
  <c r="X643" i="1"/>
  <c r="X655" i="1"/>
  <c r="R664" i="1"/>
  <c r="X667" i="1"/>
  <c r="R676" i="1"/>
  <c r="X679" i="1"/>
  <c r="R688" i="1"/>
  <c r="X691" i="1"/>
  <c r="R700" i="1"/>
  <c r="X703" i="1"/>
  <c r="R645" i="1"/>
  <c r="R657" i="1"/>
  <c r="R669" i="1"/>
  <c r="R681" i="1"/>
  <c r="R693" i="1"/>
  <c r="R705" i="1"/>
  <c r="X711" i="1"/>
  <c r="R713" i="1"/>
  <c r="R714" i="1"/>
  <c r="X748" i="1"/>
  <c r="R748" i="1"/>
  <c r="X639" i="1"/>
  <c r="X651" i="1"/>
  <c r="X663" i="1"/>
  <c r="X675" i="1"/>
  <c r="X687" i="1"/>
  <c r="X699" i="1"/>
  <c r="R715" i="1"/>
  <c r="R717" i="1"/>
  <c r="X719" i="1"/>
  <c r="X760" i="1"/>
  <c r="R760" i="1"/>
  <c r="X637" i="1"/>
  <c r="X649" i="1"/>
  <c r="X661" i="1"/>
  <c r="X673" i="1"/>
  <c r="X685" i="1"/>
  <c r="X697" i="1"/>
  <c r="X724" i="1"/>
  <c r="R724" i="1"/>
  <c r="X743" i="1"/>
  <c r="X642" i="1"/>
  <c r="X654" i="1"/>
  <c r="X666" i="1"/>
  <c r="X678" i="1"/>
  <c r="X690" i="1"/>
  <c r="X702" i="1"/>
  <c r="X772" i="1"/>
  <c r="R772" i="1"/>
  <c r="X755" i="1"/>
  <c r="X727" i="1"/>
  <c r="X739" i="1"/>
  <c r="X751" i="1"/>
  <c r="X763" i="1"/>
  <c r="X775" i="1"/>
  <c r="X732" i="1"/>
  <c r="X744" i="1"/>
  <c r="X756" i="1"/>
  <c r="X768" i="1"/>
  <c r="X841" i="1"/>
  <c r="X725" i="1"/>
  <c r="X737" i="1"/>
  <c r="X749" i="1"/>
  <c r="X761" i="1"/>
  <c r="X800" i="1"/>
  <c r="R800" i="1"/>
  <c r="X836" i="1"/>
  <c r="R836" i="1"/>
  <c r="X718" i="1"/>
  <c r="X730" i="1"/>
  <c r="X742" i="1"/>
  <c r="X754" i="1"/>
  <c r="X766" i="1"/>
  <c r="X778" i="1"/>
  <c r="X723" i="1"/>
  <c r="X735" i="1"/>
  <c r="X747" i="1"/>
  <c r="X759" i="1"/>
  <c r="X771" i="1"/>
  <c r="R785" i="1"/>
  <c r="X785" i="1"/>
  <c r="X812" i="1"/>
  <c r="R812" i="1"/>
  <c r="X840" i="1"/>
  <c r="R849" i="1"/>
  <c r="X849" i="1"/>
  <c r="R784" i="1"/>
  <c r="X784" i="1"/>
  <c r="X788" i="1"/>
  <c r="R788" i="1"/>
  <c r="X793" i="1"/>
  <c r="X824" i="1"/>
  <c r="R824" i="1"/>
  <c r="X829" i="1"/>
  <c r="X803" i="1"/>
  <c r="X815" i="1"/>
  <c r="X827" i="1"/>
  <c r="X839" i="1"/>
  <c r="X880" i="1"/>
  <c r="R793" i="1"/>
  <c r="X796" i="1"/>
  <c r="R805" i="1"/>
  <c r="X808" i="1"/>
  <c r="R817" i="1"/>
  <c r="X820" i="1"/>
  <c r="R829" i="1"/>
  <c r="X832" i="1"/>
  <c r="R841" i="1"/>
  <c r="X794" i="1"/>
  <c r="X806" i="1"/>
  <c r="X818" i="1"/>
  <c r="X830" i="1"/>
  <c r="X787" i="1"/>
  <c r="X799" i="1"/>
  <c r="X811" i="1"/>
  <c r="X823" i="1"/>
  <c r="X835" i="1"/>
  <c r="X797" i="1"/>
  <c r="X809" i="1"/>
  <c r="X821" i="1"/>
  <c r="X833" i="1"/>
  <c r="R850" i="1"/>
  <c r="X850" i="1"/>
  <c r="X856" i="1"/>
  <c r="X843" i="1"/>
  <c r="R843" i="1"/>
  <c r="X844" i="1"/>
  <c r="X910" i="1"/>
  <c r="R910" i="1"/>
  <c r="R859" i="1"/>
  <c r="X862" i="1"/>
  <c r="R871" i="1"/>
  <c r="X874" i="1"/>
  <c r="R883" i="1"/>
  <c r="X886" i="1"/>
  <c r="R895" i="1"/>
  <c r="X898" i="1"/>
  <c r="R914" i="1"/>
  <c r="X914" i="1"/>
  <c r="R852" i="1"/>
  <c r="X855" i="1"/>
  <c r="R864" i="1"/>
  <c r="R876" i="1"/>
  <c r="R888" i="1"/>
  <c r="R900" i="1"/>
  <c r="X860" i="1"/>
  <c r="X872" i="1"/>
  <c r="X884" i="1"/>
  <c r="X896" i="1"/>
  <c r="X851" i="1"/>
  <c r="X863" i="1"/>
  <c r="X875" i="1"/>
  <c r="X887" i="1"/>
  <c r="X899" i="1"/>
  <c r="X861" i="1"/>
  <c r="X873" i="1"/>
  <c r="X885" i="1"/>
  <c r="X897" i="1"/>
  <c r="X907" i="1"/>
  <c r="X908" i="1"/>
  <c r="X913" i="1"/>
  <c r="R922" i="1"/>
  <c r="X925" i="1"/>
  <c r="R934" i="1"/>
  <c r="X937" i="1"/>
  <c r="R946" i="1"/>
  <c r="X949" i="1"/>
  <c r="X961" i="1"/>
  <c r="R970" i="1"/>
  <c r="R971" i="1"/>
  <c r="X1005" i="1"/>
  <c r="R920" i="1"/>
  <c r="R932" i="1"/>
  <c r="R944" i="1"/>
  <c r="R956" i="1"/>
  <c r="X964" i="1"/>
  <c r="X916" i="1"/>
  <c r="X928" i="1"/>
  <c r="X940" i="1"/>
  <c r="X952" i="1"/>
  <c r="X975" i="1"/>
  <c r="X1032" i="1"/>
  <c r="X968" i="1"/>
  <c r="X987" i="1"/>
  <c r="X926" i="1"/>
  <c r="X938" i="1"/>
  <c r="X950" i="1"/>
  <c r="X962" i="1"/>
  <c r="X999" i="1"/>
  <c r="X919" i="1"/>
  <c r="X931" i="1"/>
  <c r="X943" i="1"/>
  <c r="X955" i="1"/>
  <c r="X965" i="1"/>
  <c r="X917" i="1"/>
  <c r="X929" i="1"/>
  <c r="X941" i="1"/>
  <c r="X953" i="1"/>
  <c r="X1000" i="1"/>
  <c r="X981" i="1"/>
  <c r="X1024" i="1"/>
  <c r="X974" i="1"/>
  <c r="R976" i="1"/>
  <c r="R988" i="1"/>
  <c r="R1000" i="1"/>
  <c r="R1012" i="1"/>
  <c r="R1024" i="1"/>
  <c r="R1036" i="1"/>
  <c r="X1036" i="1"/>
  <c r="X1040" i="1"/>
  <c r="R1040" i="1"/>
  <c r="R981" i="1"/>
  <c r="R993" i="1"/>
  <c r="R1005" i="1"/>
  <c r="R1017" i="1"/>
  <c r="R974" i="1"/>
  <c r="X977" i="1"/>
  <c r="R986" i="1"/>
  <c r="X989" i="1"/>
  <c r="R998" i="1"/>
  <c r="X1001" i="1"/>
  <c r="R1010" i="1"/>
  <c r="X1013" i="1"/>
  <c r="X1025" i="1"/>
  <c r="X982" i="1"/>
  <c r="X994" i="1"/>
  <c r="X1006" i="1"/>
  <c r="X1018" i="1"/>
  <c r="X1028" i="1"/>
  <c r="X1031" i="1"/>
  <c r="R1037" i="1"/>
  <c r="X1037" i="1"/>
  <c r="X980" i="1"/>
  <c r="X992" i="1"/>
  <c r="X1004" i="1"/>
  <c r="X1016" i="1"/>
  <c r="X973" i="1"/>
  <c r="X985" i="1"/>
  <c r="X997" i="1"/>
  <c r="X1009" i="1"/>
  <c r="X1021" i="1"/>
  <c r="X983" i="1"/>
  <c r="X995" i="1"/>
  <c r="X1007" i="1"/>
  <c r="X1019" i="1"/>
  <c r="X1121" i="1"/>
  <c r="R1052" i="1"/>
  <c r="R1064" i="1"/>
  <c r="R1076" i="1"/>
  <c r="X1084" i="1"/>
  <c r="X1048" i="1"/>
  <c r="X1060" i="1"/>
  <c r="X1072" i="1"/>
  <c r="X1088" i="1"/>
  <c r="X1041" i="1"/>
  <c r="X1053" i="1"/>
  <c r="X1065" i="1"/>
  <c r="X1077" i="1"/>
  <c r="X1087" i="1"/>
  <c r="X1090" i="1"/>
  <c r="R1090" i="1"/>
  <c r="X1039" i="1"/>
  <c r="X1051" i="1"/>
  <c r="X1063" i="1"/>
  <c r="X1075" i="1"/>
  <c r="X1086" i="1"/>
  <c r="R1089" i="1"/>
  <c r="X1089" i="1"/>
  <c r="X1049" i="1"/>
  <c r="X1061" i="1"/>
  <c r="X1073" i="1"/>
  <c r="X1042" i="1"/>
  <c r="X1054" i="1"/>
  <c r="X1066" i="1"/>
  <c r="X1109" i="1"/>
  <c r="X1166" i="1"/>
  <c r="X1178" i="1"/>
  <c r="X1190" i="1"/>
  <c r="R1097" i="1"/>
  <c r="X1100" i="1"/>
  <c r="R1109" i="1"/>
  <c r="X1112" i="1"/>
  <c r="R1121" i="1"/>
  <c r="X1124" i="1"/>
  <c r="R1133" i="1"/>
  <c r="X1136" i="1"/>
  <c r="R1102" i="1"/>
  <c r="R1114" i="1"/>
  <c r="R1126" i="1"/>
  <c r="R1138" i="1"/>
  <c r="R1152" i="1"/>
  <c r="X1152" i="1"/>
  <c r="X1091" i="1"/>
  <c r="X1103" i="1"/>
  <c r="X1115" i="1"/>
  <c r="X1127" i="1"/>
  <c r="X1139" i="1"/>
  <c r="X1144" i="1"/>
  <c r="X1150" i="1"/>
  <c r="X1101" i="1"/>
  <c r="X1113" i="1"/>
  <c r="X1125" i="1"/>
  <c r="X1137" i="1"/>
  <c r="X1146" i="1"/>
  <c r="R1158" i="1"/>
  <c r="X1158" i="1"/>
  <c r="X1148" i="1"/>
  <c r="R1205" i="1"/>
  <c r="X1205" i="1"/>
  <c r="X1164" i="1"/>
  <c r="X1176" i="1"/>
  <c r="X1188" i="1"/>
  <c r="X1200" i="1"/>
  <c r="R1154" i="1"/>
  <c r="R1166" i="1"/>
  <c r="X1169" i="1"/>
  <c r="R1178" i="1"/>
  <c r="X1181" i="1"/>
  <c r="R1190" i="1"/>
  <c r="X1193" i="1"/>
  <c r="R1208" i="1"/>
  <c r="X1208" i="1"/>
  <c r="X1201" i="1"/>
  <c r="X1160" i="1"/>
  <c r="X1172" i="1"/>
  <c r="X1184" i="1"/>
  <c r="X1196" i="1"/>
  <c r="X1255" i="1"/>
  <c r="X1170" i="1"/>
  <c r="X1182" i="1"/>
  <c r="X1194" i="1"/>
  <c r="R1211" i="1"/>
  <c r="X1214" i="1"/>
  <c r="R1223" i="1"/>
  <c r="X1226" i="1"/>
  <c r="R1235" i="1"/>
  <c r="X1238" i="1"/>
  <c r="R1247" i="1"/>
  <c r="X1250" i="1"/>
  <c r="X1319" i="1"/>
  <c r="X1264" i="1"/>
  <c r="R1264" i="1"/>
  <c r="X1217" i="1"/>
  <c r="X1229" i="1"/>
  <c r="X1241" i="1"/>
  <c r="X1253" i="1"/>
  <c r="X1262" i="1"/>
  <c r="X1267" i="1"/>
  <c r="R1267" i="1"/>
  <c r="X1220" i="1"/>
  <c r="X1232" i="1"/>
  <c r="X1244" i="1"/>
  <c r="X1256" i="1"/>
  <c r="X1259" i="1"/>
  <c r="X1213" i="1"/>
  <c r="X1225" i="1"/>
  <c r="X1237" i="1"/>
  <c r="X1249" i="1"/>
  <c r="R1261" i="1"/>
  <c r="X1261" i="1"/>
  <c r="R1278" i="1"/>
  <c r="R1290" i="1"/>
  <c r="R1302" i="1"/>
  <c r="R1314" i="1"/>
  <c r="X1317" i="1"/>
  <c r="X1376" i="1"/>
  <c r="X1323" i="1"/>
  <c r="R1323" i="1"/>
  <c r="R1276" i="1"/>
  <c r="X1279" i="1"/>
  <c r="R1288" i="1"/>
  <c r="X1291" i="1"/>
  <c r="R1300" i="1"/>
  <c r="X1303" i="1"/>
  <c r="R1312" i="1"/>
  <c r="X1315" i="1"/>
  <c r="X1272" i="1"/>
  <c r="R1322" i="1"/>
  <c r="X1322" i="1"/>
  <c r="X1327" i="1"/>
  <c r="X1277" i="1"/>
  <c r="X1289" i="1"/>
  <c r="X1301" i="1"/>
  <c r="X1313" i="1"/>
  <c r="X1268" i="1"/>
  <c r="X1280" i="1"/>
  <c r="X1292" i="1"/>
  <c r="X1304" i="1"/>
  <c r="X1316" i="1"/>
  <c r="X1273" i="1"/>
  <c r="X1285" i="1"/>
  <c r="X1297" i="1"/>
  <c r="X1309" i="1"/>
  <c r="X1339" i="1"/>
  <c r="X1320" i="1"/>
  <c r="X1321" i="1"/>
  <c r="R1335" i="1"/>
  <c r="R1347" i="1"/>
  <c r="R1359" i="1"/>
  <c r="R1371" i="1"/>
  <c r="R1383" i="1"/>
  <c r="R1328" i="1"/>
  <c r="X1331" i="1"/>
  <c r="R1340" i="1"/>
  <c r="X1343" i="1"/>
  <c r="R1352" i="1"/>
  <c r="X1355" i="1"/>
  <c r="R1364" i="1"/>
  <c r="X1367" i="1"/>
  <c r="R1376" i="1"/>
  <c r="X1379" i="1"/>
  <c r="R1333" i="1"/>
  <c r="R1345" i="1"/>
  <c r="R1357" i="1"/>
  <c r="R1369" i="1"/>
  <c r="R1381" i="1"/>
  <c r="X1384" i="1"/>
  <c r="X1365" i="1"/>
  <c r="X1377" i="1"/>
  <c r="X1334" i="1"/>
  <c r="X1346" i="1"/>
  <c r="X1358" i="1"/>
  <c r="X1370" i="1"/>
  <c r="X1382" i="1"/>
  <c r="X1332" i="1"/>
  <c r="X1344" i="1"/>
  <c r="X1356" i="1"/>
  <c r="X1368" i="1"/>
  <c r="X1380" i="1"/>
  <c r="S4" i="1" l="1" a="1"/>
  <c r="S4" i="1" s="1"/>
  <c r="S13" i="1" a="1"/>
  <c r="S13" i="1" s="1"/>
  <c r="S28" i="1" a="1"/>
  <c r="S28" i="1" s="1"/>
  <c r="T38" i="1" a="1"/>
  <c r="T38" i="1" s="1"/>
  <c r="S32" i="1" a="1"/>
  <c r="S32" i="1" s="1"/>
  <c r="T6" i="1" a="1"/>
  <c r="T6" i="1" s="1"/>
  <c r="S18" i="1" a="1"/>
  <c r="S18" i="1" s="1"/>
  <c r="T13" i="1" a="1"/>
  <c r="T13" i="1" s="1"/>
  <c r="T25" i="1" a="1"/>
  <c r="T25" i="1" s="1"/>
  <c r="T31" i="1" a="1"/>
  <c r="T31" i="1" s="1"/>
  <c r="S11" i="1" a="1"/>
  <c r="S11" i="1" s="1"/>
  <c r="T40" i="1" a="1"/>
  <c r="T40" i="1" s="1"/>
  <c r="T12" i="1" a="1"/>
  <c r="T12" i="1" s="1"/>
  <c r="S23" i="1" a="1"/>
  <c r="S23" i="1" s="1"/>
  <c r="S22" i="1" a="1"/>
  <c r="S22" i="1" s="1"/>
  <c r="T14" i="1" a="1"/>
  <c r="T14" i="1" s="1"/>
  <c r="T20" i="1" a="1"/>
  <c r="T20" i="1" s="1"/>
  <c r="T3" i="1" a="1"/>
  <c r="T3" i="1" s="1"/>
  <c r="T5" i="1" a="1"/>
  <c r="T5" i="1" s="1"/>
  <c r="S12" i="1" a="1"/>
  <c r="S12" i="1" s="1"/>
  <c r="U12" i="1" s="1"/>
  <c r="S35" i="1" a="1"/>
  <c r="S35" i="1" s="1"/>
  <c r="S3" i="1" a="1"/>
  <c r="S3" i="1" s="1"/>
  <c r="T9" i="1" a="1"/>
  <c r="T9" i="1" s="1"/>
  <c r="T8" i="1" a="1"/>
  <c r="T8" i="1" s="1"/>
  <c r="T22" i="1" a="1"/>
  <c r="T22" i="1" s="1"/>
  <c r="S10" i="1" a="1"/>
  <c r="S10" i="1" s="1"/>
  <c r="U10" i="1" s="1"/>
  <c r="S7" i="1" a="1"/>
  <c r="S7" i="1" s="1"/>
  <c r="T32" i="1" a="1"/>
  <c r="T32" i="1" s="1"/>
  <c r="S6" i="1" a="1"/>
  <c r="S6" i="1" s="1"/>
  <c r="U6" i="1" s="1"/>
  <c r="S20" i="1" a="1"/>
  <c r="S20" i="1" s="1"/>
  <c r="U20" i="1" s="1"/>
  <c r="Z26" i="1" a="1"/>
  <c r="Z26" i="1" s="1"/>
  <c r="Y19" i="1" a="1"/>
  <c r="Y19" i="1" s="1"/>
  <c r="Y9" i="1" a="1"/>
  <c r="Y9" i="1" s="1"/>
  <c r="Y18" i="1" a="1"/>
  <c r="Y18" i="1" s="1"/>
  <c r="Y20" i="1" a="1"/>
  <c r="Y20" i="1" s="1"/>
  <c r="Y22" i="1" a="1"/>
  <c r="Y22" i="1" s="1"/>
  <c r="Z14" i="1" a="1"/>
  <c r="Z14" i="1" s="1"/>
  <c r="T18" i="1" a="1"/>
  <c r="T18" i="1" s="1"/>
  <c r="S31" i="1" a="1"/>
  <c r="S31" i="1" s="1"/>
  <c r="U31" i="1" s="1"/>
  <c r="T10" i="1" a="1"/>
  <c r="T10" i="1" s="1"/>
  <c r="T28" i="1" a="1"/>
  <c r="T28" i="1" s="1"/>
  <c r="S16" i="1" a="1"/>
  <c r="S16" i="1" s="1"/>
  <c r="T30" i="1" a="1"/>
  <c r="T30" i="1" s="1"/>
  <c r="T23" i="1" a="1"/>
  <c r="T23" i="1" s="1"/>
  <c r="T27" i="1" a="1"/>
  <c r="T27" i="1" s="1"/>
  <c r="S30" i="1" a="1"/>
  <c r="S30" i="1" s="1"/>
  <c r="U30" i="1" s="1"/>
  <c r="T29" i="1" a="1"/>
  <c r="T29" i="1" s="1"/>
  <c r="S25" i="1" a="1"/>
  <c r="S25" i="1" s="1"/>
  <c r="U25" i="1" s="1"/>
  <c r="S27" i="1" a="1"/>
  <c r="S27" i="1" s="1"/>
  <c r="U27" i="1" s="1"/>
  <c r="T19" i="1" a="1"/>
  <c r="T19" i="1" s="1"/>
  <c r="T1363" i="1" a="1"/>
  <c r="T1363" i="1" s="1"/>
  <c r="T1358" i="1" a="1"/>
  <c r="T1358" i="1" s="1"/>
  <c r="S1351" i="1" a="1"/>
  <c r="S1351" i="1" s="1"/>
  <c r="S1346" i="1" a="1"/>
  <c r="S1346" i="1" s="1"/>
  <c r="S1329" i="1" a="1"/>
  <c r="S1329" i="1" s="1"/>
  <c r="T1381" i="1" a="1"/>
  <c r="T1381" i="1" s="1"/>
  <c r="V1381" i="1" s="1"/>
  <c r="S1374" i="1" a="1"/>
  <c r="S1374" i="1" s="1"/>
  <c r="S1369" i="1" a="1"/>
  <c r="S1369" i="1" s="1"/>
  <c r="S1352" i="1" a="1"/>
  <c r="S1352" i="1" s="1"/>
  <c r="S1347" i="1" a="1"/>
  <c r="S1347" i="1" s="1"/>
  <c r="T1332" i="1" a="1"/>
  <c r="T1332" i="1" s="1"/>
  <c r="T1313" i="1" a="1"/>
  <c r="T1313" i="1" s="1"/>
  <c r="S1306" i="1" a="1"/>
  <c r="S1306" i="1" s="1"/>
  <c r="T1291" i="1" a="1"/>
  <c r="T1291" i="1" s="1"/>
  <c r="T1274" i="1" a="1"/>
  <c r="T1274" i="1" s="1"/>
  <c r="T1281" i="1" a="1"/>
  <c r="T1281" i="1" s="1"/>
  <c r="S1274" i="1" a="1"/>
  <c r="S1274" i="1" s="1"/>
  <c r="U1274" i="1" s="1"/>
  <c r="S1269" i="1" a="1"/>
  <c r="S1269" i="1" s="1"/>
  <c r="S1323" i="1" a="1"/>
  <c r="S1323" i="1" s="1"/>
  <c r="T1316" i="1" a="1"/>
  <c r="T1316" i="1" s="1"/>
  <c r="T1299" i="1" a="1"/>
  <c r="T1299" i="1" s="1"/>
  <c r="S1237" i="1" a="1"/>
  <c r="S1237" i="1" s="1"/>
  <c r="T1222" i="1" a="1"/>
  <c r="T1222" i="1" s="1"/>
  <c r="S1266" i="1" a="1"/>
  <c r="S1266" i="1" s="1"/>
  <c r="T1243" i="1" a="1"/>
  <c r="T1243" i="1" s="1"/>
  <c r="S1224" i="1" a="1"/>
  <c r="S1224" i="1" s="1"/>
  <c r="S1219" i="1" a="1"/>
  <c r="S1219" i="1" s="1"/>
  <c r="S1245" i="1" a="1"/>
  <c r="S1245" i="1" s="1"/>
  <c r="S1228" i="1" a="1"/>
  <c r="S1228" i="1" s="1"/>
  <c r="S1211" i="1" a="1"/>
  <c r="S1211" i="1" s="1"/>
  <c r="T1196" i="1" a="1"/>
  <c r="T1196" i="1" s="1"/>
  <c r="T1167" i="1" a="1"/>
  <c r="T1167" i="1" s="1"/>
  <c r="T1162" i="1" a="1"/>
  <c r="T1162" i="1" s="1"/>
  <c r="S1198" i="1" a="1"/>
  <c r="S1198" i="1" s="1"/>
  <c r="T1171" i="1" a="1"/>
  <c r="T1171" i="1" s="1"/>
  <c r="S1152" i="1" a="1"/>
  <c r="S1152" i="1" s="1"/>
  <c r="T1203" i="1" a="1"/>
  <c r="T1203" i="1" s="1"/>
  <c r="S1185" i="1" a="1"/>
  <c r="S1185" i="1" s="1"/>
  <c r="S1180" i="1" a="1"/>
  <c r="S1180" i="1" s="1"/>
  <c r="S1163" i="1" a="1"/>
  <c r="S1163" i="1" s="1"/>
  <c r="T1096" i="1" a="1"/>
  <c r="T1096" i="1" s="1"/>
  <c r="S1132" i="1" a="1"/>
  <c r="S1132" i="1" s="1"/>
  <c r="T1129" i="1" a="1"/>
  <c r="T1129" i="1" s="1"/>
  <c r="T1100" i="1" a="1"/>
  <c r="T1100" i="1" s="1"/>
  <c r="T1095" i="1" a="1"/>
  <c r="T1095" i="1" s="1"/>
  <c r="T1148" i="1" a="1"/>
  <c r="T1148" i="1" s="1"/>
  <c r="T1147" i="1" a="1"/>
  <c r="T1147" i="1" s="1"/>
  <c r="T1123" i="1" a="1"/>
  <c r="T1123" i="1" s="1"/>
  <c r="T1118" i="1" a="1"/>
  <c r="T1118" i="1" s="1"/>
  <c r="S1111" i="1" a="1"/>
  <c r="S1111" i="1" s="1"/>
  <c r="S1037" i="1" a="1"/>
  <c r="S1037" i="1" s="1"/>
  <c r="S1087" i="1" a="1"/>
  <c r="S1087" i="1" s="1"/>
  <c r="T1060" i="1" a="1"/>
  <c r="T1060" i="1" s="1"/>
  <c r="T1055" i="1" a="1"/>
  <c r="T1055" i="1" s="1"/>
  <c r="S1036" i="1" a="1"/>
  <c r="S1036" i="1" s="1"/>
  <c r="T1076" i="1" a="1"/>
  <c r="T1076" i="1" s="1"/>
  <c r="V1076" i="1" s="1"/>
  <c r="T1047" i="1" a="1"/>
  <c r="T1047" i="1" s="1"/>
  <c r="S1083" i="1" a="1"/>
  <c r="S1083" i="1" s="1"/>
  <c r="T1068" i="1" a="1"/>
  <c r="T1068" i="1" s="1"/>
  <c r="S1002" i="1" a="1"/>
  <c r="S1002" i="1" s="1"/>
  <c r="T987" i="1" a="1"/>
  <c r="T987" i="1" s="1"/>
  <c r="T970" i="1" a="1"/>
  <c r="T970" i="1" s="1"/>
  <c r="V970" i="1" s="1"/>
  <c r="S975" i="1" a="1"/>
  <c r="S975" i="1" s="1"/>
  <c r="S1031" i="1" a="1"/>
  <c r="S1031" i="1" s="1"/>
  <c r="T1022" i="1" a="1"/>
  <c r="T1022" i="1" s="1"/>
  <c r="S1015" i="1" a="1"/>
  <c r="S1015" i="1" s="1"/>
  <c r="S998" i="1" a="1"/>
  <c r="S998" i="1" s="1"/>
  <c r="T983" i="1" a="1"/>
  <c r="T983" i="1" s="1"/>
  <c r="S988" i="1" a="1"/>
  <c r="S988" i="1" s="1"/>
  <c r="T973" i="1" a="1"/>
  <c r="T973" i="1" s="1"/>
  <c r="S972" i="1" a="1"/>
  <c r="S972" i="1" s="1"/>
  <c r="T952" i="1" a="1"/>
  <c r="T952" i="1" s="1"/>
  <c r="S945" i="1" a="1"/>
  <c r="S945" i="1" s="1"/>
  <c r="S940" i="1" a="1"/>
  <c r="S940" i="1" s="1"/>
  <c r="T925" i="1" a="1"/>
  <c r="T925" i="1" s="1"/>
  <c r="S918" i="1" a="1"/>
  <c r="S918" i="1" s="1"/>
  <c r="T958" i="1" a="1"/>
  <c r="T958" i="1" s="1"/>
  <c r="T953" i="1" a="1"/>
  <c r="T953" i="1" s="1"/>
  <c r="S958" i="1" a="1"/>
  <c r="S958" i="1" s="1"/>
  <c r="S941" i="1" a="1"/>
  <c r="S941" i="1" s="1"/>
  <c r="T858" i="1" a="1"/>
  <c r="T858" i="1" s="1"/>
  <c r="T853" i="1" a="1"/>
  <c r="T853" i="1" s="1"/>
  <c r="T903" i="1" a="1"/>
  <c r="T903" i="1" s="1"/>
  <c r="T886" i="1" a="1"/>
  <c r="T886" i="1" s="1"/>
  <c r="S891" i="1" a="1"/>
  <c r="S891" i="1" s="1"/>
  <c r="S886" i="1" a="1"/>
  <c r="S886" i="1" s="1"/>
  <c r="U886" i="1" s="1"/>
  <c r="T871" i="1" a="1"/>
  <c r="T871" i="1" s="1"/>
  <c r="V871" i="1" s="1"/>
  <c r="T866" i="1" a="1"/>
  <c r="T866" i="1" s="1"/>
  <c r="T849" i="1" a="1"/>
  <c r="T849" i="1" s="1"/>
  <c r="V849" i="1" s="1"/>
  <c r="S854" i="1" a="1"/>
  <c r="S854" i="1" s="1"/>
  <c r="S833" i="1" a="1"/>
  <c r="S833" i="1" s="1"/>
  <c r="T818" i="1" a="1"/>
  <c r="T818" i="1" s="1"/>
  <c r="T825" i="1" a="1"/>
  <c r="T825" i="1" s="1"/>
  <c r="T808" i="1" a="1"/>
  <c r="T808" i="1" s="1"/>
  <c r="T803" i="1" a="1"/>
  <c r="T803" i="1" s="1"/>
  <c r="T786" i="1" a="1"/>
  <c r="T786" i="1" s="1"/>
  <c r="T836" i="1" a="1"/>
  <c r="T836" i="1" s="1"/>
  <c r="T831" i="1" a="1"/>
  <c r="T831" i="1" s="1"/>
  <c r="S836" i="1" a="1"/>
  <c r="S836" i="1" s="1"/>
  <c r="S831" i="1" a="1"/>
  <c r="S831" i="1" s="1"/>
  <c r="U831" i="1" s="1"/>
  <c r="S769" i="1" a="1"/>
  <c r="S769" i="1" s="1"/>
  <c r="S1361" i="1" a="1"/>
  <c r="S1361" i="1" s="1"/>
  <c r="S1356" i="1" a="1"/>
  <c r="S1356" i="1" s="1"/>
  <c r="T1341" i="1" a="1"/>
  <c r="T1341" i="1" s="1"/>
  <c r="T1336" i="1" a="1"/>
  <c r="T1336" i="1" s="1"/>
  <c r="T1386" i="1" a="1"/>
  <c r="T1386" i="1" s="1"/>
  <c r="S1379" i="1" a="1"/>
  <c r="S1379" i="1" s="1"/>
  <c r="T1364" i="1" a="1"/>
  <c r="T1364" i="1" s="1"/>
  <c r="V1364" i="1" s="1"/>
  <c r="T1359" i="1" a="1"/>
  <c r="T1359" i="1" s="1"/>
  <c r="V1359" i="1" s="1"/>
  <c r="T1342" i="1" a="1"/>
  <c r="T1342" i="1" s="1"/>
  <c r="T1337" i="1" a="1"/>
  <c r="T1337" i="1" s="1"/>
  <c r="S1330" i="1" a="1"/>
  <c r="S1330" i="1" s="1"/>
  <c r="S1311" i="1" a="1"/>
  <c r="S1311" i="1" s="1"/>
  <c r="T1296" i="1" a="1"/>
  <c r="T1296" i="1" s="1"/>
  <c r="S1289" i="1" a="1"/>
  <c r="S1289" i="1" s="1"/>
  <c r="S1272" i="1" a="1"/>
  <c r="S1272" i="1" s="1"/>
  <c r="S1279" i="1" a="1"/>
  <c r="S1279" i="1" s="1"/>
  <c r="S1322" i="1" a="1"/>
  <c r="S1322" i="1" s="1"/>
  <c r="T1323" i="1" a="1"/>
  <c r="T1323" i="1" s="1"/>
  <c r="S1319" i="1" a="1"/>
  <c r="S1319" i="1" s="1"/>
  <c r="S1314" i="1" a="1"/>
  <c r="S1314" i="1" s="1"/>
  <c r="S1297" i="1" a="1"/>
  <c r="S1297" i="1" s="1"/>
  <c r="T1227" i="1" a="1"/>
  <c r="T1227" i="1" s="1"/>
  <c r="S1220" i="1" a="1"/>
  <c r="S1220" i="1" s="1"/>
  <c r="S1258" i="1" a="1"/>
  <c r="S1258" i="1" s="1"/>
  <c r="S1241" i="1" a="1"/>
  <c r="S1241" i="1" s="1"/>
  <c r="T1214" i="1" a="1"/>
  <c r="T1214" i="1" s="1"/>
  <c r="T1264" i="1" a="1"/>
  <c r="T1264" i="1" s="1"/>
  <c r="V1264" i="1" s="1"/>
  <c r="T1235" i="1" a="1"/>
  <c r="T1235" i="1" s="1"/>
  <c r="V1235" i="1" s="1"/>
  <c r="T1218" i="1" a="1"/>
  <c r="T1218" i="1" s="1"/>
  <c r="T1256" i="1" a="1"/>
  <c r="T1256" i="1" s="1"/>
  <c r="S1194" i="1" a="1"/>
  <c r="S1194" i="1" s="1"/>
  <c r="S1165" i="1" a="1"/>
  <c r="S1165" i="1" s="1"/>
  <c r="T1193" i="1" a="1"/>
  <c r="T1193" i="1" s="1"/>
  <c r="T1188" i="1" a="1"/>
  <c r="T1188" i="1" s="1"/>
  <c r="S1169" i="1" a="1"/>
  <c r="S1169" i="1" s="1"/>
  <c r="T1197" i="1" a="1"/>
  <c r="T1197" i="1" s="1"/>
  <c r="T1192" i="1" a="1"/>
  <c r="T1192" i="1" s="1"/>
  <c r="T1175" i="1" a="1"/>
  <c r="T1175" i="1" s="1"/>
  <c r="T1170" i="1" a="1"/>
  <c r="T1170" i="1" s="1"/>
  <c r="T1153" i="1" a="1"/>
  <c r="T1153" i="1" s="1"/>
  <c r="S1094" i="1" a="1"/>
  <c r="S1094" i="1" s="1"/>
  <c r="T1122" i="1" a="1"/>
  <c r="T1122" i="1" s="1"/>
  <c r="S1127" i="1" a="1"/>
  <c r="S1127" i="1" s="1"/>
  <c r="S1098" i="1" a="1"/>
  <c r="S1098" i="1" s="1"/>
  <c r="S1093" i="1" a="1"/>
  <c r="S1093" i="1" s="1"/>
  <c r="S1143" i="1" a="1"/>
  <c r="S1143" i="1" s="1"/>
  <c r="T1140" i="1" a="1"/>
  <c r="T1140" i="1" s="1"/>
  <c r="S1121" i="1" a="1"/>
  <c r="S1121" i="1" s="1"/>
  <c r="S1116" i="1" a="1"/>
  <c r="S1116" i="1" s="1"/>
  <c r="T1101" i="1" a="1"/>
  <c r="T1101" i="1" s="1"/>
  <c r="T1082" i="1" a="1"/>
  <c r="T1082" i="1" s="1"/>
  <c r="S1085" i="1" a="1"/>
  <c r="S1085" i="1" s="1"/>
  <c r="S1058" i="1" a="1"/>
  <c r="S1058" i="1" s="1"/>
  <c r="S1053" i="1" a="1"/>
  <c r="S1053" i="1" s="1"/>
  <c r="T1081" i="1" a="1"/>
  <c r="T1081" i="1" s="1"/>
  <c r="S1074" i="1" a="1"/>
  <c r="S1074" i="1" s="1"/>
  <c r="S1045" i="1" a="1"/>
  <c r="S1045" i="1" s="1"/>
  <c r="T1073" i="1" a="1"/>
  <c r="T1073" i="1" s="1"/>
  <c r="S1066" i="1" a="1"/>
  <c r="S1066" i="1" s="1"/>
  <c r="T992" i="1" a="1"/>
  <c r="T992" i="1" s="1"/>
  <c r="S985" i="1" a="1"/>
  <c r="S985" i="1" s="1"/>
  <c r="S968" i="1" a="1"/>
  <c r="S968" i="1" s="1"/>
  <c r="T1041" i="1" a="1"/>
  <c r="T1041" i="1" s="1"/>
  <c r="T1027" i="1" a="1"/>
  <c r="T1027" i="1" s="1"/>
  <c r="S1020" i="1" a="1"/>
  <c r="S1020" i="1" s="1"/>
  <c r="T1005" i="1" a="1"/>
  <c r="T1005" i="1" s="1"/>
  <c r="V1005" i="1" s="1"/>
  <c r="T988" i="1" a="1"/>
  <c r="T988" i="1" s="1"/>
  <c r="S981" i="1" a="1"/>
  <c r="S981" i="1" s="1"/>
  <c r="T978" i="1" a="1"/>
  <c r="T978" i="1" s="1"/>
  <c r="T972" i="1" a="1"/>
  <c r="T972" i="1" s="1"/>
  <c r="T968" i="1" a="1"/>
  <c r="T968" i="1" s="1"/>
  <c r="S950" i="1" a="1"/>
  <c r="S950" i="1" s="1"/>
  <c r="T935" i="1" a="1"/>
  <c r="T935" i="1" s="1"/>
  <c r="T930" i="1" a="1"/>
  <c r="T930" i="1" s="1"/>
  <c r="S923" i="1" a="1"/>
  <c r="S923" i="1" s="1"/>
  <c r="T966" i="1" a="1"/>
  <c r="T966" i="1" s="1"/>
  <c r="S956" i="1" a="1"/>
  <c r="S956" i="1" s="1"/>
  <c r="S951" i="1" a="1"/>
  <c r="S951" i="1" s="1"/>
  <c r="T948" i="1" a="1"/>
  <c r="T948" i="1" s="1"/>
  <c r="T931" i="1" a="1"/>
  <c r="T931" i="1" s="1"/>
  <c r="S856" i="1" a="1"/>
  <c r="S856" i="1" s="1"/>
  <c r="S851" i="1" a="1"/>
  <c r="S851" i="1" s="1"/>
  <c r="S901" i="1" a="1"/>
  <c r="S901" i="1" s="1"/>
  <c r="S884" i="1" a="1"/>
  <c r="S884" i="1" s="1"/>
  <c r="T881" i="1" a="1"/>
  <c r="T881" i="1" s="1"/>
  <c r="T876" i="1" a="1"/>
  <c r="T876" i="1" s="1"/>
  <c r="V876" i="1" s="1"/>
  <c r="S869" i="1" a="1"/>
  <c r="S869" i="1" s="1"/>
  <c r="S864" i="1" a="1"/>
  <c r="S864" i="1" s="1"/>
  <c r="S847" i="1" a="1"/>
  <c r="S847" i="1" s="1"/>
  <c r="T899" i="1" a="1"/>
  <c r="T899" i="1" s="1"/>
  <c r="T823" i="1" a="1"/>
  <c r="T823" i="1" s="1"/>
  <c r="S816" i="1" a="1"/>
  <c r="S816" i="1" s="1"/>
  <c r="S823" i="1" a="1"/>
  <c r="S823" i="1" s="1"/>
  <c r="U823" i="1" s="1"/>
  <c r="S806" i="1" a="1"/>
  <c r="S806" i="1" s="1"/>
  <c r="S801" i="1" a="1"/>
  <c r="S801" i="1" s="1"/>
  <c r="T841" i="1" a="1"/>
  <c r="T841" i="1" s="1"/>
  <c r="V841" i="1" s="1"/>
  <c r="S834" i="1" a="1"/>
  <c r="S834" i="1" s="1"/>
  <c r="S829" i="1" a="1"/>
  <c r="S829" i="1" s="1"/>
  <c r="T826" i="1" a="1"/>
  <c r="T826" i="1" s="1"/>
  <c r="T821" i="1" a="1"/>
  <c r="T821" i="1" s="1"/>
  <c r="T1351" i="1" a="1"/>
  <c r="T1351" i="1" s="1"/>
  <c r="T1346" i="1" a="1"/>
  <c r="T1346" i="1" s="1"/>
  <c r="S1339" i="1" a="1"/>
  <c r="S1339" i="1" s="1"/>
  <c r="S1334" i="1" a="1"/>
  <c r="S1334" i="1" s="1"/>
  <c r="S1384" i="1" a="1"/>
  <c r="S1384" i="1" s="1"/>
  <c r="T1369" i="1" a="1"/>
  <c r="T1369" i="1" s="1"/>
  <c r="S1362" i="1" a="1"/>
  <c r="S1362" i="1" s="1"/>
  <c r="S1357" i="1" a="1"/>
  <c r="S1357" i="1" s="1"/>
  <c r="S1340" i="1" a="1"/>
  <c r="S1340" i="1" s="1"/>
  <c r="S1335" i="1" a="1"/>
  <c r="S1335" i="1" s="1"/>
  <c r="T1318" i="1" a="1"/>
  <c r="T1318" i="1" s="1"/>
  <c r="T1301" i="1" a="1"/>
  <c r="T1301" i="1" s="1"/>
  <c r="S1294" i="1" a="1"/>
  <c r="S1294" i="1" s="1"/>
  <c r="T1279" i="1" a="1"/>
  <c r="T1279" i="1" s="1"/>
  <c r="T1262" i="1" a="1"/>
  <c r="T1262" i="1" s="1"/>
  <c r="T1269" i="1" a="1"/>
  <c r="T1269" i="1" s="1"/>
  <c r="S1320" i="1" a="1"/>
  <c r="S1320" i="1" s="1"/>
  <c r="T1314" i="1" a="1"/>
  <c r="T1314" i="1" s="1"/>
  <c r="T1309" i="1" a="1"/>
  <c r="T1309" i="1" s="1"/>
  <c r="T1304" i="1" a="1"/>
  <c r="T1304" i="1" s="1"/>
  <c r="T1287" i="1" a="1"/>
  <c r="T1287" i="1" s="1"/>
  <c r="S1225" i="1" a="1"/>
  <c r="S1225" i="1" s="1"/>
  <c r="T1210" i="1" a="1"/>
  <c r="T1210" i="1" s="1"/>
  <c r="T1248" i="1" a="1"/>
  <c r="T1248" i="1" s="1"/>
  <c r="T1231" i="1" a="1"/>
  <c r="T1231" i="1" s="1"/>
  <c r="S1212" i="1" a="1"/>
  <c r="S1212" i="1" s="1"/>
  <c r="T1252" i="1" a="1"/>
  <c r="T1252" i="1" s="1"/>
  <c r="S1233" i="1" a="1"/>
  <c r="S1233" i="1" s="1"/>
  <c r="S1216" i="1" a="1"/>
  <c r="S1216" i="1" s="1"/>
  <c r="S1254" i="1" a="1"/>
  <c r="S1254" i="1" s="1"/>
  <c r="T1184" i="1" a="1"/>
  <c r="T1184" i="1" s="1"/>
  <c r="T1155" i="1" a="1"/>
  <c r="T1155" i="1" s="1"/>
  <c r="S1191" i="1" a="1"/>
  <c r="S1191" i="1" s="1"/>
  <c r="S1186" i="1" a="1"/>
  <c r="S1186" i="1" s="1"/>
  <c r="T1159" i="1" a="1"/>
  <c r="T1159" i="1" s="1"/>
  <c r="S1195" i="1" a="1"/>
  <c r="S1195" i="1" s="1"/>
  <c r="S1190" i="1" a="1"/>
  <c r="S1190" i="1" s="1"/>
  <c r="S1173" i="1" a="1"/>
  <c r="S1173" i="1" s="1"/>
  <c r="S1168" i="1" a="1"/>
  <c r="S1168" i="1" s="1"/>
  <c r="S1151" i="1" a="1"/>
  <c r="S1151" i="1" s="1"/>
  <c r="T1144" i="1" a="1"/>
  <c r="T1144" i="1" s="1"/>
  <c r="S1120" i="1" a="1"/>
  <c r="S1120" i="1" s="1"/>
  <c r="T1117" i="1" a="1"/>
  <c r="T1117" i="1" s="1"/>
  <c r="T1088" i="1" a="1"/>
  <c r="T1088" i="1" s="1"/>
  <c r="S1160" i="1" a="1"/>
  <c r="S1160" i="1" s="1"/>
  <c r="T1133" i="1" a="1"/>
  <c r="T1133" i="1" s="1"/>
  <c r="V1133" i="1" s="1"/>
  <c r="S1138" i="1" a="1"/>
  <c r="S1138" i="1" s="1"/>
  <c r="T1111" i="1" a="1"/>
  <c r="T1111" i="1" s="1"/>
  <c r="T1106" i="1" a="1"/>
  <c r="T1106" i="1" s="1"/>
  <c r="S1099" i="1" a="1"/>
  <c r="S1099" i="1" s="1"/>
  <c r="S1080" i="1" a="1"/>
  <c r="S1080" i="1" s="1"/>
  <c r="T1077" i="1" a="1"/>
  <c r="T1077" i="1" s="1"/>
  <c r="T1048" i="1" a="1"/>
  <c r="T1048" i="1" s="1"/>
  <c r="T1043" i="1" a="1"/>
  <c r="T1043" i="1" s="1"/>
  <c r="S1079" i="1" a="1"/>
  <c r="S1079" i="1" s="1"/>
  <c r="T1064" i="1" a="1"/>
  <c r="T1064" i="1" s="1"/>
  <c r="V1064" i="1" s="1"/>
  <c r="T1035" i="1" a="1"/>
  <c r="T1035" i="1" s="1"/>
  <c r="S1071" i="1" a="1"/>
  <c r="S1071" i="1" s="1"/>
  <c r="T1056" i="1" a="1"/>
  <c r="T1056" i="1" s="1"/>
  <c r="S990" i="1" a="1"/>
  <c r="S990" i="1" s="1"/>
  <c r="T975" i="1" a="1"/>
  <c r="T975" i="1" s="1"/>
  <c r="T1031" i="1" a="1"/>
  <c r="T1031" i="1" s="1"/>
  <c r="S1039" i="1" a="1"/>
  <c r="S1039" i="1" s="1"/>
  <c r="S1025" i="1" a="1"/>
  <c r="S1025" i="1" s="1"/>
  <c r="T1010" i="1" a="1"/>
  <c r="T1010" i="1" s="1"/>
  <c r="V1010" i="1" s="1"/>
  <c r="S1003" i="1" a="1"/>
  <c r="S1003" i="1" s="1"/>
  <c r="S986" i="1" a="1"/>
  <c r="S986" i="1" s="1"/>
  <c r="T971" i="1" a="1"/>
  <c r="T971" i="1" s="1"/>
  <c r="V971" i="1" s="1"/>
  <c r="S976" i="1" a="1"/>
  <c r="S976" i="1" s="1"/>
  <c r="T962" i="1" a="1"/>
  <c r="T962" i="1" s="1"/>
  <c r="S965" i="1" a="1"/>
  <c r="S965" i="1" s="1"/>
  <c r="T940" i="1" a="1"/>
  <c r="T940" i="1" s="1"/>
  <c r="S933" i="1" a="1"/>
  <c r="S933" i="1" s="1"/>
  <c r="S928" i="1" a="1"/>
  <c r="S928" i="1" s="1"/>
  <c r="T913" i="1" a="1"/>
  <c r="T913" i="1" s="1"/>
  <c r="T963" i="1" a="1"/>
  <c r="T963" i="1" s="1"/>
  <c r="T946" i="1" a="1"/>
  <c r="T946" i="1" s="1"/>
  <c r="V946" i="1" s="1"/>
  <c r="T941" i="1" a="1"/>
  <c r="T941" i="1" s="1"/>
  <c r="S946" i="1" a="1"/>
  <c r="S946" i="1" s="1"/>
  <c r="U946" i="1" s="1"/>
  <c r="S929" i="1" a="1"/>
  <c r="S929" i="1" s="1"/>
  <c r="T846" i="1" a="1"/>
  <c r="T846" i="1" s="1"/>
  <c r="T896" i="1" a="1"/>
  <c r="T896" i="1" s="1"/>
  <c r="T891" i="1" a="1"/>
  <c r="T891" i="1" s="1"/>
  <c r="T874" i="1" a="1"/>
  <c r="T874" i="1" s="1"/>
  <c r="S879" i="1" a="1"/>
  <c r="S879" i="1" s="1"/>
  <c r="S874" i="1" a="1"/>
  <c r="S874" i="1" s="1"/>
  <c r="T859" i="1" a="1"/>
  <c r="T859" i="1" s="1"/>
  <c r="V859" i="1" s="1"/>
  <c r="T854" i="1" a="1"/>
  <c r="T854" i="1" s="1"/>
  <c r="S910" i="1" a="1"/>
  <c r="S910" i="1" s="1"/>
  <c r="S897" i="1" a="1"/>
  <c r="S897" i="1" s="1"/>
  <c r="S821" i="1" a="1"/>
  <c r="S821" i="1" s="1"/>
  <c r="U821" i="1" s="1"/>
  <c r="T806" i="1" a="1"/>
  <c r="T806" i="1" s="1"/>
  <c r="T813" i="1" a="1"/>
  <c r="T813" i="1" s="1"/>
  <c r="T796" i="1" a="1"/>
  <c r="T796" i="1" s="1"/>
  <c r="T791" i="1" a="1"/>
  <c r="T791" i="1" s="1"/>
  <c r="S839" i="1" a="1"/>
  <c r="S839" i="1" s="1"/>
  <c r="T824" i="1" a="1"/>
  <c r="T824" i="1" s="1"/>
  <c r="T819" i="1" a="1"/>
  <c r="T819" i="1" s="1"/>
  <c r="S824" i="1" a="1"/>
  <c r="S824" i="1" s="1"/>
  <c r="S819" i="1" a="1"/>
  <c r="S819" i="1" s="1"/>
  <c r="S1349" i="1" a="1"/>
  <c r="S1349" i="1" s="1"/>
  <c r="S1344" i="1" a="1"/>
  <c r="S1344" i="1" s="1"/>
  <c r="T1329" i="1" a="1"/>
  <c r="T1329" i="1" s="1"/>
  <c r="T1379" i="1" a="1"/>
  <c r="T1379" i="1" s="1"/>
  <c r="T1374" i="1" a="1"/>
  <c r="T1374" i="1" s="1"/>
  <c r="S1367" i="1" a="1"/>
  <c r="S1367" i="1" s="1"/>
  <c r="T1352" i="1" a="1"/>
  <c r="T1352" i="1" s="1"/>
  <c r="T1347" i="1" a="1"/>
  <c r="T1347" i="1" s="1"/>
  <c r="T1330" i="1" a="1"/>
  <c r="T1330" i="1" s="1"/>
  <c r="T1325" i="1" a="1"/>
  <c r="T1325" i="1" s="1"/>
  <c r="S1316" i="1" a="1"/>
  <c r="S1316" i="1" s="1"/>
  <c r="U1316" i="1" s="1"/>
  <c r="S1299" i="1" a="1"/>
  <c r="S1299" i="1" s="1"/>
  <c r="U1299" i="1" s="1"/>
  <c r="T1284" i="1" a="1"/>
  <c r="T1284" i="1" s="1"/>
  <c r="S1277" i="1" a="1"/>
  <c r="S1277" i="1" s="1"/>
  <c r="S1260" i="1" a="1"/>
  <c r="S1260" i="1" s="1"/>
  <c r="T1322" i="1" a="1"/>
  <c r="T1322" i="1" s="1"/>
  <c r="T1319" i="1" a="1"/>
  <c r="T1319" i="1" s="1"/>
  <c r="S1312" i="1" a="1"/>
  <c r="S1312" i="1" s="1"/>
  <c r="S1307" i="1" a="1"/>
  <c r="S1307" i="1" s="1"/>
  <c r="S1302" i="1" a="1"/>
  <c r="S1302" i="1" s="1"/>
  <c r="S1285" i="1" a="1"/>
  <c r="S1285" i="1" s="1"/>
  <c r="T1215" i="1" a="1"/>
  <c r="T1215" i="1" s="1"/>
  <c r="S1208" i="1" a="1"/>
  <c r="S1208" i="1" s="1"/>
  <c r="S1246" i="1" a="1"/>
  <c r="S1246" i="1" s="1"/>
  <c r="S1229" i="1" a="1"/>
  <c r="S1229" i="1" s="1"/>
  <c r="T1202" i="1" a="1"/>
  <c r="T1202" i="1" s="1"/>
  <c r="S1250" i="1" a="1"/>
  <c r="S1250" i="1" s="1"/>
  <c r="T1223" i="1" a="1"/>
  <c r="T1223" i="1" s="1"/>
  <c r="V1223" i="1" s="1"/>
  <c r="T1206" i="1" a="1"/>
  <c r="T1206" i="1" s="1"/>
  <c r="T1244" i="1" a="1"/>
  <c r="T1244" i="1" s="1"/>
  <c r="S1182" i="1" a="1"/>
  <c r="S1182" i="1" s="1"/>
  <c r="S1153" i="1" a="1"/>
  <c r="S1153" i="1" s="1"/>
  <c r="U1153" i="1" s="1"/>
  <c r="T1181" i="1" a="1"/>
  <c r="T1181" i="1" s="1"/>
  <c r="T1176" i="1" a="1"/>
  <c r="T1176" i="1" s="1"/>
  <c r="S1157" i="1" a="1"/>
  <c r="S1157" i="1" s="1"/>
  <c r="T1185" i="1" a="1"/>
  <c r="T1185" i="1" s="1"/>
  <c r="T1180" i="1" a="1"/>
  <c r="T1180" i="1" s="1"/>
  <c r="T1163" i="1" a="1"/>
  <c r="T1163" i="1" s="1"/>
  <c r="T1158" i="1" a="1"/>
  <c r="T1158" i="1" s="1"/>
  <c r="V1158" i="1" s="1"/>
  <c r="S1150" i="1" a="1"/>
  <c r="S1150" i="1" s="1"/>
  <c r="T1139" i="1" a="1"/>
  <c r="T1139" i="1" s="1"/>
  <c r="T1110" i="1" a="1"/>
  <c r="T1110" i="1" s="1"/>
  <c r="S1115" i="1" a="1"/>
  <c r="S1115" i="1" s="1"/>
  <c r="S1086" i="1" a="1"/>
  <c r="S1086" i="1" s="1"/>
  <c r="T1138" i="1" a="1"/>
  <c r="T1138" i="1" s="1"/>
  <c r="S1131" i="1" a="1"/>
  <c r="S1131" i="1" s="1"/>
  <c r="T1128" i="1" a="1"/>
  <c r="T1128" i="1" s="1"/>
  <c r="S1109" i="1" a="1"/>
  <c r="S1109" i="1" s="1"/>
  <c r="S1104" i="1" a="1"/>
  <c r="S1104" i="1" s="1"/>
  <c r="S1091" i="1" a="1"/>
  <c r="S1091" i="1" s="1"/>
  <c r="T1070" i="1" a="1"/>
  <c r="T1070" i="1" s="1"/>
  <c r="S1075" i="1" a="1"/>
  <c r="S1075" i="1" s="1"/>
  <c r="S1046" i="1" a="1"/>
  <c r="S1046" i="1" s="1"/>
  <c r="S1041" i="1" a="1"/>
  <c r="S1041" i="1" s="1"/>
  <c r="U1041" i="1" s="1"/>
  <c r="T1069" i="1" a="1"/>
  <c r="T1069" i="1" s="1"/>
  <c r="S1062" i="1" a="1"/>
  <c r="S1062" i="1" s="1"/>
  <c r="S1033" i="1" a="1"/>
  <c r="S1033" i="1" s="1"/>
  <c r="T1061" i="1" a="1"/>
  <c r="T1061" i="1" s="1"/>
  <c r="S1054" i="1" a="1"/>
  <c r="S1054" i="1" s="1"/>
  <c r="T980" i="1" a="1"/>
  <c r="T980" i="1" s="1"/>
  <c r="T1028" i="1" a="1"/>
  <c r="T1028" i="1" s="1"/>
  <c r="T1025" i="1" a="1"/>
  <c r="T1025" i="1" s="1"/>
  <c r="S1028" i="1" a="1"/>
  <c r="S1028" i="1" s="1"/>
  <c r="U1028" i="1" s="1"/>
  <c r="T1015" i="1" a="1"/>
  <c r="T1015" i="1" s="1"/>
  <c r="S1008" i="1" a="1"/>
  <c r="S1008" i="1" s="1"/>
  <c r="T993" i="1" a="1"/>
  <c r="T993" i="1" s="1"/>
  <c r="V993" i="1" s="1"/>
  <c r="T976" i="1" a="1"/>
  <c r="T976" i="1" s="1"/>
  <c r="T1040" i="1" a="1"/>
  <c r="T1040" i="1" s="1"/>
  <c r="V1040" i="1" s="1"/>
  <c r="S1038" i="1" a="1"/>
  <c r="S1038" i="1" s="1"/>
  <c r="S960" i="1" a="1"/>
  <c r="S960" i="1" s="1"/>
  <c r="T957" i="1" a="1"/>
  <c r="T957" i="1" s="1"/>
  <c r="S938" i="1" a="1"/>
  <c r="S938" i="1" s="1"/>
  <c r="T923" i="1" a="1"/>
  <c r="T923" i="1" s="1"/>
  <c r="T918" i="1" a="1"/>
  <c r="T918" i="1" s="1"/>
  <c r="S911" i="1" a="1"/>
  <c r="S911" i="1" s="1"/>
  <c r="S961" i="1" a="1"/>
  <c r="S961" i="1" s="1"/>
  <c r="S944" i="1" a="1"/>
  <c r="S944" i="1" s="1"/>
  <c r="S939" i="1" a="1"/>
  <c r="S939" i="1" s="1"/>
  <c r="T936" i="1" a="1"/>
  <c r="T936" i="1" s="1"/>
  <c r="T919" i="1" a="1"/>
  <c r="T919" i="1" s="1"/>
  <c r="S844" i="1" a="1"/>
  <c r="S844" i="1" s="1"/>
  <c r="S894" i="1" a="1"/>
  <c r="S894" i="1" s="1"/>
  <c r="S889" i="1" a="1"/>
  <c r="S889" i="1" s="1"/>
  <c r="S872" i="1" a="1"/>
  <c r="S872" i="1" s="1"/>
  <c r="T869" i="1" a="1"/>
  <c r="T869" i="1" s="1"/>
  <c r="T864" i="1" a="1"/>
  <c r="T864" i="1" s="1"/>
  <c r="S857" i="1" a="1"/>
  <c r="S857" i="1" s="1"/>
  <c r="S852" i="1" a="1"/>
  <c r="S852" i="1" s="1"/>
  <c r="S905" i="1" a="1"/>
  <c r="S905" i="1" s="1"/>
  <c r="T887" i="1" a="1"/>
  <c r="T887" i="1" s="1"/>
  <c r="T811" i="1" a="1"/>
  <c r="T811" i="1" s="1"/>
  <c r="T1339" i="1" a="1"/>
  <c r="T1339" i="1" s="1"/>
  <c r="T1334" i="1" a="1"/>
  <c r="T1334" i="1" s="1"/>
  <c r="S1327" i="1" a="1"/>
  <c r="S1327" i="1" s="1"/>
  <c r="S1377" i="1" a="1"/>
  <c r="S1377" i="1" s="1"/>
  <c r="S1372" i="1" a="1"/>
  <c r="S1372" i="1" s="1"/>
  <c r="T1357" i="1" a="1"/>
  <c r="T1357" i="1" s="1"/>
  <c r="S1350" i="1" a="1"/>
  <c r="S1350" i="1" s="1"/>
  <c r="S1345" i="1" a="1"/>
  <c r="S1345" i="1" s="1"/>
  <c r="S1328" i="1" a="1"/>
  <c r="S1328" i="1" s="1"/>
  <c r="T1380" i="1" a="1"/>
  <c r="T1380" i="1" s="1"/>
  <c r="T1306" i="1" a="1"/>
  <c r="T1306" i="1" s="1"/>
  <c r="T1289" i="1" a="1"/>
  <c r="T1289" i="1" s="1"/>
  <c r="S1282" i="1" a="1"/>
  <c r="S1282" i="1" s="1"/>
  <c r="T1267" i="1" a="1"/>
  <c r="T1267" i="1" s="1"/>
  <c r="V1267" i="1" s="1"/>
  <c r="T1321" i="1" a="1"/>
  <c r="T1321" i="1" s="1"/>
  <c r="S1321" i="1" a="1"/>
  <c r="S1321" i="1" s="1"/>
  <c r="S1317" i="1" a="1"/>
  <c r="S1317" i="1" s="1"/>
  <c r="T1302" i="1" a="1"/>
  <c r="T1302" i="1" s="1"/>
  <c r="T1297" i="1" a="1"/>
  <c r="T1297" i="1" s="1"/>
  <c r="T1292" i="1" a="1"/>
  <c r="T1292" i="1" s="1"/>
  <c r="T1275" i="1" a="1"/>
  <c r="T1275" i="1" s="1"/>
  <c r="S1213" i="1" a="1"/>
  <c r="S1213" i="1" s="1"/>
  <c r="T1253" i="1" a="1"/>
  <c r="T1253" i="1" s="1"/>
  <c r="T1236" i="1" a="1"/>
  <c r="T1236" i="1" s="1"/>
  <c r="T1219" i="1" a="1"/>
  <c r="T1219" i="1" s="1"/>
  <c r="S1267" i="1" a="1"/>
  <c r="S1267" i="1" s="1"/>
  <c r="U1267" i="1" s="1"/>
  <c r="T1240" i="1" a="1"/>
  <c r="T1240" i="1" s="1"/>
  <c r="S1221" i="1" a="1"/>
  <c r="S1221" i="1" s="1"/>
  <c r="T1259" i="1" a="1"/>
  <c r="T1259" i="1" s="1"/>
  <c r="S1242" i="1" a="1"/>
  <c r="S1242" i="1" s="1"/>
  <c r="T1172" i="1" a="1"/>
  <c r="T1172" i="1" s="1"/>
  <c r="S1207" i="1" a="1"/>
  <c r="S1207" i="1" s="1"/>
  <c r="S1179" i="1" a="1"/>
  <c r="S1179" i="1" s="1"/>
  <c r="S1174" i="1" a="1"/>
  <c r="S1174" i="1" s="1"/>
  <c r="S1200" i="1" a="1"/>
  <c r="S1200" i="1" s="1"/>
  <c r="S1183" i="1" a="1"/>
  <c r="S1183" i="1" s="1"/>
  <c r="S1178" i="1" a="1"/>
  <c r="S1178" i="1" s="1"/>
  <c r="S1161" i="1" a="1"/>
  <c r="S1161" i="1" s="1"/>
  <c r="S1156" i="1" a="1"/>
  <c r="S1156" i="1" s="1"/>
  <c r="S1145" i="1" a="1"/>
  <c r="S1145" i="1" s="1"/>
  <c r="S1137" i="1" a="1"/>
  <c r="S1137" i="1" s="1"/>
  <c r="S1108" i="1" a="1"/>
  <c r="S1108" i="1" s="1"/>
  <c r="T1105" i="1" a="1"/>
  <c r="T1105" i="1" s="1"/>
  <c r="T1143" i="1" a="1"/>
  <c r="T1143" i="1" s="1"/>
  <c r="S1136" i="1" a="1"/>
  <c r="S1136" i="1" s="1"/>
  <c r="T1121" i="1" a="1"/>
  <c r="T1121" i="1" s="1"/>
  <c r="S1126" i="1" a="1"/>
  <c r="S1126" i="1" s="1"/>
  <c r="T1099" i="1" a="1"/>
  <c r="T1099" i="1" s="1"/>
  <c r="T1094" i="1" a="1"/>
  <c r="T1094" i="1" s="1"/>
  <c r="T1087" i="1" a="1"/>
  <c r="T1087" i="1" s="1"/>
  <c r="S1068" i="1" a="1"/>
  <c r="S1068" i="1" s="1"/>
  <c r="U1068" i="1" s="1"/>
  <c r="T1065" i="1" a="1"/>
  <c r="T1065" i="1" s="1"/>
  <c r="T1036" i="1" a="1"/>
  <c r="T1036" i="1" s="1"/>
  <c r="S1089" i="1" a="1"/>
  <c r="S1089" i="1" s="1"/>
  <c r="S1067" i="1" a="1"/>
  <c r="S1067" i="1" s="1"/>
  <c r="T1052" i="1" a="1"/>
  <c r="T1052" i="1" s="1"/>
  <c r="V1052" i="1" s="1"/>
  <c r="T1078" i="1" a="1"/>
  <c r="T1078" i="1" s="1"/>
  <c r="S1059" i="1" a="1"/>
  <c r="S1059" i="1" s="1"/>
  <c r="T1044" i="1" a="1"/>
  <c r="T1044" i="1" s="1"/>
  <c r="S978" i="1" a="1"/>
  <c r="S978" i="1" s="1"/>
  <c r="U978" i="1" s="1"/>
  <c r="T1018" i="1" a="1"/>
  <c r="T1018" i="1" s="1"/>
  <c r="S1023" i="1" a="1"/>
  <c r="S1023" i="1" s="1"/>
  <c r="T1020" i="1" a="1"/>
  <c r="T1020" i="1" s="1"/>
  <c r="S1013" i="1" a="1"/>
  <c r="S1013" i="1" s="1"/>
  <c r="T998" i="1" a="1"/>
  <c r="T998" i="1" s="1"/>
  <c r="S991" i="1" a="1"/>
  <c r="S991" i="1" s="1"/>
  <c r="S974" i="1" a="1"/>
  <c r="S974" i="1" s="1"/>
  <c r="T1029" i="1" a="1"/>
  <c r="T1029" i="1" s="1"/>
  <c r="T1021" i="1" a="1"/>
  <c r="T1021" i="1" s="1"/>
  <c r="T950" i="1" a="1"/>
  <c r="T950" i="1" s="1"/>
  <c r="S955" i="1" a="1"/>
  <c r="S955" i="1" s="1"/>
  <c r="T928" i="1" a="1"/>
  <c r="T928" i="1" s="1"/>
  <c r="S921" i="1" a="1"/>
  <c r="S921" i="1" s="1"/>
  <c r="S916" i="1" a="1"/>
  <c r="S916" i="1" s="1"/>
  <c r="S967" i="1" a="1"/>
  <c r="S967" i="1" s="1"/>
  <c r="T951" i="1" a="1"/>
  <c r="T951" i="1" s="1"/>
  <c r="T934" i="1" a="1"/>
  <c r="T934" i="1" s="1"/>
  <c r="T929" i="1" a="1"/>
  <c r="T929" i="1" s="1"/>
  <c r="S934" i="1" a="1"/>
  <c r="S934" i="1" s="1"/>
  <c r="S917" i="1" a="1"/>
  <c r="S917" i="1" s="1"/>
  <c r="T901" i="1" a="1"/>
  <c r="T901" i="1" s="1"/>
  <c r="T884" i="1" a="1"/>
  <c r="T884" i="1" s="1"/>
  <c r="T879" i="1" a="1"/>
  <c r="T879" i="1" s="1"/>
  <c r="T862" i="1" a="1"/>
  <c r="T862" i="1" s="1"/>
  <c r="S867" i="1" a="1"/>
  <c r="S867" i="1" s="1"/>
  <c r="S862" i="1" a="1"/>
  <c r="S862" i="1" s="1"/>
  <c r="U862" i="1" s="1"/>
  <c r="S906" i="1" a="1"/>
  <c r="S906" i="1" s="1"/>
  <c r="T897" i="1" a="1"/>
  <c r="T897" i="1" s="1"/>
  <c r="S902" i="1" a="1"/>
  <c r="S902" i="1" s="1"/>
  <c r="S885" i="1" a="1"/>
  <c r="S885" i="1" s="1"/>
  <c r="S809" i="1" a="1"/>
  <c r="S809" i="1" s="1"/>
  <c r="T794" i="1" a="1"/>
  <c r="T794" i="1" s="1"/>
  <c r="T801" i="1" a="1"/>
  <c r="T801" i="1" s="1"/>
  <c r="T784" i="1" a="1"/>
  <c r="T784" i="1" s="1"/>
  <c r="T834" i="1" a="1"/>
  <c r="T834" i="1" s="1"/>
  <c r="S827" i="1" a="1"/>
  <c r="S827" i="1" s="1"/>
  <c r="T812" i="1" a="1"/>
  <c r="T812" i="1" s="1"/>
  <c r="T807" i="1" a="1"/>
  <c r="T807" i="1" s="1"/>
  <c r="S812" i="1" a="1"/>
  <c r="S812" i="1" s="1"/>
  <c r="S1337" i="1" a="1"/>
  <c r="S1337" i="1" s="1"/>
  <c r="U1337" i="1" s="1"/>
  <c r="S1332" i="1" a="1"/>
  <c r="S1332" i="1" s="1"/>
  <c r="U1332" i="1" s="1"/>
  <c r="T1384" i="1" a="1"/>
  <c r="T1384" i="1" s="1"/>
  <c r="T1367" i="1" a="1"/>
  <c r="T1367" i="1" s="1"/>
  <c r="T1362" i="1" a="1"/>
  <c r="T1362" i="1" s="1"/>
  <c r="S1355" i="1" a="1"/>
  <c r="S1355" i="1" s="1"/>
  <c r="T1340" i="1" a="1"/>
  <c r="T1340" i="1" s="1"/>
  <c r="T1335" i="1" a="1"/>
  <c r="T1335" i="1" s="1"/>
  <c r="T1385" i="1" a="1"/>
  <c r="T1385" i="1" s="1"/>
  <c r="S1378" i="1" a="1"/>
  <c r="S1378" i="1" s="1"/>
  <c r="S1304" i="1" a="1"/>
  <c r="S1304" i="1" s="1"/>
  <c r="U1304" i="1" s="1"/>
  <c r="S1287" i="1" a="1"/>
  <c r="S1287" i="1" s="1"/>
  <c r="U1287" i="1" s="1"/>
  <c r="T1272" i="1" a="1"/>
  <c r="T1272" i="1" s="1"/>
  <c r="S1265" i="1" a="1"/>
  <c r="S1265" i="1" s="1"/>
  <c r="T1320" i="1" a="1"/>
  <c r="T1320" i="1" s="1"/>
  <c r="T1312" i="1" a="1"/>
  <c r="T1312" i="1" s="1"/>
  <c r="T1307" i="1" a="1"/>
  <c r="T1307" i="1" s="1"/>
  <c r="S1300" i="1" a="1"/>
  <c r="S1300" i="1" s="1"/>
  <c r="S1295" i="1" a="1"/>
  <c r="S1295" i="1" s="1"/>
  <c r="S1290" i="1" a="1"/>
  <c r="S1290" i="1" s="1"/>
  <c r="S1273" i="1" a="1"/>
  <c r="S1273" i="1" s="1"/>
  <c r="S1262" i="1" a="1"/>
  <c r="S1262" i="1" s="1"/>
  <c r="U1262" i="1" s="1"/>
  <c r="S1251" i="1" a="1"/>
  <c r="S1251" i="1" s="1"/>
  <c r="S1234" i="1" a="1"/>
  <c r="S1234" i="1" s="1"/>
  <c r="S1217" i="1" a="1"/>
  <c r="S1217" i="1" s="1"/>
  <c r="T1257" i="1" a="1"/>
  <c r="T1257" i="1" s="1"/>
  <c r="S1238" i="1" a="1"/>
  <c r="S1238" i="1" s="1"/>
  <c r="T1211" i="1" a="1"/>
  <c r="T1211" i="1" s="1"/>
  <c r="T1249" i="1" a="1"/>
  <c r="T1249" i="1" s="1"/>
  <c r="T1232" i="1" a="1"/>
  <c r="T1232" i="1" s="1"/>
  <c r="S1170" i="1" a="1"/>
  <c r="S1170" i="1" s="1"/>
  <c r="U1170" i="1" s="1"/>
  <c r="S1201" i="1" a="1"/>
  <c r="S1201" i="1" s="1"/>
  <c r="T1169" i="1" a="1"/>
  <c r="T1169" i="1" s="1"/>
  <c r="T1164" i="1" a="1"/>
  <c r="T1164" i="1" s="1"/>
  <c r="T1190" i="1" a="1"/>
  <c r="T1190" i="1" s="1"/>
  <c r="T1173" i="1" a="1"/>
  <c r="T1173" i="1" s="1"/>
  <c r="T1168" i="1" a="1"/>
  <c r="T1168" i="1" s="1"/>
  <c r="T1151" i="1" a="1"/>
  <c r="T1151" i="1" s="1"/>
  <c r="S1202" i="1" a="1"/>
  <c r="S1202" i="1" s="1"/>
  <c r="U1202" i="1" s="1"/>
  <c r="S1142" i="1" a="1"/>
  <c r="S1142" i="1" s="1"/>
  <c r="T1127" i="1" a="1"/>
  <c r="T1127" i="1" s="1"/>
  <c r="T1098" i="1" a="1"/>
  <c r="T1098" i="1" s="1"/>
  <c r="S1103" i="1" a="1"/>
  <c r="S1103" i="1" s="1"/>
  <c r="S1141" i="1" a="1"/>
  <c r="S1141" i="1" s="1"/>
  <c r="T1126" i="1" a="1"/>
  <c r="T1126" i="1" s="1"/>
  <c r="S1119" i="1" a="1"/>
  <c r="S1119" i="1" s="1"/>
  <c r="T1116" i="1" a="1"/>
  <c r="T1116" i="1" s="1"/>
  <c r="S1097" i="1" a="1"/>
  <c r="S1097" i="1" s="1"/>
  <c r="T1150" i="1" a="1"/>
  <c r="T1150" i="1" s="1"/>
  <c r="T1075" i="1" a="1"/>
  <c r="T1075" i="1" s="1"/>
  <c r="T1058" i="1" a="1"/>
  <c r="T1058" i="1" s="1"/>
  <c r="S1063" i="1" a="1"/>
  <c r="S1063" i="1" s="1"/>
  <c r="S1034" i="1" a="1"/>
  <c r="S1034" i="1" s="1"/>
  <c r="T1074" i="1" a="1"/>
  <c r="T1074" i="1" s="1"/>
  <c r="T1057" i="1" a="1"/>
  <c r="T1057" i="1" s="1"/>
  <c r="S1050" i="1" a="1"/>
  <c r="S1050" i="1" s="1"/>
  <c r="S1076" i="1" a="1"/>
  <c r="S1076" i="1" s="1"/>
  <c r="U1076" i="1" s="1"/>
  <c r="T1049" i="1" a="1"/>
  <c r="T1049" i="1" s="1"/>
  <c r="S1042" i="1" a="1"/>
  <c r="S1042" i="1" s="1"/>
  <c r="S1032" i="1" a="1"/>
  <c r="S1032" i="1" s="1"/>
  <c r="S1016" i="1" a="1"/>
  <c r="S1016" i="1" s="1"/>
  <c r="T1013" i="1" a="1"/>
  <c r="T1013" i="1" s="1"/>
  <c r="S1018" i="1" a="1"/>
  <c r="S1018" i="1" s="1"/>
  <c r="U1018" i="1" s="1"/>
  <c r="T1003" i="1" a="1"/>
  <c r="T1003" i="1" s="1"/>
  <c r="S996" i="1" a="1"/>
  <c r="S996" i="1" s="1"/>
  <c r="T981" i="1" a="1"/>
  <c r="T981" i="1" s="1"/>
  <c r="T964" i="1" a="1"/>
  <c r="T964" i="1" s="1"/>
  <c r="T1026" i="1" a="1"/>
  <c r="T1026" i="1" s="1"/>
  <c r="S1019" i="1" a="1"/>
  <c r="S1019" i="1" s="1"/>
  <c r="S948" i="1" a="1"/>
  <c r="S948" i="1" s="1"/>
  <c r="U948" i="1" s="1"/>
  <c r="T945" i="1" a="1"/>
  <c r="T945" i="1" s="1"/>
  <c r="S926" i="1" a="1"/>
  <c r="S926" i="1" s="1"/>
  <c r="T911" i="1" a="1"/>
  <c r="T911" i="1" s="1"/>
  <c r="S973" i="1" a="1"/>
  <c r="S973" i="1" s="1"/>
  <c r="U973" i="1" s="1"/>
  <c r="T956" i="1" a="1"/>
  <c r="T956" i="1" s="1"/>
  <c r="S949" i="1" a="1"/>
  <c r="S949" i="1" s="1"/>
  <c r="S932" i="1" a="1"/>
  <c r="S932" i="1" s="1"/>
  <c r="S927" i="1" a="1"/>
  <c r="S927" i="1" s="1"/>
  <c r="T924" i="1" a="1"/>
  <c r="T924" i="1" s="1"/>
  <c r="S904" i="1" a="1"/>
  <c r="S904" i="1" s="1"/>
  <c r="S899" i="1" a="1"/>
  <c r="S899" i="1" s="1"/>
  <c r="U899" i="1" s="1"/>
  <c r="S882" i="1" a="1"/>
  <c r="S882" i="1" s="1"/>
  <c r="S877" i="1" a="1"/>
  <c r="S877" i="1" s="1"/>
  <c r="S860" i="1" a="1"/>
  <c r="S860" i="1" s="1"/>
  <c r="T857" i="1" a="1"/>
  <c r="T857" i="1" s="1"/>
  <c r="T852" i="1" a="1"/>
  <c r="T852" i="1" s="1"/>
  <c r="T905" i="1" a="1"/>
  <c r="T905" i="1" s="1"/>
  <c r="S895" i="1" a="1"/>
  <c r="S895" i="1" s="1"/>
  <c r="T892" i="1" a="1"/>
  <c r="T892" i="1" s="1"/>
  <c r="T875" i="1" a="1"/>
  <c r="T875" i="1" s="1"/>
  <c r="T799" i="1" a="1"/>
  <c r="T799" i="1" s="1"/>
  <c r="S792" i="1" a="1"/>
  <c r="S792" i="1" s="1"/>
  <c r="S799" i="1" a="1"/>
  <c r="S799" i="1" s="1"/>
  <c r="U799" i="1" s="1"/>
  <c r="S842" i="1" a="1"/>
  <c r="S842" i="1" s="1"/>
  <c r="S832" i="1" a="1"/>
  <c r="S832" i="1" s="1"/>
  <c r="T817" i="1" a="1"/>
  <c r="T817" i="1" s="1"/>
  <c r="V817" i="1" s="1"/>
  <c r="S810" i="1" a="1"/>
  <c r="S810" i="1" s="1"/>
  <c r="T1327" i="1" a="1"/>
  <c r="T1327" i="1" s="1"/>
  <c r="S1387" i="1" a="1"/>
  <c r="S1387" i="1" s="1"/>
  <c r="S1382" i="1" a="1"/>
  <c r="S1382" i="1" s="1"/>
  <c r="S1365" i="1" a="1"/>
  <c r="S1365" i="1" s="1"/>
  <c r="S1360" i="1" a="1"/>
  <c r="S1360" i="1" s="1"/>
  <c r="T1345" i="1" a="1"/>
  <c r="T1345" i="1" s="1"/>
  <c r="S1338" i="1" a="1"/>
  <c r="S1338" i="1" s="1"/>
  <c r="S1333" i="1" a="1"/>
  <c r="S1333" i="1" s="1"/>
  <c r="S1383" i="1" a="1"/>
  <c r="S1383" i="1" s="1"/>
  <c r="T1368" i="1" a="1"/>
  <c r="T1368" i="1" s="1"/>
  <c r="T1294" i="1" a="1"/>
  <c r="T1294" i="1" s="1"/>
  <c r="T1277" i="1" a="1"/>
  <c r="T1277" i="1" s="1"/>
  <c r="S1270" i="1" a="1"/>
  <c r="S1270" i="1" s="1"/>
  <c r="T1310" i="1" a="1"/>
  <c r="T1310" i="1" s="1"/>
  <c r="T1317" i="1" a="1"/>
  <c r="T1317" i="1" s="1"/>
  <c r="S1310" i="1" a="1"/>
  <c r="S1310" i="1" s="1"/>
  <c r="U1310" i="1" s="1"/>
  <c r="S1305" i="1" a="1"/>
  <c r="S1305" i="1" s="1"/>
  <c r="T1290" i="1" a="1"/>
  <c r="T1290" i="1" s="1"/>
  <c r="T1285" i="1" a="1"/>
  <c r="T1285" i="1" s="1"/>
  <c r="T1280" i="1" a="1"/>
  <c r="T1280" i="1" s="1"/>
  <c r="T1263" i="1" a="1"/>
  <c r="T1263" i="1" s="1"/>
  <c r="T1258" i="1" a="1"/>
  <c r="T1258" i="1" s="1"/>
  <c r="T1241" i="1" a="1"/>
  <c r="T1241" i="1" s="1"/>
  <c r="T1224" i="1" a="1"/>
  <c r="T1224" i="1" s="1"/>
  <c r="T1207" i="1" a="1"/>
  <c r="T1207" i="1" s="1"/>
  <c r="S1255" i="1" a="1"/>
  <c r="S1255" i="1" s="1"/>
  <c r="T1228" i="1" a="1"/>
  <c r="T1228" i="1" s="1"/>
  <c r="S1209" i="1" a="1"/>
  <c r="S1209" i="1" s="1"/>
  <c r="S1247" i="1" a="1"/>
  <c r="S1247" i="1" s="1"/>
  <c r="S1230" i="1" a="1"/>
  <c r="S1230" i="1" s="1"/>
  <c r="T1160" i="1" a="1"/>
  <c r="T1160" i="1" s="1"/>
  <c r="T1198" i="1" a="1"/>
  <c r="T1198" i="1" s="1"/>
  <c r="S1167" i="1" a="1"/>
  <c r="S1167" i="1" s="1"/>
  <c r="U1167" i="1" s="1"/>
  <c r="S1162" i="1" a="1"/>
  <c r="S1162" i="1" s="1"/>
  <c r="U1162" i="1" s="1"/>
  <c r="S1188" i="1" a="1"/>
  <c r="S1188" i="1" s="1"/>
  <c r="U1188" i="1" s="1"/>
  <c r="S1171" i="1" a="1"/>
  <c r="S1171" i="1" s="1"/>
  <c r="U1171" i="1" s="1"/>
  <c r="S1166" i="1" a="1"/>
  <c r="S1166" i="1" s="1"/>
  <c r="S1149" i="1" a="1"/>
  <c r="S1149" i="1" s="1"/>
  <c r="S1199" i="1" a="1"/>
  <c r="S1199" i="1" s="1"/>
  <c r="T1132" i="1" a="1"/>
  <c r="T1132" i="1" s="1"/>
  <c r="S1125" i="1" a="1"/>
  <c r="S1125" i="1" s="1"/>
  <c r="S1096" i="1" a="1"/>
  <c r="S1096" i="1" s="1"/>
  <c r="U1096" i="1" s="1"/>
  <c r="T1136" i="1" a="1"/>
  <c r="T1136" i="1" s="1"/>
  <c r="T1131" i="1" a="1"/>
  <c r="T1131" i="1" s="1"/>
  <c r="S1124" i="1" a="1"/>
  <c r="S1124" i="1" s="1"/>
  <c r="T1109" i="1" a="1"/>
  <c r="T1109" i="1" s="1"/>
  <c r="S1114" i="1" a="1"/>
  <c r="S1114" i="1" s="1"/>
  <c r="S1147" i="1" a="1"/>
  <c r="S1147" i="1" s="1"/>
  <c r="U1147" i="1" s="1"/>
  <c r="S1146" i="1" a="1"/>
  <c r="S1146" i="1" s="1"/>
  <c r="S1073" i="1" a="1"/>
  <c r="S1073" i="1" s="1"/>
  <c r="U1073" i="1" s="1"/>
  <c r="S1056" i="1" a="1"/>
  <c r="S1056" i="1" s="1"/>
  <c r="U1056" i="1" s="1"/>
  <c r="T1053" i="1" a="1"/>
  <c r="T1053" i="1" s="1"/>
  <c r="T1089" i="1" a="1"/>
  <c r="T1089" i="1" s="1"/>
  <c r="S1072" i="1" a="1"/>
  <c r="S1072" i="1" s="1"/>
  <c r="S1055" i="1" a="1"/>
  <c r="S1055" i="1" s="1"/>
  <c r="U1055" i="1" s="1"/>
  <c r="T1083" i="1" a="1"/>
  <c r="T1083" i="1" s="1"/>
  <c r="T1066" i="1" a="1"/>
  <c r="T1066" i="1" s="1"/>
  <c r="S1047" i="1" a="1"/>
  <c r="S1047" i="1" s="1"/>
  <c r="U1047" i="1" s="1"/>
  <c r="T1032" i="1" a="1"/>
  <c r="T1032" i="1" s="1"/>
  <c r="T1023" i="1" a="1"/>
  <c r="T1023" i="1" s="1"/>
  <c r="T1006" i="1" a="1"/>
  <c r="T1006" i="1" s="1"/>
  <c r="S1011" i="1" a="1"/>
  <c r="S1011" i="1" s="1"/>
  <c r="T1008" i="1" a="1"/>
  <c r="T1008" i="1" s="1"/>
  <c r="S1001" i="1" a="1"/>
  <c r="S1001" i="1" s="1"/>
  <c r="T986" i="1" a="1"/>
  <c r="T986" i="1" s="1"/>
  <c r="S979" i="1" a="1"/>
  <c r="S979" i="1" s="1"/>
  <c r="T1019" i="1" a="1"/>
  <c r="T1019" i="1" s="1"/>
  <c r="S1024" i="1" a="1"/>
  <c r="S1024" i="1" s="1"/>
  <c r="T1009" i="1" a="1"/>
  <c r="T1009" i="1" s="1"/>
  <c r="T938" i="1" a="1"/>
  <c r="T938" i="1" s="1"/>
  <c r="S943" i="1" a="1"/>
  <c r="S943" i="1" s="1"/>
  <c r="T916" i="1" a="1"/>
  <c r="T916" i="1" s="1"/>
  <c r="S909" i="1" a="1"/>
  <c r="S909" i="1" s="1"/>
  <c r="U909" i="1" s="1"/>
  <c r="T961" i="1" a="1"/>
  <c r="T961" i="1" s="1"/>
  <c r="S954" i="1" a="1"/>
  <c r="S954" i="1" s="1"/>
  <c r="T939" i="1" a="1"/>
  <c r="T939" i="1" s="1"/>
  <c r="T922" i="1" a="1"/>
  <c r="T922" i="1" s="1"/>
  <c r="T917" i="1" a="1"/>
  <c r="T917" i="1" s="1"/>
  <c r="S922" i="1" a="1"/>
  <c r="S922" i="1" s="1"/>
  <c r="T894" i="1" a="1"/>
  <c r="T894" i="1" s="1"/>
  <c r="T889" i="1" a="1"/>
  <c r="T889" i="1" s="1"/>
  <c r="T872" i="1" a="1"/>
  <c r="T872" i="1" s="1"/>
  <c r="T867" i="1" a="1"/>
  <c r="T867" i="1" s="1"/>
  <c r="T850" i="1" a="1"/>
  <c r="T850" i="1" s="1"/>
  <c r="V850" i="1" s="1"/>
  <c r="S855" i="1" a="1"/>
  <c r="S855" i="1" s="1"/>
  <c r="T909" i="1" a="1"/>
  <c r="T909" i="1" s="1"/>
  <c r="T902" i="1" a="1"/>
  <c r="T902" i="1" s="1"/>
  <c r="T885" i="1" a="1"/>
  <c r="T885" i="1" s="1"/>
  <c r="S890" i="1" a="1"/>
  <c r="S890" i="1" s="1"/>
  <c r="S873" i="1" a="1"/>
  <c r="S873" i="1" s="1"/>
  <c r="S797" i="1" a="1"/>
  <c r="S797" i="1" s="1"/>
  <c r="T782" i="1" a="1"/>
  <c r="T782" i="1" s="1"/>
  <c r="T789" i="1" a="1"/>
  <c r="T789" i="1" s="1"/>
  <c r="T839" i="1" a="1"/>
  <c r="T839" i="1" s="1"/>
  <c r="T822" i="1" a="1"/>
  <c r="T822" i="1" s="1"/>
  <c r="S815" i="1" a="1"/>
  <c r="S815" i="1" s="1"/>
  <c r="T800" i="1" a="1"/>
  <c r="T800" i="1" s="1"/>
  <c r="T795" i="1" a="1"/>
  <c r="T795" i="1" s="1"/>
  <c r="S800" i="1" a="1"/>
  <c r="S800" i="1" s="1"/>
  <c r="S795" i="1" a="1"/>
  <c r="S795" i="1" s="1"/>
  <c r="U795" i="1" s="1"/>
  <c r="S1325" i="1" a="1"/>
  <c r="S1325" i="1" s="1"/>
  <c r="U1325" i="1" s="1"/>
  <c r="T1377" i="1" a="1"/>
  <c r="T1377" i="1" s="1"/>
  <c r="T1372" i="1" a="1"/>
  <c r="T1372" i="1" s="1"/>
  <c r="T1355" i="1" a="1"/>
  <c r="T1355" i="1" s="1"/>
  <c r="T1350" i="1" a="1"/>
  <c r="T1350" i="1" s="1"/>
  <c r="S1343" i="1" a="1"/>
  <c r="S1343" i="1" s="1"/>
  <c r="T1328" i="1" a="1"/>
  <c r="T1328" i="1" s="1"/>
  <c r="T1378" i="1" a="1"/>
  <c r="T1378" i="1" s="1"/>
  <c r="T1373" i="1" a="1"/>
  <c r="T1373" i="1" s="1"/>
  <c r="S1366" i="1" a="1"/>
  <c r="S1366" i="1" s="1"/>
  <c r="S1292" i="1" a="1"/>
  <c r="S1292" i="1" s="1"/>
  <c r="U1292" i="1" s="1"/>
  <c r="S1275" i="1" a="1"/>
  <c r="S1275" i="1" s="1"/>
  <c r="U1275" i="1" s="1"/>
  <c r="T1260" i="1" a="1"/>
  <c r="T1260" i="1" s="1"/>
  <c r="S1308" i="1" a="1"/>
  <c r="S1308" i="1" s="1"/>
  <c r="S1315" i="1" a="1"/>
  <c r="S1315" i="1" s="1"/>
  <c r="T1300" i="1" a="1"/>
  <c r="T1300" i="1" s="1"/>
  <c r="T1295" i="1" a="1"/>
  <c r="T1295" i="1" s="1"/>
  <c r="S1288" i="1" a="1"/>
  <c r="S1288" i="1" s="1"/>
  <c r="S1283" i="1" a="1"/>
  <c r="S1283" i="1" s="1"/>
  <c r="S1278" i="1" a="1"/>
  <c r="S1278" i="1" s="1"/>
  <c r="S1261" i="1" a="1"/>
  <c r="S1261" i="1" s="1"/>
  <c r="S1256" i="1" a="1"/>
  <c r="S1256" i="1" s="1"/>
  <c r="U1256" i="1" s="1"/>
  <c r="S1239" i="1" a="1"/>
  <c r="S1239" i="1" s="1"/>
  <c r="S1222" i="1" a="1"/>
  <c r="S1222" i="1" s="1"/>
  <c r="U1222" i="1" s="1"/>
  <c r="T1250" i="1" a="1"/>
  <c r="T1250" i="1" s="1"/>
  <c r="T1245" i="1" a="1"/>
  <c r="T1245" i="1" s="1"/>
  <c r="S1226" i="1" a="1"/>
  <c r="S1226" i="1" s="1"/>
  <c r="T1254" i="1" a="1"/>
  <c r="T1254" i="1" s="1"/>
  <c r="T1237" i="1" a="1"/>
  <c r="T1237" i="1" s="1"/>
  <c r="T1220" i="1" a="1"/>
  <c r="T1220" i="1" s="1"/>
  <c r="S1158" i="1" a="1"/>
  <c r="S1158" i="1" s="1"/>
  <c r="U1158" i="1" s="1"/>
  <c r="S1196" i="1" a="1"/>
  <c r="S1196" i="1" s="1"/>
  <c r="U1196" i="1" s="1"/>
  <c r="T1157" i="1" a="1"/>
  <c r="T1157" i="1" s="1"/>
  <c r="T1152" i="1" a="1"/>
  <c r="T1152" i="1" s="1"/>
  <c r="T1178" i="1" a="1"/>
  <c r="T1178" i="1" s="1"/>
  <c r="T1161" i="1" a="1"/>
  <c r="T1161" i="1" s="1"/>
  <c r="T1156" i="1" a="1"/>
  <c r="T1156" i="1" s="1"/>
  <c r="S1205" i="1" a="1"/>
  <c r="S1205" i="1" s="1"/>
  <c r="T1189" i="1" a="1"/>
  <c r="T1189" i="1" s="1"/>
  <c r="S1130" i="1" a="1"/>
  <c r="S1130" i="1" s="1"/>
  <c r="T1115" i="1" a="1"/>
  <c r="T1115" i="1" s="1"/>
  <c r="T1086" i="1" a="1"/>
  <c r="T1086" i="1" s="1"/>
  <c r="S1134" i="1" a="1"/>
  <c r="S1134" i="1" s="1"/>
  <c r="S1129" i="1" a="1"/>
  <c r="S1129" i="1" s="1"/>
  <c r="U1129" i="1" s="1"/>
  <c r="T1114" i="1" a="1"/>
  <c r="T1114" i="1" s="1"/>
  <c r="S1107" i="1" a="1"/>
  <c r="S1107" i="1" s="1"/>
  <c r="T1104" i="1" a="1"/>
  <c r="T1104" i="1" s="1"/>
  <c r="T1146" i="1" a="1"/>
  <c r="T1146" i="1" s="1"/>
  <c r="T1137" i="1" a="1"/>
  <c r="T1137" i="1" s="1"/>
  <c r="T1063" i="1" a="1"/>
  <c r="T1063" i="1" s="1"/>
  <c r="T1046" i="1" a="1"/>
  <c r="T1046" i="1" s="1"/>
  <c r="S1051" i="1" a="1"/>
  <c r="S1051" i="1" s="1"/>
  <c r="T1084" i="1" a="1"/>
  <c r="T1084" i="1" s="1"/>
  <c r="T1062" i="1" a="1"/>
  <c r="T1062" i="1" s="1"/>
  <c r="T1045" i="1" a="1"/>
  <c r="T1045" i="1" s="1"/>
  <c r="S1081" i="1" a="1"/>
  <c r="S1081" i="1" s="1"/>
  <c r="U1081" i="1" s="1"/>
  <c r="S1064" i="1" a="1"/>
  <c r="S1064" i="1" s="1"/>
  <c r="U1064" i="1" s="1"/>
  <c r="T1037" i="1" a="1"/>
  <c r="T1037" i="1" s="1"/>
  <c r="S1029" i="1" a="1"/>
  <c r="S1029" i="1" s="1"/>
  <c r="U1029" i="1" s="1"/>
  <c r="S1021" i="1" a="1"/>
  <c r="S1021" i="1" s="1"/>
  <c r="U1021" i="1" s="1"/>
  <c r="S1004" i="1" a="1"/>
  <c r="S1004" i="1" s="1"/>
  <c r="T1001" i="1" a="1"/>
  <c r="T1001" i="1" s="1"/>
  <c r="S1006" i="1" a="1"/>
  <c r="S1006" i="1" s="1"/>
  <c r="U1006" i="1" s="1"/>
  <c r="T991" i="1" a="1"/>
  <c r="T991" i="1" s="1"/>
  <c r="S984" i="1" a="1"/>
  <c r="S984" i="1" s="1"/>
  <c r="T1024" i="1" a="1"/>
  <c r="T1024" i="1" s="1"/>
  <c r="S1017" i="1" a="1"/>
  <c r="S1017" i="1" s="1"/>
  <c r="T1014" i="1" a="1"/>
  <c r="T1014" i="1" s="1"/>
  <c r="S1007" i="1" a="1"/>
  <c r="S1007" i="1" s="1"/>
  <c r="S936" i="1" a="1"/>
  <c r="S936" i="1" s="1"/>
  <c r="U936" i="1" s="1"/>
  <c r="T933" i="1" a="1"/>
  <c r="T933" i="1" s="1"/>
  <c r="S914" i="1" a="1"/>
  <c r="S914" i="1" s="1"/>
  <c r="T967" i="1" a="1"/>
  <c r="T967" i="1" s="1"/>
  <c r="S959" i="1" a="1"/>
  <c r="S959" i="1" s="1"/>
  <c r="T944" i="1" a="1"/>
  <c r="T944" i="1" s="1"/>
  <c r="S937" i="1" a="1"/>
  <c r="S937" i="1" s="1"/>
  <c r="S920" i="1" a="1"/>
  <c r="S920" i="1" s="1"/>
  <c r="S915" i="1" a="1"/>
  <c r="S915" i="1" s="1"/>
  <c r="S969" i="1" a="1"/>
  <c r="S969" i="1" s="1"/>
  <c r="S892" i="1" a="1"/>
  <c r="S892" i="1" s="1"/>
  <c r="U892" i="1" s="1"/>
  <c r="S887" i="1" a="1"/>
  <c r="S887" i="1" s="1"/>
  <c r="U887" i="1" s="1"/>
  <c r="S870" i="1" a="1"/>
  <c r="S870" i="1" s="1"/>
  <c r="S865" i="1" a="1"/>
  <c r="S865" i="1" s="1"/>
  <c r="S848" i="1" a="1"/>
  <c r="S848" i="1" s="1"/>
  <c r="T912" i="1" a="1"/>
  <c r="T912" i="1" s="1"/>
  <c r="S907" i="1" a="1"/>
  <c r="S907" i="1" s="1"/>
  <c r="S900" i="1" a="1"/>
  <c r="S900" i="1" s="1"/>
  <c r="S883" i="1" a="1"/>
  <c r="S883" i="1" s="1"/>
  <c r="T880" i="1" a="1"/>
  <c r="T880" i="1" s="1"/>
  <c r="T863" i="1" a="1"/>
  <c r="T863" i="1" s="1"/>
  <c r="T787" i="1" a="1"/>
  <c r="T787" i="1" s="1"/>
  <c r="S780" i="1" a="1"/>
  <c r="S780" i="1" s="1"/>
  <c r="S850" i="1" a="1"/>
  <c r="S850" i="1" s="1"/>
  <c r="U850" i="1" s="1"/>
  <c r="S837" i="1" a="1"/>
  <c r="S837" i="1" s="1"/>
  <c r="S820" i="1" a="1"/>
  <c r="S820" i="1" s="1"/>
  <c r="T1387" i="1" a="1"/>
  <c r="T1387" i="1" s="1"/>
  <c r="T1382" i="1" a="1"/>
  <c r="T1382" i="1" s="1"/>
  <c r="S1375" i="1" a="1"/>
  <c r="S1375" i="1" s="1"/>
  <c r="S1370" i="1" a="1"/>
  <c r="S1370" i="1" s="1"/>
  <c r="S1353" i="1" a="1"/>
  <c r="S1353" i="1" s="1"/>
  <c r="S1348" i="1" a="1"/>
  <c r="S1348" i="1" s="1"/>
  <c r="T1333" i="1" a="1"/>
  <c r="T1333" i="1" s="1"/>
  <c r="S1326" i="1" a="1"/>
  <c r="S1326" i="1" s="1"/>
  <c r="S1376" i="1" a="1"/>
  <c r="S1376" i="1" s="1"/>
  <c r="S1371" i="1" a="1"/>
  <c r="S1371" i="1" s="1"/>
  <c r="T1356" i="1" a="1"/>
  <c r="T1356" i="1" s="1"/>
  <c r="T1282" i="1" a="1"/>
  <c r="T1282" i="1" s="1"/>
  <c r="T1265" i="1" a="1"/>
  <c r="T1265" i="1" s="1"/>
  <c r="T1315" i="1" a="1"/>
  <c r="T1315" i="1" s="1"/>
  <c r="T1298" i="1" a="1"/>
  <c r="T1298" i="1" s="1"/>
  <c r="T1305" i="1" a="1"/>
  <c r="T1305" i="1" s="1"/>
  <c r="S1298" i="1" a="1"/>
  <c r="S1298" i="1" s="1"/>
  <c r="U1298" i="1" s="1"/>
  <c r="S1293" i="1" a="1"/>
  <c r="S1293" i="1" s="1"/>
  <c r="T1278" i="1" a="1"/>
  <c r="T1278" i="1" s="1"/>
  <c r="T1273" i="1" a="1"/>
  <c r="T1273" i="1" s="1"/>
  <c r="T1268" i="1" a="1"/>
  <c r="T1268" i="1" s="1"/>
  <c r="S1259" i="1" a="1"/>
  <c r="S1259" i="1" s="1"/>
  <c r="U1259" i="1" s="1"/>
  <c r="T1246" i="1" a="1"/>
  <c r="T1246" i="1" s="1"/>
  <c r="T1229" i="1" a="1"/>
  <c r="T1229" i="1" s="1"/>
  <c r="T1212" i="1" a="1"/>
  <c r="T1212" i="1" s="1"/>
  <c r="S1248" i="1" a="1"/>
  <c r="S1248" i="1" s="1"/>
  <c r="U1248" i="1" s="1"/>
  <c r="S1243" i="1" a="1"/>
  <c r="S1243" i="1" s="1"/>
  <c r="U1243" i="1" s="1"/>
  <c r="T1216" i="1" a="1"/>
  <c r="T1216" i="1" s="1"/>
  <c r="S1252" i="1" a="1"/>
  <c r="S1252" i="1" s="1"/>
  <c r="U1252" i="1" s="1"/>
  <c r="S1235" i="1" a="1"/>
  <c r="S1235" i="1" s="1"/>
  <c r="U1235" i="1" s="1"/>
  <c r="S1218" i="1" a="1"/>
  <c r="S1218" i="1" s="1"/>
  <c r="U1218" i="1" s="1"/>
  <c r="T1191" i="1" a="1"/>
  <c r="T1191" i="1" s="1"/>
  <c r="T1186" i="1" a="1"/>
  <c r="T1186" i="1" s="1"/>
  <c r="S1155" i="1" a="1"/>
  <c r="S1155" i="1" s="1"/>
  <c r="U1155" i="1" s="1"/>
  <c r="T1195" i="1" a="1"/>
  <c r="T1195" i="1" s="1"/>
  <c r="S1176" i="1" a="1"/>
  <c r="S1176" i="1" s="1"/>
  <c r="U1176" i="1" s="1"/>
  <c r="S1159" i="1" a="1"/>
  <c r="S1159" i="1" s="1"/>
  <c r="U1159" i="1" s="1"/>
  <c r="S1204" i="1" a="1"/>
  <c r="S1204" i="1" s="1"/>
  <c r="S1203" i="1" a="1"/>
  <c r="S1203" i="1" s="1"/>
  <c r="U1203" i="1" s="1"/>
  <c r="S1187" i="1" a="1"/>
  <c r="S1187" i="1" s="1"/>
  <c r="T1120" i="1" a="1"/>
  <c r="T1120" i="1" s="1"/>
  <c r="S1113" i="1" a="1"/>
  <c r="S1113" i="1" s="1"/>
  <c r="S1084" i="1" a="1"/>
  <c r="S1084" i="1" s="1"/>
  <c r="U1084" i="1" s="1"/>
  <c r="T1124" i="1" a="1"/>
  <c r="T1124" i="1" s="1"/>
  <c r="T1119" i="1" a="1"/>
  <c r="T1119" i="1" s="1"/>
  <c r="S1112" i="1" a="1"/>
  <c r="S1112" i="1" s="1"/>
  <c r="T1097" i="1" a="1"/>
  <c r="T1097" i="1" s="1"/>
  <c r="S1102" i="1" a="1"/>
  <c r="S1102" i="1" s="1"/>
  <c r="T1142" i="1" a="1"/>
  <c r="T1142" i="1" s="1"/>
  <c r="S1135" i="1" a="1"/>
  <c r="S1135" i="1" s="1"/>
  <c r="S1061" i="1" a="1"/>
  <c r="S1061" i="1" s="1"/>
  <c r="U1061" i="1" s="1"/>
  <c r="S1044" i="1" a="1"/>
  <c r="S1044" i="1" s="1"/>
  <c r="U1044" i="1" s="1"/>
  <c r="S1092" i="1" a="1"/>
  <c r="S1092" i="1" s="1"/>
  <c r="T1079" i="1" a="1"/>
  <c r="T1079" i="1" s="1"/>
  <c r="S1060" i="1" a="1"/>
  <c r="S1060" i="1" s="1"/>
  <c r="U1060" i="1" s="1"/>
  <c r="S1043" i="1" a="1"/>
  <c r="S1043" i="1" s="1"/>
  <c r="U1043" i="1" s="1"/>
  <c r="T1071" i="1" a="1"/>
  <c r="T1071" i="1" s="1"/>
  <c r="T1054" i="1" a="1"/>
  <c r="T1054" i="1" s="1"/>
  <c r="S1035" i="1" a="1"/>
  <c r="S1035" i="1" s="1"/>
  <c r="U1035" i="1" s="1"/>
  <c r="S1026" i="1" a="1"/>
  <c r="S1026" i="1" s="1"/>
  <c r="U1026" i="1" s="1"/>
  <c r="T1011" i="1" a="1"/>
  <c r="T1011" i="1" s="1"/>
  <c r="T994" i="1" a="1"/>
  <c r="T994" i="1" s="1"/>
  <c r="S999" i="1" a="1"/>
  <c r="S999" i="1" s="1"/>
  <c r="T996" i="1" a="1"/>
  <c r="T996" i="1" s="1"/>
  <c r="S989" i="1" a="1"/>
  <c r="S989" i="1" s="1"/>
  <c r="T974" i="1" a="1"/>
  <c r="T974" i="1" s="1"/>
  <c r="S1022" i="1" a="1"/>
  <c r="S1022" i="1" s="1"/>
  <c r="U1022" i="1" s="1"/>
  <c r="T1007" i="1" a="1"/>
  <c r="T1007" i="1" s="1"/>
  <c r="S1012" i="1" a="1"/>
  <c r="S1012" i="1" s="1"/>
  <c r="T997" i="1" a="1"/>
  <c r="T997" i="1" s="1"/>
  <c r="T926" i="1" a="1"/>
  <c r="T926" i="1" s="1"/>
  <c r="S931" i="1" a="1"/>
  <c r="S931" i="1" s="1"/>
  <c r="U931" i="1" s="1"/>
  <c r="T904" i="1" a="1"/>
  <c r="T904" i="1" s="1"/>
  <c r="S964" i="1" a="1"/>
  <c r="S964" i="1" s="1"/>
  <c r="U964" i="1" s="1"/>
  <c r="T949" i="1" a="1"/>
  <c r="T949" i="1" s="1"/>
  <c r="S942" i="1" a="1"/>
  <c r="S942" i="1" s="1"/>
  <c r="T927" i="1" a="1"/>
  <c r="T927" i="1" s="1"/>
  <c r="T910" i="1" a="1"/>
  <c r="T910" i="1" s="1"/>
  <c r="S971" i="1" a="1"/>
  <c r="S971" i="1" s="1"/>
  <c r="U971" i="1" s="1"/>
  <c r="T965" i="1" a="1"/>
  <c r="T965" i="1" s="1"/>
  <c r="T882" i="1" a="1"/>
  <c r="T882" i="1" s="1"/>
  <c r="T877" i="1" a="1"/>
  <c r="T877" i="1" s="1"/>
  <c r="T860" i="1" a="1"/>
  <c r="T860" i="1" s="1"/>
  <c r="T855" i="1" a="1"/>
  <c r="T855" i="1" s="1"/>
  <c r="T908" i="1" a="1"/>
  <c r="T908" i="1" s="1"/>
  <c r="T906" i="1" a="1"/>
  <c r="T906" i="1" s="1"/>
  <c r="T895" i="1" a="1"/>
  <c r="T895" i="1" s="1"/>
  <c r="T890" i="1" a="1"/>
  <c r="T890" i="1" s="1"/>
  <c r="T873" i="1" a="1"/>
  <c r="T873" i="1" s="1"/>
  <c r="S878" i="1" a="1"/>
  <c r="S878" i="1" s="1"/>
  <c r="S861" i="1" a="1"/>
  <c r="S861" i="1" s="1"/>
  <c r="S785" i="1" a="1"/>
  <c r="S785" i="1" s="1"/>
  <c r="T847" i="1" a="1"/>
  <c r="T847" i="1" s="1"/>
  <c r="T832" i="1" a="1"/>
  <c r="T832" i="1" s="1"/>
  <c r="T827" i="1" a="1"/>
  <c r="T827" i="1" s="1"/>
  <c r="T810" i="1" a="1"/>
  <c r="T810" i="1" s="1"/>
  <c r="S803" i="1" a="1"/>
  <c r="S803" i="1" s="1"/>
  <c r="U803" i="1" s="1"/>
  <c r="T788" i="1" a="1"/>
  <c r="T788" i="1" s="1"/>
  <c r="T783" i="1" a="1"/>
  <c r="T783" i="1" s="1"/>
  <c r="S788" i="1" a="1"/>
  <c r="S788" i="1" s="1"/>
  <c r="S783" i="1" a="1"/>
  <c r="S783" i="1" s="1"/>
  <c r="U783" i="1" s="1"/>
  <c r="S790" i="1" a="1"/>
  <c r="S790" i="1" s="1"/>
  <c r="T2" i="1" a="1"/>
  <c r="T2" i="1" s="1"/>
  <c r="S1385" i="1" a="1"/>
  <c r="S1385" i="1" s="1"/>
  <c r="U1385" i="1" s="1"/>
  <c r="S1380" i="1" a="1"/>
  <c r="S1380" i="1" s="1"/>
  <c r="U1380" i="1" s="1"/>
  <c r="T1365" i="1" a="1"/>
  <c r="T1365" i="1" s="1"/>
  <c r="T1360" i="1" a="1"/>
  <c r="T1360" i="1" s="1"/>
  <c r="T1343" i="1" a="1"/>
  <c r="T1343" i="1" s="1"/>
  <c r="T1338" i="1" a="1"/>
  <c r="T1338" i="1" s="1"/>
  <c r="S1331" i="1" a="1"/>
  <c r="S1331" i="1" s="1"/>
  <c r="T1383" i="1" a="1"/>
  <c r="T1383" i="1" s="1"/>
  <c r="T1366" i="1" a="1"/>
  <c r="T1366" i="1" s="1"/>
  <c r="T1361" i="1" a="1"/>
  <c r="T1361" i="1" s="1"/>
  <c r="S1354" i="1" a="1"/>
  <c r="S1354" i="1" s="1"/>
  <c r="S1280" i="1" a="1"/>
  <c r="S1280" i="1" s="1"/>
  <c r="U1280" i="1" s="1"/>
  <c r="S1263" i="1" a="1"/>
  <c r="S1263" i="1" s="1"/>
  <c r="U1263" i="1" s="1"/>
  <c r="S1313" i="1" a="1"/>
  <c r="S1313" i="1" s="1"/>
  <c r="U1313" i="1" s="1"/>
  <c r="S1296" i="1" a="1"/>
  <c r="S1296" i="1" s="1"/>
  <c r="U1296" i="1" s="1"/>
  <c r="S1303" i="1" a="1"/>
  <c r="S1303" i="1" s="1"/>
  <c r="T1288" i="1" a="1"/>
  <c r="T1288" i="1" s="1"/>
  <c r="T1283" i="1" a="1"/>
  <c r="T1283" i="1" s="1"/>
  <c r="S1276" i="1" a="1"/>
  <c r="S1276" i="1" s="1"/>
  <c r="S1271" i="1" a="1"/>
  <c r="S1271" i="1" s="1"/>
  <c r="S1324" i="1" a="1"/>
  <c r="S1324" i="1" s="1"/>
  <c r="T1251" i="1" a="1"/>
  <c r="T1251" i="1" s="1"/>
  <c r="S1244" i="1" a="1"/>
  <c r="S1244" i="1" s="1"/>
  <c r="U1244" i="1" s="1"/>
  <c r="S1227" i="1" a="1"/>
  <c r="S1227" i="1" s="1"/>
  <c r="U1227" i="1" s="1"/>
  <c r="S1210" i="1" a="1"/>
  <c r="S1210" i="1" s="1"/>
  <c r="U1210" i="1" s="1"/>
  <c r="T1238" i="1" a="1"/>
  <c r="T1238" i="1" s="1"/>
  <c r="T1233" i="1" a="1"/>
  <c r="T1233" i="1" s="1"/>
  <c r="S1214" i="1" a="1"/>
  <c r="S1214" i="1" s="1"/>
  <c r="U1214" i="1" s="1"/>
  <c r="T1242" i="1" a="1"/>
  <c r="T1242" i="1" s="1"/>
  <c r="T1225" i="1" a="1"/>
  <c r="T1225" i="1" s="1"/>
  <c r="T1208" i="1" a="1"/>
  <c r="T1208" i="1" s="1"/>
  <c r="S1189" i="1" a="1"/>
  <c r="S1189" i="1" s="1"/>
  <c r="U1189" i="1" s="1"/>
  <c r="S1184" i="1" a="1"/>
  <c r="S1184" i="1" s="1"/>
  <c r="U1184" i="1" s="1"/>
  <c r="T1145" i="1" a="1"/>
  <c r="T1145" i="1" s="1"/>
  <c r="S1193" i="1" a="1"/>
  <c r="S1193" i="1" s="1"/>
  <c r="U1193" i="1" s="1"/>
  <c r="T1166" i="1" a="1"/>
  <c r="T1166" i="1" s="1"/>
  <c r="T1149" i="1" a="1"/>
  <c r="T1149" i="1" s="1"/>
  <c r="T1199" i="1" a="1"/>
  <c r="T1199" i="1" s="1"/>
  <c r="T1194" i="1" a="1"/>
  <c r="T1194" i="1" s="1"/>
  <c r="T1177" i="1" a="1"/>
  <c r="T1177" i="1" s="1"/>
  <c r="S1118" i="1" a="1"/>
  <c r="S1118" i="1" s="1"/>
  <c r="U1118" i="1" s="1"/>
  <c r="T1103" i="1" a="1"/>
  <c r="T1103" i="1" s="1"/>
  <c r="S1144" i="1" a="1"/>
  <c r="S1144" i="1" s="1"/>
  <c r="U1144" i="1" s="1"/>
  <c r="S1122" i="1" a="1"/>
  <c r="S1122" i="1" s="1"/>
  <c r="U1122" i="1" s="1"/>
  <c r="S1117" i="1" a="1"/>
  <c r="S1117" i="1" s="1"/>
  <c r="U1117" i="1" s="1"/>
  <c r="T1102" i="1" a="1"/>
  <c r="T1102" i="1" s="1"/>
  <c r="S1095" i="1" a="1"/>
  <c r="S1095" i="1" s="1"/>
  <c r="U1095" i="1" s="1"/>
  <c r="S1154" i="1" a="1"/>
  <c r="S1154" i="1" s="1"/>
  <c r="S1140" i="1" a="1"/>
  <c r="S1140" i="1" s="1"/>
  <c r="U1140" i="1" s="1"/>
  <c r="T1125" i="1" a="1"/>
  <c r="T1125" i="1" s="1"/>
  <c r="T1051" i="1" a="1"/>
  <c r="T1051" i="1" s="1"/>
  <c r="T1034" i="1" a="1"/>
  <c r="T1034" i="1" s="1"/>
  <c r="S1082" i="1" a="1"/>
  <c r="S1082" i="1" s="1"/>
  <c r="U1082" i="1" s="1"/>
  <c r="S1077" i="1" a="1"/>
  <c r="S1077" i="1" s="1"/>
  <c r="U1077" i="1" s="1"/>
  <c r="T1050" i="1" a="1"/>
  <c r="T1050" i="1" s="1"/>
  <c r="T1033" i="1" a="1"/>
  <c r="T1033" i="1" s="1"/>
  <c r="S1069" i="1" a="1"/>
  <c r="S1069" i="1" s="1"/>
  <c r="U1069" i="1" s="1"/>
  <c r="S1052" i="1" a="1"/>
  <c r="S1052" i="1" s="1"/>
  <c r="U1052" i="1" s="1"/>
  <c r="T1091" i="1" a="1"/>
  <c r="T1091" i="1" s="1"/>
  <c r="T1016" i="1" a="1"/>
  <c r="T1016" i="1" s="1"/>
  <c r="S1009" i="1" a="1"/>
  <c r="S1009" i="1" s="1"/>
  <c r="U1009" i="1" s="1"/>
  <c r="S992" i="1" a="1"/>
  <c r="S992" i="1" s="1"/>
  <c r="U992" i="1" s="1"/>
  <c r="T989" i="1" a="1"/>
  <c r="T989" i="1" s="1"/>
  <c r="S994" i="1" a="1"/>
  <c r="S994" i="1" s="1"/>
  <c r="U994" i="1" s="1"/>
  <c r="T979" i="1" a="1"/>
  <c r="T979" i="1" s="1"/>
  <c r="S1030" i="1" a="1"/>
  <c r="S1030" i="1" s="1"/>
  <c r="T1012" i="1" a="1"/>
  <c r="T1012" i="1" s="1"/>
  <c r="S1005" i="1" a="1"/>
  <c r="S1005" i="1" s="1"/>
  <c r="U1005" i="1" s="1"/>
  <c r="T1002" i="1" a="1"/>
  <c r="T1002" i="1" s="1"/>
  <c r="S995" i="1" a="1"/>
  <c r="S995" i="1" s="1"/>
  <c r="S924" i="1" a="1"/>
  <c r="S924" i="1" s="1"/>
  <c r="U924" i="1" s="1"/>
  <c r="T921" i="1" a="1"/>
  <c r="T921" i="1" s="1"/>
  <c r="T959" i="1" a="1"/>
  <c r="T959" i="1" s="1"/>
  <c r="T954" i="1" a="1"/>
  <c r="T954" i="1" s="1"/>
  <c r="S947" i="1" a="1"/>
  <c r="S947" i="1" s="1"/>
  <c r="T932" i="1" a="1"/>
  <c r="T932" i="1" s="1"/>
  <c r="S925" i="1" a="1"/>
  <c r="S925" i="1" s="1"/>
  <c r="U925" i="1" s="1"/>
  <c r="S908" i="1" a="1"/>
  <c r="S908" i="1" s="1"/>
  <c r="U908" i="1" s="1"/>
  <c r="S970" i="1" a="1"/>
  <c r="S970" i="1" s="1"/>
  <c r="U970" i="1" s="1"/>
  <c r="T955" i="1" a="1"/>
  <c r="T955" i="1" s="1"/>
  <c r="S880" i="1" a="1"/>
  <c r="S880" i="1" s="1"/>
  <c r="U880" i="1" s="1"/>
  <c r="S875" i="1" a="1"/>
  <c r="S875" i="1" s="1"/>
  <c r="U875" i="1" s="1"/>
  <c r="S858" i="1" a="1"/>
  <c r="S858" i="1" s="1"/>
  <c r="U858" i="1" s="1"/>
  <c r="S853" i="1" a="1"/>
  <c r="S853" i="1" s="1"/>
  <c r="U853" i="1" s="1"/>
  <c r="T907" i="1" a="1"/>
  <c r="T907" i="1" s="1"/>
  <c r="T900" i="1" a="1"/>
  <c r="T900" i="1" s="1"/>
  <c r="S893" i="1" a="1"/>
  <c r="S893" i="1" s="1"/>
  <c r="S888" i="1" a="1"/>
  <c r="S888" i="1" s="1"/>
  <c r="S871" i="1" a="1"/>
  <c r="S871" i="1" s="1"/>
  <c r="U871" i="1" s="1"/>
  <c r="T868" i="1" a="1"/>
  <c r="T868" i="1" s="1"/>
  <c r="T851" i="1" a="1"/>
  <c r="T851" i="1" s="1"/>
  <c r="S840" i="1" a="1"/>
  <c r="S840" i="1" s="1"/>
  <c r="T842" i="1" a="1"/>
  <c r="T842" i="1" s="1"/>
  <c r="S830" i="1" a="1"/>
  <c r="S830" i="1" s="1"/>
  <c r="S825" i="1" a="1"/>
  <c r="S825" i="1" s="1"/>
  <c r="U825" i="1" s="1"/>
  <c r="S808" i="1" a="1"/>
  <c r="S808" i="1" s="1"/>
  <c r="U808" i="1" s="1"/>
  <c r="T793" i="1" a="1"/>
  <c r="T793" i="1" s="1"/>
  <c r="S786" i="1" a="1"/>
  <c r="S786" i="1" s="1"/>
  <c r="U786" i="1" s="1"/>
  <c r="S781" i="1" a="1"/>
  <c r="S781" i="1" s="1"/>
  <c r="S849" i="1" a="1"/>
  <c r="S849" i="1" s="1"/>
  <c r="U849" i="1" s="1"/>
  <c r="T840" i="1" a="1"/>
  <c r="T840" i="1" s="1"/>
  <c r="T11" i="1" a="1"/>
  <c r="T11" i="1" s="1"/>
  <c r="T1375" i="1" a="1"/>
  <c r="T1375" i="1" s="1"/>
  <c r="T1370" i="1" a="1"/>
  <c r="T1370" i="1" s="1"/>
  <c r="S1363" i="1" a="1"/>
  <c r="S1363" i="1" s="1"/>
  <c r="U1363" i="1" s="1"/>
  <c r="S1358" i="1" a="1"/>
  <c r="S1358" i="1" s="1"/>
  <c r="U1358" i="1" s="1"/>
  <c r="S1341" i="1" a="1"/>
  <c r="S1341" i="1" s="1"/>
  <c r="U1341" i="1" s="1"/>
  <c r="S1336" i="1" a="1"/>
  <c r="S1336" i="1" s="1"/>
  <c r="U1336" i="1" s="1"/>
  <c r="S1386" i="1" a="1"/>
  <c r="S1386" i="1" s="1"/>
  <c r="U1386" i="1" s="1"/>
  <c r="S1381" i="1" a="1"/>
  <c r="S1381" i="1" s="1"/>
  <c r="U1381" i="1" s="1"/>
  <c r="S1364" i="1" a="1"/>
  <c r="S1364" i="1" s="1"/>
  <c r="U1364" i="1" s="1"/>
  <c r="S1359" i="1" a="1"/>
  <c r="S1359" i="1" s="1"/>
  <c r="U1359" i="1" s="1"/>
  <c r="T1344" i="1" a="1"/>
  <c r="T1344" i="1" s="1"/>
  <c r="T1270" i="1" a="1"/>
  <c r="T1270" i="1" s="1"/>
  <c r="S1318" i="1" a="1"/>
  <c r="S1318" i="1" s="1"/>
  <c r="U1318" i="1" s="1"/>
  <c r="T1303" i="1" a="1"/>
  <c r="T1303" i="1" s="1"/>
  <c r="T1286" i="1" a="1"/>
  <c r="T1286" i="1" s="1"/>
  <c r="T1293" i="1" a="1"/>
  <c r="T1293" i="1" s="1"/>
  <c r="S1286" i="1" a="1"/>
  <c r="S1286" i="1" s="1"/>
  <c r="U1286" i="1" s="1"/>
  <c r="S1281" i="1" a="1"/>
  <c r="S1281" i="1" s="1"/>
  <c r="U1281" i="1" s="1"/>
  <c r="T1266" i="1" a="1"/>
  <c r="T1266" i="1" s="1"/>
  <c r="T1261" i="1" a="1"/>
  <c r="T1261" i="1" s="1"/>
  <c r="T1311" i="1" a="1"/>
  <c r="T1311" i="1" s="1"/>
  <c r="S1249" i="1" a="1"/>
  <c r="S1249" i="1" s="1"/>
  <c r="U1249" i="1" s="1"/>
  <c r="T1234" i="1" a="1"/>
  <c r="T1234" i="1" s="1"/>
  <c r="T1217" i="1" a="1"/>
  <c r="T1217" i="1" s="1"/>
  <c r="T1255" i="1" a="1"/>
  <c r="T1255" i="1" s="1"/>
  <c r="S1236" i="1" a="1"/>
  <c r="S1236" i="1" s="1"/>
  <c r="U1236" i="1" s="1"/>
  <c r="S1231" i="1" a="1"/>
  <c r="S1231" i="1" s="1"/>
  <c r="U1231" i="1" s="1"/>
  <c r="S1257" i="1" a="1"/>
  <c r="S1257" i="1" s="1"/>
  <c r="U1257" i="1" s="1"/>
  <c r="S1240" i="1" a="1"/>
  <c r="S1240" i="1" s="1"/>
  <c r="U1240" i="1" s="1"/>
  <c r="S1223" i="1" a="1"/>
  <c r="S1223" i="1" s="1"/>
  <c r="U1223" i="1" s="1"/>
  <c r="S1206" i="1" a="1"/>
  <c r="S1206" i="1" s="1"/>
  <c r="U1206" i="1" s="1"/>
  <c r="T1179" i="1" a="1"/>
  <c r="T1179" i="1" s="1"/>
  <c r="T1174" i="1" a="1"/>
  <c r="T1174" i="1" s="1"/>
  <c r="T1209" i="1" a="1"/>
  <c r="T1209" i="1" s="1"/>
  <c r="T1183" i="1" a="1"/>
  <c r="T1183" i="1" s="1"/>
  <c r="S1164" i="1" a="1"/>
  <c r="S1164" i="1" s="1"/>
  <c r="U1164" i="1" s="1"/>
  <c r="T1205" i="1" a="1"/>
  <c r="T1205" i="1" s="1"/>
  <c r="S1197" i="1" a="1"/>
  <c r="S1197" i="1" s="1"/>
  <c r="U1197" i="1" s="1"/>
  <c r="S1192" i="1" a="1"/>
  <c r="S1192" i="1" s="1"/>
  <c r="U1192" i="1" s="1"/>
  <c r="S1175" i="1" a="1"/>
  <c r="S1175" i="1" s="1"/>
  <c r="U1175" i="1" s="1"/>
  <c r="T1108" i="1" a="1"/>
  <c r="T1108" i="1" s="1"/>
  <c r="S1101" i="1" a="1"/>
  <c r="S1101" i="1" s="1"/>
  <c r="U1101" i="1" s="1"/>
  <c r="T1141" i="1" a="1"/>
  <c r="T1141" i="1" s="1"/>
  <c r="T1112" i="1" a="1"/>
  <c r="T1112" i="1" s="1"/>
  <c r="T1107" i="1" a="1"/>
  <c r="T1107" i="1" s="1"/>
  <c r="S1100" i="1" a="1"/>
  <c r="S1100" i="1" s="1"/>
  <c r="U1100" i="1" s="1"/>
  <c r="T1085" i="1" a="1"/>
  <c r="T1085" i="1" s="1"/>
  <c r="T1135" i="1" a="1"/>
  <c r="T1135" i="1" s="1"/>
  <c r="T1130" i="1" a="1"/>
  <c r="T1130" i="1" s="1"/>
  <c r="S1123" i="1" a="1"/>
  <c r="S1123" i="1" s="1"/>
  <c r="U1123" i="1" s="1"/>
  <c r="S1049" i="1" a="1"/>
  <c r="S1049" i="1" s="1"/>
  <c r="U1049" i="1" s="1"/>
  <c r="T1092" i="1" a="1"/>
  <c r="T1092" i="1" s="1"/>
  <c r="T1072" i="1" a="1"/>
  <c r="T1072" i="1" s="1"/>
  <c r="T1067" i="1" a="1"/>
  <c r="T1067" i="1" s="1"/>
  <c r="S1048" i="1" a="1"/>
  <c r="S1048" i="1" s="1"/>
  <c r="U1048" i="1" s="1"/>
  <c r="T1093" i="1" a="1"/>
  <c r="T1093" i="1" s="1"/>
  <c r="T1059" i="1" a="1"/>
  <c r="T1059" i="1" s="1"/>
  <c r="T1042" i="1" a="1"/>
  <c r="T1042" i="1" s="1"/>
  <c r="T1080" i="1" a="1"/>
  <c r="T1080" i="1" s="1"/>
  <c r="S1014" i="1" a="1"/>
  <c r="S1014" i="1" s="1"/>
  <c r="U1014" i="1" s="1"/>
  <c r="T999" i="1" a="1"/>
  <c r="T999" i="1" s="1"/>
  <c r="T982" i="1" a="1"/>
  <c r="T982" i="1" s="1"/>
  <c r="S987" i="1" a="1"/>
  <c r="S987" i="1" s="1"/>
  <c r="U987" i="1" s="1"/>
  <c r="T984" i="1" a="1"/>
  <c r="T984" i="1" s="1"/>
  <c r="S977" i="1" a="1"/>
  <c r="S977" i="1" s="1"/>
  <c r="S1027" i="1" a="1"/>
  <c r="S1027" i="1" s="1"/>
  <c r="U1027" i="1" s="1"/>
  <c r="S1010" i="1" a="1"/>
  <c r="S1010" i="1" s="1"/>
  <c r="U1010" i="1" s="1"/>
  <c r="T995" i="1" a="1"/>
  <c r="T995" i="1" s="1"/>
  <c r="S1000" i="1" a="1"/>
  <c r="S1000" i="1" s="1"/>
  <c r="T985" i="1" a="1"/>
  <c r="T985" i="1" s="1"/>
  <c r="T914" i="1" a="1"/>
  <c r="T914" i="1" s="1"/>
  <c r="S919" i="1" a="1"/>
  <c r="S919" i="1" s="1"/>
  <c r="U919" i="1" s="1"/>
  <c r="S957" i="1" a="1"/>
  <c r="S957" i="1" s="1"/>
  <c r="U957" i="1" s="1"/>
  <c r="S952" i="1" a="1"/>
  <c r="S952" i="1" s="1"/>
  <c r="U952" i="1" s="1"/>
  <c r="T937" i="1" a="1"/>
  <c r="T937" i="1" s="1"/>
  <c r="S930" i="1" a="1"/>
  <c r="S930" i="1" s="1"/>
  <c r="U930" i="1" s="1"/>
  <c r="T915" i="1" a="1"/>
  <c r="T915" i="1" s="1"/>
  <c r="S966" i="1" a="1"/>
  <c r="S966" i="1" s="1"/>
  <c r="U966" i="1" s="1"/>
  <c r="T969" i="1" a="1"/>
  <c r="T969" i="1" s="1"/>
  <c r="S953" i="1" a="1"/>
  <c r="S953" i="1" s="1"/>
  <c r="U953" i="1" s="1"/>
  <c r="T870" i="1" a="1"/>
  <c r="T870" i="1" s="1"/>
  <c r="T865" i="1" a="1"/>
  <c r="T865" i="1" s="1"/>
  <c r="T848" i="1" a="1"/>
  <c r="T848" i="1" s="1"/>
  <c r="T898" i="1" a="1"/>
  <c r="T898" i="1" s="1"/>
  <c r="S903" i="1" a="1"/>
  <c r="S903" i="1" s="1"/>
  <c r="U903" i="1" s="1"/>
  <c r="S898" i="1" a="1"/>
  <c r="S898" i="1" s="1"/>
  <c r="T883" i="1" a="1"/>
  <c r="T883" i="1" s="1"/>
  <c r="T878" i="1" a="1"/>
  <c r="T878" i="1" s="1"/>
  <c r="T861" i="1" a="1"/>
  <c r="T861" i="1" s="1"/>
  <c r="S866" i="1" a="1"/>
  <c r="S866" i="1" s="1"/>
  <c r="U866" i="1" s="1"/>
  <c r="S843" i="1" a="1"/>
  <c r="S843" i="1" s="1"/>
  <c r="T830" i="1" a="1"/>
  <c r="T830" i="1" s="1"/>
  <c r="T837" i="1" a="1"/>
  <c r="T837" i="1" s="1"/>
  <c r="T820" i="1" a="1"/>
  <c r="T820" i="1" s="1"/>
  <c r="S9" i="1" a="1"/>
  <c r="S9" i="1" s="1"/>
  <c r="U9" i="1" s="1"/>
  <c r="S1373" i="1" a="1"/>
  <c r="S1373" i="1" s="1"/>
  <c r="U1373" i="1" s="1"/>
  <c r="S1368" i="1" a="1"/>
  <c r="S1368" i="1" s="1"/>
  <c r="U1368" i="1" s="1"/>
  <c r="T1353" i="1" a="1"/>
  <c r="T1353" i="1" s="1"/>
  <c r="T1348" i="1" a="1"/>
  <c r="T1348" i="1" s="1"/>
  <c r="T1331" i="1" a="1"/>
  <c r="T1331" i="1" s="1"/>
  <c r="T1326" i="1" a="1"/>
  <c r="T1326" i="1" s="1"/>
  <c r="T1376" i="1" a="1"/>
  <c r="T1376" i="1" s="1"/>
  <c r="T1371" i="1" a="1"/>
  <c r="T1371" i="1" s="1"/>
  <c r="T1354" i="1" a="1"/>
  <c r="T1354" i="1" s="1"/>
  <c r="T1349" i="1" a="1"/>
  <c r="T1349" i="1" s="1"/>
  <c r="S1342" i="1" a="1"/>
  <c r="S1342" i="1" s="1"/>
  <c r="U1342" i="1" s="1"/>
  <c r="S1268" i="1" a="1"/>
  <c r="S1268" i="1" s="1"/>
  <c r="U1268" i="1" s="1"/>
  <c r="T1308" i="1" a="1"/>
  <c r="T1308" i="1" s="1"/>
  <c r="S1301" i="1" a="1"/>
  <c r="S1301" i="1" s="1"/>
  <c r="U1301" i="1" s="1"/>
  <c r="S1284" i="1" a="1"/>
  <c r="S1284" i="1" s="1"/>
  <c r="U1284" i="1" s="1"/>
  <c r="S1291" i="1" a="1"/>
  <c r="S1291" i="1" s="1"/>
  <c r="U1291" i="1" s="1"/>
  <c r="T1276" i="1" a="1"/>
  <c r="T1276" i="1" s="1"/>
  <c r="T1271" i="1" a="1"/>
  <c r="T1271" i="1" s="1"/>
  <c r="S1264" i="1" a="1"/>
  <c r="S1264" i="1" s="1"/>
  <c r="U1264" i="1" s="1"/>
  <c r="T1324" i="1" a="1"/>
  <c r="T1324" i="1" s="1"/>
  <c r="S1309" i="1" a="1"/>
  <c r="S1309" i="1" s="1"/>
  <c r="U1309" i="1" s="1"/>
  <c r="T1239" i="1" a="1"/>
  <c r="T1239" i="1" s="1"/>
  <c r="S1232" i="1" a="1"/>
  <c r="S1232" i="1" s="1"/>
  <c r="U1232" i="1" s="1"/>
  <c r="S1215" i="1" a="1"/>
  <c r="S1215" i="1" s="1"/>
  <c r="U1215" i="1" s="1"/>
  <c r="S1253" i="1" a="1"/>
  <c r="S1253" i="1" s="1"/>
  <c r="U1253" i="1" s="1"/>
  <c r="T1226" i="1" a="1"/>
  <c r="T1226" i="1" s="1"/>
  <c r="T1221" i="1" a="1"/>
  <c r="T1221" i="1" s="1"/>
  <c r="T1247" i="1" a="1"/>
  <c r="T1247" i="1" s="1"/>
  <c r="T1230" i="1" a="1"/>
  <c r="T1230" i="1" s="1"/>
  <c r="T1213" i="1" a="1"/>
  <c r="T1213" i="1" s="1"/>
  <c r="T1201" i="1" a="1"/>
  <c r="T1201" i="1" s="1"/>
  <c r="S1177" i="1" a="1"/>
  <c r="S1177" i="1" s="1"/>
  <c r="U1177" i="1" s="1"/>
  <c r="S1172" i="1" a="1"/>
  <c r="S1172" i="1" s="1"/>
  <c r="U1172" i="1" s="1"/>
  <c r="T1200" i="1" a="1"/>
  <c r="T1200" i="1" s="1"/>
  <c r="S1181" i="1" a="1"/>
  <c r="S1181" i="1" s="1"/>
  <c r="U1181" i="1" s="1"/>
  <c r="T1154" i="1" a="1"/>
  <c r="T1154" i="1" s="1"/>
  <c r="T1204" i="1" a="1"/>
  <c r="T1204" i="1" s="1"/>
  <c r="T1187" i="1" a="1"/>
  <c r="T1187" i="1" s="1"/>
  <c r="T1182" i="1" a="1"/>
  <c r="T1182" i="1" s="1"/>
  <c r="T1165" i="1" a="1"/>
  <c r="T1165" i="1" s="1"/>
  <c r="S1106" i="1" a="1"/>
  <c r="S1106" i="1" s="1"/>
  <c r="U1106" i="1" s="1"/>
  <c r="T1134" i="1" a="1"/>
  <c r="T1134" i="1" s="1"/>
  <c r="S1139" i="1" a="1"/>
  <c r="S1139" i="1" s="1"/>
  <c r="U1139" i="1" s="1"/>
  <c r="S1110" i="1" a="1"/>
  <c r="S1110" i="1" s="1"/>
  <c r="U1110" i="1" s="1"/>
  <c r="S1105" i="1" a="1"/>
  <c r="S1105" i="1" s="1"/>
  <c r="U1105" i="1" s="1"/>
  <c r="T1090" i="1" a="1"/>
  <c r="T1090" i="1" s="1"/>
  <c r="V1090" i="1" s="1"/>
  <c r="S1148" i="1" a="1"/>
  <c r="S1148" i="1" s="1"/>
  <c r="U1148" i="1" s="1"/>
  <c r="S1133" i="1" a="1"/>
  <c r="S1133" i="1" s="1"/>
  <c r="U1133" i="1" s="1"/>
  <c r="S1128" i="1" a="1"/>
  <c r="S1128" i="1" s="1"/>
  <c r="U1128" i="1" s="1"/>
  <c r="T1113" i="1" a="1"/>
  <c r="T1113" i="1" s="1"/>
  <c r="T1039" i="1" a="1"/>
  <c r="T1039" i="1" s="1"/>
  <c r="S1088" i="1" a="1"/>
  <c r="S1088" i="1" s="1"/>
  <c r="U1088" i="1" s="1"/>
  <c r="S1070" i="1" a="1"/>
  <c r="S1070" i="1" s="1"/>
  <c r="U1070" i="1" s="1"/>
  <c r="S1065" i="1" a="1"/>
  <c r="S1065" i="1" s="1"/>
  <c r="U1065" i="1" s="1"/>
  <c r="T1038" i="1" a="1"/>
  <c r="T1038" i="1" s="1"/>
  <c r="S1090" i="1" a="1"/>
  <c r="S1090" i="1" s="1"/>
  <c r="U1090" i="1" s="1"/>
  <c r="S1057" i="1" a="1"/>
  <c r="S1057" i="1" s="1"/>
  <c r="U1057" i="1" s="1"/>
  <c r="S1040" i="1" a="1"/>
  <c r="S1040" i="1" s="1"/>
  <c r="U1040" i="1" s="1"/>
  <c r="S1078" i="1" a="1"/>
  <c r="S1078" i="1" s="1"/>
  <c r="U1078" i="1" s="1"/>
  <c r="T1004" i="1" a="1"/>
  <c r="T1004" i="1" s="1"/>
  <c r="S997" i="1" a="1"/>
  <c r="S997" i="1" s="1"/>
  <c r="U997" i="1" s="1"/>
  <c r="S980" i="1" a="1"/>
  <c r="S980" i="1" s="1"/>
  <c r="U980" i="1" s="1"/>
  <c r="T977" i="1" a="1"/>
  <c r="T977" i="1" s="1"/>
  <c r="S982" i="1" a="1"/>
  <c r="S982" i="1" s="1"/>
  <c r="U982" i="1" s="1"/>
  <c r="T1030" i="1" a="1"/>
  <c r="T1030" i="1" s="1"/>
  <c r="T1017" i="1" a="1"/>
  <c r="T1017" i="1" s="1"/>
  <c r="T1000" i="1" a="1"/>
  <c r="T1000" i="1" s="1"/>
  <c r="S993" i="1" a="1"/>
  <c r="S993" i="1" s="1"/>
  <c r="U993" i="1" s="1"/>
  <c r="T990" i="1" a="1"/>
  <c r="T990" i="1" s="1"/>
  <c r="S983" i="1" a="1"/>
  <c r="S983" i="1" s="1"/>
  <c r="U983" i="1" s="1"/>
  <c r="S912" i="1" a="1"/>
  <c r="S912" i="1" s="1"/>
  <c r="U912" i="1" s="1"/>
  <c r="S962" i="1" a="1"/>
  <c r="S962" i="1" s="1"/>
  <c r="U962" i="1" s="1"/>
  <c r="T947" i="1" a="1"/>
  <c r="T947" i="1" s="1"/>
  <c r="T942" i="1" a="1"/>
  <c r="T942" i="1" s="1"/>
  <c r="S935" i="1" a="1"/>
  <c r="S935" i="1" s="1"/>
  <c r="U935" i="1" s="1"/>
  <c r="T920" i="1" a="1"/>
  <c r="T920" i="1" s="1"/>
  <c r="S913" i="1" a="1"/>
  <c r="S913" i="1" s="1"/>
  <c r="U913" i="1" s="1"/>
  <c r="S963" i="1" a="1"/>
  <c r="S963" i="1" s="1"/>
  <c r="U963" i="1" s="1"/>
  <c r="T960" i="1" a="1"/>
  <c r="T960" i="1" s="1"/>
  <c r="T943" i="1" a="1"/>
  <c r="T943" i="1" s="1"/>
  <c r="S868" i="1" a="1"/>
  <c r="S868" i="1" s="1"/>
  <c r="U868" i="1" s="1"/>
  <c r="S863" i="1" a="1"/>
  <c r="S863" i="1" s="1"/>
  <c r="U863" i="1" s="1"/>
  <c r="S846" i="1" a="1"/>
  <c r="S846" i="1" s="1"/>
  <c r="U846" i="1" s="1"/>
  <c r="S896" i="1" a="1"/>
  <c r="S896" i="1" s="1"/>
  <c r="U896" i="1" s="1"/>
  <c r="T893" i="1" a="1"/>
  <c r="T893" i="1" s="1"/>
  <c r="T888" i="1" a="1"/>
  <c r="T888" i="1" s="1"/>
  <c r="S881" i="1" a="1"/>
  <c r="S881" i="1" s="1"/>
  <c r="U881" i="1" s="1"/>
  <c r="S876" i="1" a="1"/>
  <c r="S876" i="1" s="1"/>
  <c r="U876" i="1" s="1"/>
  <c r="S859" i="1" a="1"/>
  <c r="S859" i="1" s="1"/>
  <c r="U859" i="1" s="1"/>
  <c r="T856" i="1" a="1"/>
  <c r="T856" i="1" s="1"/>
  <c r="T835" i="1" a="1"/>
  <c r="T835" i="1" s="1"/>
  <c r="S828" i="1" a="1"/>
  <c r="S828" i="1" s="1"/>
  <c r="S835" i="1" a="1"/>
  <c r="S835" i="1" s="1"/>
  <c r="S818" i="1" a="1"/>
  <c r="S818" i="1" s="1"/>
  <c r="U818" i="1" s="1"/>
  <c r="S813" i="1" a="1"/>
  <c r="S813" i="1" s="1"/>
  <c r="U813" i="1" s="1"/>
  <c r="S796" i="1" a="1"/>
  <c r="S796" i="1" s="1"/>
  <c r="U796" i="1" s="1"/>
  <c r="T781" i="1" a="1"/>
  <c r="T781" i="1" s="1"/>
  <c r="S841" i="1" a="1"/>
  <c r="S841" i="1" s="1"/>
  <c r="U841" i="1" s="1"/>
  <c r="T838" i="1" a="1"/>
  <c r="T838" i="1" s="1"/>
  <c r="T833" i="1" a="1"/>
  <c r="T833" i="1" s="1"/>
  <c r="T845" i="1" a="1"/>
  <c r="T845" i="1" s="1"/>
  <c r="T785" i="1" a="1"/>
  <c r="T785" i="1" s="1"/>
  <c r="T766" i="1" a="1"/>
  <c r="T766" i="1" s="1"/>
  <c r="S759" i="1" a="1"/>
  <c r="S759" i="1" s="1"/>
  <c r="T756" i="1" a="1"/>
  <c r="T756" i="1" s="1"/>
  <c r="S761" i="1" a="1"/>
  <c r="S761" i="1" s="1"/>
  <c r="T758" i="1" a="1"/>
  <c r="T758" i="1" s="1"/>
  <c r="T753" i="1" a="1"/>
  <c r="T753" i="1" s="1"/>
  <c r="T748" i="1" a="1"/>
  <c r="T748" i="1" s="1"/>
  <c r="V748" i="1" s="1"/>
  <c r="S753" i="1" a="1"/>
  <c r="S753" i="1" s="1"/>
  <c r="U753" i="1" s="1"/>
  <c r="S760" i="1" a="1"/>
  <c r="S760" i="1" s="1"/>
  <c r="T745" i="1" a="1"/>
  <c r="T745" i="1" s="1"/>
  <c r="S673" i="1" a="1"/>
  <c r="S673" i="1" s="1"/>
  <c r="S704" i="1" a="1"/>
  <c r="S704" i="1" s="1"/>
  <c r="T752" i="1" a="1"/>
  <c r="T752" i="1" s="1"/>
  <c r="S639" i="1" a="1"/>
  <c r="S639" i="1" s="1"/>
  <c r="S658" i="1" a="1"/>
  <c r="S658" i="1" s="1"/>
  <c r="T679" i="1" a="1"/>
  <c r="T679" i="1" s="1"/>
  <c r="S708" i="1" a="1"/>
  <c r="S708" i="1" s="1"/>
  <c r="S636" i="1" a="1"/>
  <c r="S636" i="1" s="1"/>
  <c r="T657" i="1" a="1"/>
  <c r="T657" i="1" s="1"/>
  <c r="S674" i="1" a="1"/>
  <c r="S674" i="1" s="1"/>
  <c r="S713" i="1" a="1"/>
  <c r="S713" i="1" s="1"/>
  <c r="T647" i="1" a="1"/>
  <c r="T647" i="1" s="1"/>
  <c r="S652" i="1" a="1"/>
  <c r="S652" i="1" s="1"/>
  <c r="S683" i="1" a="1"/>
  <c r="S683" i="1" s="1"/>
  <c r="S702" i="1" a="1"/>
  <c r="S702" i="1" s="1"/>
  <c r="T598" i="1" a="1"/>
  <c r="T598" i="1" s="1"/>
  <c r="T526" i="1" a="1"/>
  <c r="T526" i="1" s="1"/>
  <c r="T593" i="1" a="1"/>
  <c r="T593" i="1" s="1"/>
  <c r="T521" i="1" a="1"/>
  <c r="T521" i="1" s="1"/>
  <c r="T564" i="1" a="1"/>
  <c r="T564" i="1" s="1"/>
  <c r="T619" i="1" a="1"/>
  <c r="T619" i="1" s="1"/>
  <c r="T547" i="1" a="1"/>
  <c r="T547" i="1" s="1"/>
  <c r="S600" i="1" a="1"/>
  <c r="S600" i="1" s="1"/>
  <c r="S528" i="1" a="1"/>
  <c r="S528" i="1" s="1"/>
  <c r="T573" i="1" a="1"/>
  <c r="T573" i="1" s="1"/>
  <c r="S627" i="1" a="1"/>
  <c r="S627" i="1" s="1"/>
  <c r="T556" i="1" a="1"/>
  <c r="T556" i="1" s="1"/>
  <c r="S597" i="1" a="1"/>
  <c r="S597" i="1" s="1"/>
  <c r="S525" i="1" a="1"/>
  <c r="S525" i="1" s="1"/>
  <c r="S592" i="1" a="1"/>
  <c r="S592" i="1" s="1"/>
  <c r="S520" i="1" a="1"/>
  <c r="S520" i="1" s="1"/>
  <c r="S563" i="1" a="1"/>
  <c r="S563" i="1" s="1"/>
  <c r="T608" i="1" a="1"/>
  <c r="T608" i="1" s="1"/>
  <c r="T536" i="1" a="1"/>
  <c r="T536" i="1" s="1"/>
  <c r="S601" i="1" a="1"/>
  <c r="S601" i="1" s="1"/>
  <c r="S529" i="1" a="1"/>
  <c r="S529" i="1" s="1"/>
  <c r="S453" i="1" a="1"/>
  <c r="S453" i="1" s="1"/>
  <c r="T507" i="1" a="1"/>
  <c r="T507" i="1" s="1"/>
  <c r="T438" i="1" a="1"/>
  <c r="T438" i="1" s="1"/>
  <c r="S455" i="1" a="1"/>
  <c r="S455" i="1" s="1"/>
  <c r="T500" i="1" a="1"/>
  <c r="T500" i="1" s="1"/>
  <c r="T428" i="1" a="1"/>
  <c r="T428" i="1" s="1"/>
  <c r="T471" i="1" a="1"/>
  <c r="T471" i="1" s="1"/>
  <c r="T399" i="1" a="1"/>
  <c r="T399" i="1" s="1"/>
  <c r="V399" i="1" s="1"/>
  <c r="S440" i="1" a="1"/>
  <c r="S440" i="1" s="1"/>
  <c r="S495" i="1" a="1"/>
  <c r="S495" i="1" s="1"/>
  <c r="S423" i="1" a="1"/>
  <c r="S423" i="1" s="1"/>
  <c r="T444" i="1" a="1"/>
  <c r="T444" i="1" s="1"/>
  <c r="S497" i="1" a="1"/>
  <c r="S497" i="1" s="1"/>
  <c r="S425" i="1" a="1"/>
  <c r="S425" i="1" s="1"/>
  <c r="T458" i="1" a="1"/>
  <c r="T458" i="1" s="1"/>
  <c r="T477" i="1" a="1"/>
  <c r="T477" i="1" s="1"/>
  <c r="T405" i="1" a="1"/>
  <c r="T405" i="1" s="1"/>
  <c r="S446" i="1" a="1"/>
  <c r="S446" i="1" s="1"/>
  <c r="T388" i="1" a="1"/>
  <c r="T388" i="1" s="1"/>
  <c r="S316" i="1" a="1"/>
  <c r="S316" i="1" s="1"/>
  <c r="S359" i="1" a="1"/>
  <c r="S359" i="1" s="1"/>
  <c r="S287" i="1" a="1"/>
  <c r="S287" i="1" s="1"/>
  <c r="T320" i="1" a="1"/>
  <c r="T320" i="1" s="1"/>
  <c r="S361" i="1" a="1"/>
  <c r="S361" i="1" s="1"/>
  <c r="S289" i="1" a="1"/>
  <c r="S289" i="1" s="1"/>
  <c r="S332" i="1" a="1"/>
  <c r="S332" i="1" s="1"/>
  <c r="T365" i="1" a="1"/>
  <c r="T365" i="1" s="1"/>
  <c r="T293" i="1" a="1"/>
  <c r="T293" i="1" s="1"/>
  <c r="S358" i="1" a="1"/>
  <c r="S358" i="1" s="1"/>
  <c r="T379" i="1" a="1"/>
  <c r="T379" i="1" s="1"/>
  <c r="T307" i="1" a="1"/>
  <c r="T307" i="1" s="1"/>
  <c r="T362" i="1" a="1"/>
  <c r="T362" i="1" s="1"/>
  <c r="T290" i="1" a="1"/>
  <c r="T290" i="1" s="1"/>
  <c r="S343" i="1" a="1"/>
  <c r="S343" i="1" s="1"/>
  <c r="S350" i="1" a="1"/>
  <c r="S350" i="1" s="1"/>
  <c r="S278" i="1" a="1"/>
  <c r="S278" i="1" s="1"/>
  <c r="S345" i="1" a="1"/>
  <c r="S345" i="1" s="1"/>
  <c r="S286" i="1" a="1"/>
  <c r="S286" i="1" s="1"/>
  <c r="S216" i="1" a="1"/>
  <c r="S216" i="1" s="1"/>
  <c r="S247" i="1" a="1"/>
  <c r="S247" i="1" s="1"/>
  <c r="S175" i="1" a="1"/>
  <c r="S175" i="1" s="1"/>
  <c r="S230" i="1" a="1"/>
  <c r="S230" i="1" s="1"/>
  <c r="T276" i="1" a="1"/>
  <c r="T276" i="1" s="1"/>
  <c r="T203" i="1" a="1"/>
  <c r="T203" i="1" s="1"/>
  <c r="T258" i="1" a="1"/>
  <c r="T258" i="1" s="1"/>
  <c r="T186" i="1" a="1"/>
  <c r="T186" i="1" s="1"/>
  <c r="T241" i="1" a="1"/>
  <c r="T241" i="1" s="1"/>
  <c r="T169" i="1" a="1"/>
  <c r="T169" i="1" s="1"/>
  <c r="S222" i="1" a="1"/>
  <c r="S222" i="1" s="1"/>
  <c r="T255" i="1" a="1"/>
  <c r="T255" i="1" s="1"/>
  <c r="T183" i="1" a="1"/>
  <c r="T183" i="1" s="1"/>
  <c r="T250" i="1" a="1"/>
  <c r="T250" i="1" s="1"/>
  <c r="T178" i="1" a="1"/>
  <c r="T178" i="1" s="1"/>
  <c r="T221" i="1" a="1"/>
  <c r="T221" i="1" s="1"/>
  <c r="S272" i="1" a="1"/>
  <c r="S272" i="1" s="1"/>
  <c r="T204" i="1" a="1"/>
  <c r="T204" i="1" s="1"/>
  <c r="S233" i="1" a="1"/>
  <c r="S233" i="1" s="1"/>
  <c r="S161" i="1" a="1"/>
  <c r="S161" i="1" s="1"/>
  <c r="S93" i="1" a="1"/>
  <c r="S93" i="1" s="1"/>
  <c r="T138" i="1" a="1"/>
  <c r="T138" i="1" s="1"/>
  <c r="T66" i="1" a="1"/>
  <c r="T66" i="1" s="1"/>
  <c r="S131" i="1" a="1"/>
  <c r="S131" i="1" s="1"/>
  <c r="S59" i="1" a="1"/>
  <c r="S59" i="1" s="1"/>
  <c r="T104" i="1" a="1"/>
  <c r="T104" i="1" s="1"/>
  <c r="T160" i="1" a="1"/>
  <c r="T160" i="1" s="1"/>
  <c r="S97" i="1" a="1"/>
  <c r="S97" i="1" s="1"/>
  <c r="T142" i="1" a="1"/>
  <c r="T142" i="1" s="1"/>
  <c r="T70" i="1" a="1"/>
  <c r="T70" i="1" s="1"/>
  <c r="T125" i="1" a="1"/>
  <c r="T125" i="1" s="1"/>
  <c r="T53" i="1" a="1"/>
  <c r="T53" i="1" s="1"/>
  <c r="T108" i="1" a="1"/>
  <c r="T108" i="1" s="1"/>
  <c r="T36" i="1" a="1"/>
  <c r="T36" i="1" s="1"/>
  <c r="T103" i="1" a="1"/>
  <c r="T103" i="1" s="1"/>
  <c r="T149" i="1" a="1"/>
  <c r="T149" i="1" s="1"/>
  <c r="S84" i="1" a="1"/>
  <c r="S84" i="1" s="1"/>
  <c r="T129" i="1" a="1"/>
  <c r="T129" i="1" s="1"/>
  <c r="T57" i="1" a="1"/>
  <c r="T57" i="1" s="1"/>
  <c r="S110" i="1" a="1"/>
  <c r="S110" i="1" s="1"/>
  <c r="S38" i="1" a="1"/>
  <c r="S38" i="1" s="1"/>
  <c r="U38" i="1" s="1"/>
  <c r="S26" i="1" a="1"/>
  <c r="S26" i="1" s="1"/>
  <c r="T21" i="1" a="1"/>
  <c r="T21" i="1" s="1"/>
  <c r="S804" i="1" a="1"/>
  <c r="S804" i="1" s="1"/>
  <c r="U804" i="1" s="1"/>
  <c r="S817" i="1" a="1"/>
  <c r="S817" i="1" s="1"/>
  <c r="U817" i="1" s="1"/>
  <c r="T804" i="1" a="1"/>
  <c r="T804" i="1" s="1"/>
  <c r="S764" i="1" a="1"/>
  <c r="S764" i="1" s="1"/>
  <c r="T749" i="1" a="1"/>
  <c r="T749" i="1" s="1"/>
  <c r="S754" i="1" a="1"/>
  <c r="S754" i="1" s="1"/>
  <c r="T751" i="1" a="1"/>
  <c r="T751" i="1" s="1"/>
  <c r="S756" i="1" a="1"/>
  <c r="S756" i="1" s="1"/>
  <c r="U756" i="1" s="1"/>
  <c r="S751" i="1" a="1"/>
  <c r="S751" i="1" s="1"/>
  <c r="S746" i="1" a="1"/>
  <c r="S746" i="1" s="1"/>
  <c r="T743" i="1" a="1"/>
  <c r="T743" i="1" s="1"/>
  <c r="T750" i="1" a="1"/>
  <c r="T750" i="1" s="1"/>
  <c r="S743" i="1" a="1"/>
  <c r="S743" i="1" s="1"/>
  <c r="U743" i="1" s="1"/>
  <c r="T663" i="1" a="1"/>
  <c r="T663" i="1" s="1"/>
  <c r="T694" i="1" a="1"/>
  <c r="T694" i="1" s="1"/>
  <c r="T701" i="1" a="1"/>
  <c r="T701" i="1" s="1"/>
  <c r="S774" i="1" a="1"/>
  <c r="S774" i="1" s="1"/>
  <c r="T648" i="1" a="1"/>
  <c r="T648" i="1" s="1"/>
  <c r="S677" i="1" a="1"/>
  <c r="S677" i="1" s="1"/>
  <c r="T698" i="1" a="1"/>
  <c r="T698" i="1" s="1"/>
  <c r="S716" i="1" a="1"/>
  <c r="S716" i="1" s="1"/>
  <c r="S655" i="1" a="1"/>
  <c r="S655" i="1" s="1"/>
  <c r="T664" i="1" a="1"/>
  <c r="T664" i="1" s="1"/>
  <c r="S710" i="1" a="1"/>
  <c r="S710" i="1" s="1"/>
  <c r="S645" i="1" a="1"/>
  <c r="S645" i="1" s="1"/>
  <c r="T642" i="1" a="1"/>
  <c r="T642" i="1" s="1"/>
  <c r="T673" i="1" a="1"/>
  <c r="T673" i="1" s="1"/>
  <c r="T692" i="1" a="1"/>
  <c r="T692" i="1" s="1"/>
  <c r="S596" i="1" a="1"/>
  <c r="S596" i="1" s="1"/>
  <c r="S524" i="1" a="1"/>
  <c r="S524" i="1" s="1"/>
  <c r="S591" i="1" a="1"/>
  <c r="S591" i="1" s="1"/>
  <c r="S519" i="1" a="1"/>
  <c r="S519" i="1" s="1"/>
  <c r="S562" i="1" a="1"/>
  <c r="S562" i="1" s="1"/>
  <c r="S617" i="1" a="1"/>
  <c r="S617" i="1" s="1"/>
  <c r="S545" i="1" a="1"/>
  <c r="S545" i="1" s="1"/>
  <c r="T590" i="1" a="1"/>
  <c r="T590" i="1" s="1"/>
  <c r="T518" i="1" a="1"/>
  <c r="T518" i="1" s="1"/>
  <c r="S571" i="1" a="1"/>
  <c r="S571" i="1" s="1"/>
  <c r="S622" i="1" a="1"/>
  <c r="S622" i="1" s="1"/>
  <c r="S554" i="1" a="1"/>
  <c r="S554" i="1" s="1"/>
  <c r="T587" i="1" a="1"/>
  <c r="T587" i="1" s="1"/>
  <c r="T515" i="1" a="1"/>
  <c r="T515" i="1" s="1"/>
  <c r="T582" i="1" a="1"/>
  <c r="T582" i="1" s="1"/>
  <c r="T510" i="1" a="1"/>
  <c r="T510" i="1" s="1"/>
  <c r="T553" i="1" a="1"/>
  <c r="T553" i="1" s="1"/>
  <c r="S606" i="1" a="1"/>
  <c r="S606" i="1" s="1"/>
  <c r="S534" i="1" a="1"/>
  <c r="S534" i="1" s="1"/>
  <c r="T591" i="1" a="1"/>
  <c r="T591" i="1" s="1"/>
  <c r="T519" i="1" a="1"/>
  <c r="T519" i="1" s="1"/>
  <c r="T443" i="1" a="1"/>
  <c r="T443" i="1" s="1"/>
  <c r="S504" i="1" a="1"/>
  <c r="S504" i="1" s="1"/>
  <c r="S436" i="1" a="1"/>
  <c r="S436" i="1" s="1"/>
  <c r="T445" i="1" a="1"/>
  <c r="T445" i="1" s="1"/>
  <c r="S498" i="1" a="1"/>
  <c r="S498" i="1" s="1"/>
  <c r="S426" i="1" a="1"/>
  <c r="S426" i="1" s="1"/>
  <c r="S469" i="1" a="1"/>
  <c r="S469" i="1" s="1"/>
  <c r="S397" i="1" a="1"/>
  <c r="S397" i="1" s="1"/>
  <c r="T430" i="1" a="1"/>
  <c r="T430" i="1" s="1"/>
  <c r="T485" i="1" a="1"/>
  <c r="T485" i="1" s="1"/>
  <c r="T413" i="1" a="1"/>
  <c r="T413" i="1" s="1"/>
  <c r="S442" i="1" a="1"/>
  <c r="S442" i="1" s="1"/>
  <c r="T487" i="1" a="1"/>
  <c r="T487" i="1" s="1"/>
  <c r="T415" i="1" a="1"/>
  <c r="T415" i="1" s="1"/>
  <c r="S456" i="1" a="1"/>
  <c r="S456" i="1" s="1"/>
  <c r="S475" i="1" a="1"/>
  <c r="S475" i="1" s="1"/>
  <c r="S403" i="1" a="1"/>
  <c r="S403" i="1" s="1"/>
  <c r="T436" i="1" a="1"/>
  <c r="T436" i="1" s="1"/>
  <c r="T378" i="1" a="1"/>
  <c r="T378" i="1" s="1"/>
  <c r="T306" i="1" a="1"/>
  <c r="T306" i="1" s="1"/>
  <c r="T349" i="1" a="1"/>
  <c r="T349" i="1" s="1"/>
  <c r="S388" i="1" a="1"/>
  <c r="S388" i="1" s="1"/>
  <c r="U388" i="1" s="1"/>
  <c r="S318" i="1" a="1"/>
  <c r="S318" i="1" s="1"/>
  <c r="T351" i="1" a="1"/>
  <c r="T351" i="1" s="1"/>
  <c r="T279" i="1" a="1"/>
  <c r="T279" i="1" s="1"/>
  <c r="T322" i="1" a="1"/>
  <c r="T322" i="1" s="1"/>
  <c r="S363" i="1" a="1"/>
  <c r="S363" i="1" s="1"/>
  <c r="S291" i="1" a="1"/>
  <c r="S291" i="1" s="1"/>
  <c r="T348" i="1" a="1"/>
  <c r="T348" i="1" s="1"/>
  <c r="S377" i="1" a="1"/>
  <c r="S377" i="1" s="1"/>
  <c r="S305" i="1" a="1"/>
  <c r="S305" i="1" s="1"/>
  <c r="S360" i="1" a="1"/>
  <c r="S360" i="1" s="1"/>
  <c r="S288" i="1" a="1"/>
  <c r="S288" i="1" s="1"/>
  <c r="T333" i="1" a="1"/>
  <c r="T333" i="1" s="1"/>
  <c r="T340" i="1" a="1"/>
  <c r="T340" i="1" s="1"/>
  <c r="S408" i="1" a="1"/>
  <c r="S408" i="1" s="1"/>
  <c r="T335" i="1" a="1"/>
  <c r="T335" i="1" s="1"/>
  <c r="S271" i="1" a="1"/>
  <c r="S271" i="1" s="1"/>
  <c r="T206" i="1" a="1"/>
  <c r="T206" i="1" s="1"/>
  <c r="T237" i="1" a="1"/>
  <c r="T237" i="1" s="1"/>
  <c r="T165" i="1" a="1"/>
  <c r="T165" i="1" s="1"/>
  <c r="T220" i="1" a="1"/>
  <c r="T220" i="1" s="1"/>
  <c r="S269" i="1" a="1"/>
  <c r="S269" i="1" s="1"/>
  <c r="S201" i="1" a="1"/>
  <c r="S201" i="1" s="1"/>
  <c r="S256" i="1" a="1"/>
  <c r="S256" i="1" s="1"/>
  <c r="S184" i="1" a="1"/>
  <c r="S184" i="1" s="1"/>
  <c r="S239" i="1" a="1"/>
  <c r="S239" i="1" s="1"/>
  <c r="S167" i="1" a="1"/>
  <c r="S167" i="1" s="1"/>
  <c r="T212" i="1" a="1"/>
  <c r="T212" i="1" s="1"/>
  <c r="S253" i="1" a="1"/>
  <c r="S253" i="1" s="1"/>
  <c r="S181" i="1" a="1"/>
  <c r="S181" i="1" s="1"/>
  <c r="S248" i="1" a="1"/>
  <c r="S248" i="1" s="1"/>
  <c r="S176" i="1" a="1"/>
  <c r="S176" i="1" s="1"/>
  <c r="S219" i="1" a="1"/>
  <c r="S219" i="1" s="1"/>
  <c r="T271" i="1" a="1"/>
  <c r="T271" i="1" s="1"/>
  <c r="S202" i="1" a="1"/>
  <c r="S202" i="1" s="1"/>
  <c r="T223" i="1" a="1"/>
  <c r="T223" i="1" s="1"/>
  <c r="T168" i="1" a="1"/>
  <c r="T168" i="1" s="1"/>
  <c r="T83" i="1" a="1"/>
  <c r="T83" i="1" s="1"/>
  <c r="S136" i="1" a="1"/>
  <c r="S136" i="1" s="1"/>
  <c r="S64" i="1" a="1"/>
  <c r="S64" i="1" s="1"/>
  <c r="T121" i="1" a="1"/>
  <c r="T121" i="1" s="1"/>
  <c r="T49" i="1" a="1"/>
  <c r="T49" i="1" s="1"/>
  <c r="S102" i="1" a="1"/>
  <c r="S102" i="1" s="1"/>
  <c r="S158" i="1" a="1"/>
  <c r="S158" i="1" s="1"/>
  <c r="T87" i="1" a="1"/>
  <c r="T87" i="1" s="1"/>
  <c r="S140" i="1" a="1"/>
  <c r="S140" i="1" s="1"/>
  <c r="S68" i="1" a="1"/>
  <c r="S68" i="1" s="1"/>
  <c r="S123" i="1" a="1"/>
  <c r="S123" i="1" s="1"/>
  <c r="S51" i="1" a="1"/>
  <c r="S51" i="1" s="1"/>
  <c r="S106" i="1" a="1"/>
  <c r="S106" i="1" s="1"/>
  <c r="S34" i="1" a="1"/>
  <c r="S34" i="1" s="1"/>
  <c r="S101" i="1" a="1"/>
  <c r="S101" i="1" s="1"/>
  <c r="T146" i="1" a="1"/>
  <c r="T146" i="1" s="1"/>
  <c r="T74" i="1" a="1"/>
  <c r="T74" i="1" s="1"/>
  <c r="S127" i="1" a="1"/>
  <c r="S127" i="1" s="1"/>
  <c r="S55" i="1" a="1"/>
  <c r="S55" i="1" s="1"/>
  <c r="T100" i="1" a="1"/>
  <c r="T100" i="1" s="1"/>
  <c r="S21" i="1" a="1"/>
  <c r="S21" i="1" s="1"/>
  <c r="U21" i="1" s="1"/>
  <c r="S811" i="1" a="1"/>
  <c r="S811" i="1" s="1"/>
  <c r="U811" i="1" s="1"/>
  <c r="S805" i="1" a="1"/>
  <c r="S805" i="1" s="1"/>
  <c r="T771" i="1" a="1"/>
  <c r="T771" i="1" s="1"/>
  <c r="T754" i="1" a="1"/>
  <c r="T754" i="1" s="1"/>
  <c r="S747" i="1" a="1"/>
  <c r="S747" i="1" s="1"/>
  <c r="T744" i="1" a="1"/>
  <c r="T744" i="1" s="1"/>
  <c r="S749" i="1" a="1"/>
  <c r="S749" i="1" s="1"/>
  <c r="U749" i="1" s="1"/>
  <c r="T746" i="1" a="1"/>
  <c r="T746" i="1" s="1"/>
  <c r="T741" i="1" a="1"/>
  <c r="T741" i="1" s="1"/>
  <c r="T736" i="1" a="1"/>
  <c r="T736" i="1" s="1"/>
  <c r="S741" i="1" a="1"/>
  <c r="S741" i="1" s="1"/>
  <c r="S748" i="1" a="1"/>
  <c r="S748" i="1" s="1"/>
  <c r="U748" i="1" s="1"/>
  <c r="T733" i="1" a="1"/>
  <c r="T733" i="1" s="1"/>
  <c r="S661" i="1" a="1"/>
  <c r="S661" i="1" s="1"/>
  <c r="S692" i="1" a="1"/>
  <c r="S692" i="1" s="1"/>
  <c r="U692" i="1" s="1"/>
  <c r="S699" i="1" a="1"/>
  <c r="S699" i="1" s="1"/>
  <c r="T711" i="1" a="1"/>
  <c r="T711" i="1" s="1"/>
  <c r="S646" i="1" a="1"/>
  <c r="S646" i="1" s="1"/>
  <c r="T667" i="1" a="1"/>
  <c r="T667" i="1" s="1"/>
  <c r="S696" i="1" a="1"/>
  <c r="S696" i="1" s="1"/>
  <c r="T714" i="1" a="1"/>
  <c r="T714" i="1" s="1"/>
  <c r="T645" i="1" a="1"/>
  <c r="T645" i="1" s="1"/>
  <c r="S662" i="1" a="1"/>
  <c r="S662" i="1" s="1"/>
  <c r="T707" i="1" a="1"/>
  <c r="T707" i="1" s="1"/>
  <c r="T723" i="1" a="1"/>
  <c r="T723" i="1" s="1"/>
  <c r="S640" i="1" a="1"/>
  <c r="S640" i="1" s="1"/>
  <c r="S671" i="1" a="1"/>
  <c r="S671" i="1" s="1"/>
  <c r="S690" i="1" a="1"/>
  <c r="S690" i="1" s="1"/>
  <c r="T586" i="1" a="1"/>
  <c r="T586" i="1" s="1"/>
  <c r="T514" i="1" a="1"/>
  <c r="T514" i="1" s="1"/>
  <c r="T581" i="1" a="1"/>
  <c r="T581" i="1" s="1"/>
  <c r="T656" i="1" a="1"/>
  <c r="T656" i="1" s="1"/>
  <c r="T552" i="1" a="1"/>
  <c r="T552" i="1" s="1"/>
  <c r="T607" i="1" a="1"/>
  <c r="T607" i="1" s="1"/>
  <c r="T535" i="1" a="1"/>
  <c r="T535" i="1" s="1"/>
  <c r="S588" i="1" a="1"/>
  <c r="S588" i="1" s="1"/>
  <c r="S516" i="1" a="1"/>
  <c r="S516" i="1" s="1"/>
  <c r="T561" i="1" a="1"/>
  <c r="T561" i="1" s="1"/>
  <c r="T616" i="1" a="1"/>
  <c r="T616" i="1" s="1"/>
  <c r="T544" i="1" a="1"/>
  <c r="T544" i="1" s="1"/>
  <c r="S585" i="1" a="1"/>
  <c r="S585" i="1" s="1"/>
  <c r="S513" i="1" a="1"/>
  <c r="S513" i="1" s="1"/>
  <c r="S580" i="1" a="1"/>
  <c r="S580" i="1" s="1"/>
  <c r="S629" i="1" a="1"/>
  <c r="S629" i="1" s="1"/>
  <c r="S551" i="1" a="1"/>
  <c r="S551" i="1" s="1"/>
  <c r="T596" i="1" a="1"/>
  <c r="T596" i="1" s="1"/>
  <c r="T524" i="1" a="1"/>
  <c r="T524" i="1" s="1"/>
  <c r="S589" i="1" a="1"/>
  <c r="S589" i="1" s="1"/>
  <c r="S517" i="1" a="1"/>
  <c r="S517" i="1" s="1"/>
  <c r="S441" i="1" a="1"/>
  <c r="S441" i="1" s="1"/>
  <c r="T498" i="1" a="1"/>
  <c r="T498" i="1" s="1"/>
  <c r="T426" i="1" a="1"/>
  <c r="T426" i="1" s="1"/>
  <c r="S443" i="1" a="1"/>
  <c r="S443" i="1" s="1"/>
  <c r="U443" i="1" s="1"/>
  <c r="T488" i="1" a="1"/>
  <c r="T488" i="1" s="1"/>
  <c r="T416" i="1" a="1"/>
  <c r="T416" i="1" s="1"/>
  <c r="T459" i="1" a="1"/>
  <c r="T459" i="1" s="1"/>
  <c r="S500" i="1" a="1"/>
  <c r="S500" i="1" s="1"/>
  <c r="U500" i="1" s="1"/>
  <c r="S428" i="1" a="1"/>
  <c r="S428" i="1" s="1"/>
  <c r="U428" i="1" s="1"/>
  <c r="S483" i="1" a="1"/>
  <c r="S483" i="1" s="1"/>
  <c r="S411" i="1" a="1"/>
  <c r="S411" i="1" s="1"/>
  <c r="T432" i="1" a="1"/>
  <c r="T432" i="1" s="1"/>
  <c r="S485" i="1" a="1"/>
  <c r="S485" i="1" s="1"/>
  <c r="U485" i="1" s="1"/>
  <c r="S413" i="1" a="1"/>
  <c r="S413" i="1" s="1"/>
  <c r="U413" i="1" s="1"/>
  <c r="T446" i="1" a="1"/>
  <c r="T446" i="1" s="1"/>
  <c r="T465" i="1" a="1"/>
  <c r="T465" i="1" s="1"/>
  <c r="T504" i="1" a="1"/>
  <c r="T504" i="1" s="1"/>
  <c r="S434" i="1" a="1"/>
  <c r="S434" i="1" s="1"/>
  <c r="S376" i="1" a="1"/>
  <c r="S376" i="1" s="1"/>
  <c r="S304" i="1" a="1"/>
  <c r="S304" i="1" s="1"/>
  <c r="S347" i="1" a="1"/>
  <c r="S347" i="1" s="1"/>
  <c r="T380" i="1" a="1"/>
  <c r="T380" i="1" s="1"/>
  <c r="T308" i="1" a="1"/>
  <c r="T308" i="1" s="1"/>
  <c r="S349" i="1" a="1"/>
  <c r="S349" i="1" s="1"/>
  <c r="U349" i="1" s="1"/>
  <c r="S277" i="1" a="1"/>
  <c r="S277" i="1" s="1"/>
  <c r="S320" i="1" a="1"/>
  <c r="S320" i="1" s="1"/>
  <c r="U320" i="1" s="1"/>
  <c r="T353" i="1" a="1"/>
  <c r="T353" i="1" s="1"/>
  <c r="T281" i="1" a="1"/>
  <c r="T281" i="1" s="1"/>
  <c r="S346" i="1" a="1"/>
  <c r="S346" i="1" s="1"/>
  <c r="T367" i="1" a="1"/>
  <c r="T367" i="1" s="1"/>
  <c r="T295" i="1" a="1"/>
  <c r="T295" i="1" s="1"/>
  <c r="T350" i="1" a="1"/>
  <c r="T350" i="1" s="1"/>
  <c r="T278" i="1" a="1"/>
  <c r="T278" i="1" s="1"/>
  <c r="S331" i="1" a="1"/>
  <c r="S331" i="1" s="1"/>
  <c r="S338" i="1" a="1"/>
  <c r="S338" i="1" s="1"/>
  <c r="S399" i="1" a="1"/>
  <c r="S399" i="1" s="1"/>
  <c r="U399" i="1" s="1"/>
  <c r="S333" i="1" a="1"/>
  <c r="S333" i="1" s="1"/>
  <c r="U333" i="1" s="1"/>
  <c r="T270" i="1" a="1"/>
  <c r="T270" i="1" s="1"/>
  <c r="S204" i="1" a="1"/>
  <c r="S204" i="1" s="1"/>
  <c r="U204" i="1" s="1"/>
  <c r="S235" i="1" a="1"/>
  <c r="S235" i="1" s="1"/>
  <c r="S163" i="1" a="1"/>
  <c r="S163" i="1" s="1"/>
  <c r="S218" i="1" a="1"/>
  <c r="S218" i="1" s="1"/>
  <c r="T263" i="1" a="1"/>
  <c r="T263" i="1" s="1"/>
  <c r="T191" i="1" a="1"/>
  <c r="T191" i="1" s="1"/>
  <c r="T246" i="1" a="1"/>
  <c r="T246" i="1" s="1"/>
  <c r="T174" i="1" a="1"/>
  <c r="T174" i="1" s="1"/>
  <c r="T229" i="1" a="1"/>
  <c r="T229" i="1" s="1"/>
  <c r="S275" i="1" a="1"/>
  <c r="S275" i="1" s="1"/>
  <c r="S210" i="1" a="1"/>
  <c r="S210" i="1" s="1"/>
  <c r="T243" i="1" a="1"/>
  <c r="T243" i="1" s="1"/>
  <c r="T171" i="1" a="1"/>
  <c r="T171" i="1" s="1"/>
  <c r="T238" i="1" a="1"/>
  <c r="T238" i="1" s="1"/>
  <c r="T166" i="1" a="1"/>
  <c r="T166" i="1" s="1"/>
  <c r="T209" i="1" a="1"/>
  <c r="T209" i="1" s="1"/>
  <c r="T264" i="1" a="1"/>
  <c r="T264" i="1" s="1"/>
  <c r="T192" i="1" a="1"/>
  <c r="T192" i="1" s="1"/>
  <c r="S221" i="1" a="1"/>
  <c r="S221" i="1" s="1"/>
  <c r="U221" i="1" s="1"/>
  <c r="S155" i="1" a="1"/>
  <c r="S155" i="1" s="1"/>
  <c r="S81" i="1" a="1"/>
  <c r="S81" i="1" s="1"/>
  <c r="T126" i="1" a="1"/>
  <c r="T126" i="1" s="1"/>
  <c r="T54" i="1" a="1"/>
  <c r="T54" i="1" s="1"/>
  <c r="S119" i="1" a="1"/>
  <c r="S119" i="1" s="1"/>
  <c r="S47" i="1" a="1"/>
  <c r="S47" i="1" s="1"/>
  <c r="T92" i="1" a="1"/>
  <c r="T92" i="1" s="1"/>
  <c r="S154" i="1" a="1"/>
  <c r="S154" i="1" s="1"/>
  <c r="S85" i="1" a="1"/>
  <c r="S85" i="1" s="1"/>
  <c r="T130" i="1" a="1"/>
  <c r="T130" i="1" s="1"/>
  <c r="T58" i="1" a="1"/>
  <c r="T58" i="1" s="1"/>
  <c r="T113" i="1" a="1"/>
  <c r="T113" i="1" s="1"/>
  <c r="T41" i="1" a="1"/>
  <c r="T41" i="1" s="1"/>
  <c r="T96" i="1" a="1"/>
  <c r="T96" i="1" s="1"/>
  <c r="T164" i="1" a="1"/>
  <c r="T164" i="1" s="1"/>
  <c r="T91" i="1" a="1"/>
  <c r="T91" i="1" s="1"/>
  <c r="S144" i="1" a="1"/>
  <c r="S144" i="1" s="1"/>
  <c r="S72" i="1" a="1"/>
  <c r="S72" i="1" s="1"/>
  <c r="T117" i="1" a="1"/>
  <c r="T117" i="1" s="1"/>
  <c r="T45" i="1" a="1"/>
  <c r="T45" i="1" s="1"/>
  <c r="S794" i="1" a="1"/>
  <c r="S794" i="1" s="1"/>
  <c r="U794" i="1" s="1"/>
  <c r="S793" i="1" a="1"/>
  <c r="S793" i="1" s="1"/>
  <c r="U793" i="1" s="1"/>
  <c r="T759" i="1" a="1"/>
  <c r="T759" i="1" s="1"/>
  <c r="S752" i="1" a="1"/>
  <c r="S752" i="1" s="1"/>
  <c r="U752" i="1" s="1"/>
  <c r="T737" i="1" a="1"/>
  <c r="T737" i="1" s="1"/>
  <c r="S742" i="1" a="1"/>
  <c r="S742" i="1" s="1"/>
  <c r="T739" i="1" a="1"/>
  <c r="T739" i="1" s="1"/>
  <c r="S744" i="1" a="1"/>
  <c r="S744" i="1" s="1"/>
  <c r="U744" i="1" s="1"/>
  <c r="S739" i="1" a="1"/>
  <c r="S739" i="1" s="1"/>
  <c r="S734" i="1" a="1"/>
  <c r="S734" i="1" s="1"/>
  <c r="T731" i="1" a="1"/>
  <c r="T731" i="1" s="1"/>
  <c r="T738" i="1" a="1"/>
  <c r="T738" i="1" s="1"/>
  <c r="S731" i="1" a="1"/>
  <c r="S731" i="1" s="1"/>
  <c r="T651" i="1" a="1"/>
  <c r="T651" i="1" s="1"/>
  <c r="T682" i="1" a="1"/>
  <c r="T682" i="1" s="1"/>
  <c r="T689" i="1" a="1"/>
  <c r="T689" i="1" s="1"/>
  <c r="T708" i="1" a="1"/>
  <c r="T708" i="1" s="1"/>
  <c r="T636" i="1" a="1"/>
  <c r="T636" i="1" s="1"/>
  <c r="S665" i="1" a="1"/>
  <c r="S665" i="1" s="1"/>
  <c r="T686" i="1" a="1"/>
  <c r="T686" i="1" s="1"/>
  <c r="T710" i="1" a="1"/>
  <c r="T710" i="1" s="1"/>
  <c r="S643" i="1" a="1"/>
  <c r="S643" i="1" s="1"/>
  <c r="T652" i="1" a="1"/>
  <c r="T652" i="1" s="1"/>
  <c r="S705" i="1" a="1"/>
  <c r="S705" i="1" s="1"/>
  <c r="T702" i="1" a="1"/>
  <c r="T702" i="1" s="1"/>
  <c r="T630" i="1" a="1"/>
  <c r="T630" i="1" s="1"/>
  <c r="T661" i="1" a="1"/>
  <c r="T661" i="1" s="1"/>
  <c r="T680" i="1" a="1"/>
  <c r="T680" i="1" s="1"/>
  <c r="S584" i="1" a="1"/>
  <c r="S584" i="1" s="1"/>
  <c r="S512" i="1" a="1"/>
  <c r="S512" i="1" s="1"/>
  <c r="S579" i="1" a="1"/>
  <c r="S579" i="1" s="1"/>
  <c r="S632" i="1" a="1"/>
  <c r="S632" i="1" s="1"/>
  <c r="S550" i="1" a="1"/>
  <c r="S550" i="1" s="1"/>
  <c r="S605" i="1" a="1"/>
  <c r="S605" i="1" s="1"/>
  <c r="S533" i="1" a="1"/>
  <c r="S533" i="1" s="1"/>
  <c r="T578" i="1" a="1"/>
  <c r="T578" i="1" s="1"/>
  <c r="S633" i="1" a="1"/>
  <c r="S633" i="1" s="1"/>
  <c r="S559" i="1" a="1"/>
  <c r="S559" i="1" s="1"/>
  <c r="S614" i="1" a="1"/>
  <c r="S614" i="1" s="1"/>
  <c r="S542" i="1" a="1"/>
  <c r="S542" i="1" s="1"/>
  <c r="T575" i="1" a="1"/>
  <c r="T575" i="1" s="1"/>
  <c r="T503" i="1" a="1"/>
  <c r="T503" i="1" s="1"/>
  <c r="T570" i="1" a="1"/>
  <c r="T570" i="1" s="1"/>
  <c r="T613" i="1" a="1"/>
  <c r="T613" i="1" s="1"/>
  <c r="T541" i="1" a="1"/>
  <c r="T541" i="1" s="1"/>
  <c r="S594" i="1" a="1"/>
  <c r="S594" i="1" s="1"/>
  <c r="S522" i="1" a="1"/>
  <c r="S522" i="1" s="1"/>
  <c r="T579" i="1" a="1"/>
  <c r="T579" i="1" s="1"/>
  <c r="T509" i="1" a="1"/>
  <c r="T509" i="1" s="1"/>
  <c r="T431" i="1" a="1"/>
  <c r="T431" i="1" s="1"/>
  <c r="S496" i="1" a="1"/>
  <c r="S496" i="1" s="1"/>
  <c r="U496" i="1" s="1"/>
  <c r="S424" i="1" a="1"/>
  <c r="S424" i="1" s="1"/>
  <c r="U424" i="1" s="1"/>
  <c r="T433" i="1" a="1"/>
  <c r="T433" i="1" s="1"/>
  <c r="S486" i="1" a="1"/>
  <c r="S486" i="1" s="1"/>
  <c r="S414" i="1" a="1"/>
  <c r="S414" i="1" s="1"/>
  <c r="S457" i="1" a="1"/>
  <c r="S457" i="1" s="1"/>
  <c r="T490" i="1" a="1"/>
  <c r="T490" i="1" s="1"/>
  <c r="T418" i="1" a="1"/>
  <c r="T418" i="1" s="1"/>
  <c r="T473" i="1" a="1"/>
  <c r="T473" i="1" s="1"/>
  <c r="T505" i="1" a="1"/>
  <c r="T505" i="1" s="1"/>
  <c r="S430" i="1" a="1"/>
  <c r="S430" i="1" s="1"/>
  <c r="U430" i="1" s="1"/>
  <c r="T475" i="1" a="1"/>
  <c r="T475" i="1" s="1"/>
  <c r="T403" i="1" a="1"/>
  <c r="T403" i="1" s="1"/>
  <c r="S444" i="1" a="1"/>
  <c r="S444" i="1" s="1"/>
  <c r="U444" i="1" s="1"/>
  <c r="S463" i="1" a="1"/>
  <c r="S463" i="1" s="1"/>
  <c r="T496" i="1" a="1"/>
  <c r="T496" i="1" s="1"/>
  <c r="T424" i="1" a="1"/>
  <c r="T424" i="1" s="1"/>
  <c r="T366" i="1" a="1"/>
  <c r="T366" i="1" s="1"/>
  <c r="T294" i="1" a="1"/>
  <c r="T294" i="1" s="1"/>
  <c r="T337" i="1" a="1"/>
  <c r="T337" i="1" s="1"/>
  <c r="S378" i="1" a="1"/>
  <c r="S378" i="1" s="1"/>
  <c r="U378" i="1" s="1"/>
  <c r="S306" i="1" a="1"/>
  <c r="S306" i="1" s="1"/>
  <c r="U306" i="1" s="1"/>
  <c r="T339" i="1" a="1"/>
  <c r="T339" i="1" s="1"/>
  <c r="T382" i="1" a="1"/>
  <c r="T382" i="1" s="1"/>
  <c r="T310" i="1" a="1"/>
  <c r="T310" i="1" s="1"/>
  <c r="S351" i="1" a="1"/>
  <c r="S351" i="1" s="1"/>
  <c r="U351" i="1" s="1"/>
  <c r="S279" i="1" a="1"/>
  <c r="S279" i="1" s="1"/>
  <c r="U279" i="1" s="1"/>
  <c r="T336" i="1" a="1"/>
  <c r="T336" i="1" s="1"/>
  <c r="S365" i="1" a="1"/>
  <c r="S365" i="1" s="1"/>
  <c r="U365" i="1" s="1"/>
  <c r="S293" i="1" a="1"/>
  <c r="S293" i="1" s="1"/>
  <c r="U293" i="1" s="1"/>
  <c r="S348" i="1" a="1"/>
  <c r="S348" i="1" s="1"/>
  <c r="U348" i="1" s="1"/>
  <c r="S391" i="1" a="1"/>
  <c r="S391" i="1" s="1"/>
  <c r="T321" i="1" a="1"/>
  <c r="T321" i="1" s="1"/>
  <c r="T328" i="1" a="1"/>
  <c r="T328" i="1" s="1"/>
  <c r="S396" i="1" a="1"/>
  <c r="S396" i="1" s="1"/>
  <c r="T323" i="1" a="1"/>
  <c r="T323" i="1" s="1"/>
  <c r="T266" i="1" a="1"/>
  <c r="T266" i="1" s="1"/>
  <c r="T194" i="1" a="1"/>
  <c r="T194" i="1" s="1"/>
  <c r="T225" i="1" a="1"/>
  <c r="T225" i="1" s="1"/>
  <c r="S295" i="1" a="1"/>
  <c r="S295" i="1" s="1"/>
  <c r="U295" i="1" s="1"/>
  <c r="T208" i="1" a="1"/>
  <c r="T208" i="1" s="1"/>
  <c r="S261" i="1" a="1"/>
  <c r="S261" i="1" s="1"/>
  <c r="S189" i="1" a="1"/>
  <c r="S189" i="1" s="1"/>
  <c r="S244" i="1" a="1"/>
  <c r="S244" i="1" s="1"/>
  <c r="S172" i="1" a="1"/>
  <c r="S172" i="1" s="1"/>
  <c r="S227" i="1" a="1"/>
  <c r="S227" i="1" s="1"/>
  <c r="S274" i="1" a="1"/>
  <c r="S274" i="1" s="1"/>
  <c r="T200" i="1" a="1"/>
  <c r="T200" i="1" s="1"/>
  <c r="S241" i="1" a="1"/>
  <c r="S241" i="1" s="1"/>
  <c r="U241" i="1" s="1"/>
  <c r="S169" i="1" a="1"/>
  <c r="S169" i="1" s="1"/>
  <c r="U169" i="1" s="1"/>
  <c r="S236" i="1" a="1"/>
  <c r="S236" i="1" s="1"/>
  <c r="T300" i="1" a="1"/>
  <c r="T300" i="1" s="1"/>
  <c r="S207" i="1" a="1"/>
  <c r="S207" i="1" s="1"/>
  <c r="S262" i="1" a="1"/>
  <c r="S262" i="1" s="1"/>
  <c r="S190" i="1" a="1"/>
  <c r="S190" i="1" s="1"/>
  <c r="T211" i="1" a="1"/>
  <c r="T211" i="1" s="1"/>
  <c r="T143" i="1" a="1"/>
  <c r="T143" i="1" s="1"/>
  <c r="T71" i="1" a="1"/>
  <c r="T71" i="1" s="1"/>
  <c r="S124" i="1" a="1"/>
  <c r="S124" i="1" s="1"/>
  <c r="S52" i="1" a="1"/>
  <c r="S52" i="1" s="1"/>
  <c r="T109" i="1" a="1"/>
  <c r="T109" i="1" s="1"/>
  <c r="T37" i="1" a="1"/>
  <c r="T37" i="1" s="1"/>
  <c r="S90" i="1" a="1"/>
  <c r="S90" i="1" s="1"/>
  <c r="S151" i="1" a="1"/>
  <c r="S151" i="1" s="1"/>
  <c r="T75" i="1" a="1"/>
  <c r="T75" i="1" s="1"/>
  <c r="S128" i="1" a="1"/>
  <c r="S128" i="1" s="1"/>
  <c r="S56" i="1" a="1"/>
  <c r="S56" i="1" s="1"/>
  <c r="S111" i="1" a="1"/>
  <c r="S111" i="1" s="1"/>
  <c r="S39" i="1" a="1"/>
  <c r="S39" i="1" s="1"/>
  <c r="S94" i="1" a="1"/>
  <c r="S94" i="1" s="1"/>
  <c r="S156" i="1" a="1"/>
  <c r="S156" i="1" s="1"/>
  <c r="S89" i="1" a="1"/>
  <c r="S89" i="1" s="1"/>
  <c r="T134" i="1" a="1"/>
  <c r="T134" i="1" s="1"/>
  <c r="T62" i="1" a="1"/>
  <c r="T62" i="1" s="1"/>
  <c r="S115" i="1" a="1"/>
  <c r="S115" i="1" s="1"/>
  <c r="S43" i="1" a="1"/>
  <c r="S43" i="1" s="1"/>
  <c r="T88" i="1" a="1"/>
  <c r="T88" i="1" s="1"/>
  <c r="T815" i="1" a="1"/>
  <c r="T815" i="1" s="1"/>
  <c r="T844" i="1" a="1"/>
  <c r="T844" i="1" s="1"/>
  <c r="S757" i="1" a="1"/>
  <c r="S757" i="1" s="1"/>
  <c r="T742" i="1" a="1"/>
  <c r="T742" i="1" s="1"/>
  <c r="S735" i="1" a="1"/>
  <c r="S735" i="1" s="1"/>
  <c r="T732" i="1" a="1"/>
  <c r="T732" i="1" s="1"/>
  <c r="S737" i="1" a="1"/>
  <c r="S737" i="1" s="1"/>
  <c r="U737" i="1" s="1"/>
  <c r="T734" i="1" a="1"/>
  <c r="T734" i="1" s="1"/>
  <c r="T729" i="1" a="1"/>
  <c r="T729" i="1" s="1"/>
  <c r="T724" i="1" a="1"/>
  <c r="T724" i="1" s="1"/>
  <c r="S729" i="1" a="1"/>
  <c r="S729" i="1" s="1"/>
  <c r="S736" i="1" a="1"/>
  <c r="S736" i="1" s="1"/>
  <c r="U736" i="1" s="1"/>
  <c r="T721" i="1" a="1"/>
  <c r="T721" i="1" s="1"/>
  <c r="S649" i="1" a="1"/>
  <c r="S649" i="1" s="1"/>
  <c r="S680" i="1" a="1"/>
  <c r="S680" i="1" s="1"/>
  <c r="U680" i="1" s="1"/>
  <c r="S687" i="1" a="1"/>
  <c r="S687" i="1" s="1"/>
  <c r="S706" i="1" a="1"/>
  <c r="S706" i="1" s="1"/>
  <c r="S634" i="1" a="1"/>
  <c r="S634" i="1" s="1"/>
  <c r="T655" i="1" a="1"/>
  <c r="T655" i="1" s="1"/>
  <c r="S684" i="1" a="1"/>
  <c r="S684" i="1" s="1"/>
  <c r="T705" i="1" a="1"/>
  <c r="T705" i="1" s="1"/>
  <c r="T633" i="1" a="1"/>
  <c r="T633" i="1" s="1"/>
  <c r="S650" i="1" a="1"/>
  <c r="S650" i="1" s="1"/>
  <c r="T695" i="1" a="1"/>
  <c r="T695" i="1" s="1"/>
  <c r="S700" i="1" a="1"/>
  <c r="S700" i="1" s="1"/>
  <c r="S628" i="1" a="1"/>
  <c r="S628" i="1" s="1"/>
  <c r="S659" i="1" a="1"/>
  <c r="S659" i="1" s="1"/>
  <c r="S678" i="1" a="1"/>
  <c r="S678" i="1" s="1"/>
  <c r="T574" i="1" a="1"/>
  <c r="T574" i="1" s="1"/>
  <c r="T632" i="1" a="1"/>
  <c r="T632" i="1" s="1"/>
  <c r="T569" i="1" a="1"/>
  <c r="T569" i="1" s="1"/>
  <c r="T612" i="1" a="1"/>
  <c r="T612" i="1" s="1"/>
  <c r="T540" i="1" a="1"/>
  <c r="T540" i="1" s="1"/>
  <c r="T595" i="1" a="1"/>
  <c r="T595" i="1" s="1"/>
  <c r="T523" i="1" a="1"/>
  <c r="T523" i="1" s="1"/>
  <c r="S576" i="1" a="1"/>
  <c r="S576" i="1" s="1"/>
  <c r="T625" i="1" a="1"/>
  <c r="T625" i="1" s="1"/>
  <c r="T549" i="1" a="1"/>
  <c r="T549" i="1" s="1"/>
  <c r="T604" i="1" a="1"/>
  <c r="T604" i="1" s="1"/>
  <c r="T532" i="1" a="1"/>
  <c r="T532" i="1" s="1"/>
  <c r="S573" i="1" a="1"/>
  <c r="S573" i="1" s="1"/>
  <c r="U573" i="1" s="1"/>
  <c r="T629" i="1" a="1"/>
  <c r="T629" i="1" s="1"/>
  <c r="S568" i="1" a="1"/>
  <c r="S568" i="1" s="1"/>
  <c r="S611" i="1" a="1"/>
  <c r="S611" i="1" s="1"/>
  <c r="S539" i="1" a="1"/>
  <c r="S539" i="1" s="1"/>
  <c r="T584" i="1" a="1"/>
  <c r="T584" i="1" s="1"/>
  <c r="T512" i="1" a="1"/>
  <c r="T512" i="1" s="1"/>
  <c r="S577" i="1" a="1"/>
  <c r="S577" i="1" s="1"/>
  <c r="S501" i="1" a="1"/>
  <c r="S501" i="1" s="1"/>
  <c r="S429" i="1" a="1"/>
  <c r="S429" i="1" s="1"/>
  <c r="T486" i="1" a="1"/>
  <c r="T486" i="1" s="1"/>
  <c r="T414" i="1" a="1"/>
  <c r="T414" i="1" s="1"/>
  <c r="S431" i="1" a="1"/>
  <c r="S431" i="1" s="1"/>
  <c r="U431" i="1" s="1"/>
  <c r="T476" i="1" a="1"/>
  <c r="T476" i="1" s="1"/>
  <c r="T404" i="1" a="1"/>
  <c r="T404" i="1" s="1"/>
  <c r="T447" i="1" a="1"/>
  <c r="T447" i="1" s="1"/>
  <c r="S488" i="1" a="1"/>
  <c r="S488" i="1" s="1"/>
  <c r="U488" i="1" s="1"/>
  <c r="S416" i="1" a="1"/>
  <c r="S416" i="1" s="1"/>
  <c r="U416" i="1" s="1"/>
  <c r="S471" i="1" a="1"/>
  <c r="S471" i="1" s="1"/>
  <c r="U471" i="1" s="1"/>
  <c r="T492" i="1" a="1"/>
  <c r="T492" i="1" s="1"/>
  <c r="T420" i="1" a="1"/>
  <c r="T420" i="1" s="1"/>
  <c r="S473" i="1" a="1"/>
  <c r="S473" i="1" s="1"/>
  <c r="U473" i="1" s="1"/>
  <c r="S401" i="1" a="1"/>
  <c r="S401" i="1" s="1"/>
  <c r="T434" i="1" a="1"/>
  <c r="T434" i="1" s="1"/>
  <c r="T453" i="1" a="1"/>
  <c r="T453" i="1" s="1"/>
  <c r="S494" i="1" a="1"/>
  <c r="S494" i="1" s="1"/>
  <c r="S422" i="1" a="1"/>
  <c r="S422" i="1" s="1"/>
  <c r="S364" i="1" a="1"/>
  <c r="S364" i="1" s="1"/>
  <c r="S292" i="1" a="1"/>
  <c r="S292" i="1" s="1"/>
  <c r="S335" i="1" a="1"/>
  <c r="S335" i="1" s="1"/>
  <c r="U335" i="1" s="1"/>
  <c r="T368" i="1" a="1"/>
  <c r="T368" i="1" s="1"/>
  <c r="T296" i="1" a="1"/>
  <c r="T296" i="1" s="1"/>
  <c r="S337" i="1" a="1"/>
  <c r="S337" i="1" s="1"/>
  <c r="U337" i="1" s="1"/>
  <c r="S380" i="1" a="1"/>
  <c r="S380" i="1" s="1"/>
  <c r="U380" i="1" s="1"/>
  <c r="S308" i="1" a="1"/>
  <c r="S308" i="1" s="1"/>
  <c r="U308" i="1" s="1"/>
  <c r="T341" i="1" a="1"/>
  <c r="T341" i="1" s="1"/>
  <c r="T269" i="1" a="1"/>
  <c r="T269" i="1" s="1"/>
  <c r="S334" i="1" a="1"/>
  <c r="S334" i="1" s="1"/>
  <c r="T355" i="1" a="1"/>
  <c r="T355" i="1" s="1"/>
  <c r="T283" i="1" a="1"/>
  <c r="T283" i="1" s="1"/>
  <c r="T338" i="1" a="1"/>
  <c r="T338" i="1" s="1"/>
  <c r="S390" i="1" a="1"/>
  <c r="S390" i="1" s="1"/>
  <c r="S319" i="1" a="1"/>
  <c r="S319" i="1" s="1"/>
  <c r="S326" i="1" a="1"/>
  <c r="S326" i="1" s="1"/>
  <c r="S389" i="1" a="1"/>
  <c r="S389" i="1" s="1"/>
  <c r="S321" i="1" a="1"/>
  <c r="S321" i="1" s="1"/>
  <c r="U321" i="1" s="1"/>
  <c r="S264" i="1" a="1"/>
  <c r="S264" i="1" s="1"/>
  <c r="U264" i="1" s="1"/>
  <c r="S192" i="1" a="1"/>
  <c r="S192" i="1" s="1"/>
  <c r="U192" i="1" s="1"/>
  <c r="S223" i="1" a="1"/>
  <c r="S223" i="1" s="1"/>
  <c r="U223" i="1" s="1"/>
  <c r="T284" i="1" a="1"/>
  <c r="T284" i="1" s="1"/>
  <c r="S206" i="1" a="1"/>
  <c r="S206" i="1" s="1"/>
  <c r="U206" i="1" s="1"/>
  <c r="T251" i="1" a="1"/>
  <c r="T251" i="1" s="1"/>
  <c r="T179" i="1" a="1"/>
  <c r="T179" i="1" s="1"/>
  <c r="T234" i="1" a="1"/>
  <c r="T234" i="1" s="1"/>
  <c r="T162" i="1" a="1"/>
  <c r="T162" i="1" s="1"/>
  <c r="T217" i="1" a="1"/>
  <c r="T217" i="1" s="1"/>
  <c r="S268" i="1" a="1"/>
  <c r="S268" i="1" s="1"/>
  <c r="S198" i="1" a="1"/>
  <c r="S198" i="1" s="1"/>
  <c r="T231" i="1" a="1"/>
  <c r="T231" i="1" s="1"/>
  <c r="T159" i="1" a="1"/>
  <c r="T159" i="1" s="1"/>
  <c r="T226" i="1" a="1"/>
  <c r="T226" i="1" s="1"/>
  <c r="S298" i="1" a="1"/>
  <c r="S298" i="1" s="1"/>
  <c r="T197" i="1" a="1"/>
  <c r="T197" i="1" s="1"/>
  <c r="T252" i="1" a="1"/>
  <c r="T252" i="1" s="1"/>
  <c r="T180" i="1" a="1"/>
  <c r="T180" i="1" s="1"/>
  <c r="S209" i="1" a="1"/>
  <c r="S209" i="1" s="1"/>
  <c r="U209" i="1" s="1"/>
  <c r="S141" i="1" a="1"/>
  <c r="S141" i="1" s="1"/>
  <c r="S69" i="1" a="1"/>
  <c r="S69" i="1" s="1"/>
  <c r="T114" i="1" a="1"/>
  <c r="T114" i="1" s="1"/>
  <c r="T42" i="1" a="1"/>
  <c r="T42" i="1" s="1"/>
  <c r="S107" i="1" a="1"/>
  <c r="S107" i="1" s="1"/>
  <c r="S159" i="1" a="1"/>
  <c r="S159" i="1" s="1"/>
  <c r="U159" i="1" s="1"/>
  <c r="T80" i="1" a="1"/>
  <c r="T80" i="1" s="1"/>
  <c r="S145" i="1" a="1"/>
  <c r="S145" i="1" s="1"/>
  <c r="S73" i="1" a="1"/>
  <c r="S73" i="1" s="1"/>
  <c r="T118" i="1" a="1"/>
  <c r="T118" i="1" s="1"/>
  <c r="T46" i="1" a="1"/>
  <c r="T46" i="1" s="1"/>
  <c r="T101" i="1" a="1"/>
  <c r="T101" i="1" s="1"/>
  <c r="T161" i="1" a="1"/>
  <c r="T161" i="1" s="1"/>
  <c r="T84" i="1" a="1"/>
  <c r="T84" i="1" s="1"/>
  <c r="S153" i="1" a="1"/>
  <c r="S153" i="1" s="1"/>
  <c r="T79" i="1" a="1"/>
  <c r="T79" i="1" s="1"/>
  <c r="S132" i="1" a="1"/>
  <c r="S132" i="1" s="1"/>
  <c r="S60" i="1" a="1"/>
  <c r="S60" i="1" s="1"/>
  <c r="T105" i="1" a="1"/>
  <c r="T105" i="1" s="1"/>
  <c r="S152" i="1" a="1"/>
  <c r="S152" i="1" s="1"/>
  <c r="S86" i="1" a="1"/>
  <c r="S86" i="1" s="1"/>
  <c r="S2" i="1" a="1"/>
  <c r="S2" i="1" s="1"/>
  <c r="U2" i="1" s="1"/>
  <c r="T26" i="1" a="1"/>
  <c r="T26" i="1" s="1"/>
  <c r="T33" i="1" a="1"/>
  <c r="T33" i="1" s="1"/>
  <c r="S789" i="1" a="1"/>
  <c r="S789" i="1" s="1"/>
  <c r="U789" i="1" s="1"/>
  <c r="T814" i="1" a="1"/>
  <c r="T814" i="1" s="1"/>
  <c r="T747" i="1" a="1"/>
  <c r="T747" i="1" s="1"/>
  <c r="S740" i="1" a="1"/>
  <c r="S740" i="1" s="1"/>
  <c r="T725" i="1" a="1"/>
  <c r="T725" i="1" s="1"/>
  <c r="S730" i="1" a="1"/>
  <c r="S730" i="1" s="1"/>
  <c r="T727" i="1" a="1"/>
  <c r="T727" i="1" s="1"/>
  <c r="S732" i="1" a="1"/>
  <c r="S732" i="1" s="1"/>
  <c r="U732" i="1" s="1"/>
  <c r="S727" i="1" a="1"/>
  <c r="S727" i="1" s="1"/>
  <c r="U727" i="1" s="1"/>
  <c r="S722" i="1" a="1"/>
  <c r="S722" i="1" s="1"/>
  <c r="T719" i="1" a="1"/>
  <c r="T719" i="1" s="1"/>
  <c r="T726" i="1" a="1"/>
  <c r="T726" i="1" s="1"/>
  <c r="S719" i="1" a="1"/>
  <c r="S719" i="1" s="1"/>
  <c r="T639" i="1" a="1"/>
  <c r="T639" i="1" s="1"/>
  <c r="T670" i="1" a="1"/>
  <c r="T670" i="1" s="1"/>
  <c r="T677" i="1" a="1"/>
  <c r="T677" i="1" s="1"/>
  <c r="T696" i="1" a="1"/>
  <c r="T696" i="1" s="1"/>
  <c r="S726" i="1" a="1"/>
  <c r="S726" i="1" s="1"/>
  <c r="U726" i="1" s="1"/>
  <c r="S653" i="1" a="1"/>
  <c r="S653" i="1" s="1"/>
  <c r="T674" i="1" a="1"/>
  <c r="T674" i="1" s="1"/>
  <c r="S703" i="1" a="1"/>
  <c r="S703" i="1" s="1"/>
  <c r="T776" i="1" a="1"/>
  <c r="T776" i="1" s="1"/>
  <c r="T640" i="1" a="1"/>
  <c r="T640" i="1" s="1"/>
  <c r="S693" i="1" a="1"/>
  <c r="S693" i="1" s="1"/>
  <c r="T690" i="1" a="1"/>
  <c r="T690" i="1" s="1"/>
  <c r="T843" i="1" a="1"/>
  <c r="T843" i="1" s="1"/>
  <c r="T649" i="1" a="1"/>
  <c r="T649" i="1" s="1"/>
  <c r="T668" i="1" a="1"/>
  <c r="T668" i="1" s="1"/>
  <c r="S572" i="1" a="1"/>
  <c r="S572" i="1" s="1"/>
  <c r="S631" i="1" a="1"/>
  <c r="S631" i="1" s="1"/>
  <c r="S567" i="1" a="1"/>
  <c r="S567" i="1" s="1"/>
  <c r="S610" i="1" a="1"/>
  <c r="S610" i="1" s="1"/>
  <c r="S538" i="1" a="1"/>
  <c r="S538" i="1" s="1"/>
  <c r="S593" i="1" a="1"/>
  <c r="S593" i="1" s="1"/>
  <c r="U593" i="1" s="1"/>
  <c r="S521" i="1" a="1"/>
  <c r="S521" i="1" s="1"/>
  <c r="U521" i="1" s="1"/>
  <c r="T566" i="1" a="1"/>
  <c r="T566" i="1" s="1"/>
  <c r="S619" i="1" a="1"/>
  <c r="S619" i="1" s="1"/>
  <c r="U619" i="1" s="1"/>
  <c r="S547" i="1" a="1"/>
  <c r="S547" i="1" s="1"/>
  <c r="U547" i="1" s="1"/>
  <c r="S602" i="1" a="1"/>
  <c r="S602" i="1" s="1"/>
  <c r="S530" i="1" a="1"/>
  <c r="S530" i="1" s="1"/>
  <c r="T563" i="1" a="1"/>
  <c r="T563" i="1" s="1"/>
  <c r="T624" i="1" a="1"/>
  <c r="T624" i="1" s="1"/>
  <c r="T558" i="1" a="1"/>
  <c r="T558" i="1" s="1"/>
  <c r="T601" i="1" a="1"/>
  <c r="T601" i="1" s="1"/>
  <c r="T529" i="1" a="1"/>
  <c r="T529" i="1" s="1"/>
  <c r="S582" i="1" a="1"/>
  <c r="S582" i="1" s="1"/>
  <c r="U582" i="1" s="1"/>
  <c r="S510" i="1" a="1"/>
  <c r="S510" i="1" s="1"/>
  <c r="U510" i="1" s="1"/>
  <c r="T567" i="1" a="1"/>
  <c r="T567" i="1" s="1"/>
  <c r="T491" i="1" a="1"/>
  <c r="T491" i="1" s="1"/>
  <c r="T419" i="1" a="1"/>
  <c r="T419" i="1" s="1"/>
  <c r="S484" i="1" a="1"/>
  <c r="S484" i="1" s="1"/>
  <c r="T493" i="1" a="1"/>
  <c r="T493" i="1" s="1"/>
  <c r="T421" i="1" a="1"/>
  <c r="T421" i="1" s="1"/>
  <c r="S474" i="1" a="1"/>
  <c r="S474" i="1" s="1"/>
  <c r="S402" i="1" a="1"/>
  <c r="S402" i="1" s="1"/>
  <c r="S445" i="1" a="1"/>
  <c r="S445" i="1" s="1"/>
  <c r="U445" i="1" s="1"/>
  <c r="T478" i="1" a="1"/>
  <c r="T478" i="1" s="1"/>
  <c r="T406" i="1" a="1"/>
  <c r="T406" i="1" s="1"/>
  <c r="T461" i="1" a="1"/>
  <c r="T461" i="1" s="1"/>
  <c r="S490" i="1" a="1"/>
  <c r="S490" i="1" s="1"/>
  <c r="U490" i="1" s="1"/>
  <c r="S418" i="1" a="1"/>
  <c r="S418" i="1" s="1"/>
  <c r="U418" i="1" s="1"/>
  <c r="T463" i="1" a="1"/>
  <c r="T463" i="1" s="1"/>
  <c r="S505" i="1" a="1"/>
  <c r="S505" i="1" s="1"/>
  <c r="U505" i="1" s="1"/>
  <c r="S432" i="1" a="1"/>
  <c r="S432" i="1" s="1"/>
  <c r="U432" i="1" s="1"/>
  <c r="S451" i="1" a="1"/>
  <c r="S451" i="1" s="1"/>
  <c r="T484" i="1" a="1"/>
  <c r="T484" i="1" s="1"/>
  <c r="T412" i="1" a="1"/>
  <c r="T412" i="1" s="1"/>
  <c r="T354" i="1" a="1"/>
  <c r="T354" i="1" s="1"/>
  <c r="T282" i="1" a="1"/>
  <c r="T282" i="1" s="1"/>
  <c r="T325" i="1" a="1"/>
  <c r="T325" i="1" s="1"/>
  <c r="S366" i="1" a="1"/>
  <c r="S366" i="1" s="1"/>
  <c r="U366" i="1" s="1"/>
  <c r="S294" i="1" a="1"/>
  <c r="S294" i="1" s="1"/>
  <c r="U294" i="1" s="1"/>
  <c r="T327" i="1" a="1"/>
  <c r="T327" i="1" s="1"/>
  <c r="T370" i="1" a="1"/>
  <c r="T370" i="1" s="1"/>
  <c r="T298" i="1" a="1"/>
  <c r="T298" i="1" s="1"/>
  <c r="S339" i="1" a="1"/>
  <c r="S339" i="1" s="1"/>
  <c r="U339" i="1" s="1"/>
  <c r="S267" i="1" a="1"/>
  <c r="S267" i="1" s="1"/>
  <c r="T324" i="1" a="1"/>
  <c r="T324" i="1" s="1"/>
  <c r="S353" i="1" a="1"/>
  <c r="S353" i="1" s="1"/>
  <c r="U353" i="1" s="1"/>
  <c r="S281" i="1" a="1"/>
  <c r="S281" i="1" s="1"/>
  <c r="U281" i="1" s="1"/>
  <c r="S336" i="1" a="1"/>
  <c r="S336" i="1" s="1"/>
  <c r="U336" i="1" s="1"/>
  <c r="T381" i="1" a="1"/>
  <c r="T381" i="1" s="1"/>
  <c r="T389" i="1" a="1"/>
  <c r="T389" i="1" s="1"/>
  <c r="T316" i="1" a="1"/>
  <c r="T316" i="1" s="1"/>
  <c r="T383" i="1" a="1"/>
  <c r="T383" i="1" s="1"/>
  <c r="T311" i="1" a="1"/>
  <c r="T311" i="1" s="1"/>
  <c r="T254" i="1" a="1"/>
  <c r="T254" i="1" s="1"/>
  <c r="T182" i="1" a="1"/>
  <c r="T182" i="1" s="1"/>
  <c r="T213" i="1" a="1"/>
  <c r="T213" i="1" s="1"/>
  <c r="S270" i="1" a="1"/>
  <c r="S270" i="1" s="1"/>
  <c r="U270" i="1" s="1"/>
  <c r="T196" i="1" a="1"/>
  <c r="T196" i="1" s="1"/>
  <c r="S249" i="1" a="1"/>
  <c r="S249" i="1" s="1"/>
  <c r="S177" i="1" a="1"/>
  <c r="S177" i="1" s="1"/>
  <c r="S232" i="1" a="1"/>
  <c r="S232" i="1" s="1"/>
  <c r="S160" i="1" a="1"/>
  <c r="S160" i="1" s="1"/>
  <c r="U160" i="1" s="1"/>
  <c r="S215" i="1" a="1"/>
  <c r="S215" i="1" s="1"/>
  <c r="T260" i="1" a="1"/>
  <c r="T260" i="1" s="1"/>
  <c r="T188" i="1" a="1"/>
  <c r="T188" i="1" s="1"/>
  <c r="S229" i="1" a="1"/>
  <c r="S229" i="1" s="1"/>
  <c r="U229" i="1" s="1"/>
  <c r="S157" i="1" a="1"/>
  <c r="S157" i="1" s="1"/>
  <c r="S224" i="1" a="1"/>
  <c r="S224" i="1" s="1"/>
  <c r="T272" i="1" a="1"/>
  <c r="T272" i="1" s="1"/>
  <c r="S195" i="1" a="1"/>
  <c r="S195" i="1" s="1"/>
  <c r="S250" i="1" a="1"/>
  <c r="S250" i="1" s="1"/>
  <c r="U250" i="1" s="1"/>
  <c r="S178" i="1" a="1"/>
  <c r="S178" i="1" s="1"/>
  <c r="U178" i="1" s="1"/>
  <c r="T199" i="1" a="1"/>
  <c r="T199" i="1" s="1"/>
  <c r="T131" i="1" a="1"/>
  <c r="T131" i="1" s="1"/>
  <c r="T59" i="1" a="1"/>
  <c r="T59" i="1" s="1"/>
  <c r="S112" i="1" a="1"/>
  <c r="S112" i="1" s="1"/>
  <c r="S40" i="1" a="1"/>
  <c r="S40" i="1" s="1"/>
  <c r="U40" i="1" s="1"/>
  <c r="T97" i="1" a="1"/>
  <c r="T97" i="1" s="1"/>
  <c r="S148" i="1" a="1"/>
  <c r="S148" i="1" s="1"/>
  <c r="S78" i="1" a="1"/>
  <c r="S78" i="1" s="1"/>
  <c r="T135" i="1" a="1"/>
  <c r="T135" i="1" s="1"/>
  <c r="T63" i="1" a="1"/>
  <c r="T63" i="1" s="1"/>
  <c r="S116" i="1" a="1"/>
  <c r="S116" i="1" s="1"/>
  <c r="S44" i="1" a="1"/>
  <c r="S44" i="1" s="1"/>
  <c r="S99" i="1" a="1"/>
  <c r="S99" i="1" s="1"/>
  <c r="T156" i="1" a="1"/>
  <c r="T156" i="1" s="1"/>
  <c r="S82" i="1" a="1"/>
  <c r="S82" i="1" s="1"/>
  <c r="S150" i="1" a="1"/>
  <c r="S150" i="1" s="1"/>
  <c r="S77" i="1" a="1"/>
  <c r="S77" i="1" s="1"/>
  <c r="T122" i="1" a="1"/>
  <c r="T122" i="1" s="1"/>
  <c r="T50" i="1" a="1"/>
  <c r="T50" i="1" s="1"/>
  <c r="S103" i="1" a="1"/>
  <c r="S103" i="1" s="1"/>
  <c r="U103" i="1" s="1"/>
  <c r="S149" i="1" a="1"/>
  <c r="S149" i="1" s="1"/>
  <c r="U149" i="1" s="1"/>
  <c r="T76" i="1" a="1"/>
  <c r="T76" i="1" s="1"/>
  <c r="T798" i="1" a="1"/>
  <c r="T798" i="1" s="1"/>
  <c r="T802" i="1" a="1"/>
  <c r="T802" i="1" s="1"/>
  <c r="S745" i="1" a="1"/>
  <c r="S745" i="1" s="1"/>
  <c r="U745" i="1" s="1"/>
  <c r="T730" i="1" a="1"/>
  <c r="T730" i="1" s="1"/>
  <c r="S723" i="1" a="1"/>
  <c r="S723" i="1" s="1"/>
  <c r="U723" i="1" s="1"/>
  <c r="T720" i="1" a="1"/>
  <c r="T720" i="1" s="1"/>
  <c r="S725" i="1" a="1"/>
  <c r="S725" i="1" s="1"/>
  <c r="U725" i="1" s="1"/>
  <c r="T722" i="1" a="1"/>
  <c r="T722" i="1" s="1"/>
  <c r="T717" i="1" a="1"/>
  <c r="T717" i="1" s="1"/>
  <c r="T816" i="1" a="1"/>
  <c r="T816" i="1" s="1"/>
  <c r="S717" i="1" a="1"/>
  <c r="S717" i="1" s="1"/>
  <c r="U717" i="1" s="1"/>
  <c r="S724" i="1" a="1"/>
  <c r="S724" i="1" s="1"/>
  <c r="U724" i="1" s="1"/>
  <c r="S709" i="1" a="1"/>
  <c r="S709" i="1" s="1"/>
  <c r="S637" i="1" a="1"/>
  <c r="S637" i="1" s="1"/>
  <c r="S668" i="1" a="1"/>
  <c r="S668" i="1" s="1"/>
  <c r="U668" i="1" s="1"/>
  <c r="S675" i="1" a="1"/>
  <c r="S675" i="1" s="1"/>
  <c r="S694" i="1" a="1"/>
  <c r="S694" i="1" s="1"/>
  <c r="U694" i="1" s="1"/>
  <c r="T716" i="1" a="1"/>
  <c r="T716" i="1" s="1"/>
  <c r="T643" i="1" a="1"/>
  <c r="T643" i="1" s="1"/>
  <c r="S672" i="1" a="1"/>
  <c r="S672" i="1" s="1"/>
  <c r="T693" i="1" a="1"/>
  <c r="T693" i="1" s="1"/>
  <c r="S762" i="1" a="1"/>
  <c r="S762" i="1" s="1"/>
  <c r="S638" i="1" a="1"/>
  <c r="S638" i="1" s="1"/>
  <c r="T683" i="1" a="1"/>
  <c r="T683" i="1" s="1"/>
  <c r="S688" i="1" a="1"/>
  <c r="S688" i="1" s="1"/>
  <c r="S750" i="1" a="1"/>
  <c r="S750" i="1" s="1"/>
  <c r="U750" i="1" s="1"/>
  <c r="S647" i="1" a="1"/>
  <c r="S647" i="1" s="1"/>
  <c r="U647" i="1" s="1"/>
  <c r="S666" i="1" a="1"/>
  <c r="S666" i="1" s="1"/>
  <c r="T562" i="1" a="1"/>
  <c r="T562" i="1" s="1"/>
  <c r="S623" i="1" a="1"/>
  <c r="S623" i="1" s="1"/>
  <c r="T557" i="1" a="1"/>
  <c r="T557" i="1" s="1"/>
  <c r="T600" i="1" a="1"/>
  <c r="T600" i="1" s="1"/>
  <c r="T528" i="1" a="1"/>
  <c r="T528" i="1" s="1"/>
  <c r="T583" i="1" a="1"/>
  <c r="T583" i="1" s="1"/>
  <c r="T511" i="1" a="1"/>
  <c r="T511" i="1" s="1"/>
  <c r="S564" i="1" a="1"/>
  <c r="S564" i="1" s="1"/>
  <c r="U564" i="1" s="1"/>
  <c r="T609" i="1" a="1"/>
  <c r="T609" i="1" s="1"/>
  <c r="T537" i="1" a="1"/>
  <c r="T537" i="1" s="1"/>
  <c r="T592" i="1" a="1"/>
  <c r="T592" i="1" s="1"/>
  <c r="T520" i="1" a="1"/>
  <c r="T520" i="1" s="1"/>
  <c r="S561" i="1" a="1"/>
  <c r="S561" i="1" s="1"/>
  <c r="U561" i="1" s="1"/>
  <c r="T621" i="1" a="1"/>
  <c r="T621" i="1" s="1"/>
  <c r="S556" i="1" a="1"/>
  <c r="S556" i="1" s="1"/>
  <c r="U556" i="1" s="1"/>
  <c r="S599" i="1" a="1"/>
  <c r="S599" i="1" s="1"/>
  <c r="S527" i="1" a="1"/>
  <c r="S527" i="1" s="1"/>
  <c r="T572" i="1" a="1"/>
  <c r="T572" i="1" s="1"/>
  <c r="S654" i="1" a="1"/>
  <c r="S654" i="1" s="1"/>
  <c r="S565" i="1" a="1"/>
  <c r="S565" i="1" s="1"/>
  <c r="S489" i="1" a="1"/>
  <c r="S489" i="1" s="1"/>
  <c r="S417" i="1" a="1"/>
  <c r="S417" i="1" s="1"/>
  <c r="T474" i="1" a="1"/>
  <c r="T474" i="1" s="1"/>
  <c r="S491" i="1" a="1"/>
  <c r="S491" i="1" s="1"/>
  <c r="U491" i="1" s="1"/>
  <c r="S419" i="1" a="1"/>
  <c r="S419" i="1" s="1"/>
  <c r="U419" i="1" s="1"/>
  <c r="T464" i="1" a="1"/>
  <c r="T464" i="1" s="1"/>
  <c r="T506" i="1" a="1"/>
  <c r="T506" i="1" s="1"/>
  <c r="T435" i="1" a="1"/>
  <c r="T435" i="1" s="1"/>
  <c r="S476" i="1" a="1"/>
  <c r="S476" i="1" s="1"/>
  <c r="U476" i="1" s="1"/>
  <c r="S404" i="1" a="1"/>
  <c r="S404" i="1" s="1"/>
  <c r="U404" i="1" s="1"/>
  <c r="S459" i="1" a="1"/>
  <c r="S459" i="1" s="1"/>
  <c r="U459" i="1" s="1"/>
  <c r="T480" i="1" a="1"/>
  <c r="T480" i="1" s="1"/>
  <c r="T408" i="1" a="1"/>
  <c r="T408" i="1" s="1"/>
  <c r="S461" i="1" a="1"/>
  <c r="S461" i="1" s="1"/>
  <c r="U461" i="1" s="1"/>
  <c r="T494" i="1" a="1"/>
  <c r="T494" i="1" s="1"/>
  <c r="T422" i="1" a="1"/>
  <c r="T422" i="1" s="1"/>
  <c r="T441" i="1" a="1"/>
  <c r="T441" i="1" s="1"/>
  <c r="S482" i="1" a="1"/>
  <c r="S482" i="1" s="1"/>
  <c r="S410" i="1" a="1"/>
  <c r="S410" i="1" s="1"/>
  <c r="S352" i="1" a="1"/>
  <c r="S352" i="1" s="1"/>
  <c r="S280" i="1" a="1"/>
  <c r="S280" i="1" s="1"/>
  <c r="S323" i="1" a="1"/>
  <c r="S323" i="1" s="1"/>
  <c r="U323" i="1" s="1"/>
  <c r="T356" i="1" a="1"/>
  <c r="T356" i="1" s="1"/>
  <c r="S400" i="1" a="1"/>
  <c r="S400" i="1" s="1"/>
  <c r="S325" i="1" a="1"/>
  <c r="S325" i="1" s="1"/>
  <c r="U325" i="1" s="1"/>
  <c r="S368" i="1" a="1"/>
  <c r="S368" i="1" s="1"/>
  <c r="U368" i="1" s="1"/>
  <c r="S296" i="1" a="1"/>
  <c r="S296" i="1" s="1"/>
  <c r="U296" i="1" s="1"/>
  <c r="T329" i="1" a="1"/>
  <c r="T329" i="1" s="1"/>
  <c r="T393" i="1" a="1"/>
  <c r="T393" i="1" s="1"/>
  <c r="S322" i="1" a="1"/>
  <c r="S322" i="1" s="1"/>
  <c r="U322" i="1" s="1"/>
  <c r="T343" i="1" a="1"/>
  <c r="T343" i="1" s="1"/>
  <c r="S393" i="1" a="1"/>
  <c r="S393" i="1" s="1"/>
  <c r="T326" i="1" a="1"/>
  <c r="T326" i="1" s="1"/>
  <c r="S379" i="1" a="1"/>
  <c r="S379" i="1" s="1"/>
  <c r="U379" i="1" s="1"/>
  <c r="S386" i="1" a="1"/>
  <c r="S386" i="1" s="1"/>
  <c r="S314" i="1" a="1"/>
  <c r="S314" i="1" s="1"/>
  <c r="S381" i="1" a="1"/>
  <c r="S381" i="1" s="1"/>
  <c r="U381" i="1" s="1"/>
  <c r="S309" i="1" a="1"/>
  <c r="S309" i="1" s="1"/>
  <c r="S252" i="1" a="1"/>
  <c r="S252" i="1" s="1"/>
  <c r="U252" i="1" s="1"/>
  <c r="S180" i="1" a="1"/>
  <c r="S180" i="1" s="1"/>
  <c r="U180" i="1" s="1"/>
  <c r="S211" i="1" a="1"/>
  <c r="S211" i="1" s="1"/>
  <c r="U211" i="1" s="1"/>
  <c r="S266" i="1" a="1"/>
  <c r="S266" i="1" s="1"/>
  <c r="U266" i="1" s="1"/>
  <c r="S194" i="1" a="1"/>
  <c r="S194" i="1" s="1"/>
  <c r="U194" i="1" s="1"/>
  <c r="T239" i="1" a="1"/>
  <c r="T239" i="1" s="1"/>
  <c r="T167" i="1" a="1"/>
  <c r="T167" i="1" s="1"/>
  <c r="T222" i="1" a="1"/>
  <c r="T222" i="1" s="1"/>
  <c r="S310" i="1" a="1"/>
  <c r="S310" i="1" s="1"/>
  <c r="U310" i="1" s="1"/>
  <c r="T205" i="1" a="1"/>
  <c r="T205" i="1" s="1"/>
  <c r="S258" i="1" a="1"/>
  <c r="S258" i="1" s="1"/>
  <c r="U258" i="1" s="1"/>
  <c r="S186" i="1" a="1"/>
  <c r="S186" i="1" s="1"/>
  <c r="U186" i="1" s="1"/>
  <c r="T219" i="1" a="1"/>
  <c r="T219" i="1" s="1"/>
  <c r="T147" i="1" a="1"/>
  <c r="T147" i="1" s="1"/>
  <c r="T214" i="1" a="1"/>
  <c r="T214" i="1" s="1"/>
  <c r="T257" i="1" a="1"/>
  <c r="T257" i="1" s="1"/>
  <c r="T185" i="1" a="1"/>
  <c r="T185" i="1" s="1"/>
  <c r="T240" i="1" a="1"/>
  <c r="T240" i="1" s="1"/>
  <c r="T288" i="1" a="1"/>
  <c r="T288" i="1" s="1"/>
  <c r="S197" i="1" a="1"/>
  <c r="S197" i="1" s="1"/>
  <c r="U197" i="1" s="1"/>
  <c r="S129" i="1" a="1"/>
  <c r="S129" i="1" s="1"/>
  <c r="U129" i="1" s="1"/>
  <c r="S57" i="1" a="1"/>
  <c r="S57" i="1" s="1"/>
  <c r="U57" i="1" s="1"/>
  <c r="T102" i="1" a="1"/>
  <c r="T102" i="1" s="1"/>
  <c r="T158" i="1" a="1"/>
  <c r="T158" i="1" s="1"/>
  <c r="S95" i="1" a="1"/>
  <c r="S95" i="1" s="1"/>
  <c r="T140" i="1" a="1"/>
  <c r="T140" i="1" s="1"/>
  <c r="T68" i="1" a="1"/>
  <c r="T68" i="1" s="1"/>
  <c r="S133" i="1" a="1"/>
  <c r="S133" i="1" s="1"/>
  <c r="S61" i="1" a="1"/>
  <c r="S61" i="1" s="1"/>
  <c r="T106" i="1" a="1"/>
  <c r="T106" i="1" s="1"/>
  <c r="T34" i="1" a="1"/>
  <c r="T34" i="1" s="1"/>
  <c r="T89" i="1" a="1"/>
  <c r="T89" i="1" s="1"/>
  <c r="T144" i="1" a="1"/>
  <c r="T144" i="1" s="1"/>
  <c r="T72" i="1" a="1"/>
  <c r="T72" i="1" s="1"/>
  <c r="T139" i="1" a="1"/>
  <c r="T139" i="1" s="1"/>
  <c r="T67" i="1" a="1"/>
  <c r="T67" i="1" s="1"/>
  <c r="S120" i="1" a="1"/>
  <c r="S120" i="1" s="1"/>
  <c r="S48" i="1" a="1"/>
  <c r="S48" i="1" s="1"/>
  <c r="T93" i="1" a="1"/>
  <c r="T93" i="1" s="1"/>
  <c r="T829" i="1" a="1"/>
  <c r="T829" i="1" s="1"/>
  <c r="T790" i="1" a="1"/>
  <c r="T790" i="1" s="1"/>
  <c r="T735" i="1" a="1"/>
  <c r="T735" i="1" s="1"/>
  <c r="S728" i="1" a="1"/>
  <c r="S728" i="1" s="1"/>
  <c r="T713" i="1" a="1"/>
  <c r="T713" i="1" s="1"/>
  <c r="S718" i="1" a="1"/>
  <c r="S718" i="1" s="1"/>
  <c r="S814" i="1" a="1"/>
  <c r="S814" i="1" s="1"/>
  <c r="U814" i="1" s="1"/>
  <c r="S720" i="1" a="1"/>
  <c r="S720" i="1" s="1"/>
  <c r="U720" i="1" s="1"/>
  <c r="S782" i="1" a="1"/>
  <c r="S782" i="1" s="1"/>
  <c r="U782" i="1" s="1"/>
  <c r="T779" i="1" a="1"/>
  <c r="T779" i="1" s="1"/>
  <c r="S838" i="1" a="1"/>
  <c r="S838" i="1" s="1"/>
  <c r="U838" i="1" s="1"/>
  <c r="S779" i="1" a="1"/>
  <c r="S779" i="1" s="1"/>
  <c r="T699" i="1" a="1"/>
  <c r="T699" i="1" s="1"/>
  <c r="T627" i="1" a="1"/>
  <c r="T627" i="1" s="1"/>
  <c r="T658" i="1" a="1"/>
  <c r="T658" i="1" s="1"/>
  <c r="T665" i="1" a="1"/>
  <c r="T665" i="1" s="1"/>
  <c r="T684" i="1" a="1"/>
  <c r="T684" i="1" s="1"/>
  <c r="T715" i="1" a="1"/>
  <c r="T715" i="1" s="1"/>
  <c r="S641" i="1" a="1"/>
  <c r="S641" i="1" s="1"/>
  <c r="T662" i="1" a="1"/>
  <c r="T662" i="1" s="1"/>
  <c r="S691" i="1" a="1"/>
  <c r="S691" i="1" s="1"/>
  <c r="T700" i="1" a="1"/>
  <c r="T700" i="1" s="1"/>
  <c r="T628" i="1" a="1"/>
  <c r="T628" i="1" s="1"/>
  <c r="S681" i="1" a="1"/>
  <c r="S681" i="1" s="1"/>
  <c r="T678" i="1" a="1"/>
  <c r="T678" i="1" s="1"/>
  <c r="T709" i="1" a="1"/>
  <c r="T709" i="1" s="1"/>
  <c r="T637" i="1" a="1"/>
  <c r="T637" i="1" s="1"/>
  <c r="S642" i="1" a="1"/>
  <c r="S642" i="1" s="1"/>
  <c r="U642" i="1" s="1"/>
  <c r="S560" i="1" a="1"/>
  <c r="S560" i="1" s="1"/>
  <c r="S620" i="1" a="1"/>
  <c r="S620" i="1" s="1"/>
  <c r="S555" i="1" a="1"/>
  <c r="S555" i="1" s="1"/>
  <c r="S598" i="1" a="1"/>
  <c r="S598" i="1" s="1"/>
  <c r="U598" i="1" s="1"/>
  <c r="S526" i="1" a="1"/>
  <c r="S526" i="1" s="1"/>
  <c r="U526" i="1" s="1"/>
  <c r="S581" i="1" a="1"/>
  <c r="S581" i="1" s="1"/>
  <c r="U581" i="1" s="1"/>
  <c r="T626" i="1" a="1"/>
  <c r="T626" i="1" s="1"/>
  <c r="T554" i="1" a="1"/>
  <c r="T554" i="1" s="1"/>
  <c r="S607" i="1" a="1"/>
  <c r="S607" i="1" s="1"/>
  <c r="U607" i="1" s="1"/>
  <c r="S535" i="1" a="1"/>
  <c r="S535" i="1" s="1"/>
  <c r="U535" i="1" s="1"/>
  <c r="S590" i="1" a="1"/>
  <c r="S590" i="1" s="1"/>
  <c r="U590" i="1" s="1"/>
  <c r="S518" i="1" a="1"/>
  <c r="S518" i="1" s="1"/>
  <c r="U518" i="1" s="1"/>
  <c r="T551" i="1" a="1"/>
  <c r="T551" i="1" s="1"/>
  <c r="T618" i="1" a="1"/>
  <c r="T618" i="1" s="1"/>
  <c r="T546" i="1" a="1"/>
  <c r="T546" i="1" s="1"/>
  <c r="T589" i="1" a="1"/>
  <c r="T589" i="1" s="1"/>
  <c r="T517" i="1" a="1"/>
  <c r="T517" i="1" s="1"/>
  <c r="S570" i="1" a="1"/>
  <c r="S570" i="1" s="1"/>
  <c r="U570" i="1" s="1"/>
  <c r="S630" i="1" a="1"/>
  <c r="S630" i="1" s="1"/>
  <c r="U630" i="1" s="1"/>
  <c r="T555" i="1" a="1"/>
  <c r="T555" i="1" s="1"/>
  <c r="T479" i="1" a="1"/>
  <c r="T479" i="1" s="1"/>
  <c r="T407" i="1" a="1"/>
  <c r="T407" i="1" s="1"/>
  <c r="S472" i="1" a="1"/>
  <c r="S472" i="1" s="1"/>
  <c r="U472" i="1" s="1"/>
  <c r="T481" i="1" a="1"/>
  <c r="T481" i="1" s="1"/>
  <c r="T409" i="1" a="1"/>
  <c r="T409" i="1" s="1"/>
  <c r="S462" i="1" a="1"/>
  <c r="S462" i="1" s="1"/>
  <c r="S503" i="1" a="1"/>
  <c r="S503" i="1" s="1"/>
  <c r="U503" i="1" s="1"/>
  <c r="S433" i="1" a="1"/>
  <c r="S433" i="1" s="1"/>
  <c r="U433" i="1" s="1"/>
  <c r="T466" i="1" a="1"/>
  <c r="T466" i="1" s="1"/>
  <c r="T394" i="1" a="1"/>
  <c r="T394" i="1" s="1"/>
  <c r="T449" i="1" a="1"/>
  <c r="T449" i="1" s="1"/>
  <c r="S478" i="1" a="1"/>
  <c r="S478" i="1" s="1"/>
  <c r="U478" i="1" s="1"/>
  <c r="S406" i="1" a="1"/>
  <c r="S406" i="1" s="1"/>
  <c r="U406" i="1" s="1"/>
  <c r="T451" i="1" a="1"/>
  <c r="T451" i="1" s="1"/>
  <c r="S492" i="1" a="1"/>
  <c r="S492" i="1" s="1"/>
  <c r="U492" i="1" s="1"/>
  <c r="S420" i="1" a="1"/>
  <c r="S420" i="1" s="1"/>
  <c r="U420" i="1" s="1"/>
  <c r="S439" i="1" a="1"/>
  <c r="S439" i="1" s="1"/>
  <c r="T472" i="1" a="1"/>
  <c r="T472" i="1" s="1"/>
  <c r="T400" i="1" a="1"/>
  <c r="T400" i="1" s="1"/>
  <c r="T342" i="1" a="1"/>
  <c r="T342" i="1" s="1"/>
  <c r="T385" i="1" a="1"/>
  <c r="T385" i="1" s="1"/>
  <c r="T313" i="1" a="1"/>
  <c r="T313" i="1" s="1"/>
  <c r="S354" i="1" a="1"/>
  <c r="S354" i="1" s="1"/>
  <c r="U354" i="1" s="1"/>
  <c r="T387" i="1" a="1"/>
  <c r="T387" i="1" s="1"/>
  <c r="T315" i="1" a="1"/>
  <c r="T315" i="1" s="1"/>
  <c r="T358" i="1" a="1"/>
  <c r="T358" i="1" s="1"/>
  <c r="T286" i="1" a="1"/>
  <c r="T286" i="1" s="1"/>
  <c r="S327" i="1" a="1"/>
  <c r="S327" i="1" s="1"/>
  <c r="U327" i="1" s="1"/>
  <c r="T384" i="1" a="1"/>
  <c r="T384" i="1" s="1"/>
  <c r="T312" i="1" a="1"/>
  <c r="T312" i="1" s="1"/>
  <c r="S341" i="1" a="1"/>
  <c r="S341" i="1" s="1"/>
  <c r="U341" i="1" s="1"/>
  <c r="T390" i="1" a="1"/>
  <c r="T390" i="1" s="1"/>
  <c r="S324" i="1" a="1"/>
  <c r="S324" i="1" s="1"/>
  <c r="U324" i="1" s="1"/>
  <c r="T369" i="1" a="1"/>
  <c r="T369" i="1" s="1"/>
  <c r="T376" i="1" a="1"/>
  <c r="T376" i="1" s="1"/>
  <c r="T304" i="1" a="1"/>
  <c r="T304" i="1" s="1"/>
  <c r="T371" i="1" a="1"/>
  <c r="T371" i="1" s="1"/>
  <c r="T299" i="1" a="1"/>
  <c r="T299" i="1" s="1"/>
  <c r="T242" i="1" a="1"/>
  <c r="T242" i="1" s="1"/>
  <c r="T170" i="1" a="1"/>
  <c r="T170" i="1" s="1"/>
  <c r="T201" i="1" a="1"/>
  <c r="T201" i="1" s="1"/>
  <c r="T256" i="1" a="1"/>
  <c r="T256" i="1" s="1"/>
  <c r="T184" i="1" a="1"/>
  <c r="T184" i="1" s="1"/>
  <c r="S237" i="1" a="1"/>
  <c r="S237" i="1" s="1"/>
  <c r="U237" i="1" s="1"/>
  <c r="S165" i="1" a="1"/>
  <c r="S165" i="1" s="1"/>
  <c r="U165" i="1" s="1"/>
  <c r="S220" i="1" a="1"/>
  <c r="S220" i="1" s="1"/>
  <c r="U220" i="1" s="1"/>
  <c r="T274" i="1" a="1"/>
  <c r="T274" i="1" s="1"/>
  <c r="S203" i="1" a="1"/>
  <c r="S203" i="1" s="1"/>
  <c r="U203" i="1" s="1"/>
  <c r="T248" i="1" a="1"/>
  <c r="T248" i="1" s="1"/>
  <c r="T176" i="1" a="1"/>
  <c r="T176" i="1" s="1"/>
  <c r="S217" i="1" a="1"/>
  <c r="S217" i="1" s="1"/>
  <c r="U217" i="1" s="1"/>
  <c r="S282" i="1" a="1"/>
  <c r="S282" i="1" s="1"/>
  <c r="U282" i="1" s="1"/>
  <c r="S212" i="1" a="1"/>
  <c r="S212" i="1" s="1"/>
  <c r="U212" i="1" s="1"/>
  <c r="S255" i="1" a="1"/>
  <c r="S255" i="1" s="1"/>
  <c r="U255" i="1" s="1"/>
  <c r="S183" i="1" a="1"/>
  <c r="S183" i="1" s="1"/>
  <c r="U183" i="1" s="1"/>
  <c r="S238" i="1" a="1"/>
  <c r="S238" i="1" s="1"/>
  <c r="U238" i="1" s="1"/>
  <c r="T259" i="1" a="1"/>
  <c r="T259" i="1" s="1"/>
  <c r="T187" i="1" a="1"/>
  <c r="T187" i="1" s="1"/>
  <c r="T119" i="1" a="1"/>
  <c r="T119" i="1" s="1"/>
  <c r="T47" i="1" a="1"/>
  <c r="T47" i="1" s="1"/>
  <c r="S100" i="1" a="1"/>
  <c r="S100" i="1" s="1"/>
  <c r="U100" i="1" s="1"/>
  <c r="T154" i="1" a="1"/>
  <c r="T154" i="1" s="1"/>
  <c r="T85" i="1" a="1"/>
  <c r="T85" i="1" s="1"/>
  <c r="S138" i="1" a="1"/>
  <c r="S138" i="1" s="1"/>
  <c r="U138" i="1" s="1"/>
  <c r="S66" i="1" a="1"/>
  <c r="S66" i="1" s="1"/>
  <c r="U66" i="1" s="1"/>
  <c r="T123" i="1" a="1"/>
  <c r="T123" i="1" s="1"/>
  <c r="T51" i="1" a="1"/>
  <c r="T51" i="1" s="1"/>
  <c r="S104" i="1" a="1"/>
  <c r="S104" i="1" s="1"/>
  <c r="U104" i="1" s="1"/>
  <c r="T153" i="1" a="1"/>
  <c r="T153" i="1" s="1"/>
  <c r="S87" i="1" a="1"/>
  <c r="S87" i="1" s="1"/>
  <c r="U87" i="1" s="1"/>
  <c r="S142" i="1" a="1"/>
  <c r="S142" i="1" s="1"/>
  <c r="U142" i="1" s="1"/>
  <c r="S70" i="1" a="1"/>
  <c r="S70" i="1" s="1"/>
  <c r="U70" i="1" s="1"/>
  <c r="S137" i="1" a="1"/>
  <c r="S137" i="1" s="1"/>
  <c r="S65" i="1" a="1"/>
  <c r="S65" i="1" s="1"/>
  <c r="T110" i="1" a="1"/>
  <c r="T110" i="1" s="1"/>
  <c r="S162" i="1" a="1"/>
  <c r="S162" i="1" s="1"/>
  <c r="U162" i="1" s="1"/>
  <c r="S91" i="1" a="1"/>
  <c r="S91" i="1" s="1"/>
  <c r="U91" i="1" s="1"/>
  <c r="T136" i="1" a="1"/>
  <c r="T136" i="1" s="1"/>
  <c r="T64" i="1" a="1"/>
  <c r="T64" i="1" s="1"/>
  <c r="T805" i="1" a="1"/>
  <c r="T805" i="1" s="1"/>
  <c r="S845" i="1" a="1"/>
  <c r="S845" i="1" s="1"/>
  <c r="U845" i="1" s="1"/>
  <c r="S733" i="1" a="1"/>
  <c r="S733" i="1" s="1"/>
  <c r="U733" i="1" s="1"/>
  <c r="T718" i="1" a="1"/>
  <c r="T718" i="1" s="1"/>
  <c r="T792" i="1" a="1"/>
  <c r="T792" i="1" s="1"/>
  <c r="T828" i="1" a="1"/>
  <c r="T828" i="1" s="1"/>
  <c r="S787" i="1" a="1"/>
  <c r="S787" i="1" s="1"/>
  <c r="U787" i="1" s="1"/>
  <c r="T777" i="1" a="1"/>
  <c r="T777" i="1" s="1"/>
  <c r="T772" i="1" a="1"/>
  <c r="T772" i="1" s="1"/>
  <c r="S777" i="1" a="1"/>
  <c r="S777" i="1" s="1"/>
  <c r="S802" i="1" a="1"/>
  <c r="S802" i="1" s="1"/>
  <c r="U802" i="1" s="1"/>
  <c r="T769" i="1" a="1"/>
  <c r="T769" i="1" s="1"/>
  <c r="S697" i="1" a="1"/>
  <c r="S697" i="1" s="1"/>
  <c r="S625" i="1" a="1"/>
  <c r="S625" i="1" s="1"/>
  <c r="U625" i="1" s="1"/>
  <c r="S656" i="1" a="1"/>
  <c r="S656" i="1" s="1"/>
  <c r="U656" i="1" s="1"/>
  <c r="S663" i="1" a="1"/>
  <c r="S663" i="1" s="1"/>
  <c r="U663" i="1" s="1"/>
  <c r="S682" i="1" a="1"/>
  <c r="S682" i="1" s="1"/>
  <c r="U682" i="1" s="1"/>
  <c r="T703" i="1" a="1"/>
  <c r="T703" i="1" s="1"/>
  <c r="S784" i="1" a="1"/>
  <c r="S784" i="1" s="1"/>
  <c r="U784" i="1" s="1"/>
  <c r="S660" i="1" a="1"/>
  <c r="S660" i="1" s="1"/>
  <c r="T681" i="1" a="1"/>
  <c r="T681" i="1" s="1"/>
  <c r="S698" i="1" a="1"/>
  <c r="S698" i="1" s="1"/>
  <c r="U698" i="1" s="1"/>
  <c r="S626" i="1" a="1"/>
  <c r="S626" i="1" s="1"/>
  <c r="U626" i="1" s="1"/>
  <c r="T671" i="1" a="1"/>
  <c r="T671" i="1" s="1"/>
  <c r="S676" i="1" a="1"/>
  <c r="S676" i="1" s="1"/>
  <c r="S707" i="1" a="1"/>
  <c r="S707" i="1" s="1"/>
  <c r="U707" i="1" s="1"/>
  <c r="S635" i="1" a="1"/>
  <c r="S635" i="1" s="1"/>
  <c r="T631" i="1" a="1"/>
  <c r="T631" i="1" s="1"/>
  <c r="T550" i="1" a="1"/>
  <c r="T550" i="1" s="1"/>
  <c r="T617" i="1" a="1"/>
  <c r="T617" i="1" s="1"/>
  <c r="T545" i="1" a="1"/>
  <c r="T545" i="1" s="1"/>
  <c r="T588" i="1" a="1"/>
  <c r="T588" i="1" s="1"/>
  <c r="T516" i="1" a="1"/>
  <c r="T516" i="1" s="1"/>
  <c r="T571" i="1" a="1"/>
  <c r="T571" i="1" s="1"/>
  <c r="T622" i="1" a="1"/>
  <c r="T622" i="1" s="1"/>
  <c r="S552" i="1" a="1"/>
  <c r="S552" i="1" s="1"/>
  <c r="U552" i="1" s="1"/>
  <c r="T597" i="1" a="1"/>
  <c r="T597" i="1" s="1"/>
  <c r="T525" i="1" a="1"/>
  <c r="T525" i="1" s="1"/>
  <c r="T580" i="1" a="1"/>
  <c r="T580" i="1" s="1"/>
  <c r="T508" i="1" a="1"/>
  <c r="T508" i="1" s="1"/>
  <c r="S549" i="1" a="1"/>
  <c r="S549" i="1" s="1"/>
  <c r="U549" i="1" s="1"/>
  <c r="S616" i="1" a="1"/>
  <c r="S616" i="1" s="1"/>
  <c r="U616" i="1" s="1"/>
  <c r="S544" i="1" a="1"/>
  <c r="S544" i="1" s="1"/>
  <c r="U544" i="1" s="1"/>
  <c r="S587" i="1" a="1"/>
  <c r="S587" i="1" s="1"/>
  <c r="U587" i="1" s="1"/>
  <c r="S515" i="1" a="1"/>
  <c r="S515" i="1" s="1"/>
  <c r="U515" i="1" s="1"/>
  <c r="T560" i="1" a="1"/>
  <c r="T560" i="1" s="1"/>
  <c r="T620" i="1" a="1"/>
  <c r="T620" i="1" s="1"/>
  <c r="S553" i="1" a="1"/>
  <c r="S553" i="1" s="1"/>
  <c r="U553" i="1" s="1"/>
  <c r="S477" i="1" a="1"/>
  <c r="S477" i="1" s="1"/>
  <c r="U477" i="1" s="1"/>
  <c r="S405" i="1" a="1"/>
  <c r="S405" i="1" s="1"/>
  <c r="U405" i="1" s="1"/>
  <c r="T462" i="1" a="1"/>
  <c r="T462" i="1" s="1"/>
  <c r="S479" i="1" a="1"/>
  <c r="S479" i="1" s="1"/>
  <c r="U479" i="1" s="1"/>
  <c r="S407" i="1" a="1"/>
  <c r="S407" i="1" s="1"/>
  <c r="U407" i="1" s="1"/>
  <c r="T452" i="1" a="1"/>
  <c r="T452" i="1" s="1"/>
  <c r="T495" i="1" a="1"/>
  <c r="T495" i="1" s="1"/>
  <c r="T423" i="1" a="1"/>
  <c r="T423" i="1" s="1"/>
  <c r="S464" i="1" a="1"/>
  <c r="S464" i="1" s="1"/>
  <c r="U464" i="1" s="1"/>
  <c r="S392" i="1" a="1"/>
  <c r="S392" i="1" s="1"/>
  <c r="S447" i="1" a="1"/>
  <c r="S447" i="1" s="1"/>
  <c r="U447" i="1" s="1"/>
  <c r="T468" i="1" a="1"/>
  <c r="T468" i="1" s="1"/>
  <c r="T396" i="1" a="1"/>
  <c r="T396" i="1" s="1"/>
  <c r="S449" i="1" a="1"/>
  <c r="S449" i="1" s="1"/>
  <c r="U449" i="1" s="1"/>
  <c r="T482" i="1" a="1"/>
  <c r="T482" i="1" s="1"/>
  <c r="T501" i="1" a="1"/>
  <c r="T501" i="1" s="1"/>
  <c r="T429" i="1" a="1"/>
  <c r="T429" i="1" s="1"/>
  <c r="S470" i="1" a="1"/>
  <c r="S470" i="1" s="1"/>
  <c r="S398" i="1" a="1"/>
  <c r="S398" i="1" s="1"/>
  <c r="S340" i="1" a="1"/>
  <c r="S340" i="1" s="1"/>
  <c r="U340" i="1" s="1"/>
  <c r="S383" i="1" a="1"/>
  <c r="S383" i="1" s="1"/>
  <c r="U383" i="1" s="1"/>
  <c r="S311" i="1" a="1"/>
  <c r="S311" i="1" s="1"/>
  <c r="U311" i="1" s="1"/>
  <c r="T344" i="1" a="1"/>
  <c r="T344" i="1" s="1"/>
  <c r="S385" i="1" a="1"/>
  <c r="S385" i="1" s="1"/>
  <c r="U385" i="1" s="1"/>
  <c r="S313" i="1" a="1"/>
  <c r="S313" i="1" s="1"/>
  <c r="U313" i="1" s="1"/>
  <c r="S356" i="1" a="1"/>
  <c r="S356" i="1" s="1"/>
  <c r="U356" i="1" s="1"/>
  <c r="S284" i="1" a="1"/>
  <c r="S284" i="1" s="1"/>
  <c r="U284" i="1" s="1"/>
  <c r="T317" i="1" a="1"/>
  <c r="T317" i="1" s="1"/>
  <c r="S382" i="1" a="1"/>
  <c r="S382" i="1" s="1"/>
  <c r="U382" i="1" s="1"/>
  <c r="T401" i="1" a="1"/>
  <c r="T401" i="1" s="1"/>
  <c r="T331" i="1" a="1"/>
  <c r="T331" i="1" s="1"/>
  <c r="T386" i="1" a="1"/>
  <c r="T386" i="1" s="1"/>
  <c r="T314" i="1" a="1"/>
  <c r="T314" i="1" s="1"/>
  <c r="S367" i="1" a="1"/>
  <c r="S367" i="1" s="1"/>
  <c r="U367" i="1" s="1"/>
  <c r="S374" i="1" a="1"/>
  <c r="S374" i="1" s="1"/>
  <c r="S302" i="1" a="1"/>
  <c r="S302" i="1" s="1"/>
  <c r="S369" i="1" a="1"/>
  <c r="S369" i="1" s="1"/>
  <c r="U369" i="1" s="1"/>
  <c r="S297" i="1" a="1"/>
  <c r="S297" i="1" s="1"/>
  <c r="U297" i="1" s="1"/>
  <c r="S240" i="1" a="1"/>
  <c r="S240" i="1" s="1"/>
  <c r="U240" i="1" s="1"/>
  <c r="S168" i="1" a="1"/>
  <c r="S168" i="1" s="1"/>
  <c r="U168" i="1" s="1"/>
  <c r="S199" i="1" a="1"/>
  <c r="S199" i="1" s="1"/>
  <c r="U199" i="1" s="1"/>
  <c r="S254" i="1" a="1"/>
  <c r="S254" i="1" s="1"/>
  <c r="U254" i="1" s="1"/>
  <c r="S182" i="1" a="1"/>
  <c r="S182" i="1" s="1"/>
  <c r="U182" i="1" s="1"/>
  <c r="T227" i="1" a="1"/>
  <c r="T227" i="1" s="1"/>
  <c r="T297" i="1" a="1"/>
  <c r="T297" i="1" s="1"/>
  <c r="T210" i="1" a="1"/>
  <c r="T210" i="1" s="1"/>
  <c r="T265" i="1" a="1"/>
  <c r="T265" i="1" s="1"/>
  <c r="T193" i="1" a="1"/>
  <c r="T193" i="1" s="1"/>
  <c r="S246" i="1" a="1"/>
  <c r="S246" i="1" s="1"/>
  <c r="U246" i="1" s="1"/>
  <c r="S174" i="1" a="1"/>
  <c r="S174" i="1" s="1"/>
  <c r="U174" i="1" s="1"/>
  <c r="T207" i="1" a="1"/>
  <c r="T207" i="1" s="1"/>
  <c r="S273" i="1" a="1"/>
  <c r="S273" i="1" s="1"/>
  <c r="T202" i="1" a="1"/>
  <c r="T202" i="1" s="1"/>
  <c r="T245" i="1" a="1"/>
  <c r="T245" i="1" s="1"/>
  <c r="T173" i="1" a="1"/>
  <c r="T173" i="1" s="1"/>
  <c r="T228" i="1" a="1"/>
  <c r="T228" i="1" s="1"/>
  <c r="S257" i="1" a="1"/>
  <c r="S257" i="1" s="1"/>
  <c r="U257" i="1" s="1"/>
  <c r="S185" i="1" a="1"/>
  <c r="S185" i="1" s="1"/>
  <c r="U185" i="1" s="1"/>
  <c r="S117" i="1" a="1"/>
  <c r="S117" i="1" s="1"/>
  <c r="U117" i="1" s="1"/>
  <c r="S45" i="1" a="1"/>
  <c r="S45" i="1" s="1"/>
  <c r="U45" i="1" s="1"/>
  <c r="T90" i="1" a="1"/>
  <c r="T90" i="1" s="1"/>
  <c r="T151" i="1" a="1"/>
  <c r="T151" i="1" s="1"/>
  <c r="S83" i="1" a="1"/>
  <c r="S83" i="1" s="1"/>
  <c r="U83" i="1" s="1"/>
  <c r="T128" i="1" a="1"/>
  <c r="T128" i="1" s="1"/>
  <c r="T56" i="1" a="1"/>
  <c r="T56" i="1" s="1"/>
  <c r="S121" i="1" a="1"/>
  <c r="S121" i="1" s="1"/>
  <c r="U121" i="1" s="1"/>
  <c r="S49" i="1" a="1"/>
  <c r="S49" i="1" s="1"/>
  <c r="U49" i="1" s="1"/>
  <c r="T94" i="1" a="1"/>
  <c r="T94" i="1" s="1"/>
  <c r="T150" i="1" a="1"/>
  <c r="T150" i="1" s="1"/>
  <c r="T77" i="1" a="1"/>
  <c r="T77" i="1" s="1"/>
  <c r="T132" i="1" a="1"/>
  <c r="T132" i="1" s="1"/>
  <c r="T60" i="1" a="1"/>
  <c r="T60" i="1" s="1"/>
  <c r="T127" i="1" a="1"/>
  <c r="T127" i="1" s="1"/>
  <c r="T55" i="1" a="1"/>
  <c r="T55" i="1" s="1"/>
  <c r="S108" i="1" a="1"/>
  <c r="S108" i="1" s="1"/>
  <c r="U108" i="1" s="1"/>
  <c r="T155" i="1" a="1"/>
  <c r="T155" i="1" s="1"/>
  <c r="T81" i="1" a="1"/>
  <c r="T81" i="1" s="1"/>
  <c r="S134" i="1" a="1"/>
  <c r="S134" i="1" s="1"/>
  <c r="U134" i="1" s="1"/>
  <c r="S62" i="1" a="1"/>
  <c r="S62" i="1" s="1"/>
  <c r="U62" i="1" s="1"/>
  <c r="S14" i="1" a="1"/>
  <c r="S14" i="1" s="1"/>
  <c r="U14" i="1" s="1"/>
  <c r="S791" i="1" a="1"/>
  <c r="S791" i="1" s="1"/>
  <c r="U791" i="1" s="1"/>
  <c r="T809" i="1" a="1"/>
  <c r="T809" i="1" s="1"/>
  <c r="S826" i="1" a="1"/>
  <c r="S826" i="1" s="1"/>
  <c r="U826" i="1" s="1"/>
  <c r="T773" i="1" a="1"/>
  <c r="T773" i="1" s="1"/>
  <c r="S778" i="1" a="1"/>
  <c r="S778" i="1" s="1"/>
  <c r="T775" i="1" a="1"/>
  <c r="T775" i="1" s="1"/>
  <c r="T780" i="1" a="1"/>
  <c r="T780" i="1" s="1"/>
  <c r="S775" i="1" a="1"/>
  <c r="S775" i="1" s="1"/>
  <c r="U775" i="1" s="1"/>
  <c r="S770" i="1" a="1"/>
  <c r="S770" i="1" s="1"/>
  <c r="T767" i="1" a="1"/>
  <c r="T767" i="1" s="1"/>
  <c r="T774" i="1" a="1"/>
  <c r="T774" i="1" s="1"/>
  <c r="S767" i="1" a="1"/>
  <c r="S767" i="1" s="1"/>
  <c r="U767" i="1" s="1"/>
  <c r="T687" i="1" a="1"/>
  <c r="T687" i="1" s="1"/>
  <c r="S738" i="1" a="1"/>
  <c r="S738" i="1" s="1"/>
  <c r="U738" i="1" s="1"/>
  <c r="T646" i="1" a="1"/>
  <c r="T646" i="1" s="1"/>
  <c r="T653" i="1" a="1"/>
  <c r="T653" i="1" s="1"/>
  <c r="T672" i="1" a="1"/>
  <c r="T672" i="1" s="1"/>
  <c r="S701" i="1" a="1"/>
  <c r="S701" i="1" s="1"/>
  <c r="U701" i="1" s="1"/>
  <c r="T740" i="1" a="1"/>
  <c r="T740" i="1" s="1"/>
  <c r="T650" i="1" a="1"/>
  <c r="T650" i="1" s="1"/>
  <c r="S679" i="1" a="1"/>
  <c r="S679" i="1" s="1"/>
  <c r="U679" i="1" s="1"/>
  <c r="T688" i="1" a="1"/>
  <c r="T688" i="1" s="1"/>
  <c r="T728" i="1" a="1"/>
  <c r="T728" i="1" s="1"/>
  <c r="S669" i="1" a="1"/>
  <c r="S669" i="1" s="1"/>
  <c r="T666" i="1" a="1"/>
  <c r="T666" i="1" s="1"/>
  <c r="T697" i="1" a="1"/>
  <c r="T697" i="1" s="1"/>
  <c r="T764" i="1" a="1"/>
  <c r="T764" i="1" s="1"/>
  <c r="T623" i="1" a="1"/>
  <c r="T623" i="1" s="1"/>
  <c r="S548" i="1" a="1"/>
  <c r="S548" i="1" s="1"/>
  <c r="S615" i="1" a="1"/>
  <c r="S615" i="1" s="1"/>
  <c r="S543" i="1" a="1"/>
  <c r="S543" i="1" s="1"/>
  <c r="U543" i="1" s="1"/>
  <c r="S586" i="1" a="1"/>
  <c r="S586" i="1" s="1"/>
  <c r="U586" i="1" s="1"/>
  <c r="S514" i="1" a="1"/>
  <c r="S514" i="1" s="1"/>
  <c r="U514" i="1" s="1"/>
  <c r="S569" i="1" a="1"/>
  <c r="S569" i="1" s="1"/>
  <c r="U569" i="1" s="1"/>
  <c r="T614" i="1" a="1"/>
  <c r="T614" i="1" s="1"/>
  <c r="T542" i="1" a="1"/>
  <c r="T542" i="1" s="1"/>
  <c r="S595" i="1" a="1"/>
  <c r="S595" i="1" s="1"/>
  <c r="U595" i="1" s="1"/>
  <c r="S523" i="1" a="1"/>
  <c r="S523" i="1" s="1"/>
  <c r="U523" i="1" s="1"/>
  <c r="S578" i="1" a="1"/>
  <c r="S578" i="1" s="1"/>
  <c r="U578" i="1" s="1"/>
  <c r="T611" i="1" a="1"/>
  <c r="T611" i="1" s="1"/>
  <c r="T539" i="1" a="1"/>
  <c r="T539" i="1" s="1"/>
  <c r="T606" i="1" a="1"/>
  <c r="T606" i="1" s="1"/>
  <c r="T534" i="1" a="1"/>
  <c r="T534" i="1" s="1"/>
  <c r="T577" i="1" a="1"/>
  <c r="T577" i="1" s="1"/>
  <c r="S624" i="1" a="1"/>
  <c r="S624" i="1" s="1"/>
  <c r="U624" i="1" s="1"/>
  <c r="S558" i="1" a="1"/>
  <c r="S558" i="1" s="1"/>
  <c r="U558" i="1" s="1"/>
  <c r="T615" i="1" a="1"/>
  <c r="T615" i="1" s="1"/>
  <c r="T543" i="1" a="1"/>
  <c r="T543" i="1" s="1"/>
  <c r="T467" i="1" a="1"/>
  <c r="T467" i="1" s="1"/>
  <c r="T395" i="1" a="1"/>
  <c r="T395" i="1" s="1"/>
  <c r="S460" i="1" a="1"/>
  <c r="S460" i="1" s="1"/>
  <c r="T469" i="1" a="1"/>
  <c r="T469" i="1" s="1"/>
  <c r="T397" i="1" a="1"/>
  <c r="T397" i="1" s="1"/>
  <c r="S450" i="1" a="1"/>
  <c r="S450" i="1" s="1"/>
  <c r="S493" i="1" a="1"/>
  <c r="S493" i="1" s="1"/>
  <c r="U493" i="1" s="1"/>
  <c r="S421" i="1" a="1"/>
  <c r="S421" i="1" s="1"/>
  <c r="U421" i="1" s="1"/>
  <c r="T454" i="1" a="1"/>
  <c r="T454" i="1" s="1"/>
  <c r="S506" i="1" a="1"/>
  <c r="S506" i="1" s="1"/>
  <c r="U506" i="1" s="1"/>
  <c r="T437" i="1" a="1"/>
  <c r="T437" i="1" s="1"/>
  <c r="S466" i="1" a="1"/>
  <c r="S466" i="1" s="1"/>
  <c r="U466" i="1" s="1"/>
  <c r="S394" i="1" a="1"/>
  <c r="S394" i="1" s="1"/>
  <c r="U394" i="1" s="1"/>
  <c r="T439" i="1" a="1"/>
  <c r="T439" i="1" s="1"/>
  <c r="S480" i="1" a="1"/>
  <c r="S480" i="1" s="1"/>
  <c r="U480" i="1" s="1"/>
  <c r="S499" i="1" a="1"/>
  <c r="S499" i="1" s="1"/>
  <c r="S427" i="1" a="1"/>
  <c r="S427" i="1" s="1"/>
  <c r="T460" i="1" a="1"/>
  <c r="T460" i="1" s="1"/>
  <c r="S412" i="1" a="1"/>
  <c r="S412" i="1" s="1"/>
  <c r="U412" i="1" s="1"/>
  <c r="T330" i="1" a="1"/>
  <c r="T330" i="1" s="1"/>
  <c r="T373" i="1" a="1"/>
  <c r="T373" i="1" s="1"/>
  <c r="T301" i="1" a="1"/>
  <c r="T301" i="1" s="1"/>
  <c r="S342" i="1" a="1"/>
  <c r="S342" i="1" s="1"/>
  <c r="U342" i="1" s="1"/>
  <c r="T375" i="1" a="1"/>
  <c r="T375" i="1" s="1"/>
  <c r="T303" i="1" a="1"/>
  <c r="T303" i="1" s="1"/>
  <c r="T346" i="1" a="1"/>
  <c r="T346" i="1" s="1"/>
  <c r="S387" i="1" a="1"/>
  <c r="S387" i="1" s="1"/>
  <c r="U387" i="1" s="1"/>
  <c r="S315" i="1" a="1"/>
  <c r="S315" i="1" s="1"/>
  <c r="U315" i="1" s="1"/>
  <c r="T372" i="1" a="1"/>
  <c r="T372" i="1" s="1"/>
  <c r="T398" i="1" a="1"/>
  <c r="T398" i="1" s="1"/>
  <c r="S329" i="1" a="1"/>
  <c r="S329" i="1" s="1"/>
  <c r="U329" i="1" s="1"/>
  <c r="S384" i="1" a="1"/>
  <c r="S384" i="1" s="1"/>
  <c r="U384" i="1" s="1"/>
  <c r="S312" i="1" a="1"/>
  <c r="S312" i="1" s="1"/>
  <c r="U312" i="1" s="1"/>
  <c r="T357" i="1" a="1"/>
  <c r="T357" i="1" s="1"/>
  <c r="T364" i="1" a="1"/>
  <c r="T364" i="1" s="1"/>
  <c r="T292" i="1" a="1"/>
  <c r="T292" i="1" s="1"/>
  <c r="T359" i="1" a="1"/>
  <c r="T359" i="1" s="1"/>
  <c r="T287" i="1" a="1"/>
  <c r="T287" i="1" s="1"/>
  <c r="T230" i="1" a="1"/>
  <c r="T230" i="1" s="1"/>
  <c r="T261" i="1" a="1"/>
  <c r="T261" i="1" s="1"/>
  <c r="T189" i="1" a="1"/>
  <c r="T189" i="1" s="1"/>
  <c r="T244" i="1" a="1"/>
  <c r="T244" i="1" s="1"/>
  <c r="T172" i="1" a="1"/>
  <c r="T172" i="1" s="1"/>
  <c r="S225" i="1" a="1"/>
  <c r="S225" i="1" s="1"/>
  <c r="U225" i="1" s="1"/>
  <c r="S276" i="1" a="1"/>
  <c r="S276" i="1" s="1"/>
  <c r="U276" i="1" s="1"/>
  <c r="S208" i="1" a="1"/>
  <c r="S208" i="1" s="1"/>
  <c r="U208" i="1" s="1"/>
  <c r="S263" i="1" a="1"/>
  <c r="S263" i="1" s="1"/>
  <c r="U263" i="1" s="1"/>
  <c r="S191" i="1" a="1"/>
  <c r="S191" i="1" s="1"/>
  <c r="U191" i="1" s="1"/>
  <c r="T236" i="1" a="1"/>
  <c r="T236" i="1" s="1"/>
  <c r="T285" i="1" a="1"/>
  <c r="T285" i="1" s="1"/>
  <c r="S205" i="1" a="1"/>
  <c r="S205" i="1" s="1"/>
  <c r="U205" i="1" s="1"/>
  <c r="T267" i="1" a="1"/>
  <c r="T267" i="1" s="1"/>
  <c r="S200" i="1" a="1"/>
  <c r="S200" i="1" s="1"/>
  <c r="U200" i="1" s="1"/>
  <c r="S243" i="1" a="1"/>
  <c r="S243" i="1" s="1"/>
  <c r="U243" i="1" s="1"/>
  <c r="S171" i="1" a="1"/>
  <c r="S171" i="1" s="1"/>
  <c r="U171" i="1" s="1"/>
  <c r="S226" i="1" a="1"/>
  <c r="S226" i="1" s="1"/>
  <c r="U226" i="1" s="1"/>
  <c r="T247" i="1" a="1"/>
  <c r="T247" i="1" s="1"/>
  <c r="T175" i="1" a="1"/>
  <c r="T175" i="1" s="1"/>
  <c r="T107" i="1" a="1"/>
  <c r="T107" i="1" s="1"/>
  <c r="T35" i="1" a="1"/>
  <c r="T35" i="1" s="1"/>
  <c r="S88" i="1" a="1"/>
  <c r="S88" i="1" s="1"/>
  <c r="U88" i="1" s="1"/>
  <c r="T145" i="1" a="1"/>
  <c r="T145" i="1" s="1"/>
  <c r="T73" i="1" a="1"/>
  <c r="T73" i="1" s="1"/>
  <c r="S126" i="1" a="1"/>
  <c r="S126" i="1" s="1"/>
  <c r="U126" i="1" s="1"/>
  <c r="S54" i="1" a="1"/>
  <c r="S54" i="1" s="1"/>
  <c r="U54" i="1" s="1"/>
  <c r="T111" i="1" a="1"/>
  <c r="T111" i="1" s="1"/>
  <c r="T39" i="1" a="1"/>
  <c r="T39" i="1" s="1"/>
  <c r="S92" i="1" a="1"/>
  <c r="S92" i="1" s="1"/>
  <c r="U92" i="1" s="1"/>
  <c r="S147" i="1" a="1"/>
  <c r="S147" i="1" s="1"/>
  <c r="U147" i="1" s="1"/>
  <c r="S75" i="1" a="1"/>
  <c r="S75" i="1" s="1"/>
  <c r="U75" i="1" s="1"/>
  <c r="S130" i="1" a="1"/>
  <c r="S130" i="1" s="1"/>
  <c r="U130" i="1" s="1"/>
  <c r="S58" i="1" a="1"/>
  <c r="S58" i="1" s="1"/>
  <c r="U58" i="1" s="1"/>
  <c r="S125" i="1" a="1"/>
  <c r="S125" i="1" s="1"/>
  <c r="U125" i="1" s="1"/>
  <c r="S53" i="1" a="1"/>
  <c r="S53" i="1" s="1"/>
  <c r="U53" i="1" s="1"/>
  <c r="T98" i="1" a="1"/>
  <c r="T98" i="1" s="1"/>
  <c r="T152" i="1" a="1"/>
  <c r="T152" i="1" s="1"/>
  <c r="S79" i="1" a="1"/>
  <c r="S79" i="1" s="1"/>
  <c r="U79" i="1" s="1"/>
  <c r="T124" i="1" a="1"/>
  <c r="T124" i="1" s="1"/>
  <c r="T52" i="1" a="1"/>
  <c r="T52" i="1" s="1"/>
  <c r="T16" i="1" a="1"/>
  <c r="T16" i="1" s="1"/>
  <c r="S5" i="1" a="1"/>
  <c r="S5" i="1" s="1"/>
  <c r="U5" i="1" s="1"/>
  <c r="S822" i="1" a="1"/>
  <c r="S822" i="1" s="1"/>
  <c r="U822" i="1" s="1"/>
  <c r="S807" i="1" a="1"/>
  <c r="S807" i="1" s="1"/>
  <c r="U807" i="1" s="1"/>
  <c r="T778" i="1" a="1"/>
  <c r="T778" i="1" s="1"/>
  <c r="S771" i="1" a="1"/>
  <c r="S771" i="1" s="1"/>
  <c r="U771" i="1" s="1"/>
  <c r="T768" i="1" a="1"/>
  <c r="T768" i="1" s="1"/>
  <c r="S773" i="1" a="1"/>
  <c r="S773" i="1" s="1"/>
  <c r="U773" i="1" s="1"/>
  <c r="T770" i="1" a="1"/>
  <c r="T770" i="1" s="1"/>
  <c r="T765" i="1" a="1"/>
  <c r="T765" i="1" s="1"/>
  <c r="T760" i="1" a="1"/>
  <c r="T760" i="1" s="1"/>
  <c r="S765" i="1" a="1"/>
  <c r="S765" i="1" s="1"/>
  <c r="U765" i="1" s="1"/>
  <c r="S772" i="1" a="1"/>
  <c r="S772" i="1" s="1"/>
  <c r="U772" i="1" s="1"/>
  <c r="T757" i="1" a="1"/>
  <c r="T757" i="1" s="1"/>
  <c r="S685" i="1" a="1"/>
  <c r="S685" i="1" s="1"/>
  <c r="S712" i="1" a="1"/>
  <c r="S712" i="1" s="1"/>
  <c r="U712" i="1" s="1"/>
  <c r="S644" i="1" a="1"/>
  <c r="S644" i="1" s="1"/>
  <c r="S651" i="1" a="1"/>
  <c r="S651" i="1" s="1"/>
  <c r="U651" i="1" s="1"/>
  <c r="S670" i="1" a="1"/>
  <c r="S670" i="1" s="1"/>
  <c r="U670" i="1" s="1"/>
  <c r="T691" i="1" a="1"/>
  <c r="T691" i="1" s="1"/>
  <c r="S715" i="1" a="1"/>
  <c r="S715" i="1" s="1"/>
  <c r="U715" i="1" s="1"/>
  <c r="S648" i="1" a="1"/>
  <c r="S648" i="1" s="1"/>
  <c r="U648" i="1" s="1"/>
  <c r="T669" i="1" a="1"/>
  <c r="T669" i="1" s="1"/>
  <c r="S686" i="1" a="1"/>
  <c r="S686" i="1" s="1"/>
  <c r="U686" i="1" s="1"/>
  <c r="S721" i="1" a="1"/>
  <c r="S721" i="1" s="1"/>
  <c r="U721" i="1" s="1"/>
  <c r="T659" i="1" a="1"/>
  <c r="T659" i="1" s="1"/>
  <c r="S664" i="1" a="1"/>
  <c r="S664" i="1" s="1"/>
  <c r="U664" i="1" s="1"/>
  <c r="S695" i="1" a="1"/>
  <c r="S695" i="1" s="1"/>
  <c r="U695" i="1" s="1"/>
  <c r="T712" i="1" a="1"/>
  <c r="T712" i="1" s="1"/>
  <c r="T610" i="1" a="1"/>
  <c r="T610" i="1" s="1"/>
  <c r="T538" i="1" a="1"/>
  <c r="T538" i="1" s="1"/>
  <c r="T605" i="1" a="1"/>
  <c r="T605" i="1" s="1"/>
  <c r="T533" i="1" a="1"/>
  <c r="T533" i="1" s="1"/>
  <c r="T576" i="1" a="1"/>
  <c r="T576" i="1" s="1"/>
  <c r="T644" i="1" a="1"/>
  <c r="T644" i="1" s="1"/>
  <c r="T559" i="1" a="1"/>
  <c r="T559" i="1" s="1"/>
  <c r="S612" i="1" a="1"/>
  <c r="S612" i="1" s="1"/>
  <c r="U612" i="1" s="1"/>
  <c r="S540" i="1" a="1"/>
  <c r="S540" i="1" s="1"/>
  <c r="U540" i="1" s="1"/>
  <c r="T585" i="1" a="1"/>
  <c r="T585" i="1" s="1"/>
  <c r="T513" i="1" a="1"/>
  <c r="T513" i="1" s="1"/>
  <c r="T568" i="1" a="1"/>
  <c r="T568" i="1" s="1"/>
  <c r="S609" i="1" a="1"/>
  <c r="S609" i="1" s="1"/>
  <c r="U609" i="1" s="1"/>
  <c r="S537" i="1" a="1"/>
  <c r="S537" i="1" s="1"/>
  <c r="U537" i="1" s="1"/>
  <c r="S604" i="1" a="1"/>
  <c r="S604" i="1" s="1"/>
  <c r="U604" i="1" s="1"/>
  <c r="S532" i="1" a="1"/>
  <c r="S532" i="1" s="1"/>
  <c r="U532" i="1" s="1"/>
  <c r="S575" i="1" a="1"/>
  <c r="S575" i="1" s="1"/>
  <c r="U575" i="1" s="1"/>
  <c r="S621" i="1" a="1"/>
  <c r="S621" i="1" s="1"/>
  <c r="U621" i="1" s="1"/>
  <c r="T548" i="1" a="1"/>
  <c r="T548" i="1" s="1"/>
  <c r="S613" i="1" a="1"/>
  <c r="S613" i="1" s="1"/>
  <c r="U613" i="1" s="1"/>
  <c r="S541" i="1" a="1"/>
  <c r="S541" i="1" s="1"/>
  <c r="U541" i="1" s="1"/>
  <c r="S465" i="1" a="1"/>
  <c r="S465" i="1" s="1"/>
  <c r="U465" i="1" s="1"/>
  <c r="S509" i="1" a="1"/>
  <c r="S509" i="1" s="1"/>
  <c r="U509" i="1" s="1"/>
  <c r="T450" i="1" a="1"/>
  <c r="T450" i="1" s="1"/>
  <c r="S467" i="1" a="1"/>
  <c r="S467" i="1" s="1"/>
  <c r="U467" i="1" s="1"/>
  <c r="S395" i="1" a="1"/>
  <c r="S395" i="1" s="1"/>
  <c r="U395" i="1" s="1"/>
  <c r="T440" i="1" a="1"/>
  <c r="T440" i="1" s="1"/>
  <c r="T483" i="1" a="1"/>
  <c r="T483" i="1" s="1"/>
  <c r="T411" i="1" a="1"/>
  <c r="T411" i="1" s="1"/>
  <c r="S452" i="1" a="1"/>
  <c r="S452" i="1" s="1"/>
  <c r="U452" i="1" s="1"/>
  <c r="T502" i="1" a="1"/>
  <c r="T502" i="1" s="1"/>
  <c r="S435" i="1" a="1"/>
  <c r="S435" i="1" s="1"/>
  <c r="U435" i="1" s="1"/>
  <c r="T456" i="1" a="1"/>
  <c r="T456" i="1" s="1"/>
  <c r="S502" i="1" a="1"/>
  <c r="S502" i="1" s="1"/>
  <c r="S437" i="1" a="1"/>
  <c r="S437" i="1" s="1"/>
  <c r="U437" i="1" s="1"/>
  <c r="T470" i="1" a="1"/>
  <c r="T470" i="1" s="1"/>
  <c r="T489" i="1" a="1"/>
  <c r="T489" i="1" s="1"/>
  <c r="T417" i="1" a="1"/>
  <c r="T417" i="1" s="1"/>
  <c r="S458" i="1" a="1"/>
  <c r="S458" i="1" s="1"/>
  <c r="U458" i="1" s="1"/>
  <c r="T410" i="1" a="1"/>
  <c r="T410" i="1" s="1"/>
  <c r="S328" i="1" a="1"/>
  <c r="S328" i="1" s="1"/>
  <c r="U328" i="1" s="1"/>
  <c r="S371" i="1" a="1"/>
  <c r="S371" i="1" s="1"/>
  <c r="U371" i="1" s="1"/>
  <c r="S299" i="1" a="1"/>
  <c r="S299" i="1" s="1"/>
  <c r="U299" i="1" s="1"/>
  <c r="T332" i="1" a="1"/>
  <c r="T332" i="1" s="1"/>
  <c r="S373" i="1" a="1"/>
  <c r="S373" i="1" s="1"/>
  <c r="U373" i="1" s="1"/>
  <c r="S301" i="1" a="1"/>
  <c r="S301" i="1" s="1"/>
  <c r="U301" i="1" s="1"/>
  <c r="S344" i="1" a="1"/>
  <c r="S344" i="1" s="1"/>
  <c r="U344" i="1" s="1"/>
  <c r="T377" i="1" a="1"/>
  <c r="T377" i="1" s="1"/>
  <c r="T305" i="1" a="1"/>
  <c r="T305" i="1" s="1"/>
  <c r="S370" i="1" a="1"/>
  <c r="S370" i="1" s="1"/>
  <c r="U370" i="1" s="1"/>
  <c r="T392" i="1" a="1"/>
  <c r="T392" i="1" s="1"/>
  <c r="T319" i="1" a="1"/>
  <c r="T319" i="1" s="1"/>
  <c r="T374" i="1" a="1"/>
  <c r="T374" i="1" s="1"/>
  <c r="T302" i="1" a="1"/>
  <c r="T302" i="1" s="1"/>
  <c r="S355" i="1" a="1"/>
  <c r="S355" i="1" s="1"/>
  <c r="U355" i="1" s="1"/>
  <c r="S362" i="1" a="1"/>
  <c r="S362" i="1" s="1"/>
  <c r="U362" i="1" s="1"/>
  <c r="S290" i="1" a="1"/>
  <c r="S290" i="1" s="1"/>
  <c r="U290" i="1" s="1"/>
  <c r="S357" i="1" a="1"/>
  <c r="S357" i="1" s="1"/>
  <c r="U357" i="1" s="1"/>
  <c r="S285" i="1" a="1"/>
  <c r="S285" i="1" s="1"/>
  <c r="U285" i="1" s="1"/>
  <c r="S228" i="1" a="1"/>
  <c r="S228" i="1" s="1"/>
  <c r="U228" i="1" s="1"/>
  <c r="S259" i="1" a="1"/>
  <c r="S259" i="1" s="1"/>
  <c r="U259" i="1" s="1"/>
  <c r="S187" i="1" a="1"/>
  <c r="S187" i="1" s="1"/>
  <c r="U187" i="1" s="1"/>
  <c r="S242" i="1" a="1"/>
  <c r="S242" i="1" s="1"/>
  <c r="U242" i="1" s="1"/>
  <c r="S170" i="1" a="1"/>
  <c r="S170" i="1" s="1"/>
  <c r="U170" i="1" s="1"/>
  <c r="T215" i="1" a="1"/>
  <c r="T215" i="1" s="1"/>
  <c r="T275" i="1" a="1"/>
  <c r="T275" i="1" s="1"/>
  <c r="T198" i="1" a="1"/>
  <c r="T198" i="1" s="1"/>
  <c r="T253" i="1" a="1"/>
  <c r="T253" i="1" s="1"/>
  <c r="T181" i="1" a="1"/>
  <c r="T181" i="1" s="1"/>
  <c r="S234" i="1" a="1"/>
  <c r="S234" i="1" s="1"/>
  <c r="U234" i="1" s="1"/>
  <c r="T273" i="1" a="1"/>
  <c r="T273" i="1" s="1"/>
  <c r="T195" i="1" a="1"/>
  <c r="T195" i="1" s="1"/>
  <c r="T262" i="1" a="1"/>
  <c r="T262" i="1" s="1"/>
  <c r="T190" i="1" a="1"/>
  <c r="T190" i="1" s="1"/>
  <c r="T233" i="1" a="1"/>
  <c r="T233" i="1" s="1"/>
  <c r="S307" i="1" a="1"/>
  <c r="S307" i="1" s="1"/>
  <c r="U307" i="1" s="1"/>
  <c r="T216" i="1" a="1"/>
  <c r="T216" i="1" s="1"/>
  <c r="S245" i="1" a="1"/>
  <c r="S245" i="1" s="1"/>
  <c r="U245" i="1" s="1"/>
  <c r="S173" i="1" a="1"/>
  <c r="S173" i="1" s="1"/>
  <c r="U173" i="1" s="1"/>
  <c r="S105" i="1" a="1"/>
  <c r="S105" i="1" s="1"/>
  <c r="U105" i="1" s="1"/>
  <c r="S33" i="1" a="1"/>
  <c r="S33" i="1" s="1"/>
  <c r="U33" i="1" s="1"/>
  <c r="T78" i="1" a="1"/>
  <c r="T78" i="1" s="1"/>
  <c r="S143" i="1" a="1"/>
  <c r="S143" i="1" s="1"/>
  <c r="U143" i="1" s="1"/>
  <c r="S71" i="1" a="1"/>
  <c r="S71" i="1" s="1"/>
  <c r="U71" i="1" s="1"/>
  <c r="T116" i="1" a="1"/>
  <c r="T116" i="1" s="1"/>
  <c r="T44" i="1" a="1"/>
  <c r="T44" i="1" s="1"/>
  <c r="S109" i="1" a="1"/>
  <c r="S109" i="1" s="1"/>
  <c r="U109" i="1" s="1"/>
  <c r="S37" i="1" a="1"/>
  <c r="S37" i="1" s="1"/>
  <c r="U37" i="1" s="1"/>
  <c r="T82" i="1" a="1"/>
  <c r="T82" i="1" s="1"/>
  <c r="T137" i="1" a="1"/>
  <c r="T137" i="1" s="1"/>
  <c r="T65" i="1" a="1"/>
  <c r="T65" i="1" s="1"/>
  <c r="T120" i="1" a="1"/>
  <c r="T120" i="1" s="1"/>
  <c r="T48" i="1" a="1"/>
  <c r="T48" i="1" s="1"/>
  <c r="T115" i="1" a="1"/>
  <c r="T115" i="1" s="1"/>
  <c r="S166" i="1" a="1"/>
  <c r="S166" i="1" s="1"/>
  <c r="U166" i="1" s="1"/>
  <c r="S96" i="1" a="1"/>
  <c r="S96" i="1" s="1"/>
  <c r="U96" i="1" s="1"/>
  <c r="T141" i="1" a="1"/>
  <c r="T141" i="1" s="1"/>
  <c r="T69" i="1" a="1"/>
  <c r="T69" i="1" s="1"/>
  <c r="S122" i="1" a="1"/>
  <c r="S122" i="1" s="1"/>
  <c r="U122" i="1" s="1"/>
  <c r="S50" i="1" a="1"/>
  <c r="S50" i="1" s="1"/>
  <c r="U50" i="1" s="1"/>
  <c r="T7" i="1" a="1"/>
  <c r="T7" i="1" s="1"/>
  <c r="S8" i="1" a="1"/>
  <c r="S8" i="1" s="1"/>
  <c r="U8" i="1" s="1"/>
  <c r="T43" i="1" a="1"/>
  <c r="T43" i="1" s="1"/>
  <c r="S798" i="1" a="1"/>
  <c r="S798" i="1" s="1"/>
  <c r="U798" i="1" s="1"/>
  <c r="T797" i="1" a="1"/>
  <c r="T797" i="1" s="1"/>
  <c r="S776" i="1" a="1"/>
  <c r="S776" i="1" s="1"/>
  <c r="U776" i="1" s="1"/>
  <c r="T761" i="1" a="1"/>
  <c r="T761" i="1" s="1"/>
  <c r="S766" i="1" a="1"/>
  <c r="S766" i="1" s="1"/>
  <c r="U766" i="1" s="1"/>
  <c r="T763" i="1" a="1"/>
  <c r="T763" i="1" s="1"/>
  <c r="S768" i="1" a="1"/>
  <c r="S768" i="1" s="1"/>
  <c r="U768" i="1" s="1"/>
  <c r="S763" i="1" a="1"/>
  <c r="S763" i="1" s="1"/>
  <c r="S758" i="1" a="1"/>
  <c r="S758" i="1" s="1"/>
  <c r="U758" i="1" s="1"/>
  <c r="T755" i="1" a="1"/>
  <c r="T755" i="1" s="1"/>
  <c r="T762" i="1" a="1"/>
  <c r="T762" i="1" s="1"/>
  <c r="S755" i="1" a="1"/>
  <c r="S755" i="1" s="1"/>
  <c r="U755" i="1" s="1"/>
  <c r="T675" i="1" a="1"/>
  <c r="T675" i="1" s="1"/>
  <c r="T706" i="1" a="1"/>
  <c r="T706" i="1" s="1"/>
  <c r="T634" i="1" a="1"/>
  <c r="T634" i="1" s="1"/>
  <c r="T641" i="1" a="1"/>
  <c r="T641" i="1" s="1"/>
  <c r="T660" i="1" a="1"/>
  <c r="T660" i="1" s="1"/>
  <c r="S689" i="1" a="1"/>
  <c r="S689" i="1" s="1"/>
  <c r="U689" i="1" s="1"/>
  <c r="S711" i="1" a="1"/>
  <c r="S711" i="1" s="1"/>
  <c r="U711" i="1" s="1"/>
  <c r="T638" i="1" a="1"/>
  <c r="T638" i="1" s="1"/>
  <c r="S667" i="1" a="1"/>
  <c r="S667" i="1" s="1"/>
  <c r="U667" i="1" s="1"/>
  <c r="T676" i="1" a="1"/>
  <c r="T676" i="1" s="1"/>
  <c r="S714" i="1" a="1"/>
  <c r="S714" i="1" s="1"/>
  <c r="U714" i="1" s="1"/>
  <c r="S657" i="1" a="1"/>
  <c r="S657" i="1" s="1"/>
  <c r="U657" i="1" s="1"/>
  <c r="T654" i="1" a="1"/>
  <c r="T654" i="1" s="1"/>
  <c r="T685" i="1" a="1"/>
  <c r="T685" i="1" s="1"/>
  <c r="T704" i="1" a="1"/>
  <c r="T704" i="1" s="1"/>
  <c r="S608" i="1" a="1"/>
  <c r="S608" i="1" s="1"/>
  <c r="U608" i="1" s="1"/>
  <c r="S536" i="1" a="1"/>
  <c r="S536" i="1" s="1"/>
  <c r="U536" i="1" s="1"/>
  <c r="S603" i="1" a="1"/>
  <c r="S603" i="1" s="1"/>
  <c r="S531" i="1" a="1"/>
  <c r="S531" i="1" s="1"/>
  <c r="S574" i="1" a="1"/>
  <c r="S574" i="1" s="1"/>
  <c r="U574" i="1" s="1"/>
  <c r="T635" i="1" a="1"/>
  <c r="T635" i="1" s="1"/>
  <c r="S557" i="1" a="1"/>
  <c r="S557" i="1" s="1"/>
  <c r="U557" i="1" s="1"/>
  <c r="T602" i="1" a="1"/>
  <c r="T602" i="1" s="1"/>
  <c r="T530" i="1" a="1"/>
  <c r="T530" i="1" s="1"/>
  <c r="S583" i="1" a="1"/>
  <c r="S583" i="1" s="1"/>
  <c r="U583" i="1" s="1"/>
  <c r="S511" i="1" a="1"/>
  <c r="S511" i="1" s="1"/>
  <c r="U511" i="1" s="1"/>
  <c r="S566" i="1" a="1"/>
  <c r="S566" i="1" s="1"/>
  <c r="U566" i="1" s="1"/>
  <c r="T599" i="1" a="1"/>
  <c r="T599" i="1" s="1"/>
  <c r="T527" i="1" a="1"/>
  <c r="T527" i="1" s="1"/>
  <c r="T594" i="1" a="1"/>
  <c r="T594" i="1" s="1"/>
  <c r="T522" i="1" a="1"/>
  <c r="T522" i="1" s="1"/>
  <c r="T565" i="1" a="1"/>
  <c r="T565" i="1" s="1"/>
  <c r="S618" i="1" a="1"/>
  <c r="S618" i="1" s="1"/>
  <c r="U618" i="1" s="1"/>
  <c r="S546" i="1" a="1"/>
  <c r="S546" i="1" s="1"/>
  <c r="U546" i="1" s="1"/>
  <c r="T603" i="1" a="1"/>
  <c r="T603" i="1" s="1"/>
  <c r="T531" i="1" a="1"/>
  <c r="T531" i="1" s="1"/>
  <c r="T455" i="1" a="1"/>
  <c r="T455" i="1" s="1"/>
  <c r="S508" i="1" a="1"/>
  <c r="S508" i="1" s="1"/>
  <c r="U508" i="1" s="1"/>
  <c r="S448" i="1" a="1"/>
  <c r="S448" i="1" s="1"/>
  <c r="T457" i="1" a="1"/>
  <c r="T457" i="1" s="1"/>
  <c r="S507" i="1" a="1"/>
  <c r="S507" i="1" s="1"/>
  <c r="U507" i="1" s="1"/>
  <c r="S438" i="1" a="1"/>
  <c r="S438" i="1" s="1"/>
  <c r="U438" i="1" s="1"/>
  <c r="S481" i="1" a="1"/>
  <c r="S481" i="1" s="1"/>
  <c r="U481" i="1" s="1"/>
  <c r="S409" i="1" a="1"/>
  <c r="S409" i="1" s="1"/>
  <c r="U409" i="1" s="1"/>
  <c r="T442" i="1" a="1"/>
  <c r="T442" i="1" s="1"/>
  <c r="T497" i="1" a="1"/>
  <c r="T497" i="1" s="1"/>
  <c r="T425" i="1" a="1"/>
  <c r="T425" i="1" s="1"/>
  <c r="S454" i="1" a="1"/>
  <c r="S454" i="1" s="1"/>
  <c r="U454" i="1" s="1"/>
  <c r="T499" i="1" a="1"/>
  <c r="T499" i="1" s="1"/>
  <c r="T427" i="1" a="1"/>
  <c r="T427" i="1" s="1"/>
  <c r="S468" i="1" a="1"/>
  <c r="S468" i="1" s="1"/>
  <c r="U468" i="1" s="1"/>
  <c r="S487" i="1" a="1"/>
  <c r="S487" i="1" s="1"/>
  <c r="U487" i="1" s="1"/>
  <c r="S415" i="1" a="1"/>
  <c r="S415" i="1" s="1"/>
  <c r="U415" i="1" s="1"/>
  <c r="T448" i="1" a="1"/>
  <c r="T448" i="1" s="1"/>
  <c r="T402" i="1" a="1"/>
  <c r="T402" i="1" s="1"/>
  <c r="T318" i="1" a="1"/>
  <c r="T318" i="1" s="1"/>
  <c r="T361" i="1" a="1"/>
  <c r="T361" i="1" s="1"/>
  <c r="T289" i="1" a="1"/>
  <c r="T289" i="1" s="1"/>
  <c r="S330" i="1" a="1"/>
  <c r="S330" i="1" s="1"/>
  <c r="U330" i="1" s="1"/>
  <c r="T363" i="1" a="1"/>
  <c r="T363" i="1" s="1"/>
  <c r="T291" i="1" a="1"/>
  <c r="T291" i="1" s="1"/>
  <c r="T334" i="1" a="1"/>
  <c r="T334" i="1" s="1"/>
  <c r="S375" i="1" a="1"/>
  <c r="S375" i="1" s="1"/>
  <c r="U375" i="1" s="1"/>
  <c r="S303" i="1" a="1"/>
  <c r="S303" i="1" s="1"/>
  <c r="U303" i="1" s="1"/>
  <c r="T360" i="1" a="1"/>
  <c r="T360" i="1" s="1"/>
  <c r="T391" i="1" a="1"/>
  <c r="T391" i="1" s="1"/>
  <c r="S317" i="1" a="1"/>
  <c r="S317" i="1" s="1"/>
  <c r="U317" i="1" s="1"/>
  <c r="S372" i="1" a="1"/>
  <c r="S372" i="1" s="1"/>
  <c r="U372" i="1" s="1"/>
  <c r="S300" i="1" a="1"/>
  <c r="S300" i="1" s="1"/>
  <c r="U300" i="1" s="1"/>
  <c r="T345" i="1" a="1"/>
  <c r="T345" i="1" s="1"/>
  <c r="T352" i="1" a="1"/>
  <c r="T352" i="1" s="1"/>
  <c r="T280" i="1" a="1"/>
  <c r="T280" i="1" s="1"/>
  <c r="T347" i="1" a="1"/>
  <c r="T347" i="1" s="1"/>
  <c r="T309" i="1" a="1"/>
  <c r="T309" i="1" s="1"/>
  <c r="T218" i="1" a="1"/>
  <c r="T218" i="1" s="1"/>
  <c r="T249" i="1" a="1"/>
  <c r="T249" i="1" s="1"/>
  <c r="T177" i="1" a="1"/>
  <c r="T177" i="1" s="1"/>
  <c r="T232" i="1" a="1"/>
  <c r="T232" i="1" s="1"/>
  <c r="T277" i="1" a="1"/>
  <c r="T277" i="1" s="1"/>
  <c r="S213" i="1" a="1"/>
  <c r="S213" i="1" s="1"/>
  <c r="U213" i="1" s="1"/>
  <c r="T268" i="1" a="1"/>
  <c r="T268" i="1" s="1"/>
  <c r="S196" i="1" a="1"/>
  <c r="S196" i="1" s="1"/>
  <c r="U196" i="1" s="1"/>
  <c r="S251" i="1" a="1"/>
  <c r="S251" i="1" s="1"/>
  <c r="U251" i="1" s="1"/>
  <c r="S179" i="1" a="1"/>
  <c r="S179" i="1" s="1"/>
  <c r="U179" i="1" s="1"/>
  <c r="T224" i="1" a="1"/>
  <c r="T224" i="1" s="1"/>
  <c r="S265" i="1" a="1"/>
  <c r="S265" i="1" s="1"/>
  <c r="U265" i="1" s="1"/>
  <c r="S193" i="1" a="1"/>
  <c r="S193" i="1" s="1"/>
  <c r="U193" i="1" s="1"/>
  <c r="S260" i="1" a="1"/>
  <c r="S260" i="1" s="1"/>
  <c r="U260" i="1" s="1"/>
  <c r="S188" i="1" a="1"/>
  <c r="S188" i="1" s="1"/>
  <c r="U188" i="1" s="1"/>
  <c r="S231" i="1" a="1"/>
  <c r="S231" i="1" s="1"/>
  <c r="U231" i="1" s="1"/>
  <c r="S283" i="1" a="1"/>
  <c r="S283" i="1" s="1"/>
  <c r="U283" i="1" s="1"/>
  <c r="S214" i="1" a="1"/>
  <c r="S214" i="1" s="1"/>
  <c r="U214" i="1" s="1"/>
  <c r="T235" i="1" a="1"/>
  <c r="T235" i="1" s="1"/>
  <c r="T163" i="1" a="1"/>
  <c r="T163" i="1" s="1"/>
  <c r="T95" i="1" a="1"/>
  <c r="T95" i="1" s="1"/>
  <c r="T148" i="1" a="1"/>
  <c r="T148" i="1" s="1"/>
  <c r="S76" i="1" a="1"/>
  <c r="S76" i="1" s="1"/>
  <c r="U76" i="1" s="1"/>
  <c r="T133" i="1" a="1"/>
  <c r="T133" i="1" s="1"/>
  <c r="T61" i="1" a="1"/>
  <c r="T61" i="1" s="1"/>
  <c r="S114" i="1" a="1"/>
  <c r="S114" i="1" s="1"/>
  <c r="U114" i="1" s="1"/>
  <c r="S42" i="1" a="1"/>
  <c r="S42" i="1" s="1"/>
  <c r="U42" i="1" s="1"/>
  <c r="T99" i="1" a="1"/>
  <c r="T99" i="1" s="1"/>
  <c r="T157" i="1" a="1"/>
  <c r="T157" i="1" s="1"/>
  <c r="S80" i="1" a="1"/>
  <c r="S80" i="1" s="1"/>
  <c r="U80" i="1" s="1"/>
  <c r="S135" i="1" a="1"/>
  <c r="S135" i="1" s="1"/>
  <c r="U135" i="1" s="1"/>
  <c r="S63" i="1" a="1"/>
  <c r="S63" i="1" s="1"/>
  <c r="U63" i="1" s="1"/>
  <c r="S118" i="1" a="1"/>
  <c r="S118" i="1" s="1"/>
  <c r="U118" i="1" s="1"/>
  <c r="S46" i="1" a="1"/>
  <c r="S46" i="1" s="1"/>
  <c r="U46" i="1" s="1"/>
  <c r="S113" i="1" a="1"/>
  <c r="S113" i="1" s="1"/>
  <c r="U113" i="1" s="1"/>
  <c r="S164" i="1" a="1"/>
  <c r="S164" i="1" s="1"/>
  <c r="U164" i="1" s="1"/>
  <c r="T86" i="1" a="1"/>
  <c r="T86" i="1" s="1"/>
  <c r="S139" i="1" a="1"/>
  <c r="S139" i="1" s="1"/>
  <c r="U139" i="1" s="1"/>
  <c r="S67" i="1" a="1"/>
  <c r="S67" i="1" s="1"/>
  <c r="U67" i="1" s="1"/>
  <c r="T112" i="1" a="1"/>
  <c r="T112" i="1" s="1"/>
  <c r="S74" i="1" a="1"/>
  <c r="S74" i="1" s="1"/>
  <c r="U74" i="1" s="1"/>
  <c r="S17" i="1" a="1"/>
  <c r="S17" i="1" s="1"/>
  <c r="S36" i="1" a="1"/>
  <c r="S36" i="1" s="1"/>
  <c r="U36" i="1" s="1"/>
  <c r="T4" i="1" a="1"/>
  <c r="T4" i="1" s="1"/>
  <c r="S98" i="1" a="1"/>
  <c r="S98" i="1" s="1"/>
  <c r="U98" i="1" s="1"/>
  <c r="T15" i="1" a="1"/>
  <c r="T15" i="1" s="1"/>
  <c r="T17" i="1" a="1"/>
  <c r="T17" i="1" s="1"/>
  <c r="S29" i="1" a="1"/>
  <c r="S29" i="1" s="1"/>
  <c r="U29" i="1" s="1"/>
  <c r="S146" i="1" a="1"/>
  <c r="S146" i="1" s="1"/>
  <c r="U146" i="1" s="1"/>
  <c r="S15" i="1" a="1"/>
  <c r="S15" i="1" s="1"/>
  <c r="T24" i="1" a="1"/>
  <c r="T24" i="1" s="1"/>
  <c r="S24" i="1" a="1"/>
  <c r="S24" i="1" s="1"/>
  <c r="U24" i="1" s="1"/>
  <c r="V24" i="1" s="1"/>
  <c r="S19" i="1" a="1"/>
  <c r="S19" i="1" s="1"/>
  <c r="U19" i="1" s="1"/>
  <c r="V19" i="1"/>
  <c r="V12" i="1"/>
  <c r="V250" i="1"/>
  <c r="Y485" i="1" a="1"/>
  <c r="Y485" i="1" s="1"/>
  <c r="Z19" i="1" a="1"/>
  <c r="Z19" i="1" s="1"/>
  <c r="Z17" i="1" a="1"/>
  <c r="Z17" i="1" s="1"/>
  <c r="Z15" i="1" a="1"/>
  <c r="Z15" i="1" s="1"/>
  <c r="Y28" i="1" a="1"/>
  <c r="Y28" i="1" s="1"/>
  <c r="Y14" i="1" a="1"/>
  <c r="Y14" i="1" s="1"/>
  <c r="AA14" i="1" s="1"/>
  <c r="Z55" i="1" a="1"/>
  <c r="Z55" i="1" s="1"/>
  <c r="Z127" i="1" a="1"/>
  <c r="Z127" i="1" s="1"/>
  <c r="Z72" i="1" a="1"/>
  <c r="Z72" i="1" s="1"/>
  <c r="Z144" i="1" a="1"/>
  <c r="Z144" i="1" s="1"/>
  <c r="Z101" i="1" a="1"/>
  <c r="Z101" i="1" s="1"/>
  <c r="Y68" i="1" a="1"/>
  <c r="Y68" i="1" s="1"/>
  <c r="Y140" i="1" a="1"/>
  <c r="Y140" i="1" s="1"/>
  <c r="Z63" i="1" a="1"/>
  <c r="Z63" i="1" s="1"/>
  <c r="Z135" i="1" a="1"/>
  <c r="Z135" i="1" s="1"/>
  <c r="AB135" i="1" s="1"/>
  <c r="Z80" i="1" a="1"/>
  <c r="Z80" i="1" s="1"/>
  <c r="Y35" i="1" a="1"/>
  <c r="Y35" i="1" s="1"/>
  <c r="Y107" i="1" a="1"/>
  <c r="Y107" i="1" s="1"/>
  <c r="Y40" i="1" a="1"/>
  <c r="Y40" i="1" s="1"/>
  <c r="Y112" i="1" a="1"/>
  <c r="Y112" i="1" s="1"/>
  <c r="Z71" i="1" a="1"/>
  <c r="Z71" i="1" s="1"/>
  <c r="Z143" i="1" a="1"/>
  <c r="Z143" i="1" s="1"/>
  <c r="Y86" i="1" a="1"/>
  <c r="Y86" i="1" s="1"/>
  <c r="Y31" i="1" a="1"/>
  <c r="Y31" i="1" s="1"/>
  <c r="Y103" i="1" a="1"/>
  <c r="Y103" i="1" s="1"/>
  <c r="Z38" i="1" a="1"/>
  <c r="Z38" i="1" s="1"/>
  <c r="Z110" i="1" a="1"/>
  <c r="Z110" i="1" s="1"/>
  <c r="Y188" i="1" a="1"/>
  <c r="Y188" i="1" s="1"/>
  <c r="Y260" i="1" a="1"/>
  <c r="Y260" i="1" s="1"/>
  <c r="Z219" i="1" a="1"/>
  <c r="Z219" i="1" s="1"/>
  <c r="Z164" i="1" a="1"/>
  <c r="Z164" i="1" s="1"/>
  <c r="Z236" i="1" a="1"/>
  <c r="Z236" i="1" s="1"/>
  <c r="Y191" i="1" a="1"/>
  <c r="Y191" i="1" s="1"/>
  <c r="Y263" i="1" a="1"/>
  <c r="Y263" i="1" s="1"/>
  <c r="Z186" i="1" a="1"/>
  <c r="Z186" i="1" s="1"/>
  <c r="Z258" i="1" a="1"/>
  <c r="Z258" i="1" s="1"/>
  <c r="Z227" i="1" a="1"/>
  <c r="Z227" i="1" s="1"/>
  <c r="Y170" i="1" a="1"/>
  <c r="Y170" i="1" s="1"/>
  <c r="Y242" i="1" a="1"/>
  <c r="Y242" i="1" s="1"/>
  <c r="Z189" i="1" a="1"/>
  <c r="Z189" i="1" s="1"/>
  <c r="Z261" i="1" a="1"/>
  <c r="Z261" i="1" s="1"/>
  <c r="Z218" i="1" a="1"/>
  <c r="Z218" i="1" s="1"/>
  <c r="Y173" i="1" a="1"/>
  <c r="Y173" i="1" s="1"/>
  <c r="Y245" i="1" a="1"/>
  <c r="Y245" i="1" s="1"/>
  <c r="Y202" i="1" a="1"/>
  <c r="Y202" i="1" s="1"/>
  <c r="Y267" i="1" a="1"/>
  <c r="Y267" i="1" s="1"/>
  <c r="Z197" i="1" a="1"/>
  <c r="Z197" i="1" s="1"/>
  <c r="Y278" i="1" a="1"/>
  <c r="Y278" i="1" s="1"/>
  <c r="Y348" i="1" a="1"/>
  <c r="Y348" i="1" s="1"/>
  <c r="Z295" i="1" a="1"/>
  <c r="Z295" i="1" s="1"/>
  <c r="Z367" i="1" a="1"/>
  <c r="Z367" i="1" s="1"/>
  <c r="Z360" i="1" a="1"/>
  <c r="Z360" i="1" s="1"/>
  <c r="Z317" i="1" a="1"/>
  <c r="Z317" i="1" s="1"/>
  <c r="Z274" i="1" a="1"/>
  <c r="Z274" i="1" s="1"/>
  <c r="Z346" i="1" a="1"/>
  <c r="Z346" i="1" s="1"/>
  <c r="Y337" i="1" a="1"/>
  <c r="Y337" i="1" s="1"/>
  <c r="Z272" i="1" a="1"/>
  <c r="Z272" i="1" s="1"/>
  <c r="Z344" i="1" a="1"/>
  <c r="Z344" i="1" s="1"/>
  <c r="Z313" i="1" a="1"/>
  <c r="Z313" i="1" s="1"/>
  <c r="Z385" i="1" a="1"/>
  <c r="Z385" i="1" s="1"/>
  <c r="Z318" i="1" a="1"/>
  <c r="Z318" i="1" s="1"/>
  <c r="Y285" i="1" a="1"/>
  <c r="Y285" i="1" s="1"/>
  <c r="Y357" i="1" a="1"/>
  <c r="Y357" i="1" s="1"/>
  <c r="Z292" i="1" a="1"/>
  <c r="Z292" i="1" s="1"/>
  <c r="Y386" i="1" a="1"/>
  <c r="Y386" i="1" s="1"/>
  <c r="Z369" i="1" a="1"/>
  <c r="Z369" i="1" s="1"/>
  <c r="Z29" i="1" a="1"/>
  <c r="Z29" i="1" s="1"/>
  <c r="Y27" i="1" a="1"/>
  <c r="Y27" i="1" s="1"/>
  <c r="Y25" i="1" a="1"/>
  <c r="Y25" i="1" s="1"/>
  <c r="Z2" i="1" a="1"/>
  <c r="Z2" i="1" s="1"/>
  <c r="Z16" i="1" a="1"/>
  <c r="Z16" i="1" s="1"/>
  <c r="Y65" i="1" a="1"/>
  <c r="Y65" i="1" s="1"/>
  <c r="Y137" i="1" a="1"/>
  <c r="Y137" i="1" s="1"/>
  <c r="Y82" i="1" a="1"/>
  <c r="Y82" i="1" s="1"/>
  <c r="Y147" i="1" a="1"/>
  <c r="Y147" i="1" s="1"/>
  <c r="Y111" i="1" a="1"/>
  <c r="Y111" i="1" s="1"/>
  <c r="Z70" i="1" a="1"/>
  <c r="Z70" i="1" s="1"/>
  <c r="Z142" i="1" a="1"/>
  <c r="Z142" i="1" s="1"/>
  <c r="Y73" i="1" a="1"/>
  <c r="Y73" i="1" s="1"/>
  <c r="Y145" i="1" a="1"/>
  <c r="Y145" i="1" s="1"/>
  <c r="Y90" i="1" a="1"/>
  <c r="Y90" i="1" s="1"/>
  <c r="Z37" i="1" a="1"/>
  <c r="Z37" i="1" s="1"/>
  <c r="Z109" i="1" a="1"/>
  <c r="Z109" i="1" s="1"/>
  <c r="Z42" i="1" a="1"/>
  <c r="Z42" i="1" s="1"/>
  <c r="Z114" i="1" a="1"/>
  <c r="Z114" i="1" s="1"/>
  <c r="Y81" i="1" a="1"/>
  <c r="Y81" i="1" s="1"/>
  <c r="Y149" i="1" a="1"/>
  <c r="Y149" i="1" s="1"/>
  <c r="Z88" i="1" a="1"/>
  <c r="Z88" i="1" s="1"/>
  <c r="Z33" i="1" a="1"/>
  <c r="Z33" i="1" s="1"/>
  <c r="AB33" i="1" s="1"/>
  <c r="Z105" i="1" a="1"/>
  <c r="Z105" i="1" s="1"/>
  <c r="Y48" i="1" a="1"/>
  <c r="Y48" i="1" s="1"/>
  <c r="Y120" i="1" a="1"/>
  <c r="Y120" i="1" s="1"/>
  <c r="Z190" i="1" a="1"/>
  <c r="Z190" i="1" s="1"/>
  <c r="Z262" i="1" a="1"/>
  <c r="Z262" i="1" s="1"/>
  <c r="Y229" i="1" a="1"/>
  <c r="Y229" i="1" s="1"/>
  <c r="Y174" i="1" a="1"/>
  <c r="Y174" i="1" s="1"/>
  <c r="Y246" i="1" a="1"/>
  <c r="Y246" i="1" s="1"/>
  <c r="Z193" i="1" a="1"/>
  <c r="Z193" i="1" s="1"/>
  <c r="Z265" i="1" a="1"/>
  <c r="Z265" i="1" s="1"/>
  <c r="Y196" i="1" a="1"/>
  <c r="Y196" i="1" s="1"/>
  <c r="Y165" i="1" a="1"/>
  <c r="Y165" i="1" s="1"/>
  <c r="Y237" i="1" a="1"/>
  <c r="Y237" i="1" s="1"/>
  <c r="Z172" i="1" a="1"/>
  <c r="Z172" i="1" s="1"/>
  <c r="Z244" i="1" a="1"/>
  <c r="Z244" i="1" s="1"/>
  <c r="Y199" i="1" a="1"/>
  <c r="Y199" i="1" s="1"/>
  <c r="Y271" i="1" a="1"/>
  <c r="Y271" i="1" s="1"/>
  <c r="Y228" i="1" a="1"/>
  <c r="Y228" i="1" s="1"/>
  <c r="Z175" i="1" a="1"/>
  <c r="Z175" i="1" s="1"/>
  <c r="Z247" i="1" a="1"/>
  <c r="Z247" i="1" s="1"/>
  <c r="Z204" i="1" a="1"/>
  <c r="Z204" i="1" s="1"/>
  <c r="Y273" i="1" a="1"/>
  <c r="Y273" i="1" s="1"/>
  <c r="Y207" i="1" a="1"/>
  <c r="Y207" i="1" s="1"/>
  <c r="Z278" i="1" a="1"/>
  <c r="Z278" i="1" s="1"/>
  <c r="Z350" i="1" a="1"/>
  <c r="Z350" i="1" s="1"/>
  <c r="Y305" i="1" a="1"/>
  <c r="Y305" i="1" s="1"/>
  <c r="Y377" i="1" a="1"/>
  <c r="Y377" i="1" s="1"/>
  <c r="Y370" i="1" a="1"/>
  <c r="Y370" i="1" s="1"/>
  <c r="Y327" i="1" a="1"/>
  <c r="Y327" i="1" s="1"/>
  <c r="Y284" i="1" a="1"/>
  <c r="Y284" i="1" s="1"/>
  <c r="Y356" i="1" a="1"/>
  <c r="Y356" i="1" s="1"/>
  <c r="Z339" i="1" a="1"/>
  <c r="Z339" i="1" s="1"/>
  <c r="Y282" i="1" a="1"/>
  <c r="Y282" i="1" s="1"/>
  <c r="Y354" i="1" a="1"/>
  <c r="Y354" i="1" s="1"/>
  <c r="Y323" i="1" a="1"/>
  <c r="Y323" i="1" s="1"/>
  <c r="Y389" i="1" a="1"/>
  <c r="Y389" i="1" s="1"/>
  <c r="Y328" i="1" a="1"/>
  <c r="Y328" i="1" s="1"/>
  <c r="Z287" i="1" a="1"/>
  <c r="Z287" i="1" s="1"/>
  <c r="Z359" i="1" a="1"/>
  <c r="Z359" i="1" s="1"/>
  <c r="Y302" i="1" a="1"/>
  <c r="Y302" i="1" s="1"/>
  <c r="Y392" i="1" a="1"/>
  <c r="Y392" i="1" s="1"/>
  <c r="Z392" i="1" a="1"/>
  <c r="Z392" i="1" s="1"/>
  <c r="Z41" i="1" a="1"/>
  <c r="Z41" i="1" s="1"/>
  <c r="Y33" i="1" a="1"/>
  <c r="Y33" i="1" s="1"/>
  <c r="AA33" i="1" s="1"/>
  <c r="Y32" i="1" a="1"/>
  <c r="Y32" i="1" s="1"/>
  <c r="Y4" i="1" a="1"/>
  <c r="Y4" i="1" s="1"/>
  <c r="Y26" i="1" a="1"/>
  <c r="Y26" i="1" s="1"/>
  <c r="AA26" i="1" s="1"/>
  <c r="Z67" i="1" a="1"/>
  <c r="Z67" i="1" s="1"/>
  <c r="Z139" i="1" a="1"/>
  <c r="Z139" i="1" s="1"/>
  <c r="Z84" i="1" a="1"/>
  <c r="Z84" i="1" s="1"/>
  <c r="Z153" i="1" a="1"/>
  <c r="Z153" i="1" s="1"/>
  <c r="Z113" i="1" a="1"/>
  <c r="Z113" i="1" s="1"/>
  <c r="Y80" i="1" a="1"/>
  <c r="Y80" i="1" s="1"/>
  <c r="AA80" i="1" s="1"/>
  <c r="Z147" i="1" a="1"/>
  <c r="Z147" i="1" s="1"/>
  <c r="Z75" i="1" a="1"/>
  <c r="Z75" i="1" s="1"/>
  <c r="Y151" i="1" a="1"/>
  <c r="Y151" i="1" s="1"/>
  <c r="Z92" i="1" a="1"/>
  <c r="Z92" i="1" s="1"/>
  <c r="Y47" i="1" a="1"/>
  <c r="Y47" i="1" s="1"/>
  <c r="Y119" i="1" a="1"/>
  <c r="Y119" i="1" s="1"/>
  <c r="Y52" i="1" a="1"/>
  <c r="Y52" i="1" s="1"/>
  <c r="Y124" i="1" a="1"/>
  <c r="Y124" i="1" s="1"/>
  <c r="Z83" i="1" a="1"/>
  <c r="Z83" i="1" s="1"/>
  <c r="Y152" i="1" a="1"/>
  <c r="Y152" i="1" s="1"/>
  <c r="Y98" i="1" a="1"/>
  <c r="Y98" i="1" s="1"/>
  <c r="Y43" i="1" a="1"/>
  <c r="Y43" i="1" s="1"/>
  <c r="Y115" i="1" a="1"/>
  <c r="Y115" i="1" s="1"/>
  <c r="Z50" i="1" a="1"/>
  <c r="Z50" i="1" s="1"/>
  <c r="Z122" i="1" a="1"/>
  <c r="Z122" i="1" s="1"/>
  <c r="Y200" i="1" a="1"/>
  <c r="Y200" i="1" s="1"/>
  <c r="Z267" i="1" a="1"/>
  <c r="Z267" i="1" s="1"/>
  <c r="Z231" i="1" a="1"/>
  <c r="Z231" i="1" s="1"/>
  <c r="Z176" i="1" a="1"/>
  <c r="Z176" i="1" s="1"/>
  <c r="Z248" i="1" a="1"/>
  <c r="Z248" i="1" s="1"/>
  <c r="Y203" i="1" a="1"/>
  <c r="Y203" i="1" s="1"/>
  <c r="Y269" i="1" a="1"/>
  <c r="Y269" i="1" s="1"/>
  <c r="Z198" i="1" a="1"/>
  <c r="Z198" i="1" s="1"/>
  <c r="Z167" i="1" a="1"/>
  <c r="Z167" i="1" s="1"/>
  <c r="Z239" i="1" a="1"/>
  <c r="Z239" i="1" s="1"/>
  <c r="Y182" i="1" a="1"/>
  <c r="Y182" i="1" s="1"/>
  <c r="Y254" i="1" a="1"/>
  <c r="Y254" i="1" s="1"/>
  <c r="Z201" i="1" a="1"/>
  <c r="Z201" i="1" s="1"/>
  <c r="Z158" i="1" a="1"/>
  <c r="Z158" i="1" s="1"/>
  <c r="Z230" i="1" a="1"/>
  <c r="Z230" i="1" s="1"/>
  <c r="Y185" i="1" a="1"/>
  <c r="Y185" i="1" s="1"/>
  <c r="Y257" i="1" a="1"/>
  <c r="Y257" i="1" s="1"/>
  <c r="Y214" i="1" a="1"/>
  <c r="Y214" i="1" s="1"/>
  <c r="Z279" i="1" a="1"/>
  <c r="Z279" i="1" s="1"/>
  <c r="Z209" i="1" a="1"/>
  <c r="Z209" i="1" s="1"/>
  <c r="Y288" i="1" a="1"/>
  <c r="Y288" i="1" s="1"/>
  <c r="Y360" i="1" a="1"/>
  <c r="Y360" i="1" s="1"/>
  <c r="AA360" i="1" s="1"/>
  <c r="Z307" i="1" a="1"/>
  <c r="Z307" i="1" s="1"/>
  <c r="Z379" i="1" a="1"/>
  <c r="Z379" i="1" s="1"/>
  <c r="Z372" i="1" a="1"/>
  <c r="Z372" i="1" s="1"/>
  <c r="Z329" i="1" a="1"/>
  <c r="Z329" i="1" s="1"/>
  <c r="Z286" i="1" a="1"/>
  <c r="Z286" i="1" s="1"/>
  <c r="Z358" i="1" a="1"/>
  <c r="Z358" i="1" s="1"/>
  <c r="Y349" i="1" a="1"/>
  <c r="Y349" i="1" s="1"/>
  <c r="Z284" i="1" a="1"/>
  <c r="Z284" i="1" s="1"/>
  <c r="Z356" i="1" a="1"/>
  <c r="Z356" i="1" s="1"/>
  <c r="Z325" i="1" a="1"/>
  <c r="Z325" i="1" s="1"/>
  <c r="Z401" i="1" a="1"/>
  <c r="Z401" i="1" s="1"/>
  <c r="Z330" i="1" a="1"/>
  <c r="Z330" i="1" s="1"/>
  <c r="Y297" i="1" a="1"/>
  <c r="Y297" i="1" s="1"/>
  <c r="Y369" i="1" a="1"/>
  <c r="Y369" i="1" s="1"/>
  <c r="AA369" i="1" s="1"/>
  <c r="Z304" i="1" a="1"/>
  <c r="Z304" i="1" s="1"/>
  <c r="Z393" i="1" a="1"/>
  <c r="Z393" i="1" s="1"/>
  <c r="Z394" i="1" a="1"/>
  <c r="Z394" i="1" s="1"/>
  <c r="Y12" i="1" a="1"/>
  <c r="Y12" i="1" s="1"/>
  <c r="Y3" i="1" a="1"/>
  <c r="Y3" i="1" s="1"/>
  <c r="Z6" i="1" a="1"/>
  <c r="Z6" i="1" s="1"/>
  <c r="Z4" i="1" a="1"/>
  <c r="Z4" i="1" s="1"/>
  <c r="Y77" i="1" a="1"/>
  <c r="Y77" i="1" s="1"/>
  <c r="Y150" i="1" a="1"/>
  <c r="Y150" i="1" s="1"/>
  <c r="Y94" i="1" a="1"/>
  <c r="Y94" i="1" s="1"/>
  <c r="Y51" i="1" a="1"/>
  <c r="Y51" i="1" s="1"/>
  <c r="Y123" i="1" a="1"/>
  <c r="Y123" i="1" s="1"/>
  <c r="Z82" i="1" a="1"/>
  <c r="Z82" i="1" s="1"/>
  <c r="Y154" i="1" a="1"/>
  <c r="Y154" i="1" s="1"/>
  <c r="Y85" i="1" a="1"/>
  <c r="Y85" i="1" s="1"/>
  <c r="Y30" i="1" a="1"/>
  <c r="Y30" i="1" s="1"/>
  <c r="Y102" i="1" a="1"/>
  <c r="Y102" i="1" s="1"/>
  <c r="Z49" i="1" a="1"/>
  <c r="Z49" i="1" s="1"/>
  <c r="Z121" i="1" a="1"/>
  <c r="Z121" i="1" s="1"/>
  <c r="Z54" i="1" a="1"/>
  <c r="Z54" i="1" s="1"/>
  <c r="AB54" i="1" s="1"/>
  <c r="Z126" i="1" a="1"/>
  <c r="Z126" i="1" s="1"/>
  <c r="Y93" i="1" a="1"/>
  <c r="Y93" i="1" s="1"/>
  <c r="Y155" i="1" a="1"/>
  <c r="Y155" i="1" s="1"/>
  <c r="Z100" i="1" a="1"/>
  <c r="Z100" i="1" s="1"/>
  <c r="Z45" i="1" a="1"/>
  <c r="Z45" i="1" s="1"/>
  <c r="Z117" i="1" a="1"/>
  <c r="Z117" i="1" s="1"/>
  <c r="Y60" i="1" a="1"/>
  <c r="Y60" i="1" s="1"/>
  <c r="Y132" i="1" a="1"/>
  <c r="Y132" i="1" s="1"/>
  <c r="Z202" i="1" a="1"/>
  <c r="Z202" i="1" s="1"/>
  <c r="Z273" i="1" a="1"/>
  <c r="Z273" i="1" s="1"/>
  <c r="Y241" i="1" a="1"/>
  <c r="Y241" i="1" s="1"/>
  <c r="Y186" i="1" a="1"/>
  <c r="Y186" i="1" s="1"/>
  <c r="AA186" i="1" s="1"/>
  <c r="Y258" i="1" a="1"/>
  <c r="Y258" i="1" s="1"/>
  <c r="AA258" i="1" s="1"/>
  <c r="Z205" i="1" a="1"/>
  <c r="Z205" i="1" s="1"/>
  <c r="Y286" i="1" a="1"/>
  <c r="Y286" i="1" s="1"/>
  <c r="AA286" i="1" s="1"/>
  <c r="Y208" i="1" a="1"/>
  <c r="Y208" i="1" s="1"/>
  <c r="Y177" i="1" a="1"/>
  <c r="Y177" i="1" s="1"/>
  <c r="Y249" i="1" a="1"/>
  <c r="Y249" i="1" s="1"/>
  <c r="Z184" i="1" a="1"/>
  <c r="Z184" i="1" s="1"/>
  <c r="Z256" i="1" a="1"/>
  <c r="Z256" i="1" s="1"/>
  <c r="Y211" i="1" a="1"/>
  <c r="Y211" i="1" s="1"/>
  <c r="Y168" i="1" a="1"/>
  <c r="Y168" i="1" s="1"/>
  <c r="Y240" i="1" a="1"/>
  <c r="Y240" i="1" s="1"/>
  <c r="Z187" i="1" a="1"/>
  <c r="Z187" i="1" s="1"/>
  <c r="Z259" i="1" a="1"/>
  <c r="Z259" i="1" s="1"/>
  <c r="Z216" i="1" a="1"/>
  <c r="Z216" i="1" s="1"/>
  <c r="Y301" i="1" a="1"/>
  <c r="Y301" i="1" s="1"/>
  <c r="Y219" i="1" a="1"/>
  <c r="Y219" i="1" s="1"/>
  <c r="AA219" i="1" s="1"/>
  <c r="Z290" i="1" a="1"/>
  <c r="Z290" i="1" s="1"/>
  <c r="Z362" i="1" a="1"/>
  <c r="Z362" i="1" s="1"/>
  <c r="Y317" i="1" a="1"/>
  <c r="Y317" i="1" s="1"/>
  <c r="AA317" i="1" s="1"/>
  <c r="Y402" i="1" a="1"/>
  <c r="Y402" i="1" s="1"/>
  <c r="Y382" i="1" a="1"/>
  <c r="Y382" i="1" s="1"/>
  <c r="Y339" i="1" a="1"/>
  <c r="Y339" i="1" s="1"/>
  <c r="AA339" i="1" s="1"/>
  <c r="Y296" i="1" a="1"/>
  <c r="Y296" i="1" s="1"/>
  <c r="Y368" i="1" a="1"/>
  <c r="Y368" i="1" s="1"/>
  <c r="Z351" i="1" a="1"/>
  <c r="Z351" i="1" s="1"/>
  <c r="Y294" i="1" a="1"/>
  <c r="Y294" i="1" s="1"/>
  <c r="Y366" i="1" a="1"/>
  <c r="Y366" i="1" s="1"/>
  <c r="Y335" i="1" a="1"/>
  <c r="Y335" i="1" s="1"/>
  <c r="Y268" i="1" a="1"/>
  <c r="Y268" i="1" s="1"/>
  <c r="Y340" i="1" a="1"/>
  <c r="Y340" i="1" s="1"/>
  <c r="Z299" i="1" a="1"/>
  <c r="Z299" i="1" s="1"/>
  <c r="Z371" i="1" a="1"/>
  <c r="Z371" i="1" s="1"/>
  <c r="Y314" i="1" a="1"/>
  <c r="Y314" i="1" s="1"/>
  <c r="Z405" i="1" a="1"/>
  <c r="Z405" i="1" s="1"/>
  <c r="Z403" i="1" a="1"/>
  <c r="Z403" i="1" s="1"/>
  <c r="Y10" i="1" a="1"/>
  <c r="Y10" i="1" s="1"/>
  <c r="Y8" i="1" a="1"/>
  <c r="Y8" i="1" s="1"/>
  <c r="Y6" i="1" a="1"/>
  <c r="Y6" i="1" s="1"/>
  <c r="AA6" i="1" s="1"/>
  <c r="Y16" i="1" a="1"/>
  <c r="Y16" i="1" s="1"/>
  <c r="AA16" i="1" s="1"/>
  <c r="Y7" i="1" a="1"/>
  <c r="Y7" i="1" s="1"/>
  <c r="Z79" i="1" a="1"/>
  <c r="Z79" i="1" s="1"/>
  <c r="Z156" i="1" a="1"/>
  <c r="Z156" i="1" s="1"/>
  <c r="Z96" i="1" a="1"/>
  <c r="Z96" i="1" s="1"/>
  <c r="Z53" i="1" a="1"/>
  <c r="Z53" i="1" s="1"/>
  <c r="Z125" i="1" a="1"/>
  <c r="Z125" i="1" s="1"/>
  <c r="Y92" i="1" a="1"/>
  <c r="Y92" i="1" s="1"/>
  <c r="AA92" i="1" s="1"/>
  <c r="Z159" i="1" a="1"/>
  <c r="Z159" i="1" s="1"/>
  <c r="Z87" i="1" a="1"/>
  <c r="Z87" i="1" s="1"/>
  <c r="Z32" i="1" a="1"/>
  <c r="Z32" i="1" s="1"/>
  <c r="Z104" i="1" a="1"/>
  <c r="Z104" i="1" s="1"/>
  <c r="Y59" i="1" a="1"/>
  <c r="Y59" i="1" s="1"/>
  <c r="Y131" i="1" a="1"/>
  <c r="Y131" i="1" s="1"/>
  <c r="Y64" i="1" a="1"/>
  <c r="Y64" i="1" s="1"/>
  <c r="Y136" i="1" a="1"/>
  <c r="Y136" i="1" s="1"/>
  <c r="Z95" i="1" a="1"/>
  <c r="Z95" i="1" s="1"/>
  <c r="Y38" i="1" a="1"/>
  <c r="Y38" i="1" s="1"/>
  <c r="AA38" i="1" s="1"/>
  <c r="Y110" i="1" a="1"/>
  <c r="Y110" i="1" s="1"/>
  <c r="AA110" i="1" s="1"/>
  <c r="Y55" i="1" a="1"/>
  <c r="Y55" i="1" s="1"/>
  <c r="AA55" i="1" s="1"/>
  <c r="Y127" i="1" a="1"/>
  <c r="Y127" i="1" s="1"/>
  <c r="AA127" i="1" s="1"/>
  <c r="Z62" i="1" a="1"/>
  <c r="Z62" i="1" s="1"/>
  <c r="Z134" i="1" a="1"/>
  <c r="Z134" i="1" s="1"/>
  <c r="Y212" i="1" a="1"/>
  <c r="Y212" i="1" s="1"/>
  <c r="Y275" i="1" a="1"/>
  <c r="Y275" i="1" s="1"/>
  <c r="Z243" i="1" a="1"/>
  <c r="Z243" i="1" s="1"/>
  <c r="Z188" i="1" a="1"/>
  <c r="Z188" i="1" s="1"/>
  <c r="Z260" i="1" a="1"/>
  <c r="Z260" i="1" s="1"/>
  <c r="Y215" i="1" a="1"/>
  <c r="Y215" i="1" s="1"/>
  <c r="Z288" i="1" a="1"/>
  <c r="Z288" i="1" s="1"/>
  <c r="Z210" i="1" a="1"/>
  <c r="Z210" i="1" s="1"/>
  <c r="Z179" i="1" a="1"/>
  <c r="Z179" i="1" s="1"/>
  <c r="Z251" i="1" a="1"/>
  <c r="Z251" i="1" s="1"/>
  <c r="Y194" i="1" a="1"/>
  <c r="Y194" i="1" s="1"/>
  <c r="Y266" i="1" a="1"/>
  <c r="Y266" i="1" s="1"/>
  <c r="Z213" i="1" a="1"/>
  <c r="Z213" i="1" s="1"/>
  <c r="Z170" i="1" a="1"/>
  <c r="Z170" i="1" s="1"/>
  <c r="Z242" i="1" a="1"/>
  <c r="Z242" i="1" s="1"/>
  <c r="Y197" i="1" a="1"/>
  <c r="Y197" i="1" s="1"/>
  <c r="AA197" i="1" s="1"/>
  <c r="Y272" i="1" a="1"/>
  <c r="Y272" i="1" s="1"/>
  <c r="AA272" i="1" s="1"/>
  <c r="Y226" i="1" a="1"/>
  <c r="Y226" i="1" s="1"/>
  <c r="Z303" i="1" a="1"/>
  <c r="Z303" i="1" s="1"/>
  <c r="Z221" i="1" a="1"/>
  <c r="Z221" i="1" s="1"/>
  <c r="Y300" i="1" a="1"/>
  <c r="Y300" i="1" s="1"/>
  <c r="Y372" i="1" a="1"/>
  <c r="Y372" i="1" s="1"/>
  <c r="AA372" i="1" s="1"/>
  <c r="Z319" i="1" a="1"/>
  <c r="Z319" i="1" s="1"/>
  <c r="Z312" i="1" a="1"/>
  <c r="Z312" i="1" s="1"/>
  <c r="Z384" i="1" a="1"/>
  <c r="Z384" i="1" s="1"/>
  <c r="Z341" i="1" a="1"/>
  <c r="Z341" i="1" s="1"/>
  <c r="Z298" i="1" a="1"/>
  <c r="Z298" i="1" s="1"/>
  <c r="Z370" i="1" a="1"/>
  <c r="Z370" i="1" s="1"/>
  <c r="Y361" i="1" a="1"/>
  <c r="Y361" i="1" s="1"/>
  <c r="Z296" i="1" a="1"/>
  <c r="Z296" i="1" s="1"/>
  <c r="Z368" i="1" a="1"/>
  <c r="Z368" i="1" s="1"/>
  <c r="Z337" i="1" a="1"/>
  <c r="Z337" i="1" s="1"/>
  <c r="Z270" i="1" a="1"/>
  <c r="Z270" i="1" s="1"/>
  <c r="Z342" i="1" a="1"/>
  <c r="Z342" i="1" s="1"/>
  <c r="Y309" i="1" a="1"/>
  <c r="Y309" i="1" s="1"/>
  <c r="Y381" i="1" a="1"/>
  <c r="Y381" i="1" s="1"/>
  <c r="Y326" i="1" a="1"/>
  <c r="Y326" i="1" s="1"/>
  <c r="Y283" i="1" a="1"/>
  <c r="Y283" i="1" s="1"/>
  <c r="Y413" i="1" a="1"/>
  <c r="Y413" i="1" s="1"/>
  <c r="Z12" i="1" a="1"/>
  <c r="Z12" i="1" s="1"/>
  <c r="Z10" i="1" a="1"/>
  <c r="Z10" i="1" s="1"/>
  <c r="Z8" i="1" a="1"/>
  <c r="Z8" i="1" s="1"/>
  <c r="Z18" i="1" a="1"/>
  <c r="Z18" i="1" s="1"/>
  <c r="Z9" i="1" a="1"/>
  <c r="Z9" i="1" s="1"/>
  <c r="Y89" i="1" a="1"/>
  <c r="Y89" i="1" s="1"/>
  <c r="Y157" i="1" a="1"/>
  <c r="Y157" i="1" s="1"/>
  <c r="Y106" i="1" a="1"/>
  <c r="Y106" i="1" s="1"/>
  <c r="Y63" i="1" a="1"/>
  <c r="Y63" i="1" s="1"/>
  <c r="AA63" i="1" s="1"/>
  <c r="Y135" i="1" a="1"/>
  <c r="Y135" i="1" s="1"/>
  <c r="AA135" i="1" s="1"/>
  <c r="Z94" i="1" a="1"/>
  <c r="Z94" i="1" s="1"/>
  <c r="Z171" i="1" a="1"/>
  <c r="Z171" i="1" s="1"/>
  <c r="Y97" i="1" a="1"/>
  <c r="Y97" i="1" s="1"/>
  <c r="Y42" i="1" a="1"/>
  <c r="Y42" i="1" s="1"/>
  <c r="AA42" i="1" s="1"/>
  <c r="Y114" i="1" a="1"/>
  <c r="Y114" i="1" s="1"/>
  <c r="AA114" i="1" s="1"/>
  <c r="Z61" i="1" a="1"/>
  <c r="Z61" i="1" s="1"/>
  <c r="Z133" i="1" a="1"/>
  <c r="Z133" i="1" s="1"/>
  <c r="Z66" i="1" a="1"/>
  <c r="Z66" i="1" s="1"/>
  <c r="Z138" i="1" a="1"/>
  <c r="Z138" i="1" s="1"/>
  <c r="Y105" i="1" a="1"/>
  <c r="Y105" i="1" s="1"/>
  <c r="AA105" i="1" s="1"/>
  <c r="Z40" i="1" a="1"/>
  <c r="Z40" i="1" s="1"/>
  <c r="Z112" i="1" a="1"/>
  <c r="Z112" i="1" s="1"/>
  <c r="Z57" i="1" a="1"/>
  <c r="Z57" i="1" s="1"/>
  <c r="Z129" i="1" a="1"/>
  <c r="Z129" i="1" s="1"/>
  <c r="Y72" i="1" a="1"/>
  <c r="Y72" i="1" s="1"/>
  <c r="AA72" i="1" s="1"/>
  <c r="Y144" i="1" a="1"/>
  <c r="Y144" i="1" s="1"/>
  <c r="AA144" i="1" s="1"/>
  <c r="Z214" i="1" a="1"/>
  <c r="Z214" i="1" s="1"/>
  <c r="Y181" i="1" a="1"/>
  <c r="Y181" i="1" s="1"/>
  <c r="Y253" i="1" a="1"/>
  <c r="Y253" i="1" s="1"/>
  <c r="Y198" i="1" a="1"/>
  <c r="Y198" i="1" s="1"/>
  <c r="AA198" i="1" s="1"/>
  <c r="Z268" i="1" a="1"/>
  <c r="Z268" i="1" s="1"/>
  <c r="Z217" i="1" a="1"/>
  <c r="Z217" i="1" s="1"/>
  <c r="Y148" i="1" a="1"/>
  <c r="Y148" i="1" s="1"/>
  <c r="Y220" i="1" a="1"/>
  <c r="Y220" i="1" s="1"/>
  <c r="Y189" i="1" a="1"/>
  <c r="Y189" i="1" s="1"/>
  <c r="AA189" i="1" s="1"/>
  <c r="Y261" i="1" a="1"/>
  <c r="Y261" i="1" s="1"/>
  <c r="AA261" i="1" s="1"/>
  <c r="Z196" i="1" a="1"/>
  <c r="Z196" i="1" s="1"/>
  <c r="Z280" i="1" a="1"/>
  <c r="Z280" i="1" s="1"/>
  <c r="Y223" i="1" a="1"/>
  <c r="Y223" i="1" s="1"/>
  <c r="Y180" i="1" a="1"/>
  <c r="Y180" i="1" s="1"/>
  <c r="Y252" i="1" a="1"/>
  <c r="Y252" i="1" s="1"/>
  <c r="Z199" i="1" a="1"/>
  <c r="Z199" i="1" s="1"/>
  <c r="Y310" i="1" a="1"/>
  <c r="Y310" i="1" s="1"/>
  <c r="Z228" i="1" a="1"/>
  <c r="Z228" i="1" s="1"/>
  <c r="Y159" i="1" a="1"/>
  <c r="Y159" i="1" s="1"/>
  <c r="AA159" i="1" s="1"/>
  <c r="Y231" i="1" a="1"/>
  <c r="Y231" i="1" s="1"/>
  <c r="AA231" i="1" s="1"/>
  <c r="Z302" i="1" a="1"/>
  <c r="Z302" i="1" s="1"/>
  <c r="Z374" i="1" a="1"/>
  <c r="Z374" i="1" s="1"/>
  <c r="Y329" i="1" a="1"/>
  <c r="Y329" i="1" s="1"/>
  <c r="AA329" i="1" s="1"/>
  <c r="Y322" i="1" a="1"/>
  <c r="Y322" i="1" s="1"/>
  <c r="Y279" i="1" a="1"/>
  <c r="Y279" i="1" s="1"/>
  <c r="AA279" i="1" s="1"/>
  <c r="Y351" i="1" a="1"/>
  <c r="Y351" i="1" s="1"/>
  <c r="AA351" i="1" s="1"/>
  <c r="Y308" i="1" a="1"/>
  <c r="Y308" i="1" s="1"/>
  <c r="Y380" i="1" a="1"/>
  <c r="Y380" i="1" s="1"/>
  <c r="Z363" i="1" a="1"/>
  <c r="Z363" i="1" s="1"/>
  <c r="Y306" i="1" a="1"/>
  <c r="Y306" i="1" s="1"/>
  <c r="Y378" i="1" a="1"/>
  <c r="Y378" i="1" s="1"/>
  <c r="Y347" i="1" a="1"/>
  <c r="Y347" i="1" s="1"/>
  <c r="Y280" i="1" a="1"/>
  <c r="Y280" i="1" s="1"/>
  <c r="AA280" i="1" s="1"/>
  <c r="Y352" i="1" a="1"/>
  <c r="Y352" i="1" s="1"/>
  <c r="Z311" i="1" a="1"/>
  <c r="Z311" i="1" s="1"/>
  <c r="Z383" i="1" a="1"/>
  <c r="Z383" i="1" s="1"/>
  <c r="Z328" i="1" a="1"/>
  <c r="Z328" i="1" s="1"/>
  <c r="Z297" i="1" a="1"/>
  <c r="Z297" i="1" s="1"/>
  <c r="Z415" i="1" a="1"/>
  <c r="Z415" i="1" s="1"/>
  <c r="Z91" i="1" a="1"/>
  <c r="Z91" i="1" s="1"/>
  <c r="Z36" i="1" a="1"/>
  <c r="Z36" i="1" s="1"/>
  <c r="Z108" i="1" a="1"/>
  <c r="Z108" i="1" s="1"/>
  <c r="Z65" i="1" a="1"/>
  <c r="Z65" i="1" s="1"/>
  <c r="Z137" i="1" a="1"/>
  <c r="Z137" i="1" s="1"/>
  <c r="Y104" i="1" a="1"/>
  <c r="Y104" i="1" s="1"/>
  <c r="AA104" i="1" s="1"/>
  <c r="Z27" i="1" a="1"/>
  <c r="Z27" i="1" s="1"/>
  <c r="Z99" i="1" a="1"/>
  <c r="Z99" i="1" s="1"/>
  <c r="Z44" i="1" a="1"/>
  <c r="Z44" i="1" s="1"/>
  <c r="Z116" i="1" a="1"/>
  <c r="Z116" i="1" s="1"/>
  <c r="Y71" i="1" a="1"/>
  <c r="Y71" i="1" s="1"/>
  <c r="AA71" i="1" s="1"/>
  <c r="Y143" i="1" a="1"/>
  <c r="Y143" i="1" s="1"/>
  <c r="AA143" i="1" s="1"/>
  <c r="Y76" i="1" a="1"/>
  <c r="Y76" i="1" s="1"/>
  <c r="Z35" i="1" a="1"/>
  <c r="Z35" i="1" s="1"/>
  <c r="Z107" i="1" a="1"/>
  <c r="Z107" i="1" s="1"/>
  <c r="Y50" i="1" a="1"/>
  <c r="Y50" i="1" s="1"/>
  <c r="AA50" i="1" s="1"/>
  <c r="Y122" i="1" a="1"/>
  <c r="Y122" i="1" s="1"/>
  <c r="AA122" i="1" s="1"/>
  <c r="Y67" i="1" a="1"/>
  <c r="Y67" i="1" s="1"/>
  <c r="AA67" i="1" s="1"/>
  <c r="Y139" i="1" a="1"/>
  <c r="Y139" i="1" s="1"/>
  <c r="AA139" i="1" s="1"/>
  <c r="Z74" i="1" a="1"/>
  <c r="Z74" i="1" s="1"/>
  <c r="Z146" i="1" a="1"/>
  <c r="Z146" i="1" s="1"/>
  <c r="Y224" i="1" a="1"/>
  <c r="Y224" i="1" s="1"/>
  <c r="Z183" i="1" a="1"/>
  <c r="Z183" i="1" s="1"/>
  <c r="Z255" i="1" a="1"/>
  <c r="Z255" i="1" s="1"/>
  <c r="Z200" i="1" a="1"/>
  <c r="Z200" i="1" s="1"/>
  <c r="Z276" i="1" a="1"/>
  <c r="Z276" i="1" s="1"/>
  <c r="Y227" i="1" a="1"/>
  <c r="Y227" i="1" s="1"/>
  <c r="AA227" i="1" s="1"/>
  <c r="Z150" i="1" a="1"/>
  <c r="Z150" i="1" s="1"/>
  <c r="Z222" i="1" a="1"/>
  <c r="Z222" i="1" s="1"/>
  <c r="Z191" i="1" a="1"/>
  <c r="Z191" i="1" s="1"/>
  <c r="Z263" i="1" a="1"/>
  <c r="Z263" i="1" s="1"/>
  <c r="Y206" i="1" a="1"/>
  <c r="Y206" i="1" s="1"/>
  <c r="Z291" i="1" a="1"/>
  <c r="Z291" i="1" s="1"/>
  <c r="Z225" i="1" a="1"/>
  <c r="Z225" i="1" s="1"/>
  <c r="Z182" i="1" a="1"/>
  <c r="Z182" i="1" s="1"/>
  <c r="Z254" i="1" a="1"/>
  <c r="Z254" i="1" s="1"/>
  <c r="Y209" i="1" a="1"/>
  <c r="Y209" i="1" s="1"/>
  <c r="AA209" i="1" s="1"/>
  <c r="Y166" i="1" a="1"/>
  <c r="Y166" i="1" s="1"/>
  <c r="Y238" i="1" a="1"/>
  <c r="Y238" i="1" s="1"/>
  <c r="Z161" i="1" a="1"/>
  <c r="Z161" i="1" s="1"/>
  <c r="Z233" i="1" a="1"/>
  <c r="Z233" i="1" s="1"/>
  <c r="Y312" i="1" a="1"/>
  <c r="Y312" i="1" s="1"/>
  <c r="AA312" i="1" s="1"/>
  <c r="Y384" i="1" a="1"/>
  <c r="Y384" i="1" s="1"/>
  <c r="AA384" i="1" s="1"/>
  <c r="Z331" i="1" a="1"/>
  <c r="Z331" i="1" s="1"/>
  <c r="Z324" i="1" a="1"/>
  <c r="Z324" i="1" s="1"/>
  <c r="Z281" i="1" a="1"/>
  <c r="Z281" i="1" s="1"/>
  <c r="Z353" i="1" a="1"/>
  <c r="Z353" i="1" s="1"/>
  <c r="Z310" i="1" a="1"/>
  <c r="Z310" i="1" s="1"/>
  <c r="Z382" i="1" a="1"/>
  <c r="Z382" i="1" s="1"/>
  <c r="Y373" i="1" a="1"/>
  <c r="Y373" i="1" s="1"/>
  <c r="Z308" i="1" a="1"/>
  <c r="Z308" i="1" s="1"/>
  <c r="Z380" i="1" a="1"/>
  <c r="Z380" i="1" s="1"/>
  <c r="Z349" i="1" a="1"/>
  <c r="Z349" i="1" s="1"/>
  <c r="Z282" i="1" a="1"/>
  <c r="Z282" i="1" s="1"/>
  <c r="Z354" i="1" a="1"/>
  <c r="Z354" i="1" s="1"/>
  <c r="Y321" i="1" a="1"/>
  <c r="Y321" i="1" s="1"/>
  <c r="Z389" i="1" a="1"/>
  <c r="Z389" i="1" s="1"/>
  <c r="Y338" i="1" a="1"/>
  <c r="Y338" i="1" s="1"/>
  <c r="Z309" i="1" a="1"/>
  <c r="Z309" i="1" s="1"/>
  <c r="Z439" i="1" a="1"/>
  <c r="Z439" i="1" s="1"/>
  <c r="Y24" i="1" a="1"/>
  <c r="Y24" i="1" s="1"/>
  <c r="Z24" i="1" a="1"/>
  <c r="Z24" i="1" s="1"/>
  <c r="Z22" i="1" a="1"/>
  <c r="Z22" i="1" s="1"/>
  <c r="Z20" i="1" a="1"/>
  <c r="Z20" i="1" s="1"/>
  <c r="Z11" i="1" a="1"/>
  <c r="Z11" i="1" s="1"/>
  <c r="Z21" i="1" a="1"/>
  <c r="Z21" i="1" s="1"/>
  <c r="Y101" i="1" a="1"/>
  <c r="Y101" i="1" s="1"/>
  <c r="AA101" i="1" s="1"/>
  <c r="Y46" i="1" a="1"/>
  <c r="Y46" i="1" s="1"/>
  <c r="Y118" i="1" a="1"/>
  <c r="Y118" i="1" s="1"/>
  <c r="Y75" i="1" a="1"/>
  <c r="Y75" i="1" s="1"/>
  <c r="AA75" i="1" s="1"/>
  <c r="Z157" i="1" a="1"/>
  <c r="Z157" i="1" s="1"/>
  <c r="Z106" i="1" a="1"/>
  <c r="Z106" i="1" s="1"/>
  <c r="Y37" i="1" a="1"/>
  <c r="Y37" i="1" s="1"/>
  <c r="AA37" i="1" s="1"/>
  <c r="Y109" i="1" a="1"/>
  <c r="Y109" i="1" s="1"/>
  <c r="AA109" i="1" s="1"/>
  <c r="Y54" i="1" a="1"/>
  <c r="Y54" i="1" s="1"/>
  <c r="AA54" i="1" s="1"/>
  <c r="Y126" i="1" a="1"/>
  <c r="Y126" i="1" s="1"/>
  <c r="AA126" i="1" s="1"/>
  <c r="Z73" i="1" a="1"/>
  <c r="Z73" i="1" s="1"/>
  <c r="Z145" i="1" a="1"/>
  <c r="Z145" i="1" s="1"/>
  <c r="Z78" i="1" a="1"/>
  <c r="Z78" i="1" s="1"/>
  <c r="Y45" i="1" a="1"/>
  <c r="Y45" i="1" s="1"/>
  <c r="AA45" i="1" s="1"/>
  <c r="Y117" i="1" a="1"/>
  <c r="Y117" i="1" s="1"/>
  <c r="AA117" i="1" s="1"/>
  <c r="Z52" i="1" a="1"/>
  <c r="Z52" i="1" s="1"/>
  <c r="Z124" i="1" a="1"/>
  <c r="Z124" i="1" s="1"/>
  <c r="Z69" i="1" a="1"/>
  <c r="Z69" i="1" s="1"/>
  <c r="Z141" i="1" a="1"/>
  <c r="Z141" i="1" s="1"/>
  <c r="Y84" i="1" a="1"/>
  <c r="Y84" i="1" s="1"/>
  <c r="AA84" i="1" s="1"/>
  <c r="Y153" i="1" a="1"/>
  <c r="Y153" i="1" s="1"/>
  <c r="AA153" i="1" s="1"/>
  <c r="Z226" i="1" a="1"/>
  <c r="Z226" i="1" s="1"/>
  <c r="Y193" i="1" a="1"/>
  <c r="Y193" i="1" s="1"/>
  <c r="AA193" i="1" s="1"/>
  <c r="Y265" i="1" a="1"/>
  <c r="Y265" i="1" s="1"/>
  <c r="AA265" i="1" s="1"/>
  <c r="Y210" i="1" a="1"/>
  <c r="Y210" i="1" s="1"/>
  <c r="AA210" i="1" s="1"/>
  <c r="Z277" i="1" a="1"/>
  <c r="Z277" i="1" s="1"/>
  <c r="Z229" i="1" a="1"/>
  <c r="Z229" i="1" s="1"/>
  <c r="Y160" i="1" a="1"/>
  <c r="Y160" i="1" s="1"/>
  <c r="Y232" i="1" a="1"/>
  <c r="Y232" i="1" s="1"/>
  <c r="Y201" i="1" a="1"/>
  <c r="Y201" i="1" s="1"/>
  <c r="AA201" i="1" s="1"/>
  <c r="Z269" i="1" a="1"/>
  <c r="Z269" i="1" s="1"/>
  <c r="Z208" i="1" a="1"/>
  <c r="Z208" i="1" s="1"/>
  <c r="Y163" i="1" a="1"/>
  <c r="Y163" i="1" s="1"/>
  <c r="Y235" i="1" a="1"/>
  <c r="Y235" i="1" s="1"/>
  <c r="Y192" i="1" a="1"/>
  <c r="Y192" i="1" s="1"/>
  <c r="Y264" i="1" a="1"/>
  <c r="Y264" i="1" s="1"/>
  <c r="Z211" i="1" a="1"/>
  <c r="Z211" i="1" s="1"/>
  <c r="Z168" i="1" a="1"/>
  <c r="Z168" i="1" s="1"/>
  <c r="Z240" i="1" a="1"/>
  <c r="Z240" i="1" s="1"/>
  <c r="Y171" i="1" a="1"/>
  <c r="Y171" i="1" s="1"/>
  <c r="AA171" i="1" s="1"/>
  <c r="Y243" i="1" a="1"/>
  <c r="Y243" i="1" s="1"/>
  <c r="AA243" i="1" s="1"/>
  <c r="Z314" i="1" a="1"/>
  <c r="Z314" i="1" s="1"/>
  <c r="Z386" i="1" a="1"/>
  <c r="Z386" i="1" s="1"/>
  <c r="Y341" i="1" a="1"/>
  <c r="Y341" i="1" s="1"/>
  <c r="AA341" i="1" s="1"/>
  <c r="Y334" i="1" a="1"/>
  <c r="Y334" i="1" s="1"/>
  <c r="Y291" i="1" a="1"/>
  <c r="Y291" i="1" s="1"/>
  <c r="AA291" i="1" s="1"/>
  <c r="Y363" i="1" a="1"/>
  <c r="Y363" i="1" s="1"/>
  <c r="AA363" i="1" s="1"/>
  <c r="Y320" i="1" a="1"/>
  <c r="Y320" i="1" s="1"/>
  <c r="Y399" i="1" a="1"/>
  <c r="Y399" i="1" s="1"/>
  <c r="Z375" i="1" a="1"/>
  <c r="Z375" i="1" s="1"/>
  <c r="Y318" i="1" a="1"/>
  <c r="Y318" i="1" s="1"/>
  <c r="AA318" i="1" s="1"/>
  <c r="Y287" i="1" a="1"/>
  <c r="Y287" i="1" s="1"/>
  <c r="AA287" i="1" s="1"/>
  <c r="Y359" i="1" a="1"/>
  <c r="Y359" i="1" s="1"/>
  <c r="AA359" i="1" s="1"/>
  <c r="Y292" i="1" a="1"/>
  <c r="Y292" i="1" s="1"/>
  <c r="AA292" i="1" s="1"/>
  <c r="Y364" i="1" a="1"/>
  <c r="Y364" i="1" s="1"/>
  <c r="Z323" i="1" a="1"/>
  <c r="Z323" i="1" s="1"/>
  <c r="Y390" i="1" a="1"/>
  <c r="Y390" i="1" s="1"/>
  <c r="Z340" i="1" a="1"/>
  <c r="Z340" i="1" s="1"/>
  <c r="Y319" i="1" a="1"/>
  <c r="Y319" i="1" s="1"/>
  <c r="AA319" i="1" s="1"/>
  <c r="Y461" i="1" a="1"/>
  <c r="Y461" i="1" s="1"/>
  <c r="Y34" i="1" a="1"/>
  <c r="Y34" i="1" s="1"/>
  <c r="Z31" i="1" a="1"/>
  <c r="Z31" i="1" s="1"/>
  <c r="Y11" i="1" a="1"/>
  <c r="Y11" i="1" s="1"/>
  <c r="AA11" i="1" s="1"/>
  <c r="Y21" i="1" a="1"/>
  <c r="Y21" i="1" s="1"/>
  <c r="Y29" i="1" a="1"/>
  <c r="Y29" i="1" s="1"/>
  <c r="AA29" i="1" s="1"/>
  <c r="Z103" i="1" a="1"/>
  <c r="Z103" i="1" s="1"/>
  <c r="Z48" i="1" a="1"/>
  <c r="Z48" i="1" s="1"/>
  <c r="Z120" i="1" a="1"/>
  <c r="Z120" i="1" s="1"/>
  <c r="Z77" i="1" a="1"/>
  <c r="Z77" i="1" s="1"/>
  <c r="Y44" i="1" a="1"/>
  <c r="Y44" i="1" s="1"/>
  <c r="AA44" i="1" s="1"/>
  <c r="Y116" i="1" a="1"/>
  <c r="Y116" i="1" s="1"/>
  <c r="AA116" i="1" s="1"/>
  <c r="Z39" i="1" a="1"/>
  <c r="Z39" i="1" s="1"/>
  <c r="Z111" i="1" a="1"/>
  <c r="Z111" i="1" s="1"/>
  <c r="Z56" i="1" a="1"/>
  <c r="Z56" i="1" s="1"/>
  <c r="Z128" i="1" a="1"/>
  <c r="Z128" i="1" s="1"/>
  <c r="Y83" i="1" a="1"/>
  <c r="Y83" i="1" s="1"/>
  <c r="AA83" i="1" s="1"/>
  <c r="Z148" i="1" a="1"/>
  <c r="Z148" i="1" s="1"/>
  <c r="Y88" i="1" a="1"/>
  <c r="Y88" i="1" s="1"/>
  <c r="AA88" i="1" s="1"/>
  <c r="Z47" i="1" a="1"/>
  <c r="Z47" i="1" s="1"/>
  <c r="Z119" i="1" a="1"/>
  <c r="Z119" i="1" s="1"/>
  <c r="Y62" i="1" a="1"/>
  <c r="Y62" i="1" s="1"/>
  <c r="AA62" i="1" s="1"/>
  <c r="Y134" i="1" a="1"/>
  <c r="Y134" i="1" s="1"/>
  <c r="AA134" i="1" s="1"/>
  <c r="Y79" i="1" a="1"/>
  <c r="Y79" i="1" s="1"/>
  <c r="AA79" i="1" s="1"/>
  <c r="Z149" i="1" a="1"/>
  <c r="Z149" i="1" s="1"/>
  <c r="Z86" i="1" a="1"/>
  <c r="Z86" i="1" s="1"/>
  <c r="Y164" i="1" a="1"/>
  <c r="Y164" i="1" s="1"/>
  <c r="AA164" i="1" s="1"/>
  <c r="Y236" i="1" a="1"/>
  <c r="Y236" i="1" s="1"/>
  <c r="AA236" i="1" s="1"/>
  <c r="Z195" i="1" a="1"/>
  <c r="Z195" i="1" s="1"/>
  <c r="Z275" i="1" a="1"/>
  <c r="Z275" i="1" s="1"/>
  <c r="Z212" i="1" a="1"/>
  <c r="Z212" i="1" s="1"/>
  <c r="Y167" i="1" a="1"/>
  <c r="Y167" i="1" s="1"/>
  <c r="AA167" i="1" s="1"/>
  <c r="Y239" i="1" a="1"/>
  <c r="Y239" i="1" s="1"/>
  <c r="AA239" i="1" s="1"/>
  <c r="Z162" i="1" a="1"/>
  <c r="Z162" i="1" s="1"/>
  <c r="Z234" i="1" a="1"/>
  <c r="Z234" i="1" s="1"/>
  <c r="Z203" i="1" a="1"/>
  <c r="Z203" i="1" s="1"/>
  <c r="Y298" i="1" a="1"/>
  <c r="Y298" i="1" s="1"/>
  <c r="AA298" i="1" s="1"/>
  <c r="Y218" i="1" a="1"/>
  <c r="Y218" i="1" s="1"/>
  <c r="AA218" i="1" s="1"/>
  <c r="Z165" i="1" a="1"/>
  <c r="Z165" i="1" s="1"/>
  <c r="Z237" i="1" a="1"/>
  <c r="Z237" i="1" s="1"/>
  <c r="Z194" i="1" a="1"/>
  <c r="Z194" i="1" s="1"/>
  <c r="Z266" i="1" a="1"/>
  <c r="Z266" i="1" s="1"/>
  <c r="Y221" i="1" a="1"/>
  <c r="Y221" i="1" s="1"/>
  <c r="AA221" i="1" s="1"/>
  <c r="Y178" i="1" a="1"/>
  <c r="Y178" i="1" s="1"/>
  <c r="Y250" i="1" a="1"/>
  <c r="Y250" i="1" s="1"/>
  <c r="Z173" i="1" a="1"/>
  <c r="Z173" i="1" s="1"/>
  <c r="Z245" i="1" a="1"/>
  <c r="Z245" i="1" s="1"/>
  <c r="Y324" i="1" a="1"/>
  <c r="Y324" i="1" s="1"/>
  <c r="AA324" i="1" s="1"/>
  <c r="Z271" i="1" a="1"/>
  <c r="Z271" i="1" s="1"/>
  <c r="Z343" i="1" a="1"/>
  <c r="Z343" i="1" s="1"/>
  <c r="Z336" i="1" a="1"/>
  <c r="Z336" i="1" s="1"/>
  <c r="Z293" i="1" a="1"/>
  <c r="Z293" i="1" s="1"/>
  <c r="Z365" i="1" a="1"/>
  <c r="Z365" i="1" s="1"/>
  <c r="Z322" i="1" a="1"/>
  <c r="Z322" i="1" s="1"/>
  <c r="Y313" i="1" a="1"/>
  <c r="Y313" i="1" s="1"/>
  <c r="AA313" i="1" s="1"/>
  <c r="Y385" i="1" a="1"/>
  <c r="Y385" i="1" s="1"/>
  <c r="AA385" i="1" s="1"/>
  <c r="Z320" i="1" a="1"/>
  <c r="Z320" i="1" s="1"/>
  <c r="Z289" i="1" a="1"/>
  <c r="Z289" i="1" s="1"/>
  <c r="Z361" i="1" a="1"/>
  <c r="Z361" i="1" s="1"/>
  <c r="Z294" i="1" a="1"/>
  <c r="Z294" i="1" s="1"/>
  <c r="Z366" i="1" a="1"/>
  <c r="Z366" i="1" s="1"/>
  <c r="Y333" i="1" a="1"/>
  <c r="Y333" i="1" s="1"/>
  <c r="Y393" i="1" a="1"/>
  <c r="Y393" i="1" s="1"/>
  <c r="AA393" i="1" s="1"/>
  <c r="Z352" i="1" a="1"/>
  <c r="Z352" i="1" s="1"/>
  <c r="Z321" i="1" a="1"/>
  <c r="Z321" i="1" s="1"/>
  <c r="Z463" i="1" a="1"/>
  <c r="Z463" i="1" s="1"/>
  <c r="Y5" i="1" a="1"/>
  <c r="Y5" i="1" s="1"/>
  <c r="Y39" i="1" a="1"/>
  <c r="Y39" i="1" s="1"/>
  <c r="Z34" i="1" a="1"/>
  <c r="Z34" i="1" s="1"/>
  <c r="Z13" i="1" a="1"/>
  <c r="Z13" i="1" s="1"/>
  <c r="Z23" i="1" a="1"/>
  <c r="Z23" i="1" s="1"/>
  <c r="Y41" i="1" a="1"/>
  <c r="Y41" i="1" s="1"/>
  <c r="AA41" i="1" s="1"/>
  <c r="Y113" i="1" a="1"/>
  <c r="Y113" i="1" s="1"/>
  <c r="AA113" i="1" s="1"/>
  <c r="Y58" i="1" a="1"/>
  <c r="Y58" i="1" s="1"/>
  <c r="Y130" i="1" a="1"/>
  <c r="Y130" i="1" s="1"/>
  <c r="Y87" i="1" a="1"/>
  <c r="Y87" i="1" s="1"/>
  <c r="AA87" i="1" s="1"/>
  <c r="Z46" i="1" a="1"/>
  <c r="Z46" i="1" s="1"/>
  <c r="Z118" i="1" a="1"/>
  <c r="Z118" i="1" s="1"/>
  <c r="Y49" i="1" a="1"/>
  <c r="Y49" i="1" s="1"/>
  <c r="AA49" i="1" s="1"/>
  <c r="Y121" i="1" a="1"/>
  <c r="Y121" i="1" s="1"/>
  <c r="AA121" i="1" s="1"/>
  <c r="Y66" i="1" a="1"/>
  <c r="Y66" i="1" s="1"/>
  <c r="AA66" i="1" s="1"/>
  <c r="Y138" i="1" a="1"/>
  <c r="Y138" i="1" s="1"/>
  <c r="AA138" i="1" s="1"/>
  <c r="Z85" i="1" a="1"/>
  <c r="Z85" i="1" s="1"/>
  <c r="Z151" i="1" a="1"/>
  <c r="Z151" i="1" s="1"/>
  <c r="Z90" i="1" a="1"/>
  <c r="Z90" i="1" s="1"/>
  <c r="Y57" i="1" a="1"/>
  <c r="Y57" i="1" s="1"/>
  <c r="AA57" i="1" s="1"/>
  <c r="Y129" i="1" a="1"/>
  <c r="Y129" i="1" s="1"/>
  <c r="AA129" i="1" s="1"/>
  <c r="Z64" i="1" a="1"/>
  <c r="Z64" i="1" s="1"/>
  <c r="Z136" i="1" a="1"/>
  <c r="Z136" i="1" s="1"/>
  <c r="Z81" i="1" a="1"/>
  <c r="Z81" i="1" s="1"/>
  <c r="Z152" i="1" a="1"/>
  <c r="Z152" i="1" s="1"/>
  <c r="Y96" i="1" a="1"/>
  <c r="Y96" i="1" s="1"/>
  <c r="AA96" i="1" s="1"/>
  <c r="Z166" i="1" a="1"/>
  <c r="Z166" i="1" s="1"/>
  <c r="Z238" i="1" a="1"/>
  <c r="Z238" i="1" s="1"/>
  <c r="Y205" i="1" a="1"/>
  <c r="Y205" i="1" s="1"/>
  <c r="AA205" i="1" s="1"/>
  <c r="Y276" i="1" a="1"/>
  <c r="Y276" i="1" s="1"/>
  <c r="AA276" i="1" s="1"/>
  <c r="Y222" i="1" a="1"/>
  <c r="Y222" i="1" s="1"/>
  <c r="AA222" i="1" s="1"/>
  <c r="Z169" i="1" a="1"/>
  <c r="Z169" i="1" s="1"/>
  <c r="Z241" i="1" a="1"/>
  <c r="Z241" i="1" s="1"/>
  <c r="Y172" i="1" a="1"/>
  <c r="Y172" i="1" s="1"/>
  <c r="AA172" i="1" s="1"/>
  <c r="Y244" i="1" a="1"/>
  <c r="Y244" i="1" s="1"/>
  <c r="AA244" i="1" s="1"/>
  <c r="Y213" i="1" a="1"/>
  <c r="Y213" i="1" s="1"/>
  <c r="AA213" i="1" s="1"/>
  <c r="Z300" i="1" a="1"/>
  <c r="Z300" i="1" s="1"/>
  <c r="Z220" i="1" a="1"/>
  <c r="Z220" i="1" s="1"/>
  <c r="Y175" i="1" a="1"/>
  <c r="Y175" i="1" s="1"/>
  <c r="AA175" i="1" s="1"/>
  <c r="Y247" i="1" a="1"/>
  <c r="Y247" i="1" s="1"/>
  <c r="AA247" i="1" s="1"/>
  <c r="Y204" i="1" a="1"/>
  <c r="Y204" i="1" s="1"/>
  <c r="AA204" i="1" s="1"/>
  <c r="Y289" i="1" a="1"/>
  <c r="Y289" i="1" s="1"/>
  <c r="AA289" i="1" s="1"/>
  <c r="Z223" i="1" a="1"/>
  <c r="Z223" i="1" s="1"/>
  <c r="Z180" i="1" a="1"/>
  <c r="Z180" i="1" s="1"/>
  <c r="Z252" i="1" a="1"/>
  <c r="Z252" i="1" s="1"/>
  <c r="Y183" i="1" a="1"/>
  <c r="Y183" i="1" s="1"/>
  <c r="AA183" i="1" s="1"/>
  <c r="Y255" i="1" a="1"/>
  <c r="Y255" i="1" s="1"/>
  <c r="AA255" i="1" s="1"/>
  <c r="Z326" i="1" a="1"/>
  <c r="Z326" i="1" s="1"/>
  <c r="Y281" i="1" a="1"/>
  <c r="Y281" i="1" s="1"/>
  <c r="AA281" i="1" s="1"/>
  <c r="Y353" i="1" a="1"/>
  <c r="Y353" i="1" s="1"/>
  <c r="AA353" i="1" s="1"/>
  <c r="Y346" i="1" a="1"/>
  <c r="Y346" i="1" s="1"/>
  <c r="AA346" i="1" s="1"/>
  <c r="Y303" i="1" a="1"/>
  <c r="Y303" i="1" s="1"/>
  <c r="AA303" i="1" s="1"/>
  <c r="Y375" i="1" a="1"/>
  <c r="Y375" i="1" s="1"/>
  <c r="AA375" i="1" s="1"/>
  <c r="Y332" i="1" a="1"/>
  <c r="Y332" i="1" s="1"/>
  <c r="Z315" i="1" a="1"/>
  <c r="Z315" i="1" s="1"/>
  <c r="Y388" i="1" a="1"/>
  <c r="Y388" i="1" s="1"/>
  <c r="Y330" i="1" a="1"/>
  <c r="Y330" i="1" s="1"/>
  <c r="AA330" i="1" s="1"/>
  <c r="Y299" i="1" a="1"/>
  <c r="Y299" i="1" s="1"/>
  <c r="AA299" i="1" s="1"/>
  <c r="Y371" i="1" a="1"/>
  <c r="Y371" i="1" s="1"/>
  <c r="AA371" i="1" s="1"/>
  <c r="Y304" i="1" a="1"/>
  <c r="Y304" i="1" s="1"/>
  <c r="AA304" i="1" s="1"/>
  <c r="Y376" i="1" a="1"/>
  <c r="Y376" i="1" s="1"/>
  <c r="Z335" i="1" a="1"/>
  <c r="Z335" i="1" s="1"/>
  <c r="Y394" i="1" a="1"/>
  <c r="Y394" i="1" s="1"/>
  <c r="AA394" i="1" s="1"/>
  <c r="Y362" i="1" a="1"/>
  <c r="Y362" i="1" s="1"/>
  <c r="AA362" i="1" s="1"/>
  <c r="Z333" i="1" a="1"/>
  <c r="Z333" i="1" s="1"/>
  <c r="Y1352" i="1" a="1"/>
  <c r="Y1352" i="1" s="1"/>
  <c r="Y1347" i="1" a="1"/>
  <c r="Y1347" i="1" s="1"/>
  <c r="Y1342" i="1" a="1"/>
  <c r="Y1342" i="1" s="1"/>
  <c r="Z1339" i="1" a="1"/>
  <c r="Z1339" i="1" s="1"/>
  <c r="Z1334" i="1" a="1"/>
  <c r="Z1334" i="1" s="1"/>
  <c r="Y1339" i="1" a="1"/>
  <c r="Y1339" i="1" s="1"/>
  <c r="Y1334" i="1" a="1"/>
  <c r="Y1334" i="1" s="1"/>
  <c r="Y1329" i="1" a="1"/>
  <c r="Y1329" i="1" s="1"/>
  <c r="Z1326" i="1" a="1"/>
  <c r="Z1326" i="1" s="1"/>
  <c r="Z1321" i="1" a="1"/>
  <c r="Z1321" i="1" s="1"/>
  <c r="Y1326" i="1" a="1"/>
  <c r="Y1326" i="1" s="1"/>
  <c r="AA1326" i="1" s="1"/>
  <c r="Y1321" i="1" a="1"/>
  <c r="Y1321" i="1" s="1"/>
  <c r="AA1321" i="1" s="1"/>
  <c r="Y1314" i="1" a="1"/>
  <c r="Y1314" i="1" s="1"/>
  <c r="Y1297" i="1" a="1"/>
  <c r="Y1297" i="1" s="1"/>
  <c r="Y1292" i="1" a="1"/>
  <c r="Y1292" i="1" s="1"/>
  <c r="Z1277" i="1" a="1"/>
  <c r="Z1277" i="1" s="1"/>
  <c r="Y1270" i="1" a="1"/>
  <c r="Y1270" i="1" s="1"/>
  <c r="Z1298" i="1" a="1"/>
  <c r="Z1298" i="1" s="1"/>
  <c r="Z1281" i="1" a="1"/>
  <c r="Z1281" i="1" s="1"/>
  <c r="Z1264" i="1" a="1"/>
  <c r="Z1264" i="1" s="1"/>
  <c r="Y1312" i="1" a="1"/>
  <c r="Y1312" i="1" s="1"/>
  <c r="Y1240" i="1" a="1"/>
  <c r="Y1240" i="1" s="1"/>
  <c r="Z1213" i="1" a="1"/>
  <c r="Z1213" i="1" s="1"/>
  <c r="Y1206" i="1" a="1"/>
  <c r="Y1206" i="1" s="1"/>
  <c r="Z1246" i="1" a="1"/>
  <c r="Z1246" i="1" s="1"/>
  <c r="Z1229" i="1" a="1"/>
  <c r="Z1229" i="1" s="1"/>
  <c r="Z1224" i="1" a="1"/>
  <c r="Z1224" i="1" s="1"/>
  <c r="Y1217" i="1" a="1"/>
  <c r="Y1217" i="1" s="1"/>
  <c r="Y1200" i="1" a="1"/>
  <c r="Y1200" i="1" s="1"/>
  <c r="Y1250" i="1" a="1"/>
  <c r="Y1250" i="1" s="1"/>
  <c r="Z1235" i="1" a="1"/>
  <c r="Z1235" i="1" s="1"/>
  <c r="Z1163" i="1" a="1"/>
  <c r="Z1163" i="1" s="1"/>
  <c r="Y1144" i="1" a="1"/>
  <c r="Y1144" i="1" s="1"/>
  <c r="Z1184" i="1" a="1"/>
  <c r="Z1184" i="1" s="1"/>
  <c r="Y1177" i="1" a="1"/>
  <c r="Y1177" i="1" s="1"/>
  <c r="Y1160" i="1" a="1"/>
  <c r="Y1160" i="1" s="1"/>
  <c r="Y1198" i="1" a="1"/>
  <c r="Y1198" i="1" s="1"/>
  <c r="Z1183" i="1" a="1"/>
  <c r="Z1183" i="1" s="1"/>
  <c r="Z1154" i="1" a="1"/>
  <c r="Z1154" i="1" s="1"/>
  <c r="Y1190" i="1" a="1"/>
  <c r="Y1190" i="1" s="1"/>
  <c r="Z1111" i="1" a="1"/>
  <c r="Z1111" i="1" s="1"/>
  <c r="Z1106" i="1" a="1"/>
  <c r="Z1106" i="1" s="1"/>
  <c r="Z1089" i="1" a="1"/>
  <c r="Z1089" i="1" s="1"/>
  <c r="Z1096" i="1" a="1"/>
  <c r="Z1096" i="1" s="1"/>
  <c r="Z1134" i="1" a="1"/>
  <c r="Z1134" i="1" s="1"/>
  <c r="Y1127" i="1" a="1"/>
  <c r="Y1127" i="1" s="1"/>
  <c r="Y1110" i="1" a="1"/>
  <c r="Y1110" i="1" s="1"/>
  <c r="Y1105" i="1" a="1"/>
  <c r="Y1105" i="1" s="1"/>
  <c r="Z1090" i="1" a="1"/>
  <c r="Z1090" i="1" s="1"/>
  <c r="Z1140" i="1" a="1"/>
  <c r="Z1140" i="1" s="1"/>
  <c r="Z1066" i="1" a="1"/>
  <c r="Z1066" i="1" s="1"/>
  <c r="Z1049" i="1" a="1"/>
  <c r="Z1049" i="1" s="1"/>
  <c r="Z1075" i="1" a="1"/>
  <c r="Z1075" i="1" s="1"/>
  <c r="Z1058" i="1" a="1"/>
  <c r="Z1058" i="1" s="1"/>
  <c r="Z1041" i="1" a="1"/>
  <c r="Z1041" i="1" s="1"/>
  <c r="Z1084" i="1" a="1"/>
  <c r="Z1084" i="1" s="1"/>
  <c r="Y1060" i="1" a="1"/>
  <c r="Y1060" i="1" s="1"/>
  <c r="Z1045" i="1" a="1"/>
  <c r="Z1045" i="1" s="1"/>
  <c r="Y1094" i="1" a="1"/>
  <c r="Y1094" i="1" s="1"/>
  <c r="Z1007" i="1" a="1"/>
  <c r="Z1007" i="1" s="1"/>
  <c r="Z1002" i="1" a="1"/>
  <c r="Z1002" i="1" s="1"/>
  <c r="Z985" i="1" a="1"/>
  <c r="Z985" i="1" s="1"/>
  <c r="Z980" i="1" a="1"/>
  <c r="Z980" i="1" s="1"/>
  <c r="Y1033" i="1" a="1"/>
  <c r="Y1033" i="1" s="1"/>
  <c r="Y1023" i="1" a="1"/>
  <c r="Y1023" i="1" s="1"/>
  <c r="Y1018" i="1" a="1"/>
  <c r="Y1018" i="1" s="1"/>
  <c r="Z1003" i="1" a="1"/>
  <c r="Z1003" i="1" s="1"/>
  <c r="Z1010" i="1" a="1"/>
  <c r="Z1010" i="1" s="1"/>
  <c r="Z993" i="1" a="1"/>
  <c r="Z993" i="1" s="1"/>
  <c r="Y998" i="1" a="1"/>
  <c r="Y998" i="1" s="1"/>
  <c r="Z917" i="1" a="1"/>
  <c r="Z917" i="1" s="1"/>
  <c r="Y973" i="1" a="1"/>
  <c r="Y973" i="1" s="1"/>
  <c r="Z962" i="1" a="1"/>
  <c r="Z962" i="1" s="1"/>
  <c r="Z957" i="1" a="1"/>
  <c r="Z957" i="1" s="1"/>
  <c r="Y938" i="1" a="1"/>
  <c r="Y938" i="1" s="1"/>
  <c r="Y933" i="1" a="1"/>
  <c r="Y933" i="1" s="1"/>
  <c r="Z906" i="1" a="1"/>
  <c r="Z906" i="1" s="1"/>
  <c r="Y911" i="1" a="1"/>
  <c r="Y911" i="1" s="1"/>
  <c r="Z963" i="1" a="1"/>
  <c r="Z963" i="1" s="1"/>
  <c r="Z946" i="1" a="1"/>
  <c r="Z946" i="1" s="1"/>
  <c r="Z873" i="1" a="1"/>
  <c r="Z873" i="1" s="1"/>
  <c r="Y878" i="1" a="1"/>
  <c r="Y878" i="1" s="1"/>
  <c r="Z863" i="1" a="1"/>
  <c r="Z863" i="1" s="1"/>
  <c r="Y856" i="1" a="1"/>
  <c r="Y856" i="1" s="1"/>
  <c r="Y851" i="1" a="1"/>
  <c r="Y851" i="1" s="1"/>
  <c r="Z903" i="1" a="1"/>
  <c r="Z903" i="1" s="1"/>
  <c r="Y896" i="1" a="1"/>
  <c r="Y896" i="1" s="1"/>
  <c r="Z881" i="1" a="1"/>
  <c r="Z881" i="1" s="1"/>
  <c r="Z864" i="1" a="1"/>
  <c r="Z864" i="1" s="1"/>
  <c r="Z847" i="1" a="1"/>
  <c r="Z847" i="1" s="1"/>
  <c r="Z854" i="1" a="1"/>
  <c r="Z854" i="1" s="1"/>
  <c r="Z833" i="1" a="1"/>
  <c r="Z833" i="1" s="1"/>
  <c r="Z828" i="1" a="1"/>
  <c r="Z828" i="1" s="1"/>
  <c r="Z823" i="1" a="1"/>
  <c r="Z823" i="1" s="1"/>
  <c r="Z818" i="1" a="1"/>
  <c r="Z818" i="1" s="1"/>
  <c r="Y823" i="1" a="1"/>
  <c r="Y823" i="1" s="1"/>
  <c r="AA823" i="1" s="1"/>
  <c r="Y806" i="1" a="1"/>
  <c r="Y806" i="1" s="1"/>
  <c r="Z803" i="1" a="1"/>
  <c r="Z803" i="1" s="1"/>
  <c r="Z786" i="1" a="1"/>
  <c r="Z786" i="1" s="1"/>
  <c r="Y779" i="1" a="1"/>
  <c r="Y779" i="1" s="1"/>
  <c r="Z795" i="1" a="1"/>
  <c r="Z795" i="1" s="1"/>
  <c r="Z726" i="1" a="1"/>
  <c r="Z726" i="1" s="1"/>
  <c r="Y817" i="1" a="1"/>
  <c r="Y817" i="1" s="1"/>
  <c r="Y714" i="1" a="1"/>
  <c r="Y714" i="1" s="1"/>
  <c r="Y709" i="1" a="1"/>
  <c r="Y709" i="1" s="1"/>
  <c r="Z718" i="1" a="1"/>
  <c r="Z718" i="1" s="1"/>
  <c r="Z713" i="1" a="1"/>
  <c r="Z713" i="1" s="1"/>
  <c r="Y718" i="1" a="1"/>
  <c r="Y718" i="1" s="1"/>
  <c r="AA718" i="1" s="1"/>
  <c r="Z715" i="1" a="1"/>
  <c r="Z715" i="1" s="1"/>
  <c r="Z777" i="1" a="1"/>
  <c r="Z777" i="1" s="1"/>
  <c r="Y793" i="1" a="1"/>
  <c r="Y793" i="1" s="1"/>
  <c r="Y729" i="1" a="1"/>
  <c r="Y729" i="1" s="1"/>
  <c r="Z642" i="1" a="1"/>
  <c r="Z642" i="1" s="1"/>
  <c r="Z673" i="1" a="1"/>
  <c r="Z673" i="1" s="1"/>
  <c r="Z704" i="1" a="1"/>
  <c r="Z704" i="1" s="1"/>
  <c r="Z632" i="1" a="1"/>
  <c r="Z632" i="1" s="1"/>
  <c r="Y649" i="1" a="1"/>
  <c r="Y649" i="1" s="1"/>
  <c r="Y680" i="1" a="1"/>
  <c r="Y680" i="1" s="1"/>
  <c r="Y687" i="1" a="1"/>
  <c r="Y687" i="1" s="1"/>
  <c r="Z708" i="1" a="1"/>
  <c r="Z708" i="1" s="1"/>
  <c r="Z636" i="1" a="1"/>
  <c r="Z636" i="1" s="1"/>
  <c r="Y653" i="1" a="1"/>
  <c r="Y653" i="1" s="1"/>
  <c r="Y672" i="1" a="1"/>
  <c r="Y672" i="1" s="1"/>
  <c r="Z681" i="1" a="1"/>
  <c r="Z681" i="1" s="1"/>
  <c r="Y777" i="1" a="1"/>
  <c r="Y777" i="1" s="1"/>
  <c r="AA777" i="1" s="1"/>
  <c r="Y650" i="1" a="1"/>
  <c r="Y650" i="1" s="1"/>
  <c r="Y669" i="1" a="1"/>
  <c r="Y669" i="1" s="1"/>
  <c r="Y575" i="1" a="1"/>
  <c r="Y575" i="1" s="1"/>
  <c r="Y621" i="1" a="1"/>
  <c r="Y621" i="1" s="1"/>
  <c r="Z548" i="1" a="1"/>
  <c r="Z548" i="1" s="1"/>
  <c r="Z591" i="1" a="1"/>
  <c r="Z591" i="1" s="1"/>
  <c r="Z519" i="1" a="1"/>
  <c r="Z519" i="1" s="1"/>
  <c r="Y572" i="1" a="1"/>
  <c r="Y572" i="1" s="1"/>
  <c r="Y615" i="1" a="1"/>
  <c r="Y615" i="1" s="1"/>
  <c r="Y543" i="1" a="1"/>
  <c r="Y543" i="1" s="1"/>
  <c r="Z588" i="1" a="1"/>
  <c r="Z588" i="1" s="1"/>
  <c r="Z516" i="1" a="1"/>
  <c r="Z516" i="1" s="1"/>
  <c r="Y557" i="1" a="1"/>
  <c r="Y557" i="1" s="1"/>
  <c r="Y612" i="1" a="1"/>
  <c r="Y612" i="1" s="1"/>
  <c r="Y540" i="1" a="1"/>
  <c r="Y540" i="1" s="1"/>
  <c r="Z585" i="1" a="1"/>
  <c r="Z585" i="1" s="1"/>
  <c r="Z513" i="1" a="1"/>
  <c r="Z513" i="1" s="1"/>
  <c r="Y566" i="1" a="1"/>
  <c r="Y566" i="1" s="1"/>
  <c r="Z625" i="1" a="1"/>
  <c r="Z625" i="1" s="1"/>
  <c r="Y549" i="1" a="1"/>
  <c r="Y549" i="1" s="1"/>
  <c r="Y604" i="1" a="1"/>
  <c r="Y604" i="1" s="1"/>
  <c r="Y532" i="1" a="1"/>
  <c r="Y532" i="1" s="1"/>
  <c r="Z446" i="1" a="1"/>
  <c r="Z446" i="1" s="1"/>
  <c r="Y499" i="1" a="1"/>
  <c r="Y499" i="1" s="1"/>
  <c r="Y427" i="1" a="1"/>
  <c r="Y427" i="1" s="1"/>
  <c r="Y446" i="1" a="1"/>
  <c r="Y446" i="1" s="1"/>
  <c r="Z491" i="1" a="1"/>
  <c r="Z491" i="1" s="1"/>
  <c r="Z419" i="1" a="1"/>
  <c r="Z419" i="1" s="1"/>
  <c r="Y460" i="1" a="1"/>
  <c r="Y460" i="1" s="1"/>
  <c r="Z493" i="1" a="1"/>
  <c r="Z493" i="1" s="1"/>
  <c r="Z421" i="1" a="1"/>
  <c r="Z421" i="1" s="1"/>
  <c r="Z476" i="1" a="1"/>
  <c r="Z476" i="1" s="1"/>
  <c r="Y507" i="1" a="1"/>
  <c r="Y507" i="1" s="1"/>
  <c r="Y433" i="1" a="1"/>
  <c r="Y433" i="1" s="1"/>
  <c r="Y488" i="1" a="1"/>
  <c r="Y488" i="1" s="1"/>
  <c r="Y416" i="1" a="1"/>
  <c r="Y416" i="1" s="1"/>
  <c r="Z449" i="1" a="1"/>
  <c r="Z449" i="1" s="1"/>
  <c r="Y478" i="1" a="1"/>
  <c r="Y478" i="1" s="1"/>
  <c r="Y406" i="1" a="1"/>
  <c r="Y406" i="1" s="1"/>
  <c r="Y449" i="1" a="1"/>
  <c r="Y449" i="1" s="1"/>
  <c r="Y379" i="1" a="1"/>
  <c r="Y379" i="1" s="1"/>
  <c r="AA379" i="1" s="1"/>
  <c r="Y307" i="1" a="1"/>
  <c r="Y307" i="1" s="1"/>
  <c r="AA307" i="1" s="1"/>
  <c r="Z364" i="1" a="1"/>
  <c r="Z364" i="1" s="1"/>
  <c r="Z1342" i="1" a="1"/>
  <c r="Z1342" i="1" s="1"/>
  <c r="Z1337" i="1" a="1"/>
  <c r="Z1337" i="1" s="1"/>
  <c r="Z1332" i="1" a="1"/>
  <c r="Z1332" i="1" s="1"/>
  <c r="Y1337" i="1" a="1"/>
  <c r="Y1337" i="1" s="1"/>
  <c r="AA1337" i="1" s="1"/>
  <c r="Y1332" i="1" a="1"/>
  <c r="Y1332" i="1" s="1"/>
  <c r="AA1332" i="1" s="1"/>
  <c r="Z1329" i="1" a="1"/>
  <c r="Z1329" i="1" s="1"/>
  <c r="Z1324" i="1" a="1"/>
  <c r="Z1324" i="1" s="1"/>
  <c r="Z1319" i="1" a="1"/>
  <c r="Z1319" i="1" s="1"/>
  <c r="Y1324" i="1" a="1"/>
  <c r="Y1324" i="1" s="1"/>
  <c r="AA1324" i="1" s="1"/>
  <c r="Y1319" i="1" a="1"/>
  <c r="Y1319" i="1" s="1"/>
  <c r="AA1319" i="1" s="1"/>
  <c r="Z1383" i="1" a="1"/>
  <c r="Z1383" i="1" s="1"/>
  <c r="Z1309" i="1" a="1"/>
  <c r="Z1309" i="1" s="1"/>
  <c r="Z1304" i="1" a="1"/>
  <c r="Z1304" i="1" s="1"/>
  <c r="Z1287" i="1" a="1"/>
  <c r="Z1287" i="1" s="1"/>
  <c r="Z1282" i="1" a="1"/>
  <c r="Z1282" i="1" s="1"/>
  <c r="Y1275" i="1" a="1"/>
  <c r="Y1275" i="1" s="1"/>
  <c r="Z1315" i="1" a="1"/>
  <c r="Z1315" i="1" s="1"/>
  <c r="Y1296" i="1" a="1"/>
  <c r="Y1296" i="1" s="1"/>
  <c r="Y1279" i="1" a="1"/>
  <c r="Y1279" i="1" s="1"/>
  <c r="Y1262" i="1" a="1"/>
  <c r="Y1262" i="1" s="1"/>
  <c r="Z1302" i="1" a="1"/>
  <c r="Z1302" i="1" s="1"/>
  <c r="Z1230" i="1" a="1"/>
  <c r="Z1230" i="1" s="1"/>
  <c r="Y1211" i="1" a="1"/>
  <c r="Y1211" i="1" s="1"/>
  <c r="Z1259" i="1" a="1"/>
  <c r="Z1259" i="1" s="1"/>
  <c r="Y1244" i="1" a="1"/>
  <c r="Y1244" i="1" s="1"/>
  <c r="Y1227" i="1" a="1"/>
  <c r="Y1227" i="1" s="1"/>
  <c r="Y1222" i="1" a="1"/>
  <c r="Y1222" i="1" s="1"/>
  <c r="Z1207" i="1" a="1"/>
  <c r="Z1207" i="1" s="1"/>
  <c r="Z1257" i="1" a="1"/>
  <c r="Z1257" i="1" s="1"/>
  <c r="Z1240" i="1" a="1"/>
  <c r="Z1240" i="1" s="1"/>
  <c r="Y1233" i="1" a="1"/>
  <c r="Y1233" i="1" s="1"/>
  <c r="Y1161" i="1" a="1"/>
  <c r="Y1161" i="1" s="1"/>
  <c r="Y1204" i="1" a="1"/>
  <c r="Y1204" i="1" s="1"/>
  <c r="Y1182" i="1" a="1"/>
  <c r="Y1182" i="1" s="1"/>
  <c r="Z1167" i="1" a="1"/>
  <c r="Z1167" i="1" s="1"/>
  <c r="Z1150" i="1" a="1"/>
  <c r="Z1150" i="1" s="1"/>
  <c r="Z1188" i="1" a="1"/>
  <c r="Z1188" i="1" s="1"/>
  <c r="Y1181" i="1" a="1"/>
  <c r="Y1181" i="1" s="1"/>
  <c r="Y1152" i="1" a="1"/>
  <c r="Y1152" i="1" s="1"/>
  <c r="Z1180" i="1" a="1"/>
  <c r="Z1180" i="1" s="1"/>
  <c r="Y1109" i="1" a="1"/>
  <c r="Y1109" i="1" s="1"/>
  <c r="Y1104" i="1" a="1"/>
  <c r="Y1104" i="1" s="1"/>
  <c r="Y1087" i="1" a="1"/>
  <c r="Y1087" i="1" s="1"/>
  <c r="Z1139" i="1" a="1"/>
  <c r="Z1139" i="1" s="1"/>
  <c r="Y1132" i="1" a="1"/>
  <c r="Y1132" i="1" s="1"/>
  <c r="Z1117" i="1" a="1"/>
  <c r="Z1117" i="1" s="1"/>
  <c r="Z1100" i="1" a="1"/>
  <c r="Z1100" i="1" s="1"/>
  <c r="Z1095" i="1" a="1"/>
  <c r="Z1095" i="1" s="1"/>
  <c r="Y1088" i="1" a="1"/>
  <c r="Y1088" i="1" s="1"/>
  <c r="Y1138" i="1" a="1"/>
  <c r="Y1138" i="1" s="1"/>
  <c r="Y1064" i="1" a="1"/>
  <c r="Y1064" i="1" s="1"/>
  <c r="Y1047" i="1" a="1"/>
  <c r="Y1047" i="1" s="1"/>
  <c r="Y1073" i="1" a="1"/>
  <c r="Y1073" i="1" s="1"/>
  <c r="Y1056" i="1" a="1"/>
  <c r="Y1056" i="1" s="1"/>
  <c r="Y1039" i="1" a="1"/>
  <c r="Y1039" i="1" s="1"/>
  <c r="Z1079" i="1" a="1"/>
  <c r="Z1079" i="1" s="1"/>
  <c r="Z1050" i="1" a="1"/>
  <c r="Z1050" i="1" s="1"/>
  <c r="Y1043" i="1" a="1"/>
  <c r="Y1043" i="1" s="1"/>
  <c r="Z1083" i="1" a="1"/>
  <c r="Z1083" i="1" s="1"/>
  <c r="Y1005" i="1" a="1"/>
  <c r="Y1005" i="1" s="1"/>
  <c r="Y1000" i="1" a="1"/>
  <c r="Y1000" i="1" s="1"/>
  <c r="Y983" i="1" a="1"/>
  <c r="Y983" i="1" s="1"/>
  <c r="Y978" i="1" a="1"/>
  <c r="Y978" i="1" s="1"/>
  <c r="Z1018" i="1" a="1"/>
  <c r="Z1018" i="1" s="1"/>
  <c r="Z1013" i="1" a="1"/>
  <c r="Z1013" i="1" s="1"/>
  <c r="Z1008" i="1" a="1"/>
  <c r="Z1008" i="1" s="1"/>
  <c r="Y1001" i="1" a="1"/>
  <c r="Y1001" i="1" s="1"/>
  <c r="Y1008" i="1" a="1"/>
  <c r="Y1008" i="1" s="1"/>
  <c r="Y991" i="1" a="1"/>
  <c r="Y991" i="1" s="1"/>
  <c r="Z988" i="1" a="1"/>
  <c r="Z988" i="1" s="1"/>
  <c r="Y915" i="1" a="1"/>
  <c r="Y915" i="1" s="1"/>
  <c r="Z955" i="1" a="1"/>
  <c r="Z955" i="1" s="1"/>
  <c r="Y960" i="1" a="1"/>
  <c r="Y960" i="1" s="1"/>
  <c r="Y955" i="1" a="1"/>
  <c r="Y955" i="1" s="1"/>
  <c r="Z928" i="1" a="1"/>
  <c r="Z928" i="1" s="1"/>
  <c r="Z923" i="1" a="1"/>
  <c r="Z923" i="1" s="1"/>
  <c r="Y904" i="1" a="1"/>
  <c r="Y904" i="1" s="1"/>
  <c r="Y967" i="1" a="1"/>
  <c r="Y967" i="1" s="1"/>
  <c r="Y961" i="1" a="1"/>
  <c r="Y961" i="1" s="1"/>
  <c r="Y944" i="1" a="1"/>
  <c r="Y944" i="1" s="1"/>
  <c r="Y871" i="1" a="1"/>
  <c r="Y871" i="1" s="1"/>
  <c r="Z868" i="1" a="1"/>
  <c r="Z868" i="1" s="1"/>
  <c r="Y861" i="1" a="1"/>
  <c r="Y861" i="1" s="1"/>
  <c r="Z846" i="1" a="1"/>
  <c r="Z846" i="1" s="1"/>
  <c r="Z841" i="1" a="1"/>
  <c r="Z841" i="1" s="1"/>
  <c r="Y901" i="1" a="1"/>
  <c r="Y901" i="1" s="1"/>
  <c r="Z886" i="1" a="1"/>
  <c r="Z886" i="1" s="1"/>
  <c r="Y879" i="1" a="1"/>
  <c r="Y879" i="1" s="1"/>
  <c r="Y862" i="1" a="1"/>
  <c r="Y862" i="1" s="1"/>
  <c r="Y845" i="1" a="1"/>
  <c r="Y845" i="1" s="1"/>
  <c r="Y852" i="1" a="1"/>
  <c r="Y852" i="1" s="1"/>
  <c r="Y831" i="1" a="1"/>
  <c r="Y831" i="1" s="1"/>
  <c r="Y826" i="1" a="1"/>
  <c r="Y826" i="1" s="1"/>
  <c r="Y821" i="1" a="1"/>
  <c r="Y821" i="1" s="1"/>
  <c r="Y816" i="1" a="1"/>
  <c r="Y816" i="1" s="1"/>
  <c r="Z813" i="1" a="1"/>
  <c r="Z813" i="1" s="1"/>
  <c r="Z796" i="1" a="1"/>
  <c r="Z796" i="1" s="1"/>
  <c r="Y801" i="1" a="1"/>
  <c r="Y801" i="1" s="1"/>
  <c r="Y784" i="1" a="1"/>
  <c r="Y784" i="1" s="1"/>
  <c r="Z836" i="1" a="1"/>
  <c r="Z836" i="1" s="1"/>
  <c r="Y781" i="1" a="1"/>
  <c r="Y781" i="1" s="1"/>
  <c r="Z783" i="1" a="1"/>
  <c r="Z783" i="1" s="1"/>
  <c r="Z776" i="1" a="1"/>
  <c r="Z776" i="1" s="1"/>
  <c r="Z771" i="1" a="1"/>
  <c r="Z771" i="1" s="1"/>
  <c r="Z819" i="1" a="1"/>
  <c r="Z819" i="1" s="1"/>
  <c r="Y716" i="1" a="1"/>
  <c r="Y716" i="1" s="1"/>
  <c r="Y805" i="1" a="1"/>
  <c r="Y805" i="1" s="1"/>
  <c r="Y841" i="1" a="1"/>
  <c r="Y841" i="1" s="1"/>
  <c r="Z807" i="1" a="1"/>
  <c r="Z807" i="1" s="1"/>
  <c r="Y775" i="1" a="1"/>
  <c r="Y775" i="1" s="1"/>
  <c r="Z780" i="1" a="1"/>
  <c r="Z780" i="1" s="1"/>
  <c r="Y710" i="1" a="1"/>
  <c r="Y710" i="1" s="1"/>
  <c r="Y640" i="1" a="1"/>
  <c r="Y640" i="1" s="1"/>
  <c r="Y671" i="1" a="1"/>
  <c r="Y671" i="1" s="1"/>
  <c r="Y702" i="1" a="1"/>
  <c r="Y702" i="1" s="1"/>
  <c r="Y630" i="1" a="1"/>
  <c r="Y630" i="1" s="1"/>
  <c r="Z639" i="1" a="1"/>
  <c r="Z639" i="1" s="1"/>
  <c r="Z670" i="1" a="1"/>
  <c r="Z670" i="1" s="1"/>
  <c r="Z677" i="1" a="1"/>
  <c r="Z677" i="1" s="1"/>
  <c r="Y706" i="1" a="1"/>
  <c r="Y706" i="1" s="1"/>
  <c r="Y634" i="1" a="1"/>
  <c r="Y634" i="1" s="1"/>
  <c r="Z643" i="1" a="1"/>
  <c r="Z643" i="1" s="1"/>
  <c r="Z662" i="1" a="1"/>
  <c r="Z662" i="1" s="1"/>
  <c r="Y679" i="1" a="1"/>
  <c r="Y679" i="1" s="1"/>
  <c r="Z755" i="1" a="1"/>
  <c r="Z755" i="1" s="1"/>
  <c r="Z640" i="1" a="1"/>
  <c r="Z640" i="1" s="1"/>
  <c r="Z659" i="1" a="1"/>
  <c r="Z659" i="1" s="1"/>
  <c r="Z565" i="1" a="1"/>
  <c r="Z565" i="1" s="1"/>
  <c r="Y618" i="1" a="1"/>
  <c r="Y618" i="1" s="1"/>
  <c r="Y546" i="1" a="1"/>
  <c r="Y546" i="1" s="1"/>
  <c r="Y589" i="1" a="1"/>
  <c r="Y589" i="1" s="1"/>
  <c r="Y517" i="1" a="1"/>
  <c r="Y517" i="1" s="1"/>
  <c r="Z562" i="1" a="1"/>
  <c r="Z562" i="1" s="1"/>
  <c r="Z605" i="1" a="1"/>
  <c r="Z605" i="1" s="1"/>
  <c r="Z533" i="1" a="1"/>
  <c r="Z533" i="1" s="1"/>
  <c r="Y586" i="1" a="1"/>
  <c r="Y586" i="1" s="1"/>
  <c r="Y514" i="1" a="1"/>
  <c r="Y514" i="1" s="1"/>
  <c r="Z547" i="1" a="1"/>
  <c r="Z547" i="1" s="1"/>
  <c r="Z602" i="1" a="1"/>
  <c r="Z602" i="1" s="1"/>
  <c r="Z530" i="1" a="1"/>
  <c r="Z530" i="1" s="1"/>
  <c r="Y583" i="1" a="1"/>
  <c r="Y583" i="1" s="1"/>
  <c r="Y511" i="1" a="1"/>
  <c r="Y511" i="1" s="1"/>
  <c r="Z556" i="1" a="1"/>
  <c r="Z556" i="1" s="1"/>
  <c r="Z611" i="1" a="1"/>
  <c r="Z611" i="1" s="1"/>
  <c r="Z539" i="1" a="1"/>
  <c r="Z539" i="1" s="1"/>
  <c r="Z594" i="1" a="1"/>
  <c r="Z594" i="1" s="1"/>
  <c r="Z522" i="1" a="1"/>
  <c r="Z522" i="1" s="1"/>
  <c r="Y444" i="1" a="1"/>
  <c r="Y444" i="1" s="1"/>
  <c r="Z489" i="1" a="1"/>
  <c r="Z489" i="1" s="1"/>
  <c r="Z417" i="1" a="1"/>
  <c r="Z417" i="1" s="1"/>
  <c r="Z436" i="1" a="1"/>
  <c r="Z436" i="1" s="1"/>
  <c r="Y489" i="1" a="1"/>
  <c r="Y489" i="1" s="1"/>
  <c r="Y417" i="1" a="1"/>
  <c r="Y417" i="1" s="1"/>
  <c r="Z450" i="1" a="1"/>
  <c r="Z450" i="1" s="1"/>
  <c r="Y491" i="1" a="1"/>
  <c r="Y491" i="1" s="1"/>
  <c r="AA491" i="1" s="1"/>
  <c r="Y419" i="1" a="1"/>
  <c r="Y419" i="1" s="1"/>
  <c r="AA419" i="1" s="1"/>
  <c r="Y474" i="1" a="1"/>
  <c r="Y474" i="1" s="1"/>
  <c r="Z495" i="1" a="1"/>
  <c r="Z495" i="1" s="1"/>
  <c r="Z423" i="1" a="1"/>
  <c r="Z423" i="1" s="1"/>
  <c r="Z478" i="1" a="1"/>
  <c r="Z478" i="1" s="1"/>
  <c r="Z406" i="1" a="1"/>
  <c r="Z406" i="1" s="1"/>
  <c r="Y447" i="1" a="1"/>
  <c r="Y447" i="1" s="1"/>
  <c r="Z468" i="1" a="1"/>
  <c r="Z468" i="1" s="1"/>
  <c r="Y1340" i="1" a="1"/>
  <c r="Y1340" i="1" s="1"/>
  <c r="Y1335" i="1" a="1"/>
  <c r="Y1335" i="1" s="1"/>
  <c r="Y1330" i="1" a="1"/>
  <c r="Y1330" i="1" s="1"/>
  <c r="Z1327" i="1" a="1"/>
  <c r="Z1327" i="1" s="1"/>
  <c r="Z1322" i="1" a="1"/>
  <c r="Z1322" i="1" s="1"/>
  <c r="Y1327" i="1" a="1"/>
  <c r="Y1327" i="1" s="1"/>
  <c r="AA1327" i="1" s="1"/>
  <c r="Y1322" i="1" a="1"/>
  <c r="Y1322" i="1" s="1"/>
  <c r="Z1386" i="1" a="1"/>
  <c r="Z1386" i="1" s="1"/>
  <c r="Z1381" i="1" a="1"/>
  <c r="Z1381" i="1" s="1"/>
  <c r="Y1386" i="1" a="1"/>
  <c r="Y1386" i="1" s="1"/>
  <c r="Y1381" i="1" a="1"/>
  <c r="Y1381" i="1" s="1"/>
  <c r="AA1381" i="1" s="1"/>
  <c r="Y1307" i="1" a="1"/>
  <c r="Y1307" i="1" s="1"/>
  <c r="Y1302" i="1" a="1"/>
  <c r="Y1302" i="1" s="1"/>
  <c r="AA1302" i="1" s="1"/>
  <c r="Y1285" i="1" a="1"/>
  <c r="Y1285" i="1" s="1"/>
  <c r="Y1280" i="1" a="1"/>
  <c r="Y1280" i="1" s="1"/>
  <c r="Z1265" i="1" a="1"/>
  <c r="Z1265" i="1" s="1"/>
  <c r="Y1313" i="1" a="1"/>
  <c r="Y1313" i="1" s="1"/>
  <c r="Z1286" i="1" a="1"/>
  <c r="Z1286" i="1" s="1"/>
  <c r="Z1269" i="1" a="1"/>
  <c r="Z1269" i="1" s="1"/>
  <c r="Y1317" i="1" a="1"/>
  <c r="Y1317" i="1" s="1"/>
  <c r="Y1300" i="1" a="1"/>
  <c r="Y1300" i="1" s="1"/>
  <c r="Y1228" i="1" a="1"/>
  <c r="Y1228" i="1" s="1"/>
  <c r="Z1260" i="1" a="1"/>
  <c r="Z1260" i="1" s="1"/>
  <c r="Z1251" i="1" a="1"/>
  <c r="Z1251" i="1" s="1"/>
  <c r="Z1234" i="1" a="1"/>
  <c r="Z1234" i="1" s="1"/>
  <c r="Z1217" i="1" a="1"/>
  <c r="Z1217" i="1" s="1"/>
  <c r="Z1212" i="1" a="1"/>
  <c r="Z1212" i="1" s="1"/>
  <c r="Y1205" i="1" a="1"/>
  <c r="Y1205" i="1" s="1"/>
  <c r="Y1255" i="1" a="1"/>
  <c r="Y1255" i="1" s="1"/>
  <c r="Y1238" i="1" a="1"/>
  <c r="Y1238" i="1" s="1"/>
  <c r="Z1223" i="1" a="1"/>
  <c r="Z1223" i="1" s="1"/>
  <c r="Z1151" i="1" a="1"/>
  <c r="Z1151" i="1" s="1"/>
  <c r="Z1203" i="1" a="1"/>
  <c r="Z1203" i="1" s="1"/>
  <c r="Z1172" i="1" a="1"/>
  <c r="Z1172" i="1" s="1"/>
  <c r="Y1165" i="1" a="1"/>
  <c r="Y1165" i="1" s="1"/>
  <c r="Y1148" i="1" a="1"/>
  <c r="Y1148" i="1" s="1"/>
  <c r="Y1186" i="1" a="1"/>
  <c r="Y1186" i="1" s="1"/>
  <c r="Z1171" i="1" a="1"/>
  <c r="Z1171" i="1" s="1"/>
  <c r="Z1197" i="1" a="1"/>
  <c r="Z1197" i="1" s="1"/>
  <c r="Y1178" i="1" a="1"/>
  <c r="Y1178" i="1" s="1"/>
  <c r="Z1099" i="1" a="1"/>
  <c r="Z1099" i="1" s="1"/>
  <c r="Z1094" i="1" a="1"/>
  <c r="Z1094" i="1" s="1"/>
  <c r="Y1149" i="1" a="1"/>
  <c r="Y1149" i="1" s="1"/>
  <c r="Y1137" i="1" a="1"/>
  <c r="Y1137" i="1" s="1"/>
  <c r="Z1122" i="1" a="1"/>
  <c r="Z1122" i="1" s="1"/>
  <c r="Y1115" i="1" a="1"/>
  <c r="Y1115" i="1" s="1"/>
  <c r="Y1098" i="1" a="1"/>
  <c r="Y1098" i="1" s="1"/>
  <c r="Y1093" i="1" a="1"/>
  <c r="Y1093" i="1" s="1"/>
  <c r="Y1143" i="1" a="1"/>
  <c r="Y1143" i="1" s="1"/>
  <c r="Z1128" i="1" a="1"/>
  <c r="Z1128" i="1" s="1"/>
  <c r="Z1054" i="1" a="1"/>
  <c r="Z1054" i="1" s="1"/>
  <c r="Z1037" i="1" a="1"/>
  <c r="Z1037" i="1" s="1"/>
  <c r="Z1063" i="1" a="1"/>
  <c r="Z1063" i="1" s="1"/>
  <c r="Z1046" i="1" a="1"/>
  <c r="Z1046" i="1" s="1"/>
  <c r="Y1082" i="1" a="1"/>
  <c r="Y1082" i="1" s="1"/>
  <c r="Y1077" i="1" a="1"/>
  <c r="Y1077" i="1" s="1"/>
  <c r="Y1048" i="1" a="1"/>
  <c r="Y1048" i="1" s="1"/>
  <c r="Z1033" i="1" a="1"/>
  <c r="Z1033" i="1" s="1"/>
  <c r="Y1081" i="1" a="1"/>
  <c r="Y1081" i="1" s="1"/>
  <c r="Z995" i="1" a="1"/>
  <c r="Z995" i="1" s="1"/>
  <c r="Z990" i="1" a="1"/>
  <c r="Z990" i="1" s="1"/>
  <c r="Z973" i="1" a="1"/>
  <c r="Z973" i="1" s="1"/>
  <c r="Z1032" i="1" a="1"/>
  <c r="Z1032" i="1" s="1"/>
  <c r="Y1016" i="1" a="1"/>
  <c r="Y1016" i="1" s="1"/>
  <c r="Y1011" i="1" a="1"/>
  <c r="Y1011" i="1" s="1"/>
  <c r="Y1006" i="1" a="1"/>
  <c r="Y1006" i="1" s="1"/>
  <c r="Z991" i="1" a="1"/>
  <c r="Z991" i="1" s="1"/>
  <c r="Z998" i="1" a="1"/>
  <c r="Z998" i="1" s="1"/>
  <c r="Z981" i="1" a="1"/>
  <c r="Z981" i="1" s="1"/>
  <c r="Y986" i="1" a="1"/>
  <c r="Y986" i="1" s="1"/>
  <c r="Y966" i="1" a="1"/>
  <c r="Y966" i="1" s="1"/>
  <c r="Y953" i="1" a="1"/>
  <c r="Y953" i="1" s="1"/>
  <c r="Z950" i="1" a="1"/>
  <c r="Z950" i="1" s="1"/>
  <c r="Z945" i="1" a="1"/>
  <c r="Z945" i="1" s="1"/>
  <c r="Y926" i="1" a="1"/>
  <c r="Y926" i="1" s="1"/>
  <c r="Y921" i="1" a="1"/>
  <c r="Y921" i="1" s="1"/>
  <c r="Y964" i="1" a="1"/>
  <c r="Y964" i="1" s="1"/>
  <c r="Z956" i="1" a="1"/>
  <c r="Z956" i="1" s="1"/>
  <c r="Z951" i="1" a="1"/>
  <c r="Z951" i="1" s="1"/>
  <c r="Z934" i="1" a="1"/>
  <c r="Z934" i="1" s="1"/>
  <c r="Z861" i="1" a="1"/>
  <c r="Z861" i="1" s="1"/>
  <c r="Y866" i="1" a="1"/>
  <c r="Y866" i="1" s="1"/>
  <c r="Z851" i="1" a="1"/>
  <c r="Z851" i="1" s="1"/>
  <c r="Y844" i="1" a="1"/>
  <c r="Y844" i="1" s="1"/>
  <c r="Z896" i="1" a="1"/>
  <c r="Z896" i="1" s="1"/>
  <c r="Z891" i="1" a="1"/>
  <c r="Z891" i="1" s="1"/>
  <c r="Y884" i="1" a="1"/>
  <c r="Y884" i="1" s="1"/>
  <c r="Z869" i="1" a="1"/>
  <c r="Z869" i="1" s="1"/>
  <c r="Z852" i="1" a="1"/>
  <c r="Z852" i="1" s="1"/>
  <c r="Y913" i="1" a="1"/>
  <c r="Y913" i="1" s="1"/>
  <c r="Z838" i="1" a="1"/>
  <c r="Z838" i="1" s="1"/>
  <c r="Z821" i="1" a="1"/>
  <c r="Z821" i="1" s="1"/>
  <c r="Z816" i="1" a="1"/>
  <c r="Z816" i="1" s="1"/>
  <c r="Z811" i="1" a="1"/>
  <c r="Z811" i="1" s="1"/>
  <c r="Z806" i="1" a="1"/>
  <c r="Z806" i="1" s="1"/>
  <c r="Y811" i="1" a="1"/>
  <c r="Y811" i="1" s="1"/>
  <c r="Y794" i="1" a="1"/>
  <c r="Y794" i="1" s="1"/>
  <c r="Z791" i="1" a="1"/>
  <c r="Z791" i="1" s="1"/>
  <c r="Y839" i="1" a="1"/>
  <c r="Y839" i="1" s="1"/>
  <c r="Y834" i="1" a="1"/>
  <c r="Y834" i="1" s="1"/>
  <c r="Y780" i="1" a="1"/>
  <c r="Y780" i="1" s="1"/>
  <c r="AA780" i="1" s="1"/>
  <c r="Z769" i="1" a="1"/>
  <c r="Z769" i="1" s="1"/>
  <c r="Y774" i="1" a="1"/>
  <c r="Y774" i="1" s="1"/>
  <c r="Y769" i="1" a="1"/>
  <c r="Y769" i="1" s="1"/>
  <c r="Z778" i="1" a="1"/>
  <c r="Z778" i="1" s="1"/>
  <c r="Z773" i="1" a="1"/>
  <c r="Z773" i="1" s="1"/>
  <c r="Y778" i="1" a="1"/>
  <c r="Y778" i="1" s="1"/>
  <c r="AA778" i="1" s="1"/>
  <c r="Z775" i="1" a="1"/>
  <c r="Z775" i="1" s="1"/>
  <c r="Z770" i="1" a="1"/>
  <c r="Z770" i="1" s="1"/>
  <c r="Z765" i="1" a="1"/>
  <c r="Z765" i="1" s="1"/>
  <c r="Z772" i="1" a="1"/>
  <c r="Z772" i="1" s="1"/>
  <c r="Z702" i="1" a="1"/>
  <c r="Z702" i="1" s="1"/>
  <c r="Z630" i="1" a="1"/>
  <c r="Z630" i="1" s="1"/>
  <c r="Z661" i="1" a="1"/>
  <c r="Z661" i="1" s="1"/>
  <c r="Z692" i="1" a="1"/>
  <c r="Z692" i="1" s="1"/>
  <c r="Y765" i="1" a="1"/>
  <c r="Y765" i="1" s="1"/>
  <c r="AA765" i="1" s="1"/>
  <c r="Y637" i="1" a="1"/>
  <c r="Y637" i="1" s="1"/>
  <c r="Y668" i="1" a="1"/>
  <c r="Y668" i="1" s="1"/>
  <c r="Y675" i="1" a="1"/>
  <c r="Y675" i="1" s="1"/>
  <c r="Z696" i="1" a="1"/>
  <c r="Z696" i="1" s="1"/>
  <c r="Z767" i="1" a="1"/>
  <c r="Z767" i="1" s="1"/>
  <c r="Y641" i="1" a="1"/>
  <c r="Y641" i="1" s="1"/>
  <c r="Y660" i="1" a="1"/>
  <c r="Y660" i="1" s="1"/>
  <c r="Z669" i="1" a="1"/>
  <c r="Z669" i="1" s="1"/>
  <c r="Z710" i="1" a="1"/>
  <c r="Z710" i="1" s="1"/>
  <c r="Y638" i="1" a="1"/>
  <c r="Y638" i="1" s="1"/>
  <c r="Y657" i="1" a="1"/>
  <c r="Y657" i="1" s="1"/>
  <c r="Y563" i="1" a="1"/>
  <c r="Y563" i="1" s="1"/>
  <c r="Z608" i="1" a="1"/>
  <c r="Z608" i="1" s="1"/>
  <c r="Z536" i="1" a="1"/>
  <c r="Z536" i="1" s="1"/>
  <c r="Z579" i="1" a="1"/>
  <c r="Z579" i="1" s="1"/>
  <c r="Z507" i="1" a="1"/>
  <c r="Z507" i="1" s="1"/>
  <c r="Y560" i="1" a="1"/>
  <c r="Y560" i="1" s="1"/>
  <c r="Y603" i="1" a="1"/>
  <c r="Y603" i="1" s="1"/>
  <c r="Y531" i="1" a="1"/>
  <c r="Y531" i="1" s="1"/>
  <c r="Z576" i="1" a="1"/>
  <c r="Z576" i="1" s="1"/>
  <c r="Y617" i="1" a="1"/>
  <c r="Y617" i="1" s="1"/>
  <c r="Y545" i="1" a="1"/>
  <c r="Y545" i="1" s="1"/>
  <c r="Y600" i="1" a="1"/>
  <c r="Y600" i="1" s="1"/>
  <c r="Y528" i="1" a="1"/>
  <c r="Y528" i="1" s="1"/>
  <c r="Z573" i="1" a="1"/>
  <c r="Z573" i="1" s="1"/>
  <c r="Y622" i="1" a="1"/>
  <c r="Y622" i="1" s="1"/>
  <c r="Y554" i="1" a="1"/>
  <c r="Y554" i="1" s="1"/>
  <c r="Y609" i="1" a="1"/>
  <c r="Y609" i="1" s="1"/>
  <c r="Y537" i="1" a="1"/>
  <c r="Y537" i="1" s="1"/>
  <c r="Y592" i="1" a="1"/>
  <c r="Y592" i="1" s="1"/>
  <c r="Y520" i="1" a="1"/>
  <c r="Y520" i="1" s="1"/>
  <c r="Z434" i="1" a="1"/>
  <c r="Z434" i="1" s="1"/>
  <c r="Y487" i="1" a="1"/>
  <c r="Y487" i="1" s="1"/>
  <c r="Y415" i="1" a="1"/>
  <c r="Y415" i="1" s="1"/>
  <c r="AA415" i="1" s="1"/>
  <c r="Y434" i="1" a="1"/>
  <c r="Y434" i="1" s="1"/>
  <c r="Z479" i="1" a="1"/>
  <c r="Z479" i="1" s="1"/>
  <c r="Z407" i="1" a="1"/>
  <c r="Z407" i="1" s="1"/>
  <c r="Y448" i="1" a="1"/>
  <c r="Y448" i="1" s="1"/>
  <c r="Z481" i="1" a="1"/>
  <c r="Z481" i="1" s="1"/>
  <c r="Z409" i="1" a="1"/>
  <c r="Z409" i="1" s="1"/>
  <c r="Z464" i="1" a="1"/>
  <c r="Z464" i="1" s="1"/>
  <c r="Y493" i="1" a="1"/>
  <c r="Y493" i="1" s="1"/>
  <c r="AA493" i="1" s="1"/>
  <c r="Y421" i="1" a="1"/>
  <c r="Y421" i="1" s="1"/>
  <c r="AA421" i="1" s="1"/>
  <c r="Y476" i="1" a="1"/>
  <c r="Y476" i="1" s="1"/>
  <c r="AA476" i="1" s="1"/>
  <c r="Y404" i="1" a="1"/>
  <c r="Y404" i="1" s="1"/>
  <c r="Z437" i="1" a="1"/>
  <c r="Z437" i="1" s="1"/>
  <c r="Y466" i="1" a="1"/>
  <c r="Y466" i="1" s="1"/>
  <c r="Z505" i="1" a="1"/>
  <c r="Z505" i="1" s="1"/>
  <c r="Y437" i="1" a="1"/>
  <c r="Y437" i="1" s="1"/>
  <c r="Y367" i="1" a="1"/>
  <c r="Y367" i="1" s="1"/>
  <c r="AA367" i="1" s="1"/>
  <c r="Y295" i="1" a="1"/>
  <c r="Y295" i="1" s="1"/>
  <c r="AA295" i="1" s="1"/>
  <c r="Z1330" i="1" a="1"/>
  <c r="Z1330" i="1" s="1"/>
  <c r="Z1325" i="1" a="1"/>
  <c r="Z1325" i="1" s="1"/>
  <c r="Z1320" i="1" a="1"/>
  <c r="Z1320" i="1" s="1"/>
  <c r="Y1325" i="1" a="1"/>
  <c r="Y1325" i="1" s="1"/>
  <c r="AA1325" i="1" s="1"/>
  <c r="Y1320" i="1" a="1"/>
  <c r="Y1320" i="1" s="1"/>
  <c r="AA1320" i="1" s="1"/>
  <c r="Z1384" i="1" a="1"/>
  <c r="Z1384" i="1" s="1"/>
  <c r="Z1379" i="1" a="1"/>
  <c r="Z1379" i="1" s="1"/>
  <c r="Y1384" i="1" a="1"/>
  <c r="Y1384" i="1" s="1"/>
  <c r="Y1379" i="1" a="1"/>
  <c r="Y1379" i="1" s="1"/>
  <c r="Z1376" i="1" a="1"/>
  <c r="Z1376" i="1" s="1"/>
  <c r="Z1371" i="1" a="1"/>
  <c r="Z1371" i="1" s="1"/>
  <c r="Z1297" i="1" a="1"/>
  <c r="Z1297" i="1" s="1"/>
  <c r="Z1292" i="1" a="1"/>
  <c r="Z1292" i="1" s="1"/>
  <c r="Z1275" i="1" a="1"/>
  <c r="Z1275" i="1" s="1"/>
  <c r="Z1270" i="1" a="1"/>
  <c r="Z1270" i="1" s="1"/>
  <c r="Y1263" i="1" a="1"/>
  <c r="Y1263" i="1" s="1"/>
  <c r="Z1303" i="1" a="1"/>
  <c r="Z1303" i="1" s="1"/>
  <c r="Y1284" i="1" a="1"/>
  <c r="Y1284" i="1" s="1"/>
  <c r="Y1267" i="1" a="1"/>
  <c r="Y1267" i="1" s="1"/>
  <c r="Z1307" i="1" a="1"/>
  <c r="Z1307" i="1" s="1"/>
  <c r="Z1290" i="1" a="1"/>
  <c r="Z1290" i="1" s="1"/>
  <c r="Z1218" i="1" a="1"/>
  <c r="Z1218" i="1" s="1"/>
  <c r="Z1256" i="1" a="1"/>
  <c r="Z1256" i="1" s="1"/>
  <c r="Y1249" i="1" a="1"/>
  <c r="Y1249" i="1" s="1"/>
  <c r="Y1232" i="1" a="1"/>
  <c r="Y1232" i="1" s="1"/>
  <c r="Y1215" i="1" a="1"/>
  <c r="Y1215" i="1" s="1"/>
  <c r="Y1210" i="1" a="1"/>
  <c r="Y1210" i="1" s="1"/>
  <c r="Z1250" i="1" a="1"/>
  <c r="Z1250" i="1" s="1"/>
  <c r="Z1245" i="1" a="1"/>
  <c r="Z1245" i="1" s="1"/>
  <c r="Z1228" i="1" a="1"/>
  <c r="Z1228" i="1" s="1"/>
  <c r="Y1221" i="1" a="1"/>
  <c r="Y1221" i="1" s="1"/>
  <c r="Z1194" i="1" a="1"/>
  <c r="Z1194" i="1" s="1"/>
  <c r="Y1199" i="1" a="1"/>
  <c r="Y1199" i="1" s="1"/>
  <c r="Y1170" i="1" a="1"/>
  <c r="Y1170" i="1" s="1"/>
  <c r="Z1155" i="1" a="1"/>
  <c r="Z1155" i="1" s="1"/>
  <c r="Y1201" i="1" a="1"/>
  <c r="Y1201" i="1" s="1"/>
  <c r="Z1176" i="1" a="1"/>
  <c r="Z1176" i="1" s="1"/>
  <c r="Y1169" i="1" a="1"/>
  <c r="Y1169" i="1" s="1"/>
  <c r="Y1195" i="1" a="1"/>
  <c r="Y1195" i="1" s="1"/>
  <c r="Z1168" i="1" a="1"/>
  <c r="Z1168" i="1" s="1"/>
  <c r="Y1097" i="1" a="1"/>
  <c r="Y1097" i="1" s="1"/>
  <c r="Y1092" i="1" a="1"/>
  <c r="Y1092" i="1" s="1"/>
  <c r="Y1147" i="1" a="1"/>
  <c r="Y1147" i="1" s="1"/>
  <c r="Z1127" i="1" a="1"/>
  <c r="Z1127" i="1" s="1"/>
  <c r="Y1120" i="1" a="1"/>
  <c r="Y1120" i="1" s="1"/>
  <c r="Z1105" i="1" a="1"/>
  <c r="Z1105" i="1" s="1"/>
  <c r="Z1088" i="1" a="1"/>
  <c r="Z1088" i="1" s="1"/>
  <c r="Y1151" i="1" a="1"/>
  <c r="Y1151" i="1" s="1"/>
  <c r="AA1151" i="1" s="1"/>
  <c r="Z1133" i="1" a="1"/>
  <c r="Z1133" i="1" s="1"/>
  <c r="Y1126" i="1" a="1"/>
  <c r="Y1126" i="1" s="1"/>
  <c r="Y1052" i="1" a="1"/>
  <c r="Y1052" i="1" s="1"/>
  <c r="Y1035" i="1" a="1"/>
  <c r="Y1035" i="1" s="1"/>
  <c r="Y1061" i="1" a="1"/>
  <c r="Y1061" i="1" s="1"/>
  <c r="Y1044" i="1" a="1"/>
  <c r="Y1044" i="1" s="1"/>
  <c r="Z1072" i="1" a="1"/>
  <c r="Z1072" i="1" s="1"/>
  <c r="Z1067" i="1" a="1"/>
  <c r="Z1067" i="1" s="1"/>
  <c r="Z1038" i="1" a="1"/>
  <c r="Z1038" i="1" s="1"/>
  <c r="Z1076" i="1" a="1"/>
  <c r="Z1076" i="1" s="1"/>
  <c r="Z1071" i="1" a="1"/>
  <c r="Z1071" i="1" s="1"/>
  <c r="Y993" i="1" a="1"/>
  <c r="Y993" i="1" s="1"/>
  <c r="AA993" i="1" s="1"/>
  <c r="Y988" i="1" a="1"/>
  <c r="Y988" i="1" s="1"/>
  <c r="AA988" i="1" s="1"/>
  <c r="Y971" i="1" a="1"/>
  <c r="Y971" i="1" s="1"/>
  <c r="Z1023" i="1" a="1"/>
  <c r="Z1023" i="1" s="1"/>
  <c r="Z1006" i="1" a="1"/>
  <c r="Z1006" i="1" s="1"/>
  <c r="Z1001" i="1" a="1"/>
  <c r="Z1001" i="1" s="1"/>
  <c r="Z996" i="1" a="1"/>
  <c r="Z996" i="1" s="1"/>
  <c r="Y989" i="1" a="1"/>
  <c r="Y989" i="1" s="1"/>
  <c r="Y996" i="1" a="1"/>
  <c r="Y996" i="1" s="1"/>
  <c r="Y979" i="1" a="1"/>
  <c r="Y979" i="1" s="1"/>
  <c r="Z976" i="1" a="1"/>
  <c r="Z976" i="1" s="1"/>
  <c r="Z960" i="1" a="1"/>
  <c r="Z960" i="1" s="1"/>
  <c r="Z943" i="1" a="1"/>
  <c r="Z943" i="1" s="1"/>
  <c r="Y948" i="1" a="1"/>
  <c r="Y948" i="1" s="1"/>
  <c r="Y943" i="1" a="1"/>
  <c r="Y943" i="1" s="1"/>
  <c r="Z916" i="1" a="1"/>
  <c r="Z916" i="1" s="1"/>
  <c r="Z911" i="1" a="1"/>
  <c r="Z911" i="1" s="1"/>
  <c r="Z961" i="1" a="1"/>
  <c r="Z961" i="1" s="1"/>
  <c r="Y954" i="1" a="1"/>
  <c r="Y954" i="1" s="1"/>
  <c r="Y949" i="1" a="1"/>
  <c r="Y949" i="1" s="1"/>
  <c r="Y932" i="1" a="1"/>
  <c r="Y932" i="1" s="1"/>
  <c r="Y859" i="1" a="1"/>
  <c r="Y859" i="1" s="1"/>
  <c r="Z856" i="1" a="1"/>
  <c r="Z856" i="1" s="1"/>
  <c r="Y849" i="1" a="1"/>
  <c r="Y849" i="1" s="1"/>
  <c r="Z901" i="1" a="1"/>
  <c r="Z901" i="1" s="1"/>
  <c r="Y894" i="1" a="1"/>
  <c r="Y894" i="1" s="1"/>
  <c r="Y889" i="1" a="1"/>
  <c r="Y889" i="1" s="1"/>
  <c r="Z874" i="1" a="1"/>
  <c r="Z874" i="1" s="1"/>
  <c r="Y867" i="1" a="1"/>
  <c r="Y867" i="1" s="1"/>
  <c r="Y850" i="1" a="1"/>
  <c r="Y850" i="1" s="1"/>
  <c r="Y907" i="1" a="1"/>
  <c r="Y907" i="1" s="1"/>
  <c r="Y836" i="1" a="1"/>
  <c r="Y836" i="1" s="1"/>
  <c r="AA836" i="1" s="1"/>
  <c r="Y819" i="1" a="1"/>
  <c r="Y819" i="1" s="1"/>
  <c r="AA819" i="1" s="1"/>
  <c r="Y814" i="1" a="1"/>
  <c r="Y814" i="1" s="1"/>
  <c r="Y809" i="1" a="1"/>
  <c r="Y809" i="1" s="1"/>
  <c r="Y804" i="1" a="1"/>
  <c r="Y804" i="1" s="1"/>
  <c r="Z801" i="1" a="1"/>
  <c r="Z801" i="1" s="1"/>
  <c r="Z784" i="1" a="1"/>
  <c r="Z784" i="1" s="1"/>
  <c r="Y789" i="1" a="1"/>
  <c r="Y789" i="1" s="1"/>
  <c r="Z829" i="1" a="1"/>
  <c r="Z829" i="1" s="1"/>
  <c r="Z824" i="1" a="1"/>
  <c r="Z824" i="1" s="1"/>
  <c r="Z779" i="1" a="1"/>
  <c r="Z779" i="1" s="1"/>
  <c r="Y767" i="1" a="1"/>
  <c r="Y767" i="1" s="1"/>
  <c r="AA767" i="1" s="1"/>
  <c r="Z764" i="1" a="1"/>
  <c r="Z764" i="1" s="1"/>
  <c r="Z759" i="1" a="1"/>
  <c r="Z759" i="1" s="1"/>
  <c r="Y776" i="1" a="1"/>
  <c r="Y776" i="1" s="1"/>
  <c r="AA776" i="1" s="1"/>
  <c r="Y771" i="1" a="1"/>
  <c r="Y771" i="1" s="1"/>
  <c r="AA771" i="1" s="1"/>
  <c r="Z768" i="1" a="1"/>
  <c r="Z768" i="1" s="1"/>
  <c r="Y773" i="1" a="1"/>
  <c r="Y773" i="1" s="1"/>
  <c r="AA773" i="1" s="1"/>
  <c r="Y768" i="1" a="1"/>
  <c r="Y768" i="1" s="1"/>
  <c r="AA768" i="1" s="1"/>
  <c r="Y763" i="1" a="1"/>
  <c r="Y763" i="1" s="1"/>
  <c r="Y770" i="1" a="1"/>
  <c r="Y770" i="1" s="1"/>
  <c r="AA770" i="1" s="1"/>
  <c r="Y700" i="1" a="1"/>
  <c r="Y700" i="1" s="1"/>
  <c r="Y628" i="1" a="1"/>
  <c r="Y628" i="1" s="1"/>
  <c r="Y659" i="1" a="1"/>
  <c r="Y659" i="1" s="1"/>
  <c r="AA659" i="1" s="1"/>
  <c r="Y690" i="1" a="1"/>
  <c r="Y690" i="1" s="1"/>
  <c r="Z699" i="1" a="1"/>
  <c r="Z699" i="1" s="1"/>
  <c r="Z627" i="1" a="1"/>
  <c r="Z627" i="1" s="1"/>
  <c r="Z658" i="1" a="1"/>
  <c r="Z658" i="1" s="1"/>
  <c r="Z665" i="1" a="1"/>
  <c r="Z665" i="1" s="1"/>
  <c r="Y694" i="1" a="1"/>
  <c r="Y694" i="1" s="1"/>
  <c r="Z703" i="1" a="1"/>
  <c r="Z703" i="1" s="1"/>
  <c r="Z631" i="1" a="1"/>
  <c r="Z631" i="1" s="1"/>
  <c r="Z650" i="1" a="1"/>
  <c r="Z650" i="1" s="1"/>
  <c r="Y667" i="1" a="1"/>
  <c r="Y667" i="1" s="1"/>
  <c r="Z700" i="1" a="1"/>
  <c r="Z700" i="1" s="1"/>
  <c r="Y715" i="1" a="1"/>
  <c r="Y715" i="1" s="1"/>
  <c r="AA715" i="1" s="1"/>
  <c r="Z628" i="1" a="1"/>
  <c r="Z628" i="1" s="1"/>
  <c r="Z553" i="1" a="1"/>
  <c r="Z553" i="1" s="1"/>
  <c r="Y606" i="1" a="1"/>
  <c r="Y606" i="1" s="1"/>
  <c r="Y534" i="1" a="1"/>
  <c r="Y534" i="1" s="1"/>
  <c r="Y577" i="1" a="1"/>
  <c r="Y577" i="1" s="1"/>
  <c r="Z623" i="1" a="1"/>
  <c r="Z623" i="1" s="1"/>
  <c r="Z550" i="1" a="1"/>
  <c r="Z550" i="1" s="1"/>
  <c r="Z593" i="1" a="1"/>
  <c r="Z593" i="1" s="1"/>
  <c r="Z521" i="1" a="1"/>
  <c r="Z521" i="1" s="1"/>
  <c r="Y574" i="1" a="1"/>
  <c r="Y574" i="1" s="1"/>
  <c r="Z607" i="1" a="1"/>
  <c r="Z607" i="1" s="1"/>
  <c r="Z535" i="1" a="1"/>
  <c r="Z535" i="1" s="1"/>
  <c r="Z590" i="1" a="1"/>
  <c r="Z590" i="1" s="1"/>
  <c r="Z518" i="1" a="1"/>
  <c r="Z518" i="1" s="1"/>
  <c r="Y571" i="1" a="1"/>
  <c r="Y571" i="1" s="1"/>
  <c r="Z616" i="1" a="1"/>
  <c r="Z616" i="1" s="1"/>
  <c r="Z544" i="1" a="1"/>
  <c r="Z544" i="1" s="1"/>
  <c r="Z599" i="1" a="1"/>
  <c r="Z599" i="1" s="1"/>
  <c r="Z527" i="1" a="1"/>
  <c r="Z527" i="1" s="1"/>
  <c r="Z582" i="1" a="1"/>
  <c r="Z582" i="1" s="1"/>
  <c r="Y502" i="1" a="1"/>
  <c r="Y502" i="1" s="1"/>
  <c r="Y432" i="1" a="1"/>
  <c r="Y432" i="1" s="1"/>
  <c r="Z477" i="1" a="1"/>
  <c r="Z477" i="1" s="1"/>
  <c r="Z496" i="1" a="1"/>
  <c r="Z496" i="1" s="1"/>
  <c r="Z424" i="1" a="1"/>
  <c r="Z424" i="1" s="1"/>
  <c r="Y477" i="1" a="1"/>
  <c r="Y477" i="1" s="1"/>
  <c r="Y405" i="1" a="1"/>
  <c r="Y405" i="1" s="1"/>
  <c r="AA405" i="1" s="1"/>
  <c r="Z438" i="1" a="1"/>
  <c r="Z438" i="1" s="1"/>
  <c r="Y479" i="1" a="1"/>
  <c r="Y479" i="1" s="1"/>
  <c r="AA479" i="1" s="1"/>
  <c r="Y407" i="1" a="1"/>
  <c r="Y407" i="1" s="1"/>
  <c r="AA407" i="1" s="1"/>
  <c r="Y462" i="1" a="1"/>
  <c r="Y462" i="1" s="1"/>
  <c r="Z483" i="1" a="1"/>
  <c r="Z483" i="1" s="1"/>
  <c r="Z411" i="1" a="1"/>
  <c r="Z411" i="1" s="1"/>
  <c r="Z466" i="1" a="1"/>
  <c r="Z466" i="1" s="1"/>
  <c r="Z512" i="1" a="1"/>
  <c r="Z512" i="1" s="1"/>
  <c r="Y435" i="1" a="1"/>
  <c r="Y435" i="1" s="1"/>
  <c r="Z456" i="1" a="1"/>
  <c r="Z456" i="1" s="1"/>
  <c r="Z499" i="1" a="1"/>
  <c r="Z499" i="1" s="1"/>
  <c r="Z427" i="1" a="1"/>
  <c r="Z427" i="1" s="1"/>
  <c r="Z357" i="1" a="1"/>
  <c r="Z357" i="1" s="1"/>
  <c r="Z285" i="1" a="1"/>
  <c r="Z285" i="1" s="1"/>
  <c r="Y350" i="1" a="1"/>
  <c r="Y350" i="1" s="1"/>
  <c r="AA350" i="1" s="1"/>
  <c r="Y403" i="1" a="1"/>
  <c r="Y403" i="1" s="1"/>
  <c r="AA403" i="1" s="1"/>
  <c r="Y1328" i="1" a="1"/>
  <c r="Y1328" i="1" s="1"/>
  <c r="Y1323" i="1" a="1"/>
  <c r="Y1323" i="1" s="1"/>
  <c r="Z1387" i="1" a="1"/>
  <c r="Z1387" i="1" s="1"/>
  <c r="Z1382" i="1" a="1"/>
  <c r="Z1382" i="1" s="1"/>
  <c r="Y1387" i="1" a="1"/>
  <c r="Y1387" i="1" s="1"/>
  <c r="AA1387" i="1" s="1"/>
  <c r="Y1382" i="1" a="1"/>
  <c r="Y1382" i="1" s="1"/>
  <c r="AA1382" i="1" s="1"/>
  <c r="Y1377" i="1" a="1"/>
  <c r="Y1377" i="1" s="1"/>
  <c r="Z1374" i="1" a="1"/>
  <c r="Z1374" i="1" s="1"/>
  <c r="Z1369" i="1" a="1"/>
  <c r="Z1369" i="1" s="1"/>
  <c r="Y1374" i="1" a="1"/>
  <c r="Y1374" i="1" s="1"/>
  <c r="Y1369" i="1" a="1"/>
  <c r="Y1369" i="1" s="1"/>
  <c r="AA1369" i="1" s="1"/>
  <c r="Y1295" i="1" a="1"/>
  <c r="Y1295" i="1" s="1"/>
  <c r="Y1290" i="1" a="1"/>
  <c r="Y1290" i="1" s="1"/>
  <c r="AA1290" i="1" s="1"/>
  <c r="Y1273" i="1" a="1"/>
  <c r="Y1273" i="1" s="1"/>
  <c r="Y1268" i="1" a="1"/>
  <c r="Y1268" i="1" s="1"/>
  <c r="Y1318" i="1" a="1"/>
  <c r="Y1318" i="1" s="1"/>
  <c r="Y1301" i="1" a="1"/>
  <c r="Y1301" i="1" s="1"/>
  <c r="Z1274" i="1" a="1"/>
  <c r="Z1274" i="1" s="1"/>
  <c r="Z1312" i="1" a="1"/>
  <c r="Z1312" i="1" s="1"/>
  <c r="Y1305" i="1" a="1"/>
  <c r="Y1305" i="1" s="1"/>
  <c r="Y1288" i="1" a="1"/>
  <c r="Y1288" i="1" s="1"/>
  <c r="Y1216" i="1" a="1"/>
  <c r="Y1216" i="1" s="1"/>
  <c r="Y1254" i="1" a="1"/>
  <c r="Y1254" i="1" s="1"/>
  <c r="Z1239" i="1" a="1"/>
  <c r="Z1239" i="1" s="1"/>
  <c r="Z1222" i="1" a="1"/>
  <c r="Z1222" i="1" s="1"/>
  <c r="Z1205" i="1" a="1"/>
  <c r="Z1205" i="1" s="1"/>
  <c r="Y1265" i="1" a="1"/>
  <c r="Y1265" i="1" s="1"/>
  <c r="AA1265" i="1" s="1"/>
  <c r="Y1248" i="1" a="1"/>
  <c r="Y1248" i="1" s="1"/>
  <c r="Y1243" i="1" a="1"/>
  <c r="Y1243" i="1" s="1"/>
  <c r="Y1226" i="1" a="1"/>
  <c r="Y1226" i="1" s="1"/>
  <c r="Z1211" i="1" a="1"/>
  <c r="Z1211" i="1" s="1"/>
  <c r="Y1192" i="1" a="1"/>
  <c r="Y1192" i="1" s="1"/>
  <c r="Z1189" i="1" a="1"/>
  <c r="Z1189" i="1" s="1"/>
  <c r="Z1160" i="1" a="1"/>
  <c r="Z1160" i="1" s="1"/>
  <c r="Y1153" i="1" a="1"/>
  <c r="Y1153" i="1" s="1"/>
  <c r="Z1193" i="1" a="1"/>
  <c r="Z1193" i="1" s="1"/>
  <c r="Y1174" i="1" a="1"/>
  <c r="Y1174" i="1" s="1"/>
  <c r="Z1159" i="1" a="1"/>
  <c r="Z1159" i="1" s="1"/>
  <c r="Z1185" i="1" a="1"/>
  <c r="Z1185" i="1" s="1"/>
  <c r="Y1166" i="1" a="1"/>
  <c r="Y1166" i="1" s="1"/>
  <c r="Z1087" i="1" a="1"/>
  <c r="Z1087" i="1" s="1"/>
  <c r="Z1137" i="1" a="1"/>
  <c r="Z1137" i="1" s="1"/>
  <c r="Z1145" i="1" a="1"/>
  <c r="Z1145" i="1" s="1"/>
  <c r="Y1125" i="1" a="1"/>
  <c r="Y1125" i="1" s="1"/>
  <c r="Z1110" i="1" a="1"/>
  <c r="Z1110" i="1" s="1"/>
  <c r="Y1103" i="1" a="1"/>
  <c r="Y1103" i="1" s="1"/>
  <c r="Y1086" i="1" a="1"/>
  <c r="Y1086" i="1" s="1"/>
  <c r="Z1138" i="1" a="1"/>
  <c r="Z1138" i="1" s="1"/>
  <c r="Y1131" i="1" a="1"/>
  <c r="Y1131" i="1" s="1"/>
  <c r="Z1116" i="1" a="1"/>
  <c r="Z1116" i="1" s="1"/>
  <c r="Z1042" i="1" a="1"/>
  <c r="Z1042" i="1" s="1"/>
  <c r="Z1080" i="1" a="1"/>
  <c r="Z1080" i="1" s="1"/>
  <c r="Z1051" i="1" a="1"/>
  <c r="Z1051" i="1" s="1"/>
  <c r="Z1034" i="1" a="1"/>
  <c r="Z1034" i="1" s="1"/>
  <c r="Y1070" i="1" a="1"/>
  <c r="Y1070" i="1" s="1"/>
  <c r="Y1065" i="1" a="1"/>
  <c r="Y1065" i="1" s="1"/>
  <c r="Y1036" i="1" a="1"/>
  <c r="Y1036" i="1" s="1"/>
  <c r="Y1074" i="1" a="1"/>
  <c r="Y1074" i="1" s="1"/>
  <c r="Y1069" i="1" a="1"/>
  <c r="Y1069" i="1" s="1"/>
  <c r="Z983" i="1" a="1"/>
  <c r="Z983" i="1" s="1"/>
  <c r="Z978" i="1" a="1"/>
  <c r="Z978" i="1" s="1"/>
  <c r="Y1029" i="1" a="1"/>
  <c r="Y1029" i="1" s="1"/>
  <c r="Y1021" i="1" a="1"/>
  <c r="Y1021" i="1" s="1"/>
  <c r="Y1004" i="1" a="1"/>
  <c r="Y1004" i="1" s="1"/>
  <c r="Y999" i="1" a="1"/>
  <c r="Y999" i="1" s="1"/>
  <c r="Y994" i="1" a="1"/>
  <c r="Y994" i="1" s="1"/>
  <c r="Z979" i="1" a="1"/>
  <c r="Z979" i="1" s="1"/>
  <c r="Z986" i="1" a="1"/>
  <c r="Z986" i="1" s="1"/>
  <c r="Z969" i="1" a="1"/>
  <c r="Z969" i="1" s="1"/>
  <c r="Y974" i="1" a="1"/>
  <c r="Y974" i="1" s="1"/>
  <c r="Y958" i="1" a="1"/>
  <c r="Y958" i="1" s="1"/>
  <c r="Y941" i="1" a="1"/>
  <c r="Y941" i="1" s="1"/>
  <c r="Z938" i="1" a="1"/>
  <c r="Z938" i="1" s="1"/>
  <c r="Z933" i="1" a="1"/>
  <c r="Z933" i="1" s="1"/>
  <c r="Y914" i="1" a="1"/>
  <c r="Y914" i="1" s="1"/>
  <c r="Z954" i="1" a="1"/>
  <c r="Z954" i="1" s="1"/>
  <c r="Y959" i="1" a="1"/>
  <c r="Y959" i="1" s="1"/>
  <c r="Z944" i="1" a="1"/>
  <c r="Z944" i="1" s="1"/>
  <c r="Z939" i="1" a="1"/>
  <c r="Z939" i="1" s="1"/>
  <c r="Z922" i="1" a="1"/>
  <c r="Z922" i="1" s="1"/>
  <c r="Z849" i="1" a="1"/>
  <c r="Z849" i="1" s="1"/>
  <c r="Y854" i="1" a="1"/>
  <c r="Y854" i="1" s="1"/>
  <c r="AA854" i="1" s="1"/>
  <c r="Z904" i="1" a="1"/>
  <c r="Z904" i="1" s="1"/>
  <c r="Y899" i="1" a="1"/>
  <c r="Y899" i="1" s="1"/>
  <c r="Z884" i="1" a="1"/>
  <c r="Z884" i="1" s="1"/>
  <c r="Z879" i="1" a="1"/>
  <c r="Z879" i="1" s="1"/>
  <c r="Y872" i="1" a="1"/>
  <c r="Y872" i="1" s="1"/>
  <c r="Z857" i="1" a="1"/>
  <c r="Z857" i="1" s="1"/>
  <c r="Z895" i="1" a="1"/>
  <c r="Z895" i="1" s="1"/>
  <c r="Z902" i="1" a="1"/>
  <c r="Z902" i="1" s="1"/>
  <c r="Z826" i="1" a="1"/>
  <c r="Z826" i="1" s="1"/>
  <c r="Z809" i="1" a="1"/>
  <c r="Z809" i="1" s="1"/>
  <c r="Z804" i="1" a="1"/>
  <c r="Z804" i="1" s="1"/>
  <c r="Z799" i="1" a="1"/>
  <c r="Z799" i="1" s="1"/>
  <c r="Z794" i="1" a="1"/>
  <c r="Z794" i="1" s="1"/>
  <c r="Y799" i="1" a="1"/>
  <c r="Y799" i="1" s="1"/>
  <c r="AA799" i="1" s="1"/>
  <c r="Y782" i="1" a="1"/>
  <c r="Y782" i="1" s="1"/>
  <c r="Z834" i="1" a="1"/>
  <c r="Z834" i="1" s="1"/>
  <c r="Y827" i="1" a="1"/>
  <c r="Y827" i="1" s="1"/>
  <c r="Y822" i="1" a="1"/>
  <c r="Y822" i="1" s="1"/>
  <c r="Z774" i="1" a="1"/>
  <c r="Z774" i="1" s="1"/>
  <c r="Z757" i="1" a="1"/>
  <c r="Z757" i="1" s="1"/>
  <c r="Y762" i="1" a="1"/>
  <c r="Y762" i="1" s="1"/>
  <c r="Y757" i="1" a="1"/>
  <c r="Y757" i="1" s="1"/>
  <c r="Z766" i="1" a="1"/>
  <c r="Z766" i="1" s="1"/>
  <c r="Z761" i="1" a="1"/>
  <c r="Z761" i="1" s="1"/>
  <c r="Y766" i="1" a="1"/>
  <c r="Y766" i="1" s="1"/>
  <c r="AA766" i="1" s="1"/>
  <c r="Z763" i="1" a="1"/>
  <c r="Z763" i="1" s="1"/>
  <c r="Z758" i="1" a="1"/>
  <c r="Z758" i="1" s="1"/>
  <c r="Z753" i="1" a="1"/>
  <c r="Z753" i="1" s="1"/>
  <c r="Z760" i="1" a="1"/>
  <c r="Z760" i="1" s="1"/>
  <c r="Z690" i="1" a="1"/>
  <c r="Z690" i="1" s="1"/>
  <c r="Z743" i="1" a="1"/>
  <c r="Z743" i="1" s="1"/>
  <c r="Z649" i="1" a="1"/>
  <c r="Z649" i="1" s="1"/>
  <c r="Z680" i="1" a="1"/>
  <c r="Z680" i="1" s="1"/>
  <c r="Y697" i="1" a="1"/>
  <c r="Y697" i="1" s="1"/>
  <c r="Y625" i="1" a="1"/>
  <c r="Y625" i="1" s="1"/>
  <c r="AA625" i="1" s="1"/>
  <c r="Y656" i="1" a="1"/>
  <c r="Y656" i="1" s="1"/>
  <c r="Y663" i="1" a="1"/>
  <c r="Y663" i="1" s="1"/>
  <c r="Z684" i="1" a="1"/>
  <c r="Z684" i="1" s="1"/>
  <c r="Y701" i="1" a="1"/>
  <c r="Y701" i="1" s="1"/>
  <c r="Y629" i="1" a="1"/>
  <c r="Y629" i="1" s="1"/>
  <c r="Y648" i="1" a="1"/>
  <c r="Y648" i="1" s="1"/>
  <c r="Z657" i="1" a="1"/>
  <c r="Z657" i="1" s="1"/>
  <c r="Y698" i="1" a="1"/>
  <c r="Y698" i="1" s="1"/>
  <c r="Z714" i="1" a="1"/>
  <c r="Z714" i="1" s="1"/>
  <c r="Z624" i="1" a="1"/>
  <c r="Z624" i="1" s="1"/>
  <c r="Y551" i="1" a="1"/>
  <c r="Y551" i="1" s="1"/>
  <c r="Z596" i="1" a="1"/>
  <c r="Z596" i="1" s="1"/>
  <c r="Z524" i="1" a="1"/>
  <c r="Z524" i="1" s="1"/>
  <c r="Z567" i="1" a="1"/>
  <c r="Z567" i="1" s="1"/>
  <c r="Z620" i="1" a="1"/>
  <c r="Z620" i="1" s="1"/>
  <c r="Y548" i="1" a="1"/>
  <c r="Y548" i="1" s="1"/>
  <c r="AA548" i="1" s="1"/>
  <c r="Y591" i="1" a="1"/>
  <c r="Y591" i="1" s="1"/>
  <c r="AA591" i="1" s="1"/>
  <c r="Y519" i="1" a="1"/>
  <c r="Y519" i="1" s="1"/>
  <c r="AA519" i="1" s="1"/>
  <c r="Z564" i="1" a="1"/>
  <c r="Z564" i="1" s="1"/>
  <c r="Y605" i="1" a="1"/>
  <c r="Y605" i="1" s="1"/>
  <c r="AA605" i="1" s="1"/>
  <c r="Y533" i="1" a="1"/>
  <c r="Y533" i="1" s="1"/>
  <c r="AA533" i="1" s="1"/>
  <c r="Y588" i="1" a="1"/>
  <c r="Y588" i="1" s="1"/>
  <c r="AA588" i="1" s="1"/>
  <c r="Y516" i="1" a="1"/>
  <c r="Y516" i="1" s="1"/>
  <c r="AA516" i="1" s="1"/>
  <c r="Z561" i="1" a="1"/>
  <c r="Z561" i="1" s="1"/>
  <c r="Y614" i="1" a="1"/>
  <c r="Y614" i="1" s="1"/>
  <c r="Y542" i="1" a="1"/>
  <c r="Y542" i="1" s="1"/>
  <c r="Y597" i="1" a="1"/>
  <c r="Y597" i="1" s="1"/>
  <c r="Y525" i="1" a="1"/>
  <c r="Y525" i="1" s="1"/>
  <c r="Y580" i="1" a="1"/>
  <c r="Y580" i="1" s="1"/>
  <c r="Z494" i="1" a="1"/>
  <c r="Z494" i="1" s="1"/>
  <c r="Z422" i="1" a="1"/>
  <c r="Z422" i="1" s="1"/>
  <c r="Y475" i="1" a="1"/>
  <c r="Y475" i="1" s="1"/>
  <c r="Y494" i="1" a="1"/>
  <c r="Y494" i="1" s="1"/>
  <c r="AA494" i="1" s="1"/>
  <c r="Y422" i="1" a="1"/>
  <c r="Y422" i="1" s="1"/>
  <c r="Z467" i="1" a="1"/>
  <c r="Z467" i="1" s="1"/>
  <c r="Z395" i="1" a="1"/>
  <c r="Z395" i="1" s="1"/>
  <c r="Y436" i="1" a="1"/>
  <c r="Y436" i="1" s="1"/>
  <c r="AA436" i="1" s="1"/>
  <c r="Z469" i="1" a="1"/>
  <c r="Z469" i="1" s="1"/>
  <c r="Z397" i="1" a="1"/>
  <c r="Z397" i="1" s="1"/>
  <c r="Z452" i="1" a="1"/>
  <c r="Z452" i="1" s="1"/>
  <c r="Y481" i="1" a="1"/>
  <c r="Y481" i="1" s="1"/>
  <c r="AA481" i="1" s="1"/>
  <c r="Y409" i="1" a="1"/>
  <c r="Y409" i="1" s="1"/>
  <c r="AA409" i="1" s="1"/>
  <c r="Y464" i="1" a="1"/>
  <c r="Y464" i="1" s="1"/>
  <c r="AA464" i="1" s="1"/>
  <c r="Z497" i="1" a="1"/>
  <c r="Z497" i="1" s="1"/>
  <c r="Z425" i="1" a="1"/>
  <c r="Z425" i="1" s="1"/>
  <c r="Y454" i="1" a="1"/>
  <c r="Y454" i="1" s="1"/>
  <c r="Y497" i="1" a="1"/>
  <c r="Y497" i="1" s="1"/>
  <c r="AA497" i="1" s="1"/>
  <c r="Y425" i="1" a="1"/>
  <c r="Y425" i="1" s="1"/>
  <c r="Y355" i="1" a="1"/>
  <c r="Y355" i="1" s="1"/>
  <c r="Z1385" i="1" a="1"/>
  <c r="Z1385" i="1" s="1"/>
  <c r="Z1380" i="1" a="1"/>
  <c r="Z1380" i="1" s="1"/>
  <c r="Y1385" i="1" a="1"/>
  <c r="Y1385" i="1" s="1"/>
  <c r="Y1380" i="1" a="1"/>
  <c r="Y1380" i="1" s="1"/>
  <c r="AA1380" i="1" s="1"/>
  <c r="Z1377" i="1" a="1"/>
  <c r="Z1377" i="1" s="1"/>
  <c r="Z1372" i="1" a="1"/>
  <c r="Z1372" i="1" s="1"/>
  <c r="Z1367" i="1" a="1"/>
  <c r="Z1367" i="1" s="1"/>
  <c r="Y1372" i="1" a="1"/>
  <c r="Y1372" i="1" s="1"/>
  <c r="AA1372" i="1" s="1"/>
  <c r="Y1367" i="1" a="1"/>
  <c r="Y1367" i="1" s="1"/>
  <c r="Z1364" i="1" a="1"/>
  <c r="Z1364" i="1" s="1"/>
  <c r="Z1359" i="1" a="1"/>
  <c r="Z1359" i="1" s="1"/>
  <c r="Z1285" i="1" a="1"/>
  <c r="Z1285" i="1" s="1"/>
  <c r="Z1280" i="1" a="1"/>
  <c r="Z1280" i="1" s="1"/>
  <c r="Z1263" i="1" a="1"/>
  <c r="Z1263" i="1" s="1"/>
  <c r="Z1258" i="1" a="1"/>
  <c r="Z1258" i="1" s="1"/>
  <c r="Z1308" i="1" a="1"/>
  <c r="Z1308" i="1" s="1"/>
  <c r="Z1291" i="1" a="1"/>
  <c r="Z1291" i="1" s="1"/>
  <c r="Y1272" i="1" a="1"/>
  <c r="Y1272" i="1" s="1"/>
  <c r="Y1310" i="1" a="1"/>
  <c r="Y1310" i="1" s="1"/>
  <c r="Z1295" i="1" a="1"/>
  <c r="Z1295" i="1" s="1"/>
  <c r="Z1278" i="1" a="1"/>
  <c r="Z1278" i="1" s="1"/>
  <c r="Z1206" i="1" a="1"/>
  <c r="Z1206" i="1" s="1"/>
  <c r="Z1244" i="1" a="1"/>
  <c r="Z1244" i="1" s="1"/>
  <c r="Y1237" i="1" a="1"/>
  <c r="Y1237" i="1" s="1"/>
  <c r="Y1220" i="1" a="1"/>
  <c r="Y1220" i="1" s="1"/>
  <c r="Y1203" i="1" a="1"/>
  <c r="Y1203" i="1" s="1"/>
  <c r="AA1203" i="1" s="1"/>
  <c r="Z1255" i="1" a="1"/>
  <c r="Z1255" i="1" s="1"/>
  <c r="Z1238" i="1" a="1"/>
  <c r="Z1238" i="1" s="1"/>
  <c r="Z1233" i="1" a="1"/>
  <c r="Z1233" i="1" s="1"/>
  <c r="Z1216" i="1" a="1"/>
  <c r="Z1216" i="1" s="1"/>
  <c r="Y1209" i="1" a="1"/>
  <c r="Y1209" i="1" s="1"/>
  <c r="Z1182" i="1" a="1"/>
  <c r="Z1182" i="1" s="1"/>
  <c r="Y1187" i="1" a="1"/>
  <c r="Y1187" i="1" s="1"/>
  <c r="Y1158" i="1" a="1"/>
  <c r="Y1158" i="1" s="1"/>
  <c r="Z1198" i="1" a="1"/>
  <c r="Z1198" i="1" s="1"/>
  <c r="Y1191" i="1" a="1"/>
  <c r="Y1191" i="1" s="1"/>
  <c r="Z1164" i="1" a="1"/>
  <c r="Z1164" i="1" s="1"/>
  <c r="Y1157" i="1" a="1"/>
  <c r="Y1157" i="1" s="1"/>
  <c r="Y1183" i="1" a="1"/>
  <c r="Y1183" i="1" s="1"/>
  <c r="AA1183" i="1" s="1"/>
  <c r="Z1156" i="1" a="1"/>
  <c r="Z1156" i="1" s="1"/>
  <c r="Z1147" i="1" a="1"/>
  <c r="Z1147" i="1" s="1"/>
  <c r="Y1135" i="1" a="1"/>
  <c r="Y1135" i="1" s="1"/>
  <c r="Y1142" i="1" a="1"/>
  <c r="Y1142" i="1" s="1"/>
  <c r="Z1115" i="1" a="1"/>
  <c r="Z1115" i="1" s="1"/>
  <c r="Y1108" i="1" a="1"/>
  <c r="Y1108" i="1" s="1"/>
  <c r="Z1093" i="1" a="1"/>
  <c r="Z1093" i="1" s="1"/>
  <c r="Z1143" i="1" a="1"/>
  <c r="Z1143" i="1" s="1"/>
  <c r="Y1136" i="1" a="1"/>
  <c r="Y1136" i="1" s="1"/>
  <c r="Z1121" i="1" a="1"/>
  <c r="Z1121" i="1" s="1"/>
  <c r="Y1114" i="1" a="1"/>
  <c r="Y1114" i="1" s="1"/>
  <c r="Y1040" i="1" a="1"/>
  <c r="Y1040" i="1" s="1"/>
  <c r="Y1078" i="1" a="1"/>
  <c r="Y1078" i="1" s="1"/>
  <c r="Y1049" i="1" a="1"/>
  <c r="Y1049" i="1" s="1"/>
  <c r="AA1049" i="1" s="1"/>
  <c r="Z1085" i="1" a="1"/>
  <c r="Z1085" i="1" s="1"/>
  <c r="Z1060" i="1" a="1"/>
  <c r="Z1060" i="1" s="1"/>
  <c r="Z1055" i="1" a="1"/>
  <c r="Z1055" i="1" s="1"/>
  <c r="Y1084" i="1" a="1"/>
  <c r="Y1084" i="1" s="1"/>
  <c r="AA1084" i="1" s="1"/>
  <c r="Z1064" i="1" a="1"/>
  <c r="Z1064" i="1" s="1"/>
  <c r="Z1059" i="1" a="1"/>
  <c r="Z1059" i="1" s="1"/>
  <c r="Y981" i="1" a="1"/>
  <c r="Y981" i="1" s="1"/>
  <c r="AA981" i="1" s="1"/>
  <c r="Y976" i="1" a="1"/>
  <c r="Y976" i="1" s="1"/>
  <c r="AA976" i="1" s="1"/>
  <c r="Y1026" i="1" a="1"/>
  <c r="Y1026" i="1" s="1"/>
  <c r="Z1011" i="1" a="1"/>
  <c r="Z1011" i="1" s="1"/>
  <c r="Z994" i="1" a="1"/>
  <c r="Z994" i="1" s="1"/>
  <c r="Z989" i="1" a="1"/>
  <c r="Z989" i="1" s="1"/>
  <c r="Z984" i="1" a="1"/>
  <c r="Z984" i="1" s="1"/>
  <c r="Y977" i="1" a="1"/>
  <c r="Y977" i="1" s="1"/>
  <c r="Y984" i="1" a="1"/>
  <c r="Y984" i="1" s="1"/>
  <c r="AA984" i="1" s="1"/>
  <c r="Y1030" i="1" a="1"/>
  <c r="Y1030" i="1" s="1"/>
  <c r="Y963" i="1" a="1"/>
  <c r="Y963" i="1" s="1"/>
  <c r="AA963" i="1" s="1"/>
  <c r="Z948" i="1" a="1"/>
  <c r="Z948" i="1" s="1"/>
  <c r="Z931" i="1" a="1"/>
  <c r="Z931" i="1" s="1"/>
  <c r="Y936" i="1" a="1"/>
  <c r="Y936" i="1" s="1"/>
  <c r="Y931" i="1" a="1"/>
  <c r="Y931" i="1" s="1"/>
  <c r="AA931" i="1" s="1"/>
  <c r="Y968" i="1" a="1"/>
  <c r="Y968" i="1" s="1"/>
  <c r="Y952" i="1" a="1"/>
  <c r="Y952" i="1" s="1"/>
  <c r="Z949" i="1" a="1"/>
  <c r="Z949" i="1" s="1"/>
  <c r="Y942" i="1" a="1"/>
  <c r="Y942" i="1" s="1"/>
  <c r="Y937" i="1" a="1"/>
  <c r="Y937" i="1" s="1"/>
  <c r="Y920" i="1" a="1"/>
  <c r="Y920" i="1" s="1"/>
  <c r="Y847" i="1" a="1"/>
  <c r="Y847" i="1" s="1"/>
  <c r="AA847" i="1" s="1"/>
  <c r="Y909" i="1" a="1"/>
  <c r="Y909" i="1" s="1"/>
  <c r="Z894" i="1" a="1"/>
  <c r="Z894" i="1" s="1"/>
  <c r="Z889" i="1" a="1"/>
  <c r="Z889" i="1" s="1"/>
  <c r="Y882" i="1" a="1"/>
  <c r="Y882" i="1" s="1"/>
  <c r="Y877" i="1" a="1"/>
  <c r="Y877" i="1" s="1"/>
  <c r="Z862" i="1" a="1"/>
  <c r="Z862" i="1" s="1"/>
  <c r="Y855" i="1" a="1"/>
  <c r="Y855" i="1" s="1"/>
  <c r="Y893" i="1" a="1"/>
  <c r="Y893" i="1" s="1"/>
  <c r="Y900" i="1" a="1"/>
  <c r="Y900" i="1" s="1"/>
  <c r="Y824" i="1" a="1"/>
  <c r="Y824" i="1" s="1"/>
  <c r="AA824" i="1" s="1"/>
  <c r="Y807" i="1" a="1"/>
  <c r="Y807" i="1" s="1"/>
  <c r="AA807" i="1" s="1"/>
  <c r="Y802" i="1" a="1"/>
  <c r="Y802" i="1" s="1"/>
  <c r="Y797" i="1" a="1"/>
  <c r="Y797" i="1" s="1"/>
  <c r="Y792" i="1" a="1"/>
  <c r="Y792" i="1" s="1"/>
  <c r="Z789" i="1" a="1"/>
  <c r="Z789" i="1" s="1"/>
  <c r="Y842" i="1" a="1"/>
  <c r="Y842" i="1" s="1"/>
  <c r="Y832" i="1" a="1"/>
  <c r="Y832" i="1" s="1"/>
  <c r="Z817" i="1" a="1"/>
  <c r="Z817" i="1" s="1"/>
  <c r="Z812" i="1" a="1"/>
  <c r="Z812" i="1" s="1"/>
  <c r="Y772" i="1" a="1"/>
  <c r="Y772" i="1" s="1"/>
  <c r="AA772" i="1" s="1"/>
  <c r="Y755" i="1" a="1"/>
  <c r="Y755" i="1" s="1"/>
  <c r="AA755" i="1" s="1"/>
  <c r="Z752" i="1" a="1"/>
  <c r="Z752" i="1" s="1"/>
  <c r="Z747" i="1" a="1"/>
  <c r="Z747" i="1" s="1"/>
  <c r="Y764" i="1" a="1"/>
  <c r="Y764" i="1" s="1"/>
  <c r="AA764" i="1" s="1"/>
  <c r="Y759" i="1" a="1"/>
  <c r="Y759" i="1" s="1"/>
  <c r="AA759" i="1" s="1"/>
  <c r="Z756" i="1" a="1"/>
  <c r="Z756" i="1" s="1"/>
  <c r="Y761" i="1" a="1"/>
  <c r="Y761" i="1" s="1"/>
  <c r="AA761" i="1" s="1"/>
  <c r="Y756" i="1" a="1"/>
  <c r="Y756" i="1" s="1"/>
  <c r="AA756" i="1" s="1"/>
  <c r="Y751" i="1" a="1"/>
  <c r="Y751" i="1" s="1"/>
  <c r="Y758" i="1" a="1"/>
  <c r="Y758" i="1" s="1"/>
  <c r="AA758" i="1" s="1"/>
  <c r="Y688" i="1" a="1"/>
  <c r="Y688" i="1" s="1"/>
  <c r="Y724" i="1" a="1"/>
  <c r="Y724" i="1" s="1"/>
  <c r="Y647" i="1" a="1"/>
  <c r="Y647" i="1" s="1"/>
  <c r="Y678" i="1" a="1"/>
  <c r="Y678" i="1" s="1"/>
  <c r="Z687" i="1" a="1"/>
  <c r="Z687" i="1" s="1"/>
  <c r="Z731" i="1" a="1"/>
  <c r="Z731" i="1" s="1"/>
  <c r="Z646" i="1" a="1"/>
  <c r="Z646" i="1" s="1"/>
  <c r="Z653" i="1" a="1"/>
  <c r="Z653" i="1" s="1"/>
  <c r="Y682" i="1" a="1"/>
  <c r="Y682" i="1" s="1"/>
  <c r="Z691" i="1" a="1"/>
  <c r="Z691" i="1" s="1"/>
  <c r="Y711" i="1" a="1"/>
  <c r="Y711" i="1" s="1"/>
  <c r="Z638" i="1" a="1"/>
  <c r="Z638" i="1" s="1"/>
  <c r="Y655" i="1" a="1"/>
  <c r="Y655" i="1" s="1"/>
  <c r="Z688" i="1" a="1"/>
  <c r="Z688" i="1" s="1"/>
  <c r="Z707" i="1" a="1"/>
  <c r="Z707" i="1" s="1"/>
  <c r="Z613" i="1" a="1"/>
  <c r="Z613" i="1" s="1"/>
  <c r="Z541" i="1" a="1"/>
  <c r="Z541" i="1" s="1"/>
  <c r="Y594" i="1" a="1"/>
  <c r="Y594" i="1" s="1"/>
  <c r="AA594" i="1" s="1"/>
  <c r="Y522" i="1" a="1"/>
  <c r="Y522" i="1" s="1"/>
  <c r="AA522" i="1" s="1"/>
  <c r="Y565" i="1" a="1"/>
  <c r="Y565" i="1" s="1"/>
  <c r="AA565" i="1" s="1"/>
  <c r="Z610" i="1" a="1"/>
  <c r="Z610" i="1" s="1"/>
  <c r="Z538" i="1" a="1"/>
  <c r="Z538" i="1" s="1"/>
  <c r="Z581" i="1" a="1"/>
  <c r="Z581" i="1" s="1"/>
  <c r="Z509" i="1" a="1"/>
  <c r="Z509" i="1" s="1"/>
  <c r="Y562" i="1" a="1"/>
  <c r="Y562" i="1" s="1"/>
  <c r="AA562" i="1" s="1"/>
  <c r="Z595" i="1" a="1"/>
  <c r="Z595" i="1" s="1"/>
  <c r="Z523" i="1" a="1"/>
  <c r="Z523" i="1" s="1"/>
  <c r="Z578" i="1" a="1"/>
  <c r="Z578" i="1" s="1"/>
  <c r="Z506" i="1" a="1"/>
  <c r="Z506" i="1" s="1"/>
  <c r="Y559" i="1" a="1"/>
  <c r="Y559" i="1" s="1"/>
  <c r="Z604" i="1" a="1"/>
  <c r="Z604" i="1" s="1"/>
  <c r="Z532" i="1" a="1"/>
  <c r="Z532" i="1" s="1"/>
  <c r="Z587" i="1" a="1"/>
  <c r="Z587" i="1" s="1"/>
  <c r="Z515" i="1" a="1"/>
  <c r="Z515" i="1" s="1"/>
  <c r="Z570" i="1" a="1"/>
  <c r="Z570" i="1" s="1"/>
  <c r="Y492" i="1" a="1"/>
  <c r="Y492" i="1" s="1"/>
  <c r="Y420" i="1" a="1"/>
  <c r="Y420" i="1" s="1"/>
  <c r="Z465" i="1" a="1"/>
  <c r="Z465" i="1" s="1"/>
  <c r="Z484" i="1" a="1"/>
  <c r="Z484" i="1" s="1"/>
  <c r="Z412" i="1" a="1"/>
  <c r="Z412" i="1" s="1"/>
  <c r="Y465" i="1" a="1"/>
  <c r="Y465" i="1" s="1"/>
  <c r="AA465" i="1" s="1"/>
  <c r="Z498" i="1" a="1"/>
  <c r="Z498" i="1" s="1"/>
  <c r="Z426" i="1" a="1"/>
  <c r="Z426" i="1" s="1"/>
  <c r="Y467" i="1" a="1"/>
  <c r="Y467" i="1" s="1"/>
  <c r="AA467" i="1" s="1"/>
  <c r="Y395" i="1" a="1"/>
  <c r="Y395" i="1" s="1"/>
  <c r="AA395" i="1" s="1"/>
  <c r="Y450" i="1" a="1"/>
  <c r="Y450" i="1" s="1"/>
  <c r="AA450" i="1" s="1"/>
  <c r="Z471" i="1" a="1"/>
  <c r="Z471" i="1" s="1"/>
  <c r="Z399" i="1" a="1"/>
  <c r="Z399" i="1" s="1"/>
  <c r="Z454" i="1" a="1"/>
  <c r="Z454" i="1" s="1"/>
  <c r="Y495" i="1" a="1"/>
  <c r="Y495" i="1" s="1"/>
  <c r="AA495" i="1" s="1"/>
  <c r="Y423" i="1" a="1"/>
  <c r="Y423" i="1" s="1"/>
  <c r="AA423" i="1" s="1"/>
  <c r="Z444" i="1" a="1"/>
  <c r="Z444" i="1" s="1"/>
  <c r="Y1383" i="1" a="1"/>
  <c r="Y1383" i="1" s="1"/>
  <c r="AA1383" i="1" s="1"/>
  <c r="Y1378" i="1" a="1"/>
  <c r="Y1378" i="1" s="1"/>
  <c r="Z1375" i="1" a="1"/>
  <c r="Z1375" i="1" s="1"/>
  <c r="Z1370" i="1" a="1"/>
  <c r="Z1370" i="1" s="1"/>
  <c r="Y1375" i="1" a="1"/>
  <c r="Y1375" i="1" s="1"/>
  <c r="Y1370" i="1" a="1"/>
  <c r="Y1370" i="1" s="1"/>
  <c r="AA1370" i="1" s="1"/>
  <c r="Y1365" i="1" a="1"/>
  <c r="Y1365" i="1" s="1"/>
  <c r="Z1362" i="1" a="1"/>
  <c r="Z1362" i="1" s="1"/>
  <c r="Z1357" i="1" a="1"/>
  <c r="Z1357" i="1" s="1"/>
  <c r="Y1362" i="1" a="1"/>
  <c r="Y1362" i="1" s="1"/>
  <c r="AA1362" i="1" s="1"/>
  <c r="Y1357" i="1" a="1"/>
  <c r="Y1357" i="1" s="1"/>
  <c r="AA1357" i="1" s="1"/>
  <c r="Y1283" i="1" a="1"/>
  <c r="Y1283" i="1" s="1"/>
  <c r="Y1278" i="1" a="1"/>
  <c r="Y1278" i="1" s="1"/>
  <c r="AA1278" i="1" s="1"/>
  <c r="Y1261" i="1" a="1"/>
  <c r="Y1261" i="1" s="1"/>
  <c r="Z1313" i="1" a="1"/>
  <c r="Z1313" i="1" s="1"/>
  <c r="Y1306" i="1" a="1"/>
  <c r="Y1306" i="1" s="1"/>
  <c r="Y1289" i="1" a="1"/>
  <c r="Y1289" i="1" s="1"/>
  <c r="Z1317" i="1" a="1"/>
  <c r="Z1317" i="1" s="1"/>
  <c r="Z1300" i="1" a="1"/>
  <c r="Z1300" i="1" s="1"/>
  <c r="Y1293" i="1" a="1"/>
  <c r="Y1293" i="1" s="1"/>
  <c r="Y1276" i="1" a="1"/>
  <c r="Y1276" i="1" s="1"/>
  <c r="Z1249" i="1" a="1"/>
  <c r="Z1249" i="1" s="1"/>
  <c r="Y1242" i="1" a="1"/>
  <c r="Y1242" i="1" s="1"/>
  <c r="Z1227" i="1" a="1"/>
  <c r="Z1227" i="1" s="1"/>
  <c r="Z1210" i="1" a="1"/>
  <c r="Z1210" i="1" s="1"/>
  <c r="Z1262" i="1" a="1"/>
  <c r="Z1262" i="1" s="1"/>
  <c r="Y1253" i="1" a="1"/>
  <c r="Y1253" i="1" s="1"/>
  <c r="Y1236" i="1" a="1"/>
  <c r="Y1236" i="1" s="1"/>
  <c r="Y1231" i="1" a="1"/>
  <c r="Y1231" i="1" s="1"/>
  <c r="Y1214" i="1" a="1"/>
  <c r="Y1214" i="1" s="1"/>
  <c r="Z1199" i="1" a="1"/>
  <c r="Z1199" i="1" s="1"/>
  <c r="Y1180" i="1" a="1"/>
  <c r="Y1180" i="1" s="1"/>
  <c r="AA1180" i="1" s="1"/>
  <c r="Z1177" i="1" a="1"/>
  <c r="Z1177" i="1" s="1"/>
  <c r="Z1148" i="1" a="1"/>
  <c r="Z1148" i="1" s="1"/>
  <c r="Y1196" i="1" a="1"/>
  <c r="Y1196" i="1" s="1"/>
  <c r="Z1181" i="1" a="1"/>
  <c r="Z1181" i="1" s="1"/>
  <c r="Y1162" i="1" a="1"/>
  <c r="Y1162" i="1" s="1"/>
  <c r="Z1190" i="1" a="1"/>
  <c r="Z1190" i="1" s="1"/>
  <c r="Z1173" i="1" a="1"/>
  <c r="Z1173" i="1" s="1"/>
  <c r="Y1154" i="1" a="1"/>
  <c r="Y1154" i="1" s="1"/>
  <c r="AA1154" i="1" s="1"/>
  <c r="Z1142" i="1" a="1"/>
  <c r="Z1142" i="1" s="1"/>
  <c r="Z1125" i="1" a="1"/>
  <c r="Z1125" i="1" s="1"/>
  <c r="Z1132" i="1" a="1"/>
  <c r="Z1132" i="1" s="1"/>
  <c r="Y1113" i="1" a="1"/>
  <c r="Y1113" i="1" s="1"/>
  <c r="Z1098" i="1" a="1"/>
  <c r="Z1098" i="1" s="1"/>
  <c r="Y1091" i="1" a="1"/>
  <c r="Y1091" i="1" s="1"/>
  <c r="Y1141" i="1" a="1"/>
  <c r="Y1141" i="1" s="1"/>
  <c r="Z1126" i="1" a="1"/>
  <c r="Z1126" i="1" s="1"/>
  <c r="Y1119" i="1" a="1"/>
  <c r="Y1119" i="1" s="1"/>
  <c r="Z1104" i="1" a="1"/>
  <c r="Z1104" i="1" s="1"/>
  <c r="Z1030" i="1" a="1"/>
  <c r="Z1030" i="1" s="1"/>
  <c r="Z1068" i="1" a="1"/>
  <c r="Z1068" i="1" s="1"/>
  <c r="Z1039" i="1" a="1"/>
  <c r="Z1039" i="1" s="1"/>
  <c r="Z1077" i="1" a="1"/>
  <c r="Z1077" i="1" s="1"/>
  <c r="Y1058" i="1" a="1"/>
  <c r="Y1058" i="1" s="1"/>
  <c r="AA1058" i="1" s="1"/>
  <c r="Y1053" i="1" a="1"/>
  <c r="Y1053" i="1" s="1"/>
  <c r="Z1081" i="1" a="1"/>
  <c r="Z1081" i="1" s="1"/>
  <c r="Y1062" i="1" a="1"/>
  <c r="Y1062" i="1" s="1"/>
  <c r="Y1057" i="1" a="1"/>
  <c r="Y1057" i="1" s="1"/>
  <c r="Z971" i="1" a="1"/>
  <c r="Z971" i="1" s="1"/>
  <c r="Z1021" i="1" a="1"/>
  <c r="Z1021" i="1" s="1"/>
  <c r="Z1016" i="1" a="1"/>
  <c r="Z1016" i="1" s="1"/>
  <c r="Y1009" i="1" a="1"/>
  <c r="Y1009" i="1" s="1"/>
  <c r="Y992" i="1" a="1"/>
  <c r="Y992" i="1" s="1"/>
  <c r="Y987" i="1" a="1"/>
  <c r="Y987" i="1" s="1"/>
  <c r="Y982" i="1" a="1"/>
  <c r="Y982" i="1" s="1"/>
  <c r="Z967" i="1" a="1"/>
  <c r="Z967" i="1" s="1"/>
  <c r="Z974" i="1" a="1"/>
  <c r="Z974" i="1" s="1"/>
  <c r="Y1027" i="1" a="1"/>
  <c r="Y1027" i="1" s="1"/>
  <c r="Z953" i="1" a="1"/>
  <c r="Z953" i="1" s="1"/>
  <c r="Y946" i="1" a="1"/>
  <c r="Y946" i="1" s="1"/>
  <c r="AA946" i="1" s="1"/>
  <c r="Y929" i="1" a="1"/>
  <c r="Y929" i="1" s="1"/>
  <c r="Z926" i="1" a="1"/>
  <c r="Z926" i="1" s="1"/>
  <c r="Z921" i="1" a="1"/>
  <c r="Z921" i="1" s="1"/>
  <c r="Z964" i="1" a="1"/>
  <c r="Z964" i="1" s="1"/>
  <c r="Z942" i="1" a="1"/>
  <c r="Z942" i="1" s="1"/>
  <c r="Y947" i="1" a="1"/>
  <c r="Y947" i="1" s="1"/>
  <c r="Z932" i="1" a="1"/>
  <c r="Z932" i="1" s="1"/>
  <c r="Z927" i="1" a="1"/>
  <c r="Z927" i="1" s="1"/>
  <c r="Z910" i="1" a="1"/>
  <c r="Z910" i="1" s="1"/>
  <c r="Z909" i="1" a="1"/>
  <c r="Z909" i="1" s="1"/>
  <c r="Z899" i="1" a="1"/>
  <c r="Z899" i="1" s="1"/>
  <c r="Y892" i="1" a="1"/>
  <c r="Y892" i="1" s="1"/>
  <c r="Y887" i="1" a="1"/>
  <c r="Y887" i="1" s="1"/>
  <c r="Z872" i="1" a="1"/>
  <c r="Z872" i="1" s="1"/>
  <c r="Z867" i="1" a="1"/>
  <c r="Z867" i="1" s="1"/>
  <c r="Y860" i="1" a="1"/>
  <c r="Y860" i="1" s="1"/>
  <c r="Z900" i="1" a="1"/>
  <c r="Z900" i="1" s="1"/>
  <c r="Z883" i="1" a="1"/>
  <c r="Z883" i="1" s="1"/>
  <c r="Z890" i="1" a="1"/>
  <c r="Z890" i="1" s="1"/>
  <c r="Z814" i="1" a="1"/>
  <c r="Z814" i="1" s="1"/>
  <c r="Z797" i="1" a="1"/>
  <c r="Z797" i="1" s="1"/>
  <c r="Z792" i="1" a="1"/>
  <c r="Z792" i="1" s="1"/>
  <c r="Z787" i="1" a="1"/>
  <c r="Z787" i="1" s="1"/>
  <c r="Z782" i="1" a="1"/>
  <c r="Z782" i="1" s="1"/>
  <c r="Y787" i="1" a="1"/>
  <c r="Y787" i="1" s="1"/>
  <c r="Z839" i="1" a="1"/>
  <c r="Z839" i="1" s="1"/>
  <c r="Z822" i="1" a="1"/>
  <c r="Z822" i="1" s="1"/>
  <c r="Y815" i="1" a="1"/>
  <c r="Y815" i="1" s="1"/>
  <c r="Y810" i="1" a="1"/>
  <c r="Y810" i="1" s="1"/>
  <c r="Z762" i="1" a="1"/>
  <c r="Z762" i="1" s="1"/>
  <c r="Z745" i="1" a="1"/>
  <c r="Z745" i="1" s="1"/>
  <c r="Y750" i="1" a="1"/>
  <c r="Y750" i="1" s="1"/>
  <c r="Y745" i="1" a="1"/>
  <c r="Y745" i="1" s="1"/>
  <c r="Z754" i="1" a="1"/>
  <c r="Z754" i="1" s="1"/>
  <c r="Z749" i="1" a="1"/>
  <c r="Z749" i="1" s="1"/>
  <c r="Y754" i="1" a="1"/>
  <c r="Y754" i="1" s="1"/>
  <c r="AA754" i="1" s="1"/>
  <c r="Z751" i="1" a="1"/>
  <c r="Z751" i="1" s="1"/>
  <c r="Z746" i="1" a="1"/>
  <c r="Z746" i="1" s="1"/>
  <c r="Z741" i="1" a="1"/>
  <c r="Z741" i="1" s="1"/>
  <c r="Z748" i="1" a="1"/>
  <c r="Z748" i="1" s="1"/>
  <c r="Z678" i="1" a="1"/>
  <c r="Z678" i="1" s="1"/>
  <c r="Y713" i="1" a="1"/>
  <c r="Y713" i="1" s="1"/>
  <c r="AA713" i="1" s="1"/>
  <c r="Z637" i="1" a="1"/>
  <c r="Z637" i="1" s="1"/>
  <c r="Z668" i="1" a="1"/>
  <c r="Z668" i="1" s="1"/>
  <c r="Y685" i="1" a="1"/>
  <c r="Y685" i="1" s="1"/>
  <c r="Y712" i="1" a="1"/>
  <c r="Y712" i="1" s="1"/>
  <c r="Y644" i="1" a="1"/>
  <c r="Y644" i="1" s="1"/>
  <c r="Y651" i="1" a="1"/>
  <c r="Y651" i="1" s="1"/>
  <c r="Z672" i="1" a="1"/>
  <c r="Z672" i="1" s="1"/>
  <c r="Y689" i="1" a="1"/>
  <c r="Y689" i="1" s="1"/>
  <c r="Y708" i="1" a="1"/>
  <c r="Y708" i="1" s="1"/>
  <c r="AA708" i="1" s="1"/>
  <c r="Y636" i="1" a="1"/>
  <c r="Y636" i="1" s="1"/>
  <c r="AA636" i="1" s="1"/>
  <c r="Z645" i="1" a="1"/>
  <c r="Z645" i="1" s="1"/>
  <c r="Y686" i="1" a="1"/>
  <c r="Y686" i="1" s="1"/>
  <c r="Y705" i="1" a="1"/>
  <c r="Y705" i="1" s="1"/>
  <c r="Y611" i="1" a="1"/>
  <c r="Y611" i="1" s="1"/>
  <c r="AA611" i="1" s="1"/>
  <c r="Y539" i="1" a="1"/>
  <c r="Y539" i="1" s="1"/>
  <c r="AA539" i="1" s="1"/>
  <c r="Z584" i="1" a="1"/>
  <c r="Z584" i="1" s="1"/>
  <c r="Y633" i="1" a="1"/>
  <c r="Y633" i="1" s="1"/>
  <c r="Z555" i="1" a="1"/>
  <c r="Z555" i="1" s="1"/>
  <c r="Y608" i="1" a="1"/>
  <c r="Y608" i="1" s="1"/>
  <c r="AA608" i="1" s="1"/>
  <c r="Y536" i="1" a="1"/>
  <c r="Y536" i="1" s="1"/>
  <c r="AA536" i="1" s="1"/>
  <c r="Y579" i="1" a="1"/>
  <c r="Y579" i="1" s="1"/>
  <c r="AA579" i="1" s="1"/>
  <c r="Y623" i="1" a="1"/>
  <c r="Y623" i="1" s="1"/>
  <c r="AA623" i="1" s="1"/>
  <c r="Z552" i="1" a="1"/>
  <c r="Z552" i="1" s="1"/>
  <c r="Y593" i="1" a="1"/>
  <c r="Y593" i="1" s="1"/>
  <c r="AA593" i="1" s="1"/>
  <c r="Y521" i="1" a="1"/>
  <c r="Y521" i="1" s="1"/>
  <c r="AA521" i="1" s="1"/>
  <c r="Y576" i="1" a="1"/>
  <c r="Y576" i="1" s="1"/>
  <c r="AA576" i="1" s="1"/>
  <c r="Y504" i="1" a="1"/>
  <c r="Y504" i="1" s="1"/>
  <c r="Z549" i="1" a="1"/>
  <c r="Z549" i="1" s="1"/>
  <c r="Y602" i="1" a="1"/>
  <c r="Y602" i="1" s="1"/>
  <c r="AA602" i="1" s="1"/>
  <c r="Y530" i="1" a="1"/>
  <c r="Y530" i="1" s="1"/>
  <c r="AA530" i="1" s="1"/>
  <c r="Y585" i="1" a="1"/>
  <c r="Y585" i="1" s="1"/>
  <c r="AA585" i="1" s="1"/>
  <c r="Y513" i="1" a="1"/>
  <c r="Y513" i="1" s="1"/>
  <c r="AA513" i="1" s="1"/>
  <c r="Y568" i="1" a="1"/>
  <c r="Y568" i="1" s="1"/>
  <c r="Z482" i="1" a="1"/>
  <c r="Z482" i="1" s="1"/>
  <c r="Z410" i="1" a="1"/>
  <c r="Z410" i="1" s="1"/>
  <c r="Y463" i="1" a="1"/>
  <c r="Y463" i="1" s="1"/>
  <c r="AA463" i="1" s="1"/>
  <c r="Y482" i="1" a="1"/>
  <c r="Y482" i="1" s="1"/>
  <c r="AA482" i="1" s="1"/>
  <c r="Y410" i="1" a="1"/>
  <c r="Y410" i="1" s="1"/>
  <c r="Z455" i="1" a="1"/>
  <c r="Z455" i="1" s="1"/>
  <c r="Y496" i="1" a="1"/>
  <c r="Y496" i="1" s="1"/>
  <c r="AA496" i="1" s="1"/>
  <c r="Y424" i="1" a="1"/>
  <c r="Y424" i="1" s="1"/>
  <c r="AA424" i="1" s="1"/>
  <c r="Z457" i="1" a="1"/>
  <c r="Z457" i="1" s="1"/>
  <c r="Y508" i="1" a="1"/>
  <c r="Y508" i="1" s="1"/>
  <c r="Z440" i="1" a="1"/>
  <c r="Z440" i="1" s="1"/>
  <c r="Y469" i="1" a="1"/>
  <c r="Y469" i="1" s="1"/>
  <c r="AA469" i="1" s="1"/>
  <c r="Y397" i="1" a="1"/>
  <c r="Y397" i="1" s="1"/>
  <c r="AA397" i="1" s="1"/>
  <c r="Y452" i="1" a="1"/>
  <c r="Y452" i="1" s="1"/>
  <c r="AA452" i="1" s="1"/>
  <c r="Z485" i="1" a="1"/>
  <c r="Z485" i="1" s="1"/>
  <c r="Z413" i="1" a="1"/>
  <c r="Z413" i="1" s="1"/>
  <c r="Y442" i="1" a="1"/>
  <c r="Y442" i="1" s="1"/>
  <c r="Z1378" i="1" a="1"/>
  <c r="Z1378" i="1" s="1"/>
  <c r="Z1373" i="1" a="1"/>
  <c r="Z1373" i="1" s="1"/>
  <c r="Z1368" i="1" a="1"/>
  <c r="Z1368" i="1" s="1"/>
  <c r="Y1373" i="1" a="1"/>
  <c r="Y1373" i="1" s="1"/>
  <c r="AA1373" i="1" s="1"/>
  <c r="Y1368" i="1" a="1"/>
  <c r="Y1368" i="1" s="1"/>
  <c r="Z1365" i="1" a="1"/>
  <c r="Z1365" i="1" s="1"/>
  <c r="Z1360" i="1" a="1"/>
  <c r="Z1360" i="1" s="1"/>
  <c r="Z1355" i="1" a="1"/>
  <c r="Z1355" i="1" s="1"/>
  <c r="Y1360" i="1" a="1"/>
  <c r="Y1360" i="1" s="1"/>
  <c r="AA1360" i="1" s="1"/>
  <c r="Y1355" i="1" a="1"/>
  <c r="Y1355" i="1" s="1"/>
  <c r="Z1352" i="1" a="1"/>
  <c r="Z1352" i="1" s="1"/>
  <c r="Z1347" i="1" a="1"/>
  <c r="Z1347" i="1" s="1"/>
  <c r="Z1273" i="1" a="1"/>
  <c r="Z1273" i="1" s="1"/>
  <c r="Z1268" i="1" a="1"/>
  <c r="Z1268" i="1" s="1"/>
  <c r="Z1318" i="1" a="1"/>
  <c r="Z1318" i="1" s="1"/>
  <c r="Y1311" i="1" a="1"/>
  <c r="Y1311" i="1" s="1"/>
  <c r="Z1296" i="1" a="1"/>
  <c r="Z1296" i="1" s="1"/>
  <c r="Z1279" i="1" a="1"/>
  <c r="Z1279" i="1" s="1"/>
  <c r="Y1315" i="1" a="1"/>
  <c r="Y1315" i="1" s="1"/>
  <c r="AA1315" i="1" s="1"/>
  <c r="Y1298" i="1" a="1"/>
  <c r="Y1298" i="1" s="1"/>
  <c r="AA1298" i="1" s="1"/>
  <c r="Z1283" i="1" a="1"/>
  <c r="Z1283" i="1" s="1"/>
  <c r="Z1266" i="1" a="1"/>
  <c r="Z1266" i="1" s="1"/>
  <c r="Y1247" i="1" a="1"/>
  <c r="Y1247" i="1" s="1"/>
  <c r="Z1232" i="1" a="1"/>
  <c r="Z1232" i="1" s="1"/>
  <c r="Y1225" i="1" a="1"/>
  <c r="Y1225" i="1" s="1"/>
  <c r="Y1208" i="1" a="1"/>
  <c r="Y1208" i="1" s="1"/>
  <c r="Y1258" i="1" a="1"/>
  <c r="Y1258" i="1" s="1"/>
  <c r="AA1258" i="1" s="1"/>
  <c r="Z1243" i="1" a="1"/>
  <c r="Z1243" i="1" s="1"/>
  <c r="Z1226" i="1" a="1"/>
  <c r="Z1226" i="1" s="1"/>
  <c r="Z1221" i="1" a="1"/>
  <c r="Z1221" i="1" s="1"/>
  <c r="Z1204" i="1" a="1"/>
  <c r="Z1204" i="1" s="1"/>
  <c r="Y1197" i="1" a="1"/>
  <c r="Y1197" i="1" s="1"/>
  <c r="AA1197" i="1" s="1"/>
  <c r="Z1170" i="1" a="1"/>
  <c r="Z1170" i="1" s="1"/>
  <c r="Y1175" i="1" a="1"/>
  <c r="Y1175" i="1" s="1"/>
  <c r="Y1146" i="1" a="1"/>
  <c r="Y1146" i="1" s="1"/>
  <c r="Z1186" i="1" a="1"/>
  <c r="Z1186" i="1" s="1"/>
  <c r="Y1179" i="1" a="1"/>
  <c r="Y1179" i="1" s="1"/>
  <c r="Z1152" i="1" a="1"/>
  <c r="Z1152" i="1" s="1"/>
  <c r="Y1188" i="1" a="1"/>
  <c r="Y1188" i="1" s="1"/>
  <c r="AA1188" i="1" s="1"/>
  <c r="Y1171" i="1" a="1"/>
  <c r="Y1171" i="1" s="1"/>
  <c r="AA1171" i="1" s="1"/>
  <c r="Z1144" i="1" a="1"/>
  <c r="Z1144" i="1" s="1"/>
  <c r="Y1140" i="1" a="1"/>
  <c r="Y1140" i="1" s="1"/>
  <c r="AA1140" i="1" s="1"/>
  <c r="Y1123" i="1" a="1"/>
  <c r="Y1123" i="1" s="1"/>
  <c r="Y1130" i="1" a="1"/>
  <c r="Y1130" i="1" s="1"/>
  <c r="Z1103" i="1" a="1"/>
  <c r="Z1103" i="1" s="1"/>
  <c r="Y1096" i="1" a="1"/>
  <c r="Y1096" i="1" s="1"/>
  <c r="AA1096" i="1" s="1"/>
  <c r="Z1136" i="1" a="1"/>
  <c r="Z1136" i="1" s="1"/>
  <c r="Z1131" i="1" a="1"/>
  <c r="Z1131" i="1" s="1"/>
  <c r="Y1124" i="1" a="1"/>
  <c r="Y1124" i="1" s="1"/>
  <c r="Z1109" i="1" a="1"/>
  <c r="Z1109" i="1" s="1"/>
  <c r="Y1102" i="1" a="1"/>
  <c r="Y1102" i="1" s="1"/>
  <c r="Y1083" i="1" a="1"/>
  <c r="Y1083" i="1" s="1"/>
  <c r="AA1083" i="1" s="1"/>
  <c r="Y1066" i="1" a="1"/>
  <c r="Y1066" i="1" s="1"/>
  <c r="AA1066" i="1" s="1"/>
  <c r="Y1037" i="1" a="1"/>
  <c r="Y1037" i="1" s="1"/>
  <c r="AA1037" i="1" s="1"/>
  <c r="Y1075" i="1" a="1"/>
  <c r="Y1075" i="1" s="1"/>
  <c r="AA1075" i="1" s="1"/>
  <c r="Z1048" i="1" a="1"/>
  <c r="Z1048" i="1" s="1"/>
  <c r="Z1043" i="1" a="1"/>
  <c r="Z1043" i="1" s="1"/>
  <c r="Y1079" i="1" a="1"/>
  <c r="Y1079" i="1" s="1"/>
  <c r="AA1079" i="1" s="1"/>
  <c r="Z1052" i="1" a="1"/>
  <c r="Z1052" i="1" s="1"/>
  <c r="Z1047" i="1" a="1"/>
  <c r="Z1047" i="1" s="1"/>
  <c r="Z1029" i="1" a="1"/>
  <c r="Z1029" i="1" s="1"/>
  <c r="Y1019" i="1" a="1"/>
  <c r="Y1019" i="1" s="1"/>
  <c r="Y1014" i="1" a="1"/>
  <c r="Y1014" i="1" s="1"/>
  <c r="Z999" i="1" a="1"/>
  <c r="Z999" i="1" s="1"/>
  <c r="Z982" i="1" a="1"/>
  <c r="Z982" i="1" s="1"/>
  <c r="Z977" i="1" a="1"/>
  <c r="Z977" i="1" s="1"/>
  <c r="Z972" i="1" a="1"/>
  <c r="Z972" i="1" s="1"/>
  <c r="Y965" i="1" a="1"/>
  <c r="Y965" i="1" s="1"/>
  <c r="Y972" i="1" a="1"/>
  <c r="Y972" i="1" s="1"/>
  <c r="AA972" i="1" s="1"/>
  <c r="Z1024" i="1" a="1"/>
  <c r="Z1024" i="1" s="1"/>
  <c r="Y951" i="1" a="1"/>
  <c r="Y951" i="1" s="1"/>
  <c r="AA951" i="1" s="1"/>
  <c r="Z936" i="1" a="1"/>
  <c r="Z936" i="1" s="1"/>
  <c r="Z919" i="1" a="1"/>
  <c r="Z919" i="1" s="1"/>
  <c r="Y924" i="1" a="1"/>
  <c r="Y924" i="1" s="1"/>
  <c r="Y919" i="1" a="1"/>
  <c r="Y919" i="1" s="1"/>
  <c r="AA919" i="1" s="1"/>
  <c r="Z959" i="1" a="1"/>
  <c r="Z959" i="1" s="1"/>
  <c r="Y940" i="1" a="1"/>
  <c r="Y940" i="1" s="1"/>
  <c r="Z937" i="1" a="1"/>
  <c r="Z937" i="1" s="1"/>
  <c r="Y930" i="1" a="1"/>
  <c r="Y930" i="1" s="1"/>
  <c r="Y925" i="1" a="1"/>
  <c r="Y925" i="1" s="1"/>
  <c r="Y908" i="1" a="1"/>
  <c r="Y908" i="1" s="1"/>
  <c r="Z905" i="1" a="1"/>
  <c r="Z905" i="1" s="1"/>
  <c r="Y897" i="1" a="1"/>
  <c r="Y897" i="1" s="1"/>
  <c r="Z882" i="1" a="1"/>
  <c r="Z882" i="1" s="1"/>
  <c r="Z877" i="1" a="1"/>
  <c r="Z877" i="1" s="1"/>
  <c r="Y870" i="1" a="1"/>
  <c r="Y870" i="1" s="1"/>
  <c r="Y865" i="1" a="1"/>
  <c r="Y865" i="1" s="1"/>
  <c r="Z850" i="1" a="1"/>
  <c r="Z850" i="1" s="1"/>
  <c r="Y898" i="1" a="1"/>
  <c r="Y898" i="1" s="1"/>
  <c r="Y881" i="1" a="1"/>
  <c r="Y881" i="1" s="1"/>
  <c r="AA881" i="1" s="1"/>
  <c r="Y888" i="1" a="1"/>
  <c r="Y888" i="1" s="1"/>
  <c r="Y812" i="1" a="1"/>
  <c r="Y812" i="1" s="1"/>
  <c r="AA812" i="1" s="1"/>
  <c r="Y795" i="1" a="1"/>
  <c r="Y795" i="1" s="1"/>
  <c r="AA795" i="1" s="1"/>
  <c r="Y790" i="1" a="1"/>
  <c r="Y790" i="1" s="1"/>
  <c r="Y785" i="1" a="1"/>
  <c r="Y785" i="1" s="1"/>
  <c r="Y843" i="1" a="1"/>
  <c r="Y843" i="1" s="1"/>
  <c r="Z832" i="1" a="1"/>
  <c r="Z832" i="1" s="1"/>
  <c r="Y837" i="1" a="1"/>
  <c r="Y837" i="1" s="1"/>
  <c r="Y820" i="1" a="1"/>
  <c r="Y820" i="1" s="1"/>
  <c r="Z805" i="1" a="1"/>
  <c r="Z805" i="1" s="1"/>
  <c r="Z800" i="1" a="1"/>
  <c r="Z800" i="1" s="1"/>
  <c r="Y760" i="1" a="1"/>
  <c r="Y760" i="1" s="1"/>
  <c r="AA760" i="1" s="1"/>
  <c r="Y743" i="1" a="1"/>
  <c r="Y743" i="1" s="1"/>
  <c r="AA743" i="1" s="1"/>
  <c r="Z740" i="1" a="1"/>
  <c r="Z740" i="1" s="1"/>
  <c r="Z735" i="1" a="1"/>
  <c r="Z735" i="1" s="1"/>
  <c r="Y752" i="1" a="1"/>
  <c r="Y752" i="1" s="1"/>
  <c r="AA752" i="1" s="1"/>
  <c r="Y747" i="1" a="1"/>
  <c r="Y747" i="1" s="1"/>
  <c r="AA747" i="1" s="1"/>
  <c r="Z744" i="1" a="1"/>
  <c r="Z744" i="1" s="1"/>
  <c r="Y749" i="1" a="1"/>
  <c r="Y749" i="1" s="1"/>
  <c r="AA749" i="1" s="1"/>
  <c r="Y744" i="1" a="1"/>
  <c r="Y744" i="1" s="1"/>
  <c r="AA744" i="1" s="1"/>
  <c r="Y739" i="1" a="1"/>
  <c r="Y739" i="1" s="1"/>
  <c r="Y746" i="1" a="1"/>
  <c r="Y746" i="1" s="1"/>
  <c r="AA746" i="1" s="1"/>
  <c r="Y676" i="1" a="1"/>
  <c r="Y676" i="1" s="1"/>
  <c r="Y707" i="1" a="1"/>
  <c r="Y707" i="1" s="1"/>
  <c r="AA707" i="1" s="1"/>
  <c r="Y635" i="1" a="1"/>
  <c r="Y635" i="1" s="1"/>
  <c r="Y666" i="1" a="1"/>
  <c r="Y666" i="1" s="1"/>
  <c r="Z675" i="1" a="1"/>
  <c r="Z675" i="1" s="1"/>
  <c r="Z706" i="1" a="1"/>
  <c r="Z706" i="1" s="1"/>
  <c r="Z634" i="1" a="1"/>
  <c r="Z634" i="1" s="1"/>
  <c r="Z641" i="1" a="1"/>
  <c r="Z641" i="1" s="1"/>
  <c r="Y670" i="1" a="1"/>
  <c r="Y670" i="1" s="1"/>
  <c r="AA670" i="1" s="1"/>
  <c r="Z679" i="1" a="1"/>
  <c r="Z679" i="1" s="1"/>
  <c r="Z698" i="1" a="1"/>
  <c r="Z698" i="1" s="1"/>
  <c r="Y741" i="1" a="1"/>
  <c r="Y741" i="1" s="1"/>
  <c r="AA741" i="1" s="1"/>
  <c r="Y643" i="1" a="1"/>
  <c r="Y643" i="1" s="1"/>
  <c r="AA643" i="1" s="1"/>
  <c r="Z676" i="1" a="1"/>
  <c r="Z676" i="1" s="1"/>
  <c r="Z695" i="1" a="1"/>
  <c r="Z695" i="1" s="1"/>
  <c r="Z601" i="1" a="1"/>
  <c r="Z601" i="1" s="1"/>
  <c r="Z529" i="1" a="1"/>
  <c r="Z529" i="1" s="1"/>
  <c r="Y582" i="1" a="1"/>
  <c r="Y582" i="1" s="1"/>
  <c r="AA582" i="1" s="1"/>
  <c r="Y624" i="1" a="1"/>
  <c r="Y624" i="1" s="1"/>
  <c r="AA624" i="1" s="1"/>
  <c r="Y553" i="1" a="1"/>
  <c r="Y553" i="1" s="1"/>
  <c r="AA553" i="1" s="1"/>
  <c r="Z598" i="1" a="1"/>
  <c r="Z598" i="1" s="1"/>
  <c r="Z526" i="1" a="1"/>
  <c r="Z526" i="1" s="1"/>
  <c r="Z569" i="1" a="1"/>
  <c r="Z569" i="1" s="1"/>
  <c r="Y620" i="1" a="1"/>
  <c r="Y620" i="1" s="1"/>
  <c r="AA620" i="1" s="1"/>
  <c r="Y550" i="1" a="1"/>
  <c r="Y550" i="1" s="1"/>
  <c r="AA550" i="1" s="1"/>
  <c r="Z583" i="1" a="1"/>
  <c r="Z583" i="1" s="1"/>
  <c r="Z511" i="1" a="1"/>
  <c r="Z511" i="1" s="1"/>
  <c r="Z566" i="1" a="1"/>
  <c r="Z566" i="1" s="1"/>
  <c r="Y645" i="1" a="1"/>
  <c r="Y645" i="1" s="1"/>
  <c r="AA645" i="1" s="1"/>
  <c r="Y547" i="1" a="1"/>
  <c r="Y547" i="1" s="1"/>
  <c r="AA547" i="1" s="1"/>
  <c r="Z592" i="1" a="1"/>
  <c r="Z592" i="1" s="1"/>
  <c r="Z520" i="1" a="1"/>
  <c r="Z520" i="1" s="1"/>
  <c r="Z575" i="1" a="1"/>
  <c r="Z575" i="1" s="1"/>
  <c r="Z647" i="1" a="1"/>
  <c r="Z647" i="1" s="1"/>
  <c r="Z558" i="1" a="1"/>
  <c r="Z558" i="1" s="1"/>
  <c r="Y480" i="1" a="1"/>
  <c r="Y480" i="1" s="1"/>
  <c r="Y408" i="1" a="1"/>
  <c r="Y408" i="1" s="1"/>
  <c r="Z453" i="1" a="1"/>
  <c r="Z453" i="1" s="1"/>
  <c r="Z472" i="1" a="1"/>
  <c r="Z472" i="1" s="1"/>
  <c r="Z400" i="1" a="1"/>
  <c r="Z400" i="1" s="1"/>
  <c r="Y453" i="1" a="1"/>
  <c r="Y453" i="1" s="1"/>
  <c r="Z486" i="1" a="1"/>
  <c r="Z486" i="1" s="1"/>
  <c r="Z414" i="1" a="1"/>
  <c r="Z414" i="1" s="1"/>
  <c r="Y455" i="1" a="1"/>
  <c r="Y455" i="1" s="1"/>
  <c r="AA455" i="1" s="1"/>
  <c r="Z503" i="1" a="1"/>
  <c r="Z503" i="1" s="1"/>
  <c r="Y438" i="1" a="1"/>
  <c r="Y438" i="1" s="1"/>
  <c r="AA438" i="1" s="1"/>
  <c r="Z459" i="1" a="1"/>
  <c r="Z459" i="1" s="1"/>
  <c r="Z387" i="1" a="1"/>
  <c r="Z387" i="1" s="1"/>
  <c r="Z442" i="1" a="1"/>
  <c r="Z442" i="1" s="1"/>
  <c r="Y483" i="1" a="1"/>
  <c r="Y483" i="1" s="1"/>
  <c r="AA483" i="1" s="1"/>
  <c r="Y510" i="1" a="1"/>
  <c r="Y510" i="1" s="1"/>
  <c r="Z432" i="1" a="1"/>
  <c r="Z432" i="1" s="1"/>
  <c r="Z475" i="1" a="1"/>
  <c r="Z475" i="1" s="1"/>
  <c r="Y1376" i="1" a="1"/>
  <c r="Y1376" i="1" s="1"/>
  <c r="AA1376" i="1" s="1"/>
  <c r="Y1371" i="1" a="1"/>
  <c r="Y1371" i="1" s="1"/>
  <c r="AA1371" i="1" s="1"/>
  <c r="Y1366" i="1" a="1"/>
  <c r="Y1366" i="1" s="1"/>
  <c r="Z1363" i="1" a="1"/>
  <c r="Z1363" i="1" s="1"/>
  <c r="Z1358" i="1" a="1"/>
  <c r="Z1358" i="1" s="1"/>
  <c r="Y1363" i="1" a="1"/>
  <c r="Y1363" i="1" s="1"/>
  <c r="AA1363" i="1" s="1"/>
  <c r="Y1358" i="1" a="1"/>
  <c r="Y1358" i="1" s="1"/>
  <c r="AA1358" i="1" s="1"/>
  <c r="Y1353" i="1" a="1"/>
  <c r="Y1353" i="1" s="1"/>
  <c r="Z1350" i="1" a="1"/>
  <c r="Z1350" i="1" s="1"/>
  <c r="Z1345" i="1" a="1"/>
  <c r="Z1345" i="1" s="1"/>
  <c r="Y1350" i="1" a="1"/>
  <c r="Y1350" i="1" s="1"/>
  <c r="AA1350" i="1" s="1"/>
  <c r="Y1345" i="1" a="1"/>
  <c r="Y1345" i="1" s="1"/>
  <c r="AA1345" i="1" s="1"/>
  <c r="Y1271" i="1" a="1"/>
  <c r="Y1271" i="1" s="1"/>
  <c r="Y1266" i="1" a="1"/>
  <c r="Y1266" i="1" s="1"/>
  <c r="AA1266" i="1" s="1"/>
  <c r="Y1316" i="1" a="1"/>
  <c r="Y1316" i="1" s="1"/>
  <c r="Z1301" i="1" a="1"/>
  <c r="Z1301" i="1" s="1"/>
  <c r="Y1294" i="1" a="1"/>
  <c r="Y1294" i="1" s="1"/>
  <c r="Y1277" i="1" a="1"/>
  <c r="Y1277" i="1" s="1"/>
  <c r="AA1277" i="1" s="1"/>
  <c r="Z1305" i="1" a="1"/>
  <c r="Z1305" i="1" s="1"/>
  <c r="Z1288" i="1" a="1"/>
  <c r="Z1288" i="1" s="1"/>
  <c r="Y1281" i="1" a="1"/>
  <c r="Y1281" i="1" s="1"/>
  <c r="AA1281" i="1" s="1"/>
  <c r="Y1264" i="1" a="1"/>
  <c r="Y1264" i="1" s="1"/>
  <c r="AA1264" i="1" s="1"/>
  <c r="Z1237" i="1" a="1"/>
  <c r="Z1237" i="1" s="1"/>
  <c r="Y1230" i="1" a="1"/>
  <c r="Y1230" i="1" s="1"/>
  <c r="AA1230" i="1" s="1"/>
  <c r="Z1215" i="1" a="1"/>
  <c r="Z1215" i="1" s="1"/>
  <c r="Z1253" i="1" a="1"/>
  <c r="Z1253" i="1" s="1"/>
  <c r="Z1248" i="1" a="1"/>
  <c r="Z1248" i="1" s="1"/>
  <c r="Y1241" i="1" a="1"/>
  <c r="Y1241" i="1" s="1"/>
  <c r="Y1224" i="1" a="1"/>
  <c r="Y1224" i="1" s="1"/>
  <c r="AA1224" i="1" s="1"/>
  <c r="Y1219" i="1" a="1"/>
  <c r="Y1219" i="1" s="1"/>
  <c r="Y1202" i="1" a="1"/>
  <c r="Y1202" i="1" s="1"/>
  <c r="Z1187" i="1" a="1"/>
  <c r="Z1187" i="1" s="1"/>
  <c r="Y1168" i="1" a="1"/>
  <c r="Y1168" i="1" s="1"/>
  <c r="AA1168" i="1" s="1"/>
  <c r="Z1165" i="1" a="1"/>
  <c r="Z1165" i="1" s="1"/>
  <c r="Z1201" i="1" a="1"/>
  <c r="Z1201" i="1" s="1"/>
  <c r="Y1184" i="1" a="1"/>
  <c r="Y1184" i="1" s="1"/>
  <c r="AA1184" i="1" s="1"/>
  <c r="Z1169" i="1" a="1"/>
  <c r="Z1169" i="1" s="1"/>
  <c r="Y1150" i="1" a="1"/>
  <c r="Y1150" i="1" s="1"/>
  <c r="AA1150" i="1" s="1"/>
  <c r="Z1178" i="1" a="1"/>
  <c r="Z1178" i="1" s="1"/>
  <c r="Z1161" i="1" a="1"/>
  <c r="Z1161" i="1" s="1"/>
  <c r="Z1135" i="1" a="1"/>
  <c r="Z1135" i="1" s="1"/>
  <c r="Z1130" i="1" a="1"/>
  <c r="Z1130" i="1" s="1"/>
  <c r="Z1113" i="1" a="1"/>
  <c r="Z1113" i="1" s="1"/>
  <c r="Z1120" i="1" a="1"/>
  <c r="Z1120" i="1" s="1"/>
  <c r="Y1101" i="1" a="1"/>
  <c r="Y1101" i="1" s="1"/>
  <c r="Z1086" i="1" a="1"/>
  <c r="Z1086" i="1" s="1"/>
  <c r="Y1134" i="1" a="1"/>
  <c r="Y1134" i="1" s="1"/>
  <c r="AA1134" i="1" s="1"/>
  <c r="Y1129" i="1" a="1"/>
  <c r="Y1129" i="1" s="1"/>
  <c r="Z1114" i="1" a="1"/>
  <c r="Z1114" i="1" s="1"/>
  <c r="Y1107" i="1" a="1"/>
  <c r="Y1107" i="1" s="1"/>
  <c r="Z1092" i="1" a="1"/>
  <c r="Z1092" i="1" s="1"/>
  <c r="Z1073" i="1" a="1"/>
  <c r="Z1073" i="1" s="1"/>
  <c r="Z1056" i="1" a="1"/>
  <c r="Z1056" i="1" s="1"/>
  <c r="Z1082" i="1" a="1"/>
  <c r="Z1082" i="1" s="1"/>
  <c r="Z1065" i="1" a="1"/>
  <c r="Z1065" i="1" s="1"/>
  <c r="Y1046" i="1" a="1"/>
  <c r="Y1046" i="1" s="1"/>
  <c r="AA1046" i="1" s="1"/>
  <c r="Y1041" i="1" a="1"/>
  <c r="Y1041" i="1" s="1"/>
  <c r="AA1041" i="1" s="1"/>
  <c r="Z1069" i="1" a="1"/>
  <c r="Z1069" i="1" s="1"/>
  <c r="Y1050" i="1" a="1"/>
  <c r="Y1050" i="1" s="1"/>
  <c r="AA1050" i="1" s="1"/>
  <c r="Y1045" i="1" a="1"/>
  <c r="Y1045" i="1" s="1"/>
  <c r="AA1045" i="1" s="1"/>
  <c r="Z1026" i="1" a="1"/>
  <c r="Z1026" i="1" s="1"/>
  <c r="Z1009" i="1" a="1"/>
  <c r="Z1009" i="1" s="1"/>
  <c r="Z1004" i="1" a="1"/>
  <c r="Z1004" i="1" s="1"/>
  <c r="Y997" i="1" a="1"/>
  <c r="Y997" i="1" s="1"/>
  <c r="Y980" i="1" a="1"/>
  <c r="Y980" i="1" s="1"/>
  <c r="AA980" i="1" s="1"/>
  <c r="Y975" i="1" a="1"/>
  <c r="Y975" i="1" s="1"/>
  <c r="Y970" i="1" a="1"/>
  <c r="Y970" i="1" s="1"/>
  <c r="Y1031" i="1" a="1"/>
  <c r="Y1031" i="1" s="1"/>
  <c r="Z1017" i="1" a="1"/>
  <c r="Z1017" i="1" s="1"/>
  <c r="Y1022" i="1" a="1"/>
  <c r="Y1022" i="1" s="1"/>
  <c r="Z941" i="1" a="1"/>
  <c r="Z941" i="1" s="1"/>
  <c r="Y934" i="1" a="1"/>
  <c r="Y934" i="1" s="1"/>
  <c r="AA934" i="1" s="1"/>
  <c r="Y917" i="1" a="1"/>
  <c r="Y917" i="1" s="1"/>
  <c r="AA917" i="1" s="1"/>
  <c r="Z914" i="1" a="1"/>
  <c r="Z914" i="1" s="1"/>
  <c r="Y962" i="1" a="1"/>
  <c r="Y962" i="1" s="1"/>
  <c r="AA962" i="1" s="1"/>
  <c r="Y957" i="1" a="1"/>
  <c r="Y957" i="1" s="1"/>
  <c r="AA957" i="1" s="1"/>
  <c r="Z930" i="1" a="1"/>
  <c r="Z930" i="1" s="1"/>
  <c r="Y935" i="1" a="1"/>
  <c r="Y935" i="1" s="1"/>
  <c r="Z920" i="1" a="1"/>
  <c r="Z920" i="1" s="1"/>
  <c r="Z915" i="1" a="1"/>
  <c r="Z915" i="1" s="1"/>
  <c r="Z897" i="1" a="1"/>
  <c r="Z897" i="1" s="1"/>
  <c r="Y902" i="1" a="1"/>
  <c r="Y902" i="1" s="1"/>
  <c r="AA902" i="1" s="1"/>
  <c r="Z887" i="1" a="1"/>
  <c r="Z887" i="1" s="1"/>
  <c r="Y880" i="1" a="1"/>
  <c r="Y880" i="1" s="1"/>
  <c r="Y875" i="1" a="1"/>
  <c r="Y875" i="1" s="1"/>
  <c r="Z860" i="1" a="1"/>
  <c r="Z860" i="1" s="1"/>
  <c r="Z855" i="1" a="1"/>
  <c r="Z855" i="1" s="1"/>
  <c r="Y848" i="1" a="1"/>
  <c r="Y848" i="1" s="1"/>
  <c r="Z888" i="1" a="1"/>
  <c r="Z888" i="1" s="1"/>
  <c r="Z871" i="1" a="1"/>
  <c r="Z871" i="1" s="1"/>
  <c r="Z878" i="1" a="1"/>
  <c r="Z878" i="1" s="1"/>
  <c r="Z802" i="1" a="1"/>
  <c r="Z802" i="1" s="1"/>
  <c r="Z785" i="1" a="1"/>
  <c r="Z785" i="1" s="1"/>
  <c r="Z844" i="1" a="1"/>
  <c r="Z844" i="1" s="1"/>
  <c r="Z845" i="1" a="1"/>
  <c r="Z845" i="1" s="1"/>
  <c r="Z842" i="1" a="1"/>
  <c r="Z842" i="1" s="1"/>
  <c r="Y830" i="1" a="1"/>
  <c r="Y830" i="1" s="1"/>
  <c r="Z827" i="1" a="1"/>
  <c r="Z827" i="1" s="1"/>
  <c r="Z810" i="1" a="1"/>
  <c r="Z810" i="1" s="1"/>
  <c r="Y803" i="1" a="1"/>
  <c r="Y803" i="1" s="1"/>
  <c r="AA803" i="1" s="1"/>
  <c r="Y798" i="1" a="1"/>
  <c r="Y798" i="1" s="1"/>
  <c r="Z750" i="1" a="1"/>
  <c r="Z750" i="1" s="1"/>
  <c r="Z733" i="1" a="1"/>
  <c r="Z733" i="1" s="1"/>
  <c r="Y738" i="1" a="1"/>
  <c r="Y738" i="1" s="1"/>
  <c r="Y733" i="1" a="1"/>
  <c r="Y733" i="1" s="1"/>
  <c r="AA733" i="1" s="1"/>
  <c r="Z742" i="1" a="1"/>
  <c r="Z742" i="1" s="1"/>
  <c r="Z737" i="1" a="1"/>
  <c r="Z737" i="1" s="1"/>
  <c r="Y742" i="1" a="1"/>
  <c r="Y742" i="1" s="1"/>
  <c r="AA742" i="1" s="1"/>
  <c r="Z739" i="1" a="1"/>
  <c r="Z739" i="1" s="1"/>
  <c r="Z734" i="1" a="1"/>
  <c r="Z734" i="1" s="1"/>
  <c r="Z729" i="1" a="1"/>
  <c r="Z729" i="1" s="1"/>
  <c r="Z736" i="1" a="1"/>
  <c r="Z736" i="1" s="1"/>
  <c r="Z666" i="1" a="1"/>
  <c r="Z666" i="1" s="1"/>
  <c r="Z697" i="1" a="1"/>
  <c r="Z697" i="1" s="1"/>
  <c r="Z719" i="1" a="1"/>
  <c r="Z719" i="1" s="1"/>
  <c r="Z656" i="1" a="1"/>
  <c r="Z656" i="1" s="1"/>
  <c r="Y673" i="1" a="1"/>
  <c r="Y673" i="1" s="1"/>
  <c r="AA673" i="1" s="1"/>
  <c r="Y704" i="1" a="1"/>
  <c r="Y704" i="1" s="1"/>
  <c r="AA704" i="1" s="1"/>
  <c r="Y632" i="1" a="1"/>
  <c r="Y632" i="1" s="1"/>
  <c r="AA632" i="1" s="1"/>
  <c r="Y639" i="1" a="1"/>
  <c r="Y639" i="1" s="1"/>
  <c r="AA639" i="1" s="1"/>
  <c r="Z660" i="1" a="1"/>
  <c r="Z660" i="1" s="1"/>
  <c r="Y677" i="1" a="1"/>
  <c r="Y677" i="1" s="1"/>
  <c r="AA677" i="1" s="1"/>
  <c r="Y696" i="1" a="1"/>
  <c r="Y696" i="1" s="1"/>
  <c r="AA696" i="1" s="1"/>
  <c r="Z705" i="1" a="1"/>
  <c r="Z705" i="1" s="1"/>
  <c r="Z633" i="1" a="1"/>
  <c r="Z633" i="1" s="1"/>
  <c r="Y674" i="1" a="1"/>
  <c r="Y674" i="1" s="1"/>
  <c r="Y693" i="1" a="1"/>
  <c r="Y693" i="1" s="1"/>
  <c r="Y599" i="1" a="1"/>
  <c r="Y599" i="1" s="1"/>
  <c r="AA599" i="1" s="1"/>
  <c r="Y527" i="1" a="1"/>
  <c r="Y527" i="1" s="1"/>
  <c r="AA527" i="1" s="1"/>
  <c r="Z572" i="1" a="1"/>
  <c r="Z572" i="1" s="1"/>
  <c r="Z615" i="1" a="1"/>
  <c r="Z615" i="1" s="1"/>
  <c r="Z543" i="1" a="1"/>
  <c r="Z543" i="1" s="1"/>
  <c r="Y596" i="1" a="1"/>
  <c r="Y596" i="1" s="1"/>
  <c r="AA596" i="1" s="1"/>
  <c r="Y524" i="1" a="1"/>
  <c r="Y524" i="1" s="1"/>
  <c r="AA524" i="1" s="1"/>
  <c r="Y567" i="1" a="1"/>
  <c r="Y567" i="1" s="1"/>
  <c r="AA567" i="1" s="1"/>
  <c r="Z612" i="1" a="1"/>
  <c r="Z612" i="1" s="1"/>
  <c r="Z540" i="1" a="1"/>
  <c r="Z540" i="1" s="1"/>
  <c r="Y581" i="1" a="1"/>
  <c r="Y581" i="1" s="1"/>
  <c r="AA581" i="1" s="1"/>
  <c r="Y509" i="1" a="1"/>
  <c r="Y509" i="1" s="1"/>
  <c r="AA509" i="1" s="1"/>
  <c r="Y564" i="1" a="1"/>
  <c r="Y564" i="1" s="1"/>
  <c r="AA564" i="1" s="1"/>
  <c r="Z609" i="1" a="1"/>
  <c r="Z609" i="1" s="1"/>
  <c r="Z537" i="1" a="1"/>
  <c r="Z537" i="1" s="1"/>
  <c r="Y590" i="1" a="1"/>
  <c r="Y590" i="1" s="1"/>
  <c r="AA590" i="1" s="1"/>
  <c r="Y518" i="1" a="1"/>
  <c r="Y518" i="1" s="1"/>
  <c r="AA518" i="1" s="1"/>
  <c r="Y573" i="1" a="1"/>
  <c r="Y573" i="1" s="1"/>
  <c r="AA573" i="1" s="1"/>
  <c r="Y626" i="1" a="1"/>
  <c r="Y626" i="1" s="1"/>
  <c r="Y556" i="1" a="1"/>
  <c r="Y556" i="1" s="1"/>
  <c r="AA556" i="1" s="1"/>
  <c r="Z470" i="1" a="1"/>
  <c r="Z470" i="1" s="1"/>
  <c r="Z398" i="1" a="1"/>
  <c r="Z398" i="1" s="1"/>
  <c r="Y451" i="1" a="1"/>
  <c r="Y451" i="1" s="1"/>
  <c r="Y470" i="1" a="1"/>
  <c r="Y470" i="1" s="1"/>
  <c r="AA470" i="1" s="1"/>
  <c r="Y398" i="1" a="1"/>
  <c r="Y398" i="1" s="1"/>
  <c r="Z443" i="1" a="1"/>
  <c r="Z443" i="1" s="1"/>
  <c r="Y484" i="1" a="1"/>
  <c r="Y484" i="1" s="1"/>
  <c r="AA484" i="1" s="1"/>
  <c r="Y412" i="1" a="1"/>
  <c r="Y412" i="1" s="1"/>
  <c r="AA412" i="1" s="1"/>
  <c r="Z445" i="1" a="1"/>
  <c r="Z445" i="1" s="1"/>
  <c r="Z500" i="1" a="1"/>
  <c r="Z500" i="1" s="1"/>
  <c r="Z428" i="1" a="1"/>
  <c r="Z428" i="1" s="1"/>
  <c r="Y457" i="1" a="1"/>
  <c r="Y457" i="1" s="1"/>
  <c r="AA457" i="1" s="1"/>
  <c r="Z510" i="1" a="1"/>
  <c r="Z510" i="1" s="1"/>
  <c r="Y440" i="1" a="1"/>
  <c r="Y440" i="1" s="1"/>
  <c r="AA440" i="1" s="1"/>
  <c r="Z473" i="1" a="1"/>
  <c r="Z473" i="1" s="1"/>
  <c r="Z502" i="1" a="1"/>
  <c r="Z502" i="1" s="1"/>
  <c r="Y430" i="1" a="1"/>
  <c r="Y430" i="1" s="1"/>
  <c r="Y473" i="1" a="1"/>
  <c r="Y473" i="1" s="1"/>
  <c r="AA473" i="1" s="1"/>
  <c r="Y401" i="1" a="1"/>
  <c r="Y401" i="1" s="1"/>
  <c r="AA401" i="1" s="1"/>
  <c r="Y331" i="1" a="1"/>
  <c r="Y331" i="1" s="1"/>
  <c r="AA331" i="1" s="1"/>
  <c r="Z391" i="1" a="1"/>
  <c r="Z391" i="1" s="1"/>
  <c r="Z316" i="1" a="1"/>
  <c r="Z316" i="1" s="1"/>
  <c r="Z1366" i="1" a="1"/>
  <c r="Z1366" i="1" s="1"/>
  <c r="Z1361" i="1" a="1"/>
  <c r="Z1361" i="1" s="1"/>
  <c r="Z1356" i="1" a="1"/>
  <c r="Z1356" i="1" s="1"/>
  <c r="Y1361" i="1" a="1"/>
  <c r="Y1361" i="1" s="1"/>
  <c r="AA1361" i="1" s="1"/>
  <c r="Y1356" i="1" a="1"/>
  <c r="Y1356" i="1" s="1"/>
  <c r="AA1356" i="1" s="1"/>
  <c r="Z1353" i="1" a="1"/>
  <c r="Z1353" i="1" s="1"/>
  <c r="Z1348" i="1" a="1"/>
  <c r="Z1348" i="1" s="1"/>
  <c r="Z1343" i="1" a="1"/>
  <c r="Z1343" i="1" s="1"/>
  <c r="Y1348" i="1" a="1"/>
  <c r="Y1348" i="1" s="1"/>
  <c r="Y1343" i="1" a="1"/>
  <c r="Y1343" i="1" s="1"/>
  <c r="AA1343" i="1" s="1"/>
  <c r="Z1340" i="1" a="1"/>
  <c r="Z1340" i="1" s="1"/>
  <c r="Z1335" i="1" a="1"/>
  <c r="Z1335" i="1" s="1"/>
  <c r="Z1261" i="1" a="1"/>
  <c r="Z1261" i="1" s="1"/>
  <c r="Z1311" i="1" a="1"/>
  <c r="Z1311" i="1" s="1"/>
  <c r="Z1306" i="1" a="1"/>
  <c r="Z1306" i="1" s="1"/>
  <c r="Y1299" i="1" a="1"/>
  <c r="Y1299" i="1" s="1"/>
  <c r="Z1284" i="1" a="1"/>
  <c r="Z1284" i="1" s="1"/>
  <c r="Z1267" i="1" a="1"/>
  <c r="Z1267" i="1" s="1"/>
  <c r="Y1303" i="1" a="1"/>
  <c r="Y1303" i="1" s="1"/>
  <c r="AA1303" i="1" s="1"/>
  <c r="Y1286" i="1" a="1"/>
  <c r="Y1286" i="1" s="1"/>
  <c r="AA1286" i="1" s="1"/>
  <c r="Z1271" i="1" a="1"/>
  <c r="Z1271" i="1" s="1"/>
  <c r="Z1254" i="1" a="1"/>
  <c r="Z1254" i="1" s="1"/>
  <c r="Y1235" i="1" a="1"/>
  <c r="Y1235" i="1" s="1"/>
  <c r="AA1235" i="1" s="1"/>
  <c r="Z1220" i="1" a="1"/>
  <c r="Z1220" i="1" s="1"/>
  <c r="Y1213" i="1" a="1"/>
  <c r="Y1213" i="1" s="1"/>
  <c r="AA1213" i="1" s="1"/>
  <c r="Y1251" i="1" a="1"/>
  <c r="Y1251" i="1" s="1"/>
  <c r="AA1251" i="1" s="1"/>
  <c r="Y1246" i="1" a="1"/>
  <c r="Y1246" i="1" s="1"/>
  <c r="AA1246" i="1" s="1"/>
  <c r="Z1231" i="1" a="1"/>
  <c r="Z1231" i="1" s="1"/>
  <c r="Z1214" i="1" a="1"/>
  <c r="Z1214" i="1" s="1"/>
  <c r="Z1209" i="1" a="1"/>
  <c r="Z1209" i="1" s="1"/>
  <c r="Y1257" i="1" a="1"/>
  <c r="Y1257" i="1" s="1"/>
  <c r="AA1257" i="1" s="1"/>
  <c r="Y1185" i="1" a="1"/>
  <c r="Y1185" i="1" s="1"/>
  <c r="AA1185" i="1" s="1"/>
  <c r="Z1158" i="1" a="1"/>
  <c r="Z1158" i="1" s="1"/>
  <c r="Y1163" i="1" a="1"/>
  <c r="Y1163" i="1" s="1"/>
  <c r="AA1163" i="1" s="1"/>
  <c r="Z1191" i="1" a="1"/>
  <c r="Z1191" i="1" s="1"/>
  <c r="Z1174" i="1" a="1"/>
  <c r="Z1174" i="1" s="1"/>
  <c r="Y1167" i="1" a="1"/>
  <c r="Y1167" i="1" s="1"/>
  <c r="AA1167" i="1" s="1"/>
  <c r="Z1200" i="1" a="1"/>
  <c r="Z1200" i="1" s="1"/>
  <c r="Y1176" i="1" a="1"/>
  <c r="Y1176" i="1" s="1"/>
  <c r="AA1176" i="1" s="1"/>
  <c r="Y1159" i="1" a="1"/>
  <c r="Y1159" i="1" s="1"/>
  <c r="AA1159" i="1" s="1"/>
  <c r="Y1133" i="1" a="1"/>
  <c r="Y1133" i="1" s="1"/>
  <c r="AA1133" i="1" s="1"/>
  <c r="Y1128" i="1" a="1"/>
  <c r="Y1128" i="1" s="1"/>
  <c r="AA1128" i="1" s="1"/>
  <c r="Y1111" i="1" a="1"/>
  <c r="Y1111" i="1" s="1"/>
  <c r="AA1111" i="1" s="1"/>
  <c r="Y1118" i="1" a="1"/>
  <c r="Y1118" i="1" s="1"/>
  <c r="Z1091" i="1" a="1"/>
  <c r="Z1091" i="1" s="1"/>
  <c r="Z1141" i="1" a="1"/>
  <c r="Z1141" i="1" s="1"/>
  <c r="Z1124" i="1" a="1"/>
  <c r="Z1124" i="1" s="1"/>
  <c r="Z1119" i="1" a="1"/>
  <c r="Z1119" i="1" s="1"/>
  <c r="Y1112" i="1" a="1"/>
  <c r="Y1112" i="1" s="1"/>
  <c r="Z1097" i="1" a="1"/>
  <c r="Z1097" i="1" s="1"/>
  <c r="Y1090" i="1" a="1"/>
  <c r="Y1090" i="1" s="1"/>
  <c r="AA1090" i="1" s="1"/>
  <c r="Y1071" i="1" a="1"/>
  <c r="Y1071" i="1" s="1"/>
  <c r="AA1071" i="1" s="1"/>
  <c r="Y1054" i="1" a="1"/>
  <c r="Y1054" i="1" s="1"/>
  <c r="AA1054" i="1" s="1"/>
  <c r="Y1080" i="1" a="1"/>
  <c r="Y1080" i="1" s="1"/>
  <c r="AA1080" i="1" s="1"/>
  <c r="Y1063" i="1" a="1"/>
  <c r="Y1063" i="1" s="1"/>
  <c r="AA1063" i="1" s="1"/>
  <c r="Z1036" i="1" a="1"/>
  <c r="Z1036" i="1" s="1"/>
  <c r="Z1074" i="1" a="1"/>
  <c r="Z1074" i="1" s="1"/>
  <c r="Y1067" i="1" a="1"/>
  <c r="Y1067" i="1" s="1"/>
  <c r="AA1067" i="1" s="1"/>
  <c r="Z1040" i="1" a="1"/>
  <c r="Z1040" i="1" s="1"/>
  <c r="Z1035" i="1" a="1"/>
  <c r="Z1035" i="1" s="1"/>
  <c r="Y1024" i="1" a="1"/>
  <c r="Y1024" i="1" s="1"/>
  <c r="AA1024" i="1" s="1"/>
  <c r="Y1007" i="1" a="1"/>
  <c r="Y1007" i="1" s="1"/>
  <c r="AA1007" i="1" s="1"/>
  <c r="Y1002" i="1" a="1"/>
  <c r="Y1002" i="1" s="1"/>
  <c r="AA1002" i="1" s="1"/>
  <c r="Z987" i="1" a="1"/>
  <c r="Z987" i="1" s="1"/>
  <c r="Z970" i="1" a="1"/>
  <c r="Z970" i="1" s="1"/>
  <c r="Z1031" i="1" a="1"/>
  <c r="Z1031" i="1" s="1"/>
  <c r="Y1025" i="1" a="1"/>
  <c r="Y1025" i="1" s="1"/>
  <c r="Z1027" i="1" a="1"/>
  <c r="Z1027" i="1" s="1"/>
  <c r="Y1015" i="1" a="1"/>
  <c r="Y1015" i="1" s="1"/>
  <c r="Z1012" i="1" a="1"/>
  <c r="Z1012" i="1" s="1"/>
  <c r="Y939" i="1" a="1"/>
  <c r="Y939" i="1" s="1"/>
  <c r="AA939" i="1" s="1"/>
  <c r="Z924" i="1" a="1"/>
  <c r="Z924" i="1" s="1"/>
  <c r="Z907" i="1" a="1"/>
  <c r="Z907" i="1" s="1"/>
  <c r="Y912" i="1" a="1"/>
  <c r="Y912" i="1" s="1"/>
  <c r="Z952" i="1" a="1"/>
  <c r="Z952" i="1" s="1"/>
  <c r="Z947" i="1" a="1"/>
  <c r="Z947" i="1" s="1"/>
  <c r="Y928" i="1" a="1"/>
  <c r="Y928" i="1" s="1"/>
  <c r="AA928" i="1" s="1"/>
  <c r="Z925" i="1" a="1"/>
  <c r="Z925" i="1" s="1"/>
  <c r="Y918" i="1" a="1"/>
  <c r="Y918" i="1" s="1"/>
  <c r="Z966" i="1" a="1"/>
  <c r="Z966" i="1" s="1"/>
  <c r="Y895" i="1" a="1"/>
  <c r="Y895" i="1" s="1"/>
  <c r="AA895" i="1" s="1"/>
  <c r="Z892" i="1" a="1"/>
  <c r="Z892" i="1" s="1"/>
  <c r="Y885" i="1" a="1"/>
  <c r="Y885" i="1" s="1"/>
  <c r="Z870" i="1" a="1"/>
  <c r="Z870" i="1" s="1"/>
  <c r="Z865" i="1" a="1"/>
  <c r="Z865" i="1" s="1"/>
  <c r="Y858" i="1" a="1"/>
  <c r="Y858" i="1" s="1"/>
  <c r="Y853" i="1" a="1"/>
  <c r="Y853" i="1" s="1"/>
  <c r="Y903" i="1" a="1"/>
  <c r="Y903" i="1" s="1"/>
  <c r="AA903" i="1" s="1"/>
  <c r="Y886" i="1" a="1"/>
  <c r="Y886" i="1" s="1"/>
  <c r="AA886" i="1" s="1"/>
  <c r="Y869" i="1" a="1"/>
  <c r="Y869" i="1" s="1"/>
  <c r="AA869" i="1" s="1"/>
  <c r="Y876" i="1" a="1"/>
  <c r="Y876" i="1" s="1"/>
  <c r="Y800" i="1" a="1"/>
  <c r="Y800" i="1" s="1"/>
  <c r="AA800" i="1" s="1"/>
  <c r="Y783" i="1" a="1"/>
  <c r="Y783" i="1" s="1"/>
  <c r="AA783" i="1" s="1"/>
  <c r="Z843" i="1" a="1"/>
  <c r="Z843" i="1" s="1"/>
  <c r="Y840" i="1" a="1"/>
  <c r="Y840" i="1" s="1"/>
  <c r="Z837" i="1" a="1"/>
  <c r="Z837" i="1" s="1"/>
  <c r="Z820" i="1" a="1"/>
  <c r="Z820" i="1" s="1"/>
  <c r="Y825" i="1" a="1"/>
  <c r="Y825" i="1" s="1"/>
  <c r="Y808" i="1" a="1"/>
  <c r="Y808" i="1" s="1"/>
  <c r="Z793" i="1" a="1"/>
  <c r="Z793" i="1" s="1"/>
  <c r="Z788" i="1" a="1"/>
  <c r="Z788" i="1" s="1"/>
  <c r="Y748" i="1" a="1"/>
  <c r="Y748" i="1" s="1"/>
  <c r="AA748" i="1" s="1"/>
  <c r="Y731" i="1" a="1"/>
  <c r="Y731" i="1" s="1"/>
  <c r="AA731" i="1" s="1"/>
  <c r="Z728" i="1" a="1"/>
  <c r="Z728" i="1" s="1"/>
  <c r="Z723" i="1" a="1"/>
  <c r="Z723" i="1" s="1"/>
  <c r="Y740" i="1" a="1"/>
  <c r="Y740" i="1" s="1"/>
  <c r="AA740" i="1" s="1"/>
  <c r="Y735" i="1" a="1"/>
  <c r="Y735" i="1" s="1"/>
  <c r="AA735" i="1" s="1"/>
  <c r="Z732" i="1" a="1"/>
  <c r="Z732" i="1" s="1"/>
  <c r="Y737" i="1" a="1"/>
  <c r="Y737" i="1" s="1"/>
  <c r="Y732" i="1" a="1"/>
  <c r="Y732" i="1" s="1"/>
  <c r="AA732" i="1" s="1"/>
  <c r="Y727" i="1" a="1"/>
  <c r="Y727" i="1" s="1"/>
  <c r="Y734" i="1" a="1"/>
  <c r="Y734" i="1" s="1"/>
  <c r="AA734" i="1" s="1"/>
  <c r="Y664" i="1" a="1"/>
  <c r="Y664" i="1" s="1"/>
  <c r="Y695" i="1" a="1"/>
  <c r="Y695" i="1" s="1"/>
  <c r="AA695" i="1" s="1"/>
  <c r="Y717" i="1" a="1"/>
  <c r="Y717" i="1" s="1"/>
  <c r="Y654" i="1" a="1"/>
  <c r="Y654" i="1" s="1"/>
  <c r="Z663" i="1" a="1"/>
  <c r="Z663" i="1" s="1"/>
  <c r="Z694" i="1" a="1"/>
  <c r="Z694" i="1" s="1"/>
  <c r="Z701" i="1" a="1"/>
  <c r="Z701" i="1" s="1"/>
  <c r="Z629" i="1" a="1"/>
  <c r="Z629" i="1" s="1"/>
  <c r="Y658" i="1" a="1"/>
  <c r="Y658" i="1" s="1"/>
  <c r="AA658" i="1" s="1"/>
  <c r="Z667" i="1" a="1"/>
  <c r="Z667" i="1" s="1"/>
  <c r="Z686" i="1" a="1"/>
  <c r="Z686" i="1" s="1"/>
  <c r="Y703" i="1" a="1"/>
  <c r="Y703" i="1" s="1"/>
  <c r="AA703" i="1" s="1"/>
  <c r="Y631" i="1" a="1"/>
  <c r="Y631" i="1" s="1"/>
  <c r="AA631" i="1" s="1"/>
  <c r="Z664" i="1" a="1"/>
  <c r="Z664" i="1" s="1"/>
  <c r="Z683" i="1" a="1"/>
  <c r="Z683" i="1" s="1"/>
  <c r="Z589" i="1" a="1"/>
  <c r="Z589" i="1" s="1"/>
  <c r="Z517" i="1" a="1"/>
  <c r="Z517" i="1" s="1"/>
  <c r="Y570" i="1" a="1"/>
  <c r="Y570" i="1" s="1"/>
  <c r="AA570" i="1" s="1"/>
  <c r="Y613" i="1" a="1"/>
  <c r="Y613" i="1" s="1"/>
  <c r="AA613" i="1" s="1"/>
  <c r="Y541" i="1" a="1"/>
  <c r="Y541" i="1" s="1"/>
  <c r="AA541" i="1" s="1"/>
  <c r="Z586" i="1" a="1"/>
  <c r="Z586" i="1" s="1"/>
  <c r="Z514" i="1" a="1"/>
  <c r="Z514" i="1" s="1"/>
  <c r="Z557" i="1" a="1"/>
  <c r="Z557" i="1" s="1"/>
  <c r="Y610" i="1" a="1"/>
  <c r="Y610" i="1" s="1"/>
  <c r="AA610" i="1" s="1"/>
  <c r="Y538" i="1" a="1"/>
  <c r="Y538" i="1" s="1"/>
  <c r="AA538" i="1" s="1"/>
  <c r="Z571" i="1" a="1"/>
  <c r="Z571" i="1" s="1"/>
  <c r="Z622" i="1" a="1"/>
  <c r="Z622" i="1" s="1"/>
  <c r="Z554" i="1" a="1"/>
  <c r="Z554" i="1" s="1"/>
  <c r="Y607" i="1" a="1"/>
  <c r="Y607" i="1" s="1"/>
  <c r="AA607" i="1" s="1"/>
  <c r="Y535" i="1" a="1"/>
  <c r="Y535" i="1" s="1"/>
  <c r="AA535" i="1" s="1"/>
  <c r="Z580" i="1" a="1"/>
  <c r="Z580" i="1" s="1"/>
  <c r="Z508" i="1" a="1"/>
  <c r="Z508" i="1" s="1"/>
  <c r="Z563" i="1" a="1"/>
  <c r="Z563" i="1" s="1"/>
  <c r="Z618" i="1" a="1"/>
  <c r="Z618" i="1" s="1"/>
  <c r="Z546" i="1" a="1"/>
  <c r="Z546" i="1" s="1"/>
  <c r="Y468" i="1" a="1"/>
  <c r="Y468" i="1" s="1"/>
  <c r="AA468" i="1" s="1"/>
  <c r="Y396" i="1" a="1"/>
  <c r="Y396" i="1" s="1"/>
  <c r="Z441" i="1" a="1"/>
  <c r="Z441" i="1" s="1"/>
  <c r="Z460" i="1" a="1"/>
  <c r="Z460" i="1" s="1"/>
  <c r="Z388" i="1" a="1"/>
  <c r="Z388" i="1" s="1"/>
  <c r="Y441" i="1" a="1"/>
  <c r="Y441" i="1" s="1"/>
  <c r="Z474" i="1" a="1"/>
  <c r="Z474" i="1" s="1"/>
  <c r="Z402" i="1" a="1"/>
  <c r="Z402" i="1" s="1"/>
  <c r="Y443" i="1" a="1"/>
  <c r="Y443" i="1" s="1"/>
  <c r="AA443" i="1" s="1"/>
  <c r="Y498" i="1" a="1"/>
  <c r="Y498" i="1" s="1"/>
  <c r="AA498" i="1" s="1"/>
  <c r="Y426" i="1" a="1"/>
  <c r="Y426" i="1" s="1"/>
  <c r="AA426" i="1" s="1"/>
  <c r="Z447" i="1" a="1"/>
  <c r="Z447" i="1" s="1"/>
  <c r="Y503" i="1" a="1"/>
  <c r="Y503" i="1" s="1"/>
  <c r="AA503" i="1" s="1"/>
  <c r="Z430" i="1" a="1"/>
  <c r="Z430" i="1" s="1"/>
  <c r="Y471" i="1" a="1"/>
  <c r="Y471" i="1" s="1"/>
  <c r="AA471" i="1" s="1"/>
  <c r="Z492" i="1" a="1"/>
  <c r="Z492" i="1" s="1"/>
  <c r="Z420" i="1" a="1"/>
  <c r="Z420" i="1" s="1"/>
  <c r="Y1364" i="1" a="1"/>
  <c r="Y1364" i="1" s="1"/>
  <c r="AA1364" i="1" s="1"/>
  <c r="Y1359" i="1" a="1"/>
  <c r="Y1359" i="1" s="1"/>
  <c r="AA1359" i="1" s="1"/>
  <c r="Y1354" i="1" a="1"/>
  <c r="Y1354" i="1" s="1"/>
  <c r="Z1351" i="1" a="1"/>
  <c r="Z1351" i="1" s="1"/>
  <c r="Z1346" i="1" a="1"/>
  <c r="Z1346" i="1" s="1"/>
  <c r="Y1351" i="1" a="1"/>
  <c r="Y1351" i="1" s="1"/>
  <c r="AA1351" i="1" s="1"/>
  <c r="Y1346" i="1" a="1"/>
  <c r="Y1346" i="1" s="1"/>
  <c r="Y1341" i="1" a="1"/>
  <c r="Y1341" i="1" s="1"/>
  <c r="Z1338" i="1" a="1"/>
  <c r="Z1338" i="1" s="1"/>
  <c r="Z1333" i="1" a="1"/>
  <c r="Z1333" i="1" s="1"/>
  <c r="Y1338" i="1" a="1"/>
  <c r="Y1338" i="1" s="1"/>
  <c r="AA1338" i="1" s="1"/>
  <c r="Y1333" i="1" a="1"/>
  <c r="Y1333" i="1" s="1"/>
  <c r="AA1333" i="1" s="1"/>
  <c r="Y1259" i="1" a="1"/>
  <c r="Y1259" i="1" s="1"/>
  <c r="AA1259" i="1" s="1"/>
  <c r="Y1309" i="1" a="1"/>
  <c r="Y1309" i="1" s="1"/>
  <c r="AA1309" i="1" s="1"/>
  <c r="Y1304" i="1" a="1"/>
  <c r="Y1304" i="1" s="1"/>
  <c r="AA1304" i="1" s="1"/>
  <c r="Z1289" i="1" a="1"/>
  <c r="Z1289" i="1" s="1"/>
  <c r="Y1282" i="1" a="1"/>
  <c r="Y1282" i="1" s="1"/>
  <c r="AA1282" i="1" s="1"/>
  <c r="Z1310" i="1" a="1"/>
  <c r="Z1310" i="1" s="1"/>
  <c r="Z1293" i="1" a="1"/>
  <c r="Z1293" i="1" s="1"/>
  <c r="Z1276" i="1" a="1"/>
  <c r="Z1276" i="1" s="1"/>
  <c r="Y1269" i="1" a="1"/>
  <c r="Y1269" i="1" s="1"/>
  <c r="AA1269" i="1" s="1"/>
  <c r="Y1252" i="1" a="1"/>
  <c r="Y1252" i="1" s="1"/>
  <c r="Z1225" i="1" a="1"/>
  <c r="Z1225" i="1" s="1"/>
  <c r="Y1218" i="1" a="1"/>
  <c r="Y1218" i="1" s="1"/>
  <c r="AA1218" i="1" s="1"/>
  <c r="Y1260" i="1" a="1"/>
  <c r="Y1260" i="1" s="1"/>
  <c r="AA1260" i="1" s="1"/>
  <c r="Z1241" i="1" a="1"/>
  <c r="Z1241" i="1" s="1"/>
  <c r="Z1236" i="1" a="1"/>
  <c r="Z1236" i="1" s="1"/>
  <c r="Y1229" i="1" a="1"/>
  <c r="Y1229" i="1" s="1"/>
  <c r="AA1229" i="1" s="1"/>
  <c r="Y1212" i="1" a="1"/>
  <c r="Y1212" i="1" s="1"/>
  <c r="AA1212" i="1" s="1"/>
  <c r="Y1207" i="1" a="1"/>
  <c r="Y1207" i="1" s="1"/>
  <c r="AA1207" i="1" s="1"/>
  <c r="Z1247" i="1" a="1"/>
  <c r="Z1247" i="1" s="1"/>
  <c r="Z1175" i="1" a="1"/>
  <c r="Z1175" i="1" s="1"/>
  <c r="Y1156" i="1" a="1"/>
  <c r="Y1156" i="1" s="1"/>
  <c r="AA1156" i="1" s="1"/>
  <c r="Z1196" i="1" a="1"/>
  <c r="Z1196" i="1" s="1"/>
  <c r="Y1189" i="1" a="1"/>
  <c r="Y1189" i="1" s="1"/>
  <c r="AA1189" i="1" s="1"/>
  <c r="Y1172" i="1" a="1"/>
  <c r="Y1172" i="1" s="1"/>
  <c r="AA1172" i="1" s="1"/>
  <c r="Z1157" i="1" a="1"/>
  <c r="Z1157" i="1" s="1"/>
  <c r="Z1195" i="1" a="1"/>
  <c r="Z1195" i="1" s="1"/>
  <c r="Z1166" i="1" a="1"/>
  <c r="Z1166" i="1" s="1"/>
  <c r="Z1149" i="1" a="1"/>
  <c r="Z1149" i="1" s="1"/>
  <c r="Z1123" i="1" a="1"/>
  <c r="Z1123" i="1" s="1"/>
  <c r="Z1118" i="1" a="1"/>
  <c r="Z1118" i="1" s="1"/>
  <c r="Z1101" i="1" a="1"/>
  <c r="Z1101" i="1" s="1"/>
  <c r="Z1108" i="1" a="1"/>
  <c r="Z1108" i="1" s="1"/>
  <c r="Y1089" i="1" a="1"/>
  <c r="Y1089" i="1" s="1"/>
  <c r="AA1089" i="1" s="1"/>
  <c r="Y1139" i="1" a="1"/>
  <c r="Y1139" i="1" s="1"/>
  <c r="AA1139" i="1" s="1"/>
  <c r="Y1122" i="1" a="1"/>
  <c r="Y1122" i="1" s="1"/>
  <c r="AA1122" i="1" s="1"/>
  <c r="Y1117" i="1" a="1"/>
  <c r="Y1117" i="1" s="1"/>
  <c r="AA1117" i="1" s="1"/>
  <c r="Z1102" i="1" a="1"/>
  <c r="Z1102" i="1" s="1"/>
  <c r="Y1095" i="1" a="1"/>
  <c r="Y1095" i="1" s="1"/>
  <c r="AA1095" i="1" s="1"/>
  <c r="Z1078" i="1" a="1"/>
  <c r="Z1078" i="1" s="1"/>
  <c r="Z1061" i="1" a="1"/>
  <c r="Z1061" i="1" s="1"/>
  <c r="Z1044" i="1" a="1"/>
  <c r="Z1044" i="1" s="1"/>
  <c r="Z1070" i="1" a="1"/>
  <c r="Z1070" i="1" s="1"/>
  <c r="Z1053" i="1" a="1"/>
  <c r="Z1053" i="1" s="1"/>
  <c r="Y1034" i="1" a="1"/>
  <c r="Y1034" i="1" s="1"/>
  <c r="AA1034" i="1" s="1"/>
  <c r="Y1072" i="1" a="1"/>
  <c r="Y1072" i="1" s="1"/>
  <c r="AA1072" i="1" s="1"/>
  <c r="Z1057" i="1" a="1"/>
  <c r="Z1057" i="1" s="1"/>
  <c r="Y1038" i="1" a="1"/>
  <c r="Y1038" i="1" s="1"/>
  <c r="AA1038" i="1" s="1"/>
  <c r="Z1019" i="1" a="1"/>
  <c r="Z1019" i="1" s="1"/>
  <c r="Z1014" i="1" a="1"/>
  <c r="Z1014" i="1" s="1"/>
  <c r="Z997" i="1" a="1"/>
  <c r="Z997" i="1" s="1"/>
  <c r="Z992" i="1" a="1"/>
  <c r="Z992" i="1" s="1"/>
  <c r="Y985" i="1" a="1"/>
  <c r="Y985" i="1" s="1"/>
  <c r="AA985" i="1" s="1"/>
  <c r="Y1032" i="1" a="1"/>
  <c r="Y1032" i="1" s="1"/>
  <c r="AA1032" i="1" s="1"/>
  <c r="Y1028" i="1" a="1"/>
  <c r="Y1028" i="1" s="1"/>
  <c r="Z1015" i="1" a="1"/>
  <c r="Z1015" i="1" s="1"/>
  <c r="Z1022" i="1" a="1"/>
  <c r="Z1022" i="1" s="1"/>
  <c r="Z1005" i="1" a="1"/>
  <c r="Z1005" i="1" s="1"/>
  <c r="Y1010" i="1" a="1"/>
  <c r="Y1010" i="1" s="1"/>
  <c r="AA1010" i="1" s="1"/>
  <c r="Z929" i="1" a="1"/>
  <c r="Z929" i="1" s="1"/>
  <c r="Y922" i="1" a="1"/>
  <c r="Y922" i="1" s="1"/>
  <c r="AA922" i="1" s="1"/>
  <c r="Y905" i="1" a="1"/>
  <c r="Y905" i="1" s="1"/>
  <c r="AA905" i="1" s="1"/>
  <c r="Y969" i="1" a="1"/>
  <c r="Y969" i="1" s="1"/>
  <c r="AA969" i="1" s="1"/>
  <c r="Y950" i="1" a="1"/>
  <c r="Y950" i="1" s="1"/>
  <c r="AA950" i="1" s="1"/>
  <c r="Y945" i="1" a="1"/>
  <c r="Y945" i="1" s="1"/>
  <c r="AA945" i="1" s="1"/>
  <c r="Z918" i="1" a="1"/>
  <c r="Z918" i="1" s="1"/>
  <c r="Y923" i="1" a="1"/>
  <c r="Y923" i="1" s="1"/>
  <c r="AA923" i="1" s="1"/>
  <c r="Z908" i="1" a="1"/>
  <c r="Z908" i="1" s="1"/>
  <c r="Z958" i="1" a="1"/>
  <c r="Z958" i="1" s="1"/>
  <c r="Z885" i="1" a="1"/>
  <c r="Z885" i="1" s="1"/>
  <c r="Y890" i="1" a="1"/>
  <c r="Y890" i="1" s="1"/>
  <c r="AA890" i="1" s="1"/>
  <c r="Z875" i="1" a="1"/>
  <c r="Z875" i="1" s="1"/>
  <c r="Y868" i="1" a="1"/>
  <c r="Y868" i="1" s="1"/>
  <c r="AA868" i="1" s="1"/>
  <c r="Y863" i="1" a="1"/>
  <c r="Y863" i="1" s="1"/>
  <c r="AA863" i="1" s="1"/>
  <c r="Z848" i="1" a="1"/>
  <c r="Z848" i="1" s="1"/>
  <c r="Y910" i="1" a="1"/>
  <c r="Y910" i="1" s="1"/>
  <c r="AA910" i="1" s="1"/>
  <c r="Z893" i="1" a="1"/>
  <c r="Z893" i="1" s="1"/>
  <c r="Z876" i="1" a="1"/>
  <c r="Z876" i="1" s="1"/>
  <c r="Z859" i="1" a="1"/>
  <c r="Z859" i="1" s="1"/>
  <c r="Z866" i="1" a="1"/>
  <c r="Z866" i="1" s="1"/>
  <c r="Z790" i="1" a="1"/>
  <c r="Z790" i="1" s="1"/>
  <c r="Z840" i="1" a="1"/>
  <c r="Z840" i="1" s="1"/>
  <c r="Z835" i="1" a="1"/>
  <c r="Z835" i="1" s="1"/>
  <c r="Z830" i="1" a="1"/>
  <c r="Z830" i="1" s="1"/>
  <c r="Y835" i="1" a="1"/>
  <c r="Y835" i="1" s="1"/>
  <c r="AA835" i="1" s="1"/>
  <c r="Y818" i="1" a="1"/>
  <c r="Y818" i="1" s="1"/>
  <c r="AA818" i="1" s="1"/>
  <c r="Z815" i="1" a="1"/>
  <c r="Z815" i="1" s="1"/>
  <c r="Z798" i="1" a="1"/>
  <c r="Z798" i="1" s="1"/>
  <c r="Y791" i="1" a="1"/>
  <c r="Y791" i="1" s="1"/>
  <c r="AA791" i="1" s="1"/>
  <c r="Y786" i="1" a="1"/>
  <c r="Y786" i="1" s="1"/>
  <c r="AA786" i="1" s="1"/>
  <c r="Z738" i="1" a="1"/>
  <c r="Z738" i="1" s="1"/>
  <c r="Z721" i="1" a="1"/>
  <c r="Z721" i="1" s="1"/>
  <c r="Y726" i="1" a="1"/>
  <c r="Y726" i="1" s="1"/>
  <c r="AA726" i="1" s="1"/>
  <c r="Y721" i="1" a="1"/>
  <c r="Y721" i="1" s="1"/>
  <c r="AA721" i="1" s="1"/>
  <c r="Z730" i="1" a="1"/>
  <c r="Z730" i="1" s="1"/>
  <c r="Z725" i="1" a="1"/>
  <c r="Z725" i="1" s="1"/>
  <c r="Y730" i="1" a="1"/>
  <c r="Y730" i="1" s="1"/>
  <c r="AA730" i="1" s="1"/>
  <c r="Z727" i="1" a="1"/>
  <c r="Z727" i="1" s="1"/>
  <c r="Z722" i="1" a="1"/>
  <c r="Z722" i="1" s="1"/>
  <c r="Z717" i="1" a="1"/>
  <c r="Z717" i="1" s="1"/>
  <c r="Z724" i="1" a="1"/>
  <c r="Z724" i="1" s="1"/>
  <c r="Z654" i="1" a="1"/>
  <c r="Z654" i="1" s="1"/>
  <c r="Z685" i="1" a="1"/>
  <c r="Z685" i="1" s="1"/>
  <c r="Z712" i="1" a="1"/>
  <c r="Z712" i="1" s="1"/>
  <c r="Z644" i="1" a="1"/>
  <c r="Z644" i="1" s="1"/>
  <c r="Y661" i="1" a="1"/>
  <c r="Y661" i="1" s="1"/>
  <c r="AA661" i="1" s="1"/>
  <c r="Y692" i="1" a="1"/>
  <c r="Y692" i="1" s="1"/>
  <c r="AA692" i="1" s="1"/>
  <c r="Y699" i="1" a="1"/>
  <c r="Y699" i="1" s="1"/>
  <c r="AA699" i="1" s="1"/>
  <c r="Y627" i="1" a="1"/>
  <c r="Y627" i="1" s="1"/>
  <c r="AA627" i="1" s="1"/>
  <c r="Z648" i="1" a="1"/>
  <c r="Z648" i="1" s="1"/>
  <c r="Y665" i="1" a="1"/>
  <c r="Y665" i="1" s="1"/>
  <c r="AA665" i="1" s="1"/>
  <c r="Y684" i="1" a="1"/>
  <c r="Y684" i="1" s="1"/>
  <c r="AA684" i="1" s="1"/>
  <c r="Z693" i="1" a="1"/>
  <c r="Z693" i="1" s="1"/>
  <c r="Z621" i="1" a="1"/>
  <c r="Z621" i="1" s="1"/>
  <c r="Y662" i="1" a="1"/>
  <c r="Y662" i="1" s="1"/>
  <c r="AA662" i="1" s="1"/>
  <c r="Y681" i="1" a="1"/>
  <c r="Y681" i="1" s="1"/>
  <c r="AA681" i="1" s="1"/>
  <c r="Y587" i="1" a="1"/>
  <c r="Y587" i="1" s="1"/>
  <c r="AA587" i="1" s="1"/>
  <c r="Y515" i="1" a="1"/>
  <c r="Y515" i="1" s="1"/>
  <c r="AA515" i="1" s="1"/>
  <c r="Z560" i="1" a="1"/>
  <c r="Z560" i="1" s="1"/>
  <c r="Z603" i="1" a="1"/>
  <c r="Z603" i="1" s="1"/>
  <c r="Z531" i="1" a="1"/>
  <c r="Z531" i="1" s="1"/>
  <c r="Y584" i="1" a="1"/>
  <c r="Y584" i="1" s="1"/>
  <c r="AA584" i="1" s="1"/>
  <c r="Y512" i="1" a="1"/>
  <c r="Y512" i="1" s="1"/>
  <c r="AA512" i="1" s="1"/>
  <c r="Y555" i="1" a="1"/>
  <c r="Y555" i="1" s="1"/>
  <c r="AA555" i="1" s="1"/>
  <c r="Z600" i="1" a="1"/>
  <c r="Z600" i="1" s="1"/>
  <c r="Z528" i="1" a="1"/>
  <c r="Z528" i="1" s="1"/>
  <c r="Y569" i="1" a="1"/>
  <c r="Y569" i="1" s="1"/>
  <c r="AA569" i="1" s="1"/>
  <c r="Z619" i="1" a="1"/>
  <c r="Z619" i="1" s="1"/>
  <c r="Y552" i="1" a="1"/>
  <c r="Y552" i="1" s="1"/>
  <c r="AA552" i="1" s="1"/>
  <c r="Z597" i="1" a="1"/>
  <c r="Z597" i="1" s="1"/>
  <c r="Z525" i="1" a="1"/>
  <c r="Z525" i="1" s="1"/>
  <c r="Y578" i="1" a="1"/>
  <c r="Y578" i="1" s="1"/>
  <c r="AA578" i="1" s="1"/>
  <c r="Y506" i="1" a="1"/>
  <c r="Y506" i="1" s="1"/>
  <c r="AA506" i="1" s="1"/>
  <c r="Y561" i="1" a="1"/>
  <c r="Y561" i="1" s="1"/>
  <c r="AA561" i="1" s="1"/>
  <c r="Y616" i="1" a="1"/>
  <c r="Y616" i="1" s="1"/>
  <c r="AA616" i="1" s="1"/>
  <c r="Y544" i="1" a="1"/>
  <c r="Y544" i="1" s="1"/>
  <c r="AA544" i="1" s="1"/>
  <c r="Z458" i="1" a="1"/>
  <c r="Z458" i="1" s="1"/>
  <c r="Y505" i="1" a="1"/>
  <c r="Y505" i="1" s="1"/>
  <c r="AA505" i="1" s="1"/>
  <c r="Y439" i="1" a="1"/>
  <c r="Y439" i="1" s="1"/>
  <c r="AA439" i="1" s="1"/>
  <c r="Y458" i="1" a="1"/>
  <c r="Y458" i="1" s="1"/>
  <c r="AA458" i="1" s="1"/>
  <c r="Z504" i="1" a="1"/>
  <c r="Z504" i="1" s="1"/>
  <c r="Z431" i="1" a="1"/>
  <c r="Z431" i="1" s="1"/>
  <c r="Y472" i="1" a="1"/>
  <c r="Y472" i="1" s="1"/>
  <c r="AA472" i="1" s="1"/>
  <c r="Y400" i="1" a="1"/>
  <c r="Y400" i="1" s="1"/>
  <c r="AA400" i="1" s="1"/>
  <c r="Z433" i="1" a="1"/>
  <c r="Z433" i="1" s="1"/>
  <c r="Z488" i="1" a="1"/>
  <c r="Z488" i="1" s="1"/>
  <c r="Z416" i="1" a="1"/>
  <c r="Z416" i="1" s="1"/>
  <c r="Y445" i="1" a="1"/>
  <c r="Y445" i="1" s="1"/>
  <c r="AA445" i="1" s="1"/>
  <c r="Y500" i="1" a="1"/>
  <c r="Y500" i="1" s="1"/>
  <c r="AA500" i="1" s="1"/>
  <c r="Y428" i="1" a="1"/>
  <c r="Y428" i="1" s="1"/>
  <c r="AA428" i="1" s="1"/>
  <c r="Z461" i="1" a="1"/>
  <c r="Z461" i="1" s="1"/>
  <c r="Y490" i="1" a="1"/>
  <c r="Y490" i="1" s="1"/>
  <c r="Y418" i="1" a="1"/>
  <c r="Y418" i="1" s="1"/>
  <c r="Z1354" i="1" a="1"/>
  <c r="Z1354" i="1" s="1"/>
  <c r="Z1349" i="1" a="1"/>
  <c r="Z1349" i="1" s="1"/>
  <c r="Z1344" i="1" a="1"/>
  <c r="Z1344" i="1" s="1"/>
  <c r="Y1349" i="1" a="1"/>
  <c r="Y1349" i="1" s="1"/>
  <c r="AA1349" i="1" s="1"/>
  <c r="Y1344" i="1" a="1"/>
  <c r="Y1344" i="1" s="1"/>
  <c r="AA1344" i="1" s="1"/>
  <c r="Z1341" i="1" a="1"/>
  <c r="Z1341" i="1" s="1"/>
  <c r="Z1336" i="1" a="1"/>
  <c r="Z1336" i="1" s="1"/>
  <c r="Z1331" i="1" a="1"/>
  <c r="Z1331" i="1" s="1"/>
  <c r="Y1336" i="1" a="1"/>
  <c r="Y1336" i="1" s="1"/>
  <c r="Y1331" i="1" a="1"/>
  <c r="Y1331" i="1" s="1"/>
  <c r="AA1331" i="1" s="1"/>
  <c r="Z1328" i="1" a="1"/>
  <c r="Z1328" i="1" s="1"/>
  <c r="Z1323" i="1" a="1"/>
  <c r="Z1323" i="1" s="1"/>
  <c r="Z1316" i="1" a="1"/>
  <c r="Z1316" i="1" s="1"/>
  <c r="Z1299" i="1" a="1"/>
  <c r="Z1299" i="1" s="1"/>
  <c r="Z1294" i="1" a="1"/>
  <c r="Z1294" i="1" s="1"/>
  <c r="Y1287" i="1" a="1"/>
  <c r="Y1287" i="1" s="1"/>
  <c r="AA1287" i="1" s="1"/>
  <c r="Z1272" i="1" a="1"/>
  <c r="Z1272" i="1" s="1"/>
  <c r="Y1308" i="1" a="1"/>
  <c r="Y1308" i="1" s="1"/>
  <c r="AA1308" i="1" s="1"/>
  <c r="Y1291" i="1" a="1"/>
  <c r="Y1291" i="1" s="1"/>
  <c r="AA1291" i="1" s="1"/>
  <c r="Y1274" i="1" a="1"/>
  <c r="Y1274" i="1" s="1"/>
  <c r="AA1274" i="1" s="1"/>
  <c r="Z1314" i="1" a="1"/>
  <c r="Z1314" i="1" s="1"/>
  <c r="Z1242" i="1" a="1"/>
  <c r="Z1242" i="1" s="1"/>
  <c r="Y1223" i="1" a="1"/>
  <c r="Y1223" i="1" s="1"/>
  <c r="AA1223" i="1" s="1"/>
  <c r="Z1208" i="1" a="1"/>
  <c r="Z1208" i="1" s="1"/>
  <c r="Y1256" i="1" a="1"/>
  <c r="Y1256" i="1" s="1"/>
  <c r="AA1256" i="1" s="1"/>
  <c r="Y1239" i="1" a="1"/>
  <c r="Y1239" i="1" s="1"/>
  <c r="AA1239" i="1" s="1"/>
  <c r="Y1234" i="1" a="1"/>
  <c r="Y1234" i="1" s="1"/>
  <c r="AA1234" i="1" s="1"/>
  <c r="Z1219" i="1" a="1"/>
  <c r="Z1219" i="1" s="1"/>
  <c r="Z1202" i="1" a="1"/>
  <c r="Z1202" i="1" s="1"/>
  <c r="Z1252" i="1" a="1"/>
  <c r="Z1252" i="1" s="1"/>
  <c r="Y1245" i="1" a="1"/>
  <c r="Y1245" i="1" s="1"/>
  <c r="AA1245" i="1" s="1"/>
  <c r="Y1173" i="1" a="1"/>
  <c r="Y1173" i="1" s="1"/>
  <c r="AA1173" i="1" s="1"/>
  <c r="Z1146" i="1" a="1"/>
  <c r="Z1146" i="1" s="1"/>
  <c r="Y1194" i="1" a="1"/>
  <c r="Y1194" i="1" s="1"/>
  <c r="AA1194" i="1" s="1"/>
  <c r="Z1179" i="1" a="1"/>
  <c r="Z1179" i="1" s="1"/>
  <c r="Z1162" i="1" a="1"/>
  <c r="Z1162" i="1" s="1"/>
  <c r="Y1155" i="1" a="1"/>
  <c r="Y1155" i="1" s="1"/>
  <c r="AA1155" i="1" s="1"/>
  <c r="Y1193" i="1" a="1"/>
  <c r="Y1193" i="1" s="1"/>
  <c r="AA1193" i="1" s="1"/>
  <c r="Y1164" i="1" a="1"/>
  <c r="Y1164" i="1" s="1"/>
  <c r="AA1164" i="1" s="1"/>
  <c r="Z1192" i="1" a="1"/>
  <c r="Z1192" i="1" s="1"/>
  <c r="Y1121" i="1" a="1"/>
  <c r="Y1121" i="1" s="1"/>
  <c r="AA1121" i="1" s="1"/>
  <c r="Y1116" i="1" a="1"/>
  <c r="Y1116" i="1" s="1"/>
  <c r="AA1116" i="1" s="1"/>
  <c r="Y1099" i="1" a="1"/>
  <c r="Y1099" i="1" s="1"/>
  <c r="AA1099" i="1" s="1"/>
  <c r="Y1106" i="1" a="1"/>
  <c r="Y1106" i="1" s="1"/>
  <c r="AA1106" i="1" s="1"/>
  <c r="Y1145" i="1" a="1"/>
  <c r="Y1145" i="1" s="1"/>
  <c r="AA1145" i="1" s="1"/>
  <c r="Z1129" i="1" a="1"/>
  <c r="Z1129" i="1" s="1"/>
  <c r="Z1112" i="1" a="1"/>
  <c r="Z1112" i="1" s="1"/>
  <c r="Z1107" i="1" a="1"/>
  <c r="Z1107" i="1" s="1"/>
  <c r="Y1100" i="1" a="1"/>
  <c r="Y1100" i="1" s="1"/>
  <c r="AA1100" i="1" s="1"/>
  <c r="Z1153" i="1" a="1"/>
  <c r="Z1153" i="1" s="1"/>
  <c r="Y1076" i="1" a="1"/>
  <c r="Y1076" i="1" s="1"/>
  <c r="AA1076" i="1" s="1"/>
  <c r="Y1059" i="1" a="1"/>
  <c r="Y1059" i="1" s="1"/>
  <c r="AA1059" i="1" s="1"/>
  <c r="Y1042" i="1" a="1"/>
  <c r="Y1042" i="1" s="1"/>
  <c r="AA1042" i="1" s="1"/>
  <c r="Y1068" i="1" a="1"/>
  <c r="Y1068" i="1" s="1"/>
  <c r="AA1068" i="1" s="1"/>
  <c r="Y1051" i="1" a="1"/>
  <c r="Y1051" i="1" s="1"/>
  <c r="AA1051" i="1" s="1"/>
  <c r="Y1085" i="1" a="1"/>
  <c r="Y1085" i="1" s="1"/>
  <c r="AA1085" i="1" s="1"/>
  <c r="Z1062" i="1" a="1"/>
  <c r="Z1062" i="1" s="1"/>
  <c r="Y1055" i="1" a="1"/>
  <c r="Y1055" i="1" s="1"/>
  <c r="AA1055" i="1" s="1"/>
  <c r="Z1028" i="1" a="1"/>
  <c r="Z1028" i="1" s="1"/>
  <c r="Y1017" i="1" a="1"/>
  <c r="Y1017" i="1" s="1"/>
  <c r="AA1017" i="1" s="1"/>
  <c r="Y1012" i="1" a="1"/>
  <c r="Y1012" i="1" s="1"/>
  <c r="AA1012" i="1" s="1"/>
  <c r="Y995" i="1" a="1"/>
  <c r="Y995" i="1" s="1"/>
  <c r="AA995" i="1" s="1"/>
  <c r="Y990" i="1" a="1"/>
  <c r="Y990" i="1" s="1"/>
  <c r="AA990" i="1" s="1"/>
  <c r="Z975" i="1" a="1"/>
  <c r="Z975" i="1" s="1"/>
  <c r="Z1025" i="1" a="1"/>
  <c r="Z1025" i="1" s="1"/>
  <c r="Z1020" i="1" a="1"/>
  <c r="Z1020" i="1" s="1"/>
  <c r="Y1013" i="1" a="1"/>
  <c r="Y1013" i="1" s="1"/>
  <c r="AA1013" i="1" s="1"/>
  <c r="Y1020" i="1" a="1"/>
  <c r="Y1020" i="1" s="1"/>
  <c r="Y1003" i="1" a="1"/>
  <c r="Y1003" i="1" s="1"/>
  <c r="AA1003" i="1" s="1"/>
  <c r="Z1000" i="1" a="1"/>
  <c r="Z1000" i="1" s="1"/>
  <c r="Y927" i="1" a="1"/>
  <c r="Y927" i="1" s="1"/>
  <c r="AA927" i="1" s="1"/>
  <c r="Z912" i="1" a="1"/>
  <c r="Z912" i="1" s="1"/>
  <c r="Z965" i="1" a="1"/>
  <c r="Z965" i="1" s="1"/>
  <c r="Z968" i="1" a="1"/>
  <c r="Z968" i="1" s="1"/>
  <c r="Z940" i="1" a="1"/>
  <c r="Z940" i="1" s="1"/>
  <c r="Z935" i="1" a="1"/>
  <c r="Z935" i="1" s="1"/>
  <c r="Y916" i="1" a="1"/>
  <c r="Y916" i="1" s="1"/>
  <c r="AA916" i="1" s="1"/>
  <c r="Z913" i="1" a="1"/>
  <c r="Z913" i="1" s="1"/>
  <c r="Y906" i="1" a="1"/>
  <c r="Y906" i="1" s="1"/>
  <c r="AA906" i="1" s="1"/>
  <c r="Y956" i="1" a="1"/>
  <c r="Y956" i="1" s="1"/>
  <c r="AA956" i="1" s="1"/>
  <c r="Y883" i="1" a="1"/>
  <c r="Y883" i="1" s="1"/>
  <c r="AA883" i="1" s="1"/>
  <c r="Z880" i="1" a="1"/>
  <c r="Z880" i="1" s="1"/>
  <c r="Y873" i="1" a="1"/>
  <c r="Y873" i="1" s="1"/>
  <c r="AA873" i="1" s="1"/>
  <c r="Z858" i="1" a="1"/>
  <c r="Z858" i="1" s="1"/>
  <c r="Z853" i="1" a="1"/>
  <c r="Z853" i="1" s="1"/>
  <c r="Y846" i="1" a="1"/>
  <c r="Y846" i="1" s="1"/>
  <c r="AA846" i="1" s="1"/>
  <c r="Z898" i="1" a="1"/>
  <c r="Z898" i="1" s="1"/>
  <c r="Y891" i="1" a="1"/>
  <c r="Y891" i="1" s="1"/>
  <c r="AA891" i="1" s="1"/>
  <c r="Y874" i="1" a="1"/>
  <c r="Y874" i="1" s="1"/>
  <c r="AA874" i="1" s="1"/>
  <c r="Y857" i="1" a="1"/>
  <c r="Y857" i="1" s="1"/>
  <c r="AA857" i="1" s="1"/>
  <c r="Y864" i="1" a="1"/>
  <c r="Y864" i="1" s="1"/>
  <c r="AA864" i="1" s="1"/>
  <c r="Y788" i="1" a="1"/>
  <c r="Y788" i="1" s="1"/>
  <c r="AA788" i="1" s="1"/>
  <c r="Y838" i="1" a="1"/>
  <c r="Y838" i="1" s="1"/>
  <c r="AA838" i="1" s="1"/>
  <c r="Y833" i="1" a="1"/>
  <c r="Y833" i="1" s="1"/>
  <c r="AA833" i="1" s="1"/>
  <c r="Y828" i="1" a="1"/>
  <c r="Y828" i="1" s="1"/>
  <c r="AA828" i="1" s="1"/>
  <c r="Z825" i="1" a="1"/>
  <c r="Z825" i="1" s="1"/>
  <c r="Z808" i="1" a="1"/>
  <c r="Z808" i="1" s="1"/>
  <c r="Y813" i="1" a="1"/>
  <c r="Y813" i="1" s="1"/>
  <c r="AA813" i="1" s="1"/>
  <c r="Y796" i="1" a="1"/>
  <c r="Y796" i="1" s="1"/>
  <c r="AA796" i="1" s="1"/>
  <c r="Z781" i="1" a="1"/>
  <c r="Z781" i="1" s="1"/>
  <c r="Z831" i="1" a="1"/>
  <c r="Z831" i="1" s="1"/>
  <c r="Y736" i="1" a="1"/>
  <c r="Y736" i="1" s="1"/>
  <c r="AA736" i="1" s="1"/>
  <c r="Y719" i="1" a="1"/>
  <c r="Y719" i="1" s="1"/>
  <c r="AA719" i="1" s="1"/>
  <c r="Z716" i="1" a="1"/>
  <c r="Z716" i="1" s="1"/>
  <c r="Z711" i="1" a="1"/>
  <c r="Z711" i="1" s="1"/>
  <c r="Y728" i="1" a="1"/>
  <c r="Y728" i="1" s="1"/>
  <c r="AA728" i="1" s="1"/>
  <c r="Y723" i="1" a="1"/>
  <c r="Y723" i="1" s="1"/>
  <c r="AA723" i="1" s="1"/>
  <c r="Z720" i="1" a="1"/>
  <c r="Z720" i="1" s="1"/>
  <c r="Y725" i="1" a="1"/>
  <c r="Y725" i="1" s="1"/>
  <c r="AA725" i="1" s="1"/>
  <c r="Y720" i="1" a="1"/>
  <c r="Y720" i="1" s="1"/>
  <c r="AA720" i="1" s="1"/>
  <c r="Y829" i="1" a="1"/>
  <c r="Y829" i="1" s="1"/>
  <c r="AA829" i="1" s="1"/>
  <c r="Y722" i="1" a="1"/>
  <c r="Y722" i="1" s="1"/>
  <c r="AA722" i="1" s="1"/>
  <c r="Y652" i="1" a="1"/>
  <c r="Y652" i="1" s="1"/>
  <c r="Y683" i="1" a="1"/>
  <c r="Y683" i="1" s="1"/>
  <c r="AA683" i="1" s="1"/>
  <c r="Z709" i="1" a="1"/>
  <c r="Z709" i="1" s="1"/>
  <c r="Y642" i="1" a="1"/>
  <c r="Y642" i="1" s="1"/>
  <c r="AA642" i="1" s="1"/>
  <c r="Z651" i="1" a="1"/>
  <c r="Z651" i="1" s="1"/>
  <c r="Z682" i="1" a="1"/>
  <c r="Z682" i="1" s="1"/>
  <c r="Z689" i="1" a="1"/>
  <c r="Z689" i="1" s="1"/>
  <c r="Y753" i="1" a="1"/>
  <c r="Y753" i="1" s="1"/>
  <c r="AA753" i="1" s="1"/>
  <c r="Y646" i="1" a="1"/>
  <c r="Y646" i="1" s="1"/>
  <c r="AA646" i="1" s="1"/>
  <c r="Z655" i="1" a="1"/>
  <c r="Z655" i="1" s="1"/>
  <c r="Z674" i="1" a="1"/>
  <c r="Z674" i="1" s="1"/>
  <c r="Y691" i="1" a="1"/>
  <c r="Y691" i="1" s="1"/>
  <c r="AA691" i="1" s="1"/>
  <c r="Y619" i="1" a="1"/>
  <c r="Y619" i="1" s="1"/>
  <c r="AA619" i="1" s="1"/>
  <c r="Z652" i="1" a="1"/>
  <c r="Z652" i="1" s="1"/>
  <c r="Z671" i="1" a="1"/>
  <c r="Z671" i="1" s="1"/>
  <c r="Z577" i="1" a="1"/>
  <c r="Z577" i="1" s="1"/>
  <c r="Z635" i="1" a="1"/>
  <c r="Z635" i="1" s="1"/>
  <c r="Y558" i="1" a="1"/>
  <c r="Y558" i="1" s="1"/>
  <c r="AA558" i="1" s="1"/>
  <c r="Y601" i="1" a="1"/>
  <c r="Y601" i="1" s="1"/>
  <c r="AA601" i="1" s="1"/>
  <c r="Y529" i="1" a="1"/>
  <c r="Y529" i="1" s="1"/>
  <c r="AA529" i="1" s="1"/>
  <c r="Z574" i="1" a="1"/>
  <c r="Z574" i="1" s="1"/>
  <c r="Z617" i="1" a="1"/>
  <c r="Z617" i="1" s="1"/>
  <c r="Z545" i="1" a="1"/>
  <c r="Z545" i="1" s="1"/>
  <c r="Y598" i="1" a="1"/>
  <c r="Y598" i="1" s="1"/>
  <c r="AA598" i="1" s="1"/>
  <c r="Y526" i="1" a="1"/>
  <c r="Y526" i="1" s="1"/>
  <c r="AA526" i="1" s="1"/>
  <c r="Z559" i="1" a="1"/>
  <c r="Z559" i="1" s="1"/>
  <c r="Z614" i="1" a="1"/>
  <c r="Z614" i="1" s="1"/>
  <c r="Z542" i="1" a="1"/>
  <c r="Z542" i="1" s="1"/>
  <c r="Y595" i="1" a="1"/>
  <c r="Y595" i="1" s="1"/>
  <c r="AA595" i="1" s="1"/>
  <c r="Y523" i="1" a="1"/>
  <c r="Y523" i="1" s="1"/>
  <c r="AA523" i="1" s="1"/>
  <c r="Z568" i="1" a="1"/>
  <c r="Z568" i="1" s="1"/>
  <c r="Z626" i="1" a="1"/>
  <c r="Z626" i="1" s="1"/>
  <c r="Z551" i="1" a="1"/>
  <c r="Z551" i="1" s="1"/>
  <c r="Z606" i="1" a="1"/>
  <c r="Z606" i="1" s="1"/>
  <c r="Z534" i="1" a="1"/>
  <c r="Z534" i="1" s="1"/>
  <c r="Y456" i="1" a="1"/>
  <c r="Y456" i="1" s="1"/>
  <c r="AA456" i="1" s="1"/>
  <c r="Z501" i="1" a="1"/>
  <c r="Z501" i="1" s="1"/>
  <c r="Z429" i="1" a="1"/>
  <c r="Z429" i="1" s="1"/>
  <c r="Z448" i="1" a="1"/>
  <c r="Z448" i="1" s="1"/>
  <c r="Y501" i="1" a="1"/>
  <c r="Y501" i="1" s="1"/>
  <c r="Y429" i="1" a="1"/>
  <c r="Y429" i="1" s="1"/>
  <c r="Z462" i="1" a="1"/>
  <c r="Z462" i="1" s="1"/>
  <c r="Z390" i="1" a="1"/>
  <c r="Z390" i="1" s="1"/>
  <c r="Y431" i="1" a="1"/>
  <c r="Y431" i="1" s="1"/>
  <c r="AA431" i="1" s="1"/>
  <c r="Y486" i="1" a="1"/>
  <c r="Y486" i="1" s="1"/>
  <c r="AA486" i="1" s="1"/>
  <c r="Y414" i="1" a="1"/>
  <c r="Y414" i="1" s="1"/>
  <c r="AA414" i="1" s="1"/>
  <c r="Z435" i="1" a="1"/>
  <c r="Z435" i="1" s="1"/>
  <c r="Z490" i="1" a="1"/>
  <c r="Z490" i="1" s="1"/>
  <c r="Z418" i="1" a="1"/>
  <c r="Z418" i="1" s="1"/>
  <c r="Y459" i="1" a="1"/>
  <c r="Y459" i="1" s="1"/>
  <c r="AA459" i="1" s="1"/>
  <c r="Z480" i="1" a="1"/>
  <c r="Z480" i="1" s="1"/>
  <c r="Z408" i="1" a="1"/>
  <c r="Z408" i="1" s="1"/>
  <c r="Z451" i="1" a="1"/>
  <c r="Z451" i="1" s="1"/>
  <c r="Z381" i="1" a="1"/>
  <c r="Z381" i="1" s="1"/>
  <c r="Z7" i="1" a="1"/>
  <c r="Z7" i="1" s="1"/>
  <c r="Z5" i="1" a="1"/>
  <c r="Z5" i="1" s="1"/>
  <c r="Z3" i="1" a="1"/>
  <c r="Z3" i="1" s="1"/>
  <c r="Y23" i="1" a="1"/>
  <c r="Y23" i="1" s="1"/>
  <c r="AA23" i="1" s="1"/>
  <c r="Z28" i="1" a="1"/>
  <c r="Z28" i="1" s="1"/>
  <c r="Z43" i="1" a="1"/>
  <c r="Z43" i="1" s="1"/>
  <c r="Z115" i="1" a="1"/>
  <c r="Z115" i="1" s="1"/>
  <c r="Z60" i="1" a="1"/>
  <c r="Z60" i="1" s="1"/>
  <c r="Z132" i="1" a="1"/>
  <c r="Z132" i="1" s="1"/>
  <c r="Z89" i="1" a="1"/>
  <c r="Z89" i="1" s="1"/>
  <c r="Y56" i="1" a="1"/>
  <c r="Y56" i="1" s="1"/>
  <c r="AA56" i="1" s="1"/>
  <c r="Y128" i="1" a="1"/>
  <c r="Y128" i="1" s="1"/>
  <c r="AA128" i="1" s="1"/>
  <c r="Z51" i="1" a="1"/>
  <c r="Z51" i="1" s="1"/>
  <c r="Z123" i="1" a="1"/>
  <c r="Z123" i="1" s="1"/>
  <c r="Z68" i="1" a="1"/>
  <c r="Z68" i="1" s="1"/>
  <c r="Z140" i="1" a="1"/>
  <c r="Z140" i="1" s="1"/>
  <c r="Y95" i="1" a="1"/>
  <c r="Y95" i="1" s="1"/>
  <c r="AA95" i="1" s="1"/>
  <c r="Y169" i="1" a="1"/>
  <c r="Y169" i="1" s="1"/>
  <c r="AA169" i="1" s="1"/>
  <c r="Y100" i="1" a="1"/>
  <c r="Y100" i="1" s="1"/>
  <c r="AA100" i="1" s="1"/>
  <c r="Z59" i="1" a="1"/>
  <c r="Z59" i="1" s="1"/>
  <c r="Z131" i="1" a="1"/>
  <c r="Z131" i="1" s="1"/>
  <c r="Y74" i="1" a="1"/>
  <c r="Y74" i="1" s="1"/>
  <c r="AA74" i="1" s="1"/>
  <c r="Y146" i="1" a="1"/>
  <c r="Y146" i="1" s="1"/>
  <c r="AA146" i="1" s="1"/>
  <c r="Y91" i="1" a="1"/>
  <c r="Y91" i="1" s="1"/>
  <c r="AA91" i="1" s="1"/>
  <c r="Y156" i="1" a="1"/>
  <c r="Y156" i="1" s="1"/>
  <c r="AA156" i="1" s="1"/>
  <c r="Z98" i="1" a="1"/>
  <c r="Z98" i="1" s="1"/>
  <c r="Y176" i="1" a="1"/>
  <c r="Y176" i="1" s="1"/>
  <c r="AA176" i="1" s="1"/>
  <c r="Y248" i="1" a="1"/>
  <c r="Y248" i="1" s="1"/>
  <c r="AA248" i="1" s="1"/>
  <c r="Z207" i="1" a="1"/>
  <c r="Z207" i="1" s="1"/>
  <c r="Y277" i="1" a="1"/>
  <c r="Y277" i="1" s="1"/>
  <c r="AA277" i="1" s="1"/>
  <c r="Z224" i="1" a="1"/>
  <c r="Z224" i="1" s="1"/>
  <c r="Y179" i="1" a="1"/>
  <c r="Y179" i="1" s="1"/>
  <c r="AA179" i="1" s="1"/>
  <c r="Y251" i="1" a="1"/>
  <c r="Y251" i="1" s="1"/>
  <c r="AA251" i="1" s="1"/>
  <c r="Z174" i="1" a="1"/>
  <c r="Z174" i="1" s="1"/>
  <c r="Z246" i="1" a="1"/>
  <c r="Z246" i="1" s="1"/>
  <c r="Z215" i="1" a="1"/>
  <c r="Z215" i="1" s="1"/>
  <c r="Y158" i="1" a="1"/>
  <c r="Y158" i="1" s="1"/>
  <c r="AA158" i="1" s="1"/>
  <c r="Y230" i="1" a="1"/>
  <c r="Y230" i="1" s="1"/>
  <c r="AA230" i="1" s="1"/>
  <c r="Z177" i="1" a="1"/>
  <c r="Z177" i="1" s="1"/>
  <c r="Z249" i="1" a="1"/>
  <c r="Z249" i="1" s="1"/>
  <c r="Z206" i="1" a="1"/>
  <c r="Z206" i="1" s="1"/>
  <c r="Y161" i="1" a="1"/>
  <c r="Y161" i="1" s="1"/>
  <c r="AA161" i="1" s="1"/>
  <c r="Y233" i="1" a="1"/>
  <c r="Y233" i="1" s="1"/>
  <c r="AA233" i="1" s="1"/>
  <c r="Y190" i="1" a="1"/>
  <c r="Y190" i="1" s="1"/>
  <c r="AA190" i="1" s="1"/>
  <c r="Y262" i="1" a="1"/>
  <c r="Y262" i="1" s="1"/>
  <c r="AA262" i="1" s="1"/>
  <c r="Z185" i="1" a="1"/>
  <c r="Z185" i="1" s="1"/>
  <c r="Z257" i="1" a="1"/>
  <c r="Z257" i="1" s="1"/>
  <c r="Y336" i="1" a="1"/>
  <c r="Y336" i="1" s="1"/>
  <c r="AA336" i="1" s="1"/>
  <c r="Z283" i="1" a="1"/>
  <c r="Z283" i="1" s="1"/>
  <c r="Z355" i="1" a="1"/>
  <c r="Z355" i="1" s="1"/>
  <c r="Z348" i="1" a="1"/>
  <c r="Z348" i="1" s="1"/>
  <c r="Z305" i="1" a="1"/>
  <c r="Z305" i="1" s="1"/>
  <c r="Z377" i="1" a="1"/>
  <c r="Z377" i="1" s="1"/>
  <c r="Z334" i="1" a="1"/>
  <c r="Z334" i="1" s="1"/>
  <c r="Y325" i="1" a="1"/>
  <c r="Y325" i="1" s="1"/>
  <c r="AA325" i="1" s="1"/>
  <c r="Z404" i="1" a="1"/>
  <c r="Z404" i="1" s="1"/>
  <c r="Z332" i="1" a="1"/>
  <c r="Z332" i="1" s="1"/>
  <c r="Z301" i="1" a="1"/>
  <c r="Z301" i="1" s="1"/>
  <c r="Z373" i="1" a="1"/>
  <c r="Z373" i="1" s="1"/>
  <c r="Z306" i="1" a="1"/>
  <c r="Z306" i="1" s="1"/>
  <c r="Z378" i="1" a="1"/>
  <c r="Z378" i="1" s="1"/>
  <c r="Y345" i="1" a="1"/>
  <c r="Y345" i="1" s="1"/>
  <c r="Y411" i="1" a="1"/>
  <c r="Y411" i="1" s="1"/>
  <c r="AA411" i="1" s="1"/>
  <c r="Y374" i="1" a="1"/>
  <c r="Y374" i="1" s="1"/>
  <c r="AA374" i="1" s="1"/>
  <c r="Y343" i="1" a="1"/>
  <c r="Y343" i="1" s="1"/>
  <c r="AA343" i="1" s="1"/>
  <c r="Z487" i="1" a="1"/>
  <c r="Z487" i="1" s="1"/>
  <c r="Y17" i="1" a="1"/>
  <c r="Y17" i="1" s="1"/>
  <c r="AA17" i="1" s="1"/>
  <c r="Y15" i="1" a="1"/>
  <c r="Y15" i="1" s="1"/>
  <c r="AA15" i="1" s="1"/>
  <c r="AB15" i="1" s="1"/>
  <c r="Y13" i="1" a="1"/>
  <c r="Y13" i="1" s="1"/>
  <c r="AA13" i="1" s="1"/>
  <c r="Z25" i="1" a="1"/>
  <c r="Z25" i="1" s="1"/>
  <c r="Y2" i="1" a="1"/>
  <c r="Y2" i="1" s="1"/>
  <c r="AA2" i="1" s="1"/>
  <c r="Y53" i="1" a="1"/>
  <c r="Y53" i="1" s="1"/>
  <c r="AA53" i="1" s="1"/>
  <c r="Y125" i="1" a="1"/>
  <c r="Y125" i="1" s="1"/>
  <c r="AA125" i="1" s="1"/>
  <c r="Y70" i="1" a="1"/>
  <c r="Y70" i="1" s="1"/>
  <c r="AA70" i="1" s="1"/>
  <c r="Y142" i="1" a="1"/>
  <c r="Y142" i="1" s="1"/>
  <c r="AA142" i="1" s="1"/>
  <c r="Y99" i="1" a="1"/>
  <c r="Y99" i="1" s="1"/>
  <c r="AA99" i="1" s="1"/>
  <c r="Z58" i="1" a="1"/>
  <c r="Z58" i="1" s="1"/>
  <c r="Z130" i="1" a="1"/>
  <c r="Z130" i="1" s="1"/>
  <c r="Y61" i="1" a="1"/>
  <c r="Y61" i="1" s="1"/>
  <c r="AA61" i="1" s="1"/>
  <c r="Y133" i="1" a="1"/>
  <c r="Y133" i="1" s="1"/>
  <c r="AA133" i="1" s="1"/>
  <c r="Y78" i="1" a="1"/>
  <c r="Y78" i="1" s="1"/>
  <c r="AA78" i="1" s="1"/>
  <c r="Z154" i="1" a="1"/>
  <c r="Z154" i="1" s="1"/>
  <c r="Z97" i="1" a="1"/>
  <c r="Z97" i="1" s="1"/>
  <c r="Z30" i="1" a="1"/>
  <c r="Z30" i="1" s="1"/>
  <c r="Z102" i="1" a="1"/>
  <c r="Z102" i="1" s="1"/>
  <c r="Y69" i="1" a="1"/>
  <c r="Y69" i="1" s="1"/>
  <c r="AA69" i="1" s="1"/>
  <c r="Y141" i="1" a="1"/>
  <c r="Y141" i="1" s="1"/>
  <c r="AA141" i="1" s="1"/>
  <c r="Z76" i="1" a="1"/>
  <c r="Z76" i="1" s="1"/>
  <c r="Z155" i="1" a="1"/>
  <c r="Z155" i="1" s="1"/>
  <c r="Z93" i="1" a="1"/>
  <c r="Z93" i="1" s="1"/>
  <c r="Y36" i="1" a="1"/>
  <c r="Y36" i="1" s="1"/>
  <c r="AA36" i="1" s="1"/>
  <c r="Y108" i="1" a="1"/>
  <c r="Y108" i="1" s="1"/>
  <c r="AA108" i="1" s="1"/>
  <c r="Z178" i="1" a="1"/>
  <c r="Z178" i="1" s="1"/>
  <c r="Z250" i="1" a="1"/>
  <c r="Z250" i="1" s="1"/>
  <c r="Y217" i="1" a="1"/>
  <c r="Y217" i="1" s="1"/>
  <c r="AA217" i="1" s="1"/>
  <c r="Y162" i="1" a="1"/>
  <c r="Y162" i="1" s="1"/>
  <c r="AA162" i="1" s="1"/>
  <c r="Y234" i="1" a="1"/>
  <c r="Y234" i="1" s="1"/>
  <c r="AA234" i="1" s="1"/>
  <c r="Z181" i="1" a="1"/>
  <c r="Z181" i="1" s="1"/>
  <c r="Z253" i="1" a="1"/>
  <c r="Z253" i="1" s="1"/>
  <c r="Y184" i="1" a="1"/>
  <c r="Y184" i="1" s="1"/>
  <c r="AA184" i="1" s="1"/>
  <c r="Y256" i="1" a="1"/>
  <c r="Y256" i="1" s="1"/>
  <c r="AA256" i="1" s="1"/>
  <c r="Y225" i="1" a="1"/>
  <c r="Y225" i="1" s="1"/>
  <c r="AA225" i="1" s="1"/>
  <c r="Z160" i="1" a="1"/>
  <c r="Z160" i="1" s="1"/>
  <c r="Z232" i="1" a="1"/>
  <c r="Z232" i="1" s="1"/>
  <c r="Y187" i="1" a="1"/>
  <c r="Y187" i="1" s="1"/>
  <c r="AA187" i="1" s="1"/>
  <c r="Y259" i="1" a="1"/>
  <c r="Y259" i="1" s="1"/>
  <c r="AA259" i="1" s="1"/>
  <c r="Y216" i="1" a="1"/>
  <c r="Y216" i="1" s="1"/>
  <c r="AA216" i="1" s="1"/>
  <c r="Z163" i="1" a="1"/>
  <c r="Z163" i="1" s="1"/>
  <c r="Z235" i="1" a="1"/>
  <c r="Z235" i="1" s="1"/>
  <c r="Z192" i="1" a="1"/>
  <c r="Z192" i="1" s="1"/>
  <c r="Z264" i="1" a="1"/>
  <c r="Z264" i="1" s="1"/>
  <c r="Y195" i="1" a="1"/>
  <c r="Y195" i="1" s="1"/>
  <c r="AA195" i="1" s="1"/>
  <c r="Y274" i="1" a="1"/>
  <c r="Y274" i="1" s="1"/>
  <c r="AA274" i="1" s="1"/>
  <c r="Z338" i="1" a="1"/>
  <c r="Z338" i="1" s="1"/>
  <c r="Y293" i="1" a="1"/>
  <c r="Y293" i="1" s="1"/>
  <c r="AA293" i="1" s="1"/>
  <c r="Y365" i="1" a="1"/>
  <c r="Y365" i="1" s="1"/>
  <c r="AA365" i="1" s="1"/>
  <c r="Y358" i="1" a="1"/>
  <c r="Y358" i="1" s="1"/>
  <c r="AA358" i="1" s="1"/>
  <c r="Y315" i="1" a="1"/>
  <c r="Y315" i="1" s="1"/>
  <c r="AA315" i="1" s="1"/>
  <c r="Y387" i="1" a="1"/>
  <c r="Y387" i="1" s="1"/>
  <c r="AA387" i="1" s="1"/>
  <c r="Y344" i="1" a="1"/>
  <c r="Y344" i="1" s="1"/>
  <c r="AA344" i="1" s="1"/>
  <c r="Z327" i="1" a="1"/>
  <c r="Z327" i="1" s="1"/>
  <c r="Y270" i="1" a="1"/>
  <c r="Y270" i="1" s="1"/>
  <c r="AA270" i="1" s="1"/>
  <c r="Y342" i="1" a="1"/>
  <c r="Y342" i="1" s="1"/>
  <c r="AA342" i="1" s="1"/>
  <c r="Y311" i="1" a="1"/>
  <c r="Y311" i="1" s="1"/>
  <c r="AA311" i="1" s="1"/>
  <c r="Y383" i="1" a="1"/>
  <c r="Y383" i="1" s="1"/>
  <c r="AA383" i="1" s="1"/>
  <c r="Y316" i="1" a="1"/>
  <c r="Y316" i="1" s="1"/>
  <c r="AA316" i="1" s="1"/>
  <c r="Y391" i="1" a="1"/>
  <c r="Y391" i="1" s="1"/>
  <c r="AA391" i="1" s="1"/>
  <c r="Z347" i="1" a="1"/>
  <c r="Z347" i="1" s="1"/>
  <c r="Y290" i="1" a="1"/>
  <c r="Y290" i="1" s="1"/>
  <c r="AA290" i="1" s="1"/>
  <c r="Z376" i="1" a="1"/>
  <c r="Z376" i="1" s="1"/>
  <c r="Z345" i="1" a="1"/>
  <c r="Z345" i="1" s="1"/>
  <c r="Z396" i="1" a="1"/>
  <c r="Z396" i="1" s="1"/>
  <c r="AA501" i="1" l="1"/>
  <c r="AA1020" i="1"/>
  <c r="AB1331" i="1"/>
  <c r="AB458" i="1"/>
  <c r="AB1351" i="1"/>
  <c r="AB732" i="1"/>
  <c r="AB316" i="1"/>
  <c r="AB500" i="1"/>
  <c r="AA830" i="1"/>
  <c r="AA875" i="1"/>
  <c r="AA1271" i="1"/>
  <c r="AB486" i="1"/>
  <c r="AA790" i="1"/>
  <c r="AB905" i="1"/>
  <c r="AB1024" i="1"/>
  <c r="AA1175" i="1"/>
  <c r="AB1266" i="1"/>
  <c r="AA1355" i="1"/>
  <c r="AA686" i="1"/>
  <c r="AB883" i="1"/>
  <c r="AA947" i="1"/>
  <c r="AA987" i="1"/>
  <c r="AA1231" i="1"/>
  <c r="AA1289" i="1"/>
  <c r="AB1289" i="1" s="1"/>
  <c r="AA1375" i="1"/>
  <c r="AB587" i="1"/>
  <c r="AB610" i="1"/>
  <c r="AA682" i="1"/>
  <c r="AB931" i="1"/>
  <c r="AA1136" i="1"/>
  <c r="AA1191" i="1"/>
  <c r="AA1237" i="1"/>
  <c r="AA355" i="1"/>
  <c r="AA614" i="1"/>
  <c r="AB524" i="1"/>
  <c r="AA656" i="1"/>
  <c r="AB761" i="1"/>
  <c r="AB799" i="1"/>
  <c r="AA974" i="1"/>
  <c r="AA1074" i="1"/>
  <c r="AA1103" i="1"/>
  <c r="AB614" i="1"/>
  <c r="AA1354" i="1"/>
  <c r="AA840" i="1"/>
  <c r="AA885" i="1"/>
  <c r="AB1191" i="1"/>
  <c r="AB391" i="1"/>
  <c r="AB445" i="1"/>
  <c r="AA880" i="1"/>
  <c r="AA1129" i="1"/>
  <c r="AA453" i="1"/>
  <c r="AB529" i="1"/>
  <c r="AB735" i="1"/>
  <c r="AA908" i="1"/>
  <c r="AB1103" i="1"/>
  <c r="AB552" i="1"/>
  <c r="AB645" i="1"/>
  <c r="AA810" i="1"/>
  <c r="AA992" i="1"/>
  <c r="AB992" i="1" s="1"/>
  <c r="AB1068" i="1"/>
  <c r="AA1236" i="1"/>
  <c r="AB1236" i="1" s="1"/>
  <c r="AA1306" i="1"/>
  <c r="AB1370" i="1"/>
  <c r="AB756" i="1"/>
  <c r="AA792" i="1"/>
  <c r="AB1059" i="1"/>
  <c r="AB1359" i="1"/>
  <c r="AA425" i="1"/>
  <c r="AB395" i="1"/>
  <c r="AB561" i="1"/>
  <c r="AB596" i="1"/>
  <c r="AB766" i="1"/>
  <c r="AB969" i="1"/>
  <c r="AA1036" i="1"/>
  <c r="AB1189" i="1"/>
  <c r="AA1288" i="1"/>
  <c r="AB1020" i="1"/>
  <c r="AB722" i="1"/>
  <c r="AB1012" i="1"/>
  <c r="AB1237" i="1"/>
  <c r="AB400" i="1"/>
  <c r="AB601" i="1"/>
  <c r="AA666" i="1"/>
  <c r="AB666" i="1" s="1"/>
  <c r="AB740" i="1"/>
  <c r="AA925" i="1"/>
  <c r="AA965" i="1"/>
  <c r="AA1130" i="1"/>
  <c r="AB1355" i="1"/>
  <c r="AB482" i="1"/>
  <c r="AB748" i="1"/>
  <c r="AA815" i="1"/>
  <c r="AB815" i="1" s="1"/>
  <c r="AA860" i="1"/>
  <c r="AA1009" i="1"/>
  <c r="AB1009" i="1" s="1"/>
  <c r="AB1173" i="1"/>
  <c r="AA1253" i="1"/>
  <c r="AB1375" i="1"/>
  <c r="AB426" i="1"/>
  <c r="AB646" i="1"/>
  <c r="AA797" i="1"/>
  <c r="AA909" i="1"/>
  <c r="AB1093" i="1"/>
  <c r="AA1158" i="1"/>
  <c r="AB1364" i="1"/>
  <c r="AB467" i="1"/>
  <c r="AA551" i="1"/>
  <c r="AA697" i="1"/>
  <c r="AA757" i="1"/>
  <c r="AB757" i="1" s="1"/>
  <c r="AB922" i="1"/>
  <c r="AA1065" i="1"/>
  <c r="AA1125" i="1"/>
  <c r="AB1125" i="1" s="1"/>
  <c r="AA1192" i="1"/>
  <c r="AA1305" i="1"/>
  <c r="AB501" i="1"/>
  <c r="AA652" i="1"/>
  <c r="AB652" i="1" s="1"/>
  <c r="AB1025" i="1"/>
  <c r="AA441" i="1"/>
  <c r="AB723" i="1"/>
  <c r="AA1015" i="1"/>
  <c r="AB1074" i="1"/>
  <c r="AB1158" i="1"/>
  <c r="AB1271" i="1"/>
  <c r="AA1348" i="1"/>
  <c r="AB742" i="1"/>
  <c r="AA1022" i="1"/>
  <c r="AB1069" i="1"/>
  <c r="AB1345" i="1"/>
  <c r="AA510" i="1"/>
  <c r="AB472" i="1"/>
  <c r="AB695" i="1"/>
  <c r="AA635" i="1"/>
  <c r="AA888" i="1"/>
  <c r="AA930" i="1"/>
  <c r="AB972" i="1"/>
  <c r="AA1123" i="1"/>
  <c r="AB1123" i="1" s="1"/>
  <c r="AB1360" i="1"/>
  <c r="AA568" i="1"/>
  <c r="AB741" i="1"/>
  <c r="AA1261" i="1"/>
  <c r="AA1378" i="1"/>
  <c r="AB498" i="1"/>
  <c r="AA559" i="1"/>
  <c r="AB731" i="1"/>
  <c r="AA802" i="1"/>
  <c r="AA1030" i="1"/>
  <c r="AB1030" i="1" s="1"/>
  <c r="AA1108" i="1"/>
  <c r="AA1187" i="1"/>
  <c r="AB1278" i="1"/>
  <c r="AA1367" i="1"/>
  <c r="AB1367" i="1" s="1"/>
  <c r="AA454" i="1"/>
  <c r="AA422" i="1"/>
  <c r="AB422" i="1" s="1"/>
  <c r="AB624" i="1"/>
  <c r="AA762" i="1"/>
  <c r="AB762" i="1" s="1"/>
  <c r="AB939" i="1"/>
  <c r="AA1070" i="1"/>
  <c r="AB1145" i="1"/>
  <c r="AB1192" i="1"/>
  <c r="AB388" i="1"/>
  <c r="AA654" i="1"/>
  <c r="AB728" i="1"/>
  <c r="AB1036" i="1"/>
  <c r="AA1118" i="1"/>
  <c r="AB1343" i="1"/>
  <c r="AB443" i="1"/>
  <c r="AB785" i="1"/>
  <c r="AB1017" i="1"/>
  <c r="AA1101" i="1"/>
  <c r="AB1350" i="1"/>
  <c r="AB453" i="1"/>
  <c r="AB937" i="1"/>
  <c r="AB1365" i="1"/>
  <c r="AB440" i="1"/>
  <c r="AA689" i="1"/>
  <c r="AB746" i="1"/>
  <c r="AA1119" i="1"/>
  <c r="AB1119" i="1" s="1"/>
  <c r="AA1162" i="1"/>
  <c r="AB506" i="1"/>
  <c r="AB541" i="1"/>
  <c r="AB747" i="1"/>
  <c r="AA920" i="1"/>
  <c r="AB1055" i="1"/>
  <c r="AB425" i="1"/>
  <c r="AB902" i="1"/>
  <c r="AA994" i="1"/>
  <c r="AB1034" i="1"/>
  <c r="AA1226" i="1"/>
  <c r="AB1274" i="1"/>
  <c r="AB456" i="1"/>
  <c r="AB424" i="1"/>
  <c r="AB590" i="1"/>
  <c r="AA690" i="1"/>
  <c r="AB112" i="1"/>
  <c r="AB674" i="1"/>
  <c r="AB898" i="1"/>
  <c r="AB1344" i="1"/>
  <c r="AB725" i="1"/>
  <c r="AB830" i="1"/>
  <c r="AB875" i="1"/>
  <c r="AB929" i="1"/>
  <c r="AB460" i="1"/>
  <c r="AB683" i="1"/>
  <c r="AA717" i="1"/>
  <c r="AB717" i="1" s="1"/>
  <c r="AA876" i="1"/>
  <c r="AA918" i="1"/>
  <c r="AA1025" i="1"/>
  <c r="AB1348" i="1"/>
  <c r="AA430" i="1"/>
  <c r="AB430" i="1" s="1"/>
  <c r="AA398" i="1"/>
  <c r="AB656" i="1"/>
  <c r="AA738" i="1"/>
  <c r="AB802" i="1"/>
  <c r="AA1031" i="1"/>
  <c r="AB1187" i="1"/>
  <c r="AB1288" i="1"/>
  <c r="AA1353" i="1"/>
  <c r="AA408" i="1"/>
  <c r="AB408" i="1" s="1"/>
  <c r="AA676" i="1"/>
  <c r="AB676" i="1" s="1"/>
  <c r="AB800" i="1"/>
  <c r="AA898" i="1"/>
  <c r="AA940" i="1"/>
  <c r="AB940" i="1" s="1"/>
  <c r="AB1226" i="1"/>
  <c r="AA1368" i="1"/>
  <c r="AA508" i="1"/>
  <c r="AB508" i="1" s="1"/>
  <c r="AA787" i="1"/>
  <c r="AA887" i="1"/>
  <c r="AB887" i="1" s="1"/>
  <c r="AA929" i="1"/>
  <c r="AB971" i="1"/>
  <c r="AA1283" i="1"/>
  <c r="AB1283" i="1" s="1"/>
  <c r="AB412" i="1"/>
  <c r="AB578" i="1"/>
  <c r="AB613" i="1"/>
  <c r="AA678" i="1"/>
  <c r="AB678" i="1" s="1"/>
  <c r="AB752" i="1"/>
  <c r="AA937" i="1"/>
  <c r="AA977" i="1"/>
  <c r="AB977" i="1" s="1"/>
  <c r="AA1142" i="1"/>
  <c r="AB1142" i="1" s="1"/>
  <c r="AA1209" i="1"/>
  <c r="AA1310" i="1"/>
  <c r="AB497" i="1"/>
  <c r="AA475" i="1"/>
  <c r="AB475" i="1" s="1"/>
  <c r="AA698" i="1"/>
  <c r="AB743" i="1"/>
  <c r="AB895" i="1"/>
  <c r="AA959" i="1"/>
  <c r="AB959" i="1" s="1"/>
  <c r="AA999" i="1"/>
  <c r="AB1051" i="1"/>
  <c r="AA1243" i="1"/>
  <c r="AA1301" i="1"/>
  <c r="AB23" i="1"/>
  <c r="AB606" i="1"/>
  <c r="AB1349" i="1"/>
  <c r="AB730" i="1"/>
  <c r="AB835" i="1"/>
  <c r="AB1196" i="1"/>
  <c r="AA1252" i="1"/>
  <c r="AB1252" i="1" s="1"/>
  <c r="AB1333" i="1"/>
  <c r="AB441" i="1"/>
  <c r="AB925" i="1"/>
  <c r="AB1031" i="1"/>
  <c r="AB1209" i="1"/>
  <c r="AB1353" i="1"/>
  <c r="AA693" i="1"/>
  <c r="AB693" i="1" s="1"/>
  <c r="AB719" i="1"/>
  <c r="AB733" i="1"/>
  <c r="AB920" i="1"/>
  <c r="AA970" i="1"/>
  <c r="AB1065" i="1"/>
  <c r="AA1202" i="1"/>
  <c r="AB1202" i="1" s="1"/>
  <c r="AB1305" i="1"/>
  <c r="AB387" i="1"/>
  <c r="AA480" i="1"/>
  <c r="AB480" i="1" s="1"/>
  <c r="AB805" i="1"/>
  <c r="AB999" i="1"/>
  <c r="AB1243" i="1"/>
  <c r="AA1311" i="1"/>
  <c r="AB457" i="1"/>
  <c r="AB555" i="1"/>
  <c r="AA651" i="1"/>
  <c r="AA892" i="1"/>
  <c r="AB892" i="1" s="1"/>
  <c r="AA1057" i="1"/>
  <c r="AB1057" i="1" s="1"/>
  <c r="AA1141" i="1"/>
  <c r="AB1141" i="1" s="1"/>
  <c r="AA1196" i="1"/>
  <c r="AA1242" i="1"/>
  <c r="AB484" i="1"/>
  <c r="AB523" i="1"/>
  <c r="AB707" i="1"/>
  <c r="AA647" i="1"/>
  <c r="AA900" i="1"/>
  <c r="AB900" i="1" s="1"/>
  <c r="AA942" i="1"/>
  <c r="AB942" i="1" s="1"/>
  <c r="AB984" i="1"/>
  <c r="AB1085" i="1"/>
  <c r="AA1135" i="1"/>
  <c r="AB1216" i="1"/>
  <c r="AA1272" i="1"/>
  <c r="AB1272" i="1" s="1"/>
  <c r="AB1372" i="1"/>
  <c r="AB564" i="1"/>
  <c r="AB690" i="1"/>
  <c r="AA822" i="1"/>
  <c r="AB822" i="1" s="1"/>
  <c r="AB857" i="1"/>
  <c r="AA1004" i="1"/>
  <c r="AB1080" i="1"/>
  <c r="AA1166" i="1"/>
  <c r="AB1166" i="1" s="1"/>
  <c r="AA1248" i="1"/>
  <c r="AA1318" i="1"/>
  <c r="AB551" i="1"/>
  <c r="AB808" i="1"/>
  <c r="AB965" i="1"/>
  <c r="AB1354" i="1"/>
  <c r="AB431" i="1"/>
  <c r="AB840" i="1"/>
  <c r="AB885" i="1"/>
  <c r="AB1338" i="1"/>
  <c r="AA396" i="1"/>
  <c r="AB396" i="1" s="1"/>
  <c r="AA664" i="1"/>
  <c r="AB664" i="1" s="1"/>
  <c r="AB788" i="1"/>
  <c r="AB970" i="1"/>
  <c r="AB473" i="1"/>
  <c r="AA451" i="1"/>
  <c r="AA674" i="1"/>
  <c r="AB697" i="1"/>
  <c r="AB750" i="1"/>
  <c r="AA935" i="1"/>
  <c r="AB935" i="1" s="1"/>
  <c r="AA975" i="1"/>
  <c r="AB975" i="1" s="1"/>
  <c r="AB1130" i="1"/>
  <c r="AA1219" i="1"/>
  <c r="AB1219" i="1" s="1"/>
  <c r="AB459" i="1"/>
  <c r="AB558" i="1"/>
  <c r="AB569" i="1"/>
  <c r="AB698" i="1"/>
  <c r="AA739" i="1"/>
  <c r="AB739" i="1" s="1"/>
  <c r="AA820" i="1"/>
  <c r="AA865" i="1"/>
  <c r="AA1014" i="1"/>
  <c r="AB1014" i="1" s="1"/>
  <c r="AA1102" i="1"/>
  <c r="AB1102" i="1" s="1"/>
  <c r="AB1318" i="1"/>
  <c r="AB1368" i="1"/>
  <c r="AA633" i="1"/>
  <c r="AA644" i="1"/>
  <c r="AB749" i="1"/>
  <c r="AB787" i="1"/>
  <c r="AA1062" i="1"/>
  <c r="AA1091" i="1"/>
  <c r="AB1091" i="1" s="1"/>
  <c r="AB1148" i="1"/>
  <c r="AB465" i="1"/>
  <c r="AB595" i="1"/>
  <c r="AA724" i="1"/>
  <c r="AB724" i="1" s="1"/>
  <c r="AA893" i="1"/>
  <c r="AB893" i="1" s="1"/>
  <c r="AB1291" i="1"/>
  <c r="AB1377" i="1"/>
  <c r="AB494" i="1"/>
  <c r="AA648" i="1"/>
  <c r="AB648" i="1" s="1"/>
  <c r="AB760" i="1"/>
  <c r="AA827" i="1"/>
  <c r="AA872" i="1"/>
  <c r="AB872" i="1" s="1"/>
  <c r="AA914" i="1"/>
  <c r="AA1021" i="1"/>
  <c r="AB1021" i="1" s="1"/>
  <c r="AB1042" i="1"/>
  <c r="AB1185" i="1"/>
  <c r="AA1268" i="1"/>
  <c r="AB1268" i="1" s="1"/>
  <c r="AB130" i="1"/>
  <c r="AA345" i="1"/>
  <c r="AB345" i="1" s="1"/>
  <c r="AB355" i="1"/>
  <c r="AB720" i="1"/>
  <c r="AB825" i="1"/>
  <c r="AB912" i="1"/>
  <c r="AB1162" i="1"/>
  <c r="AA418" i="1"/>
  <c r="AB418" i="1" s="1"/>
  <c r="AB644" i="1"/>
  <c r="AB790" i="1"/>
  <c r="AB1022" i="1"/>
  <c r="AB1108" i="1"/>
  <c r="AB1175" i="1"/>
  <c r="AB1276" i="1"/>
  <c r="AA1341" i="1"/>
  <c r="AB1341" i="1" s="1"/>
  <c r="AB947" i="1"/>
  <c r="AB987" i="1"/>
  <c r="AB1231" i="1"/>
  <c r="AA1299" i="1"/>
  <c r="AB1299" i="1" s="1"/>
  <c r="AB398" i="1"/>
  <c r="AB633" i="1"/>
  <c r="AA798" i="1"/>
  <c r="AB798" i="1" s="1"/>
  <c r="AB888" i="1"/>
  <c r="AB930" i="1"/>
  <c r="AB1135" i="1"/>
  <c r="AA1294" i="1"/>
  <c r="AB1294" i="1" s="1"/>
  <c r="AB1358" i="1"/>
  <c r="AB647" i="1"/>
  <c r="AB526" i="1"/>
  <c r="AA837" i="1"/>
  <c r="AB837" i="1" s="1"/>
  <c r="AA870" i="1"/>
  <c r="AB870" i="1" s="1"/>
  <c r="AA924" i="1"/>
  <c r="AB924" i="1" s="1"/>
  <c r="AA1019" i="1"/>
  <c r="AB1019" i="1" s="1"/>
  <c r="AA1208" i="1"/>
  <c r="AB1208" i="1" s="1"/>
  <c r="AB1373" i="1"/>
  <c r="AB584" i="1"/>
  <c r="AA712" i="1"/>
  <c r="AB712" i="1" s="1"/>
  <c r="AB754" i="1"/>
  <c r="AB792" i="1"/>
  <c r="AB909" i="1"/>
  <c r="AA1027" i="1"/>
  <c r="AB1027" i="1" s="1"/>
  <c r="AA1276" i="1"/>
  <c r="AB1357" i="1"/>
  <c r="AB454" i="1"/>
  <c r="AA420" i="1"/>
  <c r="AB420" i="1" s="1"/>
  <c r="AA655" i="1"/>
  <c r="AB655" i="1" s="1"/>
  <c r="AA688" i="1"/>
  <c r="AB688" i="1" s="1"/>
  <c r="AB812" i="1"/>
  <c r="AA855" i="1"/>
  <c r="AB855" i="1" s="1"/>
  <c r="AA952" i="1"/>
  <c r="AB994" i="1"/>
  <c r="AA1078" i="1"/>
  <c r="AB1078" i="1" s="1"/>
  <c r="AB1156" i="1"/>
  <c r="AB1308" i="1"/>
  <c r="AA580" i="1"/>
  <c r="AB580" i="1" s="1"/>
  <c r="AA629" i="1"/>
  <c r="AB629" i="1" s="1"/>
  <c r="AB753" i="1"/>
  <c r="AB933" i="1"/>
  <c r="AA1029" i="1"/>
  <c r="AB1116" i="1"/>
  <c r="AB1159" i="1"/>
  <c r="AB141" i="1"/>
  <c r="AB51" i="1"/>
  <c r="AB568" i="1"/>
  <c r="AB689" i="1"/>
  <c r="AB1112" i="1"/>
  <c r="AB1179" i="1"/>
  <c r="AA490" i="1"/>
  <c r="AB490" i="1" s="1"/>
  <c r="AB619" i="1"/>
  <c r="AB721" i="1"/>
  <c r="AB908" i="1"/>
  <c r="AB1015" i="1"/>
  <c r="AB1101" i="1"/>
  <c r="AA1346" i="1"/>
  <c r="AB686" i="1"/>
  <c r="AA727" i="1"/>
  <c r="AB727" i="1" s="1"/>
  <c r="AA808" i="1"/>
  <c r="AA853" i="1"/>
  <c r="AB853" i="1" s="1"/>
  <c r="AB952" i="1"/>
  <c r="AB1306" i="1"/>
  <c r="AB1356" i="1"/>
  <c r="AB510" i="1"/>
  <c r="AB470" i="1"/>
  <c r="AB736" i="1"/>
  <c r="AA848" i="1"/>
  <c r="AB848" i="1" s="1"/>
  <c r="AA997" i="1"/>
  <c r="AB997" i="1" s="1"/>
  <c r="AA1241" i="1"/>
  <c r="AB1241" i="1" s="1"/>
  <c r="AB1301" i="1"/>
  <c r="AB1363" i="1"/>
  <c r="AB503" i="1"/>
  <c r="AB598" i="1"/>
  <c r="AB919" i="1"/>
  <c r="AB1029" i="1"/>
  <c r="AA1124" i="1"/>
  <c r="AB1124" i="1" s="1"/>
  <c r="AA1179" i="1"/>
  <c r="AA1225" i="1"/>
  <c r="AB1225" i="1" s="1"/>
  <c r="AB1378" i="1"/>
  <c r="AB455" i="1"/>
  <c r="AA504" i="1"/>
  <c r="AB504" i="1" s="1"/>
  <c r="AA685" i="1"/>
  <c r="AA745" i="1"/>
  <c r="AB797" i="1"/>
  <c r="AB910" i="1"/>
  <c r="AB974" i="1"/>
  <c r="AA1053" i="1"/>
  <c r="AB1053" i="1" s="1"/>
  <c r="AA1113" i="1"/>
  <c r="AB1113" i="1" s="1"/>
  <c r="AA1293" i="1"/>
  <c r="AB1293" i="1" s="1"/>
  <c r="AB1362" i="1"/>
  <c r="AA492" i="1"/>
  <c r="AB492" i="1" s="1"/>
  <c r="AB509" i="1"/>
  <c r="AA968" i="1"/>
  <c r="AB968" i="1" s="1"/>
  <c r="AA1040" i="1"/>
  <c r="AB1040" i="1" s="1"/>
  <c r="AB1258" i="1"/>
  <c r="AA1385" i="1"/>
  <c r="AB452" i="1"/>
  <c r="AA525" i="1"/>
  <c r="AB525" i="1" s="1"/>
  <c r="AA701" i="1"/>
  <c r="AB701" i="1" s="1"/>
  <c r="AB758" i="1"/>
  <c r="AA782" i="1"/>
  <c r="AB782" i="1" s="1"/>
  <c r="AB938" i="1"/>
  <c r="AA1131" i="1"/>
  <c r="AA1174" i="1"/>
  <c r="AB1174" i="1" s="1"/>
  <c r="AB462" i="1"/>
  <c r="AB682" i="1"/>
  <c r="AB880" i="1"/>
  <c r="AB1129" i="1"/>
  <c r="AB1242" i="1"/>
  <c r="AB685" i="1"/>
  <c r="AB738" i="1"/>
  <c r="AA1028" i="1"/>
  <c r="AB1028" i="1" s="1"/>
  <c r="AB1070" i="1"/>
  <c r="AB1118" i="1"/>
  <c r="AB1310" i="1"/>
  <c r="AA825" i="1"/>
  <c r="AA858" i="1"/>
  <c r="AB858" i="1" s="1"/>
  <c r="AA912" i="1"/>
  <c r="AB1311" i="1"/>
  <c r="AB1361" i="1"/>
  <c r="AB729" i="1"/>
  <c r="AB810" i="1"/>
  <c r="AB1004" i="1"/>
  <c r="AB1248" i="1"/>
  <c r="AA1316" i="1"/>
  <c r="AB1316" i="1" s="1"/>
  <c r="AA1366" i="1"/>
  <c r="AB744" i="1"/>
  <c r="AA843" i="1"/>
  <c r="AB843" i="1" s="1"/>
  <c r="AB1131" i="1"/>
  <c r="AA442" i="1"/>
  <c r="AB442" i="1" s="1"/>
  <c r="AA410" i="1"/>
  <c r="AB410" i="1" s="1"/>
  <c r="AA750" i="1"/>
  <c r="AB927" i="1"/>
  <c r="AA1365" i="1"/>
  <c r="AB471" i="1"/>
  <c r="AB570" i="1"/>
  <c r="AB581" i="1"/>
  <c r="AA711" i="1"/>
  <c r="AB711" i="1" s="1"/>
  <c r="AA751" i="1"/>
  <c r="AB751" i="1" s="1"/>
  <c r="AA832" i="1"/>
  <c r="AB832" i="1" s="1"/>
  <c r="AA877" i="1"/>
  <c r="AB877" i="1" s="1"/>
  <c r="AA1026" i="1"/>
  <c r="AB1026" i="1" s="1"/>
  <c r="AA1114" i="1"/>
  <c r="AB1114" i="1" s="1"/>
  <c r="AA1157" i="1"/>
  <c r="AB1157" i="1" s="1"/>
  <c r="AB1380" i="1"/>
  <c r="AB397" i="1"/>
  <c r="AA597" i="1"/>
  <c r="AB597" i="1" s="1"/>
  <c r="AB620" i="1"/>
  <c r="AB684" i="1"/>
  <c r="AA899" i="1"/>
  <c r="AB899" i="1" s="1"/>
  <c r="AA941" i="1"/>
  <c r="AB941" i="1" s="1"/>
  <c r="AB1193" i="1"/>
  <c r="AB559" i="1"/>
  <c r="AB451" i="1"/>
  <c r="AA429" i="1"/>
  <c r="AB429" i="1" s="1"/>
  <c r="AB635" i="1"/>
  <c r="AB651" i="1"/>
  <c r="AB1062" i="1"/>
  <c r="AA1336" i="1"/>
  <c r="AB1336" i="1" s="1"/>
  <c r="AB654" i="1"/>
  <c r="AB876" i="1"/>
  <c r="AB918" i="1"/>
  <c r="AB1346" i="1"/>
  <c r="AA737" i="1"/>
  <c r="AB737" i="1" s="1"/>
  <c r="AB820" i="1"/>
  <c r="AB865" i="1"/>
  <c r="AA1112" i="1"/>
  <c r="AB1261" i="1"/>
  <c r="AB1366" i="1"/>
  <c r="AB428" i="1"/>
  <c r="AA626" i="1"/>
  <c r="AB626" i="1" s="1"/>
  <c r="AB734" i="1"/>
  <c r="AB827" i="1"/>
  <c r="AB860" i="1"/>
  <c r="AB914" i="1"/>
  <c r="AA1107" i="1"/>
  <c r="AB1107" i="1" s="1"/>
  <c r="AB1253" i="1"/>
  <c r="AB414" i="1"/>
  <c r="AB592" i="1"/>
  <c r="AB634" i="1"/>
  <c r="AA785" i="1"/>
  <c r="AA897" i="1"/>
  <c r="AB897" i="1" s="1"/>
  <c r="AB1136" i="1"/>
  <c r="AA1146" i="1"/>
  <c r="AB1146" i="1" s="1"/>
  <c r="AA1247" i="1"/>
  <c r="AB1247" i="1" s="1"/>
  <c r="AB1352" i="1"/>
  <c r="AA705" i="1"/>
  <c r="AB705" i="1" s="1"/>
  <c r="AB745" i="1"/>
  <c r="AB890" i="1"/>
  <c r="AA982" i="1"/>
  <c r="AB982" i="1" s="1"/>
  <c r="AA1214" i="1"/>
  <c r="AB1214" i="1" s="1"/>
  <c r="AB515" i="1"/>
  <c r="AB538" i="1"/>
  <c r="AB691" i="1"/>
  <c r="AA842" i="1"/>
  <c r="AB842" i="1" s="1"/>
  <c r="AA882" i="1"/>
  <c r="AB882" i="1" s="1"/>
  <c r="AA936" i="1"/>
  <c r="AB936" i="1" s="1"/>
  <c r="AB1121" i="1"/>
  <c r="AB1164" i="1"/>
  <c r="AA1220" i="1"/>
  <c r="AB1220" i="1" s="1"/>
  <c r="AB1385" i="1"/>
  <c r="AB469" i="1"/>
  <c r="AA542" i="1"/>
  <c r="AB542" i="1" s="1"/>
  <c r="AB567" i="1"/>
  <c r="AA663" i="1"/>
  <c r="AB663" i="1" s="1"/>
  <c r="AA958" i="1"/>
  <c r="AB958" i="1" s="1"/>
  <c r="AA1069" i="1"/>
  <c r="AA1086" i="1"/>
  <c r="AB1086" i="1" s="1"/>
  <c r="AA1153" i="1"/>
  <c r="AB1153" i="1" s="1"/>
  <c r="AA1254" i="1"/>
  <c r="AB1254" i="1" s="1"/>
  <c r="AB764" i="1"/>
  <c r="AA949" i="1"/>
  <c r="AB949" i="1" s="1"/>
  <c r="AA989" i="1"/>
  <c r="AB989" i="1" s="1"/>
  <c r="AB1072" i="1"/>
  <c r="AA1147" i="1"/>
  <c r="AB1147" i="1" s="1"/>
  <c r="AA1221" i="1"/>
  <c r="AB1221" i="1" s="1"/>
  <c r="AA1267" i="1"/>
  <c r="AB1267" i="1" s="1"/>
  <c r="AA545" i="1"/>
  <c r="AB545" i="1" s="1"/>
  <c r="AA638" i="1"/>
  <c r="AB638" i="1" s="1"/>
  <c r="AB661" i="1"/>
  <c r="AA913" i="1"/>
  <c r="AB913" i="1" s="1"/>
  <c r="AB956" i="1"/>
  <c r="AA1006" i="1"/>
  <c r="AB1046" i="1"/>
  <c r="AA1238" i="1"/>
  <c r="AB1238" i="1" s="1"/>
  <c r="AB1286" i="1"/>
  <c r="AA474" i="1"/>
  <c r="AB474" i="1" s="1"/>
  <c r="AB539" i="1"/>
  <c r="AB562" i="1"/>
  <c r="AA634" i="1"/>
  <c r="AB807" i="1"/>
  <c r="AB796" i="1"/>
  <c r="AA960" i="1"/>
  <c r="AA1000" i="1"/>
  <c r="AB1000" i="1" s="1"/>
  <c r="AA1088" i="1"/>
  <c r="AB1188" i="1"/>
  <c r="AA1244" i="1"/>
  <c r="AB1244" i="1" s="1"/>
  <c r="AB1304" i="1"/>
  <c r="AB476" i="1"/>
  <c r="AA549" i="1"/>
  <c r="AB549" i="1" s="1"/>
  <c r="AA572" i="1"/>
  <c r="AB572" i="1" s="1"/>
  <c r="AB636" i="1"/>
  <c r="AB715" i="1"/>
  <c r="AA806" i="1"/>
  <c r="AA851" i="1"/>
  <c r="AB962" i="1"/>
  <c r="AB1002" i="1"/>
  <c r="AB1090" i="1"/>
  <c r="AA1198" i="1"/>
  <c r="AB1198" i="1" s="1"/>
  <c r="AB1246" i="1"/>
  <c r="AA1314" i="1"/>
  <c r="AB1314" i="1" s="1"/>
  <c r="AA1352" i="1"/>
  <c r="AB315" i="1"/>
  <c r="AB39" i="1"/>
  <c r="AA461" i="1"/>
  <c r="AB461" i="1" s="1"/>
  <c r="AA320" i="1"/>
  <c r="AA264" i="1"/>
  <c r="AB264" i="1" s="1"/>
  <c r="AB57" i="1"/>
  <c r="AA283" i="1"/>
  <c r="AB283" i="1" s="1"/>
  <c r="AB341" i="1"/>
  <c r="AB170" i="1"/>
  <c r="AA275" i="1"/>
  <c r="AA59" i="1"/>
  <c r="AB59" i="1" s="1"/>
  <c r="AA366" i="1"/>
  <c r="AB366" i="1" s="1"/>
  <c r="AA301" i="1"/>
  <c r="AB301" i="1" s="1"/>
  <c r="AA155" i="1"/>
  <c r="AB155" i="1" s="1"/>
  <c r="AA51" i="1"/>
  <c r="AA297" i="1"/>
  <c r="AB307" i="1"/>
  <c r="AA182" i="1"/>
  <c r="AB50" i="1"/>
  <c r="AB75" i="1"/>
  <c r="AB41" i="1"/>
  <c r="AA356" i="1"/>
  <c r="AB175" i="1"/>
  <c r="AA174" i="1"/>
  <c r="AB174" i="1" s="1"/>
  <c r="AB42" i="1"/>
  <c r="AA65" i="1"/>
  <c r="AB385" i="1"/>
  <c r="AA278" i="1"/>
  <c r="AB258" i="1"/>
  <c r="AA31" i="1"/>
  <c r="AA68" i="1"/>
  <c r="AB68" i="1" s="1"/>
  <c r="V224" i="1"/>
  <c r="V675" i="1"/>
  <c r="V120" i="1"/>
  <c r="V330" i="1"/>
  <c r="V577" i="1"/>
  <c r="U273" i="1"/>
  <c r="V273" i="1" s="1"/>
  <c r="V317" i="1"/>
  <c r="V508" i="1"/>
  <c r="V376" i="1"/>
  <c r="V449" i="1"/>
  <c r="V626" i="1"/>
  <c r="U48" i="1"/>
  <c r="V147" i="1"/>
  <c r="V329" i="1"/>
  <c r="U666" i="1"/>
  <c r="U675" i="1"/>
  <c r="V730" i="1"/>
  <c r="V461" i="1"/>
  <c r="V46" i="1"/>
  <c r="V180" i="1"/>
  <c r="V179" i="1"/>
  <c r="U292" i="1"/>
  <c r="V292" i="1" s="1"/>
  <c r="U539" i="1"/>
  <c r="V540" i="1"/>
  <c r="V62" i="1"/>
  <c r="V37" i="1"/>
  <c r="V194" i="1"/>
  <c r="U542" i="1"/>
  <c r="V680" i="1"/>
  <c r="V689" i="1"/>
  <c r="V113" i="1"/>
  <c r="V645" i="1"/>
  <c r="V736" i="1"/>
  <c r="AA435" i="1"/>
  <c r="AB435" i="1" s="1"/>
  <c r="AB496" i="1"/>
  <c r="AB535" i="1"/>
  <c r="AA907" i="1"/>
  <c r="AB907" i="1" s="1"/>
  <c r="AA954" i="1"/>
  <c r="AB954" i="1" s="1"/>
  <c r="AA1044" i="1"/>
  <c r="AB1044" i="1" s="1"/>
  <c r="AA1092" i="1"/>
  <c r="AB1092" i="1" s="1"/>
  <c r="AA1284" i="1"/>
  <c r="AB1284" i="1" s="1"/>
  <c r="AA404" i="1"/>
  <c r="AB404" i="1" s="1"/>
  <c r="AA487" i="1"/>
  <c r="AB487" i="1" s="1"/>
  <c r="AA617" i="1"/>
  <c r="AB617" i="1" s="1"/>
  <c r="AA964" i="1"/>
  <c r="AB964" i="1" s="1"/>
  <c r="AA1011" i="1"/>
  <c r="AB1011" i="1" s="1"/>
  <c r="AB1063" i="1"/>
  <c r="AB1099" i="1"/>
  <c r="AA1255" i="1"/>
  <c r="AB1255" i="1" s="1"/>
  <c r="AA1313" i="1"/>
  <c r="AB1313" i="1" s="1"/>
  <c r="AB611" i="1"/>
  <c r="AA517" i="1"/>
  <c r="AB517" i="1" s="1"/>
  <c r="AA706" i="1"/>
  <c r="AB706" i="1" s="1"/>
  <c r="AA841" i="1"/>
  <c r="AB841" i="1" s="1"/>
  <c r="AB813" i="1"/>
  <c r="AB846" i="1"/>
  <c r="AA1005" i="1"/>
  <c r="AB1005" i="1" s="1"/>
  <c r="AB1095" i="1"/>
  <c r="AB1150" i="1"/>
  <c r="AB1259" i="1"/>
  <c r="AB1309" i="1"/>
  <c r="AB364" i="1"/>
  <c r="AB421" i="1"/>
  <c r="AB625" i="1"/>
  <c r="AB519" i="1"/>
  <c r="AB708" i="1"/>
  <c r="AA856" i="1"/>
  <c r="AA973" i="1"/>
  <c r="AB1007" i="1"/>
  <c r="AA1105" i="1"/>
  <c r="AA1160" i="1"/>
  <c r="AA1206" i="1"/>
  <c r="AB1206" i="1" s="1"/>
  <c r="AA332" i="1"/>
  <c r="AB332" i="1" s="1"/>
  <c r="AB151" i="1"/>
  <c r="AB294" i="1"/>
  <c r="AA192" i="1"/>
  <c r="AB192" i="1" s="1"/>
  <c r="AB11" i="1"/>
  <c r="AB233" i="1"/>
  <c r="AB222" i="1"/>
  <c r="AA347" i="1"/>
  <c r="AB347" i="1" s="1"/>
  <c r="AA220" i="1"/>
  <c r="AA326" i="1"/>
  <c r="AB326" i="1" s="1"/>
  <c r="AB384" i="1"/>
  <c r="AB213" i="1"/>
  <c r="AA212" i="1"/>
  <c r="AB104" i="1"/>
  <c r="AA294" i="1"/>
  <c r="AB216" i="1"/>
  <c r="AB205" i="1"/>
  <c r="AA93" i="1"/>
  <c r="AB93" i="1" s="1"/>
  <c r="AA94" i="1"/>
  <c r="AB94" i="1" s="1"/>
  <c r="AB330" i="1"/>
  <c r="AB239" i="1"/>
  <c r="AA115" i="1"/>
  <c r="AB115" i="1" s="1"/>
  <c r="AA284" i="1"/>
  <c r="AA228" i="1"/>
  <c r="AA229" i="1"/>
  <c r="AB109" i="1"/>
  <c r="AB16" i="1"/>
  <c r="AB313" i="1"/>
  <c r="AB197" i="1"/>
  <c r="AB186" i="1"/>
  <c r="AA86" i="1"/>
  <c r="AB101" i="1"/>
  <c r="V52" i="1"/>
  <c r="U635" i="1"/>
  <c r="V187" i="1"/>
  <c r="V369" i="1"/>
  <c r="V313" i="1"/>
  <c r="V394" i="1"/>
  <c r="U120" i="1"/>
  <c r="U95" i="1"/>
  <c r="U99" i="1"/>
  <c r="V199" i="1"/>
  <c r="U232" i="1"/>
  <c r="V381" i="1"/>
  <c r="V325" i="1"/>
  <c r="V406" i="1"/>
  <c r="V776" i="1"/>
  <c r="U722" i="1"/>
  <c r="V118" i="1"/>
  <c r="V252" i="1"/>
  <c r="V251" i="1"/>
  <c r="V283" i="1"/>
  <c r="U364" i="1"/>
  <c r="V447" i="1"/>
  <c r="U611" i="1"/>
  <c r="V612" i="1"/>
  <c r="U684" i="1"/>
  <c r="V134" i="1"/>
  <c r="V109" i="1"/>
  <c r="V266" i="1"/>
  <c r="V310" i="1"/>
  <c r="U614" i="1"/>
  <c r="V682" i="1"/>
  <c r="V58" i="1"/>
  <c r="V192" i="1"/>
  <c r="V191" i="1"/>
  <c r="V714" i="1"/>
  <c r="V587" i="1"/>
  <c r="V1347" i="1"/>
  <c r="AB1382" i="1"/>
  <c r="AB512" i="1"/>
  <c r="AB607" i="1"/>
  <c r="AA628" i="1"/>
  <c r="AB628" i="1" s="1"/>
  <c r="AA850" i="1"/>
  <c r="AB850" i="1" s="1"/>
  <c r="AA1061" i="1"/>
  <c r="AB1061" i="1" s="1"/>
  <c r="AA1097" i="1"/>
  <c r="AB1097" i="1" s="1"/>
  <c r="AB1245" i="1"/>
  <c r="AB1303" i="1"/>
  <c r="AB576" i="1"/>
  <c r="AA834" i="1"/>
  <c r="AB834" i="1" s="1"/>
  <c r="AB869" i="1"/>
  <c r="AA921" i="1"/>
  <c r="AB921" i="1" s="1"/>
  <c r="AA1016" i="1"/>
  <c r="AB1016" i="1" s="1"/>
  <c r="AB1037" i="1"/>
  <c r="AA1178" i="1"/>
  <c r="AB1178" i="1" s="1"/>
  <c r="AA1205" i="1"/>
  <c r="AB1205" i="1" s="1"/>
  <c r="AB1265" i="1"/>
  <c r="AB1327" i="1"/>
  <c r="AB556" i="1"/>
  <c r="AA589" i="1"/>
  <c r="AB589" i="1" s="1"/>
  <c r="AB677" i="1"/>
  <c r="AA805" i="1"/>
  <c r="AA816" i="1"/>
  <c r="AA861" i="1"/>
  <c r="AA915" i="1"/>
  <c r="AB915" i="1" s="1"/>
  <c r="AB1083" i="1"/>
  <c r="AB1100" i="1"/>
  <c r="AB1167" i="1"/>
  <c r="AA1211" i="1"/>
  <c r="AB1211" i="1" s="1"/>
  <c r="AB1383" i="1"/>
  <c r="AB493" i="1"/>
  <c r="AA566" i="1"/>
  <c r="AB566" i="1" s="1"/>
  <c r="AB591" i="1"/>
  <c r="AA687" i="1"/>
  <c r="AB687" i="1" s="1"/>
  <c r="AB713" i="1"/>
  <c r="AB818" i="1"/>
  <c r="AB863" i="1"/>
  <c r="AB917" i="1"/>
  <c r="AA1094" i="1"/>
  <c r="AB1094" i="1" s="1"/>
  <c r="AA1110" i="1"/>
  <c r="AB1110" i="1" s="1"/>
  <c r="AA1177" i="1"/>
  <c r="AB1177" i="1" s="1"/>
  <c r="AB1213" i="1"/>
  <c r="AB234" i="1"/>
  <c r="AA235" i="1"/>
  <c r="AB235" i="1" s="1"/>
  <c r="AB20" i="1"/>
  <c r="AB161" i="1"/>
  <c r="AB65" i="1"/>
  <c r="AA378" i="1"/>
  <c r="AB378" i="1" s="1"/>
  <c r="AA148" i="1"/>
  <c r="AA381" i="1"/>
  <c r="AB381" i="1" s="1"/>
  <c r="AB312" i="1"/>
  <c r="AA266" i="1"/>
  <c r="AB134" i="1"/>
  <c r="AA8" i="1"/>
  <c r="AB351" i="1"/>
  <c r="AB259" i="1"/>
  <c r="AB126" i="1"/>
  <c r="AA150" i="1"/>
  <c r="AB150" i="1" s="1"/>
  <c r="AB401" i="1"/>
  <c r="AA288" i="1"/>
  <c r="AB167" i="1"/>
  <c r="AA43" i="1"/>
  <c r="AB43" i="1" s="1"/>
  <c r="AA392" i="1"/>
  <c r="AB392" i="1" s="1"/>
  <c r="AA327" i="1"/>
  <c r="AB327" i="1" s="1"/>
  <c r="AA271" i="1"/>
  <c r="AB271" i="1" s="1"/>
  <c r="AB262" i="1"/>
  <c r="AB37" i="1"/>
  <c r="AB2" i="1"/>
  <c r="AB344" i="1"/>
  <c r="AA267" i="1"/>
  <c r="AA263" i="1"/>
  <c r="AB143" i="1"/>
  <c r="AB144" i="1"/>
  <c r="V95" i="1"/>
  <c r="V603" i="1"/>
  <c r="V398" i="1"/>
  <c r="U450" i="1"/>
  <c r="U615" i="1"/>
  <c r="V775" i="1"/>
  <c r="V259" i="1"/>
  <c r="V385" i="1"/>
  <c r="V466" i="1"/>
  <c r="U691" i="1"/>
  <c r="V67" i="1"/>
  <c r="U309" i="1"/>
  <c r="U417" i="1"/>
  <c r="V537" i="1"/>
  <c r="U637" i="1"/>
  <c r="V802" i="1"/>
  <c r="U44" i="1"/>
  <c r="U177" i="1"/>
  <c r="V282" i="1"/>
  <c r="V478" i="1"/>
  <c r="U538" i="1"/>
  <c r="U703" i="1"/>
  <c r="U86" i="1"/>
  <c r="U73" i="1"/>
  <c r="V197" i="1"/>
  <c r="V355" i="1"/>
  <c r="U422" i="1"/>
  <c r="V422" i="1" s="1"/>
  <c r="V404" i="1"/>
  <c r="U568" i="1"/>
  <c r="V569" i="1"/>
  <c r="U89" i="1"/>
  <c r="U52" i="1"/>
  <c r="V200" i="1"/>
  <c r="V323" i="1"/>
  <c r="V382" i="1"/>
  <c r="V431" i="1"/>
  <c r="U559" i="1"/>
  <c r="V559" i="1" s="1"/>
  <c r="V630" i="1"/>
  <c r="V651" i="1"/>
  <c r="V1276" i="1"/>
  <c r="AB1387" i="1"/>
  <c r="AA432" i="1"/>
  <c r="AB432" i="1" s="1"/>
  <c r="AA574" i="1"/>
  <c r="AB574" i="1" s="1"/>
  <c r="AA667" i="1"/>
  <c r="AB667" i="1" s="1"/>
  <c r="AA700" i="1"/>
  <c r="AB700" i="1" s="1"/>
  <c r="AB824" i="1"/>
  <c r="AA867" i="1"/>
  <c r="AB867" i="1" s="1"/>
  <c r="AB1006" i="1"/>
  <c r="AA1035" i="1"/>
  <c r="AB1035" i="1" s="1"/>
  <c r="AB1168" i="1"/>
  <c r="AA1263" i="1"/>
  <c r="AB1263" i="1" s="1"/>
  <c r="AA520" i="1"/>
  <c r="AB520" i="1" s="1"/>
  <c r="AA531" i="1"/>
  <c r="AB531" i="1" s="1"/>
  <c r="AA660" i="1"/>
  <c r="AB660" i="1" s="1"/>
  <c r="AB772" i="1"/>
  <c r="AA839" i="1"/>
  <c r="AB839" i="1" s="1"/>
  <c r="AA884" i="1"/>
  <c r="AB884" i="1" s="1"/>
  <c r="AA926" i="1"/>
  <c r="AB926" i="1" s="1"/>
  <c r="AB1032" i="1"/>
  <c r="AB1054" i="1"/>
  <c r="AB1197" i="1"/>
  <c r="AB1212" i="1"/>
  <c r="AA1280" i="1"/>
  <c r="AB1280" i="1" s="1"/>
  <c r="AA1330" i="1"/>
  <c r="AB450" i="1"/>
  <c r="AA511" i="1"/>
  <c r="AB511" i="1" s="1"/>
  <c r="AA546" i="1"/>
  <c r="AB546" i="1" s="1"/>
  <c r="AB670" i="1"/>
  <c r="AA716" i="1"/>
  <c r="AB716" i="1" s="1"/>
  <c r="AA821" i="1"/>
  <c r="AB868" i="1"/>
  <c r="AB988" i="1"/>
  <c r="AA1043" i="1"/>
  <c r="AB1043" i="1" s="1"/>
  <c r="AB1117" i="1"/>
  <c r="AA1182" i="1"/>
  <c r="AB1182" i="1" s="1"/>
  <c r="AB1230" i="1"/>
  <c r="AA460" i="1"/>
  <c r="AB513" i="1"/>
  <c r="AB548" i="1"/>
  <c r="AA680" i="1"/>
  <c r="AB680" i="1" s="1"/>
  <c r="AB718" i="1"/>
  <c r="AB823" i="1"/>
  <c r="AA878" i="1"/>
  <c r="AB878" i="1" s="1"/>
  <c r="AA998" i="1"/>
  <c r="AB1045" i="1"/>
  <c r="AA1127" i="1"/>
  <c r="AB1184" i="1"/>
  <c r="AA1240" i="1"/>
  <c r="AB1321" i="1"/>
  <c r="AB238" i="1"/>
  <c r="AB13" i="1"/>
  <c r="AB289" i="1"/>
  <c r="AB162" i="1"/>
  <c r="AA390" i="1"/>
  <c r="AB390" i="1" s="1"/>
  <c r="AA334" i="1"/>
  <c r="AB334" i="1" s="1"/>
  <c r="AA163" i="1"/>
  <c r="AB163" i="1" s="1"/>
  <c r="AA238" i="1"/>
  <c r="AB108" i="1"/>
  <c r="AA306" i="1"/>
  <c r="AB306" i="1" s="1"/>
  <c r="AB228" i="1"/>
  <c r="AB217" i="1"/>
  <c r="AA106" i="1"/>
  <c r="AB106" i="1" s="1"/>
  <c r="AA309" i="1"/>
  <c r="AB319" i="1"/>
  <c r="AA194" i="1"/>
  <c r="AB62" i="1"/>
  <c r="AB87" i="1"/>
  <c r="AA10" i="1"/>
  <c r="AA368" i="1"/>
  <c r="AB187" i="1"/>
  <c r="AA77" i="1"/>
  <c r="AB77" i="1" s="1"/>
  <c r="AB325" i="1"/>
  <c r="AB209" i="1"/>
  <c r="AB198" i="1"/>
  <c r="AA98" i="1"/>
  <c r="AB98" i="1" s="1"/>
  <c r="AB113" i="1"/>
  <c r="AA302" i="1"/>
  <c r="AB302" i="1" s="1"/>
  <c r="AA370" i="1"/>
  <c r="AA199" i="1"/>
  <c r="AB190" i="1"/>
  <c r="AA90" i="1"/>
  <c r="AB90" i="1" s="1"/>
  <c r="AA25" i="1"/>
  <c r="AB25" i="1" s="1"/>
  <c r="AB272" i="1"/>
  <c r="AA202" i="1"/>
  <c r="AA191" i="1"/>
  <c r="AB191" i="1" s="1"/>
  <c r="AB71" i="1"/>
  <c r="AB72" i="1"/>
  <c r="V755" i="1"/>
  <c r="V82" i="1"/>
  <c r="V765" i="1"/>
  <c r="V372" i="1"/>
  <c r="U427" i="1"/>
  <c r="V539" i="1"/>
  <c r="U548" i="1"/>
  <c r="V548" i="1" s="1"/>
  <c r="U778" i="1"/>
  <c r="U676" i="1"/>
  <c r="V676" i="1" s="1"/>
  <c r="U697" i="1"/>
  <c r="V342" i="1"/>
  <c r="V589" i="1"/>
  <c r="V139" i="1"/>
  <c r="U489" i="1"/>
  <c r="V609" i="1"/>
  <c r="U688" i="1"/>
  <c r="U709" i="1"/>
  <c r="V798" i="1"/>
  <c r="U116" i="1"/>
  <c r="U249" i="1"/>
  <c r="V354" i="1"/>
  <c r="U610" i="1"/>
  <c r="U152" i="1"/>
  <c r="V152" i="1" s="1"/>
  <c r="U145" i="1"/>
  <c r="U298" i="1"/>
  <c r="V284" i="1"/>
  <c r="U334" i="1"/>
  <c r="U494" i="1"/>
  <c r="V494" i="1" s="1"/>
  <c r="V476" i="1"/>
  <c r="V632" i="1"/>
  <c r="U634" i="1"/>
  <c r="V732" i="1"/>
  <c r="U156" i="1"/>
  <c r="V156" i="1" s="1"/>
  <c r="U124" i="1"/>
  <c r="V124" i="1" s="1"/>
  <c r="U274" i="1"/>
  <c r="V274" i="1" s="1"/>
  <c r="U396" i="1"/>
  <c r="V396" i="1" s="1"/>
  <c r="V339" i="1"/>
  <c r="V509" i="1"/>
  <c r="U633" i="1"/>
  <c r="V367" i="1"/>
  <c r="AA1273" i="1"/>
  <c r="AB1273" i="1" s="1"/>
  <c r="AA1323" i="1"/>
  <c r="AB1323" i="1" s="1"/>
  <c r="AB411" i="1"/>
  <c r="AA502" i="1"/>
  <c r="AB502" i="1" s="1"/>
  <c r="AB521" i="1"/>
  <c r="AB829" i="1"/>
  <c r="AB874" i="1"/>
  <c r="AB916" i="1"/>
  <c r="AA1052" i="1"/>
  <c r="AB1052" i="1" s="1"/>
  <c r="AA1195" i="1"/>
  <c r="AB1195" i="1" s="1"/>
  <c r="AA1210" i="1"/>
  <c r="AB1210" i="1" s="1"/>
  <c r="AB1320" i="1"/>
  <c r="AA592" i="1"/>
  <c r="AA603" i="1"/>
  <c r="AB603" i="1" s="1"/>
  <c r="AA641" i="1"/>
  <c r="AB641" i="1" s="1"/>
  <c r="AB765" i="1"/>
  <c r="AB791" i="1"/>
  <c r="AB891" i="1"/>
  <c r="AB945" i="1"/>
  <c r="AB973" i="1"/>
  <c r="AB1128" i="1"/>
  <c r="AB1171" i="1"/>
  <c r="AA1285" i="1"/>
  <c r="AB1285" i="1" s="1"/>
  <c r="AA1335" i="1"/>
  <c r="AB1335" i="1" s="1"/>
  <c r="AA417" i="1"/>
  <c r="AA583" i="1"/>
  <c r="AB583" i="1" s="1"/>
  <c r="AA618" i="1"/>
  <c r="AB618" i="1" s="1"/>
  <c r="AB639" i="1"/>
  <c r="AB819" i="1"/>
  <c r="AA826" i="1"/>
  <c r="AB826" i="1" s="1"/>
  <c r="AA871" i="1"/>
  <c r="AB871" i="1" s="1"/>
  <c r="AA991" i="1"/>
  <c r="AB1050" i="1"/>
  <c r="AA1132" i="1"/>
  <c r="AB1132" i="1" s="1"/>
  <c r="AA1204" i="1"/>
  <c r="AB1204" i="1" s="1"/>
  <c r="AB1302" i="1"/>
  <c r="AA449" i="1"/>
  <c r="AB419" i="1"/>
  <c r="AB585" i="1"/>
  <c r="AA621" i="1"/>
  <c r="AB621" i="1" s="1"/>
  <c r="AA649" i="1"/>
  <c r="AB649" i="1" s="1"/>
  <c r="AA709" i="1"/>
  <c r="AB709" i="1" s="1"/>
  <c r="AB828" i="1"/>
  <c r="AB873" i="1"/>
  <c r="AB993" i="1"/>
  <c r="AA1060" i="1"/>
  <c r="AB1060" i="1" s="1"/>
  <c r="AB1134" i="1"/>
  <c r="AA1144" i="1"/>
  <c r="AB1144" i="1" s="1"/>
  <c r="AA1312" i="1"/>
  <c r="AB1326" i="1"/>
  <c r="AB34" i="1"/>
  <c r="AB320" i="1"/>
  <c r="AA250" i="1"/>
  <c r="AB250" i="1" s="1"/>
  <c r="AB120" i="1"/>
  <c r="AA373" i="1"/>
  <c r="AB373" i="1" s="1"/>
  <c r="AA166" i="1"/>
  <c r="AB166" i="1" s="1"/>
  <c r="AB276" i="1"/>
  <c r="AB36" i="1"/>
  <c r="AB363" i="1"/>
  <c r="AA310" i="1"/>
  <c r="AB138" i="1"/>
  <c r="AA157" i="1"/>
  <c r="AB342" i="1"/>
  <c r="AB251" i="1"/>
  <c r="AB159" i="1"/>
  <c r="AB403" i="1"/>
  <c r="AA296" i="1"/>
  <c r="AA240" i="1"/>
  <c r="AA241" i="1"/>
  <c r="AB121" i="1"/>
  <c r="AB356" i="1"/>
  <c r="AB279" i="1"/>
  <c r="AA269" i="1"/>
  <c r="AA152" i="1"/>
  <c r="AB153" i="1"/>
  <c r="AB359" i="1"/>
  <c r="AA377" i="1"/>
  <c r="AB377" i="1" s="1"/>
  <c r="AB244" i="1"/>
  <c r="AA120" i="1"/>
  <c r="AA145" i="1"/>
  <c r="AB145" i="1" s="1"/>
  <c r="AA27" i="1"/>
  <c r="AB27" i="1" s="1"/>
  <c r="AA337" i="1"/>
  <c r="AB337" i="1" s="1"/>
  <c r="AA245" i="1"/>
  <c r="AB245" i="1" s="1"/>
  <c r="AB236" i="1"/>
  <c r="AA112" i="1"/>
  <c r="AB127" i="1"/>
  <c r="V635" i="1"/>
  <c r="V483" i="1"/>
  <c r="U499" i="1"/>
  <c r="V499" i="1" s="1"/>
  <c r="V611" i="1"/>
  <c r="V773" i="1"/>
  <c r="V60" i="1"/>
  <c r="V193" i="1"/>
  <c r="U302" i="1"/>
  <c r="V302" i="1" s="1"/>
  <c r="V468" i="1"/>
  <c r="V546" i="1"/>
  <c r="U555" i="1"/>
  <c r="U641" i="1"/>
  <c r="V641" i="1" s="1"/>
  <c r="V205" i="1"/>
  <c r="U314" i="1"/>
  <c r="U400" i="1"/>
  <c r="V400" i="1" s="1"/>
  <c r="V480" i="1"/>
  <c r="U565" i="1"/>
  <c r="V76" i="1"/>
  <c r="V63" i="1"/>
  <c r="U195" i="1"/>
  <c r="V196" i="1"/>
  <c r="V412" i="1"/>
  <c r="U402" i="1"/>
  <c r="V558" i="1"/>
  <c r="U567" i="1"/>
  <c r="U653" i="1"/>
  <c r="V653" i="1" s="1"/>
  <c r="V727" i="1"/>
  <c r="V105" i="1"/>
  <c r="V80" i="1"/>
  <c r="V226" i="1"/>
  <c r="V574" i="1"/>
  <c r="U706" i="1"/>
  <c r="V706" i="1" s="1"/>
  <c r="U735" i="1"/>
  <c r="U94" i="1"/>
  <c r="V71" i="1"/>
  <c r="U227" i="1"/>
  <c r="V328" i="1"/>
  <c r="V505" i="1"/>
  <c r="V578" i="1"/>
  <c r="U705" i="1"/>
  <c r="V705" i="1" s="1"/>
  <c r="V738" i="1"/>
  <c r="V166" i="1"/>
  <c r="V212" i="1"/>
  <c r="V784" i="1"/>
  <c r="AA1328" i="1"/>
  <c r="AB1328" i="1" s="1"/>
  <c r="AB483" i="1"/>
  <c r="AB582" i="1"/>
  <c r="AB593" i="1"/>
  <c r="AB631" i="1"/>
  <c r="AA763" i="1"/>
  <c r="AB763" i="1" s="1"/>
  <c r="AA789" i="1"/>
  <c r="AB789" i="1" s="1"/>
  <c r="AA889" i="1"/>
  <c r="AB889" i="1" s="1"/>
  <c r="AA943" i="1"/>
  <c r="AA971" i="1"/>
  <c r="AA1126" i="1"/>
  <c r="AB1126" i="1" s="1"/>
  <c r="AA1169" i="1"/>
  <c r="AB1169" i="1" s="1"/>
  <c r="AA1215" i="1"/>
  <c r="AB1215" i="1" s="1"/>
  <c r="AB1325" i="1"/>
  <c r="AB464" i="1"/>
  <c r="AA537" i="1"/>
  <c r="AB537" i="1" s="1"/>
  <c r="AA560" i="1"/>
  <c r="AB560" i="1" s="1"/>
  <c r="AB767" i="1"/>
  <c r="AB770" i="1"/>
  <c r="AA794" i="1"/>
  <c r="AB794" i="1" s="1"/>
  <c r="AB950" i="1"/>
  <c r="AB990" i="1"/>
  <c r="AA1143" i="1"/>
  <c r="AB1143" i="1" s="1"/>
  <c r="AA1186" i="1"/>
  <c r="AB1186" i="1" s="1"/>
  <c r="AB1234" i="1"/>
  <c r="AA1340" i="1"/>
  <c r="AB1340" i="1" s="1"/>
  <c r="AA489" i="1"/>
  <c r="AB530" i="1"/>
  <c r="AB565" i="1"/>
  <c r="AA630" i="1"/>
  <c r="AB630" i="1" s="1"/>
  <c r="AB771" i="1"/>
  <c r="AA831" i="1"/>
  <c r="AB831" i="1" s="1"/>
  <c r="AA944" i="1"/>
  <c r="AB944" i="1" s="1"/>
  <c r="AA1008" i="1"/>
  <c r="AB1079" i="1"/>
  <c r="AB1139" i="1"/>
  <c r="AA1161" i="1"/>
  <c r="AB1161" i="1" s="1"/>
  <c r="AA1262" i="1"/>
  <c r="AB1262" i="1" s="1"/>
  <c r="AB1319" i="1"/>
  <c r="AA406" i="1"/>
  <c r="AB491" i="1"/>
  <c r="AA540" i="1"/>
  <c r="AB540" i="1" s="1"/>
  <c r="AA575" i="1"/>
  <c r="AB575" i="1" s="1"/>
  <c r="AB632" i="1"/>
  <c r="AA714" i="1"/>
  <c r="AB714" i="1" s="1"/>
  <c r="AB833" i="1"/>
  <c r="AB946" i="1"/>
  <c r="AB1010" i="1"/>
  <c r="AB1084" i="1"/>
  <c r="AB1096" i="1"/>
  <c r="AB1163" i="1"/>
  <c r="AB1264" i="1"/>
  <c r="AA1329" i="1"/>
  <c r="AB220" i="1"/>
  <c r="AA39" i="1"/>
  <c r="AA178" i="1"/>
  <c r="AB178" i="1" s="1"/>
  <c r="AA364" i="1"/>
  <c r="AB269" i="1"/>
  <c r="AA24" i="1"/>
  <c r="AB24" i="1" s="1"/>
  <c r="AA76" i="1"/>
  <c r="AB76" i="1" s="1"/>
  <c r="AB91" i="1"/>
  <c r="AA380" i="1"/>
  <c r="AB380" i="1" s="1"/>
  <c r="AB199" i="1"/>
  <c r="AB66" i="1"/>
  <c r="AA89" i="1"/>
  <c r="AB89" i="1" s="1"/>
  <c r="AB270" i="1"/>
  <c r="AA300" i="1"/>
  <c r="AB179" i="1"/>
  <c r="AB405" i="1"/>
  <c r="AA168" i="1"/>
  <c r="AB49" i="1"/>
  <c r="AB6" i="1"/>
  <c r="AB284" i="1"/>
  <c r="AA214" i="1"/>
  <c r="AA203" i="1"/>
  <c r="AB203" i="1" s="1"/>
  <c r="AB83" i="1"/>
  <c r="AB84" i="1"/>
  <c r="AB287" i="1"/>
  <c r="AA305" i="1"/>
  <c r="AB305" i="1" s="1"/>
  <c r="AB172" i="1"/>
  <c r="AA48" i="1"/>
  <c r="AB48" i="1" s="1"/>
  <c r="AA73" i="1"/>
  <c r="AB73" i="1" s="1"/>
  <c r="AB29" i="1"/>
  <c r="AB346" i="1"/>
  <c r="AA173" i="1"/>
  <c r="AB173" i="1" s="1"/>
  <c r="AB164" i="1"/>
  <c r="AA40" i="1"/>
  <c r="AB40" i="1" s="1"/>
  <c r="AB55" i="1"/>
  <c r="U17" i="1"/>
  <c r="V565" i="1"/>
  <c r="V638" i="1"/>
  <c r="U763" i="1"/>
  <c r="V691" i="1"/>
  <c r="V98" i="1"/>
  <c r="V73" i="1"/>
  <c r="U460" i="1"/>
  <c r="V460" i="1" s="1"/>
  <c r="V764" i="1"/>
  <c r="V265" i="1"/>
  <c r="U374" i="1"/>
  <c r="V374" i="1" s="1"/>
  <c r="V344" i="1"/>
  <c r="V620" i="1"/>
  <c r="V312" i="1"/>
  <c r="V472" i="1"/>
  <c r="U462" i="1"/>
  <c r="V462" i="1" s="1"/>
  <c r="V618" i="1"/>
  <c r="U620" i="1"/>
  <c r="V715" i="1"/>
  <c r="U718" i="1"/>
  <c r="V718" i="1" s="1"/>
  <c r="U386" i="1"/>
  <c r="V356" i="1"/>
  <c r="U654" i="1"/>
  <c r="V654" i="1" s="1"/>
  <c r="V511" i="1"/>
  <c r="U638" i="1"/>
  <c r="V135" i="1"/>
  <c r="V324" i="1"/>
  <c r="U474" i="1"/>
  <c r="V474" i="1" s="1"/>
  <c r="V624" i="1"/>
  <c r="U631" i="1"/>
  <c r="V631" i="1" s="1"/>
  <c r="U730" i="1"/>
  <c r="U60" i="1"/>
  <c r="V159" i="1"/>
  <c r="V341" i="1"/>
  <c r="V414" i="1"/>
  <c r="V532" i="1"/>
  <c r="U678" i="1"/>
  <c r="U687" i="1"/>
  <c r="U39" i="1"/>
  <c r="V39" i="1" s="1"/>
  <c r="V143" i="1"/>
  <c r="U172" i="1"/>
  <c r="V172" i="1" s="1"/>
  <c r="V321" i="1"/>
  <c r="V473" i="1"/>
  <c r="U522" i="1"/>
  <c r="U533" i="1"/>
  <c r="V533" i="1" s="1"/>
  <c r="V652" i="1"/>
  <c r="V238" i="1"/>
  <c r="V281" i="1"/>
  <c r="V981" i="1"/>
  <c r="AB1239" i="1"/>
  <c r="AA1295" i="1"/>
  <c r="AB1295" i="1" s="1"/>
  <c r="AA462" i="1"/>
  <c r="AB527" i="1"/>
  <c r="AB550" i="1"/>
  <c r="AB703" i="1"/>
  <c r="AA894" i="1"/>
  <c r="AB894" i="1" s="1"/>
  <c r="AA948" i="1"/>
  <c r="AB948" i="1" s="1"/>
  <c r="AB1133" i="1"/>
  <c r="AB1176" i="1"/>
  <c r="AA1232" i="1"/>
  <c r="AB1232" i="1" s="1"/>
  <c r="AB1330" i="1"/>
  <c r="AB409" i="1"/>
  <c r="AA609" i="1"/>
  <c r="AB609" i="1" s="1"/>
  <c r="AB696" i="1"/>
  <c r="AA811" i="1"/>
  <c r="AA844" i="1"/>
  <c r="AB844" i="1" s="1"/>
  <c r="AA953" i="1"/>
  <c r="AB953" i="1" s="1"/>
  <c r="AB995" i="1"/>
  <c r="AA1093" i="1"/>
  <c r="AA1148" i="1"/>
  <c r="AB1251" i="1"/>
  <c r="AA1307" i="1"/>
  <c r="AB468" i="1"/>
  <c r="AB436" i="1"/>
  <c r="AB602" i="1"/>
  <c r="AB659" i="1"/>
  <c r="AA702" i="1"/>
  <c r="AB702" i="1" s="1"/>
  <c r="AB776" i="1"/>
  <c r="AA852" i="1"/>
  <c r="AB852" i="1" s="1"/>
  <c r="AA961" i="1"/>
  <c r="AB961" i="1" s="1"/>
  <c r="AA1001" i="1"/>
  <c r="AB1001" i="1" s="1"/>
  <c r="AA1039" i="1"/>
  <c r="AB1039" i="1" s="1"/>
  <c r="AA1087" i="1"/>
  <c r="AB1087" i="1" s="1"/>
  <c r="AA1233" i="1"/>
  <c r="AB1233" i="1" s="1"/>
  <c r="AA1279" i="1"/>
  <c r="AB1279" i="1" s="1"/>
  <c r="AB1324" i="1"/>
  <c r="AA478" i="1"/>
  <c r="AA446" i="1"/>
  <c r="AA612" i="1"/>
  <c r="AB612" i="1" s="1"/>
  <c r="AA669" i="1"/>
  <c r="AB669" i="1" s="1"/>
  <c r="AB704" i="1"/>
  <c r="AA817" i="1"/>
  <c r="AB817" i="1" s="1"/>
  <c r="AB854" i="1"/>
  <c r="AB963" i="1"/>
  <c r="AB1003" i="1"/>
  <c r="AB1041" i="1"/>
  <c r="AB1089" i="1"/>
  <c r="AB1235" i="1"/>
  <c r="AB1281" i="1"/>
  <c r="AA1334" i="1"/>
  <c r="AA376" i="1"/>
  <c r="AB376" i="1" s="1"/>
  <c r="AB300" i="1"/>
  <c r="AB152" i="1"/>
  <c r="AA5" i="1"/>
  <c r="AB5" i="1" s="1"/>
  <c r="AB212" i="1"/>
  <c r="AB69" i="1"/>
  <c r="AB439" i="1"/>
  <c r="AB310" i="1"/>
  <c r="AB255" i="1"/>
  <c r="AB415" i="1"/>
  <c r="AA308" i="1"/>
  <c r="AB308" i="1" s="1"/>
  <c r="AA252" i="1"/>
  <c r="AA253" i="1"/>
  <c r="AB253" i="1" s="1"/>
  <c r="AB133" i="1"/>
  <c r="AB221" i="1"/>
  <c r="AB210" i="1"/>
  <c r="AB125" i="1"/>
  <c r="AA314" i="1"/>
  <c r="AB314" i="1" s="1"/>
  <c r="AA382" i="1"/>
  <c r="AB382" i="1" s="1"/>
  <c r="AA211" i="1"/>
  <c r="AB202" i="1"/>
  <c r="AA102" i="1"/>
  <c r="AB102" i="1" s="1"/>
  <c r="AA3" i="1"/>
  <c r="AB3" i="1" s="1"/>
  <c r="AA349" i="1"/>
  <c r="AB349" i="1" s="1"/>
  <c r="AA257" i="1"/>
  <c r="AB257" i="1" s="1"/>
  <c r="AB248" i="1"/>
  <c r="AA124" i="1"/>
  <c r="AB124" i="1" s="1"/>
  <c r="AB139" i="1"/>
  <c r="AA328" i="1"/>
  <c r="AB350" i="1"/>
  <c r="AA237" i="1"/>
  <c r="AB105" i="1"/>
  <c r="AB142" i="1"/>
  <c r="AB369" i="1"/>
  <c r="AB274" i="1"/>
  <c r="AB218" i="1"/>
  <c r="AB219" i="1"/>
  <c r="AA107" i="1"/>
  <c r="AB107" i="1" s="1"/>
  <c r="U15" i="1"/>
  <c r="V15" i="1" s="1"/>
  <c r="V402" i="1"/>
  <c r="V522" i="1"/>
  <c r="U531" i="1"/>
  <c r="V531" i="1" s="1"/>
  <c r="V44" i="1"/>
  <c r="V190" i="1"/>
  <c r="V417" i="1"/>
  <c r="V538" i="1"/>
  <c r="V768" i="1"/>
  <c r="V145" i="1"/>
  <c r="V285" i="1"/>
  <c r="V395" i="1"/>
  <c r="V697" i="1"/>
  <c r="V77" i="1"/>
  <c r="U392" i="1"/>
  <c r="V392" i="1" s="1"/>
  <c r="V560" i="1"/>
  <c r="U777" i="1"/>
  <c r="V384" i="1"/>
  <c r="U439" i="1"/>
  <c r="V439" i="1" s="1"/>
  <c r="V409" i="1"/>
  <c r="U560" i="1"/>
  <c r="V684" i="1"/>
  <c r="V89" i="1"/>
  <c r="V572" i="1"/>
  <c r="V583" i="1"/>
  <c r="U762" i="1"/>
  <c r="V762" i="1" s="1"/>
  <c r="U78" i="1"/>
  <c r="U224" i="1"/>
  <c r="V213" i="1"/>
  <c r="U267" i="1"/>
  <c r="V267" i="1" s="1"/>
  <c r="U451" i="1"/>
  <c r="V451" i="1" s="1"/>
  <c r="V421" i="1"/>
  <c r="U572" i="1"/>
  <c r="V725" i="1"/>
  <c r="U132" i="1"/>
  <c r="V132" i="1" s="1"/>
  <c r="U107" i="1"/>
  <c r="V231" i="1"/>
  <c r="U401" i="1"/>
  <c r="V604" i="1"/>
  <c r="U659" i="1"/>
  <c r="U757" i="1"/>
  <c r="U111" i="1"/>
  <c r="V111" i="1" s="1"/>
  <c r="V211" i="1"/>
  <c r="U244" i="1"/>
  <c r="V244" i="1" s="1"/>
  <c r="U391" i="1"/>
  <c r="V337" i="1"/>
  <c r="V418" i="1"/>
  <c r="U594" i="1"/>
  <c r="U605" i="1"/>
  <c r="V605" i="1" s="1"/>
  <c r="U643" i="1"/>
  <c r="U734" i="1"/>
  <c r="V734" i="1" s="1"/>
  <c r="U72" i="1"/>
  <c r="V72" i="1" s="1"/>
  <c r="V657" i="1"/>
  <c r="AB599" i="1"/>
  <c r="AB623" i="1"/>
  <c r="AA694" i="1"/>
  <c r="AB694" i="1" s="1"/>
  <c r="AB943" i="1"/>
  <c r="AA1201" i="1"/>
  <c r="AB1201" i="1" s="1"/>
  <c r="AA1249" i="1"/>
  <c r="AB1249" i="1" s="1"/>
  <c r="AB481" i="1"/>
  <c r="AA554" i="1"/>
  <c r="AB554" i="1" s="1"/>
  <c r="AB579" i="1"/>
  <c r="AA675" i="1"/>
  <c r="AB675" i="1" s="1"/>
  <c r="AB806" i="1"/>
  <c r="AB851" i="1"/>
  <c r="AA966" i="1"/>
  <c r="AB966" i="1" s="1"/>
  <c r="AA1081" i="1"/>
  <c r="AB1081" i="1" s="1"/>
  <c r="AA1098" i="1"/>
  <c r="AB1098" i="1" s="1"/>
  <c r="AA1165" i="1"/>
  <c r="AB1165" i="1" s="1"/>
  <c r="AB1260" i="1"/>
  <c r="AA447" i="1"/>
  <c r="AB447" i="1" s="1"/>
  <c r="AB417" i="1"/>
  <c r="AB547" i="1"/>
  <c r="AA671" i="1"/>
  <c r="AB671" i="1" s="1"/>
  <c r="AB783" i="1"/>
  <c r="AA845" i="1"/>
  <c r="AB845" i="1" s="1"/>
  <c r="AA967" i="1"/>
  <c r="AB967" i="1" s="1"/>
  <c r="AB1008" i="1"/>
  <c r="AA1056" i="1"/>
  <c r="AB1056" i="1" s="1"/>
  <c r="AA1104" i="1"/>
  <c r="AB1104" i="1" s="1"/>
  <c r="AB1240" i="1"/>
  <c r="AA1296" i="1"/>
  <c r="AB1296" i="1" s="1"/>
  <c r="AB1329" i="1"/>
  <c r="AB449" i="1"/>
  <c r="AA427" i="1"/>
  <c r="AA557" i="1"/>
  <c r="AB557" i="1" s="1"/>
  <c r="AA650" i="1"/>
  <c r="AB650" i="1" s="1"/>
  <c r="AB673" i="1"/>
  <c r="AB726" i="1"/>
  <c r="AB847" i="1"/>
  <c r="AA911" i="1"/>
  <c r="AB911" i="1" s="1"/>
  <c r="AA1018" i="1"/>
  <c r="AB1058" i="1"/>
  <c r="AB1106" i="1"/>
  <c r="AA1250" i="1"/>
  <c r="AB1250" i="1" s="1"/>
  <c r="AB1298" i="1"/>
  <c r="AA1339" i="1"/>
  <c r="AB463" i="1"/>
  <c r="AB266" i="1"/>
  <c r="AB275" i="1"/>
  <c r="AB148" i="1"/>
  <c r="AA232" i="1"/>
  <c r="AB232" i="1" s="1"/>
  <c r="AB157" i="1"/>
  <c r="AB309" i="1"/>
  <c r="AB353" i="1"/>
  <c r="AB182" i="1"/>
  <c r="AB183" i="1"/>
  <c r="AB297" i="1"/>
  <c r="AA180" i="1"/>
  <c r="AA181" i="1"/>
  <c r="AB181" i="1" s="1"/>
  <c r="AB61" i="1"/>
  <c r="AB368" i="1"/>
  <c r="AB303" i="1"/>
  <c r="AB288" i="1"/>
  <c r="AB53" i="1"/>
  <c r="AB371" i="1"/>
  <c r="AA402" i="1"/>
  <c r="AB402" i="1" s="1"/>
  <c r="AB256" i="1"/>
  <c r="AA132" i="1"/>
  <c r="AB132" i="1" s="1"/>
  <c r="AA30" i="1"/>
  <c r="AB30" i="1" s="1"/>
  <c r="AA12" i="1"/>
  <c r="AB358" i="1"/>
  <c r="AA185" i="1"/>
  <c r="AB185" i="1" s="1"/>
  <c r="AB176" i="1"/>
  <c r="AA52" i="1"/>
  <c r="AB67" i="1"/>
  <c r="AA389" i="1"/>
  <c r="AB389" i="1" s="1"/>
  <c r="AB278" i="1"/>
  <c r="AA165" i="1"/>
  <c r="AB70" i="1"/>
  <c r="AA386" i="1"/>
  <c r="AB386" i="1" s="1"/>
  <c r="AB317" i="1"/>
  <c r="AB261" i="1"/>
  <c r="AA260" i="1"/>
  <c r="AA35" i="1"/>
  <c r="AB35" i="1" s="1"/>
  <c r="AA28" i="1"/>
  <c r="AB28" i="1" s="1"/>
  <c r="V99" i="1"/>
  <c r="V232" i="1"/>
  <c r="V391" i="1"/>
  <c r="V594" i="1"/>
  <c r="U603" i="1"/>
  <c r="V763" i="1"/>
  <c r="V116" i="1"/>
  <c r="V489" i="1"/>
  <c r="V610" i="1"/>
  <c r="V236" i="1"/>
  <c r="V303" i="1"/>
  <c r="V467" i="1"/>
  <c r="V666" i="1"/>
  <c r="V687" i="1"/>
  <c r="V297" i="1"/>
  <c r="V314" i="1"/>
  <c r="V772" i="1"/>
  <c r="V170" i="1"/>
  <c r="V481" i="1"/>
  <c r="U728" i="1"/>
  <c r="U280" i="1"/>
  <c r="V280" i="1" s="1"/>
  <c r="U527" i="1"/>
  <c r="V717" i="1"/>
  <c r="V50" i="1"/>
  <c r="U148" i="1"/>
  <c r="V148" i="1" s="1"/>
  <c r="U157" i="1"/>
  <c r="V157" i="1" s="1"/>
  <c r="V182" i="1"/>
  <c r="V493" i="1"/>
  <c r="U530" i="1"/>
  <c r="V530" i="1" s="1"/>
  <c r="V668" i="1"/>
  <c r="U740" i="1"/>
  <c r="V740" i="1" s="1"/>
  <c r="V79" i="1"/>
  <c r="V42" i="1"/>
  <c r="U198" i="1"/>
  <c r="V198" i="1" s="1"/>
  <c r="U429" i="1"/>
  <c r="V549" i="1"/>
  <c r="U628" i="1"/>
  <c r="V628" i="1" s="1"/>
  <c r="U649" i="1"/>
  <c r="U56" i="1"/>
  <c r="U190" i="1"/>
  <c r="U189" i="1"/>
  <c r="V189" i="1" s="1"/>
  <c r="V294" i="1"/>
  <c r="V490" i="1"/>
  <c r="V541" i="1"/>
  <c r="U550" i="1"/>
  <c r="V550" i="1" s="1"/>
  <c r="V664" i="1"/>
  <c r="AB1160" i="1"/>
  <c r="AA1216" i="1"/>
  <c r="AA1374" i="1"/>
  <c r="AB544" i="1"/>
  <c r="AA577" i="1"/>
  <c r="AB577" i="1" s="1"/>
  <c r="AB665" i="1"/>
  <c r="AB768" i="1"/>
  <c r="AA804" i="1"/>
  <c r="AB804" i="1" s="1"/>
  <c r="AA849" i="1"/>
  <c r="AB849" i="1" s="1"/>
  <c r="AB960" i="1"/>
  <c r="AB1071" i="1"/>
  <c r="AB1088" i="1"/>
  <c r="AB1155" i="1"/>
  <c r="AB1256" i="1"/>
  <c r="AB1371" i="1"/>
  <c r="AA448" i="1"/>
  <c r="AB448" i="1" s="1"/>
  <c r="AA622" i="1"/>
  <c r="AB622" i="1" s="1"/>
  <c r="AB536" i="1"/>
  <c r="AA668" i="1"/>
  <c r="AB668" i="1" s="1"/>
  <c r="AB773" i="1"/>
  <c r="AB811" i="1"/>
  <c r="AA866" i="1"/>
  <c r="AB866" i="1" s="1"/>
  <c r="AA986" i="1"/>
  <c r="AB986" i="1" s="1"/>
  <c r="AB1033" i="1"/>
  <c r="AA1115" i="1"/>
  <c r="AB1115" i="1" s="1"/>
  <c r="AB1172" i="1"/>
  <c r="AA1228" i="1"/>
  <c r="AB1228" i="1" s="1"/>
  <c r="AA1386" i="1"/>
  <c r="AB406" i="1"/>
  <c r="AB489" i="1"/>
  <c r="AA514" i="1"/>
  <c r="AB514" i="1" s="1"/>
  <c r="AB755" i="1"/>
  <c r="AA640" i="1"/>
  <c r="AB640" i="1" s="1"/>
  <c r="AA781" i="1"/>
  <c r="AB781" i="1" s="1"/>
  <c r="AA862" i="1"/>
  <c r="AB862" i="1" s="1"/>
  <c r="AA904" i="1"/>
  <c r="AB904" i="1" s="1"/>
  <c r="AB1013" i="1"/>
  <c r="AA1073" i="1"/>
  <c r="AB1073" i="1" s="1"/>
  <c r="AA1109" i="1"/>
  <c r="AB1109" i="1" s="1"/>
  <c r="AB1257" i="1"/>
  <c r="AB1315" i="1"/>
  <c r="AA416" i="1"/>
  <c r="AB416" i="1" s="1"/>
  <c r="AA499" i="1"/>
  <c r="AB516" i="1"/>
  <c r="AB642" i="1"/>
  <c r="AB795" i="1"/>
  <c r="AB864" i="1"/>
  <c r="AB906" i="1"/>
  <c r="AA1023" i="1"/>
  <c r="AB1023" i="1" s="1"/>
  <c r="AB1075" i="1"/>
  <c r="AB1111" i="1"/>
  <c r="AA1200" i="1"/>
  <c r="AB1200" i="1" s="1"/>
  <c r="AA1270" i="1"/>
  <c r="AB1270" i="1" s="1"/>
  <c r="AB1334" i="1"/>
  <c r="AB365" i="1"/>
  <c r="AB194" i="1"/>
  <c r="AB195" i="1"/>
  <c r="AA21" i="1"/>
  <c r="AB21" i="1" s="1"/>
  <c r="AA160" i="1"/>
  <c r="AB160" i="1" s="1"/>
  <c r="AB52" i="1"/>
  <c r="AA338" i="1"/>
  <c r="AB338" i="1" s="1"/>
  <c r="AB281" i="1"/>
  <c r="AB225" i="1"/>
  <c r="AA224" i="1"/>
  <c r="AB224" i="1" s="1"/>
  <c r="AB116" i="1"/>
  <c r="AB328" i="1"/>
  <c r="AA223" i="1"/>
  <c r="AB223" i="1" s="1"/>
  <c r="AB214" i="1"/>
  <c r="AB8" i="1"/>
  <c r="AB296" i="1"/>
  <c r="AA226" i="1"/>
  <c r="AB226" i="1" s="1"/>
  <c r="AA215" i="1"/>
  <c r="AB215" i="1" s="1"/>
  <c r="AB95" i="1"/>
  <c r="AB96" i="1"/>
  <c r="AB299" i="1"/>
  <c r="AB184" i="1"/>
  <c r="AA60" i="1"/>
  <c r="AB60" i="1" s="1"/>
  <c r="AA85" i="1"/>
  <c r="AB85" i="1" s="1"/>
  <c r="AB394" i="1"/>
  <c r="AB286" i="1"/>
  <c r="AB230" i="1"/>
  <c r="AB231" i="1"/>
  <c r="AA119" i="1"/>
  <c r="AB119" i="1" s="1"/>
  <c r="AA323" i="1"/>
  <c r="AB323" i="1" s="1"/>
  <c r="AA207" i="1"/>
  <c r="AB207" i="1" s="1"/>
  <c r="AA196" i="1"/>
  <c r="AB88" i="1"/>
  <c r="AA111" i="1"/>
  <c r="AB292" i="1"/>
  <c r="AB360" i="1"/>
  <c r="AB189" i="1"/>
  <c r="AA188" i="1"/>
  <c r="AB80" i="1"/>
  <c r="V177" i="1"/>
  <c r="V527" i="1"/>
  <c r="V660" i="1"/>
  <c r="V195" i="1"/>
  <c r="V450" i="1"/>
  <c r="V568" i="1"/>
  <c r="V712" i="1"/>
  <c r="U644" i="1"/>
  <c r="V644" i="1" s="1"/>
  <c r="V778" i="1"/>
  <c r="V375" i="1"/>
  <c r="V543" i="1"/>
  <c r="V542" i="1"/>
  <c r="U669" i="1"/>
  <c r="V669" i="1" s="1"/>
  <c r="V94" i="1"/>
  <c r="V228" i="1"/>
  <c r="V227" i="1"/>
  <c r="V386" i="1"/>
  <c r="V588" i="1"/>
  <c r="U660" i="1"/>
  <c r="V777" i="1"/>
  <c r="V242" i="1"/>
  <c r="V637" i="1"/>
  <c r="V735" i="1"/>
  <c r="V240" i="1"/>
  <c r="V239" i="1"/>
  <c r="U393" i="1"/>
  <c r="U352" i="1"/>
  <c r="V352" i="1" s="1"/>
  <c r="V435" i="1"/>
  <c r="U599" i="1"/>
  <c r="V599" i="1" s="1"/>
  <c r="U672" i="1"/>
  <c r="V672" i="1" s="1"/>
  <c r="V722" i="1"/>
  <c r="V122" i="1"/>
  <c r="V254" i="1"/>
  <c r="V298" i="1"/>
  <c r="U484" i="1"/>
  <c r="V484" i="1" s="1"/>
  <c r="U602" i="1"/>
  <c r="V602" i="1" s="1"/>
  <c r="V649" i="1"/>
  <c r="V670" i="1"/>
  <c r="U153" i="1"/>
  <c r="V153" i="1" s="1"/>
  <c r="V114" i="1"/>
  <c r="U268" i="1"/>
  <c r="V268" i="1" s="1"/>
  <c r="U389" i="1"/>
  <c r="V389" i="1" s="1"/>
  <c r="V420" i="1"/>
  <c r="U501" i="1"/>
  <c r="V501" i="1" s="1"/>
  <c r="V625" i="1"/>
  <c r="U700" i="1"/>
  <c r="V700" i="1" s="1"/>
  <c r="V721" i="1"/>
  <c r="U128" i="1"/>
  <c r="V128" i="1" s="1"/>
  <c r="U262" i="1"/>
  <c r="V262" i="1" s="1"/>
  <c r="U261" i="1"/>
  <c r="V261" i="1" s="1"/>
  <c r="V366" i="1"/>
  <c r="U457" i="1"/>
  <c r="V613" i="1"/>
  <c r="U632" i="1"/>
  <c r="V686" i="1"/>
  <c r="AB1369" i="1"/>
  <c r="AB438" i="1"/>
  <c r="AB616" i="1"/>
  <c r="AA534" i="1"/>
  <c r="AB534" i="1" s="1"/>
  <c r="AB658" i="1"/>
  <c r="AA809" i="1"/>
  <c r="AB809" i="1" s="1"/>
  <c r="AB856" i="1"/>
  <c r="AB976" i="1"/>
  <c r="AB1076" i="1"/>
  <c r="AB1105" i="1"/>
  <c r="AA1170" i="1"/>
  <c r="AB1170" i="1" s="1"/>
  <c r="AB1218" i="1"/>
  <c r="AB1376" i="1"/>
  <c r="AA437" i="1"/>
  <c r="AB437" i="1" s="1"/>
  <c r="AB407" i="1"/>
  <c r="AB573" i="1"/>
  <c r="AB608" i="1"/>
  <c r="AA637" i="1"/>
  <c r="AB637" i="1" s="1"/>
  <c r="AB778" i="1"/>
  <c r="AB816" i="1"/>
  <c r="AB861" i="1"/>
  <c r="AB981" i="1"/>
  <c r="AA1048" i="1"/>
  <c r="AB1048" i="1" s="1"/>
  <c r="AB1122" i="1"/>
  <c r="AB1203" i="1"/>
  <c r="AA1300" i="1"/>
  <c r="AB1300" i="1" s="1"/>
  <c r="AB1381" i="1"/>
  <c r="AB478" i="1"/>
  <c r="AA444" i="1"/>
  <c r="AB444" i="1" s="1"/>
  <c r="AA586" i="1"/>
  <c r="AB586" i="1" s="1"/>
  <c r="AA679" i="1"/>
  <c r="AB679" i="1" s="1"/>
  <c r="AA710" i="1"/>
  <c r="AB710" i="1" s="1"/>
  <c r="AB836" i="1"/>
  <c r="AA879" i="1"/>
  <c r="AB879" i="1" s="1"/>
  <c r="AB923" i="1"/>
  <c r="AB1018" i="1"/>
  <c r="AA1047" i="1"/>
  <c r="AB1047" i="1" s="1"/>
  <c r="AB1180" i="1"/>
  <c r="AB1207" i="1"/>
  <c r="AA1275" i="1"/>
  <c r="AB1275" i="1" s="1"/>
  <c r="AA488" i="1"/>
  <c r="AB488" i="1" s="1"/>
  <c r="AB446" i="1"/>
  <c r="AB588" i="1"/>
  <c r="AB681" i="1"/>
  <c r="AA729" i="1"/>
  <c r="AA779" i="1"/>
  <c r="AB779" i="1" s="1"/>
  <c r="AB881" i="1"/>
  <c r="AA933" i="1"/>
  <c r="AA1033" i="1"/>
  <c r="AB1049" i="1"/>
  <c r="AA1190" i="1"/>
  <c r="AB1190" i="1" s="1"/>
  <c r="AA1217" i="1"/>
  <c r="AB1217" i="1" s="1"/>
  <c r="AB1277" i="1"/>
  <c r="AB1339" i="1"/>
  <c r="AB293" i="1"/>
  <c r="AB237" i="1"/>
  <c r="AB128" i="1"/>
  <c r="AB240" i="1"/>
  <c r="AB229" i="1"/>
  <c r="AA118" i="1"/>
  <c r="AB118" i="1" s="1"/>
  <c r="AB324" i="1"/>
  <c r="AB291" i="1"/>
  <c r="AB146" i="1"/>
  <c r="AB44" i="1"/>
  <c r="AB383" i="1"/>
  <c r="AA322" i="1"/>
  <c r="AB322" i="1" s="1"/>
  <c r="AB280" i="1"/>
  <c r="AB10" i="1"/>
  <c r="AA361" i="1"/>
  <c r="AB361" i="1" s="1"/>
  <c r="AB260" i="1"/>
  <c r="AA136" i="1"/>
  <c r="AB136" i="1" s="1"/>
  <c r="AB156" i="1"/>
  <c r="AA340" i="1"/>
  <c r="AB340" i="1" s="1"/>
  <c r="AB362" i="1"/>
  <c r="AA249" i="1"/>
  <c r="AB249" i="1" s="1"/>
  <c r="AB117" i="1"/>
  <c r="AA154" i="1"/>
  <c r="AB154" i="1" s="1"/>
  <c r="AB393" i="1"/>
  <c r="AB329" i="1"/>
  <c r="AB158" i="1"/>
  <c r="AB267" i="1"/>
  <c r="AA47" i="1"/>
  <c r="AB47" i="1" s="1"/>
  <c r="AA4" i="1"/>
  <c r="AB4" i="1" s="1"/>
  <c r="AA354" i="1"/>
  <c r="AA273" i="1"/>
  <c r="AB273" i="1" s="1"/>
  <c r="AB265" i="1"/>
  <c r="AA149" i="1"/>
  <c r="AB149" i="1" s="1"/>
  <c r="AA147" i="1"/>
  <c r="AB147" i="1" s="1"/>
  <c r="AA357" i="1"/>
  <c r="AB357" i="1" s="1"/>
  <c r="AB367" i="1"/>
  <c r="AA242" i="1"/>
  <c r="AB110" i="1"/>
  <c r="AB17" i="1"/>
  <c r="V249" i="1"/>
  <c r="V457" i="1"/>
  <c r="V513" i="1"/>
  <c r="V107" i="1"/>
  <c r="V364" i="1"/>
  <c r="V437" i="1"/>
  <c r="V615" i="1"/>
  <c r="V614" i="1"/>
  <c r="V728" i="1"/>
  <c r="V173" i="1"/>
  <c r="U398" i="1"/>
  <c r="V545" i="1"/>
  <c r="U65" i="1"/>
  <c r="V65" i="1" s="1"/>
  <c r="V299" i="1"/>
  <c r="V407" i="1"/>
  <c r="V709" i="1"/>
  <c r="U61" i="1"/>
  <c r="V185" i="1"/>
  <c r="U410" i="1"/>
  <c r="V410" i="1" s="1"/>
  <c r="V506" i="1"/>
  <c r="V557" i="1"/>
  <c r="V643" i="1"/>
  <c r="U77" i="1"/>
  <c r="V188" i="1"/>
  <c r="V311" i="1"/>
  <c r="V370" i="1"/>
  <c r="V419" i="1"/>
  <c r="V843" i="1"/>
  <c r="V814" i="1"/>
  <c r="U69" i="1"/>
  <c r="V69" i="1" s="1"/>
  <c r="V217" i="1"/>
  <c r="U326" i="1"/>
  <c r="V326" i="1" s="1"/>
  <c r="V296" i="1"/>
  <c r="V492" i="1"/>
  <c r="U577" i="1"/>
  <c r="U576" i="1"/>
  <c r="V576" i="1" s="1"/>
  <c r="V695" i="1"/>
  <c r="V88" i="1"/>
  <c r="V75" i="1"/>
  <c r="U207" i="1"/>
  <c r="V207" i="1" s="1"/>
  <c r="V208" i="1"/>
  <c r="V424" i="1"/>
  <c r="U414" i="1"/>
  <c r="V570" i="1"/>
  <c r="U579" i="1"/>
  <c r="V579" i="1" s="1"/>
  <c r="U665" i="1"/>
  <c r="V665" i="1" s="1"/>
  <c r="V164" i="1"/>
  <c r="V379" i="1"/>
  <c r="V1114" i="1"/>
  <c r="AB1374" i="1"/>
  <c r="AB427" i="1"/>
  <c r="AA571" i="1"/>
  <c r="AB571" i="1" s="1"/>
  <c r="AA606" i="1"/>
  <c r="AB627" i="1"/>
  <c r="AA814" i="1"/>
  <c r="AB814" i="1" s="1"/>
  <c r="AA859" i="1"/>
  <c r="AB859" i="1" s="1"/>
  <c r="AA979" i="1"/>
  <c r="AB979" i="1" s="1"/>
  <c r="AB1038" i="1"/>
  <c r="AA1120" i="1"/>
  <c r="AB1120" i="1" s="1"/>
  <c r="AA1199" i="1"/>
  <c r="AB1199" i="1" s="1"/>
  <c r="AB1290" i="1"/>
  <c r="AA1379" i="1"/>
  <c r="AB1379" i="1" s="1"/>
  <c r="AB505" i="1"/>
  <c r="AB479" i="1"/>
  <c r="AA528" i="1"/>
  <c r="AB528" i="1" s="1"/>
  <c r="AA563" i="1"/>
  <c r="AB563" i="1" s="1"/>
  <c r="AA769" i="1"/>
  <c r="AB769" i="1" s="1"/>
  <c r="AB821" i="1"/>
  <c r="AB934" i="1"/>
  <c r="AB998" i="1"/>
  <c r="AA1077" i="1"/>
  <c r="AB1077" i="1" s="1"/>
  <c r="AA1137" i="1"/>
  <c r="AB1137" i="1" s="1"/>
  <c r="AB1151" i="1"/>
  <c r="AA1317" i="1"/>
  <c r="AB1317" i="1" s="1"/>
  <c r="AB1386" i="1"/>
  <c r="AB423" i="1"/>
  <c r="AB522" i="1"/>
  <c r="AB533" i="1"/>
  <c r="AB662" i="1"/>
  <c r="AB780" i="1"/>
  <c r="AA784" i="1"/>
  <c r="AB784" i="1" s="1"/>
  <c r="AB886" i="1"/>
  <c r="AB928" i="1"/>
  <c r="AA978" i="1"/>
  <c r="AB978" i="1" s="1"/>
  <c r="AA1064" i="1"/>
  <c r="AB1064" i="1" s="1"/>
  <c r="AA1152" i="1"/>
  <c r="AB1152" i="1" s="1"/>
  <c r="AA1222" i="1"/>
  <c r="AB1222" i="1" s="1"/>
  <c r="AB1282" i="1"/>
  <c r="AB1332" i="1"/>
  <c r="AA433" i="1"/>
  <c r="AB433" i="1" s="1"/>
  <c r="AA532" i="1"/>
  <c r="AB532" i="1" s="1"/>
  <c r="AA543" i="1"/>
  <c r="AB543" i="1" s="1"/>
  <c r="AA672" i="1"/>
  <c r="AB672" i="1" s="1"/>
  <c r="AA793" i="1"/>
  <c r="AB793" i="1" s="1"/>
  <c r="AB786" i="1"/>
  <c r="AA896" i="1"/>
  <c r="AB896" i="1" s="1"/>
  <c r="AA938" i="1"/>
  <c r="AB980" i="1"/>
  <c r="AB1066" i="1"/>
  <c r="AB1154" i="1"/>
  <c r="AB1224" i="1"/>
  <c r="AA1292" i="1"/>
  <c r="AB1292" i="1" s="1"/>
  <c r="AA1342" i="1"/>
  <c r="AB1342" i="1" s="1"/>
  <c r="AB252" i="1"/>
  <c r="AB241" i="1"/>
  <c r="AA130" i="1"/>
  <c r="AB336" i="1"/>
  <c r="AB165" i="1"/>
  <c r="AB56" i="1"/>
  <c r="AB31" i="1"/>
  <c r="AB375" i="1"/>
  <c r="AB168" i="1"/>
  <c r="AB277" i="1"/>
  <c r="AA46" i="1"/>
  <c r="AB46" i="1" s="1"/>
  <c r="AA321" i="1"/>
  <c r="AB321" i="1" s="1"/>
  <c r="AB331" i="1"/>
  <c r="AA206" i="1"/>
  <c r="AB206" i="1" s="1"/>
  <c r="AB74" i="1"/>
  <c r="AB99" i="1"/>
  <c r="AB311" i="1"/>
  <c r="AB196" i="1"/>
  <c r="AA97" i="1"/>
  <c r="AB97" i="1" s="1"/>
  <c r="AB12" i="1"/>
  <c r="AB370" i="1"/>
  <c r="AB188" i="1"/>
  <c r="AA64" i="1"/>
  <c r="AB64" i="1" s="1"/>
  <c r="AB79" i="1"/>
  <c r="AA268" i="1"/>
  <c r="AB268" i="1" s="1"/>
  <c r="AB290" i="1"/>
  <c r="AA177" i="1"/>
  <c r="AB177" i="1" s="1"/>
  <c r="AB45" i="1"/>
  <c r="AB304" i="1"/>
  <c r="AB372" i="1"/>
  <c r="AB201" i="1"/>
  <c r="AA200" i="1"/>
  <c r="AB200" i="1" s="1"/>
  <c r="AB92" i="1"/>
  <c r="AA32" i="1"/>
  <c r="AB32" i="1" s="1"/>
  <c r="AA282" i="1"/>
  <c r="AB282" i="1" s="1"/>
  <c r="AB204" i="1"/>
  <c r="AB193" i="1"/>
  <c r="AA81" i="1"/>
  <c r="AB81" i="1" s="1"/>
  <c r="AA82" i="1"/>
  <c r="AB82" i="1" s="1"/>
  <c r="AA285" i="1"/>
  <c r="AB285" i="1" s="1"/>
  <c r="AB295" i="1"/>
  <c r="AA170" i="1"/>
  <c r="AB38" i="1"/>
  <c r="AB63" i="1"/>
  <c r="V86" i="1"/>
  <c r="V61" i="1"/>
  <c r="U448" i="1"/>
  <c r="V448" i="1" s="1"/>
  <c r="V634" i="1"/>
  <c r="V78" i="1"/>
  <c r="U502" i="1"/>
  <c r="V502" i="1" s="1"/>
  <c r="U685" i="1"/>
  <c r="V357" i="1"/>
  <c r="V301" i="1"/>
  <c r="V688" i="1"/>
  <c r="V767" i="1"/>
  <c r="V245" i="1"/>
  <c r="V401" i="1"/>
  <c r="U470" i="1"/>
  <c r="V470" i="1" s="1"/>
  <c r="V452" i="1"/>
  <c r="V703" i="1"/>
  <c r="U137" i="1"/>
  <c r="V137" i="1" s="1"/>
  <c r="V371" i="1"/>
  <c r="V315" i="1"/>
  <c r="V479" i="1"/>
  <c r="V678" i="1"/>
  <c r="U133" i="1"/>
  <c r="V257" i="1"/>
  <c r="U482" i="1"/>
  <c r="V482" i="1" s="1"/>
  <c r="V464" i="1"/>
  <c r="V621" i="1"/>
  <c r="U623" i="1"/>
  <c r="V623" i="1" s="1"/>
  <c r="V716" i="1"/>
  <c r="V720" i="1"/>
  <c r="U150" i="1"/>
  <c r="V150" i="1" s="1"/>
  <c r="U112" i="1"/>
  <c r="V112" i="1" s="1"/>
  <c r="V260" i="1"/>
  <c r="V383" i="1"/>
  <c r="V327" i="1"/>
  <c r="V491" i="1"/>
  <c r="U719" i="1"/>
  <c r="V719" i="1" s="1"/>
  <c r="U141" i="1"/>
  <c r="V141" i="1" s="1"/>
  <c r="V162" i="1"/>
  <c r="U319" i="1"/>
  <c r="V319" i="1" s="1"/>
  <c r="V368" i="1"/>
  <c r="V523" i="1"/>
  <c r="U650" i="1"/>
  <c r="V650" i="1" s="1"/>
  <c r="U729" i="1"/>
  <c r="V729" i="1" s="1"/>
  <c r="U43" i="1"/>
  <c r="V43" i="1" s="1"/>
  <c r="U151" i="1"/>
  <c r="V151" i="1" s="1"/>
  <c r="V300" i="1"/>
  <c r="V336" i="1"/>
  <c r="V496" i="1"/>
  <c r="U486" i="1"/>
  <c r="V486" i="1" s="1"/>
  <c r="V503" i="1"/>
  <c r="U512" i="1"/>
  <c r="V512" i="1" s="1"/>
  <c r="V308" i="1"/>
  <c r="V510" i="1"/>
  <c r="V178" i="1"/>
  <c r="AB1312" i="1"/>
  <c r="AA1377" i="1"/>
  <c r="AB499" i="1"/>
  <c r="AA477" i="1"/>
  <c r="AB477" i="1" s="1"/>
  <c r="AB518" i="1"/>
  <c r="AB553" i="1"/>
  <c r="AB699" i="1"/>
  <c r="AB759" i="1"/>
  <c r="AA932" i="1"/>
  <c r="AB932" i="1" s="1"/>
  <c r="AA996" i="1"/>
  <c r="AB996" i="1" s="1"/>
  <c r="AB1067" i="1"/>
  <c r="AB1127" i="1"/>
  <c r="AB1194" i="1"/>
  <c r="AB1307" i="1"/>
  <c r="AA1384" i="1"/>
  <c r="AB1384" i="1" s="1"/>
  <c r="AA466" i="1"/>
  <c r="AB466" i="1" s="1"/>
  <c r="AA434" i="1"/>
  <c r="AB434" i="1" s="1"/>
  <c r="AA600" i="1"/>
  <c r="AB600" i="1" s="1"/>
  <c r="AA657" i="1"/>
  <c r="AB657" i="1" s="1"/>
  <c r="AB692" i="1"/>
  <c r="AA774" i="1"/>
  <c r="AB774" i="1" s="1"/>
  <c r="AB838" i="1"/>
  <c r="AB951" i="1"/>
  <c r="AB991" i="1"/>
  <c r="AA1082" i="1"/>
  <c r="AB1082" i="1" s="1"/>
  <c r="AA1149" i="1"/>
  <c r="AB1149" i="1" s="1"/>
  <c r="AB1223" i="1"/>
  <c r="AB1269" i="1"/>
  <c r="AA1322" i="1"/>
  <c r="AB1322" i="1" s="1"/>
  <c r="AB495" i="1"/>
  <c r="AB594" i="1"/>
  <c r="AB605" i="1"/>
  <c r="AB643" i="1"/>
  <c r="AA775" i="1"/>
  <c r="AB775" i="1" s="1"/>
  <c r="AA801" i="1"/>
  <c r="AB801" i="1" s="1"/>
  <c r="AA901" i="1"/>
  <c r="AB901" i="1" s="1"/>
  <c r="AA955" i="1"/>
  <c r="AB955" i="1" s="1"/>
  <c r="AA983" i="1"/>
  <c r="AB983" i="1" s="1"/>
  <c r="AA1138" i="1"/>
  <c r="AB1138" i="1" s="1"/>
  <c r="AA1181" i="1"/>
  <c r="AB1181" i="1" s="1"/>
  <c r="AA1227" i="1"/>
  <c r="AB1227" i="1" s="1"/>
  <c r="AB1287" i="1"/>
  <c r="AB1337" i="1"/>
  <c r="AA507" i="1"/>
  <c r="AB507" i="1" s="1"/>
  <c r="AA604" i="1"/>
  <c r="AB604" i="1" s="1"/>
  <c r="AA615" i="1"/>
  <c r="AB615" i="1" s="1"/>
  <c r="AA653" i="1"/>
  <c r="AB653" i="1" s="1"/>
  <c r="AB777" i="1"/>
  <c r="AB803" i="1"/>
  <c r="AB903" i="1"/>
  <c r="AB957" i="1"/>
  <c r="AB985" i="1"/>
  <c r="AB1140" i="1"/>
  <c r="AB1183" i="1"/>
  <c r="AB1229" i="1"/>
  <c r="AA1297" i="1"/>
  <c r="AB1297" i="1" s="1"/>
  <c r="AA1347" i="1"/>
  <c r="AB1347" i="1" s="1"/>
  <c r="AA388" i="1"/>
  <c r="AB180" i="1"/>
  <c r="AB169" i="1"/>
  <c r="AA58" i="1"/>
  <c r="AB58" i="1" s="1"/>
  <c r="AA333" i="1"/>
  <c r="AB333" i="1" s="1"/>
  <c r="AB343" i="1"/>
  <c r="AB86" i="1"/>
  <c r="AB111" i="1"/>
  <c r="AA34" i="1"/>
  <c r="AA399" i="1"/>
  <c r="AB399" i="1" s="1"/>
  <c r="AB211" i="1"/>
  <c r="AB78" i="1"/>
  <c r="AB354" i="1"/>
  <c r="AB263" i="1"/>
  <c r="AA352" i="1"/>
  <c r="AB352" i="1" s="1"/>
  <c r="AB374" i="1"/>
  <c r="AB129" i="1"/>
  <c r="AB171" i="1"/>
  <c r="AA413" i="1"/>
  <c r="AB413" i="1" s="1"/>
  <c r="AB298" i="1"/>
  <c r="AB242" i="1"/>
  <c r="AB243" i="1"/>
  <c r="AA131" i="1"/>
  <c r="AB131" i="1" s="1"/>
  <c r="AA7" i="1"/>
  <c r="AB7" i="1" s="1"/>
  <c r="AA335" i="1"/>
  <c r="AB335" i="1" s="1"/>
  <c r="AA208" i="1"/>
  <c r="AB208" i="1" s="1"/>
  <c r="AB100" i="1"/>
  <c r="AA123" i="1"/>
  <c r="AB123" i="1" s="1"/>
  <c r="AB379" i="1"/>
  <c r="AA254" i="1"/>
  <c r="AB254" i="1" s="1"/>
  <c r="AB122" i="1"/>
  <c r="AA151" i="1"/>
  <c r="AB339" i="1"/>
  <c r="AB247" i="1"/>
  <c r="AA246" i="1"/>
  <c r="AB246" i="1" s="1"/>
  <c r="AB114" i="1"/>
  <c r="AA137" i="1"/>
  <c r="AB137" i="1" s="1"/>
  <c r="AB318" i="1"/>
  <c r="AA348" i="1"/>
  <c r="AB348" i="1" s="1"/>
  <c r="AB227" i="1"/>
  <c r="AA103" i="1"/>
  <c r="AB103" i="1" s="1"/>
  <c r="AA140" i="1"/>
  <c r="AB140" i="1" s="1"/>
  <c r="AA485" i="1"/>
  <c r="AB485" i="1" s="1"/>
  <c r="V17" i="1"/>
  <c r="V133" i="1"/>
  <c r="V309" i="1"/>
  <c r="V334" i="1"/>
  <c r="V427" i="1"/>
  <c r="V685" i="1"/>
  <c r="V48" i="1"/>
  <c r="V659" i="1"/>
  <c r="V757" i="1"/>
  <c r="V373" i="1"/>
  <c r="V454" i="1"/>
  <c r="U770" i="1"/>
  <c r="V770" i="1" s="1"/>
  <c r="V56" i="1"/>
  <c r="V429" i="1"/>
  <c r="V47" i="1"/>
  <c r="V387" i="1"/>
  <c r="V555" i="1"/>
  <c r="U681" i="1"/>
  <c r="V681" i="1" s="1"/>
  <c r="U779" i="1"/>
  <c r="V779" i="1" s="1"/>
  <c r="V214" i="1"/>
  <c r="V393" i="1"/>
  <c r="V562" i="1"/>
  <c r="U82" i="1"/>
  <c r="V59" i="1"/>
  <c r="U215" i="1"/>
  <c r="V215" i="1" s="1"/>
  <c r="V567" i="1"/>
  <c r="V566" i="1"/>
  <c r="U693" i="1"/>
  <c r="V693" i="1" s="1"/>
  <c r="V726" i="1"/>
  <c r="V33" i="1"/>
  <c r="V234" i="1"/>
  <c r="U390" i="1"/>
  <c r="V390" i="1" s="1"/>
  <c r="V595" i="1"/>
  <c r="V633" i="1"/>
  <c r="V724" i="1"/>
  <c r="U115" i="1"/>
  <c r="V115" i="1" s="1"/>
  <c r="U90" i="1"/>
  <c r="V90" i="1" s="1"/>
  <c r="U236" i="1"/>
  <c r="V225" i="1"/>
  <c r="U463" i="1"/>
  <c r="V463" i="1" s="1"/>
  <c r="V433" i="1"/>
  <c r="V575" i="1"/>
  <c r="U584" i="1"/>
  <c r="V584" i="1" s="1"/>
  <c r="V737" i="1"/>
  <c r="V293" i="1"/>
  <c r="V793" i="1"/>
  <c r="V246" i="1"/>
  <c r="U347" i="1"/>
  <c r="V347" i="1" s="1"/>
  <c r="V607" i="1"/>
  <c r="U55" i="1"/>
  <c r="V55" i="1" s="1"/>
  <c r="U158" i="1"/>
  <c r="V158" i="1" s="1"/>
  <c r="U176" i="1"/>
  <c r="V176" i="1" s="1"/>
  <c r="V165" i="1"/>
  <c r="V348" i="1"/>
  <c r="U403" i="1"/>
  <c r="V403" i="1" s="1"/>
  <c r="U498" i="1"/>
  <c r="V515" i="1"/>
  <c r="U524" i="1"/>
  <c r="V648" i="1"/>
  <c r="U754" i="1"/>
  <c r="U84" i="1"/>
  <c r="V84" i="1" s="1"/>
  <c r="U59" i="1"/>
  <c r="V183" i="1"/>
  <c r="U216" i="1"/>
  <c r="V216" i="1" s="1"/>
  <c r="V365" i="1"/>
  <c r="V458" i="1"/>
  <c r="V438" i="1"/>
  <c r="V556" i="1"/>
  <c r="U702" i="1"/>
  <c r="V702" i="1" s="1"/>
  <c r="V752" i="1"/>
  <c r="V766" i="1"/>
  <c r="V921" i="1"/>
  <c r="U1154" i="1"/>
  <c r="V1154" i="1" s="1"/>
  <c r="V2" i="1"/>
  <c r="U861" i="1"/>
  <c r="V863" i="1"/>
  <c r="U915" i="1"/>
  <c r="V915" i="1" s="1"/>
  <c r="V1086" i="1"/>
  <c r="U1288" i="1"/>
  <c r="V1288" i="1" s="1"/>
  <c r="U1343" i="1"/>
  <c r="V839" i="1"/>
  <c r="V1368" i="1"/>
  <c r="U832" i="1"/>
  <c r="U877" i="1"/>
  <c r="U1042" i="1"/>
  <c r="V1042" i="1" s="1"/>
  <c r="U1251" i="1"/>
  <c r="V807" i="1"/>
  <c r="U916" i="1"/>
  <c r="U1023" i="1"/>
  <c r="U1161" i="1"/>
  <c r="U844" i="1"/>
  <c r="V844" i="1" s="1"/>
  <c r="U1038" i="1"/>
  <c r="V1038" i="1" s="1"/>
  <c r="U1033" i="1"/>
  <c r="V1181" i="1"/>
  <c r="U1285" i="1"/>
  <c r="U879" i="1"/>
  <c r="U933" i="1"/>
  <c r="V1106" i="1"/>
  <c r="U1190" i="1"/>
  <c r="V1190" i="1" s="1"/>
  <c r="V1231" i="1"/>
  <c r="U1294" i="1"/>
  <c r="U847" i="1"/>
  <c r="U956" i="1"/>
  <c r="V956" i="1" s="1"/>
  <c r="U1020" i="1"/>
  <c r="U1058" i="1"/>
  <c r="U1094" i="1"/>
  <c r="V1218" i="1"/>
  <c r="U1322" i="1"/>
  <c r="V1322" i="1" s="1"/>
  <c r="V1386" i="1"/>
  <c r="V808" i="1"/>
  <c r="V853" i="1"/>
  <c r="V973" i="1"/>
  <c r="U1083" i="1"/>
  <c r="V1148" i="1"/>
  <c r="U1198" i="1"/>
  <c r="V1198" i="1" s="1"/>
  <c r="U1237" i="1"/>
  <c r="U1347" i="1"/>
  <c r="V25" i="1"/>
  <c r="U304" i="1"/>
  <c r="V304" i="1" s="1"/>
  <c r="U551" i="1"/>
  <c r="V551" i="1" s="1"/>
  <c r="V552" i="1"/>
  <c r="U127" i="1"/>
  <c r="V127" i="1" s="1"/>
  <c r="U102" i="1"/>
  <c r="V102" i="1" s="1"/>
  <c r="U248" i="1"/>
  <c r="V248" i="1" s="1"/>
  <c r="V237" i="1"/>
  <c r="U291" i="1"/>
  <c r="V291" i="1" s="1"/>
  <c r="U475" i="1"/>
  <c r="V475" i="1" s="1"/>
  <c r="V445" i="1"/>
  <c r="U596" i="1"/>
  <c r="V596" i="1" s="1"/>
  <c r="U774" i="1"/>
  <c r="V774" i="1" s="1"/>
  <c r="V749" i="1"/>
  <c r="V149" i="1"/>
  <c r="U131" i="1"/>
  <c r="V131" i="1" s="1"/>
  <c r="V255" i="1"/>
  <c r="U286" i="1"/>
  <c r="V286" i="1" s="1"/>
  <c r="U332" i="1"/>
  <c r="V332" i="1" s="1"/>
  <c r="U425" i="1"/>
  <c r="V425" i="1" s="1"/>
  <c r="V507" i="1"/>
  <c r="U627" i="1"/>
  <c r="V627" i="1" s="1"/>
  <c r="U683" i="1"/>
  <c r="V683" i="1" s="1"/>
  <c r="U704" i="1"/>
  <c r="V704" i="1" s="1"/>
  <c r="V861" i="1"/>
  <c r="U977" i="1"/>
  <c r="V977" i="1" s="1"/>
  <c r="U1354" i="1"/>
  <c r="U790" i="1"/>
  <c r="V790" i="1" s="1"/>
  <c r="U878" i="1"/>
  <c r="U1113" i="1"/>
  <c r="U1293" i="1"/>
  <c r="U1348" i="1"/>
  <c r="V880" i="1"/>
  <c r="U920" i="1"/>
  <c r="V920" i="1" s="1"/>
  <c r="U984" i="1"/>
  <c r="V1084" i="1"/>
  <c r="V1237" i="1"/>
  <c r="V789" i="1"/>
  <c r="V1009" i="1"/>
  <c r="U1124" i="1"/>
  <c r="V1263" i="1"/>
  <c r="U1383" i="1"/>
  <c r="V1383" i="1" s="1"/>
  <c r="U842" i="1"/>
  <c r="U882" i="1"/>
  <c r="V1049" i="1"/>
  <c r="U1119" i="1"/>
  <c r="V1164" i="1"/>
  <c r="U1378" i="1"/>
  <c r="U867" i="1"/>
  <c r="U921" i="1"/>
  <c r="V1018" i="1"/>
  <c r="V1094" i="1"/>
  <c r="U1178" i="1"/>
  <c r="V1178" i="1" s="1"/>
  <c r="U1282" i="1"/>
  <c r="V919" i="1"/>
  <c r="U1062" i="1"/>
  <c r="V1062" i="1" s="1"/>
  <c r="U1086" i="1"/>
  <c r="U1302" i="1"/>
  <c r="V1302" i="1" s="1"/>
  <c r="U839" i="1"/>
  <c r="U990" i="1"/>
  <c r="V1111" i="1"/>
  <c r="U1195" i="1"/>
  <c r="V1248" i="1"/>
  <c r="V1301" i="1"/>
  <c r="V821" i="1"/>
  <c r="U864" i="1"/>
  <c r="V864" i="1" s="1"/>
  <c r="V966" i="1"/>
  <c r="V1027" i="1"/>
  <c r="U1085" i="1"/>
  <c r="V1153" i="1"/>
  <c r="U1279" i="1"/>
  <c r="V1336" i="1"/>
  <c r="V825" i="1"/>
  <c r="V858" i="1"/>
  <c r="U988" i="1"/>
  <c r="V988" i="1" s="1"/>
  <c r="V1047" i="1"/>
  <c r="V1095" i="1"/>
  <c r="V1162" i="1"/>
  <c r="V1299" i="1"/>
  <c r="U1352" i="1"/>
  <c r="V1352" i="1" s="1"/>
  <c r="V5" i="1"/>
  <c r="V40" i="1"/>
  <c r="V31" i="1"/>
  <c r="V13" i="1"/>
  <c r="V130" i="1"/>
  <c r="V264" i="1"/>
  <c r="V263" i="1"/>
  <c r="V295" i="1"/>
  <c r="U376" i="1"/>
  <c r="V459" i="1"/>
  <c r="U629" i="1"/>
  <c r="V629" i="1" s="1"/>
  <c r="V656" i="1"/>
  <c r="U696" i="1"/>
  <c r="V696" i="1" s="1"/>
  <c r="V74" i="1"/>
  <c r="V49" i="1"/>
  <c r="U181" i="1"/>
  <c r="V181" i="1" s="1"/>
  <c r="V206" i="1"/>
  <c r="U363" i="1"/>
  <c r="V363" i="1" s="1"/>
  <c r="U456" i="1"/>
  <c r="V456" i="1" s="1"/>
  <c r="U436" i="1"/>
  <c r="U554" i="1"/>
  <c r="V554" i="1" s="1"/>
  <c r="V692" i="1"/>
  <c r="V701" i="1"/>
  <c r="U764" i="1"/>
  <c r="V103" i="1"/>
  <c r="V66" i="1"/>
  <c r="U222" i="1"/>
  <c r="V222" i="1" s="1"/>
  <c r="U345" i="1"/>
  <c r="V345" i="1" s="1"/>
  <c r="U289" i="1"/>
  <c r="V289" i="1" s="1"/>
  <c r="U497" i="1"/>
  <c r="V497" i="1" s="1"/>
  <c r="U453" i="1"/>
  <c r="V453" i="1" s="1"/>
  <c r="V573" i="1"/>
  <c r="U652" i="1"/>
  <c r="U673" i="1"/>
  <c r="V845" i="1"/>
  <c r="V878" i="1"/>
  <c r="V984" i="1"/>
  <c r="V1293" i="1"/>
  <c r="U830" i="1"/>
  <c r="U995" i="1"/>
  <c r="V1251" i="1"/>
  <c r="U989" i="1"/>
  <c r="U1092" i="1"/>
  <c r="V1092" i="1" s="1"/>
  <c r="U1353" i="1"/>
  <c r="U883" i="1"/>
  <c r="V883" i="1" s="1"/>
  <c r="U937" i="1"/>
  <c r="U1051" i="1"/>
  <c r="U1130" i="1"/>
  <c r="V782" i="1"/>
  <c r="U1024" i="1"/>
  <c r="V1024" i="1" s="1"/>
  <c r="V1083" i="1"/>
  <c r="V1280" i="1"/>
  <c r="U1333" i="1"/>
  <c r="V1333" i="1" s="1"/>
  <c r="U1019" i="1"/>
  <c r="U1273" i="1"/>
  <c r="V1385" i="1"/>
  <c r="U827" i="1"/>
  <c r="V862" i="1"/>
  <c r="V928" i="1"/>
  <c r="U1183" i="1"/>
  <c r="V1236" i="1"/>
  <c r="V1289" i="1"/>
  <c r="V811" i="1"/>
  <c r="V936" i="1"/>
  <c r="V1069" i="1"/>
  <c r="U1115" i="1"/>
  <c r="V1115" i="1" s="1"/>
  <c r="U1182" i="1"/>
  <c r="U1307" i="1"/>
  <c r="V791" i="1"/>
  <c r="V891" i="1"/>
  <c r="U965" i="1"/>
  <c r="V1056" i="1"/>
  <c r="U1138" i="1"/>
  <c r="V1138" i="1" s="1"/>
  <c r="V1159" i="1"/>
  <c r="V1210" i="1"/>
  <c r="V1318" i="1"/>
  <c r="V826" i="1"/>
  <c r="U869" i="1"/>
  <c r="U923" i="1"/>
  <c r="V1041" i="1"/>
  <c r="V1082" i="1"/>
  <c r="V1170" i="1"/>
  <c r="U1272" i="1"/>
  <c r="V1341" i="1"/>
  <c r="V818" i="1"/>
  <c r="U941" i="1"/>
  <c r="V983" i="1"/>
  <c r="V1100" i="1"/>
  <c r="V1167" i="1"/>
  <c r="V1316" i="1"/>
  <c r="U1369" i="1"/>
  <c r="V1369" i="1" s="1"/>
  <c r="V8" i="1"/>
  <c r="V3" i="1"/>
  <c r="U11" i="1"/>
  <c r="U18" i="1"/>
  <c r="U731" i="1"/>
  <c r="V731" i="1" s="1"/>
  <c r="U85" i="1"/>
  <c r="V85" i="1" s="1"/>
  <c r="V209" i="1"/>
  <c r="U218" i="1"/>
  <c r="V218" i="1" s="1"/>
  <c r="U434" i="1"/>
  <c r="V434" i="1" s="1"/>
  <c r="V416" i="1"/>
  <c r="U580" i="1"/>
  <c r="V580" i="1" s="1"/>
  <c r="V581" i="1"/>
  <c r="V667" i="1"/>
  <c r="V146" i="1"/>
  <c r="V121" i="1"/>
  <c r="U253" i="1"/>
  <c r="V253" i="1" s="1"/>
  <c r="U271" i="1"/>
  <c r="V322" i="1"/>
  <c r="V415" i="1"/>
  <c r="U504" i="1"/>
  <c r="U622" i="1"/>
  <c r="V622" i="1" s="1"/>
  <c r="V673" i="1"/>
  <c r="V694" i="1"/>
  <c r="V804" i="1"/>
  <c r="V36" i="1"/>
  <c r="V138" i="1"/>
  <c r="V169" i="1"/>
  <c r="U278" i="1"/>
  <c r="V278" i="1" s="1"/>
  <c r="U361" i="1"/>
  <c r="V361" i="1" s="1"/>
  <c r="V444" i="1"/>
  <c r="U529" i="1"/>
  <c r="V529" i="1" s="1"/>
  <c r="U528" i="1"/>
  <c r="V528" i="1" s="1"/>
  <c r="V647" i="1"/>
  <c r="V745" i="1"/>
  <c r="V1348" i="1"/>
  <c r="V937" i="1"/>
  <c r="V1286" i="1"/>
  <c r="V842" i="1"/>
  <c r="U1324" i="1"/>
  <c r="U788" i="1"/>
  <c r="V788" i="1" s="1"/>
  <c r="U942" i="1"/>
  <c r="U1187" i="1"/>
  <c r="V1305" i="1"/>
  <c r="U1370" i="1"/>
  <c r="U900" i="1"/>
  <c r="V900" i="1" s="1"/>
  <c r="V1189" i="1"/>
  <c r="U1226" i="1"/>
  <c r="U1315" i="1"/>
  <c r="U797" i="1"/>
  <c r="V797" i="1" s="1"/>
  <c r="U922" i="1"/>
  <c r="V922" i="1" s="1"/>
  <c r="V1019" i="1"/>
  <c r="V1160" i="1"/>
  <c r="V1285" i="1"/>
  <c r="U1338" i="1"/>
  <c r="U792" i="1"/>
  <c r="V792" i="1" s="1"/>
  <c r="U904" i="1"/>
  <c r="V1026" i="1"/>
  <c r="U1050" i="1"/>
  <c r="U1141" i="1"/>
  <c r="U1201" i="1"/>
  <c r="V1201" i="1" s="1"/>
  <c r="U1290" i="1"/>
  <c r="V1290" i="1" s="1"/>
  <c r="V879" i="1"/>
  <c r="U955" i="1"/>
  <c r="V955" i="1" s="1"/>
  <c r="V1044" i="1"/>
  <c r="U1126" i="1"/>
  <c r="V1126" i="1" s="1"/>
  <c r="U1200" i="1"/>
  <c r="V1253" i="1"/>
  <c r="V887" i="1"/>
  <c r="U939" i="1"/>
  <c r="V1110" i="1"/>
  <c r="V1244" i="1"/>
  <c r="U1312" i="1"/>
  <c r="V1312" i="1" s="1"/>
  <c r="U1367" i="1"/>
  <c r="V796" i="1"/>
  <c r="V896" i="1"/>
  <c r="V962" i="1"/>
  <c r="U1071" i="1"/>
  <c r="U1186" i="1"/>
  <c r="U1225" i="1"/>
  <c r="U1335" i="1"/>
  <c r="V1335" i="1" s="1"/>
  <c r="U829" i="1"/>
  <c r="V829" i="1" s="1"/>
  <c r="V930" i="1"/>
  <c r="U968" i="1"/>
  <c r="V1101" i="1"/>
  <c r="V1175" i="1"/>
  <c r="V1214" i="1"/>
  <c r="U1289" i="1"/>
  <c r="U1356" i="1"/>
  <c r="U833" i="1"/>
  <c r="V833" i="1" s="1"/>
  <c r="U958" i="1"/>
  <c r="V958" i="1" s="1"/>
  <c r="U998" i="1"/>
  <c r="V998" i="1" s="1"/>
  <c r="U1036" i="1"/>
  <c r="V1036" i="1" s="1"/>
  <c r="V1129" i="1"/>
  <c r="V1196" i="1"/>
  <c r="U1323" i="1"/>
  <c r="V1323" i="1" s="1"/>
  <c r="U1374" i="1"/>
  <c r="AB14" i="1"/>
  <c r="V20" i="1"/>
  <c r="V6" i="1"/>
  <c r="V45" i="1"/>
  <c r="U154" i="1"/>
  <c r="V154" i="1" s="1"/>
  <c r="U163" i="1"/>
  <c r="V163" i="1" s="1"/>
  <c r="U346" i="1"/>
  <c r="V346" i="1" s="1"/>
  <c r="V504" i="1"/>
  <c r="V488" i="1"/>
  <c r="U513" i="1"/>
  <c r="V514" i="1"/>
  <c r="U646" i="1"/>
  <c r="V646" i="1" s="1"/>
  <c r="V744" i="1"/>
  <c r="U101" i="1"/>
  <c r="V101" i="1" s="1"/>
  <c r="U64" i="1"/>
  <c r="V64" i="1" s="1"/>
  <c r="V335" i="1"/>
  <c r="V279" i="1"/>
  <c r="V487" i="1"/>
  <c r="V443" i="1"/>
  <c r="U571" i="1"/>
  <c r="V571" i="1" s="1"/>
  <c r="V642" i="1"/>
  <c r="V663" i="1"/>
  <c r="V108" i="1"/>
  <c r="U93" i="1"/>
  <c r="V93" i="1" s="1"/>
  <c r="V241" i="1"/>
  <c r="U350" i="1"/>
  <c r="V350" i="1" s="1"/>
  <c r="V320" i="1"/>
  <c r="U423" i="1"/>
  <c r="V423" i="1" s="1"/>
  <c r="U601" i="1"/>
  <c r="V601" i="1" s="1"/>
  <c r="U600" i="1"/>
  <c r="V600" i="1" s="1"/>
  <c r="U713" i="1"/>
  <c r="V713" i="1" s="1"/>
  <c r="U760" i="1"/>
  <c r="V760" i="1" s="1"/>
  <c r="V838" i="1"/>
  <c r="V1182" i="1"/>
  <c r="V1353" i="1"/>
  <c r="U898" i="1"/>
  <c r="V982" i="1"/>
  <c r="V1370" i="1"/>
  <c r="U840" i="1"/>
  <c r="V1033" i="1"/>
  <c r="U1271" i="1"/>
  <c r="V1271" i="1" s="1"/>
  <c r="V783" i="1"/>
  <c r="U999" i="1"/>
  <c r="V1298" i="1"/>
  <c r="U1375" i="1"/>
  <c r="U907" i="1"/>
  <c r="U959" i="1"/>
  <c r="U1205" i="1"/>
  <c r="V1205" i="1" s="1"/>
  <c r="U1308" i="1"/>
  <c r="U873" i="1"/>
  <c r="V873" i="1" s="1"/>
  <c r="U979" i="1"/>
  <c r="V979" i="1" s="1"/>
  <c r="U1072" i="1"/>
  <c r="V1072" i="1" s="1"/>
  <c r="U1230" i="1"/>
  <c r="V1230" i="1" s="1"/>
  <c r="V799" i="1"/>
  <c r="V924" i="1"/>
  <c r="V964" i="1"/>
  <c r="V1057" i="1"/>
  <c r="U1103" i="1"/>
  <c r="U1295" i="1"/>
  <c r="V1295" i="1" s="1"/>
  <c r="U1059" i="1"/>
  <c r="U1174" i="1"/>
  <c r="V1174" i="1" s="1"/>
  <c r="U1213" i="1"/>
  <c r="V1213" i="1" s="1"/>
  <c r="V1380" i="1"/>
  <c r="U905" i="1"/>
  <c r="U944" i="1"/>
  <c r="V944" i="1" s="1"/>
  <c r="U1008" i="1"/>
  <c r="U1046" i="1"/>
  <c r="V1046" i="1" s="1"/>
  <c r="V1139" i="1"/>
  <c r="V1206" i="1"/>
  <c r="V1374" i="1"/>
  <c r="V813" i="1"/>
  <c r="V846" i="1"/>
  <c r="U976" i="1"/>
  <c r="V976" i="1" s="1"/>
  <c r="V1035" i="1"/>
  <c r="U1160" i="1"/>
  <c r="U1191" i="1"/>
  <c r="V1287" i="1"/>
  <c r="U1340" i="1"/>
  <c r="V1340" i="1" s="1"/>
  <c r="U834" i="1"/>
  <c r="V834" i="1" s="1"/>
  <c r="V881" i="1"/>
  <c r="V935" i="1"/>
  <c r="U985" i="1"/>
  <c r="U1116" i="1"/>
  <c r="V1116" i="1" s="1"/>
  <c r="V1192" i="1"/>
  <c r="U1241" i="1"/>
  <c r="V1296" i="1"/>
  <c r="U1361" i="1"/>
  <c r="V1361" i="1" s="1"/>
  <c r="U854" i="1"/>
  <c r="V953" i="1"/>
  <c r="U1015" i="1"/>
  <c r="V1055" i="1"/>
  <c r="U1132" i="1"/>
  <c r="U1211" i="1"/>
  <c r="V1211" i="1" s="1"/>
  <c r="U1269" i="1"/>
  <c r="V29" i="1"/>
  <c r="AA22" i="1"/>
  <c r="AB22" i="1" s="1"/>
  <c r="V14" i="1"/>
  <c r="U32" i="1"/>
  <c r="V32" i="1" s="1"/>
  <c r="V117" i="1"/>
  <c r="V92" i="1"/>
  <c r="U235" i="1"/>
  <c r="V235" i="1" s="1"/>
  <c r="V465" i="1"/>
  <c r="U585" i="1"/>
  <c r="V585" i="1" s="1"/>
  <c r="V586" i="1"/>
  <c r="V711" i="1"/>
  <c r="U747" i="1"/>
  <c r="V747" i="1" s="1"/>
  <c r="U34" i="1"/>
  <c r="V34" i="1" s="1"/>
  <c r="U136" i="1"/>
  <c r="V136" i="1" s="1"/>
  <c r="U167" i="1"/>
  <c r="V167" i="1" s="1"/>
  <c r="U408" i="1"/>
  <c r="V408" i="1" s="1"/>
  <c r="V351" i="1"/>
  <c r="U442" i="1"/>
  <c r="V442" i="1" s="1"/>
  <c r="V518" i="1"/>
  <c r="U645" i="1"/>
  <c r="V53" i="1"/>
  <c r="U161" i="1"/>
  <c r="V161" i="1" s="1"/>
  <c r="V186" i="1"/>
  <c r="U343" i="1"/>
  <c r="V343" i="1" s="1"/>
  <c r="U287" i="1"/>
  <c r="V287" i="1" s="1"/>
  <c r="U495" i="1"/>
  <c r="V495" i="1" s="1"/>
  <c r="V536" i="1"/>
  <c r="V547" i="1"/>
  <c r="U674" i="1"/>
  <c r="V674" i="1" s="1"/>
  <c r="V942" i="1"/>
  <c r="V1113" i="1"/>
  <c r="V1187" i="1"/>
  <c r="V1226" i="1"/>
  <c r="V999" i="1"/>
  <c r="V1130" i="1"/>
  <c r="V1375" i="1"/>
  <c r="V1050" i="1"/>
  <c r="U1276" i="1"/>
  <c r="U1331" i="1"/>
  <c r="V1331" i="1" s="1"/>
  <c r="V994" i="1"/>
  <c r="U1135" i="1"/>
  <c r="V1135" i="1" s="1"/>
  <c r="U1204" i="1"/>
  <c r="V1315" i="1"/>
  <c r="V912" i="1"/>
  <c r="V967" i="1"/>
  <c r="U1004" i="1"/>
  <c r="V1250" i="1"/>
  <c r="U890" i="1"/>
  <c r="V890" i="1" s="1"/>
  <c r="U1125" i="1"/>
  <c r="U1247" i="1"/>
  <c r="V1247" i="1" s="1"/>
  <c r="U1305" i="1"/>
  <c r="U1360" i="1"/>
  <c r="V875" i="1"/>
  <c r="U927" i="1"/>
  <c r="V927" i="1" s="1"/>
  <c r="V1232" i="1"/>
  <c r="U1300" i="1"/>
  <c r="V1300" i="1" s="1"/>
  <c r="U1355" i="1"/>
  <c r="V1355" i="1" s="1"/>
  <c r="V1021" i="1"/>
  <c r="V1078" i="1"/>
  <c r="U1136" i="1"/>
  <c r="V1136" i="1" s="1"/>
  <c r="U1179" i="1"/>
  <c r="V1275" i="1"/>
  <c r="U1328" i="1"/>
  <c r="V1328" i="1" s="1"/>
  <c r="U852" i="1"/>
  <c r="V852" i="1" s="1"/>
  <c r="U961" i="1"/>
  <c r="V1015" i="1"/>
  <c r="U1075" i="1"/>
  <c r="U1150" i="1"/>
  <c r="U929" i="1"/>
  <c r="V1088" i="1"/>
  <c r="V1155" i="1"/>
  <c r="V1304" i="1"/>
  <c r="U1357" i="1"/>
  <c r="V1357" i="1" s="1"/>
  <c r="U884" i="1"/>
  <c r="V884" i="1" s="1"/>
  <c r="U950" i="1"/>
  <c r="V950" i="1" s="1"/>
  <c r="V992" i="1"/>
  <c r="U1121" i="1"/>
  <c r="V1121" i="1" s="1"/>
  <c r="V1197" i="1"/>
  <c r="U1258" i="1"/>
  <c r="V1258" i="1" s="1"/>
  <c r="U1311" i="1"/>
  <c r="U769" i="1"/>
  <c r="V769" i="1" s="1"/>
  <c r="V1022" i="1"/>
  <c r="V1060" i="1"/>
  <c r="V1096" i="1"/>
  <c r="U1228" i="1"/>
  <c r="U1329" i="1"/>
  <c r="AA20" i="1"/>
  <c r="U22" i="1"/>
  <c r="V22" i="1" s="1"/>
  <c r="V38" i="1"/>
  <c r="U47" i="1"/>
  <c r="V171" i="1"/>
  <c r="V353" i="1"/>
  <c r="V544" i="1"/>
  <c r="U690" i="1"/>
  <c r="V690" i="1" s="1"/>
  <c r="U699" i="1"/>
  <c r="V699" i="1" s="1"/>
  <c r="V754" i="1"/>
  <c r="U106" i="1"/>
  <c r="V106" i="1" s="1"/>
  <c r="V83" i="1"/>
  <c r="U239" i="1"/>
  <c r="V340" i="1"/>
  <c r="U318" i="1"/>
  <c r="V318" i="1" s="1"/>
  <c r="V413" i="1"/>
  <c r="V590" i="1"/>
  <c r="U710" i="1"/>
  <c r="V710" i="1" s="1"/>
  <c r="V750" i="1"/>
  <c r="V21" i="1"/>
  <c r="V125" i="1"/>
  <c r="U233" i="1"/>
  <c r="V233" i="1" s="1"/>
  <c r="V258" i="1"/>
  <c r="V290" i="1"/>
  <c r="U359" i="1"/>
  <c r="V359" i="1" s="1"/>
  <c r="U440" i="1"/>
  <c r="V440" i="1" s="1"/>
  <c r="V608" i="1"/>
  <c r="V619" i="1"/>
  <c r="V893" i="1"/>
  <c r="V1204" i="1"/>
  <c r="V1308" i="1"/>
  <c r="V898" i="1"/>
  <c r="V11" i="1"/>
  <c r="V868" i="1"/>
  <c r="U1030" i="1"/>
  <c r="V1030" i="1" s="1"/>
  <c r="V1103" i="1"/>
  <c r="V1225" i="1"/>
  <c r="V1338" i="1"/>
  <c r="V908" i="1"/>
  <c r="V904" i="1"/>
  <c r="U848" i="1"/>
  <c r="U914" i="1"/>
  <c r="V914" i="1" s="1"/>
  <c r="V1146" i="1"/>
  <c r="V1161" i="1"/>
  <c r="V939" i="1"/>
  <c r="U1001" i="1"/>
  <c r="V1001" i="1" s="1"/>
  <c r="V1132" i="1"/>
  <c r="U1209" i="1"/>
  <c r="U1365" i="1"/>
  <c r="V892" i="1"/>
  <c r="U932" i="1"/>
  <c r="V932" i="1" s="1"/>
  <c r="U996" i="1"/>
  <c r="V996" i="1" s="1"/>
  <c r="U1034" i="1"/>
  <c r="V1034" i="1" s="1"/>
  <c r="V1249" i="1"/>
  <c r="V1307" i="1"/>
  <c r="V1362" i="1"/>
  <c r="V794" i="1"/>
  <c r="U917" i="1"/>
  <c r="V917" i="1" s="1"/>
  <c r="V1029" i="1"/>
  <c r="U1207" i="1"/>
  <c r="V1292" i="1"/>
  <c r="U1345" i="1"/>
  <c r="V1345" i="1" s="1"/>
  <c r="U857" i="1"/>
  <c r="V857" i="1" s="1"/>
  <c r="U911" i="1"/>
  <c r="V1070" i="1"/>
  <c r="U1250" i="1"/>
  <c r="U1260" i="1"/>
  <c r="V1260" i="1" s="1"/>
  <c r="V1329" i="1"/>
  <c r="U986" i="1"/>
  <c r="V986" i="1" s="1"/>
  <c r="U1079" i="1"/>
  <c r="V1079" i="1" s="1"/>
  <c r="V1117" i="1"/>
  <c r="V1184" i="1"/>
  <c r="V1309" i="1"/>
  <c r="U1362" i="1"/>
  <c r="U801" i="1"/>
  <c r="V801" i="1" s="1"/>
  <c r="U901" i="1"/>
  <c r="V901" i="1" s="1"/>
  <c r="V968" i="1"/>
  <c r="U1066" i="1"/>
  <c r="V1066" i="1" s="1"/>
  <c r="V1140" i="1"/>
  <c r="U1169" i="1"/>
  <c r="V1169" i="1" s="1"/>
  <c r="U1220" i="1"/>
  <c r="V1220" i="1" s="1"/>
  <c r="U1330" i="1"/>
  <c r="V1330" i="1" s="1"/>
  <c r="V866" i="1"/>
  <c r="U918" i="1"/>
  <c r="U1031" i="1"/>
  <c r="U1087" i="1"/>
  <c r="V1087" i="1" s="1"/>
  <c r="U1163" i="1"/>
  <c r="V1163" i="1" s="1"/>
  <c r="U1245" i="1"/>
  <c r="V1245" i="1" s="1"/>
  <c r="V1281" i="1"/>
  <c r="U1346" i="1"/>
  <c r="V27" i="1"/>
  <c r="AA18" i="1"/>
  <c r="AB18" i="1" s="1"/>
  <c r="U28" i="1"/>
  <c r="V28" i="1" s="1"/>
  <c r="U739" i="1"/>
  <c r="V739" i="1" s="1"/>
  <c r="U144" i="1"/>
  <c r="V144" i="1" s="1"/>
  <c r="U119" i="1"/>
  <c r="V119" i="1" s="1"/>
  <c r="V243" i="1"/>
  <c r="V270" i="1"/>
  <c r="V498" i="1"/>
  <c r="V616" i="1"/>
  <c r="U671" i="1"/>
  <c r="V671" i="1" s="1"/>
  <c r="V771" i="1"/>
  <c r="U51" i="1"/>
  <c r="V51" i="1" s="1"/>
  <c r="V168" i="1"/>
  <c r="U184" i="1"/>
  <c r="V184" i="1" s="1"/>
  <c r="V333" i="1"/>
  <c r="V485" i="1"/>
  <c r="U534" i="1"/>
  <c r="V534" i="1" s="1"/>
  <c r="U545" i="1"/>
  <c r="V743" i="1"/>
  <c r="U26" i="1"/>
  <c r="V26" i="1" s="1"/>
  <c r="V70" i="1"/>
  <c r="V204" i="1"/>
  <c r="V203" i="1"/>
  <c r="V362" i="1"/>
  <c r="U316" i="1"/>
  <c r="V316" i="1" s="1"/>
  <c r="U563" i="1"/>
  <c r="V563" i="1" s="1"/>
  <c r="V564" i="1"/>
  <c r="U636" i="1"/>
  <c r="V753" i="1"/>
  <c r="V1004" i="1"/>
  <c r="V848" i="1"/>
  <c r="V1085" i="1"/>
  <c r="V1183" i="1"/>
  <c r="V840" i="1"/>
  <c r="V1343" i="1"/>
  <c r="U1102" i="1"/>
  <c r="V1102" i="1" s="1"/>
  <c r="V1282" i="1"/>
  <c r="U820" i="1"/>
  <c r="U865" i="1"/>
  <c r="V865" i="1" s="1"/>
  <c r="V933" i="1"/>
  <c r="U1239" i="1"/>
  <c r="U800" i="1"/>
  <c r="V800" i="1" s="1"/>
  <c r="U954" i="1"/>
  <c r="V1008" i="1"/>
  <c r="U1199" i="1"/>
  <c r="V1199" i="1" s="1"/>
  <c r="V1228" i="1"/>
  <c r="U1382" i="1"/>
  <c r="V1382" i="1" s="1"/>
  <c r="U895" i="1"/>
  <c r="V895" i="1" s="1"/>
  <c r="U949" i="1"/>
  <c r="V949" i="1" s="1"/>
  <c r="V1003" i="1"/>
  <c r="U1063" i="1"/>
  <c r="V1063" i="1" s="1"/>
  <c r="U1142" i="1"/>
  <c r="V1142" i="1" s="1"/>
  <c r="V1367" i="1"/>
  <c r="U809" i="1"/>
  <c r="V809" i="1" s="1"/>
  <c r="U934" i="1"/>
  <c r="V934" i="1" s="1"/>
  <c r="U974" i="1"/>
  <c r="V974" i="1" s="1"/>
  <c r="U1067" i="1"/>
  <c r="V1067" i="1" s="1"/>
  <c r="V1105" i="1"/>
  <c r="V1172" i="1"/>
  <c r="V1297" i="1"/>
  <c r="U1350" i="1"/>
  <c r="V1350" i="1" s="1"/>
  <c r="V918" i="1"/>
  <c r="U1091" i="1"/>
  <c r="V1091" i="1" s="1"/>
  <c r="V1202" i="1"/>
  <c r="U1277" i="1"/>
  <c r="U1344" i="1"/>
  <c r="V1344" i="1" s="1"/>
  <c r="U897" i="1"/>
  <c r="V941" i="1"/>
  <c r="U1003" i="1"/>
  <c r="V1043" i="1"/>
  <c r="U1120" i="1"/>
  <c r="V1120" i="1" s="1"/>
  <c r="U1254" i="1"/>
  <c r="V1254" i="1" s="1"/>
  <c r="U806" i="1"/>
  <c r="V806" i="1" s="1"/>
  <c r="U851" i="1"/>
  <c r="V851" i="1" s="1"/>
  <c r="V1073" i="1"/>
  <c r="U1143" i="1"/>
  <c r="V1143" i="1" s="1"/>
  <c r="V1188" i="1"/>
  <c r="V1227" i="1"/>
  <c r="V1337" i="1"/>
  <c r="U836" i="1"/>
  <c r="V836" i="1" s="1"/>
  <c r="V925" i="1"/>
  <c r="U975" i="1"/>
  <c r="V975" i="1" s="1"/>
  <c r="U1037" i="1"/>
  <c r="V1037" i="1" s="1"/>
  <c r="U1180" i="1"/>
  <c r="U1219" i="1"/>
  <c r="V1219" i="1" s="1"/>
  <c r="V1274" i="1"/>
  <c r="U1351" i="1"/>
  <c r="V1351" i="1" s="1"/>
  <c r="AA9" i="1"/>
  <c r="AB9" i="1" s="1"/>
  <c r="U13" i="1"/>
  <c r="V91" i="1"/>
  <c r="V54" i="1"/>
  <c r="U210" i="1"/>
  <c r="V210" i="1" s="1"/>
  <c r="U277" i="1"/>
  <c r="V277" i="1" s="1"/>
  <c r="U441" i="1"/>
  <c r="V441" i="1" s="1"/>
  <c r="V561" i="1"/>
  <c r="U640" i="1"/>
  <c r="V640" i="1" s="1"/>
  <c r="U661" i="1"/>
  <c r="V661" i="1" s="1"/>
  <c r="U805" i="1"/>
  <c r="V805" i="1" s="1"/>
  <c r="U123" i="1"/>
  <c r="V123" i="1" s="1"/>
  <c r="V223" i="1"/>
  <c r="U256" i="1"/>
  <c r="V256" i="1" s="1"/>
  <c r="U288" i="1"/>
  <c r="V288" i="1" s="1"/>
  <c r="V349" i="1"/>
  <c r="V430" i="1"/>
  <c r="U606" i="1"/>
  <c r="V606" i="1" s="1"/>
  <c r="U617" i="1"/>
  <c r="V617" i="1" s="1"/>
  <c r="U655" i="1"/>
  <c r="V655" i="1" s="1"/>
  <c r="U746" i="1"/>
  <c r="V746" i="1" s="1"/>
  <c r="V142" i="1"/>
  <c r="U272" i="1"/>
  <c r="V272" i="1" s="1"/>
  <c r="V276" i="1"/>
  <c r="V307" i="1"/>
  <c r="V388" i="1"/>
  <c r="V471" i="1"/>
  <c r="U520" i="1"/>
  <c r="V520" i="1" s="1"/>
  <c r="V521" i="1"/>
  <c r="U708" i="1"/>
  <c r="V708" i="1" s="1"/>
  <c r="V758" i="1"/>
  <c r="V820" i="1"/>
  <c r="V985" i="1"/>
  <c r="V1209" i="1"/>
  <c r="U888" i="1"/>
  <c r="V888" i="1" s="1"/>
  <c r="V1177" i="1"/>
  <c r="U1303" i="1"/>
  <c r="V1303" i="1" s="1"/>
  <c r="V1360" i="1"/>
  <c r="V827" i="1"/>
  <c r="V1195" i="1"/>
  <c r="V1356" i="1"/>
  <c r="U837" i="1"/>
  <c r="U870" i="1"/>
  <c r="V870" i="1" s="1"/>
  <c r="U1107" i="1"/>
  <c r="U1366" i="1"/>
  <c r="V1366" i="1" s="1"/>
  <c r="V795" i="1"/>
  <c r="V909" i="1"/>
  <c r="V961" i="1"/>
  <c r="U1011" i="1"/>
  <c r="V1011" i="1" s="1"/>
  <c r="U1149" i="1"/>
  <c r="U1255" i="1"/>
  <c r="V1255" i="1" s="1"/>
  <c r="V1310" i="1"/>
  <c r="U1387" i="1"/>
  <c r="V1387" i="1" s="1"/>
  <c r="V905" i="1"/>
  <c r="V1058" i="1"/>
  <c r="U1238" i="1"/>
  <c r="U885" i="1"/>
  <c r="V885" i="1" s="1"/>
  <c r="V929" i="1"/>
  <c r="U991" i="1"/>
  <c r="V991" i="1" s="1"/>
  <c r="U1089" i="1"/>
  <c r="V1089" i="1" s="1"/>
  <c r="U1108" i="1"/>
  <c r="V1108" i="1" s="1"/>
  <c r="U1242" i="1"/>
  <c r="V1242" i="1" s="1"/>
  <c r="V869" i="1"/>
  <c r="V923" i="1"/>
  <c r="V1028" i="1"/>
  <c r="U1104" i="1"/>
  <c r="V1104" i="1" s="1"/>
  <c r="V1180" i="1"/>
  <c r="U1229" i="1"/>
  <c r="V1229" i="1" s="1"/>
  <c r="V1284" i="1"/>
  <c r="U1349" i="1"/>
  <c r="U910" i="1"/>
  <c r="V910" i="1" s="1"/>
  <c r="V1048" i="1"/>
  <c r="V1144" i="1"/>
  <c r="U1216" i="1"/>
  <c r="V1216" i="1" s="1"/>
  <c r="U1320" i="1"/>
  <c r="V1320" i="1" s="1"/>
  <c r="U1384" i="1"/>
  <c r="V1384" i="1" s="1"/>
  <c r="U856" i="1"/>
  <c r="V856" i="1" s="1"/>
  <c r="V978" i="1"/>
  <c r="U1045" i="1"/>
  <c r="U1093" i="1"/>
  <c r="V1193" i="1"/>
  <c r="U1297" i="1"/>
  <c r="V1342" i="1"/>
  <c r="V831" i="1"/>
  <c r="U940" i="1"/>
  <c r="V940" i="1" s="1"/>
  <c r="U1111" i="1"/>
  <c r="U1185" i="1"/>
  <c r="U1224" i="1"/>
  <c r="V1291" i="1"/>
  <c r="V1358" i="1"/>
  <c r="V10" i="1"/>
  <c r="AA19" i="1"/>
  <c r="AB19" i="1" s="1"/>
  <c r="V126" i="1"/>
  <c r="U275" i="1"/>
  <c r="V275" i="1" s="1"/>
  <c r="V432" i="1"/>
  <c r="U517" i="1"/>
  <c r="V517" i="1" s="1"/>
  <c r="U516" i="1"/>
  <c r="V516" i="1" s="1"/>
  <c r="V723" i="1"/>
  <c r="V733" i="1"/>
  <c r="U68" i="1"/>
  <c r="V68" i="1" s="1"/>
  <c r="U202" i="1"/>
  <c r="V202" i="1" s="1"/>
  <c r="U201" i="1"/>
  <c r="V201" i="1" s="1"/>
  <c r="U360" i="1"/>
  <c r="V360" i="1" s="1"/>
  <c r="V306" i="1"/>
  <c r="U397" i="1"/>
  <c r="V397" i="1" s="1"/>
  <c r="V553" i="1"/>
  <c r="U562" i="1"/>
  <c r="U716" i="1"/>
  <c r="U751" i="1"/>
  <c r="U110" i="1"/>
  <c r="V110" i="1" s="1"/>
  <c r="U97" i="1"/>
  <c r="V97" i="1" s="1"/>
  <c r="V221" i="1"/>
  <c r="U230" i="1"/>
  <c r="V230" i="1" s="1"/>
  <c r="U446" i="1"/>
  <c r="V446" i="1" s="1"/>
  <c r="V428" i="1"/>
  <c r="U592" i="1"/>
  <c r="V592" i="1" s="1"/>
  <c r="V593" i="1"/>
  <c r="V679" i="1"/>
  <c r="U761" i="1"/>
  <c r="V761" i="1" s="1"/>
  <c r="V1200" i="1"/>
  <c r="V1239" i="1"/>
  <c r="V1349" i="1"/>
  <c r="V837" i="1"/>
  <c r="U1000" i="1"/>
  <c r="V1000" i="1" s="1"/>
  <c r="V1059" i="1"/>
  <c r="V1107" i="1"/>
  <c r="V1311" i="1"/>
  <c r="U781" i="1"/>
  <c r="V781" i="1" s="1"/>
  <c r="U893" i="1"/>
  <c r="U947" i="1"/>
  <c r="V947" i="1" s="1"/>
  <c r="V989" i="1"/>
  <c r="V1051" i="1"/>
  <c r="V1365" i="1"/>
  <c r="V832" i="1"/>
  <c r="V877" i="1"/>
  <c r="V997" i="1"/>
  <c r="U1112" i="1"/>
  <c r="U1371" i="1"/>
  <c r="V1371" i="1" s="1"/>
  <c r="U1007" i="1"/>
  <c r="U1261" i="1"/>
  <c r="V1261" i="1" s="1"/>
  <c r="V1373" i="1"/>
  <c r="U855" i="1"/>
  <c r="V855" i="1" s="1"/>
  <c r="V1006" i="1"/>
  <c r="U1146" i="1"/>
  <c r="U1166" i="1"/>
  <c r="V1166" i="1" s="1"/>
  <c r="V1207" i="1"/>
  <c r="U1270" i="1"/>
  <c r="V1270" i="1" s="1"/>
  <c r="V1075" i="1"/>
  <c r="V1257" i="1"/>
  <c r="U1265" i="1"/>
  <c r="V1265" i="1" s="1"/>
  <c r="U902" i="1"/>
  <c r="V902" i="1" s="1"/>
  <c r="U1137" i="1"/>
  <c r="V1137" i="1" s="1"/>
  <c r="V1259" i="1"/>
  <c r="U1317" i="1"/>
  <c r="V1317" i="1" s="1"/>
  <c r="U1372" i="1"/>
  <c r="V1372" i="1" s="1"/>
  <c r="U872" i="1"/>
  <c r="V872" i="1" s="1"/>
  <c r="U938" i="1"/>
  <c r="V938" i="1" s="1"/>
  <c r="V980" i="1"/>
  <c r="U1109" i="1"/>
  <c r="V1109" i="1" s="1"/>
  <c r="V1185" i="1"/>
  <c r="U1246" i="1"/>
  <c r="V1246" i="1" s="1"/>
  <c r="U819" i="1"/>
  <c r="V854" i="1"/>
  <c r="V963" i="1"/>
  <c r="U1025" i="1"/>
  <c r="V1025" i="1" s="1"/>
  <c r="V1077" i="1"/>
  <c r="U1151" i="1"/>
  <c r="V1151" i="1" s="1"/>
  <c r="U1233" i="1"/>
  <c r="V1233" i="1" s="1"/>
  <c r="V1269" i="1"/>
  <c r="U1334" i="1"/>
  <c r="V1334" i="1" s="1"/>
  <c r="U816" i="1"/>
  <c r="V816" i="1" s="1"/>
  <c r="V931" i="1"/>
  <c r="U981" i="1"/>
  <c r="U1074" i="1"/>
  <c r="V1074" i="1" s="1"/>
  <c r="U1098" i="1"/>
  <c r="V1098" i="1" s="1"/>
  <c r="U1165" i="1"/>
  <c r="V1165" i="1" s="1"/>
  <c r="U1314" i="1"/>
  <c r="V1314" i="1" s="1"/>
  <c r="U891" i="1"/>
  <c r="U945" i="1"/>
  <c r="V945" i="1" s="1"/>
  <c r="V987" i="1"/>
  <c r="V1118" i="1"/>
  <c r="V1203" i="1"/>
  <c r="V1243" i="1"/>
  <c r="U1306" i="1"/>
  <c r="V1306" i="1" s="1"/>
  <c r="V1363" i="1"/>
  <c r="AB26" i="1"/>
  <c r="V9" i="1"/>
  <c r="U23" i="1"/>
  <c r="V23" i="1" s="1"/>
  <c r="V636" i="1"/>
  <c r="U742" i="1"/>
  <c r="V742" i="1" s="1"/>
  <c r="V96" i="1"/>
  <c r="U81" i="1"/>
  <c r="V81" i="1" s="1"/>
  <c r="V229" i="1"/>
  <c r="U338" i="1"/>
  <c r="V338" i="1" s="1"/>
  <c r="U411" i="1"/>
  <c r="V411" i="1" s="1"/>
  <c r="U589" i="1"/>
  <c r="U588" i="1"/>
  <c r="V707" i="1"/>
  <c r="U140" i="1"/>
  <c r="V140" i="1" s="1"/>
  <c r="V271" i="1"/>
  <c r="U269" i="1"/>
  <c r="V269" i="1" s="1"/>
  <c r="U305" i="1"/>
  <c r="V305" i="1" s="1"/>
  <c r="V378" i="1"/>
  <c r="U469" i="1"/>
  <c r="V469" i="1" s="1"/>
  <c r="U519" i="1"/>
  <c r="V519" i="1" s="1"/>
  <c r="V698" i="1"/>
  <c r="V57" i="1"/>
  <c r="V160" i="1"/>
  <c r="U175" i="1"/>
  <c r="V175" i="1" s="1"/>
  <c r="U358" i="1"/>
  <c r="V358" i="1" s="1"/>
  <c r="V405" i="1"/>
  <c r="V500" i="1"/>
  <c r="U525" i="1"/>
  <c r="V525" i="1" s="1"/>
  <c r="V526" i="1"/>
  <c r="U658" i="1"/>
  <c r="V658" i="1" s="1"/>
  <c r="V756" i="1"/>
  <c r="U835" i="1"/>
  <c r="V835" i="1" s="1"/>
  <c r="V990" i="1"/>
  <c r="V1354" i="1"/>
  <c r="V830" i="1"/>
  <c r="V995" i="1"/>
  <c r="V1093" i="1"/>
  <c r="V1112" i="1"/>
  <c r="V1179" i="1"/>
  <c r="V954" i="1"/>
  <c r="V1125" i="1"/>
  <c r="V1238" i="1"/>
  <c r="V847" i="1"/>
  <c r="V882" i="1"/>
  <c r="U1012" i="1"/>
  <c r="V1012" i="1" s="1"/>
  <c r="V1071" i="1"/>
  <c r="V1119" i="1"/>
  <c r="V1186" i="1"/>
  <c r="V1268" i="1"/>
  <c r="U1376" i="1"/>
  <c r="V1376" i="1" s="1"/>
  <c r="U780" i="1"/>
  <c r="V780" i="1" s="1"/>
  <c r="V1014" i="1"/>
  <c r="U1278" i="1"/>
  <c r="V1278" i="1" s="1"/>
  <c r="V1378" i="1"/>
  <c r="U815" i="1"/>
  <c r="V815" i="1" s="1"/>
  <c r="V916" i="1"/>
  <c r="V1023" i="1"/>
  <c r="V1224" i="1"/>
  <c r="V1277" i="1"/>
  <c r="U810" i="1"/>
  <c r="V810" i="1" s="1"/>
  <c r="V911" i="1"/>
  <c r="U1016" i="1"/>
  <c r="V1016" i="1" s="1"/>
  <c r="V1150" i="1"/>
  <c r="U1217" i="1"/>
  <c r="V1217" i="1" s="1"/>
  <c r="V1272" i="1"/>
  <c r="V897" i="1"/>
  <c r="U1013" i="1"/>
  <c r="V1013" i="1" s="1"/>
  <c r="V1065" i="1"/>
  <c r="U1145" i="1"/>
  <c r="V1145" i="1" s="1"/>
  <c r="U1221" i="1"/>
  <c r="V1221" i="1" s="1"/>
  <c r="U1321" i="1"/>
  <c r="V1321" i="1" s="1"/>
  <c r="U1377" i="1"/>
  <c r="V1377" i="1" s="1"/>
  <c r="U889" i="1"/>
  <c r="V889" i="1" s="1"/>
  <c r="V957" i="1"/>
  <c r="U1054" i="1"/>
  <c r="V1054" i="1" s="1"/>
  <c r="V1128" i="1"/>
  <c r="U1157" i="1"/>
  <c r="V1157" i="1" s="1"/>
  <c r="U1208" i="1"/>
  <c r="V1208" i="1" s="1"/>
  <c r="U824" i="1"/>
  <c r="V824" i="1" s="1"/>
  <c r="V913" i="1"/>
  <c r="U1039" i="1"/>
  <c r="V1039" i="1" s="1"/>
  <c r="U1080" i="1"/>
  <c r="V1080" i="1" s="1"/>
  <c r="U1168" i="1"/>
  <c r="V1168" i="1" s="1"/>
  <c r="V1252" i="1"/>
  <c r="V1262" i="1"/>
  <c r="U1339" i="1"/>
  <c r="V1339" i="1" s="1"/>
  <c r="V823" i="1"/>
  <c r="V948" i="1"/>
  <c r="V1081" i="1"/>
  <c r="U1127" i="1"/>
  <c r="V1127" i="1" s="1"/>
  <c r="U1194" i="1"/>
  <c r="V1194" i="1" s="1"/>
  <c r="U1319" i="1"/>
  <c r="V1319" i="1" s="1"/>
  <c r="V786" i="1"/>
  <c r="V886" i="1"/>
  <c r="V952" i="1"/>
  <c r="U1002" i="1"/>
  <c r="V1002" i="1" s="1"/>
  <c r="V1123" i="1"/>
  <c r="U1152" i="1"/>
  <c r="V1152" i="1" s="1"/>
  <c r="U1266" i="1"/>
  <c r="V1266" i="1" s="1"/>
  <c r="V1313" i="1"/>
  <c r="V30" i="1"/>
  <c r="U3" i="1"/>
  <c r="U4" i="1"/>
  <c r="V4" i="1" s="1"/>
  <c r="U155" i="1"/>
  <c r="V155" i="1" s="1"/>
  <c r="V174" i="1"/>
  <c r="U331" i="1"/>
  <c r="V331" i="1" s="1"/>
  <c r="V380" i="1"/>
  <c r="U483" i="1"/>
  <c r="V524" i="1"/>
  <c r="V535" i="1"/>
  <c r="U662" i="1"/>
  <c r="V662" i="1" s="1"/>
  <c r="U741" i="1"/>
  <c r="V741" i="1" s="1"/>
  <c r="V100" i="1"/>
  <c r="V87" i="1"/>
  <c r="U219" i="1"/>
  <c r="V219" i="1" s="1"/>
  <c r="V220" i="1"/>
  <c r="U377" i="1"/>
  <c r="V377" i="1" s="1"/>
  <c r="V436" i="1"/>
  <c r="U426" i="1"/>
  <c r="V426" i="1" s="1"/>
  <c r="V582" i="1"/>
  <c r="U591" i="1"/>
  <c r="V591" i="1" s="1"/>
  <c r="U677" i="1"/>
  <c r="V677" i="1" s="1"/>
  <c r="V751" i="1"/>
  <c r="V129" i="1"/>
  <c r="V104" i="1"/>
  <c r="U247" i="1"/>
  <c r="V247" i="1" s="1"/>
  <c r="V477" i="1"/>
  <c r="U455" i="1"/>
  <c r="V455" i="1" s="1"/>
  <c r="U597" i="1"/>
  <c r="V597" i="1" s="1"/>
  <c r="V598" i="1"/>
  <c r="U639" i="1"/>
  <c r="V639" i="1" s="1"/>
  <c r="U759" i="1"/>
  <c r="V759" i="1" s="1"/>
  <c r="U828" i="1"/>
  <c r="V828" i="1" s="1"/>
  <c r="V1324" i="1"/>
  <c r="U843" i="1"/>
  <c r="V969" i="1"/>
  <c r="V1141" i="1"/>
  <c r="V907" i="1"/>
  <c r="V959" i="1"/>
  <c r="V1149" i="1"/>
  <c r="U785" i="1"/>
  <c r="V785" i="1" s="1"/>
  <c r="V965" i="1"/>
  <c r="V1007" i="1"/>
  <c r="V1124" i="1"/>
  <c r="V1191" i="1"/>
  <c r="V1273" i="1"/>
  <c r="U1326" i="1"/>
  <c r="V1326" i="1" s="1"/>
  <c r="V787" i="1"/>
  <c r="U969" i="1"/>
  <c r="U1017" i="1"/>
  <c r="V1017" i="1" s="1"/>
  <c r="V1045" i="1"/>
  <c r="U1134" i="1"/>
  <c r="V1134" i="1" s="1"/>
  <c r="U1283" i="1"/>
  <c r="V1283" i="1" s="1"/>
  <c r="V822" i="1"/>
  <c r="V867" i="1"/>
  <c r="U943" i="1"/>
  <c r="V943" i="1" s="1"/>
  <c r="U1114" i="1"/>
  <c r="V1241" i="1"/>
  <c r="V1294" i="1"/>
  <c r="U860" i="1"/>
  <c r="V860" i="1" s="1"/>
  <c r="U926" i="1"/>
  <c r="V926" i="1" s="1"/>
  <c r="U1032" i="1"/>
  <c r="V1032" i="1" s="1"/>
  <c r="U1097" i="1"/>
  <c r="V1097" i="1" s="1"/>
  <c r="U1234" i="1"/>
  <c r="V1234" i="1" s="1"/>
  <c r="U812" i="1"/>
  <c r="V812" i="1" s="1"/>
  <c r="U906" i="1"/>
  <c r="V906" i="1" s="1"/>
  <c r="U967" i="1"/>
  <c r="V1020" i="1"/>
  <c r="U1156" i="1"/>
  <c r="V1156" i="1" s="1"/>
  <c r="V1240" i="1"/>
  <c r="U1327" i="1"/>
  <c r="V1327" i="1" s="1"/>
  <c r="U894" i="1"/>
  <c r="V894" i="1" s="1"/>
  <c r="U960" i="1"/>
  <c r="V960" i="1" s="1"/>
  <c r="V1061" i="1"/>
  <c r="U1131" i="1"/>
  <c r="V1131" i="1" s="1"/>
  <c r="V1176" i="1"/>
  <c r="V1215" i="1"/>
  <c r="V1325" i="1"/>
  <c r="V819" i="1"/>
  <c r="U874" i="1"/>
  <c r="V874" i="1" s="1"/>
  <c r="U928" i="1"/>
  <c r="V1031" i="1"/>
  <c r="U1099" i="1"/>
  <c r="V1099" i="1" s="1"/>
  <c r="U1173" i="1"/>
  <c r="V1173" i="1" s="1"/>
  <c r="U1212" i="1"/>
  <c r="V1212" i="1" s="1"/>
  <c r="V1279" i="1"/>
  <c r="V1346" i="1"/>
  <c r="V899" i="1"/>
  <c r="U951" i="1"/>
  <c r="V951" i="1" s="1"/>
  <c r="U1053" i="1"/>
  <c r="V1053" i="1" s="1"/>
  <c r="V1122" i="1"/>
  <c r="V1256" i="1"/>
  <c r="U1379" i="1"/>
  <c r="V1379" i="1" s="1"/>
  <c r="V803" i="1"/>
  <c r="V903" i="1"/>
  <c r="U972" i="1"/>
  <c r="V972" i="1" s="1"/>
  <c r="V1068" i="1"/>
  <c r="V1147" i="1"/>
  <c r="V1171" i="1"/>
  <c r="V1222" i="1"/>
  <c r="V1332" i="1"/>
  <c r="U16" i="1"/>
  <c r="V16" i="1" s="1"/>
  <c r="V18" i="1"/>
  <c r="U7" i="1"/>
  <c r="V7" i="1" s="1"/>
  <c r="U35" i="1"/>
  <c r="V35" i="1" s="1"/>
  <c r="U41" i="1"/>
  <c r="V4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<sst xmlns="http://schemas.openxmlformats.org/spreadsheetml/2006/main" count="2800" uniqueCount="490">
  <si>
    <t>Companies</t>
  </si>
  <si>
    <t>Symbol</t>
  </si>
  <si>
    <t>Years</t>
  </si>
  <si>
    <t>OS</t>
  </si>
  <si>
    <t>OC</t>
  </si>
  <si>
    <t>IO</t>
  </si>
  <si>
    <t>BS</t>
  </si>
  <si>
    <t>BI</t>
  </si>
  <si>
    <t>ACI</t>
  </si>
  <si>
    <t>CD</t>
  </si>
  <si>
    <t>ios</t>
  </si>
  <si>
    <t>ioc</t>
  </si>
  <si>
    <t>iio</t>
  </si>
  <si>
    <t>ibs</t>
  </si>
  <si>
    <t>ibi</t>
  </si>
  <si>
    <t>iaci</t>
  </si>
  <si>
    <t>ICD</t>
  </si>
  <si>
    <t>sum</t>
  </si>
  <si>
    <t>Max</t>
  </si>
  <si>
    <t>Min</t>
  </si>
  <si>
    <t>Range</t>
  </si>
  <si>
    <t>CG Index</t>
  </si>
  <si>
    <t>RBS</t>
  </si>
  <si>
    <t>RSUM</t>
  </si>
  <si>
    <t>RMax</t>
  </si>
  <si>
    <t>RMin</t>
  </si>
  <si>
    <t>RRange</t>
  </si>
  <si>
    <t>RCG Index</t>
  </si>
  <si>
    <t>Al-Abbas Sugar Mills Ltd.</t>
  </si>
  <si>
    <t>AABS</t>
  </si>
  <si>
    <t>Al-Abid Silk Mills Ltd.</t>
  </si>
  <si>
    <t>AASM</t>
  </si>
  <si>
    <t>Ali Asghar Textile Mills Ltd.</t>
  </si>
  <si>
    <t>AATM</t>
  </si>
  <si>
    <t>Abbott Laboratories (Pakistan) Ltd.</t>
  </si>
  <si>
    <t>ABOT</t>
  </si>
  <si>
    <t>Attock Cement Pakistan Ltd.</t>
  </si>
  <si>
    <t>ACPL</t>
  </si>
  <si>
    <t>Adam Sugar Mills Ltd.</t>
  </si>
  <si>
    <t>ADAMS</t>
  </si>
  <si>
    <t>Artistic Denim Mills Ltd.</t>
  </si>
  <si>
    <t>ADMM</t>
  </si>
  <si>
    <t>Ados Pakistan Ltd.</t>
  </si>
  <si>
    <t>ADOS</t>
  </si>
  <si>
    <t>Agriauto Industries Ltd.</t>
  </si>
  <si>
    <t>AGIL</t>
  </si>
  <si>
    <t>Agritech Ltd.</t>
  </si>
  <si>
    <t>AGL</t>
  </si>
  <si>
    <t>Ahmed Hassan Textile Mills Ltd.</t>
  </si>
  <si>
    <t>AHTM</t>
  </si>
  <si>
    <t>Al-Noor Sugar Mills Ltd.</t>
  </si>
  <si>
    <t>ALNRS</t>
  </si>
  <si>
    <t>Altern Energy Ltd.</t>
  </si>
  <si>
    <t>ALTN</t>
  </si>
  <si>
    <t>Amtex Ltd.</t>
  </si>
  <si>
    <t>AMTEX</t>
  </si>
  <si>
    <t>Azgard Nine Ltd.</t>
  </si>
  <si>
    <t>ANL</t>
  </si>
  <si>
    <t>Attock Petroleum Ltd.</t>
  </si>
  <si>
    <t>APL</t>
  </si>
  <si>
    <t>Archroma Pakistan Ltd. (Formerly Clariant Pakistan Ltd)</t>
  </si>
  <si>
    <t>ARPL</t>
  </si>
  <si>
    <t>Ashfaq Textile Mills Ltd.</t>
  </si>
  <si>
    <t>ASHT</t>
  </si>
  <si>
    <t>Asim Textile Mills Ltd.</t>
  </si>
  <si>
    <t>ASTM</t>
  </si>
  <si>
    <t>Atlas Battery Ltd.</t>
  </si>
  <si>
    <t>ATBA</t>
  </si>
  <si>
    <t>Atlas Honda Ltd.</t>
  </si>
  <si>
    <t>ATLH</t>
  </si>
  <si>
    <t>Attock Refinery Ltd.</t>
  </si>
  <si>
    <t>ATRL</t>
  </si>
  <si>
    <t>Allawasaya Textile &amp; Finishing Mills Ltd.</t>
  </si>
  <si>
    <t>AWTX</t>
  </si>
  <si>
    <t>Bawany Air Products Ltd.</t>
  </si>
  <si>
    <t>BAPL</t>
  </si>
  <si>
    <t>Bata Pakistan Ltd.</t>
  </si>
  <si>
    <t>BATA</t>
  </si>
  <si>
    <t>Bolan Castings Ltd.</t>
  </si>
  <si>
    <t>BCL</t>
  </si>
  <si>
    <t>Babri Cotton Mills Ltd.</t>
  </si>
  <si>
    <t>BCML</t>
  </si>
  <si>
    <t>Berger Paints Pakistan Ltd.</t>
  </si>
  <si>
    <t>BERG</t>
  </si>
  <si>
    <t>Bhanero Textile Mills Ltd.</t>
  </si>
  <si>
    <t>BHAT</t>
  </si>
  <si>
    <t>Biafo Industries Ltd.</t>
  </si>
  <si>
    <t>BIFO</t>
  </si>
  <si>
    <t>Bilal Fibres Ltd.</t>
  </si>
  <si>
    <t>BILF</t>
  </si>
  <si>
    <t>Bannu Woollen Mills Ltd.</t>
  </si>
  <si>
    <t>BNWM</t>
  </si>
  <si>
    <t>Burshane LPG (Pakistan) Ltd.</t>
  </si>
  <si>
    <t>BPL</t>
  </si>
  <si>
    <t>Blessed Textiles Ltd.</t>
  </si>
  <si>
    <t>BTL</t>
  </si>
  <si>
    <t>Buxly Paints Ltd.</t>
  </si>
  <si>
    <t>BUXL</t>
  </si>
  <si>
    <t>Bestway Cement Ltd.</t>
  </si>
  <si>
    <t>BWCL</t>
  </si>
  <si>
    <t>Baluchistan Wheels Ltd.</t>
  </si>
  <si>
    <t>BWHL</t>
  </si>
  <si>
    <t>Byco Petroleum (Formerly Bosicor Pakistan Ltd.)</t>
  </si>
  <si>
    <t>BYCO</t>
  </si>
  <si>
    <t>Crescent Cotton Mills Ltd.</t>
  </si>
  <si>
    <t>CCM</t>
  </si>
  <si>
    <t>Century Paper &amp; Board Mills Ltd.</t>
  </si>
  <si>
    <t>CEPB</t>
  </si>
  <si>
    <t>Crescent Fibers Ltd.</t>
  </si>
  <si>
    <t>CFL</t>
  </si>
  <si>
    <t>Chashma Sugar Mills Ltd.</t>
  </si>
  <si>
    <t>CHAS</t>
  </si>
  <si>
    <t>Cherat Cement Co. Ltd.</t>
  </si>
  <si>
    <t>CHCC</t>
  </si>
  <si>
    <t>Crescent Jute Products Ltd.</t>
  </si>
  <si>
    <t>CJPL</t>
  </si>
  <si>
    <t>Clover Pakistan Ltd.</t>
  </si>
  <si>
    <t>CLOV</t>
  </si>
  <si>
    <t>Colgate-Palmolive (Pakistan) Ltd.</t>
  </si>
  <si>
    <t>COLG</t>
  </si>
  <si>
    <t>Cherat Packaging Ltd.</t>
  </si>
  <si>
    <t>CPPL</t>
  </si>
  <si>
    <t>The Crescent Textile Mills Ltd.</t>
  </si>
  <si>
    <t>CRTM</t>
  </si>
  <si>
    <t>Crescent Steel &amp; Allied Products Ltd.</t>
  </si>
  <si>
    <t>CSAP</t>
  </si>
  <si>
    <t>Data Agro Ltd.</t>
  </si>
  <si>
    <t>DAAG</t>
  </si>
  <si>
    <t>Dadex Eternit Ltd.</t>
  </si>
  <si>
    <t>DADX</t>
  </si>
  <si>
    <t>Dawood Hercules Corporation Ltd</t>
  </si>
  <si>
    <t>DAWH</t>
  </si>
  <si>
    <t>Dewan Cement Ltd.</t>
  </si>
  <si>
    <t>DCL</t>
  </si>
  <si>
    <t>Dewan Farooque Motors Ltd.</t>
  </si>
  <si>
    <t>DFML</t>
  </si>
  <si>
    <t>Dewan Farooque Spinning Mills Ltd.</t>
  </si>
  <si>
    <t>DFSM</t>
  </si>
  <si>
    <t>D.G. Khan Cement Co. Ltd.</t>
  </si>
  <si>
    <t>DGKC</t>
  </si>
  <si>
    <t>Din Textile Mills Ltd.</t>
  </si>
  <si>
    <t>DINT</t>
  </si>
  <si>
    <t>Dewan Khalid Textile Mills Ltd.</t>
  </si>
  <si>
    <t>DKTM</t>
  </si>
  <si>
    <t>Dawood Lawrencepur Ltd.</t>
  </si>
  <si>
    <t>DLL</t>
  </si>
  <si>
    <t>Dewan Mushtaq Textile Mills Ltd.</t>
  </si>
  <si>
    <t>DMTM</t>
  </si>
  <si>
    <t>D.M. Textile Mills Ltd.</t>
  </si>
  <si>
    <t>DMTX</t>
  </si>
  <si>
    <t>Dandot Cement Co. Ltd.</t>
  </si>
  <si>
    <t>DNCC</t>
  </si>
  <si>
    <t>Descon Oxychem Ltd.</t>
  </si>
  <si>
    <t>DOL</t>
  </si>
  <si>
    <t>D.S. Industries Ltd.</t>
  </si>
  <si>
    <t>DSIL</t>
  </si>
  <si>
    <t>Dewan Sugar Mills Ltd.</t>
  </si>
  <si>
    <t>DWSM</t>
  </si>
  <si>
    <t>Dewan Textile Mills Ltd.</t>
  </si>
  <si>
    <t>DWTM</t>
  </si>
  <si>
    <t>Dynea Pakistan Ltd.</t>
  </si>
  <si>
    <t>DYNO</t>
  </si>
  <si>
    <t>Eco Pack Ltd.</t>
  </si>
  <si>
    <t>ECOP</t>
  </si>
  <si>
    <t>Elahi Cotton Mills Ltd.</t>
  </si>
  <si>
    <t>ELCM</t>
  </si>
  <si>
    <t>Ellcot Spinning Mills Ltd.</t>
  </si>
  <si>
    <t>ELSM</t>
  </si>
  <si>
    <t>Engro Corporation Ltd.</t>
  </si>
  <si>
    <t>ENGRO</t>
  </si>
  <si>
    <t>Engro Polymer &amp; Chemicals Ltd.</t>
  </si>
  <si>
    <t>EPCL</t>
  </si>
  <si>
    <t>Exide Pakistan Ltd.</t>
  </si>
  <si>
    <t>EXIDE</t>
  </si>
  <si>
    <t>Faisal Spinning Mills Ltd.</t>
  </si>
  <si>
    <t>FASM</t>
  </si>
  <si>
    <t>Fauji Cement Co. Ltd.</t>
  </si>
  <si>
    <t>FCCL</t>
  </si>
  <si>
    <t>Fecto Cement Ltd.</t>
  </si>
  <si>
    <t>FECTC</t>
  </si>
  <si>
    <t>Ferozsons Laboratories Ltd.</t>
  </si>
  <si>
    <t>FEROZ</t>
  </si>
  <si>
    <t>Fauji Fertilizer Bin Qasim Ltd.</t>
  </si>
  <si>
    <t>FFBL</t>
  </si>
  <si>
    <t>Fauji Fertilizer Co. Ltd.</t>
  </si>
  <si>
    <t>FFC</t>
  </si>
  <si>
    <t>Flying Cement Co. Ltd.</t>
  </si>
  <si>
    <t>FLYNG</t>
  </si>
  <si>
    <t>Feroze1888 Mills Ltd.</t>
  </si>
  <si>
    <t>FML</t>
  </si>
  <si>
    <t>Faran Sugar Mills Ltd.</t>
  </si>
  <si>
    <t>FRSM</t>
  </si>
  <si>
    <t>Gadoon Textile Mills Ltd.</t>
  </si>
  <si>
    <t>GADT</t>
  </si>
  <si>
    <t>Ghani Automobiles Industries Ltd.</t>
  </si>
  <si>
    <t>GAIL</t>
  </si>
  <si>
    <t>Gammon Pakistan Ltd.</t>
  </si>
  <si>
    <t>GAMON</t>
  </si>
  <si>
    <t>Gatron (Industries) Ltd.</t>
  </si>
  <si>
    <t>GATI</t>
  </si>
  <si>
    <t>Gul Ahmed Textile Mills Ltd.</t>
  </si>
  <si>
    <t>GATM</t>
  </si>
  <si>
    <t>Ghazi Fabrics International Ltd.</t>
  </si>
  <si>
    <t>GFIL</t>
  </si>
  <si>
    <t>Ghani Gases Ltd.</t>
  </si>
  <si>
    <t>GGL</t>
  </si>
  <si>
    <t>Ghani Glass Ltd.</t>
  </si>
  <si>
    <t>GHGL</t>
  </si>
  <si>
    <t>Ghandhara Industries Ltd.</t>
  </si>
  <si>
    <t>GHNI</t>
  </si>
  <si>
    <t>Ghandhara Nissan Ltd.</t>
  </si>
  <si>
    <t>GHNL</t>
  </si>
  <si>
    <t>GlaxoSmithKline Pakistan Limited</t>
  </si>
  <si>
    <t>GLAXO</t>
  </si>
  <si>
    <t>Gillette Pakistan Ltd.</t>
  </si>
  <si>
    <t>GLPL</t>
  </si>
  <si>
    <t>General Tyre &amp; Rubber Co.</t>
  </si>
  <si>
    <t>GTYR</t>
  </si>
  <si>
    <t>Ghani Value Glass Ltd.</t>
  </si>
  <si>
    <t>GVGL</t>
  </si>
  <si>
    <t>Gharibwal Cement Ltd.</t>
  </si>
  <si>
    <t>GWLC</t>
  </si>
  <si>
    <t>Habib Sugar Mills Ltd.</t>
  </si>
  <si>
    <t>HABSM</t>
  </si>
  <si>
    <t>Honda Atlas Cars (Pakistan) Ltd.</t>
  </si>
  <si>
    <t>HCAR</t>
  </si>
  <si>
    <t>Hinopak Motors Ltd.</t>
  </si>
  <si>
    <t>HINO</t>
  </si>
  <si>
    <t>Highnoon Laboratories Ltd.</t>
  </si>
  <si>
    <t>HINOON</t>
  </si>
  <si>
    <t>Husein Sugar Mills Ltd.</t>
  </si>
  <si>
    <t>HSM</t>
  </si>
  <si>
    <t>Huffaz Seamless Pipe Industries Ltd.</t>
  </si>
  <si>
    <t>HSPI</t>
  </si>
  <si>
    <t>The Hub Power Co. Ltd.</t>
  </si>
  <si>
    <t>HUBC</t>
  </si>
  <si>
    <t>Haseeb Waqas Sugar Mills Ltd.</t>
  </si>
  <si>
    <t>HWQS</t>
  </si>
  <si>
    <t>Ibrahim Fibres Ltd.</t>
  </si>
  <si>
    <t>IBFL</t>
  </si>
  <si>
    <t>IBL HealthCare Ltd.</t>
  </si>
  <si>
    <t>IBLHL</t>
  </si>
  <si>
    <t>ICC Textiles Ltd.</t>
  </si>
  <si>
    <t>ICCT</t>
  </si>
  <si>
    <t>ICI Pakistan Ltd.</t>
  </si>
  <si>
    <t>ICI</t>
  </si>
  <si>
    <t>Ittehad Chemicals Ltd.</t>
  </si>
  <si>
    <t>ICL</t>
  </si>
  <si>
    <t>Idrees Textile Mills Ltd.</t>
  </si>
  <si>
    <t>IDRT</t>
  </si>
  <si>
    <t>Indus Dyeing &amp; Manufacturing Co. Ltd.</t>
  </si>
  <si>
    <t>IDYM</t>
  </si>
  <si>
    <t>Island Textile Mills Ltd.</t>
  </si>
  <si>
    <t>ILTM</t>
  </si>
  <si>
    <t>Indus Motor Co. Ltd.</t>
  </si>
  <si>
    <t>INDU</t>
  </si>
  <si>
    <t>International Industries Ltd.</t>
  </si>
  <si>
    <t>INIL</t>
  </si>
  <si>
    <t>J.A. Textile Mills Ltd.</t>
  </si>
  <si>
    <t>JATM</t>
  </si>
  <si>
    <t>Janana De Malucho Textile Mills Ltd.</t>
  </si>
  <si>
    <t>JDMT</t>
  </si>
  <si>
    <t>JDW Sugar Mills Ltd.</t>
  </si>
  <si>
    <t>JDWS</t>
  </si>
  <si>
    <t>Japan Power Generation Ltd.</t>
  </si>
  <si>
    <t>JPGL</t>
  </si>
  <si>
    <t>Jubilee Spinning &amp; Weaving Mills Ltd.</t>
  </si>
  <si>
    <t>JUBS</t>
  </si>
  <si>
    <t>Kot Addu Power Co. Ltd.</t>
  </si>
  <si>
    <t>KAPCO</t>
  </si>
  <si>
    <t>Karam Ceramics Ltd.</t>
  </si>
  <si>
    <t>KCL</t>
  </si>
  <si>
    <t>K-Electric (formerly KESC)</t>
  </si>
  <si>
    <t>KEL</t>
  </si>
  <si>
    <t>Kohinoor Mills Ltd.</t>
  </si>
  <si>
    <t>KML</t>
  </si>
  <si>
    <t>Kohat Cement Co. Ltd.</t>
  </si>
  <si>
    <t>KOHC</t>
  </si>
  <si>
    <t>Kohinoor Energy Ltd.</t>
  </si>
  <si>
    <t>KOHE</t>
  </si>
  <si>
    <t>Kohat Textile Mills Ltd.</t>
  </si>
  <si>
    <t>KOHTM</t>
  </si>
  <si>
    <t>KSB Pumps Co. Ltd.</t>
  </si>
  <si>
    <t>KSBP</t>
  </si>
  <si>
    <t>Kohinoor Textile Mills Ltd.</t>
  </si>
  <si>
    <t>KTML</t>
  </si>
  <si>
    <t>Lotte Chemical Pakistan Ltd.</t>
  </si>
  <si>
    <t>LOTCHEM</t>
  </si>
  <si>
    <t>Leiner Pak Gelatine Ltd.</t>
  </si>
  <si>
    <t>LPGL</t>
  </si>
  <si>
    <t>Lucky Cement Ltd.</t>
  </si>
  <si>
    <t>LUCK</t>
  </si>
  <si>
    <t>Merit Packaging Ltd.</t>
  </si>
  <si>
    <t>MERIT</t>
  </si>
  <si>
    <t>Mitchell's Fruit Farms Ltd.</t>
  </si>
  <si>
    <t>MFFL</t>
  </si>
  <si>
    <t>Mirpurkhas Sugar Mills Ltd.</t>
  </si>
  <si>
    <t>MIRKS</t>
  </si>
  <si>
    <t>Maple Leaf Cement Factory Ltd.</t>
  </si>
  <si>
    <t>MLCF</t>
  </si>
  <si>
    <t>Mehran Sugar Mills Ltd.</t>
  </si>
  <si>
    <t>MRNS</t>
  </si>
  <si>
    <t>Masood Textile Mills Ltd.</t>
  </si>
  <si>
    <t>MSOT</t>
  </si>
  <si>
    <t>Mian Textile Industries Ltd.</t>
  </si>
  <si>
    <t>MTIL</t>
  </si>
  <si>
    <t>Millat Tractors Ltd.</t>
  </si>
  <si>
    <t>MTL</t>
  </si>
  <si>
    <t>Mirza Sugar Mills Ltd.</t>
  </si>
  <si>
    <t>MZSM</t>
  </si>
  <si>
    <t>Nagina Cotton Mills Ltd.</t>
  </si>
  <si>
    <t>NAGC</t>
  </si>
  <si>
    <t>National Foods Ltd.</t>
  </si>
  <si>
    <t>NATF</t>
  </si>
  <si>
    <t>Nadeem Textile Mills Ltd.</t>
  </si>
  <si>
    <t>NATM</t>
  </si>
  <si>
    <t>Nestle Pakistan Ltd.</t>
  </si>
  <si>
    <t>NESTLE</t>
  </si>
  <si>
    <t>Nimir Industrial Chemicals Ltd.</t>
  </si>
  <si>
    <t>NICL</t>
  </si>
  <si>
    <t>Nishat Mills Ltd.</t>
  </si>
  <si>
    <t>NML</t>
  </si>
  <si>
    <t>Noon Sugar Mills Ltd.</t>
  </si>
  <si>
    <t>NONS</t>
  </si>
  <si>
    <t>Nishat Power Ltd.</t>
  </si>
  <si>
    <t>NPL</t>
  </si>
  <si>
    <t>National Refinery Ltd.</t>
  </si>
  <si>
    <t>NRL</t>
  </si>
  <si>
    <t>Oil &amp; Gas Development Co. Ltd.</t>
  </si>
  <si>
    <t>OGDC</t>
  </si>
  <si>
    <t>Olympia Spinning &amp; Weaving Mills Ltd.</t>
  </si>
  <si>
    <t>OLSM</t>
  </si>
  <si>
    <t>Pak Datacom Ltd.</t>
  </si>
  <si>
    <t>PAKD</t>
  </si>
  <si>
    <t>Pakistan Tobacco Co. Ltd.</t>
  </si>
  <si>
    <t>PAKT</t>
  </si>
  <si>
    <t>Pakistan Cables Ltd.</t>
  </si>
  <si>
    <t>PCAL</t>
  </si>
  <si>
    <t>Pakistan Engineering Co. Ltd.</t>
  </si>
  <si>
    <t>PECO</t>
  </si>
  <si>
    <t>Pakistan Gum &amp; Chemicals Ltd.</t>
  </si>
  <si>
    <t>PGCL</t>
  </si>
  <si>
    <t>Pakistan International Airlines Corporation Ltd.</t>
  </si>
  <si>
    <t>PIAA</t>
  </si>
  <si>
    <t>Pakistan Int. Container Terminal Ltd.</t>
  </si>
  <si>
    <t>PICT</t>
  </si>
  <si>
    <t>Pioneer Cement Ltd.</t>
  </si>
  <si>
    <t>PIOC</t>
  </si>
  <si>
    <t>Packages Ltd.</t>
  </si>
  <si>
    <t>PKGS</t>
  </si>
  <si>
    <t>The Premier Sugar Mills &amp; Distillery Co. Ltd.</t>
  </si>
  <si>
    <t>PMRS</t>
  </si>
  <si>
    <t>Pangrio Sugar Mills Ltd.</t>
  </si>
  <si>
    <t>PNGRS</t>
  </si>
  <si>
    <t>Pakistan National Shipping Corporation.</t>
  </si>
  <si>
    <t>PNSC</t>
  </si>
  <si>
    <t>Pakistan Oilfields Ltd.</t>
  </si>
  <si>
    <t>POL</t>
  </si>
  <si>
    <t>Punjab Oil Mills Ltd.</t>
  </si>
  <si>
    <t>POML</t>
  </si>
  <si>
    <t>Power Cement</t>
  </si>
  <si>
    <t>POWER</t>
  </si>
  <si>
    <t>Pakistan Petroleum Ltd.</t>
  </si>
  <si>
    <t>PPL</t>
  </si>
  <si>
    <t>Pakistan Paper Products Ltd.</t>
  </si>
  <si>
    <t>PPP</t>
  </si>
  <si>
    <t>Pakistan PVC Ltd.</t>
  </si>
  <si>
    <t>PPVC</t>
  </si>
  <si>
    <t>Premium Textile Mills Ltd.</t>
  </si>
  <si>
    <t>PRET</t>
  </si>
  <si>
    <t>Pakistan Refinery Ltd.</t>
  </si>
  <si>
    <t>PRL</t>
  </si>
  <si>
    <t>Prosperity Weaving Mills Ltd.</t>
  </si>
  <si>
    <t>PRWM</t>
  </si>
  <si>
    <t>Pakistan Services Ltd.</t>
  </si>
  <si>
    <t>PSEL</t>
  </si>
  <si>
    <t>Pak Suzuki Motor Co. Ltd.</t>
  </si>
  <si>
    <t>PSMC</t>
  </si>
  <si>
    <t>Pakistan State Oil Co. Ltd.</t>
  </si>
  <si>
    <t>PSO</t>
  </si>
  <si>
    <t>Pakistan Synthetics Ltd.</t>
  </si>
  <si>
    <t>PSYL</t>
  </si>
  <si>
    <t>Quetta Textile Mills Ltd.</t>
  </si>
  <si>
    <t>QUET</t>
  </si>
  <si>
    <t>Quice Food Industries Ltd.</t>
  </si>
  <si>
    <t>QUICE</t>
  </si>
  <si>
    <t>Reliance Cotton Spinning Mills Ltd.</t>
  </si>
  <si>
    <t>RCML</t>
  </si>
  <si>
    <t>Resham Textile Industries Ltd.</t>
  </si>
  <si>
    <t>REST</t>
  </si>
  <si>
    <t>Rafhan Maize Products Co. Ltd.</t>
  </si>
  <si>
    <t>RMPL</t>
  </si>
  <si>
    <t>Rupali Polyester Ltd.</t>
  </si>
  <si>
    <t>RUPL</t>
  </si>
  <si>
    <t>Saif Textile Mills Ltd.</t>
  </si>
  <si>
    <t>SAIF</t>
  </si>
  <si>
    <t>Salfi Textile Mills Ltd.</t>
  </si>
  <si>
    <t>SALT</t>
  </si>
  <si>
    <t>Sanofi-aventis Pakistan Ltd.</t>
  </si>
  <si>
    <t>SAPL</t>
  </si>
  <si>
    <t>Sapphire Textile Mills Ltd.</t>
  </si>
  <si>
    <t>SAPT</t>
  </si>
  <si>
    <t>Sardar Chemical Industries Ltd.</t>
  </si>
  <si>
    <t>SARC</t>
  </si>
  <si>
    <t>Sazgar Engineering Works Ltd.</t>
  </si>
  <si>
    <t>SAZEW</t>
  </si>
  <si>
    <t>Shield Corporation Ltd.</t>
  </si>
  <si>
    <t>SCL</t>
  </si>
  <si>
    <t>Searle Pakistan Ltd.</t>
  </si>
  <si>
    <t>SEARL</t>
  </si>
  <si>
    <t>Sitara Energy Ltd.</t>
  </si>
  <si>
    <t>SEL</t>
  </si>
  <si>
    <t>Southern Electric Power Co. Ltd.</t>
  </si>
  <si>
    <t>SEPCO</t>
  </si>
  <si>
    <t>Service Industries Textiles Ltd.</t>
  </si>
  <si>
    <t>SERT</t>
  </si>
  <si>
    <t>Safa Textiles Ltd.</t>
  </si>
  <si>
    <t>SFAT</t>
  </si>
  <si>
    <t>Sapphire Fibres Ltd.</t>
  </si>
  <si>
    <t>SFL</t>
  </si>
  <si>
    <t>Shaffi Chemical Industries Ltd.</t>
  </si>
  <si>
    <t>SHCI</t>
  </si>
  <si>
    <t>Shell Pakistan Ltd.</t>
  </si>
  <si>
    <t>SHEL</t>
  </si>
  <si>
    <t>Shezan International Ltd.</t>
  </si>
  <si>
    <t>SHEZ</t>
  </si>
  <si>
    <t>Shifa International Hospitals Ltd.</t>
  </si>
  <si>
    <t>SHFA</t>
  </si>
  <si>
    <t>Shahmurad Sugar Mills Ltd.</t>
  </si>
  <si>
    <t>SHSML</t>
  </si>
  <si>
    <t>Siemens (Pakistan) Engineering Co. Ltd.</t>
  </si>
  <si>
    <t>SIEM</t>
  </si>
  <si>
    <t>Singer Pakistan Ltd.</t>
  </si>
  <si>
    <t>SING</t>
  </si>
  <si>
    <t>Sitara Chemical Industries Ltd.</t>
  </si>
  <si>
    <t>SITC</t>
  </si>
  <si>
    <t>Sally Textile Mills Ltd.</t>
  </si>
  <si>
    <t>SLYT</t>
  </si>
  <si>
    <t>Samin Textiles Ltd.</t>
  </si>
  <si>
    <t>SMTM</t>
  </si>
  <si>
    <t>Sui Northern Gas Pipelines Ltd.</t>
  </si>
  <si>
    <t>SNGP</t>
  </si>
  <si>
    <t>Sitara Peroxide Ltd.</t>
  </si>
  <si>
    <t>SPL</t>
  </si>
  <si>
    <t>Sargodha Spinning Mills Ltd.</t>
  </si>
  <si>
    <t>SRSM</t>
  </si>
  <si>
    <t>Service Industries Ltd.</t>
  </si>
  <si>
    <t>SRVI</t>
  </si>
  <si>
    <t>Shabbir Tiles And Ceramics Ltd.</t>
  </si>
  <si>
    <t>STCL</t>
  </si>
  <si>
    <t>Shahtaj Textile Ltd.</t>
  </si>
  <si>
    <t>STJT</t>
  </si>
  <si>
    <t>Shams Textile Mills Ltd.</t>
  </si>
  <si>
    <t>STML</t>
  </si>
  <si>
    <t>Siddiqsons Tin Plate Ltd.</t>
  </si>
  <si>
    <t>STPL</t>
  </si>
  <si>
    <t>Suraj Cotton Mills Ltd.</t>
  </si>
  <si>
    <t>SURC</t>
  </si>
  <si>
    <t>Sunrays Textile Mills Ltd.</t>
  </si>
  <si>
    <t>SUTM</t>
  </si>
  <si>
    <t>Tata Textile Mills Ltd.</t>
  </si>
  <si>
    <t>TATM</t>
  </si>
  <si>
    <t>Telecard Ltd.</t>
  </si>
  <si>
    <t>TELE</t>
  </si>
  <si>
    <t>Tariq Glass Industries Ltd.</t>
  </si>
  <si>
    <t>TGL</t>
  </si>
  <si>
    <t>Thatta Cement Ltd.</t>
  </si>
  <si>
    <t>THCCL</t>
  </si>
  <si>
    <t>The Thal Industries Corporation Ltd.</t>
  </si>
  <si>
    <t>TICL</t>
  </si>
  <si>
    <t>Treet Corporation Ltd.</t>
  </si>
  <si>
    <t>TREET</t>
  </si>
  <si>
    <t>TRG Pakistan Ltd.</t>
  </si>
  <si>
    <t>TRG</t>
  </si>
  <si>
    <t>Tri-Pack Films Ltd.</t>
  </si>
  <si>
    <t>TRIPF</t>
  </si>
  <si>
    <t>United Distributors Pakistan Ltd.</t>
  </si>
  <si>
    <t>UDPL</t>
  </si>
  <si>
    <t>Unilever Pakistan Foods Ltd.</t>
  </si>
  <si>
    <t>UPFL</t>
  </si>
  <si>
    <t>Wah Nobel Chemicals Ltd.</t>
  </si>
  <si>
    <t>WAHN</t>
  </si>
  <si>
    <t>Worldcall Telecom Ltd.</t>
  </si>
  <si>
    <t>WTL</t>
  </si>
  <si>
    <t>Wyeth Pakistan Ltd.</t>
  </si>
  <si>
    <t>WYETH</t>
  </si>
  <si>
    <t>ZIL Ltd.</t>
  </si>
  <si>
    <t>ZIL</t>
  </si>
  <si>
    <t>Zephyr Textiles Ltd.</t>
  </si>
  <si>
    <t>ZTL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</si>
</sst>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E512-EECA-44B8-8D9B-E8D9FAC324C7}">
  <dimension ref="A1:AD1387"/>
  <sheetViews>
    <sheetView tabSelected="1" topLeftCell="N1" workbookViewId="0">
      <selection activeCell="X2" sqref="X2"/>
    </sheetView>
  </sheetViews>
  <sheetFormatPr defaultRowHeight="15" x14ac:dyDescent="0.25"/>
  <cols>
    <col min="1" max="1" width="52.140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30" x14ac:dyDescent="0.25">
      <c r="A2" t="s">
        <v>28</v>
      </c>
      <c r="B2" t="s">
        <v>29</v>
      </c>
      <c r="C2">
        <v>2010</v>
      </c>
      <c r="D2">
        <v>0.13837389336615188</v>
      </c>
      <c r="E2">
        <v>0.66294499299580878</v>
      </c>
      <c r="F2">
        <v>0.16242027415595242</v>
      </c>
      <c r="G2">
        <v>1.9459101490553132</v>
      </c>
      <c r="H2">
        <v>0.7142857142857143</v>
      </c>
      <c r="I2">
        <v>0.66666666666666663</v>
      </c>
      <c r="J2">
        <v>0</v>
      </c>
      <c r="K2">
        <v>3</v>
      </c>
      <c r="L2">
        <v>3</v>
      </c>
      <c r="M2">
        <v>1</v>
      </c>
      <c r="N2">
        <v>1</v>
      </c>
      <c r="O2">
        <v>4</v>
      </c>
      <c r="P2">
        <v>1</v>
      </c>
      <c r="Q2">
        <f>IF(J2=0,5,1)</f>
        <v>5</v>
      </c>
      <c r="R2">
        <f>SUM(K2:Q2)</f>
        <v>18</v>
      </c>
      <c r="S2" cm="1">
        <f t="array" ref="S2">MAX(IF($C$2:$C$1387=C2,$R$2:$R$1387))</f>
        <v>29</v>
      </c>
      <c r="T2" cm="1">
        <f t="array" ref="T2">MIN(IF($C$2:$C$1387=C2,$R$2:$R$1387))</f>
        <v>9</v>
      </c>
      <c r="U2">
        <f>S2-T2</f>
        <v>20</v>
      </c>
      <c r="V2">
        <f>(R2-T2)/U2</f>
        <v>0.45</v>
      </c>
      <c r="W2" cm="1">
        <f t="array" ref="W2">_xlfn.IFS(N2=1,5,N2=2,4,N2=4,2,N2=5,1,N2=3,3)</f>
        <v>5</v>
      </c>
      <c r="X2">
        <f>SUM(K2:M2,O2:Q2,W2)</f>
        <v>22</v>
      </c>
      <c r="Y2" cm="1">
        <f t="array" ref="Y2">MAX(IF($C$2:$C$1387=C2,$X$2:$X$1387))</f>
        <v>29</v>
      </c>
      <c r="Z2" cm="1">
        <f t="array" ref="Z2">MIN(IF($C$2:$C$1387=C2,$X$2:$X$1387))</f>
        <v>12</v>
      </c>
      <c r="AA2">
        <f>Y2-Z2</f>
        <v>17</v>
      </c>
      <c r="AB2">
        <f>(X2-Z2)/AA2</f>
        <v>0.58823529411764708</v>
      </c>
      <c r="AD2">
        <v>0.76600000000000001</v>
      </c>
    </row>
    <row r="3" spans="1:30" x14ac:dyDescent="0.25">
      <c r="A3" t="s">
        <v>28</v>
      </c>
      <c r="B3" t="s">
        <v>29</v>
      </c>
      <c r="C3">
        <v>2011</v>
      </c>
      <c r="D3">
        <v>0.14055453482545516</v>
      </c>
      <c r="E3">
        <v>0.6741086722381251</v>
      </c>
      <c r="F3">
        <v>0.32955184508964824</v>
      </c>
      <c r="G3">
        <v>1.9459101490553132</v>
      </c>
      <c r="H3">
        <v>0.7142857142857143</v>
      </c>
      <c r="I3">
        <v>0.75</v>
      </c>
      <c r="J3">
        <v>0</v>
      </c>
      <c r="K3">
        <v>3</v>
      </c>
      <c r="L3">
        <v>3</v>
      </c>
      <c r="M3">
        <v>5</v>
      </c>
      <c r="N3">
        <v>1</v>
      </c>
      <c r="O3">
        <v>4</v>
      </c>
      <c r="P3">
        <v>3</v>
      </c>
      <c r="Q3">
        <f t="shared" ref="Q3:Q66" si="0">IF(J3=0,5,1)</f>
        <v>5</v>
      </c>
      <c r="R3">
        <f t="shared" ref="R3:R66" si="1">SUM(K3:Q3)</f>
        <v>24</v>
      </c>
      <c r="S3">
        <f t="array" ref="S3">MAX(IF($C$2:$C$1387=C3,$R$2:$R$1387))</f>
        <v>28</v>
      </c>
      <c r="T3" cm="1">
        <f t="array" ref="T3">MIN(IF($C$2:$C$1387=C3,$R$2:$R$1387))</f>
        <v>10</v>
      </c>
      <c r="U3">
        <f t="shared" ref="U3:U66" si="2">S3-T3</f>
        <v>18</v>
      </c>
      <c r="V3">
        <f t="shared" ref="V3:V66" si="3">(R3-T3)/U3</f>
        <v>0.77777777777777779</v>
      </c>
      <c r="W3" cm="1">
        <f t="array" ref="W3">_xlfn.IFS(N3=1,5,N3=2,4,N3=4,2,N3=5,1,N3=3,3)</f>
        <v>5</v>
      </c>
      <c r="X3">
        <f t="shared" ref="X3:X66" si="4">SUM(K3:M3,O3:Q3,W3)</f>
        <v>28</v>
      </c>
      <c r="Y3" cm="1">
        <f t="array" ref="Y3">MAX(IF($C$2:$C$1387=C3,$X$2:$X$1387))</f>
        <v>29</v>
      </c>
      <c r="Z3" cm="1">
        <f t="array" ref="Z3">MIN(IF($C$2:$C$1387=C3,$X$2:$X$1387))</f>
        <v>12</v>
      </c>
      <c r="AA3">
        <f t="shared" ref="AA3:AA66" si="5">Y3-Z3</f>
        <v>17</v>
      </c>
      <c r="AB3">
        <f t="shared" ref="AB3:AB66" si="6">(X3-Z3)/AA3</f>
        <v>0.94117647058823528</v>
      </c>
      <c r="AD3">
        <v>0.94</v>
      </c>
    </row>
    <row r="4" spans="1:30" x14ac:dyDescent="0.25">
      <c r="A4" t="s">
        <v>28</v>
      </c>
      <c r="B4" t="s">
        <v>29</v>
      </c>
      <c r="C4">
        <v>2012</v>
      </c>
      <c r="D4">
        <v>0.14689010096588587</v>
      </c>
      <c r="E4">
        <v>0.6741086722381251</v>
      </c>
      <c r="F4">
        <v>0.15936776809524084</v>
      </c>
      <c r="G4">
        <v>1.9459101490553132</v>
      </c>
      <c r="H4">
        <v>0.7142857142857143</v>
      </c>
      <c r="I4">
        <v>0.75</v>
      </c>
      <c r="J4">
        <v>0</v>
      </c>
      <c r="K4">
        <v>3</v>
      </c>
      <c r="L4">
        <v>3</v>
      </c>
      <c r="M4">
        <v>5</v>
      </c>
      <c r="N4">
        <v>1</v>
      </c>
      <c r="O4">
        <v>4</v>
      </c>
      <c r="P4">
        <v>3</v>
      </c>
      <c r="Q4">
        <f t="shared" si="0"/>
        <v>5</v>
      </c>
      <c r="R4">
        <f t="shared" si="1"/>
        <v>24</v>
      </c>
      <c r="S4">
        <f t="array" ref="S4">MAX(IF($C$2:$C$1387=C4,$R$2:$R$1387))</f>
        <v>29</v>
      </c>
      <c r="T4" cm="1">
        <f t="array" ref="T4">MIN(IF($C$2:$C$1387=C4,$R$2:$R$1387))</f>
        <v>11</v>
      </c>
      <c r="U4">
        <f t="shared" si="2"/>
        <v>18</v>
      </c>
      <c r="V4">
        <f t="shared" si="3"/>
        <v>0.72222222222222221</v>
      </c>
      <c r="W4" cm="1">
        <f t="array" ref="W4">_xlfn.IFS(N4=1,5,N4=2,4,N4=4,2,N4=5,1,N4=3,3)</f>
        <v>5</v>
      </c>
      <c r="X4">
        <f t="shared" si="4"/>
        <v>28</v>
      </c>
      <c r="Y4" cm="1">
        <f t="array" ref="Y4">MAX(IF($C$2:$C$1387=C4,$X$2:$X$1387))</f>
        <v>30</v>
      </c>
      <c r="Z4" cm="1">
        <f t="array" ref="Z4">MIN(IF($C$2:$C$1387=C4,$X$2:$X$1387))</f>
        <v>12</v>
      </c>
      <c r="AA4">
        <f t="shared" si="5"/>
        <v>18</v>
      </c>
      <c r="AB4">
        <f t="shared" si="6"/>
        <v>0.88888888888888884</v>
      </c>
      <c r="AD4">
        <v>0.88800000000000001</v>
      </c>
    </row>
    <row r="5" spans="1:30" x14ac:dyDescent="0.25">
      <c r="A5" t="s">
        <v>28</v>
      </c>
      <c r="B5" t="s">
        <v>29</v>
      </c>
      <c r="C5">
        <v>2013</v>
      </c>
      <c r="D5">
        <v>0.13258594771430052</v>
      </c>
      <c r="E5">
        <v>0.62275263069984965</v>
      </c>
      <c r="F5">
        <v>0.12942565213134205</v>
      </c>
      <c r="G5">
        <v>1.9459101490553132</v>
      </c>
      <c r="H5">
        <v>0.7142857142857143</v>
      </c>
      <c r="I5">
        <v>0.66666666666666663</v>
      </c>
      <c r="J5">
        <v>0</v>
      </c>
      <c r="K5">
        <v>3</v>
      </c>
      <c r="L5">
        <v>3</v>
      </c>
      <c r="M5">
        <v>4</v>
      </c>
      <c r="N5">
        <v>1</v>
      </c>
      <c r="O5">
        <v>4</v>
      </c>
      <c r="P5">
        <v>1</v>
      </c>
      <c r="Q5">
        <f t="shared" si="0"/>
        <v>5</v>
      </c>
      <c r="R5">
        <f t="shared" si="1"/>
        <v>21</v>
      </c>
      <c r="S5">
        <f t="array" ref="S5">MAX(IF($C$2:$C$1387=C5,$R$2:$R$1387))</f>
        <v>29</v>
      </c>
      <c r="T5" cm="1">
        <f t="array" ref="T5">MIN(IF($C$2:$C$1387=C5,$R$2:$R$1387))</f>
        <v>10</v>
      </c>
      <c r="U5">
        <f t="shared" si="2"/>
        <v>19</v>
      </c>
      <c r="V5">
        <f t="shared" si="3"/>
        <v>0.57894736842105265</v>
      </c>
      <c r="W5" cm="1">
        <f t="array" ref="W5">_xlfn.IFS(N5=1,5,N5=2,4,N5=4,2,N5=5,1,N5=3,3)</f>
        <v>5</v>
      </c>
      <c r="X5">
        <f t="shared" si="4"/>
        <v>25</v>
      </c>
      <c r="Y5" cm="1">
        <f t="array" ref="Y5">MAX(IF($C$2:$C$1387=C5,$X$2:$X$1387))</f>
        <v>32</v>
      </c>
      <c r="Z5" cm="1">
        <f t="array" ref="Z5">MIN(IF($C$2:$C$1387=C5,$X$2:$X$1387))</f>
        <v>10</v>
      </c>
      <c r="AA5">
        <f t="shared" si="5"/>
        <v>22</v>
      </c>
      <c r="AB5">
        <f t="shared" si="6"/>
        <v>0.68181818181818177</v>
      </c>
    </row>
    <row r="6" spans="1:30" x14ac:dyDescent="0.25">
      <c r="A6" t="s">
        <v>28</v>
      </c>
      <c r="B6" t="s">
        <v>29</v>
      </c>
      <c r="C6">
        <v>2014</v>
      </c>
      <c r="D6">
        <v>0.13555214458913853</v>
      </c>
      <c r="E6">
        <v>0.62275263069984965</v>
      </c>
      <c r="F6">
        <v>4.7809506804973999E-2</v>
      </c>
      <c r="G6">
        <v>1.9459101490553132</v>
      </c>
      <c r="H6">
        <v>0.7142857142857143</v>
      </c>
      <c r="I6">
        <v>0.5</v>
      </c>
      <c r="J6">
        <v>0</v>
      </c>
      <c r="K6">
        <v>3</v>
      </c>
      <c r="L6">
        <v>3</v>
      </c>
      <c r="M6">
        <v>3</v>
      </c>
      <c r="N6">
        <v>1</v>
      </c>
      <c r="O6">
        <v>4</v>
      </c>
      <c r="P6">
        <v>1</v>
      </c>
      <c r="Q6">
        <f t="shared" si="0"/>
        <v>5</v>
      </c>
      <c r="R6">
        <f t="shared" si="1"/>
        <v>20</v>
      </c>
      <c r="S6">
        <f t="array" ref="S6">MAX(IF($C$2:$C$1387=C6,$R$2:$R$1387))</f>
        <v>29</v>
      </c>
      <c r="T6" cm="1">
        <f t="array" ref="T6">MIN(IF($C$2:$C$1387=C6,$R$2:$R$1387))</f>
        <v>11</v>
      </c>
      <c r="U6">
        <f t="shared" si="2"/>
        <v>18</v>
      </c>
      <c r="V6">
        <f t="shared" si="3"/>
        <v>0.5</v>
      </c>
      <c r="W6" cm="1">
        <f t="array" ref="W6">_xlfn.IFS(N6=1,5,N6=2,4,N6=4,2,N6=5,1,N6=3,3)</f>
        <v>5</v>
      </c>
      <c r="X6">
        <f t="shared" si="4"/>
        <v>24</v>
      </c>
      <c r="Y6" cm="1">
        <f t="array" ref="Y6">MAX(IF($C$2:$C$1387=C6,$X$2:$X$1387))</f>
        <v>30</v>
      </c>
      <c r="Z6" cm="1">
        <f t="array" ref="Z6">MIN(IF($C$2:$C$1387=C6,$X$2:$X$1387))</f>
        <v>14</v>
      </c>
      <c r="AA6">
        <f t="shared" si="5"/>
        <v>16</v>
      </c>
      <c r="AB6">
        <f t="shared" si="6"/>
        <v>0.625</v>
      </c>
    </row>
    <row r="7" spans="1:30" x14ac:dyDescent="0.25">
      <c r="A7" t="s">
        <v>28</v>
      </c>
      <c r="B7" t="s">
        <v>29</v>
      </c>
      <c r="C7">
        <v>2015</v>
      </c>
      <c r="D7">
        <v>0.13555214458913853</v>
      </c>
      <c r="E7">
        <v>0.60360009906521606</v>
      </c>
      <c r="F7">
        <v>8.3286315753097223E-2</v>
      </c>
      <c r="G7">
        <v>2.1972245773362196</v>
      </c>
      <c r="H7">
        <v>0.55555555555555558</v>
      </c>
      <c r="I7">
        <v>0.66666666666666663</v>
      </c>
      <c r="J7">
        <v>0</v>
      </c>
      <c r="K7">
        <v>3</v>
      </c>
      <c r="L7">
        <v>3</v>
      </c>
      <c r="M7">
        <v>4</v>
      </c>
      <c r="N7">
        <v>4</v>
      </c>
      <c r="O7">
        <v>1</v>
      </c>
      <c r="P7">
        <v>1</v>
      </c>
      <c r="Q7">
        <f t="shared" si="0"/>
        <v>5</v>
      </c>
      <c r="R7">
        <f t="shared" si="1"/>
        <v>21</v>
      </c>
      <c r="S7">
        <f t="array" ref="S7">MAX(IF($C$2:$C$1387=C7,$R$2:$R$1387))</f>
        <v>29</v>
      </c>
      <c r="T7" cm="1">
        <f t="array" ref="T7">MIN(IF($C$2:$C$1387=C7,$R$2:$R$1387))</f>
        <v>11</v>
      </c>
      <c r="U7">
        <f t="shared" si="2"/>
        <v>18</v>
      </c>
      <c r="V7">
        <f t="shared" si="3"/>
        <v>0.55555555555555558</v>
      </c>
      <c r="W7" cm="1">
        <f t="array" ref="W7">_xlfn.IFS(N7=1,5,N7=2,4,N7=4,2,N7=5,1,N7=3,3)</f>
        <v>2</v>
      </c>
      <c r="X7">
        <f t="shared" si="4"/>
        <v>19</v>
      </c>
      <c r="Y7" cm="1">
        <f t="array" ref="Y7">MAX(IF($C$2:$C$1387=C7,$X$2:$X$1387))</f>
        <v>29</v>
      </c>
      <c r="Z7" cm="1">
        <f t="array" ref="Z7">MIN(IF($C$2:$C$1387=C7,$X$2:$X$1387))</f>
        <v>12</v>
      </c>
      <c r="AA7">
        <f t="shared" si="5"/>
        <v>17</v>
      </c>
      <c r="AB7">
        <f t="shared" si="6"/>
        <v>0.41176470588235292</v>
      </c>
    </row>
    <row r="8" spans="1:30" x14ac:dyDescent="0.25">
      <c r="A8" t="s">
        <v>30</v>
      </c>
      <c r="B8" t="s">
        <v>31</v>
      </c>
      <c r="C8">
        <v>2010</v>
      </c>
      <c r="D8">
        <v>0.72335510140161308</v>
      </c>
      <c r="E8">
        <v>0.63638921514890512</v>
      </c>
      <c r="F8">
        <v>0.21984496124031008</v>
      </c>
      <c r="G8">
        <v>2.0794415416798357</v>
      </c>
      <c r="H8">
        <v>0.625</v>
      </c>
      <c r="I8">
        <v>0.66666666666666663</v>
      </c>
      <c r="J8">
        <v>1</v>
      </c>
      <c r="K8">
        <v>5</v>
      </c>
      <c r="L8">
        <v>3</v>
      </c>
      <c r="M8">
        <v>5</v>
      </c>
      <c r="N8">
        <v>3</v>
      </c>
      <c r="O8">
        <v>3</v>
      </c>
      <c r="P8">
        <v>1</v>
      </c>
      <c r="Q8">
        <f t="shared" si="0"/>
        <v>1</v>
      </c>
      <c r="R8">
        <f t="shared" si="1"/>
        <v>21</v>
      </c>
      <c r="S8">
        <f t="array" ref="S8">MAX(IF($C$2:$C$1387=C8,$R$2:$R$1387))</f>
        <v>29</v>
      </c>
      <c r="T8" cm="1">
        <f t="array" ref="T8">MIN(IF($C$2:$C$1387=C8,$R$2:$R$1387))</f>
        <v>9</v>
      </c>
      <c r="U8">
        <f t="shared" si="2"/>
        <v>20</v>
      </c>
      <c r="V8">
        <f t="shared" si="3"/>
        <v>0.6</v>
      </c>
      <c r="W8" cm="1">
        <f t="array" ref="W8">_xlfn.IFS(N8=1,5,N8=2,4,N8=4,2,N8=5,1,N8=3,3)</f>
        <v>3</v>
      </c>
      <c r="X8">
        <f t="shared" si="4"/>
        <v>21</v>
      </c>
      <c r="Y8" cm="1">
        <f t="array" ref="Y8">MAX(IF($C$2:$C$1387=C8,$X$2:$X$1387))</f>
        <v>29</v>
      </c>
      <c r="Z8" cm="1">
        <f t="array" ref="Z8">MIN(IF($C$2:$C$1387=C8,$X$2:$X$1387))</f>
        <v>12</v>
      </c>
      <c r="AA8">
        <f t="shared" si="5"/>
        <v>17</v>
      </c>
      <c r="AB8">
        <f t="shared" si="6"/>
        <v>0.52941176470588236</v>
      </c>
    </row>
    <row r="9" spans="1:30" x14ac:dyDescent="0.25">
      <c r="A9" t="s">
        <v>30</v>
      </c>
      <c r="B9" t="s">
        <v>31</v>
      </c>
      <c r="C9">
        <v>2011</v>
      </c>
      <c r="D9">
        <v>0.7577207288835196</v>
      </c>
      <c r="E9">
        <v>0.99755860562062115</v>
      </c>
      <c r="F9">
        <v>0.18834293469952385</v>
      </c>
      <c r="G9">
        <v>2.0794415416798357</v>
      </c>
      <c r="H9">
        <v>0.625</v>
      </c>
      <c r="I9">
        <v>0.66666666666666663</v>
      </c>
      <c r="J9">
        <v>1</v>
      </c>
      <c r="K9">
        <v>5</v>
      </c>
      <c r="L9">
        <v>5</v>
      </c>
      <c r="M9">
        <v>5</v>
      </c>
      <c r="N9">
        <v>3</v>
      </c>
      <c r="O9">
        <v>3</v>
      </c>
      <c r="P9">
        <v>1</v>
      </c>
      <c r="Q9">
        <f t="shared" si="0"/>
        <v>1</v>
      </c>
      <c r="R9">
        <f t="shared" si="1"/>
        <v>23</v>
      </c>
      <c r="S9">
        <f t="array" ref="S9">MAX(IF($C$2:$C$1387=C9,$R$2:$R$1387))</f>
        <v>28</v>
      </c>
      <c r="T9" cm="1">
        <f t="array" ref="T9">MIN(IF($C$2:$C$1387=C9,$R$2:$R$1387))</f>
        <v>10</v>
      </c>
      <c r="U9">
        <f t="shared" si="2"/>
        <v>18</v>
      </c>
      <c r="V9">
        <f t="shared" si="3"/>
        <v>0.72222222222222221</v>
      </c>
      <c r="W9" cm="1">
        <f t="array" ref="W9">_xlfn.IFS(N9=1,5,N9=2,4,N9=4,2,N9=5,1,N9=3,3)</f>
        <v>3</v>
      </c>
      <c r="X9">
        <f t="shared" si="4"/>
        <v>23</v>
      </c>
      <c r="Y9" cm="1">
        <f t="array" ref="Y9">MAX(IF($C$2:$C$1387=C9,$X$2:$X$1387))</f>
        <v>29</v>
      </c>
      <c r="Z9" cm="1">
        <f t="array" ref="Z9">MIN(IF($C$2:$C$1387=C9,$X$2:$X$1387))</f>
        <v>12</v>
      </c>
      <c r="AA9">
        <f t="shared" si="5"/>
        <v>17</v>
      </c>
      <c r="AB9">
        <f t="shared" si="6"/>
        <v>0.6470588235294118</v>
      </c>
    </row>
    <row r="10" spans="1:30" x14ac:dyDescent="0.25">
      <c r="A10" t="s">
        <v>30</v>
      </c>
      <c r="B10" t="s">
        <v>31</v>
      </c>
      <c r="C10">
        <v>2012</v>
      </c>
      <c r="D10">
        <v>0.7577207288835196</v>
      </c>
      <c r="E10">
        <v>0.99755860562062115</v>
      </c>
      <c r="F10">
        <v>0.18834293469952385</v>
      </c>
      <c r="G10">
        <v>2.0794415416798357</v>
      </c>
      <c r="H10">
        <v>0.625</v>
      </c>
      <c r="I10">
        <v>0.66666666666666663</v>
      </c>
      <c r="J10">
        <v>1</v>
      </c>
      <c r="K10">
        <v>5</v>
      </c>
      <c r="L10">
        <v>5</v>
      </c>
      <c r="M10">
        <v>5</v>
      </c>
      <c r="N10">
        <v>3</v>
      </c>
      <c r="O10">
        <v>3</v>
      </c>
      <c r="P10">
        <v>1</v>
      </c>
      <c r="Q10">
        <f t="shared" si="0"/>
        <v>1</v>
      </c>
      <c r="R10">
        <f t="shared" si="1"/>
        <v>23</v>
      </c>
      <c r="S10">
        <f t="array" ref="S10">MAX(IF($C$2:$C$1387=C10,$R$2:$R$1387))</f>
        <v>29</v>
      </c>
      <c r="T10" cm="1">
        <f t="array" ref="T10">MIN(IF($C$2:$C$1387=C10,$R$2:$R$1387))</f>
        <v>11</v>
      </c>
      <c r="U10">
        <f t="shared" si="2"/>
        <v>18</v>
      </c>
      <c r="V10">
        <f t="shared" si="3"/>
        <v>0.66666666666666663</v>
      </c>
      <c r="W10" cm="1">
        <f t="array" ref="W10">_xlfn.IFS(N10=1,5,N10=2,4,N10=4,2,N10=5,1,N10=3,3)</f>
        <v>3</v>
      </c>
      <c r="X10">
        <f t="shared" si="4"/>
        <v>23</v>
      </c>
      <c r="Y10" cm="1">
        <f t="array" ref="Y10">MAX(IF($C$2:$C$1387=C10,$X$2:$X$1387))</f>
        <v>30</v>
      </c>
      <c r="Z10" cm="1">
        <f t="array" ref="Z10">MIN(IF($C$2:$C$1387=C10,$X$2:$X$1387))</f>
        <v>12</v>
      </c>
      <c r="AA10">
        <f t="shared" si="5"/>
        <v>18</v>
      </c>
      <c r="AB10">
        <f t="shared" si="6"/>
        <v>0.61111111111111116</v>
      </c>
    </row>
    <row r="11" spans="1:30" x14ac:dyDescent="0.25">
      <c r="A11" t="s">
        <v>30</v>
      </c>
      <c r="B11" t="s">
        <v>31</v>
      </c>
      <c r="C11">
        <v>2013</v>
      </c>
      <c r="D11">
        <v>0.6306761226141071</v>
      </c>
      <c r="E11">
        <v>0.75615587398533135</v>
      </c>
      <c r="F11">
        <v>0.18498786312739801</v>
      </c>
      <c r="G11">
        <v>2.0794415416798357</v>
      </c>
      <c r="H11">
        <v>0.5</v>
      </c>
      <c r="I11">
        <v>1</v>
      </c>
      <c r="J11">
        <v>0</v>
      </c>
      <c r="K11">
        <v>5</v>
      </c>
      <c r="L11">
        <v>4</v>
      </c>
      <c r="M11">
        <v>5</v>
      </c>
      <c r="N11">
        <v>3</v>
      </c>
      <c r="O11">
        <v>2</v>
      </c>
      <c r="P11">
        <v>3</v>
      </c>
      <c r="Q11">
        <f t="shared" si="0"/>
        <v>5</v>
      </c>
      <c r="R11">
        <f t="shared" si="1"/>
        <v>27</v>
      </c>
      <c r="S11">
        <f t="array" ref="S11">MAX(IF($C$2:$C$1387=C11,$R$2:$R$1387))</f>
        <v>29</v>
      </c>
      <c r="T11" cm="1">
        <f t="array" ref="T11">MIN(IF($C$2:$C$1387=C11,$R$2:$R$1387))</f>
        <v>10</v>
      </c>
      <c r="U11">
        <f t="shared" si="2"/>
        <v>19</v>
      </c>
      <c r="V11">
        <f t="shared" si="3"/>
        <v>0.89473684210526316</v>
      </c>
      <c r="W11" cm="1">
        <f t="array" ref="W11">_xlfn.IFS(N11=1,5,N11=2,4,N11=4,2,N11=5,1,N11=3,3)</f>
        <v>3</v>
      </c>
      <c r="X11">
        <f t="shared" si="4"/>
        <v>27</v>
      </c>
      <c r="Y11" cm="1">
        <f t="array" ref="Y11">MAX(IF($C$2:$C$1387=C11,$X$2:$X$1387))</f>
        <v>32</v>
      </c>
      <c r="Z11" cm="1">
        <f t="array" ref="Z11">MIN(IF($C$2:$C$1387=C11,$X$2:$X$1387))</f>
        <v>10</v>
      </c>
      <c r="AA11">
        <f t="shared" si="5"/>
        <v>22</v>
      </c>
      <c r="AB11">
        <f t="shared" si="6"/>
        <v>0.77272727272727271</v>
      </c>
    </row>
    <row r="12" spans="1:30" x14ac:dyDescent="0.25">
      <c r="A12" t="s">
        <v>30</v>
      </c>
      <c r="B12" t="s">
        <v>31</v>
      </c>
      <c r="C12">
        <v>2014</v>
      </c>
      <c r="D12">
        <v>0.6306761226141071</v>
      </c>
      <c r="E12">
        <v>0.75615587398533135</v>
      </c>
      <c r="F12">
        <v>9.8431118121040606E-2</v>
      </c>
      <c r="G12">
        <v>2.0794415416798357</v>
      </c>
      <c r="H12">
        <v>0.5</v>
      </c>
      <c r="I12">
        <v>1</v>
      </c>
      <c r="J12">
        <v>0</v>
      </c>
      <c r="K12">
        <v>5</v>
      </c>
      <c r="L12">
        <v>4</v>
      </c>
      <c r="M12">
        <v>4</v>
      </c>
      <c r="N12">
        <v>3</v>
      </c>
      <c r="O12">
        <v>2</v>
      </c>
      <c r="P12">
        <v>3</v>
      </c>
      <c r="Q12">
        <f t="shared" si="0"/>
        <v>5</v>
      </c>
      <c r="R12">
        <f t="shared" si="1"/>
        <v>26</v>
      </c>
      <c r="S12">
        <f t="array" ref="S12">MAX(IF($C$2:$C$1387=C12,$R$2:$R$1387))</f>
        <v>29</v>
      </c>
      <c r="T12" cm="1">
        <f t="array" ref="T12">MIN(IF($C$2:$C$1387=C12,$R$2:$R$1387))</f>
        <v>11</v>
      </c>
      <c r="U12">
        <f t="shared" si="2"/>
        <v>18</v>
      </c>
      <c r="V12">
        <f t="shared" si="3"/>
        <v>0.83333333333333337</v>
      </c>
      <c r="W12" cm="1">
        <f t="array" ref="W12">_xlfn.IFS(N12=1,5,N12=2,4,N12=4,2,N12=5,1,N12=3,3)</f>
        <v>3</v>
      </c>
      <c r="X12">
        <f t="shared" si="4"/>
        <v>26</v>
      </c>
      <c r="Y12" cm="1">
        <f t="array" ref="Y12">MAX(IF($C$2:$C$1387=C12,$X$2:$X$1387))</f>
        <v>30</v>
      </c>
      <c r="Z12" cm="1">
        <f t="array" ref="Z12">MIN(IF($C$2:$C$1387=C12,$X$2:$X$1387))</f>
        <v>14</v>
      </c>
      <c r="AA12">
        <f t="shared" si="5"/>
        <v>16</v>
      </c>
      <c r="AB12">
        <f t="shared" si="6"/>
        <v>0.75</v>
      </c>
    </row>
    <row r="13" spans="1:30" x14ac:dyDescent="0.25">
      <c r="A13" t="s">
        <v>30</v>
      </c>
      <c r="B13" t="s">
        <v>31</v>
      </c>
      <c r="C13">
        <v>2015</v>
      </c>
      <c r="D13">
        <v>0</v>
      </c>
      <c r="E13">
        <v>0.75615587398533135</v>
      </c>
      <c r="F13">
        <v>0.17295173961840629</v>
      </c>
      <c r="G13">
        <v>2.0794415416798357</v>
      </c>
      <c r="H13">
        <v>0.75</v>
      </c>
      <c r="I13">
        <v>1</v>
      </c>
      <c r="J13">
        <v>0</v>
      </c>
      <c r="K13">
        <v>1</v>
      </c>
      <c r="L13">
        <v>4</v>
      </c>
      <c r="M13">
        <v>5</v>
      </c>
      <c r="N13">
        <v>3</v>
      </c>
      <c r="O13">
        <v>4</v>
      </c>
      <c r="P13">
        <v>2</v>
      </c>
      <c r="Q13">
        <f t="shared" si="0"/>
        <v>5</v>
      </c>
      <c r="R13">
        <f t="shared" si="1"/>
        <v>24</v>
      </c>
      <c r="S13">
        <f t="array" ref="S13">MAX(IF($C$2:$C$1387=C13,$R$2:$R$1387))</f>
        <v>29</v>
      </c>
      <c r="T13" cm="1">
        <f t="array" ref="T13">MIN(IF($C$2:$C$1387=C13,$R$2:$R$1387))</f>
        <v>11</v>
      </c>
      <c r="U13">
        <f t="shared" si="2"/>
        <v>18</v>
      </c>
      <c r="V13">
        <f t="shared" si="3"/>
        <v>0.72222222222222221</v>
      </c>
      <c r="W13" cm="1">
        <f t="array" ref="W13">_xlfn.IFS(N13=1,5,N13=2,4,N13=4,2,N13=5,1,N13=3,3)</f>
        <v>3</v>
      </c>
      <c r="X13">
        <f t="shared" si="4"/>
        <v>24</v>
      </c>
      <c r="Y13" cm="1">
        <f t="array" ref="Y13">MAX(IF($C$2:$C$1387=C13,$X$2:$X$1387))</f>
        <v>29</v>
      </c>
      <c r="Z13" cm="1">
        <f t="array" ref="Z13">MIN(IF($C$2:$C$1387=C13,$X$2:$X$1387))</f>
        <v>12</v>
      </c>
      <c r="AA13">
        <f t="shared" si="5"/>
        <v>17</v>
      </c>
      <c r="AB13">
        <f t="shared" si="6"/>
        <v>0.70588235294117652</v>
      </c>
    </row>
    <row r="14" spans="1:30" x14ac:dyDescent="0.25">
      <c r="A14" t="s">
        <v>32</v>
      </c>
      <c r="B14" t="s">
        <v>33</v>
      </c>
      <c r="C14">
        <v>2010</v>
      </c>
      <c r="D14">
        <v>0</v>
      </c>
      <c r="E14">
        <v>0.95223575879521261</v>
      </c>
      <c r="F14">
        <v>3.2467616752469772E-3</v>
      </c>
      <c r="G14">
        <v>1.9459101490553132</v>
      </c>
      <c r="H14">
        <v>0.14285714285714285</v>
      </c>
      <c r="I14">
        <v>0.66666666666666663</v>
      </c>
      <c r="J14">
        <v>0</v>
      </c>
      <c r="K14">
        <v>1</v>
      </c>
      <c r="L14">
        <v>5</v>
      </c>
      <c r="M14">
        <v>2</v>
      </c>
      <c r="N14">
        <v>1</v>
      </c>
      <c r="O14">
        <v>1</v>
      </c>
      <c r="P14">
        <v>1</v>
      </c>
      <c r="Q14">
        <f t="shared" si="0"/>
        <v>5</v>
      </c>
      <c r="R14">
        <f t="shared" si="1"/>
        <v>16</v>
      </c>
      <c r="S14">
        <f t="array" ref="S14">MAX(IF($C$2:$C$1387=C14,$R$2:$R$1387))</f>
        <v>29</v>
      </c>
      <c r="T14" cm="1">
        <f t="array" ref="T14">MIN(IF($C$2:$C$1387=C14,$R$2:$R$1387))</f>
        <v>9</v>
      </c>
      <c r="U14">
        <f t="shared" si="2"/>
        <v>20</v>
      </c>
      <c r="V14">
        <f t="shared" si="3"/>
        <v>0.35</v>
      </c>
      <c r="W14" cm="1">
        <f t="array" ref="W14">_xlfn.IFS(N14=1,5,N14=2,4,N14=4,2,N14=5,1,N14=3,3)</f>
        <v>5</v>
      </c>
      <c r="X14">
        <f t="shared" si="4"/>
        <v>20</v>
      </c>
      <c r="Y14" cm="1">
        <f t="array" ref="Y14">MAX(IF($C$2:$C$1387=C14,$X$2:$X$1387))</f>
        <v>29</v>
      </c>
      <c r="Z14" cm="1">
        <f t="array" ref="Z14">MIN(IF($C$2:$C$1387=C14,$X$2:$X$1387))</f>
        <v>12</v>
      </c>
      <c r="AA14">
        <f t="shared" si="5"/>
        <v>17</v>
      </c>
      <c r="AB14">
        <f t="shared" si="6"/>
        <v>0.47058823529411764</v>
      </c>
    </row>
    <row r="15" spans="1:30" x14ac:dyDescent="0.25">
      <c r="A15" t="s">
        <v>32</v>
      </c>
      <c r="B15" t="s">
        <v>33</v>
      </c>
      <c r="C15">
        <v>2011</v>
      </c>
      <c r="D15">
        <v>0</v>
      </c>
      <c r="E15">
        <v>0.95223575879521261</v>
      </c>
      <c r="F15">
        <v>3.2467616752469772E-3</v>
      </c>
      <c r="G15">
        <v>1.9459101490553132</v>
      </c>
      <c r="H15">
        <v>0.14285714285714285</v>
      </c>
      <c r="I15">
        <v>0.66666666666666663</v>
      </c>
      <c r="J15">
        <v>0</v>
      </c>
      <c r="K15">
        <v>1</v>
      </c>
      <c r="L15">
        <v>5</v>
      </c>
      <c r="M15">
        <v>1</v>
      </c>
      <c r="N15">
        <v>1</v>
      </c>
      <c r="O15">
        <v>1</v>
      </c>
      <c r="P15">
        <v>1</v>
      </c>
      <c r="Q15">
        <f t="shared" si="0"/>
        <v>5</v>
      </c>
      <c r="R15">
        <f t="shared" si="1"/>
        <v>15</v>
      </c>
      <c r="S15">
        <f t="array" ref="S15">MAX(IF($C$2:$C$1387=C15,$R$2:$R$1387))</f>
        <v>28</v>
      </c>
      <c r="T15" cm="1">
        <f t="array" ref="T15">MIN(IF($C$2:$C$1387=C15,$R$2:$R$1387))</f>
        <v>10</v>
      </c>
      <c r="U15">
        <f t="shared" si="2"/>
        <v>18</v>
      </c>
      <c r="V15">
        <f t="shared" si="3"/>
        <v>0.27777777777777779</v>
      </c>
      <c r="W15" cm="1">
        <f t="array" ref="W15">_xlfn.IFS(N15=1,5,N15=2,4,N15=4,2,N15=5,1,N15=3,3)</f>
        <v>5</v>
      </c>
      <c r="X15">
        <f t="shared" si="4"/>
        <v>19</v>
      </c>
      <c r="Y15" cm="1">
        <f t="array" ref="Y15">MAX(IF($C$2:$C$1387=C15,$X$2:$X$1387))</f>
        <v>29</v>
      </c>
      <c r="Z15" cm="1">
        <f t="array" ref="Z15">MIN(IF($C$2:$C$1387=C15,$X$2:$X$1387))</f>
        <v>12</v>
      </c>
      <c r="AA15">
        <f t="shared" si="5"/>
        <v>17</v>
      </c>
      <c r="AB15">
        <f t="shared" si="6"/>
        <v>0.41176470588235292</v>
      </c>
    </row>
    <row r="16" spans="1:30" x14ac:dyDescent="0.25">
      <c r="A16" t="s">
        <v>32</v>
      </c>
      <c r="B16" t="s">
        <v>33</v>
      </c>
      <c r="C16">
        <v>2012</v>
      </c>
      <c r="D16">
        <v>0</v>
      </c>
      <c r="E16">
        <v>0.95223575879521261</v>
      </c>
      <c r="F16">
        <v>3.2467616752469772E-3</v>
      </c>
      <c r="G16">
        <v>1.9459101490553132</v>
      </c>
      <c r="H16">
        <v>0.14285714285714285</v>
      </c>
      <c r="I16">
        <v>0.66666666666666663</v>
      </c>
      <c r="J16">
        <v>0</v>
      </c>
      <c r="K16">
        <v>1</v>
      </c>
      <c r="L16">
        <v>5</v>
      </c>
      <c r="M16">
        <v>1</v>
      </c>
      <c r="N16">
        <v>1</v>
      </c>
      <c r="O16">
        <v>1</v>
      </c>
      <c r="P16">
        <v>1</v>
      </c>
      <c r="Q16">
        <f t="shared" si="0"/>
        <v>5</v>
      </c>
      <c r="R16">
        <f t="shared" si="1"/>
        <v>15</v>
      </c>
      <c r="S16">
        <f t="array" ref="S16">MAX(IF($C$2:$C$1387=C16,$R$2:$R$1387))</f>
        <v>29</v>
      </c>
      <c r="T16" cm="1">
        <f t="array" ref="T16">MIN(IF($C$2:$C$1387=C16,$R$2:$R$1387))</f>
        <v>11</v>
      </c>
      <c r="U16">
        <f t="shared" si="2"/>
        <v>18</v>
      </c>
      <c r="V16">
        <f t="shared" si="3"/>
        <v>0.22222222222222221</v>
      </c>
      <c r="W16" cm="1">
        <f t="array" ref="W16">_xlfn.IFS(N16=1,5,N16=2,4,N16=4,2,N16=5,1,N16=3,3)</f>
        <v>5</v>
      </c>
      <c r="X16">
        <f t="shared" si="4"/>
        <v>19</v>
      </c>
      <c r="Y16" cm="1">
        <f t="array" ref="Y16">MAX(IF($C$2:$C$1387=C16,$X$2:$X$1387))</f>
        <v>30</v>
      </c>
      <c r="Z16" cm="1">
        <f t="array" ref="Z16">MIN(IF($C$2:$C$1387=C16,$X$2:$X$1387))</f>
        <v>12</v>
      </c>
      <c r="AA16">
        <f t="shared" si="5"/>
        <v>18</v>
      </c>
      <c r="AB16">
        <f t="shared" si="6"/>
        <v>0.3888888888888889</v>
      </c>
    </row>
    <row r="17" spans="1:28" x14ac:dyDescent="0.25">
      <c r="A17" t="s">
        <v>32</v>
      </c>
      <c r="B17" t="s">
        <v>33</v>
      </c>
      <c r="C17">
        <v>2013</v>
      </c>
      <c r="D17">
        <v>0</v>
      </c>
      <c r="E17">
        <v>0.95223575879521261</v>
      </c>
      <c r="F17">
        <v>3.2467616752469772E-3</v>
      </c>
      <c r="G17">
        <v>1.9459101490553132</v>
      </c>
      <c r="H17">
        <v>0.14285714285714285</v>
      </c>
      <c r="I17">
        <v>0.66666666666666663</v>
      </c>
      <c r="J17">
        <v>0</v>
      </c>
      <c r="K17">
        <v>1</v>
      </c>
      <c r="L17">
        <v>5</v>
      </c>
      <c r="M17">
        <v>1</v>
      </c>
      <c r="N17">
        <v>1</v>
      </c>
      <c r="O17">
        <v>1</v>
      </c>
      <c r="P17">
        <v>1</v>
      </c>
      <c r="Q17">
        <f t="shared" si="0"/>
        <v>5</v>
      </c>
      <c r="R17">
        <f t="shared" si="1"/>
        <v>15</v>
      </c>
      <c r="S17">
        <f t="array" ref="S17">MAX(IF($C$2:$C$1387=C17,$R$2:$R$1387))</f>
        <v>29</v>
      </c>
      <c r="T17" cm="1">
        <f t="array" ref="T17">MIN(IF($C$2:$C$1387=C17,$R$2:$R$1387))</f>
        <v>10</v>
      </c>
      <c r="U17">
        <f t="shared" si="2"/>
        <v>19</v>
      </c>
      <c r="V17">
        <f t="shared" si="3"/>
        <v>0.26315789473684209</v>
      </c>
      <c r="W17" cm="1">
        <f t="array" ref="W17">_xlfn.IFS(N17=1,5,N17=2,4,N17=4,2,N17=5,1,N17=3,3)</f>
        <v>5</v>
      </c>
      <c r="X17">
        <f t="shared" si="4"/>
        <v>19</v>
      </c>
      <c r="Y17" cm="1">
        <f t="array" ref="Y17">MAX(IF($C$2:$C$1387=C17,$X$2:$X$1387))</f>
        <v>32</v>
      </c>
      <c r="Z17" cm="1">
        <f t="array" ref="Z17">MIN(IF($C$2:$C$1387=C17,$X$2:$X$1387))</f>
        <v>10</v>
      </c>
      <c r="AA17">
        <f t="shared" si="5"/>
        <v>22</v>
      </c>
      <c r="AB17">
        <f t="shared" si="6"/>
        <v>0.40909090909090912</v>
      </c>
    </row>
    <row r="18" spans="1:28" x14ac:dyDescent="0.25">
      <c r="A18" t="s">
        <v>32</v>
      </c>
      <c r="B18" t="s">
        <v>33</v>
      </c>
      <c r="C18">
        <v>2014</v>
      </c>
      <c r="D18">
        <v>0.41279720251072477</v>
      </c>
      <c r="E18">
        <v>0.94794967187970369</v>
      </c>
      <c r="F18">
        <v>1.0804315081378776E-4</v>
      </c>
      <c r="G18">
        <v>1.9459101490553132</v>
      </c>
      <c r="H18">
        <v>0.5714285714285714</v>
      </c>
      <c r="I18">
        <v>1</v>
      </c>
      <c r="J18">
        <v>0</v>
      </c>
      <c r="K18">
        <v>4</v>
      </c>
      <c r="L18">
        <v>5</v>
      </c>
      <c r="M18">
        <v>1</v>
      </c>
      <c r="N18">
        <v>1</v>
      </c>
      <c r="O18">
        <v>2</v>
      </c>
      <c r="P18">
        <v>3</v>
      </c>
      <c r="Q18">
        <f t="shared" si="0"/>
        <v>5</v>
      </c>
      <c r="R18">
        <f t="shared" si="1"/>
        <v>21</v>
      </c>
      <c r="S18">
        <f t="array" ref="S18">MAX(IF($C$2:$C$1387=C18,$R$2:$R$1387))</f>
        <v>29</v>
      </c>
      <c r="T18" cm="1">
        <f t="array" ref="T18">MIN(IF($C$2:$C$1387=C18,$R$2:$R$1387))</f>
        <v>11</v>
      </c>
      <c r="U18">
        <f t="shared" si="2"/>
        <v>18</v>
      </c>
      <c r="V18">
        <f t="shared" si="3"/>
        <v>0.55555555555555558</v>
      </c>
      <c r="W18" cm="1">
        <f t="array" ref="W18">_xlfn.IFS(N18=1,5,N18=2,4,N18=4,2,N18=5,1,N18=3,3)</f>
        <v>5</v>
      </c>
      <c r="X18">
        <f t="shared" si="4"/>
        <v>25</v>
      </c>
      <c r="Y18" cm="1">
        <f t="array" ref="Y18">MAX(IF($C$2:$C$1387=C18,$X$2:$X$1387))</f>
        <v>30</v>
      </c>
      <c r="Z18" cm="1">
        <f t="array" ref="Z18">MIN(IF($C$2:$C$1387=C18,$X$2:$X$1387))</f>
        <v>14</v>
      </c>
      <c r="AA18">
        <f t="shared" si="5"/>
        <v>16</v>
      </c>
      <c r="AB18">
        <f t="shared" si="6"/>
        <v>0.6875</v>
      </c>
    </row>
    <row r="19" spans="1:28" x14ac:dyDescent="0.25">
      <c r="A19" t="s">
        <v>32</v>
      </c>
      <c r="B19" t="s">
        <v>33</v>
      </c>
      <c r="C19">
        <v>2015</v>
      </c>
      <c r="D19">
        <v>0.41279720251072477</v>
      </c>
      <c r="E19">
        <v>0.94794967187970369</v>
      </c>
      <c r="F19">
        <v>1.0804315081378776E-4</v>
      </c>
      <c r="G19">
        <v>1.9459101490553132</v>
      </c>
      <c r="H19">
        <v>0.7142857142857143</v>
      </c>
      <c r="I19">
        <v>1</v>
      </c>
      <c r="J19">
        <v>0</v>
      </c>
      <c r="K19">
        <v>4</v>
      </c>
      <c r="L19">
        <v>5</v>
      </c>
      <c r="M19">
        <v>1</v>
      </c>
      <c r="N19">
        <v>1</v>
      </c>
      <c r="O19">
        <v>3</v>
      </c>
      <c r="P19">
        <v>2</v>
      </c>
      <c r="Q19">
        <f t="shared" si="0"/>
        <v>5</v>
      </c>
      <c r="R19">
        <f t="shared" si="1"/>
        <v>21</v>
      </c>
      <c r="S19">
        <f t="array" ref="S19">MAX(IF($C$2:$C$1387=C19,$R$2:$R$1387))</f>
        <v>29</v>
      </c>
      <c r="T19" cm="1">
        <f t="array" ref="T19">MIN(IF($C$2:$C$1387=C19,$R$2:$R$1387))</f>
        <v>11</v>
      </c>
      <c r="U19">
        <f t="shared" si="2"/>
        <v>18</v>
      </c>
      <c r="V19">
        <f t="shared" si="3"/>
        <v>0.55555555555555558</v>
      </c>
      <c r="W19" cm="1">
        <f t="array" ref="W19">_xlfn.IFS(N19=1,5,N19=2,4,N19=4,2,N19=5,1,N19=3,3)</f>
        <v>5</v>
      </c>
      <c r="X19">
        <f t="shared" si="4"/>
        <v>25</v>
      </c>
      <c r="Y19" cm="1">
        <f t="array" ref="Y19">MAX(IF($C$2:$C$1387=C19,$X$2:$X$1387))</f>
        <v>29</v>
      </c>
      <c r="Z19" cm="1">
        <f t="array" ref="Z19">MIN(IF($C$2:$C$1387=C19,$X$2:$X$1387))</f>
        <v>12</v>
      </c>
      <c r="AA19">
        <f t="shared" si="5"/>
        <v>17</v>
      </c>
      <c r="AB19">
        <f t="shared" si="6"/>
        <v>0.76470588235294112</v>
      </c>
    </row>
    <row r="20" spans="1:28" x14ac:dyDescent="0.25">
      <c r="A20" t="s">
        <v>34</v>
      </c>
      <c r="B20" t="s">
        <v>35</v>
      </c>
      <c r="C20">
        <v>2010</v>
      </c>
      <c r="D20">
        <v>3.8041762118364047E-4</v>
      </c>
      <c r="E20">
        <v>0.84181939500043623</v>
      </c>
      <c r="F20">
        <v>5.3269386237439799E-2</v>
      </c>
      <c r="G20">
        <v>1.9459101490553132</v>
      </c>
      <c r="H20">
        <v>0.5714285714285714</v>
      </c>
      <c r="I20">
        <v>1</v>
      </c>
      <c r="J20">
        <v>0</v>
      </c>
      <c r="K20">
        <v>1</v>
      </c>
      <c r="L20">
        <v>5</v>
      </c>
      <c r="M20">
        <v>3</v>
      </c>
      <c r="N20">
        <v>1</v>
      </c>
      <c r="O20">
        <v>2</v>
      </c>
      <c r="P20">
        <v>3</v>
      </c>
      <c r="Q20">
        <f t="shared" si="0"/>
        <v>5</v>
      </c>
      <c r="R20">
        <f t="shared" si="1"/>
        <v>20</v>
      </c>
      <c r="S20">
        <f t="array" ref="S20">MAX(IF($C$2:$C$1387=C20,$R$2:$R$1387))</f>
        <v>29</v>
      </c>
      <c r="T20" cm="1">
        <f t="array" ref="T20">MIN(IF($C$2:$C$1387=C20,$R$2:$R$1387))</f>
        <v>9</v>
      </c>
      <c r="U20">
        <f t="shared" si="2"/>
        <v>20</v>
      </c>
      <c r="V20">
        <f t="shared" si="3"/>
        <v>0.55000000000000004</v>
      </c>
      <c r="W20" cm="1">
        <f t="array" ref="W20">_xlfn.IFS(N20=1,5,N20=2,4,N20=4,2,N20=5,1,N20=3,3)</f>
        <v>5</v>
      </c>
      <c r="X20">
        <f t="shared" si="4"/>
        <v>24</v>
      </c>
      <c r="Y20" cm="1">
        <f t="array" ref="Y20">MAX(IF($C$2:$C$1387=C20,$X$2:$X$1387))</f>
        <v>29</v>
      </c>
      <c r="Z20" cm="1">
        <f t="array" ref="Z20">MIN(IF($C$2:$C$1387=C20,$X$2:$X$1387))</f>
        <v>12</v>
      </c>
      <c r="AA20">
        <f t="shared" si="5"/>
        <v>17</v>
      </c>
      <c r="AB20">
        <f t="shared" si="6"/>
        <v>0.70588235294117652</v>
      </c>
    </row>
    <row r="21" spans="1:28" x14ac:dyDescent="0.25">
      <c r="A21" t="s">
        <v>34</v>
      </c>
      <c r="B21" t="s">
        <v>35</v>
      </c>
      <c r="C21">
        <v>2011</v>
      </c>
      <c r="D21">
        <v>3.8041762118364047E-4</v>
      </c>
      <c r="E21">
        <v>0.84349098330667049</v>
      </c>
      <c r="F21">
        <v>5.1920810213639583E-2</v>
      </c>
      <c r="G21">
        <v>1.9459101490553132</v>
      </c>
      <c r="H21">
        <v>0.42857142857142855</v>
      </c>
      <c r="I21">
        <v>1</v>
      </c>
      <c r="J21">
        <v>0</v>
      </c>
      <c r="K21">
        <v>1</v>
      </c>
      <c r="L21">
        <v>5</v>
      </c>
      <c r="M21">
        <v>3</v>
      </c>
      <c r="N21">
        <v>1</v>
      </c>
      <c r="O21">
        <v>2</v>
      </c>
      <c r="P21">
        <v>3</v>
      </c>
      <c r="Q21">
        <f t="shared" si="0"/>
        <v>5</v>
      </c>
      <c r="R21">
        <f t="shared" si="1"/>
        <v>20</v>
      </c>
      <c r="S21">
        <f t="array" ref="S21">MAX(IF($C$2:$C$1387=C21,$R$2:$R$1387))</f>
        <v>28</v>
      </c>
      <c r="T21" cm="1">
        <f t="array" ref="T21">MIN(IF($C$2:$C$1387=C21,$R$2:$R$1387))</f>
        <v>10</v>
      </c>
      <c r="U21">
        <f t="shared" si="2"/>
        <v>18</v>
      </c>
      <c r="V21">
        <f t="shared" si="3"/>
        <v>0.55555555555555558</v>
      </c>
      <c r="W21" cm="1">
        <f t="array" ref="W21">_xlfn.IFS(N21=1,5,N21=2,4,N21=4,2,N21=5,1,N21=3,3)</f>
        <v>5</v>
      </c>
      <c r="X21">
        <f t="shared" si="4"/>
        <v>24</v>
      </c>
      <c r="Y21" cm="1">
        <f t="array" ref="Y21">MAX(IF($C$2:$C$1387=C21,$X$2:$X$1387))</f>
        <v>29</v>
      </c>
      <c r="Z21" cm="1">
        <f t="array" ref="Z21">MIN(IF($C$2:$C$1387=C21,$X$2:$X$1387))</f>
        <v>12</v>
      </c>
      <c r="AA21">
        <f t="shared" si="5"/>
        <v>17</v>
      </c>
      <c r="AB21">
        <f t="shared" si="6"/>
        <v>0.70588235294117652</v>
      </c>
    </row>
    <row r="22" spans="1:28" x14ac:dyDescent="0.25">
      <c r="A22" t="s">
        <v>34</v>
      </c>
      <c r="B22" t="s">
        <v>35</v>
      </c>
      <c r="C22">
        <v>2012</v>
      </c>
      <c r="D22">
        <v>6.1578972453016541E-4</v>
      </c>
      <c r="E22">
        <v>0.84399384181674941</v>
      </c>
      <c r="F22">
        <v>7.4368626564604468E-2</v>
      </c>
      <c r="G22">
        <v>1.9459101490553132</v>
      </c>
      <c r="H22">
        <v>0.42857142857142855</v>
      </c>
      <c r="I22">
        <v>1</v>
      </c>
      <c r="J22">
        <v>0</v>
      </c>
      <c r="K22">
        <v>1</v>
      </c>
      <c r="L22">
        <v>4</v>
      </c>
      <c r="M22">
        <v>4</v>
      </c>
      <c r="N22">
        <v>1</v>
      </c>
      <c r="O22">
        <v>2</v>
      </c>
      <c r="P22">
        <v>3</v>
      </c>
      <c r="Q22">
        <f t="shared" si="0"/>
        <v>5</v>
      </c>
      <c r="R22">
        <f t="shared" si="1"/>
        <v>20</v>
      </c>
      <c r="S22">
        <f t="array" ref="S22">MAX(IF($C$2:$C$1387=C22,$R$2:$R$1387))</f>
        <v>29</v>
      </c>
      <c r="T22" cm="1">
        <f t="array" ref="T22">MIN(IF($C$2:$C$1387=C22,$R$2:$R$1387))</f>
        <v>11</v>
      </c>
      <c r="U22">
        <f t="shared" si="2"/>
        <v>18</v>
      </c>
      <c r="V22">
        <f t="shared" si="3"/>
        <v>0.5</v>
      </c>
      <c r="W22" cm="1">
        <f t="array" ref="W22">_xlfn.IFS(N22=1,5,N22=2,4,N22=4,2,N22=5,1,N22=3,3)</f>
        <v>5</v>
      </c>
      <c r="X22">
        <f t="shared" si="4"/>
        <v>24</v>
      </c>
      <c r="Y22" cm="1">
        <f t="array" ref="Y22">MAX(IF($C$2:$C$1387=C22,$X$2:$X$1387))</f>
        <v>30</v>
      </c>
      <c r="Z22" cm="1">
        <f t="array" ref="Z22">MIN(IF($C$2:$C$1387=C22,$X$2:$X$1387))</f>
        <v>12</v>
      </c>
      <c r="AA22">
        <f t="shared" si="5"/>
        <v>18</v>
      </c>
      <c r="AB22">
        <f t="shared" si="6"/>
        <v>0.66666666666666663</v>
      </c>
    </row>
    <row r="23" spans="1:28" x14ac:dyDescent="0.25">
      <c r="A23" t="s">
        <v>34</v>
      </c>
      <c r="B23" t="s">
        <v>35</v>
      </c>
      <c r="C23">
        <v>2013</v>
      </c>
      <c r="D23">
        <v>6.3481928789147152E-4</v>
      </c>
      <c r="E23">
        <v>0.85052889826631994</v>
      </c>
      <c r="F23">
        <v>4.5698194066857933E-2</v>
      </c>
      <c r="G23">
        <v>1.9459101490553132</v>
      </c>
      <c r="H23">
        <v>0.42857142857142855</v>
      </c>
      <c r="I23">
        <v>1</v>
      </c>
      <c r="J23">
        <v>0</v>
      </c>
      <c r="K23">
        <v>2</v>
      </c>
      <c r="L23">
        <v>5</v>
      </c>
      <c r="M23">
        <v>3</v>
      </c>
      <c r="N23">
        <v>1</v>
      </c>
      <c r="O23">
        <v>1</v>
      </c>
      <c r="P23">
        <v>3</v>
      </c>
      <c r="Q23">
        <f t="shared" si="0"/>
        <v>5</v>
      </c>
      <c r="R23">
        <f t="shared" si="1"/>
        <v>20</v>
      </c>
      <c r="S23">
        <f t="array" ref="S23">MAX(IF($C$2:$C$1387=C23,$R$2:$R$1387))</f>
        <v>29</v>
      </c>
      <c r="T23" cm="1">
        <f t="array" ref="T23">MIN(IF($C$2:$C$1387=C23,$R$2:$R$1387))</f>
        <v>10</v>
      </c>
      <c r="U23">
        <f t="shared" si="2"/>
        <v>19</v>
      </c>
      <c r="V23">
        <f t="shared" si="3"/>
        <v>0.52631578947368418</v>
      </c>
      <c r="W23" cm="1">
        <f t="array" ref="W23">_xlfn.IFS(N23=1,5,N23=2,4,N23=4,2,N23=5,1,N23=3,3)</f>
        <v>5</v>
      </c>
      <c r="X23">
        <f t="shared" si="4"/>
        <v>24</v>
      </c>
      <c r="Y23" cm="1">
        <f t="array" ref="Y23">MAX(IF($C$2:$C$1387=C23,$X$2:$X$1387))</f>
        <v>32</v>
      </c>
      <c r="Z23" cm="1">
        <f t="array" ref="Z23">MIN(IF($C$2:$C$1387=C23,$X$2:$X$1387))</f>
        <v>10</v>
      </c>
      <c r="AA23">
        <f t="shared" si="5"/>
        <v>22</v>
      </c>
      <c r="AB23">
        <f t="shared" si="6"/>
        <v>0.63636363636363635</v>
      </c>
    </row>
    <row r="24" spans="1:28" x14ac:dyDescent="0.25">
      <c r="A24" t="s">
        <v>34</v>
      </c>
      <c r="B24" t="s">
        <v>35</v>
      </c>
      <c r="C24">
        <v>2014</v>
      </c>
      <c r="D24">
        <v>5.9453340603586699E-4</v>
      </c>
      <c r="E24">
        <v>0.85594750259299501</v>
      </c>
      <c r="F24">
        <v>4.5521024031161823E-2</v>
      </c>
      <c r="G24">
        <v>1.9459101490553132</v>
      </c>
      <c r="H24">
        <v>0.42857142857142855</v>
      </c>
      <c r="I24">
        <v>1</v>
      </c>
      <c r="J24">
        <v>0</v>
      </c>
      <c r="K24">
        <v>2</v>
      </c>
      <c r="L24">
        <v>5</v>
      </c>
      <c r="M24">
        <v>3</v>
      </c>
      <c r="N24">
        <v>1</v>
      </c>
      <c r="O24">
        <v>1</v>
      </c>
      <c r="P24">
        <v>3</v>
      </c>
      <c r="Q24">
        <f t="shared" si="0"/>
        <v>5</v>
      </c>
      <c r="R24">
        <f t="shared" si="1"/>
        <v>20</v>
      </c>
      <c r="S24">
        <f t="array" ref="S24">MAX(IF($C$2:$C$1387=C24,$R$2:$R$1387))</f>
        <v>29</v>
      </c>
      <c r="T24" cm="1">
        <f t="array" ref="T24">MIN(IF($C$2:$C$1387=C24,$R$2:$R$1387))</f>
        <v>11</v>
      </c>
      <c r="U24">
        <f t="shared" si="2"/>
        <v>18</v>
      </c>
      <c r="V24">
        <f t="shared" si="3"/>
        <v>0.5</v>
      </c>
      <c r="W24" cm="1">
        <f t="array" ref="W24">_xlfn.IFS(N24=1,5,N24=2,4,N24=4,2,N24=5,1,N24=3,3)</f>
        <v>5</v>
      </c>
      <c r="X24">
        <f t="shared" si="4"/>
        <v>24</v>
      </c>
      <c r="Y24" cm="1">
        <f t="array" ref="Y24">MAX(IF($C$2:$C$1387=C24,$X$2:$X$1387))</f>
        <v>30</v>
      </c>
      <c r="Z24" cm="1">
        <f t="array" ref="Z24">MIN(IF($C$2:$C$1387=C24,$X$2:$X$1387))</f>
        <v>14</v>
      </c>
      <c r="AA24">
        <f t="shared" si="5"/>
        <v>16</v>
      </c>
      <c r="AB24">
        <f t="shared" si="6"/>
        <v>0.625</v>
      </c>
    </row>
    <row r="25" spans="1:28" x14ac:dyDescent="0.25">
      <c r="A25" t="s">
        <v>34</v>
      </c>
      <c r="B25" t="s">
        <v>35</v>
      </c>
      <c r="C25">
        <v>2015</v>
      </c>
      <c r="D25">
        <v>6.4337901633847866E-4</v>
      </c>
      <c r="E25">
        <v>0.85550046617833719</v>
      </c>
      <c r="F25">
        <v>4.8607633508627991E-2</v>
      </c>
      <c r="G25">
        <v>1.9459101490553132</v>
      </c>
      <c r="H25">
        <v>0.2857142857142857</v>
      </c>
      <c r="I25">
        <v>1</v>
      </c>
      <c r="J25">
        <v>0</v>
      </c>
      <c r="K25">
        <v>2</v>
      </c>
      <c r="L25">
        <v>5</v>
      </c>
      <c r="M25">
        <v>3</v>
      </c>
      <c r="N25">
        <v>1</v>
      </c>
      <c r="O25">
        <v>1</v>
      </c>
      <c r="P25">
        <v>2</v>
      </c>
      <c r="Q25">
        <f t="shared" si="0"/>
        <v>5</v>
      </c>
      <c r="R25">
        <f t="shared" si="1"/>
        <v>19</v>
      </c>
      <c r="S25">
        <f t="array" ref="S25">MAX(IF($C$2:$C$1387=C25,$R$2:$R$1387))</f>
        <v>29</v>
      </c>
      <c r="T25" cm="1">
        <f t="array" ref="T25">MIN(IF($C$2:$C$1387=C25,$R$2:$R$1387))</f>
        <v>11</v>
      </c>
      <c r="U25">
        <f t="shared" si="2"/>
        <v>18</v>
      </c>
      <c r="V25">
        <f t="shared" si="3"/>
        <v>0.44444444444444442</v>
      </c>
      <c r="W25" cm="1">
        <f t="array" ref="W25">_xlfn.IFS(N25=1,5,N25=2,4,N25=4,2,N25=5,1,N25=3,3)</f>
        <v>5</v>
      </c>
      <c r="X25">
        <f t="shared" si="4"/>
        <v>23</v>
      </c>
      <c r="Y25" cm="1">
        <f t="array" ref="Y25">MAX(IF($C$2:$C$1387=C25,$X$2:$X$1387))</f>
        <v>29</v>
      </c>
      <c r="Z25" cm="1">
        <f t="array" ref="Z25">MIN(IF($C$2:$C$1387=C25,$X$2:$X$1387))</f>
        <v>12</v>
      </c>
      <c r="AA25">
        <f t="shared" si="5"/>
        <v>17</v>
      </c>
      <c r="AB25">
        <f t="shared" si="6"/>
        <v>0.6470588235294118</v>
      </c>
    </row>
    <row r="26" spans="1:28" x14ac:dyDescent="0.25">
      <c r="A26" t="s">
        <v>36</v>
      </c>
      <c r="B26" t="s">
        <v>37</v>
      </c>
      <c r="C26">
        <v>2010</v>
      </c>
      <c r="D26">
        <v>1.2702747543089423E-7</v>
      </c>
      <c r="E26">
        <v>0.88980542035245069</v>
      </c>
      <c r="F26">
        <v>0</v>
      </c>
      <c r="G26">
        <v>2.0794415416798357</v>
      </c>
      <c r="H26">
        <v>0.625</v>
      </c>
      <c r="I26">
        <v>0.66666666666666663</v>
      </c>
      <c r="J26">
        <v>0</v>
      </c>
      <c r="K26">
        <v>1</v>
      </c>
      <c r="L26">
        <v>5</v>
      </c>
      <c r="M26">
        <v>1</v>
      </c>
      <c r="N26">
        <v>3</v>
      </c>
      <c r="O26">
        <v>3</v>
      </c>
      <c r="P26">
        <v>1</v>
      </c>
      <c r="Q26">
        <f t="shared" si="0"/>
        <v>5</v>
      </c>
      <c r="R26">
        <f t="shared" si="1"/>
        <v>19</v>
      </c>
      <c r="S26">
        <f t="array" ref="S26">MAX(IF($C$2:$C$1387=C26,$R$2:$R$1387))</f>
        <v>29</v>
      </c>
      <c r="T26" cm="1">
        <f t="array" ref="T26">MIN(IF($C$2:$C$1387=C26,$R$2:$R$1387))</f>
        <v>9</v>
      </c>
      <c r="U26">
        <f t="shared" si="2"/>
        <v>20</v>
      </c>
      <c r="V26">
        <f t="shared" si="3"/>
        <v>0.5</v>
      </c>
      <c r="W26" cm="1">
        <f t="array" ref="W26">_xlfn.IFS(N26=1,5,N26=2,4,N26=4,2,N26=5,1,N26=3,3)</f>
        <v>3</v>
      </c>
      <c r="X26">
        <f t="shared" si="4"/>
        <v>19</v>
      </c>
      <c r="Y26" cm="1">
        <f t="array" ref="Y26">MAX(IF($C$2:$C$1387=C26,$X$2:$X$1387))</f>
        <v>29</v>
      </c>
      <c r="Z26" cm="1">
        <f t="array" ref="Z26">MIN(IF($C$2:$C$1387=C26,$X$2:$X$1387))</f>
        <v>12</v>
      </c>
      <c r="AA26">
        <f t="shared" si="5"/>
        <v>17</v>
      </c>
      <c r="AB26">
        <f t="shared" si="6"/>
        <v>0.41176470588235292</v>
      </c>
    </row>
    <row r="27" spans="1:28" x14ac:dyDescent="0.25">
      <c r="A27" t="s">
        <v>36</v>
      </c>
      <c r="B27" t="s">
        <v>37</v>
      </c>
      <c r="C27">
        <v>2011</v>
      </c>
      <c r="D27">
        <v>1.2702747543089423E-7</v>
      </c>
      <c r="E27">
        <v>0.89639910480735596</v>
      </c>
      <c r="F27">
        <v>8.4776682060587513E-2</v>
      </c>
      <c r="G27">
        <v>1.9459101490553132</v>
      </c>
      <c r="H27">
        <v>0.7142857142857143</v>
      </c>
      <c r="I27">
        <v>0.66666666666666663</v>
      </c>
      <c r="J27">
        <v>0</v>
      </c>
      <c r="K27">
        <v>1</v>
      </c>
      <c r="L27">
        <v>5</v>
      </c>
      <c r="M27">
        <v>3</v>
      </c>
      <c r="N27">
        <v>1</v>
      </c>
      <c r="O27">
        <v>4</v>
      </c>
      <c r="P27">
        <v>1</v>
      </c>
      <c r="Q27">
        <f t="shared" si="0"/>
        <v>5</v>
      </c>
      <c r="R27">
        <f t="shared" si="1"/>
        <v>20</v>
      </c>
      <c r="S27">
        <f t="array" ref="S27">MAX(IF($C$2:$C$1387=C27,$R$2:$R$1387))</f>
        <v>28</v>
      </c>
      <c r="T27" cm="1">
        <f t="array" ref="T27">MIN(IF($C$2:$C$1387=C27,$R$2:$R$1387))</f>
        <v>10</v>
      </c>
      <c r="U27">
        <f t="shared" si="2"/>
        <v>18</v>
      </c>
      <c r="V27">
        <f t="shared" si="3"/>
        <v>0.55555555555555558</v>
      </c>
      <c r="W27" cm="1">
        <f t="array" ref="W27">_xlfn.IFS(N27=1,5,N27=2,4,N27=4,2,N27=5,1,N27=3,3)</f>
        <v>5</v>
      </c>
      <c r="X27">
        <f t="shared" si="4"/>
        <v>24</v>
      </c>
      <c r="Y27" cm="1">
        <f t="array" ref="Y27">MAX(IF($C$2:$C$1387=C27,$X$2:$X$1387))</f>
        <v>29</v>
      </c>
      <c r="Z27" cm="1">
        <f t="array" ref="Z27">MIN(IF($C$2:$C$1387=C27,$X$2:$X$1387))</f>
        <v>12</v>
      </c>
      <c r="AA27">
        <f t="shared" si="5"/>
        <v>17</v>
      </c>
      <c r="AB27">
        <f t="shared" si="6"/>
        <v>0.70588235294117652</v>
      </c>
    </row>
    <row r="28" spans="1:28" x14ac:dyDescent="0.25">
      <c r="A28" t="s">
        <v>36</v>
      </c>
      <c r="B28" t="s">
        <v>37</v>
      </c>
      <c r="C28">
        <v>2012</v>
      </c>
      <c r="D28">
        <v>1.2702747543089423E-7</v>
      </c>
      <c r="E28">
        <v>0.88099673471255224</v>
      </c>
      <c r="F28">
        <v>5.4959130122315104E-2</v>
      </c>
      <c r="G28">
        <v>1.9459101490553132</v>
      </c>
      <c r="H28">
        <v>0.42857142857142855</v>
      </c>
      <c r="I28">
        <v>0.66666666666666663</v>
      </c>
      <c r="J28">
        <v>0</v>
      </c>
      <c r="K28">
        <v>1</v>
      </c>
      <c r="L28">
        <v>5</v>
      </c>
      <c r="M28">
        <v>3</v>
      </c>
      <c r="N28">
        <v>1</v>
      </c>
      <c r="O28">
        <v>2</v>
      </c>
      <c r="P28">
        <v>1</v>
      </c>
      <c r="Q28">
        <f t="shared" si="0"/>
        <v>5</v>
      </c>
      <c r="R28">
        <f t="shared" si="1"/>
        <v>18</v>
      </c>
      <c r="S28">
        <f t="array" ref="S28">MAX(IF($C$2:$C$1387=C28,$R$2:$R$1387))</f>
        <v>29</v>
      </c>
      <c r="T28" cm="1">
        <f t="array" ref="T28">MIN(IF($C$2:$C$1387=C28,$R$2:$R$1387))</f>
        <v>11</v>
      </c>
      <c r="U28">
        <f t="shared" si="2"/>
        <v>18</v>
      </c>
      <c r="V28">
        <f t="shared" si="3"/>
        <v>0.3888888888888889</v>
      </c>
      <c r="W28" cm="1">
        <f t="array" ref="W28">_xlfn.IFS(N28=1,5,N28=2,4,N28=4,2,N28=5,1,N28=3,3)</f>
        <v>5</v>
      </c>
      <c r="X28">
        <f t="shared" si="4"/>
        <v>22</v>
      </c>
      <c r="Y28" cm="1">
        <f t="array" ref="Y28">MAX(IF($C$2:$C$1387=C28,$X$2:$X$1387))</f>
        <v>30</v>
      </c>
      <c r="Z28" cm="1">
        <f t="array" ref="Z28">MIN(IF($C$2:$C$1387=C28,$X$2:$X$1387))</f>
        <v>12</v>
      </c>
      <c r="AA28">
        <f t="shared" si="5"/>
        <v>18</v>
      </c>
      <c r="AB28">
        <f t="shared" si="6"/>
        <v>0.55555555555555558</v>
      </c>
    </row>
    <row r="29" spans="1:28" x14ac:dyDescent="0.25">
      <c r="A29" t="s">
        <v>36</v>
      </c>
      <c r="B29" t="s">
        <v>37</v>
      </c>
      <c r="C29">
        <v>2013</v>
      </c>
      <c r="D29">
        <v>1.1549056881246533E-3</v>
      </c>
      <c r="E29">
        <v>0.92285510970027496</v>
      </c>
      <c r="F29">
        <v>2.1663627128469615E-2</v>
      </c>
      <c r="G29">
        <v>1.791759469228055</v>
      </c>
      <c r="H29">
        <v>0.66666666666666663</v>
      </c>
      <c r="I29">
        <v>0.66666666666666663</v>
      </c>
      <c r="J29">
        <v>0</v>
      </c>
      <c r="K29">
        <v>2</v>
      </c>
      <c r="L29">
        <v>5</v>
      </c>
      <c r="M29">
        <v>2</v>
      </c>
      <c r="N29">
        <v>1</v>
      </c>
      <c r="O29">
        <v>4</v>
      </c>
      <c r="P29">
        <v>1</v>
      </c>
      <c r="Q29">
        <f t="shared" si="0"/>
        <v>5</v>
      </c>
      <c r="R29">
        <f t="shared" si="1"/>
        <v>20</v>
      </c>
      <c r="S29">
        <f t="array" ref="S29">MAX(IF($C$2:$C$1387=C29,$R$2:$R$1387))</f>
        <v>29</v>
      </c>
      <c r="T29" cm="1">
        <f t="array" ref="T29">MIN(IF($C$2:$C$1387=C29,$R$2:$R$1387))</f>
        <v>10</v>
      </c>
      <c r="U29">
        <f t="shared" si="2"/>
        <v>19</v>
      </c>
      <c r="V29">
        <f t="shared" si="3"/>
        <v>0.52631578947368418</v>
      </c>
      <c r="W29" cm="1">
        <f t="array" ref="W29">_xlfn.IFS(N29=1,5,N29=2,4,N29=4,2,N29=5,1,N29=3,3)</f>
        <v>5</v>
      </c>
      <c r="X29">
        <f t="shared" si="4"/>
        <v>24</v>
      </c>
      <c r="Y29" cm="1">
        <f t="array" ref="Y29">MAX(IF($C$2:$C$1387=C29,$X$2:$X$1387))</f>
        <v>32</v>
      </c>
      <c r="Z29" cm="1">
        <f t="array" ref="Z29">MIN(IF($C$2:$C$1387=C29,$X$2:$X$1387))</f>
        <v>10</v>
      </c>
      <c r="AA29">
        <f t="shared" si="5"/>
        <v>22</v>
      </c>
      <c r="AB29">
        <f t="shared" si="6"/>
        <v>0.63636363636363635</v>
      </c>
    </row>
    <row r="30" spans="1:28" x14ac:dyDescent="0.25">
      <c r="A30" t="s">
        <v>36</v>
      </c>
      <c r="B30" t="s">
        <v>37</v>
      </c>
      <c r="C30">
        <v>2014</v>
      </c>
      <c r="D30">
        <v>1.1548912829926089E-3</v>
      </c>
      <c r="E30">
        <v>0.90385792244714813</v>
      </c>
      <c r="F30">
        <v>3.5128146207956332E-2</v>
      </c>
      <c r="G30">
        <v>1.791759469228055</v>
      </c>
      <c r="H30">
        <v>0.66666666666666663</v>
      </c>
      <c r="I30">
        <v>0.66666666666666663</v>
      </c>
      <c r="J30">
        <v>0</v>
      </c>
      <c r="K30">
        <v>2</v>
      </c>
      <c r="L30">
        <v>5</v>
      </c>
      <c r="M30">
        <v>3</v>
      </c>
      <c r="N30">
        <v>1</v>
      </c>
      <c r="O30">
        <v>4</v>
      </c>
      <c r="P30">
        <v>1</v>
      </c>
      <c r="Q30">
        <f t="shared" si="0"/>
        <v>5</v>
      </c>
      <c r="R30">
        <f t="shared" si="1"/>
        <v>21</v>
      </c>
      <c r="S30">
        <f t="array" ref="S30">MAX(IF($C$2:$C$1387=C30,$R$2:$R$1387))</f>
        <v>29</v>
      </c>
      <c r="T30" cm="1">
        <f t="array" ref="T30">MIN(IF($C$2:$C$1387=C30,$R$2:$R$1387))</f>
        <v>11</v>
      </c>
      <c r="U30">
        <f t="shared" si="2"/>
        <v>18</v>
      </c>
      <c r="V30">
        <f t="shared" si="3"/>
        <v>0.55555555555555558</v>
      </c>
      <c r="W30" cm="1">
        <f t="array" ref="W30">_xlfn.IFS(N30=1,5,N30=2,4,N30=4,2,N30=5,1,N30=3,3)</f>
        <v>5</v>
      </c>
      <c r="X30">
        <f t="shared" si="4"/>
        <v>25</v>
      </c>
      <c r="Y30" cm="1">
        <f t="array" ref="Y30">MAX(IF($C$2:$C$1387=C30,$X$2:$X$1387))</f>
        <v>30</v>
      </c>
      <c r="Z30" cm="1">
        <f t="array" ref="Z30">MIN(IF($C$2:$C$1387=C30,$X$2:$X$1387))</f>
        <v>14</v>
      </c>
      <c r="AA30">
        <f t="shared" si="5"/>
        <v>16</v>
      </c>
      <c r="AB30">
        <f t="shared" si="6"/>
        <v>0.6875</v>
      </c>
    </row>
    <row r="31" spans="1:28" x14ac:dyDescent="0.25">
      <c r="A31" t="s">
        <v>36</v>
      </c>
      <c r="B31" t="s">
        <v>37</v>
      </c>
      <c r="C31">
        <v>2015</v>
      </c>
      <c r="D31">
        <v>1.0479253730368437E-3</v>
      </c>
      <c r="E31">
        <v>0.89328881735241683</v>
      </c>
      <c r="F31">
        <v>4.5917138285912595E-2</v>
      </c>
      <c r="G31">
        <v>2.3978952727983707</v>
      </c>
      <c r="H31">
        <v>0.63636363636363635</v>
      </c>
      <c r="I31">
        <v>1</v>
      </c>
      <c r="J31">
        <v>0</v>
      </c>
      <c r="K31">
        <v>2</v>
      </c>
      <c r="L31">
        <v>5</v>
      </c>
      <c r="M31">
        <v>3</v>
      </c>
      <c r="N31">
        <v>5</v>
      </c>
      <c r="O31">
        <v>2</v>
      </c>
      <c r="P31">
        <v>2</v>
      </c>
      <c r="Q31">
        <f t="shared" si="0"/>
        <v>5</v>
      </c>
      <c r="R31">
        <f t="shared" si="1"/>
        <v>24</v>
      </c>
      <c r="S31">
        <f t="array" ref="S31">MAX(IF($C$2:$C$1387=C31,$R$2:$R$1387))</f>
        <v>29</v>
      </c>
      <c r="T31" cm="1">
        <f t="array" ref="T31">MIN(IF($C$2:$C$1387=C31,$R$2:$R$1387))</f>
        <v>11</v>
      </c>
      <c r="U31">
        <f t="shared" si="2"/>
        <v>18</v>
      </c>
      <c r="V31">
        <f t="shared" si="3"/>
        <v>0.72222222222222221</v>
      </c>
      <c r="W31" cm="1">
        <f t="array" ref="W31">_xlfn.IFS(N31=1,5,N31=2,4,N31=4,2,N31=5,1,N31=3,3)</f>
        <v>1</v>
      </c>
      <c r="X31">
        <f t="shared" si="4"/>
        <v>20</v>
      </c>
      <c r="Y31" cm="1">
        <f t="array" ref="Y31">MAX(IF($C$2:$C$1387=C31,$X$2:$X$1387))</f>
        <v>29</v>
      </c>
      <c r="Z31" cm="1">
        <f t="array" ref="Z31">MIN(IF($C$2:$C$1387=C31,$X$2:$X$1387))</f>
        <v>12</v>
      </c>
      <c r="AA31">
        <f t="shared" si="5"/>
        <v>17</v>
      </c>
      <c r="AB31">
        <f t="shared" si="6"/>
        <v>0.47058823529411764</v>
      </c>
    </row>
    <row r="32" spans="1:28" x14ac:dyDescent="0.25">
      <c r="A32" t="s">
        <v>38</v>
      </c>
      <c r="B32" t="s">
        <v>39</v>
      </c>
      <c r="C32">
        <v>2010</v>
      </c>
      <c r="D32">
        <v>1.8895998961769737E-2</v>
      </c>
      <c r="E32">
        <v>0.78491890734593017</v>
      </c>
      <c r="F32">
        <v>7.097927807602608E-4</v>
      </c>
      <c r="G32">
        <v>1.9459101490553132</v>
      </c>
      <c r="H32">
        <v>0.7142857142857143</v>
      </c>
      <c r="I32">
        <v>0.66666666666666663</v>
      </c>
      <c r="J32">
        <v>0</v>
      </c>
      <c r="K32">
        <v>2</v>
      </c>
      <c r="L32">
        <v>4</v>
      </c>
      <c r="M32">
        <v>2</v>
      </c>
      <c r="N32">
        <v>1</v>
      </c>
      <c r="O32">
        <v>4</v>
      </c>
      <c r="P32">
        <v>1</v>
      </c>
      <c r="Q32">
        <f t="shared" si="0"/>
        <v>5</v>
      </c>
      <c r="R32">
        <f t="shared" si="1"/>
        <v>19</v>
      </c>
      <c r="S32">
        <f t="array" ref="S32">MAX(IF($C$2:$C$1387=C32,$R$2:$R$1387))</f>
        <v>29</v>
      </c>
      <c r="T32" cm="1">
        <f t="array" ref="T32">MIN(IF($C$2:$C$1387=C32,$R$2:$R$1387))</f>
        <v>9</v>
      </c>
      <c r="U32">
        <f t="shared" si="2"/>
        <v>20</v>
      </c>
      <c r="V32">
        <f t="shared" si="3"/>
        <v>0.5</v>
      </c>
      <c r="W32" cm="1">
        <f t="array" ref="W32">_xlfn.IFS(N32=1,5,N32=2,4,N32=4,2,N32=5,1,N32=3,3)</f>
        <v>5</v>
      </c>
      <c r="X32">
        <f t="shared" si="4"/>
        <v>23</v>
      </c>
      <c r="Y32" cm="1">
        <f t="array" ref="Y32">MAX(IF($C$2:$C$1387=C32,$X$2:$X$1387))</f>
        <v>29</v>
      </c>
      <c r="Z32" cm="1">
        <f t="array" ref="Z32">MIN(IF($C$2:$C$1387=C32,$X$2:$X$1387))</f>
        <v>12</v>
      </c>
      <c r="AA32">
        <f t="shared" si="5"/>
        <v>17</v>
      </c>
      <c r="AB32">
        <f t="shared" si="6"/>
        <v>0.6470588235294118</v>
      </c>
    </row>
    <row r="33" spans="1:28" x14ac:dyDescent="0.25">
      <c r="A33" t="s">
        <v>38</v>
      </c>
      <c r="B33" t="s">
        <v>39</v>
      </c>
      <c r="C33">
        <v>2011</v>
      </c>
      <c r="D33">
        <v>0</v>
      </c>
      <c r="E33">
        <v>0.79625026068532223</v>
      </c>
      <c r="F33">
        <v>1.2283874084044602E-4</v>
      </c>
      <c r="G33">
        <v>1.9459101490553132</v>
      </c>
      <c r="H33">
        <v>0</v>
      </c>
      <c r="I33">
        <v>1</v>
      </c>
      <c r="J33">
        <v>0</v>
      </c>
      <c r="K33">
        <v>1</v>
      </c>
      <c r="L33">
        <v>4</v>
      </c>
      <c r="M33">
        <v>1</v>
      </c>
      <c r="N33">
        <v>1</v>
      </c>
      <c r="O33">
        <v>1</v>
      </c>
      <c r="P33">
        <v>3</v>
      </c>
      <c r="Q33">
        <f t="shared" si="0"/>
        <v>5</v>
      </c>
      <c r="R33">
        <f t="shared" si="1"/>
        <v>16</v>
      </c>
      <c r="S33">
        <f t="array" ref="S33">MAX(IF($C$2:$C$1387=C33,$R$2:$R$1387))</f>
        <v>28</v>
      </c>
      <c r="T33" cm="1">
        <f t="array" ref="T33">MIN(IF($C$2:$C$1387=C33,$R$2:$R$1387))</f>
        <v>10</v>
      </c>
      <c r="U33">
        <f t="shared" si="2"/>
        <v>18</v>
      </c>
      <c r="V33">
        <f t="shared" si="3"/>
        <v>0.33333333333333331</v>
      </c>
      <c r="W33" cm="1">
        <f t="array" ref="W33">_xlfn.IFS(N33=1,5,N33=2,4,N33=4,2,N33=5,1,N33=3,3)</f>
        <v>5</v>
      </c>
      <c r="X33">
        <f t="shared" si="4"/>
        <v>20</v>
      </c>
      <c r="Y33" cm="1">
        <f t="array" ref="Y33">MAX(IF($C$2:$C$1387=C33,$X$2:$X$1387))</f>
        <v>29</v>
      </c>
      <c r="Z33" cm="1">
        <f t="array" ref="Z33">MIN(IF($C$2:$C$1387=C33,$X$2:$X$1387))</f>
        <v>12</v>
      </c>
      <c r="AA33">
        <f t="shared" si="5"/>
        <v>17</v>
      </c>
      <c r="AB33">
        <f t="shared" si="6"/>
        <v>0.47058823529411764</v>
      </c>
    </row>
    <row r="34" spans="1:28" x14ac:dyDescent="0.25">
      <c r="A34" t="s">
        <v>38</v>
      </c>
      <c r="B34" t="s">
        <v>39</v>
      </c>
      <c r="C34">
        <v>2012</v>
      </c>
      <c r="D34">
        <v>1.8895998961769737E-2</v>
      </c>
      <c r="E34">
        <v>0.78079322596394574</v>
      </c>
      <c r="F34">
        <v>2.0958926403285137E-4</v>
      </c>
      <c r="G34">
        <v>1.9459101490553132</v>
      </c>
      <c r="H34">
        <v>0.7142857142857143</v>
      </c>
      <c r="I34">
        <v>1</v>
      </c>
      <c r="J34">
        <v>0</v>
      </c>
      <c r="K34">
        <v>2</v>
      </c>
      <c r="L34">
        <v>4</v>
      </c>
      <c r="M34">
        <v>1</v>
      </c>
      <c r="N34">
        <v>1</v>
      </c>
      <c r="O34">
        <v>4</v>
      </c>
      <c r="P34">
        <v>3</v>
      </c>
      <c r="Q34">
        <f t="shared" si="0"/>
        <v>5</v>
      </c>
      <c r="R34">
        <f t="shared" si="1"/>
        <v>20</v>
      </c>
      <c r="S34">
        <f t="array" ref="S34">MAX(IF($C$2:$C$1387=C34,$R$2:$R$1387))</f>
        <v>29</v>
      </c>
      <c r="T34" cm="1">
        <f t="array" ref="T34">MIN(IF($C$2:$C$1387=C34,$R$2:$R$1387))</f>
        <v>11</v>
      </c>
      <c r="U34">
        <f t="shared" si="2"/>
        <v>18</v>
      </c>
      <c r="V34">
        <f t="shared" si="3"/>
        <v>0.5</v>
      </c>
      <c r="W34" cm="1">
        <f t="array" ref="W34">_xlfn.IFS(N34=1,5,N34=2,4,N34=4,2,N34=5,1,N34=3,3)</f>
        <v>5</v>
      </c>
      <c r="X34">
        <f t="shared" si="4"/>
        <v>24</v>
      </c>
      <c r="Y34" cm="1">
        <f t="array" ref="Y34">MAX(IF($C$2:$C$1387=C34,$X$2:$X$1387))</f>
        <v>30</v>
      </c>
      <c r="Z34" cm="1">
        <f t="array" ref="Z34">MIN(IF($C$2:$C$1387=C34,$X$2:$X$1387))</f>
        <v>12</v>
      </c>
      <c r="AA34">
        <f t="shared" si="5"/>
        <v>18</v>
      </c>
      <c r="AB34">
        <f t="shared" si="6"/>
        <v>0.66666666666666663</v>
      </c>
    </row>
    <row r="35" spans="1:28" x14ac:dyDescent="0.25">
      <c r="A35" t="s">
        <v>38</v>
      </c>
      <c r="B35" t="s">
        <v>39</v>
      </c>
      <c r="C35">
        <v>2013</v>
      </c>
      <c r="D35">
        <v>0</v>
      </c>
      <c r="E35">
        <v>0.78899982545794733</v>
      </c>
      <c r="F35">
        <v>1.2283874084044602E-4</v>
      </c>
      <c r="G35">
        <v>1.791759469228055</v>
      </c>
      <c r="H35">
        <v>0.83333333333333337</v>
      </c>
      <c r="I35">
        <v>1</v>
      </c>
      <c r="J35">
        <v>0</v>
      </c>
      <c r="K35">
        <v>1</v>
      </c>
      <c r="L35">
        <v>4</v>
      </c>
      <c r="M35">
        <v>1</v>
      </c>
      <c r="N35">
        <v>1</v>
      </c>
      <c r="O35">
        <v>5</v>
      </c>
      <c r="P35">
        <v>3</v>
      </c>
      <c r="Q35">
        <f t="shared" si="0"/>
        <v>5</v>
      </c>
      <c r="R35">
        <f t="shared" si="1"/>
        <v>20</v>
      </c>
      <c r="S35">
        <f t="array" ref="S35">MAX(IF($C$2:$C$1387=C35,$R$2:$R$1387))</f>
        <v>29</v>
      </c>
      <c r="T35" cm="1">
        <f t="array" ref="T35">MIN(IF($C$2:$C$1387=C35,$R$2:$R$1387))</f>
        <v>10</v>
      </c>
      <c r="U35">
        <f t="shared" si="2"/>
        <v>19</v>
      </c>
      <c r="V35">
        <f t="shared" si="3"/>
        <v>0.52631578947368418</v>
      </c>
      <c r="W35" cm="1">
        <f t="array" ref="W35">_xlfn.IFS(N35=1,5,N35=2,4,N35=4,2,N35=5,1,N35=3,3)</f>
        <v>5</v>
      </c>
      <c r="X35">
        <f t="shared" si="4"/>
        <v>24</v>
      </c>
      <c r="Y35" cm="1">
        <f t="array" ref="Y35">MAX(IF($C$2:$C$1387=C35,$X$2:$X$1387))</f>
        <v>32</v>
      </c>
      <c r="Z35" cm="1">
        <f t="array" ref="Z35">MIN(IF($C$2:$C$1387=C35,$X$2:$X$1387))</f>
        <v>10</v>
      </c>
      <c r="AA35">
        <f t="shared" si="5"/>
        <v>22</v>
      </c>
      <c r="AB35">
        <f t="shared" si="6"/>
        <v>0.63636363636363635</v>
      </c>
    </row>
    <row r="36" spans="1:28" x14ac:dyDescent="0.25">
      <c r="A36" t="s">
        <v>38</v>
      </c>
      <c r="B36" t="s">
        <v>39</v>
      </c>
      <c r="C36">
        <v>2014</v>
      </c>
      <c r="D36">
        <v>0</v>
      </c>
      <c r="E36">
        <v>0.74734696658288879</v>
      </c>
      <c r="F36">
        <v>4.0946246946815336E-5</v>
      </c>
      <c r="G36">
        <v>1.791759469228055</v>
      </c>
      <c r="H36">
        <v>0.83333333333333337</v>
      </c>
      <c r="I36">
        <v>1</v>
      </c>
      <c r="J36">
        <v>0</v>
      </c>
      <c r="K36">
        <v>1</v>
      </c>
      <c r="L36">
        <v>4</v>
      </c>
      <c r="M36">
        <v>1</v>
      </c>
      <c r="N36">
        <v>1</v>
      </c>
      <c r="O36">
        <v>5</v>
      </c>
      <c r="P36">
        <v>3</v>
      </c>
      <c r="Q36">
        <f t="shared" si="0"/>
        <v>5</v>
      </c>
      <c r="R36">
        <f t="shared" si="1"/>
        <v>20</v>
      </c>
      <c r="S36">
        <f t="array" ref="S36">MAX(IF($C$2:$C$1387=C36,$R$2:$R$1387))</f>
        <v>29</v>
      </c>
      <c r="T36" cm="1">
        <f t="array" ref="T36">MIN(IF($C$2:$C$1387=C36,$R$2:$R$1387))</f>
        <v>11</v>
      </c>
      <c r="U36">
        <f t="shared" si="2"/>
        <v>18</v>
      </c>
      <c r="V36">
        <f t="shared" si="3"/>
        <v>0.5</v>
      </c>
      <c r="W36" cm="1">
        <f t="array" ref="W36">_xlfn.IFS(N36=1,5,N36=2,4,N36=4,2,N36=5,1,N36=3,3)</f>
        <v>5</v>
      </c>
      <c r="X36">
        <f t="shared" si="4"/>
        <v>24</v>
      </c>
      <c r="Y36" cm="1">
        <f t="array" ref="Y36">MAX(IF($C$2:$C$1387=C36,$X$2:$X$1387))</f>
        <v>30</v>
      </c>
      <c r="Z36" cm="1">
        <f t="array" ref="Z36">MIN(IF($C$2:$C$1387=C36,$X$2:$X$1387))</f>
        <v>14</v>
      </c>
      <c r="AA36">
        <f t="shared" si="5"/>
        <v>16</v>
      </c>
      <c r="AB36">
        <f t="shared" si="6"/>
        <v>0.625</v>
      </c>
    </row>
    <row r="37" spans="1:28" x14ac:dyDescent="0.25">
      <c r="A37" t="s">
        <v>38</v>
      </c>
      <c r="B37" t="s">
        <v>39</v>
      </c>
      <c r="C37">
        <v>2015</v>
      </c>
      <c r="D37">
        <v>0.50419999766351919</v>
      </c>
      <c r="E37">
        <v>0.74734696658288879</v>
      </c>
      <c r="F37">
        <v>4.0946246946815336E-5</v>
      </c>
      <c r="G37">
        <v>2.0794415416798357</v>
      </c>
      <c r="H37">
        <v>0.25</v>
      </c>
      <c r="I37">
        <v>0.66666666666666663</v>
      </c>
      <c r="J37">
        <v>1</v>
      </c>
      <c r="K37">
        <v>4</v>
      </c>
      <c r="L37">
        <v>4</v>
      </c>
      <c r="M37">
        <v>1</v>
      </c>
      <c r="N37">
        <v>3</v>
      </c>
      <c r="O37">
        <v>1</v>
      </c>
      <c r="P37">
        <v>1</v>
      </c>
      <c r="Q37">
        <f t="shared" si="0"/>
        <v>1</v>
      </c>
      <c r="R37">
        <f t="shared" si="1"/>
        <v>15</v>
      </c>
      <c r="S37">
        <f t="array" ref="S37">MAX(IF($C$2:$C$1387=C37,$R$2:$R$1387))</f>
        <v>29</v>
      </c>
      <c r="T37" cm="1">
        <f t="array" ref="T37">MIN(IF($C$2:$C$1387=C37,$R$2:$R$1387))</f>
        <v>11</v>
      </c>
      <c r="U37">
        <f t="shared" si="2"/>
        <v>18</v>
      </c>
      <c r="V37">
        <f t="shared" si="3"/>
        <v>0.22222222222222221</v>
      </c>
      <c r="W37" cm="1">
        <f t="array" ref="W37">_xlfn.IFS(N37=1,5,N37=2,4,N37=4,2,N37=5,1,N37=3,3)</f>
        <v>3</v>
      </c>
      <c r="X37">
        <f t="shared" si="4"/>
        <v>15</v>
      </c>
      <c r="Y37" cm="1">
        <f t="array" ref="Y37">MAX(IF($C$2:$C$1387=C37,$X$2:$X$1387))</f>
        <v>29</v>
      </c>
      <c r="Z37" cm="1">
        <f t="array" ref="Z37">MIN(IF($C$2:$C$1387=C37,$X$2:$X$1387))</f>
        <v>12</v>
      </c>
      <c r="AA37">
        <f t="shared" si="5"/>
        <v>17</v>
      </c>
      <c r="AB37">
        <f t="shared" si="6"/>
        <v>0.17647058823529413</v>
      </c>
    </row>
    <row r="38" spans="1:28" x14ac:dyDescent="0.25">
      <c r="A38" t="s">
        <v>40</v>
      </c>
      <c r="B38" t="s">
        <v>41</v>
      </c>
      <c r="C38">
        <v>2010</v>
      </c>
      <c r="D38">
        <v>0.6920722619047619</v>
      </c>
      <c r="E38">
        <v>0.80029707142857143</v>
      </c>
      <c r="F38">
        <v>8.2799999999999999E-2</v>
      </c>
      <c r="G38">
        <v>1.9459101490553132</v>
      </c>
      <c r="H38">
        <v>0</v>
      </c>
      <c r="I38">
        <v>1</v>
      </c>
      <c r="J38">
        <v>0</v>
      </c>
      <c r="K38">
        <v>5</v>
      </c>
      <c r="L38">
        <v>4</v>
      </c>
      <c r="M38">
        <v>3</v>
      </c>
      <c r="N38">
        <v>1</v>
      </c>
      <c r="O38">
        <v>1</v>
      </c>
      <c r="P38">
        <v>3</v>
      </c>
      <c r="Q38">
        <f t="shared" si="0"/>
        <v>5</v>
      </c>
      <c r="R38">
        <f t="shared" si="1"/>
        <v>22</v>
      </c>
      <c r="S38">
        <f t="array" ref="S38">MAX(IF($C$2:$C$1387=C38,$R$2:$R$1387))</f>
        <v>29</v>
      </c>
      <c r="T38" cm="1">
        <f t="array" ref="T38">MIN(IF($C$2:$C$1387=C38,$R$2:$R$1387))</f>
        <v>9</v>
      </c>
      <c r="U38">
        <f t="shared" si="2"/>
        <v>20</v>
      </c>
      <c r="V38">
        <f t="shared" si="3"/>
        <v>0.65</v>
      </c>
      <c r="W38" cm="1">
        <f t="array" ref="W38">_xlfn.IFS(N38=1,5,N38=2,4,N38=4,2,N38=5,1,N38=3,3)</f>
        <v>5</v>
      </c>
      <c r="X38">
        <f t="shared" si="4"/>
        <v>26</v>
      </c>
      <c r="Y38" cm="1">
        <f t="array" ref="Y38">MAX(IF($C$2:$C$1387=C38,$X$2:$X$1387))</f>
        <v>29</v>
      </c>
      <c r="Z38" cm="1">
        <f t="array" ref="Z38">MIN(IF($C$2:$C$1387=C38,$X$2:$X$1387))</f>
        <v>12</v>
      </c>
      <c r="AA38">
        <f t="shared" si="5"/>
        <v>17</v>
      </c>
      <c r="AB38">
        <f t="shared" si="6"/>
        <v>0.82352941176470584</v>
      </c>
    </row>
    <row r="39" spans="1:28" x14ac:dyDescent="0.25">
      <c r="A39" t="s">
        <v>40</v>
      </c>
      <c r="B39" t="s">
        <v>41</v>
      </c>
      <c r="C39">
        <v>2011</v>
      </c>
      <c r="D39">
        <v>0.72010724999999998</v>
      </c>
      <c r="E39">
        <v>0.86120666666666668</v>
      </c>
      <c r="F39">
        <v>6.0005892857142855E-2</v>
      </c>
      <c r="G39">
        <v>1.791759469228055</v>
      </c>
      <c r="H39">
        <v>0.66666666666666663</v>
      </c>
      <c r="I39">
        <v>1</v>
      </c>
      <c r="J39">
        <v>1</v>
      </c>
      <c r="K39">
        <v>5</v>
      </c>
      <c r="L39">
        <v>5</v>
      </c>
      <c r="M39">
        <v>3</v>
      </c>
      <c r="N39">
        <v>1</v>
      </c>
      <c r="O39">
        <v>3</v>
      </c>
      <c r="P39">
        <v>3</v>
      </c>
      <c r="Q39">
        <f t="shared" si="0"/>
        <v>1</v>
      </c>
      <c r="R39">
        <f t="shared" si="1"/>
        <v>21</v>
      </c>
      <c r="S39">
        <f t="array" ref="S39">MAX(IF($C$2:$C$1387=C39,$R$2:$R$1387))</f>
        <v>28</v>
      </c>
      <c r="T39" cm="1">
        <f t="array" ref="T39">MIN(IF($C$2:$C$1387=C39,$R$2:$R$1387))</f>
        <v>10</v>
      </c>
      <c r="U39">
        <f t="shared" si="2"/>
        <v>18</v>
      </c>
      <c r="V39">
        <f t="shared" si="3"/>
        <v>0.61111111111111116</v>
      </c>
      <c r="W39" cm="1">
        <f t="array" ref="W39">_xlfn.IFS(N39=1,5,N39=2,4,N39=4,2,N39=5,1,N39=3,3)</f>
        <v>5</v>
      </c>
      <c r="X39">
        <f t="shared" si="4"/>
        <v>25</v>
      </c>
      <c r="Y39" cm="1">
        <f t="array" ref="Y39">MAX(IF($C$2:$C$1387=C39,$X$2:$X$1387))</f>
        <v>29</v>
      </c>
      <c r="Z39" cm="1">
        <f t="array" ref="Z39">MIN(IF($C$2:$C$1387=C39,$X$2:$X$1387))</f>
        <v>12</v>
      </c>
      <c r="AA39">
        <f t="shared" si="5"/>
        <v>17</v>
      </c>
      <c r="AB39">
        <f t="shared" si="6"/>
        <v>0.76470588235294112</v>
      </c>
    </row>
    <row r="40" spans="1:28" x14ac:dyDescent="0.25">
      <c r="A40" t="s">
        <v>40</v>
      </c>
      <c r="B40" t="s">
        <v>41</v>
      </c>
      <c r="C40">
        <v>2012</v>
      </c>
      <c r="D40">
        <v>0.72530529761904761</v>
      </c>
      <c r="E40">
        <v>0.87753278571428572</v>
      </c>
      <c r="F40">
        <v>5.6494452380952381E-2</v>
      </c>
      <c r="G40">
        <v>2.0794415416798357</v>
      </c>
      <c r="H40">
        <v>0</v>
      </c>
      <c r="I40">
        <v>1</v>
      </c>
      <c r="J40">
        <v>1</v>
      </c>
      <c r="K40">
        <v>5</v>
      </c>
      <c r="L40">
        <v>5</v>
      </c>
      <c r="M40">
        <v>3</v>
      </c>
      <c r="N40">
        <v>3</v>
      </c>
      <c r="O40">
        <v>1</v>
      </c>
      <c r="P40">
        <v>3</v>
      </c>
      <c r="Q40">
        <f t="shared" si="0"/>
        <v>1</v>
      </c>
      <c r="R40">
        <f t="shared" si="1"/>
        <v>21</v>
      </c>
      <c r="S40">
        <f t="array" ref="S40">MAX(IF($C$2:$C$1387=C40,$R$2:$R$1387))</f>
        <v>29</v>
      </c>
      <c r="T40" cm="1">
        <f t="array" ref="T40">MIN(IF($C$2:$C$1387=C40,$R$2:$R$1387))</f>
        <v>11</v>
      </c>
      <c r="U40">
        <f t="shared" si="2"/>
        <v>18</v>
      </c>
      <c r="V40">
        <f t="shared" si="3"/>
        <v>0.55555555555555558</v>
      </c>
      <c r="W40" cm="1">
        <f t="array" ref="W40">_xlfn.IFS(N40=1,5,N40=2,4,N40=4,2,N40=5,1,N40=3,3)</f>
        <v>3</v>
      </c>
      <c r="X40">
        <f t="shared" si="4"/>
        <v>21</v>
      </c>
      <c r="Y40" cm="1">
        <f t="array" ref="Y40">MAX(IF($C$2:$C$1387=C40,$X$2:$X$1387))</f>
        <v>30</v>
      </c>
      <c r="Z40" cm="1">
        <f t="array" ref="Z40">MIN(IF($C$2:$C$1387=C40,$X$2:$X$1387))</f>
        <v>12</v>
      </c>
      <c r="AA40">
        <f t="shared" si="5"/>
        <v>18</v>
      </c>
      <c r="AB40">
        <f t="shared" si="6"/>
        <v>0.5</v>
      </c>
    </row>
    <row r="41" spans="1:28" x14ac:dyDescent="0.25">
      <c r="A41" t="s">
        <v>40</v>
      </c>
      <c r="B41" t="s">
        <v>41</v>
      </c>
      <c r="C41">
        <v>2013</v>
      </c>
      <c r="D41">
        <v>0.74316244047619051</v>
      </c>
      <c r="E41">
        <v>0.91452563095238093</v>
      </c>
      <c r="F41">
        <v>2.2119047619047618E-2</v>
      </c>
      <c r="G41">
        <v>1.791759469228055</v>
      </c>
      <c r="H41">
        <v>1</v>
      </c>
      <c r="I41">
        <v>1</v>
      </c>
      <c r="J41">
        <v>1</v>
      </c>
      <c r="K41">
        <v>5</v>
      </c>
      <c r="L41">
        <v>5</v>
      </c>
      <c r="M41">
        <v>2</v>
      </c>
      <c r="N41">
        <v>1</v>
      </c>
      <c r="O41">
        <v>5</v>
      </c>
      <c r="P41">
        <v>3</v>
      </c>
      <c r="Q41">
        <f t="shared" si="0"/>
        <v>1</v>
      </c>
      <c r="R41">
        <f t="shared" si="1"/>
        <v>22</v>
      </c>
      <c r="S41">
        <f t="array" ref="S41">MAX(IF($C$2:$C$1387=C41,$R$2:$R$1387))</f>
        <v>29</v>
      </c>
      <c r="T41" cm="1">
        <f t="array" ref="T41">MIN(IF($C$2:$C$1387=C41,$R$2:$R$1387))</f>
        <v>10</v>
      </c>
      <c r="U41">
        <f t="shared" si="2"/>
        <v>19</v>
      </c>
      <c r="V41">
        <f t="shared" si="3"/>
        <v>0.63157894736842102</v>
      </c>
      <c r="W41" cm="1">
        <f t="array" ref="W41">_xlfn.IFS(N41=1,5,N41=2,4,N41=4,2,N41=5,1,N41=3,3)</f>
        <v>5</v>
      </c>
      <c r="X41">
        <f t="shared" si="4"/>
        <v>26</v>
      </c>
      <c r="Y41" cm="1">
        <f t="array" ref="Y41">MAX(IF($C$2:$C$1387=C41,$X$2:$X$1387))</f>
        <v>32</v>
      </c>
      <c r="Z41" cm="1">
        <f t="array" ref="Z41">MIN(IF($C$2:$C$1387=C41,$X$2:$X$1387))</f>
        <v>10</v>
      </c>
      <c r="AA41">
        <f t="shared" si="5"/>
        <v>22</v>
      </c>
      <c r="AB41">
        <f t="shared" si="6"/>
        <v>0.72727272727272729</v>
      </c>
    </row>
    <row r="42" spans="1:28" x14ac:dyDescent="0.25">
      <c r="A42" t="s">
        <v>40</v>
      </c>
      <c r="B42" t="s">
        <v>41</v>
      </c>
      <c r="C42">
        <v>2014</v>
      </c>
      <c r="D42">
        <v>0.81150846428571433</v>
      </c>
      <c r="E42">
        <v>0.95688515476190472</v>
      </c>
      <c r="F42">
        <v>2.1821428571428571E-2</v>
      </c>
      <c r="G42">
        <v>1.791759469228055</v>
      </c>
      <c r="H42">
        <v>1</v>
      </c>
      <c r="I42">
        <v>1</v>
      </c>
      <c r="J42">
        <v>0</v>
      </c>
      <c r="K42">
        <v>5</v>
      </c>
      <c r="L42">
        <v>5</v>
      </c>
      <c r="M42">
        <v>2</v>
      </c>
      <c r="N42">
        <v>1</v>
      </c>
      <c r="O42">
        <v>5</v>
      </c>
      <c r="P42">
        <v>3</v>
      </c>
      <c r="Q42">
        <f t="shared" si="0"/>
        <v>5</v>
      </c>
      <c r="R42">
        <f t="shared" si="1"/>
        <v>26</v>
      </c>
      <c r="S42">
        <f t="array" ref="S42">MAX(IF($C$2:$C$1387=C42,$R$2:$R$1387))</f>
        <v>29</v>
      </c>
      <c r="T42" cm="1">
        <f t="array" ref="T42">MIN(IF($C$2:$C$1387=C42,$R$2:$R$1387))</f>
        <v>11</v>
      </c>
      <c r="U42">
        <f t="shared" si="2"/>
        <v>18</v>
      </c>
      <c r="V42">
        <f t="shared" si="3"/>
        <v>0.83333333333333337</v>
      </c>
      <c r="W42" cm="1">
        <f t="array" ref="W42">_xlfn.IFS(N42=1,5,N42=2,4,N42=4,2,N42=5,1,N42=3,3)</f>
        <v>5</v>
      </c>
      <c r="X42">
        <f t="shared" si="4"/>
        <v>30</v>
      </c>
      <c r="Y42" cm="1">
        <f t="array" ref="Y42">MAX(IF($C$2:$C$1387=C42,$X$2:$X$1387))</f>
        <v>30</v>
      </c>
      <c r="Z42" cm="1">
        <f t="array" ref="Z42">MIN(IF($C$2:$C$1387=C42,$X$2:$X$1387))</f>
        <v>14</v>
      </c>
      <c r="AA42">
        <f t="shared" si="5"/>
        <v>16</v>
      </c>
      <c r="AB42">
        <f t="shared" si="6"/>
        <v>1</v>
      </c>
    </row>
    <row r="43" spans="1:28" x14ac:dyDescent="0.25">
      <c r="A43" t="s">
        <v>40</v>
      </c>
      <c r="B43" t="s">
        <v>41</v>
      </c>
      <c r="C43">
        <v>2015</v>
      </c>
      <c r="D43">
        <v>0.81150846428571433</v>
      </c>
      <c r="E43">
        <v>0.97106372619047621</v>
      </c>
      <c r="F43">
        <v>2.2480952380952379E-2</v>
      </c>
      <c r="G43">
        <v>1.9459101490553132</v>
      </c>
      <c r="H43">
        <v>0.8571428571428571</v>
      </c>
      <c r="I43">
        <v>1</v>
      </c>
      <c r="J43">
        <v>0</v>
      </c>
      <c r="K43">
        <v>5</v>
      </c>
      <c r="L43">
        <v>5</v>
      </c>
      <c r="M43">
        <v>2</v>
      </c>
      <c r="N43">
        <v>1</v>
      </c>
      <c r="O43">
        <v>4</v>
      </c>
      <c r="P43">
        <v>2</v>
      </c>
      <c r="Q43">
        <f t="shared" si="0"/>
        <v>5</v>
      </c>
      <c r="R43">
        <f t="shared" si="1"/>
        <v>24</v>
      </c>
      <c r="S43">
        <f t="array" ref="S43">MAX(IF($C$2:$C$1387=C43,$R$2:$R$1387))</f>
        <v>29</v>
      </c>
      <c r="T43" cm="1">
        <f t="array" ref="T43">MIN(IF($C$2:$C$1387=C43,$R$2:$R$1387))</f>
        <v>11</v>
      </c>
      <c r="U43">
        <f t="shared" si="2"/>
        <v>18</v>
      </c>
      <c r="V43">
        <f t="shared" si="3"/>
        <v>0.72222222222222221</v>
      </c>
      <c r="W43" cm="1">
        <f t="array" ref="W43">_xlfn.IFS(N43=1,5,N43=2,4,N43=4,2,N43=5,1,N43=3,3)</f>
        <v>5</v>
      </c>
      <c r="X43">
        <f t="shared" si="4"/>
        <v>28</v>
      </c>
      <c r="Y43" cm="1">
        <f t="array" ref="Y43">MAX(IF($C$2:$C$1387=C43,$X$2:$X$1387))</f>
        <v>29</v>
      </c>
      <c r="Z43" cm="1">
        <f t="array" ref="Z43">MIN(IF($C$2:$C$1387=C43,$X$2:$X$1387))</f>
        <v>12</v>
      </c>
      <c r="AA43">
        <f t="shared" si="5"/>
        <v>17</v>
      </c>
      <c r="AB43">
        <f t="shared" si="6"/>
        <v>0.94117647058823528</v>
      </c>
    </row>
    <row r="44" spans="1:28" x14ac:dyDescent="0.25">
      <c r="A44" t="s">
        <v>42</v>
      </c>
      <c r="B44" s="1" t="s">
        <v>43</v>
      </c>
      <c r="C44">
        <v>2010</v>
      </c>
      <c r="D44">
        <v>0</v>
      </c>
      <c r="E44">
        <v>0.80105125634247865</v>
      </c>
      <c r="F44">
        <v>1.3474918725123811E-2</v>
      </c>
      <c r="G44">
        <v>1.9459101490553132</v>
      </c>
      <c r="H44">
        <v>0.42857142857142855</v>
      </c>
      <c r="I44" s="1">
        <v>0.66666666666666663</v>
      </c>
      <c r="J44">
        <v>0</v>
      </c>
      <c r="K44">
        <v>1</v>
      </c>
      <c r="L44">
        <v>4</v>
      </c>
      <c r="M44">
        <v>2</v>
      </c>
      <c r="N44">
        <v>1</v>
      </c>
      <c r="O44">
        <v>2</v>
      </c>
      <c r="P44">
        <v>1</v>
      </c>
      <c r="Q44">
        <f t="shared" si="0"/>
        <v>5</v>
      </c>
      <c r="R44">
        <f t="shared" si="1"/>
        <v>16</v>
      </c>
      <c r="S44">
        <f t="array" ref="S44">MAX(IF($C$2:$C$1387=C44,$R$2:$R$1387))</f>
        <v>29</v>
      </c>
      <c r="T44" cm="1">
        <f t="array" ref="T44">MIN(IF($C$2:$C$1387=C44,$R$2:$R$1387))</f>
        <v>9</v>
      </c>
      <c r="U44">
        <f t="shared" si="2"/>
        <v>20</v>
      </c>
      <c r="V44">
        <f t="shared" si="3"/>
        <v>0.35</v>
      </c>
      <c r="W44" cm="1">
        <f t="array" ref="W44">_xlfn.IFS(N44=1,5,N44=2,4,N44=4,2,N44=5,1,N44=3,3)</f>
        <v>5</v>
      </c>
      <c r="X44">
        <f t="shared" si="4"/>
        <v>20</v>
      </c>
      <c r="Y44" cm="1">
        <f t="array" ref="Y44">MAX(IF($C$2:$C$1387=C44,$X$2:$X$1387))</f>
        <v>29</v>
      </c>
      <c r="Z44" cm="1">
        <f t="array" ref="Z44">MIN(IF($C$2:$C$1387=C44,$X$2:$X$1387))</f>
        <v>12</v>
      </c>
      <c r="AA44">
        <f t="shared" si="5"/>
        <v>17</v>
      </c>
      <c r="AB44">
        <f t="shared" si="6"/>
        <v>0.47058823529411764</v>
      </c>
    </row>
    <row r="45" spans="1:28" x14ac:dyDescent="0.25">
      <c r="A45" t="s">
        <v>42</v>
      </c>
      <c r="B45" t="s">
        <v>43</v>
      </c>
      <c r="C45">
        <v>2011</v>
      </c>
      <c r="D45">
        <v>0</v>
      </c>
      <c r="E45">
        <v>0.80105125634247865</v>
      </c>
      <c r="F45">
        <v>1.3474918725123811E-2</v>
      </c>
      <c r="G45">
        <v>1.9459101490553132</v>
      </c>
      <c r="H45">
        <v>0.42857142857142855</v>
      </c>
      <c r="I45">
        <v>0.66666666666666663</v>
      </c>
      <c r="J45">
        <v>0</v>
      </c>
      <c r="K45">
        <v>1</v>
      </c>
      <c r="L45">
        <v>4</v>
      </c>
      <c r="M45">
        <v>2</v>
      </c>
      <c r="N45">
        <v>1</v>
      </c>
      <c r="O45">
        <v>2</v>
      </c>
      <c r="P45">
        <v>1</v>
      </c>
      <c r="Q45">
        <f t="shared" si="0"/>
        <v>5</v>
      </c>
      <c r="R45">
        <f t="shared" si="1"/>
        <v>16</v>
      </c>
      <c r="S45">
        <f t="array" ref="S45">MAX(IF($C$2:$C$1387=C45,$R$2:$R$1387))</f>
        <v>28</v>
      </c>
      <c r="T45" cm="1">
        <f t="array" ref="T45">MIN(IF($C$2:$C$1387=C45,$R$2:$R$1387))</f>
        <v>10</v>
      </c>
      <c r="U45">
        <f t="shared" si="2"/>
        <v>18</v>
      </c>
      <c r="V45">
        <f t="shared" si="3"/>
        <v>0.33333333333333331</v>
      </c>
      <c r="W45" cm="1">
        <f t="array" ref="W45">_xlfn.IFS(N45=1,5,N45=2,4,N45=4,2,N45=5,1,N45=3,3)</f>
        <v>5</v>
      </c>
      <c r="X45">
        <f t="shared" si="4"/>
        <v>20</v>
      </c>
      <c r="Y45" cm="1">
        <f t="array" ref="Y45">MAX(IF($C$2:$C$1387=C45,$X$2:$X$1387))</f>
        <v>29</v>
      </c>
      <c r="Z45" cm="1">
        <f t="array" ref="Z45">MIN(IF($C$2:$C$1387=C45,$X$2:$X$1387))</f>
        <v>12</v>
      </c>
      <c r="AA45">
        <f t="shared" si="5"/>
        <v>17</v>
      </c>
      <c r="AB45">
        <f t="shared" si="6"/>
        <v>0.47058823529411764</v>
      </c>
    </row>
    <row r="46" spans="1:28" x14ac:dyDescent="0.25">
      <c r="A46" t="s">
        <v>42</v>
      </c>
      <c r="B46" t="s">
        <v>43</v>
      </c>
      <c r="C46">
        <v>2012</v>
      </c>
      <c r="D46">
        <v>0.73894190745298205</v>
      </c>
      <c r="E46">
        <v>0.80105125634247865</v>
      </c>
      <c r="F46">
        <v>1.3474918725123811E-2</v>
      </c>
      <c r="G46">
        <v>2.0794415416798357</v>
      </c>
      <c r="H46">
        <v>0.375</v>
      </c>
      <c r="I46">
        <v>0.66666666666666663</v>
      </c>
      <c r="J46">
        <v>1</v>
      </c>
      <c r="K46">
        <v>5</v>
      </c>
      <c r="L46">
        <v>4</v>
      </c>
      <c r="M46">
        <v>2</v>
      </c>
      <c r="N46">
        <v>3</v>
      </c>
      <c r="O46">
        <v>1</v>
      </c>
      <c r="P46">
        <v>1</v>
      </c>
      <c r="Q46">
        <f t="shared" si="0"/>
        <v>1</v>
      </c>
      <c r="R46">
        <f t="shared" si="1"/>
        <v>17</v>
      </c>
      <c r="S46">
        <f t="array" ref="S46">MAX(IF($C$2:$C$1387=C46,$R$2:$R$1387))</f>
        <v>29</v>
      </c>
      <c r="T46" cm="1">
        <f t="array" ref="T46">MIN(IF($C$2:$C$1387=C46,$R$2:$R$1387))</f>
        <v>11</v>
      </c>
      <c r="U46">
        <f t="shared" si="2"/>
        <v>18</v>
      </c>
      <c r="V46">
        <f t="shared" si="3"/>
        <v>0.33333333333333331</v>
      </c>
      <c r="W46" cm="1">
        <f t="array" ref="W46">_xlfn.IFS(N46=1,5,N46=2,4,N46=4,2,N46=5,1,N46=3,3)</f>
        <v>3</v>
      </c>
      <c r="X46">
        <f t="shared" si="4"/>
        <v>17</v>
      </c>
      <c r="Y46" cm="1">
        <f t="array" ref="Y46">MAX(IF($C$2:$C$1387=C46,$X$2:$X$1387))</f>
        <v>30</v>
      </c>
      <c r="Z46" cm="1">
        <f t="array" ref="Z46">MIN(IF($C$2:$C$1387=C46,$X$2:$X$1387))</f>
        <v>12</v>
      </c>
      <c r="AA46">
        <f t="shared" si="5"/>
        <v>18</v>
      </c>
      <c r="AB46">
        <f t="shared" si="6"/>
        <v>0.27777777777777779</v>
      </c>
    </row>
    <row r="47" spans="1:28" x14ac:dyDescent="0.25">
      <c r="A47" t="s">
        <v>42</v>
      </c>
      <c r="B47" t="s">
        <v>43</v>
      </c>
      <c r="C47">
        <v>2013</v>
      </c>
      <c r="D47">
        <v>0</v>
      </c>
      <c r="E47">
        <v>0.86007048886458237</v>
      </c>
      <c r="F47">
        <v>8.7685716889982682E-2</v>
      </c>
      <c r="G47">
        <v>1.9459101490553132</v>
      </c>
      <c r="H47">
        <v>0.42857142857142855</v>
      </c>
      <c r="I47">
        <v>0.66666666666666663</v>
      </c>
      <c r="J47">
        <v>0</v>
      </c>
      <c r="K47">
        <v>1</v>
      </c>
      <c r="L47">
        <v>5</v>
      </c>
      <c r="M47">
        <v>4</v>
      </c>
      <c r="N47">
        <v>1</v>
      </c>
      <c r="O47">
        <v>1</v>
      </c>
      <c r="P47">
        <v>1</v>
      </c>
      <c r="Q47">
        <f t="shared" si="0"/>
        <v>5</v>
      </c>
      <c r="R47">
        <f t="shared" si="1"/>
        <v>18</v>
      </c>
      <c r="S47">
        <f t="array" ref="S47">MAX(IF($C$2:$C$1387=C47,$R$2:$R$1387))</f>
        <v>29</v>
      </c>
      <c r="T47" cm="1">
        <f t="array" ref="T47">MIN(IF($C$2:$C$1387=C47,$R$2:$R$1387))</f>
        <v>10</v>
      </c>
      <c r="U47">
        <f t="shared" si="2"/>
        <v>19</v>
      </c>
      <c r="V47">
        <f t="shared" si="3"/>
        <v>0.42105263157894735</v>
      </c>
      <c r="W47" cm="1">
        <f t="array" ref="W47">_xlfn.IFS(N47=1,5,N47=2,4,N47=4,2,N47=5,1,N47=3,3)</f>
        <v>5</v>
      </c>
      <c r="X47">
        <f t="shared" si="4"/>
        <v>22</v>
      </c>
      <c r="Y47" cm="1">
        <f t="array" ref="Y47">MAX(IF($C$2:$C$1387=C47,$X$2:$X$1387))</f>
        <v>32</v>
      </c>
      <c r="Z47" cm="1">
        <f t="array" ref="Z47">MIN(IF($C$2:$C$1387=C47,$X$2:$X$1387))</f>
        <v>10</v>
      </c>
      <c r="AA47">
        <f t="shared" si="5"/>
        <v>22</v>
      </c>
      <c r="AB47">
        <f t="shared" si="6"/>
        <v>0.54545454545454541</v>
      </c>
    </row>
    <row r="48" spans="1:28" x14ac:dyDescent="0.25">
      <c r="A48" t="s">
        <v>42</v>
      </c>
      <c r="B48" t="s">
        <v>43</v>
      </c>
      <c r="C48">
        <v>2014</v>
      </c>
      <c r="D48">
        <v>0</v>
      </c>
      <c r="E48">
        <v>0.86007048886458237</v>
      </c>
      <c r="F48">
        <v>9.0344240877464829E-2</v>
      </c>
      <c r="G48">
        <v>1.9459101490553132</v>
      </c>
      <c r="H48">
        <v>0.42857142857142855</v>
      </c>
      <c r="I48">
        <v>1</v>
      </c>
      <c r="J48">
        <v>0</v>
      </c>
      <c r="K48">
        <v>1</v>
      </c>
      <c r="L48">
        <v>5</v>
      </c>
      <c r="M48">
        <v>4</v>
      </c>
      <c r="N48">
        <v>1</v>
      </c>
      <c r="O48">
        <v>1</v>
      </c>
      <c r="P48">
        <v>3</v>
      </c>
      <c r="Q48">
        <f t="shared" si="0"/>
        <v>5</v>
      </c>
      <c r="R48">
        <f t="shared" si="1"/>
        <v>20</v>
      </c>
      <c r="S48">
        <f t="array" ref="S48">MAX(IF($C$2:$C$1387=C48,$R$2:$R$1387))</f>
        <v>29</v>
      </c>
      <c r="T48" cm="1">
        <f t="array" ref="T48">MIN(IF($C$2:$C$1387=C48,$R$2:$R$1387))</f>
        <v>11</v>
      </c>
      <c r="U48">
        <f t="shared" si="2"/>
        <v>18</v>
      </c>
      <c r="V48">
        <f t="shared" si="3"/>
        <v>0.5</v>
      </c>
      <c r="W48" cm="1">
        <f t="array" ref="W48">_xlfn.IFS(N48=1,5,N48=2,4,N48=4,2,N48=5,1,N48=3,3)</f>
        <v>5</v>
      </c>
      <c r="X48">
        <f t="shared" si="4"/>
        <v>24</v>
      </c>
      <c r="Y48" cm="1">
        <f t="array" ref="Y48">MAX(IF($C$2:$C$1387=C48,$X$2:$X$1387))</f>
        <v>30</v>
      </c>
      <c r="Z48" cm="1">
        <f t="array" ref="Z48">MIN(IF($C$2:$C$1387=C48,$X$2:$X$1387))</f>
        <v>14</v>
      </c>
      <c r="AA48">
        <f t="shared" si="5"/>
        <v>16</v>
      </c>
      <c r="AB48">
        <f t="shared" si="6"/>
        <v>0.625</v>
      </c>
    </row>
    <row r="49" spans="1:28" x14ac:dyDescent="0.25">
      <c r="A49" t="s">
        <v>42</v>
      </c>
      <c r="B49" t="s">
        <v>43</v>
      </c>
      <c r="C49">
        <v>2015</v>
      </c>
      <c r="D49">
        <v>0</v>
      </c>
      <c r="E49">
        <v>0.86007048886458237</v>
      </c>
      <c r="F49">
        <v>8.7685716889982682E-2</v>
      </c>
      <c r="G49">
        <v>2.3025850929940459</v>
      </c>
      <c r="H49">
        <v>0.7</v>
      </c>
      <c r="I49">
        <v>1</v>
      </c>
      <c r="J49">
        <v>0</v>
      </c>
      <c r="K49">
        <v>1</v>
      </c>
      <c r="L49">
        <v>5</v>
      </c>
      <c r="M49">
        <v>4</v>
      </c>
      <c r="N49">
        <v>5</v>
      </c>
      <c r="O49">
        <v>3</v>
      </c>
      <c r="P49">
        <v>2</v>
      </c>
      <c r="Q49">
        <f t="shared" si="0"/>
        <v>5</v>
      </c>
      <c r="R49">
        <f t="shared" si="1"/>
        <v>25</v>
      </c>
      <c r="S49">
        <f t="array" ref="S49">MAX(IF($C$2:$C$1387=C49,$R$2:$R$1387))</f>
        <v>29</v>
      </c>
      <c r="T49" cm="1">
        <f t="array" ref="T49">MIN(IF($C$2:$C$1387=C49,$R$2:$R$1387))</f>
        <v>11</v>
      </c>
      <c r="U49">
        <f t="shared" si="2"/>
        <v>18</v>
      </c>
      <c r="V49">
        <f t="shared" si="3"/>
        <v>0.77777777777777779</v>
      </c>
      <c r="W49" cm="1">
        <f t="array" ref="W49">_xlfn.IFS(N49=1,5,N49=2,4,N49=4,2,N49=5,1,N49=3,3)</f>
        <v>1</v>
      </c>
      <c r="X49">
        <f t="shared" si="4"/>
        <v>21</v>
      </c>
      <c r="Y49" cm="1">
        <f t="array" ref="Y49">MAX(IF($C$2:$C$1387=C49,$X$2:$X$1387))</f>
        <v>29</v>
      </c>
      <c r="Z49" cm="1">
        <f t="array" ref="Z49">MIN(IF($C$2:$C$1387=C49,$X$2:$X$1387))</f>
        <v>12</v>
      </c>
      <c r="AA49">
        <f t="shared" si="5"/>
        <v>17</v>
      </c>
      <c r="AB49">
        <f t="shared" si="6"/>
        <v>0.52941176470588236</v>
      </c>
    </row>
    <row r="50" spans="1:28" x14ac:dyDescent="0.25">
      <c r="A50" t="s">
        <v>44</v>
      </c>
      <c r="B50" t="s">
        <v>45</v>
      </c>
      <c r="C50">
        <v>2010</v>
      </c>
      <c r="D50">
        <v>1.2944983818770226E-6</v>
      </c>
      <c r="E50">
        <v>0.86379018933312945</v>
      </c>
      <c r="F50">
        <v>0.12417250465051093</v>
      </c>
      <c r="G50">
        <v>2.0794415416798357</v>
      </c>
      <c r="H50">
        <v>0</v>
      </c>
      <c r="I50">
        <v>1</v>
      </c>
      <c r="J50">
        <v>0</v>
      </c>
      <c r="K50">
        <v>1</v>
      </c>
      <c r="L50">
        <v>5</v>
      </c>
      <c r="M50">
        <v>4</v>
      </c>
      <c r="N50">
        <v>3</v>
      </c>
      <c r="O50">
        <v>1</v>
      </c>
      <c r="P50">
        <v>3</v>
      </c>
      <c r="Q50">
        <f t="shared" si="0"/>
        <v>5</v>
      </c>
      <c r="R50">
        <f t="shared" si="1"/>
        <v>22</v>
      </c>
      <c r="S50">
        <f t="array" ref="S50">MAX(IF($C$2:$C$1387=C50,$R$2:$R$1387))</f>
        <v>29</v>
      </c>
      <c r="T50" cm="1">
        <f t="array" ref="T50">MIN(IF($C$2:$C$1387=C50,$R$2:$R$1387))</f>
        <v>9</v>
      </c>
      <c r="U50">
        <f t="shared" si="2"/>
        <v>20</v>
      </c>
      <c r="V50">
        <f t="shared" si="3"/>
        <v>0.65</v>
      </c>
      <c r="W50" cm="1">
        <f t="array" ref="W50">_xlfn.IFS(N50=1,5,N50=2,4,N50=4,2,N50=5,1,N50=3,3)</f>
        <v>3</v>
      </c>
      <c r="X50">
        <f t="shared" si="4"/>
        <v>22</v>
      </c>
      <c r="Y50" cm="1">
        <f t="array" ref="Y50">MAX(IF($C$2:$C$1387=C50,$X$2:$X$1387))</f>
        <v>29</v>
      </c>
      <c r="Z50" cm="1">
        <f t="array" ref="Z50">MIN(IF($C$2:$C$1387=C50,$X$2:$X$1387))</f>
        <v>12</v>
      </c>
      <c r="AA50">
        <f t="shared" si="5"/>
        <v>17</v>
      </c>
      <c r="AB50">
        <f t="shared" si="6"/>
        <v>0.58823529411764708</v>
      </c>
    </row>
    <row r="51" spans="1:28" x14ac:dyDescent="0.25">
      <c r="A51" t="s">
        <v>44</v>
      </c>
      <c r="B51" t="s">
        <v>45</v>
      </c>
      <c r="C51">
        <v>2011</v>
      </c>
      <c r="D51">
        <v>3.0934027777777779E-4</v>
      </c>
      <c r="E51">
        <v>0.36777572916666668</v>
      </c>
      <c r="F51">
        <v>0.11864635416666666</v>
      </c>
      <c r="G51">
        <v>1.9459101490553132</v>
      </c>
      <c r="H51">
        <v>0.7142857142857143</v>
      </c>
      <c r="I51">
        <v>1</v>
      </c>
      <c r="J51">
        <v>0</v>
      </c>
      <c r="K51">
        <v>1</v>
      </c>
      <c r="L51">
        <v>1</v>
      </c>
      <c r="M51">
        <v>4</v>
      </c>
      <c r="N51">
        <v>1</v>
      </c>
      <c r="O51">
        <v>4</v>
      </c>
      <c r="P51">
        <v>3</v>
      </c>
      <c r="Q51">
        <f t="shared" si="0"/>
        <v>5</v>
      </c>
      <c r="R51">
        <f t="shared" si="1"/>
        <v>19</v>
      </c>
      <c r="S51">
        <f t="array" ref="S51">MAX(IF($C$2:$C$1387=C51,$R$2:$R$1387))</f>
        <v>28</v>
      </c>
      <c r="T51" cm="1">
        <f t="array" ref="T51">MIN(IF($C$2:$C$1387=C51,$R$2:$R$1387))</f>
        <v>10</v>
      </c>
      <c r="U51">
        <f t="shared" si="2"/>
        <v>18</v>
      </c>
      <c r="V51">
        <f t="shared" si="3"/>
        <v>0.5</v>
      </c>
      <c r="W51" cm="1">
        <f t="array" ref="W51">_xlfn.IFS(N51=1,5,N51=2,4,N51=4,2,N51=5,1,N51=3,3)</f>
        <v>5</v>
      </c>
      <c r="X51">
        <f t="shared" si="4"/>
        <v>23</v>
      </c>
      <c r="Y51" cm="1">
        <f t="array" ref="Y51">MAX(IF($C$2:$C$1387=C51,$X$2:$X$1387))</f>
        <v>29</v>
      </c>
      <c r="Z51" cm="1">
        <f t="array" ref="Z51">MIN(IF($C$2:$C$1387=C51,$X$2:$X$1387))</f>
        <v>12</v>
      </c>
      <c r="AA51">
        <f t="shared" si="5"/>
        <v>17</v>
      </c>
      <c r="AB51">
        <f t="shared" si="6"/>
        <v>0.6470588235294118</v>
      </c>
    </row>
    <row r="52" spans="1:28" x14ac:dyDescent="0.25">
      <c r="A52" t="s">
        <v>44</v>
      </c>
      <c r="B52" t="s">
        <v>45</v>
      </c>
      <c r="C52">
        <v>2012</v>
      </c>
      <c r="D52">
        <v>3.4406250000000002E-4</v>
      </c>
      <c r="E52">
        <v>0.37308753472222222</v>
      </c>
      <c r="F52">
        <v>0.14367451388888888</v>
      </c>
      <c r="G52">
        <v>1.9459101490553132</v>
      </c>
      <c r="H52">
        <v>0.7142857142857143</v>
      </c>
      <c r="I52">
        <v>1</v>
      </c>
      <c r="J52">
        <v>0</v>
      </c>
      <c r="K52">
        <v>1</v>
      </c>
      <c r="L52">
        <v>1</v>
      </c>
      <c r="M52">
        <v>4</v>
      </c>
      <c r="N52">
        <v>1</v>
      </c>
      <c r="O52">
        <v>4</v>
      </c>
      <c r="P52">
        <v>3</v>
      </c>
      <c r="Q52">
        <f t="shared" si="0"/>
        <v>5</v>
      </c>
      <c r="R52">
        <f t="shared" si="1"/>
        <v>19</v>
      </c>
      <c r="S52">
        <f t="array" ref="S52">MAX(IF($C$2:$C$1387=C52,$R$2:$R$1387))</f>
        <v>29</v>
      </c>
      <c r="T52" cm="1">
        <f t="array" ref="T52">MIN(IF($C$2:$C$1387=C52,$R$2:$R$1387))</f>
        <v>11</v>
      </c>
      <c r="U52">
        <f t="shared" si="2"/>
        <v>18</v>
      </c>
      <c r="V52">
        <f t="shared" si="3"/>
        <v>0.44444444444444442</v>
      </c>
      <c r="W52" cm="1">
        <f t="array" ref="W52">_xlfn.IFS(N52=1,5,N52=2,4,N52=4,2,N52=5,1,N52=3,3)</f>
        <v>5</v>
      </c>
      <c r="X52">
        <f t="shared" si="4"/>
        <v>23</v>
      </c>
      <c r="Y52" cm="1">
        <f t="array" ref="Y52">MAX(IF($C$2:$C$1387=C52,$X$2:$X$1387))</f>
        <v>30</v>
      </c>
      <c r="Z52" cm="1">
        <f t="array" ref="Z52">MIN(IF($C$2:$C$1387=C52,$X$2:$X$1387))</f>
        <v>12</v>
      </c>
      <c r="AA52">
        <f t="shared" si="5"/>
        <v>18</v>
      </c>
      <c r="AB52">
        <f t="shared" si="6"/>
        <v>0.61111111111111116</v>
      </c>
    </row>
    <row r="53" spans="1:28" x14ac:dyDescent="0.25">
      <c r="A53" t="s">
        <v>44</v>
      </c>
      <c r="B53" t="s">
        <v>45</v>
      </c>
      <c r="C53">
        <v>2013</v>
      </c>
      <c r="D53">
        <v>3.4406250000000002E-4</v>
      </c>
      <c r="E53">
        <v>0.37308753472222222</v>
      </c>
      <c r="F53">
        <v>0.13748552083333335</v>
      </c>
      <c r="G53">
        <v>1.6094379124341003</v>
      </c>
      <c r="H53">
        <v>0.8</v>
      </c>
      <c r="I53">
        <v>1</v>
      </c>
      <c r="J53">
        <v>0</v>
      </c>
      <c r="K53">
        <v>2</v>
      </c>
      <c r="L53">
        <v>1</v>
      </c>
      <c r="M53">
        <v>4</v>
      </c>
      <c r="N53">
        <v>1</v>
      </c>
      <c r="O53">
        <v>5</v>
      </c>
      <c r="P53">
        <v>3</v>
      </c>
      <c r="Q53">
        <f t="shared" si="0"/>
        <v>5</v>
      </c>
      <c r="R53">
        <f t="shared" si="1"/>
        <v>21</v>
      </c>
      <c r="S53">
        <f t="array" ref="S53">MAX(IF($C$2:$C$1387=C53,$R$2:$R$1387))</f>
        <v>29</v>
      </c>
      <c r="T53" cm="1">
        <f t="array" ref="T53">MIN(IF($C$2:$C$1387=C53,$R$2:$R$1387))</f>
        <v>10</v>
      </c>
      <c r="U53">
        <f t="shared" si="2"/>
        <v>19</v>
      </c>
      <c r="V53">
        <f t="shared" si="3"/>
        <v>0.57894736842105265</v>
      </c>
      <c r="W53" cm="1">
        <f t="array" ref="W53">_xlfn.IFS(N53=1,5,N53=2,4,N53=4,2,N53=5,1,N53=3,3)</f>
        <v>5</v>
      </c>
      <c r="X53">
        <f t="shared" si="4"/>
        <v>25</v>
      </c>
      <c r="Y53" cm="1">
        <f t="array" ref="Y53">MAX(IF($C$2:$C$1387=C53,$X$2:$X$1387))</f>
        <v>32</v>
      </c>
      <c r="Z53" cm="1">
        <f t="array" ref="Z53">MIN(IF($C$2:$C$1387=C53,$X$2:$X$1387))</f>
        <v>10</v>
      </c>
      <c r="AA53">
        <f t="shared" si="5"/>
        <v>22</v>
      </c>
      <c r="AB53">
        <f t="shared" si="6"/>
        <v>0.68181818181818177</v>
      </c>
    </row>
    <row r="54" spans="1:28" x14ac:dyDescent="0.25">
      <c r="A54" t="s">
        <v>44</v>
      </c>
      <c r="B54" t="s">
        <v>45</v>
      </c>
      <c r="C54">
        <v>2014</v>
      </c>
      <c r="D54">
        <v>3.4406250000000002E-4</v>
      </c>
      <c r="E54">
        <v>0.37308753472222222</v>
      </c>
      <c r="F54">
        <v>0.12494184027777777</v>
      </c>
      <c r="G54">
        <v>1.6094379124341003</v>
      </c>
      <c r="H54">
        <v>0.8</v>
      </c>
      <c r="I54">
        <v>1</v>
      </c>
      <c r="J54">
        <v>0</v>
      </c>
      <c r="K54">
        <v>1</v>
      </c>
      <c r="L54">
        <v>1</v>
      </c>
      <c r="M54">
        <v>4</v>
      </c>
      <c r="N54">
        <v>1</v>
      </c>
      <c r="O54">
        <v>5</v>
      </c>
      <c r="P54">
        <v>3</v>
      </c>
      <c r="Q54">
        <f t="shared" si="0"/>
        <v>5</v>
      </c>
      <c r="R54">
        <f t="shared" si="1"/>
        <v>20</v>
      </c>
      <c r="S54">
        <f t="array" ref="S54">MAX(IF($C$2:$C$1387=C54,$R$2:$R$1387))</f>
        <v>29</v>
      </c>
      <c r="T54" cm="1">
        <f t="array" ref="T54">MIN(IF($C$2:$C$1387=C54,$R$2:$R$1387))</f>
        <v>11</v>
      </c>
      <c r="U54">
        <f t="shared" si="2"/>
        <v>18</v>
      </c>
      <c r="V54">
        <f t="shared" si="3"/>
        <v>0.5</v>
      </c>
      <c r="W54" cm="1">
        <f t="array" ref="W54">_xlfn.IFS(N54=1,5,N54=2,4,N54=4,2,N54=5,1,N54=3,3)</f>
        <v>5</v>
      </c>
      <c r="X54">
        <f t="shared" si="4"/>
        <v>24</v>
      </c>
      <c r="Y54" cm="1">
        <f t="array" ref="Y54">MAX(IF($C$2:$C$1387=C54,$X$2:$X$1387))</f>
        <v>30</v>
      </c>
      <c r="Z54" cm="1">
        <f t="array" ref="Z54">MIN(IF($C$2:$C$1387=C54,$X$2:$X$1387))</f>
        <v>14</v>
      </c>
      <c r="AA54">
        <f t="shared" si="5"/>
        <v>16</v>
      </c>
      <c r="AB54">
        <f t="shared" si="6"/>
        <v>0.625</v>
      </c>
    </row>
    <row r="55" spans="1:28" x14ac:dyDescent="0.25">
      <c r="A55" t="s">
        <v>44</v>
      </c>
      <c r="B55" t="s">
        <v>45</v>
      </c>
      <c r="C55">
        <v>2015</v>
      </c>
      <c r="D55">
        <v>0</v>
      </c>
      <c r="E55">
        <v>0.37308753472222222</v>
      </c>
      <c r="F55">
        <v>0.12494184027777777</v>
      </c>
      <c r="G55">
        <v>1.9459101490553132</v>
      </c>
      <c r="H55">
        <v>0.7142857142857143</v>
      </c>
      <c r="I55">
        <v>1</v>
      </c>
      <c r="J55">
        <v>0</v>
      </c>
      <c r="K55">
        <v>1</v>
      </c>
      <c r="L55">
        <v>1</v>
      </c>
      <c r="M55">
        <v>4</v>
      </c>
      <c r="N55">
        <v>1</v>
      </c>
      <c r="O55">
        <v>3</v>
      </c>
      <c r="P55">
        <v>2</v>
      </c>
      <c r="Q55">
        <f t="shared" si="0"/>
        <v>5</v>
      </c>
      <c r="R55">
        <f t="shared" si="1"/>
        <v>17</v>
      </c>
      <c r="S55">
        <f t="array" ref="S55">MAX(IF($C$2:$C$1387=C55,$R$2:$R$1387))</f>
        <v>29</v>
      </c>
      <c r="T55" cm="1">
        <f t="array" ref="T55">MIN(IF($C$2:$C$1387=C55,$R$2:$R$1387))</f>
        <v>11</v>
      </c>
      <c r="U55">
        <f t="shared" si="2"/>
        <v>18</v>
      </c>
      <c r="V55">
        <f t="shared" si="3"/>
        <v>0.33333333333333331</v>
      </c>
      <c r="W55" cm="1">
        <f t="array" ref="W55">_xlfn.IFS(N55=1,5,N55=2,4,N55=4,2,N55=5,1,N55=3,3)</f>
        <v>5</v>
      </c>
      <c r="X55">
        <f t="shared" si="4"/>
        <v>21</v>
      </c>
      <c r="Y55" cm="1">
        <f t="array" ref="Y55">MAX(IF($C$2:$C$1387=C55,$X$2:$X$1387))</f>
        <v>29</v>
      </c>
      <c r="Z55" cm="1">
        <f t="array" ref="Z55">MIN(IF($C$2:$C$1387=C55,$X$2:$X$1387))</f>
        <v>12</v>
      </c>
      <c r="AA55">
        <f t="shared" si="5"/>
        <v>17</v>
      </c>
      <c r="AB55">
        <f t="shared" si="6"/>
        <v>0.52941176470588236</v>
      </c>
    </row>
    <row r="56" spans="1:28" x14ac:dyDescent="0.25">
      <c r="A56" t="s">
        <v>46</v>
      </c>
      <c r="B56" t="s">
        <v>47</v>
      </c>
      <c r="C56">
        <v>2010</v>
      </c>
      <c r="D56">
        <v>1.2944983818770226E-6</v>
      </c>
      <c r="E56">
        <v>0.73128248095201687</v>
      </c>
      <c r="F56">
        <v>0.14439250057335065</v>
      </c>
      <c r="G56">
        <v>2.0794415416798357</v>
      </c>
      <c r="H56">
        <v>0.375</v>
      </c>
      <c r="I56">
        <v>1</v>
      </c>
      <c r="J56">
        <v>0</v>
      </c>
      <c r="K56">
        <v>1</v>
      </c>
      <c r="L56">
        <v>4</v>
      </c>
      <c r="M56">
        <v>4</v>
      </c>
      <c r="N56">
        <v>3</v>
      </c>
      <c r="O56">
        <v>2</v>
      </c>
      <c r="P56">
        <v>3</v>
      </c>
      <c r="Q56">
        <f t="shared" si="0"/>
        <v>5</v>
      </c>
      <c r="R56">
        <f t="shared" si="1"/>
        <v>22</v>
      </c>
      <c r="S56">
        <f t="array" ref="S56">MAX(IF($C$2:$C$1387=C56,$R$2:$R$1387))</f>
        <v>29</v>
      </c>
      <c r="T56" cm="1">
        <f t="array" ref="T56">MIN(IF($C$2:$C$1387=C56,$R$2:$R$1387))</f>
        <v>9</v>
      </c>
      <c r="U56">
        <f t="shared" si="2"/>
        <v>20</v>
      </c>
      <c r="V56">
        <f t="shared" si="3"/>
        <v>0.65</v>
      </c>
      <c r="W56" cm="1">
        <f t="array" ref="W56">_xlfn.IFS(N56=1,5,N56=2,4,N56=4,2,N56=5,1,N56=3,3)</f>
        <v>3</v>
      </c>
      <c r="X56">
        <f t="shared" si="4"/>
        <v>22</v>
      </c>
      <c r="Y56" cm="1">
        <f t="array" ref="Y56">MAX(IF($C$2:$C$1387=C56,$X$2:$X$1387))</f>
        <v>29</v>
      </c>
      <c r="Z56" cm="1">
        <f t="array" ref="Z56">MIN(IF($C$2:$C$1387=C56,$X$2:$X$1387))</f>
        <v>12</v>
      </c>
      <c r="AA56">
        <f t="shared" si="5"/>
        <v>17</v>
      </c>
      <c r="AB56">
        <f t="shared" si="6"/>
        <v>0.58823529411764708</v>
      </c>
    </row>
    <row r="57" spans="1:28" x14ac:dyDescent="0.25">
      <c r="A57" t="s">
        <v>46</v>
      </c>
      <c r="B57" t="s">
        <v>47</v>
      </c>
      <c r="C57">
        <v>2011</v>
      </c>
      <c r="D57">
        <v>7.1465153020920926E-3</v>
      </c>
      <c r="E57">
        <v>0.83160101929006447</v>
      </c>
      <c r="F57">
        <v>0.19576207986137656</v>
      </c>
      <c r="G57">
        <v>2.0794415416798357</v>
      </c>
      <c r="H57">
        <v>0.375</v>
      </c>
      <c r="I57">
        <v>0.75</v>
      </c>
      <c r="J57">
        <v>0</v>
      </c>
      <c r="K57">
        <v>2</v>
      </c>
      <c r="L57">
        <v>4</v>
      </c>
      <c r="M57">
        <v>5</v>
      </c>
      <c r="N57">
        <v>3</v>
      </c>
      <c r="O57">
        <v>1</v>
      </c>
      <c r="P57">
        <v>3</v>
      </c>
      <c r="Q57">
        <f t="shared" si="0"/>
        <v>5</v>
      </c>
      <c r="R57">
        <f t="shared" si="1"/>
        <v>23</v>
      </c>
      <c r="S57">
        <f t="array" ref="S57">MAX(IF($C$2:$C$1387=C57,$R$2:$R$1387))</f>
        <v>28</v>
      </c>
      <c r="T57" cm="1">
        <f t="array" ref="T57">MIN(IF($C$2:$C$1387=C57,$R$2:$R$1387))</f>
        <v>10</v>
      </c>
      <c r="U57">
        <f t="shared" si="2"/>
        <v>18</v>
      </c>
      <c r="V57">
        <f t="shared" si="3"/>
        <v>0.72222222222222221</v>
      </c>
      <c r="W57" cm="1">
        <f t="array" ref="W57">_xlfn.IFS(N57=1,5,N57=2,4,N57=4,2,N57=5,1,N57=3,3)</f>
        <v>3</v>
      </c>
      <c r="X57">
        <f t="shared" si="4"/>
        <v>23</v>
      </c>
      <c r="Y57" cm="1">
        <f t="array" ref="Y57">MAX(IF($C$2:$C$1387=C57,$X$2:$X$1387))</f>
        <v>29</v>
      </c>
      <c r="Z57" cm="1">
        <f t="array" ref="Z57">MIN(IF($C$2:$C$1387=C57,$X$2:$X$1387))</f>
        <v>12</v>
      </c>
      <c r="AA57">
        <f t="shared" si="5"/>
        <v>17</v>
      </c>
      <c r="AB57">
        <f t="shared" si="6"/>
        <v>0.6470588235294118</v>
      </c>
    </row>
    <row r="58" spans="1:28" x14ac:dyDescent="0.25">
      <c r="A58" t="s">
        <v>46</v>
      </c>
      <c r="B58" t="s">
        <v>47</v>
      </c>
      <c r="C58">
        <v>2012</v>
      </c>
      <c r="D58">
        <v>3.262876691384451E-2</v>
      </c>
      <c r="E58">
        <v>0.83176463573121318</v>
      </c>
      <c r="F58">
        <v>0.17546803506357822</v>
      </c>
      <c r="G58">
        <v>1.9459101490553132</v>
      </c>
      <c r="H58">
        <v>0.5714285714285714</v>
      </c>
      <c r="I58">
        <v>0.66666666666666663</v>
      </c>
      <c r="J58">
        <v>0</v>
      </c>
      <c r="K58">
        <v>2</v>
      </c>
      <c r="L58">
        <v>4</v>
      </c>
      <c r="M58">
        <v>5</v>
      </c>
      <c r="N58">
        <v>1</v>
      </c>
      <c r="O58">
        <v>2</v>
      </c>
      <c r="P58">
        <v>1</v>
      </c>
      <c r="Q58">
        <f t="shared" si="0"/>
        <v>5</v>
      </c>
      <c r="R58">
        <f t="shared" si="1"/>
        <v>20</v>
      </c>
      <c r="S58">
        <f t="array" ref="S58">MAX(IF($C$2:$C$1387=C58,$R$2:$R$1387))</f>
        <v>29</v>
      </c>
      <c r="T58" cm="1">
        <f t="array" ref="T58">MIN(IF($C$2:$C$1387=C58,$R$2:$R$1387))</f>
        <v>11</v>
      </c>
      <c r="U58">
        <f t="shared" si="2"/>
        <v>18</v>
      </c>
      <c r="V58">
        <f t="shared" si="3"/>
        <v>0.5</v>
      </c>
      <c r="W58" cm="1">
        <f t="array" ref="W58">_xlfn.IFS(N58=1,5,N58=2,4,N58=4,2,N58=5,1,N58=3,3)</f>
        <v>5</v>
      </c>
      <c r="X58">
        <f t="shared" si="4"/>
        <v>24</v>
      </c>
      <c r="Y58" cm="1">
        <f t="array" ref="Y58">MAX(IF($C$2:$C$1387=C58,$X$2:$X$1387))</f>
        <v>30</v>
      </c>
      <c r="Z58" cm="1">
        <f t="array" ref="Z58">MIN(IF($C$2:$C$1387=C58,$X$2:$X$1387))</f>
        <v>12</v>
      </c>
      <c r="AA58">
        <f t="shared" si="5"/>
        <v>18</v>
      </c>
      <c r="AB58">
        <f t="shared" si="6"/>
        <v>0.66666666666666663</v>
      </c>
    </row>
    <row r="59" spans="1:28" x14ac:dyDescent="0.25">
      <c r="A59" t="s">
        <v>46</v>
      </c>
      <c r="B59" t="s">
        <v>47</v>
      </c>
      <c r="C59">
        <v>2013</v>
      </c>
      <c r="D59">
        <v>3.8529164436969654E-6</v>
      </c>
      <c r="E59">
        <v>0.59134001987615625</v>
      </c>
      <c r="F59">
        <v>0.96238642815279163</v>
      </c>
      <c r="G59">
        <v>2.1972245773362196</v>
      </c>
      <c r="H59">
        <v>0.66666666666666663</v>
      </c>
      <c r="I59">
        <v>1</v>
      </c>
      <c r="J59">
        <v>0</v>
      </c>
      <c r="K59">
        <v>1</v>
      </c>
      <c r="L59">
        <v>3</v>
      </c>
      <c r="M59">
        <v>5</v>
      </c>
      <c r="N59">
        <v>4</v>
      </c>
      <c r="O59">
        <v>4</v>
      </c>
      <c r="P59">
        <v>3</v>
      </c>
      <c r="Q59">
        <f t="shared" si="0"/>
        <v>5</v>
      </c>
      <c r="R59">
        <f t="shared" si="1"/>
        <v>25</v>
      </c>
      <c r="S59">
        <f t="array" ref="S59">MAX(IF($C$2:$C$1387=C59,$R$2:$R$1387))</f>
        <v>29</v>
      </c>
      <c r="T59" cm="1">
        <f t="array" ref="T59">MIN(IF($C$2:$C$1387=C59,$R$2:$R$1387))</f>
        <v>10</v>
      </c>
      <c r="U59">
        <f t="shared" si="2"/>
        <v>19</v>
      </c>
      <c r="V59">
        <f t="shared" si="3"/>
        <v>0.78947368421052633</v>
      </c>
      <c r="W59" cm="1">
        <f t="array" ref="W59">_xlfn.IFS(N59=1,5,N59=2,4,N59=4,2,N59=5,1,N59=3,3)</f>
        <v>2</v>
      </c>
      <c r="X59">
        <f t="shared" si="4"/>
        <v>23</v>
      </c>
      <c r="Y59" cm="1">
        <f t="array" ref="Y59">MAX(IF($C$2:$C$1387=C59,$X$2:$X$1387))</f>
        <v>32</v>
      </c>
      <c r="Z59" cm="1">
        <f t="array" ref="Z59">MIN(IF($C$2:$C$1387=C59,$X$2:$X$1387))</f>
        <v>10</v>
      </c>
      <c r="AA59">
        <f t="shared" si="5"/>
        <v>22</v>
      </c>
      <c r="AB59">
        <f t="shared" si="6"/>
        <v>0.59090909090909094</v>
      </c>
    </row>
    <row r="60" spans="1:28" x14ac:dyDescent="0.25">
      <c r="A60" t="s">
        <v>46</v>
      </c>
      <c r="B60" t="s">
        <v>47</v>
      </c>
      <c r="C60">
        <v>2014</v>
      </c>
      <c r="D60">
        <v>3.8809469204698927E-6</v>
      </c>
      <c r="E60">
        <v>0.6376038248859669</v>
      </c>
      <c r="F60">
        <v>0.9588182580332798</v>
      </c>
      <c r="G60">
        <v>1.9459101490553132</v>
      </c>
      <c r="H60">
        <v>0.5714285714285714</v>
      </c>
      <c r="I60">
        <v>1</v>
      </c>
      <c r="J60">
        <v>0</v>
      </c>
      <c r="K60">
        <v>1</v>
      </c>
      <c r="L60">
        <v>3</v>
      </c>
      <c r="M60">
        <v>5</v>
      </c>
      <c r="N60">
        <v>1</v>
      </c>
      <c r="O60">
        <v>2</v>
      </c>
      <c r="P60">
        <v>3</v>
      </c>
      <c r="Q60">
        <f t="shared" si="0"/>
        <v>5</v>
      </c>
      <c r="R60">
        <f t="shared" si="1"/>
        <v>20</v>
      </c>
      <c r="S60">
        <f t="array" ref="S60">MAX(IF($C$2:$C$1387=C60,$R$2:$R$1387))</f>
        <v>29</v>
      </c>
      <c r="T60" cm="1">
        <f t="array" ref="T60">MIN(IF($C$2:$C$1387=C60,$R$2:$R$1387))</f>
        <v>11</v>
      </c>
      <c r="U60">
        <f t="shared" si="2"/>
        <v>18</v>
      </c>
      <c r="V60">
        <f t="shared" si="3"/>
        <v>0.5</v>
      </c>
      <c r="W60" cm="1">
        <f t="array" ref="W60">_xlfn.IFS(N60=1,5,N60=2,4,N60=4,2,N60=5,1,N60=3,3)</f>
        <v>5</v>
      </c>
      <c r="X60">
        <f t="shared" si="4"/>
        <v>24</v>
      </c>
      <c r="Y60" cm="1">
        <f t="array" ref="Y60">MAX(IF($C$2:$C$1387=C60,$X$2:$X$1387))</f>
        <v>30</v>
      </c>
      <c r="Z60" cm="1">
        <f t="array" ref="Z60">MIN(IF($C$2:$C$1387=C60,$X$2:$X$1387))</f>
        <v>14</v>
      </c>
      <c r="AA60">
        <f t="shared" si="5"/>
        <v>16</v>
      </c>
      <c r="AB60">
        <f t="shared" si="6"/>
        <v>0.625</v>
      </c>
    </row>
    <row r="61" spans="1:28" x14ac:dyDescent="0.25">
      <c r="A61" t="s">
        <v>46</v>
      </c>
      <c r="B61" t="s">
        <v>47</v>
      </c>
      <c r="C61">
        <v>2015</v>
      </c>
      <c r="D61">
        <v>5.101546772672833E-6</v>
      </c>
      <c r="E61">
        <v>0.6376038248859669</v>
      </c>
      <c r="F61">
        <v>0.95611281502433554</v>
      </c>
      <c r="G61">
        <v>2.1972245773362196</v>
      </c>
      <c r="H61">
        <v>0.77777777777777779</v>
      </c>
      <c r="I61">
        <v>1</v>
      </c>
      <c r="J61">
        <v>0</v>
      </c>
      <c r="K61">
        <v>1</v>
      </c>
      <c r="L61">
        <v>3</v>
      </c>
      <c r="M61">
        <v>5</v>
      </c>
      <c r="N61">
        <v>4</v>
      </c>
      <c r="O61">
        <v>4</v>
      </c>
      <c r="P61">
        <v>2</v>
      </c>
      <c r="Q61">
        <f t="shared" si="0"/>
        <v>5</v>
      </c>
      <c r="R61">
        <f t="shared" si="1"/>
        <v>24</v>
      </c>
      <c r="S61">
        <f t="array" ref="S61">MAX(IF($C$2:$C$1387=C61,$R$2:$R$1387))</f>
        <v>29</v>
      </c>
      <c r="T61" cm="1">
        <f t="array" ref="T61">MIN(IF($C$2:$C$1387=C61,$R$2:$R$1387))</f>
        <v>11</v>
      </c>
      <c r="U61">
        <f t="shared" si="2"/>
        <v>18</v>
      </c>
      <c r="V61">
        <f t="shared" si="3"/>
        <v>0.72222222222222221</v>
      </c>
      <c r="W61" cm="1">
        <f t="array" ref="W61">_xlfn.IFS(N61=1,5,N61=2,4,N61=4,2,N61=5,1,N61=3,3)</f>
        <v>2</v>
      </c>
      <c r="X61">
        <f t="shared" si="4"/>
        <v>22</v>
      </c>
      <c r="Y61" cm="1">
        <f t="array" ref="Y61">MAX(IF($C$2:$C$1387=C61,$X$2:$X$1387))</f>
        <v>29</v>
      </c>
      <c r="Z61" cm="1">
        <f t="array" ref="Z61">MIN(IF($C$2:$C$1387=C61,$X$2:$X$1387))</f>
        <v>12</v>
      </c>
      <c r="AA61">
        <f t="shared" si="5"/>
        <v>17</v>
      </c>
      <c r="AB61">
        <f t="shared" si="6"/>
        <v>0.58823529411764708</v>
      </c>
    </row>
    <row r="62" spans="1:28" x14ac:dyDescent="0.25">
      <c r="A62" t="s">
        <v>48</v>
      </c>
      <c r="B62" t="s">
        <v>49</v>
      </c>
      <c r="C62">
        <v>2010</v>
      </c>
      <c r="D62">
        <v>0.4090316185562603</v>
      </c>
      <c r="E62">
        <v>0.86191784039253072</v>
      </c>
      <c r="F62">
        <v>3.60904393094844E-4</v>
      </c>
      <c r="G62">
        <v>1.9459101490553132</v>
      </c>
      <c r="H62">
        <v>0.8571428571428571</v>
      </c>
      <c r="I62">
        <v>1</v>
      </c>
      <c r="J62">
        <v>0</v>
      </c>
      <c r="K62">
        <v>4</v>
      </c>
      <c r="L62">
        <v>5</v>
      </c>
      <c r="M62">
        <v>2</v>
      </c>
      <c r="N62">
        <v>1</v>
      </c>
      <c r="O62">
        <v>5</v>
      </c>
      <c r="P62">
        <v>3</v>
      </c>
      <c r="Q62">
        <f t="shared" si="0"/>
        <v>5</v>
      </c>
      <c r="R62">
        <f t="shared" si="1"/>
        <v>25</v>
      </c>
      <c r="S62">
        <f t="array" ref="S62">MAX(IF($C$2:$C$1387=C62,$R$2:$R$1387))</f>
        <v>29</v>
      </c>
      <c r="T62" cm="1">
        <f t="array" ref="T62">MIN(IF($C$2:$C$1387=C62,$R$2:$R$1387))</f>
        <v>9</v>
      </c>
      <c r="U62">
        <f t="shared" si="2"/>
        <v>20</v>
      </c>
      <c r="V62">
        <f t="shared" si="3"/>
        <v>0.8</v>
      </c>
      <c r="W62" cm="1">
        <f t="array" ref="W62">_xlfn.IFS(N62=1,5,N62=2,4,N62=4,2,N62=5,1,N62=3,3)</f>
        <v>5</v>
      </c>
      <c r="X62">
        <f t="shared" si="4"/>
        <v>29</v>
      </c>
      <c r="Y62" cm="1">
        <f t="array" ref="Y62">MAX(IF($C$2:$C$1387=C62,$X$2:$X$1387))</f>
        <v>29</v>
      </c>
      <c r="Z62" cm="1">
        <f t="array" ref="Z62">MIN(IF($C$2:$C$1387=C62,$X$2:$X$1387))</f>
        <v>12</v>
      </c>
      <c r="AA62">
        <f t="shared" si="5"/>
        <v>17</v>
      </c>
      <c r="AB62">
        <f t="shared" si="6"/>
        <v>1</v>
      </c>
    </row>
    <row r="63" spans="1:28" x14ac:dyDescent="0.25">
      <c r="A63" t="s">
        <v>48</v>
      </c>
      <c r="B63" t="s">
        <v>49</v>
      </c>
      <c r="C63">
        <v>2011</v>
      </c>
      <c r="D63">
        <v>0.42387797600374449</v>
      </c>
      <c r="E63">
        <v>0.38253936217644224</v>
      </c>
      <c r="F63">
        <v>7.9918113569394413E-3</v>
      </c>
      <c r="G63">
        <v>1.9459101490553132</v>
      </c>
      <c r="H63">
        <v>0.42857142857142855</v>
      </c>
      <c r="I63">
        <v>0.66666666666666663</v>
      </c>
      <c r="J63">
        <v>0</v>
      </c>
      <c r="K63">
        <v>4</v>
      </c>
      <c r="L63">
        <v>1</v>
      </c>
      <c r="M63">
        <v>2</v>
      </c>
      <c r="N63">
        <v>1</v>
      </c>
      <c r="O63">
        <v>2</v>
      </c>
      <c r="P63">
        <v>1</v>
      </c>
      <c r="Q63">
        <f t="shared" si="0"/>
        <v>5</v>
      </c>
      <c r="R63">
        <f t="shared" si="1"/>
        <v>16</v>
      </c>
      <c r="S63">
        <f t="array" ref="S63">MAX(IF($C$2:$C$1387=C63,$R$2:$R$1387))</f>
        <v>28</v>
      </c>
      <c r="T63" cm="1">
        <f t="array" ref="T63">MIN(IF($C$2:$C$1387=C63,$R$2:$R$1387))</f>
        <v>10</v>
      </c>
      <c r="U63">
        <f t="shared" si="2"/>
        <v>18</v>
      </c>
      <c r="V63">
        <f t="shared" si="3"/>
        <v>0.33333333333333331</v>
      </c>
      <c r="W63" cm="1">
        <f t="array" ref="W63">_xlfn.IFS(N63=1,5,N63=2,4,N63=4,2,N63=5,1,N63=3,3)</f>
        <v>5</v>
      </c>
      <c r="X63">
        <f t="shared" si="4"/>
        <v>20</v>
      </c>
      <c r="Y63" cm="1">
        <f t="array" ref="Y63">MAX(IF($C$2:$C$1387=C63,$X$2:$X$1387))</f>
        <v>29</v>
      </c>
      <c r="Z63" cm="1">
        <f t="array" ref="Z63">MIN(IF($C$2:$C$1387=C63,$X$2:$X$1387))</f>
        <v>12</v>
      </c>
      <c r="AA63">
        <f t="shared" si="5"/>
        <v>17</v>
      </c>
      <c r="AB63">
        <f t="shared" si="6"/>
        <v>0.47058823529411764</v>
      </c>
    </row>
    <row r="64" spans="1:28" x14ac:dyDescent="0.25">
      <c r="A64" t="s">
        <v>48</v>
      </c>
      <c r="B64" t="s">
        <v>49</v>
      </c>
      <c r="C64">
        <v>2012</v>
      </c>
      <c r="D64">
        <v>0.42387797600374449</v>
      </c>
      <c r="E64">
        <v>0.38253936217644224</v>
      </c>
      <c r="F64">
        <v>7.9918113569394413E-3</v>
      </c>
      <c r="G64">
        <v>1.9459101490553132</v>
      </c>
      <c r="H64">
        <v>0.42857142857142855</v>
      </c>
      <c r="I64">
        <v>0.66666666666666663</v>
      </c>
      <c r="J64">
        <v>0</v>
      </c>
      <c r="K64">
        <v>4</v>
      </c>
      <c r="L64">
        <v>1</v>
      </c>
      <c r="M64">
        <v>2</v>
      </c>
      <c r="N64">
        <v>1</v>
      </c>
      <c r="O64">
        <v>2</v>
      </c>
      <c r="P64">
        <v>1</v>
      </c>
      <c r="Q64">
        <f t="shared" si="0"/>
        <v>5</v>
      </c>
      <c r="R64">
        <f t="shared" si="1"/>
        <v>16</v>
      </c>
      <c r="S64">
        <f t="array" ref="S64">MAX(IF($C$2:$C$1387=C64,$R$2:$R$1387))</f>
        <v>29</v>
      </c>
      <c r="T64" cm="1">
        <f t="array" ref="T64">MIN(IF($C$2:$C$1387=C64,$R$2:$R$1387))</f>
        <v>11</v>
      </c>
      <c r="U64">
        <f t="shared" si="2"/>
        <v>18</v>
      </c>
      <c r="V64">
        <f t="shared" si="3"/>
        <v>0.27777777777777779</v>
      </c>
      <c r="W64" cm="1">
        <f t="array" ref="W64">_xlfn.IFS(N64=1,5,N64=2,4,N64=4,2,N64=5,1,N64=3,3)</f>
        <v>5</v>
      </c>
      <c r="X64">
        <f t="shared" si="4"/>
        <v>20</v>
      </c>
      <c r="Y64" cm="1">
        <f t="array" ref="Y64">MAX(IF($C$2:$C$1387=C64,$X$2:$X$1387))</f>
        <v>30</v>
      </c>
      <c r="Z64" cm="1">
        <f t="array" ref="Z64">MIN(IF($C$2:$C$1387=C64,$X$2:$X$1387))</f>
        <v>12</v>
      </c>
      <c r="AA64">
        <f t="shared" si="5"/>
        <v>18</v>
      </c>
      <c r="AB64">
        <f t="shared" si="6"/>
        <v>0.44444444444444442</v>
      </c>
    </row>
    <row r="65" spans="1:28" x14ac:dyDescent="0.25">
      <c r="A65" t="s">
        <v>48</v>
      </c>
      <c r="B65" t="s">
        <v>49</v>
      </c>
      <c r="C65">
        <v>2013</v>
      </c>
      <c r="D65">
        <v>0.49283778291434183</v>
      </c>
      <c r="E65">
        <v>0.37911944602841374</v>
      </c>
      <c r="F65">
        <v>6.9720343514353716E-2</v>
      </c>
      <c r="G65">
        <v>1.6094379124341003</v>
      </c>
      <c r="H65">
        <v>0.8</v>
      </c>
      <c r="I65">
        <v>0.66666666666666663</v>
      </c>
      <c r="J65">
        <v>0</v>
      </c>
      <c r="K65">
        <v>4</v>
      </c>
      <c r="L65">
        <v>1</v>
      </c>
      <c r="M65">
        <v>4</v>
      </c>
      <c r="N65">
        <v>1</v>
      </c>
      <c r="O65">
        <v>5</v>
      </c>
      <c r="P65">
        <v>1</v>
      </c>
      <c r="Q65">
        <f t="shared" si="0"/>
        <v>5</v>
      </c>
      <c r="R65">
        <f t="shared" si="1"/>
        <v>21</v>
      </c>
      <c r="S65">
        <f t="array" ref="S65">MAX(IF($C$2:$C$1387=C65,$R$2:$R$1387))</f>
        <v>29</v>
      </c>
      <c r="T65" cm="1">
        <f t="array" ref="T65">MIN(IF($C$2:$C$1387=C65,$R$2:$R$1387))</f>
        <v>10</v>
      </c>
      <c r="U65">
        <f t="shared" si="2"/>
        <v>19</v>
      </c>
      <c r="V65">
        <f t="shared" si="3"/>
        <v>0.57894736842105265</v>
      </c>
      <c r="W65" cm="1">
        <f t="array" ref="W65">_xlfn.IFS(N65=1,5,N65=2,4,N65=4,2,N65=5,1,N65=3,3)</f>
        <v>5</v>
      </c>
      <c r="X65">
        <f t="shared" si="4"/>
        <v>25</v>
      </c>
      <c r="Y65" cm="1">
        <f t="array" ref="Y65">MAX(IF($C$2:$C$1387=C65,$X$2:$X$1387))</f>
        <v>32</v>
      </c>
      <c r="Z65" cm="1">
        <f t="array" ref="Z65">MIN(IF($C$2:$C$1387=C65,$X$2:$X$1387))</f>
        <v>10</v>
      </c>
      <c r="AA65">
        <f t="shared" si="5"/>
        <v>22</v>
      </c>
      <c r="AB65">
        <f t="shared" si="6"/>
        <v>0.68181818181818177</v>
      </c>
    </row>
    <row r="66" spans="1:28" x14ac:dyDescent="0.25">
      <c r="A66" t="s">
        <v>48</v>
      </c>
      <c r="B66" t="s">
        <v>49</v>
      </c>
      <c r="C66">
        <v>2014</v>
      </c>
      <c r="D66">
        <v>0.49283778291434183</v>
      </c>
      <c r="E66">
        <v>0.37911944602841374</v>
      </c>
      <c r="F66">
        <v>6.9516779555710034E-2</v>
      </c>
      <c r="G66">
        <v>1.6094379124341003</v>
      </c>
      <c r="H66">
        <v>0.8</v>
      </c>
      <c r="I66">
        <v>1</v>
      </c>
      <c r="J66">
        <v>0</v>
      </c>
      <c r="K66">
        <v>4</v>
      </c>
      <c r="L66">
        <v>1</v>
      </c>
      <c r="M66">
        <v>3</v>
      </c>
      <c r="N66">
        <v>1</v>
      </c>
      <c r="O66">
        <v>5</v>
      </c>
      <c r="P66">
        <v>3</v>
      </c>
      <c r="Q66">
        <f t="shared" si="0"/>
        <v>5</v>
      </c>
      <c r="R66">
        <f t="shared" si="1"/>
        <v>22</v>
      </c>
      <c r="S66">
        <f t="array" ref="S66">MAX(IF($C$2:$C$1387=C66,$R$2:$R$1387))</f>
        <v>29</v>
      </c>
      <c r="T66" cm="1">
        <f t="array" ref="T66">MIN(IF($C$2:$C$1387=C66,$R$2:$R$1387))</f>
        <v>11</v>
      </c>
      <c r="U66">
        <f t="shared" si="2"/>
        <v>18</v>
      </c>
      <c r="V66">
        <f t="shared" si="3"/>
        <v>0.61111111111111116</v>
      </c>
      <c r="W66" cm="1">
        <f t="array" ref="W66">_xlfn.IFS(N66=1,5,N66=2,4,N66=4,2,N66=5,1,N66=3,3)</f>
        <v>5</v>
      </c>
      <c r="X66">
        <f t="shared" si="4"/>
        <v>26</v>
      </c>
      <c r="Y66" cm="1">
        <f t="array" ref="Y66">MAX(IF($C$2:$C$1387=C66,$X$2:$X$1387))</f>
        <v>30</v>
      </c>
      <c r="Z66" cm="1">
        <f t="array" ref="Z66">MIN(IF($C$2:$C$1387=C66,$X$2:$X$1387))</f>
        <v>14</v>
      </c>
      <c r="AA66">
        <f t="shared" si="5"/>
        <v>16</v>
      </c>
      <c r="AB66">
        <f t="shared" si="6"/>
        <v>0.75</v>
      </c>
    </row>
    <row r="67" spans="1:28" x14ac:dyDescent="0.25">
      <c r="A67" t="s">
        <v>48</v>
      </c>
      <c r="B67" t="s">
        <v>49</v>
      </c>
      <c r="C67">
        <v>2015</v>
      </c>
      <c r="D67">
        <v>0.49283778291434183</v>
      </c>
      <c r="E67">
        <v>0.41314766375481599</v>
      </c>
      <c r="F67">
        <v>6.9720343514353716E-2</v>
      </c>
      <c r="G67">
        <v>1.9459101490553132</v>
      </c>
      <c r="H67">
        <v>0.5714285714285714</v>
      </c>
      <c r="I67">
        <v>0.66666666666666663</v>
      </c>
      <c r="J67">
        <v>0</v>
      </c>
      <c r="K67">
        <v>4</v>
      </c>
      <c r="L67">
        <v>1</v>
      </c>
      <c r="M67">
        <v>3</v>
      </c>
      <c r="N67">
        <v>1</v>
      </c>
      <c r="O67">
        <v>1</v>
      </c>
      <c r="P67">
        <v>1</v>
      </c>
      <c r="Q67">
        <f t="shared" ref="Q67:Q130" si="7">IF(J67=0,5,1)</f>
        <v>5</v>
      </c>
      <c r="R67">
        <f t="shared" ref="R67:R130" si="8">SUM(K67:Q67)</f>
        <v>16</v>
      </c>
      <c r="S67">
        <f t="array" ref="S67">MAX(IF($C$2:$C$1387=C67,$R$2:$R$1387))</f>
        <v>29</v>
      </c>
      <c r="T67" cm="1">
        <f t="array" ref="T67">MIN(IF($C$2:$C$1387=C67,$R$2:$R$1387))</f>
        <v>11</v>
      </c>
      <c r="U67">
        <f t="shared" ref="U67:U130" si="9">S67-T67</f>
        <v>18</v>
      </c>
      <c r="V67">
        <f t="shared" ref="V67:V130" si="10">(R67-T67)/U67</f>
        <v>0.27777777777777779</v>
      </c>
      <c r="W67" cm="1">
        <f t="array" ref="W67">_xlfn.IFS(N67=1,5,N67=2,4,N67=4,2,N67=5,1,N67=3,3)</f>
        <v>5</v>
      </c>
      <c r="X67">
        <f t="shared" ref="X67:X130" si="11">SUM(K67:M67,O67:Q67,W67)</f>
        <v>20</v>
      </c>
      <c r="Y67" cm="1">
        <f t="array" ref="Y67">MAX(IF($C$2:$C$1387=C67,$X$2:$X$1387))</f>
        <v>29</v>
      </c>
      <c r="Z67" cm="1">
        <f t="array" ref="Z67">MIN(IF($C$2:$C$1387=C67,$X$2:$X$1387))</f>
        <v>12</v>
      </c>
      <c r="AA67">
        <f t="shared" ref="AA67:AA130" si="12">Y67-Z67</f>
        <v>17</v>
      </c>
      <c r="AB67">
        <f t="shared" ref="AB67:AB130" si="13">(X67-Z67)/AA67</f>
        <v>0.47058823529411764</v>
      </c>
    </row>
    <row r="68" spans="1:28" x14ac:dyDescent="0.25">
      <c r="A68" t="s">
        <v>50</v>
      </c>
      <c r="B68" t="s">
        <v>51</v>
      </c>
      <c r="C68">
        <v>2010</v>
      </c>
      <c r="D68">
        <v>0.15611360578197861</v>
      </c>
      <c r="E68">
        <v>0.33768362432561499</v>
      </c>
      <c r="F68">
        <v>3.3594428336244438E-2</v>
      </c>
      <c r="G68">
        <v>2.3025850929940459</v>
      </c>
      <c r="H68">
        <v>0.5</v>
      </c>
      <c r="I68">
        <v>0.66666666666666663</v>
      </c>
      <c r="J68">
        <v>1</v>
      </c>
      <c r="K68">
        <v>3</v>
      </c>
      <c r="L68">
        <v>1</v>
      </c>
      <c r="M68">
        <v>3</v>
      </c>
      <c r="N68">
        <v>5</v>
      </c>
      <c r="O68">
        <v>2</v>
      </c>
      <c r="P68">
        <v>1</v>
      </c>
      <c r="Q68">
        <f t="shared" si="7"/>
        <v>1</v>
      </c>
      <c r="R68">
        <f t="shared" si="8"/>
        <v>16</v>
      </c>
      <c r="S68">
        <f t="array" ref="S68">MAX(IF($C$2:$C$1387=C68,$R$2:$R$1387))</f>
        <v>29</v>
      </c>
      <c r="T68" cm="1">
        <f t="array" ref="T68">MIN(IF($C$2:$C$1387=C68,$R$2:$R$1387))</f>
        <v>9</v>
      </c>
      <c r="U68">
        <f t="shared" si="9"/>
        <v>20</v>
      </c>
      <c r="V68">
        <f t="shared" si="10"/>
        <v>0.35</v>
      </c>
      <c r="W68" cm="1">
        <f t="array" ref="W68">_xlfn.IFS(N68=1,5,N68=2,4,N68=4,2,N68=5,1,N68=3,3)</f>
        <v>1</v>
      </c>
      <c r="X68">
        <f t="shared" si="11"/>
        <v>12</v>
      </c>
      <c r="Y68" cm="1">
        <f t="array" ref="Y68">MAX(IF($C$2:$C$1387=C68,$X$2:$X$1387))</f>
        <v>29</v>
      </c>
      <c r="Z68" cm="1">
        <f t="array" ref="Z68">MIN(IF($C$2:$C$1387=C68,$X$2:$X$1387))</f>
        <v>12</v>
      </c>
      <c r="AA68">
        <f t="shared" si="12"/>
        <v>17</v>
      </c>
      <c r="AB68">
        <f t="shared" si="13"/>
        <v>0</v>
      </c>
    </row>
    <row r="69" spans="1:28" x14ac:dyDescent="0.25">
      <c r="A69" t="s">
        <v>50</v>
      </c>
      <c r="B69" t="s">
        <v>51</v>
      </c>
      <c r="C69">
        <v>2011</v>
      </c>
      <c r="D69">
        <v>0.15611360578197861</v>
      </c>
      <c r="E69">
        <v>0.33768362432561499</v>
      </c>
      <c r="F69">
        <v>3.3594428336244438E-2</v>
      </c>
      <c r="G69">
        <v>2.3025850929940459</v>
      </c>
      <c r="H69">
        <v>0.5</v>
      </c>
      <c r="I69">
        <v>0.66666666666666663</v>
      </c>
      <c r="J69">
        <v>1</v>
      </c>
      <c r="K69">
        <v>3</v>
      </c>
      <c r="L69">
        <v>1</v>
      </c>
      <c r="M69">
        <v>3</v>
      </c>
      <c r="N69">
        <v>5</v>
      </c>
      <c r="O69">
        <v>2</v>
      </c>
      <c r="P69">
        <v>1</v>
      </c>
      <c r="Q69">
        <f t="shared" si="7"/>
        <v>1</v>
      </c>
      <c r="R69">
        <f t="shared" si="8"/>
        <v>16</v>
      </c>
      <c r="S69">
        <f t="array" ref="S69">MAX(IF($C$2:$C$1387=C69,$R$2:$R$1387))</f>
        <v>28</v>
      </c>
      <c r="T69" cm="1">
        <f t="array" ref="T69">MIN(IF($C$2:$C$1387=C69,$R$2:$R$1387))</f>
        <v>10</v>
      </c>
      <c r="U69">
        <f t="shared" si="9"/>
        <v>18</v>
      </c>
      <c r="V69">
        <f t="shared" si="10"/>
        <v>0.33333333333333331</v>
      </c>
      <c r="W69" cm="1">
        <f t="array" ref="W69">_xlfn.IFS(N69=1,5,N69=2,4,N69=4,2,N69=5,1,N69=3,3)</f>
        <v>1</v>
      </c>
      <c r="X69">
        <f t="shared" si="11"/>
        <v>12</v>
      </c>
      <c r="Y69" cm="1">
        <f t="array" ref="Y69">MAX(IF($C$2:$C$1387=C69,$X$2:$X$1387))</f>
        <v>29</v>
      </c>
      <c r="Z69" cm="1">
        <f t="array" ref="Z69">MIN(IF($C$2:$C$1387=C69,$X$2:$X$1387))</f>
        <v>12</v>
      </c>
      <c r="AA69">
        <f t="shared" si="12"/>
        <v>17</v>
      </c>
      <c r="AB69">
        <f t="shared" si="13"/>
        <v>0</v>
      </c>
    </row>
    <row r="70" spans="1:28" x14ac:dyDescent="0.25">
      <c r="A70" t="s">
        <v>50</v>
      </c>
      <c r="B70" t="s">
        <v>51</v>
      </c>
      <c r="C70">
        <v>2012</v>
      </c>
      <c r="D70">
        <v>0.15616583986043917</v>
      </c>
      <c r="E70">
        <v>0.3626952935264422</v>
      </c>
      <c r="F70">
        <v>0.22656736160607838</v>
      </c>
      <c r="G70">
        <v>2.3025850929940459</v>
      </c>
      <c r="H70">
        <v>0.5</v>
      </c>
      <c r="I70">
        <v>0.66666666666666663</v>
      </c>
      <c r="J70">
        <v>1</v>
      </c>
      <c r="K70">
        <v>3</v>
      </c>
      <c r="L70">
        <v>1</v>
      </c>
      <c r="M70">
        <v>5</v>
      </c>
      <c r="N70">
        <v>5</v>
      </c>
      <c r="O70">
        <v>2</v>
      </c>
      <c r="P70">
        <v>1</v>
      </c>
      <c r="Q70">
        <f t="shared" si="7"/>
        <v>1</v>
      </c>
      <c r="R70">
        <f t="shared" si="8"/>
        <v>18</v>
      </c>
      <c r="S70">
        <f t="array" ref="S70">MAX(IF($C$2:$C$1387=C70,$R$2:$R$1387))</f>
        <v>29</v>
      </c>
      <c r="T70" cm="1">
        <f t="array" ref="T70">MIN(IF($C$2:$C$1387=C70,$R$2:$R$1387))</f>
        <v>11</v>
      </c>
      <c r="U70">
        <f t="shared" si="9"/>
        <v>18</v>
      </c>
      <c r="V70">
        <f t="shared" si="10"/>
        <v>0.3888888888888889</v>
      </c>
      <c r="W70" cm="1">
        <f t="array" ref="W70">_xlfn.IFS(N70=1,5,N70=2,4,N70=4,2,N70=5,1,N70=3,3)</f>
        <v>1</v>
      </c>
      <c r="X70">
        <f t="shared" si="11"/>
        <v>14</v>
      </c>
      <c r="Y70" cm="1">
        <f t="array" ref="Y70">MAX(IF($C$2:$C$1387=C70,$X$2:$X$1387))</f>
        <v>30</v>
      </c>
      <c r="Z70" cm="1">
        <f t="array" ref="Z70">MIN(IF($C$2:$C$1387=C70,$X$2:$X$1387))</f>
        <v>12</v>
      </c>
      <c r="AA70">
        <f t="shared" si="12"/>
        <v>18</v>
      </c>
      <c r="AB70">
        <f t="shared" si="13"/>
        <v>0.1111111111111111</v>
      </c>
    </row>
    <row r="71" spans="1:28" x14ac:dyDescent="0.25">
      <c r="A71" t="s">
        <v>50</v>
      </c>
      <c r="B71" t="s">
        <v>51</v>
      </c>
      <c r="C71">
        <v>2013</v>
      </c>
      <c r="D71">
        <v>0.15616712936266114</v>
      </c>
      <c r="E71">
        <v>0.36269514313830353</v>
      </c>
      <c r="F71">
        <v>5.3849567080251859E-6</v>
      </c>
      <c r="G71">
        <v>2.3025850929940459</v>
      </c>
      <c r="H71">
        <v>0.5</v>
      </c>
      <c r="I71">
        <v>0.66666666666666663</v>
      </c>
      <c r="J71">
        <v>1</v>
      </c>
      <c r="K71">
        <v>3</v>
      </c>
      <c r="L71">
        <v>1</v>
      </c>
      <c r="M71">
        <v>1</v>
      </c>
      <c r="N71">
        <v>5</v>
      </c>
      <c r="O71">
        <v>2</v>
      </c>
      <c r="P71">
        <v>1</v>
      </c>
      <c r="Q71">
        <f t="shared" si="7"/>
        <v>1</v>
      </c>
      <c r="R71">
        <f t="shared" si="8"/>
        <v>14</v>
      </c>
      <c r="S71">
        <f t="array" ref="S71">MAX(IF($C$2:$C$1387=C71,$R$2:$R$1387))</f>
        <v>29</v>
      </c>
      <c r="T71" cm="1">
        <f t="array" ref="T71">MIN(IF($C$2:$C$1387=C71,$R$2:$R$1387))</f>
        <v>10</v>
      </c>
      <c r="U71">
        <f t="shared" si="9"/>
        <v>19</v>
      </c>
      <c r="V71">
        <f t="shared" si="10"/>
        <v>0.21052631578947367</v>
      </c>
      <c r="W71" cm="1">
        <f t="array" ref="W71">_xlfn.IFS(N71=1,5,N71=2,4,N71=4,2,N71=5,1,N71=3,3)</f>
        <v>1</v>
      </c>
      <c r="X71">
        <f t="shared" si="11"/>
        <v>10</v>
      </c>
      <c r="Y71" cm="1">
        <f t="array" ref="Y71">MAX(IF($C$2:$C$1387=C71,$X$2:$X$1387))</f>
        <v>32</v>
      </c>
      <c r="Z71" cm="1">
        <f t="array" ref="Z71">MIN(IF($C$2:$C$1387=C71,$X$2:$X$1387))</f>
        <v>10</v>
      </c>
      <c r="AA71">
        <f t="shared" si="12"/>
        <v>22</v>
      </c>
      <c r="AB71">
        <f t="shared" si="13"/>
        <v>0</v>
      </c>
    </row>
    <row r="72" spans="1:28" x14ac:dyDescent="0.25">
      <c r="A72" t="s">
        <v>50</v>
      </c>
      <c r="B72" t="s">
        <v>51</v>
      </c>
      <c r="C72">
        <v>2014</v>
      </c>
      <c r="D72">
        <v>0.156166823176385</v>
      </c>
      <c r="E72">
        <v>0.35184325726729831</v>
      </c>
      <c r="F72">
        <v>0.14807326979751878</v>
      </c>
      <c r="G72">
        <v>2.3025850929940459</v>
      </c>
      <c r="H72">
        <v>0.5</v>
      </c>
      <c r="I72">
        <v>1</v>
      </c>
      <c r="J72">
        <v>1</v>
      </c>
      <c r="K72">
        <v>3</v>
      </c>
      <c r="L72">
        <v>1</v>
      </c>
      <c r="M72">
        <v>5</v>
      </c>
      <c r="N72">
        <v>5</v>
      </c>
      <c r="O72">
        <v>2</v>
      </c>
      <c r="P72">
        <v>3</v>
      </c>
      <c r="Q72">
        <f t="shared" si="7"/>
        <v>1</v>
      </c>
      <c r="R72">
        <f t="shared" si="8"/>
        <v>20</v>
      </c>
      <c r="S72">
        <f t="array" ref="S72">MAX(IF($C$2:$C$1387=C72,$R$2:$R$1387))</f>
        <v>29</v>
      </c>
      <c r="T72" cm="1">
        <f t="array" ref="T72">MIN(IF($C$2:$C$1387=C72,$R$2:$R$1387))</f>
        <v>11</v>
      </c>
      <c r="U72">
        <f t="shared" si="9"/>
        <v>18</v>
      </c>
      <c r="V72">
        <f t="shared" si="10"/>
        <v>0.5</v>
      </c>
      <c r="W72" cm="1">
        <f t="array" ref="W72">_xlfn.IFS(N72=1,5,N72=2,4,N72=4,2,N72=5,1,N72=3,3)</f>
        <v>1</v>
      </c>
      <c r="X72">
        <f t="shared" si="11"/>
        <v>16</v>
      </c>
      <c r="Y72" cm="1">
        <f t="array" ref="Y72">MAX(IF($C$2:$C$1387=C72,$X$2:$X$1387))</f>
        <v>30</v>
      </c>
      <c r="Z72" cm="1">
        <f t="array" ref="Z72">MIN(IF($C$2:$C$1387=C72,$X$2:$X$1387))</f>
        <v>14</v>
      </c>
      <c r="AA72">
        <f t="shared" si="12"/>
        <v>16</v>
      </c>
      <c r="AB72">
        <f t="shared" si="13"/>
        <v>0.125</v>
      </c>
    </row>
    <row r="73" spans="1:28" x14ac:dyDescent="0.25">
      <c r="A73" t="s">
        <v>50</v>
      </c>
      <c r="B73" t="s">
        <v>51</v>
      </c>
      <c r="C73">
        <v>2015</v>
      </c>
      <c r="D73">
        <v>0.156166823176385</v>
      </c>
      <c r="E73">
        <v>0.34181209631751014</v>
      </c>
      <c r="F73">
        <v>0.13425065969994093</v>
      </c>
      <c r="G73">
        <v>2.3025850929940459</v>
      </c>
      <c r="H73">
        <v>0.7</v>
      </c>
      <c r="I73">
        <v>1</v>
      </c>
      <c r="J73">
        <v>0</v>
      </c>
      <c r="K73">
        <v>3</v>
      </c>
      <c r="L73">
        <v>1</v>
      </c>
      <c r="M73">
        <v>4</v>
      </c>
      <c r="N73">
        <v>5</v>
      </c>
      <c r="O73">
        <v>3</v>
      </c>
      <c r="P73">
        <v>2</v>
      </c>
      <c r="Q73">
        <f t="shared" si="7"/>
        <v>5</v>
      </c>
      <c r="R73">
        <f t="shared" si="8"/>
        <v>23</v>
      </c>
      <c r="S73">
        <f t="array" ref="S73">MAX(IF($C$2:$C$1387=C73,$R$2:$R$1387))</f>
        <v>29</v>
      </c>
      <c r="T73" cm="1">
        <f t="array" ref="T73">MIN(IF($C$2:$C$1387=C73,$R$2:$R$1387))</f>
        <v>11</v>
      </c>
      <c r="U73">
        <f t="shared" si="9"/>
        <v>18</v>
      </c>
      <c r="V73">
        <f t="shared" si="10"/>
        <v>0.66666666666666663</v>
      </c>
      <c r="W73" cm="1">
        <f t="array" ref="W73">_xlfn.IFS(N73=1,5,N73=2,4,N73=4,2,N73=5,1,N73=3,3)</f>
        <v>1</v>
      </c>
      <c r="X73">
        <f t="shared" si="11"/>
        <v>19</v>
      </c>
      <c r="Y73" cm="1">
        <f t="array" ref="Y73">MAX(IF($C$2:$C$1387=C73,$X$2:$X$1387))</f>
        <v>29</v>
      </c>
      <c r="Z73" cm="1">
        <f t="array" ref="Z73">MIN(IF($C$2:$C$1387=C73,$X$2:$X$1387))</f>
        <v>12</v>
      </c>
      <c r="AA73">
        <f t="shared" si="12"/>
        <v>17</v>
      </c>
      <c r="AB73">
        <f t="shared" si="13"/>
        <v>0.41176470588235292</v>
      </c>
    </row>
    <row r="74" spans="1:28" x14ac:dyDescent="0.25">
      <c r="A74" t="s">
        <v>52</v>
      </c>
      <c r="B74" t="s">
        <v>53</v>
      </c>
      <c r="C74">
        <v>2010</v>
      </c>
      <c r="D74">
        <v>2.9192818566632607E-6</v>
      </c>
      <c r="E74">
        <v>0.97574660633484167</v>
      </c>
      <c r="F74">
        <v>1.4615647350751715E-2</v>
      </c>
      <c r="G74">
        <v>1.9459101490553132</v>
      </c>
      <c r="H74">
        <v>0.8571428571428571</v>
      </c>
      <c r="I74">
        <v>1</v>
      </c>
      <c r="J74">
        <v>0</v>
      </c>
      <c r="K74">
        <v>1</v>
      </c>
      <c r="L74">
        <v>5</v>
      </c>
      <c r="M74">
        <v>2</v>
      </c>
      <c r="N74">
        <v>1</v>
      </c>
      <c r="O74">
        <v>5</v>
      </c>
      <c r="P74">
        <v>3</v>
      </c>
      <c r="Q74">
        <f t="shared" si="7"/>
        <v>5</v>
      </c>
      <c r="R74">
        <f t="shared" si="8"/>
        <v>22</v>
      </c>
      <c r="S74">
        <f t="array" ref="S74">MAX(IF($C$2:$C$1387=C74,$R$2:$R$1387))</f>
        <v>29</v>
      </c>
      <c r="T74" cm="1">
        <f t="array" ref="T74">MIN(IF($C$2:$C$1387=C74,$R$2:$R$1387))</f>
        <v>9</v>
      </c>
      <c r="U74">
        <f t="shared" si="9"/>
        <v>20</v>
      </c>
      <c r="V74">
        <f t="shared" si="10"/>
        <v>0.65</v>
      </c>
      <c r="W74" cm="1">
        <f t="array" ref="W74">_xlfn.IFS(N74=1,5,N74=2,4,N74=4,2,N74=5,1,N74=3,3)</f>
        <v>5</v>
      </c>
      <c r="X74">
        <f t="shared" si="11"/>
        <v>26</v>
      </c>
      <c r="Y74" cm="1">
        <f t="array" ref="Y74">MAX(IF($C$2:$C$1387=C74,$X$2:$X$1387))</f>
        <v>29</v>
      </c>
      <c r="Z74" cm="1">
        <f t="array" ref="Z74">MIN(IF($C$2:$C$1387=C74,$X$2:$X$1387))</f>
        <v>12</v>
      </c>
      <c r="AA74">
        <f t="shared" si="12"/>
        <v>17</v>
      </c>
      <c r="AB74">
        <f t="shared" si="13"/>
        <v>0.82352941176470584</v>
      </c>
    </row>
    <row r="75" spans="1:28" x14ac:dyDescent="0.25">
      <c r="A75" t="s">
        <v>52</v>
      </c>
      <c r="B75" t="s">
        <v>53</v>
      </c>
      <c r="C75">
        <v>2011</v>
      </c>
      <c r="D75">
        <v>2.9192818566632607E-6</v>
      </c>
      <c r="E75">
        <v>0.97574660633484167</v>
      </c>
      <c r="F75">
        <v>1.4615647350751715E-2</v>
      </c>
      <c r="G75">
        <v>1.9459101490553132</v>
      </c>
      <c r="H75">
        <v>0.8571428571428571</v>
      </c>
      <c r="I75">
        <v>1</v>
      </c>
      <c r="J75">
        <v>0</v>
      </c>
      <c r="K75">
        <v>1</v>
      </c>
      <c r="L75">
        <v>5</v>
      </c>
      <c r="M75">
        <v>2</v>
      </c>
      <c r="N75">
        <v>1</v>
      </c>
      <c r="O75">
        <v>5</v>
      </c>
      <c r="P75">
        <v>3</v>
      </c>
      <c r="Q75">
        <f t="shared" si="7"/>
        <v>5</v>
      </c>
      <c r="R75">
        <f t="shared" si="8"/>
        <v>22</v>
      </c>
      <c r="S75">
        <f t="array" ref="S75">MAX(IF($C$2:$C$1387=C75,$R$2:$R$1387))</f>
        <v>28</v>
      </c>
      <c r="T75" cm="1">
        <f t="array" ref="T75">MIN(IF($C$2:$C$1387=C75,$R$2:$R$1387))</f>
        <v>10</v>
      </c>
      <c r="U75">
        <f t="shared" si="9"/>
        <v>18</v>
      </c>
      <c r="V75">
        <f t="shared" si="10"/>
        <v>0.66666666666666663</v>
      </c>
      <c r="W75" cm="1">
        <f t="array" ref="W75">_xlfn.IFS(N75=1,5,N75=2,4,N75=4,2,N75=5,1,N75=3,3)</f>
        <v>5</v>
      </c>
      <c r="X75">
        <f t="shared" si="11"/>
        <v>26</v>
      </c>
      <c r="Y75" cm="1">
        <f t="array" ref="Y75">MAX(IF($C$2:$C$1387=C75,$X$2:$X$1387))</f>
        <v>29</v>
      </c>
      <c r="Z75" cm="1">
        <f t="array" ref="Z75">MIN(IF($C$2:$C$1387=C75,$X$2:$X$1387))</f>
        <v>12</v>
      </c>
      <c r="AA75">
        <f t="shared" si="12"/>
        <v>17</v>
      </c>
      <c r="AB75">
        <f t="shared" si="13"/>
        <v>0.82352941176470584</v>
      </c>
    </row>
    <row r="76" spans="1:28" x14ac:dyDescent="0.25">
      <c r="A76" t="s">
        <v>52</v>
      </c>
      <c r="B76" t="s">
        <v>53</v>
      </c>
      <c r="C76">
        <v>2012</v>
      </c>
      <c r="D76">
        <v>2.9192818566632607E-6</v>
      </c>
      <c r="E76">
        <v>0.97574660633484167</v>
      </c>
      <c r="F76">
        <v>1.3902277039848197E-2</v>
      </c>
      <c r="G76">
        <v>2.0794415416798357</v>
      </c>
      <c r="H76">
        <v>1</v>
      </c>
      <c r="I76">
        <v>1</v>
      </c>
      <c r="J76">
        <v>0</v>
      </c>
      <c r="K76">
        <v>1</v>
      </c>
      <c r="L76">
        <v>5</v>
      </c>
      <c r="M76">
        <v>2</v>
      </c>
      <c r="N76">
        <v>3</v>
      </c>
      <c r="O76">
        <v>5</v>
      </c>
      <c r="P76">
        <v>3</v>
      </c>
      <c r="Q76">
        <f t="shared" si="7"/>
        <v>5</v>
      </c>
      <c r="R76">
        <f t="shared" si="8"/>
        <v>24</v>
      </c>
      <c r="S76">
        <f t="array" ref="S76">MAX(IF($C$2:$C$1387=C76,$R$2:$R$1387))</f>
        <v>29</v>
      </c>
      <c r="T76" cm="1">
        <f t="array" ref="T76">MIN(IF($C$2:$C$1387=C76,$R$2:$R$1387))</f>
        <v>11</v>
      </c>
      <c r="U76">
        <f t="shared" si="9"/>
        <v>18</v>
      </c>
      <c r="V76">
        <f t="shared" si="10"/>
        <v>0.72222222222222221</v>
      </c>
      <c r="W76" cm="1">
        <f t="array" ref="W76">_xlfn.IFS(N76=1,5,N76=2,4,N76=4,2,N76=5,1,N76=3,3)</f>
        <v>3</v>
      </c>
      <c r="X76">
        <f t="shared" si="11"/>
        <v>24</v>
      </c>
      <c r="Y76" cm="1">
        <f t="array" ref="Y76">MAX(IF($C$2:$C$1387=C76,$X$2:$X$1387))</f>
        <v>30</v>
      </c>
      <c r="Z76" cm="1">
        <f t="array" ref="Z76">MIN(IF($C$2:$C$1387=C76,$X$2:$X$1387))</f>
        <v>12</v>
      </c>
      <c r="AA76">
        <f t="shared" si="12"/>
        <v>18</v>
      </c>
      <c r="AB76">
        <f t="shared" si="13"/>
        <v>0.66666666666666663</v>
      </c>
    </row>
    <row r="77" spans="1:28" x14ac:dyDescent="0.25">
      <c r="A77" t="s">
        <v>52</v>
      </c>
      <c r="B77" t="s">
        <v>53</v>
      </c>
      <c r="C77">
        <v>2013</v>
      </c>
      <c r="D77">
        <v>2.7519401177830371E-6</v>
      </c>
      <c r="E77">
        <v>0.9771368815014585</v>
      </c>
      <c r="F77">
        <v>1.2515066872144862E-2</v>
      </c>
      <c r="G77">
        <v>1.9459101490553132</v>
      </c>
      <c r="H77">
        <v>0.8571428571428571</v>
      </c>
      <c r="I77">
        <v>1</v>
      </c>
      <c r="J77">
        <v>0</v>
      </c>
      <c r="K77">
        <v>1</v>
      </c>
      <c r="L77">
        <v>5</v>
      </c>
      <c r="M77">
        <v>2</v>
      </c>
      <c r="N77">
        <v>1</v>
      </c>
      <c r="O77">
        <v>5</v>
      </c>
      <c r="P77">
        <v>3</v>
      </c>
      <c r="Q77">
        <f t="shared" si="7"/>
        <v>5</v>
      </c>
      <c r="R77">
        <f t="shared" si="8"/>
        <v>22</v>
      </c>
      <c r="S77">
        <f t="array" ref="S77">MAX(IF($C$2:$C$1387=C77,$R$2:$R$1387))</f>
        <v>29</v>
      </c>
      <c r="T77" cm="1">
        <f t="array" ref="T77">MIN(IF($C$2:$C$1387=C77,$R$2:$R$1387))</f>
        <v>10</v>
      </c>
      <c r="U77">
        <f t="shared" si="9"/>
        <v>19</v>
      </c>
      <c r="V77">
        <f t="shared" si="10"/>
        <v>0.63157894736842102</v>
      </c>
      <c r="W77" cm="1">
        <f t="array" ref="W77">_xlfn.IFS(N77=1,5,N77=2,4,N77=4,2,N77=5,1,N77=3,3)</f>
        <v>5</v>
      </c>
      <c r="X77">
        <f t="shared" si="11"/>
        <v>26</v>
      </c>
      <c r="Y77" cm="1">
        <f t="array" ref="Y77">MAX(IF($C$2:$C$1387=C77,$X$2:$X$1387))</f>
        <v>32</v>
      </c>
      <c r="Z77" cm="1">
        <f t="array" ref="Z77">MIN(IF($C$2:$C$1387=C77,$X$2:$X$1387))</f>
        <v>10</v>
      </c>
      <c r="AA77">
        <f t="shared" si="12"/>
        <v>22</v>
      </c>
      <c r="AB77">
        <f t="shared" si="13"/>
        <v>0.72727272727272729</v>
      </c>
    </row>
    <row r="78" spans="1:28" x14ac:dyDescent="0.25">
      <c r="A78" t="s">
        <v>52</v>
      </c>
      <c r="B78" t="s">
        <v>53</v>
      </c>
      <c r="C78">
        <v>2014</v>
      </c>
      <c r="D78">
        <v>4.1279101766745554E-6</v>
      </c>
      <c r="E78">
        <v>0.9771368815014585</v>
      </c>
      <c r="F78">
        <v>0</v>
      </c>
      <c r="G78">
        <v>2.1972245773362196</v>
      </c>
      <c r="H78">
        <v>0.66666666666666663</v>
      </c>
      <c r="I78">
        <v>1</v>
      </c>
      <c r="J78">
        <v>0</v>
      </c>
      <c r="K78">
        <v>1</v>
      </c>
      <c r="L78">
        <v>5</v>
      </c>
      <c r="M78">
        <v>1</v>
      </c>
      <c r="N78">
        <v>4</v>
      </c>
      <c r="O78">
        <v>4</v>
      </c>
      <c r="P78">
        <v>3</v>
      </c>
      <c r="Q78">
        <f t="shared" si="7"/>
        <v>5</v>
      </c>
      <c r="R78">
        <f t="shared" si="8"/>
        <v>23</v>
      </c>
      <c r="S78">
        <f t="array" ref="S78">MAX(IF($C$2:$C$1387=C78,$R$2:$R$1387))</f>
        <v>29</v>
      </c>
      <c r="T78" cm="1">
        <f t="array" ref="T78">MIN(IF($C$2:$C$1387=C78,$R$2:$R$1387))</f>
        <v>11</v>
      </c>
      <c r="U78">
        <f t="shared" si="9"/>
        <v>18</v>
      </c>
      <c r="V78">
        <f t="shared" si="10"/>
        <v>0.66666666666666663</v>
      </c>
      <c r="W78" cm="1">
        <f t="array" ref="W78">_xlfn.IFS(N78=1,5,N78=2,4,N78=4,2,N78=5,1,N78=3,3)</f>
        <v>2</v>
      </c>
      <c r="X78">
        <f t="shared" si="11"/>
        <v>21</v>
      </c>
      <c r="Y78" cm="1">
        <f t="array" ref="Y78">MAX(IF($C$2:$C$1387=C78,$X$2:$X$1387))</f>
        <v>30</v>
      </c>
      <c r="Z78" cm="1">
        <f t="array" ref="Z78">MIN(IF($C$2:$C$1387=C78,$X$2:$X$1387))</f>
        <v>14</v>
      </c>
      <c r="AA78">
        <f t="shared" si="12"/>
        <v>16</v>
      </c>
      <c r="AB78">
        <f t="shared" si="13"/>
        <v>0.4375</v>
      </c>
    </row>
    <row r="79" spans="1:28" x14ac:dyDescent="0.25">
      <c r="A79" t="s">
        <v>52</v>
      </c>
      <c r="B79" t="s">
        <v>53</v>
      </c>
      <c r="C79">
        <v>2015</v>
      </c>
      <c r="D79">
        <v>9.6317904122406296E-6</v>
      </c>
      <c r="E79">
        <v>0.94475244372282463</v>
      </c>
      <c r="F79">
        <v>0</v>
      </c>
      <c r="G79">
        <v>2.0794415416798357</v>
      </c>
      <c r="H79">
        <v>0.875</v>
      </c>
      <c r="I79">
        <v>1</v>
      </c>
      <c r="J79">
        <v>0</v>
      </c>
      <c r="K79">
        <v>1</v>
      </c>
      <c r="L79">
        <v>5</v>
      </c>
      <c r="M79">
        <v>1</v>
      </c>
      <c r="N79">
        <v>3</v>
      </c>
      <c r="O79">
        <v>5</v>
      </c>
      <c r="P79">
        <v>2</v>
      </c>
      <c r="Q79">
        <f t="shared" si="7"/>
        <v>5</v>
      </c>
      <c r="R79">
        <f t="shared" si="8"/>
        <v>22</v>
      </c>
      <c r="S79">
        <f t="array" ref="S79">MAX(IF($C$2:$C$1387=C79,$R$2:$R$1387))</f>
        <v>29</v>
      </c>
      <c r="T79" cm="1">
        <f t="array" ref="T79">MIN(IF($C$2:$C$1387=C79,$R$2:$R$1387))</f>
        <v>11</v>
      </c>
      <c r="U79">
        <f t="shared" si="9"/>
        <v>18</v>
      </c>
      <c r="V79">
        <f t="shared" si="10"/>
        <v>0.61111111111111116</v>
      </c>
      <c r="W79" cm="1">
        <f t="array" ref="W79">_xlfn.IFS(N79=1,5,N79=2,4,N79=4,2,N79=5,1,N79=3,3)</f>
        <v>3</v>
      </c>
      <c r="X79">
        <f t="shared" si="11"/>
        <v>22</v>
      </c>
      <c r="Y79" cm="1">
        <f t="array" ref="Y79">MAX(IF($C$2:$C$1387=C79,$X$2:$X$1387))</f>
        <v>29</v>
      </c>
      <c r="Z79" cm="1">
        <f t="array" ref="Z79">MIN(IF($C$2:$C$1387=C79,$X$2:$X$1387))</f>
        <v>12</v>
      </c>
      <c r="AA79">
        <f t="shared" si="12"/>
        <v>17</v>
      </c>
      <c r="AB79">
        <f t="shared" si="13"/>
        <v>0.58823529411764708</v>
      </c>
    </row>
    <row r="80" spans="1:28" x14ac:dyDescent="0.25">
      <c r="A80" t="s">
        <v>54</v>
      </c>
      <c r="B80" t="s">
        <v>55</v>
      </c>
      <c r="C80">
        <v>2010</v>
      </c>
      <c r="D80">
        <v>0.59879511915142436</v>
      </c>
      <c r="E80">
        <v>0.76740306891257282</v>
      </c>
      <c r="F80">
        <v>8.8927842129549989E-2</v>
      </c>
      <c r="G80">
        <v>1.9459101490553132</v>
      </c>
      <c r="H80">
        <v>0.5714285714285714</v>
      </c>
      <c r="I80">
        <v>1</v>
      </c>
      <c r="J80">
        <v>0</v>
      </c>
      <c r="K80">
        <v>5</v>
      </c>
      <c r="L80">
        <v>4</v>
      </c>
      <c r="M80">
        <v>4</v>
      </c>
      <c r="N80">
        <v>1</v>
      </c>
      <c r="O80">
        <v>2</v>
      </c>
      <c r="P80">
        <v>3</v>
      </c>
      <c r="Q80">
        <f t="shared" si="7"/>
        <v>5</v>
      </c>
      <c r="R80">
        <f t="shared" si="8"/>
        <v>24</v>
      </c>
      <c r="S80">
        <f t="array" ref="S80">MAX(IF($C$2:$C$1387=C80,$R$2:$R$1387))</f>
        <v>29</v>
      </c>
      <c r="T80" cm="1">
        <f t="array" ref="T80">MIN(IF($C$2:$C$1387=C80,$R$2:$R$1387))</f>
        <v>9</v>
      </c>
      <c r="U80">
        <f t="shared" si="9"/>
        <v>20</v>
      </c>
      <c r="V80">
        <f t="shared" si="10"/>
        <v>0.75</v>
      </c>
      <c r="W80" cm="1">
        <f t="array" ref="W80">_xlfn.IFS(N80=1,5,N80=2,4,N80=4,2,N80=5,1,N80=3,3)</f>
        <v>5</v>
      </c>
      <c r="X80">
        <f t="shared" si="11"/>
        <v>28</v>
      </c>
      <c r="Y80" cm="1">
        <f t="array" ref="Y80">MAX(IF($C$2:$C$1387=C80,$X$2:$X$1387))</f>
        <v>29</v>
      </c>
      <c r="Z80" cm="1">
        <f t="array" ref="Z80">MIN(IF($C$2:$C$1387=C80,$X$2:$X$1387))</f>
        <v>12</v>
      </c>
      <c r="AA80">
        <f t="shared" si="12"/>
        <v>17</v>
      </c>
      <c r="AB80">
        <f t="shared" si="13"/>
        <v>0.94117647058823528</v>
      </c>
    </row>
    <row r="81" spans="1:28" x14ac:dyDescent="0.25">
      <c r="A81" t="s">
        <v>54</v>
      </c>
      <c r="B81" t="s">
        <v>55</v>
      </c>
      <c r="C81">
        <v>2011</v>
      </c>
      <c r="D81">
        <v>0.59879511915142436</v>
      </c>
      <c r="E81">
        <v>0.76740306891257282</v>
      </c>
      <c r="F81">
        <v>8.8927842129549989E-2</v>
      </c>
      <c r="G81">
        <v>1.9459101490553132</v>
      </c>
      <c r="H81">
        <v>0.5714285714285714</v>
      </c>
      <c r="I81">
        <v>1</v>
      </c>
      <c r="J81">
        <v>0</v>
      </c>
      <c r="K81">
        <v>5</v>
      </c>
      <c r="L81">
        <v>4</v>
      </c>
      <c r="M81">
        <v>4</v>
      </c>
      <c r="N81">
        <v>1</v>
      </c>
      <c r="O81">
        <v>2</v>
      </c>
      <c r="P81">
        <v>3</v>
      </c>
      <c r="Q81">
        <f t="shared" si="7"/>
        <v>5</v>
      </c>
      <c r="R81">
        <f t="shared" si="8"/>
        <v>24</v>
      </c>
      <c r="S81">
        <f t="array" ref="S81">MAX(IF($C$2:$C$1387=C81,$R$2:$R$1387))</f>
        <v>28</v>
      </c>
      <c r="T81" cm="1">
        <f t="array" ref="T81">MIN(IF($C$2:$C$1387=C81,$R$2:$R$1387))</f>
        <v>10</v>
      </c>
      <c r="U81">
        <f t="shared" si="9"/>
        <v>18</v>
      </c>
      <c r="V81">
        <f t="shared" si="10"/>
        <v>0.77777777777777779</v>
      </c>
      <c r="W81" cm="1">
        <f t="array" ref="W81">_xlfn.IFS(N81=1,5,N81=2,4,N81=4,2,N81=5,1,N81=3,3)</f>
        <v>5</v>
      </c>
      <c r="X81">
        <f t="shared" si="11"/>
        <v>28</v>
      </c>
      <c r="Y81" cm="1">
        <f t="array" ref="Y81">MAX(IF($C$2:$C$1387=C81,$X$2:$X$1387))</f>
        <v>29</v>
      </c>
      <c r="Z81" cm="1">
        <f t="array" ref="Z81">MIN(IF($C$2:$C$1387=C81,$X$2:$X$1387))</f>
        <v>12</v>
      </c>
      <c r="AA81">
        <f t="shared" si="12"/>
        <v>17</v>
      </c>
      <c r="AB81">
        <f t="shared" si="13"/>
        <v>0.94117647058823528</v>
      </c>
    </row>
    <row r="82" spans="1:28" x14ac:dyDescent="0.25">
      <c r="A82" t="s">
        <v>54</v>
      </c>
      <c r="B82" t="s">
        <v>55</v>
      </c>
      <c r="C82">
        <v>2012</v>
      </c>
      <c r="D82">
        <v>0.59879511915142436</v>
      </c>
      <c r="E82">
        <v>0.76740306891257282</v>
      </c>
      <c r="F82">
        <v>8.8927842129549989E-2</v>
      </c>
      <c r="G82">
        <v>1.9459101490553132</v>
      </c>
      <c r="H82">
        <v>0.5714285714285714</v>
      </c>
      <c r="I82">
        <v>1</v>
      </c>
      <c r="J82">
        <v>0</v>
      </c>
      <c r="K82">
        <v>5</v>
      </c>
      <c r="L82">
        <v>4</v>
      </c>
      <c r="M82">
        <v>4</v>
      </c>
      <c r="N82">
        <v>1</v>
      </c>
      <c r="O82">
        <v>2</v>
      </c>
      <c r="P82">
        <v>3</v>
      </c>
      <c r="Q82">
        <f t="shared" si="7"/>
        <v>5</v>
      </c>
      <c r="R82">
        <f t="shared" si="8"/>
        <v>24</v>
      </c>
      <c r="S82">
        <f t="array" ref="S82">MAX(IF($C$2:$C$1387=C82,$R$2:$R$1387))</f>
        <v>29</v>
      </c>
      <c r="T82" cm="1">
        <f t="array" ref="T82">MIN(IF($C$2:$C$1387=C82,$R$2:$R$1387))</f>
        <v>11</v>
      </c>
      <c r="U82">
        <f t="shared" si="9"/>
        <v>18</v>
      </c>
      <c r="V82">
        <f t="shared" si="10"/>
        <v>0.72222222222222221</v>
      </c>
      <c r="W82" cm="1">
        <f t="array" ref="W82">_xlfn.IFS(N82=1,5,N82=2,4,N82=4,2,N82=5,1,N82=3,3)</f>
        <v>5</v>
      </c>
      <c r="X82">
        <f t="shared" si="11"/>
        <v>28</v>
      </c>
      <c r="Y82" cm="1">
        <f t="array" ref="Y82">MAX(IF($C$2:$C$1387=C82,$X$2:$X$1387))</f>
        <v>30</v>
      </c>
      <c r="Z82" cm="1">
        <f t="array" ref="Z82">MIN(IF($C$2:$C$1387=C82,$X$2:$X$1387))</f>
        <v>12</v>
      </c>
      <c r="AA82">
        <f t="shared" si="12"/>
        <v>18</v>
      </c>
      <c r="AB82">
        <f t="shared" si="13"/>
        <v>0.88888888888888884</v>
      </c>
    </row>
    <row r="83" spans="1:28" x14ac:dyDescent="0.25">
      <c r="A83" t="s">
        <v>54</v>
      </c>
      <c r="B83" t="s">
        <v>55</v>
      </c>
      <c r="C83">
        <v>2013</v>
      </c>
      <c r="D83">
        <v>0.59879511915142436</v>
      </c>
      <c r="E83">
        <v>0.76740306891257282</v>
      </c>
      <c r="F83">
        <v>8.8927842129549989E-2</v>
      </c>
      <c r="G83">
        <v>1.9459101490553132</v>
      </c>
      <c r="H83">
        <v>0.5714285714285714</v>
      </c>
      <c r="I83">
        <v>1</v>
      </c>
      <c r="J83">
        <v>0</v>
      </c>
      <c r="K83">
        <v>5</v>
      </c>
      <c r="L83">
        <v>4</v>
      </c>
      <c r="M83">
        <v>4</v>
      </c>
      <c r="N83">
        <v>1</v>
      </c>
      <c r="O83">
        <v>2</v>
      </c>
      <c r="P83">
        <v>3</v>
      </c>
      <c r="Q83">
        <f t="shared" si="7"/>
        <v>5</v>
      </c>
      <c r="R83">
        <f t="shared" si="8"/>
        <v>24</v>
      </c>
      <c r="S83">
        <f t="array" ref="S83">MAX(IF($C$2:$C$1387=C83,$R$2:$R$1387))</f>
        <v>29</v>
      </c>
      <c r="T83" cm="1">
        <f t="array" ref="T83">MIN(IF($C$2:$C$1387=C83,$R$2:$R$1387))</f>
        <v>10</v>
      </c>
      <c r="U83">
        <f t="shared" si="9"/>
        <v>19</v>
      </c>
      <c r="V83">
        <f t="shared" si="10"/>
        <v>0.73684210526315785</v>
      </c>
      <c r="W83" cm="1">
        <f t="array" ref="W83">_xlfn.IFS(N83=1,5,N83=2,4,N83=4,2,N83=5,1,N83=3,3)</f>
        <v>5</v>
      </c>
      <c r="X83">
        <f t="shared" si="11"/>
        <v>28</v>
      </c>
      <c r="Y83" cm="1">
        <f t="array" ref="Y83">MAX(IF($C$2:$C$1387=C83,$X$2:$X$1387))</f>
        <v>32</v>
      </c>
      <c r="Z83" cm="1">
        <f t="array" ref="Z83">MIN(IF($C$2:$C$1387=C83,$X$2:$X$1387))</f>
        <v>10</v>
      </c>
      <c r="AA83">
        <f t="shared" si="12"/>
        <v>22</v>
      </c>
      <c r="AB83">
        <f t="shared" si="13"/>
        <v>0.81818181818181823</v>
      </c>
    </row>
    <row r="84" spans="1:28" x14ac:dyDescent="0.25">
      <c r="A84" t="s">
        <v>54</v>
      </c>
      <c r="B84" t="s">
        <v>55</v>
      </c>
      <c r="C84">
        <v>2014</v>
      </c>
      <c r="D84">
        <v>0.59879511915142436</v>
      </c>
      <c r="E84">
        <v>0.76740306891257282</v>
      </c>
      <c r="F84">
        <v>9.1946735840640628E-2</v>
      </c>
      <c r="G84">
        <v>1.9459101490553132</v>
      </c>
      <c r="H84">
        <v>0.42857142857142855</v>
      </c>
      <c r="I84">
        <v>0.66666666666666663</v>
      </c>
      <c r="J84">
        <v>0</v>
      </c>
      <c r="K84">
        <v>5</v>
      </c>
      <c r="L84">
        <v>4</v>
      </c>
      <c r="M84">
        <v>4</v>
      </c>
      <c r="N84">
        <v>1</v>
      </c>
      <c r="O84">
        <v>1</v>
      </c>
      <c r="P84">
        <v>1</v>
      </c>
      <c r="Q84">
        <f t="shared" si="7"/>
        <v>5</v>
      </c>
      <c r="R84">
        <f t="shared" si="8"/>
        <v>21</v>
      </c>
      <c r="S84">
        <f t="array" ref="S84">MAX(IF($C$2:$C$1387=C84,$R$2:$R$1387))</f>
        <v>29</v>
      </c>
      <c r="T84" cm="1">
        <f t="array" ref="T84">MIN(IF($C$2:$C$1387=C84,$R$2:$R$1387))</f>
        <v>11</v>
      </c>
      <c r="U84">
        <f t="shared" si="9"/>
        <v>18</v>
      </c>
      <c r="V84">
        <f t="shared" si="10"/>
        <v>0.55555555555555558</v>
      </c>
      <c r="W84" cm="1">
        <f t="array" ref="W84">_xlfn.IFS(N84=1,5,N84=2,4,N84=4,2,N84=5,1,N84=3,3)</f>
        <v>5</v>
      </c>
      <c r="X84">
        <f t="shared" si="11"/>
        <v>25</v>
      </c>
      <c r="Y84" cm="1">
        <f t="array" ref="Y84">MAX(IF($C$2:$C$1387=C84,$X$2:$X$1387))</f>
        <v>30</v>
      </c>
      <c r="Z84" cm="1">
        <f t="array" ref="Z84">MIN(IF($C$2:$C$1387=C84,$X$2:$X$1387))</f>
        <v>14</v>
      </c>
      <c r="AA84">
        <f t="shared" si="12"/>
        <v>16</v>
      </c>
      <c r="AB84">
        <f t="shared" si="13"/>
        <v>0.6875</v>
      </c>
    </row>
    <row r="85" spans="1:28" x14ac:dyDescent="0.25">
      <c r="A85" t="s">
        <v>54</v>
      </c>
      <c r="B85" t="s">
        <v>55</v>
      </c>
      <c r="C85">
        <v>2015</v>
      </c>
      <c r="D85">
        <v>0.59879511915142436</v>
      </c>
      <c r="E85">
        <v>0.76740306891257282</v>
      </c>
      <c r="F85">
        <v>8.9192711128923824E-2</v>
      </c>
      <c r="G85">
        <v>1.9459101490553132</v>
      </c>
      <c r="H85">
        <v>0.42857142857142855</v>
      </c>
      <c r="I85">
        <v>0.66666666666666663</v>
      </c>
      <c r="J85">
        <v>0</v>
      </c>
      <c r="K85">
        <v>5</v>
      </c>
      <c r="L85">
        <v>4</v>
      </c>
      <c r="M85">
        <v>4</v>
      </c>
      <c r="N85">
        <v>1</v>
      </c>
      <c r="O85">
        <v>1</v>
      </c>
      <c r="P85">
        <v>1</v>
      </c>
      <c r="Q85">
        <f t="shared" si="7"/>
        <v>5</v>
      </c>
      <c r="R85">
        <f t="shared" si="8"/>
        <v>21</v>
      </c>
      <c r="S85">
        <f t="array" ref="S85">MAX(IF($C$2:$C$1387=C85,$R$2:$R$1387))</f>
        <v>29</v>
      </c>
      <c r="T85" cm="1">
        <f t="array" ref="T85">MIN(IF($C$2:$C$1387=C85,$R$2:$R$1387))</f>
        <v>11</v>
      </c>
      <c r="U85">
        <f t="shared" si="9"/>
        <v>18</v>
      </c>
      <c r="V85">
        <f t="shared" si="10"/>
        <v>0.55555555555555558</v>
      </c>
      <c r="W85" cm="1">
        <f t="array" ref="W85">_xlfn.IFS(N85=1,5,N85=2,4,N85=4,2,N85=5,1,N85=3,3)</f>
        <v>5</v>
      </c>
      <c r="X85">
        <f t="shared" si="11"/>
        <v>25</v>
      </c>
      <c r="Y85" cm="1">
        <f t="array" ref="Y85">MAX(IF($C$2:$C$1387=C85,$X$2:$X$1387))</f>
        <v>29</v>
      </c>
      <c r="Z85" cm="1">
        <f t="array" ref="Z85">MIN(IF($C$2:$C$1387=C85,$X$2:$X$1387))</f>
        <v>12</v>
      </c>
      <c r="AA85">
        <f t="shared" si="12"/>
        <v>17</v>
      </c>
      <c r="AB85">
        <f t="shared" si="13"/>
        <v>0.76470588235294112</v>
      </c>
    </row>
    <row r="86" spans="1:28" x14ac:dyDescent="0.25">
      <c r="A86" t="s">
        <v>56</v>
      </c>
      <c r="B86" t="s">
        <v>57</v>
      </c>
      <c r="C86">
        <v>2010</v>
      </c>
      <c r="D86">
        <v>0.10665446051664038</v>
      </c>
      <c r="E86">
        <v>0.47431453675410062</v>
      </c>
      <c r="F86">
        <v>0.31017965730674918</v>
      </c>
      <c r="G86">
        <v>2.0794415416798357</v>
      </c>
      <c r="H86">
        <v>0.25</v>
      </c>
      <c r="I86">
        <v>0.66666666666666663</v>
      </c>
      <c r="J86">
        <v>0</v>
      </c>
      <c r="K86">
        <v>3</v>
      </c>
      <c r="L86">
        <v>2</v>
      </c>
      <c r="M86">
        <v>5</v>
      </c>
      <c r="N86">
        <v>3</v>
      </c>
      <c r="O86">
        <v>1</v>
      </c>
      <c r="P86">
        <v>1</v>
      </c>
      <c r="Q86">
        <f t="shared" si="7"/>
        <v>5</v>
      </c>
      <c r="R86">
        <f t="shared" si="8"/>
        <v>20</v>
      </c>
      <c r="S86">
        <f t="array" ref="S86">MAX(IF($C$2:$C$1387=C86,$R$2:$R$1387))</f>
        <v>29</v>
      </c>
      <c r="T86" cm="1">
        <f t="array" ref="T86">MIN(IF($C$2:$C$1387=C86,$R$2:$R$1387))</f>
        <v>9</v>
      </c>
      <c r="U86">
        <f t="shared" si="9"/>
        <v>20</v>
      </c>
      <c r="V86">
        <f t="shared" si="10"/>
        <v>0.55000000000000004</v>
      </c>
      <c r="W86" cm="1">
        <f t="array" ref="W86">_xlfn.IFS(N86=1,5,N86=2,4,N86=4,2,N86=5,1,N86=3,3)</f>
        <v>3</v>
      </c>
      <c r="X86">
        <f t="shared" si="11"/>
        <v>20</v>
      </c>
      <c r="Y86" cm="1">
        <f t="array" ref="Y86">MAX(IF($C$2:$C$1387=C86,$X$2:$X$1387))</f>
        <v>29</v>
      </c>
      <c r="Z86" cm="1">
        <f t="array" ref="Z86">MIN(IF($C$2:$C$1387=C86,$X$2:$X$1387))</f>
        <v>12</v>
      </c>
      <c r="AA86">
        <f t="shared" si="12"/>
        <v>17</v>
      </c>
      <c r="AB86">
        <f t="shared" si="13"/>
        <v>0.47058823529411764</v>
      </c>
    </row>
    <row r="87" spans="1:28" x14ac:dyDescent="0.25">
      <c r="A87" t="s">
        <v>56</v>
      </c>
      <c r="B87" t="s">
        <v>57</v>
      </c>
      <c r="C87">
        <v>2011</v>
      </c>
      <c r="D87">
        <v>0.10665446051664038</v>
      </c>
      <c r="E87">
        <v>0.47431453675410062</v>
      </c>
      <c r="F87">
        <v>0.31017965730674918</v>
      </c>
      <c r="G87">
        <v>2.0794415416798357</v>
      </c>
      <c r="H87">
        <v>0.25</v>
      </c>
      <c r="I87">
        <v>0.66666666666666663</v>
      </c>
      <c r="J87">
        <v>0</v>
      </c>
      <c r="K87">
        <v>3</v>
      </c>
      <c r="L87">
        <v>2</v>
      </c>
      <c r="M87">
        <v>5</v>
      </c>
      <c r="N87">
        <v>3</v>
      </c>
      <c r="O87">
        <v>1</v>
      </c>
      <c r="P87">
        <v>1</v>
      </c>
      <c r="Q87">
        <f t="shared" si="7"/>
        <v>5</v>
      </c>
      <c r="R87">
        <f t="shared" si="8"/>
        <v>20</v>
      </c>
      <c r="S87">
        <f t="array" ref="S87">MAX(IF($C$2:$C$1387=C87,$R$2:$R$1387))</f>
        <v>28</v>
      </c>
      <c r="T87" cm="1">
        <f t="array" ref="T87">MIN(IF($C$2:$C$1387=C87,$R$2:$R$1387))</f>
        <v>10</v>
      </c>
      <c r="U87">
        <f t="shared" si="9"/>
        <v>18</v>
      </c>
      <c r="V87">
        <f t="shared" si="10"/>
        <v>0.55555555555555558</v>
      </c>
      <c r="W87" cm="1">
        <f t="array" ref="W87">_xlfn.IFS(N87=1,5,N87=2,4,N87=4,2,N87=5,1,N87=3,3)</f>
        <v>3</v>
      </c>
      <c r="X87">
        <f t="shared" si="11"/>
        <v>20</v>
      </c>
      <c r="Y87" cm="1">
        <f t="array" ref="Y87">MAX(IF($C$2:$C$1387=C87,$X$2:$X$1387))</f>
        <v>29</v>
      </c>
      <c r="Z87" cm="1">
        <f t="array" ref="Z87">MIN(IF($C$2:$C$1387=C87,$X$2:$X$1387))</f>
        <v>12</v>
      </c>
      <c r="AA87">
        <f t="shared" si="12"/>
        <v>17</v>
      </c>
      <c r="AB87">
        <f t="shared" si="13"/>
        <v>0.47058823529411764</v>
      </c>
    </row>
    <row r="88" spans="1:28" x14ac:dyDescent="0.25">
      <c r="A88" t="s">
        <v>56</v>
      </c>
      <c r="B88" t="s">
        <v>57</v>
      </c>
      <c r="C88">
        <v>2012</v>
      </c>
      <c r="D88">
        <v>0.10665446051664038</v>
      </c>
      <c r="E88">
        <v>0.47431453675410062</v>
      </c>
      <c r="F88">
        <v>0.31017965730674918</v>
      </c>
      <c r="G88">
        <v>2.0794415416798357</v>
      </c>
      <c r="H88">
        <v>0.25</v>
      </c>
      <c r="I88">
        <v>0.66666666666666663</v>
      </c>
      <c r="J88">
        <v>0</v>
      </c>
      <c r="K88">
        <v>3</v>
      </c>
      <c r="L88">
        <v>2</v>
      </c>
      <c r="M88">
        <v>5</v>
      </c>
      <c r="N88">
        <v>3</v>
      </c>
      <c r="O88">
        <v>1</v>
      </c>
      <c r="P88">
        <v>1</v>
      </c>
      <c r="Q88">
        <f t="shared" si="7"/>
        <v>5</v>
      </c>
      <c r="R88">
        <f t="shared" si="8"/>
        <v>20</v>
      </c>
      <c r="S88">
        <f t="array" ref="S88">MAX(IF($C$2:$C$1387=C88,$R$2:$R$1387))</f>
        <v>29</v>
      </c>
      <c r="T88" cm="1">
        <f t="array" ref="T88">MIN(IF($C$2:$C$1387=C88,$R$2:$R$1387))</f>
        <v>11</v>
      </c>
      <c r="U88">
        <f t="shared" si="9"/>
        <v>18</v>
      </c>
      <c r="V88">
        <f t="shared" si="10"/>
        <v>0.5</v>
      </c>
      <c r="W88" cm="1">
        <f t="array" ref="W88">_xlfn.IFS(N88=1,5,N88=2,4,N88=4,2,N88=5,1,N88=3,3)</f>
        <v>3</v>
      </c>
      <c r="X88">
        <f t="shared" si="11"/>
        <v>20</v>
      </c>
      <c r="Y88" cm="1">
        <f t="array" ref="Y88">MAX(IF($C$2:$C$1387=C88,$X$2:$X$1387))</f>
        <v>30</v>
      </c>
      <c r="Z88" cm="1">
        <f t="array" ref="Z88">MIN(IF($C$2:$C$1387=C88,$X$2:$X$1387))</f>
        <v>12</v>
      </c>
      <c r="AA88">
        <f t="shared" si="12"/>
        <v>18</v>
      </c>
      <c r="AB88">
        <f t="shared" si="13"/>
        <v>0.44444444444444442</v>
      </c>
    </row>
    <row r="89" spans="1:28" x14ac:dyDescent="0.25">
      <c r="A89" t="s">
        <v>56</v>
      </c>
      <c r="B89" t="s">
        <v>57</v>
      </c>
      <c r="C89">
        <v>2013</v>
      </c>
      <c r="D89">
        <v>9.2033071393241461E-2</v>
      </c>
      <c r="E89">
        <v>0.48477197720502774</v>
      </c>
      <c r="F89">
        <v>0.26681769819679246</v>
      </c>
      <c r="G89">
        <v>1.6094379124341003</v>
      </c>
      <c r="H89">
        <v>0.4</v>
      </c>
      <c r="I89">
        <v>0.66666666666666663</v>
      </c>
      <c r="J89">
        <v>0</v>
      </c>
      <c r="K89">
        <v>3</v>
      </c>
      <c r="L89">
        <v>2</v>
      </c>
      <c r="M89">
        <v>5</v>
      </c>
      <c r="N89">
        <v>1</v>
      </c>
      <c r="O89">
        <v>1</v>
      </c>
      <c r="P89">
        <v>1</v>
      </c>
      <c r="Q89">
        <f t="shared" si="7"/>
        <v>5</v>
      </c>
      <c r="R89">
        <f t="shared" si="8"/>
        <v>18</v>
      </c>
      <c r="S89">
        <f t="array" ref="S89">MAX(IF($C$2:$C$1387=C89,$R$2:$R$1387))</f>
        <v>29</v>
      </c>
      <c r="T89" cm="1">
        <f t="array" ref="T89">MIN(IF($C$2:$C$1387=C89,$R$2:$R$1387))</f>
        <v>10</v>
      </c>
      <c r="U89">
        <f t="shared" si="9"/>
        <v>19</v>
      </c>
      <c r="V89">
        <f t="shared" si="10"/>
        <v>0.42105263157894735</v>
      </c>
      <c r="W89" cm="1">
        <f t="array" ref="W89">_xlfn.IFS(N89=1,5,N89=2,4,N89=4,2,N89=5,1,N89=3,3)</f>
        <v>5</v>
      </c>
      <c r="X89">
        <f t="shared" si="11"/>
        <v>22</v>
      </c>
      <c r="Y89" cm="1">
        <f t="array" ref="Y89">MAX(IF($C$2:$C$1387=C89,$X$2:$X$1387))</f>
        <v>32</v>
      </c>
      <c r="Z89" cm="1">
        <f t="array" ref="Z89">MIN(IF($C$2:$C$1387=C89,$X$2:$X$1387))</f>
        <v>10</v>
      </c>
      <c r="AA89">
        <f t="shared" si="12"/>
        <v>22</v>
      </c>
      <c r="AB89">
        <f t="shared" si="13"/>
        <v>0.54545454545454541</v>
      </c>
    </row>
    <row r="90" spans="1:28" x14ac:dyDescent="0.25">
      <c r="A90" t="s">
        <v>56</v>
      </c>
      <c r="B90" t="s">
        <v>57</v>
      </c>
      <c r="C90">
        <v>2014</v>
      </c>
      <c r="D90">
        <v>9.2033071393241461E-2</v>
      </c>
      <c r="E90">
        <v>0.4958918909432532</v>
      </c>
      <c r="F90">
        <v>0.24133577921302357</v>
      </c>
      <c r="G90">
        <v>1.6094379124341003</v>
      </c>
      <c r="H90">
        <v>0.4</v>
      </c>
      <c r="I90">
        <v>0.66666666666666663</v>
      </c>
      <c r="J90">
        <v>0</v>
      </c>
      <c r="K90">
        <v>3</v>
      </c>
      <c r="L90">
        <v>2</v>
      </c>
      <c r="M90">
        <v>5</v>
      </c>
      <c r="N90">
        <v>1</v>
      </c>
      <c r="O90">
        <v>1</v>
      </c>
      <c r="P90">
        <v>1</v>
      </c>
      <c r="Q90">
        <f t="shared" si="7"/>
        <v>5</v>
      </c>
      <c r="R90">
        <f t="shared" si="8"/>
        <v>18</v>
      </c>
      <c r="S90">
        <f t="array" ref="S90">MAX(IF($C$2:$C$1387=C90,$R$2:$R$1387))</f>
        <v>29</v>
      </c>
      <c r="T90" cm="1">
        <f t="array" ref="T90">MIN(IF($C$2:$C$1387=C90,$R$2:$R$1387))</f>
        <v>11</v>
      </c>
      <c r="U90">
        <f t="shared" si="9"/>
        <v>18</v>
      </c>
      <c r="V90">
        <f t="shared" si="10"/>
        <v>0.3888888888888889</v>
      </c>
      <c r="W90" cm="1">
        <f t="array" ref="W90">_xlfn.IFS(N90=1,5,N90=2,4,N90=4,2,N90=5,1,N90=3,3)</f>
        <v>5</v>
      </c>
      <c r="X90">
        <f t="shared" si="11"/>
        <v>22</v>
      </c>
      <c r="Y90" cm="1">
        <f t="array" ref="Y90">MAX(IF($C$2:$C$1387=C90,$X$2:$X$1387))</f>
        <v>30</v>
      </c>
      <c r="Z90" cm="1">
        <f t="array" ref="Z90">MIN(IF($C$2:$C$1387=C90,$X$2:$X$1387))</f>
        <v>14</v>
      </c>
      <c r="AA90">
        <f t="shared" si="12"/>
        <v>16</v>
      </c>
      <c r="AB90">
        <f t="shared" si="13"/>
        <v>0.5</v>
      </c>
    </row>
    <row r="91" spans="1:28" x14ac:dyDescent="0.25">
      <c r="A91" t="s">
        <v>56</v>
      </c>
      <c r="B91" t="s">
        <v>57</v>
      </c>
      <c r="C91">
        <v>2015</v>
      </c>
      <c r="D91">
        <v>9.2033080294999542E-2</v>
      </c>
      <c r="E91">
        <v>0.49062796092641836</v>
      </c>
      <c r="F91">
        <v>0.13108244027428284</v>
      </c>
      <c r="G91">
        <v>1.9459101490553132</v>
      </c>
      <c r="H91">
        <v>0.42857142857142855</v>
      </c>
      <c r="I91">
        <v>1</v>
      </c>
      <c r="J91">
        <v>0</v>
      </c>
      <c r="K91">
        <v>3</v>
      </c>
      <c r="L91">
        <v>2</v>
      </c>
      <c r="M91">
        <v>4</v>
      </c>
      <c r="N91">
        <v>1</v>
      </c>
      <c r="O91">
        <v>1</v>
      </c>
      <c r="P91">
        <v>2</v>
      </c>
      <c r="Q91">
        <f t="shared" si="7"/>
        <v>5</v>
      </c>
      <c r="R91">
        <f t="shared" si="8"/>
        <v>18</v>
      </c>
      <c r="S91">
        <f t="array" ref="S91">MAX(IF($C$2:$C$1387=C91,$R$2:$R$1387))</f>
        <v>29</v>
      </c>
      <c r="T91" cm="1">
        <f t="array" ref="T91">MIN(IF($C$2:$C$1387=C91,$R$2:$R$1387))</f>
        <v>11</v>
      </c>
      <c r="U91">
        <f t="shared" si="9"/>
        <v>18</v>
      </c>
      <c r="V91">
        <f t="shared" si="10"/>
        <v>0.3888888888888889</v>
      </c>
      <c r="W91" cm="1">
        <f t="array" ref="W91">_xlfn.IFS(N91=1,5,N91=2,4,N91=4,2,N91=5,1,N91=3,3)</f>
        <v>5</v>
      </c>
      <c r="X91">
        <f t="shared" si="11"/>
        <v>22</v>
      </c>
      <c r="Y91" cm="1">
        <f t="array" ref="Y91">MAX(IF($C$2:$C$1387=C91,$X$2:$X$1387))</f>
        <v>29</v>
      </c>
      <c r="Z91" cm="1">
        <f t="array" ref="Z91">MIN(IF($C$2:$C$1387=C91,$X$2:$X$1387))</f>
        <v>12</v>
      </c>
      <c r="AA91">
        <f t="shared" si="12"/>
        <v>17</v>
      </c>
      <c r="AB91">
        <f t="shared" si="13"/>
        <v>0.58823529411764708</v>
      </c>
    </row>
    <row r="92" spans="1:28" x14ac:dyDescent="0.25">
      <c r="A92" t="s">
        <v>58</v>
      </c>
      <c r="B92" t="s">
        <v>59</v>
      </c>
      <c r="C92">
        <v>2010</v>
      </c>
      <c r="D92">
        <v>7.4814270833333335E-2</v>
      </c>
      <c r="E92">
        <v>0.77248501736111108</v>
      </c>
      <c r="F92">
        <v>0.12493310763888889</v>
      </c>
      <c r="G92">
        <v>2.1972245773362196</v>
      </c>
      <c r="H92">
        <v>0.66666666666666663</v>
      </c>
      <c r="I92">
        <v>0.66666666666666663</v>
      </c>
      <c r="J92">
        <v>0</v>
      </c>
      <c r="K92">
        <v>3</v>
      </c>
      <c r="L92">
        <v>4</v>
      </c>
      <c r="M92">
        <v>4</v>
      </c>
      <c r="N92">
        <v>4</v>
      </c>
      <c r="O92">
        <v>3</v>
      </c>
      <c r="P92">
        <v>1</v>
      </c>
      <c r="Q92">
        <f t="shared" si="7"/>
        <v>5</v>
      </c>
      <c r="R92">
        <f t="shared" si="8"/>
        <v>24</v>
      </c>
      <c r="S92">
        <f t="array" ref="S92">MAX(IF($C$2:$C$1387=C92,$R$2:$R$1387))</f>
        <v>29</v>
      </c>
      <c r="T92" cm="1">
        <f t="array" ref="T92">MIN(IF($C$2:$C$1387=C92,$R$2:$R$1387))</f>
        <v>9</v>
      </c>
      <c r="U92">
        <f t="shared" si="9"/>
        <v>20</v>
      </c>
      <c r="V92">
        <f t="shared" si="10"/>
        <v>0.75</v>
      </c>
      <c r="W92" cm="1">
        <f t="array" ref="W92">_xlfn.IFS(N92=1,5,N92=2,4,N92=4,2,N92=5,1,N92=3,3)</f>
        <v>2</v>
      </c>
      <c r="X92">
        <f t="shared" si="11"/>
        <v>22</v>
      </c>
      <c r="Y92" cm="1">
        <f t="array" ref="Y92">MAX(IF($C$2:$C$1387=C92,$X$2:$X$1387))</f>
        <v>29</v>
      </c>
      <c r="Z92" cm="1">
        <f t="array" ref="Z92">MIN(IF($C$2:$C$1387=C92,$X$2:$X$1387))</f>
        <v>12</v>
      </c>
      <c r="AA92">
        <f t="shared" si="12"/>
        <v>17</v>
      </c>
      <c r="AB92">
        <f t="shared" si="13"/>
        <v>0.58823529411764708</v>
      </c>
    </row>
    <row r="93" spans="1:28" x14ac:dyDescent="0.25">
      <c r="A93" t="s">
        <v>58</v>
      </c>
      <c r="B93" t="s">
        <v>59</v>
      </c>
      <c r="C93">
        <v>2011</v>
      </c>
      <c r="D93">
        <v>6.7834722222222227E-2</v>
      </c>
      <c r="E93">
        <v>0.76991022858796299</v>
      </c>
      <c r="F93">
        <v>0.12090745081018518</v>
      </c>
      <c r="G93">
        <v>2.1972245773362196</v>
      </c>
      <c r="H93">
        <v>0.66666666666666663</v>
      </c>
      <c r="I93">
        <v>1</v>
      </c>
      <c r="J93">
        <v>0</v>
      </c>
      <c r="K93">
        <v>2</v>
      </c>
      <c r="L93">
        <v>4</v>
      </c>
      <c r="M93">
        <v>4</v>
      </c>
      <c r="N93">
        <v>4</v>
      </c>
      <c r="O93">
        <v>3</v>
      </c>
      <c r="P93">
        <v>3</v>
      </c>
      <c r="Q93">
        <f t="shared" si="7"/>
        <v>5</v>
      </c>
      <c r="R93">
        <f t="shared" si="8"/>
        <v>25</v>
      </c>
      <c r="S93">
        <f t="array" ref="S93">MAX(IF($C$2:$C$1387=C93,$R$2:$R$1387))</f>
        <v>28</v>
      </c>
      <c r="T93" cm="1">
        <f t="array" ref="T93">MIN(IF($C$2:$C$1387=C93,$R$2:$R$1387))</f>
        <v>10</v>
      </c>
      <c r="U93">
        <f t="shared" si="9"/>
        <v>18</v>
      </c>
      <c r="V93">
        <f t="shared" si="10"/>
        <v>0.83333333333333337</v>
      </c>
      <c r="W93" cm="1">
        <f t="array" ref="W93">_xlfn.IFS(N93=1,5,N93=2,4,N93=4,2,N93=5,1,N93=3,3)</f>
        <v>2</v>
      </c>
      <c r="X93">
        <f t="shared" si="11"/>
        <v>23</v>
      </c>
      <c r="Y93" cm="1">
        <f t="array" ref="Y93">MAX(IF($C$2:$C$1387=C93,$X$2:$X$1387))</f>
        <v>29</v>
      </c>
      <c r="Z93" cm="1">
        <f t="array" ref="Z93">MIN(IF($C$2:$C$1387=C93,$X$2:$X$1387))</f>
        <v>12</v>
      </c>
      <c r="AA93">
        <f t="shared" si="12"/>
        <v>17</v>
      </c>
      <c r="AB93">
        <f t="shared" si="13"/>
        <v>0.6470588235294118</v>
      </c>
    </row>
    <row r="94" spans="1:28" x14ac:dyDescent="0.25">
      <c r="A94" t="s">
        <v>58</v>
      </c>
      <c r="B94" t="s">
        <v>59</v>
      </c>
      <c r="C94">
        <v>2012</v>
      </c>
      <c r="D94">
        <v>6.7834722222222227E-2</v>
      </c>
      <c r="E94">
        <v>0.76991022858796299</v>
      </c>
      <c r="F94">
        <v>0.12090745081018518</v>
      </c>
      <c r="G94">
        <v>2.1972245773362196</v>
      </c>
      <c r="H94">
        <v>0.66666666666666663</v>
      </c>
      <c r="I94">
        <v>1</v>
      </c>
      <c r="J94">
        <v>0</v>
      </c>
      <c r="K94">
        <v>2</v>
      </c>
      <c r="L94">
        <v>4</v>
      </c>
      <c r="M94">
        <v>4</v>
      </c>
      <c r="N94">
        <v>4</v>
      </c>
      <c r="O94">
        <v>3</v>
      </c>
      <c r="P94">
        <v>3</v>
      </c>
      <c r="Q94">
        <f t="shared" si="7"/>
        <v>5</v>
      </c>
      <c r="R94">
        <f t="shared" si="8"/>
        <v>25</v>
      </c>
      <c r="S94">
        <f t="array" ref="S94">MAX(IF($C$2:$C$1387=C94,$R$2:$R$1387))</f>
        <v>29</v>
      </c>
      <c r="T94" cm="1">
        <f t="array" ref="T94">MIN(IF($C$2:$C$1387=C94,$R$2:$R$1387))</f>
        <v>11</v>
      </c>
      <c r="U94">
        <f t="shared" si="9"/>
        <v>18</v>
      </c>
      <c r="V94">
        <f t="shared" si="10"/>
        <v>0.77777777777777779</v>
      </c>
      <c r="W94" cm="1">
        <f t="array" ref="W94">_xlfn.IFS(N94=1,5,N94=2,4,N94=4,2,N94=5,1,N94=3,3)</f>
        <v>2</v>
      </c>
      <c r="X94">
        <f t="shared" si="11"/>
        <v>23</v>
      </c>
      <c r="Y94" cm="1">
        <f t="array" ref="Y94">MAX(IF($C$2:$C$1387=C94,$X$2:$X$1387))</f>
        <v>30</v>
      </c>
      <c r="Z94" cm="1">
        <f t="array" ref="Z94">MIN(IF($C$2:$C$1387=C94,$X$2:$X$1387))</f>
        <v>12</v>
      </c>
      <c r="AA94">
        <f t="shared" si="12"/>
        <v>18</v>
      </c>
      <c r="AB94">
        <f t="shared" si="13"/>
        <v>0.61111111111111116</v>
      </c>
    </row>
    <row r="95" spans="1:28" x14ac:dyDescent="0.25">
      <c r="A95" t="s">
        <v>58</v>
      </c>
      <c r="B95" t="s">
        <v>59</v>
      </c>
      <c r="C95">
        <v>2013</v>
      </c>
      <c r="D95">
        <v>6.7834722222222227E-2</v>
      </c>
      <c r="E95">
        <v>0.76991022858796299</v>
      </c>
      <c r="F95">
        <v>0.12090745081018518</v>
      </c>
      <c r="G95">
        <v>1.791759469228055</v>
      </c>
      <c r="H95">
        <v>0.66666666666666663</v>
      </c>
      <c r="I95">
        <v>1</v>
      </c>
      <c r="J95">
        <v>0</v>
      </c>
      <c r="K95">
        <v>3</v>
      </c>
      <c r="L95">
        <v>4</v>
      </c>
      <c r="M95">
        <v>4</v>
      </c>
      <c r="N95">
        <v>1</v>
      </c>
      <c r="O95">
        <v>4</v>
      </c>
      <c r="P95">
        <v>3</v>
      </c>
      <c r="Q95">
        <f t="shared" si="7"/>
        <v>5</v>
      </c>
      <c r="R95">
        <f t="shared" si="8"/>
        <v>24</v>
      </c>
      <c r="S95">
        <f t="array" ref="S95">MAX(IF($C$2:$C$1387=C95,$R$2:$R$1387))</f>
        <v>29</v>
      </c>
      <c r="T95" cm="1">
        <f t="array" ref="T95">MIN(IF($C$2:$C$1387=C95,$R$2:$R$1387))</f>
        <v>10</v>
      </c>
      <c r="U95">
        <f t="shared" si="9"/>
        <v>19</v>
      </c>
      <c r="V95">
        <f t="shared" si="10"/>
        <v>0.73684210526315785</v>
      </c>
      <c r="W95" cm="1">
        <f t="array" ref="W95">_xlfn.IFS(N95=1,5,N95=2,4,N95=4,2,N95=5,1,N95=3,3)</f>
        <v>5</v>
      </c>
      <c r="X95">
        <f t="shared" si="11"/>
        <v>28</v>
      </c>
      <c r="Y95" cm="1">
        <f t="array" ref="Y95">MAX(IF($C$2:$C$1387=C95,$X$2:$X$1387))</f>
        <v>32</v>
      </c>
      <c r="Z95" cm="1">
        <f t="array" ref="Z95">MIN(IF($C$2:$C$1387=C95,$X$2:$X$1387))</f>
        <v>10</v>
      </c>
      <c r="AA95">
        <f t="shared" si="12"/>
        <v>22</v>
      </c>
      <c r="AB95">
        <f t="shared" si="13"/>
        <v>0.81818181818181823</v>
      </c>
    </row>
    <row r="96" spans="1:28" x14ac:dyDescent="0.25">
      <c r="A96" t="s">
        <v>58</v>
      </c>
      <c r="B96" t="s">
        <v>59</v>
      </c>
      <c r="C96">
        <v>2014</v>
      </c>
      <c r="D96">
        <v>6.7834722222222227E-2</v>
      </c>
      <c r="E96">
        <v>0.76991022858796299</v>
      </c>
      <c r="F96">
        <v>0.12090745081018518</v>
      </c>
      <c r="G96">
        <v>1.791759469228055</v>
      </c>
      <c r="H96">
        <v>0.66666666666666663</v>
      </c>
      <c r="I96">
        <v>1</v>
      </c>
      <c r="J96">
        <v>0</v>
      </c>
      <c r="K96">
        <v>3</v>
      </c>
      <c r="L96">
        <v>4</v>
      </c>
      <c r="M96">
        <v>4</v>
      </c>
      <c r="N96">
        <v>1</v>
      </c>
      <c r="O96">
        <v>4</v>
      </c>
      <c r="P96">
        <v>3</v>
      </c>
      <c r="Q96">
        <f t="shared" si="7"/>
        <v>5</v>
      </c>
      <c r="R96">
        <f t="shared" si="8"/>
        <v>24</v>
      </c>
      <c r="S96">
        <f t="array" ref="S96">MAX(IF($C$2:$C$1387=C96,$R$2:$R$1387))</f>
        <v>29</v>
      </c>
      <c r="T96" cm="1">
        <f t="array" ref="T96">MIN(IF($C$2:$C$1387=C96,$R$2:$R$1387))</f>
        <v>11</v>
      </c>
      <c r="U96">
        <f t="shared" si="9"/>
        <v>18</v>
      </c>
      <c r="V96">
        <f t="shared" si="10"/>
        <v>0.72222222222222221</v>
      </c>
      <c r="W96" cm="1">
        <f t="array" ref="W96">_xlfn.IFS(N96=1,5,N96=2,4,N96=4,2,N96=5,1,N96=3,3)</f>
        <v>5</v>
      </c>
      <c r="X96">
        <f t="shared" si="11"/>
        <v>28</v>
      </c>
      <c r="Y96" cm="1">
        <f t="array" ref="Y96">MAX(IF($C$2:$C$1387=C96,$X$2:$X$1387))</f>
        <v>30</v>
      </c>
      <c r="Z96" cm="1">
        <f t="array" ref="Z96">MIN(IF($C$2:$C$1387=C96,$X$2:$X$1387))</f>
        <v>14</v>
      </c>
      <c r="AA96">
        <f t="shared" si="12"/>
        <v>16</v>
      </c>
      <c r="AB96">
        <f t="shared" si="13"/>
        <v>0.875</v>
      </c>
    </row>
    <row r="97" spans="1:28" x14ac:dyDescent="0.25">
      <c r="A97" t="s">
        <v>58</v>
      </c>
      <c r="B97" t="s">
        <v>59</v>
      </c>
      <c r="C97">
        <v>2015</v>
      </c>
      <c r="D97">
        <v>6.7834722222222227E-2</v>
      </c>
      <c r="E97">
        <v>0.76991022858796299</v>
      </c>
      <c r="F97">
        <v>0.12090745081018518</v>
      </c>
      <c r="G97">
        <v>1.791759469228055</v>
      </c>
      <c r="H97">
        <v>0.66666666666666663</v>
      </c>
      <c r="I97">
        <v>1</v>
      </c>
      <c r="J97">
        <v>0</v>
      </c>
      <c r="K97">
        <v>3</v>
      </c>
      <c r="L97">
        <v>4</v>
      </c>
      <c r="M97">
        <v>4</v>
      </c>
      <c r="N97">
        <v>1</v>
      </c>
      <c r="O97">
        <v>2</v>
      </c>
      <c r="P97">
        <v>2</v>
      </c>
      <c r="Q97">
        <f t="shared" si="7"/>
        <v>5</v>
      </c>
      <c r="R97">
        <f t="shared" si="8"/>
        <v>21</v>
      </c>
      <c r="S97">
        <f t="array" ref="S97">MAX(IF($C$2:$C$1387=C97,$R$2:$R$1387))</f>
        <v>29</v>
      </c>
      <c r="T97" cm="1">
        <f t="array" ref="T97">MIN(IF($C$2:$C$1387=C97,$R$2:$R$1387))</f>
        <v>11</v>
      </c>
      <c r="U97">
        <f t="shared" si="9"/>
        <v>18</v>
      </c>
      <c r="V97">
        <f t="shared" si="10"/>
        <v>0.55555555555555558</v>
      </c>
      <c r="W97" cm="1">
        <f t="array" ref="W97">_xlfn.IFS(N97=1,5,N97=2,4,N97=4,2,N97=5,1,N97=3,3)</f>
        <v>5</v>
      </c>
      <c r="X97">
        <f t="shared" si="11"/>
        <v>25</v>
      </c>
      <c r="Y97" cm="1">
        <f t="array" ref="Y97">MAX(IF($C$2:$C$1387=C97,$X$2:$X$1387))</f>
        <v>29</v>
      </c>
      <c r="Z97" cm="1">
        <f t="array" ref="Z97">MIN(IF($C$2:$C$1387=C97,$X$2:$X$1387))</f>
        <v>12</v>
      </c>
      <c r="AA97">
        <f t="shared" si="12"/>
        <v>17</v>
      </c>
      <c r="AB97">
        <f t="shared" si="13"/>
        <v>0.76470588235294112</v>
      </c>
    </row>
    <row r="98" spans="1:28" x14ac:dyDescent="0.25">
      <c r="A98" t="s">
        <v>60</v>
      </c>
      <c r="B98" t="s">
        <v>61</v>
      </c>
      <c r="C98">
        <v>2010</v>
      </c>
      <c r="D98">
        <v>0</v>
      </c>
      <c r="E98">
        <v>0.85932863181039876</v>
      </c>
      <c r="F98">
        <v>0.10849211297735636</v>
      </c>
      <c r="G98">
        <v>1.791759469228055</v>
      </c>
      <c r="H98">
        <v>0</v>
      </c>
      <c r="I98">
        <v>1</v>
      </c>
      <c r="J98">
        <v>0</v>
      </c>
      <c r="K98">
        <v>1</v>
      </c>
      <c r="L98">
        <v>5</v>
      </c>
      <c r="M98">
        <v>4</v>
      </c>
      <c r="N98">
        <v>1</v>
      </c>
      <c r="O98">
        <v>1</v>
      </c>
      <c r="P98">
        <v>3</v>
      </c>
      <c r="Q98">
        <f t="shared" si="7"/>
        <v>5</v>
      </c>
      <c r="R98">
        <f t="shared" si="8"/>
        <v>20</v>
      </c>
      <c r="S98">
        <f t="array" ref="S98">MAX(IF($C$2:$C$1387=C98,$R$2:$R$1387))</f>
        <v>29</v>
      </c>
      <c r="T98" cm="1">
        <f t="array" ref="T98">MIN(IF($C$2:$C$1387=C98,$R$2:$R$1387))</f>
        <v>9</v>
      </c>
      <c r="U98">
        <f t="shared" si="9"/>
        <v>20</v>
      </c>
      <c r="V98">
        <f t="shared" si="10"/>
        <v>0.55000000000000004</v>
      </c>
      <c r="W98" cm="1">
        <f t="array" ref="W98">_xlfn.IFS(N98=1,5,N98=2,4,N98=4,2,N98=5,1,N98=3,3)</f>
        <v>5</v>
      </c>
      <c r="X98">
        <f t="shared" si="11"/>
        <v>24</v>
      </c>
      <c r="Y98" cm="1">
        <f t="array" ref="Y98">MAX(IF($C$2:$C$1387=C98,$X$2:$X$1387))</f>
        <v>29</v>
      </c>
      <c r="Z98" cm="1">
        <f t="array" ref="Z98">MIN(IF($C$2:$C$1387=C98,$X$2:$X$1387))</f>
        <v>12</v>
      </c>
      <c r="AA98">
        <f t="shared" si="12"/>
        <v>17</v>
      </c>
      <c r="AB98">
        <f t="shared" si="13"/>
        <v>0.70588235294117652</v>
      </c>
    </row>
    <row r="99" spans="1:28" x14ac:dyDescent="0.25">
      <c r="A99" t="s">
        <v>60</v>
      </c>
      <c r="B99" t="s">
        <v>61</v>
      </c>
      <c r="C99">
        <v>2011</v>
      </c>
      <c r="D99">
        <v>0</v>
      </c>
      <c r="E99">
        <v>0.85932863181039876</v>
      </c>
      <c r="F99">
        <v>0.10849211297735636</v>
      </c>
      <c r="G99">
        <v>1.791759469228055</v>
      </c>
      <c r="H99">
        <v>0</v>
      </c>
      <c r="I99">
        <v>1</v>
      </c>
      <c r="J99">
        <v>1</v>
      </c>
      <c r="K99">
        <v>1</v>
      </c>
      <c r="L99">
        <v>5</v>
      </c>
      <c r="M99">
        <v>4</v>
      </c>
      <c r="N99">
        <v>1</v>
      </c>
      <c r="O99">
        <v>1</v>
      </c>
      <c r="P99">
        <v>3</v>
      </c>
      <c r="Q99">
        <f t="shared" si="7"/>
        <v>1</v>
      </c>
      <c r="R99">
        <f t="shared" si="8"/>
        <v>16</v>
      </c>
      <c r="S99">
        <f t="array" ref="S99">MAX(IF($C$2:$C$1387=C99,$R$2:$R$1387))</f>
        <v>28</v>
      </c>
      <c r="T99" cm="1">
        <f t="array" ref="T99">MIN(IF($C$2:$C$1387=C99,$R$2:$R$1387))</f>
        <v>10</v>
      </c>
      <c r="U99">
        <f t="shared" si="9"/>
        <v>18</v>
      </c>
      <c r="V99">
        <f t="shared" si="10"/>
        <v>0.33333333333333331</v>
      </c>
      <c r="W99" cm="1">
        <f t="array" ref="W99">_xlfn.IFS(N99=1,5,N99=2,4,N99=4,2,N99=5,1,N99=3,3)</f>
        <v>5</v>
      </c>
      <c r="X99">
        <f t="shared" si="11"/>
        <v>20</v>
      </c>
      <c r="Y99" cm="1">
        <f t="array" ref="Y99">MAX(IF($C$2:$C$1387=C99,$X$2:$X$1387))</f>
        <v>29</v>
      </c>
      <c r="Z99" cm="1">
        <f t="array" ref="Z99">MIN(IF($C$2:$C$1387=C99,$X$2:$X$1387))</f>
        <v>12</v>
      </c>
      <c r="AA99">
        <f t="shared" si="12"/>
        <v>17</v>
      </c>
      <c r="AB99">
        <f t="shared" si="13"/>
        <v>0.47058823529411764</v>
      </c>
    </row>
    <row r="100" spans="1:28" x14ac:dyDescent="0.25">
      <c r="A100" t="s">
        <v>60</v>
      </c>
      <c r="B100" t="s">
        <v>61</v>
      </c>
      <c r="C100">
        <v>2012</v>
      </c>
      <c r="D100">
        <v>0</v>
      </c>
      <c r="E100">
        <v>0.85952720803498905</v>
      </c>
      <c r="F100">
        <v>0.14893158223982317</v>
      </c>
      <c r="G100">
        <v>1.9459101490553132</v>
      </c>
      <c r="H100">
        <v>0.5714285714285714</v>
      </c>
      <c r="I100">
        <v>1</v>
      </c>
      <c r="J100">
        <v>1</v>
      </c>
      <c r="K100">
        <v>1</v>
      </c>
      <c r="L100">
        <v>5</v>
      </c>
      <c r="M100">
        <v>4</v>
      </c>
      <c r="N100">
        <v>1</v>
      </c>
      <c r="O100">
        <v>2</v>
      </c>
      <c r="P100">
        <v>3</v>
      </c>
      <c r="Q100">
        <f t="shared" si="7"/>
        <v>1</v>
      </c>
      <c r="R100">
        <f t="shared" si="8"/>
        <v>17</v>
      </c>
      <c r="S100">
        <f t="array" ref="S100">MAX(IF($C$2:$C$1387=C100,$R$2:$R$1387))</f>
        <v>29</v>
      </c>
      <c r="T100" cm="1">
        <f t="array" ref="T100">MIN(IF($C$2:$C$1387=C100,$R$2:$R$1387))</f>
        <v>11</v>
      </c>
      <c r="U100">
        <f t="shared" si="9"/>
        <v>18</v>
      </c>
      <c r="V100">
        <f t="shared" si="10"/>
        <v>0.33333333333333331</v>
      </c>
      <c r="W100" cm="1">
        <f t="array" ref="W100">_xlfn.IFS(N100=1,5,N100=2,4,N100=4,2,N100=5,1,N100=3,3)</f>
        <v>5</v>
      </c>
      <c r="X100">
        <f t="shared" si="11"/>
        <v>21</v>
      </c>
      <c r="Y100" cm="1">
        <f t="array" ref="Y100">MAX(IF($C$2:$C$1387=C100,$X$2:$X$1387))</f>
        <v>30</v>
      </c>
      <c r="Z100" cm="1">
        <f t="array" ref="Z100">MIN(IF($C$2:$C$1387=C100,$X$2:$X$1387))</f>
        <v>12</v>
      </c>
      <c r="AA100">
        <f t="shared" si="12"/>
        <v>18</v>
      </c>
      <c r="AB100">
        <f t="shared" si="13"/>
        <v>0.5</v>
      </c>
    </row>
    <row r="101" spans="1:28" x14ac:dyDescent="0.25">
      <c r="A101" t="s">
        <v>60</v>
      </c>
      <c r="B101" t="s">
        <v>61</v>
      </c>
      <c r="C101">
        <v>2013</v>
      </c>
      <c r="D101">
        <v>0</v>
      </c>
      <c r="E101">
        <v>0.85023117350107413</v>
      </c>
      <c r="F101">
        <v>6.4033226448031749E-2</v>
      </c>
      <c r="G101">
        <v>1.9459101490553132</v>
      </c>
      <c r="H101">
        <v>0.5714285714285714</v>
      </c>
      <c r="I101">
        <v>1</v>
      </c>
      <c r="J101">
        <v>1</v>
      </c>
      <c r="K101">
        <v>1</v>
      </c>
      <c r="L101">
        <v>4</v>
      </c>
      <c r="M101">
        <v>3</v>
      </c>
      <c r="N101">
        <v>1</v>
      </c>
      <c r="O101">
        <v>2</v>
      </c>
      <c r="P101">
        <v>3</v>
      </c>
      <c r="Q101">
        <f t="shared" si="7"/>
        <v>1</v>
      </c>
      <c r="R101">
        <f t="shared" si="8"/>
        <v>15</v>
      </c>
      <c r="S101">
        <f t="array" ref="S101">MAX(IF($C$2:$C$1387=C101,$R$2:$R$1387))</f>
        <v>29</v>
      </c>
      <c r="T101" cm="1">
        <f t="array" ref="T101">MIN(IF($C$2:$C$1387=C101,$R$2:$R$1387))</f>
        <v>10</v>
      </c>
      <c r="U101">
        <f t="shared" si="9"/>
        <v>19</v>
      </c>
      <c r="V101">
        <f t="shared" si="10"/>
        <v>0.26315789473684209</v>
      </c>
      <c r="W101" cm="1">
        <f t="array" ref="W101">_xlfn.IFS(N101=1,5,N101=2,4,N101=4,2,N101=5,1,N101=3,3)</f>
        <v>5</v>
      </c>
      <c r="X101">
        <f t="shared" si="11"/>
        <v>19</v>
      </c>
      <c r="Y101" cm="1">
        <f t="array" ref="Y101">MAX(IF($C$2:$C$1387=C101,$X$2:$X$1387))</f>
        <v>32</v>
      </c>
      <c r="Z101" cm="1">
        <f t="array" ref="Z101">MIN(IF($C$2:$C$1387=C101,$X$2:$X$1387))</f>
        <v>10</v>
      </c>
      <c r="AA101">
        <f t="shared" si="12"/>
        <v>22</v>
      </c>
      <c r="AB101">
        <f t="shared" si="13"/>
        <v>0.40909090909090912</v>
      </c>
    </row>
    <row r="102" spans="1:28" x14ac:dyDescent="0.25">
      <c r="A102" t="s">
        <v>60</v>
      </c>
      <c r="B102" t="s">
        <v>61</v>
      </c>
      <c r="C102">
        <v>2014</v>
      </c>
      <c r="D102">
        <v>0</v>
      </c>
      <c r="E102">
        <v>0.84689626533371165</v>
      </c>
      <c r="F102">
        <v>0.11702637687258478</v>
      </c>
      <c r="G102">
        <v>1.9459101490553132</v>
      </c>
      <c r="H102">
        <v>0.5714285714285714</v>
      </c>
      <c r="I102">
        <v>1</v>
      </c>
      <c r="J102">
        <v>1</v>
      </c>
      <c r="K102">
        <v>1</v>
      </c>
      <c r="L102">
        <v>4</v>
      </c>
      <c r="M102">
        <v>4</v>
      </c>
      <c r="N102">
        <v>1</v>
      </c>
      <c r="O102">
        <v>2</v>
      </c>
      <c r="P102">
        <v>3</v>
      </c>
      <c r="Q102">
        <f t="shared" si="7"/>
        <v>1</v>
      </c>
      <c r="R102">
        <f t="shared" si="8"/>
        <v>16</v>
      </c>
      <c r="S102">
        <f t="array" ref="S102">MAX(IF($C$2:$C$1387=C102,$R$2:$R$1387))</f>
        <v>29</v>
      </c>
      <c r="T102" cm="1">
        <f t="array" ref="T102">MIN(IF($C$2:$C$1387=C102,$R$2:$R$1387))</f>
        <v>11</v>
      </c>
      <c r="U102">
        <f t="shared" si="9"/>
        <v>18</v>
      </c>
      <c r="V102">
        <f t="shared" si="10"/>
        <v>0.27777777777777779</v>
      </c>
      <c r="W102" cm="1">
        <f t="array" ref="W102">_xlfn.IFS(N102=1,5,N102=2,4,N102=4,2,N102=5,1,N102=3,3)</f>
        <v>5</v>
      </c>
      <c r="X102">
        <f t="shared" si="11"/>
        <v>20</v>
      </c>
      <c r="Y102" cm="1">
        <f t="array" ref="Y102">MAX(IF($C$2:$C$1387=C102,$X$2:$X$1387))</f>
        <v>30</v>
      </c>
      <c r="Z102" cm="1">
        <f t="array" ref="Z102">MIN(IF($C$2:$C$1387=C102,$X$2:$X$1387))</f>
        <v>14</v>
      </c>
      <c r="AA102">
        <f t="shared" si="12"/>
        <v>16</v>
      </c>
      <c r="AB102">
        <f t="shared" si="13"/>
        <v>0.375</v>
      </c>
    </row>
    <row r="103" spans="1:28" x14ac:dyDescent="0.25">
      <c r="A103" t="s">
        <v>60</v>
      </c>
      <c r="B103" t="s">
        <v>61</v>
      </c>
      <c r="C103">
        <v>2015</v>
      </c>
      <c r="D103">
        <v>0</v>
      </c>
      <c r="E103">
        <v>0.84209573273322569</v>
      </c>
      <c r="F103">
        <v>0.11348278048100349</v>
      </c>
      <c r="G103">
        <v>1.9459101490553132</v>
      </c>
      <c r="H103">
        <v>0.5714285714285714</v>
      </c>
      <c r="I103">
        <v>1</v>
      </c>
      <c r="J103">
        <v>1</v>
      </c>
      <c r="K103">
        <v>1</v>
      </c>
      <c r="L103">
        <v>5</v>
      </c>
      <c r="M103">
        <v>4</v>
      </c>
      <c r="N103">
        <v>1</v>
      </c>
      <c r="O103">
        <v>1</v>
      </c>
      <c r="P103">
        <v>2</v>
      </c>
      <c r="Q103">
        <f t="shared" si="7"/>
        <v>1</v>
      </c>
      <c r="R103">
        <f t="shared" si="8"/>
        <v>15</v>
      </c>
      <c r="S103">
        <f t="array" ref="S103">MAX(IF($C$2:$C$1387=C103,$R$2:$R$1387))</f>
        <v>29</v>
      </c>
      <c r="T103" cm="1">
        <f t="array" ref="T103">MIN(IF($C$2:$C$1387=C103,$R$2:$R$1387))</f>
        <v>11</v>
      </c>
      <c r="U103">
        <f t="shared" si="9"/>
        <v>18</v>
      </c>
      <c r="V103">
        <f t="shared" si="10"/>
        <v>0.22222222222222221</v>
      </c>
      <c r="W103" cm="1">
        <f t="array" ref="W103">_xlfn.IFS(N103=1,5,N103=2,4,N103=4,2,N103=5,1,N103=3,3)</f>
        <v>5</v>
      </c>
      <c r="X103">
        <f t="shared" si="11"/>
        <v>19</v>
      </c>
      <c r="Y103" cm="1">
        <f t="array" ref="Y103">MAX(IF($C$2:$C$1387=C103,$X$2:$X$1387))</f>
        <v>29</v>
      </c>
      <c r="Z103" cm="1">
        <f t="array" ref="Z103">MIN(IF($C$2:$C$1387=C103,$X$2:$X$1387))</f>
        <v>12</v>
      </c>
      <c r="AA103">
        <f t="shared" si="12"/>
        <v>17</v>
      </c>
      <c r="AB103">
        <f t="shared" si="13"/>
        <v>0.41176470588235292</v>
      </c>
    </row>
    <row r="104" spans="1:28" x14ac:dyDescent="0.25">
      <c r="A104" t="s">
        <v>62</v>
      </c>
      <c r="B104" t="s">
        <v>63</v>
      </c>
      <c r="C104">
        <v>2010</v>
      </c>
      <c r="D104">
        <v>0.82949749892811209</v>
      </c>
      <c r="E104">
        <v>0.71616321280548811</v>
      </c>
      <c r="F104">
        <v>7.0030012862655423E-4</v>
      </c>
      <c r="G104">
        <v>1.9459101490553132</v>
      </c>
      <c r="H104">
        <v>0.42857142857142855</v>
      </c>
      <c r="I104">
        <v>0.66666666666666663</v>
      </c>
      <c r="J104">
        <v>1</v>
      </c>
      <c r="K104">
        <v>5</v>
      </c>
      <c r="L104">
        <v>3</v>
      </c>
      <c r="M104">
        <v>2</v>
      </c>
      <c r="N104">
        <v>1</v>
      </c>
      <c r="O104">
        <v>2</v>
      </c>
      <c r="P104">
        <v>1</v>
      </c>
      <c r="Q104">
        <f t="shared" si="7"/>
        <v>1</v>
      </c>
      <c r="R104">
        <f t="shared" si="8"/>
        <v>15</v>
      </c>
      <c r="S104">
        <f t="array" ref="S104">MAX(IF($C$2:$C$1387=C104,$R$2:$R$1387))</f>
        <v>29</v>
      </c>
      <c r="T104" cm="1">
        <f t="array" ref="T104">MIN(IF($C$2:$C$1387=C104,$R$2:$R$1387))</f>
        <v>9</v>
      </c>
      <c r="U104">
        <f t="shared" si="9"/>
        <v>20</v>
      </c>
      <c r="V104">
        <f t="shared" si="10"/>
        <v>0.3</v>
      </c>
      <c r="W104" cm="1">
        <f t="array" ref="W104">_xlfn.IFS(N104=1,5,N104=2,4,N104=4,2,N104=5,1,N104=3,3)</f>
        <v>5</v>
      </c>
      <c r="X104">
        <f t="shared" si="11"/>
        <v>19</v>
      </c>
      <c r="Y104" cm="1">
        <f t="array" ref="Y104">MAX(IF($C$2:$C$1387=C104,$X$2:$X$1387))</f>
        <v>29</v>
      </c>
      <c r="Z104" cm="1">
        <f t="array" ref="Z104">MIN(IF($C$2:$C$1387=C104,$X$2:$X$1387))</f>
        <v>12</v>
      </c>
      <c r="AA104">
        <f t="shared" si="12"/>
        <v>17</v>
      </c>
      <c r="AB104">
        <f t="shared" si="13"/>
        <v>0.41176470588235292</v>
      </c>
    </row>
    <row r="105" spans="1:28" x14ac:dyDescent="0.25">
      <c r="A105" t="s">
        <v>62</v>
      </c>
      <c r="B105" t="s">
        <v>63</v>
      </c>
      <c r="C105">
        <v>2011</v>
      </c>
      <c r="D105">
        <v>0.97395882044685822</v>
      </c>
      <c r="E105">
        <v>0.85729453575341819</v>
      </c>
      <c r="F105">
        <v>2.3343337620885141E-4</v>
      </c>
      <c r="G105">
        <v>2.0794415416798357</v>
      </c>
      <c r="H105">
        <v>0.5</v>
      </c>
      <c r="I105">
        <v>0.66666666666666663</v>
      </c>
      <c r="J105">
        <v>1</v>
      </c>
      <c r="K105">
        <v>5</v>
      </c>
      <c r="L105">
        <v>5</v>
      </c>
      <c r="M105">
        <v>1</v>
      </c>
      <c r="N105">
        <v>3</v>
      </c>
      <c r="O105">
        <v>2</v>
      </c>
      <c r="P105">
        <v>1</v>
      </c>
      <c r="Q105">
        <f t="shared" si="7"/>
        <v>1</v>
      </c>
      <c r="R105">
        <f t="shared" si="8"/>
        <v>18</v>
      </c>
      <c r="S105">
        <f t="array" ref="S105">MAX(IF($C$2:$C$1387=C105,$R$2:$R$1387))</f>
        <v>28</v>
      </c>
      <c r="T105" cm="1">
        <f t="array" ref="T105">MIN(IF($C$2:$C$1387=C105,$R$2:$R$1387))</f>
        <v>10</v>
      </c>
      <c r="U105">
        <f t="shared" si="9"/>
        <v>18</v>
      </c>
      <c r="V105">
        <f t="shared" si="10"/>
        <v>0.44444444444444442</v>
      </c>
      <c r="W105" cm="1">
        <f t="array" ref="W105">_xlfn.IFS(N105=1,5,N105=2,4,N105=4,2,N105=5,1,N105=3,3)</f>
        <v>3</v>
      </c>
      <c r="X105">
        <f t="shared" si="11"/>
        <v>18</v>
      </c>
      <c r="Y105" cm="1">
        <f t="array" ref="Y105">MAX(IF($C$2:$C$1387=C105,$X$2:$X$1387))</f>
        <v>29</v>
      </c>
      <c r="Z105" cm="1">
        <f t="array" ref="Z105">MIN(IF($C$2:$C$1387=C105,$X$2:$X$1387))</f>
        <v>12</v>
      </c>
      <c r="AA105">
        <f t="shared" si="12"/>
        <v>17</v>
      </c>
      <c r="AB105">
        <f t="shared" si="13"/>
        <v>0.35294117647058826</v>
      </c>
    </row>
    <row r="106" spans="1:28" x14ac:dyDescent="0.25">
      <c r="A106" t="s">
        <v>62</v>
      </c>
      <c r="B106" t="s">
        <v>63</v>
      </c>
      <c r="C106">
        <v>2012</v>
      </c>
      <c r="D106">
        <v>0.97395882044685822</v>
      </c>
      <c r="E106">
        <v>0.85729453575341819</v>
      </c>
      <c r="F106">
        <v>2.3343337620885141E-4</v>
      </c>
      <c r="G106">
        <v>2.0794415416798357</v>
      </c>
      <c r="H106">
        <v>0.5</v>
      </c>
      <c r="I106">
        <v>0.66666666666666663</v>
      </c>
      <c r="J106">
        <v>1</v>
      </c>
      <c r="K106">
        <v>5</v>
      </c>
      <c r="L106">
        <v>5</v>
      </c>
      <c r="M106">
        <v>1</v>
      </c>
      <c r="N106">
        <v>3</v>
      </c>
      <c r="O106">
        <v>2</v>
      </c>
      <c r="P106">
        <v>1</v>
      </c>
      <c r="Q106">
        <f t="shared" si="7"/>
        <v>1</v>
      </c>
      <c r="R106">
        <f t="shared" si="8"/>
        <v>18</v>
      </c>
      <c r="S106">
        <f t="array" ref="S106">MAX(IF($C$2:$C$1387=C106,$R$2:$R$1387))</f>
        <v>29</v>
      </c>
      <c r="T106" cm="1">
        <f t="array" ref="T106">MIN(IF($C$2:$C$1387=C106,$R$2:$R$1387))</f>
        <v>11</v>
      </c>
      <c r="U106">
        <f t="shared" si="9"/>
        <v>18</v>
      </c>
      <c r="V106">
        <f t="shared" si="10"/>
        <v>0.3888888888888889</v>
      </c>
      <c r="W106" cm="1">
        <f t="array" ref="W106">_xlfn.IFS(N106=1,5,N106=2,4,N106=4,2,N106=5,1,N106=3,3)</f>
        <v>3</v>
      </c>
      <c r="X106">
        <f t="shared" si="11"/>
        <v>18</v>
      </c>
      <c r="Y106" cm="1">
        <f t="array" ref="Y106">MAX(IF($C$2:$C$1387=C106,$X$2:$X$1387))</f>
        <v>30</v>
      </c>
      <c r="Z106" cm="1">
        <f t="array" ref="Z106">MIN(IF($C$2:$C$1387=C106,$X$2:$X$1387))</f>
        <v>12</v>
      </c>
      <c r="AA106">
        <f t="shared" si="12"/>
        <v>18</v>
      </c>
      <c r="AB106">
        <f t="shared" si="13"/>
        <v>0.33333333333333331</v>
      </c>
    </row>
    <row r="107" spans="1:28" x14ac:dyDescent="0.25">
      <c r="A107" t="s">
        <v>62</v>
      </c>
      <c r="B107" t="s">
        <v>63</v>
      </c>
      <c r="C107">
        <v>2013</v>
      </c>
      <c r="D107">
        <v>0.97395882044685822</v>
      </c>
      <c r="E107">
        <v>0.85729453575341819</v>
      </c>
      <c r="F107">
        <v>2.3343337620885141E-4</v>
      </c>
      <c r="G107">
        <v>2.0794415416798357</v>
      </c>
      <c r="H107">
        <v>0.5</v>
      </c>
      <c r="I107">
        <v>0.66666666666666663</v>
      </c>
      <c r="J107">
        <v>1</v>
      </c>
      <c r="K107">
        <v>5</v>
      </c>
      <c r="L107">
        <v>5</v>
      </c>
      <c r="M107">
        <v>1</v>
      </c>
      <c r="N107">
        <v>3</v>
      </c>
      <c r="O107">
        <v>2</v>
      </c>
      <c r="P107">
        <v>1</v>
      </c>
      <c r="Q107">
        <f t="shared" si="7"/>
        <v>1</v>
      </c>
      <c r="R107">
        <f t="shared" si="8"/>
        <v>18</v>
      </c>
      <c r="S107">
        <f t="array" ref="S107">MAX(IF($C$2:$C$1387=C107,$R$2:$R$1387))</f>
        <v>29</v>
      </c>
      <c r="T107" cm="1">
        <f t="array" ref="T107">MIN(IF($C$2:$C$1387=C107,$R$2:$R$1387))</f>
        <v>10</v>
      </c>
      <c r="U107">
        <f t="shared" si="9"/>
        <v>19</v>
      </c>
      <c r="V107">
        <f t="shared" si="10"/>
        <v>0.42105263157894735</v>
      </c>
      <c r="W107" cm="1">
        <f t="array" ref="W107">_xlfn.IFS(N107=1,5,N107=2,4,N107=4,2,N107=5,1,N107=3,3)</f>
        <v>3</v>
      </c>
      <c r="X107">
        <f t="shared" si="11"/>
        <v>18</v>
      </c>
      <c r="Y107" cm="1">
        <f t="array" ref="Y107">MAX(IF($C$2:$C$1387=C107,$X$2:$X$1387))</f>
        <v>32</v>
      </c>
      <c r="Z107" cm="1">
        <f t="array" ref="Z107">MIN(IF($C$2:$C$1387=C107,$X$2:$X$1387))</f>
        <v>10</v>
      </c>
      <c r="AA107">
        <f t="shared" si="12"/>
        <v>22</v>
      </c>
      <c r="AB107">
        <f t="shared" si="13"/>
        <v>0.36363636363636365</v>
      </c>
    </row>
    <row r="108" spans="1:28" x14ac:dyDescent="0.25">
      <c r="A108" t="s">
        <v>62</v>
      </c>
      <c r="B108" t="s">
        <v>63</v>
      </c>
      <c r="C108">
        <v>2014</v>
      </c>
      <c r="D108">
        <v>0.97479245390881808</v>
      </c>
      <c r="E108">
        <v>0.93644744890667431</v>
      </c>
      <c r="F108">
        <v>2.3341432042303846E-4</v>
      </c>
      <c r="G108">
        <v>2.0794415416798357</v>
      </c>
      <c r="H108">
        <v>0.5</v>
      </c>
      <c r="I108">
        <v>0.66666666666666663</v>
      </c>
      <c r="J108">
        <v>1</v>
      </c>
      <c r="K108">
        <v>5</v>
      </c>
      <c r="L108">
        <v>5</v>
      </c>
      <c r="M108">
        <v>1</v>
      </c>
      <c r="N108">
        <v>3</v>
      </c>
      <c r="O108">
        <v>2</v>
      </c>
      <c r="P108">
        <v>1</v>
      </c>
      <c r="Q108">
        <f t="shared" si="7"/>
        <v>1</v>
      </c>
      <c r="R108">
        <f t="shared" si="8"/>
        <v>18</v>
      </c>
      <c r="S108">
        <f t="array" ref="S108">MAX(IF($C$2:$C$1387=C108,$R$2:$R$1387))</f>
        <v>29</v>
      </c>
      <c r="T108" cm="1">
        <f t="array" ref="T108">MIN(IF($C$2:$C$1387=C108,$R$2:$R$1387))</f>
        <v>11</v>
      </c>
      <c r="U108">
        <f t="shared" si="9"/>
        <v>18</v>
      </c>
      <c r="V108">
        <f t="shared" si="10"/>
        <v>0.3888888888888889</v>
      </c>
      <c r="W108" cm="1">
        <f t="array" ref="W108">_xlfn.IFS(N108=1,5,N108=2,4,N108=4,2,N108=5,1,N108=3,3)</f>
        <v>3</v>
      </c>
      <c r="X108">
        <f t="shared" si="11"/>
        <v>18</v>
      </c>
      <c r="Y108" cm="1">
        <f t="array" ref="Y108">MAX(IF($C$2:$C$1387=C108,$X$2:$X$1387))</f>
        <v>30</v>
      </c>
      <c r="Z108" cm="1">
        <f t="array" ref="Z108">MIN(IF($C$2:$C$1387=C108,$X$2:$X$1387))</f>
        <v>14</v>
      </c>
      <c r="AA108">
        <f t="shared" si="12"/>
        <v>16</v>
      </c>
      <c r="AB108">
        <f t="shared" si="13"/>
        <v>0.25</v>
      </c>
    </row>
    <row r="109" spans="1:28" x14ac:dyDescent="0.25">
      <c r="A109" t="s">
        <v>62</v>
      </c>
      <c r="B109" t="s">
        <v>63</v>
      </c>
      <c r="C109">
        <v>2015</v>
      </c>
      <c r="D109">
        <v>0.97479245390881808</v>
      </c>
      <c r="E109">
        <v>0.93644744890667431</v>
      </c>
      <c r="F109">
        <v>2.3341432042303846E-4</v>
      </c>
      <c r="G109">
        <v>2.0794415416798357</v>
      </c>
      <c r="H109">
        <v>0.5</v>
      </c>
      <c r="I109">
        <v>0.66666666666666663</v>
      </c>
      <c r="J109">
        <v>1</v>
      </c>
      <c r="K109">
        <v>5</v>
      </c>
      <c r="L109">
        <v>5</v>
      </c>
      <c r="M109">
        <v>1</v>
      </c>
      <c r="N109">
        <v>3</v>
      </c>
      <c r="O109">
        <v>1</v>
      </c>
      <c r="P109">
        <v>1</v>
      </c>
      <c r="Q109">
        <f t="shared" si="7"/>
        <v>1</v>
      </c>
      <c r="R109">
        <f t="shared" si="8"/>
        <v>17</v>
      </c>
      <c r="S109">
        <f t="array" ref="S109">MAX(IF($C$2:$C$1387=C109,$R$2:$R$1387))</f>
        <v>29</v>
      </c>
      <c r="T109" cm="1">
        <f t="array" ref="T109">MIN(IF($C$2:$C$1387=C109,$R$2:$R$1387))</f>
        <v>11</v>
      </c>
      <c r="U109">
        <f t="shared" si="9"/>
        <v>18</v>
      </c>
      <c r="V109">
        <f t="shared" si="10"/>
        <v>0.33333333333333331</v>
      </c>
      <c r="W109" cm="1">
        <f t="array" ref="W109">_xlfn.IFS(N109=1,5,N109=2,4,N109=4,2,N109=5,1,N109=3,3)</f>
        <v>3</v>
      </c>
      <c r="X109">
        <f t="shared" si="11"/>
        <v>17</v>
      </c>
      <c r="Y109" cm="1">
        <f t="array" ref="Y109">MAX(IF($C$2:$C$1387=C109,$X$2:$X$1387))</f>
        <v>29</v>
      </c>
      <c r="Z109" cm="1">
        <f t="array" ref="Z109">MIN(IF($C$2:$C$1387=C109,$X$2:$X$1387))</f>
        <v>12</v>
      </c>
      <c r="AA109">
        <f t="shared" si="12"/>
        <v>17</v>
      </c>
      <c r="AB109">
        <f t="shared" si="13"/>
        <v>0.29411764705882354</v>
      </c>
    </row>
    <row r="110" spans="1:28" x14ac:dyDescent="0.25">
      <c r="A110" t="s">
        <v>64</v>
      </c>
      <c r="B110" t="s">
        <v>65</v>
      </c>
      <c r="C110">
        <v>2010</v>
      </c>
      <c r="D110">
        <v>0.40053370231271002</v>
      </c>
      <c r="E110">
        <v>0.724550306384661</v>
      </c>
      <c r="F110">
        <v>2.6362258680898729E-2</v>
      </c>
      <c r="G110">
        <v>1.9459101490553132</v>
      </c>
      <c r="H110">
        <v>0.5714285714285714</v>
      </c>
      <c r="I110">
        <v>1</v>
      </c>
      <c r="J110">
        <v>0</v>
      </c>
      <c r="K110">
        <v>4</v>
      </c>
      <c r="L110">
        <v>4</v>
      </c>
      <c r="M110">
        <v>3</v>
      </c>
      <c r="N110">
        <v>1</v>
      </c>
      <c r="O110">
        <v>2</v>
      </c>
      <c r="P110">
        <v>3</v>
      </c>
      <c r="Q110">
        <f t="shared" si="7"/>
        <v>5</v>
      </c>
      <c r="R110">
        <f t="shared" si="8"/>
        <v>22</v>
      </c>
      <c r="S110">
        <f t="array" ref="S110">MAX(IF($C$2:$C$1387=C110,$R$2:$R$1387))</f>
        <v>29</v>
      </c>
      <c r="T110" cm="1">
        <f t="array" ref="T110">MIN(IF($C$2:$C$1387=C110,$R$2:$R$1387))</f>
        <v>9</v>
      </c>
      <c r="U110">
        <f t="shared" si="9"/>
        <v>20</v>
      </c>
      <c r="V110">
        <f t="shared" si="10"/>
        <v>0.65</v>
      </c>
      <c r="W110" cm="1">
        <f t="array" ref="W110">_xlfn.IFS(N110=1,5,N110=2,4,N110=4,2,N110=5,1,N110=3,3)</f>
        <v>5</v>
      </c>
      <c r="X110">
        <f t="shared" si="11"/>
        <v>26</v>
      </c>
      <c r="Y110" cm="1">
        <f t="array" ref="Y110">MAX(IF($C$2:$C$1387=C110,$X$2:$X$1387))</f>
        <v>29</v>
      </c>
      <c r="Z110" cm="1">
        <f t="array" ref="Z110">MIN(IF($C$2:$C$1387=C110,$X$2:$X$1387))</f>
        <v>12</v>
      </c>
      <c r="AA110">
        <f t="shared" si="12"/>
        <v>17</v>
      </c>
      <c r="AB110">
        <f t="shared" si="13"/>
        <v>0.82352941176470584</v>
      </c>
    </row>
    <row r="111" spans="1:28" x14ac:dyDescent="0.25">
      <c r="A111" t="s">
        <v>64</v>
      </c>
      <c r="B111" t="s">
        <v>65</v>
      </c>
      <c r="C111">
        <v>2011</v>
      </c>
      <c r="D111">
        <v>0.40053370231271002</v>
      </c>
      <c r="E111">
        <v>0.724550306384661</v>
      </c>
      <c r="F111">
        <v>2.6362258680898729E-2</v>
      </c>
      <c r="G111">
        <v>1.9459101490553132</v>
      </c>
      <c r="H111">
        <v>0.5714285714285714</v>
      </c>
      <c r="I111">
        <v>1</v>
      </c>
      <c r="J111">
        <v>0</v>
      </c>
      <c r="K111">
        <v>4</v>
      </c>
      <c r="L111">
        <v>3</v>
      </c>
      <c r="M111">
        <v>2</v>
      </c>
      <c r="N111">
        <v>1</v>
      </c>
      <c r="O111">
        <v>2</v>
      </c>
      <c r="P111">
        <v>3</v>
      </c>
      <c r="Q111">
        <f t="shared" si="7"/>
        <v>5</v>
      </c>
      <c r="R111">
        <f t="shared" si="8"/>
        <v>20</v>
      </c>
      <c r="S111">
        <f t="array" ref="S111">MAX(IF($C$2:$C$1387=C111,$R$2:$R$1387))</f>
        <v>28</v>
      </c>
      <c r="T111" cm="1">
        <f t="array" ref="T111">MIN(IF($C$2:$C$1387=C111,$R$2:$R$1387))</f>
        <v>10</v>
      </c>
      <c r="U111">
        <f t="shared" si="9"/>
        <v>18</v>
      </c>
      <c r="V111">
        <f t="shared" si="10"/>
        <v>0.55555555555555558</v>
      </c>
      <c r="W111" cm="1">
        <f t="array" ref="W111">_xlfn.IFS(N111=1,5,N111=2,4,N111=4,2,N111=5,1,N111=3,3)</f>
        <v>5</v>
      </c>
      <c r="X111">
        <f t="shared" si="11"/>
        <v>24</v>
      </c>
      <c r="Y111" cm="1">
        <f t="array" ref="Y111">MAX(IF($C$2:$C$1387=C111,$X$2:$X$1387))</f>
        <v>29</v>
      </c>
      <c r="Z111" cm="1">
        <f t="array" ref="Z111">MIN(IF($C$2:$C$1387=C111,$X$2:$X$1387))</f>
        <v>12</v>
      </c>
      <c r="AA111">
        <f t="shared" si="12"/>
        <v>17</v>
      </c>
      <c r="AB111">
        <f t="shared" si="13"/>
        <v>0.70588235294117652</v>
      </c>
    </row>
    <row r="112" spans="1:28" x14ac:dyDescent="0.25">
      <c r="A112" t="s">
        <v>64</v>
      </c>
      <c r="B112" t="s">
        <v>65</v>
      </c>
      <c r="C112">
        <v>2012</v>
      </c>
      <c r="D112">
        <v>0.40053370231271002</v>
      </c>
      <c r="E112">
        <v>0.724550306384661</v>
      </c>
      <c r="F112">
        <v>2.6362258680898729E-2</v>
      </c>
      <c r="G112">
        <v>1.9459101490553132</v>
      </c>
      <c r="H112">
        <v>0.5714285714285714</v>
      </c>
      <c r="I112">
        <v>1</v>
      </c>
      <c r="J112">
        <v>0</v>
      </c>
      <c r="K112">
        <v>4</v>
      </c>
      <c r="L112">
        <v>4</v>
      </c>
      <c r="M112">
        <v>2</v>
      </c>
      <c r="N112">
        <v>1</v>
      </c>
      <c r="O112">
        <v>2</v>
      </c>
      <c r="P112">
        <v>3</v>
      </c>
      <c r="Q112">
        <f t="shared" si="7"/>
        <v>5</v>
      </c>
      <c r="R112">
        <f t="shared" si="8"/>
        <v>21</v>
      </c>
      <c r="S112">
        <f t="array" ref="S112">MAX(IF($C$2:$C$1387=C112,$R$2:$R$1387))</f>
        <v>29</v>
      </c>
      <c r="T112" cm="1">
        <f t="array" ref="T112">MIN(IF($C$2:$C$1387=C112,$R$2:$R$1387))</f>
        <v>11</v>
      </c>
      <c r="U112">
        <f t="shared" si="9"/>
        <v>18</v>
      </c>
      <c r="V112">
        <f t="shared" si="10"/>
        <v>0.55555555555555558</v>
      </c>
      <c r="W112" cm="1">
        <f t="array" ref="W112">_xlfn.IFS(N112=1,5,N112=2,4,N112=4,2,N112=5,1,N112=3,3)</f>
        <v>5</v>
      </c>
      <c r="X112">
        <f t="shared" si="11"/>
        <v>25</v>
      </c>
      <c r="Y112" cm="1">
        <f t="array" ref="Y112">MAX(IF($C$2:$C$1387=C112,$X$2:$X$1387))</f>
        <v>30</v>
      </c>
      <c r="Z112" cm="1">
        <f t="array" ref="Z112">MIN(IF($C$2:$C$1387=C112,$X$2:$X$1387))</f>
        <v>12</v>
      </c>
      <c r="AA112">
        <f t="shared" si="12"/>
        <v>18</v>
      </c>
      <c r="AB112">
        <f t="shared" si="13"/>
        <v>0.72222222222222221</v>
      </c>
    </row>
    <row r="113" spans="1:28" x14ac:dyDescent="0.25">
      <c r="A113" t="s">
        <v>64</v>
      </c>
      <c r="B113" t="s">
        <v>65</v>
      </c>
      <c r="C113">
        <v>2013</v>
      </c>
      <c r="D113">
        <v>0.40053370231271002</v>
      </c>
      <c r="E113">
        <v>0.72491269684390858</v>
      </c>
      <c r="F113">
        <v>2.6190946827436251E-2</v>
      </c>
      <c r="G113">
        <v>1.9459101490553132</v>
      </c>
      <c r="H113">
        <v>0.5714285714285714</v>
      </c>
      <c r="I113">
        <v>1</v>
      </c>
      <c r="J113">
        <v>0</v>
      </c>
      <c r="K113">
        <v>4</v>
      </c>
      <c r="L113">
        <v>4</v>
      </c>
      <c r="M113">
        <v>2</v>
      </c>
      <c r="N113">
        <v>1</v>
      </c>
      <c r="O113">
        <v>2</v>
      </c>
      <c r="P113">
        <v>3</v>
      </c>
      <c r="Q113">
        <f t="shared" si="7"/>
        <v>5</v>
      </c>
      <c r="R113">
        <f t="shared" si="8"/>
        <v>21</v>
      </c>
      <c r="S113">
        <f t="array" ref="S113">MAX(IF($C$2:$C$1387=C113,$R$2:$R$1387))</f>
        <v>29</v>
      </c>
      <c r="T113" cm="1">
        <f t="array" ref="T113">MIN(IF($C$2:$C$1387=C113,$R$2:$R$1387))</f>
        <v>10</v>
      </c>
      <c r="U113">
        <f t="shared" si="9"/>
        <v>19</v>
      </c>
      <c r="V113">
        <f t="shared" si="10"/>
        <v>0.57894736842105265</v>
      </c>
      <c r="W113" cm="1">
        <f t="array" ref="W113">_xlfn.IFS(N113=1,5,N113=2,4,N113=4,2,N113=5,1,N113=3,3)</f>
        <v>5</v>
      </c>
      <c r="X113">
        <f t="shared" si="11"/>
        <v>25</v>
      </c>
      <c r="Y113" cm="1">
        <f t="array" ref="Y113">MAX(IF($C$2:$C$1387=C113,$X$2:$X$1387))</f>
        <v>32</v>
      </c>
      <c r="Z113" cm="1">
        <f t="array" ref="Z113">MIN(IF($C$2:$C$1387=C113,$X$2:$X$1387))</f>
        <v>10</v>
      </c>
      <c r="AA113">
        <f t="shared" si="12"/>
        <v>22</v>
      </c>
      <c r="AB113">
        <f t="shared" si="13"/>
        <v>0.68181818181818177</v>
      </c>
    </row>
    <row r="114" spans="1:28" x14ac:dyDescent="0.25">
      <c r="A114" t="s">
        <v>64</v>
      </c>
      <c r="B114" t="s">
        <v>65</v>
      </c>
      <c r="C114">
        <v>2014</v>
      </c>
      <c r="D114">
        <v>0.55768267773604796</v>
      </c>
      <c r="E114">
        <v>0.67556170521183367</v>
      </c>
      <c r="F114">
        <v>4.6860380839428083E-2</v>
      </c>
      <c r="G114">
        <v>1.9459101490553132</v>
      </c>
      <c r="H114">
        <v>0.2857142857142857</v>
      </c>
      <c r="I114">
        <v>1</v>
      </c>
      <c r="J114">
        <v>0</v>
      </c>
      <c r="K114">
        <v>5</v>
      </c>
      <c r="L114">
        <v>3</v>
      </c>
      <c r="M114">
        <v>3</v>
      </c>
      <c r="N114">
        <v>1</v>
      </c>
      <c r="O114">
        <v>1</v>
      </c>
      <c r="P114">
        <v>3</v>
      </c>
      <c r="Q114">
        <f t="shared" si="7"/>
        <v>5</v>
      </c>
      <c r="R114">
        <f t="shared" si="8"/>
        <v>21</v>
      </c>
      <c r="S114">
        <f t="array" ref="S114">MAX(IF($C$2:$C$1387=C114,$R$2:$R$1387))</f>
        <v>29</v>
      </c>
      <c r="T114" cm="1">
        <f t="array" ref="T114">MIN(IF($C$2:$C$1387=C114,$R$2:$R$1387))</f>
        <v>11</v>
      </c>
      <c r="U114">
        <f t="shared" si="9"/>
        <v>18</v>
      </c>
      <c r="V114">
        <f t="shared" si="10"/>
        <v>0.55555555555555558</v>
      </c>
      <c r="W114" cm="1">
        <f t="array" ref="W114">_xlfn.IFS(N114=1,5,N114=2,4,N114=4,2,N114=5,1,N114=3,3)</f>
        <v>5</v>
      </c>
      <c r="X114">
        <f t="shared" si="11"/>
        <v>25</v>
      </c>
      <c r="Y114" cm="1">
        <f t="array" ref="Y114">MAX(IF($C$2:$C$1387=C114,$X$2:$X$1387))</f>
        <v>30</v>
      </c>
      <c r="Z114" cm="1">
        <f t="array" ref="Z114">MIN(IF($C$2:$C$1387=C114,$X$2:$X$1387))</f>
        <v>14</v>
      </c>
      <c r="AA114">
        <f t="shared" si="12"/>
        <v>16</v>
      </c>
      <c r="AB114">
        <f t="shared" si="13"/>
        <v>0.6875</v>
      </c>
    </row>
    <row r="115" spans="1:28" x14ac:dyDescent="0.25">
      <c r="A115" t="s">
        <v>64</v>
      </c>
      <c r="B115" t="s">
        <v>65</v>
      </c>
      <c r="C115">
        <v>2015</v>
      </c>
      <c r="D115">
        <v>0.55768267773604796</v>
      </c>
      <c r="E115">
        <v>0.67556170521183367</v>
      </c>
      <c r="F115">
        <v>4.6860380839428083E-2</v>
      </c>
      <c r="G115">
        <v>1.9459101490553132</v>
      </c>
      <c r="H115">
        <v>0.2857142857142857</v>
      </c>
      <c r="I115">
        <v>1</v>
      </c>
      <c r="J115">
        <v>0</v>
      </c>
      <c r="K115">
        <v>5</v>
      </c>
      <c r="L115">
        <v>3</v>
      </c>
      <c r="M115">
        <v>3</v>
      </c>
      <c r="N115">
        <v>1</v>
      </c>
      <c r="O115">
        <v>1</v>
      </c>
      <c r="P115">
        <v>2</v>
      </c>
      <c r="Q115">
        <f t="shared" si="7"/>
        <v>5</v>
      </c>
      <c r="R115">
        <f t="shared" si="8"/>
        <v>20</v>
      </c>
      <c r="S115">
        <f t="array" ref="S115">MAX(IF($C$2:$C$1387=C115,$R$2:$R$1387))</f>
        <v>29</v>
      </c>
      <c r="T115" cm="1">
        <f t="array" ref="T115">MIN(IF($C$2:$C$1387=C115,$R$2:$R$1387))</f>
        <v>11</v>
      </c>
      <c r="U115">
        <f t="shared" si="9"/>
        <v>18</v>
      </c>
      <c r="V115">
        <f t="shared" si="10"/>
        <v>0.5</v>
      </c>
      <c r="W115" cm="1">
        <f t="array" ref="W115">_xlfn.IFS(N115=1,5,N115=2,4,N115=4,2,N115=5,1,N115=3,3)</f>
        <v>5</v>
      </c>
      <c r="X115">
        <f t="shared" si="11"/>
        <v>24</v>
      </c>
      <c r="Y115" cm="1">
        <f t="array" ref="Y115">MAX(IF($C$2:$C$1387=C115,$X$2:$X$1387))</f>
        <v>29</v>
      </c>
      <c r="Z115" cm="1">
        <f t="array" ref="Z115">MIN(IF($C$2:$C$1387=C115,$X$2:$X$1387))</f>
        <v>12</v>
      </c>
      <c r="AA115">
        <f t="shared" si="12"/>
        <v>17</v>
      </c>
      <c r="AB115">
        <f t="shared" si="13"/>
        <v>0.70588235294117652</v>
      </c>
    </row>
    <row r="116" spans="1:28" x14ac:dyDescent="0.25">
      <c r="A116" t="s">
        <v>66</v>
      </c>
      <c r="B116" t="s">
        <v>67</v>
      </c>
      <c r="C116">
        <v>2010</v>
      </c>
      <c r="D116">
        <v>9.9999997764825828E-5</v>
      </c>
      <c r="E116">
        <v>0.75856509294258889</v>
      </c>
      <c r="F116">
        <v>0.11190000000000001</v>
      </c>
      <c r="G116">
        <v>1.9459101490553132</v>
      </c>
      <c r="H116">
        <v>0.7142857142857143</v>
      </c>
      <c r="I116">
        <v>0.66666666666666663</v>
      </c>
      <c r="J116">
        <v>0</v>
      </c>
      <c r="K116">
        <v>1</v>
      </c>
      <c r="L116">
        <v>4</v>
      </c>
      <c r="M116">
        <v>4</v>
      </c>
      <c r="N116">
        <v>1</v>
      </c>
      <c r="O116">
        <v>4</v>
      </c>
      <c r="P116">
        <v>1</v>
      </c>
      <c r="Q116">
        <f t="shared" si="7"/>
        <v>5</v>
      </c>
      <c r="R116">
        <f t="shared" si="8"/>
        <v>20</v>
      </c>
      <c r="S116">
        <f t="array" ref="S116">MAX(IF($C$2:$C$1387=C116,$R$2:$R$1387))</f>
        <v>29</v>
      </c>
      <c r="T116" cm="1">
        <f t="array" ref="T116">MIN(IF($C$2:$C$1387=C116,$R$2:$R$1387))</f>
        <v>9</v>
      </c>
      <c r="U116">
        <f t="shared" si="9"/>
        <v>20</v>
      </c>
      <c r="V116">
        <f t="shared" si="10"/>
        <v>0.55000000000000004</v>
      </c>
      <c r="W116" cm="1">
        <f t="array" ref="W116">_xlfn.IFS(N116=1,5,N116=2,4,N116=4,2,N116=5,1,N116=3,3)</f>
        <v>5</v>
      </c>
      <c r="X116">
        <f t="shared" si="11"/>
        <v>24</v>
      </c>
      <c r="Y116" cm="1">
        <f t="array" ref="Y116">MAX(IF($C$2:$C$1387=C116,$X$2:$X$1387))</f>
        <v>29</v>
      </c>
      <c r="Z116" cm="1">
        <f t="array" ref="Z116">MIN(IF($C$2:$C$1387=C116,$X$2:$X$1387))</f>
        <v>12</v>
      </c>
      <c r="AA116">
        <f t="shared" si="12"/>
        <v>17</v>
      </c>
      <c r="AB116">
        <f t="shared" si="13"/>
        <v>0.70588235294117652</v>
      </c>
    </row>
    <row r="117" spans="1:28" x14ac:dyDescent="0.25">
      <c r="A117" t="s">
        <v>66</v>
      </c>
      <c r="B117" t="s">
        <v>67</v>
      </c>
      <c r="C117">
        <v>2011</v>
      </c>
      <c r="D117">
        <v>3.9724660433602613E-7</v>
      </c>
      <c r="E117">
        <v>0.7585650340360891</v>
      </c>
      <c r="F117">
        <v>4.3120820965722388E-2</v>
      </c>
      <c r="G117">
        <v>1.9459101490553132</v>
      </c>
      <c r="H117">
        <v>0.7142857142857143</v>
      </c>
      <c r="I117">
        <v>0.66666666666666663</v>
      </c>
      <c r="J117">
        <v>0</v>
      </c>
      <c r="K117">
        <v>1</v>
      </c>
      <c r="L117">
        <v>4</v>
      </c>
      <c r="M117">
        <v>3</v>
      </c>
      <c r="N117">
        <v>1</v>
      </c>
      <c r="O117">
        <v>4</v>
      </c>
      <c r="P117">
        <v>1</v>
      </c>
      <c r="Q117">
        <f t="shared" si="7"/>
        <v>5</v>
      </c>
      <c r="R117">
        <f t="shared" si="8"/>
        <v>19</v>
      </c>
      <c r="S117">
        <f t="array" ref="S117">MAX(IF($C$2:$C$1387=C117,$R$2:$R$1387))</f>
        <v>28</v>
      </c>
      <c r="T117" cm="1">
        <f t="array" ref="T117">MIN(IF($C$2:$C$1387=C117,$R$2:$R$1387))</f>
        <v>10</v>
      </c>
      <c r="U117">
        <f t="shared" si="9"/>
        <v>18</v>
      </c>
      <c r="V117">
        <f t="shared" si="10"/>
        <v>0.5</v>
      </c>
      <c r="W117" cm="1">
        <f t="array" ref="W117">_xlfn.IFS(N117=1,5,N117=2,4,N117=4,2,N117=5,1,N117=3,3)</f>
        <v>5</v>
      </c>
      <c r="X117">
        <f t="shared" si="11"/>
        <v>23</v>
      </c>
      <c r="Y117" cm="1">
        <f t="array" ref="Y117">MAX(IF($C$2:$C$1387=C117,$X$2:$X$1387))</f>
        <v>29</v>
      </c>
      <c r="Z117" cm="1">
        <f t="array" ref="Z117">MIN(IF($C$2:$C$1387=C117,$X$2:$X$1387))</f>
        <v>12</v>
      </c>
      <c r="AA117">
        <f t="shared" si="12"/>
        <v>17</v>
      </c>
      <c r="AB117">
        <f t="shared" si="13"/>
        <v>0.6470588235294118</v>
      </c>
    </row>
    <row r="118" spans="1:28" x14ac:dyDescent="0.25">
      <c r="A118" t="s">
        <v>66</v>
      </c>
      <c r="B118" t="s">
        <v>67</v>
      </c>
      <c r="C118">
        <v>2012</v>
      </c>
      <c r="D118">
        <v>1.9903710730309767E-4</v>
      </c>
      <c r="E118">
        <v>0.75856492673199938</v>
      </c>
      <c r="F118">
        <v>2.4053282688803455E-3</v>
      </c>
      <c r="G118">
        <v>1.9459101490553132</v>
      </c>
      <c r="H118">
        <v>0</v>
      </c>
      <c r="I118">
        <v>0.66666666666666663</v>
      </c>
      <c r="J118">
        <v>0</v>
      </c>
      <c r="K118">
        <v>1</v>
      </c>
      <c r="L118">
        <v>4</v>
      </c>
      <c r="M118">
        <v>1</v>
      </c>
      <c r="N118">
        <v>1</v>
      </c>
      <c r="O118">
        <v>1</v>
      </c>
      <c r="P118">
        <v>1</v>
      </c>
      <c r="Q118">
        <f t="shared" si="7"/>
        <v>5</v>
      </c>
      <c r="R118">
        <f t="shared" si="8"/>
        <v>14</v>
      </c>
      <c r="S118">
        <f t="array" ref="S118">MAX(IF($C$2:$C$1387=C118,$R$2:$R$1387))</f>
        <v>29</v>
      </c>
      <c r="T118" cm="1">
        <f t="array" ref="T118">MIN(IF($C$2:$C$1387=C118,$R$2:$R$1387))</f>
        <v>11</v>
      </c>
      <c r="U118">
        <f t="shared" si="9"/>
        <v>18</v>
      </c>
      <c r="V118">
        <f t="shared" si="10"/>
        <v>0.16666666666666666</v>
      </c>
      <c r="W118" cm="1">
        <f t="array" ref="W118">_xlfn.IFS(N118=1,5,N118=2,4,N118=4,2,N118=5,1,N118=3,3)</f>
        <v>5</v>
      </c>
      <c r="X118">
        <f t="shared" si="11"/>
        <v>18</v>
      </c>
      <c r="Y118" cm="1">
        <f t="array" ref="Y118">MAX(IF($C$2:$C$1387=C118,$X$2:$X$1387))</f>
        <v>30</v>
      </c>
      <c r="Z118" cm="1">
        <f t="array" ref="Z118">MIN(IF($C$2:$C$1387=C118,$X$2:$X$1387))</f>
        <v>12</v>
      </c>
      <c r="AA118">
        <f t="shared" si="12"/>
        <v>18</v>
      </c>
      <c r="AB118">
        <f t="shared" si="13"/>
        <v>0.33333333333333331</v>
      </c>
    </row>
    <row r="119" spans="1:28" x14ac:dyDescent="0.25">
      <c r="A119" t="s">
        <v>66</v>
      </c>
      <c r="B119" t="s">
        <v>67</v>
      </c>
      <c r="C119">
        <v>2013</v>
      </c>
      <c r="D119">
        <v>3.5621161328481041E-4</v>
      </c>
      <c r="E119">
        <v>0.75856480306497853</v>
      </c>
      <c r="F119">
        <v>2.0902897472849295E-2</v>
      </c>
      <c r="G119">
        <v>1.6094379124341003</v>
      </c>
      <c r="H119">
        <v>0</v>
      </c>
      <c r="I119">
        <v>0.66666666666666663</v>
      </c>
      <c r="J119">
        <v>0</v>
      </c>
      <c r="K119">
        <v>2</v>
      </c>
      <c r="L119">
        <v>4</v>
      </c>
      <c r="M119">
        <v>2</v>
      </c>
      <c r="N119">
        <v>1</v>
      </c>
      <c r="O119">
        <v>1</v>
      </c>
      <c r="P119">
        <v>1</v>
      </c>
      <c r="Q119">
        <f t="shared" si="7"/>
        <v>5</v>
      </c>
      <c r="R119">
        <f t="shared" si="8"/>
        <v>16</v>
      </c>
      <c r="S119">
        <f t="array" ref="S119">MAX(IF($C$2:$C$1387=C119,$R$2:$R$1387))</f>
        <v>29</v>
      </c>
      <c r="T119" cm="1">
        <f t="array" ref="T119">MIN(IF($C$2:$C$1387=C119,$R$2:$R$1387))</f>
        <v>10</v>
      </c>
      <c r="U119">
        <f t="shared" si="9"/>
        <v>19</v>
      </c>
      <c r="V119">
        <f t="shared" si="10"/>
        <v>0.31578947368421051</v>
      </c>
      <c r="W119" cm="1">
        <f t="array" ref="W119">_xlfn.IFS(N119=1,5,N119=2,4,N119=4,2,N119=5,1,N119=3,3)</f>
        <v>5</v>
      </c>
      <c r="X119">
        <f t="shared" si="11"/>
        <v>20</v>
      </c>
      <c r="Y119" cm="1">
        <f t="array" ref="Y119">MAX(IF($C$2:$C$1387=C119,$X$2:$X$1387))</f>
        <v>32</v>
      </c>
      <c r="Z119" cm="1">
        <f t="array" ref="Z119">MIN(IF($C$2:$C$1387=C119,$X$2:$X$1387))</f>
        <v>10</v>
      </c>
      <c r="AA119">
        <f t="shared" si="12"/>
        <v>22</v>
      </c>
      <c r="AB119">
        <f t="shared" si="13"/>
        <v>0.45454545454545453</v>
      </c>
    </row>
    <row r="120" spans="1:28" x14ac:dyDescent="0.25">
      <c r="A120" t="s">
        <v>66</v>
      </c>
      <c r="B120" t="s">
        <v>67</v>
      </c>
      <c r="C120">
        <v>2014</v>
      </c>
      <c r="D120">
        <v>4.9983422193708438E-4</v>
      </c>
      <c r="E120">
        <v>0.76252989335663024</v>
      </c>
      <c r="F120">
        <v>2.8170086625862678E-2</v>
      </c>
      <c r="G120">
        <v>1.6094379124341003</v>
      </c>
      <c r="H120">
        <v>0</v>
      </c>
      <c r="I120">
        <v>1</v>
      </c>
      <c r="J120">
        <v>0</v>
      </c>
      <c r="K120">
        <v>2</v>
      </c>
      <c r="L120">
        <v>4</v>
      </c>
      <c r="M120">
        <v>2</v>
      </c>
      <c r="N120">
        <v>1</v>
      </c>
      <c r="O120">
        <v>1</v>
      </c>
      <c r="P120">
        <v>3</v>
      </c>
      <c r="Q120">
        <f t="shared" si="7"/>
        <v>5</v>
      </c>
      <c r="R120">
        <f t="shared" si="8"/>
        <v>18</v>
      </c>
      <c r="S120">
        <f t="array" ref="S120">MAX(IF($C$2:$C$1387=C120,$R$2:$R$1387))</f>
        <v>29</v>
      </c>
      <c r="T120" cm="1">
        <f t="array" ref="T120">MIN(IF($C$2:$C$1387=C120,$R$2:$R$1387))</f>
        <v>11</v>
      </c>
      <c r="U120">
        <f t="shared" si="9"/>
        <v>18</v>
      </c>
      <c r="V120">
        <f t="shared" si="10"/>
        <v>0.3888888888888889</v>
      </c>
      <c r="W120" cm="1">
        <f t="array" ref="W120">_xlfn.IFS(N120=1,5,N120=2,4,N120=4,2,N120=5,1,N120=3,3)</f>
        <v>5</v>
      </c>
      <c r="X120">
        <f t="shared" si="11"/>
        <v>22</v>
      </c>
      <c r="Y120" cm="1">
        <f t="array" ref="Y120">MAX(IF($C$2:$C$1387=C120,$X$2:$X$1387))</f>
        <v>30</v>
      </c>
      <c r="Z120" cm="1">
        <f t="array" ref="Z120">MIN(IF($C$2:$C$1387=C120,$X$2:$X$1387))</f>
        <v>14</v>
      </c>
      <c r="AA120">
        <f t="shared" si="12"/>
        <v>16</v>
      </c>
      <c r="AB120">
        <f t="shared" si="13"/>
        <v>0.5</v>
      </c>
    </row>
    <row r="121" spans="1:28" x14ac:dyDescent="0.25">
      <c r="A121" t="s">
        <v>66</v>
      </c>
      <c r="B121" t="s">
        <v>67</v>
      </c>
      <c r="C121">
        <v>2015</v>
      </c>
      <c r="D121">
        <v>1.4402490056046146E-4</v>
      </c>
      <c r="E121">
        <v>0.76252989335663024</v>
      </c>
      <c r="F121">
        <v>3.6511404260596791E-2</v>
      </c>
      <c r="G121">
        <v>2.1972245773362196</v>
      </c>
      <c r="H121">
        <v>0.88888888888888884</v>
      </c>
      <c r="I121">
        <v>1</v>
      </c>
      <c r="J121">
        <v>0</v>
      </c>
      <c r="K121">
        <v>1</v>
      </c>
      <c r="L121">
        <v>4</v>
      </c>
      <c r="M121">
        <v>3</v>
      </c>
      <c r="N121">
        <v>4</v>
      </c>
      <c r="O121">
        <v>5</v>
      </c>
      <c r="P121">
        <v>2</v>
      </c>
      <c r="Q121">
        <f t="shared" si="7"/>
        <v>5</v>
      </c>
      <c r="R121">
        <f t="shared" si="8"/>
        <v>24</v>
      </c>
      <c r="S121">
        <f t="array" ref="S121">MAX(IF($C$2:$C$1387=C121,$R$2:$R$1387))</f>
        <v>29</v>
      </c>
      <c r="T121" cm="1">
        <f t="array" ref="T121">MIN(IF($C$2:$C$1387=C121,$R$2:$R$1387))</f>
        <v>11</v>
      </c>
      <c r="U121">
        <f t="shared" si="9"/>
        <v>18</v>
      </c>
      <c r="V121">
        <f t="shared" si="10"/>
        <v>0.72222222222222221</v>
      </c>
      <c r="W121" cm="1">
        <f t="array" ref="W121">_xlfn.IFS(N121=1,5,N121=2,4,N121=4,2,N121=5,1,N121=3,3)</f>
        <v>2</v>
      </c>
      <c r="X121">
        <f t="shared" si="11"/>
        <v>22</v>
      </c>
      <c r="Y121" cm="1">
        <f t="array" ref="Y121">MAX(IF($C$2:$C$1387=C121,$X$2:$X$1387))</f>
        <v>29</v>
      </c>
      <c r="Z121" cm="1">
        <f t="array" ref="Z121">MIN(IF($C$2:$C$1387=C121,$X$2:$X$1387))</f>
        <v>12</v>
      </c>
      <c r="AA121">
        <f t="shared" si="12"/>
        <v>17</v>
      </c>
      <c r="AB121">
        <f t="shared" si="13"/>
        <v>0.58823529411764708</v>
      </c>
    </row>
    <row r="122" spans="1:28" x14ac:dyDescent="0.25">
      <c r="A122" t="s">
        <v>68</v>
      </c>
      <c r="B122" t="s">
        <v>69</v>
      </c>
      <c r="C122">
        <v>2010</v>
      </c>
      <c r="D122">
        <v>9.9999997764825814E-5</v>
      </c>
      <c r="E122">
        <v>0.90126253412120849</v>
      </c>
      <c r="F122">
        <v>3.9999999999999996E-4</v>
      </c>
      <c r="G122">
        <v>2.1972245773362196</v>
      </c>
      <c r="H122">
        <v>0.33333333333333331</v>
      </c>
      <c r="I122">
        <v>0.66666666666666663</v>
      </c>
      <c r="J122">
        <v>0</v>
      </c>
      <c r="K122">
        <v>1</v>
      </c>
      <c r="L122">
        <v>5</v>
      </c>
      <c r="M122">
        <v>2</v>
      </c>
      <c r="N122">
        <v>4</v>
      </c>
      <c r="O122">
        <v>1</v>
      </c>
      <c r="P122">
        <v>1</v>
      </c>
      <c r="Q122">
        <f t="shared" si="7"/>
        <v>5</v>
      </c>
      <c r="R122">
        <f t="shared" si="8"/>
        <v>19</v>
      </c>
      <c r="S122">
        <f t="array" ref="S122">MAX(IF($C$2:$C$1387=C122,$R$2:$R$1387))</f>
        <v>29</v>
      </c>
      <c r="T122" cm="1">
        <f t="array" ref="T122">MIN(IF($C$2:$C$1387=C122,$R$2:$R$1387))</f>
        <v>9</v>
      </c>
      <c r="U122">
        <f t="shared" si="9"/>
        <v>20</v>
      </c>
      <c r="V122">
        <f t="shared" si="10"/>
        <v>0.5</v>
      </c>
      <c r="W122" cm="1">
        <f t="array" ref="W122">_xlfn.IFS(N122=1,5,N122=2,4,N122=4,2,N122=5,1,N122=3,3)</f>
        <v>2</v>
      </c>
      <c r="X122">
        <f t="shared" si="11"/>
        <v>17</v>
      </c>
      <c r="Y122" cm="1">
        <f t="array" ref="Y122">MAX(IF($C$2:$C$1387=C122,$X$2:$X$1387))</f>
        <v>29</v>
      </c>
      <c r="Z122" cm="1">
        <f t="array" ref="Z122">MIN(IF($C$2:$C$1387=C122,$X$2:$X$1387))</f>
        <v>12</v>
      </c>
      <c r="AA122">
        <f t="shared" si="12"/>
        <v>17</v>
      </c>
      <c r="AB122">
        <f t="shared" si="13"/>
        <v>0.29411764705882354</v>
      </c>
    </row>
    <row r="123" spans="1:28" x14ac:dyDescent="0.25">
      <c r="A123" t="s">
        <v>68</v>
      </c>
      <c r="B123" t="s">
        <v>69</v>
      </c>
      <c r="C123">
        <v>2011</v>
      </c>
      <c r="D123">
        <v>1.4778055948978043E-4</v>
      </c>
      <c r="E123">
        <v>0.90144635346673463</v>
      </c>
      <c r="F123">
        <v>8.4340750508463287E-4</v>
      </c>
      <c r="G123">
        <v>2.1972245773362196</v>
      </c>
      <c r="H123">
        <v>0</v>
      </c>
      <c r="I123">
        <v>0.66666666666666663</v>
      </c>
      <c r="J123">
        <v>0</v>
      </c>
      <c r="K123">
        <v>1</v>
      </c>
      <c r="L123">
        <v>5</v>
      </c>
      <c r="M123">
        <v>1</v>
      </c>
      <c r="N123">
        <v>4</v>
      </c>
      <c r="O123">
        <v>1</v>
      </c>
      <c r="P123">
        <v>1</v>
      </c>
      <c r="Q123">
        <f t="shared" si="7"/>
        <v>5</v>
      </c>
      <c r="R123">
        <f t="shared" si="8"/>
        <v>18</v>
      </c>
      <c r="S123">
        <f t="array" ref="S123">MAX(IF($C$2:$C$1387=C123,$R$2:$R$1387))</f>
        <v>28</v>
      </c>
      <c r="T123" cm="1">
        <f t="array" ref="T123">MIN(IF($C$2:$C$1387=C123,$R$2:$R$1387))</f>
        <v>10</v>
      </c>
      <c r="U123">
        <f t="shared" si="9"/>
        <v>18</v>
      </c>
      <c r="V123">
        <f t="shared" si="10"/>
        <v>0.44444444444444442</v>
      </c>
      <c r="W123" cm="1">
        <f t="array" ref="W123">_xlfn.IFS(N123=1,5,N123=2,4,N123=4,2,N123=5,1,N123=3,3)</f>
        <v>2</v>
      </c>
      <c r="X123">
        <f t="shared" si="11"/>
        <v>16</v>
      </c>
      <c r="Y123" cm="1">
        <f t="array" ref="Y123">MAX(IF($C$2:$C$1387=C123,$X$2:$X$1387))</f>
        <v>29</v>
      </c>
      <c r="Z123" cm="1">
        <f t="array" ref="Z123">MIN(IF($C$2:$C$1387=C123,$X$2:$X$1387))</f>
        <v>12</v>
      </c>
      <c r="AA123">
        <f t="shared" si="12"/>
        <v>17</v>
      </c>
      <c r="AB123">
        <f t="shared" si="13"/>
        <v>0.23529411764705882</v>
      </c>
    </row>
    <row r="124" spans="1:28" x14ac:dyDescent="0.25">
      <c r="A124" t="s">
        <v>68</v>
      </c>
      <c r="B124" t="s">
        <v>69</v>
      </c>
      <c r="C124">
        <v>2012</v>
      </c>
      <c r="D124">
        <v>1.4774441761591667E-4</v>
      </c>
      <c r="E124">
        <v>0.90144632721112417</v>
      </c>
      <c r="F124">
        <v>1.4638902801132956E-3</v>
      </c>
      <c r="G124">
        <v>2.1972245773362196</v>
      </c>
      <c r="H124">
        <v>0</v>
      </c>
      <c r="I124">
        <v>0.66666666666666663</v>
      </c>
      <c r="J124">
        <v>0</v>
      </c>
      <c r="K124">
        <v>1</v>
      </c>
      <c r="L124">
        <v>5</v>
      </c>
      <c r="M124">
        <v>1</v>
      </c>
      <c r="N124">
        <v>4</v>
      </c>
      <c r="O124">
        <v>1</v>
      </c>
      <c r="P124">
        <v>1</v>
      </c>
      <c r="Q124">
        <f t="shared" si="7"/>
        <v>5</v>
      </c>
      <c r="R124">
        <f t="shared" si="8"/>
        <v>18</v>
      </c>
      <c r="S124">
        <f t="array" ref="S124">MAX(IF($C$2:$C$1387=C124,$R$2:$R$1387))</f>
        <v>29</v>
      </c>
      <c r="T124" cm="1">
        <f t="array" ref="T124">MIN(IF($C$2:$C$1387=C124,$R$2:$R$1387))</f>
        <v>11</v>
      </c>
      <c r="U124">
        <f t="shared" si="9"/>
        <v>18</v>
      </c>
      <c r="V124">
        <f t="shared" si="10"/>
        <v>0.3888888888888889</v>
      </c>
      <c r="W124" cm="1">
        <f t="array" ref="W124">_xlfn.IFS(N124=1,5,N124=2,4,N124=4,2,N124=5,1,N124=3,3)</f>
        <v>2</v>
      </c>
      <c r="X124">
        <f t="shared" si="11"/>
        <v>16</v>
      </c>
      <c r="Y124" cm="1">
        <f t="array" ref="Y124">MAX(IF($C$2:$C$1387=C124,$X$2:$X$1387))</f>
        <v>30</v>
      </c>
      <c r="Z124" cm="1">
        <f t="array" ref="Z124">MIN(IF($C$2:$C$1387=C124,$X$2:$X$1387))</f>
        <v>12</v>
      </c>
      <c r="AA124">
        <f t="shared" si="12"/>
        <v>18</v>
      </c>
      <c r="AB124">
        <f t="shared" si="13"/>
        <v>0.22222222222222221</v>
      </c>
    </row>
    <row r="125" spans="1:28" x14ac:dyDescent="0.25">
      <c r="A125" t="s">
        <v>68</v>
      </c>
      <c r="B125" t="s">
        <v>69</v>
      </c>
      <c r="C125">
        <v>2013</v>
      </c>
      <c r="D125">
        <v>3.9286655395385671E-6</v>
      </c>
      <c r="E125">
        <v>0.90144630618464672</v>
      </c>
      <c r="F125">
        <v>1.4036940649746401E-3</v>
      </c>
      <c r="G125">
        <v>2.1972245773362196</v>
      </c>
      <c r="H125">
        <v>0.44444444444444442</v>
      </c>
      <c r="I125">
        <v>1</v>
      </c>
      <c r="J125">
        <v>0</v>
      </c>
      <c r="K125">
        <v>1</v>
      </c>
      <c r="L125">
        <v>5</v>
      </c>
      <c r="M125">
        <v>1</v>
      </c>
      <c r="N125">
        <v>4</v>
      </c>
      <c r="O125">
        <v>2</v>
      </c>
      <c r="P125">
        <v>3</v>
      </c>
      <c r="Q125">
        <f t="shared" si="7"/>
        <v>5</v>
      </c>
      <c r="R125">
        <f t="shared" si="8"/>
        <v>21</v>
      </c>
      <c r="S125">
        <f t="array" ref="S125">MAX(IF($C$2:$C$1387=C125,$R$2:$R$1387))</f>
        <v>29</v>
      </c>
      <c r="T125" cm="1">
        <f t="array" ref="T125">MIN(IF($C$2:$C$1387=C125,$R$2:$R$1387))</f>
        <v>10</v>
      </c>
      <c r="U125">
        <f t="shared" si="9"/>
        <v>19</v>
      </c>
      <c r="V125">
        <f t="shared" si="10"/>
        <v>0.57894736842105265</v>
      </c>
      <c r="W125" cm="1">
        <f t="array" ref="W125">_xlfn.IFS(N125=1,5,N125=2,4,N125=4,2,N125=5,1,N125=3,3)</f>
        <v>2</v>
      </c>
      <c r="X125">
        <f t="shared" si="11"/>
        <v>19</v>
      </c>
      <c r="Y125" cm="1">
        <f t="array" ref="Y125">MAX(IF($C$2:$C$1387=C125,$X$2:$X$1387))</f>
        <v>32</v>
      </c>
      <c r="Z125" cm="1">
        <f t="array" ref="Z125">MIN(IF($C$2:$C$1387=C125,$X$2:$X$1387))</f>
        <v>10</v>
      </c>
      <c r="AA125">
        <f t="shared" si="12"/>
        <v>22</v>
      </c>
      <c r="AB125">
        <f t="shared" si="13"/>
        <v>0.40909090909090912</v>
      </c>
    </row>
    <row r="126" spans="1:28" x14ac:dyDescent="0.25">
      <c r="A126" t="s">
        <v>68</v>
      </c>
      <c r="B126" t="s">
        <v>69</v>
      </c>
      <c r="C126">
        <v>2014</v>
      </c>
      <c r="D126">
        <v>3.780222450569965E-5</v>
      </c>
      <c r="E126">
        <v>0.90269600069001388</v>
      </c>
      <c r="F126">
        <v>1.7982505625631505E-3</v>
      </c>
      <c r="G126">
        <v>2.1972245773362196</v>
      </c>
      <c r="H126">
        <v>0</v>
      </c>
      <c r="I126">
        <v>0.66666666666666663</v>
      </c>
      <c r="J126">
        <v>0</v>
      </c>
      <c r="K126">
        <v>1</v>
      </c>
      <c r="L126">
        <v>5</v>
      </c>
      <c r="M126">
        <v>1</v>
      </c>
      <c r="N126">
        <v>4</v>
      </c>
      <c r="O126">
        <v>1</v>
      </c>
      <c r="P126">
        <v>1</v>
      </c>
      <c r="Q126">
        <f t="shared" si="7"/>
        <v>5</v>
      </c>
      <c r="R126">
        <f t="shared" si="8"/>
        <v>18</v>
      </c>
      <c r="S126">
        <f t="array" ref="S126">MAX(IF($C$2:$C$1387=C126,$R$2:$R$1387))</f>
        <v>29</v>
      </c>
      <c r="T126" cm="1">
        <f t="array" ref="T126">MIN(IF($C$2:$C$1387=C126,$R$2:$R$1387))</f>
        <v>11</v>
      </c>
      <c r="U126">
        <f t="shared" si="9"/>
        <v>18</v>
      </c>
      <c r="V126">
        <f t="shared" si="10"/>
        <v>0.3888888888888889</v>
      </c>
      <c r="W126" cm="1">
        <f t="array" ref="W126">_xlfn.IFS(N126=1,5,N126=2,4,N126=4,2,N126=5,1,N126=3,3)</f>
        <v>2</v>
      </c>
      <c r="X126">
        <f t="shared" si="11"/>
        <v>16</v>
      </c>
      <c r="Y126" cm="1">
        <f t="array" ref="Y126">MAX(IF($C$2:$C$1387=C126,$X$2:$X$1387))</f>
        <v>30</v>
      </c>
      <c r="Z126" cm="1">
        <f t="array" ref="Z126">MIN(IF($C$2:$C$1387=C126,$X$2:$X$1387))</f>
        <v>14</v>
      </c>
      <c r="AA126">
        <f t="shared" si="12"/>
        <v>16</v>
      </c>
      <c r="AB126">
        <f t="shared" si="13"/>
        <v>0.125</v>
      </c>
    </row>
    <row r="127" spans="1:28" x14ac:dyDescent="0.25">
      <c r="A127" t="s">
        <v>68</v>
      </c>
      <c r="B127" t="s">
        <v>69</v>
      </c>
      <c r="C127">
        <v>2015</v>
      </c>
      <c r="D127">
        <v>1.7209383753501401E-4</v>
      </c>
      <c r="E127">
        <v>0.84597646358543421</v>
      </c>
      <c r="F127">
        <v>0.386105931372549</v>
      </c>
      <c r="G127">
        <v>2.1972245773362196</v>
      </c>
      <c r="H127">
        <v>0.77777777777777779</v>
      </c>
      <c r="I127">
        <v>0.4</v>
      </c>
      <c r="J127">
        <v>0</v>
      </c>
      <c r="K127">
        <v>1</v>
      </c>
      <c r="L127">
        <v>5</v>
      </c>
      <c r="M127">
        <v>5</v>
      </c>
      <c r="N127">
        <v>4</v>
      </c>
      <c r="O127">
        <v>4</v>
      </c>
      <c r="P127">
        <v>1</v>
      </c>
      <c r="Q127">
        <f t="shared" si="7"/>
        <v>5</v>
      </c>
      <c r="R127">
        <f t="shared" si="8"/>
        <v>25</v>
      </c>
      <c r="S127">
        <f t="array" ref="S127">MAX(IF($C$2:$C$1387=C127,$R$2:$R$1387))</f>
        <v>29</v>
      </c>
      <c r="T127" cm="1">
        <f t="array" ref="T127">MIN(IF($C$2:$C$1387=C127,$R$2:$R$1387))</f>
        <v>11</v>
      </c>
      <c r="U127">
        <f t="shared" si="9"/>
        <v>18</v>
      </c>
      <c r="V127">
        <f t="shared" si="10"/>
        <v>0.77777777777777779</v>
      </c>
      <c r="W127" cm="1">
        <f t="array" ref="W127">_xlfn.IFS(N127=1,5,N127=2,4,N127=4,2,N127=5,1,N127=3,3)</f>
        <v>2</v>
      </c>
      <c r="X127">
        <f t="shared" si="11"/>
        <v>23</v>
      </c>
      <c r="Y127" cm="1">
        <f t="array" ref="Y127">MAX(IF($C$2:$C$1387=C127,$X$2:$X$1387))</f>
        <v>29</v>
      </c>
      <c r="Z127" cm="1">
        <f t="array" ref="Z127">MIN(IF($C$2:$C$1387=C127,$X$2:$X$1387))</f>
        <v>12</v>
      </c>
      <c r="AA127">
        <f t="shared" si="12"/>
        <v>17</v>
      </c>
      <c r="AB127">
        <f t="shared" si="13"/>
        <v>0.6470588235294118</v>
      </c>
    </row>
    <row r="128" spans="1:28" x14ac:dyDescent="0.25">
      <c r="A128" t="s">
        <v>70</v>
      </c>
      <c r="B128" t="s">
        <v>71</v>
      </c>
      <c r="C128">
        <v>2010</v>
      </c>
      <c r="D128">
        <v>3.0917074085798366E-3</v>
      </c>
      <c r="E128">
        <v>0.74012182711359664</v>
      </c>
      <c r="F128">
        <v>0.13440757154748925</v>
      </c>
      <c r="G128">
        <v>1.9459101490553132</v>
      </c>
      <c r="H128">
        <v>0.7142857142857143</v>
      </c>
      <c r="I128">
        <v>1</v>
      </c>
      <c r="J128">
        <v>0</v>
      </c>
      <c r="K128">
        <v>2</v>
      </c>
      <c r="L128">
        <v>4</v>
      </c>
      <c r="M128">
        <v>4</v>
      </c>
      <c r="N128">
        <v>1</v>
      </c>
      <c r="O128">
        <v>4</v>
      </c>
      <c r="P128">
        <v>3</v>
      </c>
      <c r="Q128">
        <f t="shared" si="7"/>
        <v>5</v>
      </c>
      <c r="R128">
        <f t="shared" si="8"/>
        <v>23</v>
      </c>
      <c r="S128">
        <f t="array" ref="S128">MAX(IF($C$2:$C$1387=C128,$R$2:$R$1387))</f>
        <v>29</v>
      </c>
      <c r="T128" cm="1">
        <f t="array" ref="T128">MIN(IF($C$2:$C$1387=C128,$R$2:$R$1387))</f>
        <v>9</v>
      </c>
      <c r="U128">
        <f t="shared" si="9"/>
        <v>20</v>
      </c>
      <c r="V128">
        <f t="shared" si="10"/>
        <v>0.7</v>
      </c>
      <c r="W128" cm="1">
        <f t="array" ref="W128">_xlfn.IFS(N128=1,5,N128=2,4,N128=4,2,N128=5,1,N128=3,3)</f>
        <v>5</v>
      </c>
      <c r="X128">
        <f t="shared" si="11"/>
        <v>27</v>
      </c>
      <c r="Y128" cm="1">
        <f t="array" ref="Y128">MAX(IF($C$2:$C$1387=C128,$X$2:$X$1387))</f>
        <v>29</v>
      </c>
      <c r="Z128" cm="1">
        <f t="array" ref="Z128">MIN(IF($C$2:$C$1387=C128,$X$2:$X$1387))</f>
        <v>12</v>
      </c>
      <c r="AA128">
        <f t="shared" si="12"/>
        <v>17</v>
      </c>
      <c r="AB128">
        <f t="shared" si="13"/>
        <v>0.88235294117647056</v>
      </c>
    </row>
    <row r="129" spans="1:28" x14ac:dyDescent="0.25">
      <c r="A129" t="s">
        <v>70</v>
      </c>
      <c r="B129" t="s">
        <v>71</v>
      </c>
      <c r="C129">
        <v>2011</v>
      </c>
      <c r="D129">
        <v>3.0917074085798366E-3</v>
      </c>
      <c r="E129">
        <v>0.74012182711359664</v>
      </c>
      <c r="F129">
        <v>0.13440757154748925</v>
      </c>
      <c r="G129">
        <v>1.9459101490553132</v>
      </c>
      <c r="H129">
        <v>0.7142857142857143</v>
      </c>
      <c r="I129">
        <v>1</v>
      </c>
      <c r="J129">
        <v>0</v>
      </c>
      <c r="K129">
        <v>2</v>
      </c>
      <c r="L129">
        <v>4</v>
      </c>
      <c r="M129">
        <v>4</v>
      </c>
      <c r="N129">
        <v>1</v>
      </c>
      <c r="O129">
        <v>4</v>
      </c>
      <c r="P129">
        <v>3</v>
      </c>
      <c r="Q129">
        <f t="shared" si="7"/>
        <v>5</v>
      </c>
      <c r="R129">
        <f t="shared" si="8"/>
        <v>23</v>
      </c>
      <c r="S129">
        <f t="array" ref="S129">MAX(IF($C$2:$C$1387=C129,$R$2:$R$1387))</f>
        <v>28</v>
      </c>
      <c r="T129" cm="1">
        <f t="array" ref="T129">MIN(IF($C$2:$C$1387=C129,$R$2:$R$1387))</f>
        <v>10</v>
      </c>
      <c r="U129">
        <f t="shared" si="9"/>
        <v>18</v>
      </c>
      <c r="V129">
        <f t="shared" si="10"/>
        <v>0.72222222222222221</v>
      </c>
      <c r="W129" cm="1">
        <f t="array" ref="W129">_xlfn.IFS(N129=1,5,N129=2,4,N129=4,2,N129=5,1,N129=3,3)</f>
        <v>5</v>
      </c>
      <c r="X129">
        <f t="shared" si="11"/>
        <v>27</v>
      </c>
      <c r="Y129" cm="1">
        <f t="array" ref="Y129">MAX(IF($C$2:$C$1387=C129,$X$2:$X$1387))</f>
        <v>29</v>
      </c>
      <c r="Z129" cm="1">
        <f t="array" ref="Z129">MIN(IF($C$2:$C$1387=C129,$X$2:$X$1387))</f>
        <v>12</v>
      </c>
      <c r="AA129">
        <f t="shared" si="12"/>
        <v>17</v>
      </c>
      <c r="AB129">
        <f t="shared" si="13"/>
        <v>0.88235294117647056</v>
      </c>
    </row>
    <row r="130" spans="1:28" x14ac:dyDescent="0.25">
      <c r="A130" t="s">
        <v>70</v>
      </c>
      <c r="B130" t="s">
        <v>71</v>
      </c>
      <c r="C130">
        <v>2012</v>
      </c>
      <c r="D130">
        <v>3.0917074085798366E-3</v>
      </c>
      <c r="E130">
        <v>0.74012182711359664</v>
      </c>
      <c r="F130">
        <v>0.13440757154748925</v>
      </c>
      <c r="G130">
        <v>1.9459101490553132</v>
      </c>
      <c r="H130">
        <v>0.7142857142857143</v>
      </c>
      <c r="I130">
        <v>1</v>
      </c>
      <c r="J130">
        <v>0</v>
      </c>
      <c r="K130">
        <v>2</v>
      </c>
      <c r="L130">
        <v>4</v>
      </c>
      <c r="M130">
        <v>4</v>
      </c>
      <c r="N130">
        <v>1</v>
      </c>
      <c r="O130">
        <v>4</v>
      </c>
      <c r="P130">
        <v>3</v>
      </c>
      <c r="Q130">
        <f t="shared" si="7"/>
        <v>5</v>
      </c>
      <c r="R130">
        <f t="shared" si="8"/>
        <v>23</v>
      </c>
      <c r="S130">
        <f t="array" ref="S130">MAX(IF($C$2:$C$1387=C130,$R$2:$R$1387))</f>
        <v>29</v>
      </c>
      <c r="T130" cm="1">
        <f t="array" ref="T130">MIN(IF($C$2:$C$1387=C130,$R$2:$R$1387))</f>
        <v>11</v>
      </c>
      <c r="U130">
        <f t="shared" si="9"/>
        <v>18</v>
      </c>
      <c r="V130">
        <f t="shared" si="10"/>
        <v>0.66666666666666663</v>
      </c>
      <c r="W130" cm="1">
        <f t="array" ref="W130">_xlfn.IFS(N130=1,5,N130=2,4,N130=4,2,N130=5,1,N130=3,3)</f>
        <v>5</v>
      </c>
      <c r="X130">
        <f t="shared" si="11"/>
        <v>27</v>
      </c>
      <c r="Y130" cm="1">
        <f t="array" ref="Y130">MAX(IF($C$2:$C$1387=C130,$X$2:$X$1387))</f>
        <v>30</v>
      </c>
      <c r="Z130" cm="1">
        <f t="array" ref="Z130">MIN(IF($C$2:$C$1387=C130,$X$2:$X$1387))</f>
        <v>12</v>
      </c>
      <c r="AA130">
        <f t="shared" si="12"/>
        <v>18</v>
      </c>
      <c r="AB130">
        <f t="shared" si="13"/>
        <v>0.83333333333333337</v>
      </c>
    </row>
    <row r="131" spans="1:28" x14ac:dyDescent="0.25">
      <c r="A131" t="s">
        <v>70</v>
      </c>
      <c r="B131" t="s">
        <v>71</v>
      </c>
      <c r="C131">
        <v>2013</v>
      </c>
      <c r="D131">
        <v>3.0917074085798366E-3</v>
      </c>
      <c r="E131">
        <v>0.74012182711359664</v>
      </c>
      <c r="F131">
        <v>0.13440757154748925</v>
      </c>
      <c r="G131">
        <v>1.9459101490553132</v>
      </c>
      <c r="H131">
        <v>0.7142857142857143</v>
      </c>
      <c r="I131">
        <v>1</v>
      </c>
      <c r="J131">
        <v>0</v>
      </c>
      <c r="K131">
        <v>2</v>
      </c>
      <c r="L131">
        <v>4</v>
      </c>
      <c r="M131">
        <v>4</v>
      </c>
      <c r="N131">
        <v>1</v>
      </c>
      <c r="O131">
        <v>4</v>
      </c>
      <c r="P131">
        <v>3</v>
      </c>
      <c r="Q131">
        <f t="shared" ref="Q131:Q194" si="14">IF(J131=0,5,1)</f>
        <v>5</v>
      </c>
      <c r="R131">
        <f t="shared" ref="R131:R194" si="15">SUM(K131:Q131)</f>
        <v>23</v>
      </c>
      <c r="S131">
        <f t="array" ref="S131">MAX(IF($C$2:$C$1387=C131,$R$2:$R$1387))</f>
        <v>29</v>
      </c>
      <c r="T131" cm="1">
        <f t="array" ref="T131">MIN(IF($C$2:$C$1387=C131,$R$2:$R$1387))</f>
        <v>10</v>
      </c>
      <c r="U131">
        <f t="shared" ref="U131:U194" si="16">S131-T131</f>
        <v>19</v>
      </c>
      <c r="V131">
        <f t="shared" ref="V131:V194" si="17">(R131-T131)/U131</f>
        <v>0.68421052631578949</v>
      </c>
      <c r="W131" cm="1">
        <f t="array" ref="W131">_xlfn.IFS(N131=1,5,N131=2,4,N131=4,2,N131=5,1,N131=3,3)</f>
        <v>5</v>
      </c>
      <c r="X131">
        <f t="shared" ref="X131:X194" si="18">SUM(K131:M131,O131:Q131,W131)</f>
        <v>27</v>
      </c>
      <c r="Y131" cm="1">
        <f t="array" ref="Y131">MAX(IF($C$2:$C$1387=C131,$X$2:$X$1387))</f>
        <v>32</v>
      </c>
      <c r="Z131" cm="1">
        <f t="array" ref="Z131">MIN(IF($C$2:$C$1387=C131,$X$2:$X$1387))</f>
        <v>10</v>
      </c>
      <c r="AA131">
        <f t="shared" ref="AA131:AA194" si="19">Y131-Z131</f>
        <v>22</v>
      </c>
      <c r="AB131">
        <f t="shared" ref="AB131:AB194" si="20">(X131-Z131)/AA131</f>
        <v>0.77272727272727271</v>
      </c>
    </row>
    <row r="132" spans="1:28" x14ac:dyDescent="0.25">
      <c r="A132" t="s">
        <v>70</v>
      </c>
      <c r="B132" t="s">
        <v>71</v>
      </c>
      <c r="C132">
        <v>2014</v>
      </c>
      <c r="D132">
        <v>3.0917074085798366E-3</v>
      </c>
      <c r="E132">
        <v>0.74012182711359664</v>
      </c>
      <c r="F132">
        <v>0.13440757154748925</v>
      </c>
      <c r="G132">
        <v>1.9459101490553132</v>
      </c>
      <c r="H132">
        <v>0.7142857142857143</v>
      </c>
      <c r="I132">
        <v>1</v>
      </c>
      <c r="J132">
        <v>0</v>
      </c>
      <c r="K132">
        <v>2</v>
      </c>
      <c r="L132">
        <v>4</v>
      </c>
      <c r="M132">
        <v>4</v>
      </c>
      <c r="N132">
        <v>1</v>
      </c>
      <c r="O132">
        <v>4</v>
      </c>
      <c r="P132">
        <v>3</v>
      </c>
      <c r="Q132">
        <f t="shared" si="14"/>
        <v>5</v>
      </c>
      <c r="R132">
        <f t="shared" si="15"/>
        <v>23</v>
      </c>
      <c r="S132">
        <f t="array" ref="S132">MAX(IF($C$2:$C$1387=C132,$R$2:$R$1387))</f>
        <v>29</v>
      </c>
      <c r="T132" cm="1">
        <f t="array" ref="T132">MIN(IF($C$2:$C$1387=C132,$R$2:$R$1387))</f>
        <v>11</v>
      </c>
      <c r="U132">
        <f t="shared" si="16"/>
        <v>18</v>
      </c>
      <c r="V132">
        <f t="shared" si="17"/>
        <v>0.66666666666666663</v>
      </c>
      <c r="W132" cm="1">
        <f t="array" ref="W132">_xlfn.IFS(N132=1,5,N132=2,4,N132=4,2,N132=5,1,N132=3,3)</f>
        <v>5</v>
      </c>
      <c r="X132">
        <f t="shared" si="18"/>
        <v>27</v>
      </c>
      <c r="Y132" cm="1">
        <f t="array" ref="Y132">MAX(IF($C$2:$C$1387=C132,$X$2:$X$1387))</f>
        <v>30</v>
      </c>
      <c r="Z132" cm="1">
        <f t="array" ref="Z132">MIN(IF($C$2:$C$1387=C132,$X$2:$X$1387))</f>
        <v>14</v>
      </c>
      <c r="AA132">
        <f t="shared" si="19"/>
        <v>16</v>
      </c>
      <c r="AB132">
        <f t="shared" si="20"/>
        <v>0.8125</v>
      </c>
    </row>
    <row r="133" spans="1:28" x14ac:dyDescent="0.25">
      <c r="A133" t="s">
        <v>70</v>
      </c>
      <c r="B133" t="s">
        <v>71</v>
      </c>
      <c r="C133">
        <v>2015</v>
      </c>
      <c r="D133">
        <v>4.0710023096854377E-3</v>
      </c>
      <c r="E133">
        <v>0.72539107546926473</v>
      </c>
      <c r="F133">
        <v>0.13251569296425264</v>
      </c>
      <c r="G133">
        <v>1.9459101490553132</v>
      </c>
      <c r="H133">
        <v>0.8571428571428571</v>
      </c>
      <c r="I133">
        <v>1</v>
      </c>
      <c r="J133">
        <v>0</v>
      </c>
      <c r="K133">
        <v>2</v>
      </c>
      <c r="L133">
        <v>4</v>
      </c>
      <c r="M133">
        <v>4</v>
      </c>
      <c r="N133">
        <v>1</v>
      </c>
      <c r="O133">
        <v>4</v>
      </c>
      <c r="P133">
        <v>2</v>
      </c>
      <c r="Q133">
        <f t="shared" si="14"/>
        <v>5</v>
      </c>
      <c r="R133">
        <f t="shared" si="15"/>
        <v>22</v>
      </c>
      <c r="S133">
        <f t="array" ref="S133">MAX(IF($C$2:$C$1387=C133,$R$2:$R$1387))</f>
        <v>29</v>
      </c>
      <c r="T133" cm="1">
        <f t="array" ref="T133">MIN(IF($C$2:$C$1387=C133,$R$2:$R$1387))</f>
        <v>11</v>
      </c>
      <c r="U133">
        <f t="shared" si="16"/>
        <v>18</v>
      </c>
      <c r="V133">
        <f t="shared" si="17"/>
        <v>0.61111111111111116</v>
      </c>
      <c r="W133" cm="1">
        <f t="array" ref="W133">_xlfn.IFS(N133=1,5,N133=2,4,N133=4,2,N133=5,1,N133=3,3)</f>
        <v>5</v>
      </c>
      <c r="X133">
        <f t="shared" si="18"/>
        <v>26</v>
      </c>
      <c r="Y133" cm="1">
        <f t="array" ref="Y133">MAX(IF($C$2:$C$1387=C133,$X$2:$X$1387))</f>
        <v>29</v>
      </c>
      <c r="Z133" cm="1">
        <f t="array" ref="Z133">MIN(IF($C$2:$C$1387=C133,$X$2:$X$1387))</f>
        <v>12</v>
      </c>
      <c r="AA133">
        <f t="shared" si="19"/>
        <v>17</v>
      </c>
      <c r="AB133">
        <f t="shared" si="20"/>
        <v>0.82352941176470584</v>
      </c>
    </row>
    <row r="134" spans="1:28" x14ac:dyDescent="0.25">
      <c r="A134" t="s">
        <v>72</v>
      </c>
      <c r="B134" t="s">
        <v>73</v>
      </c>
      <c r="C134">
        <v>2010</v>
      </c>
      <c r="D134">
        <v>0.78434375000000001</v>
      </c>
      <c r="E134">
        <v>0.66620749999999995</v>
      </c>
      <c r="F134">
        <v>2.2249999999999999E-4</v>
      </c>
      <c r="G134">
        <v>1.9459101490553132</v>
      </c>
      <c r="H134">
        <v>0.5714285714285714</v>
      </c>
      <c r="I134">
        <v>1</v>
      </c>
      <c r="J134">
        <v>0</v>
      </c>
      <c r="K134">
        <v>5</v>
      </c>
      <c r="L134">
        <v>3</v>
      </c>
      <c r="M134">
        <v>1</v>
      </c>
      <c r="N134">
        <v>1</v>
      </c>
      <c r="O134">
        <v>2</v>
      </c>
      <c r="P134">
        <v>3</v>
      </c>
      <c r="Q134">
        <f t="shared" si="14"/>
        <v>5</v>
      </c>
      <c r="R134">
        <f t="shared" si="15"/>
        <v>20</v>
      </c>
      <c r="S134">
        <f t="array" ref="S134">MAX(IF($C$2:$C$1387=C134,$R$2:$R$1387))</f>
        <v>29</v>
      </c>
      <c r="T134" cm="1">
        <f t="array" ref="T134">MIN(IF($C$2:$C$1387=C134,$R$2:$R$1387))</f>
        <v>9</v>
      </c>
      <c r="U134">
        <f t="shared" si="16"/>
        <v>20</v>
      </c>
      <c r="V134">
        <f t="shared" si="17"/>
        <v>0.55000000000000004</v>
      </c>
      <c r="W134" cm="1">
        <f t="array" ref="W134">_xlfn.IFS(N134=1,5,N134=2,4,N134=4,2,N134=5,1,N134=3,3)</f>
        <v>5</v>
      </c>
      <c r="X134">
        <f t="shared" si="18"/>
        <v>24</v>
      </c>
      <c r="Y134" cm="1">
        <f t="array" ref="Y134">MAX(IF($C$2:$C$1387=C134,$X$2:$X$1387))</f>
        <v>29</v>
      </c>
      <c r="Z134" cm="1">
        <f t="array" ref="Z134">MIN(IF($C$2:$C$1387=C134,$X$2:$X$1387))</f>
        <v>12</v>
      </c>
      <c r="AA134">
        <f t="shared" si="19"/>
        <v>17</v>
      </c>
      <c r="AB134">
        <f t="shared" si="20"/>
        <v>0.70588235294117652</v>
      </c>
    </row>
    <row r="135" spans="1:28" x14ac:dyDescent="0.25">
      <c r="A135" t="s">
        <v>72</v>
      </c>
      <c r="B135" t="s">
        <v>73</v>
      </c>
      <c r="C135">
        <v>2011</v>
      </c>
      <c r="D135">
        <v>0.78434375000000001</v>
      </c>
      <c r="E135">
        <v>0.66620749999999995</v>
      </c>
      <c r="F135">
        <v>2.2249999999999999E-4</v>
      </c>
      <c r="G135">
        <v>1.9459101490553132</v>
      </c>
      <c r="H135">
        <v>0.5714285714285714</v>
      </c>
      <c r="I135">
        <v>1</v>
      </c>
      <c r="J135">
        <v>0</v>
      </c>
      <c r="K135">
        <v>5</v>
      </c>
      <c r="L135">
        <v>3</v>
      </c>
      <c r="M135">
        <v>1</v>
      </c>
      <c r="N135">
        <v>1</v>
      </c>
      <c r="O135">
        <v>2</v>
      </c>
      <c r="P135">
        <v>3</v>
      </c>
      <c r="Q135">
        <f t="shared" si="14"/>
        <v>5</v>
      </c>
      <c r="R135">
        <f t="shared" si="15"/>
        <v>20</v>
      </c>
      <c r="S135">
        <f t="array" ref="S135">MAX(IF($C$2:$C$1387=C135,$R$2:$R$1387))</f>
        <v>28</v>
      </c>
      <c r="T135" cm="1">
        <f t="array" ref="T135">MIN(IF($C$2:$C$1387=C135,$R$2:$R$1387))</f>
        <v>10</v>
      </c>
      <c r="U135">
        <f t="shared" si="16"/>
        <v>18</v>
      </c>
      <c r="V135">
        <f t="shared" si="17"/>
        <v>0.55555555555555558</v>
      </c>
      <c r="W135" cm="1">
        <f t="array" ref="W135">_xlfn.IFS(N135=1,5,N135=2,4,N135=4,2,N135=5,1,N135=3,3)</f>
        <v>5</v>
      </c>
      <c r="X135">
        <f t="shared" si="18"/>
        <v>24</v>
      </c>
      <c r="Y135" cm="1">
        <f t="array" ref="Y135">MAX(IF($C$2:$C$1387=C135,$X$2:$X$1387))</f>
        <v>29</v>
      </c>
      <c r="Z135" cm="1">
        <f t="array" ref="Z135">MIN(IF($C$2:$C$1387=C135,$X$2:$X$1387))</f>
        <v>12</v>
      </c>
      <c r="AA135">
        <f t="shared" si="19"/>
        <v>17</v>
      </c>
      <c r="AB135">
        <f t="shared" si="20"/>
        <v>0.70588235294117652</v>
      </c>
    </row>
    <row r="136" spans="1:28" x14ac:dyDescent="0.25">
      <c r="A136" t="s">
        <v>72</v>
      </c>
      <c r="B136" t="s">
        <v>73</v>
      </c>
      <c r="C136">
        <v>2012</v>
      </c>
      <c r="D136">
        <v>0.75925624999999997</v>
      </c>
      <c r="E136">
        <v>0.23354875</v>
      </c>
      <c r="F136">
        <v>1.3124999999999999E-4</v>
      </c>
      <c r="G136">
        <v>2.0794415416798357</v>
      </c>
      <c r="H136">
        <v>0.5</v>
      </c>
      <c r="I136">
        <v>1</v>
      </c>
      <c r="J136">
        <v>0</v>
      </c>
      <c r="K136">
        <v>5</v>
      </c>
      <c r="L136">
        <v>1</v>
      </c>
      <c r="M136">
        <v>1</v>
      </c>
      <c r="N136">
        <v>3</v>
      </c>
      <c r="O136">
        <v>2</v>
      </c>
      <c r="P136">
        <v>3</v>
      </c>
      <c r="Q136">
        <f t="shared" si="14"/>
        <v>5</v>
      </c>
      <c r="R136">
        <f t="shared" si="15"/>
        <v>20</v>
      </c>
      <c r="S136">
        <f t="array" ref="S136">MAX(IF($C$2:$C$1387=C136,$R$2:$R$1387))</f>
        <v>29</v>
      </c>
      <c r="T136" cm="1">
        <f t="array" ref="T136">MIN(IF($C$2:$C$1387=C136,$R$2:$R$1387))</f>
        <v>11</v>
      </c>
      <c r="U136">
        <f t="shared" si="16"/>
        <v>18</v>
      </c>
      <c r="V136">
        <f t="shared" si="17"/>
        <v>0.5</v>
      </c>
      <c r="W136" cm="1">
        <f t="array" ref="W136">_xlfn.IFS(N136=1,5,N136=2,4,N136=4,2,N136=5,1,N136=3,3)</f>
        <v>3</v>
      </c>
      <c r="X136">
        <f t="shared" si="18"/>
        <v>20</v>
      </c>
      <c r="Y136" cm="1">
        <f t="array" ref="Y136">MAX(IF($C$2:$C$1387=C136,$X$2:$X$1387))</f>
        <v>30</v>
      </c>
      <c r="Z136" cm="1">
        <f t="array" ref="Z136">MIN(IF($C$2:$C$1387=C136,$X$2:$X$1387))</f>
        <v>12</v>
      </c>
      <c r="AA136">
        <f t="shared" si="19"/>
        <v>18</v>
      </c>
      <c r="AB136">
        <f t="shared" si="20"/>
        <v>0.44444444444444442</v>
      </c>
    </row>
    <row r="137" spans="1:28" x14ac:dyDescent="0.25">
      <c r="A137" t="s">
        <v>72</v>
      </c>
      <c r="B137" t="s">
        <v>73</v>
      </c>
      <c r="C137">
        <v>2013</v>
      </c>
      <c r="D137">
        <v>0</v>
      </c>
      <c r="E137">
        <v>0.23354875</v>
      </c>
      <c r="F137">
        <v>1.25E-4</v>
      </c>
      <c r="G137">
        <v>2.0794415416798357</v>
      </c>
      <c r="H137">
        <v>0.5</v>
      </c>
      <c r="I137">
        <v>0.66666666666666663</v>
      </c>
      <c r="J137">
        <v>0</v>
      </c>
      <c r="K137">
        <v>1</v>
      </c>
      <c r="L137">
        <v>1</v>
      </c>
      <c r="M137">
        <v>1</v>
      </c>
      <c r="N137">
        <v>3</v>
      </c>
      <c r="O137">
        <v>2</v>
      </c>
      <c r="P137">
        <v>1</v>
      </c>
      <c r="Q137">
        <f t="shared" si="14"/>
        <v>5</v>
      </c>
      <c r="R137">
        <f t="shared" si="15"/>
        <v>14</v>
      </c>
      <c r="S137">
        <f t="array" ref="S137">MAX(IF($C$2:$C$1387=C137,$R$2:$R$1387))</f>
        <v>29</v>
      </c>
      <c r="T137" cm="1">
        <f t="array" ref="T137">MIN(IF($C$2:$C$1387=C137,$R$2:$R$1387))</f>
        <v>10</v>
      </c>
      <c r="U137">
        <f t="shared" si="16"/>
        <v>19</v>
      </c>
      <c r="V137">
        <f t="shared" si="17"/>
        <v>0.21052631578947367</v>
      </c>
      <c r="W137" cm="1">
        <f t="array" ref="W137">_xlfn.IFS(N137=1,5,N137=2,4,N137=4,2,N137=5,1,N137=3,3)</f>
        <v>3</v>
      </c>
      <c r="X137">
        <f t="shared" si="18"/>
        <v>14</v>
      </c>
      <c r="Y137" cm="1">
        <f t="array" ref="Y137">MAX(IF($C$2:$C$1387=C137,$X$2:$X$1387))</f>
        <v>32</v>
      </c>
      <c r="Z137" cm="1">
        <f t="array" ref="Z137">MIN(IF($C$2:$C$1387=C137,$X$2:$X$1387))</f>
        <v>10</v>
      </c>
      <c r="AA137">
        <f t="shared" si="19"/>
        <v>22</v>
      </c>
      <c r="AB137">
        <f t="shared" si="20"/>
        <v>0.18181818181818182</v>
      </c>
    </row>
    <row r="138" spans="1:28" x14ac:dyDescent="0.25">
      <c r="A138" t="s">
        <v>72</v>
      </c>
      <c r="B138" t="s">
        <v>73</v>
      </c>
      <c r="C138">
        <v>2014</v>
      </c>
      <c r="D138">
        <v>0</v>
      </c>
      <c r="E138">
        <v>0.23354875</v>
      </c>
      <c r="F138">
        <v>1.25E-4</v>
      </c>
      <c r="G138">
        <v>2.0794415416798357</v>
      </c>
      <c r="H138">
        <v>0.5</v>
      </c>
      <c r="I138">
        <v>0.66666666666666663</v>
      </c>
      <c r="J138">
        <v>0</v>
      </c>
      <c r="K138">
        <v>1</v>
      </c>
      <c r="L138">
        <v>1</v>
      </c>
      <c r="M138">
        <v>1</v>
      </c>
      <c r="N138">
        <v>3</v>
      </c>
      <c r="O138">
        <v>2</v>
      </c>
      <c r="P138">
        <v>1</v>
      </c>
      <c r="Q138">
        <f t="shared" si="14"/>
        <v>5</v>
      </c>
      <c r="R138">
        <f t="shared" si="15"/>
        <v>14</v>
      </c>
      <c r="S138">
        <f t="array" ref="S138">MAX(IF($C$2:$C$1387=C138,$R$2:$R$1387))</f>
        <v>29</v>
      </c>
      <c r="T138" cm="1">
        <f t="array" ref="T138">MIN(IF($C$2:$C$1387=C138,$R$2:$R$1387))</f>
        <v>11</v>
      </c>
      <c r="U138">
        <f t="shared" si="16"/>
        <v>18</v>
      </c>
      <c r="V138">
        <f t="shared" si="17"/>
        <v>0.16666666666666666</v>
      </c>
      <c r="W138" cm="1">
        <f t="array" ref="W138">_xlfn.IFS(N138=1,5,N138=2,4,N138=4,2,N138=5,1,N138=3,3)</f>
        <v>3</v>
      </c>
      <c r="X138">
        <f t="shared" si="18"/>
        <v>14</v>
      </c>
      <c r="Y138" cm="1">
        <f t="array" ref="Y138">MAX(IF($C$2:$C$1387=C138,$X$2:$X$1387))</f>
        <v>30</v>
      </c>
      <c r="Z138" cm="1">
        <f t="array" ref="Z138">MIN(IF($C$2:$C$1387=C138,$X$2:$X$1387))</f>
        <v>14</v>
      </c>
      <c r="AA138">
        <f t="shared" si="19"/>
        <v>16</v>
      </c>
      <c r="AB138">
        <f t="shared" si="20"/>
        <v>0</v>
      </c>
    </row>
    <row r="139" spans="1:28" x14ac:dyDescent="0.25">
      <c r="A139" t="s">
        <v>72</v>
      </c>
      <c r="B139" t="s">
        <v>73</v>
      </c>
      <c r="C139">
        <v>2015</v>
      </c>
      <c r="D139">
        <v>0</v>
      </c>
      <c r="E139">
        <v>0.23354875</v>
      </c>
      <c r="F139">
        <v>1.25E-4</v>
      </c>
      <c r="G139">
        <v>2.0794415416798357</v>
      </c>
      <c r="H139">
        <v>0.5</v>
      </c>
      <c r="I139">
        <v>1</v>
      </c>
      <c r="J139">
        <v>0</v>
      </c>
      <c r="K139">
        <v>1</v>
      </c>
      <c r="L139">
        <v>1</v>
      </c>
      <c r="M139">
        <v>1</v>
      </c>
      <c r="N139">
        <v>3</v>
      </c>
      <c r="O139">
        <v>1</v>
      </c>
      <c r="P139">
        <v>2</v>
      </c>
      <c r="Q139">
        <f t="shared" si="14"/>
        <v>5</v>
      </c>
      <c r="R139">
        <f t="shared" si="15"/>
        <v>14</v>
      </c>
      <c r="S139">
        <f t="array" ref="S139">MAX(IF($C$2:$C$1387=C139,$R$2:$R$1387))</f>
        <v>29</v>
      </c>
      <c r="T139" cm="1">
        <f t="array" ref="T139">MIN(IF($C$2:$C$1387=C139,$R$2:$R$1387))</f>
        <v>11</v>
      </c>
      <c r="U139">
        <f t="shared" si="16"/>
        <v>18</v>
      </c>
      <c r="V139">
        <f t="shared" si="17"/>
        <v>0.16666666666666666</v>
      </c>
      <c r="W139" cm="1">
        <f t="array" ref="W139">_xlfn.IFS(N139=1,5,N139=2,4,N139=4,2,N139=5,1,N139=3,3)</f>
        <v>3</v>
      </c>
      <c r="X139">
        <f t="shared" si="18"/>
        <v>14</v>
      </c>
      <c r="Y139" cm="1">
        <f t="array" ref="Y139">MAX(IF($C$2:$C$1387=C139,$X$2:$X$1387))</f>
        <v>29</v>
      </c>
      <c r="Z139" cm="1">
        <f t="array" ref="Z139">MIN(IF($C$2:$C$1387=C139,$X$2:$X$1387))</f>
        <v>12</v>
      </c>
      <c r="AA139">
        <f t="shared" si="19"/>
        <v>17</v>
      </c>
      <c r="AB139">
        <f t="shared" si="20"/>
        <v>0.11764705882352941</v>
      </c>
    </row>
    <row r="140" spans="1:28" x14ac:dyDescent="0.25">
      <c r="A140" t="s">
        <v>74</v>
      </c>
      <c r="B140" t="s">
        <v>75</v>
      </c>
      <c r="C140">
        <v>2010</v>
      </c>
      <c r="D140">
        <v>0</v>
      </c>
      <c r="E140">
        <v>0.36929657571684271</v>
      </c>
      <c r="F140">
        <v>0</v>
      </c>
      <c r="G140">
        <v>1.9459101490553132</v>
      </c>
      <c r="H140">
        <v>0.7142857142857143</v>
      </c>
      <c r="I140">
        <v>0.66666666666666663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4</v>
      </c>
      <c r="P140">
        <v>1</v>
      </c>
      <c r="Q140">
        <f t="shared" si="14"/>
        <v>1</v>
      </c>
      <c r="R140">
        <f t="shared" si="15"/>
        <v>10</v>
      </c>
      <c r="S140">
        <f t="array" ref="S140">MAX(IF($C$2:$C$1387=C140,$R$2:$R$1387))</f>
        <v>29</v>
      </c>
      <c r="T140" cm="1">
        <f t="array" ref="T140">MIN(IF($C$2:$C$1387=C140,$R$2:$R$1387))</f>
        <v>9</v>
      </c>
      <c r="U140">
        <f t="shared" si="16"/>
        <v>20</v>
      </c>
      <c r="V140">
        <f t="shared" si="17"/>
        <v>0.05</v>
      </c>
      <c r="W140" cm="1">
        <f t="array" ref="W140">_xlfn.IFS(N140=1,5,N140=2,4,N140=4,2,N140=5,1,N140=3,3)</f>
        <v>5</v>
      </c>
      <c r="X140">
        <f t="shared" si="18"/>
        <v>14</v>
      </c>
      <c r="Y140" cm="1">
        <f t="array" ref="Y140">MAX(IF($C$2:$C$1387=C140,$X$2:$X$1387))</f>
        <v>29</v>
      </c>
      <c r="Z140" cm="1">
        <f t="array" ref="Z140">MIN(IF($C$2:$C$1387=C140,$X$2:$X$1387))</f>
        <v>12</v>
      </c>
      <c r="AA140">
        <f t="shared" si="19"/>
        <v>17</v>
      </c>
      <c r="AB140">
        <f t="shared" si="20"/>
        <v>0.11764705882352941</v>
      </c>
    </row>
    <row r="141" spans="1:28" x14ac:dyDescent="0.25">
      <c r="A141" t="s">
        <v>74</v>
      </c>
      <c r="B141" t="s">
        <v>75</v>
      </c>
      <c r="C141">
        <v>2011</v>
      </c>
      <c r="D141">
        <v>0.27083389425672211</v>
      </c>
      <c r="E141">
        <v>0.76371520997639453</v>
      </c>
      <c r="F141">
        <v>2.885554301160545E-2</v>
      </c>
      <c r="G141">
        <v>1.791759469228055</v>
      </c>
      <c r="H141">
        <v>0.83333333333333337</v>
      </c>
      <c r="I141">
        <v>0.66666666666666663</v>
      </c>
      <c r="J141">
        <v>1</v>
      </c>
      <c r="K141">
        <v>3</v>
      </c>
      <c r="L141">
        <v>4</v>
      </c>
      <c r="M141">
        <v>2</v>
      </c>
      <c r="N141">
        <v>1</v>
      </c>
      <c r="O141">
        <v>5</v>
      </c>
      <c r="P141">
        <v>1</v>
      </c>
      <c r="Q141">
        <f t="shared" si="14"/>
        <v>1</v>
      </c>
      <c r="R141">
        <f t="shared" si="15"/>
        <v>17</v>
      </c>
      <c r="S141">
        <f t="array" ref="S141">MAX(IF($C$2:$C$1387=C141,$R$2:$R$1387))</f>
        <v>28</v>
      </c>
      <c r="T141" cm="1">
        <f t="array" ref="T141">MIN(IF($C$2:$C$1387=C141,$R$2:$R$1387))</f>
        <v>10</v>
      </c>
      <c r="U141">
        <f t="shared" si="16"/>
        <v>18</v>
      </c>
      <c r="V141">
        <f t="shared" si="17"/>
        <v>0.3888888888888889</v>
      </c>
      <c r="W141" cm="1">
        <f t="array" ref="W141">_xlfn.IFS(N141=1,5,N141=2,4,N141=4,2,N141=5,1,N141=3,3)</f>
        <v>5</v>
      </c>
      <c r="X141">
        <f t="shared" si="18"/>
        <v>21</v>
      </c>
      <c r="Y141" cm="1">
        <f t="array" ref="Y141">MAX(IF($C$2:$C$1387=C141,$X$2:$X$1387))</f>
        <v>29</v>
      </c>
      <c r="Z141" cm="1">
        <f t="array" ref="Z141">MIN(IF($C$2:$C$1387=C141,$X$2:$X$1387))</f>
        <v>12</v>
      </c>
      <c r="AA141">
        <f t="shared" si="19"/>
        <v>17</v>
      </c>
      <c r="AB141">
        <f t="shared" si="20"/>
        <v>0.52941176470588236</v>
      </c>
    </row>
    <row r="142" spans="1:28" x14ac:dyDescent="0.25">
      <c r="A142" t="s">
        <v>74</v>
      </c>
      <c r="B142" t="s">
        <v>75</v>
      </c>
      <c r="C142">
        <v>2012</v>
      </c>
      <c r="D142">
        <v>0</v>
      </c>
      <c r="E142">
        <v>0.48173971111001518</v>
      </c>
      <c r="F142">
        <v>2.885554301160545E-2</v>
      </c>
      <c r="G142">
        <v>2.1972245773362196</v>
      </c>
      <c r="H142">
        <v>0</v>
      </c>
      <c r="I142">
        <v>0.66666666666666663</v>
      </c>
      <c r="J142">
        <v>0</v>
      </c>
      <c r="K142">
        <v>1</v>
      </c>
      <c r="L142">
        <v>2</v>
      </c>
      <c r="M142">
        <v>3</v>
      </c>
      <c r="N142">
        <v>4</v>
      </c>
      <c r="O142">
        <v>1</v>
      </c>
      <c r="P142">
        <v>1</v>
      </c>
      <c r="Q142">
        <f t="shared" si="14"/>
        <v>5</v>
      </c>
      <c r="R142">
        <f t="shared" si="15"/>
        <v>17</v>
      </c>
      <c r="S142">
        <f t="array" ref="S142">MAX(IF($C$2:$C$1387=C142,$R$2:$R$1387))</f>
        <v>29</v>
      </c>
      <c r="T142" cm="1">
        <f t="array" ref="T142">MIN(IF($C$2:$C$1387=C142,$R$2:$R$1387))</f>
        <v>11</v>
      </c>
      <c r="U142">
        <f t="shared" si="16"/>
        <v>18</v>
      </c>
      <c r="V142">
        <f t="shared" si="17"/>
        <v>0.33333333333333331</v>
      </c>
      <c r="W142" cm="1">
        <f t="array" ref="W142">_xlfn.IFS(N142=1,5,N142=2,4,N142=4,2,N142=5,1,N142=3,3)</f>
        <v>2</v>
      </c>
      <c r="X142">
        <f t="shared" si="18"/>
        <v>15</v>
      </c>
      <c r="Y142" cm="1">
        <f t="array" ref="Y142">MAX(IF($C$2:$C$1387=C142,$X$2:$X$1387))</f>
        <v>30</v>
      </c>
      <c r="Z142" cm="1">
        <f t="array" ref="Z142">MIN(IF($C$2:$C$1387=C142,$X$2:$X$1387))</f>
        <v>12</v>
      </c>
      <c r="AA142">
        <f t="shared" si="19"/>
        <v>18</v>
      </c>
      <c r="AB142">
        <f t="shared" si="20"/>
        <v>0.16666666666666666</v>
      </c>
    </row>
    <row r="143" spans="1:28" x14ac:dyDescent="0.25">
      <c r="A143" t="s">
        <v>74</v>
      </c>
      <c r="B143" t="s">
        <v>75</v>
      </c>
      <c r="C143">
        <v>2013</v>
      </c>
      <c r="D143">
        <v>0</v>
      </c>
      <c r="E143">
        <v>0.42962235305251179</v>
      </c>
      <c r="F143">
        <v>4.7112499683439273E-2</v>
      </c>
      <c r="G143">
        <v>1.791759469228055</v>
      </c>
      <c r="H143">
        <v>0.66666666666666663</v>
      </c>
      <c r="I143">
        <v>1</v>
      </c>
      <c r="J143">
        <v>0</v>
      </c>
      <c r="K143">
        <v>1</v>
      </c>
      <c r="L143">
        <v>1</v>
      </c>
      <c r="M143">
        <v>3</v>
      </c>
      <c r="N143">
        <v>1</v>
      </c>
      <c r="O143">
        <v>4</v>
      </c>
      <c r="P143">
        <v>3</v>
      </c>
      <c r="Q143">
        <f t="shared" si="14"/>
        <v>5</v>
      </c>
      <c r="R143">
        <f t="shared" si="15"/>
        <v>18</v>
      </c>
      <c r="S143">
        <f t="array" ref="S143">MAX(IF($C$2:$C$1387=C143,$R$2:$R$1387))</f>
        <v>29</v>
      </c>
      <c r="T143" cm="1">
        <f t="array" ref="T143">MIN(IF($C$2:$C$1387=C143,$R$2:$R$1387))</f>
        <v>10</v>
      </c>
      <c r="U143">
        <f t="shared" si="16"/>
        <v>19</v>
      </c>
      <c r="V143">
        <f t="shared" si="17"/>
        <v>0.42105263157894735</v>
      </c>
      <c r="W143" cm="1">
        <f t="array" ref="W143">_xlfn.IFS(N143=1,5,N143=2,4,N143=4,2,N143=5,1,N143=3,3)</f>
        <v>5</v>
      </c>
      <c r="X143">
        <f t="shared" si="18"/>
        <v>22</v>
      </c>
      <c r="Y143" cm="1">
        <f t="array" ref="Y143">MAX(IF($C$2:$C$1387=C143,$X$2:$X$1387))</f>
        <v>32</v>
      </c>
      <c r="Z143" cm="1">
        <f t="array" ref="Z143">MIN(IF($C$2:$C$1387=C143,$X$2:$X$1387))</f>
        <v>10</v>
      </c>
      <c r="AA143">
        <f t="shared" si="19"/>
        <v>22</v>
      </c>
      <c r="AB143">
        <f t="shared" si="20"/>
        <v>0.54545454545454541</v>
      </c>
    </row>
    <row r="144" spans="1:28" x14ac:dyDescent="0.25">
      <c r="A144" t="s">
        <v>74</v>
      </c>
      <c r="B144" t="s">
        <v>75</v>
      </c>
      <c r="C144">
        <v>2014</v>
      </c>
      <c r="D144">
        <v>0.27878763240568821</v>
      </c>
      <c r="E144">
        <v>0.36443736829407758</v>
      </c>
      <c r="F144">
        <v>4.6161884489324241E-2</v>
      </c>
      <c r="G144">
        <v>1.791759469228055</v>
      </c>
      <c r="H144">
        <v>0.66666666666666663</v>
      </c>
      <c r="I144">
        <v>1</v>
      </c>
      <c r="J144">
        <v>0</v>
      </c>
      <c r="K144">
        <v>4</v>
      </c>
      <c r="L144">
        <v>1</v>
      </c>
      <c r="M144">
        <v>3</v>
      </c>
      <c r="N144">
        <v>1</v>
      </c>
      <c r="O144">
        <v>4</v>
      </c>
      <c r="P144">
        <v>3</v>
      </c>
      <c r="Q144">
        <f t="shared" si="14"/>
        <v>5</v>
      </c>
      <c r="R144">
        <f t="shared" si="15"/>
        <v>21</v>
      </c>
      <c r="S144">
        <f t="array" ref="S144">MAX(IF($C$2:$C$1387=C144,$R$2:$R$1387))</f>
        <v>29</v>
      </c>
      <c r="T144" cm="1">
        <f t="array" ref="T144">MIN(IF($C$2:$C$1387=C144,$R$2:$R$1387))</f>
        <v>11</v>
      </c>
      <c r="U144">
        <f t="shared" si="16"/>
        <v>18</v>
      </c>
      <c r="V144">
        <f t="shared" si="17"/>
        <v>0.55555555555555558</v>
      </c>
      <c r="W144" cm="1">
        <f t="array" ref="W144">_xlfn.IFS(N144=1,5,N144=2,4,N144=4,2,N144=5,1,N144=3,3)</f>
        <v>5</v>
      </c>
      <c r="X144">
        <f t="shared" si="18"/>
        <v>25</v>
      </c>
      <c r="Y144" cm="1">
        <f t="array" ref="Y144">MAX(IF($C$2:$C$1387=C144,$X$2:$X$1387))</f>
        <v>30</v>
      </c>
      <c r="Z144" cm="1">
        <f t="array" ref="Z144">MIN(IF($C$2:$C$1387=C144,$X$2:$X$1387))</f>
        <v>14</v>
      </c>
      <c r="AA144">
        <f t="shared" si="19"/>
        <v>16</v>
      </c>
      <c r="AB144">
        <f t="shared" si="20"/>
        <v>0.6875</v>
      </c>
    </row>
    <row r="145" spans="1:28" x14ac:dyDescent="0.25">
      <c r="A145" t="s">
        <v>74</v>
      </c>
      <c r="B145" t="s">
        <v>75</v>
      </c>
      <c r="C145">
        <v>2015</v>
      </c>
      <c r="D145">
        <v>0.27878763240568821</v>
      </c>
      <c r="E145">
        <v>0.36443736829407758</v>
      </c>
      <c r="F145">
        <v>4.7112499683439273E-2</v>
      </c>
      <c r="G145">
        <v>1.9459101490553132</v>
      </c>
      <c r="H145">
        <v>0.7142857142857143</v>
      </c>
      <c r="I145">
        <v>1</v>
      </c>
      <c r="J145">
        <v>0</v>
      </c>
      <c r="K145">
        <v>4</v>
      </c>
      <c r="L145">
        <v>1</v>
      </c>
      <c r="M145">
        <v>3</v>
      </c>
      <c r="N145">
        <v>1</v>
      </c>
      <c r="O145">
        <v>3</v>
      </c>
      <c r="P145">
        <v>2</v>
      </c>
      <c r="Q145">
        <f t="shared" si="14"/>
        <v>5</v>
      </c>
      <c r="R145">
        <f t="shared" si="15"/>
        <v>19</v>
      </c>
      <c r="S145">
        <f t="array" ref="S145">MAX(IF($C$2:$C$1387=C145,$R$2:$R$1387))</f>
        <v>29</v>
      </c>
      <c r="T145" cm="1">
        <f t="array" ref="T145">MIN(IF($C$2:$C$1387=C145,$R$2:$R$1387))</f>
        <v>11</v>
      </c>
      <c r="U145">
        <f t="shared" si="16"/>
        <v>18</v>
      </c>
      <c r="V145">
        <f t="shared" si="17"/>
        <v>0.44444444444444442</v>
      </c>
      <c r="W145" cm="1">
        <f t="array" ref="W145">_xlfn.IFS(N145=1,5,N145=2,4,N145=4,2,N145=5,1,N145=3,3)</f>
        <v>5</v>
      </c>
      <c r="X145">
        <f t="shared" si="18"/>
        <v>23</v>
      </c>
      <c r="Y145" cm="1">
        <f t="array" ref="Y145">MAX(IF($C$2:$C$1387=C145,$X$2:$X$1387))</f>
        <v>29</v>
      </c>
      <c r="Z145" cm="1">
        <f t="array" ref="Z145">MIN(IF($C$2:$C$1387=C145,$X$2:$X$1387))</f>
        <v>12</v>
      </c>
      <c r="AA145">
        <f t="shared" si="19"/>
        <v>17</v>
      </c>
      <c r="AB145">
        <f t="shared" si="20"/>
        <v>0.6470588235294118</v>
      </c>
    </row>
    <row r="146" spans="1:28" x14ac:dyDescent="0.25">
      <c r="A146" t="s">
        <v>76</v>
      </c>
      <c r="B146" t="s">
        <v>77</v>
      </c>
      <c r="C146">
        <v>2010</v>
      </c>
      <c r="D146">
        <v>2.6455026455026455E-7</v>
      </c>
      <c r="E146">
        <v>0.89130145502645508</v>
      </c>
      <c r="F146">
        <v>0.35176719576719578</v>
      </c>
      <c r="G146">
        <v>2.3025850929940459</v>
      </c>
      <c r="H146">
        <v>0.7</v>
      </c>
      <c r="I146">
        <v>1</v>
      </c>
      <c r="J146">
        <v>0</v>
      </c>
      <c r="K146">
        <v>1</v>
      </c>
      <c r="L146">
        <v>5</v>
      </c>
      <c r="M146">
        <v>5</v>
      </c>
      <c r="N146">
        <v>5</v>
      </c>
      <c r="O146">
        <v>4</v>
      </c>
      <c r="P146">
        <v>3</v>
      </c>
      <c r="Q146">
        <f t="shared" si="14"/>
        <v>5</v>
      </c>
      <c r="R146">
        <f t="shared" si="15"/>
        <v>28</v>
      </c>
      <c r="S146">
        <f t="array" ref="S146">MAX(IF($C$2:$C$1387=C146,$R$2:$R$1387))</f>
        <v>29</v>
      </c>
      <c r="T146" cm="1">
        <f t="array" ref="T146">MIN(IF($C$2:$C$1387=C146,$R$2:$R$1387))</f>
        <v>9</v>
      </c>
      <c r="U146">
        <f t="shared" si="16"/>
        <v>20</v>
      </c>
      <c r="V146">
        <f t="shared" si="17"/>
        <v>0.95</v>
      </c>
      <c r="W146" cm="1">
        <f t="array" ref="W146">_xlfn.IFS(N146=1,5,N146=2,4,N146=4,2,N146=5,1,N146=3,3)</f>
        <v>1</v>
      </c>
      <c r="X146">
        <f t="shared" si="18"/>
        <v>24</v>
      </c>
      <c r="Y146" cm="1">
        <f t="array" ref="Y146">MAX(IF($C$2:$C$1387=C146,$X$2:$X$1387))</f>
        <v>29</v>
      </c>
      <c r="Z146" cm="1">
        <f t="array" ref="Z146">MIN(IF($C$2:$C$1387=C146,$X$2:$X$1387))</f>
        <v>12</v>
      </c>
      <c r="AA146">
        <f t="shared" si="19"/>
        <v>17</v>
      </c>
      <c r="AB146">
        <f t="shared" si="20"/>
        <v>0.70588235294117652</v>
      </c>
    </row>
    <row r="147" spans="1:28" x14ac:dyDescent="0.25">
      <c r="A147" t="s">
        <v>76</v>
      </c>
      <c r="B147" t="s">
        <v>77</v>
      </c>
      <c r="C147">
        <v>2011</v>
      </c>
      <c r="D147">
        <v>2.6455026455026455E-7</v>
      </c>
      <c r="E147">
        <v>0.93603386243386244</v>
      </c>
      <c r="F147">
        <v>0.28469047619047622</v>
      </c>
      <c r="G147">
        <v>2.3025850929940459</v>
      </c>
      <c r="H147">
        <v>0.7</v>
      </c>
      <c r="I147">
        <v>1</v>
      </c>
      <c r="J147">
        <v>0</v>
      </c>
      <c r="K147">
        <v>1</v>
      </c>
      <c r="L147">
        <v>5</v>
      </c>
      <c r="M147">
        <v>5</v>
      </c>
      <c r="N147">
        <v>5</v>
      </c>
      <c r="O147">
        <v>4</v>
      </c>
      <c r="P147">
        <v>3</v>
      </c>
      <c r="Q147">
        <f t="shared" si="14"/>
        <v>5</v>
      </c>
      <c r="R147">
        <f t="shared" si="15"/>
        <v>28</v>
      </c>
      <c r="S147">
        <f t="array" ref="S147">MAX(IF($C$2:$C$1387=C147,$R$2:$R$1387))</f>
        <v>28</v>
      </c>
      <c r="T147" cm="1">
        <f t="array" ref="T147">MIN(IF($C$2:$C$1387=C147,$R$2:$R$1387))</f>
        <v>10</v>
      </c>
      <c r="U147">
        <f t="shared" si="16"/>
        <v>18</v>
      </c>
      <c r="V147">
        <f t="shared" si="17"/>
        <v>1</v>
      </c>
      <c r="W147" cm="1">
        <f t="array" ref="W147">_xlfn.IFS(N147=1,5,N147=2,4,N147=4,2,N147=5,1,N147=3,3)</f>
        <v>1</v>
      </c>
      <c r="X147">
        <f t="shared" si="18"/>
        <v>24</v>
      </c>
      <c r="Y147" cm="1">
        <f t="array" ref="Y147">MAX(IF($C$2:$C$1387=C147,$X$2:$X$1387))</f>
        <v>29</v>
      </c>
      <c r="Z147" cm="1">
        <f t="array" ref="Z147">MIN(IF($C$2:$C$1387=C147,$X$2:$X$1387))</f>
        <v>12</v>
      </c>
      <c r="AA147">
        <f t="shared" si="19"/>
        <v>17</v>
      </c>
      <c r="AB147">
        <f t="shared" si="20"/>
        <v>0.70588235294117652</v>
      </c>
    </row>
    <row r="148" spans="1:28" x14ac:dyDescent="0.25">
      <c r="A148" t="s">
        <v>76</v>
      </c>
      <c r="B148" t="s">
        <v>77</v>
      </c>
      <c r="C148">
        <v>2012</v>
      </c>
      <c r="D148">
        <v>2.6455026455026455E-7</v>
      </c>
      <c r="E148">
        <v>0.96186640211640206</v>
      </c>
      <c r="F148">
        <v>6.4480820105820111E-2</v>
      </c>
      <c r="G148">
        <v>1.9459101490553132</v>
      </c>
      <c r="H148">
        <v>0.7142857142857143</v>
      </c>
      <c r="I148">
        <v>0.66666666666666663</v>
      </c>
      <c r="J148">
        <v>0</v>
      </c>
      <c r="K148">
        <v>1</v>
      </c>
      <c r="L148">
        <v>5</v>
      </c>
      <c r="M148">
        <v>3</v>
      </c>
      <c r="N148">
        <v>1</v>
      </c>
      <c r="O148">
        <v>4</v>
      </c>
      <c r="P148">
        <v>1</v>
      </c>
      <c r="Q148">
        <f t="shared" si="14"/>
        <v>5</v>
      </c>
      <c r="R148">
        <f t="shared" si="15"/>
        <v>20</v>
      </c>
      <c r="S148">
        <f t="array" ref="S148">MAX(IF($C$2:$C$1387=C148,$R$2:$R$1387))</f>
        <v>29</v>
      </c>
      <c r="T148" cm="1">
        <f t="array" ref="T148">MIN(IF($C$2:$C$1387=C148,$R$2:$R$1387))</f>
        <v>11</v>
      </c>
      <c r="U148">
        <f t="shared" si="16"/>
        <v>18</v>
      </c>
      <c r="V148">
        <f t="shared" si="17"/>
        <v>0.5</v>
      </c>
      <c r="W148" cm="1">
        <f t="array" ref="W148">_xlfn.IFS(N148=1,5,N148=2,4,N148=4,2,N148=5,1,N148=3,3)</f>
        <v>5</v>
      </c>
      <c r="X148">
        <f t="shared" si="18"/>
        <v>24</v>
      </c>
      <c r="Y148" cm="1">
        <f t="array" ref="Y148">MAX(IF($C$2:$C$1387=C148,$X$2:$X$1387))</f>
        <v>30</v>
      </c>
      <c r="Z148" cm="1">
        <f t="array" ref="Z148">MIN(IF($C$2:$C$1387=C148,$X$2:$X$1387))</f>
        <v>12</v>
      </c>
      <c r="AA148">
        <f t="shared" si="19"/>
        <v>18</v>
      </c>
      <c r="AB148">
        <f t="shared" si="20"/>
        <v>0.66666666666666663</v>
      </c>
    </row>
    <row r="149" spans="1:28" x14ac:dyDescent="0.25">
      <c r="A149" t="s">
        <v>76</v>
      </c>
      <c r="B149" t="s">
        <v>77</v>
      </c>
      <c r="C149">
        <v>2013</v>
      </c>
      <c r="D149">
        <v>2.6455026455026455E-7</v>
      </c>
      <c r="E149">
        <v>0.95598306878306882</v>
      </c>
      <c r="F149">
        <v>6.3588756613756611E-2</v>
      </c>
      <c r="G149">
        <v>2.1972245773362196</v>
      </c>
      <c r="H149">
        <v>0.33333333333333331</v>
      </c>
      <c r="I149">
        <v>1</v>
      </c>
      <c r="J149">
        <v>0</v>
      </c>
      <c r="K149">
        <v>1</v>
      </c>
      <c r="L149">
        <v>5</v>
      </c>
      <c r="M149">
        <v>3</v>
      </c>
      <c r="N149">
        <v>4</v>
      </c>
      <c r="O149">
        <v>1</v>
      </c>
      <c r="P149">
        <v>3</v>
      </c>
      <c r="Q149">
        <f t="shared" si="14"/>
        <v>5</v>
      </c>
      <c r="R149">
        <f t="shared" si="15"/>
        <v>22</v>
      </c>
      <c r="S149">
        <f t="array" ref="S149">MAX(IF($C$2:$C$1387=C149,$R$2:$R$1387))</f>
        <v>29</v>
      </c>
      <c r="T149" cm="1">
        <f t="array" ref="T149">MIN(IF($C$2:$C$1387=C149,$R$2:$R$1387))</f>
        <v>10</v>
      </c>
      <c r="U149">
        <f t="shared" si="16"/>
        <v>19</v>
      </c>
      <c r="V149">
        <f t="shared" si="17"/>
        <v>0.63157894736842102</v>
      </c>
      <c r="W149" cm="1">
        <f t="array" ref="W149">_xlfn.IFS(N149=1,5,N149=2,4,N149=4,2,N149=5,1,N149=3,3)</f>
        <v>2</v>
      </c>
      <c r="X149">
        <f t="shared" si="18"/>
        <v>20</v>
      </c>
      <c r="Y149" cm="1">
        <f t="array" ref="Y149">MAX(IF($C$2:$C$1387=C149,$X$2:$X$1387))</f>
        <v>32</v>
      </c>
      <c r="Z149" cm="1">
        <f t="array" ref="Z149">MIN(IF($C$2:$C$1387=C149,$X$2:$X$1387))</f>
        <v>10</v>
      </c>
      <c r="AA149">
        <f t="shared" si="19"/>
        <v>22</v>
      </c>
      <c r="AB149">
        <f t="shared" si="20"/>
        <v>0.45454545454545453</v>
      </c>
    </row>
    <row r="150" spans="1:28" x14ac:dyDescent="0.25">
      <c r="A150" t="s">
        <v>76</v>
      </c>
      <c r="B150" t="s">
        <v>77</v>
      </c>
      <c r="C150">
        <v>2014</v>
      </c>
      <c r="D150">
        <v>0</v>
      </c>
      <c r="E150">
        <v>0.95046957671957677</v>
      </c>
      <c r="F150">
        <v>6.5443518518518512E-2</v>
      </c>
      <c r="G150">
        <v>2.1972245773362196</v>
      </c>
      <c r="H150">
        <v>0.44444444444444442</v>
      </c>
      <c r="I150">
        <v>0.66666666666666663</v>
      </c>
      <c r="J150">
        <v>0</v>
      </c>
      <c r="K150">
        <v>1</v>
      </c>
      <c r="L150">
        <v>5</v>
      </c>
      <c r="M150">
        <v>3</v>
      </c>
      <c r="N150">
        <v>4</v>
      </c>
      <c r="O150">
        <v>2</v>
      </c>
      <c r="P150">
        <v>1</v>
      </c>
      <c r="Q150">
        <f t="shared" si="14"/>
        <v>5</v>
      </c>
      <c r="R150">
        <f t="shared" si="15"/>
        <v>21</v>
      </c>
      <c r="S150">
        <f t="array" ref="S150">MAX(IF($C$2:$C$1387=C150,$R$2:$R$1387))</f>
        <v>29</v>
      </c>
      <c r="T150" cm="1">
        <f t="array" ref="T150">MIN(IF($C$2:$C$1387=C150,$R$2:$R$1387))</f>
        <v>11</v>
      </c>
      <c r="U150">
        <f t="shared" si="16"/>
        <v>18</v>
      </c>
      <c r="V150">
        <f t="shared" si="17"/>
        <v>0.55555555555555558</v>
      </c>
      <c r="W150" cm="1">
        <f t="array" ref="W150">_xlfn.IFS(N150=1,5,N150=2,4,N150=4,2,N150=5,1,N150=3,3)</f>
        <v>2</v>
      </c>
      <c r="X150">
        <f t="shared" si="18"/>
        <v>19</v>
      </c>
      <c r="Y150" cm="1">
        <f t="array" ref="Y150">MAX(IF($C$2:$C$1387=C150,$X$2:$X$1387))</f>
        <v>30</v>
      </c>
      <c r="Z150" cm="1">
        <f t="array" ref="Z150">MIN(IF($C$2:$C$1387=C150,$X$2:$X$1387))</f>
        <v>14</v>
      </c>
      <c r="AA150">
        <f t="shared" si="19"/>
        <v>16</v>
      </c>
      <c r="AB150">
        <f t="shared" si="20"/>
        <v>0.3125</v>
      </c>
    </row>
    <row r="151" spans="1:28" x14ac:dyDescent="0.25">
      <c r="A151" t="s">
        <v>76</v>
      </c>
      <c r="B151" t="s">
        <v>77</v>
      </c>
      <c r="C151">
        <v>2015</v>
      </c>
      <c r="D151">
        <v>2.6455026455026455E-7</v>
      </c>
      <c r="E151">
        <v>0.95046957671957677</v>
      </c>
      <c r="F151">
        <v>6.3403703703703698E-2</v>
      </c>
      <c r="G151">
        <v>2.1972245773362196</v>
      </c>
      <c r="H151">
        <v>0.44444444444444442</v>
      </c>
      <c r="I151">
        <v>1</v>
      </c>
      <c r="J151">
        <v>0</v>
      </c>
      <c r="K151">
        <v>1</v>
      </c>
      <c r="L151">
        <v>5</v>
      </c>
      <c r="M151">
        <v>3</v>
      </c>
      <c r="N151">
        <v>4</v>
      </c>
      <c r="O151">
        <v>1</v>
      </c>
      <c r="P151">
        <v>2</v>
      </c>
      <c r="Q151">
        <f t="shared" si="14"/>
        <v>5</v>
      </c>
      <c r="R151">
        <f t="shared" si="15"/>
        <v>21</v>
      </c>
      <c r="S151">
        <f t="array" ref="S151">MAX(IF($C$2:$C$1387=C151,$R$2:$R$1387))</f>
        <v>29</v>
      </c>
      <c r="T151" cm="1">
        <f t="array" ref="T151">MIN(IF($C$2:$C$1387=C151,$R$2:$R$1387))</f>
        <v>11</v>
      </c>
      <c r="U151">
        <f t="shared" si="16"/>
        <v>18</v>
      </c>
      <c r="V151">
        <f t="shared" si="17"/>
        <v>0.55555555555555558</v>
      </c>
      <c r="W151" cm="1">
        <f t="array" ref="W151">_xlfn.IFS(N151=1,5,N151=2,4,N151=4,2,N151=5,1,N151=3,3)</f>
        <v>2</v>
      </c>
      <c r="X151">
        <f t="shared" si="18"/>
        <v>19</v>
      </c>
      <c r="Y151" cm="1">
        <f t="array" ref="Y151">MAX(IF($C$2:$C$1387=C151,$X$2:$X$1387))</f>
        <v>29</v>
      </c>
      <c r="Z151" cm="1">
        <f t="array" ref="Z151">MIN(IF($C$2:$C$1387=C151,$X$2:$X$1387))</f>
        <v>12</v>
      </c>
      <c r="AA151">
        <f t="shared" si="19"/>
        <v>17</v>
      </c>
      <c r="AB151">
        <f t="shared" si="20"/>
        <v>0.41176470588235292</v>
      </c>
    </row>
    <row r="152" spans="1:28" x14ac:dyDescent="0.25">
      <c r="A152" t="s">
        <v>78</v>
      </c>
      <c r="B152" t="s">
        <v>79</v>
      </c>
      <c r="C152">
        <v>2010</v>
      </c>
      <c r="D152">
        <v>1.1269399503956577E-2</v>
      </c>
      <c r="E152">
        <v>0.69207729046721655</v>
      </c>
      <c r="F152">
        <v>0.21699999999999997</v>
      </c>
      <c r="G152">
        <v>2.1972245773362196</v>
      </c>
      <c r="H152">
        <v>0.77777777777777779</v>
      </c>
      <c r="I152">
        <v>1</v>
      </c>
      <c r="J152">
        <v>0</v>
      </c>
      <c r="K152">
        <v>2</v>
      </c>
      <c r="L152">
        <v>3</v>
      </c>
      <c r="M152">
        <v>5</v>
      </c>
      <c r="N152">
        <v>4</v>
      </c>
      <c r="O152">
        <v>4</v>
      </c>
      <c r="P152">
        <v>3</v>
      </c>
      <c r="Q152">
        <f t="shared" si="14"/>
        <v>5</v>
      </c>
      <c r="R152">
        <f t="shared" si="15"/>
        <v>26</v>
      </c>
      <c r="S152">
        <f t="array" ref="S152">MAX(IF($C$2:$C$1387=C152,$R$2:$R$1387))</f>
        <v>29</v>
      </c>
      <c r="T152" cm="1">
        <f t="array" ref="T152">MIN(IF($C$2:$C$1387=C152,$R$2:$R$1387))</f>
        <v>9</v>
      </c>
      <c r="U152">
        <f t="shared" si="16"/>
        <v>20</v>
      </c>
      <c r="V152">
        <f t="shared" si="17"/>
        <v>0.85</v>
      </c>
      <c r="W152" cm="1">
        <f t="array" ref="W152">_xlfn.IFS(N152=1,5,N152=2,4,N152=4,2,N152=5,1,N152=3,3)</f>
        <v>2</v>
      </c>
      <c r="X152">
        <f t="shared" si="18"/>
        <v>24</v>
      </c>
      <c r="Y152" cm="1">
        <f t="array" ref="Y152">MAX(IF($C$2:$C$1387=C152,$X$2:$X$1387))</f>
        <v>29</v>
      </c>
      <c r="Z152" cm="1">
        <f t="array" ref="Z152">MIN(IF($C$2:$C$1387=C152,$X$2:$X$1387))</f>
        <v>12</v>
      </c>
      <c r="AA152">
        <f t="shared" si="19"/>
        <v>17</v>
      </c>
      <c r="AB152">
        <f t="shared" si="20"/>
        <v>0.70588235294117652</v>
      </c>
    </row>
    <row r="153" spans="1:28" x14ac:dyDescent="0.25">
      <c r="A153" t="s">
        <v>78</v>
      </c>
      <c r="B153" t="s">
        <v>79</v>
      </c>
      <c r="C153">
        <v>2011</v>
      </c>
      <c r="D153">
        <v>1.2742230720707496E-2</v>
      </c>
      <c r="E153">
        <v>0.69800771287716434</v>
      </c>
      <c r="F153">
        <v>2.0207302869887936E-2</v>
      </c>
      <c r="G153">
        <v>2.1972245773362196</v>
      </c>
      <c r="H153">
        <v>0.77777777777777779</v>
      </c>
      <c r="I153">
        <v>1</v>
      </c>
      <c r="J153">
        <v>0</v>
      </c>
      <c r="K153">
        <v>2</v>
      </c>
      <c r="L153">
        <v>3</v>
      </c>
      <c r="M153">
        <v>2</v>
      </c>
      <c r="N153">
        <v>4</v>
      </c>
      <c r="O153">
        <v>4</v>
      </c>
      <c r="P153">
        <v>3</v>
      </c>
      <c r="Q153">
        <f t="shared" si="14"/>
        <v>5</v>
      </c>
      <c r="R153">
        <f t="shared" si="15"/>
        <v>23</v>
      </c>
      <c r="S153">
        <f t="array" ref="S153">MAX(IF($C$2:$C$1387=C153,$R$2:$R$1387))</f>
        <v>28</v>
      </c>
      <c r="T153" cm="1">
        <f t="array" ref="T153">MIN(IF($C$2:$C$1387=C153,$R$2:$R$1387))</f>
        <v>10</v>
      </c>
      <c r="U153">
        <f t="shared" si="16"/>
        <v>18</v>
      </c>
      <c r="V153">
        <f t="shared" si="17"/>
        <v>0.72222222222222221</v>
      </c>
      <c r="W153" cm="1">
        <f t="array" ref="W153">_xlfn.IFS(N153=1,5,N153=2,4,N153=4,2,N153=5,1,N153=3,3)</f>
        <v>2</v>
      </c>
      <c r="X153">
        <f t="shared" si="18"/>
        <v>21</v>
      </c>
      <c r="Y153" cm="1">
        <f t="array" ref="Y153">MAX(IF($C$2:$C$1387=C153,$X$2:$X$1387))</f>
        <v>29</v>
      </c>
      <c r="Z153" cm="1">
        <f t="array" ref="Z153">MIN(IF($C$2:$C$1387=C153,$X$2:$X$1387))</f>
        <v>12</v>
      </c>
      <c r="AA153">
        <f t="shared" si="19"/>
        <v>17</v>
      </c>
      <c r="AB153">
        <f t="shared" si="20"/>
        <v>0.52941176470588236</v>
      </c>
    </row>
    <row r="154" spans="1:28" x14ac:dyDescent="0.25">
      <c r="A154" t="s">
        <v>78</v>
      </c>
      <c r="B154" t="s">
        <v>79</v>
      </c>
      <c r="C154">
        <v>2012</v>
      </c>
      <c r="D154">
        <v>0.14835739648351787</v>
      </c>
      <c r="E154">
        <v>0.70185945327952604</v>
      </c>
      <c r="F154">
        <v>2.2502938999120866E-2</v>
      </c>
      <c r="G154">
        <v>2.1972245773362196</v>
      </c>
      <c r="H154">
        <v>0.77777777777777779</v>
      </c>
      <c r="I154">
        <v>1</v>
      </c>
      <c r="J154">
        <v>0</v>
      </c>
      <c r="K154">
        <v>3</v>
      </c>
      <c r="L154">
        <v>3</v>
      </c>
      <c r="M154">
        <v>2</v>
      </c>
      <c r="N154">
        <v>4</v>
      </c>
      <c r="O154">
        <v>5</v>
      </c>
      <c r="P154">
        <v>3</v>
      </c>
      <c r="Q154">
        <f t="shared" si="14"/>
        <v>5</v>
      </c>
      <c r="R154">
        <f t="shared" si="15"/>
        <v>25</v>
      </c>
      <c r="S154">
        <f t="array" ref="S154">MAX(IF($C$2:$C$1387=C154,$R$2:$R$1387))</f>
        <v>29</v>
      </c>
      <c r="T154" cm="1">
        <f t="array" ref="T154">MIN(IF($C$2:$C$1387=C154,$R$2:$R$1387))</f>
        <v>11</v>
      </c>
      <c r="U154">
        <f t="shared" si="16"/>
        <v>18</v>
      </c>
      <c r="V154">
        <f t="shared" si="17"/>
        <v>0.77777777777777779</v>
      </c>
      <c r="W154" cm="1">
        <f t="array" ref="W154">_xlfn.IFS(N154=1,5,N154=2,4,N154=4,2,N154=5,1,N154=3,3)</f>
        <v>2</v>
      </c>
      <c r="X154">
        <f t="shared" si="18"/>
        <v>23</v>
      </c>
      <c r="Y154" cm="1">
        <f t="array" ref="Y154">MAX(IF($C$2:$C$1387=C154,$X$2:$X$1387))</f>
        <v>30</v>
      </c>
      <c r="Z154" cm="1">
        <f t="array" ref="Z154">MIN(IF($C$2:$C$1387=C154,$X$2:$X$1387))</f>
        <v>12</v>
      </c>
      <c r="AA154">
        <f t="shared" si="19"/>
        <v>18</v>
      </c>
      <c r="AB154">
        <f t="shared" si="20"/>
        <v>0.61111111111111116</v>
      </c>
    </row>
    <row r="155" spans="1:28" x14ac:dyDescent="0.25">
      <c r="A155" t="s">
        <v>78</v>
      </c>
      <c r="B155" t="s">
        <v>79</v>
      </c>
      <c r="C155">
        <v>2013</v>
      </c>
      <c r="D155">
        <v>1.46509573596076E-2</v>
      </c>
      <c r="E155">
        <v>0.70295451270239206</v>
      </c>
      <c r="F155">
        <v>2.2502938999120867E-3</v>
      </c>
      <c r="G155">
        <v>1.791759469228055</v>
      </c>
      <c r="H155">
        <v>0</v>
      </c>
      <c r="I155">
        <v>1</v>
      </c>
      <c r="J155">
        <v>0</v>
      </c>
      <c r="K155">
        <v>2</v>
      </c>
      <c r="L155">
        <v>3</v>
      </c>
      <c r="M155">
        <v>1</v>
      </c>
      <c r="N155">
        <v>1</v>
      </c>
      <c r="O155">
        <v>1</v>
      </c>
      <c r="P155">
        <v>3</v>
      </c>
      <c r="Q155">
        <f t="shared" si="14"/>
        <v>5</v>
      </c>
      <c r="R155">
        <f t="shared" si="15"/>
        <v>16</v>
      </c>
      <c r="S155">
        <f t="array" ref="S155">MAX(IF($C$2:$C$1387=C155,$R$2:$R$1387))</f>
        <v>29</v>
      </c>
      <c r="T155" cm="1">
        <f t="array" ref="T155">MIN(IF($C$2:$C$1387=C155,$R$2:$R$1387))</f>
        <v>10</v>
      </c>
      <c r="U155">
        <f t="shared" si="16"/>
        <v>19</v>
      </c>
      <c r="V155">
        <f t="shared" si="17"/>
        <v>0.31578947368421051</v>
      </c>
      <c r="W155" cm="1">
        <f t="array" ref="W155">_xlfn.IFS(N155=1,5,N155=2,4,N155=4,2,N155=5,1,N155=3,3)</f>
        <v>5</v>
      </c>
      <c r="X155">
        <f t="shared" si="18"/>
        <v>20</v>
      </c>
      <c r="Y155" cm="1">
        <f t="array" ref="Y155">MAX(IF($C$2:$C$1387=C155,$X$2:$X$1387))</f>
        <v>32</v>
      </c>
      <c r="Z155" cm="1">
        <f t="array" ref="Z155">MIN(IF($C$2:$C$1387=C155,$X$2:$X$1387))</f>
        <v>10</v>
      </c>
      <c r="AA155">
        <f t="shared" si="19"/>
        <v>22</v>
      </c>
      <c r="AB155">
        <f t="shared" si="20"/>
        <v>0.45454545454545453</v>
      </c>
    </row>
    <row r="156" spans="1:28" x14ac:dyDescent="0.25">
      <c r="A156" t="s">
        <v>78</v>
      </c>
      <c r="B156" t="s">
        <v>79</v>
      </c>
      <c r="C156">
        <v>2014</v>
      </c>
      <c r="D156">
        <v>0.14399859002317622</v>
      </c>
      <c r="E156">
        <v>0.70404380760336283</v>
      </c>
      <c r="F156">
        <v>6.5276017171104997E-2</v>
      </c>
      <c r="G156">
        <v>1.791759469228055</v>
      </c>
      <c r="H156">
        <v>0</v>
      </c>
      <c r="I156">
        <v>1</v>
      </c>
      <c r="J156">
        <v>0</v>
      </c>
      <c r="K156">
        <v>3</v>
      </c>
      <c r="L156">
        <v>3</v>
      </c>
      <c r="M156">
        <v>3</v>
      </c>
      <c r="N156">
        <v>1</v>
      </c>
      <c r="O156">
        <v>1</v>
      </c>
      <c r="P156">
        <v>3</v>
      </c>
      <c r="Q156">
        <f t="shared" si="14"/>
        <v>5</v>
      </c>
      <c r="R156">
        <f t="shared" si="15"/>
        <v>19</v>
      </c>
      <c r="S156">
        <f t="array" ref="S156">MAX(IF($C$2:$C$1387=C156,$R$2:$R$1387))</f>
        <v>29</v>
      </c>
      <c r="T156" cm="1">
        <f t="array" ref="T156">MIN(IF($C$2:$C$1387=C156,$R$2:$R$1387))</f>
        <v>11</v>
      </c>
      <c r="U156">
        <f t="shared" si="16"/>
        <v>18</v>
      </c>
      <c r="V156">
        <f t="shared" si="17"/>
        <v>0.44444444444444442</v>
      </c>
      <c r="W156" cm="1">
        <f t="array" ref="W156">_xlfn.IFS(N156=1,5,N156=2,4,N156=4,2,N156=5,1,N156=3,3)</f>
        <v>5</v>
      </c>
      <c r="X156">
        <f t="shared" si="18"/>
        <v>23</v>
      </c>
      <c r="Y156" cm="1">
        <f t="array" ref="Y156">MAX(IF($C$2:$C$1387=C156,$X$2:$X$1387))</f>
        <v>30</v>
      </c>
      <c r="Z156" cm="1">
        <f t="array" ref="Z156">MIN(IF($C$2:$C$1387=C156,$X$2:$X$1387))</f>
        <v>14</v>
      </c>
      <c r="AA156">
        <f t="shared" si="19"/>
        <v>16</v>
      </c>
      <c r="AB156">
        <f t="shared" si="20"/>
        <v>0.5625</v>
      </c>
    </row>
    <row r="157" spans="1:28" x14ac:dyDescent="0.25">
      <c r="A157" t="s">
        <v>78</v>
      </c>
      <c r="B157" t="s">
        <v>79</v>
      </c>
      <c r="C157">
        <v>2015</v>
      </c>
      <c r="D157">
        <v>0.11601801137308086</v>
      </c>
      <c r="E157">
        <v>0.68088736145273632</v>
      </c>
      <c r="F157">
        <v>0.22348768959311413</v>
      </c>
      <c r="G157">
        <v>2.1972245773362196</v>
      </c>
      <c r="H157">
        <v>0.88888888888888884</v>
      </c>
      <c r="I157">
        <v>1</v>
      </c>
      <c r="J157">
        <v>0</v>
      </c>
      <c r="K157">
        <v>3</v>
      </c>
      <c r="L157">
        <v>3</v>
      </c>
      <c r="M157">
        <v>5</v>
      </c>
      <c r="N157">
        <v>4</v>
      </c>
      <c r="O157">
        <v>5</v>
      </c>
      <c r="P157">
        <v>2</v>
      </c>
      <c r="Q157">
        <f t="shared" si="14"/>
        <v>5</v>
      </c>
      <c r="R157">
        <f t="shared" si="15"/>
        <v>27</v>
      </c>
      <c r="S157">
        <f t="array" ref="S157">MAX(IF($C$2:$C$1387=C157,$R$2:$R$1387))</f>
        <v>29</v>
      </c>
      <c r="T157" cm="1">
        <f t="array" ref="T157">MIN(IF($C$2:$C$1387=C157,$R$2:$R$1387))</f>
        <v>11</v>
      </c>
      <c r="U157">
        <f t="shared" si="16"/>
        <v>18</v>
      </c>
      <c r="V157">
        <f t="shared" si="17"/>
        <v>0.88888888888888884</v>
      </c>
      <c r="W157" cm="1">
        <f t="array" ref="W157">_xlfn.IFS(N157=1,5,N157=2,4,N157=4,2,N157=5,1,N157=3,3)</f>
        <v>2</v>
      </c>
      <c r="X157">
        <f t="shared" si="18"/>
        <v>25</v>
      </c>
      <c r="Y157" cm="1">
        <f t="array" ref="Y157">MAX(IF($C$2:$C$1387=C157,$X$2:$X$1387))</f>
        <v>29</v>
      </c>
      <c r="Z157" cm="1">
        <f t="array" ref="Z157">MIN(IF($C$2:$C$1387=C157,$X$2:$X$1387))</f>
        <v>12</v>
      </c>
      <c r="AA157">
        <f t="shared" si="19"/>
        <v>17</v>
      </c>
      <c r="AB157">
        <f t="shared" si="20"/>
        <v>0.76470588235294112</v>
      </c>
    </row>
    <row r="158" spans="1:28" x14ac:dyDescent="0.25">
      <c r="A158" t="s">
        <v>80</v>
      </c>
      <c r="B158" t="s">
        <v>81</v>
      </c>
      <c r="C158">
        <v>2010</v>
      </c>
      <c r="D158">
        <v>2.3192679558011051E-2</v>
      </c>
      <c r="E158">
        <v>0.69915400552486184</v>
      </c>
      <c r="F158">
        <v>5.8270718232044195E-2</v>
      </c>
      <c r="G158">
        <v>2.0794415416798357</v>
      </c>
      <c r="H158">
        <v>0</v>
      </c>
      <c r="I158">
        <v>1</v>
      </c>
      <c r="J158">
        <v>1</v>
      </c>
      <c r="K158">
        <v>2</v>
      </c>
      <c r="L158">
        <v>3</v>
      </c>
      <c r="M158">
        <v>3</v>
      </c>
      <c r="N158">
        <v>3</v>
      </c>
      <c r="O158">
        <v>1</v>
      </c>
      <c r="P158">
        <v>3</v>
      </c>
      <c r="Q158">
        <f t="shared" si="14"/>
        <v>1</v>
      </c>
      <c r="R158">
        <f t="shared" si="15"/>
        <v>16</v>
      </c>
      <c r="S158">
        <f t="array" ref="S158">MAX(IF($C$2:$C$1387=C158,$R$2:$R$1387))</f>
        <v>29</v>
      </c>
      <c r="T158" cm="1">
        <f t="array" ref="T158">MIN(IF($C$2:$C$1387=C158,$R$2:$R$1387))</f>
        <v>9</v>
      </c>
      <c r="U158">
        <f t="shared" si="16"/>
        <v>20</v>
      </c>
      <c r="V158">
        <f t="shared" si="17"/>
        <v>0.35</v>
      </c>
      <c r="W158" cm="1">
        <f t="array" ref="W158">_xlfn.IFS(N158=1,5,N158=2,4,N158=4,2,N158=5,1,N158=3,3)</f>
        <v>3</v>
      </c>
      <c r="X158">
        <f t="shared" si="18"/>
        <v>16</v>
      </c>
      <c r="Y158" cm="1">
        <f t="array" ref="Y158">MAX(IF($C$2:$C$1387=C158,$X$2:$X$1387))</f>
        <v>29</v>
      </c>
      <c r="Z158" cm="1">
        <f t="array" ref="Z158">MIN(IF($C$2:$C$1387=C158,$X$2:$X$1387))</f>
        <v>12</v>
      </c>
      <c r="AA158">
        <f t="shared" si="19"/>
        <v>17</v>
      </c>
      <c r="AB158">
        <f t="shared" si="20"/>
        <v>0.23529411764705882</v>
      </c>
    </row>
    <row r="159" spans="1:28" x14ac:dyDescent="0.25">
      <c r="A159" t="s">
        <v>80</v>
      </c>
      <c r="B159" t="s">
        <v>81</v>
      </c>
      <c r="C159">
        <v>2011</v>
      </c>
      <c r="D159">
        <v>1.9091621492709283E-2</v>
      </c>
      <c r="E159">
        <v>0.73687043731165347</v>
      </c>
      <c r="F159">
        <v>0.13777888153315637</v>
      </c>
      <c r="G159">
        <v>2.0794415416798357</v>
      </c>
      <c r="H159">
        <v>0.875</v>
      </c>
      <c r="I159">
        <v>1</v>
      </c>
      <c r="J159">
        <v>1</v>
      </c>
      <c r="K159">
        <v>2</v>
      </c>
      <c r="L159">
        <v>4</v>
      </c>
      <c r="M159">
        <v>4</v>
      </c>
      <c r="N159">
        <v>3</v>
      </c>
      <c r="O159">
        <v>5</v>
      </c>
      <c r="P159">
        <v>3</v>
      </c>
      <c r="Q159">
        <f t="shared" si="14"/>
        <v>1</v>
      </c>
      <c r="R159">
        <f t="shared" si="15"/>
        <v>22</v>
      </c>
      <c r="S159">
        <f t="array" ref="S159">MAX(IF($C$2:$C$1387=C159,$R$2:$R$1387))</f>
        <v>28</v>
      </c>
      <c r="T159" cm="1">
        <f t="array" ref="T159">MIN(IF($C$2:$C$1387=C159,$R$2:$R$1387))</f>
        <v>10</v>
      </c>
      <c r="U159">
        <f t="shared" si="16"/>
        <v>18</v>
      </c>
      <c r="V159">
        <f t="shared" si="17"/>
        <v>0.66666666666666663</v>
      </c>
      <c r="W159" cm="1">
        <f t="array" ref="W159">_xlfn.IFS(N159=1,5,N159=2,4,N159=4,2,N159=5,1,N159=3,3)</f>
        <v>3</v>
      </c>
      <c r="X159">
        <f t="shared" si="18"/>
        <v>22</v>
      </c>
      <c r="Y159" cm="1">
        <f t="array" ref="Y159">MAX(IF($C$2:$C$1387=C159,$X$2:$X$1387))</f>
        <v>29</v>
      </c>
      <c r="Z159" cm="1">
        <f t="array" ref="Z159">MIN(IF($C$2:$C$1387=C159,$X$2:$X$1387))</f>
        <v>12</v>
      </c>
      <c r="AA159">
        <f t="shared" si="19"/>
        <v>17</v>
      </c>
      <c r="AB159">
        <f t="shared" si="20"/>
        <v>0.58823529411764708</v>
      </c>
    </row>
    <row r="160" spans="1:28" x14ac:dyDescent="0.25">
      <c r="A160" t="s">
        <v>80</v>
      </c>
      <c r="B160" t="s">
        <v>81</v>
      </c>
      <c r="C160">
        <v>2012</v>
      </c>
      <c r="D160">
        <v>1.9091621492709283E-2</v>
      </c>
      <c r="E160">
        <v>0.66029558252637188</v>
      </c>
      <c r="F160">
        <v>0.13364463615957381</v>
      </c>
      <c r="G160">
        <v>2.0794415416798357</v>
      </c>
      <c r="H160">
        <v>0.75</v>
      </c>
      <c r="I160">
        <v>0.66666666666666663</v>
      </c>
      <c r="J160">
        <v>1</v>
      </c>
      <c r="K160">
        <v>2</v>
      </c>
      <c r="L160">
        <v>3</v>
      </c>
      <c r="M160">
        <v>4</v>
      </c>
      <c r="N160">
        <v>3</v>
      </c>
      <c r="O160">
        <v>4</v>
      </c>
      <c r="P160">
        <v>1</v>
      </c>
      <c r="Q160">
        <f t="shared" si="14"/>
        <v>1</v>
      </c>
      <c r="R160">
        <f t="shared" si="15"/>
        <v>18</v>
      </c>
      <c r="S160">
        <f t="array" ref="S160">MAX(IF($C$2:$C$1387=C160,$R$2:$R$1387))</f>
        <v>29</v>
      </c>
      <c r="T160" cm="1">
        <f t="array" ref="T160">MIN(IF($C$2:$C$1387=C160,$R$2:$R$1387))</f>
        <v>11</v>
      </c>
      <c r="U160">
        <f t="shared" si="16"/>
        <v>18</v>
      </c>
      <c r="V160">
        <f t="shared" si="17"/>
        <v>0.3888888888888889</v>
      </c>
      <c r="W160" cm="1">
        <f t="array" ref="W160">_xlfn.IFS(N160=1,5,N160=2,4,N160=4,2,N160=5,1,N160=3,3)</f>
        <v>3</v>
      </c>
      <c r="X160">
        <f t="shared" si="18"/>
        <v>18</v>
      </c>
      <c r="Y160" cm="1">
        <f t="array" ref="Y160">MAX(IF($C$2:$C$1387=C160,$X$2:$X$1387))</f>
        <v>30</v>
      </c>
      <c r="Z160" cm="1">
        <f t="array" ref="Z160">MIN(IF($C$2:$C$1387=C160,$X$2:$X$1387))</f>
        <v>12</v>
      </c>
      <c r="AA160">
        <f t="shared" si="19"/>
        <v>18</v>
      </c>
      <c r="AB160">
        <f t="shared" si="20"/>
        <v>0.33333333333333331</v>
      </c>
    </row>
    <row r="161" spans="1:28" x14ac:dyDescent="0.25">
      <c r="A161" t="s">
        <v>80</v>
      </c>
      <c r="B161" t="s">
        <v>81</v>
      </c>
      <c r="C161">
        <v>2013</v>
      </c>
      <c r="D161">
        <v>1.9815846872742786E-2</v>
      </c>
      <c r="E161">
        <v>0.66029558252637188</v>
      </c>
      <c r="F161">
        <v>0.10750242731871229</v>
      </c>
      <c r="G161">
        <v>2.0794415416798357</v>
      </c>
      <c r="H161">
        <v>0.75</v>
      </c>
      <c r="I161">
        <v>1</v>
      </c>
      <c r="J161">
        <v>1</v>
      </c>
      <c r="K161">
        <v>2</v>
      </c>
      <c r="L161">
        <v>3</v>
      </c>
      <c r="M161">
        <v>4</v>
      </c>
      <c r="N161">
        <v>3</v>
      </c>
      <c r="O161">
        <v>5</v>
      </c>
      <c r="P161">
        <v>3</v>
      </c>
      <c r="Q161">
        <f t="shared" si="14"/>
        <v>1</v>
      </c>
      <c r="R161">
        <f t="shared" si="15"/>
        <v>21</v>
      </c>
      <c r="S161">
        <f t="array" ref="S161">MAX(IF($C$2:$C$1387=C161,$R$2:$R$1387))</f>
        <v>29</v>
      </c>
      <c r="T161" cm="1">
        <f t="array" ref="T161">MIN(IF($C$2:$C$1387=C161,$R$2:$R$1387))</f>
        <v>10</v>
      </c>
      <c r="U161">
        <f t="shared" si="16"/>
        <v>19</v>
      </c>
      <c r="V161">
        <f t="shared" si="17"/>
        <v>0.57894736842105265</v>
      </c>
      <c r="W161" cm="1">
        <f t="array" ref="W161">_xlfn.IFS(N161=1,5,N161=2,4,N161=4,2,N161=5,1,N161=3,3)</f>
        <v>3</v>
      </c>
      <c r="X161">
        <f t="shared" si="18"/>
        <v>21</v>
      </c>
      <c r="Y161" cm="1">
        <f t="array" ref="Y161">MAX(IF($C$2:$C$1387=C161,$X$2:$X$1387))</f>
        <v>32</v>
      </c>
      <c r="Z161" cm="1">
        <f t="array" ref="Z161">MIN(IF($C$2:$C$1387=C161,$X$2:$X$1387))</f>
        <v>10</v>
      </c>
      <c r="AA161">
        <f t="shared" si="19"/>
        <v>22</v>
      </c>
      <c r="AB161">
        <f t="shared" si="20"/>
        <v>0.5</v>
      </c>
    </row>
    <row r="162" spans="1:28" x14ac:dyDescent="0.25">
      <c r="A162" t="s">
        <v>80</v>
      </c>
      <c r="B162" t="s">
        <v>81</v>
      </c>
      <c r="C162">
        <v>2014</v>
      </c>
      <c r="D162">
        <v>1.6553683856591873E-2</v>
      </c>
      <c r="E162">
        <v>0.66725636045121572</v>
      </c>
      <c r="F162">
        <v>0.10754514155662731</v>
      </c>
      <c r="G162">
        <v>2.0794415416798357</v>
      </c>
      <c r="H162">
        <v>0.875</v>
      </c>
      <c r="I162">
        <v>1</v>
      </c>
      <c r="J162">
        <v>1</v>
      </c>
      <c r="K162">
        <v>2</v>
      </c>
      <c r="L162">
        <v>3</v>
      </c>
      <c r="M162">
        <v>4</v>
      </c>
      <c r="N162">
        <v>3</v>
      </c>
      <c r="O162">
        <v>5</v>
      </c>
      <c r="P162">
        <v>3</v>
      </c>
      <c r="Q162">
        <f t="shared" si="14"/>
        <v>1</v>
      </c>
      <c r="R162">
        <f t="shared" si="15"/>
        <v>21</v>
      </c>
      <c r="S162">
        <f t="array" ref="S162">MAX(IF($C$2:$C$1387=C162,$R$2:$R$1387))</f>
        <v>29</v>
      </c>
      <c r="T162" cm="1">
        <f t="array" ref="T162">MIN(IF($C$2:$C$1387=C162,$R$2:$R$1387))</f>
        <v>11</v>
      </c>
      <c r="U162">
        <f t="shared" si="16"/>
        <v>18</v>
      </c>
      <c r="V162">
        <f t="shared" si="17"/>
        <v>0.55555555555555558</v>
      </c>
      <c r="W162" cm="1">
        <f t="array" ref="W162">_xlfn.IFS(N162=1,5,N162=2,4,N162=4,2,N162=5,1,N162=3,3)</f>
        <v>3</v>
      </c>
      <c r="X162">
        <f t="shared" si="18"/>
        <v>21</v>
      </c>
      <c r="Y162" cm="1">
        <f t="array" ref="Y162">MAX(IF($C$2:$C$1387=C162,$X$2:$X$1387))</f>
        <v>30</v>
      </c>
      <c r="Z162" cm="1">
        <f t="array" ref="Z162">MIN(IF($C$2:$C$1387=C162,$X$2:$X$1387))</f>
        <v>14</v>
      </c>
      <c r="AA162">
        <f t="shared" si="19"/>
        <v>16</v>
      </c>
      <c r="AB162">
        <f t="shared" si="20"/>
        <v>0.4375</v>
      </c>
    </row>
    <row r="163" spans="1:28" x14ac:dyDescent="0.25">
      <c r="A163" t="s">
        <v>80</v>
      </c>
      <c r="B163" t="s">
        <v>81</v>
      </c>
      <c r="C163">
        <v>2015</v>
      </c>
      <c r="D163">
        <v>1.6553683856591873E-2</v>
      </c>
      <c r="E163">
        <v>0.66725636045121572</v>
      </c>
      <c r="F163">
        <v>0.10754514155662731</v>
      </c>
      <c r="G163">
        <v>2.0794415416798357</v>
      </c>
      <c r="H163">
        <v>0.75</v>
      </c>
      <c r="I163">
        <v>0.75</v>
      </c>
      <c r="J163">
        <v>0</v>
      </c>
      <c r="K163">
        <v>2</v>
      </c>
      <c r="L163">
        <v>3</v>
      </c>
      <c r="M163">
        <v>4</v>
      </c>
      <c r="N163">
        <v>3</v>
      </c>
      <c r="O163">
        <v>4</v>
      </c>
      <c r="P163">
        <v>2</v>
      </c>
      <c r="Q163">
        <f t="shared" si="14"/>
        <v>5</v>
      </c>
      <c r="R163">
        <f t="shared" si="15"/>
        <v>23</v>
      </c>
      <c r="S163">
        <f t="array" ref="S163">MAX(IF($C$2:$C$1387=C163,$R$2:$R$1387))</f>
        <v>29</v>
      </c>
      <c r="T163" cm="1">
        <f t="array" ref="T163">MIN(IF($C$2:$C$1387=C163,$R$2:$R$1387))</f>
        <v>11</v>
      </c>
      <c r="U163">
        <f t="shared" si="16"/>
        <v>18</v>
      </c>
      <c r="V163">
        <f t="shared" si="17"/>
        <v>0.66666666666666663</v>
      </c>
      <c r="W163" cm="1">
        <f t="array" ref="W163">_xlfn.IFS(N163=1,5,N163=2,4,N163=4,2,N163=5,1,N163=3,3)</f>
        <v>3</v>
      </c>
      <c r="X163">
        <f t="shared" si="18"/>
        <v>23</v>
      </c>
      <c r="Y163" cm="1">
        <f t="array" ref="Y163">MAX(IF($C$2:$C$1387=C163,$X$2:$X$1387))</f>
        <v>29</v>
      </c>
      <c r="Z163" cm="1">
        <f t="array" ref="Z163">MIN(IF($C$2:$C$1387=C163,$X$2:$X$1387))</f>
        <v>12</v>
      </c>
      <c r="AA163">
        <f t="shared" si="19"/>
        <v>17</v>
      </c>
      <c r="AB163">
        <f t="shared" si="20"/>
        <v>0.6470588235294118</v>
      </c>
    </row>
    <row r="164" spans="1:28" x14ac:dyDescent="0.25">
      <c r="A164" t="s">
        <v>82</v>
      </c>
      <c r="B164" t="s">
        <v>83</v>
      </c>
      <c r="C164">
        <v>2010</v>
      </c>
      <c r="D164">
        <v>0</v>
      </c>
      <c r="E164">
        <v>0.6350759045971871</v>
      </c>
      <c r="F164">
        <v>7.3460000000000011E-2</v>
      </c>
      <c r="G164">
        <v>2.0794415416798357</v>
      </c>
      <c r="H164">
        <v>0.75</v>
      </c>
      <c r="I164">
        <v>1</v>
      </c>
      <c r="J164">
        <v>0</v>
      </c>
      <c r="K164">
        <v>1</v>
      </c>
      <c r="L164">
        <v>3</v>
      </c>
      <c r="M164">
        <v>3</v>
      </c>
      <c r="N164">
        <v>3</v>
      </c>
      <c r="O164">
        <v>4</v>
      </c>
      <c r="P164">
        <v>3</v>
      </c>
      <c r="Q164">
        <f t="shared" si="14"/>
        <v>5</v>
      </c>
      <c r="R164">
        <f t="shared" si="15"/>
        <v>22</v>
      </c>
      <c r="S164">
        <f t="array" ref="S164">MAX(IF($C$2:$C$1387=C164,$R$2:$R$1387))</f>
        <v>29</v>
      </c>
      <c r="T164" cm="1">
        <f t="array" ref="T164">MIN(IF($C$2:$C$1387=C164,$R$2:$R$1387))</f>
        <v>9</v>
      </c>
      <c r="U164">
        <f t="shared" si="16"/>
        <v>20</v>
      </c>
      <c r="V164">
        <f t="shared" si="17"/>
        <v>0.65</v>
      </c>
      <c r="W164" cm="1">
        <f t="array" ref="W164">_xlfn.IFS(N164=1,5,N164=2,4,N164=4,2,N164=5,1,N164=3,3)</f>
        <v>3</v>
      </c>
      <c r="X164">
        <f t="shared" si="18"/>
        <v>22</v>
      </c>
      <c r="Y164" cm="1">
        <f t="array" ref="Y164">MAX(IF($C$2:$C$1387=C164,$X$2:$X$1387))</f>
        <v>29</v>
      </c>
      <c r="Z164" cm="1">
        <f t="array" ref="Z164">MIN(IF($C$2:$C$1387=C164,$X$2:$X$1387))</f>
        <v>12</v>
      </c>
      <c r="AA164">
        <f t="shared" si="19"/>
        <v>17</v>
      </c>
      <c r="AB164">
        <f t="shared" si="20"/>
        <v>0.58823529411764708</v>
      </c>
    </row>
    <row r="165" spans="1:28" x14ac:dyDescent="0.25">
      <c r="A165" t="s">
        <v>82</v>
      </c>
      <c r="B165" t="s">
        <v>83</v>
      </c>
      <c r="C165">
        <v>2011</v>
      </c>
      <c r="D165">
        <v>1.1107211978721221E-4</v>
      </c>
      <c r="E165">
        <v>0.66704136094798849</v>
      </c>
      <c r="F165">
        <v>7.3454302235595847E-2</v>
      </c>
      <c r="G165">
        <v>1.6094379124341003</v>
      </c>
      <c r="H165">
        <v>1</v>
      </c>
      <c r="I165">
        <v>1</v>
      </c>
      <c r="J165">
        <v>0</v>
      </c>
      <c r="K165">
        <v>1</v>
      </c>
      <c r="L165">
        <v>3</v>
      </c>
      <c r="M165">
        <v>3</v>
      </c>
      <c r="N165">
        <v>1</v>
      </c>
      <c r="O165">
        <v>5</v>
      </c>
      <c r="P165">
        <v>3</v>
      </c>
      <c r="Q165">
        <f t="shared" si="14"/>
        <v>5</v>
      </c>
      <c r="R165">
        <f t="shared" si="15"/>
        <v>21</v>
      </c>
      <c r="S165">
        <f t="array" ref="S165">MAX(IF($C$2:$C$1387=C165,$R$2:$R$1387))</f>
        <v>28</v>
      </c>
      <c r="T165" cm="1">
        <f t="array" ref="T165">MIN(IF($C$2:$C$1387=C165,$R$2:$R$1387))</f>
        <v>10</v>
      </c>
      <c r="U165">
        <f t="shared" si="16"/>
        <v>18</v>
      </c>
      <c r="V165">
        <f t="shared" si="17"/>
        <v>0.61111111111111116</v>
      </c>
      <c r="W165" cm="1">
        <f t="array" ref="W165">_xlfn.IFS(N165=1,5,N165=2,4,N165=4,2,N165=5,1,N165=3,3)</f>
        <v>5</v>
      </c>
      <c r="X165">
        <f t="shared" si="18"/>
        <v>25</v>
      </c>
      <c r="Y165" cm="1">
        <f t="array" ref="Y165">MAX(IF($C$2:$C$1387=C165,$X$2:$X$1387))</f>
        <v>29</v>
      </c>
      <c r="Z165" cm="1">
        <f t="array" ref="Z165">MIN(IF($C$2:$C$1387=C165,$X$2:$X$1387))</f>
        <v>12</v>
      </c>
      <c r="AA165">
        <f t="shared" si="19"/>
        <v>17</v>
      </c>
      <c r="AB165">
        <f t="shared" si="20"/>
        <v>0.76470588235294112</v>
      </c>
    </row>
    <row r="166" spans="1:28" x14ac:dyDescent="0.25">
      <c r="A166" t="s">
        <v>82</v>
      </c>
      <c r="B166" t="s">
        <v>83</v>
      </c>
      <c r="C166">
        <v>2012</v>
      </c>
      <c r="D166">
        <v>1.1112710598512668E-4</v>
      </c>
      <c r="E166">
        <v>0.63944939680690749</v>
      </c>
      <c r="F166">
        <v>3.9285493948164073E-2</v>
      </c>
      <c r="G166">
        <v>1.9459101490553132</v>
      </c>
      <c r="H166">
        <v>0</v>
      </c>
      <c r="I166">
        <v>0.66666666666666663</v>
      </c>
      <c r="J166">
        <v>0</v>
      </c>
      <c r="K166">
        <v>1</v>
      </c>
      <c r="L166">
        <v>3</v>
      </c>
      <c r="M166">
        <v>3</v>
      </c>
      <c r="N166">
        <v>1</v>
      </c>
      <c r="O166">
        <v>1</v>
      </c>
      <c r="P166">
        <v>1</v>
      </c>
      <c r="Q166">
        <f t="shared" si="14"/>
        <v>5</v>
      </c>
      <c r="R166">
        <f t="shared" si="15"/>
        <v>15</v>
      </c>
      <c r="S166">
        <f t="array" ref="S166">MAX(IF($C$2:$C$1387=C166,$R$2:$R$1387))</f>
        <v>29</v>
      </c>
      <c r="T166" cm="1">
        <f t="array" ref="T166">MIN(IF($C$2:$C$1387=C166,$R$2:$R$1387))</f>
        <v>11</v>
      </c>
      <c r="U166">
        <f t="shared" si="16"/>
        <v>18</v>
      </c>
      <c r="V166">
        <f t="shared" si="17"/>
        <v>0.22222222222222221</v>
      </c>
      <c r="W166" cm="1">
        <f t="array" ref="W166">_xlfn.IFS(N166=1,5,N166=2,4,N166=4,2,N166=5,1,N166=3,3)</f>
        <v>5</v>
      </c>
      <c r="X166">
        <f t="shared" si="18"/>
        <v>19</v>
      </c>
      <c r="Y166" cm="1">
        <f t="array" ref="Y166">MAX(IF($C$2:$C$1387=C166,$X$2:$X$1387))</f>
        <v>30</v>
      </c>
      <c r="Z166" cm="1">
        <f t="array" ref="Z166">MIN(IF($C$2:$C$1387=C166,$X$2:$X$1387))</f>
        <v>12</v>
      </c>
      <c r="AA166">
        <f t="shared" si="19"/>
        <v>18</v>
      </c>
      <c r="AB166">
        <f t="shared" si="20"/>
        <v>0.3888888888888889</v>
      </c>
    </row>
    <row r="167" spans="1:28" x14ac:dyDescent="0.25">
      <c r="A167" t="s">
        <v>82</v>
      </c>
      <c r="B167" t="s">
        <v>83</v>
      </c>
      <c r="C167">
        <v>2013</v>
      </c>
      <c r="D167">
        <v>1.1112710598512668E-4</v>
      </c>
      <c r="E167">
        <v>0.65276078551522787</v>
      </c>
      <c r="F167">
        <v>1.3405140175764481E-2</v>
      </c>
      <c r="G167">
        <v>1.6094379124341003</v>
      </c>
      <c r="H167">
        <v>0.6</v>
      </c>
      <c r="I167">
        <v>0.66666666666666663</v>
      </c>
      <c r="J167">
        <v>0</v>
      </c>
      <c r="K167">
        <v>1</v>
      </c>
      <c r="L167">
        <v>3</v>
      </c>
      <c r="M167">
        <v>2</v>
      </c>
      <c r="N167">
        <v>1</v>
      </c>
      <c r="O167">
        <v>3</v>
      </c>
      <c r="P167">
        <v>1</v>
      </c>
      <c r="Q167">
        <f t="shared" si="14"/>
        <v>5</v>
      </c>
      <c r="R167">
        <f t="shared" si="15"/>
        <v>16</v>
      </c>
      <c r="S167">
        <f t="array" ref="S167">MAX(IF($C$2:$C$1387=C167,$R$2:$R$1387))</f>
        <v>29</v>
      </c>
      <c r="T167" cm="1">
        <f t="array" ref="T167">MIN(IF($C$2:$C$1387=C167,$R$2:$R$1387))</f>
        <v>10</v>
      </c>
      <c r="U167">
        <f t="shared" si="16"/>
        <v>19</v>
      </c>
      <c r="V167">
        <f t="shared" si="17"/>
        <v>0.31578947368421051</v>
      </c>
      <c r="W167" cm="1">
        <f t="array" ref="W167">_xlfn.IFS(N167=1,5,N167=2,4,N167=4,2,N167=5,1,N167=3,3)</f>
        <v>5</v>
      </c>
      <c r="X167">
        <f t="shared" si="18"/>
        <v>20</v>
      </c>
      <c r="Y167" cm="1">
        <f t="array" ref="Y167">MAX(IF($C$2:$C$1387=C167,$X$2:$X$1387))</f>
        <v>32</v>
      </c>
      <c r="Z167" cm="1">
        <f t="array" ref="Z167">MIN(IF($C$2:$C$1387=C167,$X$2:$X$1387))</f>
        <v>10</v>
      </c>
      <c r="AA167">
        <f t="shared" si="19"/>
        <v>22</v>
      </c>
      <c r="AB167">
        <f t="shared" si="20"/>
        <v>0.45454545454545453</v>
      </c>
    </row>
    <row r="168" spans="1:28" x14ac:dyDescent="0.25">
      <c r="A168" t="s">
        <v>82</v>
      </c>
      <c r="B168" t="s">
        <v>83</v>
      </c>
      <c r="C168">
        <v>2014</v>
      </c>
      <c r="D168">
        <v>1.1112710598512668E-4</v>
      </c>
      <c r="E168">
        <v>0.6772296435871632</v>
      </c>
      <c r="F168">
        <v>1.256902005027718E-2</v>
      </c>
      <c r="G168">
        <v>1.6094379124341003</v>
      </c>
      <c r="H168">
        <v>0.6</v>
      </c>
      <c r="I168">
        <v>0.66666666666666663</v>
      </c>
      <c r="J168">
        <v>0</v>
      </c>
      <c r="K168">
        <v>1</v>
      </c>
      <c r="L168">
        <v>3</v>
      </c>
      <c r="M168">
        <v>2</v>
      </c>
      <c r="N168">
        <v>1</v>
      </c>
      <c r="O168">
        <v>3</v>
      </c>
      <c r="P168">
        <v>1</v>
      </c>
      <c r="Q168">
        <f t="shared" si="14"/>
        <v>5</v>
      </c>
      <c r="R168">
        <f t="shared" si="15"/>
        <v>16</v>
      </c>
      <c r="S168">
        <f t="array" ref="S168">MAX(IF($C$2:$C$1387=C168,$R$2:$R$1387))</f>
        <v>29</v>
      </c>
      <c r="T168" cm="1">
        <f t="array" ref="T168">MIN(IF($C$2:$C$1387=C168,$R$2:$R$1387))</f>
        <v>11</v>
      </c>
      <c r="U168">
        <f t="shared" si="16"/>
        <v>18</v>
      </c>
      <c r="V168">
        <f t="shared" si="17"/>
        <v>0.27777777777777779</v>
      </c>
      <c r="W168" cm="1">
        <f t="array" ref="W168">_xlfn.IFS(N168=1,5,N168=2,4,N168=4,2,N168=5,1,N168=3,3)</f>
        <v>5</v>
      </c>
      <c r="X168">
        <f t="shared" si="18"/>
        <v>20</v>
      </c>
      <c r="Y168" cm="1">
        <f t="array" ref="Y168">MAX(IF($C$2:$C$1387=C168,$X$2:$X$1387))</f>
        <v>30</v>
      </c>
      <c r="Z168" cm="1">
        <f t="array" ref="Z168">MIN(IF($C$2:$C$1387=C168,$X$2:$X$1387))</f>
        <v>14</v>
      </c>
      <c r="AA168">
        <f t="shared" si="19"/>
        <v>16</v>
      </c>
      <c r="AB168">
        <f t="shared" si="20"/>
        <v>0.375</v>
      </c>
    </row>
    <row r="169" spans="1:28" x14ac:dyDescent="0.25">
      <c r="A169" t="s">
        <v>82</v>
      </c>
      <c r="B169" t="s">
        <v>83</v>
      </c>
      <c r="C169">
        <v>2015</v>
      </c>
      <c r="D169">
        <v>1.1112710598512668E-4</v>
      </c>
      <c r="E169">
        <v>0.64115869775527645</v>
      </c>
      <c r="F169">
        <v>2.878994843504332E-2</v>
      </c>
      <c r="G169">
        <v>1.9459101490553132</v>
      </c>
      <c r="H169">
        <v>0.8571428571428571</v>
      </c>
      <c r="I169">
        <v>0.66666666666666663</v>
      </c>
      <c r="J169">
        <v>0</v>
      </c>
      <c r="K169">
        <v>1</v>
      </c>
      <c r="L169">
        <v>3</v>
      </c>
      <c r="M169">
        <v>2</v>
      </c>
      <c r="N169">
        <v>1</v>
      </c>
      <c r="O169">
        <v>4</v>
      </c>
      <c r="P169">
        <v>1</v>
      </c>
      <c r="Q169">
        <f t="shared" si="14"/>
        <v>5</v>
      </c>
      <c r="R169">
        <f t="shared" si="15"/>
        <v>17</v>
      </c>
      <c r="S169">
        <f t="array" ref="S169">MAX(IF($C$2:$C$1387=C169,$R$2:$R$1387))</f>
        <v>29</v>
      </c>
      <c r="T169" cm="1">
        <f t="array" ref="T169">MIN(IF($C$2:$C$1387=C169,$R$2:$R$1387))</f>
        <v>11</v>
      </c>
      <c r="U169">
        <f t="shared" si="16"/>
        <v>18</v>
      </c>
      <c r="V169">
        <f t="shared" si="17"/>
        <v>0.33333333333333331</v>
      </c>
      <c r="W169" cm="1">
        <f t="array" ref="W169">_xlfn.IFS(N169=1,5,N169=2,4,N169=4,2,N169=5,1,N169=3,3)</f>
        <v>5</v>
      </c>
      <c r="X169">
        <f t="shared" si="18"/>
        <v>21</v>
      </c>
      <c r="Y169" cm="1">
        <f t="array" ref="Y169">MAX(IF($C$2:$C$1387=C169,$X$2:$X$1387))</f>
        <v>29</v>
      </c>
      <c r="Z169" cm="1">
        <f t="array" ref="Z169">MIN(IF($C$2:$C$1387=C169,$X$2:$X$1387))</f>
        <v>12</v>
      </c>
      <c r="AA169">
        <f t="shared" si="19"/>
        <v>17</v>
      </c>
      <c r="AB169">
        <f t="shared" si="20"/>
        <v>0.52941176470588236</v>
      </c>
    </row>
    <row r="170" spans="1:28" x14ac:dyDescent="0.25">
      <c r="A170" t="s">
        <v>84</v>
      </c>
      <c r="B170" t="s">
        <v>85</v>
      </c>
      <c r="C170">
        <v>2010</v>
      </c>
      <c r="D170">
        <v>0.51232</v>
      </c>
      <c r="E170">
        <v>0.50642799999999999</v>
      </c>
      <c r="F170">
        <v>0</v>
      </c>
      <c r="G170">
        <v>2.0794415416798357</v>
      </c>
      <c r="H170">
        <v>0</v>
      </c>
      <c r="I170">
        <v>0.66666666666666663</v>
      </c>
      <c r="J170">
        <v>0</v>
      </c>
      <c r="K170">
        <v>5</v>
      </c>
      <c r="L170">
        <v>2</v>
      </c>
      <c r="M170">
        <v>1</v>
      </c>
      <c r="N170">
        <v>3</v>
      </c>
      <c r="O170">
        <v>1</v>
      </c>
      <c r="P170">
        <v>1</v>
      </c>
      <c r="Q170">
        <f t="shared" si="14"/>
        <v>5</v>
      </c>
      <c r="R170">
        <f t="shared" si="15"/>
        <v>18</v>
      </c>
      <c r="S170">
        <f t="array" ref="S170">MAX(IF($C$2:$C$1387=C170,$R$2:$R$1387))</f>
        <v>29</v>
      </c>
      <c r="T170" cm="1">
        <f t="array" ref="T170">MIN(IF($C$2:$C$1387=C170,$R$2:$R$1387))</f>
        <v>9</v>
      </c>
      <c r="U170">
        <f t="shared" si="16"/>
        <v>20</v>
      </c>
      <c r="V170">
        <f t="shared" si="17"/>
        <v>0.45</v>
      </c>
      <c r="W170" cm="1">
        <f t="array" ref="W170">_xlfn.IFS(N170=1,5,N170=2,4,N170=4,2,N170=5,1,N170=3,3)</f>
        <v>3</v>
      </c>
      <c r="X170">
        <f t="shared" si="18"/>
        <v>18</v>
      </c>
      <c r="Y170" cm="1">
        <f t="array" ref="Y170">MAX(IF($C$2:$C$1387=C170,$X$2:$X$1387))</f>
        <v>29</v>
      </c>
      <c r="Z170" cm="1">
        <f t="array" ref="Z170">MIN(IF($C$2:$C$1387=C170,$X$2:$X$1387))</f>
        <v>12</v>
      </c>
      <c r="AA170">
        <f t="shared" si="19"/>
        <v>17</v>
      </c>
      <c r="AB170">
        <f t="shared" si="20"/>
        <v>0.35294117647058826</v>
      </c>
    </row>
    <row r="171" spans="1:28" x14ac:dyDescent="0.25">
      <c r="A171" t="s">
        <v>84</v>
      </c>
      <c r="B171" t="s">
        <v>85</v>
      </c>
      <c r="C171">
        <v>2011</v>
      </c>
      <c r="D171">
        <v>0.49565933333333334</v>
      </c>
      <c r="E171">
        <v>0.50709466666666669</v>
      </c>
      <c r="F171">
        <v>2.9816333333333334E-2</v>
      </c>
      <c r="G171">
        <v>2.0794415416798357</v>
      </c>
      <c r="H171">
        <v>0</v>
      </c>
      <c r="I171">
        <v>0.66666666666666663</v>
      </c>
      <c r="J171">
        <v>1</v>
      </c>
      <c r="K171">
        <v>4</v>
      </c>
      <c r="L171">
        <v>2</v>
      </c>
      <c r="M171">
        <v>2</v>
      </c>
      <c r="N171">
        <v>3</v>
      </c>
      <c r="O171">
        <v>1</v>
      </c>
      <c r="P171">
        <v>1</v>
      </c>
      <c r="Q171">
        <f t="shared" si="14"/>
        <v>1</v>
      </c>
      <c r="R171">
        <f t="shared" si="15"/>
        <v>14</v>
      </c>
      <c r="S171">
        <f t="array" ref="S171">MAX(IF($C$2:$C$1387=C171,$R$2:$R$1387))</f>
        <v>28</v>
      </c>
      <c r="T171" cm="1">
        <f t="array" ref="T171">MIN(IF($C$2:$C$1387=C171,$R$2:$R$1387))</f>
        <v>10</v>
      </c>
      <c r="U171">
        <f t="shared" si="16"/>
        <v>18</v>
      </c>
      <c r="V171">
        <f t="shared" si="17"/>
        <v>0.22222222222222221</v>
      </c>
      <c r="W171" cm="1">
        <f t="array" ref="W171">_xlfn.IFS(N171=1,5,N171=2,4,N171=4,2,N171=5,1,N171=3,3)</f>
        <v>3</v>
      </c>
      <c r="X171">
        <f t="shared" si="18"/>
        <v>14</v>
      </c>
      <c r="Y171" cm="1">
        <f t="array" ref="Y171">MAX(IF($C$2:$C$1387=C171,$X$2:$X$1387))</f>
        <v>29</v>
      </c>
      <c r="Z171" cm="1">
        <f t="array" ref="Z171">MIN(IF($C$2:$C$1387=C171,$X$2:$X$1387))</f>
        <v>12</v>
      </c>
      <c r="AA171">
        <f t="shared" si="19"/>
        <v>17</v>
      </c>
      <c r="AB171">
        <f t="shared" si="20"/>
        <v>0.11764705882352941</v>
      </c>
    </row>
    <row r="172" spans="1:28" x14ac:dyDescent="0.25">
      <c r="A172" t="s">
        <v>84</v>
      </c>
      <c r="B172" t="s">
        <v>85</v>
      </c>
      <c r="C172">
        <v>2012</v>
      </c>
      <c r="D172">
        <v>0.51248666666666665</v>
      </c>
      <c r="E172">
        <v>0.50776133333333329</v>
      </c>
      <c r="F172">
        <v>2.9816333333333334E-2</v>
      </c>
      <c r="G172">
        <v>2.0794415416798357</v>
      </c>
      <c r="H172">
        <v>0.75</v>
      </c>
      <c r="I172">
        <v>0.66666666666666663</v>
      </c>
      <c r="J172">
        <v>0</v>
      </c>
      <c r="K172">
        <v>4</v>
      </c>
      <c r="L172">
        <v>2</v>
      </c>
      <c r="M172">
        <v>3</v>
      </c>
      <c r="N172">
        <v>3</v>
      </c>
      <c r="O172">
        <v>4</v>
      </c>
      <c r="P172">
        <v>1</v>
      </c>
      <c r="Q172">
        <f t="shared" si="14"/>
        <v>5</v>
      </c>
      <c r="R172">
        <f t="shared" si="15"/>
        <v>22</v>
      </c>
      <c r="S172">
        <f t="array" ref="S172">MAX(IF($C$2:$C$1387=C172,$R$2:$R$1387))</f>
        <v>29</v>
      </c>
      <c r="T172" cm="1">
        <f t="array" ref="T172">MIN(IF($C$2:$C$1387=C172,$R$2:$R$1387))</f>
        <v>11</v>
      </c>
      <c r="U172">
        <f t="shared" si="16"/>
        <v>18</v>
      </c>
      <c r="V172">
        <f t="shared" si="17"/>
        <v>0.61111111111111116</v>
      </c>
      <c r="W172" cm="1">
        <f t="array" ref="W172">_xlfn.IFS(N172=1,5,N172=2,4,N172=4,2,N172=5,1,N172=3,3)</f>
        <v>3</v>
      </c>
      <c r="X172">
        <f t="shared" si="18"/>
        <v>22</v>
      </c>
      <c r="Y172" cm="1">
        <f t="array" ref="Y172">MAX(IF($C$2:$C$1387=C172,$X$2:$X$1387))</f>
        <v>30</v>
      </c>
      <c r="Z172" cm="1">
        <f t="array" ref="Z172">MIN(IF($C$2:$C$1387=C172,$X$2:$X$1387))</f>
        <v>12</v>
      </c>
      <c r="AA172">
        <f t="shared" si="19"/>
        <v>18</v>
      </c>
      <c r="AB172">
        <f t="shared" si="20"/>
        <v>0.55555555555555558</v>
      </c>
    </row>
    <row r="173" spans="1:28" x14ac:dyDescent="0.25">
      <c r="A173" t="s">
        <v>84</v>
      </c>
      <c r="B173" t="s">
        <v>85</v>
      </c>
      <c r="C173">
        <v>2013</v>
      </c>
      <c r="D173">
        <v>0.51248666666666665</v>
      </c>
      <c r="E173">
        <v>0.50776133333333329</v>
      </c>
      <c r="F173">
        <v>2.3549333333333332E-2</v>
      </c>
      <c r="G173">
        <v>2.0794415416798357</v>
      </c>
      <c r="H173">
        <v>0.75</v>
      </c>
      <c r="I173">
        <v>1</v>
      </c>
      <c r="J173">
        <v>0</v>
      </c>
      <c r="K173">
        <v>4</v>
      </c>
      <c r="L173">
        <v>2</v>
      </c>
      <c r="M173">
        <v>2</v>
      </c>
      <c r="N173">
        <v>3</v>
      </c>
      <c r="O173">
        <v>5</v>
      </c>
      <c r="P173">
        <v>3</v>
      </c>
      <c r="Q173">
        <f t="shared" si="14"/>
        <v>5</v>
      </c>
      <c r="R173">
        <f t="shared" si="15"/>
        <v>24</v>
      </c>
      <c r="S173">
        <f t="array" ref="S173">MAX(IF($C$2:$C$1387=C173,$R$2:$R$1387))</f>
        <v>29</v>
      </c>
      <c r="T173" cm="1">
        <f t="array" ref="T173">MIN(IF($C$2:$C$1387=C173,$R$2:$R$1387))</f>
        <v>10</v>
      </c>
      <c r="U173">
        <f t="shared" si="16"/>
        <v>19</v>
      </c>
      <c r="V173">
        <f t="shared" si="17"/>
        <v>0.73684210526315785</v>
      </c>
      <c r="W173" cm="1">
        <f t="array" ref="W173">_xlfn.IFS(N173=1,5,N173=2,4,N173=4,2,N173=5,1,N173=3,3)</f>
        <v>3</v>
      </c>
      <c r="X173">
        <f t="shared" si="18"/>
        <v>24</v>
      </c>
      <c r="Y173" cm="1">
        <f t="array" ref="Y173">MAX(IF($C$2:$C$1387=C173,$X$2:$X$1387))</f>
        <v>32</v>
      </c>
      <c r="Z173" cm="1">
        <f t="array" ref="Z173">MIN(IF($C$2:$C$1387=C173,$X$2:$X$1387))</f>
        <v>10</v>
      </c>
      <c r="AA173">
        <f t="shared" si="19"/>
        <v>22</v>
      </c>
      <c r="AB173">
        <f t="shared" si="20"/>
        <v>0.63636363636363635</v>
      </c>
    </row>
    <row r="174" spans="1:28" x14ac:dyDescent="0.25">
      <c r="A174" t="s">
        <v>84</v>
      </c>
      <c r="B174" t="s">
        <v>85</v>
      </c>
      <c r="C174">
        <v>2014</v>
      </c>
      <c r="D174">
        <v>0.51248666666666665</v>
      </c>
      <c r="E174">
        <v>0.50776133333333329</v>
      </c>
      <c r="F174">
        <v>2.3549333333333332E-2</v>
      </c>
      <c r="G174">
        <v>2.1972245773362196</v>
      </c>
      <c r="H174">
        <v>0.66666666666666663</v>
      </c>
      <c r="I174">
        <v>0.66666666666666663</v>
      </c>
      <c r="J174">
        <v>0</v>
      </c>
      <c r="K174">
        <v>4</v>
      </c>
      <c r="L174">
        <v>2</v>
      </c>
      <c r="M174">
        <v>2</v>
      </c>
      <c r="N174">
        <v>4</v>
      </c>
      <c r="O174">
        <v>4</v>
      </c>
      <c r="P174">
        <v>1</v>
      </c>
      <c r="Q174">
        <f t="shared" si="14"/>
        <v>5</v>
      </c>
      <c r="R174">
        <f t="shared" si="15"/>
        <v>22</v>
      </c>
      <c r="S174">
        <f t="array" ref="S174">MAX(IF($C$2:$C$1387=C174,$R$2:$R$1387))</f>
        <v>29</v>
      </c>
      <c r="T174" cm="1">
        <f t="array" ref="T174">MIN(IF($C$2:$C$1387=C174,$R$2:$R$1387))</f>
        <v>11</v>
      </c>
      <c r="U174">
        <f t="shared" si="16"/>
        <v>18</v>
      </c>
      <c r="V174">
        <f t="shared" si="17"/>
        <v>0.61111111111111116</v>
      </c>
      <c r="W174" cm="1">
        <f t="array" ref="W174">_xlfn.IFS(N174=1,5,N174=2,4,N174=4,2,N174=5,1,N174=3,3)</f>
        <v>2</v>
      </c>
      <c r="X174">
        <f t="shared" si="18"/>
        <v>20</v>
      </c>
      <c r="Y174" cm="1">
        <f t="array" ref="Y174">MAX(IF($C$2:$C$1387=C174,$X$2:$X$1387))</f>
        <v>30</v>
      </c>
      <c r="Z174" cm="1">
        <f t="array" ref="Z174">MIN(IF($C$2:$C$1387=C174,$X$2:$X$1387))</f>
        <v>14</v>
      </c>
      <c r="AA174">
        <f t="shared" si="19"/>
        <v>16</v>
      </c>
      <c r="AB174">
        <f t="shared" si="20"/>
        <v>0.375</v>
      </c>
    </row>
    <row r="175" spans="1:28" x14ac:dyDescent="0.25">
      <c r="A175" t="s">
        <v>84</v>
      </c>
      <c r="B175" t="s">
        <v>85</v>
      </c>
      <c r="C175">
        <v>2015</v>
      </c>
      <c r="D175">
        <v>0.51248666666666665</v>
      </c>
      <c r="E175">
        <v>0.50776133333333329</v>
      </c>
      <c r="F175">
        <v>2.35E-2</v>
      </c>
      <c r="G175">
        <v>2.1972245773362196</v>
      </c>
      <c r="H175">
        <v>0.77777777777777779</v>
      </c>
      <c r="I175">
        <v>0.66666666666666663</v>
      </c>
      <c r="J175">
        <v>1</v>
      </c>
      <c r="K175">
        <v>4</v>
      </c>
      <c r="L175">
        <v>2</v>
      </c>
      <c r="M175">
        <v>2</v>
      </c>
      <c r="N175">
        <v>4</v>
      </c>
      <c r="O175">
        <v>4</v>
      </c>
      <c r="P175">
        <v>1</v>
      </c>
      <c r="Q175">
        <f t="shared" si="14"/>
        <v>1</v>
      </c>
      <c r="R175">
        <f t="shared" si="15"/>
        <v>18</v>
      </c>
      <c r="S175">
        <f t="array" ref="S175">MAX(IF($C$2:$C$1387=C175,$R$2:$R$1387))</f>
        <v>29</v>
      </c>
      <c r="T175" cm="1">
        <f t="array" ref="T175">MIN(IF($C$2:$C$1387=C175,$R$2:$R$1387))</f>
        <v>11</v>
      </c>
      <c r="U175">
        <f t="shared" si="16"/>
        <v>18</v>
      </c>
      <c r="V175">
        <f t="shared" si="17"/>
        <v>0.3888888888888889</v>
      </c>
      <c r="W175" cm="1">
        <f t="array" ref="W175">_xlfn.IFS(N175=1,5,N175=2,4,N175=4,2,N175=5,1,N175=3,3)</f>
        <v>2</v>
      </c>
      <c r="X175">
        <f t="shared" si="18"/>
        <v>16</v>
      </c>
      <c r="Y175" cm="1">
        <f t="array" ref="Y175">MAX(IF($C$2:$C$1387=C175,$X$2:$X$1387))</f>
        <v>29</v>
      </c>
      <c r="Z175" cm="1">
        <f t="array" ref="Z175">MIN(IF($C$2:$C$1387=C175,$X$2:$X$1387))</f>
        <v>12</v>
      </c>
      <c r="AA175">
        <f t="shared" si="19"/>
        <v>17</v>
      </c>
      <c r="AB175">
        <f t="shared" si="20"/>
        <v>0.23529411764705882</v>
      </c>
    </row>
    <row r="176" spans="1:28" x14ac:dyDescent="0.25">
      <c r="A176" t="s">
        <v>86</v>
      </c>
      <c r="B176" t="s">
        <v>87</v>
      </c>
      <c r="C176">
        <v>2010</v>
      </c>
      <c r="D176">
        <v>0.25079999923706053</v>
      </c>
      <c r="E176">
        <v>0.83047000000000004</v>
      </c>
      <c r="F176">
        <v>0.123</v>
      </c>
      <c r="G176">
        <v>2.3978952727983707</v>
      </c>
      <c r="H176">
        <v>0.63636363636363635</v>
      </c>
      <c r="I176">
        <v>0.5</v>
      </c>
      <c r="J176">
        <v>0</v>
      </c>
      <c r="K176">
        <v>3</v>
      </c>
      <c r="L176">
        <v>5</v>
      </c>
      <c r="M176">
        <v>4</v>
      </c>
      <c r="N176">
        <v>5</v>
      </c>
      <c r="O176">
        <v>3</v>
      </c>
      <c r="P176">
        <v>1</v>
      </c>
      <c r="Q176">
        <f t="shared" si="14"/>
        <v>5</v>
      </c>
      <c r="R176">
        <f t="shared" si="15"/>
        <v>26</v>
      </c>
      <c r="S176">
        <f t="array" ref="S176">MAX(IF($C$2:$C$1387=C176,$R$2:$R$1387))</f>
        <v>29</v>
      </c>
      <c r="T176" cm="1">
        <f t="array" ref="T176">MIN(IF($C$2:$C$1387=C176,$R$2:$R$1387))</f>
        <v>9</v>
      </c>
      <c r="U176">
        <f t="shared" si="16"/>
        <v>20</v>
      </c>
      <c r="V176">
        <f t="shared" si="17"/>
        <v>0.85</v>
      </c>
      <c r="W176" cm="1">
        <f t="array" ref="W176">_xlfn.IFS(N176=1,5,N176=2,4,N176=4,2,N176=5,1,N176=3,3)</f>
        <v>1</v>
      </c>
      <c r="X176">
        <f t="shared" si="18"/>
        <v>22</v>
      </c>
      <c r="Y176" cm="1">
        <f t="array" ref="Y176">MAX(IF($C$2:$C$1387=C176,$X$2:$X$1387))</f>
        <v>29</v>
      </c>
      <c r="Z176" cm="1">
        <f t="array" ref="Z176">MIN(IF($C$2:$C$1387=C176,$X$2:$X$1387))</f>
        <v>12</v>
      </c>
      <c r="AA176">
        <f t="shared" si="19"/>
        <v>17</v>
      </c>
      <c r="AB176">
        <f t="shared" si="20"/>
        <v>0.58823529411764708</v>
      </c>
    </row>
    <row r="177" spans="1:28" x14ac:dyDescent="0.25">
      <c r="A177" t="s">
        <v>86</v>
      </c>
      <c r="B177" t="s">
        <v>87</v>
      </c>
      <c r="C177">
        <v>2011</v>
      </c>
      <c r="D177">
        <v>0.27778439999999999</v>
      </c>
      <c r="E177">
        <v>0.80329499999999998</v>
      </c>
      <c r="F177">
        <v>0.16141059999999999</v>
      </c>
      <c r="G177">
        <v>2.1972245773362196</v>
      </c>
      <c r="H177">
        <v>0.77777777777777779</v>
      </c>
      <c r="I177">
        <v>0.5</v>
      </c>
      <c r="J177">
        <v>0</v>
      </c>
      <c r="K177">
        <v>3</v>
      </c>
      <c r="L177">
        <v>4</v>
      </c>
      <c r="M177">
        <v>4</v>
      </c>
      <c r="N177">
        <v>4</v>
      </c>
      <c r="O177">
        <v>4</v>
      </c>
      <c r="P177">
        <v>1</v>
      </c>
      <c r="Q177">
        <f t="shared" si="14"/>
        <v>5</v>
      </c>
      <c r="R177">
        <f t="shared" si="15"/>
        <v>25</v>
      </c>
      <c r="S177">
        <f t="array" ref="S177">MAX(IF($C$2:$C$1387=C177,$R$2:$R$1387))</f>
        <v>28</v>
      </c>
      <c r="T177" cm="1">
        <f t="array" ref="T177">MIN(IF($C$2:$C$1387=C177,$R$2:$R$1387))</f>
        <v>10</v>
      </c>
      <c r="U177">
        <f t="shared" si="16"/>
        <v>18</v>
      </c>
      <c r="V177">
        <f t="shared" si="17"/>
        <v>0.83333333333333337</v>
      </c>
      <c r="W177" cm="1">
        <f t="array" ref="W177">_xlfn.IFS(N177=1,5,N177=2,4,N177=4,2,N177=5,1,N177=3,3)</f>
        <v>2</v>
      </c>
      <c r="X177">
        <f t="shared" si="18"/>
        <v>23</v>
      </c>
      <c r="Y177" cm="1">
        <f t="array" ref="Y177">MAX(IF($C$2:$C$1387=C177,$X$2:$X$1387))</f>
        <v>29</v>
      </c>
      <c r="Z177" cm="1">
        <f t="array" ref="Z177">MIN(IF($C$2:$C$1387=C177,$X$2:$X$1387))</f>
        <v>12</v>
      </c>
      <c r="AA177">
        <f t="shared" si="19"/>
        <v>17</v>
      </c>
      <c r="AB177">
        <f t="shared" si="20"/>
        <v>0.6470588235294118</v>
      </c>
    </row>
    <row r="178" spans="1:28" x14ac:dyDescent="0.25">
      <c r="A178" t="s">
        <v>86</v>
      </c>
      <c r="B178" t="s">
        <v>87</v>
      </c>
      <c r="C178">
        <v>2012</v>
      </c>
      <c r="D178">
        <v>0.25831500000000002</v>
      </c>
      <c r="E178">
        <v>0.74757499999999999</v>
      </c>
      <c r="F178">
        <v>7.4128550000000001E-2</v>
      </c>
      <c r="G178">
        <v>2.3978952727983707</v>
      </c>
      <c r="H178">
        <v>0.63636363636363635</v>
      </c>
      <c r="I178">
        <v>0.75</v>
      </c>
      <c r="J178">
        <v>0</v>
      </c>
      <c r="K178">
        <v>3</v>
      </c>
      <c r="L178">
        <v>4</v>
      </c>
      <c r="M178">
        <v>3</v>
      </c>
      <c r="N178">
        <v>5</v>
      </c>
      <c r="O178">
        <v>3</v>
      </c>
      <c r="P178">
        <v>3</v>
      </c>
      <c r="Q178">
        <f t="shared" si="14"/>
        <v>5</v>
      </c>
      <c r="R178">
        <f t="shared" si="15"/>
        <v>26</v>
      </c>
      <c r="S178">
        <f t="array" ref="S178">MAX(IF($C$2:$C$1387=C178,$R$2:$R$1387))</f>
        <v>29</v>
      </c>
      <c r="T178" cm="1">
        <f t="array" ref="T178">MIN(IF($C$2:$C$1387=C178,$R$2:$R$1387))</f>
        <v>11</v>
      </c>
      <c r="U178">
        <f t="shared" si="16"/>
        <v>18</v>
      </c>
      <c r="V178">
        <f t="shared" si="17"/>
        <v>0.83333333333333337</v>
      </c>
      <c r="W178" cm="1">
        <f t="array" ref="W178">_xlfn.IFS(N178=1,5,N178=2,4,N178=4,2,N178=5,1,N178=3,3)</f>
        <v>1</v>
      </c>
      <c r="X178">
        <f t="shared" si="18"/>
        <v>22</v>
      </c>
      <c r="Y178" cm="1">
        <f t="array" ref="Y178">MAX(IF($C$2:$C$1387=C178,$X$2:$X$1387))</f>
        <v>30</v>
      </c>
      <c r="Z178" cm="1">
        <f t="array" ref="Z178">MIN(IF($C$2:$C$1387=C178,$X$2:$X$1387))</f>
        <v>12</v>
      </c>
      <c r="AA178">
        <f t="shared" si="19"/>
        <v>18</v>
      </c>
      <c r="AB178">
        <f t="shared" si="20"/>
        <v>0.55555555555555558</v>
      </c>
    </row>
    <row r="179" spans="1:28" x14ac:dyDescent="0.25">
      <c r="A179" t="s">
        <v>86</v>
      </c>
      <c r="B179" t="s">
        <v>87</v>
      </c>
      <c r="C179">
        <v>2013</v>
      </c>
      <c r="D179">
        <v>0</v>
      </c>
      <c r="E179">
        <v>0.71782500000000005</v>
      </c>
      <c r="F179">
        <v>3.9149999999999997E-2</v>
      </c>
      <c r="G179">
        <v>2.1972245773362196</v>
      </c>
      <c r="H179">
        <v>0.77777777777777779</v>
      </c>
      <c r="I179">
        <v>0.6</v>
      </c>
      <c r="J179">
        <v>0</v>
      </c>
      <c r="K179">
        <v>1</v>
      </c>
      <c r="L179">
        <v>3</v>
      </c>
      <c r="M179">
        <v>3</v>
      </c>
      <c r="N179">
        <v>4</v>
      </c>
      <c r="O179">
        <v>5</v>
      </c>
      <c r="P179">
        <v>1</v>
      </c>
      <c r="Q179">
        <f t="shared" si="14"/>
        <v>5</v>
      </c>
      <c r="R179">
        <f t="shared" si="15"/>
        <v>22</v>
      </c>
      <c r="S179">
        <f t="array" ref="S179">MAX(IF($C$2:$C$1387=C179,$R$2:$R$1387))</f>
        <v>29</v>
      </c>
      <c r="T179" cm="1">
        <f t="array" ref="T179">MIN(IF($C$2:$C$1387=C179,$R$2:$R$1387))</f>
        <v>10</v>
      </c>
      <c r="U179">
        <f t="shared" si="16"/>
        <v>19</v>
      </c>
      <c r="V179">
        <f t="shared" si="17"/>
        <v>0.63157894736842102</v>
      </c>
      <c r="W179" cm="1">
        <f t="array" ref="W179">_xlfn.IFS(N179=1,5,N179=2,4,N179=4,2,N179=5,1,N179=3,3)</f>
        <v>2</v>
      </c>
      <c r="X179">
        <f t="shared" si="18"/>
        <v>20</v>
      </c>
      <c r="Y179" cm="1">
        <f t="array" ref="Y179">MAX(IF($C$2:$C$1387=C179,$X$2:$X$1387))</f>
        <v>32</v>
      </c>
      <c r="Z179" cm="1">
        <f t="array" ref="Z179">MIN(IF($C$2:$C$1387=C179,$X$2:$X$1387))</f>
        <v>10</v>
      </c>
      <c r="AA179">
        <f t="shared" si="19"/>
        <v>22</v>
      </c>
      <c r="AB179">
        <f t="shared" si="20"/>
        <v>0.45454545454545453</v>
      </c>
    </row>
    <row r="180" spans="1:28" x14ac:dyDescent="0.25">
      <c r="A180" t="s">
        <v>86</v>
      </c>
      <c r="B180" t="s">
        <v>87</v>
      </c>
      <c r="C180">
        <v>2014</v>
      </c>
      <c r="D180">
        <v>0.34520000000000001</v>
      </c>
      <c r="E180">
        <v>0.71782500000000005</v>
      </c>
      <c r="F180">
        <v>0.15139720000000001</v>
      </c>
      <c r="G180">
        <v>2.1972245773362196</v>
      </c>
      <c r="H180">
        <v>0.77777777777777779</v>
      </c>
      <c r="I180">
        <v>0.8</v>
      </c>
      <c r="J180">
        <v>0</v>
      </c>
      <c r="K180">
        <v>4</v>
      </c>
      <c r="L180">
        <v>3</v>
      </c>
      <c r="M180">
        <v>5</v>
      </c>
      <c r="N180">
        <v>4</v>
      </c>
      <c r="O180">
        <v>5</v>
      </c>
      <c r="P180">
        <v>3</v>
      </c>
      <c r="Q180">
        <f t="shared" si="14"/>
        <v>5</v>
      </c>
      <c r="R180">
        <f t="shared" si="15"/>
        <v>29</v>
      </c>
      <c r="S180">
        <f t="array" ref="S180">MAX(IF($C$2:$C$1387=C180,$R$2:$R$1387))</f>
        <v>29</v>
      </c>
      <c r="T180" cm="1">
        <f t="array" ref="T180">MIN(IF($C$2:$C$1387=C180,$R$2:$R$1387))</f>
        <v>11</v>
      </c>
      <c r="U180">
        <f t="shared" si="16"/>
        <v>18</v>
      </c>
      <c r="V180">
        <f t="shared" si="17"/>
        <v>1</v>
      </c>
      <c r="W180" cm="1">
        <f t="array" ref="W180">_xlfn.IFS(N180=1,5,N180=2,4,N180=4,2,N180=5,1,N180=3,3)</f>
        <v>2</v>
      </c>
      <c r="X180">
        <f t="shared" si="18"/>
        <v>27</v>
      </c>
      <c r="Y180" cm="1">
        <f t="array" ref="Y180">MAX(IF($C$2:$C$1387=C180,$X$2:$X$1387))</f>
        <v>30</v>
      </c>
      <c r="Z180" cm="1">
        <f t="array" ref="Z180">MIN(IF($C$2:$C$1387=C180,$X$2:$X$1387))</f>
        <v>14</v>
      </c>
      <c r="AA180">
        <f t="shared" si="19"/>
        <v>16</v>
      </c>
      <c r="AB180">
        <f t="shared" si="20"/>
        <v>0.8125</v>
      </c>
    </row>
    <row r="181" spans="1:28" x14ac:dyDescent="0.25">
      <c r="A181" t="s">
        <v>86</v>
      </c>
      <c r="B181" t="s">
        <v>87</v>
      </c>
      <c r="C181">
        <v>2015</v>
      </c>
      <c r="D181">
        <v>0.29420000000000002</v>
      </c>
      <c r="E181">
        <v>0.70101999999999998</v>
      </c>
      <c r="F181">
        <v>7.7649999999999997E-2</v>
      </c>
      <c r="G181">
        <v>2.4849066497880004</v>
      </c>
      <c r="H181">
        <v>0.66666666666666663</v>
      </c>
      <c r="I181">
        <v>1</v>
      </c>
      <c r="J181">
        <v>0</v>
      </c>
      <c r="K181">
        <v>4</v>
      </c>
      <c r="L181">
        <v>3</v>
      </c>
      <c r="M181">
        <v>4</v>
      </c>
      <c r="N181">
        <v>5</v>
      </c>
      <c r="O181">
        <v>2</v>
      </c>
      <c r="P181">
        <v>2</v>
      </c>
      <c r="Q181">
        <f t="shared" si="14"/>
        <v>5</v>
      </c>
      <c r="R181">
        <f t="shared" si="15"/>
        <v>25</v>
      </c>
      <c r="S181">
        <f t="array" ref="S181">MAX(IF($C$2:$C$1387=C181,$R$2:$R$1387))</f>
        <v>29</v>
      </c>
      <c r="T181" cm="1">
        <f t="array" ref="T181">MIN(IF($C$2:$C$1387=C181,$R$2:$R$1387))</f>
        <v>11</v>
      </c>
      <c r="U181">
        <f t="shared" si="16"/>
        <v>18</v>
      </c>
      <c r="V181">
        <f t="shared" si="17"/>
        <v>0.77777777777777779</v>
      </c>
      <c r="W181" cm="1">
        <f t="array" ref="W181">_xlfn.IFS(N181=1,5,N181=2,4,N181=4,2,N181=5,1,N181=3,3)</f>
        <v>1</v>
      </c>
      <c r="X181">
        <f t="shared" si="18"/>
        <v>21</v>
      </c>
      <c r="Y181" cm="1">
        <f t="array" ref="Y181">MAX(IF($C$2:$C$1387=C181,$X$2:$X$1387))</f>
        <v>29</v>
      </c>
      <c r="Z181" cm="1">
        <f t="array" ref="Z181">MIN(IF($C$2:$C$1387=C181,$X$2:$X$1387))</f>
        <v>12</v>
      </c>
      <c r="AA181">
        <f t="shared" si="19"/>
        <v>17</v>
      </c>
      <c r="AB181">
        <f t="shared" si="20"/>
        <v>0.52941176470588236</v>
      </c>
    </row>
    <row r="182" spans="1:28" x14ac:dyDescent="0.25">
      <c r="A182" t="s">
        <v>88</v>
      </c>
      <c r="B182" t="s">
        <v>89</v>
      </c>
      <c r="C182">
        <v>2010</v>
      </c>
      <c r="D182">
        <v>0.66753510638297875</v>
      </c>
      <c r="E182">
        <v>0.8794202127659575</v>
      </c>
      <c r="F182">
        <v>4.3048936170212767E-3</v>
      </c>
      <c r="G182">
        <v>2.1972245773362196</v>
      </c>
      <c r="H182">
        <v>0</v>
      </c>
      <c r="I182">
        <v>0</v>
      </c>
      <c r="J182">
        <v>0</v>
      </c>
      <c r="K182">
        <v>5</v>
      </c>
      <c r="L182">
        <v>5</v>
      </c>
      <c r="M182">
        <v>2</v>
      </c>
      <c r="N182">
        <v>4</v>
      </c>
      <c r="O182">
        <v>1</v>
      </c>
      <c r="P182">
        <v>1</v>
      </c>
      <c r="Q182">
        <f t="shared" si="14"/>
        <v>5</v>
      </c>
      <c r="R182">
        <f t="shared" si="15"/>
        <v>23</v>
      </c>
      <c r="S182">
        <f t="array" ref="S182">MAX(IF($C$2:$C$1387=C182,$R$2:$R$1387))</f>
        <v>29</v>
      </c>
      <c r="T182" cm="1">
        <f t="array" ref="T182">MIN(IF($C$2:$C$1387=C182,$R$2:$R$1387))</f>
        <v>9</v>
      </c>
      <c r="U182">
        <f t="shared" si="16"/>
        <v>20</v>
      </c>
      <c r="V182">
        <f t="shared" si="17"/>
        <v>0.7</v>
      </c>
      <c r="W182" cm="1">
        <f t="array" ref="W182">_xlfn.IFS(N182=1,5,N182=2,4,N182=4,2,N182=5,1,N182=3,3)</f>
        <v>2</v>
      </c>
      <c r="X182">
        <f t="shared" si="18"/>
        <v>21</v>
      </c>
      <c r="Y182" cm="1">
        <f t="array" ref="Y182">MAX(IF($C$2:$C$1387=C182,$X$2:$X$1387))</f>
        <v>29</v>
      </c>
      <c r="Z182" cm="1">
        <f t="array" ref="Z182">MIN(IF($C$2:$C$1387=C182,$X$2:$X$1387))</f>
        <v>12</v>
      </c>
      <c r="AA182">
        <f t="shared" si="19"/>
        <v>17</v>
      </c>
      <c r="AB182">
        <f t="shared" si="20"/>
        <v>0.52941176470588236</v>
      </c>
    </row>
    <row r="183" spans="1:28" x14ac:dyDescent="0.25">
      <c r="A183" t="s">
        <v>88</v>
      </c>
      <c r="B183" t="s">
        <v>89</v>
      </c>
      <c r="C183">
        <v>2011</v>
      </c>
      <c r="D183">
        <v>0.40711007092198581</v>
      </c>
      <c r="E183">
        <v>0.64362836879432628</v>
      </c>
      <c r="F183">
        <v>2.3404255319148935E-6</v>
      </c>
      <c r="G183">
        <v>1.9459101490553132</v>
      </c>
      <c r="H183">
        <v>0.42857142857142855</v>
      </c>
      <c r="I183">
        <v>1</v>
      </c>
      <c r="J183">
        <v>1</v>
      </c>
      <c r="K183">
        <v>4</v>
      </c>
      <c r="L183">
        <v>3</v>
      </c>
      <c r="M183">
        <v>1</v>
      </c>
      <c r="N183">
        <v>1</v>
      </c>
      <c r="O183">
        <v>2</v>
      </c>
      <c r="P183">
        <v>3</v>
      </c>
      <c r="Q183">
        <f t="shared" si="14"/>
        <v>1</v>
      </c>
      <c r="R183">
        <f t="shared" si="15"/>
        <v>15</v>
      </c>
      <c r="S183">
        <f t="array" ref="S183">MAX(IF($C$2:$C$1387=C183,$R$2:$R$1387))</f>
        <v>28</v>
      </c>
      <c r="T183" cm="1">
        <f t="array" ref="T183">MIN(IF($C$2:$C$1387=C183,$R$2:$R$1387))</f>
        <v>10</v>
      </c>
      <c r="U183">
        <f t="shared" si="16"/>
        <v>18</v>
      </c>
      <c r="V183">
        <f t="shared" si="17"/>
        <v>0.27777777777777779</v>
      </c>
      <c r="W183" cm="1">
        <f t="array" ref="W183">_xlfn.IFS(N183=1,5,N183=2,4,N183=4,2,N183=5,1,N183=3,3)</f>
        <v>5</v>
      </c>
      <c r="X183">
        <f t="shared" si="18"/>
        <v>19</v>
      </c>
      <c r="Y183" cm="1">
        <f t="array" ref="Y183">MAX(IF($C$2:$C$1387=C183,$X$2:$X$1387))</f>
        <v>29</v>
      </c>
      <c r="Z183" cm="1">
        <f t="array" ref="Z183">MIN(IF($C$2:$C$1387=C183,$X$2:$X$1387))</f>
        <v>12</v>
      </c>
      <c r="AA183">
        <f t="shared" si="19"/>
        <v>17</v>
      </c>
      <c r="AB183">
        <f t="shared" si="20"/>
        <v>0.41176470588235292</v>
      </c>
    </row>
    <row r="184" spans="1:28" x14ac:dyDescent="0.25">
      <c r="A184" t="s">
        <v>88</v>
      </c>
      <c r="B184" t="s">
        <v>89</v>
      </c>
      <c r="C184">
        <v>2012</v>
      </c>
      <c r="D184">
        <v>0.27271531914893615</v>
      </c>
      <c r="E184">
        <v>0.64362836879432628</v>
      </c>
      <c r="F184">
        <v>3.6973758865248229E-3</v>
      </c>
      <c r="G184">
        <v>2.0794415416798357</v>
      </c>
      <c r="H184">
        <v>0</v>
      </c>
      <c r="I184">
        <v>1</v>
      </c>
      <c r="J184">
        <v>1</v>
      </c>
      <c r="K184">
        <v>3</v>
      </c>
      <c r="L184">
        <v>3</v>
      </c>
      <c r="M184">
        <v>1</v>
      </c>
      <c r="N184">
        <v>3</v>
      </c>
      <c r="O184">
        <v>1</v>
      </c>
      <c r="P184">
        <v>3</v>
      </c>
      <c r="Q184">
        <f t="shared" si="14"/>
        <v>1</v>
      </c>
      <c r="R184">
        <f t="shared" si="15"/>
        <v>15</v>
      </c>
      <c r="S184">
        <f t="array" ref="S184">MAX(IF($C$2:$C$1387=C184,$R$2:$R$1387))</f>
        <v>29</v>
      </c>
      <c r="T184" cm="1">
        <f t="array" ref="T184">MIN(IF($C$2:$C$1387=C184,$R$2:$R$1387))</f>
        <v>11</v>
      </c>
      <c r="U184">
        <f t="shared" si="16"/>
        <v>18</v>
      </c>
      <c r="V184">
        <f t="shared" si="17"/>
        <v>0.22222222222222221</v>
      </c>
      <c r="W184" cm="1">
        <f t="array" ref="W184">_xlfn.IFS(N184=1,5,N184=2,4,N184=4,2,N184=5,1,N184=3,3)</f>
        <v>3</v>
      </c>
      <c r="X184">
        <f t="shared" si="18"/>
        <v>15</v>
      </c>
      <c r="Y184" cm="1">
        <f t="array" ref="Y184">MAX(IF($C$2:$C$1387=C184,$X$2:$X$1387))</f>
        <v>30</v>
      </c>
      <c r="Z184" cm="1">
        <f t="array" ref="Z184">MIN(IF($C$2:$C$1387=C184,$X$2:$X$1387))</f>
        <v>12</v>
      </c>
      <c r="AA184">
        <f t="shared" si="19"/>
        <v>18</v>
      </c>
      <c r="AB184">
        <f t="shared" si="20"/>
        <v>0.16666666666666666</v>
      </c>
    </row>
    <row r="185" spans="1:28" x14ac:dyDescent="0.25">
      <c r="A185" t="s">
        <v>88</v>
      </c>
      <c r="B185" t="s">
        <v>89</v>
      </c>
      <c r="C185">
        <v>2013</v>
      </c>
      <c r="D185">
        <v>0.27271531914893615</v>
      </c>
      <c r="E185">
        <v>0.64362836879432628</v>
      </c>
      <c r="F185">
        <v>3.6973758865248229E-3</v>
      </c>
      <c r="G185">
        <v>1.9459101490553132</v>
      </c>
      <c r="H185">
        <v>0.7142857142857143</v>
      </c>
      <c r="I185">
        <v>0.66666666666666663</v>
      </c>
      <c r="J185">
        <v>1</v>
      </c>
      <c r="K185">
        <v>4</v>
      </c>
      <c r="L185">
        <v>3</v>
      </c>
      <c r="M185">
        <v>1</v>
      </c>
      <c r="N185">
        <v>1</v>
      </c>
      <c r="O185">
        <v>4</v>
      </c>
      <c r="P185">
        <v>1</v>
      </c>
      <c r="Q185">
        <f t="shared" si="14"/>
        <v>1</v>
      </c>
      <c r="R185">
        <f t="shared" si="15"/>
        <v>15</v>
      </c>
      <c r="S185">
        <f t="array" ref="S185">MAX(IF($C$2:$C$1387=C185,$R$2:$R$1387))</f>
        <v>29</v>
      </c>
      <c r="T185" cm="1">
        <f t="array" ref="T185">MIN(IF($C$2:$C$1387=C185,$R$2:$R$1387))</f>
        <v>10</v>
      </c>
      <c r="U185">
        <f t="shared" si="16"/>
        <v>19</v>
      </c>
      <c r="V185">
        <f t="shared" si="17"/>
        <v>0.26315789473684209</v>
      </c>
      <c r="W185" cm="1">
        <f t="array" ref="W185">_xlfn.IFS(N185=1,5,N185=2,4,N185=4,2,N185=5,1,N185=3,3)</f>
        <v>5</v>
      </c>
      <c r="X185">
        <f t="shared" si="18"/>
        <v>19</v>
      </c>
      <c r="Y185" cm="1">
        <f t="array" ref="Y185">MAX(IF($C$2:$C$1387=C185,$X$2:$X$1387))</f>
        <v>32</v>
      </c>
      <c r="Z185" cm="1">
        <f t="array" ref="Z185">MIN(IF($C$2:$C$1387=C185,$X$2:$X$1387))</f>
        <v>10</v>
      </c>
      <c r="AA185">
        <f t="shared" si="19"/>
        <v>22</v>
      </c>
      <c r="AB185">
        <f t="shared" si="20"/>
        <v>0.40909090909090912</v>
      </c>
    </row>
    <row r="186" spans="1:28" x14ac:dyDescent="0.25">
      <c r="A186" t="s">
        <v>88</v>
      </c>
      <c r="B186" t="s">
        <v>89</v>
      </c>
      <c r="C186">
        <v>2014</v>
      </c>
      <c r="D186">
        <v>0.35519851063829788</v>
      </c>
      <c r="E186">
        <v>0.61051659574468087</v>
      </c>
      <c r="F186">
        <v>3.6973758865248229E-3</v>
      </c>
      <c r="G186">
        <v>1.9459101490553132</v>
      </c>
      <c r="H186">
        <v>0.7142857142857143</v>
      </c>
      <c r="I186">
        <v>1</v>
      </c>
      <c r="J186">
        <v>0</v>
      </c>
      <c r="K186">
        <v>4</v>
      </c>
      <c r="L186">
        <v>3</v>
      </c>
      <c r="M186">
        <v>1</v>
      </c>
      <c r="N186">
        <v>1</v>
      </c>
      <c r="O186">
        <v>4</v>
      </c>
      <c r="P186">
        <v>3</v>
      </c>
      <c r="Q186">
        <f t="shared" si="14"/>
        <v>5</v>
      </c>
      <c r="R186">
        <f t="shared" si="15"/>
        <v>21</v>
      </c>
      <c r="S186">
        <f t="array" ref="S186">MAX(IF($C$2:$C$1387=C186,$R$2:$R$1387))</f>
        <v>29</v>
      </c>
      <c r="T186" cm="1">
        <f t="array" ref="T186">MIN(IF($C$2:$C$1387=C186,$R$2:$R$1387))</f>
        <v>11</v>
      </c>
      <c r="U186">
        <f t="shared" si="16"/>
        <v>18</v>
      </c>
      <c r="V186">
        <f t="shared" si="17"/>
        <v>0.55555555555555558</v>
      </c>
      <c r="W186" cm="1">
        <f t="array" ref="W186">_xlfn.IFS(N186=1,5,N186=2,4,N186=4,2,N186=5,1,N186=3,3)</f>
        <v>5</v>
      </c>
      <c r="X186">
        <f t="shared" si="18"/>
        <v>25</v>
      </c>
      <c r="Y186" cm="1">
        <f t="array" ref="Y186">MAX(IF($C$2:$C$1387=C186,$X$2:$X$1387))</f>
        <v>30</v>
      </c>
      <c r="Z186" cm="1">
        <f t="array" ref="Z186">MIN(IF($C$2:$C$1387=C186,$X$2:$X$1387))</f>
        <v>14</v>
      </c>
      <c r="AA186">
        <f t="shared" si="19"/>
        <v>16</v>
      </c>
      <c r="AB186">
        <f t="shared" si="20"/>
        <v>0.6875</v>
      </c>
    </row>
    <row r="187" spans="1:28" x14ac:dyDescent="0.25">
      <c r="A187" t="s">
        <v>88</v>
      </c>
      <c r="B187" t="s">
        <v>89</v>
      </c>
      <c r="C187">
        <v>2015</v>
      </c>
      <c r="D187">
        <v>0.43043255319148938</v>
      </c>
      <c r="E187">
        <v>0.88293829787234046</v>
      </c>
      <c r="F187">
        <v>3.6973758865248229E-3</v>
      </c>
      <c r="G187">
        <v>1.9459101490553132</v>
      </c>
      <c r="H187">
        <v>0.8571428571428571</v>
      </c>
      <c r="I187">
        <v>0.66666666666666663</v>
      </c>
      <c r="J187">
        <v>1</v>
      </c>
      <c r="K187">
        <v>4</v>
      </c>
      <c r="L187">
        <v>5</v>
      </c>
      <c r="M187">
        <v>1</v>
      </c>
      <c r="N187">
        <v>1</v>
      </c>
      <c r="O187">
        <v>4</v>
      </c>
      <c r="P187">
        <v>1</v>
      </c>
      <c r="Q187">
        <f t="shared" si="14"/>
        <v>1</v>
      </c>
      <c r="R187">
        <f t="shared" si="15"/>
        <v>17</v>
      </c>
      <c r="S187">
        <f t="array" ref="S187">MAX(IF($C$2:$C$1387=C187,$R$2:$R$1387))</f>
        <v>29</v>
      </c>
      <c r="T187" cm="1">
        <f t="array" ref="T187">MIN(IF($C$2:$C$1387=C187,$R$2:$R$1387))</f>
        <v>11</v>
      </c>
      <c r="U187">
        <f t="shared" si="16"/>
        <v>18</v>
      </c>
      <c r="V187">
        <f t="shared" si="17"/>
        <v>0.33333333333333331</v>
      </c>
      <c r="W187" cm="1">
        <f t="array" ref="W187">_xlfn.IFS(N187=1,5,N187=2,4,N187=4,2,N187=5,1,N187=3,3)</f>
        <v>5</v>
      </c>
      <c r="X187">
        <f t="shared" si="18"/>
        <v>21</v>
      </c>
      <c r="Y187" cm="1">
        <f t="array" ref="Y187">MAX(IF($C$2:$C$1387=C187,$X$2:$X$1387))</f>
        <v>29</v>
      </c>
      <c r="Z187" cm="1">
        <f t="array" ref="Z187">MIN(IF($C$2:$C$1387=C187,$X$2:$X$1387))</f>
        <v>12</v>
      </c>
      <c r="AA187">
        <f t="shared" si="19"/>
        <v>17</v>
      </c>
      <c r="AB187">
        <f t="shared" si="20"/>
        <v>0.52941176470588236</v>
      </c>
    </row>
    <row r="188" spans="1:28" x14ac:dyDescent="0.25">
      <c r="A188" t="s">
        <v>90</v>
      </c>
      <c r="B188" t="s">
        <v>91</v>
      </c>
      <c r="C188">
        <v>2010</v>
      </c>
      <c r="D188">
        <v>0.11069999694824219</v>
      </c>
      <c r="E188">
        <v>0.50610348454963838</v>
      </c>
      <c r="F188">
        <v>0.1799</v>
      </c>
      <c r="G188">
        <v>2.1972245773362196</v>
      </c>
      <c r="H188">
        <v>0.77777777777777779</v>
      </c>
      <c r="I188">
        <v>0.66666666666666663</v>
      </c>
      <c r="J188">
        <v>0</v>
      </c>
      <c r="K188">
        <v>3</v>
      </c>
      <c r="L188">
        <v>2</v>
      </c>
      <c r="M188">
        <v>5</v>
      </c>
      <c r="N188">
        <v>4</v>
      </c>
      <c r="O188">
        <v>4</v>
      </c>
      <c r="P188">
        <v>1</v>
      </c>
      <c r="Q188">
        <f t="shared" si="14"/>
        <v>5</v>
      </c>
      <c r="R188">
        <f t="shared" si="15"/>
        <v>24</v>
      </c>
      <c r="S188">
        <f t="array" ref="S188">MAX(IF($C$2:$C$1387=C188,$R$2:$R$1387))</f>
        <v>29</v>
      </c>
      <c r="T188" cm="1">
        <f t="array" ref="T188">MIN(IF($C$2:$C$1387=C188,$R$2:$R$1387))</f>
        <v>9</v>
      </c>
      <c r="U188">
        <f t="shared" si="16"/>
        <v>20</v>
      </c>
      <c r="V188">
        <f t="shared" si="17"/>
        <v>0.75</v>
      </c>
      <c r="W188" cm="1">
        <f t="array" ref="W188">_xlfn.IFS(N188=1,5,N188=2,4,N188=4,2,N188=5,1,N188=3,3)</f>
        <v>2</v>
      </c>
      <c r="X188">
        <f t="shared" si="18"/>
        <v>22</v>
      </c>
      <c r="Y188" cm="1">
        <f t="array" ref="Y188">MAX(IF($C$2:$C$1387=C188,$X$2:$X$1387))</f>
        <v>29</v>
      </c>
      <c r="Z188" cm="1">
        <f t="array" ref="Z188">MIN(IF($C$2:$C$1387=C188,$X$2:$X$1387))</f>
        <v>12</v>
      </c>
      <c r="AA188">
        <f t="shared" si="19"/>
        <v>17</v>
      </c>
      <c r="AB188">
        <f t="shared" si="20"/>
        <v>0.58823529411764708</v>
      </c>
    </row>
    <row r="189" spans="1:28" x14ac:dyDescent="0.25">
      <c r="A189" t="s">
        <v>90</v>
      </c>
      <c r="B189" t="s">
        <v>91</v>
      </c>
      <c r="C189">
        <v>2011</v>
      </c>
      <c r="D189">
        <v>0.11540236686390533</v>
      </c>
      <c r="E189">
        <v>0.50610348454963838</v>
      </c>
      <c r="F189">
        <v>7.5689677843523998E-2</v>
      </c>
      <c r="G189">
        <v>2.1972245773362196</v>
      </c>
      <c r="H189">
        <v>0.77777777777777779</v>
      </c>
      <c r="I189">
        <v>0.66666666666666663</v>
      </c>
      <c r="J189">
        <v>0</v>
      </c>
      <c r="K189">
        <v>3</v>
      </c>
      <c r="L189">
        <v>2</v>
      </c>
      <c r="M189">
        <v>3</v>
      </c>
      <c r="N189">
        <v>4</v>
      </c>
      <c r="O189">
        <v>4</v>
      </c>
      <c r="P189">
        <v>1</v>
      </c>
      <c r="Q189">
        <f t="shared" si="14"/>
        <v>5</v>
      </c>
      <c r="R189">
        <f t="shared" si="15"/>
        <v>22</v>
      </c>
      <c r="S189">
        <f t="array" ref="S189">MAX(IF($C$2:$C$1387=C189,$R$2:$R$1387))</f>
        <v>28</v>
      </c>
      <c r="T189" cm="1">
        <f t="array" ref="T189">MIN(IF($C$2:$C$1387=C189,$R$2:$R$1387))</f>
        <v>10</v>
      </c>
      <c r="U189">
        <f t="shared" si="16"/>
        <v>18</v>
      </c>
      <c r="V189">
        <f t="shared" si="17"/>
        <v>0.66666666666666663</v>
      </c>
      <c r="W189" cm="1">
        <f t="array" ref="W189">_xlfn.IFS(N189=1,5,N189=2,4,N189=4,2,N189=5,1,N189=3,3)</f>
        <v>2</v>
      </c>
      <c r="X189">
        <f t="shared" si="18"/>
        <v>20</v>
      </c>
      <c r="Y189" cm="1">
        <f t="array" ref="Y189">MAX(IF($C$2:$C$1387=C189,$X$2:$X$1387))</f>
        <v>29</v>
      </c>
      <c r="Z189" cm="1">
        <f t="array" ref="Z189">MIN(IF($C$2:$C$1387=C189,$X$2:$X$1387))</f>
        <v>12</v>
      </c>
      <c r="AA189">
        <f t="shared" si="19"/>
        <v>17</v>
      </c>
      <c r="AB189">
        <f t="shared" si="20"/>
        <v>0.47058823529411764</v>
      </c>
    </row>
    <row r="190" spans="1:28" x14ac:dyDescent="0.25">
      <c r="A190" t="s">
        <v>90</v>
      </c>
      <c r="B190" t="s">
        <v>91</v>
      </c>
      <c r="C190">
        <v>2012</v>
      </c>
      <c r="D190">
        <v>0.11540236686390533</v>
      </c>
      <c r="E190">
        <v>0.50469612097304406</v>
      </c>
      <c r="F190">
        <v>0.13459566074950691</v>
      </c>
      <c r="G190">
        <v>2.1972245773362196</v>
      </c>
      <c r="H190">
        <v>0.77777777777777779</v>
      </c>
      <c r="I190">
        <v>0.66666666666666663</v>
      </c>
      <c r="J190">
        <v>0</v>
      </c>
      <c r="K190">
        <v>3</v>
      </c>
      <c r="L190">
        <v>2</v>
      </c>
      <c r="M190">
        <v>4</v>
      </c>
      <c r="N190">
        <v>4</v>
      </c>
      <c r="O190">
        <v>5</v>
      </c>
      <c r="P190">
        <v>1</v>
      </c>
      <c r="Q190">
        <f t="shared" si="14"/>
        <v>5</v>
      </c>
      <c r="R190">
        <f t="shared" si="15"/>
        <v>24</v>
      </c>
      <c r="S190">
        <f t="array" ref="S190">MAX(IF($C$2:$C$1387=C190,$R$2:$R$1387))</f>
        <v>29</v>
      </c>
      <c r="T190" cm="1">
        <f t="array" ref="T190">MIN(IF($C$2:$C$1387=C190,$R$2:$R$1387))</f>
        <v>11</v>
      </c>
      <c r="U190">
        <f t="shared" si="16"/>
        <v>18</v>
      </c>
      <c r="V190">
        <f t="shared" si="17"/>
        <v>0.72222222222222221</v>
      </c>
      <c r="W190" cm="1">
        <f t="array" ref="W190">_xlfn.IFS(N190=1,5,N190=2,4,N190=4,2,N190=5,1,N190=3,3)</f>
        <v>2</v>
      </c>
      <c r="X190">
        <f t="shared" si="18"/>
        <v>22</v>
      </c>
      <c r="Y190" cm="1">
        <f t="array" ref="Y190">MAX(IF($C$2:$C$1387=C190,$X$2:$X$1387))</f>
        <v>30</v>
      </c>
      <c r="Z190" cm="1">
        <f t="array" ref="Z190">MIN(IF($C$2:$C$1387=C190,$X$2:$X$1387))</f>
        <v>12</v>
      </c>
      <c r="AA190">
        <f t="shared" si="19"/>
        <v>18</v>
      </c>
      <c r="AB190">
        <f t="shared" si="20"/>
        <v>0.55555555555555558</v>
      </c>
    </row>
    <row r="191" spans="1:28" x14ac:dyDescent="0.25">
      <c r="A191" t="s">
        <v>90</v>
      </c>
      <c r="B191" t="s">
        <v>91</v>
      </c>
      <c r="C191">
        <v>2013</v>
      </c>
      <c r="D191">
        <v>0.11540236686390533</v>
      </c>
      <c r="E191">
        <v>0.58993570019723862</v>
      </c>
      <c r="F191">
        <v>9.8645759368836294E-2</v>
      </c>
      <c r="G191">
        <v>1.9459101490553132</v>
      </c>
      <c r="H191">
        <v>1</v>
      </c>
      <c r="I191">
        <v>0.66666666666666663</v>
      </c>
      <c r="J191">
        <v>0</v>
      </c>
      <c r="K191">
        <v>3</v>
      </c>
      <c r="L191">
        <v>3</v>
      </c>
      <c r="M191">
        <v>4</v>
      </c>
      <c r="N191">
        <v>1</v>
      </c>
      <c r="O191">
        <v>5</v>
      </c>
      <c r="P191">
        <v>1</v>
      </c>
      <c r="Q191">
        <f t="shared" si="14"/>
        <v>5</v>
      </c>
      <c r="R191">
        <f t="shared" si="15"/>
        <v>22</v>
      </c>
      <c r="S191">
        <f t="array" ref="S191">MAX(IF($C$2:$C$1387=C191,$R$2:$R$1387))</f>
        <v>29</v>
      </c>
      <c r="T191" cm="1">
        <f t="array" ref="T191">MIN(IF($C$2:$C$1387=C191,$R$2:$R$1387))</f>
        <v>10</v>
      </c>
      <c r="U191">
        <f t="shared" si="16"/>
        <v>19</v>
      </c>
      <c r="V191">
        <f t="shared" si="17"/>
        <v>0.63157894736842102</v>
      </c>
      <c r="W191" cm="1">
        <f t="array" ref="W191">_xlfn.IFS(N191=1,5,N191=2,4,N191=4,2,N191=5,1,N191=3,3)</f>
        <v>5</v>
      </c>
      <c r="X191">
        <f t="shared" si="18"/>
        <v>26</v>
      </c>
      <c r="Y191" cm="1">
        <f t="array" ref="Y191">MAX(IF($C$2:$C$1387=C191,$X$2:$X$1387))</f>
        <v>32</v>
      </c>
      <c r="Z191" cm="1">
        <f t="array" ref="Z191">MIN(IF($C$2:$C$1387=C191,$X$2:$X$1387))</f>
        <v>10</v>
      </c>
      <c r="AA191">
        <f t="shared" si="19"/>
        <v>22</v>
      </c>
      <c r="AB191">
        <f t="shared" si="20"/>
        <v>0.72727272727272729</v>
      </c>
    </row>
    <row r="192" spans="1:28" x14ac:dyDescent="0.25">
      <c r="A192" t="s">
        <v>90</v>
      </c>
      <c r="B192" t="s">
        <v>91</v>
      </c>
      <c r="C192">
        <v>2014</v>
      </c>
      <c r="D192">
        <v>0.11860554898093359</v>
      </c>
      <c r="E192">
        <v>0.60650172255095336</v>
      </c>
      <c r="F192">
        <v>2.4453175542406311E-2</v>
      </c>
      <c r="G192">
        <v>1.9459101490553132</v>
      </c>
      <c r="H192">
        <v>1</v>
      </c>
      <c r="I192">
        <v>0.75</v>
      </c>
      <c r="J192">
        <v>0</v>
      </c>
      <c r="K192">
        <v>3</v>
      </c>
      <c r="L192">
        <v>3</v>
      </c>
      <c r="M192">
        <v>2</v>
      </c>
      <c r="N192">
        <v>1</v>
      </c>
      <c r="O192">
        <v>5</v>
      </c>
      <c r="P192">
        <v>2</v>
      </c>
      <c r="Q192">
        <f t="shared" si="14"/>
        <v>5</v>
      </c>
      <c r="R192">
        <f t="shared" si="15"/>
        <v>21</v>
      </c>
      <c r="S192">
        <f t="array" ref="S192">MAX(IF($C$2:$C$1387=C192,$R$2:$R$1387))</f>
        <v>29</v>
      </c>
      <c r="T192" cm="1">
        <f t="array" ref="T192">MIN(IF($C$2:$C$1387=C192,$R$2:$R$1387))</f>
        <v>11</v>
      </c>
      <c r="U192">
        <f t="shared" si="16"/>
        <v>18</v>
      </c>
      <c r="V192">
        <f t="shared" si="17"/>
        <v>0.55555555555555558</v>
      </c>
      <c r="W192" cm="1">
        <f t="array" ref="W192">_xlfn.IFS(N192=1,5,N192=2,4,N192=4,2,N192=5,1,N192=3,3)</f>
        <v>5</v>
      </c>
      <c r="X192">
        <f t="shared" si="18"/>
        <v>25</v>
      </c>
      <c r="Y192" cm="1">
        <f t="array" ref="Y192">MAX(IF($C$2:$C$1387=C192,$X$2:$X$1387))</f>
        <v>30</v>
      </c>
      <c r="Z192" cm="1">
        <f t="array" ref="Z192">MIN(IF($C$2:$C$1387=C192,$X$2:$X$1387))</f>
        <v>14</v>
      </c>
      <c r="AA192">
        <f t="shared" si="19"/>
        <v>16</v>
      </c>
      <c r="AB192">
        <f t="shared" si="20"/>
        <v>0.6875</v>
      </c>
    </row>
    <row r="193" spans="1:28" x14ac:dyDescent="0.25">
      <c r="A193" t="s">
        <v>90</v>
      </c>
      <c r="B193" t="s">
        <v>91</v>
      </c>
      <c r="C193">
        <v>2015</v>
      </c>
      <c r="D193">
        <v>0.12461212360289284</v>
      </c>
      <c r="E193">
        <v>0.47252407626561471</v>
      </c>
      <c r="F193">
        <v>2.9292097304404997E-2</v>
      </c>
      <c r="G193">
        <v>2.1972245773362196</v>
      </c>
      <c r="H193">
        <v>0.77777777777777779</v>
      </c>
      <c r="I193">
        <v>0.75</v>
      </c>
      <c r="J193">
        <v>0</v>
      </c>
      <c r="K193">
        <v>3</v>
      </c>
      <c r="L193">
        <v>2</v>
      </c>
      <c r="M193">
        <v>2</v>
      </c>
      <c r="N193">
        <v>4</v>
      </c>
      <c r="O193">
        <v>4</v>
      </c>
      <c r="P193">
        <v>2</v>
      </c>
      <c r="Q193">
        <f t="shared" si="14"/>
        <v>5</v>
      </c>
      <c r="R193">
        <f t="shared" si="15"/>
        <v>22</v>
      </c>
      <c r="S193">
        <f t="array" ref="S193">MAX(IF($C$2:$C$1387=C193,$R$2:$R$1387))</f>
        <v>29</v>
      </c>
      <c r="T193" cm="1">
        <f t="array" ref="T193">MIN(IF($C$2:$C$1387=C193,$R$2:$R$1387))</f>
        <v>11</v>
      </c>
      <c r="U193">
        <f t="shared" si="16"/>
        <v>18</v>
      </c>
      <c r="V193">
        <f t="shared" si="17"/>
        <v>0.61111111111111116</v>
      </c>
      <c r="W193" cm="1">
        <f t="array" ref="W193">_xlfn.IFS(N193=1,5,N193=2,4,N193=4,2,N193=5,1,N193=3,3)</f>
        <v>2</v>
      </c>
      <c r="X193">
        <f t="shared" si="18"/>
        <v>20</v>
      </c>
      <c r="Y193" cm="1">
        <f t="array" ref="Y193">MAX(IF($C$2:$C$1387=C193,$X$2:$X$1387))</f>
        <v>29</v>
      </c>
      <c r="Z193" cm="1">
        <f t="array" ref="Z193">MIN(IF($C$2:$C$1387=C193,$X$2:$X$1387))</f>
        <v>12</v>
      </c>
      <c r="AA193">
        <f t="shared" si="19"/>
        <v>17</v>
      </c>
      <c r="AB193">
        <f t="shared" si="20"/>
        <v>0.47058823529411764</v>
      </c>
    </row>
    <row r="194" spans="1:28" x14ac:dyDescent="0.25">
      <c r="A194" t="s">
        <v>92</v>
      </c>
      <c r="B194" t="s">
        <v>93</v>
      </c>
      <c r="C194">
        <v>2010</v>
      </c>
      <c r="D194">
        <v>9.7633692431237117E-4</v>
      </c>
      <c r="E194">
        <v>0.70152191050671109</v>
      </c>
      <c r="F194">
        <v>0</v>
      </c>
      <c r="G194">
        <v>2.3025850929940459</v>
      </c>
      <c r="H194">
        <v>0.2</v>
      </c>
      <c r="I194">
        <v>1</v>
      </c>
      <c r="J194">
        <v>0</v>
      </c>
      <c r="K194">
        <v>2</v>
      </c>
      <c r="L194">
        <v>3</v>
      </c>
      <c r="M194">
        <v>1</v>
      </c>
      <c r="N194">
        <v>5</v>
      </c>
      <c r="O194">
        <v>1</v>
      </c>
      <c r="P194">
        <v>3</v>
      </c>
      <c r="Q194">
        <f t="shared" si="14"/>
        <v>5</v>
      </c>
      <c r="R194">
        <f t="shared" si="15"/>
        <v>20</v>
      </c>
      <c r="S194">
        <f t="array" ref="S194">MAX(IF($C$2:$C$1387=C194,$R$2:$R$1387))</f>
        <v>29</v>
      </c>
      <c r="T194" cm="1">
        <f t="array" ref="T194">MIN(IF($C$2:$C$1387=C194,$R$2:$R$1387))</f>
        <v>9</v>
      </c>
      <c r="U194">
        <f t="shared" si="16"/>
        <v>20</v>
      </c>
      <c r="V194">
        <f t="shared" si="17"/>
        <v>0.55000000000000004</v>
      </c>
      <c r="W194" cm="1">
        <f t="array" ref="W194">_xlfn.IFS(N194=1,5,N194=2,4,N194=4,2,N194=5,1,N194=3,3)</f>
        <v>1</v>
      </c>
      <c r="X194">
        <f t="shared" si="18"/>
        <v>16</v>
      </c>
      <c r="Y194" cm="1">
        <f t="array" ref="Y194">MAX(IF($C$2:$C$1387=C194,$X$2:$X$1387))</f>
        <v>29</v>
      </c>
      <c r="Z194" cm="1">
        <f t="array" ref="Z194">MIN(IF($C$2:$C$1387=C194,$X$2:$X$1387))</f>
        <v>12</v>
      </c>
      <c r="AA194">
        <f t="shared" si="19"/>
        <v>17</v>
      </c>
      <c r="AB194">
        <f t="shared" si="20"/>
        <v>0.23529411764705882</v>
      </c>
    </row>
    <row r="195" spans="1:28" x14ac:dyDescent="0.25">
      <c r="A195" t="s">
        <v>92</v>
      </c>
      <c r="B195" t="s">
        <v>93</v>
      </c>
      <c r="C195">
        <v>2011</v>
      </c>
      <c r="D195">
        <v>3.6824884262592422E-2</v>
      </c>
      <c r="E195">
        <v>0.85153628676693383</v>
      </c>
      <c r="F195">
        <v>8.3967062961538413E-2</v>
      </c>
      <c r="G195">
        <v>1.9459101490553132</v>
      </c>
      <c r="H195">
        <v>0.5714285714285714</v>
      </c>
      <c r="I195">
        <v>0.66666666666666663</v>
      </c>
      <c r="J195">
        <v>0</v>
      </c>
      <c r="K195">
        <v>2</v>
      </c>
      <c r="L195">
        <v>5</v>
      </c>
      <c r="M195">
        <v>3</v>
      </c>
      <c r="N195">
        <v>1</v>
      </c>
      <c r="O195">
        <v>2</v>
      </c>
      <c r="P195">
        <v>1</v>
      </c>
      <c r="Q195">
        <f t="shared" ref="Q195:Q258" si="21">IF(J195=0,5,1)</f>
        <v>5</v>
      </c>
      <c r="R195">
        <f t="shared" ref="R195:R258" si="22">SUM(K195:Q195)</f>
        <v>19</v>
      </c>
      <c r="S195">
        <f t="array" ref="S195">MAX(IF($C$2:$C$1387=C195,$R$2:$R$1387))</f>
        <v>28</v>
      </c>
      <c r="T195" cm="1">
        <f t="array" ref="T195">MIN(IF($C$2:$C$1387=C195,$R$2:$R$1387))</f>
        <v>10</v>
      </c>
      <c r="U195">
        <f t="shared" ref="U195:U258" si="23">S195-T195</f>
        <v>18</v>
      </c>
      <c r="V195">
        <f t="shared" ref="V195:V258" si="24">(R195-T195)/U195</f>
        <v>0.5</v>
      </c>
      <c r="W195" cm="1">
        <f t="array" ref="W195">_xlfn.IFS(N195=1,5,N195=2,4,N195=4,2,N195=5,1,N195=3,3)</f>
        <v>5</v>
      </c>
      <c r="X195">
        <f t="shared" ref="X195:X258" si="25">SUM(K195:M195,O195:Q195,W195)</f>
        <v>23</v>
      </c>
      <c r="Y195" cm="1">
        <f t="array" ref="Y195">MAX(IF($C$2:$C$1387=C195,$X$2:$X$1387))</f>
        <v>29</v>
      </c>
      <c r="Z195" cm="1">
        <f t="array" ref="Z195">MIN(IF($C$2:$C$1387=C195,$X$2:$X$1387))</f>
        <v>12</v>
      </c>
      <c r="AA195">
        <f t="shared" ref="AA195:AA258" si="26">Y195-Z195</f>
        <v>17</v>
      </c>
      <c r="AB195">
        <f t="shared" ref="AB195:AB258" si="27">(X195-Z195)/AA195</f>
        <v>0.6470588235294118</v>
      </c>
    </row>
    <row r="196" spans="1:28" x14ac:dyDescent="0.25">
      <c r="A196" t="s">
        <v>92</v>
      </c>
      <c r="B196" t="s">
        <v>93</v>
      </c>
      <c r="C196">
        <v>2012</v>
      </c>
      <c r="D196">
        <v>7.8865794263312996E-3</v>
      </c>
      <c r="E196">
        <v>0.82230127334040304</v>
      </c>
      <c r="F196">
        <v>1.9818195017595228E-2</v>
      </c>
      <c r="G196">
        <v>2.3978952727983707</v>
      </c>
      <c r="H196">
        <v>0.36363636363636365</v>
      </c>
      <c r="I196">
        <v>1</v>
      </c>
      <c r="J196">
        <v>1</v>
      </c>
      <c r="K196">
        <v>2</v>
      </c>
      <c r="L196">
        <v>4</v>
      </c>
      <c r="M196">
        <v>2</v>
      </c>
      <c r="N196">
        <v>5</v>
      </c>
      <c r="O196">
        <v>1</v>
      </c>
      <c r="P196">
        <v>3</v>
      </c>
      <c r="Q196">
        <f t="shared" si="21"/>
        <v>1</v>
      </c>
      <c r="R196">
        <f t="shared" si="22"/>
        <v>18</v>
      </c>
      <c r="S196">
        <f t="array" ref="S196">MAX(IF($C$2:$C$1387=C196,$R$2:$R$1387))</f>
        <v>29</v>
      </c>
      <c r="T196" cm="1">
        <f t="array" ref="T196">MIN(IF($C$2:$C$1387=C196,$R$2:$R$1387))</f>
        <v>11</v>
      </c>
      <c r="U196">
        <f t="shared" si="23"/>
        <v>18</v>
      </c>
      <c r="V196">
        <f t="shared" si="24"/>
        <v>0.3888888888888889</v>
      </c>
      <c r="W196" cm="1">
        <f t="array" ref="W196">_xlfn.IFS(N196=1,5,N196=2,4,N196=4,2,N196=5,1,N196=3,3)</f>
        <v>1</v>
      </c>
      <c r="X196">
        <f t="shared" si="25"/>
        <v>14</v>
      </c>
      <c r="Y196" cm="1">
        <f t="array" ref="Y196">MAX(IF($C$2:$C$1387=C196,$X$2:$X$1387))</f>
        <v>30</v>
      </c>
      <c r="Z196" cm="1">
        <f t="array" ref="Z196">MIN(IF($C$2:$C$1387=C196,$X$2:$X$1387))</f>
        <v>12</v>
      </c>
      <c r="AA196">
        <f t="shared" si="26"/>
        <v>18</v>
      </c>
      <c r="AB196">
        <f t="shared" si="27"/>
        <v>0.1111111111111111</v>
      </c>
    </row>
    <row r="197" spans="1:28" x14ac:dyDescent="0.25">
      <c r="A197" t="s">
        <v>92</v>
      </c>
      <c r="B197" t="s">
        <v>93</v>
      </c>
      <c r="C197">
        <v>2013</v>
      </c>
      <c r="D197">
        <v>5.0857675011585666E-3</v>
      </c>
      <c r="E197">
        <v>0.92505045484893933</v>
      </c>
      <c r="F197">
        <v>9.6956481179983567E-2</v>
      </c>
      <c r="G197">
        <v>1.9459101490553132</v>
      </c>
      <c r="H197">
        <v>0.8571428571428571</v>
      </c>
      <c r="I197">
        <v>1</v>
      </c>
      <c r="J197">
        <v>0</v>
      </c>
      <c r="K197">
        <v>2</v>
      </c>
      <c r="L197">
        <v>5</v>
      </c>
      <c r="M197">
        <v>4</v>
      </c>
      <c r="N197">
        <v>1</v>
      </c>
      <c r="O197">
        <v>5</v>
      </c>
      <c r="P197">
        <v>3</v>
      </c>
      <c r="Q197">
        <f t="shared" si="21"/>
        <v>5</v>
      </c>
      <c r="R197">
        <f t="shared" si="22"/>
        <v>25</v>
      </c>
      <c r="S197">
        <f t="array" ref="S197">MAX(IF($C$2:$C$1387=C197,$R$2:$R$1387))</f>
        <v>29</v>
      </c>
      <c r="T197" cm="1">
        <f t="array" ref="T197">MIN(IF($C$2:$C$1387=C197,$R$2:$R$1387))</f>
        <v>10</v>
      </c>
      <c r="U197">
        <f t="shared" si="23"/>
        <v>19</v>
      </c>
      <c r="V197">
        <f t="shared" si="24"/>
        <v>0.78947368421052633</v>
      </c>
      <c r="W197" cm="1">
        <f t="array" ref="W197">_xlfn.IFS(N197=1,5,N197=2,4,N197=4,2,N197=5,1,N197=3,3)</f>
        <v>5</v>
      </c>
      <c r="X197">
        <f t="shared" si="25"/>
        <v>29</v>
      </c>
      <c r="Y197" cm="1">
        <f t="array" ref="Y197">MAX(IF($C$2:$C$1387=C197,$X$2:$X$1387))</f>
        <v>32</v>
      </c>
      <c r="Z197" cm="1">
        <f t="array" ref="Z197">MIN(IF($C$2:$C$1387=C197,$X$2:$X$1387))</f>
        <v>10</v>
      </c>
      <c r="AA197">
        <f t="shared" si="26"/>
        <v>22</v>
      </c>
      <c r="AB197">
        <f t="shared" si="27"/>
        <v>0.86363636363636365</v>
      </c>
    </row>
    <row r="198" spans="1:28" x14ac:dyDescent="0.25">
      <c r="A198" t="s">
        <v>92</v>
      </c>
      <c r="B198" t="s">
        <v>93</v>
      </c>
      <c r="C198">
        <v>2014</v>
      </c>
      <c r="D198">
        <v>0</v>
      </c>
      <c r="E198">
        <v>0.91762997457072082</v>
      </c>
      <c r="F198">
        <v>0.15729351056031515</v>
      </c>
      <c r="G198">
        <v>1.9459101490553132</v>
      </c>
      <c r="H198">
        <v>0.8571428571428571</v>
      </c>
      <c r="I198">
        <v>1</v>
      </c>
      <c r="J198">
        <v>0</v>
      </c>
      <c r="K198">
        <v>1</v>
      </c>
      <c r="L198">
        <v>5</v>
      </c>
      <c r="M198">
        <v>5</v>
      </c>
      <c r="N198">
        <v>1</v>
      </c>
      <c r="O198">
        <v>5</v>
      </c>
      <c r="P198">
        <v>3</v>
      </c>
      <c r="Q198">
        <f t="shared" si="21"/>
        <v>5</v>
      </c>
      <c r="R198">
        <f t="shared" si="22"/>
        <v>25</v>
      </c>
      <c r="S198">
        <f t="array" ref="S198">MAX(IF($C$2:$C$1387=C198,$R$2:$R$1387))</f>
        <v>29</v>
      </c>
      <c r="T198" cm="1">
        <f t="array" ref="T198">MIN(IF($C$2:$C$1387=C198,$R$2:$R$1387))</f>
        <v>11</v>
      </c>
      <c r="U198">
        <f t="shared" si="23"/>
        <v>18</v>
      </c>
      <c r="V198">
        <f t="shared" si="24"/>
        <v>0.77777777777777779</v>
      </c>
      <c r="W198" cm="1">
        <f t="array" ref="W198">_xlfn.IFS(N198=1,5,N198=2,4,N198=4,2,N198=5,1,N198=3,3)</f>
        <v>5</v>
      </c>
      <c r="X198">
        <f t="shared" si="25"/>
        <v>29</v>
      </c>
      <c r="Y198" cm="1">
        <f t="array" ref="Y198">MAX(IF($C$2:$C$1387=C198,$X$2:$X$1387))</f>
        <v>30</v>
      </c>
      <c r="Z198" cm="1">
        <f t="array" ref="Z198">MIN(IF($C$2:$C$1387=C198,$X$2:$X$1387))</f>
        <v>14</v>
      </c>
      <c r="AA198">
        <f t="shared" si="26"/>
        <v>16</v>
      </c>
      <c r="AB198">
        <f t="shared" si="27"/>
        <v>0.9375</v>
      </c>
    </row>
    <row r="199" spans="1:28" x14ac:dyDescent="0.25">
      <c r="A199" t="s">
        <v>92</v>
      </c>
      <c r="B199" t="s">
        <v>93</v>
      </c>
      <c r="C199">
        <v>2015</v>
      </c>
      <c r="D199">
        <v>0</v>
      </c>
      <c r="E199">
        <v>0.91400816136323315</v>
      </c>
      <c r="F199">
        <v>9.1093824550700364E-2</v>
      </c>
      <c r="G199">
        <v>2.0794415416798357</v>
      </c>
      <c r="H199">
        <v>0.625</v>
      </c>
      <c r="I199">
        <v>1</v>
      </c>
      <c r="J199">
        <v>0</v>
      </c>
      <c r="K199">
        <v>1</v>
      </c>
      <c r="L199">
        <v>5</v>
      </c>
      <c r="M199">
        <v>4</v>
      </c>
      <c r="N199">
        <v>3</v>
      </c>
      <c r="O199">
        <v>2</v>
      </c>
      <c r="P199">
        <v>2</v>
      </c>
      <c r="Q199">
        <f t="shared" si="21"/>
        <v>5</v>
      </c>
      <c r="R199">
        <f t="shared" si="22"/>
        <v>22</v>
      </c>
      <c r="S199">
        <f t="array" ref="S199">MAX(IF($C$2:$C$1387=C199,$R$2:$R$1387))</f>
        <v>29</v>
      </c>
      <c r="T199" cm="1">
        <f t="array" ref="T199">MIN(IF($C$2:$C$1387=C199,$R$2:$R$1387))</f>
        <v>11</v>
      </c>
      <c r="U199">
        <f t="shared" si="23"/>
        <v>18</v>
      </c>
      <c r="V199">
        <f t="shared" si="24"/>
        <v>0.61111111111111116</v>
      </c>
      <c r="W199" cm="1">
        <f t="array" ref="W199">_xlfn.IFS(N199=1,5,N199=2,4,N199=4,2,N199=5,1,N199=3,3)</f>
        <v>3</v>
      </c>
      <c r="X199">
        <f t="shared" si="25"/>
        <v>22</v>
      </c>
      <c r="Y199" cm="1">
        <f t="array" ref="Y199">MAX(IF($C$2:$C$1387=C199,$X$2:$X$1387))</f>
        <v>29</v>
      </c>
      <c r="Z199" cm="1">
        <f t="array" ref="Z199">MIN(IF($C$2:$C$1387=C199,$X$2:$X$1387))</f>
        <v>12</v>
      </c>
      <c r="AA199">
        <f t="shared" si="26"/>
        <v>17</v>
      </c>
      <c r="AB199">
        <f t="shared" si="27"/>
        <v>0.58823529411764708</v>
      </c>
    </row>
    <row r="200" spans="1:28" x14ac:dyDescent="0.25">
      <c r="A200" t="s">
        <v>94</v>
      </c>
      <c r="B200" t="s">
        <v>95</v>
      </c>
      <c r="C200">
        <v>2010</v>
      </c>
      <c r="D200">
        <v>0.39704601287841795</v>
      </c>
      <c r="E200">
        <v>0.46752176616915425</v>
      </c>
      <c r="F200">
        <v>6.6583000000000003E-2</v>
      </c>
      <c r="G200">
        <v>2.0794415416798357</v>
      </c>
      <c r="H200">
        <v>0</v>
      </c>
      <c r="I200">
        <v>0.66666666666666663</v>
      </c>
      <c r="J200">
        <v>1</v>
      </c>
      <c r="K200">
        <v>4</v>
      </c>
      <c r="L200">
        <v>1</v>
      </c>
      <c r="M200">
        <v>3</v>
      </c>
      <c r="N200">
        <v>3</v>
      </c>
      <c r="O200">
        <v>1</v>
      </c>
      <c r="P200">
        <v>1</v>
      </c>
      <c r="Q200">
        <f t="shared" si="21"/>
        <v>1</v>
      </c>
      <c r="R200">
        <f t="shared" si="22"/>
        <v>14</v>
      </c>
      <c r="S200">
        <f t="array" ref="S200">MAX(IF($C$2:$C$1387=C200,$R$2:$R$1387))</f>
        <v>29</v>
      </c>
      <c r="T200" cm="1">
        <f t="array" ref="T200">MIN(IF($C$2:$C$1387=C200,$R$2:$R$1387))</f>
        <v>9</v>
      </c>
      <c r="U200">
        <f t="shared" si="23"/>
        <v>20</v>
      </c>
      <c r="V200">
        <f t="shared" si="24"/>
        <v>0.25</v>
      </c>
      <c r="W200" cm="1">
        <f t="array" ref="W200">_xlfn.IFS(N200=1,5,N200=2,4,N200=4,2,N200=5,1,N200=3,3)</f>
        <v>3</v>
      </c>
      <c r="X200">
        <f t="shared" si="25"/>
        <v>14</v>
      </c>
      <c r="Y200" cm="1">
        <f t="array" ref="Y200">MAX(IF($C$2:$C$1387=C200,$X$2:$X$1387))</f>
        <v>29</v>
      </c>
      <c r="Z200" cm="1">
        <f t="array" ref="Z200">MIN(IF($C$2:$C$1387=C200,$X$2:$X$1387))</f>
        <v>12</v>
      </c>
      <c r="AA200">
        <f t="shared" si="26"/>
        <v>17</v>
      </c>
      <c r="AB200">
        <f t="shared" si="27"/>
        <v>0.11764705882352941</v>
      </c>
    </row>
    <row r="201" spans="1:28" x14ac:dyDescent="0.25">
      <c r="A201" t="s">
        <v>94</v>
      </c>
      <c r="B201" t="s">
        <v>95</v>
      </c>
      <c r="C201">
        <v>2011</v>
      </c>
      <c r="D201">
        <v>0.39704601287841795</v>
      </c>
      <c r="E201">
        <v>0.46752176616915425</v>
      </c>
      <c r="F201">
        <v>6.6583000000000003E-2</v>
      </c>
      <c r="G201">
        <v>2.0794415416798357</v>
      </c>
      <c r="H201">
        <v>0.625</v>
      </c>
      <c r="I201">
        <v>0.66666666666666663</v>
      </c>
      <c r="J201">
        <v>0</v>
      </c>
      <c r="K201">
        <v>4</v>
      </c>
      <c r="L201">
        <v>2</v>
      </c>
      <c r="M201">
        <v>3</v>
      </c>
      <c r="N201">
        <v>3</v>
      </c>
      <c r="O201">
        <v>3</v>
      </c>
      <c r="P201">
        <v>1</v>
      </c>
      <c r="Q201">
        <f t="shared" si="21"/>
        <v>5</v>
      </c>
      <c r="R201">
        <f t="shared" si="22"/>
        <v>21</v>
      </c>
      <c r="S201">
        <f t="array" ref="S201">MAX(IF($C$2:$C$1387=C201,$R$2:$R$1387))</f>
        <v>28</v>
      </c>
      <c r="T201" cm="1">
        <f t="array" ref="T201">MIN(IF($C$2:$C$1387=C201,$R$2:$R$1387))</f>
        <v>10</v>
      </c>
      <c r="U201">
        <f t="shared" si="23"/>
        <v>18</v>
      </c>
      <c r="V201">
        <f t="shared" si="24"/>
        <v>0.61111111111111116</v>
      </c>
      <c r="W201" cm="1">
        <f t="array" ref="W201">_xlfn.IFS(N201=1,5,N201=2,4,N201=4,2,N201=5,1,N201=3,3)</f>
        <v>3</v>
      </c>
      <c r="X201">
        <f t="shared" si="25"/>
        <v>21</v>
      </c>
      <c r="Y201" cm="1">
        <f t="array" ref="Y201">MAX(IF($C$2:$C$1387=C201,$X$2:$X$1387))</f>
        <v>29</v>
      </c>
      <c r="Z201" cm="1">
        <f t="array" ref="Z201">MIN(IF($C$2:$C$1387=C201,$X$2:$X$1387))</f>
        <v>12</v>
      </c>
      <c r="AA201">
        <f t="shared" si="26"/>
        <v>17</v>
      </c>
      <c r="AB201">
        <f t="shared" si="27"/>
        <v>0.52941176470588236</v>
      </c>
    </row>
    <row r="202" spans="1:28" x14ac:dyDescent="0.25">
      <c r="A202" t="s">
        <v>94</v>
      </c>
      <c r="B202" t="s">
        <v>95</v>
      </c>
      <c r="C202">
        <v>2012</v>
      </c>
      <c r="D202">
        <v>0.39642412935323385</v>
      </c>
      <c r="E202">
        <v>0.49290951492537316</v>
      </c>
      <c r="F202">
        <v>0.147869092039801</v>
      </c>
      <c r="G202">
        <v>2.0794415416798357</v>
      </c>
      <c r="H202">
        <v>0.625</v>
      </c>
      <c r="I202">
        <v>0.66666666666666663</v>
      </c>
      <c r="J202">
        <v>0</v>
      </c>
      <c r="K202">
        <v>4</v>
      </c>
      <c r="L202">
        <v>2</v>
      </c>
      <c r="M202">
        <v>4</v>
      </c>
      <c r="N202">
        <v>3</v>
      </c>
      <c r="O202">
        <v>3</v>
      </c>
      <c r="P202">
        <v>1</v>
      </c>
      <c r="Q202">
        <f t="shared" si="21"/>
        <v>5</v>
      </c>
      <c r="R202">
        <f t="shared" si="22"/>
        <v>22</v>
      </c>
      <c r="S202">
        <f t="array" ref="S202">MAX(IF($C$2:$C$1387=C202,$R$2:$R$1387))</f>
        <v>29</v>
      </c>
      <c r="T202" cm="1">
        <f t="array" ref="T202">MIN(IF($C$2:$C$1387=C202,$R$2:$R$1387))</f>
        <v>11</v>
      </c>
      <c r="U202">
        <f t="shared" si="23"/>
        <v>18</v>
      </c>
      <c r="V202">
        <f t="shared" si="24"/>
        <v>0.61111111111111116</v>
      </c>
      <c r="W202" cm="1">
        <f t="array" ref="W202">_xlfn.IFS(N202=1,5,N202=2,4,N202=4,2,N202=5,1,N202=3,3)</f>
        <v>3</v>
      </c>
      <c r="X202">
        <f t="shared" si="25"/>
        <v>22</v>
      </c>
      <c r="Y202" cm="1">
        <f t="array" ref="Y202">MAX(IF($C$2:$C$1387=C202,$X$2:$X$1387))</f>
        <v>30</v>
      </c>
      <c r="Z202" cm="1">
        <f t="array" ref="Z202">MIN(IF($C$2:$C$1387=C202,$X$2:$X$1387))</f>
        <v>12</v>
      </c>
      <c r="AA202">
        <f t="shared" si="26"/>
        <v>18</v>
      </c>
      <c r="AB202">
        <f t="shared" si="27"/>
        <v>0.55555555555555558</v>
      </c>
    </row>
    <row r="203" spans="1:28" x14ac:dyDescent="0.25">
      <c r="A203" t="s">
        <v>94</v>
      </c>
      <c r="B203" t="s">
        <v>95</v>
      </c>
      <c r="C203">
        <v>2013</v>
      </c>
      <c r="D203">
        <v>0.41350870646766169</v>
      </c>
      <c r="E203">
        <v>0.26821517412935325</v>
      </c>
      <c r="F203">
        <v>0</v>
      </c>
      <c r="G203">
        <v>2.1972245773362196</v>
      </c>
      <c r="H203">
        <v>0.55555555555555558</v>
      </c>
      <c r="I203">
        <v>0.66666666666666663</v>
      </c>
      <c r="J203">
        <v>0</v>
      </c>
      <c r="K203">
        <v>4</v>
      </c>
      <c r="L203">
        <v>1</v>
      </c>
      <c r="M203">
        <v>1</v>
      </c>
      <c r="N203">
        <v>4</v>
      </c>
      <c r="O203">
        <v>2</v>
      </c>
      <c r="P203">
        <v>1</v>
      </c>
      <c r="Q203">
        <f t="shared" si="21"/>
        <v>5</v>
      </c>
      <c r="R203">
        <f t="shared" si="22"/>
        <v>18</v>
      </c>
      <c r="S203">
        <f t="array" ref="S203">MAX(IF($C$2:$C$1387=C203,$R$2:$R$1387))</f>
        <v>29</v>
      </c>
      <c r="T203" cm="1">
        <f t="array" ref="T203">MIN(IF($C$2:$C$1387=C203,$R$2:$R$1387))</f>
        <v>10</v>
      </c>
      <c r="U203">
        <f t="shared" si="23"/>
        <v>19</v>
      </c>
      <c r="V203">
        <f t="shared" si="24"/>
        <v>0.42105263157894735</v>
      </c>
      <c r="W203" cm="1">
        <f t="array" ref="W203">_xlfn.IFS(N203=1,5,N203=2,4,N203=4,2,N203=5,1,N203=3,3)</f>
        <v>2</v>
      </c>
      <c r="X203">
        <f t="shared" si="25"/>
        <v>16</v>
      </c>
      <c r="Y203" cm="1">
        <f t="array" ref="Y203">MAX(IF($C$2:$C$1387=C203,$X$2:$X$1387))</f>
        <v>32</v>
      </c>
      <c r="Z203" cm="1">
        <f t="array" ref="Z203">MIN(IF($C$2:$C$1387=C203,$X$2:$X$1387))</f>
        <v>10</v>
      </c>
      <c r="AA203">
        <f t="shared" si="26"/>
        <v>22</v>
      </c>
      <c r="AB203">
        <f t="shared" si="27"/>
        <v>0.27272727272727271</v>
      </c>
    </row>
    <row r="204" spans="1:28" x14ac:dyDescent="0.25">
      <c r="A204" t="s">
        <v>94</v>
      </c>
      <c r="B204" t="s">
        <v>95</v>
      </c>
      <c r="C204">
        <v>2014</v>
      </c>
      <c r="D204">
        <v>0.41350870646766169</v>
      </c>
      <c r="E204">
        <v>0.26821517412935325</v>
      </c>
      <c r="F204">
        <v>7.402534203980099E-2</v>
      </c>
      <c r="G204">
        <v>2.1972245773362196</v>
      </c>
      <c r="H204">
        <v>0.55555555555555558</v>
      </c>
      <c r="I204">
        <v>0.66666666666666663</v>
      </c>
      <c r="J204">
        <v>0</v>
      </c>
      <c r="K204">
        <v>4</v>
      </c>
      <c r="L204">
        <v>1</v>
      </c>
      <c r="M204">
        <v>3</v>
      </c>
      <c r="N204">
        <v>4</v>
      </c>
      <c r="O204">
        <v>2</v>
      </c>
      <c r="P204">
        <v>1</v>
      </c>
      <c r="Q204">
        <f t="shared" si="21"/>
        <v>5</v>
      </c>
      <c r="R204">
        <f t="shared" si="22"/>
        <v>20</v>
      </c>
      <c r="S204">
        <f t="array" ref="S204">MAX(IF($C$2:$C$1387=C204,$R$2:$R$1387))</f>
        <v>29</v>
      </c>
      <c r="T204" cm="1">
        <f t="array" ref="T204">MIN(IF($C$2:$C$1387=C204,$R$2:$R$1387))</f>
        <v>11</v>
      </c>
      <c r="U204">
        <f t="shared" si="23"/>
        <v>18</v>
      </c>
      <c r="V204">
        <f t="shared" si="24"/>
        <v>0.5</v>
      </c>
      <c r="W204" cm="1">
        <f t="array" ref="W204">_xlfn.IFS(N204=1,5,N204=2,4,N204=4,2,N204=5,1,N204=3,3)</f>
        <v>2</v>
      </c>
      <c r="X204">
        <f t="shared" si="25"/>
        <v>18</v>
      </c>
      <c r="Y204" cm="1">
        <f t="array" ref="Y204">MAX(IF($C$2:$C$1387=C204,$X$2:$X$1387))</f>
        <v>30</v>
      </c>
      <c r="Z204" cm="1">
        <f t="array" ref="Z204">MIN(IF($C$2:$C$1387=C204,$X$2:$X$1387))</f>
        <v>14</v>
      </c>
      <c r="AA204">
        <f t="shared" si="26"/>
        <v>16</v>
      </c>
      <c r="AB204">
        <f t="shared" si="27"/>
        <v>0.25</v>
      </c>
    </row>
    <row r="205" spans="1:28" x14ac:dyDescent="0.25">
      <c r="A205" t="s">
        <v>94</v>
      </c>
      <c r="B205" t="s">
        <v>95</v>
      </c>
      <c r="C205">
        <v>2015</v>
      </c>
      <c r="D205">
        <v>0.41350870646766169</v>
      </c>
      <c r="E205">
        <v>0.26821517412935325</v>
      </c>
      <c r="F205">
        <v>6.1245491293532336E-2</v>
      </c>
      <c r="G205">
        <v>2.1972245773362196</v>
      </c>
      <c r="H205">
        <v>0.66666666666666663</v>
      </c>
      <c r="I205">
        <v>0.66666666666666663</v>
      </c>
      <c r="J205">
        <v>0</v>
      </c>
      <c r="K205">
        <v>4</v>
      </c>
      <c r="L205">
        <v>1</v>
      </c>
      <c r="M205">
        <v>3</v>
      </c>
      <c r="N205">
        <v>4</v>
      </c>
      <c r="O205">
        <v>2</v>
      </c>
      <c r="P205">
        <v>1</v>
      </c>
      <c r="Q205">
        <f t="shared" si="21"/>
        <v>5</v>
      </c>
      <c r="R205">
        <f t="shared" si="22"/>
        <v>20</v>
      </c>
      <c r="S205">
        <f t="array" ref="S205">MAX(IF($C$2:$C$1387=C205,$R$2:$R$1387))</f>
        <v>29</v>
      </c>
      <c r="T205" cm="1">
        <f t="array" ref="T205">MIN(IF($C$2:$C$1387=C205,$R$2:$R$1387))</f>
        <v>11</v>
      </c>
      <c r="U205">
        <f t="shared" si="23"/>
        <v>18</v>
      </c>
      <c r="V205">
        <f t="shared" si="24"/>
        <v>0.5</v>
      </c>
      <c r="W205" cm="1">
        <f t="array" ref="W205">_xlfn.IFS(N205=1,5,N205=2,4,N205=4,2,N205=5,1,N205=3,3)</f>
        <v>2</v>
      </c>
      <c r="X205">
        <f t="shared" si="25"/>
        <v>18</v>
      </c>
      <c r="Y205" cm="1">
        <f t="array" ref="Y205">MAX(IF($C$2:$C$1387=C205,$X$2:$X$1387))</f>
        <v>29</v>
      </c>
      <c r="Z205" cm="1">
        <f t="array" ref="Z205">MIN(IF($C$2:$C$1387=C205,$X$2:$X$1387))</f>
        <v>12</v>
      </c>
      <c r="AA205">
        <f t="shared" si="26"/>
        <v>17</v>
      </c>
      <c r="AB205">
        <f t="shared" si="27"/>
        <v>0.35294117647058826</v>
      </c>
    </row>
    <row r="206" spans="1:28" x14ac:dyDescent="0.25">
      <c r="A206" t="s">
        <v>96</v>
      </c>
      <c r="B206" t="s">
        <v>97</v>
      </c>
      <c r="C206">
        <v>2010</v>
      </c>
      <c r="D206">
        <v>1.3888888888888889E-3</v>
      </c>
      <c r="E206">
        <v>0.76165138888888884</v>
      </c>
      <c r="F206">
        <v>0.24289444444444444</v>
      </c>
      <c r="G206">
        <v>2.1972245773362196</v>
      </c>
      <c r="H206">
        <v>0.66666666666666663</v>
      </c>
      <c r="I206">
        <v>1</v>
      </c>
      <c r="J206">
        <v>0</v>
      </c>
      <c r="K206">
        <v>2</v>
      </c>
      <c r="L206">
        <v>4</v>
      </c>
      <c r="M206">
        <v>5</v>
      </c>
      <c r="N206">
        <v>4</v>
      </c>
      <c r="O206">
        <v>3</v>
      </c>
      <c r="P206">
        <v>3</v>
      </c>
      <c r="Q206">
        <f t="shared" si="21"/>
        <v>5</v>
      </c>
      <c r="R206">
        <f t="shared" si="22"/>
        <v>26</v>
      </c>
      <c r="S206">
        <f t="array" ref="S206">MAX(IF($C$2:$C$1387=C206,$R$2:$R$1387))</f>
        <v>29</v>
      </c>
      <c r="T206" cm="1">
        <f t="array" ref="T206">MIN(IF($C$2:$C$1387=C206,$R$2:$R$1387))</f>
        <v>9</v>
      </c>
      <c r="U206">
        <f t="shared" si="23"/>
        <v>20</v>
      </c>
      <c r="V206">
        <f t="shared" si="24"/>
        <v>0.85</v>
      </c>
      <c r="W206" cm="1">
        <f t="array" ref="W206">_xlfn.IFS(N206=1,5,N206=2,4,N206=4,2,N206=5,1,N206=3,3)</f>
        <v>2</v>
      </c>
      <c r="X206">
        <f t="shared" si="25"/>
        <v>24</v>
      </c>
      <c r="Y206" cm="1">
        <f t="array" ref="Y206">MAX(IF($C$2:$C$1387=C206,$X$2:$X$1387))</f>
        <v>29</v>
      </c>
      <c r="Z206" cm="1">
        <f t="array" ref="Z206">MIN(IF($C$2:$C$1387=C206,$X$2:$X$1387))</f>
        <v>12</v>
      </c>
      <c r="AA206">
        <f t="shared" si="26"/>
        <v>17</v>
      </c>
      <c r="AB206">
        <f t="shared" si="27"/>
        <v>0.70588235294117652</v>
      </c>
    </row>
    <row r="207" spans="1:28" x14ac:dyDescent="0.25">
      <c r="A207" t="s">
        <v>96</v>
      </c>
      <c r="B207" t="s">
        <v>97</v>
      </c>
      <c r="C207">
        <v>2011</v>
      </c>
      <c r="D207">
        <v>1.3888888888888889E-3</v>
      </c>
      <c r="E207">
        <v>0.81397013888888892</v>
      </c>
      <c r="F207">
        <v>0.24289444444444444</v>
      </c>
      <c r="G207">
        <v>2.0794415416798357</v>
      </c>
      <c r="H207">
        <v>0.75</v>
      </c>
      <c r="I207">
        <v>1</v>
      </c>
      <c r="J207">
        <v>0</v>
      </c>
      <c r="K207">
        <v>2</v>
      </c>
      <c r="L207">
        <v>4</v>
      </c>
      <c r="M207">
        <v>5</v>
      </c>
      <c r="N207">
        <v>3</v>
      </c>
      <c r="O207">
        <v>4</v>
      </c>
      <c r="P207">
        <v>3</v>
      </c>
      <c r="Q207">
        <f t="shared" si="21"/>
        <v>5</v>
      </c>
      <c r="R207">
        <f t="shared" si="22"/>
        <v>26</v>
      </c>
      <c r="S207">
        <f t="array" ref="S207">MAX(IF($C$2:$C$1387=C207,$R$2:$R$1387))</f>
        <v>28</v>
      </c>
      <c r="T207" cm="1">
        <f t="array" ref="T207">MIN(IF($C$2:$C$1387=C207,$R$2:$R$1387))</f>
        <v>10</v>
      </c>
      <c r="U207">
        <f t="shared" si="23"/>
        <v>18</v>
      </c>
      <c r="V207">
        <f t="shared" si="24"/>
        <v>0.88888888888888884</v>
      </c>
      <c r="W207" cm="1">
        <f t="array" ref="W207">_xlfn.IFS(N207=1,5,N207=2,4,N207=4,2,N207=5,1,N207=3,3)</f>
        <v>3</v>
      </c>
      <c r="X207">
        <f t="shared" si="25"/>
        <v>26</v>
      </c>
      <c r="Y207" cm="1">
        <f t="array" ref="Y207">MAX(IF($C$2:$C$1387=C207,$X$2:$X$1387))</f>
        <v>29</v>
      </c>
      <c r="Z207" cm="1">
        <f t="array" ref="Z207">MIN(IF($C$2:$C$1387=C207,$X$2:$X$1387))</f>
        <v>12</v>
      </c>
      <c r="AA207">
        <f t="shared" si="26"/>
        <v>17</v>
      </c>
      <c r="AB207">
        <f t="shared" si="27"/>
        <v>0.82352941176470584</v>
      </c>
    </row>
    <row r="208" spans="1:28" x14ac:dyDescent="0.25">
      <c r="A208" t="s">
        <v>96</v>
      </c>
      <c r="B208" t="s">
        <v>97</v>
      </c>
      <c r="C208">
        <v>2012</v>
      </c>
      <c r="D208">
        <v>1.3888888888888889E-3</v>
      </c>
      <c r="E208">
        <v>0.75569375000000005</v>
      </c>
      <c r="F208">
        <v>0.21703888888888889</v>
      </c>
      <c r="G208">
        <v>2.1972245773362196</v>
      </c>
      <c r="H208">
        <v>0.88888888888888884</v>
      </c>
      <c r="I208">
        <v>1</v>
      </c>
      <c r="J208">
        <v>0</v>
      </c>
      <c r="K208">
        <v>2</v>
      </c>
      <c r="L208">
        <v>4</v>
      </c>
      <c r="M208">
        <v>5</v>
      </c>
      <c r="N208">
        <v>4</v>
      </c>
      <c r="O208">
        <v>5</v>
      </c>
      <c r="P208">
        <v>3</v>
      </c>
      <c r="Q208">
        <f t="shared" si="21"/>
        <v>5</v>
      </c>
      <c r="R208">
        <f t="shared" si="22"/>
        <v>28</v>
      </c>
      <c r="S208">
        <f t="array" ref="S208">MAX(IF($C$2:$C$1387=C208,$R$2:$R$1387))</f>
        <v>29</v>
      </c>
      <c r="T208" cm="1">
        <f t="array" ref="T208">MIN(IF($C$2:$C$1387=C208,$R$2:$R$1387))</f>
        <v>11</v>
      </c>
      <c r="U208">
        <f t="shared" si="23"/>
        <v>18</v>
      </c>
      <c r="V208">
        <f t="shared" si="24"/>
        <v>0.94444444444444442</v>
      </c>
      <c r="W208" cm="1">
        <f t="array" ref="W208">_xlfn.IFS(N208=1,5,N208=2,4,N208=4,2,N208=5,1,N208=3,3)</f>
        <v>2</v>
      </c>
      <c r="X208">
        <f t="shared" si="25"/>
        <v>26</v>
      </c>
      <c r="Y208" cm="1">
        <f t="array" ref="Y208">MAX(IF($C$2:$C$1387=C208,$X$2:$X$1387))</f>
        <v>30</v>
      </c>
      <c r="Z208" cm="1">
        <f t="array" ref="Z208">MIN(IF($C$2:$C$1387=C208,$X$2:$X$1387))</f>
        <v>12</v>
      </c>
      <c r="AA208">
        <f t="shared" si="26"/>
        <v>18</v>
      </c>
      <c r="AB208">
        <f t="shared" si="27"/>
        <v>0.77777777777777779</v>
      </c>
    </row>
    <row r="209" spans="1:28" x14ac:dyDescent="0.25">
      <c r="A209" t="s">
        <v>96</v>
      </c>
      <c r="B209" t="s">
        <v>97</v>
      </c>
      <c r="C209">
        <v>2013</v>
      </c>
      <c r="D209">
        <v>1.3888888888888889E-3</v>
      </c>
      <c r="E209">
        <v>0.78069374999999996</v>
      </c>
      <c r="F209">
        <v>6.2422916666666668E-2</v>
      </c>
      <c r="G209">
        <v>2.1972245773362196</v>
      </c>
      <c r="H209">
        <v>0.88888888888888884</v>
      </c>
      <c r="I209">
        <v>1</v>
      </c>
      <c r="J209">
        <v>0</v>
      </c>
      <c r="K209">
        <v>2</v>
      </c>
      <c r="L209">
        <v>4</v>
      </c>
      <c r="M209">
        <v>3</v>
      </c>
      <c r="N209">
        <v>4</v>
      </c>
      <c r="O209">
        <v>5</v>
      </c>
      <c r="P209">
        <v>3</v>
      </c>
      <c r="Q209">
        <f t="shared" si="21"/>
        <v>5</v>
      </c>
      <c r="R209">
        <f t="shared" si="22"/>
        <v>26</v>
      </c>
      <c r="S209">
        <f t="array" ref="S209">MAX(IF($C$2:$C$1387=C209,$R$2:$R$1387))</f>
        <v>29</v>
      </c>
      <c r="T209" cm="1">
        <f t="array" ref="T209">MIN(IF($C$2:$C$1387=C209,$R$2:$R$1387))</f>
        <v>10</v>
      </c>
      <c r="U209">
        <f t="shared" si="23"/>
        <v>19</v>
      </c>
      <c r="V209">
        <f t="shared" si="24"/>
        <v>0.84210526315789469</v>
      </c>
      <c r="W209" cm="1">
        <f t="array" ref="W209">_xlfn.IFS(N209=1,5,N209=2,4,N209=4,2,N209=5,1,N209=3,3)</f>
        <v>2</v>
      </c>
      <c r="X209">
        <f t="shared" si="25"/>
        <v>24</v>
      </c>
      <c r="Y209" cm="1">
        <f t="array" ref="Y209">MAX(IF($C$2:$C$1387=C209,$X$2:$X$1387))</f>
        <v>32</v>
      </c>
      <c r="Z209" cm="1">
        <f t="array" ref="Z209">MIN(IF($C$2:$C$1387=C209,$X$2:$X$1387))</f>
        <v>10</v>
      </c>
      <c r="AA209">
        <f t="shared" si="26"/>
        <v>22</v>
      </c>
      <c r="AB209">
        <f t="shared" si="27"/>
        <v>0.63636363636363635</v>
      </c>
    </row>
    <row r="210" spans="1:28" x14ac:dyDescent="0.25">
      <c r="A210" t="s">
        <v>96</v>
      </c>
      <c r="B210" t="s">
        <v>97</v>
      </c>
      <c r="C210">
        <v>2014</v>
      </c>
      <c r="D210">
        <v>3.4722222222222224E-4</v>
      </c>
      <c r="E210">
        <v>0.77799166666666664</v>
      </c>
      <c r="F210">
        <v>0.12730277777777776</v>
      </c>
      <c r="G210">
        <v>1.9459101490553132</v>
      </c>
      <c r="H210">
        <v>0.5714285714285714</v>
      </c>
      <c r="I210">
        <v>1</v>
      </c>
      <c r="J210">
        <v>0</v>
      </c>
      <c r="K210">
        <v>1</v>
      </c>
      <c r="L210">
        <v>4</v>
      </c>
      <c r="M210">
        <v>4</v>
      </c>
      <c r="N210">
        <v>1</v>
      </c>
      <c r="O210">
        <v>2</v>
      </c>
      <c r="P210">
        <v>3</v>
      </c>
      <c r="Q210">
        <f t="shared" si="21"/>
        <v>5</v>
      </c>
      <c r="R210">
        <f t="shared" si="22"/>
        <v>20</v>
      </c>
      <c r="S210">
        <f t="array" ref="S210">MAX(IF($C$2:$C$1387=C210,$R$2:$R$1387))</f>
        <v>29</v>
      </c>
      <c r="T210" cm="1">
        <f t="array" ref="T210">MIN(IF($C$2:$C$1387=C210,$R$2:$R$1387))</f>
        <v>11</v>
      </c>
      <c r="U210">
        <f t="shared" si="23"/>
        <v>18</v>
      </c>
      <c r="V210">
        <f t="shared" si="24"/>
        <v>0.5</v>
      </c>
      <c r="W210" cm="1">
        <f t="array" ref="W210">_xlfn.IFS(N210=1,5,N210=2,4,N210=4,2,N210=5,1,N210=3,3)</f>
        <v>5</v>
      </c>
      <c r="X210">
        <f t="shared" si="25"/>
        <v>24</v>
      </c>
      <c r="Y210" cm="1">
        <f t="array" ref="Y210">MAX(IF($C$2:$C$1387=C210,$X$2:$X$1387))</f>
        <v>30</v>
      </c>
      <c r="Z210" cm="1">
        <f t="array" ref="Z210">MIN(IF($C$2:$C$1387=C210,$X$2:$X$1387))</f>
        <v>14</v>
      </c>
      <c r="AA210">
        <f t="shared" si="26"/>
        <v>16</v>
      </c>
      <c r="AB210">
        <f t="shared" si="27"/>
        <v>0.625</v>
      </c>
    </row>
    <row r="211" spans="1:28" x14ac:dyDescent="0.25">
      <c r="A211" t="s">
        <v>96</v>
      </c>
      <c r="B211" t="s">
        <v>97</v>
      </c>
      <c r="C211">
        <v>2015</v>
      </c>
      <c r="D211">
        <v>3.4722222222222224E-4</v>
      </c>
      <c r="E211">
        <v>0.70785277777777778</v>
      </c>
      <c r="F211">
        <v>4.7637499999999999E-2</v>
      </c>
      <c r="G211">
        <v>1.9459101490553132</v>
      </c>
      <c r="H211">
        <v>0.5714285714285714</v>
      </c>
      <c r="I211">
        <v>1</v>
      </c>
      <c r="J211">
        <v>0</v>
      </c>
      <c r="K211">
        <v>1</v>
      </c>
      <c r="L211">
        <v>3</v>
      </c>
      <c r="M211">
        <v>3</v>
      </c>
      <c r="N211">
        <v>1</v>
      </c>
      <c r="O211">
        <v>1</v>
      </c>
      <c r="P211">
        <v>2</v>
      </c>
      <c r="Q211">
        <f t="shared" si="21"/>
        <v>5</v>
      </c>
      <c r="R211">
        <f t="shared" si="22"/>
        <v>16</v>
      </c>
      <c r="S211">
        <f t="array" ref="S211">MAX(IF($C$2:$C$1387=C211,$R$2:$R$1387))</f>
        <v>29</v>
      </c>
      <c r="T211" cm="1">
        <f t="array" ref="T211">MIN(IF($C$2:$C$1387=C211,$R$2:$R$1387))</f>
        <v>11</v>
      </c>
      <c r="U211">
        <f t="shared" si="23"/>
        <v>18</v>
      </c>
      <c r="V211">
        <f t="shared" si="24"/>
        <v>0.27777777777777779</v>
      </c>
      <c r="W211" cm="1">
        <f t="array" ref="W211">_xlfn.IFS(N211=1,5,N211=2,4,N211=4,2,N211=5,1,N211=3,3)</f>
        <v>5</v>
      </c>
      <c r="X211">
        <f t="shared" si="25"/>
        <v>20</v>
      </c>
      <c r="Y211" cm="1">
        <f t="array" ref="Y211">MAX(IF($C$2:$C$1387=C211,$X$2:$X$1387))</f>
        <v>29</v>
      </c>
      <c r="Z211" cm="1">
        <f t="array" ref="Z211">MIN(IF($C$2:$C$1387=C211,$X$2:$X$1387))</f>
        <v>12</v>
      </c>
      <c r="AA211">
        <f t="shared" si="26"/>
        <v>17</v>
      </c>
      <c r="AB211">
        <f t="shared" si="27"/>
        <v>0.47058823529411764</v>
      </c>
    </row>
    <row r="212" spans="1:28" x14ac:dyDescent="0.25">
      <c r="A212" t="s">
        <v>98</v>
      </c>
      <c r="B212" t="s">
        <v>99</v>
      </c>
      <c r="C212">
        <v>2010</v>
      </c>
      <c r="D212">
        <v>0.14341923099594003</v>
      </c>
      <c r="E212">
        <v>0.79453808148039384</v>
      </c>
      <c r="F212">
        <v>0</v>
      </c>
      <c r="G212">
        <v>1.791759469228055</v>
      </c>
      <c r="H212">
        <v>0</v>
      </c>
      <c r="I212">
        <v>0</v>
      </c>
      <c r="J212">
        <v>0</v>
      </c>
      <c r="K212">
        <v>3</v>
      </c>
      <c r="L212">
        <v>4</v>
      </c>
      <c r="M212">
        <v>1</v>
      </c>
      <c r="N212">
        <v>1</v>
      </c>
      <c r="O212">
        <v>1</v>
      </c>
      <c r="P212">
        <v>1</v>
      </c>
      <c r="Q212">
        <f t="shared" si="21"/>
        <v>5</v>
      </c>
      <c r="R212">
        <f t="shared" si="22"/>
        <v>16</v>
      </c>
      <c r="S212">
        <f t="array" ref="S212">MAX(IF($C$2:$C$1387=C212,$R$2:$R$1387))</f>
        <v>29</v>
      </c>
      <c r="T212" cm="1">
        <f t="array" ref="T212">MIN(IF($C$2:$C$1387=C212,$R$2:$R$1387))</f>
        <v>9</v>
      </c>
      <c r="U212">
        <f t="shared" si="23"/>
        <v>20</v>
      </c>
      <c r="V212">
        <f t="shared" si="24"/>
        <v>0.35</v>
      </c>
      <c r="W212" cm="1">
        <f t="array" ref="W212">_xlfn.IFS(N212=1,5,N212=2,4,N212=4,2,N212=5,1,N212=3,3)</f>
        <v>5</v>
      </c>
      <c r="X212">
        <f t="shared" si="25"/>
        <v>20</v>
      </c>
      <c r="Y212" cm="1">
        <f t="array" ref="Y212">MAX(IF($C$2:$C$1387=C212,$X$2:$X$1387))</f>
        <v>29</v>
      </c>
      <c r="Z212" cm="1">
        <f t="array" ref="Z212">MIN(IF($C$2:$C$1387=C212,$X$2:$X$1387))</f>
        <v>12</v>
      </c>
      <c r="AA212">
        <f t="shared" si="26"/>
        <v>17</v>
      </c>
      <c r="AB212">
        <f t="shared" si="27"/>
        <v>0.47058823529411764</v>
      </c>
    </row>
    <row r="213" spans="1:28" x14ac:dyDescent="0.25">
      <c r="A213" t="s">
        <v>98</v>
      </c>
      <c r="B213" t="s">
        <v>99</v>
      </c>
      <c r="C213">
        <v>2011</v>
      </c>
      <c r="D213">
        <v>7.1659418098077951E-2</v>
      </c>
      <c r="E213">
        <v>0.81738509941510507</v>
      </c>
      <c r="F213">
        <v>4.1409405496080164E-5</v>
      </c>
      <c r="G213">
        <v>1.6094379124341003</v>
      </c>
      <c r="H213">
        <v>0</v>
      </c>
      <c r="I213">
        <v>0</v>
      </c>
      <c r="J213">
        <v>0</v>
      </c>
      <c r="K213">
        <v>2</v>
      </c>
      <c r="L213">
        <v>4</v>
      </c>
      <c r="M213">
        <v>1</v>
      </c>
      <c r="N213">
        <v>1</v>
      </c>
      <c r="O213">
        <v>1</v>
      </c>
      <c r="P213">
        <v>1</v>
      </c>
      <c r="Q213">
        <f t="shared" si="21"/>
        <v>5</v>
      </c>
      <c r="R213">
        <f t="shared" si="22"/>
        <v>15</v>
      </c>
      <c r="S213">
        <f t="array" ref="S213">MAX(IF($C$2:$C$1387=C213,$R$2:$R$1387))</f>
        <v>28</v>
      </c>
      <c r="T213" cm="1">
        <f t="array" ref="T213">MIN(IF($C$2:$C$1387=C213,$R$2:$R$1387))</f>
        <v>10</v>
      </c>
      <c r="U213">
        <f t="shared" si="23"/>
        <v>18</v>
      </c>
      <c r="V213">
        <f t="shared" si="24"/>
        <v>0.27777777777777779</v>
      </c>
      <c r="W213" cm="1">
        <f t="array" ref="W213">_xlfn.IFS(N213=1,5,N213=2,4,N213=4,2,N213=5,1,N213=3,3)</f>
        <v>5</v>
      </c>
      <c r="X213">
        <f t="shared" si="25"/>
        <v>19</v>
      </c>
      <c r="Y213" cm="1">
        <f t="array" ref="Y213">MAX(IF($C$2:$C$1387=C213,$X$2:$X$1387))</f>
        <v>29</v>
      </c>
      <c r="Z213" cm="1">
        <f t="array" ref="Z213">MIN(IF($C$2:$C$1387=C213,$X$2:$X$1387))</f>
        <v>12</v>
      </c>
      <c r="AA213">
        <f t="shared" si="26"/>
        <v>17</v>
      </c>
      <c r="AB213">
        <f t="shared" si="27"/>
        <v>0.41176470588235292</v>
      </c>
    </row>
    <row r="214" spans="1:28" x14ac:dyDescent="0.25">
      <c r="A214" t="s">
        <v>98</v>
      </c>
      <c r="B214" t="s">
        <v>99</v>
      </c>
      <c r="C214">
        <v>2012</v>
      </c>
      <c r="D214">
        <v>7.1659418098077951E-2</v>
      </c>
      <c r="E214">
        <v>0.65546596525455658</v>
      </c>
      <c r="F214">
        <v>4.1409405496080164E-5</v>
      </c>
      <c r="G214">
        <v>1.9459101490553132</v>
      </c>
      <c r="H214">
        <v>0</v>
      </c>
      <c r="I214">
        <v>0</v>
      </c>
      <c r="J214">
        <v>0</v>
      </c>
      <c r="K214">
        <v>3</v>
      </c>
      <c r="L214">
        <v>3</v>
      </c>
      <c r="M214">
        <v>1</v>
      </c>
      <c r="N214">
        <v>1</v>
      </c>
      <c r="O214">
        <v>1</v>
      </c>
      <c r="P214">
        <v>1</v>
      </c>
      <c r="Q214">
        <f t="shared" si="21"/>
        <v>5</v>
      </c>
      <c r="R214">
        <f t="shared" si="22"/>
        <v>15</v>
      </c>
      <c r="S214">
        <f t="array" ref="S214">MAX(IF($C$2:$C$1387=C214,$R$2:$R$1387))</f>
        <v>29</v>
      </c>
      <c r="T214" cm="1">
        <f t="array" ref="T214">MIN(IF($C$2:$C$1387=C214,$R$2:$R$1387))</f>
        <v>11</v>
      </c>
      <c r="U214">
        <f t="shared" si="23"/>
        <v>18</v>
      </c>
      <c r="V214">
        <f t="shared" si="24"/>
        <v>0.22222222222222221</v>
      </c>
      <c r="W214" cm="1">
        <f t="array" ref="W214">_xlfn.IFS(N214=1,5,N214=2,4,N214=4,2,N214=5,1,N214=3,3)</f>
        <v>5</v>
      </c>
      <c r="X214">
        <f t="shared" si="25"/>
        <v>19</v>
      </c>
      <c r="Y214" cm="1">
        <f t="array" ref="Y214">MAX(IF($C$2:$C$1387=C214,$X$2:$X$1387))</f>
        <v>30</v>
      </c>
      <c r="Z214" cm="1">
        <f t="array" ref="Z214">MIN(IF($C$2:$C$1387=C214,$X$2:$X$1387))</f>
        <v>12</v>
      </c>
      <c r="AA214">
        <f t="shared" si="26"/>
        <v>18</v>
      </c>
      <c r="AB214">
        <f t="shared" si="27"/>
        <v>0.3888888888888889</v>
      </c>
    </row>
    <row r="215" spans="1:28" x14ac:dyDescent="0.25">
      <c r="A215" t="s">
        <v>98</v>
      </c>
      <c r="B215" t="s">
        <v>99</v>
      </c>
      <c r="C215">
        <v>2013</v>
      </c>
      <c r="D215">
        <v>7.1659418098077951E-2</v>
      </c>
      <c r="E215">
        <v>0.65546596525455658</v>
      </c>
      <c r="F215">
        <v>0</v>
      </c>
      <c r="G215">
        <v>1.9459101490553132</v>
      </c>
      <c r="H215">
        <v>0</v>
      </c>
      <c r="I215">
        <v>0</v>
      </c>
      <c r="J215">
        <v>0</v>
      </c>
      <c r="K215">
        <v>3</v>
      </c>
      <c r="L215">
        <v>3</v>
      </c>
      <c r="M215">
        <v>1</v>
      </c>
      <c r="N215">
        <v>1</v>
      </c>
      <c r="O215">
        <v>1</v>
      </c>
      <c r="P215">
        <v>1</v>
      </c>
      <c r="Q215">
        <f t="shared" si="21"/>
        <v>5</v>
      </c>
      <c r="R215">
        <f t="shared" si="22"/>
        <v>15</v>
      </c>
      <c r="S215">
        <f t="array" ref="S215">MAX(IF($C$2:$C$1387=C215,$R$2:$R$1387))</f>
        <v>29</v>
      </c>
      <c r="T215" cm="1">
        <f t="array" ref="T215">MIN(IF($C$2:$C$1387=C215,$R$2:$R$1387))</f>
        <v>10</v>
      </c>
      <c r="U215">
        <f t="shared" si="23"/>
        <v>19</v>
      </c>
      <c r="V215">
        <f t="shared" si="24"/>
        <v>0.26315789473684209</v>
      </c>
      <c r="W215" cm="1">
        <f t="array" ref="W215">_xlfn.IFS(N215=1,5,N215=2,4,N215=4,2,N215=5,1,N215=3,3)</f>
        <v>5</v>
      </c>
      <c r="X215">
        <f t="shared" si="25"/>
        <v>19</v>
      </c>
      <c r="Y215" cm="1">
        <f t="array" ref="Y215">MAX(IF($C$2:$C$1387=C215,$X$2:$X$1387))</f>
        <v>32</v>
      </c>
      <c r="Z215" cm="1">
        <f t="array" ref="Z215">MIN(IF($C$2:$C$1387=C215,$X$2:$X$1387))</f>
        <v>10</v>
      </c>
      <c r="AA215">
        <f t="shared" si="26"/>
        <v>22</v>
      </c>
      <c r="AB215">
        <f t="shared" si="27"/>
        <v>0.40909090909090912</v>
      </c>
    </row>
    <row r="216" spans="1:28" x14ac:dyDescent="0.25">
      <c r="A216" t="s">
        <v>98</v>
      </c>
      <c r="B216" t="s">
        <v>99</v>
      </c>
      <c r="C216">
        <v>2014</v>
      </c>
      <c r="D216">
        <v>7.1659418098077951E-2</v>
      </c>
      <c r="E216">
        <v>0.65546596525455658</v>
      </c>
      <c r="F216">
        <v>0</v>
      </c>
      <c r="G216">
        <v>1.9459101490553132</v>
      </c>
      <c r="H216">
        <v>0</v>
      </c>
      <c r="I216">
        <v>0</v>
      </c>
      <c r="J216">
        <v>0</v>
      </c>
      <c r="K216">
        <v>3</v>
      </c>
      <c r="L216">
        <v>3</v>
      </c>
      <c r="M216">
        <v>1</v>
      </c>
      <c r="N216">
        <v>1</v>
      </c>
      <c r="O216">
        <v>1</v>
      </c>
      <c r="P216">
        <v>1</v>
      </c>
      <c r="Q216">
        <f t="shared" si="21"/>
        <v>5</v>
      </c>
      <c r="R216">
        <f t="shared" si="22"/>
        <v>15</v>
      </c>
      <c r="S216">
        <f t="array" ref="S216">MAX(IF($C$2:$C$1387=C216,$R$2:$R$1387))</f>
        <v>29</v>
      </c>
      <c r="T216" cm="1">
        <f t="array" ref="T216">MIN(IF($C$2:$C$1387=C216,$R$2:$R$1387))</f>
        <v>11</v>
      </c>
      <c r="U216">
        <f t="shared" si="23"/>
        <v>18</v>
      </c>
      <c r="V216">
        <f t="shared" si="24"/>
        <v>0.22222222222222221</v>
      </c>
      <c r="W216" cm="1">
        <f t="array" ref="W216">_xlfn.IFS(N216=1,5,N216=2,4,N216=4,2,N216=5,1,N216=3,3)</f>
        <v>5</v>
      </c>
      <c r="X216">
        <f t="shared" si="25"/>
        <v>19</v>
      </c>
      <c r="Y216" cm="1">
        <f t="array" ref="Y216">MAX(IF($C$2:$C$1387=C216,$X$2:$X$1387))</f>
        <v>30</v>
      </c>
      <c r="Z216" cm="1">
        <f t="array" ref="Z216">MIN(IF($C$2:$C$1387=C216,$X$2:$X$1387))</f>
        <v>14</v>
      </c>
      <c r="AA216">
        <f t="shared" si="26"/>
        <v>16</v>
      </c>
      <c r="AB216">
        <f t="shared" si="27"/>
        <v>0.3125</v>
      </c>
    </row>
    <row r="217" spans="1:28" x14ac:dyDescent="0.25">
      <c r="A217" t="s">
        <v>98</v>
      </c>
      <c r="B217" t="s">
        <v>99</v>
      </c>
      <c r="C217">
        <v>2015</v>
      </c>
      <c r="D217">
        <v>7.1659418098077951E-2</v>
      </c>
      <c r="E217">
        <v>0.65546596525455658</v>
      </c>
      <c r="F217">
        <v>0</v>
      </c>
      <c r="G217">
        <v>1.9459101490553132</v>
      </c>
      <c r="H217">
        <v>0</v>
      </c>
      <c r="I217">
        <v>0</v>
      </c>
      <c r="J217">
        <v>0</v>
      </c>
      <c r="K217">
        <v>3</v>
      </c>
      <c r="L217">
        <v>3</v>
      </c>
      <c r="M217">
        <v>1</v>
      </c>
      <c r="N217">
        <v>1</v>
      </c>
      <c r="O217">
        <v>1</v>
      </c>
      <c r="P217">
        <v>1</v>
      </c>
      <c r="Q217">
        <f t="shared" si="21"/>
        <v>5</v>
      </c>
      <c r="R217">
        <f t="shared" si="22"/>
        <v>15</v>
      </c>
      <c r="S217">
        <f t="array" ref="S217">MAX(IF($C$2:$C$1387=C217,$R$2:$R$1387))</f>
        <v>29</v>
      </c>
      <c r="T217" cm="1">
        <f t="array" ref="T217">MIN(IF($C$2:$C$1387=C217,$R$2:$R$1387))</f>
        <v>11</v>
      </c>
      <c r="U217">
        <f t="shared" si="23"/>
        <v>18</v>
      </c>
      <c r="V217">
        <f t="shared" si="24"/>
        <v>0.22222222222222221</v>
      </c>
      <c r="W217" cm="1">
        <f t="array" ref="W217">_xlfn.IFS(N217=1,5,N217=2,4,N217=4,2,N217=5,1,N217=3,3)</f>
        <v>5</v>
      </c>
      <c r="X217">
        <f t="shared" si="25"/>
        <v>19</v>
      </c>
      <c r="Y217" cm="1">
        <f t="array" ref="Y217">MAX(IF($C$2:$C$1387=C217,$X$2:$X$1387))</f>
        <v>29</v>
      </c>
      <c r="Z217" cm="1">
        <f t="array" ref="Z217">MIN(IF($C$2:$C$1387=C217,$X$2:$X$1387))</f>
        <v>12</v>
      </c>
      <c r="AA217">
        <f t="shared" si="26"/>
        <v>17</v>
      </c>
      <c r="AB217">
        <f t="shared" si="27"/>
        <v>0.41176470588235292</v>
      </c>
    </row>
    <row r="218" spans="1:28" x14ac:dyDescent="0.25">
      <c r="A218" t="s">
        <v>100</v>
      </c>
      <c r="B218" t="s">
        <v>101</v>
      </c>
      <c r="C218">
        <v>2010</v>
      </c>
      <c r="D218">
        <v>0.38569908318803081</v>
      </c>
      <c r="E218">
        <v>0.51575191705570245</v>
      </c>
      <c r="F218">
        <v>0</v>
      </c>
      <c r="G218">
        <v>1.9459101490553132</v>
      </c>
      <c r="H218">
        <v>0.2857142857142857</v>
      </c>
      <c r="I218">
        <v>0.66666666666666663</v>
      </c>
      <c r="J218">
        <v>0</v>
      </c>
      <c r="K218">
        <v>4</v>
      </c>
      <c r="L218">
        <v>2</v>
      </c>
      <c r="M218">
        <v>1</v>
      </c>
      <c r="N218">
        <v>1</v>
      </c>
      <c r="O218">
        <v>1</v>
      </c>
      <c r="P218">
        <v>1</v>
      </c>
      <c r="Q218">
        <f t="shared" si="21"/>
        <v>5</v>
      </c>
      <c r="R218">
        <f t="shared" si="22"/>
        <v>15</v>
      </c>
      <c r="S218">
        <f t="array" ref="S218">MAX(IF($C$2:$C$1387=C218,$R$2:$R$1387))</f>
        <v>29</v>
      </c>
      <c r="T218" cm="1">
        <f t="array" ref="T218">MIN(IF($C$2:$C$1387=C218,$R$2:$R$1387))</f>
        <v>9</v>
      </c>
      <c r="U218">
        <f t="shared" si="23"/>
        <v>20</v>
      </c>
      <c r="V218">
        <f t="shared" si="24"/>
        <v>0.3</v>
      </c>
      <c r="W218" cm="1">
        <f t="array" ref="W218">_xlfn.IFS(N218=1,5,N218=2,4,N218=4,2,N218=5,1,N218=3,3)</f>
        <v>5</v>
      </c>
      <c r="X218">
        <f t="shared" si="25"/>
        <v>19</v>
      </c>
      <c r="Y218" cm="1">
        <f t="array" ref="Y218">MAX(IF($C$2:$C$1387=C218,$X$2:$X$1387))</f>
        <v>29</v>
      </c>
      <c r="Z218" cm="1">
        <f t="array" ref="Z218">MIN(IF($C$2:$C$1387=C218,$X$2:$X$1387))</f>
        <v>12</v>
      </c>
      <c r="AA218">
        <f t="shared" si="26"/>
        <v>17</v>
      </c>
      <c r="AB218">
        <f t="shared" si="27"/>
        <v>0.41176470588235292</v>
      </c>
    </row>
    <row r="219" spans="1:28" x14ac:dyDescent="0.25">
      <c r="A219" t="s">
        <v>100</v>
      </c>
      <c r="B219" t="s">
        <v>101</v>
      </c>
      <c r="C219">
        <v>2011</v>
      </c>
      <c r="D219">
        <v>0.41162825055777413</v>
      </c>
      <c r="E219">
        <v>0.52658342238971068</v>
      </c>
      <c r="F219">
        <v>0.26648007949453473</v>
      </c>
      <c r="G219">
        <v>1.3862943611198906</v>
      </c>
      <c r="H219">
        <v>0.5</v>
      </c>
      <c r="I219">
        <v>0.66666666666666663</v>
      </c>
      <c r="J219">
        <v>0</v>
      </c>
      <c r="K219">
        <v>4</v>
      </c>
      <c r="L219">
        <v>2</v>
      </c>
      <c r="M219">
        <v>5</v>
      </c>
      <c r="N219">
        <v>1</v>
      </c>
      <c r="O219">
        <v>2</v>
      </c>
      <c r="P219">
        <v>1</v>
      </c>
      <c r="Q219">
        <f t="shared" si="21"/>
        <v>5</v>
      </c>
      <c r="R219">
        <f t="shared" si="22"/>
        <v>20</v>
      </c>
      <c r="S219">
        <f t="array" ref="S219">MAX(IF($C$2:$C$1387=C219,$R$2:$R$1387))</f>
        <v>28</v>
      </c>
      <c r="T219" cm="1">
        <f t="array" ref="T219">MIN(IF($C$2:$C$1387=C219,$R$2:$R$1387))</f>
        <v>10</v>
      </c>
      <c r="U219">
        <f t="shared" si="23"/>
        <v>18</v>
      </c>
      <c r="V219">
        <f t="shared" si="24"/>
        <v>0.55555555555555558</v>
      </c>
      <c r="W219" cm="1">
        <f t="array" ref="W219">_xlfn.IFS(N219=1,5,N219=2,4,N219=4,2,N219=5,1,N219=3,3)</f>
        <v>5</v>
      </c>
      <c r="X219">
        <f t="shared" si="25"/>
        <v>24</v>
      </c>
      <c r="Y219" cm="1">
        <f t="array" ref="Y219">MAX(IF($C$2:$C$1387=C219,$X$2:$X$1387))</f>
        <v>29</v>
      </c>
      <c r="Z219" cm="1">
        <f t="array" ref="Z219">MIN(IF($C$2:$C$1387=C219,$X$2:$X$1387))</f>
        <v>12</v>
      </c>
      <c r="AA219">
        <f t="shared" si="26"/>
        <v>17</v>
      </c>
      <c r="AB219">
        <f t="shared" si="27"/>
        <v>0.70588235294117652</v>
      </c>
    </row>
    <row r="220" spans="1:28" x14ac:dyDescent="0.25">
      <c r="A220" t="s">
        <v>100</v>
      </c>
      <c r="B220" t="s">
        <v>101</v>
      </c>
      <c r="C220">
        <v>2012</v>
      </c>
      <c r="D220">
        <v>0.39105184018598721</v>
      </c>
      <c r="E220">
        <v>0.50494178525226385</v>
      </c>
      <c r="F220">
        <v>0.23798893826049458</v>
      </c>
      <c r="G220">
        <v>1.9459101490553132</v>
      </c>
      <c r="H220">
        <v>0.2857142857142857</v>
      </c>
      <c r="I220">
        <v>0.66666666666666663</v>
      </c>
      <c r="J220">
        <v>0</v>
      </c>
      <c r="K220">
        <v>4</v>
      </c>
      <c r="L220">
        <v>2</v>
      </c>
      <c r="M220">
        <v>5</v>
      </c>
      <c r="N220">
        <v>1</v>
      </c>
      <c r="O220">
        <v>1</v>
      </c>
      <c r="P220">
        <v>1</v>
      </c>
      <c r="Q220">
        <f t="shared" si="21"/>
        <v>5</v>
      </c>
      <c r="R220">
        <f t="shared" si="22"/>
        <v>19</v>
      </c>
      <c r="S220">
        <f t="array" ref="S220">MAX(IF($C$2:$C$1387=C220,$R$2:$R$1387))</f>
        <v>29</v>
      </c>
      <c r="T220" cm="1">
        <f t="array" ref="T220">MIN(IF($C$2:$C$1387=C220,$R$2:$R$1387))</f>
        <v>11</v>
      </c>
      <c r="U220">
        <f t="shared" si="23"/>
        <v>18</v>
      </c>
      <c r="V220">
        <f t="shared" si="24"/>
        <v>0.44444444444444442</v>
      </c>
      <c r="W220" cm="1">
        <f t="array" ref="W220">_xlfn.IFS(N220=1,5,N220=2,4,N220=4,2,N220=5,1,N220=3,3)</f>
        <v>5</v>
      </c>
      <c r="X220">
        <f t="shared" si="25"/>
        <v>23</v>
      </c>
      <c r="Y220" cm="1">
        <f t="array" ref="Y220">MAX(IF($C$2:$C$1387=C220,$X$2:$X$1387))</f>
        <v>30</v>
      </c>
      <c r="Z220" cm="1">
        <f t="array" ref="Z220">MIN(IF($C$2:$C$1387=C220,$X$2:$X$1387))</f>
        <v>12</v>
      </c>
      <c r="AA220">
        <f t="shared" si="26"/>
        <v>18</v>
      </c>
      <c r="AB220">
        <f t="shared" si="27"/>
        <v>0.61111111111111116</v>
      </c>
    </row>
    <row r="221" spans="1:28" x14ac:dyDescent="0.25">
      <c r="A221" t="s">
        <v>100</v>
      </c>
      <c r="B221" t="s">
        <v>101</v>
      </c>
      <c r="C221">
        <v>2013</v>
      </c>
      <c r="D221">
        <v>0.44364197461424526</v>
      </c>
      <c r="E221">
        <v>0.55641502146727417</v>
      </c>
      <c r="F221">
        <v>0.20508352550762135</v>
      </c>
      <c r="G221">
        <v>2.3978952727983707</v>
      </c>
      <c r="H221">
        <v>0.45454545454545453</v>
      </c>
      <c r="I221">
        <v>0.66666666666666663</v>
      </c>
      <c r="J221">
        <v>0</v>
      </c>
      <c r="K221">
        <v>4</v>
      </c>
      <c r="L221">
        <v>2</v>
      </c>
      <c r="M221">
        <v>5</v>
      </c>
      <c r="N221">
        <v>5</v>
      </c>
      <c r="O221">
        <v>2</v>
      </c>
      <c r="P221">
        <v>1</v>
      </c>
      <c r="Q221">
        <f t="shared" si="21"/>
        <v>5</v>
      </c>
      <c r="R221">
        <f t="shared" si="22"/>
        <v>24</v>
      </c>
      <c r="S221">
        <f t="array" ref="S221">MAX(IF($C$2:$C$1387=C221,$R$2:$R$1387))</f>
        <v>29</v>
      </c>
      <c r="T221" cm="1">
        <f t="array" ref="T221">MIN(IF($C$2:$C$1387=C221,$R$2:$R$1387))</f>
        <v>10</v>
      </c>
      <c r="U221">
        <f t="shared" si="23"/>
        <v>19</v>
      </c>
      <c r="V221">
        <f t="shared" si="24"/>
        <v>0.73684210526315785</v>
      </c>
      <c r="W221" cm="1">
        <f t="array" ref="W221">_xlfn.IFS(N221=1,5,N221=2,4,N221=4,2,N221=5,1,N221=3,3)</f>
        <v>1</v>
      </c>
      <c r="X221">
        <f t="shared" si="25"/>
        <v>20</v>
      </c>
      <c r="Y221" cm="1">
        <f t="array" ref="Y221">MAX(IF($C$2:$C$1387=C221,$X$2:$X$1387))</f>
        <v>32</v>
      </c>
      <c r="Z221" cm="1">
        <f t="array" ref="Z221">MIN(IF($C$2:$C$1387=C221,$X$2:$X$1387))</f>
        <v>10</v>
      </c>
      <c r="AA221">
        <f t="shared" si="26"/>
        <v>22</v>
      </c>
      <c r="AB221">
        <f t="shared" si="27"/>
        <v>0.45454545454545453</v>
      </c>
    </row>
    <row r="222" spans="1:28" x14ac:dyDescent="0.25">
      <c r="A222" t="s">
        <v>100</v>
      </c>
      <c r="B222" t="s">
        <v>101</v>
      </c>
      <c r="C222">
        <v>2014</v>
      </c>
      <c r="D222">
        <v>0.44394195399066316</v>
      </c>
      <c r="E222">
        <v>0.55641502146727417</v>
      </c>
      <c r="F222">
        <v>0.20732047171756943</v>
      </c>
      <c r="G222">
        <v>2.3978952727983707</v>
      </c>
      <c r="H222">
        <v>0.45454545454545453</v>
      </c>
      <c r="I222">
        <v>1</v>
      </c>
      <c r="J222">
        <v>0</v>
      </c>
      <c r="K222">
        <v>4</v>
      </c>
      <c r="L222">
        <v>2</v>
      </c>
      <c r="M222">
        <v>5</v>
      </c>
      <c r="N222">
        <v>5</v>
      </c>
      <c r="O222">
        <v>2</v>
      </c>
      <c r="P222">
        <v>3</v>
      </c>
      <c r="Q222">
        <f t="shared" si="21"/>
        <v>5</v>
      </c>
      <c r="R222">
        <f t="shared" si="22"/>
        <v>26</v>
      </c>
      <c r="S222">
        <f t="array" ref="S222">MAX(IF($C$2:$C$1387=C222,$R$2:$R$1387))</f>
        <v>29</v>
      </c>
      <c r="T222" cm="1">
        <f t="array" ref="T222">MIN(IF($C$2:$C$1387=C222,$R$2:$R$1387))</f>
        <v>11</v>
      </c>
      <c r="U222">
        <f t="shared" si="23"/>
        <v>18</v>
      </c>
      <c r="V222">
        <f t="shared" si="24"/>
        <v>0.83333333333333337</v>
      </c>
      <c r="W222" cm="1">
        <f t="array" ref="W222">_xlfn.IFS(N222=1,5,N222=2,4,N222=4,2,N222=5,1,N222=3,3)</f>
        <v>1</v>
      </c>
      <c r="X222">
        <f t="shared" si="25"/>
        <v>22</v>
      </c>
      <c r="Y222" cm="1">
        <f t="array" ref="Y222">MAX(IF($C$2:$C$1387=C222,$X$2:$X$1387))</f>
        <v>30</v>
      </c>
      <c r="Z222" cm="1">
        <f t="array" ref="Z222">MIN(IF($C$2:$C$1387=C222,$X$2:$X$1387))</f>
        <v>14</v>
      </c>
      <c r="AA222">
        <f t="shared" si="26"/>
        <v>16</v>
      </c>
      <c r="AB222">
        <f t="shared" si="27"/>
        <v>0.5</v>
      </c>
    </row>
    <row r="223" spans="1:28" x14ac:dyDescent="0.25">
      <c r="A223" t="s">
        <v>100</v>
      </c>
      <c r="B223" t="s">
        <v>101</v>
      </c>
      <c r="C223">
        <v>2015</v>
      </c>
      <c r="D223">
        <v>0.48867637849897821</v>
      </c>
      <c r="E223">
        <v>0.55676854716238255</v>
      </c>
      <c r="F223">
        <v>0.2114495378442732</v>
      </c>
      <c r="G223">
        <v>2.1972245773362196</v>
      </c>
      <c r="H223">
        <v>0.55555555555555558</v>
      </c>
      <c r="I223">
        <v>1</v>
      </c>
      <c r="J223">
        <v>0</v>
      </c>
      <c r="K223">
        <v>4</v>
      </c>
      <c r="L223">
        <v>2</v>
      </c>
      <c r="M223">
        <v>5</v>
      </c>
      <c r="N223">
        <v>4</v>
      </c>
      <c r="O223">
        <v>1</v>
      </c>
      <c r="P223">
        <v>2</v>
      </c>
      <c r="Q223">
        <f t="shared" si="21"/>
        <v>5</v>
      </c>
      <c r="R223">
        <f t="shared" si="22"/>
        <v>23</v>
      </c>
      <c r="S223">
        <f t="array" ref="S223">MAX(IF($C$2:$C$1387=C223,$R$2:$R$1387))</f>
        <v>29</v>
      </c>
      <c r="T223" cm="1">
        <f t="array" ref="T223">MIN(IF($C$2:$C$1387=C223,$R$2:$R$1387))</f>
        <v>11</v>
      </c>
      <c r="U223">
        <f t="shared" si="23"/>
        <v>18</v>
      </c>
      <c r="V223">
        <f t="shared" si="24"/>
        <v>0.66666666666666663</v>
      </c>
      <c r="W223" cm="1">
        <f t="array" ref="W223">_xlfn.IFS(N223=1,5,N223=2,4,N223=4,2,N223=5,1,N223=3,3)</f>
        <v>2</v>
      </c>
      <c r="X223">
        <f t="shared" si="25"/>
        <v>21</v>
      </c>
      <c r="Y223" cm="1">
        <f t="array" ref="Y223">MAX(IF($C$2:$C$1387=C223,$X$2:$X$1387))</f>
        <v>29</v>
      </c>
      <c r="Z223" cm="1">
        <f t="array" ref="Z223">MIN(IF($C$2:$C$1387=C223,$X$2:$X$1387))</f>
        <v>12</v>
      </c>
      <c r="AA223">
        <f t="shared" si="26"/>
        <v>17</v>
      </c>
      <c r="AB223">
        <f t="shared" si="27"/>
        <v>0.52941176470588236</v>
      </c>
    </row>
    <row r="224" spans="1:28" x14ac:dyDescent="0.25">
      <c r="A224" t="s">
        <v>102</v>
      </c>
      <c r="B224" t="s">
        <v>103</v>
      </c>
      <c r="C224">
        <v>2010</v>
      </c>
      <c r="D224">
        <v>1.4424704384084488E-3</v>
      </c>
      <c r="E224">
        <v>0.70152191050671109</v>
      </c>
      <c r="F224">
        <v>7.6411767645675668E-3</v>
      </c>
      <c r="G224">
        <v>2.3025850929940459</v>
      </c>
      <c r="H224">
        <v>0.2</v>
      </c>
      <c r="I224">
        <v>0.66666666666666663</v>
      </c>
      <c r="J224">
        <v>0</v>
      </c>
      <c r="K224">
        <v>2</v>
      </c>
      <c r="L224">
        <v>3</v>
      </c>
      <c r="M224">
        <v>2</v>
      </c>
      <c r="N224">
        <v>5</v>
      </c>
      <c r="O224">
        <v>1</v>
      </c>
      <c r="P224">
        <v>1</v>
      </c>
      <c r="Q224">
        <f t="shared" si="21"/>
        <v>5</v>
      </c>
      <c r="R224">
        <f t="shared" si="22"/>
        <v>19</v>
      </c>
      <c r="S224">
        <f t="array" ref="S224">MAX(IF($C$2:$C$1387=C224,$R$2:$R$1387))</f>
        <v>29</v>
      </c>
      <c r="T224" cm="1">
        <f t="array" ref="T224">MIN(IF($C$2:$C$1387=C224,$R$2:$R$1387))</f>
        <v>9</v>
      </c>
      <c r="U224">
        <f t="shared" si="23"/>
        <v>20</v>
      </c>
      <c r="V224">
        <f t="shared" si="24"/>
        <v>0.5</v>
      </c>
      <c r="W224" cm="1">
        <f t="array" ref="W224">_xlfn.IFS(N224=1,5,N224=2,4,N224=4,2,N224=5,1,N224=3,3)</f>
        <v>1</v>
      </c>
      <c r="X224">
        <f t="shared" si="25"/>
        <v>15</v>
      </c>
      <c r="Y224" cm="1">
        <f t="array" ref="Y224">MAX(IF($C$2:$C$1387=C224,$X$2:$X$1387))</f>
        <v>29</v>
      </c>
      <c r="Z224" cm="1">
        <f t="array" ref="Z224">MIN(IF($C$2:$C$1387=C224,$X$2:$X$1387))</f>
        <v>12</v>
      </c>
      <c r="AA224">
        <f t="shared" si="26"/>
        <v>17</v>
      </c>
      <c r="AB224">
        <f t="shared" si="27"/>
        <v>0.17647058823529413</v>
      </c>
    </row>
    <row r="225" spans="1:28" x14ac:dyDescent="0.25">
      <c r="A225" t="s">
        <v>102</v>
      </c>
      <c r="B225" t="s">
        <v>103</v>
      </c>
      <c r="C225">
        <v>2011</v>
      </c>
      <c r="D225">
        <v>5.6363253621979957E-4</v>
      </c>
      <c r="E225">
        <v>0.88236074736835945</v>
      </c>
      <c r="F225">
        <v>3.2216544995701153E-3</v>
      </c>
      <c r="G225">
        <v>2.0794415416798357</v>
      </c>
      <c r="H225">
        <v>0.125</v>
      </c>
      <c r="I225">
        <v>0.66666666666666663</v>
      </c>
      <c r="J225">
        <v>0</v>
      </c>
      <c r="K225">
        <v>1</v>
      </c>
      <c r="L225">
        <v>5</v>
      </c>
      <c r="M225">
        <v>1</v>
      </c>
      <c r="N225">
        <v>3</v>
      </c>
      <c r="O225">
        <v>1</v>
      </c>
      <c r="P225">
        <v>1</v>
      </c>
      <c r="Q225">
        <f t="shared" si="21"/>
        <v>5</v>
      </c>
      <c r="R225">
        <f t="shared" si="22"/>
        <v>17</v>
      </c>
      <c r="S225">
        <f t="array" ref="S225">MAX(IF($C$2:$C$1387=C225,$R$2:$R$1387))</f>
        <v>28</v>
      </c>
      <c r="T225" cm="1">
        <f t="array" ref="T225">MIN(IF($C$2:$C$1387=C225,$R$2:$R$1387))</f>
        <v>10</v>
      </c>
      <c r="U225">
        <f t="shared" si="23"/>
        <v>18</v>
      </c>
      <c r="V225">
        <f t="shared" si="24"/>
        <v>0.3888888888888889</v>
      </c>
      <c r="W225" cm="1">
        <f t="array" ref="W225">_xlfn.IFS(N225=1,5,N225=2,4,N225=4,2,N225=5,1,N225=3,3)</f>
        <v>3</v>
      </c>
      <c r="X225">
        <f t="shared" si="25"/>
        <v>17</v>
      </c>
      <c r="Y225" cm="1">
        <f t="array" ref="Y225">MAX(IF($C$2:$C$1387=C225,$X$2:$X$1387))</f>
        <v>29</v>
      </c>
      <c r="Z225" cm="1">
        <f t="array" ref="Z225">MIN(IF($C$2:$C$1387=C225,$X$2:$X$1387))</f>
        <v>12</v>
      </c>
      <c r="AA225">
        <f t="shared" si="26"/>
        <v>17</v>
      </c>
      <c r="AB225">
        <f t="shared" si="27"/>
        <v>0.29411764705882354</v>
      </c>
    </row>
    <row r="226" spans="1:28" x14ac:dyDescent="0.25">
      <c r="A226" t="s">
        <v>102</v>
      </c>
      <c r="B226" t="s">
        <v>103</v>
      </c>
      <c r="C226">
        <v>2012</v>
      </c>
      <c r="D226">
        <v>3.7812312352433379E-4</v>
      </c>
      <c r="E226">
        <v>0.88041198838314416</v>
      </c>
      <c r="F226">
        <v>1.199070945152275E-3</v>
      </c>
      <c r="G226">
        <v>2.0794415416798357</v>
      </c>
      <c r="H226">
        <v>0.75</v>
      </c>
      <c r="I226">
        <v>0.66666666666666663</v>
      </c>
      <c r="J226">
        <v>1</v>
      </c>
      <c r="K226">
        <v>1</v>
      </c>
      <c r="L226">
        <v>5</v>
      </c>
      <c r="M226">
        <v>1</v>
      </c>
      <c r="N226">
        <v>3</v>
      </c>
      <c r="O226">
        <v>4</v>
      </c>
      <c r="P226">
        <v>1</v>
      </c>
      <c r="Q226">
        <f t="shared" si="21"/>
        <v>1</v>
      </c>
      <c r="R226">
        <f t="shared" si="22"/>
        <v>16</v>
      </c>
      <c r="S226">
        <f t="array" ref="S226">MAX(IF($C$2:$C$1387=C226,$R$2:$R$1387))</f>
        <v>29</v>
      </c>
      <c r="T226" cm="1">
        <f t="array" ref="T226">MIN(IF($C$2:$C$1387=C226,$R$2:$R$1387))</f>
        <v>11</v>
      </c>
      <c r="U226">
        <f t="shared" si="23"/>
        <v>18</v>
      </c>
      <c r="V226">
        <f t="shared" si="24"/>
        <v>0.27777777777777779</v>
      </c>
      <c r="W226" cm="1">
        <f t="array" ref="W226">_xlfn.IFS(N226=1,5,N226=2,4,N226=4,2,N226=5,1,N226=3,3)</f>
        <v>3</v>
      </c>
      <c r="X226">
        <f t="shared" si="25"/>
        <v>16</v>
      </c>
      <c r="Y226" cm="1">
        <f t="array" ref="Y226">MAX(IF($C$2:$C$1387=C226,$X$2:$X$1387))</f>
        <v>30</v>
      </c>
      <c r="Z226" cm="1">
        <f t="array" ref="Z226">MIN(IF($C$2:$C$1387=C226,$X$2:$X$1387))</f>
        <v>12</v>
      </c>
      <c r="AA226">
        <f t="shared" si="26"/>
        <v>18</v>
      </c>
      <c r="AB226">
        <f t="shared" si="27"/>
        <v>0.22222222222222221</v>
      </c>
    </row>
    <row r="227" spans="1:28" x14ac:dyDescent="0.25">
      <c r="A227" t="s">
        <v>102</v>
      </c>
      <c r="B227" t="s">
        <v>103</v>
      </c>
      <c r="C227">
        <v>2013</v>
      </c>
      <c r="D227">
        <v>2.7764746555616242E-4</v>
      </c>
      <c r="E227">
        <v>0.83306272693250993</v>
      </c>
      <c r="F227">
        <v>4.4516041379911504E-4</v>
      </c>
      <c r="G227">
        <v>1.791759469228055</v>
      </c>
      <c r="H227">
        <v>0.66666666666666663</v>
      </c>
      <c r="I227">
        <v>1</v>
      </c>
      <c r="J227">
        <v>0</v>
      </c>
      <c r="K227">
        <v>2</v>
      </c>
      <c r="L227">
        <v>4</v>
      </c>
      <c r="M227">
        <v>1</v>
      </c>
      <c r="N227">
        <v>1</v>
      </c>
      <c r="O227">
        <v>4</v>
      </c>
      <c r="P227">
        <v>3</v>
      </c>
      <c r="Q227">
        <f t="shared" si="21"/>
        <v>5</v>
      </c>
      <c r="R227">
        <f t="shared" si="22"/>
        <v>20</v>
      </c>
      <c r="S227">
        <f t="array" ref="S227">MAX(IF($C$2:$C$1387=C227,$R$2:$R$1387))</f>
        <v>29</v>
      </c>
      <c r="T227" cm="1">
        <f t="array" ref="T227">MIN(IF($C$2:$C$1387=C227,$R$2:$R$1387))</f>
        <v>10</v>
      </c>
      <c r="U227">
        <f t="shared" si="23"/>
        <v>19</v>
      </c>
      <c r="V227">
        <f t="shared" si="24"/>
        <v>0.52631578947368418</v>
      </c>
      <c r="W227" cm="1">
        <f t="array" ref="W227">_xlfn.IFS(N227=1,5,N227=2,4,N227=4,2,N227=5,1,N227=3,3)</f>
        <v>5</v>
      </c>
      <c r="X227">
        <f t="shared" si="25"/>
        <v>24</v>
      </c>
      <c r="Y227" cm="1">
        <f t="array" ref="Y227">MAX(IF($C$2:$C$1387=C227,$X$2:$X$1387))</f>
        <v>32</v>
      </c>
      <c r="Z227" cm="1">
        <f t="array" ref="Z227">MIN(IF($C$2:$C$1387=C227,$X$2:$X$1387))</f>
        <v>10</v>
      </c>
      <c r="AA227">
        <f t="shared" si="26"/>
        <v>22</v>
      </c>
      <c r="AB227">
        <f t="shared" si="27"/>
        <v>0.63636363636363635</v>
      </c>
    </row>
    <row r="228" spans="1:28" x14ac:dyDescent="0.25">
      <c r="A228" t="s">
        <v>102</v>
      </c>
      <c r="B228" t="s">
        <v>103</v>
      </c>
      <c r="C228">
        <v>2014</v>
      </c>
      <c r="D228">
        <v>3.341996012661285E-4</v>
      </c>
      <c r="E228">
        <v>0.82918640016201028</v>
      </c>
      <c r="F228">
        <v>6.1228987106754255E-4</v>
      </c>
      <c r="G228">
        <v>2.0794415416798357</v>
      </c>
      <c r="H228">
        <v>0.75</v>
      </c>
      <c r="I228">
        <v>1</v>
      </c>
      <c r="J228">
        <v>0</v>
      </c>
      <c r="K228">
        <v>1</v>
      </c>
      <c r="L228">
        <v>4</v>
      </c>
      <c r="M228">
        <v>1</v>
      </c>
      <c r="N228">
        <v>3</v>
      </c>
      <c r="O228">
        <v>5</v>
      </c>
      <c r="P228">
        <v>3</v>
      </c>
      <c r="Q228">
        <f t="shared" si="21"/>
        <v>5</v>
      </c>
      <c r="R228">
        <f t="shared" si="22"/>
        <v>22</v>
      </c>
      <c r="S228">
        <f t="array" ref="S228">MAX(IF($C$2:$C$1387=C228,$R$2:$R$1387))</f>
        <v>29</v>
      </c>
      <c r="T228" cm="1">
        <f t="array" ref="T228">MIN(IF($C$2:$C$1387=C228,$R$2:$R$1387))</f>
        <v>11</v>
      </c>
      <c r="U228">
        <f t="shared" si="23"/>
        <v>18</v>
      </c>
      <c r="V228">
        <f t="shared" si="24"/>
        <v>0.61111111111111116</v>
      </c>
      <c r="W228" cm="1">
        <f t="array" ref="W228">_xlfn.IFS(N228=1,5,N228=2,4,N228=4,2,N228=5,1,N228=3,3)</f>
        <v>3</v>
      </c>
      <c r="X228">
        <f t="shared" si="25"/>
        <v>22</v>
      </c>
      <c r="Y228" cm="1">
        <f t="array" ref="Y228">MAX(IF($C$2:$C$1387=C228,$X$2:$X$1387))</f>
        <v>30</v>
      </c>
      <c r="Z228" cm="1">
        <f t="array" ref="Z228">MIN(IF($C$2:$C$1387=C228,$X$2:$X$1387))</f>
        <v>14</v>
      </c>
      <c r="AA228">
        <f t="shared" si="26"/>
        <v>16</v>
      </c>
      <c r="AB228">
        <f t="shared" si="27"/>
        <v>0.5</v>
      </c>
    </row>
    <row r="229" spans="1:28" x14ac:dyDescent="0.25">
      <c r="A229" t="s">
        <v>102</v>
      </c>
      <c r="B229" t="s">
        <v>103</v>
      </c>
      <c r="C229">
        <v>2015</v>
      </c>
      <c r="D229">
        <v>3.0035013124804754E-4</v>
      </c>
      <c r="E229">
        <v>0.84417602232867306</v>
      </c>
      <c r="F229">
        <v>4.6400669425117585E-4</v>
      </c>
      <c r="G229">
        <v>2.0794415416798357</v>
      </c>
      <c r="H229">
        <v>0.625</v>
      </c>
      <c r="I229">
        <v>0.66666666666666663</v>
      </c>
      <c r="J229">
        <v>0</v>
      </c>
      <c r="K229">
        <v>1</v>
      </c>
      <c r="L229">
        <v>5</v>
      </c>
      <c r="M229">
        <v>1</v>
      </c>
      <c r="N229">
        <v>3</v>
      </c>
      <c r="O229">
        <v>2</v>
      </c>
      <c r="P229">
        <v>1</v>
      </c>
      <c r="Q229">
        <f t="shared" si="21"/>
        <v>5</v>
      </c>
      <c r="R229">
        <f t="shared" si="22"/>
        <v>18</v>
      </c>
      <c r="S229">
        <f t="array" ref="S229">MAX(IF($C$2:$C$1387=C229,$R$2:$R$1387))</f>
        <v>29</v>
      </c>
      <c r="T229" cm="1">
        <f t="array" ref="T229">MIN(IF($C$2:$C$1387=C229,$R$2:$R$1387))</f>
        <v>11</v>
      </c>
      <c r="U229">
        <f t="shared" si="23"/>
        <v>18</v>
      </c>
      <c r="V229">
        <f t="shared" si="24"/>
        <v>0.3888888888888889</v>
      </c>
      <c r="W229" cm="1">
        <f t="array" ref="W229">_xlfn.IFS(N229=1,5,N229=2,4,N229=4,2,N229=5,1,N229=3,3)</f>
        <v>3</v>
      </c>
      <c r="X229">
        <f t="shared" si="25"/>
        <v>18</v>
      </c>
      <c r="Y229" cm="1">
        <f t="array" ref="Y229">MAX(IF($C$2:$C$1387=C229,$X$2:$X$1387))</f>
        <v>29</v>
      </c>
      <c r="Z229" cm="1">
        <f t="array" ref="Z229">MIN(IF($C$2:$C$1387=C229,$X$2:$X$1387))</f>
        <v>12</v>
      </c>
      <c r="AA229">
        <f t="shared" si="26"/>
        <v>17</v>
      </c>
      <c r="AB229">
        <f t="shared" si="27"/>
        <v>0.35294117647058826</v>
      </c>
    </row>
    <row r="230" spans="1:28" x14ac:dyDescent="0.25">
      <c r="A230" s="2" t="s">
        <v>104</v>
      </c>
      <c r="B230" t="s">
        <v>105</v>
      </c>
      <c r="C230">
        <v>2010</v>
      </c>
      <c r="D230">
        <v>0.1516502086915959</v>
      </c>
      <c r="E230">
        <v>0.24485638577197927</v>
      </c>
      <c r="F230">
        <v>4.9050641053168198E-2</v>
      </c>
      <c r="G230">
        <v>1.9459101490553132</v>
      </c>
      <c r="H230">
        <v>0.42857142857142855</v>
      </c>
      <c r="I230">
        <v>1</v>
      </c>
      <c r="J230">
        <v>1</v>
      </c>
      <c r="K230">
        <v>3</v>
      </c>
      <c r="L230">
        <v>1</v>
      </c>
      <c r="M230">
        <v>3</v>
      </c>
      <c r="N230">
        <v>1</v>
      </c>
      <c r="O230">
        <v>2</v>
      </c>
      <c r="P230">
        <v>3</v>
      </c>
      <c r="Q230">
        <f t="shared" si="21"/>
        <v>1</v>
      </c>
      <c r="R230">
        <f t="shared" si="22"/>
        <v>14</v>
      </c>
      <c r="S230">
        <f t="array" ref="S230">MAX(IF($C$2:$C$1387=C230,$R$2:$R$1387))</f>
        <v>29</v>
      </c>
      <c r="T230" cm="1">
        <f t="array" ref="T230">MIN(IF($C$2:$C$1387=C230,$R$2:$R$1387))</f>
        <v>9</v>
      </c>
      <c r="U230">
        <f t="shared" si="23"/>
        <v>20</v>
      </c>
      <c r="V230">
        <f t="shared" si="24"/>
        <v>0.25</v>
      </c>
      <c r="W230" cm="1">
        <f t="array" ref="W230">_xlfn.IFS(N230=1,5,N230=2,4,N230=4,2,N230=5,1,N230=3,3)</f>
        <v>5</v>
      </c>
      <c r="X230">
        <f t="shared" si="25"/>
        <v>18</v>
      </c>
      <c r="Y230" cm="1">
        <f t="array" ref="Y230">MAX(IF($C$2:$C$1387=C230,$X$2:$X$1387))</f>
        <v>29</v>
      </c>
      <c r="Z230" cm="1">
        <f t="array" ref="Z230">MIN(IF($C$2:$C$1387=C230,$X$2:$X$1387))</f>
        <v>12</v>
      </c>
      <c r="AA230">
        <f t="shared" si="26"/>
        <v>17</v>
      </c>
      <c r="AB230">
        <f t="shared" si="27"/>
        <v>0.35294117647058826</v>
      </c>
    </row>
    <row r="231" spans="1:28" x14ac:dyDescent="0.25">
      <c r="A231" t="s">
        <v>104</v>
      </c>
      <c r="B231" t="s">
        <v>105</v>
      </c>
      <c r="C231">
        <v>2011</v>
      </c>
      <c r="D231">
        <v>0.1516502086915959</v>
      </c>
      <c r="E231">
        <v>0.24485638577197927</v>
      </c>
      <c r="F231">
        <v>9.3915474968562715E-2</v>
      </c>
      <c r="G231">
        <v>1.9459101490553132</v>
      </c>
      <c r="H231">
        <v>0.42857142857142855</v>
      </c>
      <c r="I231">
        <v>1</v>
      </c>
      <c r="J231">
        <v>1</v>
      </c>
      <c r="K231">
        <v>3</v>
      </c>
      <c r="L231">
        <v>1</v>
      </c>
      <c r="M231">
        <v>4</v>
      </c>
      <c r="N231">
        <v>1</v>
      </c>
      <c r="O231">
        <v>2</v>
      </c>
      <c r="P231">
        <v>3</v>
      </c>
      <c r="Q231">
        <f t="shared" si="21"/>
        <v>1</v>
      </c>
      <c r="R231">
        <f t="shared" si="22"/>
        <v>15</v>
      </c>
      <c r="S231">
        <f t="array" ref="S231">MAX(IF($C$2:$C$1387=C231,$R$2:$R$1387))</f>
        <v>28</v>
      </c>
      <c r="T231" cm="1">
        <f t="array" ref="T231">MIN(IF($C$2:$C$1387=C231,$R$2:$R$1387))</f>
        <v>10</v>
      </c>
      <c r="U231">
        <f t="shared" si="23"/>
        <v>18</v>
      </c>
      <c r="V231">
        <f t="shared" si="24"/>
        <v>0.27777777777777779</v>
      </c>
      <c r="W231" cm="1">
        <f t="array" ref="W231">_xlfn.IFS(N231=1,5,N231=2,4,N231=4,2,N231=5,1,N231=3,3)</f>
        <v>5</v>
      </c>
      <c r="X231">
        <f t="shared" si="25"/>
        <v>19</v>
      </c>
      <c r="Y231" cm="1">
        <f t="array" ref="Y231">MAX(IF($C$2:$C$1387=C231,$X$2:$X$1387))</f>
        <v>29</v>
      </c>
      <c r="Z231" cm="1">
        <f t="array" ref="Z231">MIN(IF($C$2:$C$1387=C231,$X$2:$X$1387))</f>
        <v>12</v>
      </c>
      <c r="AA231">
        <f t="shared" si="26"/>
        <v>17</v>
      </c>
      <c r="AB231">
        <f t="shared" si="27"/>
        <v>0.41176470588235292</v>
      </c>
    </row>
    <row r="232" spans="1:28" x14ac:dyDescent="0.25">
      <c r="A232" t="s">
        <v>104</v>
      </c>
      <c r="B232" t="s">
        <v>105</v>
      </c>
      <c r="C232">
        <v>2012</v>
      </c>
      <c r="D232">
        <v>0.16441743034421552</v>
      </c>
      <c r="E232">
        <v>0.24768506369179752</v>
      </c>
      <c r="F232">
        <v>0.1167992781936204</v>
      </c>
      <c r="G232">
        <v>1.9459101490553132</v>
      </c>
      <c r="H232">
        <v>0.42857142857142855</v>
      </c>
      <c r="I232">
        <v>0.66666666666666663</v>
      </c>
      <c r="J232">
        <v>1</v>
      </c>
      <c r="K232">
        <v>3</v>
      </c>
      <c r="L232">
        <v>1</v>
      </c>
      <c r="M232">
        <v>4</v>
      </c>
      <c r="N232">
        <v>1</v>
      </c>
      <c r="O232">
        <v>2</v>
      </c>
      <c r="P232">
        <v>1</v>
      </c>
      <c r="Q232">
        <f t="shared" si="21"/>
        <v>1</v>
      </c>
      <c r="R232">
        <f t="shared" si="22"/>
        <v>13</v>
      </c>
      <c r="S232">
        <f t="array" ref="S232">MAX(IF($C$2:$C$1387=C232,$R$2:$R$1387))</f>
        <v>29</v>
      </c>
      <c r="T232" cm="1">
        <f t="array" ref="T232">MIN(IF($C$2:$C$1387=C232,$R$2:$R$1387))</f>
        <v>11</v>
      </c>
      <c r="U232">
        <f t="shared" si="23"/>
        <v>18</v>
      </c>
      <c r="V232">
        <f t="shared" si="24"/>
        <v>0.1111111111111111</v>
      </c>
      <c r="W232" cm="1">
        <f t="array" ref="W232">_xlfn.IFS(N232=1,5,N232=2,4,N232=4,2,N232=5,1,N232=3,3)</f>
        <v>5</v>
      </c>
      <c r="X232">
        <f t="shared" si="25"/>
        <v>17</v>
      </c>
      <c r="Y232" cm="1">
        <f t="array" ref="Y232">MAX(IF($C$2:$C$1387=C232,$X$2:$X$1387))</f>
        <v>30</v>
      </c>
      <c r="Z232" cm="1">
        <f t="array" ref="Z232">MIN(IF($C$2:$C$1387=C232,$X$2:$X$1387))</f>
        <v>12</v>
      </c>
      <c r="AA232">
        <f t="shared" si="26"/>
        <v>18</v>
      </c>
      <c r="AB232">
        <f t="shared" si="27"/>
        <v>0.27777777777777779</v>
      </c>
    </row>
    <row r="233" spans="1:28" x14ac:dyDescent="0.25">
      <c r="A233" t="s">
        <v>104</v>
      </c>
      <c r="B233" t="s">
        <v>105</v>
      </c>
      <c r="C233">
        <v>2013</v>
      </c>
      <c r="D233">
        <v>0.2162115662100085</v>
      </c>
      <c r="E233">
        <v>0.24773184189453967</v>
      </c>
      <c r="F233">
        <v>0</v>
      </c>
      <c r="G233">
        <v>1.9459101490553132</v>
      </c>
      <c r="H233">
        <v>0.42857142857142855</v>
      </c>
      <c r="I233">
        <v>1</v>
      </c>
      <c r="J233">
        <v>0</v>
      </c>
      <c r="K233">
        <v>3</v>
      </c>
      <c r="L233">
        <v>1</v>
      </c>
      <c r="M233">
        <v>1</v>
      </c>
      <c r="N233">
        <v>1</v>
      </c>
      <c r="O233">
        <v>1</v>
      </c>
      <c r="P233">
        <v>3</v>
      </c>
      <c r="Q233">
        <f t="shared" si="21"/>
        <v>5</v>
      </c>
      <c r="R233">
        <f t="shared" si="22"/>
        <v>15</v>
      </c>
      <c r="S233">
        <f t="array" ref="S233">MAX(IF($C$2:$C$1387=C233,$R$2:$R$1387))</f>
        <v>29</v>
      </c>
      <c r="T233" cm="1">
        <f t="array" ref="T233">MIN(IF($C$2:$C$1387=C233,$R$2:$R$1387))</f>
        <v>10</v>
      </c>
      <c r="U233">
        <f t="shared" si="23"/>
        <v>19</v>
      </c>
      <c r="V233">
        <f t="shared" si="24"/>
        <v>0.26315789473684209</v>
      </c>
      <c r="W233" cm="1">
        <f t="array" ref="W233">_xlfn.IFS(N233=1,5,N233=2,4,N233=4,2,N233=5,1,N233=3,3)</f>
        <v>5</v>
      </c>
      <c r="X233">
        <f t="shared" si="25"/>
        <v>19</v>
      </c>
      <c r="Y233" cm="1">
        <f t="array" ref="Y233">MAX(IF($C$2:$C$1387=C233,$X$2:$X$1387))</f>
        <v>32</v>
      </c>
      <c r="Z233" cm="1">
        <f t="array" ref="Z233">MIN(IF($C$2:$C$1387=C233,$X$2:$X$1387))</f>
        <v>10</v>
      </c>
      <c r="AA233">
        <f t="shared" si="26"/>
        <v>22</v>
      </c>
      <c r="AB233">
        <f t="shared" si="27"/>
        <v>0.40909090909090912</v>
      </c>
    </row>
    <row r="234" spans="1:28" x14ac:dyDescent="0.25">
      <c r="A234" t="s">
        <v>104</v>
      </c>
      <c r="B234" t="s">
        <v>105</v>
      </c>
      <c r="C234">
        <v>2014</v>
      </c>
      <c r="D234">
        <v>0.2162115662100085</v>
      </c>
      <c r="E234">
        <v>0.24773184189453967</v>
      </c>
      <c r="F234">
        <v>2.1052062362080317E-2</v>
      </c>
      <c r="G234">
        <v>1.9459101490553132</v>
      </c>
      <c r="H234">
        <v>0.42857142857142855</v>
      </c>
      <c r="I234">
        <v>1</v>
      </c>
      <c r="J234">
        <v>0</v>
      </c>
      <c r="K234">
        <v>3</v>
      </c>
      <c r="L234">
        <v>1</v>
      </c>
      <c r="M234">
        <v>2</v>
      </c>
      <c r="N234">
        <v>1</v>
      </c>
      <c r="O234">
        <v>1</v>
      </c>
      <c r="P234">
        <v>3</v>
      </c>
      <c r="Q234">
        <f t="shared" si="21"/>
        <v>5</v>
      </c>
      <c r="R234">
        <f t="shared" si="22"/>
        <v>16</v>
      </c>
      <c r="S234">
        <f t="array" ref="S234">MAX(IF($C$2:$C$1387=C234,$R$2:$R$1387))</f>
        <v>29</v>
      </c>
      <c r="T234" cm="1">
        <f t="array" ref="T234">MIN(IF($C$2:$C$1387=C234,$R$2:$R$1387))</f>
        <v>11</v>
      </c>
      <c r="U234">
        <f t="shared" si="23"/>
        <v>18</v>
      </c>
      <c r="V234">
        <f t="shared" si="24"/>
        <v>0.27777777777777779</v>
      </c>
      <c r="W234" cm="1">
        <f t="array" ref="W234">_xlfn.IFS(N234=1,5,N234=2,4,N234=4,2,N234=5,1,N234=3,3)</f>
        <v>5</v>
      </c>
      <c r="X234">
        <f t="shared" si="25"/>
        <v>20</v>
      </c>
      <c r="Y234" cm="1">
        <f t="array" ref="Y234">MAX(IF($C$2:$C$1387=C234,$X$2:$X$1387))</f>
        <v>30</v>
      </c>
      <c r="Z234" cm="1">
        <f t="array" ref="Z234">MIN(IF($C$2:$C$1387=C234,$X$2:$X$1387))</f>
        <v>14</v>
      </c>
      <c r="AA234">
        <f t="shared" si="26"/>
        <v>16</v>
      </c>
      <c r="AB234">
        <f t="shared" si="27"/>
        <v>0.375</v>
      </c>
    </row>
    <row r="235" spans="1:28" x14ac:dyDescent="0.25">
      <c r="A235" t="s">
        <v>104</v>
      </c>
      <c r="B235" t="s">
        <v>105</v>
      </c>
      <c r="C235">
        <v>2015</v>
      </c>
      <c r="D235">
        <v>0.22157478071080228</v>
      </c>
      <c r="E235">
        <v>0.26116902096683248</v>
      </c>
      <c r="F235">
        <v>2.1052062362080317E-2</v>
      </c>
      <c r="G235">
        <v>1.9459101490553132</v>
      </c>
      <c r="H235">
        <v>0.42857142857142855</v>
      </c>
      <c r="I235">
        <v>1</v>
      </c>
      <c r="J235">
        <v>0</v>
      </c>
      <c r="K235">
        <v>3</v>
      </c>
      <c r="L235">
        <v>1</v>
      </c>
      <c r="M235">
        <v>2</v>
      </c>
      <c r="N235">
        <v>1</v>
      </c>
      <c r="O235">
        <v>1</v>
      </c>
      <c r="P235">
        <v>2</v>
      </c>
      <c r="Q235">
        <f t="shared" si="21"/>
        <v>5</v>
      </c>
      <c r="R235">
        <f t="shared" si="22"/>
        <v>15</v>
      </c>
      <c r="S235">
        <f t="array" ref="S235">MAX(IF($C$2:$C$1387=C235,$R$2:$R$1387))</f>
        <v>29</v>
      </c>
      <c r="T235" cm="1">
        <f t="array" ref="T235">MIN(IF($C$2:$C$1387=C235,$R$2:$R$1387))</f>
        <v>11</v>
      </c>
      <c r="U235">
        <f t="shared" si="23"/>
        <v>18</v>
      </c>
      <c r="V235">
        <f t="shared" si="24"/>
        <v>0.22222222222222221</v>
      </c>
      <c r="W235" cm="1">
        <f t="array" ref="W235">_xlfn.IFS(N235=1,5,N235=2,4,N235=4,2,N235=5,1,N235=3,3)</f>
        <v>5</v>
      </c>
      <c r="X235">
        <f t="shared" si="25"/>
        <v>19</v>
      </c>
      <c r="Y235" cm="1">
        <f t="array" ref="Y235">MAX(IF($C$2:$C$1387=C235,$X$2:$X$1387))</f>
        <v>29</v>
      </c>
      <c r="Z235" cm="1">
        <f t="array" ref="Z235">MIN(IF($C$2:$C$1387=C235,$X$2:$X$1387))</f>
        <v>12</v>
      </c>
      <c r="AA235">
        <f t="shared" si="26"/>
        <v>17</v>
      </c>
      <c r="AB235">
        <f t="shared" si="27"/>
        <v>0.41176470588235292</v>
      </c>
    </row>
    <row r="236" spans="1:28" x14ac:dyDescent="0.25">
      <c r="A236" t="s">
        <v>106</v>
      </c>
      <c r="B236" t="s">
        <v>107</v>
      </c>
      <c r="C236">
        <v>2010</v>
      </c>
      <c r="D236">
        <v>5.1613231084752457E-4</v>
      </c>
      <c r="E236">
        <v>0.66441224849514224</v>
      </c>
      <c r="F236">
        <v>8.6099999999999996E-2</v>
      </c>
      <c r="G236">
        <v>2.0794415416798357</v>
      </c>
      <c r="H236">
        <v>1</v>
      </c>
      <c r="I236">
        <v>1</v>
      </c>
      <c r="J236">
        <v>0</v>
      </c>
      <c r="K236">
        <v>1</v>
      </c>
      <c r="L236">
        <v>3</v>
      </c>
      <c r="M236">
        <v>4</v>
      </c>
      <c r="N236">
        <v>3</v>
      </c>
      <c r="O236">
        <v>5</v>
      </c>
      <c r="P236">
        <v>3</v>
      </c>
      <c r="Q236">
        <f t="shared" si="21"/>
        <v>5</v>
      </c>
      <c r="R236">
        <f t="shared" si="22"/>
        <v>24</v>
      </c>
      <c r="S236">
        <f t="array" ref="S236">MAX(IF($C$2:$C$1387=C236,$R$2:$R$1387))</f>
        <v>29</v>
      </c>
      <c r="T236" cm="1">
        <f t="array" ref="T236">MIN(IF($C$2:$C$1387=C236,$R$2:$R$1387))</f>
        <v>9</v>
      </c>
      <c r="U236">
        <f t="shared" si="23"/>
        <v>20</v>
      </c>
      <c r="V236">
        <f t="shared" si="24"/>
        <v>0.75</v>
      </c>
      <c r="W236" cm="1">
        <f t="array" ref="W236">_xlfn.IFS(N236=1,5,N236=2,4,N236=4,2,N236=5,1,N236=3,3)</f>
        <v>3</v>
      </c>
      <c r="X236">
        <f t="shared" si="25"/>
        <v>24</v>
      </c>
      <c r="Y236" cm="1">
        <f t="array" ref="Y236">MAX(IF($C$2:$C$1387=C236,$X$2:$X$1387))</f>
        <v>29</v>
      </c>
      <c r="Z236" cm="1">
        <f t="array" ref="Z236">MIN(IF($C$2:$C$1387=C236,$X$2:$X$1387))</f>
        <v>12</v>
      </c>
      <c r="AA236">
        <f t="shared" si="26"/>
        <v>17</v>
      </c>
      <c r="AB236">
        <f t="shared" si="27"/>
        <v>0.70588235294117652</v>
      </c>
    </row>
    <row r="237" spans="1:28" x14ac:dyDescent="0.25">
      <c r="A237" t="s">
        <v>106</v>
      </c>
      <c r="B237" t="s">
        <v>107</v>
      </c>
      <c r="C237">
        <v>2011</v>
      </c>
      <c r="D237">
        <v>5.1613231084752457E-4</v>
      </c>
      <c r="E237">
        <v>0.66441224849514224</v>
      </c>
      <c r="F237">
        <v>7.4791267191830796E-2</v>
      </c>
      <c r="G237">
        <v>1.6094379124341003</v>
      </c>
      <c r="H237">
        <v>0</v>
      </c>
      <c r="I237">
        <v>1</v>
      </c>
      <c r="J237">
        <v>0</v>
      </c>
      <c r="K237">
        <v>1</v>
      </c>
      <c r="L237">
        <v>3</v>
      </c>
      <c r="M237">
        <v>3</v>
      </c>
      <c r="N237">
        <v>1</v>
      </c>
      <c r="O237">
        <v>1</v>
      </c>
      <c r="P237">
        <v>3</v>
      </c>
      <c r="Q237">
        <f t="shared" si="21"/>
        <v>5</v>
      </c>
      <c r="R237">
        <f t="shared" si="22"/>
        <v>17</v>
      </c>
      <c r="S237">
        <f t="array" ref="S237">MAX(IF($C$2:$C$1387=C237,$R$2:$R$1387))</f>
        <v>28</v>
      </c>
      <c r="T237" cm="1">
        <f t="array" ref="T237">MIN(IF($C$2:$C$1387=C237,$R$2:$R$1387))</f>
        <v>10</v>
      </c>
      <c r="U237">
        <f t="shared" si="23"/>
        <v>18</v>
      </c>
      <c r="V237">
        <f t="shared" si="24"/>
        <v>0.3888888888888889</v>
      </c>
      <c r="W237" cm="1">
        <f t="array" ref="W237">_xlfn.IFS(N237=1,5,N237=2,4,N237=4,2,N237=5,1,N237=3,3)</f>
        <v>5</v>
      </c>
      <c r="X237">
        <f t="shared" si="25"/>
        <v>21</v>
      </c>
      <c r="Y237" cm="1">
        <f t="array" ref="Y237">MAX(IF($C$2:$C$1387=C237,$X$2:$X$1387))</f>
        <v>29</v>
      </c>
      <c r="Z237" cm="1">
        <f t="array" ref="Z237">MIN(IF($C$2:$C$1387=C237,$X$2:$X$1387))</f>
        <v>12</v>
      </c>
      <c r="AA237">
        <f t="shared" si="26"/>
        <v>17</v>
      </c>
      <c r="AB237">
        <f t="shared" si="27"/>
        <v>0.52941176470588236</v>
      </c>
    </row>
    <row r="238" spans="1:28" x14ac:dyDescent="0.25">
      <c r="A238" t="s">
        <v>106</v>
      </c>
      <c r="B238" t="s">
        <v>107</v>
      </c>
      <c r="C238">
        <v>2012</v>
      </c>
      <c r="D238">
        <v>5.1070907354065407E-4</v>
      </c>
      <c r="E238">
        <v>0.44294150317446418</v>
      </c>
      <c r="F238">
        <v>1.0744055810613516E-2</v>
      </c>
      <c r="G238">
        <v>2.0794415416798357</v>
      </c>
      <c r="H238">
        <v>0.75</v>
      </c>
      <c r="I238">
        <v>1</v>
      </c>
      <c r="J238">
        <v>0</v>
      </c>
      <c r="K238">
        <v>1</v>
      </c>
      <c r="L238">
        <v>1</v>
      </c>
      <c r="M238">
        <v>2</v>
      </c>
      <c r="N238">
        <v>3</v>
      </c>
      <c r="O238">
        <v>4</v>
      </c>
      <c r="P238">
        <v>3</v>
      </c>
      <c r="Q238">
        <f t="shared" si="21"/>
        <v>5</v>
      </c>
      <c r="R238">
        <f t="shared" si="22"/>
        <v>19</v>
      </c>
      <c r="S238">
        <f t="array" ref="S238">MAX(IF($C$2:$C$1387=C238,$R$2:$R$1387))</f>
        <v>29</v>
      </c>
      <c r="T238" cm="1">
        <f t="array" ref="T238">MIN(IF($C$2:$C$1387=C238,$R$2:$R$1387))</f>
        <v>11</v>
      </c>
      <c r="U238">
        <f t="shared" si="23"/>
        <v>18</v>
      </c>
      <c r="V238">
        <f t="shared" si="24"/>
        <v>0.44444444444444442</v>
      </c>
      <c r="W238" cm="1">
        <f t="array" ref="W238">_xlfn.IFS(N238=1,5,N238=2,4,N238=4,2,N238=5,1,N238=3,3)</f>
        <v>3</v>
      </c>
      <c r="X238">
        <f t="shared" si="25"/>
        <v>19</v>
      </c>
      <c r="Y238" cm="1">
        <f t="array" ref="Y238">MAX(IF($C$2:$C$1387=C238,$X$2:$X$1387))</f>
        <v>30</v>
      </c>
      <c r="Z238" cm="1">
        <f t="array" ref="Z238">MIN(IF($C$2:$C$1387=C238,$X$2:$X$1387))</f>
        <v>12</v>
      </c>
      <c r="AA238">
        <f t="shared" si="26"/>
        <v>18</v>
      </c>
      <c r="AB238">
        <f t="shared" si="27"/>
        <v>0.3888888888888889</v>
      </c>
    </row>
    <row r="239" spans="1:28" x14ac:dyDescent="0.25">
      <c r="A239" t="s">
        <v>106</v>
      </c>
      <c r="B239" t="s">
        <v>107</v>
      </c>
      <c r="C239">
        <v>2013</v>
      </c>
      <c r="D239">
        <v>5.1070907354065407E-4</v>
      </c>
      <c r="E239">
        <v>0.67370731458043465</v>
      </c>
      <c r="F239">
        <v>0.10030452400825925</v>
      </c>
      <c r="G239">
        <v>2.0794415416798357</v>
      </c>
      <c r="H239">
        <v>0.75</v>
      </c>
      <c r="I239">
        <v>1</v>
      </c>
      <c r="J239">
        <v>0</v>
      </c>
      <c r="K239">
        <v>2</v>
      </c>
      <c r="L239">
        <v>3</v>
      </c>
      <c r="M239">
        <v>4</v>
      </c>
      <c r="N239">
        <v>3</v>
      </c>
      <c r="O239">
        <v>5</v>
      </c>
      <c r="P239">
        <v>3</v>
      </c>
      <c r="Q239">
        <f t="shared" si="21"/>
        <v>5</v>
      </c>
      <c r="R239">
        <f t="shared" si="22"/>
        <v>25</v>
      </c>
      <c r="S239">
        <f t="array" ref="S239">MAX(IF($C$2:$C$1387=C239,$R$2:$R$1387))</f>
        <v>29</v>
      </c>
      <c r="T239" cm="1">
        <f t="array" ref="T239">MIN(IF($C$2:$C$1387=C239,$R$2:$R$1387))</f>
        <v>10</v>
      </c>
      <c r="U239">
        <f t="shared" si="23"/>
        <v>19</v>
      </c>
      <c r="V239">
        <f t="shared" si="24"/>
        <v>0.78947368421052633</v>
      </c>
      <c r="W239" cm="1">
        <f t="array" ref="W239">_xlfn.IFS(N239=1,5,N239=2,4,N239=4,2,N239=5,1,N239=3,3)</f>
        <v>3</v>
      </c>
      <c r="X239">
        <f t="shared" si="25"/>
        <v>25</v>
      </c>
      <c r="Y239" cm="1">
        <f t="array" ref="Y239">MAX(IF($C$2:$C$1387=C239,$X$2:$X$1387))</f>
        <v>32</v>
      </c>
      <c r="Z239" cm="1">
        <f t="array" ref="Z239">MIN(IF($C$2:$C$1387=C239,$X$2:$X$1387))</f>
        <v>10</v>
      </c>
      <c r="AA239">
        <f t="shared" si="26"/>
        <v>22</v>
      </c>
      <c r="AB239">
        <f t="shared" si="27"/>
        <v>0.68181818181818177</v>
      </c>
    </row>
    <row r="240" spans="1:28" x14ac:dyDescent="0.25">
      <c r="A240" t="s">
        <v>106</v>
      </c>
      <c r="B240" t="s">
        <v>107</v>
      </c>
      <c r="C240">
        <v>2014</v>
      </c>
      <c r="D240">
        <v>4.255591368546558E-4</v>
      </c>
      <c r="E240">
        <v>0.7256879813196101</v>
      </c>
      <c r="F240">
        <v>8.3796977853342045E-2</v>
      </c>
      <c r="G240">
        <v>2.0794415416798357</v>
      </c>
      <c r="H240">
        <v>0.75</v>
      </c>
      <c r="I240">
        <v>0.75</v>
      </c>
      <c r="J240">
        <v>0</v>
      </c>
      <c r="K240">
        <v>1</v>
      </c>
      <c r="L240">
        <v>4</v>
      </c>
      <c r="M240">
        <v>4</v>
      </c>
      <c r="N240">
        <v>3</v>
      </c>
      <c r="O240">
        <v>5</v>
      </c>
      <c r="P240">
        <v>2</v>
      </c>
      <c r="Q240">
        <f t="shared" si="21"/>
        <v>5</v>
      </c>
      <c r="R240">
        <f t="shared" si="22"/>
        <v>24</v>
      </c>
      <c r="S240">
        <f t="array" ref="S240">MAX(IF($C$2:$C$1387=C240,$R$2:$R$1387))</f>
        <v>29</v>
      </c>
      <c r="T240" cm="1">
        <f t="array" ref="T240">MIN(IF($C$2:$C$1387=C240,$R$2:$R$1387))</f>
        <v>11</v>
      </c>
      <c r="U240">
        <f t="shared" si="23"/>
        <v>18</v>
      </c>
      <c r="V240">
        <f t="shared" si="24"/>
        <v>0.72222222222222221</v>
      </c>
      <c r="W240" cm="1">
        <f t="array" ref="W240">_xlfn.IFS(N240=1,5,N240=2,4,N240=4,2,N240=5,1,N240=3,3)</f>
        <v>3</v>
      </c>
      <c r="X240">
        <f t="shared" si="25"/>
        <v>24</v>
      </c>
      <c r="Y240" cm="1">
        <f t="array" ref="Y240">MAX(IF($C$2:$C$1387=C240,$X$2:$X$1387))</f>
        <v>30</v>
      </c>
      <c r="Z240" cm="1">
        <f t="array" ref="Z240">MIN(IF($C$2:$C$1387=C240,$X$2:$X$1387))</f>
        <v>14</v>
      </c>
      <c r="AA240">
        <f t="shared" si="26"/>
        <v>16</v>
      </c>
      <c r="AB240">
        <f t="shared" si="27"/>
        <v>0.625</v>
      </c>
    </row>
    <row r="241" spans="1:28" x14ac:dyDescent="0.25">
      <c r="A241" t="s">
        <v>106</v>
      </c>
      <c r="B241" t="s">
        <v>107</v>
      </c>
      <c r="C241">
        <v>2015</v>
      </c>
      <c r="D241">
        <v>4.2542309940980496E-4</v>
      </c>
      <c r="E241">
        <v>0.71946426821768394</v>
      </c>
      <c r="F241">
        <v>3.5780874828920159E-2</v>
      </c>
      <c r="G241">
        <v>2.0794415416798357</v>
      </c>
      <c r="H241">
        <v>0.875</v>
      </c>
      <c r="I241">
        <v>0.75</v>
      </c>
      <c r="J241">
        <v>0</v>
      </c>
      <c r="K241">
        <v>1</v>
      </c>
      <c r="L241">
        <v>4</v>
      </c>
      <c r="M241">
        <v>3</v>
      </c>
      <c r="N241">
        <v>3</v>
      </c>
      <c r="O241">
        <v>5</v>
      </c>
      <c r="P241">
        <v>2</v>
      </c>
      <c r="Q241">
        <f t="shared" si="21"/>
        <v>5</v>
      </c>
      <c r="R241">
        <f t="shared" si="22"/>
        <v>23</v>
      </c>
      <c r="S241">
        <f t="array" ref="S241">MAX(IF($C$2:$C$1387=C241,$R$2:$R$1387))</f>
        <v>29</v>
      </c>
      <c r="T241" cm="1">
        <f t="array" ref="T241">MIN(IF($C$2:$C$1387=C241,$R$2:$R$1387))</f>
        <v>11</v>
      </c>
      <c r="U241">
        <f t="shared" si="23"/>
        <v>18</v>
      </c>
      <c r="V241">
        <f t="shared" si="24"/>
        <v>0.66666666666666663</v>
      </c>
      <c r="W241" cm="1">
        <f t="array" ref="W241">_xlfn.IFS(N241=1,5,N241=2,4,N241=4,2,N241=5,1,N241=3,3)</f>
        <v>3</v>
      </c>
      <c r="X241">
        <f t="shared" si="25"/>
        <v>23</v>
      </c>
      <c r="Y241" cm="1">
        <f t="array" ref="Y241">MAX(IF($C$2:$C$1387=C241,$X$2:$X$1387))</f>
        <v>29</v>
      </c>
      <c r="Z241" cm="1">
        <f t="array" ref="Z241">MIN(IF($C$2:$C$1387=C241,$X$2:$X$1387))</f>
        <v>12</v>
      </c>
      <c r="AA241">
        <f t="shared" si="26"/>
        <v>17</v>
      </c>
      <c r="AB241">
        <f t="shared" si="27"/>
        <v>0.6470588235294118</v>
      </c>
    </row>
    <row r="242" spans="1:28" x14ac:dyDescent="0.25">
      <c r="A242" t="s">
        <v>108</v>
      </c>
      <c r="B242" t="s">
        <v>109</v>
      </c>
      <c r="C242">
        <v>2010</v>
      </c>
      <c r="D242">
        <v>0.45600785512755965</v>
      </c>
      <c r="E242">
        <v>0.51306737158592985</v>
      </c>
      <c r="F242">
        <v>0.13048914323190214</v>
      </c>
      <c r="G242">
        <v>2.0794415416798357</v>
      </c>
      <c r="H242">
        <v>0.25</v>
      </c>
      <c r="I242">
        <v>0.66666666666666663</v>
      </c>
      <c r="J242">
        <v>0</v>
      </c>
      <c r="K242">
        <v>4</v>
      </c>
      <c r="L242">
        <v>2</v>
      </c>
      <c r="M242">
        <v>4</v>
      </c>
      <c r="N242">
        <v>3</v>
      </c>
      <c r="O242">
        <v>1</v>
      </c>
      <c r="P242">
        <v>1</v>
      </c>
      <c r="Q242">
        <f t="shared" si="21"/>
        <v>5</v>
      </c>
      <c r="R242">
        <f t="shared" si="22"/>
        <v>20</v>
      </c>
      <c r="S242">
        <f t="array" ref="S242">MAX(IF($C$2:$C$1387=C242,$R$2:$R$1387))</f>
        <v>29</v>
      </c>
      <c r="T242" cm="1">
        <f t="array" ref="T242">MIN(IF($C$2:$C$1387=C242,$R$2:$R$1387))</f>
        <v>9</v>
      </c>
      <c r="U242">
        <f t="shared" si="23"/>
        <v>20</v>
      </c>
      <c r="V242">
        <f t="shared" si="24"/>
        <v>0.55000000000000004</v>
      </c>
      <c r="W242" cm="1">
        <f t="array" ref="W242">_xlfn.IFS(N242=1,5,N242=2,4,N242=4,2,N242=5,1,N242=3,3)</f>
        <v>3</v>
      </c>
      <c r="X242">
        <f t="shared" si="25"/>
        <v>20</v>
      </c>
      <c r="Y242" cm="1">
        <f t="array" ref="Y242">MAX(IF($C$2:$C$1387=C242,$X$2:$X$1387))</f>
        <v>29</v>
      </c>
      <c r="Z242" cm="1">
        <f t="array" ref="Z242">MIN(IF($C$2:$C$1387=C242,$X$2:$X$1387))</f>
        <v>12</v>
      </c>
      <c r="AA242">
        <f t="shared" si="26"/>
        <v>17</v>
      </c>
      <c r="AB242">
        <f t="shared" si="27"/>
        <v>0.47058823529411764</v>
      </c>
    </row>
    <row r="243" spans="1:28" x14ac:dyDescent="0.25">
      <c r="A243" t="s">
        <v>108</v>
      </c>
      <c r="B243" t="s">
        <v>109</v>
      </c>
      <c r="C243">
        <v>2011</v>
      </c>
      <c r="D243">
        <v>0.45600785512755965</v>
      </c>
      <c r="E243">
        <v>0.51300294833029414</v>
      </c>
      <c r="F243">
        <v>0.13028500204060661</v>
      </c>
      <c r="G243">
        <v>1.9459101490553132</v>
      </c>
      <c r="H243">
        <v>0.2857142857142857</v>
      </c>
      <c r="I243">
        <v>0.66666666666666663</v>
      </c>
      <c r="J243">
        <v>0</v>
      </c>
      <c r="K243">
        <v>4</v>
      </c>
      <c r="L243">
        <v>2</v>
      </c>
      <c r="M243">
        <v>4</v>
      </c>
      <c r="N243">
        <v>1</v>
      </c>
      <c r="O243">
        <v>1</v>
      </c>
      <c r="P243">
        <v>1</v>
      </c>
      <c r="Q243">
        <f t="shared" si="21"/>
        <v>5</v>
      </c>
      <c r="R243">
        <f t="shared" si="22"/>
        <v>18</v>
      </c>
      <c r="S243">
        <f t="array" ref="S243">MAX(IF($C$2:$C$1387=C243,$R$2:$R$1387))</f>
        <v>28</v>
      </c>
      <c r="T243" cm="1">
        <f t="array" ref="T243">MIN(IF($C$2:$C$1387=C243,$R$2:$R$1387))</f>
        <v>10</v>
      </c>
      <c r="U243">
        <f t="shared" si="23"/>
        <v>18</v>
      </c>
      <c r="V243">
        <f t="shared" si="24"/>
        <v>0.44444444444444442</v>
      </c>
      <c r="W243" cm="1">
        <f t="array" ref="W243">_xlfn.IFS(N243=1,5,N243=2,4,N243=4,2,N243=5,1,N243=3,3)</f>
        <v>5</v>
      </c>
      <c r="X243">
        <f t="shared" si="25"/>
        <v>22</v>
      </c>
      <c r="Y243" cm="1">
        <f t="array" ref="Y243">MAX(IF($C$2:$C$1387=C243,$X$2:$X$1387))</f>
        <v>29</v>
      </c>
      <c r="Z243" cm="1">
        <f t="array" ref="Z243">MIN(IF($C$2:$C$1387=C243,$X$2:$X$1387))</f>
        <v>12</v>
      </c>
      <c r="AA243">
        <f t="shared" si="26"/>
        <v>17</v>
      </c>
      <c r="AB243">
        <f t="shared" si="27"/>
        <v>0.58823529411764708</v>
      </c>
    </row>
    <row r="244" spans="1:28" x14ac:dyDescent="0.25">
      <c r="A244" t="s">
        <v>108</v>
      </c>
      <c r="B244" t="s">
        <v>109</v>
      </c>
      <c r="C244">
        <v>2012</v>
      </c>
      <c r="D244">
        <v>0.46808721555924698</v>
      </c>
      <c r="E244">
        <v>0.52488098608812006</v>
      </c>
      <c r="F244">
        <v>0.11872658415980318</v>
      </c>
      <c r="G244">
        <v>1.9459101490553132</v>
      </c>
      <c r="H244">
        <v>0.2857142857142857</v>
      </c>
      <c r="I244">
        <v>0.66666666666666663</v>
      </c>
      <c r="J244">
        <v>0</v>
      </c>
      <c r="K244">
        <v>4</v>
      </c>
      <c r="L244">
        <v>2</v>
      </c>
      <c r="M244">
        <v>4</v>
      </c>
      <c r="N244">
        <v>1</v>
      </c>
      <c r="O244">
        <v>1</v>
      </c>
      <c r="P244">
        <v>1</v>
      </c>
      <c r="Q244">
        <f t="shared" si="21"/>
        <v>5</v>
      </c>
      <c r="R244">
        <f t="shared" si="22"/>
        <v>18</v>
      </c>
      <c r="S244">
        <f t="array" ref="S244">MAX(IF($C$2:$C$1387=C244,$R$2:$R$1387))</f>
        <v>29</v>
      </c>
      <c r="T244" cm="1">
        <f t="array" ref="T244">MIN(IF($C$2:$C$1387=C244,$R$2:$R$1387))</f>
        <v>11</v>
      </c>
      <c r="U244">
        <f t="shared" si="23"/>
        <v>18</v>
      </c>
      <c r="V244">
        <f t="shared" si="24"/>
        <v>0.3888888888888889</v>
      </c>
      <c r="W244" cm="1">
        <f t="array" ref="W244">_xlfn.IFS(N244=1,5,N244=2,4,N244=4,2,N244=5,1,N244=3,3)</f>
        <v>5</v>
      </c>
      <c r="X244">
        <f t="shared" si="25"/>
        <v>22</v>
      </c>
      <c r="Y244" cm="1">
        <f t="array" ref="Y244">MAX(IF($C$2:$C$1387=C244,$X$2:$X$1387))</f>
        <v>30</v>
      </c>
      <c r="Z244" cm="1">
        <f t="array" ref="Z244">MIN(IF($C$2:$C$1387=C244,$X$2:$X$1387))</f>
        <v>12</v>
      </c>
      <c r="AA244">
        <f t="shared" si="26"/>
        <v>18</v>
      </c>
      <c r="AB244">
        <f t="shared" si="27"/>
        <v>0.55555555555555558</v>
      </c>
    </row>
    <row r="245" spans="1:28" x14ac:dyDescent="0.25">
      <c r="A245" t="s">
        <v>108</v>
      </c>
      <c r="B245" t="s">
        <v>109</v>
      </c>
      <c r="C245">
        <v>2013</v>
      </c>
      <c r="D245">
        <v>0.49107826491422529</v>
      </c>
      <c r="E245">
        <v>0.53352763387233049</v>
      </c>
      <c r="F245">
        <v>8.7576087891359192E-2</v>
      </c>
      <c r="G245">
        <v>1.9459101490553132</v>
      </c>
      <c r="H245">
        <v>0.5714285714285714</v>
      </c>
      <c r="I245">
        <v>0.66666666666666663</v>
      </c>
      <c r="J245">
        <v>0</v>
      </c>
      <c r="K245">
        <v>4</v>
      </c>
      <c r="L245">
        <v>2</v>
      </c>
      <c r="M245">
        <v>4</v>
      </c>
      <c r="N245">
        <v>1</v>
      </c>
      <c r="O245">
        <v>2</v>
      </c>
      <c r="P245">
        <v>1</v>
      </c>
      <c r="Q245">
        <f t="shared" si="21"/>
        <v>5</v>
      </c>
      <c r="R245">
        <f t="shared" si="22"/>
        <v>19</v>
      </c>
      <c r="S245">
        <f t="array" ref="S245">MAX(IF($C$2:$C$1387=C245,$R$2:$R$1387))</f>
        <v>29</v>
      </c>
      <c r="T245" cm="1">
        <f t="array" ref="T245">MIN(IF($C$2:$C$1387=C245,$R$2:$R$1387))</f>
        <v>10</v>
      </c>
      <c r="U245">
        <f t="shared" si="23"/>
        <v>19</v>
      </c>
      <c r="V245">
        <f t="shared" si="24"/>
        <v>0.47368421052631576</v>
      </c>
      <c r="W245" cm="1">
        <f t="array" ref="W245">_xlfn.IFS(N245=1,5,N245=2,4,N245=4,2,N245=5,1,N245=3,3)</f>
        <v>5</v>
      </c>
      <c r="X245">
        <f t="shared" si="25"/>
        <v>23</v>
      </c>
      <c r="Y245" cm="1">
        <f t="array" ref="Y245">MAX(IF($C$2:$C$1387=C245,$X$2:$X$1387))</f>
        <v>32</v>
      </c>
      <c r="Z245" cm="1">
        <f t="array" ref="Z245">MIN(IF($C$2:$C$1387=C245,$X$2:$X$1387))</f>
        <v>10</v>
      </c>
      <c r="AA245">
        <f t="shared" si="26"/>
        <v>22</v>
      </c>
      <c r="AB245">
        <f t="shared" si="27"/>
        <v>0.59090909090909094</v>
      </c>
    </row>
    <row r="246" spans="1:28" x14ac:dyDescent="0.25">
      <c r="A246" t="s">
        <v>108</v>
      </c>
      <c r="B246" t="s">
        <v>109</v>
      </c>
      <c r="C246">
        <v>2014</v>
      </c>
      <c r="D246">
        <v>0.49267668641561568</v>
      </c>
      <c r="E246">
        <v>0.53594350595866802</v>
      </c>
      <c r="F246">
        <v>8.7545084199584539E-2</v>
      </c>
      <c r="G246">
        <v>1.9459101490553132</v>
      </c>
      <c r="H246">
        <v>0.5714285714285714</v>
      </c>
      <c r="I246">
        <v>0.66666666666666663</v>
      </c>
      <c r="J246">
        <v>0</v>
      </c>
      <c r="K246">
        <v>4</v>
      </c>
      <c r="L246">
        <v>2</v>
      </c>
      <c r="M246">
        <v>4</v>
      </c>
      <c r="N246">
        <v>1</v>
      </c>
      <c r="O246">
        <v>2</v>
      </c>
      <c r="P246">
        <v>1</v>
      </c>
      <c r="Q246">
        <f t="shared" si="21"/>
        <v>5</v>
      </c>
      <c r="R246">
        <f t="shared" si="22"/>
        <v>19</v>
      </c>
      <c r="S246">
        <f t="array" ref="S246">MAX(IF($C$2:$C$1387=C246,$R$2:$R$1387))</f>
        <v>29</v>
      </c>
      <c r="T246" cm="1">
        <f t="array" ref="T246">MIN(IF($C$2:$C$1387=C246,$R$2:$R$1387))</f>
        <v>11</v>
      </c>
      <c r="U246">
        <f t="shared" si="23"/>
        <v>18</v>
      </c>
      <c r="V246">
        <f t="shared" si="24"/>
        <v>0.44444444444444442</v>
      </c>
      <c r="W246" cm="1">
        <f t="array" ref="W246">_xlfn.IFS(N246=1,5,N246=2,4,N246=4,2,N246=5,1,N246=3,3)</f>
        <v>5</v>
      </c>
      <c r="X246">
        <f t="shared" si="25"/>
        <v>23</v>
      </c>
      <c r="Y246" cm="1">
        <f t="array" ref="Y246">MAX(IF($C$2:$C$1387=C246,$X$2:$X$1387))</f>
        <v>30</v>
      </c>
      <c r="Z246" cm="1">
        <f t="array" ref="Z246">MIN(IF($C$2:$C$1387=C246,$X$2:$X$1387))</f>
        <v>14</v>
      </c>
      <c r="AA246">
        <f t="shared" si="26"/>
        <v>16</v>
      </c>
      <c r="AB246">
        <f t="shared" si="27"/>
        <v>0.5625</v>
      </c>
    </row>
    <row r="247" spans="1:28" x14ac:dyDescent="0.25">
      <c r="A247" t="s">
        <v>108</v>
      </c>
      <c r="B247" t="s">
        <v>109</v>
      </c>
      <c r="C247">
        <v>2015</v>
      </c>
      <c r="D247">
        <v>0.49416647420219045</v>
      </c>
      <c r="E247">
        <v>0.53594350595866802</v>
      </c>
      <c r="F247">
        <v>8.7122306584475478E-2</v>
      </c>
      <c r="G247">
        <v>1.9459101490553132</v>
      </c>
      <c r="H247">
        <v>0.5714285714285714</v>
      </c>
      <c r="I247">
        <v>0.66666666666666663</v>
      </c>
      <c r="J247">
        <v>0</v>
      </c>
      <c r="K247">
        <v>4</v>
      </c>
      <c r="L247">
        <v>2</v>
      </c>
      <c r="M247">
        <v>4</v>
      </c>
      <c r="N247">
        <v>1</v>
      </c>
      <c r="O247">
        <v>1</v>
      </c>
      <c r="P247">
        <v>1</v>
      </c>
      <c r="Q247">
        <f t="shared" si="21"/>
        <v>5</v>
      </c>
      <c r="R247">
        <f t="shared" si="22"/>
        <v>18</v>
      </c>
      <c r="S247">
        <f t="array" ref="S247">MAX(IF($C$2:$C$1387=C247,$R$2:$R$1387))</f>
        <v>29</v>
      </c>
      <c r="T247" cm="1">
        <f t="array" ref="T247">MIN(IF($C$2:$C$1387=C247,$R$2:$R$1387))</f>
        <v>11</v>
      </c>
      <c r="U247">
        <f t="shared" si="23"/>
        <v>18</v>
      </c>
      <c r="V247">
        <f t="shared" si="24"/>
        <v>0.3888888888888889</v>
      </c>
      <c r="W247" cm="1">
        <f t="array" ref="W247">_xlfn.IFS(N247=1,5,N247=2,4,N247=4,2,N247=5,1,N247=3,3)</f>
        <v>5</v>
      </c>
      <c r="X247">
        <f t="shared" si="25"/>
        <v>22</v>
      </c>
      <c r="Y247" cm="1">
        <f t="array" ref="Y247">MAX(IF($C$2:$C$1387=C247,$X$2:$X$1387))</f>
        <v>29</v>
      </c>
      <c r="Z247" cm="1">
        <f t="array" ref="Z247">MIN(IF($C$2:$C$1387=C247,$X$2:$X$1387))</f>
        <v>12</v>
      </c>
      <c r="AA247">
        <f t="shared" si="26"/>
        <v>17</v>
      </c>
      <c r="AB247">
        <f t="shared" si="27"/>
        <v>0.58823529411764708</v>
      </c>
    </row>
    <row r="248" spans="1:28" x14ac:dyDescent="0.25">
      <c r="A248" t="s">
        <v>110</v>
      </c>
      <c r="B248" t="s">
        <v>111</v>
      </c>
      <c r="C248">
        <v>2010</v>
      </c>
      <c r="D248">
        <v>0.13890000343322753</v>
      </c>
      <c r="E248">
        <v>0.7246326850690088</v>
      </c>
      <c r="F248">
        <v>1.0300000000000002E-2</v>
      </c>
      <c r="G248">
        <v>2.0794415416798357</v>
      </c>
      <c r="H248">
        <v>0</v>
      </c>
      <c r="I248">
        <v>0.33333333333333331</v>
      </c>
      <c r="J248">
        <v>1</v>
      </c>
      <c r="K248">
        <v>3</v>
      </c>
      <c r="L248">
        <v>4</v>
      </c>
      <c r="M248">
        <v>2</v>
      </c>
      <c r="N248">
        <v>3</v>
      </c>
      <c r="O248">
        <v>1</v>
      </c>
      <c r="P248">
        <v>1</v>
      </c>
      <c r="Q248">
        <f t="shared" si="21"/>
        <v>1</v>
      </c>
      <c r="R248">
        <f t="shared" si="22"/>
        <v>15</v>
      </c>
      <c r="S248">
        <f t="array" ref="S248">MAX(IF($C$2:$C$1387=C248,$R$2:$R$1387))</f>
        <v>29</v>
      </c>
      <c r="T248" cm="1">
        <f t="array" ref="T248">MIN(IF($C$2:$C$1387=C248,$R$2:$R$1387))</f>
        <v>9</v>
      </c>
      <c r="U248">
        <f t="shared" si="23"/>
        <v>20</v>
      </c>
      <c r="V248">
        <f t="shared" si="24"/>
        <v>0.3</v>
      </c>
      <c r="W248" cm="1">
        <f t="array" ref="W248">_xlfn.IFS(N248=1,5,N248=2,4,N248=4,2,N248=5,1,N248=3,3)</f>
        <v>3</v>
      </c>
      <c r="X248">
        <f t="shared" si="25"/>
        <v>15</v>
      </c>
      <c r="Y248" cm="1">
        <f t="array" ref="Y248">MAX(IF($C$2:$C$1387=C248,$X$2:$X$1387))</f>
        <v>29</v>
      </c>
      <c r="Z248" cm="1">
        <f t="array" ref="Z248">MIN(IF($C$2:$C$1387=C248,$X$2:$X$1387))</f>
        <v>12</v>
      </c>
      <c r="AA248">
        <f t="shared" si="26"/>
        <v>17</v>
      </c>
      <c r="AB248">
        <f t="shared" si="27"/>
        <v>0.17647058823529413</v>
      </c>
    </row>
    <row r="249" spans="1:28" x14ac:dyDescent="0.25">
      <c r="A249" t="s">
        <v>110</v>
      </c>
      <c r="B249" t="s">
        <v>111</v>
      </c>
      <c r="C249">
        <v>2011</v>
      </c>
      <c r="D249">
        <v>0.14195158929318277</v>
      </c>
      <c r="E249">
        <v>0.82251798410706822</v>
      </c>
      <c r="F249">
        <v>5.3387913007109995E-2</v>
      </c>
      <c r="G249">
        <v>2.0794415416798357</v>
      </c>
      <c r="H249">
        <v>0</v>
      </c>
      <c r="I249">
        <v>0.33333333333333331</v>
      </c>
      <c r="J249">
        <v>1</v>
      </c>
      <c r="K249">
        <v>3</v>
      </c>
      <c r="L249">
        <v>4</v>
      </c>
      <c r="M249">
        <v>3</v>
      </c>
      <c r="N249">
        <v>3</v>
      </c>
      <c r="O249">
        <v>1</v>
      </c>
      <c r="P249">
        <v>1</v>
      </c>
      <c r="Q249">
        <f t="shared" si="21"/>
        <v>1</v>
      </c>
      <c r="R249">
        <f t="shared" si="22"/>
        <v>16</v>
      </c>
      <c r="S249">
        <f t="array" ref="S249">MAX(IF($C$2:$C$1387=C249,$R$2:$R$1387))</f>
        <v>28</v>
      </c>
      <c r="T249" cm="1">
        <f t="array" ref="T249">MIN(IF($C$2:$C$1387=C249,$R$2:$R$1387))</f>
        <v>10</v>
      </c>
      <c r="U249">
        <f t="shared" si="23"/>
        <v>18</v>
      </c>
      <c r="V249">
        <f t="shared" si="24"/>
        <v>0.33333333333333331</v>
      </c>
      <c r="W249" cm="1">
        <f t="array" ref="W249">_xlfn.IFS(N249=1,5,N249=2,4,N249=4,2,N249=5,1,N249=3,3)</f>
        <v>3</v>
      </c>
      <c r="X249">
        <f t="shared" si="25"/>
        <v>16</v>
      </c>
      <c r="Y249" cm="1">
        <f t="array" ref="Y249">MAX(IF($C$2:$C$1387=C249,$X$2:$X$1387))</f>
        <v>29</v>
      </c>
      <c r="Z249" cm="1">
        <f t="array" ref="Z249">MIN(IF($C$2:$C$1387=C249,$X$2:$X$1387))</f>
        <v>12</v>
      </c>
      <c r="AA249">
        <f t="shared" si="26"/>
        <v>17</v>
      </c>
      <c r="AB249">
        <f t="shared" si="27"/>
        <v>0.23529411764705882</v>
      </c>
    </row>
    <row r="250" spans="1:28" x14ac:dyDescent="0.25">
      <c r="A250" t="s">
        <v>110</v>
      </c>
      <c r="B250" t="s">
        <v>111</v>
      </c>
      <c r="C250">
        <v>2012</v>
      </c>
      <c r="D250">
        <v>0.14551857660671963</v>
      </c>
      <c r="E250">
        <v>0.74740035549979089</v>
      </c>
      <c r="F250">
        <v>4.9217342813327757E-2</v>
      </c>
      <c r="G250">
        <v>2.1972245773362196</v>
      </c>
      <c r="H250">
        <v>0.1111111111111111</v>
      </c>
      <c r="I250">
        <v>0.33333333333333331</v>
      </c>
      <c r="J250">
        <v>1</v>
      </c>
      <c r="K250">
        <v>3</v>
      </c>
      <c r="L250">
        <v>4</v>
      </c>
      <c r="M250">
        <v>3</v>
      </c>
      <c r="N250">
        <v>4</v>
      </c>
      <c r="O250">
        <v>1</v>
      </c>
      <c r="P250">
        <v>1</v>
      </c>
      <c r="Q250">
        <f t="shared" si="21"/>
        <v>1</v>
      </c>
      <c r="R250">
        <f t="shared" si="22"/>
        <v>17</v>
      </c>
      <c r="S250">
        <f t="array" ref="S250">MAX(IF($C$2:$C$1387=C250,$R$2:$R$1387))</f>
        <v>29</v>
      </c>
      <c r="T250" cm="1">
        <f t="array" ref="T250">MIN(IF($C$2:$C$1387=C250,$R$2:$R$1387))</f>
        <v>11</v>
      </c>
      <c r="U250">
        <f t="shared" si="23"/>
        <v>18</v>
      </c>
      <c r="V250">
        <f t="shared" si="24"/>
        <v>0.33333333333333331</v>
      </c>
      <c r="W250" cm="1">
        <f t="array" ref="W250">_xlfn.IFS(N250=1,5,N250=2,4,N250=4,2,N250=5,1,N250=3,3)</f>
        <v>2</v>
      </c>
      <c r="X250">
        <f t="shared" si="25"/>
        <v>15</v>
      </c>
      <c r="Y250" cm="1">
        <f t="array" ref="Y250">MAX(IF($C$2:$C$1387=C250,$X$2:$X$1387))</f>
        <v>30</v>
      </c>
      <c r="Z250" cm="1">
        <f t="array" ref="Z250">MIN(IF($C$2:$C$1387=C250,$X$2:$X$1387))</f>
        <v>12</v>
      </c>
      <c r="AA250">
        <f t="shared" si="26"/>
        <v>18</v>
      </c>
      <c r="AB250">
        <f t="shared" si="27"/>
        <v>0.16666666666666666</v>
      </c>
    </row>
    <row r="251" spans="1:28" x14ac:dyDescent="0.25">
      <c r="A251" t="s">
        <v>110</v>
      </c>
      <c r="B251" t="s">
        <v>111</v>
      </c>
      <c r="C251">
        <v>2013</v>
      </c>
      <c r="D251">
        <v>0.14553600306705702</v>
      </c>
      <c r="E251">
        <v>0.60440105255820442</v>
      </c>
      <c r="F251">
        <v>4.0820089223476928E-3</v>
      </c>
      <c r="G251">
        <v>2.0794415416798357</v>
      </c>
      <c r="H251">
        <v>0</v>
      </c>
      <c r="I251">
        <v>1</v>
      </c>
      <c r="J251">
        <v>1</v>
      </c>
      <c r="K251">
        <v>3</v>
      </c>
      <c r="L251">
        <v>3</v>
      </c>
      <c r="M251">
        <v>1</v>
      </c>
      <c r="N251">
        <v>3</v>
      </c>
      <c r="O251">
        <v>1</v>
      </c>
      <c r="P251">
        <v>3</v>
      </c>
      <c r="Q251">
        <f t="shared" si="21"/>
        <v>1</v>
      </c>
      <c r="R251">
        <f t="shared" si="22"/>
        <v>15</v>
      </c>
      <c r="S251">
        <f t="array" ref="S251">MAX(IF($C$2:$C$1387=C251,$R$2:$R$1387))</f>
        <v>29</v>
      </c>
      <c r="T251" cm="1">
        <f t="array" ref="T251">MIN(IF($C$2:$C$1387=C251,$R$2:$R$1387))</f>
        <v>10</v>
      </c>
      <c r="U251">
        <f t="shared" si="23"/>
        <v>19</v>
      </c>
      <c r="V251">
        <f t="shared" si="24"/>
        <v>0.26315789473684209</v>
      </c>
      <c r="W251" cm="1">
        <f t="array" ref="W251">_xlfn.IFS(N251=1,5,N251=2,4,N251=4,2,N251=5,1,N251=3,3)</f>
        <v>3</v>
      </c>
      <c r="X251">
        <f t="shared" si="25"/>
        <v>15</v>
      </c>
      <c r="Y251" cm="1">
        <f t="array" ref="Y251">MAX(IF($C$2:$C$1387=C251,$X$2:$X$1387))</f>
        <v>32</v>
      </c>
      <c r="Z251" cm="1">
        <f t="array" ref="Z251">MIN(IF($C$2:$C$1387=C251,$X$2:$X$1387))</f>
        <v>10</v>
      </c>
      <c r="AA251">
        <f t="shared" si="26"/>
        <v>22</v>
      </c>
      <c r="AB251">
        <f t="shared" si="27"/>
        <v>0.22727272727272727</v>
      </c>
    </row>
    <row r="252" spans="1:28" x14ac:dyDescent="0.25">
      <c r="A252" t="s">
        <v>110</v>
      </c>
      <c r="B252" t="s">
        <v>111</v>
      </c>
      <c r="C252">
        <v>2014</v>
      </c>
      <c r="D252">
        <v>0.14553600306705702</v>
      </c>
      <c r="E252">
        <v>0.76940126167572842</v>
      </c>
      <c r="F252">
        <v>4.6072807751289559E-2</v>
      </c>
      <c r="G252">
        <v>2.0794415416798357</v>
      </c>
      <c r="H252">
        <v>0</v>
      </c>
      <c r="I252">
        <v>1</v>
      </c>
      <c r="J252">
        <v>1</v>
      </c>
      <c r="K252">
        <v>3</v>
      </c>
      <c r="L252">
        <v>4</v>
      </c>
      <c r="M252">
        <v>3</v>
      </c>
      <c r="N252">
        <v>3</v>
      </c>
      <c r="O252">
        <v>1</v>
      </c>
      <c r="P252">
        <v>3</v>
      </c>
      <c r="Q252">
        <f t="shared" si="21"/>
        <v>1</v>
      </c>
      <c r="R252">
        <f t="shared" si="22"/>
        <v>18</v>
      </c>
      <c r="S252">
        <f t="array" ref="S252">MAX(IF($C$2:$C$1387=C252,$R$2:$R$1387))</f>
        <v>29</v>
      </c>
      <c r="T252" cm="1">
        <f t="array" ref="T252">MIN(IF($C$2:$C$1387=C252,$R$2:$R$1387))</f>
        <v>11</v>
      </c>
      <c r="U252">
        <f t="shared" si="23"/>
        <v>18</v>
      </c>
      <c r="V252">
        <f t="shared" si="24"/>
        <v>0.3888888888888889</v>
      </c>
      <c r="W252" cm="1">
        <f t="array" ref="W252">_xlfn.IFS(N252=1,5,N252=2,4,N252=4,2,N252=5,1,N252=3,3)</f>
        <v>3</v>
      </c>
      <c r="X252">
        <f t="shared" si="25"/>
        <v>18</v>
      </c>
      <c r="Y252" cm="1">
        <f t="array" ref="Y252">MAX(IF($C$2:$C$1387=C252,$X$2:$X$1387))</f>
        <v>30</v>
      </c>
      <c r="Z252" cm="1">
        <f t="array" ref="Z252">MIN(IF($C$2:$C$1387=C252,$X$2:$X$1387))</f>
        <v>14</v>
      </c>
      <c r="AA252">
        <f t="shared" si="26"/>
        <v>16</v>
      </c>
      <c r="AB252">
        <f t="shared" si="27"/>
        <v>0.25</v>
      </c>
    </row>
    <row r="253" spans="1:28" x14ac:dyDescent="0.25">
      <c r="A253" t="s">
        <v>110</v>
      </c>
      <c r="B253" t="s">
        <v>111</v>
      </c>
      <c r="C253">
        <v>2015</v>
      </c>
      <c r="D253">
        <v>0.14553600306705702</v>
      </c>
      <c r="E253">
        <v>0.76940126167572842</v>
      </c>
      <c r="F253">
        <v>4.3232294716297227E-2</v>
      </c>
      <c r="G253">
        <v>2.1972245773362196</v>
      </c>
      <c r="H253">
        <v>0.77777777777777779</v>
      </c>
      <c r="I253">
        <v>1</v>
      </c>
      <c r="J253">
        <v>1</v>
      </c>
      <c r="K253">
        <v>3</v>
      </c>
      <c r="L253">
        <v>4</v>
      </c>
      <c r="M253">
        <v>3</v>
      </c>
      <c r="N253">
        <v>4</v>
      </c>
      <c r="O253">
        <v>4</v>
      </c>
      <c r="P253">
        <v>2</v>
      </c>
      <c r="Q253">
        <f t="shared" si="21"/>
        <v>1</v>
      </c>
      <c r="R253">
        <f t="shared" si="22"/>
        <v>21</v>
      </c>
      <c r="S253">
        <f t="array" ref="S253">MAX(IF($C$2:$C$1387=C253,$R$2:$R$1387))</f>
        <v>29</v>
      </c>
      <c r="T253" cm="1">
        <f t="array" ref="T253">MIN(IF($C$2:$C$1387=C253,$R$2:$R$1387))</f>
        <v>11</v>
      </c>
      <c r="U253">
        <f t="shared" si="23"/>
        <v>18</v>
      </c>
      <c r="V253">
        <f t="shared" si="24"/>
        <v>0.55555555555555558</v>
      </c>
      <c r="W253" cm="1">
        <f t="array" ref="W253">_xlfn.IFS(N253=1,5,N253=2,4,N253=4,2,N253=5,1,N253=3,3)</f>
        <v>2</v>
      </c>
      <c r="X253">
        <f t="shared" si="25"/>
        <v>19</v>
      </c>
      <c r="Y253" cm="1">
        <f t="array" ref="Y253">MAX(IF($C$2:$C$1387=C253,$X$2:$X$1387))</f>
        <v>29</v>
      </c>
      <c r="Z253" cm="1">
        <f t="array" ref="Z253">MIN(IF($C$2:$C$1387=C253,$X$2:$X$1387))</f>
        <v>12</v>
      </c>
      <c r="AA253">
        <f t="shared" si="26"/>
        <v>17</v>
      </c>
      <c r="AB253">
        <f t="shared" si="27"/>
        <v>0.41176470588235292</v>
      </c>
    </row>
    <row r="254" spans="1:28" x14ac:dyDescent="0.25">
      <c r="A254" t="s">
        <v>112</v>
      </c>
      <c r="B254" t="s">
        <v>113</v>
      </c>
      <c r="C254">
        <v>2010</v>
      </c>
      <c r="D254">
        <v>1.190059536299683E-2</v>
      </c>
      <c r="E254">
        <v>0.4927794523725087</v>
      </c>
      <c r="F254">
        <v>4.0036491790207844E-2</v>
      </c>
      <c r="G254">
        <v>2.0794415416798357</v>
      </c>
      <c r="H254">
        <v>0.75</v>
      </c>
      <c r="I254">
        <v>0.66666666666666663</v>
      </c>
      <c r="J254">
        <v>0</v>
      </c>
      <c r="K254">
        <v>2</v>
      </c>
      <c r="L254">
        <v>2</v>
      </c>
      <c r="M254">
        <v>3</v>
      </c>
      <c r="N254">
        <v>3</v>
      </c>
      <c r="O254">
        <v>4</v>
      </c>
      <c r="P254">
        <v>1</v>
      </c>
      <c r="Q254">
        <f t="shared" si="21"/>
        <v>5</v>
      </c>
      <c r="R254">
        <f t="shared" si="22"/>
        <v>20</v>
      </c>
      <c r="S254">
        <f t="array" ref="S254">MAX(IF($C$2:$C$1387=C254,$R$2:$R$1387))</f>
        <v>29</v>
      </c>
      <c r="T254" cm="1">
        <f t="array" ref="T254">MIN(IF($C$2:$C$1387=C254,$R$2:$R$1387))</f>
        <v>9</v>
      </c>
      <c r="U254">
        <f t="shared" si="23"/>
        <v>20</v>
      </c>
      <c r="V254">
        <f t="shared" si="24"/>
        <v>0.55000000000000004</v>
      </c>
      <c r="W254" cm="1">
        <f t="array" ref="W254">_xlfn.IFS(N254=1,5,N254=2,4,N254=4,2,N254=5,1,N254=3,3)</f>
        <v>3</v>
      </c>
      <c r="X254">
        <f t="shared" si="25"/>
        <v>20</v>
      </c>
      <c r="Y254" cm="1">
        <f t="array" ref="Y254">MAX(IF($C$2:$C$1387=C254,$X$2:$X$1387))</f>
        <v>29</v>
      </c>
      <c r="Z254" cm="1">
        <f t="array" ref="Z254">MIN(IF($C$2:$C$1387=C254,$X$2:$X$1387))</f>
        <v>12</v>
      </c>
      <c r="AA254">
        <f t="shared" si="26"/>
        <v>17</v>
      </c>
      <c r="AB254">
        <f t="shared" si="27"/>
        <v>0.47058823529411764</v>
      </c>
    </row>
    <row r="255" spans="1:28" x14ac:dyDescent="0.25">
      <c r="A255" t="s">
        <v>112</v>
      </c>
      <c r="B255" t="s">
        <v>113</v>
      </c>
      <c r="C255">
        <v>2011</v>
      </c>
      <c r="D255">
        <v>1.2051610207021536E-2</v>
      </c>
      <c r="E255">
        <v>0.48007523707258948</v>
      </c>
      <c r="F255">
        <v>0.39451276254339718</v>
      </c>
      <c r="G255">
        <v>2.1972245773362196</v>
      </c>
      <c r="H255">
        <v>0.66666666666666663</v>
      </c>
      <c r="I255">
        <v>0.66666666666666663</v>
      </c>
      <c r="J255">
        <v>0</v>
      </c>
      <c r="K255">
        <v>2</v>
      </c>
      <c r="L255">
        <v>2</v>
      </c>
      <c r="M255">
        <v>5</v>
      </c>
      <c r="N255">
        <v>4</v>
      </c>
      <c r="O255">
        <v>3</v>
      </c>
      <c r="P255">
        <v>1</v>
      </c>
      <c r="Q255">
        <f t="shared" si="21"/>
        <v>5</v>
      </c>
      <c r="R255">
        <f t="shared" si="22"/>
        <v>22</v>
      </c>
      <c r="S255">
        <f t="array" ref="S255">MAX(IF($C$2:$C$1387=C255,$R$2:$R$1387))</f>
        <v>28</v>
      </c>
      <c r="T255" cm="1">
        <f t="array" ref="T255">MIN(IF($C$2:$C$1387=C255,$R$2:$R$1387))</f>
        <v>10</v>
      </c>
      <c r="U255">
        <f t="shared" si="23"/>
        <v>18</v>
      </c>
      <c r="V255">
        <f t="shared" si="24"/>
        <v>0.66666666666666663</v>
      </c>
      <c r="W255" cm="1">
        <f t="array" ref="W255">_xlfn.IFS(N255=1,5,N255=2,4,N255=4,2,N255=5,1,N255=3,3)</f>
        <v>2</v>
      </c>
      <c r="X255">
        <f t="shared" si="25"/>
        <v>20</v>
      </c>
      <c r="Y255" cm="1">
        <f t="array" ref="Y255">MAX(IF($C$2:$C$1387=C255,$X$2:$X$1387))</f>
        <v>29</v>
      </c>
      <c r="Z255" cm="1">
        <f t="array" ref="Z255">MIN(IF($C$2:$C$1387=C255,$X$2:$X$1387))</f>
        <v>12</v>
      </c>
      <c r="AA255">
        <f t="shared" si="26"/>
        <v>17</v>
      </c>
      <c r="AB255">
        <f t="shared" si="27"/>
        <v>0.47058823529411764</v>
      </c>
    </row>
    <row r="256" spans="1:28" x14ac:dyDescent="0.25">
      <c r="A256" t="s">
        <v>112</v>
      </c>
      <c r="B256" t="s">
        <v>113</v>
      </c>
      <c r="C256">
        <v>2012</v>
      </c>
      <c r="D256">
        <v>1.3315200810613031E-2</v>
      </c>
      <c r="E256">
        <v>0.40142250249654721</v>
      </c>
      <c r="F256">
        <v>9.3059188695610903E-2</v>
      </c>
      <c r="G256">
        <v>2.0794415416798357</v>
      </c>
      <c r="H256">
        <v>0.75</v>
      </c>
      <c r="I256">
        <v>0.66666666666666663</v>
      </c>
      <c r="J256">
        <v>0</v>
      </c>
      <c r="K256">
        <v>2</v>
      </c>
      <c r="L256">
        <v>1</v>
      </c>
      <c r="M256">
        <v>4</v>
      </c>
      <c r="N256">
        <v>3</v>
      </c>
      <c r="O256">
        <v>4</v>
      </c>
      <c r="P256">
        <v>1</v>
      </c>
      <c r="Q256">
        <f t="shared" si="21"/>
        <v>5</v>
      </c>
      <c r="R256">
        <f t="shared" si="22"/>
        <v>20</v>
      </c>
      <c r="S256">
        <f t="array" ref="S256">MAX(IF($C$2:$C$1387=C256,$R$2:$R$1387))</f>
        <v>29</v>
      </c>
      <c r="T256" cm="1">
        <f t="array" ref="T256">MIN(IF($C$2:$C$1387=C256,$R$2:$R$1387))</f>
        <v>11</v>
      </c>
      <c r="U256">
        <f t="shared" si="23"/>
        <v>18</v>
      </c>
      <c r="V256">
        <f t="shared" si="24"/>
        <v>0.5</v>
      </c>
      <c r="W256" cm="1">
        <f t="array" ref="W256">_xlfn.IFS(N256=1,5,N256=2,4,N256=4,2,N256=5,1,N256=3,3)</f>
        <v>3</v>
      </c>
      <c r="X256">
        <f t="shared" si="25"/>
        <v>20</v>
      </c>
      <c r="Y256" cm="1">
        <f t="array" ref="Y256">MAX(IF($C$2:$C$1387=C256,$X$2:$X$1387))</f>
        <v>30</v>
      </c>
      <c r="Z256" cm="1">
        <f t="array" ref="Z256">MIN(IF($C$2:$C$1387=C256,$X$2:$X$1387))</f>
        <v>12</v>
      </c>
      <c r="AA256">
        <f t="shared" si="26"/>
        <v>18</v>
      </c>
      <c r="AB256">
        <f t="shared" si="27"/>
        <v>0.44444444444444442</v>
      </c>
    </row>
    <row r="257" spans="1:28" x14ac:dyDescent="0.25">
      <c r="A257" t="s">
        <v>112</v>
      </c>
      <c r="B257" t="s">
        <v>113</v>
      </c>
      <c r="C257">
        <v>2013</v>
      </c>
      <c r="D257">
        <v>2.8568631214176087E-2</v>
      </c>
      <c r="E257">
        <v>0.38211772277734063</v>
      </c>
      <c r="F257">
        <v>0.17344068437407956</v>
      </c>
      <c r="G257">
        <v>2.0794415416798357</v>
      </c>
      <c r="H257">
        <v>0.75</v>
      </c>
      <c r="I257">
        <v>0</v>
      </c>
      <c r="J257">
        <v>0</v>
      </c>
      <c r="K257">
        <v>2</v>
      </c>
      <c r="L257">
        <v>1</v>
      </c>
      <c r="M257">
        <v>5</v>
      </c>
      <c r="N257">
        <v>3</v>
      </c>
      <c r="O257">
        <v>5</v>
      </c>
      <c r="P257">
        <v>1</v>
      </c>
      <c r="Q257">
        <f t="shared" si="21"/>
        <v>5</v>
      </c>
      <c r="R257">
        <f t="shared" si="22"/>
        <v>22</v>
      </c>
      <c r="S257">
        <f t="array" ref="S257">MAX(IF($C$2:$C$1387=C257,$R$2:$R$1387))</f>
        <v>29</v>
      </c>
      <c r="T257" cm="1">
        <f t="array" ref="T257">MIN(IF($C$2:$C$1387=C257,$R$2:$R$1387))</f>
        <v>10</v>
      </c>
      <c r="U257">
        <f t="shared" si="23"/>
        <v>19</v>
      </c>
      <c r="V257">
        <f t="shared" si="24"/>
        <v>0.63157894736842102</v>
      </c>
      <c r="W257" cm="1">
        <f t="array" ref="W257">_xlfn.IFS(N257=1,5,N257=2,4,N257=4,2,N257=5,1,N257=3,3)</f>
        <v>3</v>
      </c>
      <c r="X257">
        <f t="shared" si="25"/>
        <v>22</v>
      </c>
      <c r="Y257" cm="1">
        <f t="array" ref="Y257">MAX(IF($C$2:$C$1387=C257,$X$2:$X$1387))</f>
        <v>32</v>
      </c>
      <c r="Z257" cm="1">
        <f t="array" ref="Z257">MIN(IF($C$2:$C$1387=C257,$X$2:$X$1387))</f>
        <v>10</v>
      </c>
      <c r="AA257">
        <f t="shared" si="26"/>
        <v>22</v>
      </c>
      <c r="AB257">
        <f t="shared" si="27"/>
        <v>0.54545454545454541</v>
      </c>
    </row>
    <row r="258" spans="1:28" x14ac:dyDescent="0.25">
      <c r="A258" t="s">
        <v>112</v>
      </c>
      <c r="B258" t="s">
        <v>113</v>
      </c>
      <c r="C258">
        <v>2014</v>
      </c>
      <c r="D258">
        <v>3.0101844805733812E-2</v>
      </c>
      <c r="E258">
        <v>0.38523387279698129</v>
      </c>
      <c r="F258">
        <v>0.19067778038937166</v>
      </c>
      <c r="G258">
        <v>2.0794415416798357</v>
      </c>
      <c r="H258">
        <v>0.75</v>
      </c>
      <c r="I258">
        <v>1</v>
      </c>
      <c r="J258">
        <v>1</v>
      </c>
      <c r="K258">
        <v>2</v>
      </c>
      <c r="L258">
        <v>1</v>
      </c>
      <c r="M258">
        <v>5</v>
      </c>
      <c r="N258">
        <v>3</v>
      </c>
      <c r="O258">
        <v>5</v>
      </c>
      <c r="P258">
        <v>3</v>
      </c>
      <c r="Q258">
        <f t="shared" si="21"/>
        <v>1</v>
      </c>
      <c r="R258">
        <f t="shared" si="22"/>
        <v>20</v>
      </c>
      <c r="S258">
        <f t="array" ref="S258">MAX(IF($C$2:$C$1387=C258,$R$2:$R$1387))</f>
        <v>29</v>
      </c>
      <c r="T258" cm="1">
        <f t="array" ref="T258">MIN(IF($C$2:$C$1387=C258,$R$2:$R$1387))</f>
        <v>11</v>
      </c>
      <c r="U258">
        <f t="shared" si="23"/>
        <v>18</v>
      </c>
      <c r="V258">
        <f t="shared" si="24"/>
        <v>0.5</v>
      </c>
      <c r="W258" cm="1">
        <f t="array" ref="W258">_xlfn.IFS(N258=1,5,N258=2,4,N258=4,2,N258=5,1,N258=3,3)</f>
        <v>3</v>
      </c>
      <c r="X258">
        <f t="shared" si="25"/>
        <v>20</v>
      </c>
      <c r="Y258" cm="1">
        <f t="array" ref="Y258">MAX(IF($C$2:$C$1387=C258,$X$2:$X$1387))</f>
        <v>30</v>
      </c>
      <c r="Z258" cm="1">
        <f t="array" ref="Z258">MIN(IF($C$2:$C$1387=C258,$X$2:$X$1387))</f>
        <v>14</v>
      </c>
      <c r="AA258">
        <f t="shared" si="26"/>
        <v>16</v>
      </c>
      <c r="AB258">
        <f t="shared" si="27"/>
        <v>0.375</v>
      </c>
    </row>
    <row r="259" spans="1:28" x14ac:dyDescent="0.25">
      <c r="A259" t="s">
        <v>112</v>
      </c>
      <c r="B259" t="s">
        <v>113</v>
      </c>
      <c r="C259">
        <v>2015</v>
      </c>
      <c r="D259">
        <v>3.7307551769838479E-2</v>
      </c>
      <c r="E259">
        <v>0.39730280698578191</v>
      </c>
      <c r="F259">
        <v>0.29636785840660346</v>
      </c>
      <c r="G259">
        <v>2.0794415416798357</v>
      </c>
      <c r="H259">
        <v>0.75</v>
      </c>
      <c r="I259">
        <v>1</v>
      </c>
      <c r="J259">
        <v>0</v>
      </c>
      <c r="K259">
        <v>2</v>
      </c>
      <c r="L259">
        <v>1</v>
      </c>
      <c r="M259">
        <v>5</v>
      </c>
      <c r="N259">
        <v>3</v>
      </c>
      <c r="O259">
        <v>4</v>
      </c>
      <c r="P259">
        <v>2</v>
      </c>
      <c r="Q259">
        <f t="shared" ref="Q259:Q322" si="28">IF(J259=0,5,1)</f>
        <v>5</v>
      </c>
      <c r="R259">
        <f t="shared" ref="R259:R322" si="29">SUM(K259:Q259)</f>
        <v>22</v>
      </c>
      <c r="S259">
        <f t="array" ref="S259">MAX(IF($C$2:$C$1387=C259,$R$2:$R$1387))</f>
        <v>29</v>
      </c>
      <c r="T259" cm="1">
        <f t="array" ref="T259">MIN(IF($C$2:$C$1387=C259,$R$2:$R$1387))</f>
        <v>11</v>
      </c>
      <c r="U259">
        <f t="shared" ref="U259:U322" si="30">S259-T259</f>
        <v>18</v>
      </c>
      <c r="V259">
        <f t="shared" ref="V259:V322" si="31">(R259-T259)/U259</f>
        <v>0.61111111111111116</v>
      </c>
      <c r="W259" cm="1">
        <f t="array" ref="W259">_xlfn.IFS(N259=1,5,N259=2,4,N259=4,2,N259=5,1,N259=3,3)</f>
        <v>3</v>
      </c>
      <c r="X259">
        <f t="shared" ref="X259:X322" si="32">SUM(K259:M259,O259:Q259,W259)</f>
        <v>22</v>
      </c>
      <c r="Y259" cm="1">
        <f t="array" ref="Y259">MAX(IF($C$2:$C$1387=C259,$X$2:$X$1387))</f>
        <v>29</v>
      </c>
      <c r="Z259" cm="1">
        <f t="array" ref="Z259">MIN(IF($C$2:$C$1387=C259,$X$2:$X$1387))</f>
        <v>12</v>
      </c>
      <c r="AA259">
        <f t="shared" ref="AA259:AA322" si="33">Y259-Z259</f>
        <v>17</v>
      </c>
      <c r="AB259">
        <f t="shared" ref="AB259:AB322" si="34">(X259-Z259)/AA259</f>
        <v>0.58823529411764708</v>
      </c>
    </row>
    <row r="260" spans="1:28" x14ac:dyDescent="0.25">
      <c r="A260" t="s">
        <v>114</v>
      </c>
      <c r="B260" t="s">
        <v>115</v>
      </c>
      <c r="C260">
        <v>2010</v>
      </c>
      <c r="D260">
        <v>0.37869998931884763</v>
      </c>
      <c r="E260">
        <v>0.64420790770101399</v>
      </c>
      <c r="F260">
        <v>8.5099999999999995E-2</v>
      </c>
      <c r="G260">
        <v>1.9459101490553132</v>
      </c>
      <c r="H260">
        <v>0.14285714285714285</v>
      </c>
      <c r="I260">
        <v>0.66666666666666663</v>
      </c>
      <c r="J260">
        <v>0</v>
      </c>
      <c r="K260">
        <v>4</v>
      </c>
      <c r="L260">
        <v>3</v>
      </c>
      <c r="M260">
        <v>4</v>
      </c>
      <c r="N260">
        <v>1</v>
      </c>
      <c r="O260">
        <v>1</v>
      </c>
      <c r="P260">
        <v>1</v>
      </c>
      <c r="Q260">
        <f t="shared" si="28"/>
        <v>5</v>
      </c>
      <c r="R260">
        <f t="shared" si="29"/>
        <v>19</v>
      </c>
      <c r="S260">
        <f t="array" ref="S260">MAX(IF($C$2:$C$1387=C260,$R$2:$R$1387))</f>
        <v>29</v>
      </c>
      <c r="T260" cm="1">
        <f t="array" ref="T260">MIN(IF($C$2:$C$1387=C260,$R$2:$R$1387))</f>
        <v>9</v>
      </c>
      <c r="U260">
        <f t="shared" si="30"/>
        <v>20</v>
      </c>
      <c r="V260">
        <f t="shared" si="31"/>
        <v>0.5</v>
      </c>
      <c r="W260" cm="1">
        <f t="array" ref="W260">_xlfn.IFS(N260=1,5,N260=2,4,N260=4,2,N260=5,1,N260=3,3)</f>
        <v>5</v>
      </c>
      <c r="X260">
        <f t="shared" si="32"/>
        <v>23</v>
      </c>
      <c r="Y260" cm="1">
        <f t="array" ref="Y260">MAX(IF($C$2:$C$1387=C260,$X$2:$X$1387))</f>
        <v>29</v>
      </c>
      <c r="Z260" cm="1">
        <f t="array" ref="Z260">MIN(IF($C$2:$C$1387=C260,$X$2:$X$1387))</f>
        <v>12</v>
      </c>
      <c r="AA260">
        <f t="shared" si="33"/>
        <v>17</v>
      </c>
      <c r="AB260">
        <f t="shared" si="34"/>
        <v>0.6470588235294118</v>
      </c>
    </row>
    <row r="261" spans="1:28" x14ac:dyDescent="0.25">
      <c r="A261" t="s">
        <v>114</v>
      </c>
      <c r="B261" s="3" t="s">
        <v>115</v>
      </c>
      <c r="C261">
        <v>2011</v>
      </c>
      <c r="D261">
        <v>0.74622003825367578</v>
      </c>
      <c r="E261">
        <v>0.64811853219403837</v>
      </c>
      <c r="F261">
        <v>8.1782591665492593E-2</v>
      </c>
      <c r="G261">
        <v>1.0986122886681098</v>
      </c>
      <c r="H261">
        <v>0.33333333333333331</v>
      </c>
      <c r="I261">
        <v>0.66666666666666663</v>
      </c>
      <c r="J261">
        <v>1</v>
      </c>
      <c r="K261">
        <v>5</v>
      </c>
      <c r="L261">
        <v>3</v>
      </c>
      <c r="M261">
        <v>3</v>
      </c>
      <c r="N261">
        <v>1</v>
      </c>
      <c r="O261">
        <v>1</v>
      </c>
      <c r="P261">
        <v>1</v>
      </c>
      <c r="Q261">
        <f t="shared" si="28"/>
        <v>1</v>
      </c>
      <c r="R261">
        <f t="shared" si="29"/>
        <v>15</v>
      </c>
      <c r="S261">
        <f t="array" ref="S261">MAX(IF($C$2:$C$1387=C261,$R$2:$R$1387))</f>
        <v>28</v>
      </c>
      <c r="T261" cm="1">
        <f t="array" ref="T261">MIN(IF($C$2:$C$1387=C261,$R$2:$R$1387))</f>
        <v>10</v>
      </c>
      <c r="U261">
        <f t="shared" si="30"/>
        <v>18</v>
      </c>
      <c r="V261">
        <f t="shared" si="31"/>
        <v>0.27777777777777779</v>
      </c>
      <c r="W261" cm="1">
        <f t="array" ref="W261">_xlfn.IFS(N261=1,5,N261=2,4,N261=4,2,N261=5,1,N261=3,3)</f>
        <v>5</v>
      </c>
      <c r="X261">
        <f t="shared" si="32"/>
        <v>19</v>
      </c>
      <c r="Y261" cm="1">
        <f t="array" ref="Y261">MAX(IF($C$2:$C$1387=C261,$X$2:$X$1387))</f>
        <v>29</v>
      </c>
      <c r="Z261" cm="1">
        <f t="array" ref="Z261">MIN(IF($C$2:$C$1387=C261,$X$2:$X$1387))</f>
        <v>12</v>
      </c>
      <c r="AA261">
        <f t="shared" si="33"/>
        <v>17</v>
      </c>
      <c r="AB261">
        <f t="shared" si="34"/>
        <v>0.41176470588235292</v>
      </c>
    </row>
    <row r="262" spans="1:28" x14ac:dyDescent="0.25">
      <c r="A262" t="s">
        <v>114</v>
      </c>
      <c r="B262" t="s">
        <v>115</v>
      </c>
      <c r="C262">
        <v>2012</v>
      </c>
      <c r="D262">
        <v>0.25445010803978613</v>
      </c>
      <c r="E262">
        <v>0.64811853219403837</v>
      </c>
      <c r="F262">
        <v>0</v>
      </c>
      <c r="G262">
        <v>1.791759469228055</v>
      </c>
      <c r="H262">
        <v>0.5</v>
      </c>
      <c r="I262">
        <v>0.66666666666666663</v>
      </c>
      <c r="J262">
        <v>1</v>
      </c>
      <c r="K262">
        <v>3</v>
      </c>
      <c r="L262">
        <v>3</v>
      </c>
      <c r="M262">
        <v>1</v>
      </c>
      <c r="N262">
        <v>1</v>
      </c>
      <c r="O262">
        <v>2</v>
      </c>
      <c r="P262">
        <v>1</v>
      </c>
      <c r="Q262">
        <f t="shared" si="28"/>
        <v>1</v>
      </c>
      <c r="R262">
        <f t="shared" si="29"/>
        <v>12</v>
      </c>
      <c r="S262">
        <f t="array" ref="S262">MAX(IF($C$2:$C$1387=C262,$R$2:$R$1387))</f>
        <v>29</v>
      </c>
      <c r="T262" cm="1">
        <f t="array" ref="T262">MIN(IF($C$2:$C$1387=C262,$R$2:$R$1387))</f>
        <v>11</v>
      </c>
      <c r="U262">
        <f t="shared" si="30"/>
        <v>18</v>
      </c>
      <c r="V262">
        <f t="shared" si="31"/>
        <v>5.5555555555555552E-2</v>
      </c>
      <c r="W262" cm="1">
        <f t="array" ref="W262">_xlfn.IFS(N262=1,5,N262=2,4,N262=4,2,N262=5,1,N262=3,3)</f>
        <v>5</v>
      </c>
      <c r="X262">
        <f t="shared" si="32"/>
        <v>16</v>
      </c>
      <c r="Y262" cm="1">
        <f t="array" ref="Y262">MAX(IF($C$2:$C$1387=C262,$X$2:$X$1387))</f>
        <v>30</v>
      </c>
      <c r="Z262" cm="1">
        <f t="array" ref="Z262">MIN(IF($C$2:$C$1387=C262,$X$2:$X$1387))</f>
        <v>12</v>
      </c>
      <c r="AA262">
        <f t="shared" si="33"/>
        <v>18</v>
      </c>
      <c r="AB262">
        <f t="shared" si="34"/>
        <v>0.22222222222222221</v>
      </c>
    </row>
    <row r="263" spans="1:28" x14ac:dyDescent="0.25">
      <c r="A263" t="s">
        <v>114</v>
      </c>
      <c r="B263" t="s">
        <v>115</v>
      </c>
      <c r="C263">
        <v>2013</v>
      </c>
      <c r="D263">
        <v>0.25445010803978613</v>
      </c>
      <c r="E263">
        <v>0.56367584899645118</v>
      </c>
      <c r="F263">
        <v>0.15082950013861612</v>
      </c>
      <c r="G263">
        <v>1.791759469228055</v>
      </c>
      <c r="H263">
        <v>0.5</v>
      </c>
      <c r="I263">
        <v>0.66666666666666663</v>
      </c>
      <c r="J263">
        <v>1</v>
      </c>
      <c r="K263">
        <v>3</v>
      </c>
      <c r="L263">
        <v>2</v>
      </c>
      <c r="M263">
        <v>5</v>
      </c>
      <c r="N263">
        <v>1</v>
      </c>
      <c r="O263">
        <v>2</v>
      </c>
      <c r="P263">
        <v>1</v>
      </c>
      <c r="Q263">
        <f t="shared" si="28"/>
        <v>1</v>
      </c>
      <c r="R263">
        <f t="shared" si="29"/>
        <v>15</v>
      </c>
      <c r="S263">
        <f t="array" ref="S263">MAX(IF($C$2:$C$1387=C263,$R$2:$R$1387))</f>
        <v>29</v>
      </c>
      <c r="T263" cm="1">
        <f t="array" ref="T263">MIN(IF($C$2:$C$1387=C263,$R$2:$R$1387))</f>
        <v>10</v>
      </c>
      <c r="U263">
        <f t="shared" si="30"/>
        <v>19</v>
      </c>
      <c r="V263">
        <f t="shared" si="31"/>
        <v>0.26315789473684209</v>
      </c>
      <c r="W263" cm="1">
        <f t="array" ref="W263">_xlfn.IFS(N263=1,5,N263=2,4,N263=4,2,N263=5,1,N263=3,3)</f>
        <v>5</v>
      </c>
      <c r="X263">
        <f t="shared" si="32"/>
        <v>19</v>
      </c>
      <c r="Y263" cm="1">
        <f t="array" ref="Y263">MAX(IF($C$2:$C$1387=C263,$X$2:$X$1387))</f>
        <v>32</v>
      </c>
      <c r="Z263" cm="1">
        <f t="array" ref="Z263">MIN(IF($C$2:$C$1387=C263,$X$2:$X$1387))</f>
        <v>10</v>
      </c>
      <c r="AA263">
        <f t="shared" si="33"/>
        <v>22</v>
      </c>
      <c r="AB263">
        <f t="shared" si="34"/>
        <v>0.40909090909090912</v>
      </c>
    </row>
    <row r="264" spans="1:28" x14ac:dyDescent="0.25">
      <c r="A264" t="s">
        <v>114</v>
      </c>
      <c r="B264" t="s">
        <v>115</v>
      </c>
      <c r="C264">
        <v>2014</v>
      </c>
      <c r="D264">
        <v>0.34232743301609009</v>
      </c>
      <c r="E264">
        <v>0.57451214612277968</v>
      </c>
      <c r="F264">
        <v>7.8938983148419239E-2</v>
      </c>
      <c r="G264">
        <v>1.791759469228055</v>
      </c>
      <c r="H264">
        <v>0.5</v>
      </c>
      <c r="I264">
        <v>1</v>
      </c>
      <c r="J264">
        <v>0</v>
      </c>
      <c r="K264">
        <v>4</v>
      </c>
      <c r="L264">
        <v>2</v>
      </c>
      <c r="M264">
        <v>4</v>
      </c>
      <c r="N264">
        <v>1</v>
      </c>
      <c r="O264">
        <v>2</v>
      </c>
      <c r="P264">
        <v>3</v>
      </c>
      <c r="Q264">
        <f t="shared" si="28"/>
        <v>5</v>
      </c>
      <c r="R264">
        <f t="shared" si="29"/>
        <v>21</v>
      </c>
      <c r="S264">
        <f t="array" ref="S264">MAX(IF($C$2:$C$1387=C264,$R$2:$R$1387))</f>
        <v>29</v>
      </c>
      <c r="T264" cm="1">
        <f t="array" ref="T264">MIN(IF($C$2:$C$1387=C264,$R$2:$R$1387))</f>
        <v>11</v>
      </c>
      <c r="U264">
        <f t="shared" si="30"/>
        <v>18</v>
      </c>
      <c r="V264">
        <f t="shared" si="31"/>
        <v>0.55555555555555558</v>
      </c>
      <c r="W264" cm="1">
        <f t="array" ref="W264">_xlfn.IFS(N264=1,5,N264=2,4,N264=4,2,N264=5,1,N264=3,3)</f>
        <v>5</v>
      </c>
      <c r="X264">
        <f t="shared" si="32"/>
        <v>25</v>
      </c>
      <c r="Y264" cm="1">
        <f t="array" ref="Y264">MAX(IF($C$2:$C$1387=C264,$X$2:$X$1387))</f>
        <v>30</v>
      </c>
      <c r="Z264" cm="1">
        <f t="array" ref="Z264">MIN(IF($C$2:$C$1387=C264,$X$2:$X$1387))</f>
        <v>14</v>
      </c>
      <c r="AA264">
        <f t="shared" si="33"/>
        <v>16</v>
      </c>
      <c r="AB264">
        <f t="shared" si="34"/>
        <v>0.6875</v>
      </c>
    </row>
    <row r="265" spans="1:28" x14ac:dyDescent="0.25">
      <c r="A265" t="s">
        <v>114</v>
      </c>
      <c r="B265" t="s">
        <v>115</v>
      </c>
      <c r="C265">
        <v>2015</v>
      </c>
      <c r="D265">
        <v>0.34232743301609009</v>
      </c>
      <c r="E265">
        <v>0.57451214612277968</v>
      </c>
      <c r="F265">
        <v>7.6386620000077426E-2</v>
      </c>
      <c r="G265">
        <v>1.9459101490553132</v>
      </c>
      <c r="H265">
        <v>0.7142857142857143</v>
      </c>
      <c r="I265">
        <v>1</v>
      </c>
      <c r="J265">
        <v>1</v>
      </c>
      <c r="K265">
        <v>4</v>
      </c>
      <c r="L265">
        <v>2</v>
      </c>
      <c r="M265">
        <v>3</v>
      </c>
      <c r="N265">
        <v>1</v>
      </c>
      <c r="O265">
        <v>3</v>
      </c>
      <c r="P265">
        <v>2</v>
      </c>
      <c r="Q265">
        <f t="shared" si="28"/>
        <v>1</v>
      </c>
      <c r="R265">
        <f t="shared" si="29"/>
        <v>16</v>
      </c>
      <c r="S265">
        <f t="array" ref="S265">MAX(IF($C$2:$C$1387=C265,$R$2:$R$1387))</f>
        <v>29</v>
      </c>
      <c r="T265" cm="1">
        <f t="array" ref="T265">MIN(IF($C$2:$C$1387=C265,$R$2:$R$1387))</f>
        <v>11</v>
      </c>
      <c r="U265">
        <f t="shared" si="30"/>
        <v>18</v>
      </c>
      <c r="V265">
        <f t="shared" si="31"/>
        <v>0.27777777777777779</v>
      </c>
      <c r="W265" cm="1">
        <f t="array" ref="W265">_xlfn.IFS(N265=1,5,N265=2,4,N265=4,2,N265=5,1,N265=3,3)</f>
        <v>5</v>
      </c>
      <c r="X265">
        <f t="shared" si="32"/>
        <v>20</v>
      </c>
      <c r="Y265" cm="1">
        <f t="array" ref="Y265">MAX(IF($C$2:$C$1387=C265,$X$2:$X$1387))</f>
        <v>29</v>
      </c>
      <c r="Z265" cm="1">
        <f t="array" ref="Z265">MIN(IF($C$2:$C$1387=C265,$X$2:$X$1387))</f>
        <v>12</v>
      </c>
      <c r="AA265">
        <f t="shared" si="33"/>
        <v>17</v>
      </c>
      <c r="AB265">
        <f t="shared" si="34"/>
        <v>0.47058823529411764</v>
      </c>
    </row>
    <row r="266" spans="1:28" x14ac:dyDescent="0.25">
      <c r="A266" t="s">
        <v>116</v>
      </c>
      <c r="B266" t="s">
        <v>117</v>
      </c>
      <c r="C266">
        <v>2010</v>
      </c>
      <c r="D266">
        <v>8.8978344186677516E-4</v>
      </c>
      <c r="E266">
        <v>0.95147686033102696</v>
      </c>
      <c r="F266">
        <v>7.380803995387329E-3</v>
      </c>
      <c r="G266">
        <v>1.9459101490553132</v>
      </c>
      <c r="H266">
        <v>0.8571428571428571</v>
      </c>
      <c r="I266">
        <v>1</v>
      </c>
      <c r="J266">
        <v>0</v>
      </c>
      <c r="K266">
        <v>2</v>
      </c>
      <c r="L266">
        <v>5</v>
      </c>
      <c r="M266">
        <v>2</v>
      </c>
      <c r="N266">
        <v>1</v>
      </c>
      <c r="O266">
        <v>5</v>
      </c>
      <c r="P266">
        <v>3</v>
      </c>
      <c r="Q266">
        <f t="shared" si="28"/>
        <v>5</v>
      </c>
      <c r="R266">
        <f t="shared" si="29"/>
        <v>23</v>
      </c>
      <c r="S266">
        <f t="array" ref="S266">MAX(IF($C$2:$C$1387=C266,$R$2:$R$1387))</f>
        <v>29</v>
      </c>
      <c r="T266" cm="1">
        <f t="array" ref="T266">MIN(IF($C$2:$C$1387=C266,$R$2:$R$1387))</f>
        <v>9</v>
      </c>
      <c r="U266">
        <f t="shared" si="30"/>
        <v>20</v>
      </c>
      <c r="V266">
        <f t="shared" si="31"/>
        <v>0.7</v>
      </c>
      <c r="W266" cm="1">
        <f t="array" ref="W266">_xlfn.IFS(N266=1,5,N266=2,4,N266=4,2,N266=5,1,N266=3,3)</f>
        <v>5</v>
      </c>
      <c r="X266">
        <f t="shared" si="32"/>
        <v>27</v>
      </c>
      <c r="Y266" cm="1">
        <f t="array" ref="Y266">MAX(IF($C$2:$C$1387=C266,$X$2:$X$1387))</f>
        <v>29</v>
      </c>
      <c r="Z266" cm="1">
        <f t="array" ref="Z266">MIN(IF($C$2:$C$1387=C266,$X$2:$X$1387))</f>
        <v>12</v>
      </c>
      <c r="AA266">
        <f t="shared" si="33"/>
        <v>17</v>
      </c>
      <c r="AB266">
        <f t="shared" si="34"/>
        <v>0.88235294117647056</v>
      </c>
    </row>
    <row r="267" spans="1:28" x14ac:dyDescent="0.25">
      <c r="A267" t="s">
        <v>116</v>
      </c>
      <c r="B267" t="s">
        <v>117</v>
      </c>
      <c r="C267">
        <v>2011</v>
      </c>
      <c r="D267">
        <v>8.9063135938135943E-4</v>
      </c>
      <c r="E267">
        <v>0.94559740028490025</v>
      </c>
      <c r="F267">
        <v>7.1052308031474701E-3</v>
      </c>
      <c r="G267">
        <v>1.9459101490553132</v>
      </c>
      <c r="H267">
        <v>0.8571428571428571</v>
      </c>
      <c r="I267">
        <v>1</v>
      </c>
      <c r="J267">
        <v>0</v>
      </c>
      <c r="K267">
        <v>1</v>
      </c>
      <c r="L267">
        <v>5</v>
      </c>
      <c r="M267">
        <v>2</v>
      </c>
      <c r="N267">
        <v>1</v>
      </c>
      <c r="O267">
        <v>5</v>
      </c>
      <c r="P267">
        <v>3</v>
      </c>
      <c r="Q267">
        <f t="shared" si="28"/>
        <v>5</v>
      </c>
      <c r="R267">
        <f t="shared" si="29"/>
        <v>22</v>
      </c>
      <c r="S267">
        <f t="array" ref="S267">MAX(IF($C$2:$C$1387=C267,$R$2:$R$1387))</f>
        <v>28</v>
      </c>
      <c r="T267" cm="1">
        <f t="array" ref="T267">MIN(IF($C$2:$C$1387=C267,$R$2:$R$1387))</f>
        <v>10</v>
      </c>
      <c r="U267">
        <f t="shared" si="30"/>
        <v>18</v>
      </c>
      <c r="V267">
        <f t="shared" si="31"/>
        <v>0.66666666666666663</v>
      </c>
      <c r="W267" cm="1">
        <f t="array" ref="W267">_xlfn.IFS(N267=1,5,N267=2,4,N267=4,2,N267=5,1,N267=3,3)</f>
        <v>5</v>
      </c>
      <c r="X267">
        <f t="shared" si="32"/>
        <v>26</v>
      </c>
      <c r="Y267" cm="1">
        <f t="array" ref="Y267">MAX(IF($C$2:$C$1387=C267,$X$2:$X$1387))</f>
        <v>29</v>
      </c>
      <c r="Z267" cm="1">
        <f t="array" ref="Z267">MIN(IF($C$2:$C$1387=C267,$X$2:$X$1387))</f>
        <v>12</v>
      </c>
      <c r="AA267">
        <f t="shared" si="33"/>
        <v>17</v>
      </c>
      <c r="AB267">
        <f t="shared" si="34"/>
        <v>0.82352941176470584</v>
      </c>
    </row>
    <row r="268" spans="1:28" x14ac:dyDescent="0.25">
      <c r="A268" t="s">
        <v>116</v>
      </c>
      <c r="B268" t="s">
        <v>117</v>
      </c>
      <c r="C268">
        <v>2012</v>
      </c>
      <c r="D268">
        <v>8.9063135938135943E-4</v>
      </c>
      <c r="E268">
        <v>0.94559740028490025</v>
      </c>
      <c r="F268">
        <v>7.1052308031474701E-3</v>
      </c>
      <c r="G268">
        <v>1.9459101490553132</v>
      </c>
      <c r="H268">
        <v>0.8571428571428571</v>
      </c>
      <c r="I268">
        <v>1</v>
      </c>
      <c r="J268">
        <v>0</v>
      </c>
      <c r="K268">
        <v>2</v>
      </c>
      <c r="L268">
        <v>5</v>
      </c>
      <c r="M268">
        <v>2</v>
      </c>
      <c r="N268">
        <v>1</v>
      </c>
      <c r="O268">
        <v>5</v>
      </c>
      <c r="P268">
        <v>3</v>
      </c>
      <c r="Q268">
        <f t="shared" si="28"/>
        <v>5</v>
      </c>
      <c r="R268">
        <f t="shared" si="29"/>
        <v>23</v>
      </c>
      <c r="S268">
        <f t="array" ref="S268">MAX(IF($C$2:$C$1387=C268,$R$2:$R$1387))</f>
        <v>29</v>
      </c>
      <c r="T268" cm="1">
        <f t="array" ref="T268">MIN(IF($C$2:$C$1387=C268,$R$2:$R$1387))</f>
        <v>11</v>
      </c>
      <c r="U268">
        <f t="shared" si="30"/>
        <v>18</v>
      </c>
      <c r="V268">
        <f t="shared" si="31"/>
        <v>0.66666666666666663</v>
      </c>
      <c r="W268" cm="1">
        <f t="array" ref="W268">_xlfn.IFS(N268=1,5,N268=2,4,N268=4,2,N268=5,1,N268=3,3)</f>
        <v>5</v>
      </c>
      <c r="X268">
        <f t="shared" si="32"/>
        <v>27</v>
      </c>
      <c r="Y268" cm="1">
        <f t="array" ref="Y268">MAX(IF($C$2:$C$1387=C268,$X$2:$X$1387))</f>
        <v>30</v>
      </c>
      <c r="Z268" cm="1">
        <f t="array" ref="Z268">MIN(IF($C$2:$C$1387=C268,$X$2:$X$1387))</f>
        <v>12</v>
      </c>
      <c r="AA268">
        <f t="shared" si="33"/>
        <v>18</v>
      </c>
      <c r="AB268">
        <f t="shared" si="34"/>
        <v>0.83333333333333337</v>
      </c>
    </row>
    <row r="269" spans="1:28" x14ac:dyDescent="0.25">
      <c r="A269" t="s">
        <v>116</v>
      </c>
      <c r="B269" t="s">
        <v>117</v>
      </c>
      <c r="C269">
        <v>2013</v>
      </c>
      <c r="D269">
        <v>8.9063135938135943E-4</v>
      </c>
      <c r="E269">
        <v>0.94559740028490025</v>
      </c>
      <c r="F269">
        <v>7.1052308031474701E-3</v>
      </c>
      <c r="G269">
        <v>1.9459101490553132</v>
      </c>
      <c r="H269">
        <v>0.8571428571428571</v>
      </c>
      <c r="I269">
        <v>1</v>
      </c>
      <c r="J269">
        <v>0</v>
      </c>
      <c r="K269">
        <v>2</v>
      </c>
      <c r="L269">
        <v>5</v>
      </c>
      <c r="M269">
        <v>2</v>
      </c>
      <c r="N269">
        <v>1</v>
      </c>
      <c r="O269">
        <v>5</v>
      </c>
      <c r="P269">
        <v>3</v>
      </c>
      <c r="Q269">
        <f t="shared" si="28"/>
        <v>5</v>
      </c>
      <c r="R269">
        <f t="shared" si="29"/>
        <v>23</v>
      </c>
      <c r="S269">
        <f t="array" ref="S269">MAX(IF($C$2:$C$1387=C269,$R$2:$R$1387))</f>
        <v>29</v>
      </c>
      <c r="T269" cm="1">
        <f t="array" ref="T269">MIN(IF($C$2:$C$1387=C269,$R$2:$R$1387))</f>
        <v>10</v>
      </c>
      <c r="U269">
        <f t="shared" si="30"/>
        <v>19</v>
      </c>
      <c r="V269">
        <f t="shared" si="31"/>
        <v>0.68421052631578949</v>
      </c>
      <c r="W269" cm="1">
        <f t="array" ref="W269">_xlfn.IFS(N269=1,5,N269=2,4,N269=4,2,N269=5,1,N269=3,3)</f>
        <v>5</v>
      </c>
      <c r="X269">
        <f t="shared" si="32"/>
        <v>27</v>
      </c>
      <c r="Y269" cm="1">
        <f t="array" ref="Y269">MAX(IF($C$2:$C$1387=C269,$X$2:$X$1387))</f>
        <v>32</v>
      </c>
      <c r="Z269" cm="1">
        <f t="array" ref="Z269">MIN(IF($C$2:$C$1387=C269,$X$2:$X$1387))</f>
        <v>10</v>
      </c>
      <c r="AA269">
        <f t="shared" si="33"/>
        <v>22</v>
      </c>
      <c r="AB269">
        <f t="shared" si="34"/>
        <v>0.77272727272727271</v>
      </c>
    </row>
    <row r="270" spans="1:28" x14ac:dyDescent="0.25">
      <c r="A270" t="s">
        <v>116</v>
      </c>
      <c r="B270" t="s">
        <v>117</v>
      </c>
      <c r="C270">
        <v>2014</v>
      </c>
      <c r="D270">
        <v>1.4466532695699363E-3</v>
      </c>
      <c r="E270">
        <v>0.9475552418260752</v>
      </c>
      <c r="F270">
        <v>7.0903922466422466E-3</v>
      </c>
      <c r="G270">
        <v>1.9459101490553132</v>
      </c>
      <c r="H270">
        <v>0.8571428571428571</v>
      </c>
      <c r="I270">
        <v>1</v>
      </c>
      <c r="J270">
        <v>0</v>
      </c>
      <c r="K270">
        <v>2</v>
      </c>
      <c r="L270">
        <v>5</v>
      </c>
      <c r="M270">
        <v>2</v>
      </c>
      <c r="N270">
        <v>1</v>
      </c>
      <c r="O270">
        <v>5</v>
      </c>
      <c r="P270">
        <v>3</v>
      </c>
      <c r="Q270">
        <f t="shared" si="28"/>
        <v>5</v>
      </c>
      <c r="R270">
        <f t="shared" si="29"/>
        <v>23</v>
      </c>
      <c r="S270">
        <f t="array" ref="S270">MAX(IF($C$2:$C$1387=C270,$R$2:$R$1387))</f>
        <v>29</v>
      </c>
      <c r="T270" cm="1">
        <f t="array" ref="T270">MIN(IF($C$2:$C$1387=C270,$R$2:$R$1387))</f>
        <v>11</v>
      </c>
      <c r="U270">
        <f t="shared" si="30"/>
        <v>18</v>
      </c>
      <c r="V270">
        <f t="shared" si="31"/>
        <v>0.66666666666666663</v>
      </c>
      <c r="W270" cm="1">
        <f t="array" ref="W270">_xlfn.IFS(N270=1,5,N270=2,4,N270=4,2,N270=5,1,N270=3,3)</f>
        <v>5</v>
      </c>
      <c r="X270">
        <f t="shared" si="32"/>
        <v>27</v>
      </c>
      <c r="Y270" cm="1">
        <f t="array" ref="Y270">MAX(IF($C$2:$C$1387=C270,$X$2:$X$1387))</f>
        <v>30</v>
      </c>
      <c r="Z270" cm="1">
        <f t="array" ref="Z270">MIN(IF($C$2:$C$1387=C270,$X$2:$X$1387))</f>
        <v>14</v>
      </c>
      <c r="AA270">
        <f t="shared" si="33"/>
        <v>16</v>
      </c>
      <c r="AB270">
        <f t="shared" si="34"/>
        <v>0.8125</v>
      </c>
    </row>
    <row r="271" spans="1:28" x14ac:dyDescent="0.25">
      <c r="A271" t="s">
        <v>116</v>
      </c>
      <c r="B271" t="s">
        <v>117</v>
      </c>
      <c r="C271">
        <v>2015</v>
      </c>
      <c r="D271">
        <v>1.5004960317460318E-3</v>
      </c>
      <c r="E271">
        <v>0.74968669447836112</v>
      </c>
      <c r="F271">
        <v>2.6369916734500069E-2</v>
      </c>
      <c r="G271">
        <v>1.9459101490553132</v>
      </c>
      <c r="H271">
        <v>0.8571428571428571</v>
      </c>
      <c r="I271">
        <v>1</v>
      </c>
      <c r="J271">
        <v>0</v>
      </c>
      <c r="K271">
        <v>2</v>
      </c>
      <c r="L271">
        <v>4</v>
      </c>
      <c r="M271">
        <v>2</v>
      </c>
      <c r="N271">
        <v>1</v>
      </c>
      <c r="O271">
        <v>4</v>
      </c>
      <c r="P271">
        <v>2</v>
      </c>
      <c r="Q271">
        <f t="shared" si="28"/>
        <v>5</v>
      </c>
      <c r="R271">
        <f t="shared" si="29"/>
        <v>20</v>
      </c>
      <c r="S271">
        <f t="array" ref="S271">MAX(IF($C$2:$C$1387=C271,$R$2:$R$1387))</f>
        <v>29</v>
      </c>
      <c r="T271" cm="1">
        <f t="array" ref="T271">MIN(IF($C$2:$C$1387=C271,$R$2:$R$1387))</f>
        <v>11</v>
      </c>
      <c r="U271">
        <f t="shared" si="30"/>
        <v>18</v>
      </c>
      <c r="V271">
        <f t="shared" si="31"/>
        <v>0.5</v>
      </c>
      <c r="W271" cm="1">
        <f t="array" ref="W271">_xlfn.IFS(N271=1,5,N271=2,4,N271=4,2,N271=5,1,N271=3,3)</f>
        <v>5</v>
      </c>
      <c r="X271">
        <f t="shared" si="32"/>
        <v>24</v>
      </c>
      <c r="Y271" cm="1">
        <f t="array" ref="Y271">MAX(IF($C$2:$C$1387=C271,$X$2:$X$1387))</f>
        <v>29</v>
      </c>
      <c r="Z271" cm="1">
        <f t="array" ref="Z271">MIN(IF($C$2:$C$1387=C271,$X$2:$X$1387))</f>
        <v>12</v>
      </c>
      <c r="AA271">
        <f t="shared" si="33"/>
        <v>17</v>
      </c>
      <c r="AB271">
        <f t="shared" si="34"/>
        <v>0.70588235294117652</v>
      </c>
    </row>
    <row r="272" spans="1:28" x14ac:dyDescent="0.25">
      <c r="A272" t="s">
        <v>118</v>
      </c>
      <c r="B272" t="s">
        <v>119</v>
      </c>
      <c r="C272">
        <v>2010</v>
      </c>
      <c r="D272">
        <v>1.2192000284194947E-2</v>
      </c>
      <c r="E272">
        <v>0.66748689328303568</v>
      </c>
      <c r="F272">
        <v>2.1259999999999999E-3</v>
      </c>
      <c r="G272">
        <v>1.9459101490553132</v>
      </c>
      <c r="H272">
        <v>0.7142857142857143</v>
      </c>
      <c r="I272">
        <v>0.66666666666666663</v>
      </c>
      <c r="J272">
        <v>0</v>
      </c>
      <c r="K272">
        <v>2</v>
      </c>
      <c r="L272">
        <v>3</v>
      </c>
      <c r="M272">
        <v>2</v>
      </c>
      <c r="N272">
        <v>1</v>
      </c>
      <c r="O272">
        <v>4</v>
      </c>
      <c r="P272">
        <v>1</v>
      </c>
      <c r="Q272">
        <f t="shared" si="28"/>
        <v>5</v>
      </c>
      <c r="R272">
        <f t="shared" si="29"/>
        <v>18</v>
      </c>
      <c r="S272">
        <f t="array" ref="S272">MAX(IF($C$2:$C$1387=C272,$R$2:$R$1387))</f>
        <v>29</v>
      </c>
      <c r="T272" cm="1">
        <f t="array" ref="T272">MIN(IF($C$2:$C$1387=C272,$R$2:$R$1387))</f>
        <v>9</v>
      </c>
      <c r="U272">
        <f t="shared" si="30"/>
        <v>20</v>
      </c>
      <c r="V272">
        <f t="shared" si="31"/>
        <v>0.45</v>
      </c>
      <c r="W272" cm="1">
        <f t="array" ref="W272">_xlfn.IFS(N272=1,5,N272=2,4,N272=4,2,N272=5,1,N272=3,3)</f>
        <v>5</v>
      </c>
      <c r="X272">
        <f t="shared" si="32"/>
        <v>22</v>
      </c>
      <c r="Y272" cm="1">
        <f t="array" ref="Y272">MAX(IF($C$2:$C$1387=C272,$X$2:$X$1387))</f>
        <v>29</v>
      </c>
      <c r="Z272" cm="1">
        <f t="array" ref="Z272">MIN(IF($C$2:$C$1387=C272,$X$2:$X$1387))</f>
        <v>12</v>
      </c>
      <c r="AA272">
        <f t="shared" si="33"/>
        <v>17</v>
      </c>
      <c r="AB272">
        <f t="shared" si="34"/>
        <v>0.58823529411764708</v>
      </c>
    </row>
    <row r="273" spans="1:28" x14ac:dyDescent="0.25">
      <c r="A273" t="s">
        <v>118</v>
      </c>
      <c r="B273" t="s">
        <v>119</v>
      </c>
      <c r="C273">
        <v>2011</v>
      </c>
      <c r="D273">
        <v>1.219422210782909E-2</v>
      </c>
      <c r="E273">
        <v>0.91506059837618237</v>
      </c>
      <c r="F273">
        <v>7.1118664912699601E-4</v>
      </c>
      <c r="G273">
        <v>1.9459101490553132</v>
      </c>
      <c r="H273">
        <v>0.7142857142857143</v>
      </c>
      <c r="I273">
        <v>0.66666666666666663</v>
      </c>
      <c r="J273">
        <v>0</v>
      </c>
      <c r="K273">
        <v>2</v>
      </c>
      <c r="L273">
        <v>5</v>
      </c>
      <c r="M273">
        <v>1</v>
      </c>
      <c r="N273">
        <v>1</v>
      </c>
      <c r="O273">
        <v>4</v>
      </c>
      <c r="P273">
        <v>1</v>
      </c>
      <c r="Q273">
        <f t="shared" si="28"/>
        <v>5</v>
      </c>
      <c r="R273">
        <f t="shared" si="29"/>
        <v>19</v>
      </c>
      <c r="S273">
        <f t="array" ref="S273">MAX(IF($C$2:$C$1387=C273,$R$2:$R$1387))</f>
        <v>28</v>
      </c>
      <c r="T273" cm="1">
        <f t="array" ref="T273">MIN(IF($C$2:$C$1387=C273,$R$2:$R$1387))</f>
        <v>10</v>
      </c>
      <c r="U273">
        <f t="shared" si="30"/>
        <v>18</v>
      </c>
      <c r="V273">
        <f t="shared" si="31"/>
        <v>0.5</v>
      </c>
      <c r="W273" cm="1">
        <f t="array" ref="W273">_xlfn.IFS(N273=1,5,N273=2,4,N273=4,2,N273=5,1,N273=3,3)</f>
        <v>5</v>
      </c>
      <c r="X273">
        <f t="shared" si="32"/>
        <v>23</v>
      </c>
      <c r="Y273" cm="1">
        <f t="array" ref="Y273">MAX(IF($C$2:$C$1387=C273,$X$2:$X$1387))</f>
        <v>29</v>
      </c>
      <c r="Z273" cm="1">
        <f t="array" ref="Z273">MIN(IF($C$2:$C$1387=C273,$X$2:$X$1387))</f>
        <v>12</v>
      </c>
      <c r="AA273">
        <f t="shared" si="33"/>
        <v>17</v>
      </c>
      <c r="AB273">
        <f t="shared" si="34"/>
        <v>0.6470588235294118</v>
      </c>
    </row>
    <row r="274" spans="1:28" x14ac:dyDescent="0.25">
      <c r="A274" t="s">
        <v>118</v>
      </c>
      <c r="B274" t="s">
        <v>119</v>
      </c>
      <c r="C274">
        <v>2012</v>
      </c>
      <c r="D274">
        <v>1.1302772964730694E-2</v>
      </c>
      <c r="E274">
        <v>0.90680277059750791</v>
      </c>
      <c r="F274">
        <v>8.1060863719206418E-4</v>
      </c>
      <c r="G274">
        <v>2.0794415416798357</v>
      </c>
      <c r="H274">
        <v>0.625</v>
      </c>
      <c r="I274">
        <v>0.66666666666666663</v>
      </c>
      <c r="J274">
        <v>0</v>
      </c>
      <c r="K274">
        <v>2</v>
      </c>
      <c r="L274">
        <v>5</v>
      </c>
      <c r="M274">
        <v>1</v>
      </c>
      <c r="N274">
        <v>3</v>
      </c>
      <c r="O274">
        <v>3</v>
      </c>
      <c r="P274">
        <v>1</v>
      </c>
      <c r="Q274">
        <f t="shared" si="28"/>
        <v>5</v>
      </c>
      <c r="R274">
        <f t="shared" si="29"/>
        <v>20</v>
      </c>
      <c r="S274">
        <f t="array" ref="S274">MAX(IF($C$2:$C$1387=C274,$R$2:$R$1387))</f>
        <v>29</v>
      </c>
      <c r="T274" cm="1">
        <f t="array" ref="T274">MIN(IF($C$2:$C$1387=C274,$R$2:$R$1387))</f>
        <v>11</v>
      </c>
      <c r="U274">
        <f t="shared" si="30"/>
        <v>18</v>
      </c>
      <c r="V274">
        <f t="shared" si="31"/>
        <v>0.5</v>
      </c>
      <c r="W274" cm="1">
        <f t="array" ref="W274">_xlfn.IFS(N274=1,5,N274=2,4,N274=4,2,N274=5,1,N274=3,3)</f>
        <v>3</v>
      </c>
      <c r="X274">
        <f t="shared" si="32"/>
        <v>20</v>
      </c>
      <c r="Y274" cm="1">
        <f t="array" ref="Y274">MAX(IF($C$2:$C$1387=C274,$X$2:$X$1387))</f>
        <v>30</v>
      </c>
      <c r="Z274" cm="1">
        <f t="array" ref="Z274">MIN(IF($C$2:$C$1387=C274,$X$2:$X$1387))</f>
        <v>12</v>
      </c>
      <c r="AA274">
        <f t="shared" si="33"/>
        <v>18</v>
      </c>
      <c r="AB274">
        <f t="shared" si="34"/>
        <v>0.44444444444444442</v>
      </c>
    </row>
    <row r="275" spans="1:28" x14ac:dyDescent="0.25">
      <c r="A275" t="s">
        <v>118</v>
      </c>
      <c r="B275" t="s">
        <v>119</v>
      </c>
      <c r="C275">
        <v>2013</v>
      </c>
      <c r="D275">
        <v>3.6909865928484642E-3</v>
      </c>
      <c r="E275">
        <v>0.89781841612152113</v>
      </c>
      <c r="F275">
        <v>2.5906408911584457E-4</v>
      </c>
      <c r="G275">
        <v>1.6094379124341003</v>
      </c>
      <c r="H275">
        <v>0.6</v>
      </c>
      <c r="I275">
        <v>0.66666666666666663</v>
      </c>
      <c r="J275">
        <v>0</v>
      </c>
      <c r="K275">
        <v>2</v>
      </c>
      <c r="L275">
        <v>5</v>
      </c>
      <c r="M275">
        <v>1</v>
      </c>
      <c r="N275">
        <v>1</v>
      </c>
      <c r="O275">
        <v>3</v>
      </c>
      <c r="P275">
        <v>1</v>
      </c>
      <c r="Q275">
        <f t="shared" si="28"/>
        <v>5</v>
      </c>
      <c r="R275">
        <f t="shared" si="29"/>
        <v>18</v>
      </c>
      <c r="S275">
        <f t="array" ref="S275">MAX(IF($C$2:$C$1387=C275,$R$2:$R$1387))</f>
        <v>29</v>
      </c>
      <c r="T275" cm="1">
        <f t="array" ref="T275">MIN(IF($C$2:$C$1387=C275,$R$2:$R$1387))</f>
        <v>10</v>
      </c>
      <c r="U275">
        <f t="shared" si="30"/>
        <v>19</v>
      </c>
      <c r="V275">
        <f t="shared" si="31"/>
        <v>0.42105263157894735</v>
      </c>
      <c r="W275" cm="1">
        <f t="array" ref="W275">_xlfn.IFS(N275=1,5,N275=2,4,N275=4,2,N275=5,1,N275=3,3)</f>
        <v>5</v>
      </c>
      <c r="X275">
        <f t="shared" si="32"/>
        <v>22</v>
      </c>
      <c r="Y275" cm="1">
        <f t="array" ref="Y275">MAX(IF($C$2:$C$1387=C275,$X$2:$X$1387))</f>
        <v>32</v>
      </c>
      <c r="Z275" cm="1">
        <f t="array" ref="Z275">MIN(IF($C$2:$C$1387=C275,$X$2:$X$1387))</f>
        <v>10</v>
      </c>
      <c r="AA275">
        <f t="shared" si="33"/>
        <v>22</v>
      </c>
      <c r="AB275">
        <f t="shared" si="34"/>
        <v>0.54545454545454541</v>
      </c>
    </row>
    <row r="276" spans="1:28" x14ac:dyDescent="0.25">
      <c r="A276" t="s">
        <v>118</v>
      </c>
      <c r="B276" t="s">
        <v>119</v>
      </c>
      <c r="C276">
        <v>2014</v>
      </c>
      <c r="D276">
        <v>4.8772734081203625E-2</v>
      </c>
      <c r="E276">
        <v>0.90043849298577838</v>
      </c>
      <c r="F276">
        <v>7.3798461884908644E-5</v>
      </c>
      <c r="G276">
        <v>1.6094379124341003</v>
      </c>
      <c r="H276">
        <v>0.4</v>
      </c>
      <c r="I276">
        <v>0.66666666666666663</v>
      </c>
      <c r="J276">
        <v>0</v>
      </c>
      <c r="K276">
        <v>2</v>
      </c>
      <c r="L276">
        <v>5</v>
      </c>
      <c r="M276">
        <v>1</v>
      </c>
      <c r="N276">
        <v>1</v>
      </c>
      <c r="O276">
        <v>1</v>
      </c>
      <c r="P276">
        <v>1</v>
      </c>
      <c r="Q276">
        <f t="shared" si="28"/>
        <v>5</v>
      </c>
      <c r="R276">
        <f t="shared" si="29"/>
        <v>16</v>
      </c>
      <c r="S276">
        <f t="array" ref="S276">MAX(IF($C$2:$C$1387=C276,$R$2:$R$1387))</f>
        <v>29</v>
      </c>
      <c r="T276" cm="1">
        <f t="array" ref="T276">MIN(IF($C$2:$C$1387=C276,$R$2:$R$1387))</f>
        <v>11</v>
      </c>
      <c r="U276">
        <f t="shared" si="30"/>
        <v>18</v>
      </c>
      <c r="V276">
        <f t="shared" si="31"/>
        <v>0.27777777777777779</v>
      </c>
      <c r="W276" cm="1">
        <f t="array" ref="W276">_xlfn.IFS(N276=1,5,N276=2,4,N276=4,2,N276=5,1,N276=3,3)</f>
        <v>5</v>
      </c>
      <c r="X276">
        <f t="shared" si="32"/>
        <v>20</v>
      </c>
      <c r="Y276" cm="1">
        <f t="array" ref="Y276">MAX(IF($C$2:$C$1387=C276,$X$2:$X$1387))</f>
        <v>30</v>
      </c>
      <c r="Z276" cm="1">
        <f t="array" ref="Z276">MIN(IF($C$2:$C$1387=C276,$X$2:$X$1387))</f>
        <v>14</v>
      </c>
      <c r="AA276">
        <f t="shared" si="33"/>
        <v>16</v>
      </c>
      <c r="AB276">
        <f t="shared" si="34"/>
        <v>0.375</v>
      </c>
    </row>
    <row r="277" spans="1:28" x14ac:dyDescent="0.25">
      <c r="A277" t="s">
        <v>118</v>
      </c>
      <c r="B277" t="s">
        <v>119</v>
      </c>
      <c r="C277">
        <v>2015</v>
      </c>
      <c r="D277">
        <v>4.8831706121387437E-2</v>
      </c>
      <c r="E277">
        <v>0.90043849298577838</v>
      </c>
      <c r="F277">
        <v>7.1087583092866219E-5</v>
      </c>
      <c r="G277">
        <v>2.1972245773362196</v>
      </c>
      <c r="H277">
        <v>0.77777777777777779</v>
      </c>
      <c r="I277">
        <v>0.75</v>
      </c>
      <c r="J277">
        <v>0</v>
      </c>
      <c r="K277">
        <v>2</v>
      </c>
      <c r="L277">
        <v>5</v>
      </c>
      <c r="M277">
        <v>1</v>
      </c>
      <c r="N277">
        <v>4</v>
      </c>
      <c r="O277">
        <v>4</v>
      </c>
      <c r="P277">
        <v>2</v>
      </c>
      <c r="Q277">
        <f t="shared" si="28"/>
        <v>5</v>
      </c>
      <c r="R277">
        <f t="shared" si="29"/>
        <v>23</v>
      </c>
      <c r="S277">
        <f t="array" ref="S277">MAX(IF($C$2:$C$1387=C277,$R$2:$R$1387))</f>
        <v>29</v>
      </c>
      <c r="T277" cm="1">
        <f t="array" ref="T277">MIN(IF($C$2:$C$1387=C277,$R$2:$R$1387))</f>
        <v>11</v>
      </c>
      <c r="U277">
        <f t="shared" si="30"/>
        <v>18</v>
      </c>
      <c r="V277">
        <f t="shared" si="31"/>
        <v>0.66666666666666663</v>
      </c>
      <c r="W277" cm="1">
        <f t="array" ref="W277">_xlfn.IFS(N277=1,5,N277=2,4,N277=4,2,N277=5,1,N277=3,3)</f>
        <v>2</v>
      </c>
      <c r="X277">
        <f t="shared" si="32"/>
        <v>21</v>
      </c>
      <c r="Y277" cm="1">
        <f t="array" ref="Y277">MAX(IF($C$2:$C$1387=C277,$X$2:$X$1387))</f>
        <v>29</v>
      </c>
      <c r="Z277" cm="1">
        <f t="array" ref="Z277">MIN(IF($C$2:$C$1387=C277,$X$2:$X$1387))</f>
        <v>12</v>
      </c>
      <c r="AA277">
        <f t="shared" si="33"/>
        <v>17</v>
      </c>
      <c r="AB277">
        <f t="shared" si="34"/>
        <v>0.52941176470588236</v>
      </c>
    </row>
    <row r="278" spans="1:28" x14ac:dyDescent="0.25">
      <c r="A278" t="s">
        <v>120</v>
      </c>
      <c r="B278" t="s">
        <v>121</v>
      </c>
      <c r="C278">
        <v>2010</v>
      </c>
      <c r="D278">
        <v>5.4382897603485837E-2</v>
      </c>
      <c r="E278">
        <v>0.38340283224400873</v>
      </c>
      <c r="F278">
        <v>0.24689934640522876</v>
      </c>
      <c r="G278">
        <v>2.1972245773362196</v>
      </c>
      <c r="H278">
        <v>0.77777777777777779</v>
      </c>
      <c r="I278">
        <v>0.66666666666666663</v>
      </c>
      <c r="J278">
        <v>0</v>
      </c>
      <c r="K278">
        <v>2</v>
      </c>
      <c r="L278">
        <v>1</v>
      </c>
      <c r="M278">
        <v>5</v>
      </c>
      <c r="N278">
        <v>4</v>
      </c>
      <c r="O278">
        <v>4</v>
      </c>
      <c r="P278">
        <v>1</v>
      </c>
      <c r="Q278">
        <f t="shared" si="28"/>
        <v>5</v>
      </c>
      <c r="R278">
        <f t="shared" si="29"/>
        <v>22</v>
      </c>
      <c r="S278">
        <f t="array" ref="S278">MAX(IF($C$2:$C$1387=C278,$R$2:$R$1387))</f>
        <v>29</v>
      </c>
      <c r="T278" cm="1">
        <f t="array" ref="T278">MIN(IF($C$2:$C$1387=C278,$R$2:$R$1387))</f>
        <v>9</v>
      </c>
      <c r="U278">
        <f t="shared" si="30"/>
        <v>20</v>
      </c>
      <c r="V278">
        <f t="shared" si="31"/>
        <v>0.65</v>
      </c>
      <c r="W278" cm="1">
        <f t="array" ref="W278">_xlfn.IFS(N278=1,5,N278=2,4,N278=4,2,N278=5,1,N278=3,3)</f>
        <v>2</v>
      </c>
      <c r="X278">
        <f t="shared" si="32"/>
        <v>20</v>
      </c>
      <c r="Y278" cm="1">
        <f t="array" ref="Y278">MAX(IF($C$2:$C$1387=C278,$X$2:$X$1387))</f>
        <v>29</v>
      </c>
      <c r="Z278" cm="1">
        <f t="array" ref="Z278">MIN(IF($C$2:$C$1387=C278,$X$2:$X$1387))</f>
        <v>12</v>
      </c>
      <c r="AA278">
        <f t="shared" si="33"/>
        <v>17</v>
      </c>
      <c r="AB278">
        <f t="shared" si="34"/>
        <v>0.47058823529411764</v>
      </c>
    </row>
    <row r="279" spans="1:28" x14ac:dyDescent="0.25">
      <c r="A279" t="s">
        <v>120</v>
      </c>
      <c r="B279" t="s">
        <v>121</v>
      </c>
      <c r="C279">
        <v>2011</v>
      </c>
      <c r="D279">
        <v>6.8211009440813361E-2</v>
      </c>
      <c r="E279">
        <v>0.3459096586782861</v>
      </c>
      <c r="F279">
        <v>0.15492351488743647</v>
      </c>
      <c r="G279">
        <v>2.1972245773362196</v>
      </c>
      <c r="H279">
        <v>0.66666666666666663</v>
      </c>
      <c r="I279">
        <v>0.66666666666666663</v>
      </c>
      <c r="J279">
        <v>0</v>
      </c>
      <c r="K279">
        <v>2</v>
      </c>
      <c r="L279">
        <v>1</v>
      </c>
      <c r="M279">
        <v>4</v>
      </c>
      <c r="N279">
        <v>4</v>
      </c>
      <c r="O279">
        <v>3</v>
      </c>
      <c r="P279">
        <v>1</v>
      </c>
      <c r="Q279">
        <f t="shared" si="28"/>
        <v>5</v>
      </c>
      <c r="R279">
        <f t="shared" si="29"/>
        <v>20</v>
      </c>
      <c r="S279">
        <f t="array" ref="S279">MAX(IF($C$2:$C$1387=C279,$R$2:$R$1387))</f>
        <v>28</v>
      </c>
      <c r="T279" cm="1">
        <f t="array" ref="T279">MIN(IF($C$2:$C$1387=C279,$R$2:$R$1387))</f>
        <v>10</v>
      </c>
      <c r="U279">
        <f t="shared" si="30"/>
        <v>18</v>
      </c>
      <c r="V279">
        <f t="shared" si="31"/>
        <v>0.55555555555555558</v>
      </c>
      <c r="W279" cm="1">
        <f t="array" ref="W279">_xlfn.IFS(N279=1,5,N279=2,4,N279=4,2,N279=5,1,N279=3,3)</f>
        <v>2</v>
      </c>
      <c r="X279">
        <f t="shared" si="32"/>
        <v>18</v>
      </c>
      <c r="Y279" cm="1">
        <f t="array" ref="Y279">MAX(IF($C$2:$C$1387=C279,$X$2:$X$1387))</f>
        <v>29</v>
      </c>
      <c r="Z279" cm="1">
        <f t="array" ref="Z279">MIN(IF($C$2:$C$1387=C279,$X$2:$X$1387))</f>
        <v>12</v>
      </c>
      <c r="AA279">
        <f t="shared" si="33"/>
        <v>17</v>
      </c>
      <c r="AB279">
        <f t="shared" si="34"/>
        <v>0.35294117647058826</v>
      </c>
    </row>
    <row r="280" spans="1:28" x14ac:dyDescent="0.25">
      <c r="A280" t="s">
        <v>120</v>
      </c>
      <c r="B280" t="s">
        <v>121</v>
      </c>
      <c r="C280">
        <v>2012</v>
      </c>
      <c r="D280">
        <v>6.5642933914306464E-2</v>
      </c>
      <c r="E280">
        <v>0.33156589687726945</v>
      </c>
      <c r="F280">
        <v>0.17028978939724038</v>
      </c>
      <c r="G280">
        <v>2.1972245773362196</v>
      </c>
      <c r="H280">
        <v>0.66666666666666663</v>
      </c>
      <c r="I280">
        <v>0.66666666666666663</v>
      </c>
      <c r="J280">
        <v>0</v>
      </c>
      <c r="K280">
        <v>2</v>
      </c>
      <c r="L280">
        <v>1</v>
      </c>
      <c r="M280">
        <v>5</v>
      </c>
      <c r="N280">
        <v>4</v>
      </c>
      <c r="O280">
        <v>3</v>
      </c>
      <c r="P280">
        <v>1</v>
      </c>
      <c r="Q280">
        <f t="shared" si="28"/>
        <v>5</v>
      </c>
      <c r="R280">
        <f t="shared" si="29"/>
        <v>21</v>
      </c>
      <c r="S280">
        <f t="array" ref="S280">MAX(IF($C$2:$C$1387=C280,$R$2:$R$1387))</f>
        <v>29</v>
      </c>
      <c r="T280" cm="1">
        <f t="array" ref="T280">MIN(IF($C$2:$C$1387=C280,$R$2:$R$1387))</f>
        <v>11</v>
      </c>
      <c r="U280">
        <f t="shared" si="30"/>
        <v>18</v>
      </c>
      <c r="V280">
        <f t="shared" si="31"/>
        <v>0.55555555555555558</v>
      </c>
      <c r="W280" cm="1">
        <f t="array" ref="W280">_xlfn.IFS(N280=1,5,N280=2,4,N280=4,2,N280=5,1,N280=3,3)</f>
        <v>2</v>
      </c>
      <c r="X280">
        <f t="shared" si="32"/>
        <v>19</v>
      </c>
      <c r="Y280" cm="1">
        <f t="array" ref="Y280">MAX(IF($C$2:$C$1387=C280,$X$2:$X$1387))</f>
        <v>30</v>
      </c>
      <c r="Z280" cm="1">
        <f t="array" ref="Z280">MIN(IF($C$2:$C$1387=C280,$X$2:$X$1387))</f>
        <v>12</v>
      </c>
      <c r="AA280">
        <f t="shared" si="33"/>
        <v>18</v>
      </c>
      <c r="AB280">
        <f t="shared" si="34"/>
        <v>0.3888888888888889</v>
      </c>
    </row>
    <row r="281" spans="1:28" x14ac:dyDescent="0.25">
      <c r="A281" t="s">
        <v>120</v>
      </c>
      <c r="B281" t="s">
        <v>121</v>
      </c>
      <c r="C281">
        <v>2013</v>
      </c>
      <c r="D281">
        <v>0.11199059549745824</v>
      </c>
      <c r="E281">
        <v>0.35516397966594043</v>
      </c>
      <c r="F281">
        <v>0.23309273783587509</v>
      </c>
      <c r="G281">
        <v>2.3025850929940459</v>
      </c>
      <c r="H281">
        <v>0.8</v>
      </c>
      <c r="I281">
        <v>1</v>
      </c>
      <c r="J281">
        <v>0</v>
      </c>
      <c r="K281">
        <v>3</v>
      </c>
      <c r="L281">
        <v>1</v>
      </c>
      <c r="M281">
        <v>5</v>
      </c>
      <c r="N281">
        <v>5</v>
      </c>
      <c r="O281">
        <v>5</v>
      </c>
      <c r="P281">
        <v>3</v>
      </c>
      <c r="Q281">
        <f t="shared" si="28"/>
        <v>5</v>
      </c>
      <c r="R281">
        <f t="shared" si="29"/>
        <v>27</v>
      </c>
      <c r="S281">
        <f t="array" ref="S281">MAX(IF($C$2:$C$1387=C281,$R$2:$R$1387))</f>
        <v>29</v>
      </c>
      <c r="T281" cm="1">
        <f t="array" ref="T281">MIN(IF($C$2:$C$1387=C281,$R$2:$R$1387))</f>
        <v>10</v>
      </c>
      <c r="U281">
        <f t="shared" si="30"/>
        <v>19</v>
      </c>
      <c r="V281">
        <f t="shared" si="31"/>
        <v>0.89473684210526316</v>
      </c>
      <c r="W281" cm="1">
        <f t="array" ref="W281">_xlfn.IFS(N281=1,5,N281=2,4,N281=4,2,N281=5,1,N281=3,3)</f>
        <v>1</v>
      </c>
      <c r="X281">
        <f t="shared" si="32"/>
        <v>23</v>
      </c>
      <c r="Y281" cm="1">
        <f t="array" ref="Y281">MAX(IF($C$2:$C$1387=C281,$X$2:$X$1387))</f>
        <v>32</v>
      </c>
      <c r="Z281" cm="1">
        <f t="array" ref="Z281">MIN(IF($C$2:$C$1387=C281,$X$2:$X$1387))</f>
        <v>10</v>
      </c>
      <c r="AA281">
        <f t="shared" si="33"/>
        <v>22</v>
      </c>
      <c r="AB281">
        <f t="shared" si="34"/>
        <v>0.59090909090909094</v>
      </c>
    </row>
    <row r="282" spans="1:28" x14ac:dyDescent="0.25">
      <c r="A282" t="s">
        <v>120</v>
      </c>
      <c r="B282" t="s">
        <v>121</v>
      </c>
      <c r="C282">
        <v>2014</v>
      </c>
      <c r="D282">
        <v>6.414429920116195E-2</v>
      </c>
      <c r="E282">
        <v>0.35516397966594043</v>
      </c>
      <c r="F282">
        <v>0.21369226579520698</v>
      </c>
      <c r="G282">
        <v>2.1972245773362196</v>
      </c>
      <c r="H282">
        <v>0.77777777777777779</v>
      </c>
      <c r="I282">
        <v>1</v>
      </c>
      <c r="J282">
        <v>0</v>
      </c>
      <c r="K282">
        <v>3</v>
      </c>
      <c r="L282">
        <v>1</v>
      </c>
      <c r="M282">
        <v>5</v>
      </c>
      <c r="N282">
        <v>4</v>
      </c>
      <c r="O282">
        <v>5</v>
      </c>
      <c r="P282">
        <v>3</v>
      </c>
      <c r="Q282">
        <f t="shared" si="28"/>
        <v>5</v>
      </c>
      <c r="R282">
        <f t="shared" si="29"/>
        <v>26</v>
      </c>
      <c r="S282">
        <f t="array" ref="S282">MAX(IF($C$2:$C$1387=C282,$R$2:$R$1387))</f>
        <v>29</v>
      </c>
      <c r="T282" cm="1">
        <f t="array" ref="T282">MIN(IF($C$2:$C$1387=C282,$R$2:$R$1387))</f>
        <v>11</v>
      </c>
      <c r="U282">
        <f t="shared" si="30"/>
        <v>18</v>
      </c>
      <c r="V282">
        <f t="shared" si="31"/>
        <v>0.83333333333333337</v>
      </c>
      <c r="W282" cm="1">
        <f t="array" ref="W282">_xlfn.IFS(N282=1,5,N282=2,4,N282=4,2,N282=5,1,N282=3,3)</f>
        <v>2</v>
      </c>
      <c r="X282">
        <f t="shared" si="32"/>
        <v>24</v>
      </c>
      <c r="Y282" cm="1">
        <f t="array" ref="Y282">MAX(IF($C$2:$C$1387=C282,$X$2:$X$1387))</f>
        <v>30</v>
      </c>
      <c r="Z282" cm="1">
        <f t="array" ref="Z282">MIN(IF($C$2:$C$1387=C282,$X$2:$X$1387))</f>
        <v>14</v>
      </c>
      <c r="AA282">
        <f t="shared" si="33"/>
        <v>16</v>
      </c>
      <c r="AB282">
        <f t="shared" si="34"/>
        <v>0.625</v>
      </c>
    </row>
    <row r="283" spans="1:28" x14ac:dyDescent="0.25">
      <c r="A283" t="s">
        <v>120</v>
      </c>
      <c r="B283" t="s">
        <v>121</v>
      </c>
      <c r="C283">
        <v>2015</v>
      </c>
      <c r="D283">
        <v>6.2781953522149603E-2</v>
      </c>
      <c r="E283">
        <v>0.36072556281771967</v>
      </c>
      <c r="F283">
        <v>5.7033115468409584E-2</v>
      </c>
      <c r="G283">
        <v>2.0794415416798357</v>
      </c>
      <c r="H283">
        <v>0.625</v>
      </c>
      <c r="I283">
        <v>0.66666666666666663</v>
      </c>
      <c r="J283">
        <v>0</v>
      </c>
      <c r="K283">
        <v>3</v>
      </c>
      <c r="L283">
        <v>1</v>
      </c>
      <c r="M283">
        <v>3</v>
      </c>
      <c r="N283">
        <v>3</v>
      </c>
      <c r="O283">
        <v>2</v>
      </c>
      <c r="P283">
        <v>1</v>
      </c>
      <c r="Q283">
        <f t="shared" si="28"/>
        <v>5</v>
      </c>
      <c r="R283">
        <f t="shared" si="29"/>
        <v>18</v>
      </c>
      <c r="S283">
        <f t="array" ref="S283">MAX(IF($C$2:$C$1387=C283,$R$2:$R$1387))</f>
        <v>29</v>
      </c>
      <c r="T283" cm="1">
        <f t="array" ref="T283">MIN(IF($C$2:$C$1387=C283,$R$2:$R$1387))</f>
        <v>11</v>
      </c>
      <c r="U283">
        <f t="shared" si="30"/>
        <v>18</v>
      </c>
      <c r="V283">
        <f t="shared" si="31"/>
        <v>0.3888888888888889</v>
      </c>
      <c r="W283" cm="1">
        <f t="array" ref="W283">_xlfn.IFS(N283=1,5,N283=2,4,N283=4,2,N283=5,1,N283=3,3)</f>
        <v>3</v>
      </c>
      <c r="X283">
        <f t="shared" si="32"/>
        <v>18</v>
      </c>
      <c r="Y283" cm="1">
        <f t="array" ref="Y283">MAX(IF($C$2:$C$1387=C283,$X$2:$X$1387))</f>
        <v>29</v>
      </c>
      <c r="Z283" cm="1">
        <f t="array" ref="Z283">MIN(IF($C$2:$C$1387=C283,$X$2:$X$1387))</f>
        <v>12</v>
      </c>
      <c r="AA283">
        <f t="shared" si="33"/>
        <v>17</v>
      </c>
      <c r="AB283">
        <f t="shared" si="34"/>
        <v>0.35294117647058826</v>
      </c>
    </row>
    <row r="284" spans="1:28" x14ac:dyDescent="0.25">
      <c r="A284" t="s">
        <v>122</v>
      </c>
      <c r="B284" t="s">
        <v>123</v>
      </c>
      <c r="C284">
        <v>2010</v>
      </c>
      <c r="D284">
        <v>0</v>
      </c>
      <c r="E284">
        <v>0.41079447352101067</v>
      </c>
      <c r="F284">
        <v>8.4699999999999984E-2</v>
      </c>
      <c r="G284">
        <v>1.9459101490553132</v>
      </c>
      <c r="H284">
        <v>0.5714285714285714</v>
      </c>
      <c r="I284">
        <v>0.66666666666666663</v>
      </c>
      <c r="J284">
        <v>1</v>
      </c>
      <c r="K284">
        <v>1</v>
      </c>
      <c r="L284">
        <v>1</v>
      </c>
      <c r="M284">
        <v>3</v>
      </c>
      <c r="N284">
        <v>1</v>
      </c>
      <c r="O284">
        <v>2</v>
      </c>
      <c r="P284">
        <v>1</v>
      </c>
      <c r="Q284">
        <f t="shared" si="28"/>
        <v>1</v>
      </c>
      <c r="R284">
        <f t="shared" si="29"/>
        <v>10</v>
      </c>
      <c r="S284">
        <f t="array" ref="S284">MAX(IF($C$2:$C$1387=C284,$R$2:$R$1387))</f>
        <v>29</v>
      </c>
      <c r="T284" cm="1">
        <f t="array" ref="T284">MIN(IF($C$2:$C$1387=C284,$R$2:$R$1387))</f>
        <v>9</v>
      </c>
      <c r="U284">
        <f t="shared" si="30"/>
        <v>20</v>
      </c>
      <c r="V284">
        <f t="shared" si="31"/>
        <v>0.05</v>
      </c>
      <c r="W284" cm="1">
        <f t="array" ref="W284">_xlfn.IFS(N284=1,5,N284=2,4,N284=4,2,N284=5,1,N284=3,3)</f>
        <v>5</v>
      </c>
      <c r="X284">
        <f t="shared" si="32"/>
        <v>14</v>
      </c>
      <c r="Y284" cm="1">
        <f t="array" ref="Y284">MAX(IF($C$2:$C$1387=C284,$X$2:$X$1387))</f>
        <v>29</v>
      </c>
      <c r="Z284" cm="1">
        <f t="array" ref="Z284">MIN(IF($C$2:$C$1387=C284,$X$2:$X$1387))</f>
        <v>12</v>
      </c>
      <c r="AA284">
        <f t="shared" si="33"/>
        <v>17</v>
      </c>
      <c r="AB284">
        <f t="shared" si="34"/>
        <v>0.11764705882352941</v>
      </c>
    </row>
    <row r="285" spans="1:28" x14ac:dyDescent="0.25">
      <c r="A285" t="s">
        <v>122</v>
      </c>
      <c r="B285" t="s">
        <v>123</v>
      </c>
      <c r="C285">
        <v>2011</v>
      </c>
      <c r="D285">
        <v>6.116660782351982E-2</v>
      </c>
      <c r="E285">
        <v>0.41079447352101067</v>
      </c>
      <c r="F285">
        <v>8.4859350112361481E-2</v>
      </c>
      <c r="G285">
        <v>2.0794415416798357</v>
      </c>
      <c r="H285">
        <v>0.5</v>
      </c>
      <c r="I285">
        <v>1</v>
      </c>
      <c r="J285">
        <v>1</v>
      </c>
      <c r="K285">
        <v>2</v>
      </c>
      <c r="L285">
        <v>1</v>
      </c>
      <c r="M285">
        <v>3</v>
      </c>
      <c r="N285">
        <v>3</v>
      </c>
      <c r="O285">
        <v>2</v>
      </c>
      <c r="P285">
        <v>3</v>
      </c>
      <c r="Q285">
        <f t="shared" si="28"/>
        <v>1</v>
      </c>
      <c r="R285">
        <f t="shared" si="29"/>
        <v>15</v>
      </c>
      <c r="S285">
        <f t="array" ref="S285">MAX(IF($C$2:$C$1387=C285,$R$2:$R$1387))</f>
        <v>28</v>
      </c>
      <c r="T285" cm="1">
        <f t="array" ref="T285">MIN(IF($C$2:$C$1387=C285,$R$2:$R$1387))</f>
        <v>10</v>
      </c>
      <c r="U285">
        <f t="shared" si="30"/>
        <v>18</v>
      </c>
      <c r="V285">
        <f t="shared" si="31"/>
        <v>0.27777777777777779</v>
      </c>
      <c r="W285" cm="1">
        <f t="array" ref="W285">_xlfn.IFS(N285=1,5,N285=2,4,N285=4,2,N285=5,1,N285=3,3)</f>
        <v>3</v>
      </c>
      <c r="X285">
        <f t="shared" si="32"/>
        <v>15</v>
      </c>
      <c r="Y285" cm="1">
        <f t="array" ref="Y285">MAX(IF($C$2:$C$1387=C285,$X$2:$X$1387))</f>
        <v>29</v>
      </c>
      <c r="Z285" cm="1">
        <f t="array" ref="Z285">MIN(IF($C$2:$C$1387=C285,$X$2:$X$1387))</f>
        <v>12</v>
      </c>
      <c r="AA285">
        <f t="shared" si="33"/>
        <v>17</v>
      </c>
      <c r="AB285">
        <f t="shared" si="34"/>
        <v>0.17647058823529413</v>
      </c>
    </row>
    <row r="286" spans="1:28" x14ac:dyDescent="0.25">
      <c r="A286" t="s">
        <v>122</v>
      </c>
      <c r="B286" t="s">
        <v>123</v>
      </c>
      <c r="C286">
        <v>2012</v>
      </c>
      <c r="D286">
        <v>3.794956228542691E-2</v>
      </c>
      <c r="E286">
        <v>0.41079447352101067</v>
      </c>
      <c r="F286">
        <v>0.15975487626255536</v>
      </c>
      <c r="G286">
        <v>2.0794415416798357</v>
      </c>
      <c r="H286">
        <v>0.75</v>
      </c>
      <c r="I286">
        <v>0.66666666666666663</v>
      </c>
      <c r="J286">
        <v>1</v>
      </c>
      <c r="K286">
        <v>2</v>
      </c>
      <c r="L286">
        <v>1</v>
      </c>
      <c r="M286">
        <v>5</v>
      </c>
      <c r="N286">
        <v>3</v>
      </c>
      <c r="O286">
        <v>4</v>
      </c>
      <c r="P286">
        <v>1</v>
      </c>
      <c r="Q286">
        <f t="shared" si="28"/>
        <v>1</v>
      </c>
      <c r="R286">
        <f t="shared" si="29"/>
        <v>17</v>
      </c>
      <c r="S286">
        <f t="array" ref="S286">MAX(IF($C$2:$C$1387=C286,$R$2:$R$1387))</f>
        <v>29</v>
      </c>
      <c r="T286" cm="1">
        <f t="array" ref="T286">MIN(IF($C$2:$C$1387=C286,$R$2:$R$1387))</f>
        <v>11</v>
      </c>
      <c r="U286">
        <f t="shared" si="30"/>
        <v>18</v>
      </c>
      <c r="V286">
        <f t="shared" si="31"/>
        <v>0.33333333333333331</v>
      </c>
      <c r="W286" cm="1">
        <f t="array" ref="W286">_xlfn.IFS(N286=1,5,N286=2,4,N286=4,2,N286=5,1,N286=3,3)</f>
        <v>3</v>
      </c>
      <c r="X286">
        <f t="shared" si="32"/>
        <v>17</v>
      </c>
      <c r="Y286" cm="1">
        <f t="array" ref="Y286">MAX(IF($C$2:$C$1387=C286,$X$2:$X$1387))</f>
        <v>30</v>
      </c>
      <c r="Z286" cm="1">
        <f t="array" ref="Z286">MIN(IF($C$2:$C$1387=C286,$X$2:$X$1387))</f>
        <v>12</v>
      </c>
      <c r="AA286">
        <f t="shared" si="33"/>
        <v>18</v>
      </c>
      <c r="AB286">
        <f t="shared" si="34"/>
        <v>0.27777777777777779</v>
      </c>
    </row>
    <row r="287" spans="1:28" x14ac:dyDescent="0.25">
      <c r="A287" t="s">
        <v>122</v>
      </c>
      <c r="B287" t="s">
        <v>123</v>
      </c>
      <c r="C287">
        <v>2013</v>
      </c>
      <c r="D287">
        <v>6.1446571689343463E-2</v>
      </c>
      <c r="E287">
        <v>0.41079447352101067</v>
      </c>
      <c r="F287">
        <v>0.14035929583468959</v>
      </c>
      <c r="G287">
        <v>2.0794415416798357</v>
      </c>
      <c r="H287">
        <v>0.75</v>
      </c>
      <c r="I287">
        <v>1</v>
      </c>
      <c r="J287">
        <v>1</v>
      </c>
      <c r="K287">
        <v>3</v>
      </c>
      <c r="L287">
        <v>1</v>
      </c>
      <c r="M287">
        <v>5</v>
      </c>
      <c r="N287">
        <v>3</v>
      </c>
      <c r="O287">
        <v>5</v>
      </c>
      <c r="P287">
        <v>3</v>
      </c>
      <c r="Q287">
        <f t="shared" si="28"/>
        <v>1</v>
      </c>
      <c r="R287">
        <f t="shared" si="29"/>
        <v>21</v>
      </c>
      <c r="S287">
        <f t="array" ref="S287">MAX(IF($C$2:$C$1387=C287,$R$2:$R$1387))</f>
        <v>29</v>
      </c>
      <c r="T287" cm="1">
        <f t="array" ref="T287">MIN(IF($C$2:$C$1387=C287,$R$2:$R$1387))</f>
        <v>10</v>
      </c>
      <c r="U287">
        <f t="shared" si="30"/>
        <v>19</v>
      </c>
      <c r="V287">
        <f t="shared" si="31"/>
        <v>0.57894736842105265</v>
      </c>
      <c r="W287" cm="1">
        <f t="array" ref="W287">_xlfn.IFS(N287=1,5,N287=2,4,N287=4,2,N287=5,1,N287=3,3)</f>
        <v>3</v>
      </c>
      <c r="X287">
        <f t="shared" si="32"/>
        <v>21</v>
      </c>
      <c r="Y287" cm="1">
        <f t="array" ref="Y287">MAX(IF($C$2:$C$1387=C287,$X$2:$X$1387))</f>
        <v>32</v>
      </c>
      <c r="Z287" cm="1">
        <f t="array" ref="Z287">MIN(IF($C$2:$C$1387=C287,$X$2:$X$1387))</f>
        <v>10</v>
      </c>
      <c r="AA287">
        <f t="shared" si="33"/>
        <v>22</v>
      </c>
      <c r="AB287">
        <f t="shared" si="34"/>
        <v>0.5</v>
      </c>
    </row>
    <row r="288" spans="1:28" x14ac:dyDescent="0.25">
      <c r="A288" t="s">
        <v>122</v>
      </c>
      <c r="B288" t="s">
        <v>123</v>
      </c>
      <c r="C288">
        <v>2014</v>
      </c>
      <c r="D288">
        <v>6.7379318341532837E-2</v>
      </c>
      <c r="E288">
        <v>0.28619415409762283</v>
      </c>
      <c r="F288">
        <v>6.6418312957293446E-3</v>
      </c>
      <c r="G288">
        <v>2.0794415416798357</v>
      </c>
      <c r="H288">
        <v>0.75</v>
      </c>
      <c r="I288">
        <v>1</v>
      </c>
      <c r="J288">
        <v>1</v>
      </c>
      <c r="K288">
        <v>3</v>
      </c>
      <c r="L288">
        <v>1</v>
      </c>
      <c r="M288">
        <v>2</v>
      </c>
      <c r="N288">
        <v>3</v>
      </c>
      <c r="O288">
        <v>5</v>
      </c>
      <c r="P288">
        <v>3</v>
      </c>
      <c r="Q288">
        <f t="shared" si="28"/>
        <v>1</v>
      </c>
      <c r="R288">
        <f t="shared" si="29"/>
        <v>18</v>
      </c>
      <c r="S288">
        <f t="array" ref="S288">MAX(IF($C$2:$C$1387=C288,$R$2:$R$1387))</f>
        <v>29</v>
      </c>
      <c r="T288" cm="1">
        <f t="array" ref="T288">MIN(IF($C$2:$C$1387=C288,$R$2:$R$1387))</f>
        <v>11</v>
      </c>
      <c r="U288">
        <f t="shared" si="30"/>
        <v>18</v>
      </c>
      <c r="V288">
        <f t="shared" si="31"/>
        <v>0.3888888888888889</v>
      </c>
      <c r="W288" cm="1">
        <f t="array" ref="W288">_xlfn.IFS(N288=1,5,N288=2,4,N288=4,2,N288=5,1,N288=3,3)</f>
        <v>3</v>
      </c>
      <c r="X288">
        <f t="shared" si="32"/>
        <v>18</v>
      </c>
      <c r="Y288" cm="1">
        <f t="array" ref="Y288">MAX(IF($C$2:$C$1387=C288,$X$2:$X$1387))</f>
        <v>30</v>
      </c>
      <c r="Z288" cm="1">
        <f t="array" ref="Z288">MIN(IF($C$2:$C$1387=C288,$X$2:$X$1387))</f>
        <v>14</v>
      </c>
      <c r="AA288">
        <f t="shared" si="33"/>
        <v>16</v>
      </c>
      <c r="AB288">
        <f t="shared" si="34"/>
        <v>0.25</v>
      </c>
    </row>
    <row r="289" spans="1:28" x14ac:dyDescent="0.25">
      <c r="A289" t="s">
        <v>122</v>
      </c>
      <c r="B289" t="s">
        <v>123</v>
      </c>
      <c r="C289">
        <v>2015</v>
      </c>
      <c r="D289">
        <v>8.5292374526607678E-2</v>
      </c>
      <c r="E289">
        <v>0.28619416337556891</v>
      </c>
      <c r="F289">
        <v>5.3076449426362853E-3</v>
      </c>
      <c r="G289">
        <v>2.0794415416798357</v>
      </c>
      <c r="H289">
        <v>0.75</v>
      </c>
      <c r="I289">
        <v>1</v>
      </c>
      <c r="J289">
        <v>0</v>
      </c>
      <c r="K289">
        <v>3</v>
      </c>
      <c r="L289">
        <v>1</v>
      </c>
      <c r="M289">
        <v>2</v>
      </c>
      <c r="N289">
        <v>3</v>
      </c>
      <c r="O289">
        <v>4</v>
      </c>
      <c r="P289">
        <v>2</v>
      </c>
      <c r="Q289">
        <f t="shared" si="28"/>
        <v>5</v>
      </c>
      <c r="R289">
        <f t="shared" si="29"/>
        <v>20</v>
      </c>
      <c r="S289">
        <f t="array" ref="S289">MAX(IF($C$2:$C$1387=C289,$R$2:$R$1387))</f>
        <v>29</v>
      </c>
      <c r="T289" cm="1">
        <f t="array" ref="T289">MIN(IF($C$2:$C$1387=C289,$R$2:$R$1387))</f>
        <v>11</v>
      </c>
      <c r="U289">
        <f t="shared" si="30"/>
        <v>18</v>
      </c>
      <c r="V289">
        <f t="shared" si="31"/>
        <v>0.5</v>
      </c>
      <c r="W289" cm="1">
        <f t="array" ref="W289">_xlfn.IFS(N289=1,5,N289=2,4,N289=4,2,N289=5,1,N289=3,3)</f>
        <v>3</v>
      </c>
      <c r="X289">
        <f t="shared" si="32"/>
        <v>20</v>
      </c>
      <c r="Y289" cm="1">
        <f t="array" ref="Y289">MAX(IF($C$2:$C$1387=C289,$X$2:$X$1387))</f>
        <v>29</v>
      </c>
      <c r="Z289" cm="1">
        <f t="array" ref="Z289">MIN(IF($C$2:$C$1387=C289,$X$2:$X$1387))</f>
        <v>12</v>
      </c>
      <c r="AA289">
        <f t="shared" si="33"/>
        <v>17</v>
      </c>
      <c r="AB289">
        <f t="shared" si="34"/>
        <v>0.47058823529411764</v>
      </c>
    </row>
    <row r="290" spans="1:28" x14ac:dyDescent="0.25">
      <c r="A290" t="s">
        <v>124</v>
      </c>
      <c r="B290" t="s">
        <v>125</v>
      </c>
      <c r="C290">
        <v>2010</v>
      </c>
      <c r="D290">
        <v>1.971257771852717E-2</v>
      </c>
      <c r="E290">
        <v>0.31580195201228595</v>
      </c>
      <c r="F290">
        <v>0.23032583443643007</v>
      </c>
      <c r="G290">
        <v>2.0794415416798357</v>
      </c>
      <c r="H290">
        <v>0.875</v>
      </c>
      <c r="I290">
        <v>1</v>
      </c>
      <c r="J290">
        <v>0</v>
      </c>
      <c r="K290">
        <v>2</v>
      </c>
      <c r="L290">
        <v>1</v>
      </c>
      <c r="M290">
        <v>5</v>
      </c>
      <c r="N290">
        <v>3</v>
      </c>
      <c r="O290">
        <v>5</v>
      </c>
      <c r="P290">
        <v>3</v>
      </c>
      <c r="Q290">
        <f t="shared" si="28"/>
        <v>5</v>
      </c>
      <c r="R290">
        <f t="shared" si="29"/>
        <v>24</v>
      </c>
      <c r="S290">
        <f t="array" ref="S290">MAX(IF($C$2:$C$1387=C290,$R$2:$R$1387))</f>
        <v>29</v>
      </c>
      <c r="T290" cm="1">
        <f t="array" ref="T290">MIN(IF($C$2:$C$1387=C290,$R$2:$R$1387))</f>
        <v>9</v>
      </c>
      <c r="U290">
        <f t="shared" si="30"/>
        <v>20</v>
      </c>
      <c r="V290">
        <f t="shared" si="31"/>
        <v>0.75</v>
      </c>
      <c r="W290" cm="1">
        <f t="array" ref="W290">_xlfn.IFS(N290=1,5,N290=2,4,N290=4,2,N290=5,1,N290=3,3)</f>
        <v>3</v>
      </c>
      <c r="X290">
        <f t="shared" si="32"/>
        <v>24</v>
      </c>
      <c r="Y290" cm="1">
        <f t="array" ref="Y290">MAX(IF($C$2:$C$1387=C290,$X$2:$X$1387))</f>
        <v>29</v>
      </c>
      <c r="Z290" cm="1">
        <f t="array" ref="Z290">MIN(IF($C$2:$C$1387=C290,$X$2:$X$1387))</f>
        <v>12</v>
      </c>
      <c r="AA290">
        <f t="shared" si="33"/>
        <v>17</v>
      </c>
      <c r="AB290">
        <f t="shared" si="34"/>
        <v>0.70588235294117652</v>
      </c>
    </row>
    <row r="291" spans="1:28" x14ac:dyDescent="0.25">
      <c r="A291" t="s">
        <v>124</v>
      </c>
      <c r="B291" t="s">
        <v>125</v>
      </c>
      <c r="C291">
        <v>2011</v>
      </c>
      <c r="D291">
        <v>1.9366863895998003E-2</v>
      </c>
      <c r="E291">
        <v>0.34625301848691337</v>
      </c>
      <c r="F291">
        <v>0.23554494595845948</v>
      </c>
      <c r="G291">
        <v>2.0794415416798357</v>
      </c>
      <c r="H291">
        <v>0.875</v>
      </c>
      <c r="I291">
        <v>1</v>
      </c>
      <c r="J291">
        <v>0</v>
      </c>
      <c r="K291">
        <v>2</v>
      </c>
      <c r="L291">
        <v>1</v>
      </c>
      <c r="M291">
        <v>5</v>
      </c>
      <c r="N291">
        <v>3</v>
      </c>
      <c r="O291">
        <v>5</v>
      </c>
      <c r="P291">
        <v>3</v>
      </c>
      <c r="Q291">
        <f t="shared" si="28"/>
        <v>5</v>
      </c>
      <c r="R291">
        <f t="shared" si="29"/>
        <v>24</v>
      </c>
      <c r="S291">
        <f t="array" ref="S291">MAX(IF($C$2:$C$1387=C291,$R$2:$R$1387))</f>
        <v>28</v>
      </c>
      <c r="T291" cm="1">
        <f t="array" ref="T291">MIN(IF($C$2:$C$1387=C291,$R$2:$R$1387))</f>
        <v>10</v>
      </c>
      <c r="U291">
        <f t="shared" si="30"/>
        <v>18</v>
      </c>
      <c r="V291">
        <f t="shared" si="31"/>
        <v>0.77777777777777779</v>
      </c>
      <c r="W291" cm="1">
        <f t="array" ref="W291">_xlfn.IFS(N291=1,5,N291=2,4,N291=4,2,N291=5,1,N291=3,3)</f>
        <v>3</v>
      </c>
      <c r="X291">
        <f t="shared" si="32"/>
        <v>24</v>
      </c>
      <c r="Y291" cm="1">
        <f t="array" ref="Y291">MAX(IF($C$2:$C$1387=C291,$X$2:$X$1387))</f>
        <v>29</v>
      </c>
      <c r="Z291" cm="1">
        <f t="array" ref="Z291">MIN(IF($C$2:$C$1387=C291,$X$2:$X$1387))</f>
        <v>12</v>
      </c>
      <c r="AA291">
        <f t="shared" si="33"/>
        <v>17</v>
      </c>
      <c r="AB291">
        <f t="shared" si="34"/>
        <v>0.70588235294117652</v>
      </c>
    </row>
    <row r="292" spans="1:28" x14ac:dyDescent="0.25">
      <c r="A292" t="s">
        <v>124</v>
      </c>
      <c r="B292" t="s">
        <v>125</v>
      </c>
      <c r="C292">
        <v>2012</v>
      </c>
      <c r="D292">
        <v>1.4203862901647898E-2</v>
      </c>
      <c r="E292">
        <v>0.3502939151976161</v>
      </c>
      <c r="F292">
        <v>0.31670733646743454</v>
      </c>
      <c r="G292">
        <v>2.0794415416798357</v>
      </c>
      <c r="H292">
        <v>0.75</v>
      </c>
      <c r="I292">
        <v>1</v>
      </c>
      <c r="J292">
        <v>0</v>
      </c>
      <c r="K292">
        <v>2</v>
      </c>
      <c r="L292">
        <v>1</v>
      </c>
      <c r="M292">
        <v>5</v>
      </c>
      <c r="N292">
        <v>3</v>
      </c>
      <c r="O292">
        <v>4</v>
      </c>
      <c r="P292">
        <v>3</v>
      </c>
      <c r="Q292">
        <f t="shared" si="28"/>
        <v>5</v>
      </c>
      <c r="R292">
        <f t="shared" si="29"/>
        <v>23</v>
      </c>
      <c r="S292">
        <f t="array" ref="S292">MAX(IF($C$2:$C$1387=C292,$R$2:$R$1387))</f>
        <v>29</v>
      </c>
      <c r="T292" cm="1">
        <f t="array" ref="T292">MIN(IF($C$2:$C$1387=C292,$R$2:$R$1387))</f>
        <v>11</v>
      </c>
      <c r="U292">
        <f t="shared" si="30"/>
        <v>18</v>
      </c>
      <c r="V292">
        <f t="shared" si="31"/>
        <v>0.66666666666666663</v>
      </c>
      <c r="W292" cm="1">
        <f t="array" ref="W292">_xlfn.IFS(N292=1,5,N292=2,4,N292=4,2,N292=5,1,N292=3,3)</f>
        <v>3</v>
      </c>
      <c r="X292">
        <f t="shared" si="32"/>
        <v>23</v>
      </c>
      <c r="Y292" cm="1">
        <f t="array" ref="Y292">MAX(IF($C$2:$C$1387=C292,$X$2:$X$1387))</f>
        <v>30</v>
      </c>
      <c r="Z292" cm="1">
        <f t="array" ref="Z292">MIN(IF($C$2:$C$1387=C292,$X$2:$X$1387))</f>
        <v>12</v>
      </c>
      <c r="AA292">
        <f t="shared" si="33"/>
        <v>18</v>
      </c>
      <c r="AB292">
        <f t="shared" si="34"/>
        <v>0.61111111111111116</v>
      </c>
    </row>
    <row r="293" spans="1:28" x14ac:dyDescent="0.25">
      <c r="A293" t="s">
        <v>124</v>
      </c>
      <c r="B293" t="s">
        <v>125</v>
      </c>
      <c r="C293">
        <v>2013</v>
      </c>
      <c r="D293">
        <v>1.8383813827252866E-2</v>
      </c>
      <c r="E293">
        <v>0.32544446117802389</v>
      </c>
      <c r="F293">
        <v>0.24252851040913165</v>
      </c>
      <c r="G293">
        <v>1.6094379124341003</v>
      </c>
      <c r="H293">
        <v>0.8</v>
      </c>
      <c r="I293">
        <v>1</v>
      </c>
      <c r="J293">
        <v>0</v>
      </c>
      <c r="K293">
        <v>2</v>
      </c>
      <c r="L293">
        <v>1</v>
      </c>
      <c r="M293">
        <v>5</v>
      </c>
      <c r="N293">
        <v>1</v>
      </c>
      <c r="O293">
        <v>5</v>
      </c>
      <c r="P293">
        <v>3</v>
      </c>
      <c r="Q293">
        <f t="shared" si="28"/>
        <v>5</v>
      </c>
      <c r="R293">
        <f t="shared" si="29"/>
        <v>22</v>
      </c>
      <c r="S293">
        <f t="array" ref="S293">MAX(IF($C$2:$C$1387=C293,$R$2:$R$1387))</f>
        <v>29</v>
      </c>
      <c r="T293" cm="1">
        <f t="array" ref="T293">MIN(IF($C$2:$C$1387=C293,$R$2:$R$1387))</f>
        <v>10</v>
      </c>
      <c r="U293">
        <f t="shared" si="30"/>
        <v>19</v>
      </c>
      <c r="V293">
        <f t="shared" si="31"/>
        <v>0.63157894736842102</v>
      </c>
      <c r="W293" cm="1">
        <f t="array" ref="W293">_xlfn.IFS(N293=1,5,N293=2,4,N293=4,2,N293=5,1,N293=3,3)</f>
        <v>5</v>
      </c>
      <c r="X293">
        <f t="shared" si="32"/>
        <v>26</v>
      </c>
      <c r="Y293" cm="1">
        <f t="array" ref="Y293">MAX(IF($C$2:$C$1387=C293,$X$2:$X$1387))</f>
        <v>32</v>
      </c>
      <c r="Z293" cm="1">
        <f t="array" ref="Z293">MIN(IF($C$2:$C$1387=C293,$X$2:$X$1387))</f>
        <v>10</v>
      </c>
      <c r="AA293">
        <f t="shared" si="33"/>
        <v>22</v>
      </c>
      <c r="AB293">
        <f t="shared" si="34"/>
        <v>0.72727272727272729</v>
      </c>
    </row>
    <row r="294" spans="1:28" x14ac:dyDescent="0.25">
      <c r="A294" t="s">
        <v>124</v>
      </c>
      <c r="B294" t="s">
        <v>125</v>
      </c>
      <c r="C294">
        <v>2014</v>
      </c>
      <c r="D294">
        <v>1.8475044751317317E-2</v>
      </c>
      <c r="E294">
        <v>0.32342555089651331</v>
      </c>
      <c r="F294">
        <v>0.19576473078854081</v>
      </c>
      <c r="G294">
        <v>1.9459101490553132</v>
      </c>
      <c r="H294">
        <v>0.5714285714285714</v>
      </c>
      <c r="I294">
        <v>0.66666666666666663</v>
      </c>
      <c r="J294">
        <v>0</v>
      </c>
      <c r="K294">
        <v>2</v>
      </c>
      <c r="L294">
        <v>1</v>
      </c>
      <c r="M294">
        <v>5</v>
      </c>
      <c r="N294">
        <v>1</v>
      </c>
      <c r="O294">
        <v>2</v>
      </c>
      <c r="P294">
        <v>1</v>
      </c>
      <c r="Q294">
        <f t="shared" si="28"/>
        <v>5</v>
      </c>
      <c r="R294">
        <f t="shared" si="29"/>
        <v>17</v>
      </c>
      <c r="S294">
        <f t="array" ref="S294">MAX(IF($C$2:$C$1387=C294,$R$2:$R$1387))</f>
        <v>29</v>
      </c>
      <c r="T294" cm="1">
        <f t="array" ref="T294">MIN(IF($C$2:$C$1387=C294,$R$2:$R$1387))</f>
        <v>11</v>
      </c>
      <c r="U294">
        <f t="shared" si="30"/>
        <v>18</v>
      </c>
      <c r="V294">
        <f t="shared" si="31"/>
        <v>0.33333333333333331</v>
      </c>
      <c r="W294" cm="1">
        <f t="array" ref="W294">_xlfn.IFS(N294=1,5,N294=2,4,N294=4,2,N294=5,1,N294=3,3)</f>
        <v>5</v>
      </c>
      <c r="X294">
        <f t="shared" si="32"/>
        <v>21</v>
      </c>
      <c r="Y294" cm="1">
        <f t="array" ref="Y294">MAX(IF($C$2:$C$1387=C294,$X$2:$X$1387))</f>
        <v>30</v>
      </c>
      <c r="Z294" cm="1">
        <f t="array" ref="Z294">MIN(IF($C$2:$C$1387=C294,$X$2:$X$1387))</f>
        <v>14</v>
      </c>
      <c r="AA294">
        <f t="shared" si="33"/>
        <v>16</v>
      </c>
      <c r="AB294">
        <f t="shared" si="34"/>
        <v>0.4375</v>
      </c>
    </row>
    <row r="295" spans="1:28" x14ac:dyDescent="0.25">
      <c r="A295" t="s">
        <v>124</v>
      </c>
      <c r="B295" t="s">
        <v>125</v>
      </c>
      <c r="C295">
        <v>2015</v>
      </c>
      <c r="D295">
        <v>1.8394569425852349E-2</v>
      </c>
      <c r="E295">
        <v>0.3224111560377112</v>
      </c>
      <c r="F295">
        <v>0.2759663306566888</v>
      </c>
      <c r="G295">
        <v>2.0794415416798357</v>
      </c>
      <c r="H295">
        <v>0.875</v>
      </c>
      <c r="I295">
        <v>1</v>
      </c>
      <c r="J295">
        <v>0</v>
      </c>
      <c r="K295">
        <v>2</v>
      </c>
      <c r="L295">
        <v>1</v>
      </c>
      <c r="M295">
        <v>5</v>
      </c>
      <c r="N295">
        <v>3</v>
      </c>
      <c r="O295">
        <v>5</v>
      </c>
      <c r="P295">
        <v>2</v>
      </c>
      <c r="Q295">
        <f t="shared" si="28"/>
        <v>5</v>
      </c>
      <c r="R295">
        <f t="shared" si="29"/>
        <v>23</v>
      </c>
      <c r="S295">
        <f t="array" ref="S295">MAX(IF($C$2:$C$1387=C295,$R$2:$R$1387))</f>
        <v>29</v>
      </c>
      <c r="T295" cm="1">
        <f t="array" ref="T295">MIN(IF($C$2:$C$1387=C295,$R$2:$R$1387))</f>
        <v>11</v>
      </c>
      <c r="U295">
        <f t="shared" si="30"/>
        <v>18</v>
      </c>
      <c r="V295">
        <f t="shared" si="31"/>
        <v>0.66666666666666663</v>
      </c>
      <c r="W295" cm="1">
        <f t="array" ref="W295">_xlfn.IFS(N295=1,5,N295=2,4,N295=4,2,N295=5,1,N295=3,3)</f>
        <v>3</v>
      </c>
      <c r="X295">
        <f t="shared" si="32"/>
        <v>23</v>
      </c>
      <c r="Y295" cm="1">
        <f t="array" ref="Y295">MAX(IF($C$2:$C$1387=C295,$X$2:$X$1387))</f>
        <v>29</v>
      </c>
      <c r="Z295" cm="1">
        <f t="array" ref="Z295">MIN(IF($C$2:$C$1387=C295,$X$2:$X$1387))</f>
        <v>12</v>
      </c>
      <c r="AA295">
        <f t="shared" si="33"/>
        <v>17</v>
      </c>
      <c r="AB295">
        <f t="shared" si="34"/>
        <v>0.6470588235294118</v>
      </c>
    </row>
    <row r="296" spans="1:28" x14ac:dyDescent="0.25">
      <c r="A296" t="s">
        <v>126</v>
      </c>
      <c r="B296" t="s">
        <v>127</v>
      </c>
      <c r="C296">
        <v>2010</v>
      </c>
      <c r="D296">
        <v>0.28260000000000002</v>
      </c>
      <c r="E296">
        <v>0.45424999999999999</v>
      </c>
      <c r="F296">
        <v>5.2500000000000003E-3</v>
      </c>
      <c r="G296">
        <v>1.9459101490553132</v>
      </c>
      <c r="H296">
        <v>0.8571428571428571</v>
      </c>
      <c r="I296">
        <v>1</v>
      </c>
      <c r="J296">
        <v>0</v>
      </c>
      <c r="K296">
        <v>4</v>
      </c>
      <c r="L296">
        <v>1</v>
      </c>
      <c r="M296">
        <v>2</v>
      </c>
      <c r="N296">
        <v>1</v>
      </c>
      <c r="O296">
        <v>5</v>
      </c>
      <c r="P296">
        <v>3</v>
      </c>
      <c r="Q296">
        <f t="shared" si="28"/>
        <v>5</v>
      </c>
      <c r="R296">
        <f t="shared" si="29"/>
        <v>21</v>
      </c>
      <c r="S296">
        <f t="array" ref="S296">MAX(IF($C$2:$C$1387=C296,$R$2:$R$1387))</f>
        <v>29</v>
      </c>
      <c r="T296" cm="1">
        <f t="array" ref="T296">MIN(IF($C$2:$C$1387=C296,$R$2:$R$1387))</f>
        <v>9</v>
      </c>
      <c r="U296">
        <f t="shared" si="30"/>
        <v>20</v>
      </c>
      <c r="V296">
        <f t="shared" si="31"/>
        <v>0.6</v>
      </c>
      <c r="W296" cm="1">
        <f t="array" ref="W296">_xlfn.IFS(N296=1,5,N296=2,4,N296=4,2,N296=5,1,N296=3,3)</f>
        <v>5</v>
      </c>
      <c r="X296">
        <f t="shared" si="32"/>
        <v>25</v>
      </c>
      <c r="Y296" cm="1">
        <f t="array" ref="Y296">MAX(IF($C$2:$C$1387=C296,$X$2:$X$1387))</f>
        <v>29</v>
      </c>
      <c r="Z296" cm="1">
        <f t="array" ref="Z296">MIN(IF($C$2:$C$1387=C296,$X$2:$X$1387))</f>
        <v>12</v>
      </c>
      <c r="AA296">
        <f t="shared" si="33"/>
        <v>17</v>
      </c>
      <c r="AB296">
        <f t="shared" si="34"/>
        <v>0.76470588235294112</v>
      </c>
    </row>
    <row r="297" spans="1:28" x14ac:dyDescent="0.25">
      <c r="A297" t="s">
        <v>126</v>
      </c>
      <c r="B297" t="s">
        <v>127</v>
      </c>
      <c r="C297">
        <v>2011</v>
      </c>
      <c r="D297">
        <v>0.28260000000000002</v>
      </c>
      <c r="E297">
        <v>0.45424999999999999</v>
      </c>
      <c r="F297">
        <v>5.2500000000000003E-3</v>
      </c>
      <c r="G297">
        <v>1.9459101490553132</v>
      </c>
      <c r="H297">
        <v>0.8571428571428571</v>
      </c>
      <c r="I297">
        <v>1</v>
      </c>
      <c r="J297">
        <v>0</v>
      </c>
      <c r="K297">
        <v>3</v>
      </c>
      <c r="L297">
        <v>1</v>
      </c>
      <c r="M297">
        <v>2</v>
      </c>
      <c r="N297">
        <v>1</v>
      </c>
      <c r="O297">
        <v>5</v>
      </c>
      <c r="P297">
        <v>3</v>
      </c>
      <c r="Q297">
        <f t="shared" si="28"/>
        <v>5</v>
      </c>
      <c r="R297">
        <f t="shared" si="29"/>
        <v>20</v>
      </c>
      <c r="S297">
        <f t="array" ref="S297">MAX(IF($C$2:$C$1387=C297,$R$2:$R$1387))</f>
        <v>28</v>
      </c>
      <c r="T297" cm="1">
        <f t="array" ref="T297">MIN(IF($C$2:$C$1387=C297,$R$2:$R$1387))</f>
        <v>10</v>
      </c>
      <c r="U297">
        <f t="shared" si="30"/>
        <v>18</v>
      </c>
      <c r="V297">
        <f t="shared" si="31"/>
        <v>0.55555555555555558</v>
      </c>
      <c r="W297" cm="1">
        <f t="array" ref="W297">_xlfn.IFS(N297=1,5,N297=2,4,N297=4,2,N297=5,1,N297=3,3)</f>
        <v>5</v>
      </c>
      <c r="X297">
        <f t="shared" si="32"/>
        <v>24</v>
      </c>
      <c r="Y297" cm="1">
        <f t="array" ref="Y297">MAX(IF($C$2:$C$1387=C297,$X$2:$X$1387))</f>
        <v>29</v>
      </c>
      <c r="Z297" cm="1">
        <f t="array" ref="Z297">MIN(IF($C$2:$C$1387=C297,$X$2:$X$1387))</f>
        <v>12</v>
      </c>
      <c r="AA297">
        <f t="shared" si="33"/>
        <v>17</v>
      </c>
      <c r="AB297">
        <f t="shared" si="34"/>
        <v>0.70588235294117652</v>
      </c>
    </row>
    <row r="298" spans="1:28" x14ac:dyDescent="0.25">
      <c r="A298" t="s">
        <v>126</v>
      </c>
      <c r="B298" t="s">
        <v>127</v>
      </c>
      <c r="C298">
        <v>2012</v>
      </c>
      <c r="D298">
        <v>0.28260000000000002</v>
      </c>
      <c r="E298">
        <v>0.45424999999999999</v>
      </c>
      <c r="F298">
        <v>5.2500000000000003E-3</v>
      </c>
      <c r="G298">
        <v>1.9459101490553132</v>
      </c>
      <c r="H298">
        <v>0.8571428571428571</v>
      </c>
      <c r="I298">
        <v>1</v>
      </c>
      <c r="J298">
        <v>0</v>
      </c>
      <c r="K298">
        <v>3</v>
      </c>
      <c r="L298">
        <v>1</v>
      </c>
      <c r="M298">
        <v>1</v>
      </c>
      <c r="N298">
        <v>1</v>
      </c>
      <c r="O298">
        <v>5</v>
      </c>
      <c r="P298">
        <v>3</v>
      </c>
      <c r="Q298">
        <f t="shared" si="28"/>
        <v>5</v>
      </c>
      <c r="R298">
        <f t="shared" si="29"/>
        <v>19</v>
      </c>
      <c r="S298">
        <f t="array" ref="S298">MAX(IF($C$2:$C$1387=C298,$R$2:$R$1387))</f>
        <v>29</v>
      </c>
      <c r="T298" cm="1">
        <f t="array" ref="T298">MIN(IF($C$2:$C$1387=C298,$R$2:$R$1387))</f>
        <v>11</v>
      </c>
      <c r="U298">
        <f t="shared" si="30"/>
        <v>18</v>
      </c>
      <c r="V298">
        <f t="shared" si="31"/>
        <v>0.44444444444444442</v>
      </c>
      <c r="W298" cm="1">
        <f t="array" ref="W298">_xlfn.IFS(N298=1,5,N298=2,4,N298=4,2,N298=5,1,N298=3,3)</f>
        <v>5</v>
      </c>
      <c r="X298">
        <f t="shared" si="32"/>
        <v>23</v>
      </c>
      <c r="Y298" cm="1">
        <f t="array" ref="Y298">MAX(IF($C$2:$C$1387=C298,$X$2:$X$1387))</f>
        <v>30</v>
      </c>
      <c r="Z298" cm="1">
        <f t="array" ref="Z298">MIN(IF($C$2:$C$1387=C298,$X$2:$X$1387))</f>
        <v>12</v>
      </c>
      <c r="AA298">
        <f t="shared" si="33"/>
        <v>18</v>
      </c>
      <c r="AB298">
        <f t="shared" si="34"/>
        <v>0.61111111111111116</v>
      </c>
    </row>
    <row r="299" spans="1:28" x14ac:dyDescent="0.25">
      <c r="A299" t="s">
        <v>126</v>
      </c>
      <c r="B299" t="s">
        <v>127</v>
      </c>
      <c r="C299">
        <v>2013</v>
      </c>
      <c r="D299">
        <v>0.316525</v>
      </c>
      <c r="E299">
        <v>0.372</v>
      </c>
      <c r="F299">
        <v>1.2375000000000001E-2</v>
      </c>
      <c r="G299">
        <v>1.9459101490553132</v>
      </c>
      <c r="H299">
        <v>0.8571428571428571</v>
      </c>
      <c r="I299">
        <v>1</v>
      </c>
      <c r="J299">
        <v>0</v>
      </c>
      <c r="K299">
        <v>4</v>
      </c>
      <c r="L299">
        <v>1</v>
      </c>
      <c r="M299">
        <v>2</v>
      </c>
      <c r="N299">
        <v>1</v>
      </c>
      <c r="O299">
        <v>5</v>
      </c>
      <c r="P299">
        <v>3</v>
      </c>
      <c r="Q299">
        <f t="shared" si="28"/>
        <v>5</v>
      </c>
      <c r="R299">
        <f t="shared" si="29"/>
        <v>21</v>
      </c>
      <c r="S299">
        <f t="array" ref="S299">MAX(IF($C$2:$C$1387=C299,$R$2:$R$1387))</f>
        <v>29</v>
      </c>
      <c r="T299" cm="1">
        <f t="array" ref="T299">MIN(IF($C$2:$C$1387=C299,$R$2:$R$1387))</f>
        <v>10</v>
      </c>
      <c r="U299">
        <f t="shared" si="30"/>
        <v>19</v>
      </c>
      <c r="V299">
        <f t="shared" si="31"/>
        <v>0.57894736842105265</v>
      </c>
      <c r="W299" cm="1">
        <f t="array" ref="W299">_xlfn.IFS(N299=1,5,N299=2,4,N299=4,2,N299=5,1,N299=3,3)</f>
        <v>5</v>
      </c>
      <c r="X299">
        <f t="shared" si="32"/>
        <v>25</v>
      </c>
      <c r="Y299" cm="1">
        <f t="array" ref="Y299">MAX(IF($C$2:$C$1387=C299,$X$2:$X$1387))</f>
        <v>32</v>
      </c>
      <c r="Z299" cm="1">
        <f t="array" ref="Z299">MIN(IF($C$2:$C$1387=C299,$X$2:$X$1387))</f>
        <v>10</v>
      </c>
      <c r="AA299">
        <f t="shared" si="33"/>
        <v>22</v>
      </c>
      <c r="AB299">
        <f t="shared" si="34"/>
        <v>0.68181818181818177</v>
      </c>
    </row>
    <row r="300" spans="1:28" x14ac:dyDescent="0.25">
      <c r="A300" t="s">
        <v>126</v>
      </c>
      <c r="B300" t="s">
        <v>127</v>
      </c>
      <c r="C300">
        <v>2014</v>
      </c>
      <c r="D300">
        <v>0.316525</v>
      </c>
      <c r="E300">
        <v>0.372</v>
      </c>
      <c r="F300">
        <v>1.2375000000000001E-2</v>
      </c>
      <c r="G300">
        <v>1.9459101490553132</v>
      </c>
      <c r="H300">
        <v>0.8571428571428571</v>
      </c>
      <c r="I300">
        <v>1</v>
      </c>
      <c r="J300">
        <v>0</v>
      </c>
      <c r="K300">
        <v>4</v>
      </c>
      <c r="L300">
        <v>1</v>
      </c>
      <c r="M300">
        <v>2</v>
      </c>
      <c r="N300">
        <v>1</v>
      </c>
      <c r="O300">
        <v>5</v>
      </c>
      <c r="P300">
        <v>3</v>
      </c>
      <c r="Q300">
        <f t="shared" si="28"/>
        <v>5</v>
      </c>
      <c r="R300">
        <f t="shared" si="29"/>
        <v>21</v>
      </c>
      <c r="S300">
        <f t="array" ref="S300">MAX(IF($C$2:$C$1387=C300,$R$2:$R$1387))</f>
        <v>29</v>
      </c>
      <c r="T300" cm="1">
        <f t="array" ref="T300">MIN(IF($C$2:$C$1387=C300,$R$2:$R$1387))</f>
        <v>11</v>
      </c>
      <c r="U300">
        <f t="shared" si="30"/>
        <v>18</v>
      </c>
      <c r="V300">
        <f t="shared" si="31"/>
        <v>0.55555555555555558</v>
      </c>
      <c r="W300" cm="1">
        <f t="array" ref="W300">_xlfn.IFS(N300=1,5,N300=2,4,N300=4,2,N300=5,1,N300=3,3)</f>
        <v>5</v>
      </c>
      <c r="X300">
        <f t="shared" si="32"/>
        <v>25</v>
      </c>
      <c r="Y300" cm="1">
        <f t="array" ref="Y300">MAX(IF($C$2:$C$1387=C300,$X$2:$X$1387))</f>
        <v>30</v>
      </c>
      <c r="Z300" cm="1">
        <f t="array" ref="Z300">MIN(IF($C$2:$C$1387=C300,$X$2:$X$1387))</f>
        <v>14</v>
      </c>
      <c r="AA300">
        <f t="shared" si="33"/>
        <v>16</v>
      </c>
      <c r="AB300">
        <f t="shared" si="34"/>
        <v>0.6875</v>
      </c>
    </row>
    <row r="301" spans="1:28" x14ac:dyDescent="0.25">
      <c r="A301" t="s">
        <v>126</v>
      </c>
      <c r="B301" t="s">
        <v>127</v>
      </c>
      <c r="C301">
        <v>2015</v>
      </c>
      <c r="D301">
        <v>0.316525</v>
      </c>
      <c r="E301">
        <v>0.372</v>
      </c>
      <c r="F301">
        <v>1.6249999999999999E-5</v>
      </c>
      <c r="G301">
        <v>1.9459101490553132</v>
      </c>
      <c r="H301">
        <v>0.8571428571428571</v>
      </c>
      <c r="I301">
        <v>1</v>
      </c>
      <c r="J301">
        <v>0</v>
      </c>
      <c r="K301">
        <v>4</v>
      </c>
      <c r="L301">
        <v>1</v>
      </c>
      <c r="M301">
        <v>1</v>
      </c>
      <c r="N301">
        <v>1</v>
      </c>
      <c r="O301">
        <v>4</v>
      </c>
      <c r="P301">
        <v>2</v>
      </c>
      <c r="Q301">
        <f t="shared" si="28"/>
        <v>5</v>
      </c>
      <c r="R301">
        <f t="shared" si="29"/>
        <v>18</v>
      </c>
      <c r="S301">
        <f t="array" ref="S301">MAX(IF($C$2:$C$1387=C301,$R$2:$R$1387))</f>
        <v>29</v>
      </c>
      <c r="T301" cm="1">
        <f t="array" ref="T301">MIN(IF($C$2:$C$1387=C301,$R$2:$R$1387))</f>
        <v>11</v>
      </c>
      <c r="U301">
        <f t="shared" si="30"/>
        <v>18</v>
      </c>
      <c r="V301">
        <f t="shared" si="31"/>
        <v>0.3888888888888889</v>
      </c>
      <c r="W301" cm="1">
        <f t="array" ref="W301">_xlfn.IFS(N301=1,5,N301=2,4,N301=4,2,N301=5,1,N301=3,3)</f>
        <v>5</v>
      </c>
      <c r="X301">
        <f t="shared" si="32"/>
        <v>22</v>
      </c>
      <c r="Y301" cm="1">
        <f t="array" ref="Y301">MAX(IF($C$2:$C$1387=C301,$X$2:$X$1387))</f>
        <v>29</v>
      </c>
      <c r="Z301" cm="1">
        <f t="array" ref="Z301">MIN(IF($C$2:$C$1387=C301,$X$2:$X$1387))</f>
        <v>12</v>
      </c>
      <c r="AA301">
        <f t="shared" si="33"/>
        <v>17</v>
      </c>
      <c r="AB301">
        <f t="shared" si="34"/>
        <v>0.58823529411764708</v>
      </c>
    </row>
    <row r="302" spans="1:28" x14ac:dyDescent="0.25">
      <c r="A302" t="s">
        <v>128</v>
      </c>
      <c r="B302" t="s">
        <v>129</v>
      </c>
      <c r="C302">
        <v>2010</v>
      </c>
      <c r="D302">
        <v>0.2121999931335449</v>
      </c>
      <c r="E302">
        <v>0.66840165407541963</v>
      </c>
      <c r="F302">
        <v>8.8586272021288825E-2</v>
      </c>
      <c r="G302">
        <v>2.3978952727983707</v>
      </c>
      <c r="H302">
        <v>0.90909090909090906</v>
      </c>
      <c r="I302">
        <v>1</v>
      </c>
      <c r="J302">
        <v>0</v>
      </c>
      <c r="K302">
        <v>3</v>
      </c>
      <c r="L302">
        <v>3</v>
      </c>
      <c r="M302">
        <v>4</v>
      </c>
      <c r="N302">
        <v>5</v>
      </c>
      <c r="O302">
        <v>5</v>
      </c>
      <c r="P302">
        <v>3</v>
      </c>
      <c r="Q302">
        <f t="shared" si="28"/>
        <v>5</v>
      </c>
      <c r="R302">
        <f t="shared" si="29"/>
        <v>28</v>
      </c>
      <c r="S302">
        <f t="array" ref="S302">MAX(IF($C$2:$C$1387=C302,$R$2:$R$1387))</f>
        <v>29</v>
      </c>
      <c r="T302" cm="1">
        <f t="array" ref="T302">MIN(IF($C$2:$C$1387=C302,$R$2:$R$1387))</f>
        <v>9</v>
      </c>
      <c r="U302">
        <f t="shared" si="30"/>
        <v>20</v>
      </c>
      <c r="V302">
        <f t="shared" si="31"/>
        <v>0.95</v>
      </c>
      <c r="W302" cm="1">
        <f t="array" ref="W302">_xlfn.IFS(N302=1,5,N302=2,4,N302=4,2,N302=5,1,N302=3,3)</f>
        <v>1</v>
      </c>
      <c r="X302">
        <f t="shared" si="32"/>
        <v>24</v>
      </c>
      <c r="Y302" cm="1">
        <f t="array" ref="Y302">MAX(IF($C$2:$C$1387=C302,$X$2:$X$1387))</f>
        <v>29</v>
      </c>
      <c r="Z302" cm="1">
        <f t="array" ref="Z302">MIN(IF($C$2:$C$1387=C302,$X$2:$X$1387))</f>
        <v>12</v>
      </c>
      <c r="AA302">
        <f t="shared" si="33"/>
        <v>17</v>
      </c>
      <c r="AB302">
        <f t="shared" si="34"/>
        <v>0.70588235294117652</v>
      </c>
    </row>
    <row r="303" spans="1:28" x14ac:dyDescent="0.25">
      <c r="A303" t="s">
        <v>128</v>
      </c>
      <c r="B303" t="s">
        <v>129</v>
      </c>
      <c r="C303">
        <v>2011</v>
      </c>
      <c r="D303">
        <v>0.21224876460417585</v>
      </c>
      <c r="E303">
        <v>0.66840165407541963</v>
      </c>
      <c r="F303">
        <v>8.8493369400608091E-2</v>
      </c>
      <c r="G303">
        <v>2.1972245773362196</v>
      </c>
      <c r="H303">
        <v>1</v>
      </c>
      <c r="I303">
        <v>1</v>
      </c>
      <c r="J303">
        <v>0</v>
      </c>
      <c r="K303">
        <v>3</v>
      </c>
      <c r="L303">
        <v>3</v>
      </c>
      <c r="M303">
        <v>4</v>
      </c>
      <c r="N303">
        <v>4</v>
      </c>
      <c r="O303">
        <v>5</v>
      </c>
      <c r="P303">
        <v>3</v>
      </c>
      <c r="Q303">
        <f t="shared" si="28"/>
        <v>5</v>
      </c>
      <c r="R303">
        <f t="shared" si="29"/>
        <v>27</v>
      </c>
      <c r="S303">
        <f t="array" ref="S303">MAX(IF($C$2:$C$1387=C303,$R$2:$R$1387))</f>
        <v>28</v>
      </c>
      <c r="T303" cm="1">
        <f t="array" ref="T303">MIN(IF($C$2:$C$1387=C303,$R$2:$R$1387))</f>
        <v>10</v>
      </c>
      <c r="U303">
        <f t="shared" si="30"/>
        <v>18</v>
      </c>
      <c r="V303">
        <f t="shared" si="31"/>
        <v>0.94444444444444442</v>
      </c>
      <c r="W303" cm="1">
        <f t="array" ref="W303">_xlfn.IFS(N303=1,5,N303=2,4,N303=4,2,N303=5,1,N303=3,3)</f>
        <v>2</v>
      </c>
      <c r="X303">
        <f t="shared" si="32"/>
        <v>25</v>
      </c>
      <c r="Y303" cm="1">
        <f t="array" ref="Y303">MAX(IF($C$2:$C$1387=C303,$X$2:$X$1387))</f>
        <v>29</v>
      </c>
      <c r="Z303" cm="1">
        <f t="array" ref="Z303">MIN(IF($C$2:$C$1387=C303,$X$2:$X$1387))</f>
        <v>12</v>
      </c>
      <c r="AA303">
        <f t="shared" si="33"/>
        <v>17</v>
      </c>
      <c r="AB303">
        <f t="shared" si="34"/>
        <v>0.76470588235294112</v>
      </c>
    </row>
    <row r="304" spans="1:28" x14ac:dyDescent="0.25">
      <c r="A304" t="s">
        <v>128</v>
      </c>
      <c r="B304" t="s">
        <v>129</v>
      </c>
      <c r="C304">
        <v>2012</v>
      </c>
      <c r="D304">
        <v>0.11281527549482491</v>
      </c>
      <c r="E304">
        <v>0.87931410738372373</v>
      </c>
      <c r="F304">
        <v>1.1687149681636654E-4</v>
      </c>
      <c r="G304">
        <v>2.0794415416798357</v>
      </c>
      <c r="H304">
        <v>0.875</v>
      </c>
      <c r="I304">
        <v>1</v>
      </c>
      <c r="J304">
        <v>0</v>
      </c>
      <c r="K304">
        <v>3</v>
      </c>
      <c r="L304">
        <v>5</v>
      </c>
      <c r="M304">
        <v>1</v>
      </c>
      <c r="N304">
        <v>3</v>
      </c>
      <c r="O304">
        <v>5</v>
      </c>
      <c r="P304">
        <v>3</v>
      </c>
      <c r="Q304">
        <f t="shared" si="28"/>
        <v>5</v>
      </c>
      <c r="R304">
        <f t="shared" si="29"/>
        <v>25</v>
      </c>
      <c r="S304">
        <f t="array" ref="S304">MAX(IF($C$2:$C$1387=C304,$R$2:$R$1387))</f>
        <v>29</v>
      </c>
      <c r="T304" cm="1">
        <f t="array" ref="T304">MIN(IF($C$2:$C$1387=C304,$R$2:$R$1387))</f>
        <v>11</v>
      </c>
      <c r="U304">
        <f t="shared" si="30"/>
        <v>18</v>
      </c>
      <c r="V304">
        <f t="shared" si="31"/>
        <v>0.77777777777777779</v>
      </c>
      <c r="W304" cm="1">
        <f t="array" ref="W304">_xlfn.IFS(N304=1,5,N304=2,4,N304=4,2,N304=5,1,N304=3,3)</f>
        <v>3</v>
      </c>
      <c r="X304">
        <f t="shared" si="32"/>
        <v>25</v>
      </c>
      <c r="Y304" cm="1">
        <f t="array" ref="Y304">MAX(IF($C$2:$C$1387=C304,$X$2:$X$1387))</f>
        <v>30</v>
      </c>
      <c r="Z304" cm="1">
        <f t="array" ref="Z304">MIN(IF($C$2:$C$1387=C304,$X$2:$X$1387))</f>
        <v>12</v>
      </c>
      <c r="AA304">
        <f t="shared" si="33"/>
        <v>18</v>
      </c>
      <c r="AB304">
        <f t="shared" si="34"/>
        <v>0.72222222222222221</v>
      </c>
    </row>
    <row r="305" spans="1:28" x14ac:dyDescent="0.25">
      <c r="A305" t="s">
        <v>128</v>
      </c>
      <c r="B305" t="s">
        <v>129</v>
      </c>
      <c r="C305">
        <v>2013</v>
      </c>
      <c r="D305">
        <v>8.8744206476446069E-2</v>
      </c>
      <c r="E305">
        <v>0.87931410738372373</v>
      </c>
      <c r="F305">
        <v>4.0389414340950202E-3</v>
      </c>
      <c r="G305">
        <v>1.9459101490553132</v>
      </c>
      <c r="H305">
        <v>0.8571428571428571</v>
      </c>
      <c r="I305">
        <v>1</v>
      </c>
      <c r="J305">
        <v>0</v>
      </c>
      <c r="K305">
        <v>3</v>
      </c>
      <c r="L305">
        <v>5</v>
      </c>
      <c r="M305">
        <v>1</v>
      </c>
      <c r="N305">
        <v>1</v>
      </c>
      <c r="O305">
        <v>5</v>
      </c>
      <c r="P305">
        <v>3</v>
      </c>
      <c r="Q305">
        <f t="shared" si="28"/>
        <v>5</v>
      </c>
      <c r="R305">
        <f t="shared" si="29"/>
        <v>23</v>
      </c>
      <c r="S305">
        <f t="array" ref="S305">MAX(IF($C$2:$C$1387=C305,$R$2:$R$1387))</f>
        <v>29</v>
      </c>
      <c r="T305" cm="1">
        <f t="array" ref="T305">MIN(IF($C$2:$C$1387=C305,$R$2:$R$1387))</f>
        <v>10</v>
      </c>
      <c r="U305">
        <f t="shared" si="30"/>
        <v>19</v>
      </c>
      <c r="V305">
        <f t="shared" si="31"/>
        <v>0.68421052631578949</v>
      </c>
      <c r="W305" cm="1">
        <f t="array" ref="W305">_xlfn.IFS(N305=1,5,N305=2,4,N305=4,2,N305=5,1,N305=3,3)</f>
        <v>5</v>
      </c>
      <c r="X305">
        <f t="shared" si="32"/>
        <v>27</v>
      </c>
      <c r="Y305" cm="1">
        <f t="array" ref="Y305">MAX(IF($C$2:$C$1387=C305,$X$2:$X$1387))</f>
        <v>32</v>
      </c>
      <c r="Z305" cm="1">
        <f t="array" ref="Z305">MIN(IF($C$2:$C$1387=C305,$X$2:$X$1387))</f>
        <v>10</v>
      </c>
      <c r="AA305">
        <f t="shared" si="33"/>
        <v>22</v>
      </c>
      <c r="AB305">
        <f t="shared" si="34"/>
        <v>0.77272727272727271</v>
      </c>
    </row>
    <row r="306" spans="1:28" x14ac:dyDescent="0.25">
      <c r="A306" t="s">
        <v>128</v>
      </c>
      <c r="B306" t="s">
        <v>129</v>
      </c>
      <c r="C306">
        <v>2014</v>
      </c>
      <c r="D306">
        <v>9.8742293611486259E-2</v>
      </c>
      <c r="E306">
        <v>0.88930216103573045</v>
      </c>
      <c r="F306">
        <v>3.3734799621589046E-3</v>
      </c>
      <c r="G306">
        <v>1.9459101490553132</v>
      </c>
      <c r="H306">
        <v>0.8571428571428571</v>
      </c>
      <c r="I306">
        <v>1</v>
      </c>
      <c r="J306">
        <v>0</v>
      </c>
      <c r="K306">
        <v>3</v>
      </c>
      <c r="L306">
        <v>5</v>
      </c>
      <c r="M306">
        <v>1</v>
      </c>
      <c r="N306">
        <v>1</v>
      </c>
      <c r="O306">
        <v>5</v>
      </c>
      <c r="P306">
        <v>3</v>
      </c>
      <c r="Q306">
        <f t="shared" si="28"/>
        <v>5</v>
      </c>
      <c r="R306">
        <f t="shared" si="29"/>
        <v>23</v>
      </c>
      <c r="S306">
        <f t="array" ref="S306">MAX(IF($C$2:$C$1387=C306,$R$2:$R$1387))</f>
        <v>29</v>
      </c>
      <c r="T306" cm="1">
        <f t="array" ref="T306">MIN(IF($C$2:$C$1387=C306,$R$2:$R$1387))</f>
        <v>11</v>
      </c>
      <c r="U306">
        <f t="shared" si="30"/>
        <v>18</v>
      </c>
      <c r="V306">
        <f t="shared" si="31"/>
        <v>0.66666666666666663</v>
      </c>
      <c r="W306" cm="1">
        <f t="array" ref="W306">_xlfn.IFS(N306=1,5,N306=2,4,N306=4,2,N306=5,1,N306=3,3)</f>
        <v>5</v>
      </c>
      <c r="X306">
        <f t="shared" si="32"/>
        <v>27</v>
      </c>
      <c r="Y306" cm="1">
        <f t="array" ref="Y306">MAX(IF($C$2:$C$1387=C306,$X$2:$X$1387))</f>
        <v>30</v>
      </c>
      <c r="Z306" cm="1">
        <f t="array" ref="Z306">MIN(IF($C$2:$C$1387=C306,$X$2:$X$1387))</f>
        <v>14</v>
      </c>
      <c r="AA306">
        <f t="shared" si="33"/>
        <v>16</v>
      </c>
      <c r="AB306">
        <f t="shared" si="34"/>
        <v>0.8125</v>
      </c>
    </row>
    <row r="307" spans="1:28" x14ac:dyDescent="0.25">
      <c r="A307" t="s">
        <v>128</v>
      </c>
      <c r="B307" t="s">
        <v>129</v>
      </c>
      <c r="C307">
        <v>2015</v>
      </c>
      <c r="D307">
        <v>0.14410757231609669</v>
      </c>
      <c r="E307">
        <v>0.82741052804084447</v>
      </c>
      <c r="F307">
        <v>1.5471073421963052E-3</v>
      </c>
      <c r="G307">
        <v>1.9459101490553132</v>
      </c>
      <c r="H307">
        <v>0.8571428571428571</v>
      </c>
      <c r="I307">
        <v>1</v>
      </c>
      <c r="J307">
        <v>1</v>
      </c>
      <c r="K307">
        <v>3</v>
      </c>
      <c r="L307">
        <v>4</v>
      </c>
      <c r="M307">
        <v>1</v>
      </c>
      <c r="N307">
        <v>1</v>
      </c>
      <c r="O307">
        <v>4</v>
      </c>
      <c r="P307">
        <v>2</v>
      </c>
      <c r="Q307">
        <f t="shared" si="28"/>
        <v>1</v>
      </c>
      <c r="R307">
        <f t="shared" si="29"/>
        <v>16</v>
      </c>
      <c r="S307">
        <f t="array" ref="S307">MAX(IF($C$2:$C$1387=C307,$R$2:$R$1387))</f>
        <v>29</v>
      </c>
      <c r="T307" cm="1">
        <f t="array" ref="T307">MIN(IF($C$2:$C$1387=C307,$R$2:$R$1387))</f>
        <v>11</v>
      </c>
      <c r="U307">
        <f t="shared" si="30"/>
        <v>18</v>
      </c>
      <c r="V307">
        <f t="shared" si="31"/>
        <v>0.27777777777777779</v>
      </c>
      <c r="W307" cm="1">
        <f t="array" ref="W307">_xlfn.IFS(N307=1,5,N307=2,4,N307=4,2,N307=5,1,N307=3,3)</f>
        <v>5</v>
      </c>
      <c r="X307">
        <f t="shared" si="32"/>
        <v>20</v>
      </c>
      <c r="Y307" cm="1">
        <f t="array" ref="Y307">MAX(IF($C$2:$C$1387=C307,$X$2:$X$1387))</f>
        <v>29</v>
      </c>
      <c r="Z307" cm="1">
        <f t="array" ref="Z307">MIN(IF($C$2:$C$1387=C307,$X$2:$X$1387))</f>
        <v>12</v>
      </c>
      <c r="AA307">
        <f t="shared" si="33"/>
        <v>17</v>
      </c>
      <c r="AB307">
        <f t="shared" si="34"/>
        <v>0.47058823529411764</v>
      </c>
    </row>
    <row r="308" spans="1:28" x14ac:dyDescent="0.25">
      <c r="A308" t="s">
        <v>130</v>
      </c>
      <c r="B308" t="s">
        <v>131</v>
      </c>
      <c r="C308">
        <v>2010</v>
      </c>
      <c r="D308">
        <v>0.10005949961893433</v>
      </c>
      <c r="E308">
        <v>0.54981358777948253</v>
      </c>
      <c r="F308">
        <v>0.25269081377196062</v>
      </c>
      <c r="G308">
        <v>2.3025850929940459</v>
      </c>
      <c r="H308">
        <v>0.6</v>
      </c>
      <c r="I308">
        <v>0.5</v>
      </c>
      <c r="J308">
        <v>0</v>
      </c>
      <c r="K308">
        <v>3</v>
      </c>
      <c r="L308">
        <v>2</v>
      </c>
      <c r="M308">
        <v>5</v>
      </c>
      <c r="N308">
        <v>5</v>
      </c>
      <c r="O308">
        <v>3</v>
      </c>
      <c r="P308">
        <v>1</v>
      </c>
      <c r="Q308">
        <f t="shared" si="28"/>
        <v>5</v>
      </c>
      <c r="R308">
        <f t="shared" si="29"/>
        <v>24</v>
      </c>
      <c r="S308">
        <f t="array" ref="S308">MAX(IF($C$2:$C$1387=C308,$R$2:$R$1387))</f>
        <v>29</v>
      </c>
      <c r="T308" cm="1">
        <f t="array" ref="T308">MIN(IF($C$2:$C$1387=C308,$R$2:$R$1387))</f>
        <v>9</v>
      </c>
      <c r="U308">
        <f t="shared" si="30"/>
        <v>20</v>
      </c>
      <c r="V308">
        <f t="shared" si="31"/>
        <v>0.75</v>
      </c>
      <c r="W308" cm="1">
        <f t="array" ref="W308">_xlfn.IFS(N308=1,5,N308=2,4,N308=4,2,N308=5,1,N308=3,3)</f>
        <v>1</v>
      </c>
      <c r="X308">
        <f t="shared" si="32"/>
        <v>20</v>
      </c>
      <c r="Y308" cm="1">
        <f t="array" ref="Y308">MAX(IF($C$2:$C$1387=C308,$X$2:$X$1387))</f>
        <v>29</v>
      </c>
      <c r="Z308" cm="1">
        <f t="array" ref="Z308">MIN(IF($C$2:$C$1387=C308,$X$2:$X$1387))</f>
        <v>12</v>
      </c>
      <c r="AA308">
        <f t="shared" si="33"/>
        <v>17</v>
      </c>
      <c r="AB308">
        <f t="shared" si="34"/>
        <v>0.47058823529411764</v>
      </c>
    </row>
    <row r="309" spans="1:28" x14ac:dyDescent="0.25">
      <c r="A309" t="s">
        <v>130</v>
      </c>
      <c r="B309" t="s">
        <v>131</v>
      </c>
      <c r="C309">
        <v>2011</v>
      </c>
      <c r="D309">
        <v>0.10005949961893433</v>
      </c>
      <c r="E309">
        <v>0.54981358777948253</v>
      </c>
      <c r="F309">
        <v>0.25269081377196062</v>
      </c>
      <c r="G309">
        <v>2.3025850929940459</v>
      </c>
      <c r="H309">
        <v>0.6</v>
      </c>
      <c r="I309">
        <v>0.5</v>
      </c>
      <c r="J309">
        <v>0</v>
      </c>
      <c r="K309">
        <v>3</v>
      </c>
      <c r="L309">
        <v>2</v>
      </c>
      <c r="M309">
        <v>5</v>
      </c>
      <c r="N309">
        <v>5</v>
      </c>
      <c r="O309">
        <v>3</v>
      </c>
      <c r="P309">
        <v>1</v>
      </c>
      <c r="Q309">
        <f t="shared" si="28"/>
        <v>5</v>
      </c>
      <c r="R309">
        <f t="shared" si="29"/>
        <v>24</v>
      </c>
      <c r="S309">
        <f t="array" ref="S309">MAX(IF($C$2:$C$1387=C309,$R$2:$R$1387))</f>
        <v>28</v>
      </c>
      <c r="T309" cm="1">
        <f t="array" ref="T309">MIN(IF($C$2:$C$1387=C309,$R$2:$R$1387))</f>
        <v>10</v>
      </c>
      <c r="U309">
        <f t="shared" si="30"/>
        <v>18</v>
      </c>
      <c r="V309">
        <f t="shared" si="31"/>
        <v>0.77777777777777779</v>
      </c>
      <c r="W309" cm="1">
        <f t="array" ref="W309">_xlfn.IFS(N309=1,5,N309=2,4,N309=4,2,N309=5,1,N309=3,3)</f>
        <v>1</v>
      </c>
      <c r="X309">
        <f t="shared" si="32"/>
        <v>20</v>
      </c>
      <c r="Y309" cm="1">
        <f t="array" ref="Y309">MAX(IF($C$2:$C$1387=C309,$X$2:$X$1387))</f>
        <v>29</v>
      </c>
      <c r="Z309" cm="1">
        <f t="array" ref="Z309">MIN(IF($C$2:$C$1387=C309,$X$2:$X$1387))</f>
        <v>12</v>
      </c>
      <c r="AA309">
        <f t="shared" si="33"/>
        <v>17</v>
      </c>
      <c r="AB309">
        <f t="shared" si="34"/>
        <v>0.47058823529411764</v>
      </c>
    </row>
    <row r="310" spans="1:28" x14ac:dyDescent="0.25">
      <c r="A310" t="s">
        <v>130</v>
      </c>
      <c r="B310" t="s">
        <v>131</v>
      </c>
      <c r="C310">
        <v>2012</v>
      </c>
      <c r="D310">
        <v>0.10005949961893433</v>
      </c>
      <c r="E310">
        <v>0.54981358777948253</v>
      </c>
      <c r="F310">
        <v>0.25269081377196062</v>
      </c>
      <c r="G310">
        <v>2.3025850929940459</v>
      </c>
      <c r="H310">
        <v>0.6</v>
      </c>
      <c r="I310">
        <v>0.5</v>
      </c>
      <c r="J310">
        <v>0</v>
      </c>
      <c r="K310">
        <v>3</v>
      </c>
      <c r="L310">
        <v>2</v>
      </c>
      <c r="M310">
        <v>5</v>
      </c>
      <c r="N310">
        <v>5</v>
      </c>
      <c r="O310">
        <v>3</v>
      </c>
      <c r="P310">
        <v>1</v>
      </c>
      <c r="Q310">
        <f t="shared" si="28"/>
        <v>5</v>
      </c>
      <c r="R310">
        <f t="shared" si="29"/>
        <v>24</v>
      </c>
      <c r="S310">
        <f t="array" ref="S310">MAX(IF($C$2:$C$1387=C310,$R$2:$R$1387))</f>
        <v>29</v>
      </c>
      <c r="T310" cm="1">
        <f t="array" ref="T310">MIN(IF($C$2:$C$1387=C310,$R$2:$R$1387))</f>
        <v>11</v>
      </c>
      <c r="U310">
        <f t="shared" si="30"/>
        <v>18</v>
      </c>
      <c r="V310">
        <f t="shared" si="31"/>
        <v>0.72222222222222221</v>
      </c>
      <c r="W310" cm="1">
        <f t="array" ref="W310">_xlfn.IFS(N310=1,5,N310=2,4,N310=4,2,N310=5,1,N310=3,3)</f>
        <v>1</v>
      </c>
      <c r="X310">
        <f t="shared" si="32"/>
        <v>20</v>
      </c>
      <c r="Y310" cm="1">
        <f t="array" ref="Y310">MAX(IF($C$2:$C$1387=C310,$X$2:$X$1387))</f>
        <v>30</v>
      </c>
      <c r="Z310" cm="1">
        <f t="array" ref="Z310">MIN(IF($C$2:$C$1387=C310,$X$2:$X$1387))</f>
        <v>12</v>
      </c>
      <c r="AA310">
        <f t="shared" si="33"/>
        <v>18</v>
      </c>
      <c r="AB310">
        <f t="shared" si="34"/>
        <v>0.44444444444444442</v>
      </c>
    </row>
    <row r="311" spans="1:28" x14ac:dyDescent="0.25">
      <c r="A311" t="s">
        <v>130</v>
      </c>
      <c r="B311" t="s">
        <v>131</v>
      </c>
      <c r="C311">
        <v>2013</v>
      </c>
      <c r="D311">
        <v>0.10005846073801818</v>
      </c>
      <c r="E311">
        <v>0.54981358777948253</v>
      </c>
      <c r="F311">
        <v>4.8071139307207217E-2</v>
      </c>
      <c r="G311">
        <v>2.3025850929940459</v>
      </c>
      <c r="H311">
        <v>0.6</v>
      </c>
      <c r="I311">
        <v>0.5</v>
      </c>
      <c r="J311">
        <v>0</v>
      </c>
      <c r="K311">
        <v>3</v>
      </c>
      <c r="L311">
        <v>2</v>
      </c>
      <c r="M311">
        <v>3</v>
      </c>
      <c r="N311">
        <v>5</v>
      </c>
      <c r="O311">
        <v>3</v>
      </c>
      <c r="P311">
        <v>1</v>
      </c>
      <c r="Q311">
        <f t="shared" si="28"/>
        <v>5</v>
      </c>
      <c r="R311">
        <f t="shared" si="29"/>
        <v>22</v>
      </c>
      <c r="S311">
        <f t="array" ref="S311">MAX(IF($C$2:$C$1387=C311,$R$2:$R$1387))</f>
        <v>29</v>
      </c>
      <c r="T311" cm="1">
        <f t="array" ref="T311">MIN(IF($C$2:$C$1387=C311,$R$2:$R$1387))</f>
        <v>10</v>
      </c>
      <c r="U311">
        <f t="shared" si="30"/>
        <v>19</v>
      </c>
      <c r="V311">
        <f t="shared" si="31"/>
        <v>0.63157894736842102</v>
      </c>
      <c r="W311" cm="1">
        <f t="array" ref="W311">_xlfn.IFS(N311=1,5,N311=2,4,N311=4,2,N311=5,1,N311=3,3)</f>
        <v>1</v>
      </c>
      <c r="X311">
        <f t="shared" si="32"/>
        <v>18</v>
      </c>
      <c r="Y311" cm="1">
        <f t="array" ref="Y311">MAX(IF($C$2:$C$1387=C311,$X$2:$X$1387))</f>
        <v>32</v>
      </c>
      <c r="Z311" cm="1">
        <f t="array" ref="Z311">MIN(IF($C$2:$C$1387=C311,$X$2:$X$1387))</f>
        <v>10</v>
      </c>
      <c r="AA311">
        <f t="shared" si="33"/>
        <v>22</v>
      </c>
      <c r="AB311">
        <f t="shared" si="34"/>
        <v>0.36363636363636365</v>
      </c>
    </row>
    <row r="312" spans="1:28" x14ac:dyDescent="0.25">
      <c r="A312" t="s">
        <v>130</v>
      </c>
      <c r="B312" t="s">
        <v>131</v>
      </c>
      <c r="C312">
        <v>2014</v>
      </c>
      <c r="D312">
        <v>0.11100746773366774</v>
      </c>
      <c r="E312">
        <v>0.54981358777948253</v>
      </c>
      <c r="F312">
        <v>4.5941290063538705E-2</v>
      </c>
      <c r="G312">
        <v>2.1972245773362196</v>
      </c>
      <c r="H312">
        <v>0.66666666666666663</v>
      </c>
      <c r="I312">
        <v>0.33333333333333331</v>
      </c>
      <c r="J312">
        <v>0</v>
      </c>
      <c r="K312">
        <v>3</v>
      </c>
      <c r="L312">
        <v>2</v>
      </c>
      <c r="M312">
        <v>3</v>
      </c>
      <c r="N312">
        <v>4</v>
      </c>
      <c r="O312">
        <v>4</v>
      </c>
      <c r="P312">
        <v>1</v>
      </c>
      <c r="Q312">
        <f t="shared" si="28"/>
        <v>5</v>
      </c>
      <c r="R312">
        <f t="shared" si="29"/>
        <v>22</v>
      </c>
      <c r="S312">
        <f t="array" ref="S312">MAX(IF($C$2:$C$1387=C312,$R$2:$R$1387))</f>
        <v>29</v>
      </c>
      <c r="T312" cm="1">
        <f t="array" ref="T312">MIN(IF($C$2:$C$1387=C312,$R$2:$R$1387))</f>
        <v>11</v>
      </c>
      <c r="U312">
        <f t="shared" si="30"/>
        <v>18</v>
      </c>
      <c r="V312">
        <f t="shared" si="31"/>
        <v>0.61111111111111116</v>
      </c>
      <c r="W312" cm="1">
        <f t="array" ref="W312">_xlfn.IFS(N312=1,5,N312=2,4,N312=4,2,N312=5,1,N312=3,3)</f>
        <v>2</v>
      </c>
      <c r="X312">
        <f t="shared" si="32"/>
        <v>20</v>
      </c>
      <c r="Y312" cm="1">
        <f t="array" ref="Y312">MAX(IF($C$2:$C$1387=C312,$X$2:$X$1387))</f>
        <v>30</v>
      </c>
      <c r="Z312" cm="1">
        <f t="array" ref="Z312">MIN(IF($C$2:$C$1387=C312,$X$2:$X$1387))</f>
        <v>14</v>
      </c>
      <c r="AA312">
        <f t="shared" si="33"/>
        <v>16</v>
      </c>
      <c r="AB312">
        <f t="shared" si="34"/>
        <v>0.375</v>
      </c>
    </row>
    <row r="313" spans="1:28" x14ac:dyDescent="0.25">
      <c r="A313" t="s">
        <v>130</v>
      </c>
      <c r="B313" t="s">
        <v>131</v>
      </c>
      <c r="C313">
        <v>2015</v>
      </c>
      <c r="D313">
        <v>0.12501324469279995</v>
      </c>
      <c r="E313">
        <v>0.42517343431233673</v>
      </c>
      <c r="F313">
        <v>5.543756338576078E-2</v>
      </c>
      <c r="G313">
        <v>2.3025850929940459</v>
      </c>
      <c r="H313">
        <v>0.4</v>
      </c>
      <c r="I313">
        <v>0.33333333333333331</v>
      </c>
      <c r="J313">
        <v>0</v>
      </c>
      <c r="K313">
        <v>3</v>
      </c>
      <c r="L313">
        <v>1</v>
      </c>
      <c r="M313">
        <v>3</v>
      </c>
      <c r="N313">
        <v>5</v>
      </c>
      <c r="O313">
        <v>1</v>
      </c>
      <c r="P313">
        <v>1</v>
      </c>
      <c r="Q313">
        <f t="shared" si="28"/>
        <v>5</v>
      </c>
      <c r="R313">
        <f t="shared" si="29"/>
        <v>19</v>
      </c>
      <c r="S313">
        <f t="array" ref="S313">MAX(IF($C$2:$C$1387=C313,$R$2:$R$1387))</f>
        <v>29</v>
      </c>
      <c r="T313" cm="1">
        <f t="array" ref="T313">MIN(IF($C$2:$C$1387=C313,$R$2:$R$1387))</f>
        <v>11</v>
      </c>
      <c r="U313">
        <f t="shared" si="30"/>
        <v>18</v>
      </c>
      <c r="V313">
        <f t="shared" si="31"/>
        <v>0.44444444444444442</v>
      </c>
      <c r="W313" cm="1">
        <f t="array" ref="W313">_xlfn.IFS(N313=1,5,N313=2,4,N313=4,2,N313=5,1,N313=3,3)</f>
        <v>1</v>
      </c>
      <c r="X313">
        <f t="shared" si="32"/>
        <v>15</v>
      </c>
      <c r="Y313" cm="1">
        <f t="array" ref="Y313">MAX(IF($C$2:$C$1387=C313,$X$2:$X$1387))</f>
        <v>29</v>
      </c>
      <c r="Z313" cm="1">
        <f t="array" ref="Z313">MIN(IF($C$2:$C$1387=C313,$X$2:$X$1387))</f>
        <v>12</v>
      </c>
      <c r="AA313">
        <f t="shared" si="33"/>
        <v>17</v>
      </c>
      <c r="AB313">
        <f t="shared" si="34"/>
        <v>0.17647058823529413</v>
      </c>
    </row>
    <row r="314" spans="1:28" x14ac:dyDescent="0.25">
      <c r="A314" t="s">
        <v>132</v>
      </c>
      <c r="B314" t="s">
        <v>133</v>
      </c>
      <c r="C314">
        <v>2010</v>
      </c>
      <c r="D314">
        <v>0.22329999923706054</v>
      </c>
      <c r="E314">
        <v>0.50362126058062262</v>
      </c>
      <c r="F314">
        <v>4.2999999999999997E-2</v>
      </c>
      <c r="G314">
        <v>2.0794415416798357</v>
      </c>
      <c r="H314">
        <v>0.375</v>
      </c>
      <c r="I314">
        <v>0.5</v>
      </c>
      <c r="J314">
        <v>1</v>
      </c>
      <c r="K314">
        <v>3</v>
      </c>
      <c r="L314">
        <v>2</v>
      </c>
      <c r="M314">
        <v>3</v>
      </c>
      <c r="N314">
        <v>3</v>
      </c>
      <c r="O314">
        <v>2</v>
      </c>
      <c r="P314">
        <v>1</v>
      </c>
      <c r="Q314">
        <f t="shared" si="28"/>
        <v>1</v>
      </c>
      <c r="R314">
        <f t="shared" si="29"/>
        <v>15</v>
      </c>
      <c r="S314">
        <f t="array" ref="S314">MAX(IF($C$2:$C$1387=C314,$R$2:$R$1387))</f>
        <v>29</v>
      </c>
      <c r="T314" cm="1">
        <f t="array" ref="T314">MIN(IF($C$2:$C$1387=C314,$R$2:$R$1387))</f>
        <v>9</v>
      </c>
      <c r="U314">
        <f t="shared" si="30"/>
        <v>20</v>
      </c>
      <c r="V314">
        <f t="shared" si="31"/>
        <v>0.3</v>
      </c>
      <c r="W314" cm="1">
        <f t="array" ref="W314">_xlfn.IFS(N314=1,5,N314=2,4,N314=4,2,N314=5,1,N314=3,3)</f>
        <v>3</v>
      </c>
      <c r="X314">
        <f t="shared" si="32"/>
        <v>15</v>
      </c>
      <c r="Y314" cm="1">
        <f t="array" ref="Y314">MAX(IF($C$2:$C$1387=C314,$X$2:$X$1387))</f>
        <v>29</v>
      </c>
      <c r="Z314" cm="1">
        <f t="array" ref="Z314">MIN(IF($C$2:$C$1387=C314,$X$2:$X$1387))</f>
        <v>12</v>
      </c>
      <c r="AA314">
        <f t="shared" si="33"/>
        <v>17</v>
      </c>
      <c r="AB314">
        <f t="shared" si="34"/>
        <v>0.17647058823529413</v>
      </c>
    </row>
    <row r="315" spans="1:28" x14ac:dyDescent="0.25">
      <c r="A315" t="s">
        <v>132</v>
      </c>
      <c r="B315" t="s">
        <v>133</v>
      </c>
      <c r="C315">
        <v>2011</v>
      </c>
      <c r="D315">
        <v>0.22375791158618788</v>
      </c>
      <c r="E315">
        <v>0.45977287651120202</v>
      </c>
      <c r="F315">
        <v>9.1219539598260454E-3</v>
      </c>
      <c r="G315">
        <v>1.791759469228055</v>
      </c>
      <c r="H315">
        <v>0.5</v>
      </c>
      <c r="I315">
        <v>1</v>
      </c>
      <c r="J315">
        <v>1</v>
      </c>
      <c r="K315">
        <v>3</v>
      </c>
      <c r="L315">
        <v>1</v>
      </c>
      <c r="M315">
        <v>2</v>
      </c>
      <c r="N315">
        <v>1</v>
      </c>
      <c r="O315">
        <v>2</v>
      </c>
      <c r="P315">
        <v>3</v>
      </c>
      <c r="Q315">
        <f t="shared" si="28"/>
        <v>1</v>
      </c>
      <c r="R315">
        <f t="shared" si="29"/>
        <v>13</v>
      </c>
      <c r="S315">
        <f t="array" ref="S315">MAX(IF($C$2:$C$1387=C315,$R$2:$R$1387))</f>
        <v>28</v>
      </c>
      <c r="T315" cm="1">
        <f t="array" ref="T315">MIN(IF($C$2:$C$1387=C315,$R$2:$R$1387))</f>
        <v>10</v>
      </c>
      <c r="U315">
        <f t="shared" si="30"/>
        <v>18</v>
      </c>
      <c r="V315">
        <f t="shared" si="31"/>
        <v>0.16666666666666666</v>
      </c>
      <c r="W315" cm="1">
        <f t="array" ref="W315">_xlfn.IFS(N315=1,5,N315=2,4,N315=4,2,N315=5,1,N315=3,3)</f>
        <v>5</v>
      </c>
      <c r="X315">
        <f t="shared" si="32"/>
        <v>17</v>
      </c>
      <c r="Y315" cm="1">
        <f t="array" ref="Y315">MAX(IF($C$2:$C$1387=C315,$X$2:$X$1387))</f>
        <v>29</v>
      </c>
      <c r="Z315" cm="1">
        <f t="array" ref="Z315">MIN(IF($C$2:$C$1387=C315,$X$2:$X$1387))</f>
        <v>12</v>
      </c>
      <c r="AA315">
        <f t="shared" si="33"/>
        <v>17</v>
      </c>
      <c r="AB315">
        <f t="shared" si="34"/>
        <v>0.29411764705882354</v>
      </c>
    </row>
    <row r="316" spans="1:28" x14ac:dyDescent="0.25">
      <c r="A316" t="s">
        <v>132</v>
      </c>
      <c r="B316" t="s">
        <v>133</v>
      </c>
      <c r="C316">
        <v>2012</v>
      </c>
      <c r="D316">
        <v>0.22375791158618788</v>
      </c>
      <c r="E316">
        <v>0.45977287651120202</v>
      </c>
      <c r="F316">
        <v>9.1219539598260454E-3</v>
      </c>
      <c r="G316">
        <v>1.791759469228055</v>
      </c>
      <c r="H316">
        <v>0.5</v>
      </c>
      <c r="I316">
        <v>1</v>
      </c>
      <c r="J316">
        <v>1</v>
      </c>
      <c r="K316">
        <v>3</v>
      </c>
      <c r="L316">
        <v>1</v>
      </c>
      <c r="M316">
        <v>2</v>
      </c>
      <c r="N316">
        <v>1</v>
      </c>
      <c r="O316">
        <v>2</v>
      </c>
      <c r="P316">
        <v>3</v>
      </c>
      <c r="Q316">
        <f t="shared" si="28"/>
        <v>1</v>
      </c>
      <c r="R316">
        <f t="shared" si="29"/>
        <v>13</v>
      </c>
      <c r="S316">
        <f t="array" ref="S316">MAX(IF($C$2:$C$1387=C316,$R$2:$R$1387))</f>
        <v>29</v>
      </c>
      <c r="T316" cm="1">
        <f t="array" ref="T316">MIN(IF($C$2:$C$1387=C316,$R$2:$R$1387))</f>
        <v>11</v>
      </c>
      <c r="U316">
        <f t="shared" si="30"/>
        <v>18</v>
      </c>
      <c r="V316">
        <f t="shared" si="31"/>
        <v>0.1111111111111111</v>
      </c>
      <c r="W316" cm="1">
        <f t="array" ref="W316">_xlfn.IFS(N316=1,5,N316=2,4,N316=4,2,N316=5,1,N316=3,3)</f>
        <v>5</v>
      </c>
      <c r="X316">
        <f t="shared" si="32"/>
        <v>17</v>
      </c>
      <c r="Y316" cm="1">
        <f t="array" ref="Y316">MAX(IF($C$2:$C$1387=C316,$X$2:$X$1387))</f>
        <v>30</v>
      </c>
      <c r="Z316" cm="1">
        <f t="array" ref="Z316">MIN(IF($C$2:$C$1387=C316,$X$2:$X$1387))</f>
        <v>12</v>
      </c>
      <c r="AA316">
        <f t="shared" si="33"/>
        <v>18</v>
      </c>
      <c r="AB316">
        <f t="shared" si="34"/>
        <v>0.27777777777777779</v>
      </c>
    </row>
    <row r="317" spans="1:28" x14ac:dyDescent="0.25">
      <c r="A317" t="s">
        <v>132</v>
      </c>
      <c r="B317" t="s">
        <v>133</v>
      </c>
      <c r="C317">
        <v>2013</v>
      </c>
      <c r="D317">
        <v>0.22375791158618788</v>
      </c>
      <c r="E317">
        <v>0.55293287899407761</v>
      </c>
      <c r="F317">
        <v>2.5536721314642762E-2</v>
      </c>
      <c r="G317">
        <v>1.9459101490553132</v>
      </c>
      <c r="H317">
        <v>0.42857142857142855</v>
      </c>
      <c r="I317">
        <v>1</v>
      </c>
      <c r="J317">
        <v>1</v>
      </c>
      <c r="K317">
        <v>3</v>
      </c>
      <c r="L317">
        <v>2</v>
      </c>
      <c r="M317">
        <v>2</v>
      </c>
      <c r="N317">
        <v>1</v>
      </c>
      <c r="O317">
        <v>1</v>
      </c>
      <c r="P317">
        <v>3</v>
      </c>
      <c r="Q317">
        <f t="shared" si="28"/>
        <v>1</v>
      </c>
      <c r="R317">
        <f t="shared" si="29"/>
        <v>13</v>
      </c>
      <c r="S317">
        <f t="array" ref="S317">MAX(IF($C$2:$C$1387=C317,$R$2:$R$1387))</f>
        <v>29</v>
      </c>
      <c r="T317" cm="1">
        <f t="array" ref="T317">MIN(IF($C$2:$C$1387=C317,$R$2:$R$1387))</f>
        <v>10</v>
      </c>
      <c r="U317">
        <f t="shared" si="30"/>
        <v>19</v>
      </c>
      <c r="V317">
        <f t="shared" si="31"/>
        <v>0.15789473684210525</v>
      </c>
      <c r="W317" cm="1">
        <f t="array" ref="W317">_xlfn.IFS(N317=1,5,N317=2,4,N317=4,2,N317=5,1,N317=3,3)</f>
        <v>5</v>
      </c>
      <c r="X317">
        <f t="shared" si="32"/>
        <v>17</v>
      </c>
      <c r="Y317" cm="1">
        <f t="array" ref="Y317">MAX(IF($C$2:$C$1387=C317,$X$2:$X$1387))</f>
        <v>32</v>
      </c>
      <c r="Z317" cm="1">
        <f t="array" ref="Z317">MIN(IF($C$2:$C$1387=C317,$X$2:$X$1387))</f>
        <v>10</v>
      </c>
      <c r="AA317">
        <f t="shared" si="33"/>
        <v>22</v>
      </c>
      <c r="AB317">
        <f t="shared" si="34"/>
        <v>0.31818181818181818</v>
      </c>
    </row>
    <row r="318" spans="1:28" x14ac:dyDescent="0.25">
      <c r="A318" t="s">
        <v>132</v>
      </c>
      <c r="B318" t="s">
        <v>133</v>
      </c>
      <c r="C318">
        <v>2014</v>
      </c>
      <c r="D318">
        <v>0.22375791158618788</v>
      </c>
      <c r="E318">
        <v>0.55293287899407761</v>
      </c>
      <c r="F318">
        <v>7.0176745391123743E-2</v>
      </c>
      <c r="G318">
        <v>1.791759469228055</v>
      </c>
      <c r="H318">
        <v>0.5</v>
      </c>
      <c r="I318">
        <v>0.33333333333333331</v>
      </c>
      <c r="J318">
        <v>1</v>
      </c>
      <c r="K318">
        <v>3</v>
      </c>
      <c r="L318">
        <v>2</v>
      </c>
      <c r="M318">
        <v>3</v>
      </c>
      <c r="N318">
        <v>1</v>
      </c>
      <c r="O318">
        <v>2</v>
      </c>
      <c r="P318">
        <v>1</v>
      </c>
      <c r="Q318">
        <f t="shared" si="28"/>
        <v>1</v>
      </c>
      <c r="R318">
        <f t="shared" si="29"/>
        <v>13</v>
      </c>
      <c r="S318">
        <f t="array" ref="S318">MAX(IF($C$2:$C$1387=C318,$R$2:$R$1387))</f>
        <v>29</v>
      </c>
      <c r="T318" cm="1">
        <f t="array" ref="T318">MIN(IF($C$2:$C$1387=C318,$R$2:$R$1387))</f>
        <v>11</v>
      </c>
      <c r="U318">
        <f t="shared" si="30"/>
        <v>18</v>
      </c>
      <c r="V318">
        <f t="shared" si="31"/>
        <v>0.1111111111111111</v>
      </c>
      <c r="W318" cm="1">
        <f t="array" ref="W318">_xlfn.IFS(N318=1,5,N318=2,4,N318=4,2,N318=5,1,N318=3,3)</f>
        <v>5</v>
      </c>
      <c r="X318">
        <f t="shared" si="32"/>
        <v>17</v>
      </c>
      <c r="Y318" cm="1">
        <f t="array" ref="Y318">MAX(IF($C$2:$C$1387=C318,$X$2:$X$1387))</f>
        <v>30</v>
      </c>
      <c r="Z318" cm="1">
        <f t="array" ref="Z318">MIN(IF($C$2:$C$1387=C318,$X$2:$X$1387))</f>
        <v>14</v>
      </c>
      <c r="AA318">
        <f t="shared" si="33"/>
        <v>16</v>
      </c>
      <c r="AB318">
        <f t="shared" si="34"/>
        <v>0.1875</v>
      </c>
    </row>
    <row r="319" spans="1:28" x14ac:dyDescent="0.25">
      <c r="A319" t="s">
        <v>132</v>
      </c>
      <c r="B319" t="s">
        <v>133</v>
      </c>
      <c r="C319">
        <v>2015</v>
      </c>
      <c r="D319">
        <v>0.33065025831283884</v>
      </c>
      <c r="E319">
        <v>0.62570309201484275</v>
      </c>
      <c r="F319">
        <v>2.9275575618508458E-2</v>
      </c>
      <c r="G319">
        <v>1.9459101490553132</v>
      </c>
      <c r="H319">
        <v>0.5714285714285714</v>
      </c>
      <c r="I319">
        <v>1</v>
      </c>
      <c r="J319">
        <v>0</v>
      </c>
      <c r="K319">
        <v>4</v>
      </c>
      <c r="L319">
        <v>3</v>
      </c>
      <c r="M319">
        <v>2</v>
      </c>
      <c r="N319">
        <v>1</v>
      </c>
      <c r="O319">
        <v>1</v>
      </c>
      <c r="P319">
        <v>2</v>
      </c>
      <c r="Q319">
        <f t="shared" si="28"/>
        <v>5</v>
      </c>
      <c r="R319">
        <f t="shared" si="29"/>
        <v>18</v>
      </c>
      <c r="S319">
        <f t="array" ref="S319">MAX(IF($C$2:$C$1387=C319,$R$2:$R$1387))</f>
        <v>29</v>
      </c>
      <c r="T319" cm="1">
        <f t="array" ref="T319">MIN(IF($C$2:$C$1387=C319,$R$2:$R$1387))</f>
        <v>11</v>
      </c>
      <c r="U319">
        <f t="shared" si="30"/>
        <v>18</v>
      </c>
      <c r="V319">
        <f t="shared" si="31"/>
        <v>0.3888888888888889</v>
      </c>
      <c r="W319" cm="1">
        <f t="array" ref="W319">_xlfn.IFS(N319=1,5,N319=2,4,N319=4,2,N319=5,1,N319=3,3)</f>
        <v>5</v>
      </c>
      <c r="X319">
        <f t="shared" si="32"/>
        <v>22</v>
      </c>
      <c r="Y319" cm="1">
        <f t="array" ref="Y319">MAX(IF($C$2:$C$1387=C319,$X$2:$X$1387))</f>
        <v>29</v>
      </c>
      <c r="Z319" cm="1">
        <f t="array" ref="Z319">MIN(IF($C$2:$C$1387=C319,$X$2:$X$1387))</f>
        <v>12</v>
      </c>
      <c r="AA319">
        <f t="shared" si="33"/>
        <v>17</v>
      </c>
      <c r="AB319">
        <f t="shared" si="34"/>
        <v>0.58823529411764708</v>
      </c>
    </row>
    <row r="320" spans="1:28" x14ac:dyDescent="0.25">
      <c r="A320" t="s">
        <v>134</v>
      </c>
      <c r="B320" t="s">
        <v>135</v>
      </c>
      <c r="C320">
        <v>2010</v>
      </c>
      <c r="D320">
        <v>0.39016700767539564</v>
      </c>
      <c r="E320">
        <v>0.57407974500116532</v>
      </c>
      <c r="F320">
        <v>9.3295787211288873E-3</v>
      </c>
      <c r="G320">
        <v>2.0794415416798357</v>
      </c>
      <c r="H320">
        <v>0.5</v>
      </c>
      <c r="I320">
        <v>0.66666666666666663</v>
      </c>
      <c r="J320">
        <v>0</v>
      </c>
      <c r="K320">
        <v>4</v>
      </c>
      <c r="L320">
        <v>2</v>
      </c>
      <c r="M320">
        <v>2</v>
      </c>
      <c r="N320">
        <v>3</v>
      </c>
      <c r="O320">
        <v>2</v>
      </c>
      <c r="P320">
        <v>1</v>
      </c>
      <c r="Q320">
        <f t="shared" si="28"/>
        <v>5</v>
      </c>
      <c r="R320">
        <f t="shared" si="29"/>
        <v>19</v>
      </c>
      <c r="S320">
        <f t="array" ref="S320">MAX(IF($C$2:$C$1387=C320,$R$2:$R$1387))</f>
        <v>29</v>
      </c>
      <c r="T320" cm="1">
        <f t="array" ref="T320">MIN(IF($C$2:$C$1387=C320,$R$2:$R$1387))</f>
        <v>9</v>
      </c>
      <c r="U320">
        <f t="shared" si="30"/>
        <v>20</v>
      </c>
      <c r="V320">
        <f t="shared" si="31"/>
        <v>0.5</v>
      </c>
      <c r="W320" cm="1">
        <f t="array" ref="W320">_xlfn.IFS(N320=1,5,N320=2,4,N320=4,2,N320=5,1,N320=3,3)</f>
        <v>3</v>
      </c>
      <c r="X320">
        <f t="shared" si="32"/>
        <v>19</v>
      </c>
      <c r="Y320" cm="1">
        <f t="array" ref="Y320">MAX(IF($C$2:$C$1387=C320,$X$2:$X$1387))</f>
        <v>29</v>
      </c>
      <c r="Z320" cm="1">
        <f t="array" ref="Z320">MIN(IF($C$2:$C$1387=C320,$X$2:$X$1387))</f>
        <v>12</v>
      </c>
      <c r="AA320">
        <f t="shared" si="33"/>
        <v>17</v>
      </c>
      <c r="AB320">
        <f t="shared" si="34"/>
        <v>0.41176470588235292</v>
      </c>
    </row>
    <row r="321" spans="1:28" x14ac:dyDescent="0.25">
      <c r="A321" t="s">
        <v>134</v>
      </c>
      <c r="B321" t="s">
        <v>135</v>
      </c>
      <c r="C321">
        <v>2011</v>
      </c>
      <c r="D321">
        <v>0.39016700767539564</v>
      </c>
      <c r="E321">
        <v>0.57407974500116532</v>
      </c>
      <c r="F321">
        <v>9.3295787211288873E-3</v>
      </c>
      <c r="G321">
        <v>2.0794415416798357</v>
      </c>
      <c r="H321">
        <v>0.5</v>
      </c>
      <c r="I321">
        <v>0.66666666666666663</v>
      </c>
      <c r="J321">
        <v>0</v>
      </c>
      <c r="K321">
        <v>4</v>
      </c>
      <c r="L321">
        <v>2</v>
      </c>
      <c r="M321">
        <v>2</v>
      </c>
      <c r="N321">
        <v>3</v>
      </c>
      <c r="O321">
        <v>2</v>
      </c>
      <c r="P321">
        <v>1</v>
      </c>
      <c r="Q321">
        <f t="shared" si="28"/>
        <v>5</v>
      </c>
      <c r="R321">
        <f t="shared" si="29"/>
        <v>19</v>
      </c>
      <c r="S321">
        <f t="array" ref="S321">MAX(IF($C$2:$C$1387=C321,$R$2:$R$1387))</f>
        <v>28</v>
      </c>
      <c r="T321" cm="1">
        <f t="array" ref="T321">MIN(IF($C$2:$C$1387=C321,$R$2:$R$1387))</f>
        <v>10</v>
      </c>
      <c r="U321">
        <f t="shared" si="30"/>
        <v>18</v>
      </c>
      <c r="V321">
        <f t="shared" si="31"/>
        <v>0.5</v>
      </c>
      <c r="W321" cm="1">
        <f t="array" ref="W321">_xlfn.IFS(N321=1,5,N321=2,4,N321=4,2,N321=5,1,N321=3,3)</f>
        <v>3</v>
      </c>
      <c r="X321">
        <f t="shared" si="32"/>
        <v>19</v>
      </c>
      <c r="Y321" cm="1">
        <f t="array" ref="Y321">MAX(IF($C$2:$C$1387=C321,$X$2:$X$1387))</f>
        <v>29</v>
      </c>
      <c r="Z321" cm="1">
        <f t="array" ref="Z321">MIN(IF($C$2:$C$1387=C321,$X$2:$X$1387))</f>
        <v>12</v>
      </c>
      <c r="AA321">
        <f t="shared" si="33"/>
        <v>17</v>
      </c>
      <c r="AB321">
        <f t="shared" si="34"/>
        <v>0.41176470588235292</v>
      </c>
    </row>
    <row r="322" spans="1:28" x14ac:dyDescent="0.25">
      <c r="A322" t="s">
        <v>134</v>
      </c>
      <c r="B322" t="s">
        <v>135</v>
      </c>
      <c r="C322">
        <v>2012</v>
      </c>
      <c r="D322">
        <v>0.39016700767539564</v>
      </c>
      <c r="E322">
        <v>0.57407974500116532</v>
      </c>
      <c r="F322">
        <v>9.3295787211288873E-3</v>
      </c>
      <c r="G322">
        <v>2.0794415416798357</v>
      </c>
      <c r="H322">
        <v>0.5</v>
      </c>
      <c r="I322">
        <v>0.66666666666666663</v>
      </c>
      <c r="J322">
        <v>0</v>
      </c>
      <c r="K322">
        <v>4</v>
      </c>
      <c r="L322">
        <v>2</v>
      </c>
      <c r="M322">
        <v>2</v>
      </c>
      <c r="N322">
        <v>3</v>
      </c>
      <c r="O322">
        <v>2</v>
      </c>
      <c r="P322">
        <v>1</v>
      </c>
      <c r="Q322">
        <f t="shared" si="28"/>
        <v>5</v>
      </c>
      <c r="R322">
        <f t="shared" si="29"/>
        <v>19</v>
      </c>
      <c r="S322">
        <f t="array" ref="S322">MAX(IF($C$2:$C$1387=C322,$R$2:$R$1387))</f>
        <v>29</v>
      </c>
      <c r="T322" cm="1">
        <f t="array" ref="T322">MIN(IF($C$2:$C$1387=C322,$R$2:$R$1387))</f>
        <v>11</v>
      </c>
      <c r="U322">
        <f t="shared" si="30"/>
        <v>18</v>
      </c>
      <c r="V322">
        <f t="shared" si="31"/>
        <v>0.44444444444444442</v>
      </c>
      <c r="W322" cm="1">
        <f t="array" ref="W322">_xlfn.IFS(N322=1,5,N322=2,4,N322=4,2,N322=5,1,N322=3,3)</f>
        <v>3</v>
      </c>
      <c r="X322">
        <f t="shared" si="32"/>
        <v>19</v>
      </c>
      <c r="Y322" cm="1">
        <f t="array" ref="Y322">MAX(IF($C$2:$C$1387=C322,$X$2:$X$1387))</f>
        <v>30</v>
      </c>
      <c r="Z322" cm="1">
        <f t="array" ref="Z322">MIN(IF($C$2:$C$1387=C322,$X$2:$X$1387))</f>
        <v>12</v>
      </c>
      <c r="AA322">
        <f t="shared" si="33"/>
        <v>18</v>
      </c>
      <c r="AB322">
        <f t="shared" si="34"/>
        <v>0.3888888888888889</v>
      </c>
    </row>
    <row r="323" spans="1:28" x14ac:dyDescent="0.25">
      <c r="A323" t="s">
        <v>134</v>
      </c>
      <c r="B323" t="s">
        <v>135</v>
      </c>
      <c r="C323">
        <v>2013</v>
      </c>
      <c r="D323">
        <v>0.4572673117510076</v>
      </c>
      <c r="E323">
        <v>0.57409558427021123</v>
      </c>
      <c r="F323">
        <v>2.5997716482292345E-3</v>
      </c>
      <c r="G323">
        <v>1.9459101490553132</v>
      </c>
      <c r="H323">
        <v>0.7142857142857143</v>
      </c>
      <c r="I323">
        <v>0.66666666666666663</v>
      </c>
      <c r="J323">
        <v>0</v>
      </c>
      <c r="K323">
        <v>4</v>
      </c>
      <c r="L323">
        <v>2</v>
      </c>
      <c r="M323">
        <v>1</v>
      </c>
      <c r="N323">
        <v>1</v>
      </c>
      <c r="O323">
        <v>4</v>
      </c>
      <c r="P323">
        <v>1</v>
      </c>
      <c r="Q323">
        <f t="shared" ref="Q323:Q386" si="35">IF(J323=0,5,1)</f>
        <v>5</v>
      </c>
      <c r="R323">
        <f t="shared" ref="R323:R386" si="36">SUM(K323:Q323)</f>
        <v>18</v>
      </c>
      <c r="S323">
        <f t="array" ref="S323">MAX(IF($C$2:$C$1387=C323,$R$2:$R$1387))</f>
        <v>29</v>
      </c>
      <c r="T323" cm="1">
        <f t="array" ref="T323">MIN(IF($C$2:$C$1387=C323,$R$2:$R$1387))</f>
        <v>10</v>
      </c>
      <c r="U323">
        <f t="shared" ref="U323:U386" si="37">S323-T323</f>
        <v>19</v>
      </c>
      <c r="V323">
        <f t="shared" ref="V323:V386" si="38">(R323-T323)/U323</f>
        <v>0.42105263157894735</v>
      </c>
      <c r="W323" cm="1">
        <f t="array" ref="W323">_xlfn.IFS(N323=1,5,N323=2,4,N323=4,2,N323=5,1,N323=3,3)</f>
        <v>5</v>
      </c>
      <c r="X323">
        <f t="shared" ref="X323:X386" si="39">SUM(K323:M323,O323:Q323,W323)</f>
        <v>22</v>
      </c>
      <c r="Y323" cm="1">
        <f t="array" ref="Y323">MAX(IF($C$2:$C$1387=C323,$X$2:$X$1387))</f>
        <v>32</v>
      </c>
      <c r="Z323" cm="1">
        <f t="array" ref="Z323">MIN(IF($C$2:$C$1387=C323,$X$2:$X$1387))</f>
        <v>10</v>
      </c>
      <c r="AA323">
        <f t="shared" ref="AA323:AA386" si="40">Y323-Z323</f>
        <v>22</v>
      </c>
      <c r="AB323">
        <f t="shared" ref="AB323:AB386" si="41">(X323-Z323)/AA323</f>
        <v>0.54545454545454541</v>
      </c>
    </row>
    <row r="324" spans="1:28" x14ac:dyDescent="0.25">
      <c r="A324" t="s">
        <v>134</v>
      </c>
      <c r="B324" t="s">
        <v>135</v>
      </c>
      <c r="C324">
        <v>2014</v>
      </c>
      <c r="D324">
        <v>0.40862405952984404</v>
      </c>
      <c r="E324">
        <v>0.57407974500116532</v>
      </c>
      <c r="F324">
        <v>2.3612399740647103E-4</v>
      </c>
      <c r="G324">
        <v>1.9459101490553132</v>
      </c>
      <c r="H324">
        <v>0.7142857142857143</v>
      </c>
      <c r="I324">
        <v>0.66666666666666663</v>
      </c>
      <c r="J324">
        <v>0</v>
      </c>
      <c r="K324">
        <v>4</v>
      </c>
      <c r="L324">
        <v>2</v>
      </c>
      <c r="M324">
        <v>1</v>
      </c>
      <c r="N324">
        <v>1</v>
      </c>
      <c r="O324">
        <v>4</v>
      </c>
      <c r="P324">
        <v>1</v>
      </c>
      <c r="Q324">
        <f t="shared" si="35"/>
        <v>5</v>
      </c>
      <c r="R324">
        <f t="shared" si="36"/>
        <v>18</v>
      </c>
      <c r="S324">
        <f t="array" ref="S324">MAX(IF($C$2:$C$1387=C324,$R$2:$R$1387))</f>
        <v>29</v>
      </c>
      <c r="T324" cm="1">
        <f t="array" ref="T324">MIN(IF($C$2:$C$1387=C324,$R$2:$R$1387))</f>
        <v>11</v>
      </c>
      <c r="U324">
        <f t="shared" si="37"/>
        <v>18</v>
      </c>
      <c r="V324">
        <f t="shared" si="38"/>
        <v>0.3888888888888889</v>
      </c>
      <c r="W324" cm="1">
        <f t="array" ref="W324">_xlfn.IFS(N324=1,5,N324=2,4,N324=4,2,N324=5,1,N324=3,3)</f>
        <v>5</v>
      </c>
      <c r="X324">
        <f t="shared" si="39"/>
        <v>22</v>
      </c>
      <c r="Y324" cm="1">
        <f t="array" ref="Y324">MAX(IF($C$2:$C$1387=C324,$X$2:$X$1387))</f>
        <v>30</v>
      </c>
      <c r="Z324" cm="1">
        <f t="array" ref="Z324">MIN(IF($C$2:$C$1387=C324,$X$2:$X$1387))</f>
        <v>14</v>
      </c>
      <c r="AA324">
        <f t="shared" si="40"/>
        <v>16</v>
      </c>
      <c r="AB324">
        <f t="shared" si="41"/>
        <v>0.5</v>
      </c>
    </row>
    <row r="325" spans="1:28" x14ac:dyDescent="0.25">
      <c r="A325" t="s">
        <v>134</v>
      </c>
      <c r="B325" t="s">
        <v>135</v>
      </c>
      <c r="C325">
        <v>2015</v>
      </c>
      <c r="D325">
        <v>0.41321088888550045</v>
      </c>
      <c r="E325">
        <v>0.57407974500116532</v>
      </c>
      <c r="F325">
        <v>1.5972742305571915E-3</v>
      </c>
      <c r="G325">
        <v>1.9459101490553132</v>
      </c>
      <c r="H325">
        <v>0.7142857142857143</v>
      </c>
      <c r="I325">
        <v>1</v>
      </c>
      <c r="J325">
        <v>1</v>
      </c>
      <c r="K325">
        <v>4</v>
      </c>
      <c r="L325">
        <v>2</v>
      </c>
      <c r="M325">
        <v>1</v>
      </c>
      <c r="N325">
        <v>1</v>
      </c>
      <c r="O325">
        <v>3</v>
      </c>
      <c r="P325">
        <v>2</v>
      </c>
      <c r="Q325">
        <f t="shared" si="35"/>
        <v>1</v>
      </c>
      <c r="R325">
        <f t="shared" si="36"/>
        <v>14</v>
      </c>
      <c r="S325">
        <f t="array" ref="S325">MAX(IF($C$2:$C$1387=C325,$R$2:$R$1387))</f>
        <v>29</v>
      </c>
      <c r="T325" cm="1">
        <f t="array" ref="T325">MIN(IF($C$2:$C$1387=C325,$R$2:$R$1387))</f>
        <v>11</v>
      </c>
      <c r="U325">
        <f t="shared" si="37"/>
        <v>18</v>
      </c>
      <c r="V325">
        <f t="shared" si="38"/>
        <v>0.16666666666666666</v>
      </c>
      <c r="W325" cm="1">
        <f t="array" ref="W325">_xlfn.IFS(N325=1,5,N325=2,4,N325=4,2,N325=5,1,N325=3,3)</f>
        <v>5</v>
      </c>
      <c r="X325">
        <f t="shared" si="39"/>
        <v>18</v>
      </c>
      <c r="Y325" cm="1">
        <f t="array" ref="Y325">MAX(IF($C$2:$C$1387=C325,$X$2:$X$1387))</f>
        <v>29</v>
      </c>
      <c r="Z325" cm="1">
        <f t="array" ref="Z325">MIN(IF($C$2:$C$1387=C325,$X$2:$X$1387))</f>
        <v>12</v>
      </c>
      <c r="AA325">
        <f t="shared" si="40"/>
        <v>17</v>
      </c>
      <c r="AB325">
        <f t="shared" si="41"/>
        <v>0.35294117647058826</v>
      </c>
    </row>
    <row r="326" spans="1:28" x14ac:dyDescent="0.25">
      <c r="A326" t="s">
        <v>136</v>
      </c>
      <c r="B326" t="s">
        <v>137</v>
      </c>
      <c r="C326">
        <v>2010</v>
      </c>
      <c r="D326">
        <v>0.21776443890554839</v>
      </c>
      <c r="E326">
        <v>0.67345635877937116</v>
      </c>
      <c r="F326">
        <v>5.1150515240163023E-6</v>
      </c>
      <c r="G326">
        <v>1.9459101490553132</v>
      </c>
      <c r="H326">
        <v>0.5714285714285714</v>
      </c>
      <c r="I326">
        <v>1</v>
      </c>
      <c r="J326">
        <v>0</v>
      </c>
      <c r="K326">
        <v>3</v>
      </c>
      <c r="L326">
        <v>3</v>
      </c>
      <c r="M326">
        <v>1</v>
      </c>
      <c r="N326">
        <v>1</v>
      </c>
      <c r="O326">
        <v>2</v>
      </c>
      <c r="P326">
        <v>3</v>
      </c>
      <c r="Q326">
        <f t="shared" si="35"/>
        <v>5</v>
      </c>
      <c r="R326">
        <f t="shared" si="36"/>
        <v>18</v>
      </c>
      <c r="S326">
        <f t="array" ref="S326">MAX(IF($C$2:$C$1387=C326,$R$2:$R$1387))</f>
        <v>29</v>
      </c>
      <c r="T326" cm="1">
        <f t="array" ref="T326">MIN(IF($C$2:$C$1387=C326,$R$2:$R$1387))</f>
        <v>9</v>
      </c>
      <c r="U326">
        <f t="shared" si="37"/>
        <v>20</v>
      </c>
      <c r="V326">
        <f t="shared" si="38"/>
        <v>0.45</v>
      </c>
      <c r="W326" cm="1">
        <f t="array" ref="W326">_xlfn.IFS(N326=1,5,N326=2,4,N326=4,2,N326=5,1,N326=3,3)</f>
        <v>5</v>
      </c>
      <c r="X326">
        <f t="shared" si="39"/>
        <v>22</v>
      </c>
      <c r="Y326" cm="1">
        <f t="array" ref="Y326">MAX(IF($C$2:$C$1387=C326,$X$2:$X$1387))</f>
        <v>29</v>
      </c>
      <c r="Z326" cm="1">
        <f t="array" ref="Z326">MIN(IF($C$2:$C$1387=C326,$X$2:$X$1387))</f>
        <v>12</v>
      </c>
      <c r="AA326">
        <f t="shared" si="40"/>
        <v>17</v>
      </c>
      <c r="AB326">
        <f t="shared" si="41"/>
        <v>0.58823529411764708</v>
      </c>
    </row>
    <row r="327" spans="1:28" x14ac:dyDescent="0.25">
      <c r="A327" t="s">
        <v>136</v>
      </c>
      <c r="B327" t="s">
        <v>137</v>
      </c>
      <c r="C327">
        <v>2011</v>
      </c>
      <c r="D327">
        <v>0.21776443890554839</v>
      </c>
      <c r="E327">
        <v>0.67345635877937116</v>
      </c>
      <c r="F327">
        <v>5.1150515240163023E-6</v>
      </c>
      <c r="G327">
        <v>1.9459101490553132</v>
      </c>
      <c r="H327">
        <v>0.5714285714285714</v>
      </c>
      <c r="I327">
        <v>1</v>
      </c>
      <c r="J327">
        <v>0</v>
      </c>
      <c r="K327">
        <v>3</v>
      </c>
      <c r="L327">
        <v>3</v>
      </c>
      <c r="M327">
        <v>1</v>
      </c>
      <c r="N327">
        <v>1</v>
      </c>
      <c r="O327">
        <v>2</v>
      </c>
      <c r="P327">
        <v>3</v>
      </c>
      <c r="Q327">
        <f t="shared" si="35"/>
        <v>5</v>
      </c>
      <c r="R327">
        <f t="shared" si="36"/>
        <v>18</v>
      </c>
      <c r="S327">
        <f t="array" ref="S327">MAX(IF($C$2:$C$1387=C327,$R$2:$R$1387))</f>
        <v>28</v>
      </c>
      <c r="T327" cm="1">
        <f t="array" ref="T327">MIN(IF($C$2:$C$1387=C327,$R$2:$R$1387))</f>
        <v>10</v>
      </c>
      <c r="U327">
        <f t="shared" si="37"/>
        <v>18</v>
      </c>
      <c r="V327">
        <f t="shared" si="38"/>
        <v>0.44444444444444442</v>
      </c>
      <c r="W327" cm="1">
        <f t="array" ref="W327">_xlfn.IFS(N327=1,5,N327=2,4,N327=4,2,N327=5,1,N327=3,3)</f>
        <v>5</v>
      </c>
      <c r="X327">
        <f t="shared" si="39"/>
        <v>22</v>
      </c>
      <c r="Y327" cm="1">
        <f t="array" ref="Y327">MAX(IF($C$2:$C$1387=C327,$X$2:$X$1387))</f>
        <v>29</v>
      </c>
      <c r="Z327" cm="1">
        <f t="array" ref="Z327">MIN(IF($C$2:$C$1387=C327,$X$2:$X$1387))</f>
        <v>12</v>
      </c>
      <c r="AA327">
        <f t="shared" si="40"/>
        <v>17</v>
      </c>
      <c r="AB327">
        <f t="shared" si="41"/>
        <v>0.58823529411764708</v>
      </c>
    </row>
    <row r="328" spans="1:28" x14ac:dyDescent="0.25">
      <c r="A328" t="s">
        <v>136</v>
      </c>
      <c r="B328" t="s">
        <v>137</v>
      </c>
      <c r="C328">
        <v>2012</v>
      </c>
      <c r="D328">
        <v>0.26071552655271329</v>
      </c>
      <c r="E328">
        <v>0.66759730255098049</v>
      </c>
      <c r="F328">
        <v>5.1150515240163023E-6</v>
      </c>
      <c r="G328">
        <v>1.9459101490553132</v>
      </c>
      <c r="H328">
        <v>0.7142857142857143</v>
      </c>
      <c r="I328">
        <v>1</v>
      </c>
      <c r="J328">
        <v>0</v>
      </c>
      <c r="K328">
        <v>3</v>
      </c>
      <c r="L328">
        <v>3</v>
      </c>
      <c r="M328">
        <v>1</v>
      </c>
      <c r="N328">
        <v>1</v>
      </c>
      <c r="O328">
        <v>4</v>
      </c>
      <c r="P328">
        <v>3</v>
      </c>
      <c r="Q328">
        <f t="shared" si="35"/>
        <v>5</v>
      </c>
      <c r="R328">
        <f t="shared" si="36"/>
        <v>20</v>
      </c>
      <c r="S328">
        <f t="array" ref="S328">MAX(IF($C$2:$C$1387=C328,$R$2:$R$1387))</f>
        <v>29</v>
      </c>
      <c r="T328" cm="1">
        <f t="array" ref="T328">MIN(IF($C$2:$C$1387=C328,$R$2:$R$1387))</f>
        <v>11</v>
      </c>
      <c r="U328">
        <f t="shared" si="37"/>
        <v>18</v>
      </c>
      <c r="V328">
        <f t="shared" si="38"/>
        <v>0.5</v>
      </c>
      <c r="W328" cm="1">
        <f t="array" ref="W328">_xlfn.IFS(N328=1,5,N328=2,4,N328=4,2,N328=5,1,N328=3,3)</f>
        <v>5</v>
      </c>
      <c r="X328">
        <f t="shared" si="39"/>
        <v>24</v>
      </c>
      <c r="Y328" cm="1">
        <f t="array" ref="Y328">MAX(IF($C$2:$C$1387=C328,$X$2:$X$1387))</f>
        <v>30</v>
      </c>
      <c r="Z328" cm="1">
        <f t="array" ref="Z328">MIN(IF($C$2:$C$1387=C328,$X$2:$X$1387))</f>
        <v>12</v>
      </c>
      <c r="AA328">
        <f t="shared" si="40"/>
        <v>18</v>
      </c>
      <c r="AB328">
        <f t="shared" si="41"/>
        <v>0.66666666666666663</v>
      </c>
    </row>
    <row r="329" spans="1:28" x14ac:dyDescent="0.25">
      <c r="A329" t="s">
        <v>136</v>
      </c>
      <c r="B329" t="s">
        <v>137</v>
      </c>
      <c r="C329">
        <v>2013</v>
      </c>
      <c r="D329">
        <v>0.26071552655271329</v>
      </c>
      <c r="E329">
        <v>0.73235627937944936</v>
      </c>
      <c r="F329">
        <v>1.0741608200434235E-4</v>
      </c>
      <c r="G329">
        <v>1.9459101490553132</v>
      </c>
      <c r="H329">
        <v>0.7142857142857143</v>
      </c>
      <c r="I329">
        <v>0.66666666666666663</v>
      </c>
      <c r="J329">
        <v>0</v>
      </c>
      <c r="K329">
        <v>3</v>
      </c>
      <c r="L329">
        <v>4</v>
      </c>
      <c r="M329">
        <v>1</v>
      </c>
      <c r="N329">
        <v>1</v>
      </c>
      <c r="O329">
        <v>4</v>
      </c>
      <c r="P329">
        <v>1</v>
      </c>
      <c r="Q329">
        <f t="shared" si="35"/>
        <v>5</v>
      </c>
      <c r="R329">
        <f t="shared" si="36"/>
        <v>19</v>
      </c>
      <c r="S329">
        <f t="array" ref="S329">MAX(IF($C$2:$C$1387=C329,$R$2:$R$1387))</f>
        <v>29</v>
      </c>
      <c r="T329" cm="1">
        <f t="array" ref="T329">MIN(IF($C$2:$C$1387=C329,$R$2:$R$1387))</f>
        <v>10</v>
      </c>
      <c r="U329">
        <f t="shared" si="37"/>
        <v>19</v>
      </c>
      <c r="V329">
        <f t="shared" si="38"/>
        <v>0.47368421052631576</v>
      </c>
      <c r="W329" cm="1">
        <f t="array" ref="W329">_xlfn.IFS(N329=1,5,N329=2,4,N329=4,2,N329=5,1,N329=3,3)</f>
        <v>5</v>
      </c>
      <c r="X329">
        <f t="shared" si="39"/>
        <v>23</v>
      </c>
      <c r="Y329" cm="1">
        <f t="array" ref="Y329">MAX(IF($C$2:$C$1387=C329,$X$2:$X$1387))</f>
        <v>32</v>
      </c>
      <c r="Z329" cm="1">
        <f t="array" ref="Z329">MIN(IF($C$2:$C$1387=C329,$X$2:$X$1387))</f>
        <v>10</v>
      </c>
      <c r="AA329">
        <f t="shared" si="40"/>
        <v>22</v>
      </c>
      <c r="AB329">
        <f t="shared" si="41"/>
        <v>0.59090909090909094</v>
      </c>
    </row>
    <row r="330" spans="1:28" x14ac:dyDescent="0.25">
      <c r="A330" t="s">
        <v>136</v>
      </c>
      <c r="B330" t="s">
        <v>137</v>
      </c>
      <c r="C330">
        <v>2014</v>
      </c>
      <c r="D330">
        <v>0.15591370646188346</v>
      </c>
      <c r="E330">
        <v>0.68627989525111044</v>
      </c>
      <c r="F330">
        <v>5.1150515240163023E-6</v>
      </c>
      <c r="G330">
        <v>1.9459101490553132</v>
      </c>
      <c r="H330">
        <v>0.5714285714285714</v>
      </c>
      <c r="I330">
        <v>1</v>
      </c>
      <c r="J330">
        <v>0</v>
      </c>
      <c r="K330">
        <v>3</v>
      </c>
      <c r="L330">
        <v>3</v>
      </c>
      <c r="M330">
        <v>1</v>
      </c>
      <c r="N330">
        <v>1</v>
      </c>
      <c r="O330">
        <v>2</v>
      </c>
      <c r="P330">
        <v>3</v>
      </c>
      <c r="Q330">
        <f t="shared" si="35"/>
        <v>5</v>
      </c>
      <c r="R330">
        <f t="shared" si="36"/>
        <v>18</v>
      </c>
      <c r="S330">
        <f t="array" ref="S330">MAX(IF($C$2:$C$1387=C330,$R$2:$R$1387))</f>
        <v>29</v>
      </c>
      <c r="T330" cm="1">
        <f t="array" ref="T330">MIN(IF($C$2:$C$1387=C330,$R$2:$R$1387))</f>
        <v>11</v>
      </c>
      <c r="U330">
        <f t="shared" si="37"/>
        <v>18</v>
      </c>
      <c r="V330">
        <f t="shared" si="38"/>
        <v>0.3888888888888889</v>
      </c>
      <c r="W330" cm="1">
        <f t="array" ref="W330">_xlfn.IFS(N330=1,5,N330=2,4,N330=4,2,N330=5,1,N330=3,3)</f>
        <v>5</v>
      </c>
      <c r="X330">
        <f t="shared" si="39"/>
        <v>22</v>
      </c>
      <c r="Y330" cm="1">
        <f t="array" ref="Y330">MAX(IF($C$2:$C$1387=C330,$X$2:$X$1387))</f>
        <v>30</v>
      </c>
      <c r="Z330" cm="1">
        <f t="array" ref="Z330">MIN(IF($C$2:$C$1387=C330,$X$2:$X$1387))</f>
        <v>14</v>
      </c>
      <c r="AA330">
        <f t="shared" si="40"/>
        <v>16</v>
      </c>
      <c r="AB330">
        <f t="shared" si="41"/>
        <v>0.5</v>
      </c>
    </row>
    <row r="331" spans="1:28" x14ac:dyDescent="0.25">
      <c r="A331" t="s">
        <v>136</v>
      </c>
      <c r="B331" t="s">
        <v>137</v>
      </c>
      <c r="C331">
        <v>2015</v>
      </c>
      <c r="D331">
        <v>0.10351279641646856</v>
      </c>
      <c r="E331">
        <v>0.64461547835460575</v>
      </c>
      <c r="F331">
        <v>0</v>
      </c>
      <c r="G331">
        <v>1.9459101490553132</v>
      </c>
      <c r="H331">
        <v>0.5714285714285714</v>
      </c>
      <c r="I331">
        <v>0.66666666666666663</v>
      </c>
      <c r="J331">
        <v>0</v>
      </c>
      <c r="K331">
        <v>3</v>
      </c>
      <c r="L331">
        <v>3</v>
      </c>
      <c r="M331">
        <v>1</v>
      </c>
      <c r="N331">
        <v>1</v>
      </c>
      <c r="O331">
        <v>1</v>
      </c>
      <c r="P331">
        <v>1</v>
      </c>
      <c r="Q331">
        <f t="shared" si="35"/>
        <v>5</v>
      </c>
      <c r="R331">
        <f t="shared" si="36"/>
        <v>15</v>
      </c>
      <c r="S331">
        <f t="array" ref="S331">MAX(IF($C$2:$C$1387=C331,$R$2:$R$1387))</f>
        <v>29</v>
      </c>
      <c r="T331" cm="1">
        <f t="array" ref="T331">MIN(IF($C$2:$C$1387=C331,$R$2:$R$1387))</f>
        <v>11</v>
      </c>
      <c r="U331">
        <f t="shared" si="37"/>
        <v>18</v>
      </c>
      <c r="V331">
        <f t="shared" si="38"/>
        <v>0.22222222222222221</v>
      </c>
      <c r="W331" cm="1">
        <f t="array" ref="W331">_xlfn.IFS(N331=1,5,N331=2,4,N331=4,2,N331=5,1,N331=3,3)</f>
        <v>5</v>
      </c>
      <c r="X331">
        <f t="shared" si="39"/>
        <v>19</v>
      </c>
      <c r="Y331" cm="1">
        <f t="array" ref="Y331">MAX(IF($C$2:$C$1387=C331,$X$2:$X$1387))</f>
        <v>29</v>
      </c>
      <c r="Z331" cm="1">
        <f t="array" ref="Z331">MIN(IF($C$2:$C$1387=C331,$X$2:$X$1387))</f>
        <v>12</v>
      </c>
      <c r="AA331">
        <f t="shared" si="40"/>
        <v>17</v>
      </c>
      <c r="AB331">
        <f t="shared" si="41"/>
        <v>0.41176470588235292</v>
      </c>
    </row>
    <row r="332" spans="1:28" x14ac:dyDescent="0.25">
      <c r="A332" t="s">
        <v>138</v>
      </c>
      <c r="B332" t="s">
        <v>139</v>
      </c>
      <c r="C332">
        <v>2010</v>
      </c>
      <c r="D332">
        <v>3.5802638496136109E-2</v>
      </c>
      <c r="E332">
        <v>0.46346961558522998</v>
      </c>
      <c r="F332">
        <v>8.4199999999999997E-2</v>
      </c>
      <c r="G332">
        <v>1.9459101490553132</v>
      </c>
      <c r="H332">
        <v>0.42857142857142855</v>
      </c>
      <c r="I332">
        <v>0.66666666666666663</v>
      </c>
      <c r="J332">
        <v>0</v>
      </c>
      <c r="K332">
        <v>2</v>
      </c>
      <c r="L332">
        <v>1</v>
      </c>
      <c r="M332">
        <v>3</v>
      </c>
      <c r="N332">
        <v>1</v>
      </c>
      <c r="O332">
        <v>2</v>
      </c>
      <c r="P332">
        <v>1</v>
      </c>
      <c r="Q332">
        <f t="shared" si="35"/>
        <v>5</v>
      </c>
      <c r="R332">
        <f t="shared" si="36"/>
        <v>15</v>
      </c>
      <c r="S332">
        <f t="array" ref="S332">MAX(IF($C$2:$C$1387=C332,$R$2:$R$1387))</f>
        <v>29</v>
      </c>
      <c r="T332" cm="1">
        <f t="array" ref="T332">MIN(IF($C$2:$C$1387=C332,$R$2:$R$1387))</f>
        <v>9</v>
      </c>
      <c r="U332">
        <f t="shared" si="37"/>
        <v>20</v>
      </c>
      <c r="V332">
        <f t="shared" si="38"/>
        <v>0.3</v>
      </c>
      <c r="W332" cm="1">
        <f t="array" ref="W332">_xlfn.IFS(N332=1,5,N332=2,4,N332=4,2,N332=5,1,N332=3,3)</f>
        <v>5</v>
      </c>
      <c r="X332">
        <f t="shared" si="39"/>
        <v>19</v>
      </c>
      <c r="Y332" cm="1">
        <f t="array" ref="Y332">MAX(IF($C$2:$C$1387=C332,$X$2:$X$1387))</f>
        <v>29</v>
      </c>
      <c r="Z332" cm="1">
        <f t="array" ref="Z332">MIN(IF($C$2:$C$1387=C332,$X$2:$X$1387))</f>
        <v>12</v>
      </c>
      <c r="AA332">
        <f t="shared" si="40"/>
        <v>17</v>
      </c>
      <c r="AB332">
        <f t="shared" si="41"/>
        <v>0.41176470588235292</v>
      </c>
    </row>
    <row r="333" spans="1:28" x14ac:dyDescent="0.25">
      <c r="A333" t="s">
        <v>138</v>
      </c>
      <c r="B333" t="s">
        <v>139</v>
      </c>
      <c r="C333">
        <v>2011</v>
      </c>
      <c r="D333">
        <v>4.2703708264107298E-2</v>
      </c>
      <c r="E333">
        <v>0.15063827687154249</v>
      </c>
      <c r="F333">
        <v>0.11113388573926601</v>
      </c>
      <c r="G333">
        <v>1.9459101490553132</v>
      </c>
      <c r="H333">
        <v>0.42857142857142855</v>
      </c>
      <c r="I333">
        <v>0.66666666666666663</v>
      </c>
      <c r="J333">
        <v>0</v>
      </c>
      <c r="K333">
        <v>2</v>
      </c>
      <c r="L333">
        <v>1</v>
      </c>
      <c r="M333">
        <v>4</v>
      </c>
      <c r="N333">
        <v>1</v>
      </c>
      <c r="O333">
        <v>2</v>
      </c>
      <c r="P333">
        <v>1</v>
      </c>
      <c r="Q333">
        <f t="shared" si="35"/>
        <v>5</v>
      </c>
      <c r="R333">
        <f t="shared" si="36"/>
        <v>16</v>
      </c>
      <c r="S333">
        <f t="array" ref="S333">MAX(IF($C$2:$C$1387=C333,$R$2:$R$1387))</f>
        <v>28</v>
      </c>
      <c r="T333" cm="1">
        <f t="array" ref="T333">MIN(IF($C$2:$C$1387=C333,$R$2:$R$1387))</f>
        <v>10</v>
      </c>
      <c r="U333">
        <f t="shared" si="37"/>
        <v>18</v>
      </c>
      <c r="V333">
        <f t="shared" si="38"/>
        <v>0.33333333333333331</v>
      </c>
      <c r="W333" cm="1">
        <f t="array" ref="W333">_xlfn.IFS(N333=1,5,N333=2,4,N333=4,2,N333=5,1,N333=3,3)</f>
        <v>5</v>
      </c>
      <c r="X333">
        <f t="shared" si="39"/>
        <v>20</v>
      </c>
      <c r="Y333" cm="1">
        <f t="array" ref="Y333">MAX(IF($C$2:$C$1387=C333,$X$2:$X$1387))</f>
        <v>29</v>
      </c>
      <c r="Z333" cm="1">
        <f t="array" ref="Z333">MIN(IF($C$2:$C$1387=C333,$X$2:$X$1387))</f>
        <v>12</v>
      </c>
      <c r="AA333">
        <f t="shared" si="40"/>
        <v>17</v>
      </c>
      <c r="AB333">
        <f t="shared" si="41"/>
        <v>0.47058823529411764</v>
      </c>
    </row>
    <row r="334" spans="1:28" x14ac:dyDescent="0.25">
      <c r="A334" t="s">
        <v>138</v>
      </c>
      <c r="B334" t="s">
        <v>139</v>
      </c>
      <c r="C334">
        <v>2012</v>
      </c>
      <c r="D334">
        <v>4.2702064875425043E-2</v>
      </c>
      <c r="E334">
        <v>0.43923597965428207</v>
      </c>
      <c r="F334">
        <v>0.24117374170373454</v>
      </c>
      <c r="G334">
        <v>1.9459101490553132</v>
      </c>
      <c r="H334">
        <v>0.42857142857142855</v>
      </c>
      <c r="I334">
        <v>0.66666666666666663</v>
      </c>
      <c r="J334">
        <v>0</v>
      </c>
      <c r="K334">
        <v>2</v>
      </c>
      <c r="L334">
        <v>1</v>
      </c>
      <c r="M334">
        <v>5</v>
      </c>
      <c r="N334">
        <v>1</v>
      </c>
      <c r="O334">
        <v>2</v>
      </c>
      <c r="P334">
        <v>1</v>
      </c>
      <c r="Q334">
        <f t="shared" si="35"/>
        <v>5</v>
      </c>
      <c r="R334">
        <f t="shared" si="36"/>
        <v>17</v>
      </c>
      <c r="S334">
        <f t="array" ref="S334">MAX(IF($C$2:$C$1387=C334,$R$2:$R$1387))</f>
        <v>29</v>
      </c>
      <c r="T334" cm="1">
        <f t="array" ref="T334">MIN(IF($C$2:$C$1387=C334,$R$2:$R$1387))</f>
        <v>11</v>
      </c>
      <c r="U334">
        <f t="shared" si="37"/>
        <v>18</v>
      </c>
      <c r="V334">
        <f t="shared" si="38"/>
        <v>0.33333333333333331</v>
      </c>
      <c r="W334" cm="1">
        <f t="array" ref="W334">_xlfn.IFS(N334=1,5,N334=2,4,N334=4,2,N334=5,1,N334=3,3)</f>
        <v>5</v>
      </c>
      <c r="X334">
        <f t="shared" si="39"/>
        <v>21</v>
      </c>
      <c r="Y334" cm="1">
        <f t="array" ref="Y334">MAX(IF($C$2:$C$1387=C334,$X$2:$X$1387))</f>
        <v>30</v>
      </c>
      <c r="Z334" cm="1">
        <f t="array" ref="Z334">MIN(IF($C$2:$C$1387=C334,$X$2:$X$1387))</f>
        <v>12</v>
      </c>
      <c r="AA334">
        <f t="shared" si="40"/>
        <v>18</v>
      </c>
      <c r="AB334">
        <f t="shared" si="41"/>
        <v>0.5</v>
      </c>
    </row>
    <row r="335" spans="1:28" x14ac:dyDescent="0.25">
      <c r="A335" t="s">
        <v>138</v>
      </c>
      <c r="B335" t="s">
        <v>139</v>
      </c>
      <c r="C335">
        <v>2013</v>
      </c>
      <c r="D335">
        <v>4.2702064875425043E-2</v>
      </c>
      <c r="E335">
        <v>0.42846657743887817</v>
      </c>
      <c r="F335">
        <v>0.22846265521788986</v>
      </c>
      <c r="G335">
        <v>1.9459101490553132</v>
      </c>
      <c r="H335">
        <v>0.42857142857142855</v>
      </c>
      <c r="I335">
        <v>0.66666666666666663</v>
      </c>
      <c r="J335">
        <v>0</v>
      </c>
      <c r="K335">
        <v>2</v>
      </c>
      <c r="L335">
        <v>1</v>
      </c>
      <c r="M335">
        <v>5</v>
      </c>
      <c r="N335">
        <v>1</v>
      </c>
      <c r="O335">
        <v>1</v>
      </c>
      <c r="P335">
        <v>1</v>
      </c>
      <c r="Q335">
        <f t="shared" si="35"/>
        <v>5</v>
      </c>
      <c r="R335">
        <f t="shared" si="36"/>
        <v>16</v>
      </c>
      <c r="S335">
        <f t="array" ref="S335">MAX(IF($C$2:$C$1387=C335,$R$2:$R$1387))</f>
        <v>29</v>
      </c>
      <c r="T335" cm="1">
        <f t="array" ref="T335">MIN(IF($C$2:$C$1387=C335,$R$2:$R$1387))</f>
        <v>10</v>
      </c>
      <c r="U335">
        <f t="shared" si="37"/>
        <v>19</v>
      </c>
      <c r="V335">
        <f t="shared" si="38"/>
        <v>0.31578947368421051</v>
      </c>
      <c r="W335" cm="1">
        <f t="array" ref="W335">_xlfn.IFS(N335=1,5,N335=2,4,N335=4,2,N335=5,1,N335=3,3)</f>
        <v>5</v>
      </c>
      <c r="X335">
        <f t="shared" si="39"/>
        <v>20</v>
      </c>
      <c r="Y335" cm="1">
        <f t="array" ref="Y335">MAX(IF($C$2:$C$1387=C335,$X$2:$X$1387))</f>
        <v>32</v>
      </c>
      <c r="Z335" cm="1">
        <f t="array" ref="Z335">MIN(IF($C$2:$C$1387=C335,$X$2:$X$1387))</f>
        <v>10</v>
      </c>
      <c r="AA335">
        <f t="shared" si="40"/>
        <v>22</v>
      </c>
      <c r="AB335">
        <f t="shared" si="41"/>
        <v>0.45454545454545453</v>
      </c>
    </row>
    <row r="336" spans="1:28" x14ac:dyDescent="0.25">
      <c r="A336" t="s">
        <v>138</v>
      </c>
      <c r="B336" t="s">
        <v>139</v>
      </c>
      <c r="C336">
        <v>2014</v>
      </c>
      <c r="D336">
        <v>4.2697100472114072E-2</v>
      </c>
      <c r="E336">
        <v>0.43059191724201362</v>
      </c>
      <c r="F336">
        <v>0.15675108704112747</v>
      </c>
      <c r="G336">
        <v>1.9459101490553132</v>
      </c>
      <c r="H336">
        <v>0.42857142857142855</v>
      </c>
      <c r="I336">
        <v>0.66666666666666663</v>
      </c>
      <c r="J336">
        <v>0</v>
      </c>
      <c r="K336">
        <v>2</v>
      </c>
      <c r="L336">
        <v>1</v>
      </c>
      <c r="M336">
        <v>5</v>
      </c>
      <c r="N336">
        <v>1</v>
      </c>
      <c r="O336">
        <v>1</v>
      </c>
      <c r="P336">
        <v>1</v>
      </c>
      <c r="Q336">
        <f t="shared" si="35"/>
        <v>5</v>
      </c>
      <c r="R336">
        <f t="shared" si="36"/>
        <v>16</v>
      </c>
      <c r="S336">
        <f t="array" ref="S336">MAX(IF($C$2:$C$1387=C336,$R$2:$R$1387))</f>
        <v>29</v>
      </c>
      <c r="T336" cm="1">
        <f t="array" ref="T336">MIN(IF($C$2:$C$1387=C336,$R$2:$R$1387))</f>
        <v>11</v>
      </c>
      <c r="U336">
        <f t="shared" si="37"/>
        <v>18</v>
      </c>
      <c r="V336">
        <f t="shared" si="38"/>
        <v>0.27777777777777779</v>
      </c>
      <c r="W336" cm="1">
        <f t="array" ref="W336">_xlfn.IFS(N336=1,5,N336=2,4,N336=4,2,N336=5,1,N336=3,3)</f>
        <v>5</v>
      </c>
      <c r="X336">
        <f t="shared" si="39"/>
        <v>20</v>
      </c>
      <c r="Y336" cm="1">
        <f t="array" ref="Y336">MAX(IF($C$2:$C$1387=C336,$X$2:$X$1387))</f>
        <v>30</v>
      </c>
      <c r="Z336" cm="1">
        <f t="array" ref="Z336">MIN(IF($C$2:$C$1387=C336,$X$2:$X$1387))</f>
        <v>14</v>
      </c>
      <c r="AA336">
        <f t="shared" si="40"/>
        <v>16</v>
      </c>
      <c r="AB336">
        <f t="shared" si="41"/>
        <v>0.375</v>
      </c>
    </row>
    <row r="337" spans="1:28" x14ac:dyDescent="0.25">
      <c r="A337" t="s">
        <v>138</v>
      </c>
      <c r="B337" t="s">
        <v>139</v>
      </c>
      <c r="C337">
        <v>2015</v>
      </c>
      <c r="D337">
        <v>4.2694817987833165E-2</v>
      </c>
      <c r="E337">
        <v>0.42395588407077911</v>
      </c>
      <c r="F337">
        <v>0.13494397430061475</v>
      </c>
      <c r="G337">
        <v>1.9459101490553132</v>
      </c>
      <c r="H337">
        <v>0.7142857142857143</v>
      </c>
      <c r="I337">
        <v>0.66666666666666663</v>
      </c>
      <c r="J337">
        <v>0</v>
      </c>
      <c r="K337">
        <v>2</v>
      </c>
      <c r="L337">
        <v>1</v>
      </c>
      <c r="M337">
        <v>4</v>
      </c>
      <c r="N337">
        <v>1</v>
      </c>
      <c r="O337">
        <v>3</v>
      </c>
      <c r="P337">
        <v>1</v>
      </c>
      <c r="Q337">
        <f t="shared" si="35"/>
        <v>5</v>
      </c>
      <c r="R337">
        <f t="shared" si="36"/>
        <v>17</v>
      </c>
      <c r="S337">
        <f t="array" ref="S337">MAX(IF($C$2:$C$1387=C337,$R$2:$R$1387))</f>
        <v>29</v>
      </c>
      <c r="T337" cm="1">
        <f t="array" ref="T337">MIN(IF($C$2:$C$1387=C337,$R$2:$R$1387))</f>
        <v>11</v>
      </c>
      <c r="U337">
        <f t="shared" si="37"/>
        <v>18</v>
      </c>
      <c r="V337">
        <f t="shared" si="38"/>
        <v>0.33333333333333331</v>
      </c>
      <c r="W337" cm="1">
        <f t="array" ref="W337">_xlfn.IFS(N337=1,5,N337=2,4,N337=4,2,N337=5,1,N337=3,3)</f>
        <v>5</v>
      </c>
      <c r="X337">
        <f t="shared" si="39"/>
        <v>21</v>
      </c>
      <c r="Y337" cm="1">
        <f t="array" ref="Y337">MAX(IF($C$2:$C$1387=C337,$X$2:$X$1387))</f>
        <v>29</v>
      </c>
      <c r="Z337" cm="1">
        <f t="array" ref="Z337">MIN(IF($C$2:$C$1387=C337,$X$2:$X$1387))</f>
        <v>12</v>
      </c>
      <c r="AA337">
        <f t="shared" si="40"/>
        <v>17</v>
      </c>
      <c r="AB337">
        <f t="shared" si="41"/>
        <v>0.52941176470588236</v>
      </c>
    </row>
    <row r="338" spans="1:28" x14ac:dyDescent="0.25">
      <c r="A338" t="s">
        <v>140</v>
      </c>
      <c r="B338" t="s">
        <v>141</v>
      </c>
      <c r="C338">
        <v>2010</v>
      </c>
      <c r="D338">
        <v>0.47749999999999998</v>
      </c>
      <c r="E338">
        <v>0.52165237720382718</v>
      </c>
      <c r="F338">
        <v>6.3600000000000004E-2</v>
      </c>
      <c r="G338">
        <v>1.9459101490553132</v>
      </c>
      <c r="H338">
        <v>0.42857142857142855</v>
      </c>
      <c r="I338">
        <v>0.66666666666666663</v>
      </c>
      <c r="J338">
        <v>1</v>
      </c>
      <c r="K338">
        <v>4</v>
      </c>
      <c r="L338">
        <v>2</v>
      </c>
      <c r="M338">
        <v>3</v>
      </c>
      <c r="N338">
        <v>1</v>
      </c>
      <c r="O338">
        <v>2</v>
      </c>
      <c r="P338">
        <v>1</v>
      </c>
      <c r="Q338">
        <f t="shared" si="35"/>
        <v>1</v>
      </c>
      <c r="R338">
        <f t="shared" si="36"/>
        <v>14</v>
      </c>
      <c r="S338">
        <f t="array" ref="S338">MAX(IF($C$2:$C$1387=C338,$R$2:$R$1387))</f>
        <v>29</v>
      </c>
      <c r="T338" cm="1">
        <f t="array" ref="T338">MIN(IF($C$2:$C$1387=C338,$R$2:$R$1387))</f>
        <v>9</v>
      </c>
      <c r="U338">
        <f t="shared" si="37"/>
        <v>20</v>
      </c>
      <c r="V338">
        <f t="shared" si="38"/>
        <v>0.25</v>
      </c>
      <c r="W338" cm="1">
        <f t="array" ref="W338">_xlfn.IFS(N338=1,5,N338=2,4,N338=4,2,N338=5,1,N338=3,3)</f>
        <v>5</v>
      </c>
      <c r="X338">
        <f t="shared" si="39"/>
        <v>18</v>
      </c>
      <c r="Y338" cm="1">
        <f t="array" ref="Y338">MAX(IF($C$2:$C$1387=C338,$X$2:$X$1387))</f>
        <v>29</v>
      </c>
      <c r="Z338" cm="1">
        <f t="array" ref="Z338">MIN(IF($C$2:$C$1387=C338,$X$2:$X$1387))</f>
        <v>12</v>
      </c>
      <c r="AA338">
        <f t="shared" si="40"/>
        <v>17</v>
      </c>
      <c r="AB338">
        <f t="shared" si="41"/>
        <v>0.35294117647058826</v>
      </c>
    </row>
    <row r="339" spans="1:28" x14ac:dyDescent="0.25">
      <c r="A339" t="s">
        <v>140</v>
      </c>
      <c r="B339" t="s">
        <v>141</v>
      </c>
      <c r="C339">
        <v>2011</v>
      </c>
      <c r="D339">
        <v>0.50561843284566577</v>
      </c>
      <c r="E339">
        <v>0.49988851196365974</v>
      </c>
      <c r="F339">
        <v>6.7063353119577535E-2</v>
      </c>
      <c r="G339">
        <v>1.9459101490553132</v>
      </c>
      <c r="H339">
        <v>0.2857142857142857</v>
      </c>
      <c r="I339">
        <v>0.66666666666666663</v>
      </c>
      <c r="J339">
        <v>1</v>
      </c>
      <c r="K339">
        <v>4</v>
      </c>
      <c r="L339">
        <v>2</v>
      </c>
      <c r="M339">
        <v>3</v>
      </c>
      <c r="N339">
        <v>1</v>
      </c>
      <c r="O339">
        <v>1</v>
      </c>
      <c r="P339">
        <v>1</v>
      </c>
      <c r="Q339">
        <f t="shared" si="35"/>
        <v>1</v>
      </c>
      <c r="R339">
        <f t="shared" si="36"/>
        <v>13</v>
      </c>
      <c r="S339">
        <f t="array" ref="S339">MAX(IF($C$2:$C$1387=C339,$R$2:$R$1387))</f>
        <v>28</v>
      </c>
      <c r="T339" cm="1">
        <f t="array" ref="T339">MIN(IF($C$2:$C$1387=C339,$R$2:$R$1387))</f>
        <v>10</v>
      </c>
      <c r="U339">
        <f t="shared" si="37"/>
        <v>18</v>
      </c>
      <c r="V339">
        <f t="shared" si="38"/>
        <v>0.16666666666666666</v>
      </c>
      <c r="W339" cm="1">
        <f t="array" ref="W339">_xlfn.IFS(N339=1,5,N339=2,4,N339=4,2,N339=5,1,N339=3,3)</f>
        <v>5</v>
      </c>
      <c r="X339">
        <f t="shared" si="39"/>
        <v>17</v>
      </c>
      <c r="Y339" cm="1">
        <f t="array" ref="Y339">MAX(IF($C$2:$C$1387=C339,$X$2:$X$1387))</f>
        <v>29</v>
      </c>
      <c r="Z339" cm="1">
        <f t="array" ref="Z339">MIN(IF($C$2:$C$1387=C339,$X$2:$X$1387))</f>
        <v>12</v>
      </c>
      <c r="AA339">
        <f t="shared" si="40"/>
        <v>17</v>
      </c>
      <c r="AB339">
        <f t="shared" si="41"/>
        <v>0.29411764705882354</v>
      </c>
    </row>
    <row r="340" spans="1:28" x14ac:dyDescent="0.25">
      <c r="A340" t="s">
        <v>140</v>
      </c>
      <c r="B340" t="s">
        <v>141</v>
      </c>
      <c r="C340">
        <v>2012</v>
      </c>
      <c r="D340">
        <v>0.50561843284566577</v>
      </c>
      <c r="E340">
        <v>0.48664240863610614</v>
      </c>
      <c r="F340">
        <v>5.9776475440522468E-2</v>
      </c>
      <c r="G340">
        <v>1.9459101490553132</v>
      </c>
      <c r="H340">
        <v>0.42857142857142855</v>
      </c>
      <c r="I340">
        <v>0.66666666666666663</v>
      </c>
      <c r="J340">
        <v>1</v>
      </c>
      <c r="K340">
        <v>4</v>
      </c>
      <c r="L340">
        <v>2</v>
      </c>
      <c r="M340">
        <v>3</v>
      </c>
      <c r="N340">
        <v>1</v>
      </c>
      <c r="O340">
        <v>2</v>
      </c>
      <c r="P340">
        <v>1</v>
      </c>
      <c r="Q340">
        <f t="shared" si="35"/>
        <v>1</v>
      </c>
      <c r="R340">
        <f t="shared" si="36"/>
        <v>14</v>
      </c>
      <c r="S340">
        <f t="array" ref="S340">MAX(IF($C$2:$C$1387=C340,$R$2:$R$1387))</f>
        <v>29</v>
      </c>
      <c r="T340" cm="1">
        <f t="array" ref="T340">MIN(IF($C$2:$C$1387=C340,$R$2:$R$1387))</f>
        <v>11</v>
      </c>
      <c r="U340">
        <f t="shared" si="37"/>
        <v>18</v>
      </c>
      <c r="V340">
        <f t="shared" si="38"/>
        <v>0.16666666666666666</v>
      </c>
      <c r="W340" cm="1">
        <f t="array" ref="W340">_xlfn.IFS(N340=1,5,N340=2,4,N340=4,2,N340=5,1,N340=3,3)</f>
        <v>5</v>
      </c>
      <c r="X340">
        <f t="shared" si="39"/>
        <v>18</v>
      </c>
      <c r="Y340" cm="1">
        <f t="array" ref="Y340">MAX(IF($C$2:$C$1387=C340,$X$2:$X$1387))</f>
        <v>30</v>
      </c>
      <c r="Z340" cm="1">
        <f t="array" ref="Z340">MIN(IF($C$2:$C$1387=C340,$X$2:$X$1387))</f>
        <v>12</v>
      </c>
      <c r="AA340">
        <f t="shared" si="40"/>
        <v>18</v>
      </c>
      <c r="AB340">
        <f t="shared" si="41"/>
        <v>0.33333333333333331</v>
      </c>
    </row>
    <row r="341" spans="1:28" x14ac:dyDescent="0.25">
      <c r="A341" t="s">
        <v>140</v>
      </c>
      <c r="B341" t="s">
        <v>141</v>
      </c>
      <c r="C341">
        <v>2013</v>
      </c>
      <c r="D341">
        <v>0.54791863733115942</v>
      </c>
      <c r="E341">
        <v>0.42429010575443599</v>
      </c>
      <c r="F341">
        <v>3.3272052934568717E-2</v>
      </c>
      <c r="G341">
        <v>1.9459101490553132</v>
      </c>
      <c r="H341">
        <v>0.42857142857142855</v>
      </c>
      <c r="I341">
        <v>1</v>
      </c>
      <c r="J341">
        <v>0</v>
      </c>
      <c r="K341">
        <v>5</v>
      </c>
      <c r="L341">
        <v>1</v>
      </c>
      <c r="M341">
        <v>3</v>
      </c>
      <c r="N341">
        <v>1</v>
      </c>
      <c r="O341">
        <v>1</v>
      </c>
      <c r="P341">
        <v>3</v>
      </c>
      <c r="Q341">
        <f t="shared" si="35"/>
        <v>5</v>
      </c>
      <c r="R341">
        <f t="shared" si="36"/>
        <v>19</v>
      </c>
      <c r="S341">
        <f t="array" ref="S341">MAX(IF($C$2:$C$1387=C341,$R$2:$R$1387))</f>
        <v>29</v>
      </c>
      <c r="T341" cm="1">
        <f t="array" ref="T341">MIN(IF($C$2:$C$1387=C341,$R$2:$R$1387))</f>
        <v>10</v>
      </c>
      <c r="U341">
        <f t="shared" si="37"/>
        <v>19</v>
      </c>
      <c r="V341">
        <f t="shared" si="38"/>
        <v>0.47368421052631576</v>
      </c>
      <c r="W341" cm="1">
        <f t="array" ref="W341">_xlfn.IFS(N341=1,5,N341=2,4,N341=4,2,N341=5,1,N341=3,3)</f>
        <v>5</v>
      </c>
      <c r="X341">
        <f t="shared" si="39"/>
        <v>23</v>
      </c>
      <c r="Y341" cm="1">
        <f t="array" ref="Y341">MAX(IF($C$2:$C$1387=C341,$X$2:$X$1387))</f>
        <v>32</v>
      </c>
      <c r="Z341" cm="1">
        <f t="array" ref="Z341">MIN(IF($C$2:$C$1387=C341,$X$2:$X$1387))</f>
        <v>10</v>
      </c>
      <c r="AA341">
        <f t="shared" si="40"/>
        <v>22</v>
      </c>
      <c r="AB341">
        <f t="shared" si="41"/>
        <v>0.59090909090909094</v>
      </c>
    </row>
    <row r="342" spans="1:28" x14ac:dyDescent="0.25">
      <c r="A342" t="s">
        <v>140</v>
      </c>
      <c r="B342" t="s">
        <v>141</v>
      </c>
      <c r="C342">
        <v>2014</v>
      </c>
      <c r="D342">
        <v>0.54791855992287464</v>
      </c>
      <c r="E342">
        <v>0.42788294975828761</v>
      </c>
      <c r="F342">
        <v>1.0002636732791928E-2</v>
      </c>
      <c r="G342">
        <v>1.9459101490553132</v>
      </c>
      <c r="H342">
        <v>0.42857142857142855</v>
      </c>
      <c r="I342">
        <v>1</v>
      </c>
      <c r="J342">
        <v>0</v>
      </c>
      <c r="K342">
        <v>5</v>
      </c>
      <c r="L342">
        <v>1</v>
      </c>
      <c r="M342">
        <v>2</v>
      </c>
      <c r="N342">
        <v>1</v>
      </c>
      <c r="O342">
        <v>1</v>
      </c>
      <c r="P342">
        <v>3</v>
      </c>
      <c r="Q342">
        <f t="shared" si="35"/>
        <v>5</v>
      </c>
      <c r="R342">
        <f t="shared" si="36"/>
        <v>18</v>
      </c>
      <c r="S342">
        <f t="array" ref="S342">MAX(IF($C$2:$C$1387=C342,$R$2:$R$1387))</f>
        <v>29</v>
      </c>
      <c r="T342" cm="1">
        <f t="array" ref="T342">MIN(IF($C$2:$C$1387=C342,$R$2:$R$1387))</f>
        <v>11</v>
      </c>
      <c r="U342">
        <f t="shared" si="37"/>
        <v>18</v>
      </c>
      <c r="V342">
        <f t="shared" si="38"/>
        <v>0.3888888888888889</v>
      </c>
      <c r="W342" cm="1">
        <f t="array" ref="W342">_xlfn.IFS(N342=1,5,N342=2,4,N342=4,2,N342=5,1,N342=3,3)</f>
        <v>5</v>
      </c>
      <c r="X342">
        <f t="shared" si="39"/>
        <v>22</v>
      </c>
      <c r="Y342" cm="1">
        <f t="array" ref="Y342">MAX(IF($C$2:$C$1387=C342,$X$2:$X$1387))</f>
        <v>30</v>
      </c>
      <c r="Z342" cm="1">
        <f t="array" ref="Z342">MIN(IF($C$2:$C$1387=C342,$X$2:$X$1387))</f>
        <v>14</v>
      </c>
      <c r="AA342">
        <f t="shared" si="40"/>
        <v>16</v>
      </c>
      <c r="AB342">
        <f t="shared" si="41"/>
        <v>0.5</v>
      </c>
    </row>
    <row r="343" spans="1:28" x14ac:dyDescent="0.25">
      <c r="A343" t="s">
        <v>140</v>
      </c>
      <c r="B343" t="s">
        <v>141</v>
      </c>
      <c r="C343">
        <v>2015</v>
      </c>
      <c r="D343">
        <v>0.54791855992287464</v>
      </c>
      <c r="E343">
        <v>0.42788294975828761</v>
      </c>
      <c r="F343">
        <v>4.1822453331791971E-3</v>
      </c>
      <c r="G343">
        <v>1.9459101490553132</v>
      </c>
      <c r="H343">
        <v>0.5714285714285714</v>
      </c>
      <c r="I343">
        <v>1</v>
      </c>
      <c r="J343">
        <v>0</v>
      </c>
      <c r="K343">
        <v>5</v>
      </c>
      <c r="L343">
        <v>2</v>
      </c>
      <c r="M343">
        <v>1</v>
      </c>
      <c r="N343">
        <v>1</v>
      </c>
      <c r="O343">
        <v>1</v>
      </c>
      <c r="P343">
        <v>2</v>
      </c>
      <c r="Q343">
        <f t="shared" si="35"/>
        <v>5</v>
      </c>
      <c r="R343">
        <f t="shared" si="36"/>
        <v>17</v>
      </c>
      <c r="S343">
        <f t="array" ref="S343">MAX(IF($C$2:$C$1387=C343,$R$2:$R$1387))</f>
        <v>29</v>
      </c>
      <c r="T343" cm="1">
        <f t="array" ref="T343">MIN(IF($C$2:$C$1387=C343,$R$2:$R$1387))</f>
        <v>11</v>
      </c>
      <c r="U343">
        <f t="shared" si="37"/>
        <v>18</v>
      </c>
      <c r="V343">
        <f t="shared" si="38"/>
        <v>0.33333333333333331</v>
      </c>
      <c r="W343" cm="1">
        <f t="array" ref="W343">_xlfn.IFS(N343=1,5,N343=2,4,N343=4,2,N343=5,1,N343=3,3)</f>
        <v>5</v>
      </c>
      <c r="X343">
        <f t="shared" si="39"/>
        <v>21</v>
      </c>
      <c r="Y343" cm="1">
        <f t="array" ref="Y343">MAX(IF($C$2:$C$1387=C343,$X$2:$X$1387))</f>
        <v>29</v>
      </c>
      <c r="Z343" cm="1">
        <f t="array" ref="Z343">MIN(IF($C$2:$C$1387=C343,$X$2:$X$1387))</f>
        <v>12</v>
      </c>
      <c r="AA343">
        <f t="shared" si="40"/>
        <v>17</v>
      </c>
      <c r="AB343">
        <f t="shared" si="41"/>
        <v>0.52941176470588236</v>
      </c>
    </row>
    <row r="344" spans="1:28" x14ac:dyDescent="0.25">
      <c r="A344" t="s">
        <v>142</v>
      </c>
      <c r="B344" t="s">
        <v>143</v>
      </c>
      <c r="C344">
        <v>2010</v>
      </c>
      <c r="D344">
        <v>0.45374204129901485</v>
      </c>
      <c r="E344">
        <v>0.44803078244281525</v>
      </c>
      <c r="F344">
        <v>0.22829109223822078</v>
      </c>
      <c r="G344">
        <v>1.9459101490553132</v>
      </c>
      <c r="H344">
        <v>0.5714285714285714</v>
      </c>
      <c r="I344">
        <v>0.66666666666666663</v>
      </c>
      <c r="J344">
        <v>0</v>
      </c>
      <c r="K344">
        <v>4</v>
      </c>
      <c r="L344">
        <v>1</v>
      </c>
      <c r="M344">
        <v>5</v>
      </c>
      <c r="N344">
        <v>1</v>
      </c>
      <c r="O344">
        <v>2</v>
      </c>
      <c r="P344">
        <v>1</v>
      </c>
      <c r="Q344">
        <f t="shared" si="35"/>
        <v>5</v>
      </c>
      <c r="R344">
        <f t="shared" si="36"/>
        <v>19</v>
      </c>
      <c r="S344">
        <f t="array" ref="S344">MAX(IF($C$2:$C$1387=C344,$R$2:$R$1387))</f>
        <v>29</v>
      </c>
      <c r="T344" cm="1">
        <f t="array" ref="T344">MIN(IF($C$2:$C$1387=C344,$R$2:$R$1387))</f>
        <v>9</v>
      </c>
      <c r="U344">
        <f t="shared" si="37"/>
        <v>20</v>
      </c>
      <c r="V344">
        <f t="shared" si="38"/>
        <v>0.5</v>
      </c>
      <c r="W344" cm="1">
        <f t="array" ref="W344">_xlfn.IFS(N344=1,5,N344=2,4,N344=4,2,N344=5,1,N344=3,3)</f>
        <v>5</v>
      </c>
      <c r="X344">
        <f t="shared" si="39"/>
        <v>23</v>
      </c>
      <c r="Y344" cm="1">
        <f t="array" ref="Y344">MAX(IF($C$2:$C$1387=C344,$X$2:$X$1387))</f>
        <v>29</v>
      </c>
      <c r="Z344" cm="1">
        <f t="array" ref="Z344">MIN(IF($C$2:$C$1387=C344,$X$2:$X$1387))</f>
        <v>12</v>
      </c>
      <c r="AA344">
        <f t="shared" si="40"/>
        <v>17</v>
      </c>
      <c r="AB344">
        <f t="shared" si="41"/>
        <v>0.6470588235294118</v>
      </c>
    </row>
    <row r="345" spans="1:28" x14ac:dyDescent="0.25">
      <c r="A345" s="2" t="s">
        <v>142</v>
      </c>
      <c r="B345" t="s">
        <v>143</v>
      </c>
      <c r="C345">
        <v>2011</v>
      </c>
      <c r="D345">
        <v>0.45374204129901485</v>
      </c>
      <c r="E345">
        <v>0.44803078244281525</v>
      </c>
      <c r="F345">
        <v>0.22829109223822078</v>
      </c>
      <c r="G345">
        <v>1.9459101490553132</v>
      </c>
      <c r="H345">
        <v>0.5714285714285714</v>
      </c>
      <c r="I345">
        <v>0.66666666666666663</v>
      </c>
      <c r="J345">
        <v>0</v>
      </c>
      <c r="K345">
        <v>4</v>
      </c>
      <c r="L345">
        <v>1</v>
      </c>
      <c r="M345">
        <v>5</v>
      </c>
      <c r="N345">
        <v>1</v>
      </c>
      <c r="O345">
        <v>2</v>
      </c>
      <c r="P345">
        <v>1</v>
      </c>
      <c r="Q345">
        <f t="shared" si="35"/>
        <v>5</v>
      </c>
      <c r="R345">
        <f t="shared" si="36"/>
        <v>19</v>
      </c>
      <c r="S345">
        <f t="array" ref="S345">MAX(IF($C$2:$C$1387=C345,$R$2:$R$1387))</f>
        <v>28</v>
      </c>
      <c r="T345" cm="1">
        <f t="array" ref="T345">MIN(IF($C$2:$C$1387=C345,$R$2:$R$1387))</f>
        <v>10</v>
      </c>
      <c r="U345">
        <f t="shared" si="37"/>
        <v>18</v>
      </c>
      <c r="V345">
        <f t="shared" si="38"/>
        <v>0.5</v>
      </c>
      <c r="W345" cm="1">
        <f t="array" ref="W345">_xlfn.IFS(N345=1,5,N345=2,4,N345=4,2,N345=5,1,N345=3,3)</f>
        <v>5</v>
      </c>
      <c r="X345">
        <f t="shared" si="39"/>
        <v>23</v>
      </c>
      <c r="Y345" cm="1">
        <f t="array" ref="Y345">MAX(IF($C$2:$C$1387=C345,$X$2:$X$1387))</f>
        <v>29</v>
      </c>
      <c r="Z345" cm="1">
        <f t="array" ref="Z345">MIN(IF($C$2:$C$1387=C345,$X$2:$X$1387))</f>
        <v>12</v>
      </c>
      <c r="AA345">
        <f t="shared" si="40"/>
        <v>17</v>
      </c>
      <c r="AB345">
        <f t="shared" si="41"/>
        <v>0.6470588235294118</v>
      </c>
    </row>
    <row r="346" spans="1:28" x14ac:dyDescent="0.25">
      <c r="A346" t="s">
        <v>142</v>
      </c>
      <c r="B346" t="s">
        <v>143</v>
      </c>
      <c r="C346">
        <v>2012</v>
      </c>
      <c r="D346">
        <v>0.45374204129901485</v>
      </c>
      <c r="E346">
        <v>0.34571629188766839</v>
      </c>
      <c r="F346">
        <v>6.7169852493462337E-3</v>
      </c>
      <c r="G346">
        <v>1.9459101490553132</v>
      </c>
      <c r="H346">
        <v>0.5714285714285714</v>
      </c>
      <c r="I346">
        <v>1</v>
      </c>
      <c r="J346">
        <v>0</v>
      </c>
      <c r="K346">
        <v>4</v>
      </c>
      <c r="L346">
        <v>1</v>
      </c>
      <c r="M346">
        <v>2</v>
      </c>
      <c r="N346">
        <v>1</v>
      </c>
      <c r="O346">
        <v>2</v>
      </c>
      <c r="P346">
        <v>3</v>
      </c>
      <c r="Q346">
        <f t="shared" si="35"/>
        <v>5</v>
      </c>
      <c r="R346">
        <f t="shared" si="36"/>
        <v>18</v>
      </c>
      <c r="S346">
        <f t="array" ref="S346">MAX(IF($C$2:$C$1387=C346,$R$2:$R$1387))</f>
        <v>29</v>
      </c>
      <c r="T346" cm="1">
        <f t="array" ref="T346">MIN(IF($C$2:$C$1387=C346,$R$2:$R$1387))</f>
        <v>11</v>
      </c>
      <c r="U346">
        <f t="shared" si="37"/>
        <v>18</v>
      </c>
      <c r="V346">
        <f t="shared" si="38"/>
        <v>0.3888888888888889</v>
      </c>
      <c r="W346" cm="1">
        <f t="array" ref="W346">_xlfn.IFS(N346=1,5,N346=2,4,N346=4,2,N346=5,1,N346=3,3)</f>
        <v>5</v>
      </c>
      <c r="X346">
        <f t="shared" si="39"/>
        <v>22</v>
      </c>
      <c r="Y346" cm="1">
        <f t="array" ref="Y346">MAX(IF($C$2:$C$1387=C346,$X$2:$X$1387))</f>
        <v>30</v>
      </c>
      <c r="Z346" cm="1">
        <f t="array" ref="Z346">MIN(IF($C$2:$C$1387=C346,$X$2:$X$1387))</f>
        <v>12</v>
      </c>
      <c r="AA346">
        <f t="shared" si="40"/>
        <v>18</v>
      </c>
      <c r="AB346">
        <f t="shared" si="41"/>
        <v>0.55555555555555558</v>
      </c>
    </row>
    <row r="347" spans="1:28" x14ac:dyDescent="0.25">
      <c r="A347" t="s">
        <v>142</v>
      </c>
      <c r="B347" t="s">
        <v>143</v>
      </c>
      <c r="C347">
        <v>2013</v>
      </c>
      <c r="D347">
        <v>0.45374204129901485</v>
      </c>
      <c r="E347">
        <v>0.34571629188766839</v>
      </c>
      <c r="F347">
        <v>2.9740640497249432E-5</v>
      </c>
      <c r="G347">
        <v>1.9459101490553132</v>
      </c>
      <c r="H347">
        <v>0.7142857142857143</v>
      </c>
      <c r="I347">
        <v>0.66666666666666663</v>
      </c>
      <c r="J347">
        <v>0</v>
      </c>
      <c r="K347">
        <v>4</v>
      </c>
      <c r="L347">
        <v>1</v>
      </c>
      <c r="M347">
        <v>1</v>
      </c>
      <c r="N347">
        <v>1</v>
      </c>
      <c r="O347">
        <v>4</v>
      </c>
      <c r="P347">
        <v>1</v>
      </c>
      <c r="Q347">
        <f t="shared" si="35"/>
        <v>5</v>
      </c>
      <c r="R347">
        <f t="shared" si="36"/>
        <v>17</v>
      </c>
      <c r="S347">
        <f t="array" ref="S347">MAX(IF($C$2:$C$1387=C347,$R$2:$R$1387))</f>
        <v>29</v>
      </c>
      <c r="T347" cm="1">
        <f t="array" ref="T347">MIN(IF($C$2:$C$1387=C347,$R$2:$R$1387))</f>
        <v>10</v>
      </c>
      <c r="U347">
        <f t="shared" si="37"/>
        <v>19</v>
      </c>
      <c r="V347">
        <f t="shared" si="38"/>
        <v>0.36842105263157893</v>
      </c>
      <c r="W347" cm="1">
        <f t="array" ref="W347">_xlfn.IFS(N347=1,5,N347=2,4,N347=4,2,N347=5,1,N347=3,3)</f>
        <v>5</v>
      </c>
      <c r="X347">
        <f t="shared" si="39"/>
        <v>21</v>
      </c>
      <c r="Y347" cm="1">
        <f t="array" ref="Y347">MAX(IF($C$2:$C$1387=C347,$X$2:$X$1387))</f>
        <v>32</v>
      </c>
      <c r="Z347" cm="1">
        <f t="array" ref="Z347">MIN(IF($C$2:$C$1387=C347,$X$2:$X$1387))</f>
        <v>10</v>
      </c>
      <c r="AA347">
        <f t="shared" si="40"/>
        <v>22</v>
      </c>
      <c r="AB347">
        <f t="shared" si="41"/>
        <v>0.5</v>
      </c>
    </row>
    <row r="348" spans="1:28" x14ac:dyDescent="0.25">
      <c r="A348" t="s">
        <v>142</v>
      </c>
      <c r="B348" t="s">
        <v>143</v>
      </c>
      <c r="C348">
        <v>2014</v>
      </c>
      <c r="D348">
        <v>0.45374204129901485</v>
      </c>
      <c r="E348">
        <v>0.34571629188766839</v>
      </c>
      <c r="F348">
        <v>4.3995030321374896E-3</v>
      </c>
      <c r="G348">
        <v>1.9459101490553132</v>
      </c>
      <c r="H348">
        <v>0.7142857142857143</v>
      </c>
      <c r="I348">
        <v>1</v>
      </c>
      <c r="J348">
        <v>0</v>
      </c>
      <c r="K348">
        <v>4</v>
      </c>
      <c r="L348">
        <v>1</v>
      </c>
      <c r="M348">
        <v>2</v>
      </c>
      <c r="N348">
        <v>1</v>
      </c>
      <c r="O348">
        <v>4</v>
      </c>
      <c r="P348">
        <v>3</v>
      </c>
      <c r="Q348">
        <f t="shared" si="35"/>
        <v>5</v>
      </c>
      <c r="R348">
        <f t="shared" si="36"/>
        <v>20</v>
      </c>
      <c r="S348">
        <f t="array" ref="S348">MAX(IF($C$2:$C$1387=C348,$R$2:$R$1387))</f>
        <v>29</v>
      </c>
      <c r="T348" cm="1">
        <f t="array" ref="T348">MIN(IF($C$2:$C$1387=C348,$R$2:$R$1387))</f>
        <v>11</v>
      </c>
      <c r="U348">
        <f t="shared" si="37"/>
        <v>18</v>
      </c>
      <c r="V348">
        <f t="shared" si="38"/>
        <v>0.5</v>
      </c>
      <c r="W348" cm="1">
        <f t="array" ref="W348">_xlfn.IFS(N348=1,5,N348=2,4,N348=4,2,N348=5,1,N348=3,3)</f>
        <v>5</v>
      </c>
      <c r="X348">
        <f t="shared" si="39"/>
        <v>24</v>
      </c>
      <c r="Y348" cm="1">
        <f t="array" ref="Y348">MAX(IF($C$2:$C$1387=C348,$X$2:$X$1387))</f>
        <v>30</v>
      </c>
      <c r="Z348" cm="1">
        <f t="array" ref="Z348">MIN(IF($C$2:$C$1387=C348,$X$2:$X$1387))</f>
        <v>14</v>
      </c>
      <c r="AA348">
        <f t="shared" si="40"/>
        <v>16</v>
      </c>
      <c r="AB348">
        <f t="shared" si="41"/>
        <v>0.625</v>
      </c>
    </row>
    <row r="349" spans="1:28" x14ac:dyDescent="0.25">
      <c r="A349" t="s">
        <v>142</v>
      </c>
      <c r="B349" t="s">
        <v>143</v>
      </c>
      <c r="C349">
        <v>2015</v>
      </c>
      <c r="D349">
        <v>0.43329699358273382</v>
      </c>
      <c r="E349">
        <v>0.58354660939840641</v>
      </c>
      <c r="F349">
        <v>0</v>
      </c>
      <c r="G349">
        <v>1.9459101490553132</v>
      </c>
      <c r="H349">
        <v>0.7142857142857143</v>
      </c>
      <c r="I349">
        <v>0.66666666666666663</v>
      </c>
      <c r="J349">
        <v>0</v>
      </c>
      <c r="K349">
        <v>4</v>
      </c>
      <c r="L349">
        <v>2</v>
      </c>
      <c r="M349">
        <v>1</v>
      </c>
      <c r="N349">
        <v>1</v>
      </c>
      <c r="O349">
        <v>3</v>
      </c>
      <c r="P349">
        <v>1</v>
      </c>
      <c r="Q349">
        <f t="shared" si="35"/>
        <v>5</v>
      </c>
      <c r="R349">
        <f t="shared" si="36"/>
        <v>17</v>
      </c>
      <c r="S349">
        <f t="array" ref="S349">MAX(IF($C$2:$C$1387=C349,$R$2:$R$1387))</f>
        <v>29</v>
      </c>
      <c r="T349" cm="1">
        <f t="array" ref="T349">MIN(IF($C$2:$C$1387=C349,$R$2:$R$1387))</f>
        <v>11</v>
      </c>
      <c r="U349">
        <f t="shared" si="37"/>
        <v>18</v>
      </c>
      <c r="V349">
        <f t="shared" si="38"/>
        <v>0.33333333333333331</v>
      </c>
      <c r="W349" cm="1">
        <f t="array" ref="W349">_xlfn.IFS(N349=1,5,N349=2,4,N349=4,2,N349=5,1,N349=3,3)</f>
        <v>5</v>
      </c>
      <c r="X349">
        <f t="shared" si="39"/>
        <v>21</v>
      </c>
      <c r="Y349" cm="1">
        <f t="array" ref="Y349">MAX(IF($C$2:$C$1387=C349,$X$2:$X$1387))</f>
        <v>29</v>
      </c>
      <c r="Z349" cm="1">
        <f t="array" ref="Z349">MIN(IF($C$2:$C$1387=C349,$X$2:$X$1387))</f>
        <v>12</v>
      </c>
      <c r="AA349">
        <f t="shared" si="40"/>
        <v>17</v>
      </c>
      <c r="AB349">
        <f t="shared" si="41"/>
        <v>0.52941176470588236</v>
      </c>
    </row>
    <row r="350" spans="1:28" x14ac:dyDescent="0.25">
      <c r="A350" t="s">
        <v>144</v>
      </c>
      <c r="B350" t="s">
        <v>145</v>
      </c>
      <c r="C350">
        <v>2010</v>
      </c>
      <c r="D350">
        <v>3.4761149231637402E-2</v>
      </c>
      <c r="E350">
        <v>0.72030705684742147</v>
      </c>
      <c r="F350">
        <v>7.6299999999999993E-2</v>
      </c>
      <c r="G350">
        <v>2.3025850929940459</v>
      </c>
      <c r="H350">
        <v>1</v>
      </c>
      <c r="I350">
        <v>1</v>
      </c>
      <c r="J350">
        <v>0</v>
      </c>
      <c r="K350">
        <v>2</v>
      </c>
      <c r="L350">
        <v>4</v>
      </c>
      <c r="M350">
        <v>3</v>
      </c>
      <c r="N350">
        <v>5</v>
      </c>
      <c r="O350">
        <v>5</v>
      </c>
      <c r="P350">
        <v>3</v>
      </c>
      <c r="Q350">
        <f t="shared" si="35"/>
        <v>5</v>
      </c>
      <c r="R350">
        <f t="shared" si="36"/>
        <v>27</v>
      </c>
      <c r="S350">
        <f t="array" ref="S350">MAX(IF($C$2:$C$1387=C350,$R$2:$R$1387))</f>
        <v>29</v>
      </c>
      <c r="T350" cm="1">
        <f t="array" ref="T350">MIN(IF($C$2:$C$1387=C350,$R$2:$R$1387))</f>
        <v>9</v>
      </c>
      <c r="U350">
        <f t="shared" si="37"/>
        <v>20</v>
      </c>
      <c r="V350">
        <f t="shared" si="38"/>
        <v>0.9</v>
      </c>
      <c r="W350" cm="1">
        <f t="array" ref="W350">_xlfn.IFS(N350=1,5,N350=2,4,N350=4,2,N350=5,1,N350=3,3)</f>
        <v>1</v>
      </c>
      <c r="X350">
        <f t="shared" si="39"/>
        <v>23</v>
      </c>
      <c r="Y350" cm="1">
        <f t="array" ref="Y350">MAX(IF($C$2:$C$1387=C350,$X$2:$X$1387))</f>
        <v>29</v>
      </c>
      <c r="Z350" cm="1">
        <f t="array" ref="Z350">MIN(IF($C$2:$C$1387=C350,$X$2:$X$1387))</f>
        <v>12</v>
      </c>
      <c r="AA350">
        <f t="shared" si="40"/>
        <v>17</v>
      </c>
      <c r="AB350">
        <f t="shared" si="41"/>
        <v>0.6470588235294118</v>
      </c>
    </row>
    <row r="351" spans="1:28" x14ac:dyDescent="0.25">
      <c r="A351" t="s">
        <v>144</v>
      </c>
      <c r="B351" t="s">
        <v>145</v>
      </c>
      <c r="C351">
        <v>2011</v>
      </c>
      <c r="D351">
        <v>3.7671260653048731E-2</v>
      </c>
      <c r="E351">
        <v>0.71175465402496219</v>
      </c>
      <c r="F351">
        <v>2.1804430804035751E-2</v>
      </c>
      <c r="G351">
        <v>2.3025850929940459</v>
      </c>
      <c r="H351">
        <v>0.9</v>
      </c>
      <c r="I351">
        <v>1</v>
      </c>
      <c r="J351">
        <v>0</v>
      </c>
      <c r="K351">
        <v>2</v>
      </c>
      <c r="L351">
        <v>3</v>
      </c>
      <c r="M351">
        <v>2</v>
      </c>
      <c r="N351">
        <v>5</v>
      </c>
      <c r="O351">
        <v>5</v>
      </c>
      <c r="P351">
        <v>3</v>
      </c>
      <c r="Q351">
        <f t="shared" si="35"/>
        <v>5</v>
      </c>
      <c r="R351">
        <f t="shared" si="36"/>
        <v>25</v>
      </c>
      <c r="S351">
        <f t="array" ref="S351">MAX(IF($C$2:$C$1387=C351,$R$2:$R$1387))</f>
        <v>28</v>
      </c>
      <c r="T351" cm="1">
        <f t="array" ref="T351">MIN(IF($C$2:$C$1387=C351,$R$2:$R$1387))</f>
        <v>10</v>
      </c>
      <c r="U351">
        <f t="shared" si="37"/>
        <v>18</v>
      </c>
      <c r="V351">
        <f t="shared" si="38"/>
        <v>0.83333333333333337</v>
      </c>
      <c r="W351" cm="1">
        <f t="array" ref="W351">_xlfn.IFS(N351=1,5,N351=2,4,N351=4,2,N351=5,1,N351=3,3)</f>
        <v>1</v>
      </c>
      <c r="X351">
        <f t="shared" si="39"/>
        <v>21</v>
      </c>
      <c r="Y351" cm="1">
        <f t="array" ref="Y351">MAX(IF($C$2:$C$1387=C351,$X$2:$X$1387))</f>
        <v>29</v>
      </c>
      <c r="Z351" cm="1">
        <f t="array" ref="Z351">MIN(IF($C$2:$C$1387=C351,$X$2:$X$1387))</f>
        <v>12</v>
      </c>
      <c r="AA351">
        <f t="shared" si="40"/>
        <v>17</v>
      </c>
      <c r="AB351">
        <f t="shared" si="41"/>
        <v>0.52941176470588236</v>
      </c>
    </row>
    <row r="352" spans="1:28" x14ac:dyDescent="0.25">
      <c r="A352" t="s">
        <v>144</v>
      </c>
      <c r="B352" t="s">
        <v>145</v>
      </c>
      <c r="C352">
        <v>2012</v>
      </c>
      <c r="D352">
        <v>3.695095008439097E-2</v>
      </c>
      <c r="E352">
        <v>0.70752151716167022</v>
      </c>
      <c r="F352">
        <v>2.0180396312707509E-2</v>
      </c>
      <c r="G352">
        <v>2.3025850929940459</v>
      </c>
      <c r="H352">
        <v>0.9</v>
      </c>
      <c r="I352">
        <v>1</v>
      </c>
      <c r="J352">
        <v>0</v>
      </c>
      <c r="K352">
        <v>2</v>
      </c>
      <c r="L352">
        <v>3</v>
      </c>
      <c r="M352">
        <v>2</v>
      </c>
      <c r="N352">
        <v>5</v>
      </c>
      <c r="O352">
        <v>5</v>
      </c>
      <c r="P352">
        <v>3</v>
      </c>
      <c r="Q352">
        <f t="shared" si="35"/>
        <v>5</v>
      </c>
      <c r="R352">
        <f t="shared" si="36"/>
        <v>25</v>
      </c>
      <c r="S352">
        <f t="array" ref="S352">MAX(IF($C$2:$C$1387=C352,$R$2:$R$1387))</f>
        <v>29</v>
      </c>
      <c r="T352" cm="1">
        <f t="array" ref="T352">MIN(IF($C$2:$C$1387=C352,$R$2:$R$1387))</f>
        <v>11</v>
      </c>
      <c r="U352">
        <f t="shared" si="37"/>
        <v>18</v>
      </c>
      <c r="V352">
        <f t="shared" si="38"/>
        <v>0.77777777777777779</v>
      </c>
      <c r="W352" cm="1">
        <f t="array" ref="W352">_xlfn.IFS(N352=1,5,N352=2,4,N352=4,2,N352=5,1,N352=3,3)</f>
        <v>1</v>
      </c>
      <c r="X352">
        <f t="shared" si="39"/>
        <v>21</v>
      </c>
      <c r="Y352" cm="1">
        <f t="array" ref="Y352">MAX(IF($C$2:$C$1387=C352,$X$2:$X$1387))</f>
        <v>30</v>
      </c>
      <c r="Z352" cm="1">
        <f t="array" ref="Z352">MIN(IF($C$2:$C$1387=C352,$X$2:$X$1387))</f>
        <v>12</v>
      </c>
      <c r="AA352">
        <f t="shared" si="40"/>
        <v>18</v>
      </c>
      <c r="AB352">
        <f t="shared" si="41"/>
        <v>0.5</v>
      </c>
    </row>
    <row r="353" spans="1:28" x14ac:dyDescent="0.25">
      <c r="A353" t="s">
        <v>144</v>
      </c>
      <c r="B353" t="s">
        <v>145</v>
      </c>
      <c r="C353">
        <v>2013</v>
      </c>
      <c r="D353">
        <v>3.6960500041154559E-2</v>
      </c>
      <c r="E353">
        <v>0.70752151716167022</v>
      </c>
      <c r="F353">
        <v>7.0251107477499311E-2</v>
      </c>
      <c r="G353">
        <v>2.3025850929940459</v>
      </c>
      <c r="H353">
        <v>0.9</v>
      </c>
      <c r="I353">
        <v>1</v>
      </c>
      <c r="J353">
        <v>0</v>
      </c>
      <c r="K353">
        <v>2</v>
      </c>
      <c r="L353">
        <v>3</v>
      </c>
      <c r="M353">
        <v>4</v>
      </c>
      <c r="N353">
        <v>5</v>
      </c>
      <c r="O353">
        <v>5</v>
      </c>
      <c r="P353">
        <v>3</v>
      </c>
      <c r="Q353">
        <f t="shared" si="35"/>
        <v>5</v>
      </c>
      <c r="R353">
        <f t="shared" si="36"/>
        <v>27</v>
      </c>
      <c r="S353">
        <f t="array" ref="S353">MAX(IF($C$2:$C$1387=C353,$R$2:$R$1387))</f>
        <v>29</v>
      </c>
      <c r="T353" cm="1">
        <f t="array" ref="T353">MIN(IF($C$2:$C$1387=C353,$R$2:$R$1387))</f>
        <v>10</v>
      </c>
      <c r="U353">
        <f t="shared" si="37"/>
        <v>19</v>
      </c>
      <c r="V353">
        <f t="shared" si="38"/>
        <v>0.89473684210526316</v>
      </c>
      <c r="W353" cm="1">
        <f t="array" ref="W353">_xlfn.IFS(N353=1,5,N353=2,4,N353=4,2,N353=5,1,N353=3,3)</f>
        <v>1</v>
      </c>
      <c r="X353">
        <f t="shared" si="39"/>
        <v>23</v>
      </c>
      <c r="Y353" cm="1">
        <f t="array" ref="Y353">MAX(IF($C$2:$C$1387=C353,$X$2:$X$1387))</f>
        <v>32</v>
      </c>
      <c r="Z353" cm="1">
        <f t="array" ref="Z353">MIN(IF($C$2:$C$1387=C353,$X$2:$X$1387))</f>
        <v>10</v>
      </c>
      <c r="AA353">
        <f t="shared" si="40"/>
        <v>22</v>
      </c>
      <c r="AB353">
        <f t="shared" si="41"/>
        <v>0.59090909090909094</v>
      </c>
    </row>
    <row r="354" spans="1:28" x14ac:dyDescent="0.25">
      <c r="A354" t="s">
        <v>144</v>
      </c>
      <c r="B354" t="s">
        <v>145</v>
      </c>
      <c r="C354">
        <v>2014</v>
      </c>
      <c r="D354">
        <v>0</v>
      </c>
      <c r="E354">
        <v>0.70752151716167022</v>
      </c>
      <c r="F354">
        <v>7.0611736873156888E-2</v>
      </c>
      <c r="G354">
        <v>2.3025850929940459</v>
      </c>
      <c r="H354">
        <v>0.9</v>
      </c>
      <c r="I354">
        <v>0.66666666666666663</v>
      </c>
      <c r="J354">
        <v>0</v>
      </c>
      <c r="K354">
        <v>1</v>
      </c>
      <c r="L354">
        <v>3</v>
      </c>
      <c r="M354">
        <v>3</v>
      </c>
      <c r="N354">
        <v>5</v>
      </c>
      <c r="O354">
        <v>5</v>
      </c>
      <c r="P354">
        <v>1</v>
      </c>
      <c r="Q354">
        <f t="shared" si="35"/>
        <v>5</v>
      </c>
      <c r="R354">
        <f t="shared" si="36"/>
        <v>23</v>
      </c>
      <c r="S354">
        <f t="array" ref="S354">MAX(IF($C$2:$C$1387=C354,$R$2:$R$1387))</f>
        <v>29</v>
      </c>
      <c r="T354" cm="1">
        <f t="array" ref="T354">MIN(IF($C$2:$C$1387=C354,$R$2:$R$1387))</f>
        <v>11</v>
      </c>
      <c r="U354">
        <f t="shared" si="37"/>
        <v>18</v>
      </c>
      <c r="V354">
        <f t="shared" si="38"/>
        <v>0.66666666666666663</v>
      </c>
      <c r="W354" cm="1">
        <f t="array" ref="W354">_xlfn.IFS(N354=1,5,N354=2,4,N354=4,2,N354=5,1,N354=3,3)</f>
        <v>1</v>
      </c>
      <c r="X354">
        <f t="shared" si="39"/>
        <v>19</v>
      </c>
      <c r="Y354" cm="1">
        <f t="array" ref="Y354">MAX(IF($C$2:$C$1387=C354,$X$2:$X$1387))</f>
        <v>30</v>
      </c>
      <c r="Z354" cm="1">
        <f t="array" ref="Z354">MIN(IF($C$2:$C$1387=C354,$X$2:$X$1387))</f>
        <v>14</v>
      </c>
      <c r="AA354">
        <f t="shared" si="40"/>
        <v>16</v>
      </c>
      <c r="AB354">
        <f t="shared" si="41"/>
        <v>0.3125</v>
      </c>
    </row>
    <row r="355" spans="1:28" x14ac:dyDescent="0.25">
      <c r="A355" t="s">
        <v>144</v>
      </c>
      <c r="B355" t="s">
        <v>145</v>
      </c>
      <c r="C355">
        <v>2015</v>
      </c>
      <c r="D355">
        <v>4.6844519033444811E-2</v>
      </c>
      <c r="E355">
        <v>0.71160944049800379</v>
      </c>
      <c r="F355">
        <v>7.5501890442726685E-3</v>
      </c>
      <c r="G355">
        <v>2.0794415416798357</v>
      </c>
      <c r="H355">
        <v>0.875</v>
      </c>
      <c r="I355">
        <v>0.66666666666666663</v>
      </c>
      <c r="J355">
        <v>0</v>
      </c>
      <c r="K355">
        <v>2</v>
      </c>
      <c r="L355">
        <v>3</v>
      </c>
      <c r="M355">
        <v>2</v>
      </c>
      <c r="N355">
        <v>3</v>
      </c>
      <c r="O355">
        <v>5</v>
      </c>
      <c r="P355">
        <v>1</v>
      </c>
      <c r="Q355">
        <f t="shared" si="35"/>
        <v>5</v>
      </c>
      <c r="R355">
        <f t="shared" si="36"/>
        <v>21</v>
      </c>
      <c r="S355">
        <f t="array" ref="S355">MAX(IF($C$2:$C$1387=C355,$R$2:$R$1387))</f>
        <v>29</v>
      </c>
      <c r="T355" cm="1">
        <f t="array" ref="T355">MIN(IF($C$2:$C$1387=C355,$R$2:$R$1387))</f>
        <v>11</v>
      </c>
      <c r="U355">
        <f t="shared" si="37"/>
        <v>18</v>
      </c>
      <c r="V355">
        <f t="shared" si="38"/>
        <v>0.55555555555555558</v>
      </c>
      <c r="W355" cm="1">
        <f t="array" ref="W355">_xlfn.IFS(N355=1,5,N355=2,4,N355=4,2,N355=5,1,N355=3,3)</f>
        <v>3</v>
      </c>
      <c r="X355">
        <f t="shared" si="39"/>
        <v>21</v>
      </c>
      <c r="Y355" cm="1">
        <f t="array" ref="Y355">MAX(IF($C$2:$C$1387=C355,$X$2:$X$1387))</f>
        <v>29</v>
      </c>
      <c r="Z355" cm="1">
        <f t="array" ref="Z355">MIN(IF($C$2:$C$1387=C355,$X$2:$X$1387))</f>
        <v>12</v>
      </c>
      <c r="AA355">
        <f t="shared" si="40"/>
        <v>17</v>
      </c>
      <c r="AB355">
        <f t="shared" si="41"/>
        <v>0.52941176470588236</v>
      </c>
    </row>
    <row r="356" spans="1:28" x14ac:dyDescent="0.25">
      <c r="A356" t="s">
        <v>146</v>
      </c>
      <c r="B356" t="s">
        <v>147</v>
      </c>
      <c r="C356">
        <v>2010</v>
      </c>
      <c r="D356">
        <v>0.54175706094588572</v>
      </c>
      <c r="E356">
        <v>0.66675975457407188</v>
      </c>
      <c r="F356">
        <v>1.0832753353931095E-4</v>
      </c>
      <c r="G356">
        <v>1.9459101490553132</v>
      </c>
      <c r="H356">
        <v>0.5714285714285714</v>
      </c>
      <c r="I356">
        <v>1</v>
      </c>
      <c r="J356">
        <v>0</v>
      </c>
      <c r="K356">
        <v>5</v>
      </c>
      <c r="L356">
        <v>3</v>
      </c>
      <c r="M356">
        <v>1</v>
      </c>
      <c r="N356">
        <v>1</v>
      </c>
      <c r="O356">
        <v>2</v>
      </c>
      <c r="P356">
        <v>3</v>
      </c>
      <c r="Q356">
        <f t="shared" si="35"/>
        <v>5</v>
      </c>
      <c r="R356">
        <f t="shared" si="36"/>
        <v>20</v>
      </c>
      <c r="S356">
        <f t="array" ref="S356">MAX(IF($C$2:$C$1387=C356,$R$2:$R$1387))</f>
        <v>29</v>
      </c>
      <c r="T356" cm="1">
        <f t="array" ref="T356">MIN(IF($C$2:$C$1387=C356,$R$2:$R$1387))</f>
        <v>9</v>
      </c>
      <c r="U356">
        <f t="shared" si="37"/>
        <v>20</v>
      </c>
      <c r="V356">
        <f t="shared" si="38"/>
        <v>0.55000000000000004</v>
      </c>
      <c r="W356" cm="1">
        <f t="array" ref="W356">_xlfn.IFS(N356=1,5,N356=2,4,N356=4,2,N356=5,1,N356=3,3)</f>
        <v>5</v>
      </c>
      <c r="X356">
        <f t="shared" si="39"/>
        <v>24</v>
      </c>
      <c r="Y356" cm="1">
        <f t="array" ref="Y356">MAX(IF($C$2:$C$1387=C356,$X$2:$X$1387))</f>
        <v>29</v>
      </c>
      <c r="Z356" cm="1">
        <f t="array" ref="Z356">MIN(IF($C$2:$C$1387=C356,$X$2:$X$1387))</f>
        <v>12</v>
      </c>
      <c r="AA356">
        <f t="shared" si="40"/>
        <v>17</v>
      </c>
      <c r="AB356">
        <f t="shared" si="41"/>
        <v>0.70588235294117652</v>
      </c>
    </row>
    <row r="357" spans="1:28" x14ac:dyDescent="0.25">
      <c r="A357" t="s">
        <v>146</v>
      </c>
      <c r="B357" t="s">
        <v>147</v>
      </c>
      <c r="C357">
        <v>2011</v>
      </c>
      <c r="D357">
        <v>0.54175706094588572</v>
      </c>
      <c r="E357">
        <v>0.66675975457407188</v>
      </c>
      <c r="F357">
        <v>1.0832753353931095E-4</v>
      </c>
      <c r="G357">
        <v>1.9459101490553132</v>
      </c>
      <c r="H357">
        <v>0.5714285714285714</v>
      </c>
      <c r="I357">
        <v>1</v>
      </c>
      <c r="J357">
        <v>0</v>
      </c>
      <c r="K357">
        <v>5</v>
      </c>
      <c r="L357">
        <v>3</v>
      </c>
      <c r="M357">
        <v>1</v>
      </c>
      <c r="N357">
        <v>1</v>
      </c>
      <c r="O357">
        <v>2</v>
      </c>
      <c r="P357">
        <v>3</v>
      </c>
      <c r="Q357">
        <f t="shared" si="35"/>
        <v>5</v>
      </c>
      <c r="R357">
        <f t="shared" si="36"/>
        <v>20</v>
      </c>
      <c r="S357">
        <f t="array" ref="S357">MAX(IF($C$2:$C$1387=C357,$R$2:$R$1387))</f>
        <v>28</v>
      </c>
      <c r="T357" cm="1">
        <f t="array" ref="T357">MIN(IF($C$2:$C$1387=C357,$R$2:$R$1387))</f>
        <v>10</v>
      </c>
      <c r="U357">
        <f t="shared" si="37"/>
        <v>18</v>
      </c>
      <c r="V357">
        <f t="shared" si="38"/>
        <v>0.55555555555555558</v>
      </c>
      <c r="W357" cm="1">
        <f t="array" ref="W357">_xlfn.IFS(N357=1,5,N357=2,4,N357=4,2,N357=5,1,N357=3,3)</f>
        <v>5</v>
      </c>
      <c r="X357">
        <f t="shared" si="39"/>
        <v>24</v>
      </c>
      <c r="Y357" cm="1">
        <f t="array" ref="Y357">MAX(IF($C$2:$C$1387=C357,$X$2:$X$1387))</f>
        <v>29</v>
      </c>
      <c r="Z357" cm="1">
        <f t="array" ref="Z357">MIN(IF($C$2:$C$1387=C357,$X$2:$X$1387))</f>
        <v>12</v>
      </c>
      <c r="AA357">
        <f t="shared" si="40"/>
        <v>17</v>
      </c>
      <c r="AB357">
        <f t="shared" si="41"/>
        <v>0.70588235294117652</v>
      </c>
    </row>
    <row r="358" spans="1:28" x14ac:dyDescent="0.25">
      <c r="A358" t="s">
        <v>146</v>
      </c>
      <c r="B358" t="s">
        <v>147</v>
      </c>
      <c r="C358">
        <v>2012</v>
      </c>
      <c r="D358">
        <v>0.54175706094588572</v>
      </c>
      <c r="E358">
        <v>0.53120648334464171</v>
      </c>
      <c r="F358">
        <v>1.0832753353931095E-4</v>
      </c>
      <c r="G358">
        <v>1.9459101490553132</v>
      </c>
      <c r="H358">
        <v>0.7142857142857143</v>
      </c>
      <c r="I358">
        <v>1</v>
      </c>
      <c r="J358">
        <v>0</v>
      </c>
      <c r="K358">
        <v>5</v>
      </c>
      <c r="L358">
        <v>2</v>
      </c>
      <c r="M358">
        <v>1</v>
      </c>
      <c r="N358">
        <v>1</v>
      </c>
      <c r="O358">
        <v>4</v>
      </c>
      <c r="P358">
        <v>3</v>
      </c>
      <c r="Q358">
        <f t="shared" si="35"/>
        <v>5</v>
      </c>
      <c r="R358">
        <f t="shared" si="36"/>
        <v>21</v>
      </c>
      <c r="S358">
        <f t="array" ref="S358">MAX(IF($C$2:$C$1387=C358,$R$2:$R$1387))</f>
        <v>29</v>
      </c>
      <c r="T358" cm="1">
        <f t="array" ref="T358">MIN(IF($C$2:$C$1387=C358,$R$2:$R$1387))</f>
        <v>11</v>
      </c>
      <c r="U358">
        <f t="shared" si="37"/>
        <v>18</v>
      </c>
      <c r="V358">
        <f t="shared" si="38"/>
        <v>0.55555555555555558</v>
      </c>
      <c r="W358" cm="1">
        <f t="array" ref="W358">_xlfn.IFS(N358=1,5,N358=2,4,N358=4,2,N358=5,1,N358=3,3)</f>
        <v>5</v>
      </c>
      <c r="X358">
        <f t="shared" si="39"/>
        <v>25</v>
      </c>
      <c r="Y358" cm="1">
        <f t="array" ref="Y358">MAX(IF($C$2:$C$1387=C358,$X$2:$X$1387))</f>
        <v>30</v>
      </c>
      <c r="Z358" cm="1">
        <f t="array" ref="Z358">MIN(IF($C$2:$C$1387=C358,$X$2:$X$1387))</f>
        <v>12</v>
      </c>
      <c r="AA358">
        <f t="shared" si="40"/>
        <v>18</v>
      </c>
      <c r="AB358">
        <f t="shared" si="41"/>
        <v>0.72222222222222221</v>
      </c>
    </row>
    <row r="359" spans="1:28" x14ac:dyDescent="0.25">
      <c r="A359" t="s">
        <v>146</v>
      </c>
      <c r="B359" t="s">
        <v>147</v>
      </c>
      <c r="C359">
        <v>2013</v>
      </c>
      <c r="D359">
        <v>0.47138027332318005</v>
      </c>
      <c r="E359">
        <v>0.53120648334464171</v>
      </c>
      <c r="F359">
        <v>1.0832753353931095E-4</v>
      </c>
      <c r="G359">
        <v>1.9459101490553132</v>
      </c>
      <c r="H359">
        <v>0.7142857142857143</v>
      </c>
      <c r="I359">
        <v>0.66666666666666663</v>
      </c>
      <c r="J359">
        <v>0</v>
      </c>
      <c r="K359">
        <v>4</v>
      </c>
      <c r="L359">
        <v>2</v>
      </c>
      <c r="M359">
        <v>1</v>
      </c>
      <c r="N359">
        <v>1</v>
      </c>
      <c r="O359">
        <v>4</v>
      </c>
      <c r="P359">
        <v>1</v>
      </c>
      <c r="Q359">
        <f t="shared" si="35"/>
        <v>5</v>
      </c>
      <c r="R359">
        <f t="shared" si="36"/>
        <v>18</v>
      </c>
      <c r="S359">
        <f t="array" ref="S359">MAX(IF($C$2:$C$1387=C359,$R$2:$R$1387))</f>
        <v>29</v>
      </c>
      <c r="T359" cm="1">
        <f t="array" ref="T359">MIN(IF($C$2:$C$1387=C359,$R$2:$R$1387))</f>
        <v>10</v>
      </c>
      <c r="U359">
        <f t="shared" si="37"/>
        <v>19</v>
      </c>
      <c r="V359">
        <f t="shared" si="38"/>
        <v>0.42105263157894735</v>
      </c>
      <c r="W359" cm="1">
        <f t="array" ref="W359">_xlfn.IFS(N359=1,5,N359=2,4,N359=4,2,N359=5,1,N359=3,3)</f>
        <v>5</v>
      </c>
      <c r="X359">
        <f t="shared" si="39"/>
        <v>22</v>
      </c>
      <c r="Y359" cm="1">
        <f t="array" ref="Y359">MAX(IF($C$2:$C$1387=C359,$X$2:$X$1387))</f>
        <v>32</v>
      </c>
      <c r="Z359" cm="1">
        <f t="array" ref="Z359">MIN(IF($C$2:$C$1387=C359,$X$2:$X$1387))</f>
        <v>10</v>
      </c>
      <c r="AA359">
        <f t="shared" si="40"/>
        <v>22</v>
      </c>
      <c r="AB359">
        <f t="shared" si="41"/>
        <v>0.54545454545454541</v>
      </c>
    </row>
    <row r="360" spans="1:28" x14ac:dyDescent="0.25">
      <c r="A360" t="s">
        <v>146</v>
      </c>
      <c r="B360" t="s">
        <v>147</v>
      </c>
      <c r="C360">
        <v>2014</v>
      </c>
      <c r="D360">
        <v>0.47138027332318005</v>
      </c>
      <c r="E360">
        <v>0.53120648334464171</v>
      </c>
      <c r="F360">
        <v>8.9108132427497721E-5</v>
      </c>
      <c r="G360">
        <v>1.9459101490553132</v>
      </c>
      <c r="H360">
        <v>0.7142857142857143</v>
      </c>
      <c r="I360">
        <v>1</v>
      </c>
      <c r="J360">
        <v>0</v>
      </c>
      <c r="K360">
        <v>4</v>
      </c>
      <c r="L360">
        <v>2</v>
      </c>
      <c r="M360">
        <v>1</v>
      </c>
      <c r="N360">
        <v>1</v>
      </c>
      <c r="O360">
        <v>4</v>
      </c>
      <c r="P360">
        <v>3</v>
      </c>
      <c r="Q360">
        <f t="shared" si="35"/>
        <v>5</v>
      </c>
      <c r="R360">
        <f t="shared" si="36"/>
        <v>20</v>
      </c>
      <c r="S360">
        <f t="array" ref="S360">MAX(IF($C$2:$C$1387=C360,$R$2:$R$1387))</f>
        <v>29</v>
      </c>
      <c r="T360" cm="1">
        <f t="array" ref="T360">MIN(IF($C$2:$C$1387=C360,$R$2:$R$1387))</f>
        <v>11</v>
      </c>
      <c r="U360">
        <f t="shared" si="37"/>
        <v>18</v>
      </c>
      <c r="V360">
        <f t="shared" si="38"/>
        <v>0.5</v>
      </c>
      <c r="W360" cm="1">
        <f t="array" ref="W360">_xlfn.IFS(N360=1,5,N360=2,4,N360=4,2,N360=5,1,N360=3,3)</f>
        <v>5</v>
      </c>
      <c r="X360">
        <f t="shared" si="39"/>
        <v>24</v>
      </c>
      <c r="Y360" cm="1">
        <f t="array" ref="Y360">MAX(IF($C$2:$C$1387=C360,$X$2:$X$1387))</f>
        <v>30</v>
      </c>
      <c r="Z360" cm="1">
        <f t="array" ref="Z360">MIN(IF($C$2:$C$1387=C360,$X$2:$X$1387))</f>
        <v>14</v>
      </c>
      <c r="AA360">
        <f t="shared" si="40"/>
        <v>16</v>
      </c>
      <c r="AB360">
        <f t="shared" si="41"/>
        <v>0.625</v>
      </c>
    </row>
    <row r="361" spans="1:28" x14ac:dyDescent="0.25">
      <c r="A361" t="s">
        <v>146</v>
      </c>
      <c r="B361" t="s">
        <v>147</v>
      </c>
      <c r="C361">
        <v>2015</v>
      </c>
      <c r="D361">
        <v>0.72332171117087141</v>
      </c>
      <c r="E361">
        <v>0.78893871509159841</v>
      </c>
      <c r="F361">
        <v>4.66390327857159E-5</v>
      </c>
      <c r="G361">
        <v>1.9459101490553132</v>
      </c>
      <c r="H361">
        <v>0.7142857142857143</v>
      </c>
      <c r="I361">
        <v>0.66666666666666663</v>
      </c>
      <c r="J361">
        <v>0</v>
      </c>
      <c r="K361">
        <v>5</v>
      </c>
      <c r="L361">
        <v>4</v>
      </c>
      <c r="M361">
        <v>1</v>
      </c>
      <c r="N361">
        <v>1</v>
      </c>
      <c r="O361">
        <v>3</v>
      </c>
      <c r="P361">
        <v>1</v>
      </c>
      <c r="Q361">
        <f t="shared" si="35"/>
        <v>5</v>
      </c>
      <c r="R361">
        <f t="shared" si="36"/>
        <v>20</v>
      </c>
      <c r="S361">
        <f t="array" ref="S361">MAX(IF($C$2:$C$1387=C361,$R$2:$R$1387))</f>
        <v>29</v>
      </c>
      <c r="T361" cm="1">
        <f t="array" ref="T361">MIN(IF($C$2:$C$1387=C361,$R$2:$R$1387))</f>
        <v>11</v>
      </c>
      <c r="U361">
        <f t="shared" si="37"/>
        <v>18</v>
      </c>
      <c r="V361">
        <f t="shared" si="38"/>
        <v>0.5</v>
      </c>
      <c r="W361" cm="1">
        <f t="array" ref="W361">_xlfn.IFS(N361=1,5,N361=2,4,N361=4,2,N361=5,1,N361=3,3)</f>
        <v>5</v>
      </c>
      <c r="X361">
        <f t="shared" si="39"/>
        <v>24</v>
      </c>
      <c r="Y361" cm="1">
        <f t="array" ref="Y361">MAX(IF($C$2:$C$1387=C361,$X$2:$X$1387))</f>
        <v>29</v>
      </c>
      <c r="Z361" cm="1">
        <f t="array" ref="Z361">MIN(IF($C$2:$C$1387=C361,$X$2:$X$1387))</f>
        <v>12</v>
      </c>
      <c r="AA361">
        <f t="shared" si="40"/>
        <v>17</v>
      </c>
      <c r="AB361">
        <f t="shared" si="41"/>
        <v>0.70588235294117652</v>
      </c>
    </row>
    <row r="362" spans="1:28" x14ac:dyDescent="0.25">
      <c r="A362" t="s">
        <v>148</v>
      </c>
      <c r="B362" t="s">
        <v>149</v>
      </c>
      <c r="C362">
        <v>2010</v>
      </c>
      <c r="D362">
        <v>0.57569167681937328</v>
      </c>
      <c r="E362">
        <v>0.63559574364574345</v>
      </c>
      <c r="F362">
        <v>0</v>
      </c>
      <c r="G362">
        <v>1.9459101490553132</v>
      </c>
      <c r="H362">
        <v>0.7142857142857143</v>
      </c>
      <c r="I362">
        <v>0.66666666666666663</v>
      </c>
      <c r="J362">
        <v>0</v>
      </c>
      <c r="K362">
        <v>5</v>
      </c>
      <c r="L362">
        <v>3</v>
      </c>
      <c r="M362">
        <v>1</v>
      </c>
      <c r="N362">
        <v>1</v>
      </c>
      <c r="O362">
        <v>4</v>
      </c>
      <c r="P362">
        <v>1</v>
      </c>
      <c r="Q362">
        <f t="shared" si="35"/>
        <v>5</v>
      </c>
      <c r="R362">
        <f t="shared" si="36"/>
        <v>20</v>
      </c>
      <c r="S362">
        <f t="array" ref="S362">MAX(IF($C$2:$C$1387=C362,$R$2:$R$1387))</f>
        <v>29</v>
      </c>
      <c r="T362" cm="1">
        <f t="array" ref="T362">MIN(IF($C$2:$C$1387=C362,$R$2:$R$1387))</f>
        <v>9</v>
      </c>
      <c r="U362">
        <f t="shared" si="37"/>
        <v>20</v>
      </c>
      <c r="V362">
        <f t="shared" si="38"/>
        <v>0.55000000000000004</v>
      </c>
      <c r="W362" cm="1">
        <f t="array" ref="W362">_xlfn.IFS(N362=1,5,N362=2,4,N362=4,2,N362=5,1,N362=3,3)</f>
        <v>5</v>
      </c>
      <c r="X362">
        <f t="shared" si="39"/>
        <v>24</v>
      </c>
      <c r="Y362" cm="1">
        <f t="array" ref="Y362">MAX(IF($C$2:$C$1387=C362,$X$2:$X$1387))</f>
        <v>29</v>
      </c>
      <c r="Z362" cm="1">
        <f t="array" ref="Z362">MIN(IF($C$2:$C$1387=C362,$X$2:$X$1387))</f>
        <v>12</v>
      </c>
      <c r="AA362">
        <f t="shared" si="40"/>
        <v>17</v>
      </c>
      <c r="AB362">
        <f t="shared" si="41"/>
        <v>0.70588235294117652</v>
      </c>
    </row>
    <row r="363" spans="1:28" x14ac:dyDescent="0.25">
      <c r="A363" t="s">
        <v>148</v>
      </c>
      <c r="B363" t="s">
        <v>149</v>
      </c>
      <c r="C363">
        <v>2011</v>
      </c>
      <c r="D363">
        <v>0.57569167681937328</v>
      </c>
      <c r="E363">
        <v>0.63559574364574345</v>
      </c>
      <c r="F363">
        <v>0</v>
      </c>
      <c r="G363">
        <v>1.9459101490553132</v>
      </c>
      <c r="H363">
        <v>0.7142857142857143</v>
      </c>
      <c r="I363">
        <v>0.66666666666666663</v>
      </c>
      <c r="J363">
        <v>0</v>
      </c>
      <c r="K363">
        <v>5</v>
      </c>
      <c r="L363">
        <v>3</v>
      </c>
      <c r="M363">
        <v>1</v>
      </c>
      <c r="N363">
        <v>1</v>
      </c>
      <c r="O363">
        <v>4</v>
      </c>
      <c r="P363">
        <v>1</v>
      </c>
      <c r="Q363">
        <f t="shared" si="35"/>
        <v>5</v>
      </c>
      <c r="R363">
        <f t="shared" si="36"/>
        <v>20</v>
      </c>
      <c r="S363">
        <f t="array" ref="S363">MAX(IF($C$2:$C$1387=C363,$R$2:$R$1387))</f>
        <v>28</v>
      </c>
      <c r="T363" cm="1">
        <f t="array" ref="T363">MIN(IF($C$2:$C$1387=C363,$R$2:$R$1387))</f>
        <v>10</v>
      </c>
      <c r="U363">
        <f t="shared" si="37"/>
        <v>18</v>
      </c>
      <c r="V363">
        <f t="shared" si="38"/>
        <v>0.55555555555555558</v>
      </c>
      <c r="W363" cm="1">
        <f t="array" ref="W363">_xlfn.IFS(N363=1,5,N363=2,4,N363=4,2,N363=5,1,N363=3,3)</f>
        <v>5</v>
      </c>
      <c r="X363">
        <f t="shared" si="39"/>
        <v>24</v>
      </c>
      <c r="Y363" cm="1">
        <f t="array" ref="Y363">MAX(IF($C$2:$C$1387=C363,$X$2:$X$1387))</f>
        <v>29</v>
      </c>
      <c r="Z363" cm="1">
        <f t="array" ref="Z363">MIN(IF($C$2:$C$1387=C363,$X$2:$X$1387))</f>
        <v>12</v>
      </c>
      <c r="AA363">
        <f t="shared" si="40"/>
        <v>17</v>
      </c>
      <c r="AB363">
        <f t="shared" si="41"/>
        <v>0.70588235294117652</v>
      </c>
    </row>
    <row r="364" spans="1:28" x14ac:dyDescent="0.25">
      <c r="A364" t="s">
        <v>148</v>
      </c>
      <c r="B364" t="s">
        <v>149</v>
      </c>
      <c r="C364">
        <v>2012</v>
      </c>
      <c r="D364">
        <v>0.57569167681937328</v>
      </c>
      <c r="E364">
        <v>0.63559574364574345</v>
      </c>
      <c r="F364">
        <v>0</v>
      </c>
      <c r="G364">
        <v>1.9459101490553132</v>
      </c>
      <c r="H364">
        <v>0.7142857142857143</v>
      </c>
      <c r="I364">
        <v>0.66666666666666663</v>
      </c>
      <c r="J364">
        <v>0</v>
      </c>
      <c r="K364">
        <v>5</v>
      </c>
      <c r="L364">
        <v>3</v>
      </c>
      <c r="M364">
        <v>1</v>
      </c>
      <c r="N364">
        <v>1</v>
      </c>
      <c r="O364">
        <v>4</v>
      </c>
      <c r="P364">
        <v>1</v>
      </c>
      <c r="Q364">
        <f t="shared" si="35"/>
        <v>5</v>
      </c>
      <c r="R364">
        <f t="shared" si="36"/>
        <v>20</v>
      </c>
      <c r="S364">
        <f t="array" ref="S364">MAX(IF($C$2:$C$1387=C364,$R$2:$R$1387))</f>
        <v>29</v>
      </c>
      <c r="T364" cm="1">
        <f t="array" ref="T364">MIN(IF($C$2:$C$1387=C364,$R$2:$R$1387))</f>
        <v>11</v>
      </c>
      <c r="U364">
        <f t="shared" si="37"/>
        <v>18</v>
      </c>
      <c r="V364">
        <f t="shared" si="38"/>
        <v>0.5</v>
      </c>
      <c r="W364" cm="1">
        <f t="array" ref="W364">_xlfn.IFS(N364=1,5,N364=2,4,N364=4,2,N364=5,1,N364=3,3)</f>
        <v>5</v>
      </c>
      <c r="X364">
        <f t="shared" si="39"/>
        <v>24</v>
      </c>
      <c r="Y364" cm="1">
        <f t="array" ref="Y364">MAX(IF($C$2:$C$1387=C364,$X$2:$X$1387))</f>
        <v>30</v>
      </c>
      <c r="Z364" cm="1">
        <f t="array" ref="Z364">MIN(IF($C$2:$C$1387=C364,$X$2:$X$1387))</f>
        <v>12</v>
      </c>
      <c r="AA364">
        <f t="shared" si="40"/>
        <v>18</v>
      </c>
      <c r="AB364">
        <f t="shared" si="41"/>
        <v>0.66666666666666663</v>
      </c>
    </row>
    <row r="365" spans="1:28" x14ac:dyDescent="0.25">
      <c r="A365" t="s">
        <v>148</v>
      </c>
      <c r="B365" t="s">
        <v>149</v>
      </c>
      <c r="C365">
        <v>2013</v>
      </c>
      <c r="D365">
        <v>0.57569167681937328</v>
      </c>
      <c r="E365">
        <v>0.63559574364574345</v>
      </c>
      <c r="F365">
        <v>0</v>
      </c>
      <c r="G365">
        <v>1.9459101490553132</v>
      </c>
      <c r="H365">
        <v>0.7142857142857143</v>
      </c>
      <c r="I365">
        <v>0.66666666666666663</v>
      </c>
      <c r="J365">
        <v>0</v>
      </c>
      <c r="K365">
        <v>5</v>
      </c>
      <c r="L365">
        <v>3</v>
      </c>
      <c r="M365">
        <v>1</v>
      </c>
      <c r="N365">
        <v>1</v>
      </c>
      <c r="O365">
        <v>4</v>
      </c>
      <c r="P365">
        <v>1</v>
      </c>
      <c r="Q365">
        <f t="shared" si="35"/>
        <v>5</v>
      </c>
      <c r="R365">
        <f t="shared" si="36"/>
        <v>20</v>
      </c>
      <c r="S365">
        <f t="array" ref="S365">MAX(IF($C$2:$C$1387=C365,$R$2:$R$1387))</f>
        <v>29</v>
      </c>
      <c r="T365" cm="1">
        <f t="array" ref="T365">MIN(IF($C$2:$C$1387=C365,$R$2:$R$1387))</f>
        <v>10</v>
      </c>
      <c r="U365">
        <f t="shared" si="37"/>
        <v>19</v>
      </c>
      <c r="V365">
        <f t="shared" si="38"/>
        <v>0.52631578947368418</v>
      </c>
      <c r="W365" cm="1">
        <f t="array" ref="W365">_xlfn.IFS(N365=1,5,N365=2,4,N365=4,2,N365=5,1,N365=3,3)</f>
        <v>5</v>
      </c>
      <c r="X365">
        <f t="shared" si="39"/>
        <v>24</v>
      </c>
      <c r="Y365" cm="1">
        <f t="array" ref="Y365">MAX(IF($C$2:$C$1387=C365,$X$2:$X$1387))</f>
        <v>32</v>
      </c>
      <c r="Z365" cm="1">
        <f t="array" ref="Z365">MIN(IF($C$2:$C$1387=C365,$X$2:$X$1387))</f>
        <v>10</v>
      </c>
      <c r="AA365">
        <f t="shared" si="40"/>
        <v>22</v>
      </c>
      <c r="AB365">
        <f t="shared" si="41"/>
        <v>0.63636363636363635</v>
      </c>
    </row>
    <row r="366" spans="1:28" x14ac:dyDescent="0.25">
      <c r="A366" t="s">
        <v>148</v>
      </c>
      <c r="B366" t="s">
        <v>149</v>
      </c>
      <c r="C366">
        <v>2014</v>
      </c>
      <c r="D366">
        <v>0.57569167681937328</v>
      </c>
      <c r="E366">
        <v>0.63559574364574345</v>
      </c>
      <c r="F366">
        <v>0</v>
      </c>
      <c r="G366">
        <v>1.9459101490553132</v>
      </c>
      <c r="H366">
        <v>0.7142857142857143</v>
      </c>
      <c r="I366">
        <v>0.66666666666666663</v>
      </c>
      <c r="J366">
        <v>0</v>
      </c>
      <c r="K366">
        <v>5</v>
      </c>
      <c r="L366">
        <v>3</v>
      </c>
      <c r="M366">
        <v>1</v>
      </c>
      <c r="N366">
        <v>1</v>
      </c>
      <c r="O366">
        <v>4</v>
      </c>
      <c r="P366">
        <v>1</v>
      </c>
      <c r="Q366">
        <f t="shared" si="35"/>
        <v>5</v>
      </c>
      <c r="R366">
        <f t="shared" si="36"/>
        <v>20</v>
      </c>
      <c r="S366">
        <f t="array" ref="S366">MAX(IF($C$2:$C$1387=C366,$R$2:$R$1387))</f>
        <v>29</v>
      </c>
      <c r="T366" cm="1">
        <f t="array" ref="T366">MIN(IF($C$2:$C$1387=C366,$R$2:$R$1387))</f>
        <v>11</v>
      </c>
      <c r="U366">
        <f t="shared" si="37"/>
        <v>18</v>
      </c>
      <c r="V366">
        <f t="shared" si="38"/>
        <v>0.5</v>
      </c>
      <c r="W366" cm="1">
        <f t="array" ref="W366">_xlfn.IFS(N366=1,5,N366=2,4,N366=4,2,N366=5,1,N366=3,3)</f>
        <v>5</v>
      </c>
      <c r="X366">
        <f t="shared" si="39"/>
        <v>24</v>
      </c>
      <c r="Y366" cm="1">
        <f t="array" ref="Y366">MAX(IF($C$2:$C$1387=C366,$X$2:$X$1387))</f>
        <v>30</v>
      </c>
      <c r="Z366" cm="1">
        <f t="array" ref="Z366">MIN(IF($C$2:$C$1387=C366,$X$2:$X$1387))</f>
        <v>14</v>
      </c>
      <c r="AA366">
        <f t="shared" si="40"/>
        <v>16</v>
      </c>
      <c r="AB366">
        <f t="shared" si="41"/>
        <v>0.625</v>
      </c>
    </row>
    <row r="367" spans="1:28" x14ac:dyDescent="0.25">
      <c r="A367" t="s">
        <v>148</v>
      </c>
      <c r="B367" t="s">
        <v>149</v>
      </c>
      <c r="C367">
        <v>2015</v>
      </c>
      <c r="D367">
        <v>0.57569167681937328</v>
      </c>
      <c r="E367">
        <v>0.63559574364574345</v>
      </c>
      <c r="F367">
        <v>0</v>
      </c>
      <c r="G367">
        <v>1.9459101490553132</v>
      </c>
      <c r="H367">
        <v>0.7142857142857143</v>
      </c>
      <c r="I367">
        <v>0.66666666666666663</v>
      </c>
      <c r="J367">
        <v>0</v>
      </c>
      <c r="K367">
        <v>5</v>
      </c>
      <c r="L367">
        <v>3</v>
      </c>
      <c r="M367">
        <v>1</v>
      </c>
      <c r="N367">
        <v>1</v>
      </c>
      <c r="O367">
        <v>3</v>
      </c>
      <c r="P367">
        <v>1</v>
      </c>
      <c r="Q367">
        <f t="shared" si="35"/>
        <v>5</v>
      </c>
      <c r="R367">
        <f t="shared" si="36"/>
        <v>19</v>
      </c>
      <c r="S367">
        <f t="array" ref="S367">MAX(IF($C$2:$C$1387=C367,$R$2:$R$1387))</f>
        <v>29</v>
      </c>
      <c r="T367" cm="1">
        <f t="array" ref="T367">MIN(IF($C$2:$C$1387=C367,$R$2:$R$1387))</f>
        <v>11</v>
      </c>
      <c r="U367">
        <f t="shared" si="37"/>
        <v>18</v>
      </c>
      <c r="V367">
        <f t="shared" si="38"/>
        <v>0.44444444444444442</v>
      </c>
      <c r="W367" cm="1">
        <f t="array" ref="W367">_xlfn.IFS(N367=1,5,N367=2,4,N367=4,2,N367=5,1,N367=3,3)</f>
        <v>5</v>
      </c>
      <c r="X367">
        <f t="shared" si="39"/>
        <v>23</v>
      </c>
      <c r="Y367" cm="1">
        <f t="array" ref="Y367">MAX(IF($C$2:$C$1387=C367,$X$2:$X$1387))</f>
        <v>29</v>
      </c>
      <c r="Z367" cm="1">
        <f t="array" ref="Z367">MIN(IF($C$2:$C$1387=C367,$X$2:$X$1387))</f>
        <v>12</v>
      </c>
      <c r="AA367">
        <f t="shared" si="40"/>
        <v>17</v>
      </c>
      <c r="AB367">
        <f t="shared" si="41"/>
        <v>0.6470588235294118</v>
      </c>
    </row>
    <row r="368" spans="1:28" x14ac:dyDescent="0.25">
      <c r="A368" t="s">
        <v>150</v>
      </c>
      <c r="B368" t="s">
        <v>151</v>
      </c>
      <c r="C368">
        <v>2010</v>
      </c>
      <c r="D368">
        <v>0.29948997247785164</v>
      </c>
      <c r="E368">
        <v>0.80627112110314658</v>
      </c>
      <c r="F368">
        <v>9.404103628026915E-2</v>
      </c>
      <c r="G368">
        <v>1.9459101490553132</v>
      </c>
      <c r="H368">
        <v>0.5714285714285714</v>
      </c>
      <c r="I368">
        <v>0.66666666666666663</v>
      </c>
      <c r="J368">
        <v>0</v>
      </c>
      <c r="K368">
        <v>4</v>
      </c>
      <c r="L368">
        <v>4</v>
      </c>
      <c r="M368">
        <v>4</v>
      </c>
      <c r="N368">
        <v>1</v>
      </c>
      <c r="O368">
        <v>2</v>
      </c>
      <c r="P368">
        <v>1</v>
      </c>
      <c r="Q368">
        <f t="shared" si="35"/>
        <v>5</v>
      </c>
      <c r="R368">
        <f t="shared" si="36"/>
        <v>21</v>
      </c>
      <c r="S368">
        <f t="array" ref="S368">MAX(IF($C$2:$C$1387=C368,$R$2:$R$1387))</f>
        <v>29</v>
      </c>
      <c r="T368" cm="1">
        <f t="array" ref="T368">MIN(IF($C$2:$C$1387=C368,$R$2:$R$1387))</f>
        <v>9</v>
      </c>
      <c r="U368">
        <f t="shared" si="37"/>
        <v>20</v>
      </c>
      <c r="V368">
        <f t="shared" si="38"/>
        <v>0.6</v>
      </c>
      <c r="W368" cm="1">
        <f t="array" ref="W368">_xlfn.IFS(N368=1,5,N368=2,4,N368=4,2,N368=5,1,N368=3,3)</f>
        <v>5</v>
      </c>
      <c r="X368">
        <f t="shared" si="39"/>
        <v>25</v>
      </c>
      <c r="Y368" cm="1">
        <f t="array" ref="Y368">MAX(IF($C$2:$C$1387=C368,$X$2:$X$1387))</f>
        <v>29</v>
      </c>
      <c r="Z368" cm="1">
        <f t="array" ref="Z368">MIN(IF($C$2:$C$1387=C368,$X$2:$X$1387))</f>
        <v>12</v>
      </c>
      <c r="AA368">
        <f t="shared" si="40"/>
        <v>17</v>
      </c>
      <c r="AB368">
        <f t="shared" si="41"/>
        <v>0.76470588235294112</v>
      </c>
    </row>
    <row r="369" spans="1:28" x14ac:dyDescent="0.25">
      <c r="A369" t="s">
        <v>150</v>
      </c>
      <c r="B369" t="s">
        <v>151</v>
      </c>
      <c r="C369">
        <v>2011</v>
      </c>
      <c r="D369">
        <v>0.29948997247785164</v>
      </c>
      <c r="E369">
        <v>0.80627112110314658</v>
      </c>
      <c r="F369">
        <v>9.404103628026915E-2</v>
      </c>
      <c r="G369">
        <v>1.9459101490553132</v>
      </c>
      <c r="H369">
        <v>0.5714285714285714</v>
      </c>
      <c r="I369">
        <v>0.66666666666666663</v>
      </c>
      <c r="J369">
        <v>0</v>
      </c>
      <c r="K369">
        <v>4</v>
      </c>
      <c r="L369">
        <v>4</v>
      </c>
      <c r="M369">
        <v>4</v>
      </c>
      <c r="N369">
        <v>1</v>
      </c>
      <c r="O369">
        <v>2</v>
      </c>
      <c r="P369">
        <v>1</v>
      </c>
      <c r="Q369">
        <f t="shared" si="35"/>
        <v>5</v>
      </c>
      <c r="R369">
        <f t="shared" si="36"/>
        <v>21</v>
      </c>
      <c r="S369">
        <f t="array" ref="S369">MAX(IF($C$2:$C$1387=C369,$R$2:$R$1387))</f>
        <v>28</v>
      </c>
      <c r="T369" cm="1">
        <f t="array" ref="T369">MIN(IF($C$2:$C$1387=C369,$R$2:$R$1387))</f>
        <v>10</v>
      </c>
      <c r="U369">
        <f t="shared" si="37"/>
        <v>18</v>
      </c>
      <c r="V369">
        <f t="shared" si="38"/>
        <v>0.61111111111111116</v>
      </c>
      <c r="W369" cm="1">
        <f t="array" ref="W369">_xlfn.IFS(N369=1,5,N369=2,4,N369=4,2,N369=5,1,N369=3,3)</f>
        <v>5</v>
      </c>
      <c r="X369">
        <f t="shared" si="39"/>
        <v>25</v>
      </c>
      <c r="Y369" cm="1">
        <f t="array" ref="Y369">MAX(IF($C$2:$C$1387=C369,$X$2:$X$1387))</f>
        <v>29</v>
      </c>
      <c r="Z369" cm="1">
        <f t="array" ref="Z369">MIN(IF($C$2:$C$1387=C369,$X$2:$X$1387))</f>
        <v>12</v>
      </c>
      <c r="AA369">
        <f t="shared" si="40"/>
        <v>17</v>
      </c>
      <c r="AB369">
        <f t="shared" si="41"/>
        <v>0.76470588235294112</v>
      </c>
    </row>
    <row r="370" spans="1:28" x14ac:dyDescent="0.25">
      <c r="A370" t="s">
        <v>150</v>
      </c>
      <c r="B370" t="s">
        <v>151</v>
      </c>
      <c r="C370">
        <v>2012</v>
      </c>
      <c r="D370">
        <v>0.29950578859253241</v>
      </c>
      <c r="E370">
        <v>0.83078536077295673</v>
      </c>
      <c r="F370">
        <v>4.5395675958598898E-2</v>
      </c>
      <c r="G370">
        <v>1.9459101490553132</v>
      </c>
      <c r="H370">
        <v>0.5714285714285714</v>
      </c>
      <c r="I370">
        <v>0.66666666666666663</v>
      </c>
      <c r="J370">
        <v>0</v>
      </c>
      <c r="K370">
        <v>3</v>
      </c>
      <c r="L370">
        <v>4</v>
      </c>
      <c r="M370">
        <v>3</v>
      </c>
      <c r="N370">
        <v>1</v>
      </c>
      <c r="O370">
        <v>2</v>
      </c>
      <c r="P370">
        <v>1</v>
      </c>
      <c r="Q370">
        <f t="shared" si="35"/>
        <v>5</v>
      </c>
      <c r="R370">
        <f t="shared" si="36"/>
        <v>19</v>
      </c>
      <c r="S370">
        <f t="array" ref="S370">MAX(IF($C$2:$C$1387=C370,$R$2:$R$1387))</f>
        <v>29</v>
      </c>
      <c r="T370" cm="1">
        <f t="array" ref="T370">MIN(IF($C$2:$C$1387=C370,$R$2:$R$1387))</f>
        <v>11</v>
      </c>
      <c r="U370">
        <f t="shared" si="37"/>
        <v>18</v>
      </c>
      <c r="V370">
        <f t="shared" si="38"/>
        <v>0.44444444444444442</v>
      </c>
      <c r="W370" cm="1">
        <f t="array" ref="W370">_xlfn.IFS(N370=1,5,N370=2,4,N370=4,2,N370=5,1,N370=3,3)</f>
        <v>5</v>
      </c>
      <c r="X370">
        <f t="shared" si="39"/>
        <v>23</v>
      </c>
      <c r="Y370" cm="1">
        <f t="array" ref="Y370">MAX(IF($C$2:$C$1387=C370,$X$2:$X$1387))</f>
        <v>30</v>
      </c>
      <c r="Z370" cm="1">
        <f t="array" ref="Z370">MIN(IF($C$2:$C$1387=C370,$X$2:$X$1387))</f>
        <v>12</v>
      </c>
      <c r="AA370">
        <f t="shared" si="40"/>
        <v>18</v>
      </c>
      <c r="AB370">
        <f t="shared" si="41"/>
        <v>0.61111111111111116</v>
      </c>
    </row>
    <row r="371" spans="1:28" x14ac:dyDescent="0.25">
      <c r="A371" t="s">
        <v>150</v>
      </c>
      <c r="B371" t="s">
        <v>151</v>
      </c>
      <c r="C371">
        <v>2013</v>
      </c>
      <c r="D371">
        <v>0.29950578859253241</v>
      </c>
      <c r="E371">
        <v>0.83078536077295673</v>
      </c>
      <c r="F371">
        <v>6.9919616178746563E-2</v>
      </c>
      <c r="G371">
        <v>2.0794415416798357</v>
      </c>
      <c r="H371">
        <v>0.5</v>
      </c>
      <c r="I371">
        <v>0.66666666666666663</v>
      </c>
      <c r="J371">
        <v>0</v>
      </c>
      <c r="K371">
        <v>4</v>
      </c>
      <c r="L371">
        <v>4</v>
      </c>
      <c r="M371">
        <v>4</v>
      </c>
      <c r="N371">
        <v>3</v>
      </c>
      <c r="O371">
        <v>2</v>
      </c>
      <c r="P371">
        <v>1</v>
      </c>
      <c r="Q371">
        <f t="shared" si="35"/>
        <v>5</v>
      </c>
      <c r="R371">
        <f t="shared" si="36"/>
        <v>23</v>
      </c>
      <c r="S371">
        <f t="array" ref="S371">MAX(IF($C$2:$C$1387=C371,$R$2:$R$1387))</f>
        <v>29</v>
      </c>
      <c r="T371" cm="1">
        <f t="array" ref="T371">MIN(IF($C$2:$C$1387=C371,$R$2:$R$1387))</f>
        <v>10</v>
      </c>
      <c r="U371">
        <f t="shared" si="37"/>
        <v>19</v>
      </c>
      <c r="V371">
        <f t="shared" si="38"/>
        <v>0.68421052631578949</v>
      </c>
      <c r="W371" cm="1">
        <f t="array" ref="W371">_xlfn.IFS(N371=1,5,N371=2,4,N371=4,2,N371=5,1,N371=3,3)</f>
        <v>3</v>
      </c>
      <c r="X371">
        <f t="shared" si="39"/>
        <v>23</v>
      </c>
      <c r="Y371" cm="1">
        <f t="array" ref="Y371">MAX(IF($C$2:$C$1387=C371,$X$2:$X$1387))</f>
        <v>32</v>
      </c>
      <c r="Z371" cm="1">
        <f t="array" ref="Z371">MIN(IF($C$2:$C$1387=C371,$X$2:$X$1387))</f>
        <v>10</v>
      </c>
      <c r="AA371">
        <f t="shared" si="40"/>
        <v>22</v>
      </c>
      <c r="AB371">
        <f t="shared" si="41"/>
        <v>0.59090909090909094</v>
      </c>
    </row>
    <row r="372" spans="1:28" x14ac:dyDescent="0.25">
      <c r="A372" t="s">
        <v>150</v>
      </c>
      <c r="B372" t="s">
        <v>151</v>
      </c>
      <c r="C372">
        <v>2014</v>
      </c>
      <c r="D372">
        <v>0.29950578859253241</v>
      </c>
      <c r="E372">
        <v>0.83402766428251041</v>
      </c>
      <c r="F372">
        <v>4.0730133009306835E-2</v>
      </c>
      <c r="G372">
        <v>2.0794415416798357</v>
      </c>
      <c r="H372">
        <v>0.5</v>
      </c>
      <c r="I372">
        <v>1</v>
      </c>
      <c r="J372">
        <v>0</v>
      </c>
      <c r="K372">
        <v>4</v>
      </c>
      <c r="L372">
        <v>4</v>
      </c>
      <c r="M372">
        <v>3</v>
      </c>
      <c r="N372">
        <v>3</v>
      </c>
      <c r="O372">
        <v>2</v>
      </c>
      <c r="P372">
        <v>3</v>
      </c>
      <c r="Q372">
        <f t="shared" si="35"/>
        <v>5</v>
      </c>
      <c r="R372">
        <f t="shared" si="36"/>
        <v>24</v>
      </c>
      <c r="S372">
        <f t="array" ref="S372">MAX(IF($C$2:$C$1387=C372,$R$2:$R$1387))</f>
        <v>29</v>
      </c>
      <c r="T372" cm="1">
        <f t="array" ref="T372">MIN(IF($C$2:$C$1387=C372,$R$2:$R$1387))</f>
        <v>11</v>
      </c>
      <c r="U372">
        <f t="shared" si="37"/>
        <v>18</v>
      </c>
      <c r="V372">
        <f t="shared" si="38"/>
        <v>0.72222222222222221</v>
      </c>
      <c r="W372" cm="1">
        <f t="array" ref="W372">_xlfn.IFS(N372=1,5,N372=2,4,N372=4,2,N372=5,1,N372=3,3)</f>
        <v>3</v>
      </c>
      <c r="X372">
        <f t="shared" si="39"/>
        <v>24</v>
      </c>
      <c r="Y372" cm="1">
        <f t="array" ref="Y372">MAX(IF($C$2:$C$1387=C372,$X$2:$X$1387))</f>
        <v>30</v>
      </c>
      <c r="Z372" cm="1">
        <f t="array" ref="Z372">MIN(IF($C$2:$C$1387=C372,$X$2:$X$1387))</f>
        <v>14</v>
      </c>
      <c r="AA372">
        <f t="shared" si="40"/>
        <v>16</v>
      </c>
      <c r="AB372">
        <f t="shared" si="41"/>
        <v>0.625</v>
      </c>
    </row>
    <row r="373" spans="1:28" x14ac:dyDescent="0.25">
      <c r="A373" t="s">
        <v>150</v>
      </c>
      <c r="B373" t="s">
        <v>151</v>
      </c>
      <c r="C373">
        <v>2015</v>
      </c>
      <c r="D373">
        <v>2.1457195583550314E-3</v>
      </c>
      <c r="E373">
        <v>0.84124389313451986</v>
      </c>
      <c r="F373">
        <v>4.803448925231743E-2</v>
      </c>
      <c r="G373">
        <v>2.0794415416798357</v>
      </c>
      <c r="H373">
        <v>0.625</v>
      </c>
      <c r="I373">
        <v>0.66666666666666663</v>
      </c>
      <c r="J373">
        <v>0</v>
      </c>
      <c r="K373">
        <v>2</v>
      </c>
      <c r="L373">
        <v>5</v>
      </c>
      <c r="M373">
        <v>3</v>
      </c>
      <c r="N373">
        <v>3</v>
      </c>
      <c r="O373">
        <v>2</v>
      </c>
      <c r="P373">
        <v>1</v>
      </c>
      <c r="Q373">
        <f t="shared" si="35"/>
        <v>5</v>
      </c>
      <c r="R373">
        <f t="shared" si="36"/>
        <v>21</v>
      </c>
      <c r="S373">
        <f t="array" ref="S373">MAX(IF($C$2:$C$1387=C373,$R$2:$R$1387))</f>
        <v>29</v>
      </c>
      <c r="T373" cm="1">
        <f t="array" ref="T373">MIN(IF($C$2:$C$1387=C373,$R$2:$R$1387))</f>
        <v>11</v>
      </c>
      <c r="U373">
        <f t="shared" si="37"/>
        <v>18</v>
      </c>
      <c r="V373">
        <f t="shared" si="38"/>
        <v>0.55555555555555558</v>
      </c>
      <c r="W373" cm="1">
        <f t="array" ref="W373">_xlfn.IFS(N373=1,5,N373=2,4,N373=4,2,N373=5,1,N373=3,3)</f>
        <v>3</v>
      </c>
      <c r="X373">
        <f t="shared" si="39"/>
        <v>21</v>
      </c>
      <c r="Y373" cm="1">
        <f t="array" ref="Y373">MAX(IF($C$2:$C$1387=C373,$X$2:$X$1387))</f>
        <v>29</v>
      </c>
      <c r="Z373" cm="1">
        <f t="array" ref="Z373">MIN(IF($C$2:$C$1387=C373,$X$2:$X$1387))</f>
        <v>12</v>
      </c>
      <c r="AA373">
        <f t="shared" si="40"/>
        <v>17</v>
      </c>
      <c r="AB373">
        <f t="shared" si="41"/>
        <v>0.52941176470588236</v>
      </c>
    </row>
    <row r="374" spans="1:28" x14ac:dyDescent="0.25">
      <c r="A374" t="s">
        <v>152</v>
      </c>
      <c r="B374" t="s">
        <v>153</v>
      </c>
      <c r="C374">
        <v>2010</v>
      </c>
      <c r="D374">
        <v>0.31032445098039213</v>
      </c>
      <c r="E374">
        <v>0.44616274509803922</v>
      </c>
      <c r="F374">
        <v>5.6745166666666666E-2</v>
      </c>
      <c r="G374">
        <v>1.9459101490553132</v>
      </c>
      <c r="H374">
        <v>0.7142857142857143</v>
      </c>
      <c r="I374">
        <v>1</v>
      </c>
      <c r="J374">
        <v>0</v>
      </c>
      <c r="K374">
        <v>4</v>
      </c>
      <c r="L374">
        <v>1</v>
      </c>
      <c r="M374">
        <v>3</v>
      </c>
      <c r="N374">
        <v>1</v>
      </c>
      <c r="O374">
        <v>4</v>
      </c>
      <c r="P374">
        <v>3</v>
      </c>
      <c r="Q374">
        <f t="shared" si="35"/>
        <v>5</v>
      </c>
      <c r="R374">
        <f t="shared" si="36"/>
        <v>21</v>
      </c>
      <c r="S374">
        <f t="array" ref="S374">MAX(IF($C$2:$C$1387=C374,$R$2:$R$1387))</f>
        <v>29</v>
      </c>
      <c r="T374" cm="1">
        <f t="array" ref="T374">MIN(IF($C$2:$C$1387=C374,$R$2:$R$1387))</f>
        <v>9</v>
      </c>
      <c r="U374">
        <f t="shared" si="37"/>
        <v>20</v>
      </c>
      <c r="V374">
        <f t="shared" si="38"/>
        <v>0.6</v>
      </c>
      <c r="W374" cm="1">
        <f t="array" ref="W374">_xlfn.IFS(N374=1,5,N374=2,4,N374=4,2,N374=5,1,N374=3,3)</f>
        <v>5</v>
      </c>
      <c r="X374">
        <f t="shared" si="39"/>
        <v>25</v>
      </c>
      <c r="Y374" cm="1">
        <f t="array" ref="Y374">MAX(IF($C$2:$C$1387=C374,$X$2:$X$1387))</f>
        <v>29</v>
      </c>
      <c r="Z374" cm="1">
        <f t="array" ref="Z374">MIN(IF($C$2:$C$1387=C374,$X$2:$X$1387))</f>
        <v>12</v>
      </c>
      <c r="AA374">
        <f t="shared" si="40"/>
        <v>17</v>
      </c>
      <c r="AB374">
        <f t="shared" si="41"/>
        <v>0.76470588235294112</v>
      </c>
    </row>
    <row r="375" spans="1:28" x14ac:dyDescent="0.25">
      <c r="A375" t="s">
        <v>152</v>
      </c>
      <c r="B375" t="s">
        <v>153</v>
      </c>
      <c r="C375">
        <v>2011</v>
      </c>
      <c r="D375">
        <v>0.31072641176470589</v>
      </c>
      <c r="E375">
        <v>0.48048039215686272</v>
      </c>
      <c r="F375">
        <v>1.4509803921568627E-3</v>
      </c>
      <c r="G375">
        <v>1.9459101490553132</v>
      </c>
      <c r="H375">
        <v>0.7142857142857143</v>
      </c>
      <c r="I375">
        <v>1</v>
      </c>
      <c r="J375">
        <v>0</v>
      </c>
      <c r="K375">
        <v>4</v>
      </c>
      <c r="L375">
        <v>2</v>
      </c>
      <c r="M375">
        <v>1</v>
      </c>
      <c r="N375">
        <v>1</v>
      </c>
      <c r="O375">
        <v>4</v>
      </c>
      <c r="P375">
        <v>3</v>
      </c>
      <c r="Q375">
        <f t="shared" si="35"/>
        <v>5</v>
      </c>
      <c r="R375">
        <f t="shared" si="36"/>
        <v>20</v>
      </c>
      <c r="S375">
        <f t="array" ref="S375">MAX(IF($C$2:$C$1387=C375,$R$2:$R$1387))</f>
        <v>28</v>
      </c>
      <c r="T375" cm="1">
        <f t="array" ref="T375">MIN(IF($C$2:$C$1387=C375,$R$2:$R$1387))</f>
        <v>10</v>
      </c>
      <c r="U375">
        <f t="shared" si="37"/>
        <v>18</v>
      </c>
      <c r="V375">
        <f t="shared" si="38"/>
        <v>0.55555555555555558</v>
      </c>
      <c r="W375" cm="1">
        <f t="array" ref="W375">_xlfn.IFS(N375=1,5,N375=2,4,N375=4,2,N375=5,1,N375=3,3)</f>
        <v>5</v>
      </c>
      <c r="X375">
        <f t="shared" si="39"/>
        <v>24</v>
      </c>
      <c r="Y375" cm="1">
        <f t="array" ref="Y375">MAX(IF($C$2:$C$1387=C375,$X$2:$X$1387))</f>
        <v>29</v>
      </c>
      <c r="Z375" cm="1">
        <f t="array" ref="Z375">MIN(IF($C$2:$C$1387=C375,$X$2:$X$1387))</f>
        <v>12</v>
      </c>
      <c r="AA375">
        <f t="shared" si="40"/>
        <v>17</v>
      </c>
      <c r="AB375">
        <f t="shared" si="41"/>
        <v>0.70588235294117652</v>
      </c>
    </row>
    <row r="376" spans="1:28" x14ac:dyDescent="0.25">
      <c r="A376" t="s">
        <v>152</v>
      </c>
      <c r="B376" t="s">
        <v>153</v>
      </c>
      <c r="C376">
        <v>2012</v>
      </c>
      <c r="D376">
        <v>0.31072641176470589</v>
      </c>
      <c r="E376">
        <v>0.48048039215686272</v>
      </c>
      <c r="F376">
        <v>1.4509803921568627E-3</v>
      </c>
      <c r="G376">
        <v>2.0794415416798357</v>
      </c>
      <c r="H376">
        <v>0.75</v>
      </c>
      <c r="I376">
        <v>1</v>
      </c>
      <c r="J376">
        <v>0</v>
      </c>
      <c r="K376">
        <v>4</v>
      </c>
      <c r="L376">
        <v>2</v>
      </c>
      <c r="M376">
        <v>1</v>
      </c>
      <c r="N376">
        <v>3</v>
      </c>
      <c r="O376">
        <v>4</v>
      </c>
      <c r="P376">
        <v>3</v>
      </c>
      <c r="Q376">
        <f t="shared" si="35"/>
        <v>5</v>
      </c>
      <c r="R376">
        <f t="shared" si="36"/>
        <v>22</v>
      </c>
      <c r="S376">
        <f t="array" ref="S376">MAX(IF($C$2:$C$1387=C376,$R$2:$R$1387))</f>
        <v>29</v>
      </c>
      <c r="T376" cm="1">
        <f t="array" ref="T376">MIN(IF($C$2:$C$1387=C376,$R$2:$R$1387))</f>
        <v>11</v>
      </c>
      <c r="U376">
        <f t="shared" si="37"/>
        <v>18</v>
      </c>
      <c r="V376">
        <f t="shared" si="38"/>
        <v>0.61111111111111116</v>
      </c>
      <c r="W376" cm="1">
        <f t="array" ref="W376">_xlfn.IFS(N376=1,5,N376=2,4,N376=4,2,N376=5,1,N376=3,3)</f>
        <v>3</v>
      </c>
      <c r="X376">
        <f t="shared" si="39"/>
        <v>22</v>
      </c>
      <c r="Y376" cm="1">
        <f t="array" ref="Y376">MAX(IF($C$2:$C$1387=C376,$X$2:$X$1387))</f>
        <v>30</v>
      </c>
      <c r="Z376" cm="1">
        <f t="array" ref="Z376">MIN(IF($C$2:$C$1387=C376,$X$2:$X$1387))</f>
        <v>12</v>
      </c>
      <c r="AA376">
        <f t="shared" si="40"/>
        <v>18</v>
      </c>
      <c r="AB376">
        <f t="shared" si="41"/>
        <v>0.55555555555555558</v>
      </c>
    </row>
    <row r="377" spans="1:28" x14ac:dyDescent="0.25">
      <c r="A377" t="s">
        <v>152</v>
      </c>
      <c r="B377" t="s">
        <v>153</v>
      </c>
      <c r="C377">
        <v>2013</v>
      </c>
      <c r="D377">
        <v>0.27905147058823532</v>
      </c>
      <c r="E377">
        <v>0.43489215686274507</v>
      </c>
      <c r="F377">
        <v>0</v>
      </c>
      <c r="G377">
        <v>2.0794415416798357</v>
      </c>
      <c r="H377">
        <v>0.625</v>
      </c>
      <c r="I377">
        <v>0.75</v>
      </c>
      <c r="J377">
        <v>0</v>
      </c>
      <c r="K377">
        <v>4</v>
      </c>
      <c r="L377">
        <v>1</v>
      </c>
      <c r="M377">
        <v>1</v>
      </c>
      <c r="N377">
        <v>3</v>
      </c>
      <c r="O377">
        <v>3</v>
      </c>
      <c r="P377">
        <v>3</v>
      </c>
      <c r="Q377">
        <f t="shared" si="35"/>
        <v>5</v>
      </c>
      <c r="R377">
        <f t="shared" si="36"/>
        <v>20</v>
      </c>
      <c r="S377">
        <f t="array" ref="S377">MAX(IF($C$2:$C$1387=C377,$R$2:$R$1387))</f>
        <v>29</v>
      </c>
      <c r="T377" cm="1">
        <f t="array" ref="T377">MIN(IF($C$2:$C$1387=C377,$R$2:$R$1387))</f>
        <v>10</v>
      </c>
      <c r="U377">
        <f t="shared" si="37"/>
        <v>19</v>
      </c>
      <c r="V377">
        <f t="shared" si="38"/>
        <v>0.52631578947368418</v>
      </c>
      <c r="W377" cm="1">
        <f t="array" ref="W377">_xlfn.IFS(N377=1,5,N377=2,4,N377=4,2,N377=5,1,N377=3,3)</f>
        <v>3</v>
      </c>
      <c r="X377">
        <f t="shared" si="39"/>
        <v>20</v>
      </c>
      <c r="Y377" cm="1">
        <f t="array" ref="Y377">MAX(IF($C$2:$C$1387=C377,$X$2:$X$1387))</f>
        <v>32</v>
      </c>
      <c r="Z377" cm="1">
        <f t="array" ref="Z377">MIN(IF($C$2:$C$1387=C377,$X$2:$X$1387))</f>
        <v>10</v>
      </c>
      <c r="AA377">
        <f t="shared" si="40"/>
        <v>22</v>
      </c>
      <c r="AB377">
        <f t="shared" si="41"/>
        <v>0.45454545454545453</v>
      </c>
    </row>
    <row r="378" spans="1:28" x14ac:dyDescent="0.25">
      <c r="A378" t="s">
        <v>152</v>
      </c>
      <c r="B378" t="s">
        <v>153</v>
      </c>
      <c r="C378">
        <v>2014</v>
      </c>
      <c r="D378">
        <v>0.27887990196078433</v>
      </c>
      <c r="E378">
        <v>0.43646568627450982</v>
      </c>
      <c r="F378">
        <v>3.6764705882352941E-3</v>
      </c>
      <c r="G378">
        <v>2.0794415416798357</v>
      </c>
      <c r="H378">
        <v>0.625</v>
      </c>
      <c r="I378">
        <v>1</v>
      </c>
      <c r="J378">
        <v>0</v>
      </c>
      <c r="K378">
        <v>4</v>
      </c>
      <c r="L378">
        <v>1</v>
      </c>
      <c r="M378">
        <v>1</v>
      </c>
      <c r="N378">
        <v>3</v>
      </c>
      <c r="O378">
        <v>3</v>
      </c>
      <c r="P378">
        <v>3</v>
      </c>
      <c r="Q378">
        <f t="shared" si="35"/>
        <v>5</v>
      </c>
      <c r="R378">
        <f t="shared" si="36"/>
        <v>20</v>
      </c>
      <c r="S378">
        <f t="array" ref="S378">MAX(IF($C$2:$C$1387=C378,$R$2:$R$1387))</f>
        <v>29</v>
      </c>
      <c r="T378" cm="1">
        <f t="array" ref="T378">MIN(IF($C$2:$C$1387=C378,$R$2:$R$1387))</f>
        <v>11</v>
      </c>
      <c r="U378">
        <f t="shared" si="37"/>
        <v>18</v>
      </c>
      <c r="V378">
        <f t="shared" si="38"/>
        <v>0.5</v>
      </c>
      <c r="W378" cm="1">
        <f t="array" ref="W378">_xlfn.IFS(N378=1,5,N378=2,4,N378=4,2,N378=5,1,N378=3,3)</f>
        <v>3</v>
      </c>
      <c r="X378">
        <f t="shared" si="39"/>
        <v>20</v>
      </c>
      <c r="Y378" cm="1">
        <f t="array" ref="Y378">MAX(IF($C$2:$C$1387=C378,$X$2:$X$1387))</f>
        <v>30</v>
      </c>
      <c r="Z378" cm="1">
        <f t="array" ref="Z378">MIN(IF($C$2:$C$1387=C378,$X$2:$X$1387))</f>
        <v>14</v>
      </c>
      <c r="AA378">
        <f t="shared" si="40"/>
        <v>16</v>
      </c>
      <c r="AB378">
        <f t="shared" si="41"/>
        <v>0.375</v>
      </c>
    </row>
    <row r="379" spans="1:28" x14ac:dyDescent="0.25">
      <c r="A379" t="s">
        <v>152</v>
      </c>
      <c r="B379" t="s">
        <v>153</v>
      </c>
      <c r="C379">
        <v>2015</v>
      </c>
      <c r="D379">
        <v>0.3845044117647059</v>
      </c>
      <c r="E379">
        <v>0.54556862745098034</v>
      </c>
      <c r="F379">
        <v>0</v>
      </c>
      <c r="G379">
        <v>1.9459101490553132</v>
      </c>
      <c r="H379">
        <v>0.7142857142857143</v>
      </c>
      <c r="I379">
        <v>1</v>
      </c>
      <c r="J379">
        <v>0</v>
      </c>
      <c r="K379">
        <v>4</v>
      </c>
      <c r="L379">
        <v>2</v>
      </c>
      <c r="M379">
        <v>1</v>
      </c>
      <c r="N379">
        <v>1</v>
      </c>
      <c r="O379">
        <v>3</v>
      </c>
      <c r="P379">
        <v>2</v>
      </c>
      <c r="Q379">
        <f t="shared" si="35"/>
        <v>5</v>
      </c>
      <c r="R379">
        <f t="shared" si="36"/>
        <v>18</v>
      </c>
      <c r="S379">
        <f t="array" ref="S379">MAX(IF($C$2:$C$1387=C379,$R$2:$R$1387))</f>
        <v>29</v>
      </c>
      <c r="T379" cm="1">
        <f t="array" ref="T379">MIN(IF($C$2:$C$1387=C379,$R$2:$R$1387))</f>
        <v>11</v>
      </c>
      <c r="U379">
        <f t="shared" si="37"/>
        <v>18</v>
      </c>
      <c r="V379">
        <f t="shared" si="38"/>
        <v>0.3888888888888889</v>
      </c>
      <c r="W379" cm="1">
        <f t="array" ref="W379">_xlfn.IFS(N379=1,5,N379=2,4,N379=4,2,N379=5,1,N379=3,3)</f>
        <v>5</v>
      </c>
      <c r="X379">
        <f t="shared" si="39"/>
        <v>22</v>
      </c>
      <c r="Y379" cm="1">
        <f t="array" ref="Y379">MAX(IF($C$2:$C$1387=C379,$X$2:$X$1387))</f>
        <v>29</v>
      </c>
      <c r="Z379" cm="1">
        <f t="array" ref="Z379">MIN(IF($C$2:$C$1387=C379,$X$2:$X$1387))</f>
        <v>12</v>
      </c>
      <c r="AA379">
        <f t="shared" si="40"/>
        <v>17</v>
      </c>
      <c r="AB379">
        <f t="shared" si="41"/>
        <v>0.58823529411764708</v>
      </c>
    </row>
    <row r="380" spans="1:28" x14ac:dyDescent="0.25">
      <c r="A380" t="s">
        <v>154</v>
      </c>
      <c r="B380" t="s">
        <v>155</v>
      </c>
      <c r="C380">
        <v>2010</v>
      </c>
      <c r="D380">
        <v>0.30066668333333335</v>
      </c>
      <c r="E380">
        <v>0.30584125000000001</v>
      </c>
      <c r="F380">
        <v>1.3569133333333334E-2</v>
      </c>
      <c r="G380">
        <v>1.9459101490553132</v>
      </c>
      <c r="H380">
        <v>0.5714285714285714</v>
      </c>
      <c r="I380">
        <v>1</v>
      </c>
      <c r="J380">
        <v>0</v>
      </c>
      <c r="K380">
        <v>4</v>
      </c>
      <c r="L380">
        <v>1</v>
      </c>
      <c r="M380">
        <v>2</v>
      </c>
      <c r="N380">
        <v>1</v>
      </c>
      <c r="O380">
        <v>2</v>
      </c>
      <c r="P380">
        <v>3</v>
      </c>
      <c r="Q380">
        <f t="shared" si="35"/>
        <v>5</v>
      </c>
      <c r="R380">
        <f t="shared" si="36"/>
        <v>18</v>
      </c>
      <c r="S380">
        <f t="array" ref="S380">MAX(IF($C$2:$C$1387=C380,$R$2:$R$1387))</f>
        <v>29</v>
      </c>
      <c r="T380" cm="1">
        <f t="array" ref="T380">MIN(IF($C$2:$C$1387=C380,$R$2:$R$1387))</f>
        <v>9</v>
      </c>
      <c r="U380">
        <f t="shared" si="37"/>
        <v>20</v>
      </c>
      <c r="V380">
        <f t="shared" si="38"/>
        <v>0.45</v>
      </c>
      <c r="W380" cm="1">
        <f t="array" ref="W380">_xlfn.IFS(N380=1,5,N380=2,4,N380=4,2,N380=5,1,N380=3,3)</f>
        <v>5</v>
      </c>
      <c r="X380">
        <f t="shared" si="39"/>
        <v>22</v>
      </c>
      <c r="Y380" cm="1">
        <f t="array" ref="Y380">MAX(IF($C$2:$C$1387=C380,$X$2:$X$1387))</f>
        <v>29</v>
      </c>
      <c r="Z380" cm="1">
        <f t="array" ref="Z380">MIN(IF($C$2:$C$1387=C380,$X$2:$X$1387))</f>
        <v>12</v>
      </c>
      <c r="AA380">
        <f t="shared" si="40"/>
        <v>17</v>
      </c>
      <c r="AB380">
        <f t="shared" si="41"/>
        <v>0.58823529411764708</v>
      </c>
    </row>
    <row r="381" spans="1:28" x14ac:dyDescent="0.25">
      <c r="A381" t="s">
        <v>154</v>
      </c>
      <c r="B381" t="s">
        <v>155</v>
      </c>
      <c r="C381">
        <v>2011</v>
      </c>
      <c r="D381">
        <v>0.30066668333333335</v>
      </c>
      <c r="E381">
        <v>0.30584125000000001</v>
      </c>
      <c r="F381">
        <v>1.3569133333333334E-2</v>
      </c>
      <c r="G381">
        <v>1.9459101490553132</v>
      </c>
      <c r="H381">
        <v>0.5714285714285714</v>
      </c>
      <c r="I381">
        <v>1</v>
      </c>
      <c r="J381">
        <v>0</v>
      </c>
      <c r="K381">
        <v>4</v>
      </c>
      <c r="L381">
        <v>1</v>
      </c>
      <c r="M381">
        <v>2</v>
      </c>
      <c r="N381">
        <v>1</v>
      </c>
      <c r="O381">
        <v>2</v>
      </c>
      <c r="P381">
        <v>3</v>
      </c>
      <c r="Q381">
        <f t="shared" si="35"/>
        <v>5</v>
      </c>
      <c r="R381">
        <f t="shared" si="36"/>
        <v>18</v>
      </c>
      <c r="S381">
        <f t="array" ref="S381">MAX(IF($C$2:$C$1387=C381,$R$2:$R$1387))</f>
        <v>28</v>
      </c>
      <c r="T381" cm="1">
        <f t="array" ref="T381">MIN(IF($C$2:$C$1387=C381,$R$2:$R$1387))</f>
        <v>10</v>
      </c>
      <c r="U381">
        <f t="shared" si="37"/>
        <v>18</v>
      </c>
      <c r="V381">
        <f t="shared" si="38"/>
        <v>0.44444444444444442</v>
      </c>
      <c r="W381" cm="1">
        <f t="array" ref="W381">_xlfn.IFS(N381=1,5,N381=2,4,N381=4,2,N381=5,1,N381=3,3)</f>
        <v>5</v>
      </c>
      <c r="X381">
        <f t="shared" si="39"/>
        <v>22</v>
      </c>
      <c r="Y381" cm="1">
        <f t="array" ref="Y381">MAX(IF($C$2:$C$1387=C381,$X$2:$X$1387))</f>
        <v>29</v>
      </c>
      <c r="Z381" cm="1">
        <f t="array" ref="Z381">MIN(IF($C$2:$C$1387=C381,$X$2:$X$1387))</f>
        <v>12</v>
      </c>
      <c r="AA381">
        <f t="shared" si="40"/>
        <v>17</v>
      </c>
      <c r="AB381">
        <f t="shared" si="41"/>
        <v>0.58823529411764708</v>
      </c>
    </row>
    <row r="382" spans="1:28" x14ac:dyDescent="0.25">
      <c r="A382" t="s">
        <v>154</v>
      </c>
      <c r="B382" t="s">
        <v>155</v>
      </c>
      <c r="C382">
        <v>2012</v>
      </c>
      <c r="D382">
        <v>0.30066668333333335</v>
      </c>
      <c r="E382">
        <v>0.30584125000000001</v>
      </c>
      <c r="F382">
        <v>1.3569133333333334E-2</v>
      </c>
      <c r="G382">
        <v>1.9459101490553132</v>
      </c>
      <c r="H382">
        <v>0.5714285714285714</v>
      </c>
      <c r="I382">
        <v>1</v>
      </c>
      <c r="J382">
        <v>0</v>
      </c>
      <c r="K382">
        <v>4</v>
      </c>
      <c r="L382">
        <v>1</v>
      </c>
      <c r="M382">
        <v>2</v>
      </c>
      <c r="N382">
        <v>1</v>
      </c>
      <c r="O382">
        <v>2</v>
      </c>
      <c r="P382">
        <v>3</v>
      </c>
      <c r="Q382">
        <f t="shared" si="35"/>
        <v>5</v>
      </c>
      <c r="R382">
        <f t="shared" si="36"/>
        <v>18</v>
      </c>
      <c r="S382">
        <f t="array" ref="S382">MAX(IF($C$2:$C$1387=C382,$R$2:$R$1387))</f>
        <v>29</v>
      </c>
      <c r="T382" cm="1">
        <f t="array" ref="T382">MIN(IF($C$2:$C$1387=C382,$R$2:$R$1387))</f>
        <v>11</v>
      </c>
      <c r="U382">
        <f t="shared" si="37"/>
        <v>18</v>
      </c>
      <c r="V382">
        <f t="shared" si="38"/>
        <v>0.3888888888888889</v>
      </c>
      <c r="W382" cm="1">
        <f t="array" ref="W382">_xlfn.IFS(N382=1,5,N382=2,4,N382=4,2,N382=5,1,N382=3,3)</f>
        <v>5</v>
      </c>
      <c r="X382">
        <f t="shared" si="39"/>
        <v>22</v>
      </c>
      <c r="Y382" cm="1">
        <f t="array" ref="Y382">MAX(IF($C$2:$C$1387=C382,$X$2:$X$1387))</f>
        <v>30</v>
      </c>
      <c r="Z382" cm="1">
        <f t="array" ref="Z382">MIN(IF($C$2:$C$1387=C382,$X$2:$X$1387))</f>
        <v>12</v>
      </c>
      <c r="AA382">
        <f t="shared" si="40"/>
        <v>18</v>
      </c>
      <c r="AB382">
        <f t="shared" si="41"/>
        <v>0.55555555555555558</v>
      </c>
    </row>
    <row r="383" spans="1:28" x14ac:dyDescent="0.25">
      <c r="A383" t="s">
        <v>154</v>
      </c>
      <c r="B383" t="s">
        <v>155</v>
      </c>
      <c r="C383">
        <v>2013</v>
      </c>
      <c r="D383">
        <v>0.30066668333333335</v>
      </c>
      <c r="E383">
        <v>0.30584125000000001</v>
      </c>
      <c r="F383">
        <v>1.3569133333333334E-2</v>
      </c>
      <c r="G383">
        <v>1.9459101490553132</v>
      </c>
      <c r="H383">
        <v>0.5714285714285714</v>
      </c>
      <c r="I383">
        <v>1</v>
      </c>
      <c r="J383">
        <v>0</v>
      </c>
      <c r="K383">
        <v>4</v>
      </c>
      <c r="L383">
        <v>1</v>
      </c>
      <c r="M383">
        <v>2</v>
      </c>
      <c r="N383">
        <v>1</v>
      </c>
      <c r="O383">
        <v>2</v>
      </c>
      <c r="P383">
        <v>3</v>
      </c>
      <c r="Q383">
        <f t="shared" si="35"/>
        <v>5</v>
      </c>
      <c r="R383">
        <f t="shared" si="36"/>
        <v>18</v>
      </c>
      <c r="S383">
        <f t="array" ref="S383">MAX(IF($C$2:$C$1387=C383,$R$2:$R$1387))</f>
        <v>29</v>
      </c>
      <c r="T383" cm="1">
        <f t="array" ref="T383">MIN(IF($C$2:$C$1387=C383,$R$2:$R$1387))</f>
        <v>10</v>
      </c>
      <c r="U383">
        <f t="shared" si="37"/>
        <v>19</v>
      </c>
      <c r="V383">
        <f t="shared" si="38"/>
        <v>0.42105263157894735</v>
      </c>
      <c r="W383" cm="1">
        <f t="array" ref="W383">_xlfn.IFS(N383=1,5,N383=2,4,N383=4,2,N383=5,1,N383=3,3)</f>
        <v>5</v>
      </c>
      <c r="X383">
        <f t="shared" si="39"/>
        <v>22</v>
      </c>
      <c r="Y383" cm="1">
        <f t="array" ref="Y383">MAX(IF($C$2:$C$1387=C383,$X$2:$X$1387))</f>
        <v>32</v>
      </c>
      <c r="Z383" cm="1">
        <f t="array" ref="Z383">MIN(IF($C$2:$C$1387=C383,$X$2:$X$1387))</f>
        <v>10</v>
      </c>
      <c r="AA383">
        <f t="shared" si="40"/>
        <v>22</v>
      </c>
      <c r="AB383">
        <f t="shared" si="41"/>
        <v>0.54545454545454541</v>
      </c>
    </row>
    <row r="384" spans="1:28" x14ac:dyDescent="0.25">
      <c r="A384" t="s">
        <v>154</v>
      </c>
      <c r="B384" t="s">
        <v>155</v>
      </c>
      <c r="C384">
        <v>2014</v>
      </c>
      <c r="D384">
        <v>0.27780695</v>
      </c>
      <c r="E384">
        <v>0.34405768333333331</v>
      </c>
      <c r="F384">
        <v>2.3632583333333332E-2</v>
      </c>
      <c r="G384">
        <v>2.0794415416798357</v>
      </c>
      <c r="H384">
        <v>0.625</v>
      </c>
      <c r="I384">
        <v>1</v>
      </c>
      <c r="J384">
        <v>0</v>
      </c>
      <c r="K384">
        <v>3</v>
      </c>
      <c r="L384">
        <v>1</v>
      </c>
      <c r="M384">
        <v>2</v>
      </c>
      <c r="N384">
        <v>3</v>
      </c>
      <c r="O384">
        <v>3</v>
      </c>
      <c r="P384">
        <v>3</v>
      </c>
      <c r="Q384">
        <f t="shared" si="35"/>
        <v>5</v>
      </c>
      <c r="R384">
        <f t="shared" si="36"/>
        <v>20</v>
      </c>
      <c r="S384">
        <f t="array" ref="S384">MAX(IF($C$2:$C$1387=C384,$R$2:$R$1387))</f>
        <v>29</v>
      </c>
      <c r="T384" cm="1">
        <f t="array" ref="T384">MIN(IF($C$2:$C$1387=C384,$R$2:$R$1387))</f>
        <v>11</v>
      </c>
      <c r="U384">
        <f t="shared" si="37"/>
        <v>18</v>
      </c>
      <c r="V384">
        <f t="shared" si="38"/>
        <v>0.5</v>
      </c>
      <c r="W384" cm="1">
        <f t="array" ref="W384">_xlfn.IFS(N384=1,5,N384=2,4,N384=4,2,N384=5,1,N384=3,3)</f>
        <v>3</v>
      </c>
      <c r="X384">
        <f t="shared" si="39"/>
        <v>20</v>
      </c>
      <c r="Y384" cm="1">
        <f t="array" ref="Y384">MAX(IF($C$2:$C$1387=C384,$X$2:$X$1387))</f>
        <v>30</v>
      </c>
      <c r="Z384" cm="1">
        <f t="array" ref="Z384">MIN(IF($C$2:$C$1387=C384,$X$2:$X$1387))</f>
        <v>14</v>
      </c>
      <c r="AA384">
        <f t="shared" si="40"/>
        <v>16</v>
      </c>
      <c r="AB384">
        <f t="shared" si="41"/>
        <v>0.375</v>
      </c>
    </row>
    <row r="385" spans="1:28" x14ac:dyDescent="0.25">
      <c r="A385" t="s">
        <v>154</v>
      </c>
      <c r="B385" t="s">
        <v>155</v>
      </c>
      <c r="C385">
        <v>2015</v>
      </c>
      <c r="D385">
        <v>0.29456044999999997</v>
      </c>
      <c r="E385">
        <v>0.35775400000000002</v>
      </c>
      <c r="F385">
        <v>1.7134549999999998E-2</v>
      </c>
      <c r="G385">
        <v>1.9459101490553132</v>
      </c>
      <c r="H385">
        <v>0.5714285714285714</v>
      </c>
      <c r="I385">
        <v>1</v>
      </c>
      <c r="J385">
        <v>0</v>
      </c>
      <c r="K385">
        <v>4</v>
      </c>
      <c r="L385">
        <v>1</v>
      </c>
      <c r="M385">
        <v>2</v>
      </c>
      <c r="N385">
        <v>1</v>
      </c>
      <c r="O385">
        <v>1</v>
      </c>
      <c r="P385">
        <v>2</v>
      </c>
      <c r="Q385">
        <f t="shared" si="35"/>
        <v>5</v>
      </c>
      <c r="R385">
        <f t="shared" si="36"/>
        <v>16</v>
      </c>
      <c r="S385">
        <f t="array" ref="S385">MAX(IF($C$2:$C$1387=C385,$R$2:$R$1387))</f>
        <v>29</v>
      </c>
      <c r="T385" cm="1">
        <f t="array" ref="T385">MIN(IF($C$2:$C$1387=C385,$R$2:$R$1387))</f>
        <v>11</v>
      </c>
      <c r="U385">
        <f t="shared" si="37"/>
        <v>18</v>
      </c>
      <c r="V385">
        <f t="shared" si="38"/>
        <v>0.27777777777777779</v>
      </c>
      <c r="W385" cm="1">
        <f t="array" ref="W385">_xlfn.IFS(N385=1,5,N385=2,4,N385=4,2,N385=5,1,N385=3,3)</f>
        <v>5</v>
      </c>
      <c r="X385">
        <f t="shared" si="39"/>
        <v>20</v>
      </c>
      <c r="Y385" cm="1">
        <f t="array" ref="Y385">MAX(IF($C$2:$C$1387=C385,$X$2:$X$1387))</f>
        <v>29</v>
      </c>
      <c r="Z385" cm="1">
        <f t="array" ref="Z385">MIN(IF($C$2:$C$1387=C385,$X$2:$X$1387))</f>
        <v>12</v>
      </c>
      <c r="AA385">
        <f t="shared" si="40"/>
        <v>17</v>
      </c>
      <c r="AB385">
        <f t="shared" si="41"/>
        <v>0.47058823529411764</v>
      </c>
    </row>
    <row r="386" spans="1:28" x14ac:dyDescent="0.25">
      <c r="A386" t="s">
        <v>156</v>
      </c>
      <c r="B386" t="s">
        <v>157</v>
      </c>
      <c r="C386">
        <v>2010</v>
      </c>
      <c r="D386">
        <v>0.35142349943547313</v>
      </c>
      <c r="E386">
        <v>0.46519642094575392</v>
      </c>
      <c r="F386">
        <v>1.9253345585746186E-2</v>
      </c>
      <c r="G386">
        <v>1.9459101490553132</v>
      </c>
      <c r="H386">
        <v>0.8571428571428571</v>
      </c>
      <c r="I386">
        <v>1</v>
      </c>
      <c r="J386">
        <v>1</v>
      </c>
      <c r="K386">
        <v>4</v>
      </c>
      <c r="L386">
        <v>1</v>
      </c>
      <c r="M386">
        <v>2</v>
      </c>
      <c r="N386">
        <v>1</v>
      </c>
      <c r="O386">
        <v>5</v>
      </c>
      <c r="P386">
        <v>3</v>
      </c>
      <c r="Q386">
        <f t="shared" si="35"/>
        <v>1</v>
      </c>
      <c r="R386">
        <f t="shared" si="36"/>
        <v>17</v>
      </c>
      <c r="S386">
        <f t="array" ref="S386">MAX(IF($C$2:$C$1387=C386,$R$2:$R$1387))</f>
        <v>29</v>
      </c>
      <c r="T386" cm="1">
        <f t="array" ref="T386">MIN(IF($C$2:$C$1387=C386,$R$2:$R$1387))</f>
        <v>9</v>
      </c>
      <c r="U386">
        <f t="shared" si="37"/>
        <v>20</v>
      </c>
      <c r="V386">
        <f t="shared" si="38"/>
        <v>0.4</v>
      </c>
      <c r="W386" cm="1">
        <f t="array" ref="W386">_xlfn.IFS(N386=1,5,N386=2,4,N386=4,2,N386=5,1,N386=3,3)</f>
        <v>5</v>
      </c>
      <c r="X386">
        <f t="shared" si="39"/>
        <v>21</v>
      </c>
      <c r="Y386" cm="1">
        <f t="array" ref="Y386">MAX(IF($C$2:$C$1387=C386,$X$2:$X$1387))</f>
        <v>29</v>
      </c>
      <c r="Z386" cm="1">
        <f t="array" ref="Z386">MIN(IF($C$2:$C$1387=C386,$X$2:$X$1387))</f>
        <v>12</v>
      </c>
      <c r="AA386">
        <f t="shared" si="40"/>
        <v>17</v>
      </c>
      <c r="AB386">
        <f t="shared" si="41"/>
        <v>0.52941176470588236</v>
      </c>
    </row>
    <row r="387" spans="1:28" x14ac:dyDescent="0.25">
      <c r="A387" t="s">
        <v>156</v>
      </c>
      <c r="B387" t="s">
        <v>157</v>
      </c>
      <c r="C387">
        <v>2011</v>
      </c>
      <c r="D387">
        <v>0.35661335596261085</v>
      </c>
      <c r="E387">
        <v>0.46649388507753836</v>
      </c>
      <c r="F387">
        <v>5.7618548996176376E-2</v>
      </c>
      <c r="G387">
        <v>1.9459101490553132</v>
      </c>
      <c r="H387">
        <v>0.8571428571428571</v>
      </c>
      <c r="I387">
        <v>0.66666666666666663</v>
      </c>
      <c r="J387">
        <v>1</v>
      </c>
      <c r="K387">
        <v>4</v>
      </c>
      <c r="L387">
        <v>2</v>
      </c>
      <c r="M387">
        <v>3</v>
      </c>
      <c r="N387">
        <v>1</v>
      </c>
      <c r="O387">
        <v>5</v>
      </c>
      <c r="P387">
        <v>1</v>
      </c>
      <c r="Q387">
        <f t="shared" ref="Q387:Q450" si="42">IF(J387=0,5,1)</f>
        <v>1</v>
      </c>
      <c r="R387">
        <f t="shared" ref="R387:R450" si="43">SUM(K387:Q387)</f>
        <v>17</v>
      </c>
      <c r="S387">
        <f t="array" ref="S387">MAX(IF($C$2:$C$1387=C387,$R$2:$R$1387))</f>
        <v>28</v>
      </c>
      <c r="T387" cm="1">
        <f t="array" ref="T387">MIN(IF($C$2:$C$1387=C387,$R$2:$R$1387))</f>
        <v>10</v>
      </c>
      <c r="U387">
        <f t="shared" ref="U387:U450" si="44">S387-T387</f>
        <v>18</v>
      </c>
      <c r="V387">
        <f t="shared" ref="V387:V450" si="45">(R387-T387)/U387</f>
        <v>0.3888888888888889</v>
      </c>
      <c r="W387" cm="1">
        <f t="array" ref="W387">_xlfn.IFS(N387=1,5,N387=2,4,N387=4,2,N387=5,1,N387=3,3)</f>
        <v>5</v>
      </c>
      <c r="X387">
        <f t="shared" ref="X387:X450" si="46">SUM(K387:M387,O387:Q387,W387)</f>
        <v>21</v>
      </c>
      <c r="Y387" cm="1">
        <f t="array" ref="Y387">MAX(IF($C$2:$C$1387=C387,$X$2:$X$1387))</f>
        <v>29</v>
      </c>
      <c r="Z387" cm="1">
        <f t="array" ref="Z387">MIN(IF($C$2:$C$1387=C387,$X$2:$X$1387))</f>
        <v>12</v>
      </c>
      <c r="AA387">
        <f t="shared" ref="AA387:AA450" si="47">Y387-Z387</f>
        <v>17</v>
      </c>
      <c r="AB387">
        <f t="shared" ref="AB387:AB450" si="48">(X387-Z387)/AA387</f>
        <v>0.52941176470588236</v>
      </c>
    </row>
    <row r="388" spans="1:28" x14ac:dyDescent="0.25">
      <c r="A388" t="s">
        <v>156</v>
      </c>
      <c r="B388" t="s">
        <v>157</v>
      </c>
      <c r="C388">
        <v>2012</v>
      </c>
      <c r="D388">
        <v>0.35661335596261085</v>
      </c>
      <c r="E388">
        <v>0.46649388507753836</v>
      </c>
      <c r="F388">
        <v>5.7618548996176376E-2</v>
      </c>
      <c r="G388">
        <v>1.9459101490553132</v>
      </c>
      <c r="H388">
        <v>0.7142857142857143</v>
      </c>
      <c r="I388">
        <v>0.66666666666666663</v>
      </c>
      <c r="J388">
        <v>1</v>
      </c>
      <c r="K388">
        <v>4</v>
      </c>
      <c r="L388">
        <v>2</v>
      </c>
      <c r="M388">
        <v>3</v>
      </c>
      <c r="N388">
        <v>1</v>
      </c>
      <c r="O388">
        <v>4</v>
      </c>
      <c r="P388">
        <v>1</v>
      </c>
      <c r="Q388">
        <f t="shared" si="42"/>
        <v>1</v>
      </c>
      <c r="R388">
        <f t="shared" si="43"/>
        <v>16</v>
      </c>
      <c r="S388">
        <f t="array" ref="S388">MAX(IF($C$2:$C$1387=C388,$R$2:$R$1387))</f>
        <v>29</v>
      </c>
      <c r="T388" cm="1">
        <f t="array" ref="T388">MIN(IF($C$2:$C$1387=C388,$R$2:$R$1387))</f>
        <v>11</v>
      </c>
      <c r="U388">
        <f t="shared" si="44"/>
        <v>18</v>
      </c>
      <c r="V388">
        <f t="shared" si="45"/>
        <v>0.27777777777777779</v>
      </c>
      <c r="W388" cm="1">
        <f t="array" ref="W388">_xlfn.IFS(N388=1,5,N388=2,4,N388=4,2,N388=5,1,N388=3,3)</f>
        <v>5</v>
      </c>
      <c r="X388">
        <f t="shared" si="46"/>
        <v>20</v>
      </c>
      <c r="Y388" cm="1">
        <f t="array" ref="Y388">MAX(IF($C$2:$C$1387=C388,$X$2:$X$1387))</f>
        <v>30</v>
      </c>
      <c r="Z388" cm="1">
        <f t="array" ref="Z388">MIN(IF($C$2:$C$1387=C388,$X$2:$X$1387))</f>
        <v>12</v>
      </c>
      <c r="AA388">
        <f t="shared" si="47"/>
        <v>18</v>
      </c>
      <c r="AB388">
        <f t="shared" si="48"/>
        <v>0.44444444444444442</v>
      </c>
    </row>
    <row r="389" spans="1:28" x14ac:dyDescent="0.25">
      <c r="A389" t="s">
        <v>156</v>
      </c>
      <c r="B389" t="s">
        <v>157</v>
      </c>
      <c r="C389">
        <v>2013</v>
      </c>
      <c r="D389">
        <v>0.35661335596261085</v>
      </c>
      <c r="E389">
        <v>0.51755609499476229</v>
      </c>
      <c r="F389">
        <v>4.530045909300155E-3</v>
      </c>
      <c r="G389">
        <v>1.9459101490553132</v>
      </c>
      <c r="H389">
        <v>0.7142857142857143</v>
      </c>
      <c r="I389">
        <v>0.66666666666666663</v>
      </c>
      <c r="J389">
        <v>1</v>
      </c>
      <c r="K389">
        <v>4</v>
      </c>
      <c r="L389">
        <v>2</v>
      </c>
      <c r="M389">
        <v>2</v>
      </c>
      <c r="N389">
        <v>1</v>
      </c>
      <c r="O389">
        <v>4</v>
      </c>
      <c r="P389">
        <v>1</v>
      </c>
      <c r="Q389">
        <f t="shared" si="42"/>
        <v>1</v>
      </c>
      <c r="R389">
        <f t="shared" si="43"/>
        <v>15</v>
      </c>
      <c r="S389">
        <f t="array" ref="S389">MAX(IF($C$2:$C$1387=C389,$R$2:$R$1387))</f>
        <v>29</v>
      </c>
      <c r="T389" cm="1">
        <f t="array" ref="T389">MIN(IF($C$2:$C$1387=C389,$R$2:$R$1387))</f>
        <v>10</v>
      </c>
      <c r="U389">
        <f t="shared" si="44"/>
        <v>19</v>
      </c>
      <c r="V389">
        <f t="shared" si="45"/>
        <v>0.26315789473684209</v>
      </c>
      <c r="W389" cm="1">
        <f t="array" ref="W389">_xlfn.IFS(N389=1,5,N389=2,4,N389=4,2,N389=5,1,N389=3,3)</f>
        <v>5</v>
      </c>
      <c r="X389">
        <f t="shared" si="46"/>
        <v>19</v>
      </c>
      <c r="Y389" cm="1">
        <f t="array" ref="Y389">MAX(IF($C$2:$C$1387=C389,$X$2:$X$1387))</f>
        <v>32</v>
      </c>
      <c r="Z389" cm="1">
        <f t="array" ref="Z389">MIN(IF($C$2:$C$1387=C389,$X$2:$X$1387))</f>
        <v>10</v>
      </c>
      <c r="AA389">
        <f t="shared" si="47"/>
        <v>22</v>
      </c>
      <c r="AB389">
        <f t="shared" si="48"/>
        <v>0.40909090909090912</v>
      </c>
    </row>
    <row r="390" spans="1:28" x14ac:dyDescent="0.25">
      <c r="A390" t="s">
        <v>156</v>
      </c>
      <c r="B390" t="s">
        <v>157</v>
      </c>
      <c r="C390">
        <v>2014</v>
      </c>
      <c r="D390">
        <v>0.27348658490065403</v>
      </c>
      <c r="E390">
        <v>0.45326535457172534</v>
      </c>
      <c r="F390">
        <v>4.530045909300155E-3</v>
      </c>
      <c r="G390">
        <v>1.9459101490553132</v>
      </c>
      <c r="H390">
        <v>0.7142857142857143</v>
      </c>
      <c r="I390">
        <v>0.66666666666666663</v>
      </c>
      <c r="J390">
        <v>1</v>
      </c>
      <c r="K390">
        <v>3</v>
      </c>
      <c r="L390">
        <v>2</v>
      </c>
      <c r="M390">
        <v>2</v>
      </c>
      <c r="N390">
        <v>1</v>
      </c>
      <c r="O390">
        <v>4</v>
      </c>
      <c r="P390">
        <v>1</v>
      </c>
      <c r="Q390">
        <f t="shared" si="42"/>
        <v>1</v>
      </c>
      <c r="R390">
        <f t="shared" si="43"/>
        <v>14</v>
      </c>
      <c r="S390">
        <f t="array" ref="S390">MAX(IF($C$2:$C$1387=C390,$R$2:$R$1387))</f>
        <v>29</v>
      </c>
      <c r="T390" cm="1">
        <f t="array" ref="T390">MIN(IF($C$2:$C$1387=C390,$R$2:$R$1387))</f>
        <v>11</v>
      </c>
      <c r="U390">
        <f t="shared" si="44"/>
        <v>18</v>
      </c>
      <c r="V390">
        <f t="shared" si="45"/>
        <v>0.16666666666666666</v>
      </c>
      <c r="W390" cm="1">
        <f t="array" ref="W390">_xlfn.IFS(N390=1,5,N390=2,4,N390=4,2,N390=5,1,N390=3,3)</f>
        <v>5</v>
      </c>
      <c r="X390">
        <f t="shared" si="46"/>
        <v>18</v>
      </c>
      <c r="Y390" cm="1">
        <f t="array" ref="Y390">MAX(IF($C$2:$C$1387=C390,$X$2:$X$1387))</f>
        <v>30</v>
      </c>
      <c r="Z390" cm="1">
        <f t="array" ref="Z390">MIN(IF($C$2:$C$1387=C390,$X$2:$X$1387))</f>
        <v>14</v>
      </c>
      <c r="AA390">
        <f t="shared" si="47"/>
        <v>16</v>
      </c>
      <c r="AB390">
        <f t="shared" si="48"/>
        <v>0.25</v>
      </c>
    </row>
    <row r="391" spans="1:28" x14ac:dyDescent="0.25">
      <c r="A391" t="s">
        <v>156</v>
      </c>
      <c r="B391" t="s">
        <v>157</v>
      </c>
      <c r="C391">
        <v>2015</v>
      </c>
      <c r="D391">
        <v>0.59007885375016278</v>
      </c>
      <c r="E391">
        <v>0.69986809295983798</v>
      </c>
      <c r="F391">
        <v>2.5123439394207289E-3</v>
      </c>
      <c r="G391">
        <v>1.9459101490553132</v>
      </c>
      <c r="H391">
        <v>0.5714285714285714</v>
      </c>
      <c r="I391">
        <v>0.66666666666666663</v>
      </c>
      <c r="J391">
        <v>0</v>
      </c>
      <c r="K391">
        <v>5</v>
      </c>
      <c r="L391">
        <v>3</v>
      </c>
      <c r="M391">
        <v>1</v>
      </c>
      <c r="N391">
        <v>1</v>
      </c>
      <c r="O391">
        <v>1</v>
      </c>
      <c r="P391">
        <v>1</v>
      </c>
      <c r="Q391">
        <f t="shared" si="42"/>
        <v>5</v>
      </c>
      <c r="R391">
        <f t="shared" si="43"/>
        <v>17</v>
      </c>
      <c r="S391">
        <f t="array" ref="S391">MAX(IF($C$2:$C$1387=C391,$R$2:$R$1387))</f>
        <v>29</v>
      </c>
      <c r="T391" cm="1">
        <f t="array" ref="T391">MIN(IF($C$2:$C$1387=C391,$R$2:$R$1387))</f>
        <v>11</v>
      </c>
      <c r="U391">
        <f t="shared" si="44"/>
        <v>18</v>
      </c>
      <c r="V391">
        <f t="shared" si="45"/>
        <v>0.33333333333333331</v>
      </c>
      <c r="W391" cm="1">
        <f t="array" ref="W391">_xlfn.IFS(N391=1,5,N391=2,4,N391=4,2,N391=5,1,N391=3,3)</f>
        <v>5</v>
      </c>
      <c r="X391">
        <f t="shared" si="46"/>
        <v>21</v>
      </c>
      <c r="Y391" cm="1">
        <f t="array" ref="Y391">MAX(IF($C$2:$C$1387=C391,$X$2:$X$1387))</f>
        <v>29</v>
      </c>
      <c r="Z391" cm="1">
        <f t="array" ref="Z391">MIN(IF($C$2:$C$1387=C391,$X$2:$X$1387))</f>
        <v>12</v>
      </c>
      <c r="AA391">
        <f t="shared" si="47"/>
        <v>17</v>
      </c>
      <c r="AB391">
        <f t="shared" si="48"/>
        <v>0.52941176470588236</v>
      </c>
    </row>
    <row r="392" spans="1:28" x14ac:dyDescent="0.25">
      <c r="A392" t="s">
        <v>158</v>
      </c>
      <c r="B392" t="s">
        <v>159</v>
      </c>
      <c r="C392">
        <v>2010</v>
      </c>
      <c r="D392">
        <v>0.57569167681937328</v>
      </c>
      <c r="E392">
        <v>0.63559574364574345</v>
      </c>
      <c r="F392">
        <v>0.46772261233183426</v>
      </c>
      <c r="G392">
        <v>1.9459101490553132</v>
      </c>
      <c r="H392">
        <v>0.5714285714285714</v>
      </c>
      <c r="I392">
        <v>0.66666666666666663</v>
      </c>
      <c r="J392">
        <v>0</v>
      </c>
      <c r="K392">
        <v>5</v>
      </c>
      <c r="L392">
        <v>3</v>
      </c>
      <c r="M392">
        <v>5</v>
      </c>
      <c r="N392">
        <v>1</v>
      </c>
      <c r="O392">
        <v>2</v>
      </c>
      <c r="P392">
        <v>1</v>
      </c>
      <c r="Q392">
        <f t="shared" si="42"/>
        <v>5</v>
      </c>
      <c r="R392">
        <f t="shared" si="43"/>
        <v>22</v>
      </c>
      <c r="S392">
        <f t="array" ref="S392">MAX(IF($C$2:$C$1387=C392,$R$2:$R$1387))</f>
        <v>29</v>
      </c>
      <c r="T392" cm="1">
        <f t="array" ref="T392">MIN(IF($C$2:$C$1387=C392,$R$2:$R$1387))</f>
        <v>9</v>
      </c>
      <c r="U392">
        <f t="shared" si="44"/>
        <v>20</v>
      </c>
      <c r="V392">
        <f t="shared" si="45"/>
        <v>0.65</v>
      </c>
      <c r="W392" cm="1">
        <f t="array" ref="W392">_xlfn.IFS(N392=1,5,N392=2,4,N392=4,2,N392=5,1,N392=3,3)</f>
        <v>5</v>
      </c>
      <c r="X392">
        <f t="shared" si="46"/>
        <v>26</v>
      </c>
      <c r="Y392" cm="1">
        <f t="array" ref="Y392">MAX(IF($C$2:$C$1387=C392,$X$2:$X$1387))</f>
        <v>29</v>
      </c>
      <c r="Z392" cm="1">
        <f t="array" ref="Z392">MIN(IF($C$2:$C$1387=C392,$X$2:$X$1387))</f>
        <v>12</v>
      </c>
      <c r="AA392">
        <f t="shared" si="47"/>
        <v>17</v>
      </c>
      <c r="AB392">
        <f t="shared" si="48"/>
        <v>0.82352941176470584</v>
      </c>
    </row>
    <row r="393" spans="1:28" x14ac:dyDescent="0.25">
      <c r="A393" t="s">
        <v>158</v>
      </c>
      <c r="B393" t="s">
        <v>159</v>
      </c>
      <c r="C393">
        <v>2011</v>
      </c>
      <c r="D393">
        <v>0.57569167681937328</v>
      </c>
      <c r="E393">
        <v>0.63559574364574345</v>
      </c>
      <c r="F393">
        <v>0.46772261233183426</v>
      </c>
      <c r="G393">
        <v>1.9459101490553132</v>
      </c>
      <c r="H393">
        <v>0.5714285714285714</v>
      </c>
      <c r="I393">
        <v>0.66666666666666663</v>
      </c>
      <c r="J393">
        <v>0</v>
      </c>
      <c r="K393">
        <v>5</v>
      </c>
      <c r="L393">
        <v>3</v>
      </c>
      <c r="M393">
        <v>5</v>
      </c>
      <c r="N393">
        <v>1</v>
      </c>
      <c r="O393">
        <v>2</v>
      </c>
      <c r="P393">
        <v>1</v>
      </c>
      <c r="Q393">
        <f t="shared" si="42"/>
        <v>5</v>
      </c>
      <c r="R393">
        <f t="shared" si="43"/>
        <v>22</v>
      </c>
      <c r="S393">
        <f t="array" ref="S393">MAX(IF($C$2:$C$1387=C393,$R$2:$R$1387))</f>
        <v>28</v>
      </c>
      <c r="T393" cm="1">
        <f t="array" ref="T393">MIN(IF($C$2:$C$1387=C393,$R$2:$R$1387))</f>
        <v>10</v>
      </c>
      <c r="U393">
        <f t="shared" si="44"/>
        <v>18</v>
      </c>
      <c r="V393">
        <f t="shared" si="45"/>
        <v>0.66666666666666663</v>
      </c>
      <c r="W393" cm="1">
        <f t="array" ref="W393">_xlfn.IFS(N393=1,5,N393=2,4,N393=4,2,N393=5,1,N393=3,3)</f>
        <v>5</v>
      </c>
      <c r="X393">
        <f t="shared" si="46"/>
        <v>26</v>
      </c>
      <c r="Y393" cm="1">
        <f t="array" ref="Y393">MAX(IF($C$2:$C$1387=C393,$X$2:$X$1387))</f>
        <v>29</v>
      </c>
      <c r="Z393" cm="1">
        <f t="array" ref="Z393">MIN(IF($C$2:$C$1387=C393,$X$2:$X$1387))</f>
        <v>12</v>
      </c>
      <c r="AA393">
        <f t="shared" si="47"/>
        <v>17</v>
      </c>
      <c r="AB393">
        <f t="shared" si="48"/>
        <v>0.82352941176470584</v>
      </c>
    </row>
    <row r="394" spans="1:28" x14ac:dyDescent="0.25">
      <c r="A394" t="s">
        <v>158</v>
      </c>
      <c r="B394" t="s">
        <v>159</v>
      </c>
      <c r="C394">
        <v>2012</v>
      </c>
      <c r="D394">
        <v>0.57569167681937328</v>
      </c>
      <c r="E394">
        <v>0.63559574364574345</v>
      </c>
      <c r="F394">
        <v>8.8036610315781816E-4</v>
      </c>
      <c r="G394">
        <v>1.9459101490553132</v>
      </c>
      <c r="H394">
        <v>0.7142857142857143</v>
      </c>
      <c r="I394">
        <v>0.66666666666666663</v>
      </c>
      <c r="J394">
        <v>0</v>
      </c>
      <c r="K394">
        <v>5</v>
      </c>
      <c r="L394">
        <v>3</v>
      </c>
      <c r="M394">
        <v>1</v>
      </c>
      <c r="N394">
        <v>1</v>
      </c>
      <c r="O394">
        <v>4</v>
      </c>
      <c r="P394">
        <v>1</v>
      </c>
      <c r="Q394">
        <f t="shared" si="42"/>
        <v>5</v>
      </c>
      <c r="R394">
        <f t="shared" si="43"/>
        <v>20</v>
      </c>
      <c r="S394">
        <f t="array" ref="S394">MAX(IF($C$2:$C$1387=C394,$R$2:$R$1387))</f>
        <v>29</v>
      </c>
      <c r="T394" cm="1">
        <f t="array" ref="T394">MIN(IF($C$2:$C$1387=C394,$R$2:$R$1387))</f>
        <v>11</v>
      </c>
      <c r="U394">
        <f t="shared" si="44"/>
        <v>18</v>
      </c>
      <c r="V394">
        <f t="shared" si="45"/>
        <v>0.5</v>
      </c>
      <c r="W394" cm="1">
        <f t="array" ref="W394">_xlfn.IFS(N394=1,5,N394=2,4,N394=4,2,N394=5,1,N394=3,3)</f>
        <v>5</v>
      </c>
      <c r="X394">
        <f t="shared" si="46"/>
        <v>24</v>
      </c>
      <c r="Y394" cm="1">
        <f t="array" ref="Y394">MAX(IF($C$2:$C$1387=C394,$X$2:$X$1387))</f>
        <v>30</v>
      </c>
      <c r="Z394" cm="1">
        <f t="array" ref="Z394">MIN(IF($C$2:$C$1387=C394,$X$2:$X$1387))</f>
        <v>12</v>
      </c>
      <c r="AA394">
        <f t="shared" si="47"/>
        <v>18</v>
      </c>
      <c r="AB394">
        <f t="shared" si="48"/>
        <v>0.66666666666666663</v>
      </c>
    </row>
    <row r="395" spans="1:28" x14ac:dyDescent="0.25">
      <c r="A395" t="s">
        <v>158</v>
      </c>
      <c r="B395" t="s">
        <v>159</v>
      </c>
      <c r="C395">
        <v>2013</v>
      </c>
      <c r="D395">
        <v>0.43870925844650521</v>
      </c>
      <c r="E395">
        <v>0.63559574364574345</v>
      </c>
      <c r="F395">
        <v>0.8951476492210918</v>
      </c>
      <c r="G395">
        <v>1.9459101490553132</v>
      </c>
      <c r="H395">
        <v>0.7142857142857143</v>
      </c>
      <c r="I395">
        <v>0.66666666666666663</v>
      </c>
      <c r="J395">
        <v>0</v>
      </c>
      <c r="K395">
        <v>4</v>
      </c>
      <c r="L395">
        <v>3</v>
      </c>
      <c r="M395">
        <v>5</v>
      </c>
      <c r="N395">
        <v>1</v>
      </c>
      <c r="O395">
        <v>4</v>
      </c>
      <c r="P395">
        <v>1</v>
      </c>
      <c r="Q395">
        <f t="shared" si="42"/>
        <v>5</v>
      </c>
      <c r="R395">
        <f t="shared" si="43"/>
        <v>23</v>
      </c>
      <c r="S395">
        <f t="array" ref="S395">MAX(IF($C$2:$C$1387=C395,$R$2:$R$1387))</f>
        <v>29</v>
      </c>
      <c r="T395" cm="1">
        <f t="array" ref="T395">MIN(IF($C$2:$C$1387=C395,$R$2:$R$1387))</f>
        <v>10</v>
      </c>
      <c r="U395">
        <f t="shared" si="44"/>
        <v>19</v>
      </c>
      <c r="V395">
        <f t="shared" si="45"/>
        <v>0.68421052631578949</v>
      </c>
      <c r="W395" cm="1">
        <f t="array" ref="W395">_xlfn.IFS(N395=1,5,N395=2,4,N395=4,2,N395=5,1,N395=3,3)</f>
        <v>5</v>
      </c>
      <c r="X395">
        <f t="shared" si="46"/>
        <v>27</v>
      </c>
      <c r="Y395" cm="1">
        <f t="array" ref="Y395">MAX(IF($C$2:$C$1387=C395,$X$2:$X$1387))</f>
        <v>32</v>
      </c>
      <c r="Z395" cm="1">
        <f t="array" ref="Z395">MIN(IF($C$2:$C$1387=C395,$X$2:$X$1387))</f>
        <v>10</v>
      </c>
      <c r="AA395">
        <f t="shared" si="47"/>
        <v>22</v>
      </c>
      <c r="AB395">
        <f t="shared" si="48"/>
        <v>0.77272727272727271</v>
      </c>
    </row>
    <row r="396" spans="1:28" x14ac:dyDescent="0.25">
      <c r="A396" t="s">
        <v>158</v>
      </c>
      <c r="B396" t="s">
        <v>159</v>
      </c>
      <c r="C396">
        <v>2014</v>
      </c>
      <c r="D396">
        <v>0.43870925844650521</v>
      </c>
      <c r="E396">
        <v>0.59658387740067109</v>
      </c>
      <c r="F396">
        <v>0</v>
      </c>
      <c r="G396">
        <v>1.9459101490553132</v>
      </c>
      <c r="H396">
        <v>0.7142857142857143</v>
      </c>
      <c r="I396">
        <v>1</v>
      </c>
      <c r="J396">
        <v>0</v>
      </c>
      <c r="K396">
        <v>4</v>
      </c>
      <c r="L396">
        <v>3</v>
      </c>
      <c r="M396">
        <v>1</v>
      </c>
      <c r="N396">
        <v>1</v>
      </c>
      <c r="O396">
        <v>4</v>
      </c>
      <c r="P396">
        <v>3</v>
      </c>
      <c r="Q396">
        <f t="shared" si="42"/>
        <v>5</v>
      </c>
      <c r="R396">
        <f t="shared" si="43"/>
        <v>21</v>
      </c>
      <c r="S396">
        <f t="array" ref="S396">MAX(IF($C$2:$C$1387=C396,$R$2:$R$1387))</f>
        <v>29</v>
      </c>
      <c r="T396" cm="1">
        <f t="array" ref="T396">MIN(IF($C$2:$C$1387=C396,$R$2:$R$1387))</f>
        <v>11</v>
      </c>
      <c r="U396">
        <f t="shared" si="44"/>
        <v>18</v>
      </c>
      <c r="V396">
        <f t="shared" si="45"/>
        <v>0.55555555555555558</v>
      </c>
      <c r="W396" cm="1">
        <f t="array" ref="W396">_xlfn.IFS(N396=1,5,N396=2,4,N396=4,2,N396=5,1,N396=3,3)</f>
        <v>5</v>
      </c>
      <c r="X396">
        <f t="shared" si="46"/>
        <v>25</v>
      </c>
      <c r="Y396" cm="1">
        <f t="array" ref="Y396">MAX(IF($C$2:$C$1387=C396,$X$2:$X$1387))</f>
        <v>30</v>
      </c>
      <c r="Z396" cm="1">
        <f t="array" ref="Z396">MIN(IF($C$2:$C$1387=C396,$X$2:$X$1387))</f>
        <v>14</v>
      </c>
      <c r="AA396">
        <f t="shared" si="47"/>
        <v>16</v>
      </c>
      <c r="AB396">
        <f t="shared" si="48"/>
        <v>0.6875</v>
      </c>
    </row>
    <row r="397" spans="1:28" x14ac:dyDescent="0.25">
      <c r="A397" t="s">
        <v>158</v>
      </c>
      <c r="B397" t="s">
        <v>159</v>
      </c>
      <c r="C397">
        <v>2015</v>
      </c>
      <c r="D397">
        <v>0.8354482505213493</v>
      </c>
      <c r="E397">
        <v>0.88173183017791379</v>
      </c>
      <c r="F397">
        <v>0</v>
      </c>
      <c r="G397">
        <v>1.9459101490553132</v>
      </c>
      <c r="H397">
        <v>0.8571428571428571</v>
      </c>
      <c r="I397">
        <v>1</v>
      </c>
      <c r="J397">
        <v>0</v>
      </c>
      <c r="K397">
        <v>5</v>
      </c>
      <c r="L397">
        <v>5</v>
      </c>
      <c r="M397">
        <v>1</v>
      </c>
      <c r="N397">
        <v>1</v>
      </c>
      <c r="O397">
        <v>4</v>
      </c>
      <c r="P397">
        <v>2</v>
      </c>
      <c r="Q397">
        <f t="shared" si="42"/>
        <v>5</v>
      </c>
      <c r="R397">
        <f t="shared" si="43"/>
        <v>23</v>
      </c>
      <c r="S397">
        <f t="array" ref="S397">MAX(IF($C$2:$C$1387=C397,$R$2:$R$1387))</f>
        <v>29</v>
      </c>
      <c r="T397" cm="1">
        <f t="array" ref="T397">MIN(IF($C$2:$C$1387=C397,$R$2:$R$1387))</f>
        <v>11</v>
      </c>
      <c r="U397">
        <f t="shared" si="44"/>
        <v>18</v>
      </c>
      <c r="V397">
        <f t="shared" si="45"/>
        <v>0.66666666666666663</v>
      </c>
      <c r="W397" cm="1">
        <f t="array" ref="W397">_xlfn.IFS(N397=1,5,N397=2,4,N397=4,2,N397=5,1,N397=3,3)</f>
        <v>5</v>
      </c>
      <c r="X397">
        <f t="shared" si="46"/>
        <v>27</v>
      </c>
      <c r="Y397" cm="1">
        <f t="array" ref="Y397">MAX(IF($C$2:$C$1387=C397,$X$2:$X$1387))</f>
        <v>29</v>
      </c>
      <c r="Z397" cm="1">
        <f t="array" ref="Z397">MIN(IF($C$2:$C$1387=C397,$X$2:$X$1387))</f>
        <v>12</v>
      </c>
      <c r="AA397">
        <f t="shared" si="47"/>
        <v>17</v>
      </c>
      <c r="AB397">
        <f t="shared" si="48"/>
        <v>0.88235294117647056</v>
      </c>
    </row>
    <row r="398" spans="1:28" x14ac:dyDescent="0.25">
      <c r="A398" t="s">
        <v>160</v>
      </c>
      <c r="B398" t="s">
        <v>161</v>
      </c>
      <c r="C398">
        <v>2010</v>
      </c>
      <c r="D398">
        <v>5.8286134369780909E-4</v>
      </c>
      <c r="E398">
        <v>0.56792716437479407</v>
      </c>
      <c r="F398">
        <v>8.3808519875015447E-2</v>
      </c>
      <c r="G398">
        <v>1.9459101490553132</v>
      </c>
      <c r="H398">
        <v>0.8571428571428571</v>
      </c>
      <c r="I398">
        <v>1</v>
      </c>
      <c r="J398">
        <v>0</v>
      </c>
      <c r="K398">
        <v>1</v>
      </c>
      <c r="L398">
        <v>2</v>
      </c>
      <c r="M398">
        <v>3</v>
      </c>
      <c r="N398">
        <v>1</v>
      </c>
      <c r="O398">
        <v>5</v>
      </c>
      <c r="P398">
        <v>3</v>
      </c>
      <c r="Q398">
        <f t="shared" si="42"/>
        <v>5</v>
      </c>
      <c r="R398">
        <f t="shared" si="43"/>
        <v>20</v>
      </c>
      <c r="S398">
        <f t="array" ref="S398">MAX(IF($C$2:$C$1387=C398,$R$2:$R$1387))</f>
        <v>29</v>
      </c>
      <c r="T398" cm="1">
        <f t="array" ref="T398">MIN(IF($C$2:$C$1387=C398,$R$2:$R$1387))</f>
        <v>9</v>
      </c>
      <c r="U398">
        <f t="shared" si="44"/>
        <v>20</v>
      </c>
      <c r="V398">
        <f t="shared" si="45"/>
        <v>0.55000000000000004</v>
      </c>
      <c r="W398" cm="1">
        <f t="array" ref="W398">_xlfn.IFS(N398=1,5,N398=2,4,N398=4,2,N398=5,1,N398=3,3)</f>
        <v>5</v>
      </c>
      <c r="X398">
        <f t="shared" si="46"/>
        <v>24</v>
      </c>
      <c r="Y398" cm="1">
        <f t="array" ref="Y398">MAX(IF($C$2:$C$1387=C398,$X$2:$X$1387))</f>
        <v>29</v>
      </c>
      <c r="Z398" cm="1">
        <f t="array" ref="Z398">MIN(IF($C$2:$C$1387=C398,$X$2:$X$1387))</f>
        <v>12</v>
      </c>
      <c r="AA398">
        <f t="shared" si="47"/>
        <v>17</v>
      </c>
      <c r="AB398">
        <f t="shared" si="48"/>
        <v>0.70588235294117652</v>
      </c>
    </row>
    <row r="399" spans="1:28" x14ac:dyDescent="0.25">
      <c r="A399" t="s">
        <v>160</v>
      </c>
      <c r="B399" t="s">
        <v>161</v>
      </c>
      <c r="C399">
        <v>2011</v>
      </c>
      <c r="D399">
        <v>5.8286134369780909E-4</v>
      </c>
      <c r="E399">
        <v>0.56792716437479407</v>
      </c>
      <c r="F399">
        <v>8.3808519875015447E-2</v>
      </c>
      <c r="G399">
        <v>1.9459101490553132</v>
      </c>
      <c r="H399">
        <v>0.8571428571428571</v>
      </c>
      <c r="I399">
        <v>1</v>
      </c>
      <c r="J399">
        <v>0</v>
      </c>
      <c r="K399">
        <v>1</v>
      </c>
      <c r="L399">
        <v>2</v>
      </c>
      <c r="M399">
        <v>3</v>
      </c>
      <c r="N399">
        <v>1</v>
      </c>
      <c r="O399">
        <v>5</v>
      </c>
      <c r="P399">
        <v>3</v>
      </c>
      <c r="Q399">
        <f t="shared" si="42"/>
        <v>5</v>
      </c>
      <c r="R399">
        <f t="shared" si="43"/>
        <v>20</v>
      </c>
      <c r="S399">
        <f t="array" ref="S399">MAX(IF($C$2:$C$1387=C399,$R$2:$R$1387))</f>
        <v>28</v>
      </c>
      <c r="T399" cm="1">
        <f t="array" ref="T399">MIN(IF($C$2:$C$1387=C399,$R$2:$R$1387))</f>
        <v>10</v>
      </c>
      <c r="U399">
        <f t="shared" si="44"/>
        <v>18</v>
      </c>
      <c r="V399">
        <f t="shared" si="45"/>
        <v>0.55555555555555558</v>
      </c>
      <c r="W399" cm="1">
        <f t="array" ref="W399">_xlfn.IFS(N399=1,5,N399=2,4,N399=4,2,N399=5,1,N399=3,3)</f>
        <v>5</v>
      </c>
      <c r="X399">
        <f t="shared" si="46"/>
        <v>24</v>
      </c>
      <c r="Y399" cm="1">
        <f t="array" ref="Y399">MAX(IF($C$2:$C$1387=C399,$X$2:$X$1387))</f>
        <v>29</v>
      </c>
      <c r="Z399" cm="1">
        <f t="array" ref="Z399">MIN(IF($C$2:$C$1387=C399,$X$2:$X$1387))</f>
        <v>12</v>
      </c>
      <c r="AA399">
        <f t="shared" si="47"/>
        <v>17</v>
      </c>
      <c r="AB399">
        <f t="shared" si="48"/>
        <v>0.70588235294117652</v>
      </c>
    </row>
    <row r="400" spans="1:28" x14ac:dyDescent="0.25">
      <c r="A400" t="s">
        <v>160</v>
      </c>
      <c r="B400" t="s">
        <v>161</v>
      </c>
      <c r="C400">
        <v>2012</v>
      </c>
      <c r="D400">
        <v>5.8286134369780909E-4</v>
      </c>
      <c r="E400">
        <v>0.56792716437479407</v>
      </c>
      <c r="F400">
        <v>8.3808519875015447E-2</v>
      </c>
      <c r="G400">
        <v>1.9459101490553132</v>
      </c>
      <c r="H400">
        <v>0.8571428571428571</v>
      </c>
      <c r="I400">
        <v>1</v>
      </c>
      <c r="J400">
        <v>0</v>
      </c>
      <c r="K400">
        <v>1</v>
      </c>
      <c r="L400">
        <v>2</v>
      </c>
      <c r="M400">
        <v>4</v>
      </c>
      <c r="N400">
        <v>1</v>
      </c>
      <c r="O400">
        <v>5</v>
      </c>
      <c r="P400">
        <v>3</v>
      </c>
      <c r="Q400">
        <f t="shared" si="42"/>
        <v>5</v>
      </c>
      <c r="R400">
        <f t="shared" si="43"/>
        <v>21</v>
      </c>
      <c r="S400">
        <f t="array" ref="S400">MAX(IF($C$2:$C$1387=C400,$R$2:$R$1387))</f>
        <v>29</v>
      </c>
      <c r="T400" cm="1">
        <f t="array" ref="T400">MIN(IF($C$2:$C$1387=C400,$R$2:$R$1387))</f>
        <v>11</v>
      </c>
      <c r="U400">
        <f t="shared" si="44"/>
        <v>18</v>
      </c>
      <c r="V400">
        <f t="shared" si="45"/>
        <v>0.55555555555555558</v>
      </c>
      <c r="W400" cm="1">
        <f t="array" ref="W400">_xlfn.IFS(N400=1,5,N400=2,4,N400=4,2,N400=5,1,N400=3,3)</f>
        <v>5</v>
      </c>
      <c r="X400">
        <f t="shared" si="46"/>
        <v>25</v>
      </c>
      <c r="Y400" cm="1">
        <f t="array" ref="Y400">MAX(IF($C$2:$C$1387=C400,$X$2:$X$1387))</f>
        <v>30</v>
      </c>
      <c r="Z400" cm="1">
        <f t="array" ref="Z400">MIN(IF($C$2:$C$1387=C400,$X$2:$X$1387))</f>
        <v>12</v>
      </c>
      <c r="AA400">
        <f t="shared" si="47"/>
        <v>18</v>
      </c>
      <c r="AB400">
        <f t="shared" si="48"/>
        <v>0.72222222222222221</v>
      </c>
    </row>
    <row r="401" spans="1:28" x14ac:dyDescent="0.25">
      <c r="A401" t="s">
        <v>160</v>
      </c>
      <c r="B401" t="s">
        <v>161</v>
      </c>
      <c r="C401">
        <v>2013</v>
      </c>
      <c r="D401">
        <v>3.0123333990200404E-4</v>
      </c>
      <c r="E401">
        <v>0.53267926046340763</v>
      </c>
      <c r="F401">
        <v>0.22140560404225998</v>
      </c>
      <c r="G401">
        <v>1.9459101490553132</v>
      </c>
      <c r="H401">
        <v>0.8571428571428571</v>
      </c>
      <c r="I401">
        <v>1</v>
      </c>
      <c r="J401">
        <v>0</v>
      </c>
      <c r="K401">
        <v>2</v>
      </c>
      <c r="L401">
        <v>2</v>
      </c>
      <c r="M401">
        <v>5</v>
      </c>
      <c r="N401">
        <v>1</v>
      </c>
      <c r="O401">
        <v>5</v>
      </c>
      <c r="P401">
        <v>3</v>
      </c>
      <c r="Q401">
        <f t="shared" si="42"/>
        <v>5</v>
      </c>
      <c r="R401">
        <f t="shared" si="43"/>
        <v>23</v>
      </c>
      <c r="S401">
        <f t="array" ref="S401">MAX(IF($C$2:$C$1387=C401,$R$2:$R$1387))</f>
        <v>29</v>
      </c>
      <c r="T401" cm="1">
        <f t="array" ref="T401">MIN(IF($C$2:$C$1387=C401,$R$2:$R$1387))</f>
        <v>10</v>
      </c>
      <c r="U401">
        <f t="shared" si="44"/>
        <v>19</v>
      </c>
      <c r="V401">
        <f t="shared" si="45"/>
        <v>0.68421052631578949</v>
      </c>
      <c r="W401" cm="1">
        <f t="array" ref="W401">_xlfn.IFS(N401=1,5,N401=2,4,N401=4,2,N401=5,1,N401=3,3)</f>
        <v>5</v>
      </c>
      <c r="X401">
        <f t="shared" si="46"/>
        <v>27</v>
      </c>
      <c r="Y401" cm="1">
        <f t="array" ref="Y401">MAX(IF($C$2:$C$1387=C401,$X$2:$X$1387))</f>
        <v>32</v>
      </c>
      <c r="Z401" cm="1">
        <f t="array" ref="Z401">MIN(IF($C$2:$C$1387=C401,$X$2:$X$1387))</f>
        <v>10</v>
      </c>
      <c r="AA401">
        <f t="shared" si="47"/>
        <v>22</v>
      </c>
      <c r="AB401">
        <f t="shared" si="48"/>
        <v>0.77272727272727271</v>
      </c>
    </row>
    <row r="402" spans="1:28" x14ac:dyDescent="0.25">
      <c r="A402" t="s">
        <v>160</v>
      </c>
      <c r="B402" t="s">
        <v>161</v>
      </c>
      <c r="C402">
        <v>2014</v>
      </c>
      <c r="D402">
        <v>3.0123333990200404E-4</v>
      </c>
      <c r="E402">
        <v>0.53267926046340763</v>
      </c>
      <c r="F402">
        <v>0.16433844469173073</v>
      </c>
      <c r="G402">
        <v>1.9459101490553132</v>
      </c>
      <c r="H402">
        <v>0.42857142857142855</v>
      </c>
      <c r="I402">
        <v>1</v>
      </c>
      <c r="J402">
        <v>0</v>
      </c>
      <c r="K402">
        <v>1</v>
      </c>
      <c r="L402">
        <v>2</v>
      </c>
      <c r="M402">
        <v>5</v>
      </c>
      <c r="N402">
        <v>1</v>
      </c>
      <c r="O402">
        <v>1</v>
      </c>
      <c r="P402">
        <v>3</v>
      </c>
      <c r="Q402">
        <f t="shared" si="42"/>
        <v>5</v>
      </c>
      <c r="R402">
        <f t="shared" si="43"/>
        <v>18</v>
      </c>
      <c r="S402">
        <f t="array" ref="S402">MAX(IF($C$2:$C$1387=C402,$R$2:$R$1387))</f>
        <v>29</v>
      </c>
      <c r="T402" cm="1">
        <f t="array" ref="T402">MIN(IF($C$2:$C$1387=C402,$R$2:$R$1387))</f>
        <v>11</v>
      </c>
      <c r="U402">
        <f t="shared" si="44"/>
        <v>18</v>
      </c>
      <c r="V402">
        <f t="shared" si="45"/>
        <v>0.3888888888888889</v>
      </c>
      <c r="W402" cm="1">
        <f t="array" ref="W402">_xlfn.IFS(N402=1,5,N402=2,4,N402=4,2,N402=5,1,N402=3,3)</f>
        <v>5</v>
      </c>
      <c r="X402">
        <f t="shared" si="46"/>
        <v>22</v>
      </c>
      <c r="Y402" cm="1">
        <f t="array" ref="Y402">MAX(IF($C$2:$C$1387=C402,$X$2:$X$1387))</f>
        <v>30</v>
      </c>
      <c r="Z402" cm="1">
        <f t="array" ref="Z402">MIN(IF($C$2:$C$1387=C402,$X$2:$X$1387))</f>
        <v>14</v>
      </c>
      <c r="AA402">
        <f t="shared" si="47"/>
        <v>16</v>
      </c>
      <c r="AB402">
        <f t="shared" si="48"/>
        <v>0.5</v>
      </c>
    </row>
    <row r="403" spans="1:28" x14ac:dyDescent="0.25">
      <c r="A403" t="s">
        <v>160</v>
      </c>
      <c r="B403" t="s">
        <v>161</v>
      </c>
      <c r="C403">
        <v>2015</v>
      </c>
      <c r="D403">
        <v>3.0123333990200404E-4</v>
      </c>
      <c r="E403">
        <v>0.53028248163072733</v>
      </c>
      <c r="F403">
        <v>0.18262974639226048</v>
      </c>
      <c r="G403">
        <v>1.9459101490553132</v>
      </c>
      <c r="H403">
        <v>0.8571428571428571</v>
      </c>
      <c r="I403">
        <v>1</v>
      </c>
      <c r="J403">
        <v>0</v>
      </c>
      <c r="K403">
        <v>1</v>
      </c>
      <c r="L403">
        <v>2</v>
      </c>
      <c r="M403">
        <v>5</v>
      </c>
      <c r="N403">
        <v>1</v>
      </c>
      <c r="O403">
        <v>4</v>
      </c>
      <c r="P403">
        <v>2</v>
      </c>
      <c r="Q403">
        <f t="shared" si="42"/>
        <v>5</v>
      </c>
      <c r="R403">
        <f t="shared" si="43"/>
        <v>20</v>
      </c>
      <c r="S403">
        <f t="array" ref="S403">MAX(IF($C$2:$C$1387=C403,$R$2:$R$1387))</f>
        <v>29</v>
      </c>
      <c r="T403" cm="1">
        <f t="array" ref="T403">MIN(IF($C$2:$C$1387=C403,$R$2:$R$1387))</f>
        <v>11</v>
      </c>
      <c r="U403">
        <f t="shared" si="44"/>
        <v>18</v>
      </c>
      <c r="V403">
        <f t="shared" si="45"/>
        <v>0.5</v>
      </c>
      <c r="W403" cm="1">
        <f t="array" ref="W403">_xlfn.IFS(N403=1,5,N403=2,4,N403=4,2,N403=5,1,N403=3,3)</f>
        <v>5</v>
      </c>
      <c r="X403">
        <f t="shared" si="46"/>
        <v>24</v>
      </c>
      <c r="Y403" cm="1">
        <f t="array" ref="Y403">MAX(IF($C$2:$C$1387=C403,$X$2:$X$1387))</f>
        <v>29</v>
      </c>
      <c r="Z403" cm="1">
        <f t="array" ref="Z403">MIN(IF($C$2:$C$1387=C403,$X$2:$X$1387))</f>
        <v>12</v>
      </c>
      <c r="AA403">
        <f t="shared" si="47"/>
        <v>17</v>
      </c>
      <c r="AB403">
        <f t="shared" si="48"/>
        <v>0.70588235294117652</v>
      </c>
    </row>
    <row r="404" spans="1:28" x14ac:dyDescent="0.25">
      <c r="A404" t="s">
        <v>162</v>
      </c>
      <c r="B404" t="s">
        <v>163</v>
      </c>
      <c r="C404">
        <v>2010</v>
      </c>
      <c r="D404">
        <v>0.3961027670795047</v>
      </c>
      <c r="E404">
        <v>0.46444124114020435</v>
      </c>
      <c r="F404">
        <v>0</v>
      </c>
      <c r="G404">
        <v>1.9459101490553132</v>
      </c>
      <c r="H404">
        <v>0.7142857142857143</v>
      </c>
      <c r="I404">
        <v>1</v>
      </c>
      <c r="J404">
        <v>1</v>
      </c>
      <c r="K404">
        <v>4</v>
      </c>
      <c r="L404">
        <v>1</v>
      </c>
      <c r="M404">
        <v>1</v>
      </c>
      <c r="N404">
        <v>1</v>
      </c>
      <c r="O404">
        <v>4</v>
      </c>
      <c r="P404">
        <v>3</v>
      </c>
      <c r="Q404">
        <f t="shared" si="42"/>
        <v>1</v>
      </c>
      <c r="R404">
        <f t="shared" si="43"/>
        <v>15</v>
      </c>
      <c r="S404">
        <f t="array" ref="S404">MAX(IF($C$2:$C$1387=C404,$R$2:$R$1387))</f>
        <v>29</v>
      </c>
      <c r="T404" cm="1">
        <f t="array" ref="T404">MIN(IF($C$2:$C$1387=C404,$R$2:$R$1387))</f>
        <v>9</v>
      </c>
      <c r="U404">
        <f t="shared" si="44"/>
        <v>20</v>
      </c>
      <c r="V404">
        <f t="shared" si="45"/>
        <v>0.3</v>
      </c>
      <c r="W404" cm="1">
        <f t="array" ref="W404">_xlfn.IFS(N404=1,5,N404=2,4,N404=4,2,N404=5,1,N404=3,3)</f>
        <v>5</v>
      </c>
      <c r="X404">
        <f t="shared" si="46"/>
        <v>19</v>
      </c>
      <c r="Y404" cm="1">
        <f t="array" ref="Y404">MAX(IF($C$2:$C$1387=C404,$X$2:$X$1387))</f>
        <v>29</v>
      </c>
      <c r="Z404" cm="1">
        <f t="array" ref="Z404">MIN(IF($C$2:$C$1387=C404,$X$2:$X$1387))</f>
        <v>12</v>
      </c>
      <c r="AA404">
        <f t="shared" si="47"/>
        <v>17</v>
      </c>
      <c r="AB404">
        <f t="shared" si="48"/>
        <v>0.41176470588235292</v>
      </c>
    </row>
    <row r="405" spans="1:28" x14ac:dyDescent="0.25">
      <c r="A405" t="s">
        <v>162</v>
      </c>
      <c r="B405" t="s">
        <v>163</v>
      </c>
      <c r="C405">
        <v>2011</v>
      </c>
      <c r="D405">
        <v>0.3961027670795047</v>
      </c>
      <c r="E405">
        <v>0.45004869876440184</v>
      </c>
      <c r="F405">
        <v>0.15481615525529063</v>
      </c>
      <c r="G405">
        <v>1.9459101490553132</v>
      </c>
      <c r="H405">
        <v>0.7142857142857143</v>
      </c>
      <c r="I405">
        <v>1</v>
      </c>
      <c r="J405">
        <v>1</v>
      </c>
      <c r="K405">
        <v>4</v>
      </c>
      <c r="L405">
        <v>1</v>
      </c>
      <c r="M405">
        <v>4</v>
      </c>
      <c r="N405">
        <v>1</v>
      </c>
      <c r="O405">
        <v>4</v>
      </c>
      <c r="P405">
        <v>3</v>
      </c>
      <c r="Q405">
        <f t="shared" si="42"/>
        <v>1</v>
      </c>
      <c r="R405">
        <f t="shared" si="43"/>
        <v>18</v>
      </c>
      <c r="S405">
        <f t="array" ref="S405">MAX(IF($C$2:$C$1387=C405,$R$2:$R$1387))</f>
        <v>28</v>
      </c>
      <c r="T405" cm="1">
        <f t="array" ref="T405">MIN(IF($C$2:$C$1387=C405,$R$2:$R$1387))</f>
        <v>10</v>
      </c>
      <c r="U405">
        <f t="shared" si="44"/>
        <v>18</v>
      </c>
      <c r="V405">
        <f t="shared" si="45"/>
        <v>0.44444444444444442</v>
      </c>
      <c r="W405" cm="1">
        <f t="array" ref="W405">_xlfn.IFS(N405=1,5,N405=2,4,N405=4,2,N405=5,1,N405=3,3)</f>
        <v>5</v>
      </c>
      <c r="X405">
        <f t="shared" si="46"/>
        <v>22</v>
      </c>
      <c r="Y405" cm="1">
        <f t="array" ref="Y405">MAX(IF($C$2:$C$1387=C405,$X$2:$X$1387))</f>
        <v>29</v>
      </c>
      <c r="Z405" cm="1">
        <f t="array" ref="Z405">MIN(IF($C$2:$C$1387=C405,$X$2:$X$1387))</f>
        <v>12</v>
      </c>
      <c r="AA405">
        <f t="shared" si="47"/>
        <v>17</v>
      </c>
      <c r="AB405">
        <f t="shared" si="48"/>
        <v>0.58823529411764708</v>
      </c>
    </row>
    <row r="406" spans="1:28" x14ac:dyDescent="0.25">
      <c r="A406" t="s">
        <v>162</v>
      </c>
      <c r="B406" t="s">
        <v>163</v>
      </c>
      <c r="C406">
        <v>2012</v>
      </c>
      <c r="D406">
        <v>0.3961245280001901</v>
      </c>
      <c r="E406">
        <v>0.56540177253144219</v>
      </c>
      <c r="F406">
        <v>3.0924531429711202E-2</v>
      </c>
      <c r="G406">
        <v>1.9459101490553132</v>
      </c>
      <c r="H406">
        <v>0.2857142857142857</v>
      </c>
      <c r="I406">
        <v>1</v>
      </c>
      <c r="J406">
        <v>1</v>
      </c>
      <c r="K406">
        <v>4</v>
      </c>
      <c r="L406">
        <v>2</v>
      </c>
      <c r="M406">
        <v>3</v>
      </c>
      <c r="N406">
        <v>1</v>
      </c>
      <c r="O406">
        <v>1</v>
      </c>
      <c r="P406">
        <v>3</v>
      </c>
      <c r="Q406">
        <f t="shared" si="42"/>
        <v>1</v>
      </c>
      <c r="R406">
        <f t="shared" si="43"/>
        <v>15</v>
      </c>
      <c r="S406">
        <f t="array" ref="S406">MAX(IF($C$2:$C$1387=C406,$R$2:$R$1387))</f>
        <v>29</v>
      </c>
      <c r="T406" cm="1">
        <f t="array" ref="T406">MIN(IF($C$2:$C$1387=C406,$R$2:$R$1387))</f>
        <v>11</v>
      </c>
      <c r="U406">
        <f t="shared" si="44"/>
        <v>18</v>
      </c>
      <c r="V406">
        <f t="shared" si="45"/>
        <v>0.22222222222222221</v>
      </c>
      <c r="W406" cm="1">
        <f t="array" ref="W406">_xlfn.IFS(N406=1,5,N406=2,4,N406=4,2,N406=5,1,N406=3,3)</f>
        <v>5</v>
      </c>
      <c r="X406">
        <f t="shared" si="46"/>
        <v>19</v>
      </c>
      <c r="Y406" cm="1">
        <f t="array" ref="Y406">MAX(IF($C$2:$C$1387=C406,$X$2:$X$1387))</f>
        <v>30</v>
      </c>
      <c r="Z406" cm="1">
        <f t="array" ref="Z406">MIN(IF($C$2:$C$1387=C406,$X$2:$X$1387))</f>
        <v>12</v>
      </c>
      <c r="AA406">
        <f t="shared" si="47"/>
        <v>18</v>
      </c>
      <c r="AB406">
        <f t="shared" si="48"/>
        <v>0.3888888888888889</v>
      </c>
    </row>
    <row r="407" spans="1:28" x14ac:dyDescent="0.25">
      <c r="A407" t="s">
        <v>162</v>
      </c>
      <c r="B407" t="s">
        <v>163</v>
      </c>
      <c r="C407">
        <v>2013</v>
      </c>
      <c r="D407">
        <v>0.3961245280001901</v>
      </c>
      <c r="E407">
        <v>0.57160502762570642</v>
      </c>
      <c r="F407">
        <v>3.0924531429711202E-2</v>
      </c>
      <c r="G407">
        <v>2.0794415416798357</v>
      </c>
      <c r="H407">
        <v>0.625</v>
      </c>
      <c r="I407">
        <v>1</v>
      </c>
      <c r="J407">
        <v>1</v>
      </c>
      <c r="K407">
        <v>4</v>
      </c>
      <c r="L407">
        <v>2</v>
      </c>
      <c r="M407">
        <v>3</v>
      </c>
      <c r="N407">
        <v>3</v>
      </c>
      <c r="O407">
        <v>3</v>
      </c>
      <c r="P407">
        <v>3</v>
      </c>
      <c r="Q407">
        <f t="shared" si="42"/>
        <v>1</v>
      </c>
      <c r="R407">
        <f t="shared" si="43"/>
        <v>19</v>
      </c>
      <c r="S407">
        <f t="array" ref="S407">MAX(IF($C$2:$C$1387=C407,$R$2:$R$1387))</f>
        <v>29</v>
      </c>
      <c r="T407" cm="1">
        <f t="array" ref="T407">MIN(IF($C$2:$C$1387=C407,$R$2:$R$1387))</f>
        <v>10</v>
      </c>
      <c r="U407">
        <f t="shared" si="44"/>
        <v>19</v>
      </c>
      <c r="V407">
        <f t="shared" si="45"/>
        <v>0.47368421052631576</v>
      </c>
      <c r="W407" cm="1">
        <f t="array" ref="W407">_xlfn.IFS(N407=1,5,N407=2,4,N407=4,2,N407=5,1,N407=3,3)</f>
        <v>3</v>
      </c>
      <c r="X407">
        <f t="shared" si="46"/>
        <v>19</v>
      </c>
      <c r="Y407" cm="1">
        <f t="array" ref="Y407">MAX(IF($C$2:$C$1387=C407,$X$2:$X$1387))</f>
        <v>32</v>
      </c>
      <c r="Z407" cm="1">
        <f t="array" ref="Z407">MIN(IF($C$2:$C$1387=C407,$X$2:$X$1387))</f>
        <v>10</v>
      </c>
      <c r="AA407">
        <f t="shared" si="47"/>
        <v>22</v>
      </c>
      <c r="AB407">
        <f t="shared" si="48"/>
        <v>0.40909090909090912</v>
      </c>
    </row>
    <row r="408" spans="1:28" x14ac:dyDescent="0.25">
      <c r="A408" t="s">
        <v>162</v>
      </c>
      <c r="B408" t="s">
        <v>163</v>
      </c>
      <c r="C408">
        <v>2014</v>
      </c>
      <c r="D408">
        <v>0.3747553038871228</v>
      </c>
      <c r="E408">
        <v>0.58993768934449098</v>
      </c>
      <c r="F408">
        <v>1.0012286651037393E-2</v>
      </c>
      <c r="G408">
        <v>1.9459101490553132</v>
      </c>
      <c r="H408">
        <v>0.7142857142857143</v>
      </c>
      <c r="I408">
        <v>1</v>
      </c>
      <c r="J408">
        <v>0</v>
      </c>
      <c r="K408">
        <v>4</v>
      </c>
      <c r="L408">
        <v>3</v>
      </c>
      <c r="M408">
        <v>2</v>
      </c>
      <c r="N408">
        <v>1</v>
      </c>
      <c r="O408">
        <v>4</v>
      </c>
      <c r="P408">
        <v>3</v>
      </c>
      <c r="Q408">
        <f t="shared" si="42"/>
        <v>5</v>
      </c>
      <c r="R408">
        <f t="shared" si="43"/>
        <v>22</v>
      </c>
      <c r="S408">
        <f t="array" ref="S408">MAX(IF($C$2:$C$1387=C408,$R$2:$R$1387))</f>
        <v>29</v>
      </c>
      <c r="T408" cm="1">
        <f t="array" ref="T408">MIN(IF($C$2:$C$1387=C408,$R$2:$R$1387))</f>
        <v>11</v>
      </c>
      <c r="U408">
        <f t="shared" si="44"/>
        <v>18</v>
      </c>
      <c r="V408">
        <f t="shared" si="45"/>
        <v>0.61111111111111116</v>
      </c>
      <c r="W408" cm="1">
        <f t="array" ref="W408">_xlfn.IFS(N408=1,5,N408=2,4,N408=4,2,N408=5,1,N408=3,3)</f>
        <v>5</v>
      </c>
      <c r="X408">
        <f t="shared" si="46"/>
        <v>26</v>
      </c>
      <c r="Y408" cm="1">
        <f t="array" ref="Y408">MAX(IF($C$2:$C$1387=C408,$X$2:$X$1387))</f>
        <v>30</v>
      </c>
      <c r="Z408" cm="1">
        <f t="array" ref="Z408">MIN(IF($C$2:$C$1387=C408,$X$2:$X$1387))</f>
        <v>14</v>
      </c>
      <c r="AA408">
        <f t="shared" si="47"/>
        <v>16</v>
      </c>
      <c r="AB408">
        <f t="shared" si="48"/>
        <v>0.75</v>
      </c>
    </row>
    <row r="409" spans="1:28" x14ac:dyDescent="0.25">
      <c r="A409" t="s">
        <v>162</v>
      </c>
      <c r="B409" t="s">
        <v>163</v>
      </c>
      <c r="C409">
        <v>2015</v>
      </c>
      <c r="D409">
        <v>0.3747770648078082</v>
      </c>
      <c r="E409">
        <v>0.51853014207400461</v>
      </c>
      <c r="F409">
        <v>1.4908493805253427E-2</v>
      </c>
      <c r="G409">
        <v>2.0794415416798357</v>
      </c>
      <c r="H409">
        <v>0.75</v>
      </c>
      <c r="I409">
        <v>1</v>
      </c>
      <c r="J409">
        <v>0</v>
      </c>
      <c r="K409">
        <v>4</v>
      </c>
      <c r="L409">
        <v>2</v>
      </c>
      <c r="M409">
        <v>2</v>
      </c>
      <c r="N409">
        <v>3</v>
      </c>
      <c r="O409">
        <v>4</v>
      </c>
      <c r="P409">
        <v>2</v>
      </c>
      <c r="Q409">
        <f t="shared" si="42"/>
        <v>5</v>
      </c>
      <c r="R409">
        <f t="shared" si="43"/>
        <v>22</v>
      </c>
      <c r="S409">
        <f t="array" ref="S409">MAX(IF($C$2:$C$1387=C409,$R$2:$R$1387))</f>
        <v>29</v>
      </c>
      <c r="T409" cm="1">
        <f t="array" ref="T409">MIN(IF($C$2:$C$1387=C409,$R$2:$R$1387))</f>
        <v>11</v>
      </c>
      <c r="U409">
        <f t="shared" si="44"/>
        <v>18</v>
      </c>
      <c r="V409">
        <f t="shared" si="45"/>
        <v>0.61111111111111116</v>
      </c>
      <c r="W409" cm="1">
        <f t="array" ref="W409">_xlfn.IFS(N409=1,5,N409=2,4,N409=4,2,N409=5,1,N409=3,3)</f>
        <v>3</v>
      </c>
      <c r="X409">
        <f t="shared" si="46"/>
        <v>22</v>
      </c>
      <c r="Y409" cm="1">
        <f t="array" ref="Y409">MAX(IF($C$2:$C$1387=C409,$X$2:$X$1387))</f>
        <v>29</v>
      </c>
      <c r="Z409" cm="1">
        <f t="array" ref="Z409">MIN(IF($C$2:$C$1387=C409,$X$2:$X$1387))</f>
        <v>12</v>
      </c>
      <c r="AA409">
        <f t="shared" si="47"/>
        <v>17</v>
      </c>
      <c r="AB409">
        <f t="shared" si="48"/>
        <v>0.58823529411764708</v>
      </c>
    </row>
    <row r="410" spans="1:28" x14ac:dyDescent="0.25">
      <c r="A410" t="s">
        <v>164</v>
      </c>
      <c r="B410" t="s">
        <v>165</v>
      </c>
      <c r="C410">
        <v>2010</v>
      </c>
      <c r="D410">
        <v>0.79740384615384619</v>
      </c>
      <c r="E410">
        <v>0.87136000000000002</v>
      </c>
      <c r="F410">
        <v>0</v>
      </c>
      <c r="G410">
        <v>1.9459101490553132</v>
      </c>
      <c r="H410">
        <v>0.2857142857142857</v>
      </c>
      <c r="I410">
        <v>1</v>
      </c>
      <c r="J410">
        <v>0</v>
      </c>
      <c r="K410">
        <v>5</v>
      </c>
      <c r="L410">
        <v>5</v>
      </c>
      <c r="M410">
        <v>1</v>
      </c>
      <c r="N410">
        <v>1</v>
      </c>
      <c r="O410">
        <v>1</v>
      </c>
      <c r="P410">
        <v>3</v>
      </c>
      <c r="Q410">
        <f t="shared" si="42"/>
        <v>5</v>
      </c>
      <c r="R410">
        <f t="shared" si="43"/>
        <v>21</v>
      </c>
      <c r="S410">
        <f t="array" ref="S410">MAX(IF($C$2:$C$1387=C410,$R$2:$R$1387))</f>
        <v>29</v>
      </c>
      <c r="T410" cm="1">
        <f t="array" ref="T410">MIN(IF($C$2:$C$1387=C410,$R$2:$R$1387))</f>
        <v>9</v>
      </c>
      <c r="U410">
        <f t="shared" si="44"/>
        <v>20</v>
      </c>
      <c r="V410">
        <f t="shared" si="45"/>
        <v>0.6</v>
      </c>
      <c r="W410" cm="1">
        <f t="array" ref="W410">_xlfn.IFS(N410=1,5,N410=2,4,N410=4,2,N410=5,1,N410=3,3)</f>
        <v>5</v>
      </c>
      <c r="X410">
        <f t="shared" si="46"/>
        <v>25</v>
      </c>
      <c r="Y410" cm="1">
        <f t="array" ref="Y410">MAX(IF($C$2:$C$1387=C410,$X$2:$X$1387))</f>
        <v>29</v>
      </c>
      <c r="Z410" cm="1">
        <f t="array" ref="Z410">MIN(IF($C$2:$C$1387=C410,$X$2:$X$1387))</f>
        <v>12</v>
      </c>
      <c r="AA410">
        <f t="shared" si="47"/>
        <v>17</v>
      </c>
      <c r="AB410">
        <f t="shared" si="48"/>
        <v>0.76470588235294112</v>
      </c>
    </row>
    <row r="411" spans="1:28" x14ac:dyDescent="0.25">
      <c r="A411" t="s">
        <v>164</v>
      </c>
      <c r="B411" t="s">
        <v>165</v>
      </c>
      <c r="C411">
        <v>2011</v>
      </c>
      <c r="D411">
        <v>0.79740384615384619</v>
      </c>
      <c r="E411">
        <v>0.87174461538461534</v>
      </c>
      <c r="F411">
        <v>0</v>
      </c>
      <c r="G411">
        <v>1.9459101490553132</v>
      </c>
      <c r="H411">
        <v>0.2857142857142857</v>
      </c>
      <c r="I411">
        <v>1</v>
      </c>
      <c r="J411">
        <v>0</v>
      </c>
      <c r="K411">
        <v>5</v>
      </c>
      <c r="L411">
        <v>5</v>
      </c>
      <c r="M411">
        <v>1</v>
      </c>
      <c r="N411">
        <v>1</v>
      </c>
      <c r="O411">
        <v>1</v>
      </c>
      <c r="P411">
        <v>3</v>
      </c>
      <c r="Q411">
        <f t="shared" si="42"/>
        <v>5</v>
      </c>
      <c r="R411">
        <f t="shared" si="43"/>
        <v>21</v>
      </c>
      <c r="S411">
        <f t="array" ref="S411">MAX(IF($C$2:$C$1387=C411,$R$2:$R$1387))</f>
        <v>28</v>
      </c>
      <c r="T411" cm="1">
        <f t="array" ref="T411">MIN(IF($C$2:$C$1387=C411,$R$2:$R$1387))</f>
        <v>10</v>
      </c>
      <c r="U411">
        <f t="shared" si="44"/>
        <v>18</v>
      </c>
      <c r="V411">
        <f t="shared" si="45"/>
        <v>0.61111111111111116</v>
      </c>
      <c r="W411" cm="1">
        <f t="array" ref="W411">_xlfn.IFS(N411=1,5,N411=2,4,N411=4,2,N411=5,1,N411=3,3)</f>
        <v>5</v>
      </c>
      <c r="X411">
        <f t="shared" si="46"/>
        <v>25</v>
      </c>
      <c r="Y411" cm="1">
        <f t="array" ref="Y411">MAX(IF($C$2:$C$1387=C411,$X$2:$X$1387))</f>
        <v>29</v>
      </c>
      <c r="Z411" cm="1">
        <f t="array" ref="Z411">MIN(IF($C$2:$C$1387=C411,$X$2:$X$1387))</f>
        <v>12</v>
      </c>
      <c r="AA411">
        <f t="shared" si="47"/>
        <v>17</v>
      </c>
      <c r="AB411">
        <f t="shared" si="48"/>
        <v>0.76470588235294112</v>
      </c>
    </row>
    <row r="412" spans="1:28" x14ac:dyDescent="0.25">
      <c r="A412" t="s">
        <v>164</v>
      </c>
      <c r="B412" t="s">
        <v>165</v>
      </c>
      <c r="C412">
        <v>2012</v>
      </c>
      <c r="D412">
        <v>0.79740384615384619</v>
      </c>
      <c r="E412">
        <v>0.87789846153846152</v>
      </c>
      <c r="F412">
        <v>0</v>
      </c>
      <c r="G412">
        <v>1.9459101490553132</v>
      </c>
      <c r="H412">
        <v>0.2857142857142857</v>
      </c>
      <c r="I412">
        <v>1</v>
      </c>
      <c r="J412">
        <v>0</v>
      </c>
      <c r="K412">
        <v>5</v>
      </c>
      <c r="L412">
        <v>5</v>
      </c>
      <c r="M412">
        <v>1</v>
      </c>
      <c r="N412">
        <v>1</v>
      </c>
      <c r="O412">
        <v>1</v>
      </c>
      <c r="P412">
        <v>3</v>
      </c>
      <c r="Q412">
        <f t="shared" si="42"/>
        <v>5</v>
      </c>
      <c r="R412">
        <f t="shared" si="43"/>
        <v>21</v>
      </c>
      <c r="S412">
        <f t="array" ref="S412">MAX(IF($C$2:$C$1387=C412,$R$2:$R$1387))</f>
        <v>29</v>
      </c>
      <c r="T412" cm="1">
        <f t="array" ref="T412">MIN(IF($C$2:$C$1387=C412,$R$2:$R$1387))</f>
        <v>11</v>
      </c>
      <c r="U412">
        <f t="shared" si="44"/>
        <v>18</v>
      </c>
      <c r="V412">
        <f t="shared" si="45"/>
        <v>0.55555555555555558</v>
      </c>
      <c r="W412" cm="1">
        <f t="array" ref="W412">_xlfn.IFS(N412=1,5,N412=2,4,N412=4,2,N412=5,1,N412=3,3)</f>
        <v>5</v>
      </c>
      <c r="X412">
        <f t="shared" si="46"/>
        <v>25</v>
      </c>
      <c r="Y412" cm="1">
        <f t="array" ref="Y412">MAX(IF($C$2:$C$1387=C412,$X$2:$X$1387))</f>
        <v>30</v>
      </c>
      <c r="Z412" cm="1">
        <f t="array" ref="Z412">MIN(IF($C$2:$C$1387=C412,$X$2:$X$1387))</f>
        <v>12</v>
      </c>
      <c r="AA412">
        <f t="shared" si="47"/>
        <v>18</v>
      </c>
      <c r="AB412">
        <f t="shared" si="48"/>
        <v>0.72222222222222221</v>
      </c>
    </row>
    <row r="413" spans="1:28" x14ac:dyDescent="0.25">
      <c r="A413" t="s">
        <v>164</v>
      </c>
      <c r="B413" t="s">
        <v>165</v>
      </c>
      <c r="C413">
        <v>2013</v>
      </c>
      <c r="D413">
        <v>0.79740384615384619</v>
      </c>
      <c r="E413">
        <v>0.87789846153846152</v>
      </c>
      <c r="F413">
        <v>0</v>
      </c>
      <c r="G413">
        <v>1.9459101490553132</v>
      </c>
      <c r="H413">
        <v>0.2857142857142857</v>
      </c>
      <c r="I413">
        <v>1</v>
      </c>
      <c r="J413">
        <v>0</v>
      </c>
      <c r="K413">
        <v>5</v>
      </c>
      <c r="L413">
        <v>5</v>
      </c>
      <c r="M413">
        <v>1</v>
      </c>
      <c r="N413">
        <v>1</v>
      </c>
      <c r="O413">
        <v>1</v>
      </c>
      <c r="P413">
        <v>3</v>
      </c>
      <c r="Q413">
        <f t="shared" si="42"/>
        <v>5</v>
      </c>
      <c r="R413">
        <f t="shared" si="43"/>
        <v>21</v>
      </c>
      <c r="S413">
        <f t="array" ref="S413">MAX(IF($C$2:$C$1387=C413,$R$2:$R$1387))</f>
        <v>29</v>
      </c>
      <c r="T413" cm="1">
        <f t="array" ref="T413">MIN(IF($C$2:$C$1387=C413,$R$2:$R$1387))</f>
        <v>10</v>
      </c>
      <c r="U413">
        <f t="shared" si="44"/>
        <v>19</v>
      </c>
      <c r="V413">
        <f t="shared" si="45"/>
        <v>0.57894736842105265</v>
      </c>
      <c r="W413" cm="1">
        <f t="array" ref="W413">_xlfn.IFS(N413=1,5,N413=2,4,N413=4,2,N413=5,1,N413=3,3)</f>
        <v>5</v>
      </c>
      <c r="X413">
        <f t="shared" si="46"/>
        <v>25</v>
      </c>
      <c r="Y413" cm="1">
        <f t="array" ref="Y413">MAX(IF($C$2:$C$1387=C413,$X$2:$X$1387))</f>
        <v>32</v>
      </c>
      <c r="Z413" cm="1">
        <f t="array" ref="Z413">MIN(IF($C$2:$C$1387=C413,$X$2:$X$1387))</f>
        <v>10</v>
      </c>
      <c r="AA413">
        <f t="shared" si="47"/>
        <v>22</v>
      </c>
      <c r="AB413">
        <f t="shared" si="48"/>
        <v>0.68181818181818177</v>
      </c>
    </row>
    <row r="414" spans="1:28" x14ac:dyDescent="0.25">
      <c r="A414" t="s">
        <v>164</v>
      </c>
      <c r="B414" t="s">
        <v>165</v>
      </c>
      <c r="C414">
        <v>2014</v>
      </c>
      <c r="D414">
        <v>0.80586538461538459</v>
      </c>
      <c r="E414">
        <v>0.87789846153846152</v>
      </c>
      <c r="F414">
        <v>0</v>
      </c>
      <c r="G414">
        <v>1.9459101490553132</v>
      </c>
      <c r="H414">
        <v>0.2857142857142857</v>
      </c>
      <c r="I414">
        <v>1</v>
      </c>
      <c r="J414">
        <v>0</v>
      </c>
      <c r="K414">
        <v>5</v>
      </c>
      <c r="L414">
        <v>5</v>
      </c>
      <c r="M414">
        <v>1</v>
      </c>
      <c r="N414">
        <v>1</v>
      </c>
      <c r="O414">
        <v>1</v>
      </c>
      <c r="P414">
        <v>3</v>
      </c>
      <c r="Q414">
        <f t="shared" si="42"/>
        <v>5</v>
      </c>
      <c r="R414">
        <f t="shared" si="43"/>
        <v>21</v>
      </c>
      <c r="S414">
        <f t="array" ref="S414">MAX(IF($C$2:$C$1387=C414,$R$2:$R$1387))</f>
        <v>29</v>
      </c>
      <c r="T414" cm="1">
        <f t="array" ref="T414">MIN(IF($C$2:$C$1387=C414,$R$2:$R$1387))</f>
        <v>11</v>
      </c>
      <c r="U414">
        <f t="shared" si="44"/>
        <v>18</v>
      </c>
      <c r="V414">
        <f t="shared" si="45"/>
        <v>0.55555555555555558</v>
      </c>
      <c r="W414" cm="1">
        <f t="array" ref="W414">_xlfn.IFS(N414=1,5,N414=2,4,N414=4,2,N414=5,1,N414=3,3)</f>
        <v>5</v>
      </c>
      <c r="X414">
        <f t="shared" si="46"/>
        <v>25</v>
      </c>
      <c r="Y414" cm="1">
        <f t="array" ref="Y414">MAX(IF($C$2:$C$1387=C414,$X$2:$X$1387))</f>
        <v>30</v>
      </c>
      <c r="Z414" cm="1">
        <f t="array" ref="Z414">MIN(IF($C$2:$C$1387=C414,$X$2:$X$1387))</f>
        <v>14</v>
      </c>
      <c r="AA414">
        <f t="shared" si="47"/>
        <v>16</v>
      </c>
      <c r="AB414">
        <f t="shared" si="48"/>
        <v>0.6875</v>
      </c>
    </row>
    <row r="415" spans="1:28" x14ac:dyDescent="0.25">
      <c r="A415" t="s">
        <v>164</v>
      </c>
      <c r="B415" t="s">
        <v>165</v>
      </c>
      <c r="C415">
        <v>2015</v>
      </c>
      <c r="D415">
        <v>0.80586538461538459</v>
      </c>
      <c r="E415">
        <v>0.87789846153846152</v>
      </c>
      <c r="F415">
        <v>0</v>
      </c>
      <c r="G415">
        <v>1.9459101490553132</v>
      </c>
      <c r="H415">
        <v>0.7142857142857143</v>
      </c>
      <c r="I415">
        <v>1</v>
      </c>
      <c r="J415">
        <v>0</v>
      </c>
      <c r="K415">
        <v>5</v>
      </c>
      <c r="L415">
        <v>5</v>
      </c>
      <c r="M415">
        <v>1</v>
      </c>
      <c r="N415">
        <v>1</v>
      </c>
      <c r="O415">
        <v>3</v>
      </c>
      <c r="P415">
        <v>2</v>
      </c>
      <c r="Q415">
        <f t="shared" si="42"/>
        <v>5</v>
      </c>
      <c r="R415">
        <f t="shared" si="43"/>
        <v>22</v>
      </c>
      <c r="S415">
        <f t="array" ref="S415">MAX(IF($C$2:$C$1387=C415,$R$2:$R$1387))</f>
        <v>29</v>
      </c>
      <c r="T415" cm="1">
        <f t="array" ref="T415">MIN(IF($C$2:$C$1387=C415,$R$2:$R$1387))</f>
        <v>11</v>
      </c>
      <c r="U415">
        <f t="shared" si="44"/>
        <v>18</v>
      </c>
      <c r="V415">
        <f t="shared" si="45"/>
        <v>0.61111111111111116</v>
      </c>
      <c r="W415" cm="1">
        <f t="array" ref="W415">_xlfn.IFS(N415=1,5,N415=2,4,N415=4,2,N415=5,1,N415=3,3)</f>
        <v>5</v>
      </c>
      <c r="X415">
        <f t="shared" si="46"/>
        <v>26</v>
      </c>
      <c r="Y415" cm="1">
        <f t="array" ref="Y415">MAX(IF($C$2:$C$1387=C415,$X$2:$X$1387))</f>
        <v>29</v>
      </c>
      <c r="Z415" cm="1">
        <f t="array" ref="Z415">MIN(IF($C$2:$C$1387=C415,$X$2:$X$1387))</f>
        <v>12</v>
      </c>
      <c r="AA415">
        <f t="shared" si="47"/>
        <v>17</v>
      </c>
      <c r="AB415">
        <f t="shared" si="48"/>
        <v>0.82352941176470584</v>
      </c>
    </row>
    <row r="416" spans="1:28" x14ac:dyDescent="0.25">
      <c r="A416" t="s">
        <v>166</v>
      </c>
      <c r="B416" t="s">
        <v>167</v>
      </c>
      <c r="C416">
        <v>2010</v>
      </c>
      <c r="D416">
        <v>0.25940000534057617</v>
      </c>
      <c r="E416">
        <v>0.57595981735159818</v>
      </c>
      <c r="F416">
        <v>8.7499999999999994E-2</v>
      </c>
      <c r="G416">
        <v>1.9459101490553132</v>
      </c>
      <c r="H416">
        <v>0.7142857142857143</v>
      </c>
      <c r="I416">
        <v>1</v>
      </c>
      <c r="J416">
        <v>0</v>
      </c>
      <c r="K416">
        <v>3</v>
      </c>
      <c r="L416">
        <v>2</v>
      </c>
      <c r="M416">
        <v>4</v>
      </c>
      <c r="N416">
        <v>1</v>
      </c>
      <c r="O416">
        <v>4</v>
      </c>
      <c r="P416">
        <v>3</v>
      </c>
      <c r="Q416">
        <f t="shared" si="42"/>
        <v>5</v>
      </c>
      <c r="R416">
        <f t="shared" si="43"/>
        <v>22</v>
      </c>
      <c r="S416">
        <f t="array" ref="S416">MAX(IF($C$2:$C$1387=C416,$R$2:$R$1387))</f>
        <v>29</v>
      </c>
      <c r="T416" cm="1">
        <f t="array" ref="T416">MIN(IF($C$2:$C$1387=C416,$R$2:$R$1387))</f>
        <v>9</v>
      </c>
      <c r="U416">
        <f t="shared" si="44"/>
        <v>20</v>
      </c>
      <c r="V416">
        <f t="shared" si="45"/>
        <v>0.65</v>
      </c>
      <c r="W416" cm="1">
        <f t="array" ref="W416">_xlfn.IFS(N416=1,5,N416=2,4,N416=4,2,N416=5,1,N416=3,3)</f>
        <v>5</v>
      </c>
      <c r="X416">
        <f t="shared" si="46"/>
        <v>26</v>
      </c>
      <c r="Y416" cm="1">
        <f t="array" ref="Y416">MAX(IF($C$2:$C$1387=C416,$X$2:$X$1387))</f>
        <v>29</v>
      </c>
      <c r="Z416" cm="1">
        <f t="array" ref="Z416">MIN(IF($C$2:$C$1387=C416,$X$2:$X$1387))</f>
        <v>12</v>
      </c>
      <c r="AA416">
        <f t="shared" si="47"/>
        <v>17</v>
      </c>
      <c r="AB416">
        <f t="shared" si="48"/>
        <v>0.82352941176470584</v>
      </c>
    </row>
    <row r="417" spans="1:28" x14ac:dyDescent="0.25">
      <c r="A417" t="s">
        <v>166</v>
      </c>
      <c r="B417" t="s">
        <v>167</v>
      </c>
      <c r="C417">
        <v>2011</v>
      </c>
      <c r="D417">
        <v>0.4705592694063927</v>
      </c>
      <c r="E417">
        <v>0.57902347031963475</v>
      </c>
      <c r="F417">
        <v>0.13889068493150686</v>
      </c>
      <c r="G417">
        <v>1.9459101490553132</v>
      </c>
      <c r="H417">
        <v>0.7142857142857143</v>
      </c>
      <c r="I417">
        <v>1</v>
      </c>
      <c r="J417">
        <v>0</v>
      </c>
      <c r="K417">
        <v>4</v>
      </c>
      <c r="L417">
        <v>2</v>
      </c>
      <c r="M417">
        <v>4</v>
      </c>
      <c r="N417">
        <v>1</v>
      </c>
      <c r="O417">
        <v>4</v>
      </c>
      <c r="P417">
        <v>3</v>
      </c>
      <c r="Q417">
        <f t="shared" si="42"/>
        <v>5</v>
      </c>
      <c r="R417">
        <f t="shared" si="43"/>
        <v>23</v>
      </c>
      <c r="S417">
        <f t="array" ref="S417">MAX(IF($C$2:$C$1387=C417,$R$2:$R$1387))</f>
        <v>28</v>
      </c>
      <c r="T417" cm="1">
        <f t="array" ref="T417">MIN(IF($C$2:$C$1387=C417,$R$2:$R$1387))</f>
        <v>10</v>
      </c>
      <c r="U417">
        <f t="shared" si="44"/>
        <v>18</v>
      </c>
      <c r="V417">
        <f t="shared" si="45"/>
        <v>0.72222222222222221</v>
      </c>
      <c r="W417" cm="1">
        <f t="array" ref="W417">_xlfn.IFS(N417=1,5,N417=2,4,N417=4,2,N417=5,1,N417=3,3)</f>
        <v>5</v>
      </c>
      <c r="X417">
        <f t="shared" si="46"/>
        <v>27</v>
      </c>
      <c r="Y417" cm="1">
        <f t="array" ref="Y417">MAX(IF($C$2:$C$1387=C417,$X$2:$X$1387))</f>
        <v>29</v>
      </c>
      <c r="Z417" cm="1">
        <f t="array" ref="Z417">MIN(IF($C$2:$C$1387=C417,$X$2:$X$1387))</f>
        <v>12</v>
      </c>
      <c r="AA417">
        <f t="shared" si="47"/>
        <v>17</v>
      </c>
      <c r="AB417">
        <f t="shared" si="48"/>
        <v>0.88235294117647056</v>
      </c>
    </row>
    <row r="418" spans="1:28" x14ac:dyDescent="0.25">
      <c r="A418" t="s">
        <v>166</v>
      </c>
      <c r="B418" t="s">
        <v>167</v>
      </c>
      <c r="C418">
        <v>2012</v>
      </c>
      <c r="D418">
        <v>0.47061652968036527</v>
      </c>
      <c r="E418">
        <v>0.54456310502283101</v>
      </c>
      <c r="F418">
        <v>0.13657123287671233</v>
      </c>
      <c r="G418">
        <v>1.9459101490553132</v>
      </c>
      <c r="H418">
        <v>0.7142857142857143</v>
      </c>
      <c r="I418">
        <v>1</v>
      </c>
      <c r="J418">
        <v>0</v>
      </c>
      <c r="K418">
        <v>4</v>
      </c>
      <c r="L418">
        <v>2</v>
      </c>
      <c r="M418">
        <v>4</v>
      </c>
      <c r="N418">
        <v>1</v>
      </c>
      <c r="O418">
        <v>4</v>
      </c>
      <c r="P418">
        <v>3</v>
      </c>
      <c r="Q418">
        <f t="shared" si="42"/>
        <v>5</v>
      </c>
      <c r="R418">
        <f t="shared" si="43"/>
        <v>23</v>
      </c>
      <c r="S418">
        <f t="array" ref="S418">MAX(IF($C$2:$C$1387=C418,$R$2:$R$1387))</f>
        <v>29</v>
      </c>
      <c r="T418" cm="1">
        <f t="array" ref="T418">MIN(IF($C$2:$C$1387=C418,$R$2:$R$1387))</f>
        <v>11</v>
      </c>
      <c r="U418">
        <f t="shared" si="44"/>
        <v>18</v>
      </c>
      <c r="V418">
        <f t="shared" si="45"/>
        <v>0.66666666666666663</v>
      </c>
      <c r="W418" cm="1">
        <f t="array" ref="W418">_xlfn.IFS(N418=1,5,N418=2,4,N418=4,2,N418=5,1,N418=3,3)</f>
        <v>5</v>
      </c>
      <c r="X418">
        <f t="shared" si="46"/>
        <v>27</v>
      </c>
      <c r="Y418" cm="1">
        <f t="array" ref="Y418">MAX(IF($C$2:$C$1387=C418,$X$2:$X$1387))</f>
        <v>30</v>
      </c>
      <c r="Z418" cm="1">
        <f t="array" ref="Z418">MIN(IF($C$2:$C$1387=C418,$X$2:$X$1387))</f>
        <v>12</v>
      </c>
      <c r="AA418">
        <f t="shared" si="47"/>
        <v>18</v>
      </c>
      <c r="AB418">
        <f t="shared" si="48"/>
        <v>0.83333333333333337</v>
      </c>
    </row>
    <row r="419" spans="1:28" x14ac:dyDescent="0.25">
      <c r="A419" t="s">
        <v>166</v>
      </c>
      <c r="B419" t="s">
        <v>167</v>
      </c>
      <c r="C419">
        <v>2013</v>
      </c>
      <c r="D419">
        <v>0.4696460273972603</v>
      </c>
      <c r="E419">
        <v>0.59094484018264837</v>
      </c>
      <c r="F419">
        <v>0.11936630136986301</v>
      </c>
      <c r="G419">
        <v>2.0794415416798357</v>
      </c>
      <c r="H419">
        <v>0.625</v>
      </c>
      <c r="I419">
        <v>1</v>
      </c>
      <c r="J419">
        <v>0</v>
      </c>
      <c r="K419">
        <v>4</v>
      </c>
      <c r="L419">
        <v>3</v>
      </c>
      <c r="M419">
        <v>4</v>
      </c>
      <c r="N419">
        <v>3</v>
      </c>
      <c r="O419">
        <v>3</v>
      </c>
      <c r="P419">
        <v>3</v>
      </c>
      <c r="Q419">
        <f t="shared" si="42"/>
        <v>5</v>
      </c>
      <c r="R419">
        <f t="shared" si="43"/>
        <v>25</v>
      </c>
      <c r="S419">
        <f t="array" ref="S419">MAX(IF($C$2:$C$1387=C419,$R$2:$R$1387))</f>
        <v>29</v>
      </c>
      <c r="T419" cm="1">
        <f t="array" ref="T419">MIN(IF($C$2:$C$1387=C419,$R$2:$R$1387))</f>
        <v>10</v>
      </c>
      <c r="U419">
        <f t="shared" si="44"/>
        <v>19</v>
      </c>
      <c r="V419">
        <f t="shared" si="45"/>
        <v>0.78947368421052633</v>
      </c>
      <c r="W419" cm="1">
        <f t="array" ref="W419">_xlfn.IFS(N419=1,5,N419=2,4,N419=4,2,N419=5,1,N419=3,3)</f>
        <v>3</v>
      </c>
      <c r="X419">
        <f t="shared" si="46"/>
        <v>25</v>
      </c>
      <c r="Y419" cm="1">
        <f t="array" ref="Y419">MAX(IF($C$2:$C$1387=C419,$X$2:$X$1387))</f>
        <v>32</v>
      </c>
      <c r="Z419" cm="1">
        <f t="array" ref="Z419">MIN(IF($C$2:$C$1387=C419,$X$2:$X$1387))</f>
        <v>10</v>
      </c>
      <c r="AA419">
        <f t="shared" si="47"/>
        <v>22</v>
      </c>
      <c r="AB419">
        <f t="shared" si="48"/>
        <v>0.68181818181818177</v>
      </c>
    </row>
    <row r="420" spans="1:28" x14ac:dyDescent="0.25">
      <c r="A420" t="s">
        <v>166</v>
      </c>
      <c r="B420" t="s">
        <v>167</v>
      </c>
      <c r="C420">
        <v>2014</v>
      </c>
      <c r="D420">
        <v>0.4689270319634703</v>
      </c>
      <c r="E420">
        <v>0.66635324200913237</v>
      </c>
      <c r="F420">
        <v>0.17005022831050229</v>
      </c>
      <c r="G420">
        <v>1.9459101490553132</v>
      </c>
      <c r="H420">
        <v>0.7142857142857143</v>
      </c>
      <c r="I420">
        <v>1</v>
      </c>
      <c r="J420">
        <v>0</v>
      </c>
      <c r="K420">
        <v>4</v>
      </c>
      <c r="L420">
        <v>3</v>
      </c>
      <c r="M420">
        <v>5</v>
      </c>
      <c r="N420">
        <v>1</v>
      </c>
      <c r="O420">
        <v>4</v>
      </c>
      <c r="P420">
        <v>3</v>
      </c>
      <c r="Q420">
        <f t="shared" si="42"/>
        <v>5</v>
      </c>
      <c r="R420">
        <f t="shared" si="43"/>
        <v>25</v>
      </c>
      <c r="S420">
        <f t="array" ref="S420">MAX(IF($C$2:$C$1387=C420,$R$2:$R$1387))</f>
        <v>29</v>
      </c>
      <c r="T420" cm="1">
        <f t="array" ref="T420">MIN(IF($C$2:$C$1387=C420,$R$2:$R$1387))</f>
        <v>11</v>
      </c>
      <c r="U420">
        <f t="shared" si="44"/>
        <v>18</v>
      </c>
      <c r="V420">
        <f t="shared" si="45"/>
        <v>0.77777777777777779</v>
      </c>
      <c r="W420" cm="1">
        <f t="array" ref="W420">_xlfn.IFS(N420=1,5,N420=2,4,N420=4,2,N420=5,1,N420=3,3)</f>
        <v>5</v>
      </c>
      <c r="X420">
        <f t="shared" si="46"/>
        <v>29</v>
      </c>
      <c r="Y420" cm="1">
        <f t="array" ref="Y420">MAX(IF($C$2:$C$1387=C420,$X$2:$X$1387))</f>
        <v>30</v>
      </c>
      <c r="Z420" cm="1">
        <f t="array" ref="Z420">MIN(IF($C$2:$C$1387=C420,$X$2:$X$1387))</f>
        <v>14</v>
      </c>
      <c r="AA420">
        <f t="shared" si="47"/>
        <v>16</v>
      </c>
      <c r="AB420">
        <f t="shared" si="48"/>
        <v>0.9375</v>
      </c>
    </row>
    <row r="421" spans="1:28" x14ac:dyDescent="0.25">
      <c r="A421" t="s">
        <v>166</v>
      </c>
      <c r="B421" t="s">
        <v>167</v>
      </c>
      <c r="C421">
        <v>2015</v>
      </c>
      <c r="D421">
        <v>0.4415297716894977</v>
      </c>
      <c r="E421">
        <v>0.53409552511415526</v>
      </c>
      <c r="F421">
        <v>0.19041552511415524</v>
      </c>
      <c r="G421">
        <v>2.0794415416798357</v>
      </c>
      <c r="H421">
        <v>0.625</v>
      </c>
      <c r="I421">
        <v>0.66666666666666663</v>
      </c>
      <c r="J421">
        <v>0</v>
      </c>
      <c r="K421">
        <v>4</v>
      </c>
      <c r="L421">
        <v>2</v>
      </c>
      <c r="M421">
        <v>5</v>
      </c>
      <c r="N421">
        <v>3</v>
      </c>
      <c r="O421">
        <v>2</v>
      </c>
      <c r="P421">
        <v>1</v>
      </c>
      <c r="Q421">
        <f t="shared" si="42"/>
        <v>5</v>
      </c>
      <c r="R421">
        <f t="shared" si="43"/>
        <v>22</v>
      </c>
      <c r="S421">
        <f t="array" ref="S421">MAX(IF($C$2:$C$1387=C421,$R$2:$R$1387))</f>
        <v>29</v>
      </c>
      <c r="T421" cm="1">
        <f t="array" ref="T421">MIN(IF($C$2:$C$1387=C421,$R$2:$R$1387))</f>
        <v>11</v>
      </c>
      <c r="U421">
        <f t="shared" si="44"/>
        <v>18</v>
      </c>
      <c r="V421">
        <f t="shared" si="45"/>
        <v>0.61111111111111116</v>
      </c>
      <c r="W421" cm="1">
        <f t="array" ref="W421">_xlfn.IFS(N421=1,5,N421=2,4,N421=4,2,N421=5,1,N421=3,3)</f>
        <v>3</v>
      </c>
      <c r="X421">
        <f t="shared" si="46"/>
        <v>22</v>
      </c>
      <c r="Y421" cm="1">
        <f t="array" ref="Y421">MAX(IF($C$2:$C$1387=C421,$X$2:$X$1387))</f>
        <v>29</v>
      </c>
      <c r="Z421" cm="1">
        <f t="array" ref="Z421">MIN(IF($C$2:$C$1387=C421,$X$2:$X$1387))</f>
        <v>12</v>
      </c>
      <c r="AA421">
        <f t="shared" si="47"/>
        <v>17</v>
      </c>
      <c r="AB421">
        <f t="shared" si="48"/>
        <v>0.58823529411764708</v>
      </c>
    </row>
    <row r="422" spans="1:28" x14ac:dyDescent="0.25">
      <c r="A422" t="s">
        <v>168</v>
      </c>
      <c r="B422" t="s">
        <v>169</v>
      </c>
      <c r="C422">
        <v>2010</v>
      </c>
      <c r="D422">
        <v>2.7309766045968256E-2</v>
      </c>
      <c r="E422">
        <v>0.50073175584773455</v>
      </c>
      <c r="F422">
        <v>0.18692279619829713</v>
      </c>
      <c r="G422">
        <v>2.5649493574615367</v>
      </c>
      <c r="H422">
        <v>0.30769230769230771</v>
      </c>
      <c r="I422">
        <v>1</v>
      </c>
      <c r="J422">
        <v>0</v>
      </c>
      <c r="K422">
        <v>2</v>
      </c>
      <c r="L422">
        <v>2</v>
      </c>
      <c r="M422">
        <v>5</v>
      </c>
      <c r="N422">
        <v>5</v>
      </c>
      <c r="O422">
        <v>1</v>
      </c>
      <c r="P422">
        <v>3</v>
      </c>
      <c r="Q422">
        <f t="shared" si="42"/>
        <v>5</v>
      </c>
      <c r="R422">
        <f t="shared" si="43"/>
        <v>23</v>
      </c>
      <c r="S422">
        <f t="array" ref="S422">MAX(IF($C$2:$C$1387=C422,$R$2:$R$1387))</f>
        <v>29</v>
      </c>
      <c r="T422" cm="1">
        <f t="array" ref="T422">MIN(IF($C$2:$C$1387=C422,$R$2:$R$1387))</f>
        <v>9</v>
      </c>
      <c r="U422">
        <f t="shared" si="44"/>
        <v>20</v>
      </c>
      <c r="V422">
        <f t="shared" si="45"/>
        <v>0.7</v>
      </c>
      <c r="W422" cm="1">
        <f t="array" ref="W422">_xlfn.IFS(N422=1,5,N422=2,4,N422=4,2,N422=5,1,N422=3,3)</f>
        <v>1</v>
      </c>
      <c r="X422">
        <f t="shared" si="46"/>
        <v>19</v>
      </c>
      <c r="Y422" cm="1">
        <f t="array" ref="Y422">MAX(IF($C$2:$C$1387=C422,$X$2:$X$1387))</f>
        <v>29</v>
      </c>
      <c r="Z422" cm="1">
        <f t="array" ref="Z422">MIN(IF($C$2:$C$1387=C422,$X$2:$X$1387))</f>
        <v>12</v>
      </c>
      <c r="AA422">
        <f t="shared" si="47"/>
        <v>17</v>
      </c>
      <c r="AB422">
        <f t="shared" si="48"/>
        <v>0.41176470588235292</v>
      </c>
    </row>
    <row r="423" spans="1:28" x14ac:dyDescent="0.25">
      <c r="A423" t="s">
        <v>168</v>
      </c>
      <c r="B423" t="s">
        <v>169</v>
      </c>
      <c r="C423">
        <v>2011</v>
      </c>
      <c r="D423">
        <v>2.7309766045968256E-2</v>
      </c>
      <c r="E423">
        <v>0.50073175584773455</v>
      </c>
      <c r="F423">
        <v>0.18692279619829713</v>
      </c>
      <c r="G423">
        <v>2.5649493574615367</v>
      </c>
      <c r="H423">
        <v>0.30769230769230771</v>
      </c>
      <c r="I423">
        <v>1</v>
      </c>
      <c r="J423">
        <v>0</v>
      </c>
      <c r="K423">
        <v>2</v>
      </c>
      <c r="L423">
        <v>2</v>
      </c>
      <c r="M423">
        <v>5</v>
      </c>
      <c r="N423">
        <v>5</v>
      </c>
      <c r="O423">
        <v>1</v>
      </c>
      <c r="P423">
        <v>3</v>
      </c>
      <c r="Q423">
        <f t="shared" si="42"/>
        <v>5</v>
      </c>
      <c r="R423">
        <f t="shared" si="43"/>
        <v>23</v>
      </c>
      <c r="S423">
        <f t="array" ref="S423">MAX(IF($C$2:$C$1387=C423,$R$2:$R$1387))</f>
        <v>28</v>
      </c>
      <c r="T423" cm="1">
        <f t="array" ref="T423">MIN(IF($C$2:$C$1387=C423,$R$2:$R$1387))</f>
        <v>10</v>
      </c>
      <c r="U423">
        <f t="shared" si="44"/>
        <v>18</v>
      </c>
      <c r="V423">
        <f t="shared" si="45"/>
        <v>0.72222222222222221</v>
      </c>
      <c r="W423" cm="1">
        <f t="array" ref="W423">_xlfn.IFS(N423=1,5,N423=2,4,N423=4,2,N423=5,1,N423=3,3)</f>
        <v>1</v>
      </c>
      <c r="X423">
        <f t="shared" si="46"/>
        <v>19</v>
      </c>
      <c r="Y423" cm="1">
        <f t="array" ref="Y423">MAX(IF($C$2:$C$1387=C423,$X$2:$X$1387))</f>
        <v>29</v>
      </c>
      <c r="Z423" cm="1">
        <f t="array" ref="Z423">MIN(IF($C$2:$C$1387=C423,$X$2:$X$1387))</f>
        <v>12</v>
      </c>
      <c r="AA423">
        <f t="shared" si="47"/>
        <v>17</v>
      </c>
      <c r="AB423">
        <f t="shared" si="48"/>
        <v>0.41176470588235292</v>
      </c>
    </row>
    <row r="424" spans="1:28" x14ac:dyDescent="0.25">
      <c r="A424" t="s">
        <v>168</v>
      </c>
      <c r="B424" t="s">
        <v>169</v>
      </c>
      <c r="C424">
        <v>2012</v>
      </c>
      <c r="D424">
        <v>1.1029681422223721E-2</v>
      </c>
      <c r="E424">
        <v>0.51696760335972836</v>
      </c>
      <c r="F424">
        <v>9.3783444938805222E-2</v>
      </c>
      <c r="G424">
        <v>2.4849066497880004</v>
      </c>
      <c r="H424">
        <v>0.66666666666666663</v>
      </c>
      <c r="I424">
        <v>0.5</v>
      </c>
      <c r="J424">
        <v>0</v>
      </c>
      <c r="K424">
        <v>2</v>
      </c>
      <c r="L424">
        <v>2</v>
      </c>
      <c r="M424">
        <v>4</v>
      </c>
      <c r="N424">
        <v>5</v>
      </c>
      <c r="O424">
        <v>3</v>
      </c>
      <c r="P424">
        <v>1</v>
      </c>
      <c r="Q424">
        <f t="shared" si="42"/>
        <v>5</v>
      </c>
      <c r="R424">
        <f t="shared" si="43"/>
        <v>22</v>
      </c>
      <c r="S424">
        <f t="array" ref="S424">MAX(IF($C$2:$C$1387=C424,$R$2:$R$1387))</f>
        <v>29</v>
      </c>
      <c r="T424" cm="1">
        <f t="array" ref="T424">MIN(IF($C$2:$C$1387=C424,$R$2:$R$1387))</f>
        <v>11</v>
      </c>
      <c r="U424">
        <f t="shared" si="44"/>
        <v>18</v>
      </c>
      <c r="V424">
        <f t="shared" si="45"/>
        <v>0.61111111111111116</v>
      </c>
      <c r="W424" cm="1">
        <f t="array" ref="W424">_xlfn.IFS(N424=1,5,N424=2,4,N424=4,2,N424=5,1,N424=3,3)</f>
        <v>1</v>
      </c>
      <c r="X424">
        <f t="shared" si="46"/>
        <v>18</v>
      </c>
      <c r="Y424" cm="1">
        <f t="array" ref="Y424">MAX(IF($C$2:$C$1387=C424,$X$2:$X$1387))</f>
        <v>30</v>
      </c>
      <c r="Z424" cm="1">
        <f t="array" ref="Z424">MIN(IF($C$2:$C$1387=C424,$X$2:$X$1387))</f>
        <v>12</v>
      </c>
      <c r="AA424">
        <f t="shared" si="47"/>
        <v>18</v>
      </c>
      <c r="AB424">
        <f t="shared" si="48"/>
        <v>0.33333333333333331</v>
      </c>
    </row>
    <row r="425" spans="1:28" x14ac:dyDescent="0.25">
      <c r="A425" t="s">
        <v>168</v>
      </c>
      <c r="B425" t="s">
        <v>169</v>
      </c>
      <c r="C425">
        <v>2013</v>
      </c>
      <c r="D425">
        <v>1.1640306619071984E-2</v>
      </c>
      <c r="E425">
        <v>0.52196337040573648</v>
      </c>
      <c r="F425">
        <v>6.0783983574562828E-2</v>
      </c>
      <c r="G425">
        <v>2.4849066497880004</v>
      </c>
      <c r="H425">
        <v>0.58333333333333337</v>
      </c>
      <c r="I425">
        <v>0.5</v>
      </c>
      <c r="J425">
        <v>0</v>
      </c>
      <c r="K425">
        <v>2</v>
      </c>
      <c r="L425">
        <v>2</v>
      </c>
      <c r="M425">
        <v>3</v>
      </c>
      <c r="N425">
        <v>5</v>
      </c>
      <c r="O425">
        <v>3</v>
      </c>
      <c r="P425">
        <v>1</v>
      </c>
      <c r="Q425">
        <f t="shared" si="42"/>
        <v>5</v>
      </c>
      <c r="R425">
        <f t="shared" si="43"/>
        <v>21</v>
      </c>
      <c r="S425">
        <f t="array" ref="S425">MAX(IF($C$2:$C$1387=C425,$R$2:$R$1387))</f>
        <v>29</v>
      </c>
      <c r="T425" cm="1">
        <f t="array" ref="T425">MIN(IF($C$2:$C$1387=C425,$R$2:$R$1387))</f>
        <v>10</v>
      </c>
      <c r="U425">
        <f t="shared" si="44"/>
        <v>19</v>
      </c>
      <c r="V425">
        <f t="shared" si="45"/>
        <v>0.57894736842105265</v>
      </c>
      <c r="W425" cm="1">
        <f t="array" ref="W425">_xlfn.IFS(N425=1,5,N425=2,4,N425=4,2,N425=5,1,N425=3,3)</f>
        <v>1</v>
      </c>
      <c r="X425">
        <f t="shared" si="46"/>
        <v>17</v>
      </c>
      <c r="Y425" cm="1">
        <f t="array" ref="Y425">MAX(IF($C$2:$C$1387=C425,$X$2:$X$1387))</f>
        <v>32</v>
      </c>
      <c r="Z425" cm="1">
        <f t="array" ref="Z425">MIN(IF($C$2:$C$1387=C425,$X$2:$X$1387))</f>
        <v>10</v>
      </c>
      <c r="AA425">
        <f t="shared" si="47"/>
        <v>22</v>
      </c>
      <c r="AB425">
        <f t="shared" si="48"/>
        <v>0.31818181818181818</v>
      </c>
    </row>
    <row r="426" spans="1:28" x14ac:dyDescent="0.25">
      <c r="A426" t="s">
        <v>168</v>
      </c>
      <c r="B426" t="s">
        <v>169</v>
      </c>
      <c r="C426">
        <v>2014</v>
      </c>
      <c r="D426">
        <v>1.2028339770980926E-2</v>
      </c>
      <c r="E426">
        <v>0.51937055518158404</v>
      </c>
      <c r="F426">
        <v>9.7153925375319486E-2</v>
      </c>
      <c r="G426">
        <v>2.4849066497880004</v>
      </c>
      <c r="H426">
        <v>0.66666666666666663</v>
      </c>
      <c r="I426">
        <v>0.5</v>
      </c>
      <c r="J426">
        <v>0</v>
      </c>
      <c r="K426">
        <v>2</v>
      </c>
      <c r="L426">
        <v>2</v>
      </c>
      <c r="M426">
        <v>4</v>
      </c>
      <c r="N426">
        <v>5</v>
      </c>
      <c r="O426">
        <v>4</v>
      </c>
      <c r="P426">
        <v>1</v>
      </c>
      <c r="Q426">
        <f t="shared" si="42"/>
        <v>5</v>
      </c>
      <c r="R426">
        <f t="shared" si="43"/>
        <v>23</v>
      </c>
      <c r="S426">
        <f t="array" ref="S426">MAX(IF($C$2:$C$1387=C426,$R$2:$R$1387))</f>
        <v>29</v>
      </c>
      <c r="T426" cm="1">
        <f t="array" ref="T426">MIN(IF($C$2:$C$1387=C426,$R$2:$R$1387))</f>
        <v>11</v>
      </c>
      <c r="U426">
        <f t="shared" si="44"/>
        <v>18</v>
      </c>
      <c r="V426">
        <f t="shared" si="45"/>
        <v>0.66666666666666663</v>
      </c>
      <c r="W426" cm="1">
        <f t="array" ref="W426">_xlfn.IFS(N426=1,5,N426=2,4,N426=4,2,N426=5,1,N426=3,3)</f>
        <v>1</v>
      </c>
      <c r="X426">
        <f t="shared" si="46"/>
        <v>19</v>
      </c>
      <c r="Y426" cm="1">
        <f t="array" ref="Y426">MAX(IF($C$2:$C$1387=C426,$X$2:$X$1387))</f>
        <v>30</v>
      </c>
      <c r="Z426" cm="1">
        <f t="array" ref="Z426">MIN(IF($C$2:$C$1387=C426,$X$2:$X$1387))</f>
        <v>14</v>
      </c>
      <c r="AA426">
        <f t="shared" si="47"/>
        <v>16</v>
      </c>
      <c r="AB426">
        <f t="shared" si="48"/>
        <v>0.3125</v>
      </c>
    </row>
    <row r="427" spans="1:28" x14ac:dyDescent="0.25">
      <c r="A427" t="s">
        <v>168</v>
      </c>
      <c r="B427" t="s">
        <v>169</v>
      </c>
      <c r="C427">
        <v>2015</v>
      </c>
      <c r="D427">
        <v>1.3300251550849356E-2</v>
      </c>
      <c r="E427">
        <v>0.51568297171993871</v>
      </c>
      <c r="F427">
        <v>0.12047152269637935</v>
      </c>
      <c r="G427">
        <v>2.3025850929940459</v>
      </c>
      <c r="H427">
        <v>0.9</v>
      </c>
      <c r="I427">
        <v>0.5</v>
      </c>
      <c r="J427">
        <v>0</v>
      </c>
      <c r="K427">
        <v>2</v>
      </c>
      <c r="L427">
        <v>2</v>
      </c>
      <c r="M427">
        <v>4</v>
      </c>
      <c r="N427">
        <v>5</v>
      </c>
      <c r="O427">
        <v>5</v>
      </c>
      <c r="P427">
        <v>1</v>
      </c>
      <c r="Q427">
        <f t="shared" si="42"/>
        <v>5</v>
      </c>
      <c r="R427">
        <f t="shared" si="43"/>
        <v>24</v>
      </c>
      <c r="S427">
        <f t="array" ref="S427">MAX(IF($C$2:$C$1387=C427,$R$2:$R$1387))</f>
        <v>29</v>
      </c>
      <c r="T427" cm="1">
        <f t="array" ref="T427">MIN(IF($C$2:$C$1387=C427,$R$2:$R$1387))</f>
        <v>11</v>
      </c>
      <c r="U427">
        <f t="shared" si="44"/>
        <v>18</v>
      </c>
      <c r="V427">
        <f t="shared" si="45"/>
        <v>0.72222222222222221</v>
      </c>
      <c r="W427" cm="1">
        <f t="array" ref="W427">_xlfn.IFS(N427=1,5,N427=2,4,N427=4,2,N427=5,1,N427=3,3)</f>
        <v>1</v>
      </c>
      <c r="X427">
        <f t="shared" si="46"/>
        <v>20</v>
      </c>
      <c r="Y427" cm="1">
        <f t="array" ref="Y427">MAX(IF($C$2:$C$1387=C427,$X$2:$X$1387))</f>
        <v>29</v>
      </c>
      <c r="Z427" cm="1">
        <f t="array" ref="Z427">MIN(IF($C$2:$C$1387=C427,$X$2:$X$1387))</f>
        <v>12</v>
      </c>
      <c r="AA427">
        <f t="shared" si="47"/>
        <v>17</v>
      </c>
      <c r="AB427">
        <f t="shared" si="48"/>
        <v>0.47058823529411764</v>
      </c>
    </row>
    <row r="428" spans="1:28" x14ac:dyDescent="0.25">
      <c r="A428" t="s">
        <v>170</v>
      </c>
      <c r="B428" t="s">
        <v>171</v>
      </c>
      <c r="C428">
        <v>2010</v>
      </c>
      <c r="D428">
        <v>4.1219482354910722E-3</v>
      </c>
      <c r="E428">
        <v>0.84688770468581565</v>
      </c>
      <c r="F428">
        <v>3.4104172508564186E-2</v>
      </c>
      <c r="G428">
        <v>2.3025850929940459</v>
      </c>
      <c r="H428">
        <v>0.9</v>
      </c>
      <c r="I428">
        <v>1</v>
      </c>
      <c r="J428">
        <v>0</v>
      </c>
      <c r="K428">
        <v>2</v>
      </c>
      <c r="L428">
        <v>5</v>
      </c>
      <c r="M428">
        <v>3</v>
      </c>
      <c r="N428">
        <v>5</v>
      </c>
      <c r="O428">
        <v>5</v>
      </c>
      <c r="P428">
        <v>3</v>
      </c>
      <c r="Q428">
        <f t="shared" si="42"/>
        <v>5</v>
      </c>
      <c r="R428">
        <f t="shared" si="43"/>
        <v>28</v>
      </c>
      <c r="S428">
        <f t="array" ref="S428">MAX(IF($C$2:$C$1387=C428,$R$2:$R$1387))</f>
        <v>29</v>
      </c>
      <c r="T428" cm="1">
        <f t="array" ref="T428">MIN(IF($C$2:$C$1387=C428,$R$2:$R$1387))</f>
        <v>9</v>
      </c>
      <c r="U428">
        <f t="shared" si="44"/>
        <v>20</v>
      </c>
      <c r="V428">
        <f t="shared" si="45"/>
        <v>0.95</v>
      </c>
      <c r="W428" cm="1">
        <f t="array" ref="W428">_xlfn.IFS(N428=1,5,N428=2,4,N428=4,2,N428=5,1,N428=3,3)</f>
        <v>1</v>
      </c>
      <c r="X428">
        <f t="shared" si="46"/>
        <v>24</v>
      </c>
      <c r="Y428" cm="1">
        <f t="array" ref="Y428">MAX(IF($C$2:$C$1387=C428,$X$2:$X$1387))</f>
        <v>29</v>
      </c>
      <c r="Z428" cm="1">
        <f t="array" ref="Z428">MIN(IF($C$2:$C$1387=C428,$X$2:$X$1387))</f>
        <v>12</v>
      </c>
      <c r="AA428">
        <f t="shared" si="47"/>
        <v>17</v>
      </c>
      <c r="AB428">
        <f t="shared" si="48"/>
        <v>0.70588235294117652</v>
      </c>
    </row>
    <row r="429" spans="1:28" x14ac:dyDescent="0.25">
      <c r="A429" t="s">
        <v>170</v>
      </c>
      <c r="B429" t="s">
        <v>171</v>
      </c>
      <c r="C429">
        <v>2011</v>
      </c>
      <c r="D429">
        <v>2.7398199174970082E-3</v>
      </c>
      <c r="E429">
        <v>0.84718414515680274</v>
      </c>
      <c r="F429">
        <v>2.9052619126372529E-2</v>
      </c>
      <c r="G429">
        <v>2.3025850929940459</v>
      </c>
      <c r="H429">
        <v>0.9</v>
      </c>
      <c r="I429">
        <v>1</v>
      </c>
      <c r="J429">
        <v>0</v>
      </c>
      <c r="K429">
        <v>2</v>
      </c>
      <c r="L429">
        <v>5</v>
      </c>
      <c r="M429">
        <v>2</v>
      </c>
      <c r="N429">
        <v>5</v>
      </c>
      <c r="O429">
        <v>5</v>
      </c>
      <c r="P429">
        <v>3</v>
      </c>
      <c r="Q429">
        <f t="shared" si="42"/>
        <v>5</v>
      </c>
      <c r="R429">
        <f t="shared" si="43"/>
        <v>27</v>
      </c>
      <c r="S429">
        <f t="array" ref="S429">MAX(IF($C$2:$C$1387=C429,$R$2:$R$1387))</f>
        <v>28</v>
      </c>
      <c r="T429" cm="1">
        <f t="array" ref="T429">MIN(IF($C$2:$C$1387=C429,$R$2:$R$1387))</f>
        <v>10</v>
      </c>
      <c r="U429">
        <f t="shared" si="44"/>
        <v>18</v>
      </c>
      <c r="V429">
        <f t="shared" si="45"/>
        <v>0.94444444444444442</v>
      </c>
      <c r="W429" cm="1">
        <f t="array" ref="W429">_xlfn.IFS(N429=1,5,N429=2,4,N429=4,2,N429=5,1,N429=3,3)</f>
        <v>1</v>
      </c>
      <c r="X429">
        <f t="shared" si="46"/>
        <v>23</v>
      </c>
      <c r="Y429" cm="1">
        <f t="array" ref="Y429">MAX(IF($C$2:$C$1387=C429,$X$2:$X$1387))</f>
        <v>29</v>
      </c>
      <c r="Z429" cm="1">
        <f t="array" ref="Z429">MIN(IF($C$2:$C$1387=C429,$X$2:$X$1387))</f>
        <v>12</v>
      </c>
      <c r="AA429">
        <f t="shared" si="47"/>
        <v>17</v>
      </c>
      <c r="AB429">
        <f t="shared" si="48"/>
        <v>0.6470588235294118</v>
      </c>
    </row>
    <row r="430" spans="1:28" x14ac:dyDescent="0.25">
      <c r="A430" t="s">
        <v>170</v>
      </c>
      <c r="B430" t="s">
        <v>171</v>
      </c>
      <c r="C430">
        <v>2012</v>
      </c>
      <c r="D430">
        <v>3.0144733801705228E-3</v>
      </c>
      <c r="E430">
        <v>0.84159661177610667</v>
      </c>
      <c r="F430">
        <v>9.5890057152168556E-3</v>
      </c>
      <c r="G430">
        <v>2.3025850929940459</v>
      </c>
      <c r="H430">
        <v>0.6</v>
      </c>
      <c r="I430">
        <v>0.5</v>
      </c>
      <c r="J430">
        <v>0</v>
      </c>
      <c r="K430">
        <v>2</v>
      </c>
      <c r="L430">
        <v>4</v>
      </c>
      <c r="M430">
        <v>2</v>
      </c>
      <c r="N430">
        <v>5</v>
      </c>
      <c r="O430">
        <v>3</v>
      </c>
      <c r="P430">
        <v>1</v>
      </c>
      <c r="Q430">
        <f t="shared" si="42"/>
        <v>5</v>
      </c>
      <c r="R430">
        <f t="shared" si="43"/>
        <v>22</v>
      </c>
      <c r="S430">
        <f t="array" ref="S430">MAX(IF($C$2:$C$1387=C430,$R$2:$R$1387))</f>
        <v>29</v>
      </c>
      <c r="T430" cm="1">
        <f t="array" ref="T430">MIN(IF($C$2:$C$1387=C430,$R$2:$R$1387))</f>
        <v>11</v>
      </c>
      <c r="U430">
        <f t="shared" si="44"/>
        <v>18</v>
      </c>
      <c r="V430">
        <f t="shared" si="45"/>
        <v>0.61111111111111116</v>
      </c>
      <c r="W430" cm="1">
        <f t="array" ref="W430">_xlfn.IFS(N430=1,5,N430=2,4,N430=4,2,N430=5,1,N430=3,3)</f>
        <v>1</v>
      </c>
      <c r="X430">
        <f t="shared" si="46"/>
        <v>18</v>
      </c>
      <c r="Y430" cm="1">
        <f t="array" ref="Y430">MAX(IF($C$2:$C$1387=C430,$X$2:$X$1387))</f>
        <v>30</v>
      </c>
      <c r="Z430" cm="1">
        <f t="array" ref="Z430">MIN(IF($C$2:$C$1387=C430,$X$2:$X$1387))</f>
        <v>12</v>
      </c>
      <c r="AA430">
        <f t="shared" si="47"/>
        <v>18</v>
      </c>
      <c r="AB430">
        <f t="shared" si="48"/>
        <v>0.33333333333333331</v>
      </c>
    </row>
    <row r="431" spans="1:28" x14ac:dyDescent="0.25">
      <c r="A431" t="s">
        <v>170</v>
      </c>
      <c r="B431" t="s">
        <v>171</v>
      </c>
      <c r="C431">
        <v>2013</v>
      </c>
      <c r="D431">
        <v>3.5104017583416449E-3</v>
      </c>
      <c r="E431">
        <v>0.84159661177610667</v>
      </c>
      <c r="F431">
        <v>8.8044397952899631E-3</v>
      </c>
      <c r="G431">
        <v>2.3025850929940459</v>
      </c>
      <c r="H431">
        <v>0.7</v>
      </c>
      <c r="I431">
        <v>0.75</v>
      </c>
      <c r="J431">
        <v>0</v>
      </c>
      <c r="K431">
        <v>2</v>
      </c>
      <c r="L431">
        <v>4</v>
      </c>
      <c r="M431">
        <v>2</v>
      </c>
      <c r="N431">
        <v>5</v>
      </c>
      <c r="O431">
        <v>4</v>
      </c>
      <c r="P431">
        <v>3</v>
      </c>
      <c r="Q431">
        <f t="shared" si="42"/>
        <v>5</v>
      </c>
      <c r="R431">
        <f t="shared" si="43"/>
        <v>25</v>
      </c>
      <c r="S431">
        <f t="array" ref="S431">MAX(IF($C$2:$C$1387=C431,$R$2:$R$1387))</f>
        <v>29</v>
      </c>
      <c r="T431" cm="1">
        <f t="array" ref="T431">MIN(IF($C$2:$C$1387=C431,$R$2:$R$1387))</f>
        <v>10</v>
      </c>
      <c r="U431">
        <f t="shared" si="44"/>
        <v>19</v>
      </c>
      <c r="V431">
        <f t="shared" si="45"/>
        <v>0.78947368421052633</v>
      </c>
      <c r="W431" cm="1">
        <f t="array" ref="W431">_xlfn.IFS(N431=1,5,N431=2,4,N431=4,2,N431=5,1,N431=3,3)</f>
        <v>1</v>
      </c>
      <c r="X431">
        <f t="shared" si="46"/>
        <v>21</v>
      </c>
      <c r="Y431" cm="1">
        <f t="array" ref="Y431">MAX(IF($C$2:$C$1387=C431,$X$2:$X$1387))</f>
        <v>32</v>
      </c>
      <c r="Z431" cm="1">
        <f t="array" ref="Z431">MIN(IF($C$2:$C$1387=C431,$X$2:$X$1387))</f>
        <v>10</v>
      </c>
      <c r="AA431">
        <f t="shared" si="47"/>
        <v>22</v>
      </c>
      <c r="AB431">
        <f t="shared" si="48"/>
        <v>0.5</v>
      </c>
    </row>
    <row r="432" spans="1:28" x14ac:dyDescent="0.25">
      <c r="A432" t="s">
        <v>170</v>
      </c>
      <c r="B432" t="s">
        <v>171</v>
      </c>
      <c r="C432">
        <v>2014</v>
      </c>
      <c r="D432">
        <v>1.3016633421495632E-3</v>
      </c>
      <c r="E432">
        <v>0.89043086078074862</v>
      </c>
      <c r="F432">
        <v>1.0561661869766811E-2</v>
      </c>
      <c r="G432">
        <v>2.3025850929940459</v>
      </c>
      <c r="H432">
        <v>0.6</v>
      </c>
      <c r="I432">
        <v>0.5</v>
      </c>
      <c r="J432">
        <v>0</v>
      </c>
      <c r="K432">
        <v>2</v>
      </c>
      <c r="L432">
        <v>5</v>
      </c>
      <c r="M432">
        <v>2</v>
      </c>
      <c r="N432">
        <v>5</v>
      </c>
      <c r="O432">
        <v>3</v>
      </c>
      <c r="P432">
        <v>1</v>
      </c>
      <c r="Q432">
        <f t="shared" si="42"/>
        <v>5</v>
      </c>
      <c r="R432">
        <f t="shared" si="43"/>
        <v>23</v>
      </c>
      <c r="S432">
        <f t="array" ref="S432">MAX(IF($C$2:$C$1387=C432,$R$2:$R$1387))</f>
        <v>29</v>
      </c>
      <c r="T432" cm="1">
        <f t="array" ref="T432">MIN(IF($C$2:$C$1387=C432,$R$2:$R$1387))</f>
        <v>11</v>
      </c>
      <c r="U432">
        <f t="shared" si="44"/>
        <v>18</v>
      </c>
      <c r="V432">
        <f t="shared" si="45"/>
        <v>0.66666666666666663</v>
      </c>
      <c r="W432" cm="1">
        <f t="array" ref="W432">_xlfn.IFS(N432=1,5,N432=2,4,N432=4,2,N432=5,1,N432=3,3)</f>
        <v>1</v>
      </c>
      <c r="X432">
        <f t="shared" si="46"/>
        <v>19</v>
      </c>
      <c r="Y432" cm="1">
        <f t="array" ref="Y432">MAX(IF($C$2:$C$1387=C432,$X$2:$X$1387))</f>
        <v>30</v>
      </c>
      <c r="Z432" cm="1">
        <f t="array" ref="Z432">MIN(IF($C$2:$C$1387=C432,$X$2:$X$1387))</f>
        <v>14</v>
      </c>
      <c r="AA432">
        <f t="shared" si="47"/>
        <v>16</v>
      </c>
      <c r="AB432">
        <f t="shared" si="48"/>
        <v>0.3125</v>
      </c>
    </row>
    <row r="433" spans="1:28" x14ac:dyDescent="0.25">
      <c r="A433" t="s">
        <v>170</v>
      </c>
      <c r="B433" t="s">
        <v>171</v>
      </c>
      <c r="C433">
        <v>2015</v>
      </c>
      <c r="D433">
        <v>9.8891464356270511E-4</v>
      </c>
      <c r="E433">
        <v>0.84822842336932958</v>
      </c>
      <c r="F433">
        <v>5.6691935898573118E-3</v>
      </c>
      <c r="G433">
        <v>2.3025850929940459</v>
      </c>
      <c r="H433">
        <v>0.9</v>
      </c>
      <c r="I433">
        <v>0.5</v>
      </c>
      <c r="J433">
        <v>0</v>
      </c>
      <c r="K433">
        <v>2</v>
      </c>
      <c r="L433">
        <v>5</v>
      </c>
      <c r="M433">
        <v>2</v>
      </c>
      <c r="N433">
        <v>5</v>
      </c>
      <c r="O433">
        <v>5</v>
      </c>
      <c r="P433">
        <v>1</v>
      </c>
      <c r="Q433">
        <f t="shared" si="42"/>
        <v>5</v>
      </c>
      <c r="R433">
        <f t="shared" si="43"/>
        <v>25</v>
      </c>
      <c r="S433">
        <f t="array" ref="S433">MAX(IF($C$2:$C$1387=C433,$R$2:$R$1387))</f>
        <v>29</v>
      </c>
      <c r="T433" cm="1">
        <f t="array" ref="T433">MIN(IF($C$2:$C$1387=C433,$R$2:$R$1387))</f>
        <v>11</v>
      </c>
      <c r="U433">
        <f t="shared" si="44"/>
        <v>18</v>
      </c>
      <c r="V433">
        <f t="shared" si="45"/>
        <v>0.77777777777777779</v>
      </c>
      <c r="W433" cm="1">
        <f t="array" ref="W433">_xlfn.IFS(N433=1,5,N433=2,4,N433=4,2,N433=5,1,N433=3,3)</f>
        <v>1</v>
      </c>
      <c r="X433">
        <f t="shared" si="46"/>
        <v>21</v>
      </c>
      <c r="Y433" cm="1">
        <f t="array" ref="Y433">MAX(IF($C$2:$C$1387=C433,$X$2:$X$1387))</f>
        <v>29</v>
      </c>
      <c r="Z433" cm="1">
        <f t="array" ref="Z433">MIN(IF($C$2:$C$1387=C433,$X$2:$X$1387))</f>
        <v>12</v>
      </c>
      <c r="AA433">
        <f t="shared" si="47"/>
        <v>17</v>
      </c>
      <c r="AB433">
        <f t="shared" si="48"/>
        <v>0.52941176470588236</v>
      </c>
    </row>
    <row r="434" spans="1:28" x14ac:dyDescent="0.25">
      <c r="A434" t="s">
        <v>172</v>
      </c>
      <c r="B434" t="s">
        <v>173</v>
      </c>
      <c r="C434">
        <v>2010</v>
      </c>
      <c r="D434">
        <v>0.74390768409516339</v>
      </c>
      <c r="E434">
        <v>0.8673062409555985</v>
      </c>
      <c r="F434">
        <v>2.4531390267870038E-4</v>
      </c>
      <c r="G434">
        <v>1.9459101490553132</v>
      </c>
      <c r="H434">
        <v>0.14285714285714285</v>
      </c>
      <c r="I434">
        <v>0.66666666666666663</v>
      </c>
      <c r="J434">
        <v>0</v>
      </c>
      <c r="K434">
        <v>5</v>
      </c>
      <c r="L434">
        <v>5</v>
      </c>
      <c r="M434">
        <v>1</v>
      </c>
      <c r="N434">
        <v>1</v>
      </c>
      <c r="O434">
        <v>1</v>
      </c>
      <c r="P434">
        <v>1</v>
      </c>
      <c r="Q434">
        <f t="shared" si="42"/>
        <v>5</v>
      </c>
      <c r="R434">
        <f t="shared" si="43"/>
        <v>19</v>
      </c>
      <c r="S434">
        <f t="array" ref="S434">MAX(IF($C$2:$C$1387=C434,$R$2:$R$1387))</f>
        <v>29</v>
      </c>
      <c r="T434" cm="1">
        <f t="array" ref="T434">MIN(IF($C$2:$C$1387=C434,$R$2:$R$1387))</f>
        <v>9</v>
      </c>
      <c r="U434">
        <f t="shared" si="44"/>
        <v>20</v>
      </c>
      <c r="V434">
        <f t="shared" si="45"/>
        <v>0.5</v>
      </c>
      <c r="W434" cm="1">
        <f t="array" ref="W434">_xlfn.IFS(N434=1,5,N434=2,4,N434=4,2,N434=5,1,N434=3,3)</f>
        <v>5</v>
      </c>
      <c r="X434">
        <f t="shared" si="46"/>
        <v>23</v>
      </c>
      <c r="Y434" cm="1">
        <f t="array" ref="Y434">MAX(IF($C$2:$C$1387=C434,$X$2:$X$1387))</f>
        <v>29</v>
      </c>
      <c r="Z434" cm="1">
        <f t="array" ref="Z434">MIN(IF($C$2:$C$1387=C434,$X$2:$X$1387))</f>
        <v>12</v>
      </c>
      <c r="AA434">
        <f t="shared" si="47"/>
        <v>17</v>
      </c>
      <c r="AB434">
        <f t="shared" si="48"/>
        <v>0.6470588235294118</v>
      </c>
    </row>
    <row r="435" spans="1:28" x14ac:dyDescent="0.25">
      <c r="A435" t="s">
        <v>172</v>
      </c>
      <c r="B435" t="s">
        <v>173</v>
      </c>
      <c r="C435">
        <v>2011</v>
      </c>
      <c r="D435">
        <v>0.74363033424992708</v>
      </c>
      <c r="E435">
        <v>0.86904131468428492</v>
      </c>
      <c r="F435">
        <v>0.10437982663068257</v>
      </c>
      <c r="G435">
        <v>1.9459101490553132</v>
      </c>
      <c r="H435">
        <v>0.14285714285714285</v>
      </c>
      <c r="I435">
        <v>0.66666666666666663</v>
      </c>
      <c r="J435">
        <v>0</v>
      </c>
      <c r="K435">
        <v>5</v>
      </c>
      <c r="L435">
        <v>5</v>
      </c>
      <c r="M435">
        <v>4</v>
      </c>
      <c r="N435">
        <v>1</v>
      </c>
      <c r="O435">
        <v>1</v>
      </c>
      <c r="P435">
        <v>1</v>
      </c>
      <c r="Q435">
        <f t="shared" si="42"/>
        <v>5</v>
      </c>
      <c r="R435">
        <f t="shared" si="43"/>
        <v>22</v>
      </c>
      <c r="S435">
        <f t="array" ref="S435">MAX(IF($C$2:$C$1387=C435,$R$2:$R$1387))</f>
        <v>28</v>
      </c>
      <c r="T435" cm="1">
        <f t="array" ref="T435">MIN(IF($C$2:$C$1387=C435,$R$2:$R$1387))</f>
        <v>10</v>
      </c>
      <c r="U435">
        <f t="shared" si="44"/>
        <v>18</v>
      </c>
      <c r="V435">
        <f t="shared" si="45"/>
        <v>0.66666666666666663</v>
      </c>
      <c r="W435" cm="1">
        <f t="array" ref="W435">_xlfn.IFS(N435=1,5,N435=2,4,N435=4,2,N435=5,1,N435=3,3)</f>
        <v>5</v>
      </c>
      <c r="X435">
        <f t="shared" si="46"/>
        <v>26</v>
      </c>
      <c r="Y435" cm="1">
        <f t="array" ref="Y435">MAX(IF($C$2:$C$1387=C435,$X$2:$X$1387))</f>
        <v>29</v>
      </c>
      <c r="Z435" cm="1">
        <f t="array" ref="Z435">MIN(IF($C$2:$C$1387=C435,$X$2:$X$1387))</f>
        <v>12</v>
      </c>
      <c r="AA435">
        <f t="shared" si="47"/>
        <v>17</v>
      </c>
      <c r="AB435">
        <f t="shared" si="48"/>
        <v>0.82352941176470584</v>
      </c>
    </row>
    <row r="436" spans="1:28" x14ac:dyDescent="0.25">
      <c r="A436" t="s">
        <v>172</v>
      </c>
      <c r="B436" t="s">
        <v>173</v>
      </c>
      <c r="C436">
        <v>2012</v>
      </c>
      <c r="D436">
        <v>0.74363033424992708</v>
      </c>
      <c r="E436">
        <v>0.86904131468428492</v>
      </c>
      <c r="F436">
        <v>0.10437982663068257</v>
      </c>
      <c r="G436">
        <v>1.9459101490553132</v>
      </c>
      <c r="H436">
        <v>0.2857142857142857</v>
      </c>
      <c r="I436">
        <v>0.66666666666666663</v>
      </c>
      <c r="J436">
        <v>0</v>
      </c>
      <c r="K436">
        <v>5</v>
      </c>
      <c r="L436">
        <v>5</v>
      </c>
      <c r="M436">
        <v>4</v>
      </c>
      <c r="N436">
        <v>1</v>
      </c>
      <c r="O436">
        <v>1</v>
      </c>
      <c r="P436">
        <v>1</v>
      </c>
      <c r="Q436">
        <f t="shared" si="42"/>
        <v>5</v>
      </c>
      <c r="R436">
        <f t="shared" si="43"/>
        <v>22</v>
      </c>
      <c r="S436">
        <f t="array" ref="S436">MAX(IF($C$2:$C$1387=C436,$R$2:$R$1387))</f>
        <v>29</v>
      </c>
      <c r="T436" cm="1">
        <f t="array" ref="T436">MIN(IF($C$2:$C$1387=C436,$R$2:$R$1387))</f>
        <v>11</v>
      </c>
      <c r="U436">
        <f t="shared" si="44"/>
        <v>18</v>
      </c>
      <c r="V436">
        <f t="shared" si="45"/>
        <v>0.61111111111111116</v>
      </c>
      <c r="W436" cm="1">
        <f t="array" ref="W436">_xlfn.IFS(N436=1,5,N436=2,4,N436=4,2,N436=5,1,N436=3,3)</f>
        <v>5</v>
      </c>
      <c r="X436">
        <f t="shared" si="46"/>
        <v>26</v>
      </c>
      <c r="Y436" cm="1">
        <f t="array" ref="Y436">MAX(IF($C$2:$C$1387=C436,$X$2:$X$1387))</f>
        <v>30</v>
      </c>
      <c r="Z436" cm="1">
        <f t="array" ref="Z436">MIN(IF($C$2:$C$1387=C436,$X$2:$X$1387))</f>
        <v>12</v>
      </c>
      <c r="AA436">
        <f t="shared" si="47"/>
        <v>18</v>
      </c>
      <c r="AB436">
        <f t="shared" si="48"/>
        <v>0.77777777777777779</v>
      </c>
    </row>
    <row r="437" spans="1:28" x14ac:dyDescent="0.25">
      <c r="A437" t="s">
        <v>172</v>
      </c>
      <c r="B437" t="s">
        <v>173</v>
      </c>
      <c r="C437">
        <v>2013</v>
      </c>
      <c r="D437">
        <v>0.74363175020318928</v>
      </c>
      <c r="E437">
        <v>0.86730606396144072</v>
      </c>
      <c r="F437">
        <v>8.9432882399417754E-2</v>
      </c>
      <c r="G437">
        <v>1.9459101490553132</v>
      </c>
      <c r="H437">
        <v>0.2857142857142857</v>
      </c>
      <c r="I437">
        <v>1</v>
      </c>
      <c r="J437">
        <v>0</v>
      </c>
      <c r="K437">
        <v>5</v>
      </c>
      <c r="L437">
        <v>5</v>
      </c>
      <c r="M437">
        <v>4</v>
      </c>
      <c r="N437">
        <v>1</v>
      </c>
      <c r="O437">
        <v>1</v>
      </c>
      <c r="P437">
        <v>3</v>
      </c>
      <c r="Q437">
        <f t="shared" si="42"/>
        <v>5</v>
      </c>
      <c r="R437">
        <f t="shared" si="43"/>
        <v>24</v>
      </c>
      <c r="S437">
        <f t="array" ref="S437">MAX(IF($C$2:$C$1387=C437,$R$2:$R$1387))</f>
        <v>29</v>
      </c>
      <c r="T437" cm="1">
        <f t="array" ref="T437">MIN(IF($C$2:$C$1387=C437,$R$2:$R$1387))</f>
        <v>10</v>
      </c>
      <c r="U437">
        <f t="shared" si="44"/>
        <v>19</v>
      </c>
      <c r="V437">
        <f t="shared" si="45"/>
        <v>0.73684210526315785</v>
      </c>
      <c r="W437" cm="1">
        <f t="array" ref="W437">_xlfn.IFS(N437=1,5,N437=2,4,N437=4,2,N437=5,1,N437=3,3)</f>
        <v>5</v>
      </c>
      <c r="X437">
        <f t="shared" si="46"/>
        <v>28</v>
      </c>
      <c r="Y437" cm="1">
        <f t="array" ref="Y437">MAX(IF($C$2:$C$1387=C437,$X$2:$X$1387))</f>
        <v>32</v>
      </c>
      <c r="Z437" cm="1">
        <f t="array" ref="Z437">MIN(IF($C$2:$C$1387=C437,$X$2:$X$1387))</f>
        <v>10</v>
      </c>
      <c r="AA437">
        <f t="shared" si="47"/>
        <v>22</v>
      </c>
      <c r="AB437">
        <f t="shared" si="48"/>
        <v>0.81818181818181823</v>
      </c>
    </row>
    <row r="438" spans="1:28" x14ac:dyDescent="0.25">
      <c r="A438" t="s">
        <v>172</v>
      </c>
      <c r="B438" t="s">
        <v>173</v>
      </c>
      <c r="C438">
        <v>2014</v>
      </c>
      <c r="D438">
        <v>0.74700390725866561</v>
      </c>
      <c r="E438">
        <v>0.86785204266704841</v>
      </c>
      <c r="F438">
        <v>8.9596116065946349E-2</v>
      </c>
      <c r="G438">
        <v>2.1972245773362196</v>
      </c>
      <c r="H438">
        <v>0.55555555555555558</v>
      </c>
      <c r="I438">
        <v>1</v>
      </c>
      <c r="J438">
        <v>0</v>
      </c>
      <c r="K438">
        <v>5</v>
      </c>
      <c r="L438">
        <v>5</v>
      </c>
      <c r="M438">
        <v>4</v>
      </c>
      <c r="N438">
        <v>4</v>
      </c>
      <c r="O438">
        <v>2</v>
      </c>
      <c r="P438">
        <v>3</v>
      </c>
      <c r="Q438">
        <f t="shared" si="42"/>
        <v>5</v>
      </c>
      <c r="R438">
        <f t="shared" si="43"/>
        <v>28</v>
      </c>
      <c r="S438">
        <f t="array" ref="S438">MAX(IF($C$2:$C$1387=C438,$R$2:$R$1387))</f>
        <v>29</v>
      </c>
      <c r="T438" cm="1">
        <f t="array" ref="T438">MIN(IF($C$2:$C$1387=C438,$R$2:$R$1387))</f>
        <v>11</v>
      </c>
      <c r="U438">
        <f t="shared" si="44"/>
        <v>18</v>
      </c>
      <c r="V438">
        <f t="shared" si="45"/>
        <v>0.94444444444444442</v>
      </c>
      <c r="W438" cm="1">
        <f t="array" ref="W438">_xlfn.IFS(N438=1,5,N438=2,4,N438=4,2,N438=5,1,N438=3,3)</f>
        <v>2</v>
      </c>
      <c r="X438">
        <f t="shared" si="46"/>
        <v>26</v>
      </c>
      <c r="Y438" cm="1">
        <f t="array" ref="Y438">MAX(IF($C$2:$C$1387=C438,$X$2:$X$1387))</f>
        <v>30</v>
      </c>
      <c r="Z438" cm="1">
        <f t="array" ref="Z438">MIN(IF($C$2:$C$1387=C438,$X$2:$X$1387))</f>
        <v>14</v>
      </c>
      <c r="AA438">
        <f t="shared" si="47"/>
        <v>16</v>
      </c>
      <c r="AB438">
        <f t="shared" si="48"/>
        <v>0.75</v>
      </c>
    </row>
    <row r="439" spans="1:28" x14ac:dyDescent="0.25">
      <c r="A439" t="s">
        <v>172</v>
      </c>
      <c r="B439" t="s">
        <v>173</v>
      </c>
      <c r="C439">
        <v>2015</v>
      </c>
      <c r="D439">
        <v>0.75311825089095641</v>
      </c>
      <c r="E439">
        <v>0.86785204266704841</v>
      </c>
      <c r="F439">
        <v>0.10648303211716678</v>
      </c>
      <c r="G439">
        <v>2.1972245773362196</v>
      </c>
      <c r="H439">
        <v>0.55555555555555558</v>
      </c>
      <c r="I439">
        <v>1</v>
      </c>
      <c r="J439">
        <v>0</v>
      </c>
      <c r="K439">
        <v>5</v>
      </c>
      <c r="L439">
        <v>5</v>
      </c>
      <c r="M439">
        <v>4</v>
      </c>
      <c r="N439">
        <v>4</v>
      </c>
      <c r="O439">
        <v>1</v>
      </c>
      <c r="P439">
        <v>2</v>
      </c>
      <c r="Q439">
        <f t="shared" si="42"/>
        <v>5</v>
      </c>
      <c r="R439">
        <f t="shared" si="43"/>
        <v>26</v>
      </c>
      <c r="S439">
        <f t="array" ref="S439">MAX(IF($C$2:$C$1387=C439,$R$2:$R$1387))</f>
        <v>29</v>
      </c>
      <c r="T439" cm="1">
        <f t="array" ref="T439">MIN(IF($C$2:$C$1387=C439,$R$2:$R$1387))</f>
        <v>11</v>
      </c>
      <c r="U439">
        <f t="shared" si="44"/>
        <v>18</v>
      </c>
      <c r="V439">
        <f t="shared" si="45"/>
        <v>0.83333333333333337</v>
      </c>
      <c r="W439" cm="1">
        <f t="array" ref="W439">_xlfn.IFS(N439=1,5,N439=2,4,N439=4,2,N439=5,1,N439=3,3)</f>
        <v>2</v>
      </c>
      <c r="X439">
        <f t="shared" si="46"/>
        <v>24</v>
      </c>
      <c r="Y439" cm="1">
        <f t="array" ref="Y439">MAX(IF($C$2:$C$1387=C439,$X$2:$X$1387))</f>
        <v>29</v>
      </c>
      <c r="Z439" cm="1">
        <f t="array" ref="Z439">MIN(IF($C$2:$C$1387=C439,$X$2:$X$1387))</f>
        <v>12</v>
      </c>
      <c r="AA439">
        <f t="shared" si="47"/>
        <v>17</v>
      </c>
      <c r="AB439">
        <f t="shared" si="48"/>
        <v>0.70588235294117652</v>
      </c>
    </row>
    <row r="440" spans="1:28" x14ac:dyDescent="0.25">
      <c r="A440" t="s">
        <v>174</v>
      </c>
      <c r="B440" t="s">
        <v>175</v>
      </c>
      <c r="C440">
        <v>2010</v>
      </c>
      <c r="D440">
        <v>0.5263999938964844</v>
      </c>
      <c r="E440">
        <v>0.39578170000000001</v>
      </c>
      <c r="F440">
        <v>2.3300000000000001E-2</v>
      </c>
      <c r="G440">
        <v>2.0794415416798357</v>
      </c>
      <c r="H440">
        <v>0.25</v>
      </c>
      <c r="I440">
        <v>0.66666666666666663</v>
      </c>
      <c r="J440">
        <v>1</v>
      </c>
      <c r="K440">
        <v>5</v>
      </c>
      <c r="L440">
        <v>1</v>
      </c>
      <c r="M440">
        <v>3</v>
      </c>
      <c r="N440">
        <v>3</v>
      </c>
      <c r="O440">
        <v>1</v>
      </c>
      <c r="P440">
        <v>1</v>
      </c>
      <c r="Q440">
        <f t="shared" si="42"/>
        <v>1</v>
      </c>
      <c r="R440">
        <f t="shared" si="43"/>
        <v>15</v>
      </c>
      <c r="S440">
        <f t="array" ref="S440">MAX(IF($C$2:$C$1387=C440,$R$2:$R$1387))</f>
        <v>29</v>
      </c>
      <c r="T440" cm="1">
        <f t="array" ref="T440">MIN(IF($C$2:$C$1387=C440,$R$2:$R$1387))</f>
        <v>9</v>
      </c>
      <c r="U440">
        <f t="shared" si="44"/>
        <v>20</v>
      </c>
      <c r="V440">
        <f t="shared" si="45"/>
        <v>0.3</v>
      </c>
      <c r="W440" cm="1">
        <f t="array" ref="W440">_xlfn.IFS(N440=1,5,N440=2,4,N440=4,2,N440=5,1,N440=3,3)</f>
        <v>3</v>
      </c>
      <c r="X440">
        <f t="shared" si="46"/>
        <v>15</v>
      </c>
      <c r="Y440" cm="1">
        <f t="array" ref="Y440">MAX(IF($C$2:$C$1387=C440,$X$2:$X$1387))</f>
        <v>29</v>
      </c>
      <c r="Z440" cm="1">
        <f t="array" ref="Z440">MIN(IF($C$2:$C$1387=C440,$X$2:$X$1387))</f>
        <v>12</v>
      </c>
      <c r="AA440">
        <f t="shared" si="47"/>
        <v>17</v>
      </c>
      <c r="AB440">
        <f t="shared" si="48"/>
        <v>0.17647058823529413</v>
      </c>
    </row>
    <row r="441" spans="1:28" x14ac:dyDescent="0.25">
      <c r="A441" t="s">
        <v>174</v>
      </c>
      <c r="B441" t="s">
        <v>175</v>
      </c>
      <c r="C441">
        <v>2011</v>
      </c>
      <c r="D441">
        <v>0.45731909999999998</v>
      </c>
      <c r="E441">
        <v>0.39578170000000001</v>
      </c>
      <c r="F441">
        <v>6.5148399999999995E-2</v>
      </c>
      <c r="G441">
        <v>2.0794415416798357</v>
      </c>
      <c r="H441">
        <v>0.25</v>
      </c>
      <c r="I441">
        <v>0.66666666666666663</v>
      </c>
      <c r="J441">
        <v>1</v>
      </c>
      <c r="K441">
        <v>4</v>
      </c>
      <c r="L441">
        <v>1</v>
      </c>
      <c r="M441">
        <v>3</v>
      </c>
      <c r="N441">
        <v>3</v>
      </c>
      <c r="O441">
        <v>1</v>
      </c>
      <c r="P441">
        <v>1</v>
      </c>
      <c r="Q441">
        <f t="shared" si="42"/>
        <v>1</v>
      </c>
      <c r="R441">
        <f t="shared" si="43"/>
        <v>14</v>
      </c>
      <c r="S441">
        <f t="array" ref="S441">MAX(IF($C$2:$C$1387=C441,$R$2:$R$1387))</f>
        <v>28</v>
      </c>
      <c r="T441" cm="1">
        <f t="array" ref="T441">MIN(IF($C$2:$C$1387=C441,$R$2:$R$1387))</f>
        <v>10</v>
      </c>
      <c r="U441">
        <f t="shared" si="44"/>
        <v>18</v>
      </c>
      <c r="V441">
        <f t="shared" si="45"/>
        <v>0.22222222222222221</v>
      </c>
      <c r="W441" cm="1">
        <f t="array" ref="W441">_xlfn.IFS(N441=1,5,N441=2,4,N441=4,2,N441=5,1,N441=3,3)</f>
        <v>3</v>
      </c>
      <c r="X441">
        <f t="shared" si="46"/>
        <v>14</v>
      </c>
      <c r="Y441" cm="1">
        <f t="array" ref="Y441">MAX(IF($C$2:$C$1387=C441,$X$2:$X$1387))</f>
        <v>29</v>
      </c>
      <c r="Z441" cm="1">
        <f t="array" ref="Z441">MIN(IF($C$2:$C$1387=C441,$X$2:$X$1387))</f>
        <v>12</v>
      </c>
      <c r="AA441">
        <f t="shared" si="47"/>
        <v>17</v>
      </c>
      <c r="AB441">
        <f t="shared" si="48"/>
        <v>0.11764705882352941</v>
      </c>
    </row>
    <row r="442" spans="1:28" x14ac:dyDescent="0.25">
      <c r="A442" t="s">
        <v>174</v>
      </c>
      <c r="B442" t="s">
        <v>175</v>
      </c>
      <c r="C442">
        <v>2012</v>
      </c>
      <c r="D442">
        <v>0.4702422</v>
      </c>
      <c r="E442">
        <v>0.39578170000000001</v>
      </c>
      <c r="F442">
        <v>6.5248399999999998E-2</v>
      </c>
      <c r="G442">
        <v>2.1972245773362196</v>
      </c>
      <c r="H442">
        <v>0.66666666666666663</v>
      </c>
      <c r="I442">
        <v>0.66666666666666663</v>
      </c>
      <c r="J442">
        <v>0</v>
      </c>
      <c r="K442">
        <v>4</v>
      </c>
      <c r="L442">
        <v>1</v>
      </c>
      <c r="M442">
        <v>3</v>
      </c>
      <c r="N442">
        <v>4</v>
      </c>
      <c r="O442">
        <v>3</v>
      </c>
      <c r="P442">
        <v>1</v>
      </c>
      <c r="Q442">
        <f t="shared" si="42"/>
        <v>5</v>
      </c>
      <c r="R442">
        <f t="shared" si="43"/>
        <v>21</v>
      </c>
      <c r="S442">
        <f t="array" ref="S442">MAX(IF($C$2:$C$1387=C442,$R$2:$R$1387))</f>
        <v>29</v>
      </c>
      <c r="T442" cm="1">
        <f t="array" ref="T442">MIN(IF($C$2:$C$1387=C442,$R$2:$R$1387))</f>
        <v>11</v>
      </c>
      <c r="U442">
        <f t="shared" si="44"/>
        <v>18</v>
      </c>
      <c r="V442">
        <f t="shared" si="45"/>
        <v>0.55555555555555558</v>
      </c>
      <c r="W442" cm="1">
        <f t="array" ref="W442">_xlfn.IFS(N442=1,5,N442=2,4,N442=4,2,N442=5,1,N442=3,3)</f>
        <v>2</v>
      </c>
      <c r="X442">
        <f t="shared" si="46"/>
        <v>19</v>
      </c>
      <c r="Y442" cm="1">
        <f t="array" ref="Y442">MAX(IF($C$2:$C$1387=C442,$X$2:$X$1387))</f>
        <v>30</v>
      </c>
      <c r="Z442" cm="1">
        <f t="array" ref="Z442">MIN(IF($C$2:$C$1387=C442,$X$2:$X$1387))</f>
        <v>12</v>
      </c>
      <c r="AA442">
        <f t="shared" si="47"/>
        <v>18</v>
      </c>
      <c r="AB442">
        <f t="shared" si="48"/>
        <v>0.3888888888888889</v>
      </c>
    </row>
    <row r="443" spans="1:28" x14ac:dyDescent="0.25">
      <c r="A443" t="s">
        <v>174</v>
      </c>
      <c r="B443" t="s">
        <v>175</v>
      </c>
      <c r="C443">
        <v>2013</v>
      </c>
      <c r="D443">
        <v>0.4701922</v>
      </c>
      <c r="E443">
        <v>0.36792599999999998</v>
      </c>
      <c r="F443">
        <v>2.4049999999999998E-2</v>
      </c>
      <c r="G443">
        <v>2.1972245773362196</v>
      </c>
      <c r="H443">
        <v>0.55555555555555558</v>
      </c>
      <c r="I443">
        <v>0.66666666666666663</v>
      </c>
      <c r="J443">
        <v>0</v>
      </c>
      <c r="K443">
        <v>4</v>
      </c>
      <c r="L443">
        <v>1</v>
      </c>
      <c r="M443">
        <v>2</v>
      </c>
      <c r="N443">
        <v>4</v>
      </c>
      <c r="O443">
        <v>2</v>
      </c>
      <c r="P443">
        <v>1</v>
      </c>
      <c r="Q443">
        <f t="shared" si="42"/>
        <v>5</v>
      </c>
      <c r="R443">
        <f t="shared" si="43"/>
        <v>19</v>
      </c>
      <c r="S443">
        <f t="array" ref="S443">MAX(IF($C$2:$C$1387=C443,$R$2:$R$1387))</f>
        <v>29</v>
      </c>
      <c r="T443" cm="1">
        <f t="array" ref="T443">MIN(IF($C$2:$C$1387=C443,$R$2:$R$1387))</f>
        <v>10</v>
      </c>
      <c r="U443">
        <f t="shared" si="44"/>
        <v>19</v>
      </c>
      <c r="V443">
        <f t="shared" si="45"/>
        <v>0.47368421052631576</v>
      </c>
      <c r="W443" cm="1">
        <f t="array" ref="W443">_xlfn.IFS(N443=1,5,N443=2,4,N443=4,2,N443=5,1,N443=3,3)</f>
        <v>2</v>
      </c>
      <c r="X443">
        <f t="shared" si="46"/>
        <v>17</v>
      </c>
      <c r="Y443" cm="1">
        <f t="array" ref="Y443">MAX(IF($C$2:$C$1387=C443,$X$2:$X$1387))</f>
        <v>32</v>
      </c>
      <c r="Z443" cm="1">
        <f t="array" ref="Z443">MIN(IF($C$2:$C$1387=C443,$X$2:$X$1387))</f>
        <v>10</v>
      </c>
      <c r="AA443">
        <f t="shared" si="47"/>
        <v>22</v>
      </c>
      <c r="AB443">
        <f t="shared" si="48"/>
        <v>0.31818181818181818</v>
      </c>
    </row>
    <row r="444" spans="1:28" x14ac:dyDescent="0.25">
      <c r="A444" t="s">
        <v>174</v>
      </c>
      <c r="B444" t="s">
        <v>175</v>
      </c>
      <c r="C444">
        <v>2014</v>
      </c>
      <c r="D444">
        <v>0.4701922</v>
      </c>
      <c r="E444">
        <v>0.36792599999999998</v>
      </c>
      <c r="F444">
        <v>2.2759999999999999E-2</v>
      </c>
      <c r="G444">
        <v>2.1972245773362196</v>
      </c>
      <c r="H444">
        <v>0.55555555555555558</v>
      </c>
      <c r="I444">
        <v>0.66666666666666663</v>
      </c>
      <c r="J444">
        <v>0</v>
      </c>
      <c r="K444">
        <v>4</v>
      </c>
      <c r="L444">
        <v>1</v>
      </c>
      <c r="M444">
        <v>2</v>
      </c>
      <c r="N444">
        <v>4</v>
      </c>
      <c r="O444">
        <v>2</v>
      </c>
      <c r="P444">
        <v>1</v>
      </c>
      <c r="Q444">
        <f t="shared" si="42"/>
        <v>5</v>
      </c>
      <c r="R444">
        <f t="shared" si="43"/>
        <v>19</v>
      </c>
      <c r="S444">
        <f t="array" ref="S444">MAX(IF($C$2:$C$1387=C444,$R$2:$R$1387))</f>
        <v>29</v>
      </c>
      <c r="T444" cm="1">
        <f t="array" ref="T444">MIN(IF($C$2:$C$1387=C444,$R$2:$R$1387))</f>
        <v>11</v>
      </c>
      <c r="U444">
        <f t="shared" si="44"/>
        <v>18</v>
      </c>
      <c r="V444">
        <f t="shared" si="45"/>
        <v>0.44444444444444442</v>
      </c>
      <c r="W444" cm="1">
        <f t="array" ref="W444">_xlfn.IFS(N444=1,5,N444=2,4,N444=4,2,N444=5,1,N444=3,3)</f>
        <v>2</v>
      </c>
      <c r="X444">
        <f t="shared" si="46"/>
        <v>17</v>
      </c>
      <c r="Y444" cm="1">
        <f t="array" ref="Y444">MAX(IF($C$2:$C$1387=C444,$X$2:$X$1387))</f>
        <v>30</v>
      </c>
      <c r="Z444" cm="1">
        <f t="array" ref="Z444">MIN(IF($C$2:$C$1387=C444,$X$2:$X$1387))</f>
        <v>14</v>
      </c>
      <c r="AA444">
        <f t="shared" si="47"/>
        <v>16</v>
      </c>
      <c r="AB444">
        <f t="shared" si="48"/>
        <v>0.1875</v>
      </c>
    </row>
    <row r="445" spans="1:28" x14ac:dyDescent="0.25">
      <c r="A445" t="s">
        <v>174</v>
      </c>
      <c r="B445" t="s">
        <v>175</v>
      </c>
      <c r="C445">
        <v>2015</v>
      </c>
      <c r="D445">
        <v>0.4701922</v>
      </c>
      <c r="E445">
        <v>0.36792599999999998</v>
      </c>
      <c r="F445">
        <v>2.264E-2</v>
      </c>
      <c r="G445">
        <v>2.1972245773362196</v>
      </c>
      <c r="H445">
        <v>0.66666666666666663</v>
      </c>
      <c r="I445">
        <v>1</v>
      </c>
      <c r="J445">
        <v>0</v>
      </c>
      <c r="K445">
        <v>4</v>
      </c>
      <c r="L445">
        <v>1</v>
      </c>
      <c r="M445">
        <v>2</v>
      </c>
      <c r="N445">
        <v>4</v>
      </c>
      <c r="O445">
        <v>2</v>
      </c>
      <c r="P445">
        <v>2</v>
      </c>
      <c r="Q445">
        <f t="shared" si="42"/>
        <v>5</v>
      </c>
      <c r="R445">
        <f t="shared" si="43"/>
        <v>20</v>
      </c>
      <c r="S445">
        <f t="array" ref="S445">MAX(IF($C$2:$C$1387=C445,$R$2:$R$1387))</f>
        <v>29</v>
      </c>
      <c r="T445" cm="1">
        <f t="array" ref="T445">MIN(IF($C$2:$C$1387=C445,$R$2:$R$1387))</f>
        <v>11</v>
      </c>
      <c r="U445">
        <f t="shared" si="44"/>
        <v>18</v>
      </c>
      <c r="V445">
        <f t="shared" si="45"/>
        <v>0.5</v>
      </c>
      <c r="W445" cm="1">
        <f t="array" ref="W445">_xlfn.IFS(N445=1,5,N445=2,4,N445=4,2,N445=5,1,N445=3,3)</f>
        <v>2</v>
      </c>
      <c r="X445">
        <f t="shared" si="46"/>
        <v>18</v>
      </c>
      <c r="Y445" cm="1">
        <f t="array" ref="Y445">MAX(IF($C$2:$C$1387=C445,$X$2:$X$1387))</f>
        <v>29</v>
      </c>
      <c r="Z445" cm="1">
        <f t="array" ref="Z445">MIN(IF($C$2:$C$1387=C445,$X$2:$X$1387))</f>
        <v>12</v>
      </c>
      <c r="AA445">
        <f t="shared" si="47"/>
        <v>17</v>
      </c>
      <c r="AB445">
        <f t="shared" si="48"/>
        <v>0.35294117647058826</v>
      </c>
    </row>
    <row r="446" spans="1:28" x14ac:dyDescent="0.25">
      <c r="A446" t="s">
        <v>176</v>
      </c>
      <c r="B446" t="s">
        <v>177</v>
      </c>
      <c r="C446">
        <v>2010</v>
      </c>
      <c r="D446">
        <v>9.4341061151975572E-9</v>
      </c>
      <c r="E446">
        <v>0.66172201579903878</v>
      </c>
      <c r="F446">
        <v>0.17677200000000001</v>
      </c>
      <c r="G446">
        <v>2.1972245773362196</v>
      </c>
      <c r="H446">
        <v>0.88888888888888884</v>
      </c>
      <c r="I446">
        <v>1</v>
      </c>
      <c r="J446">
        <v>0</v>
      </c>
      <c r="K446">
        <v>1</v>
      </c>
      <c r="L446">
        <v>3</v>
      </c>
      <c r="M446">
        <v>5</v>
      </c>
      <c r="N446">
        <v>4</v>
      </c>
      <c r="O446">
        <v>5</v>
      </c>
      <c r="P446">
        <v>3</v>
      </c>
      <c r="Q446">
        <f t="shared" si="42"/>
        <v>5</v>
      </c>
      <c r="R446">
        <f t="shared" si="43"/>
        <v>26</v>
      </c>
      <c r="S446">
        <f t="array" ref="S446">MAX(IF($C$2:$C$1387=C446,$R$2:$R$1387))</f>
        <v>29</v>
      </c>
      <c r="T446" cm="1">
        <f t="array" ref="T446">MIN(IF($C$2:$C$1387=C446,$R$2:$R$1387))</f>
        <v>9</v>
      </c>
      <c r="U446">
        <f t="shared" si="44"/>
        <v>20</v>
      </c>
      <c r="V446">
        <f t="shared" si="45"/>
        <v>0.85</v>
      </c>
      <c r="W446" cm="1">
        <f t="array" ref="W446">_xlfn.IFS(N446=1,5,N446=2,4,N446=4,2,N446=5,1,N446=3,3)</f>
        <v>2</v>
      </c>
      <c r="X446">
        <f t="shared" si="46"/>
        <v>24</v>
      </c>
      <c r="Y446" cm="1">
        <f t="array" ref="Y446">MAX(IF($C$2:$C$1387=C446,$X$2:$X$1387))</f>
        <v>29</v>
      </c>
      <c r="Z446" cm="1">
        <f t="array" ref="Z446">MIN(IF($C$2:$C$1387=C446,$X$2:$X$1387))</f>
        <v>12</v>
      </c>
      <c r="AA446">
        <f t="shared" si="47"/>
        <v>17</v>
      </c>
      <c r="AB446">
        <f t="shared" si="48"/>
        <v>0.70588235294117652</v>
      </c>
    </row>
    <row r="447" spans="1:28" x14ac:dyDescent="0.25">
      <c r="A447" t="s">
        <v>176</v>
      </c>
      <c r="B447" t="s">
        <v>177</v>
      </c>
      <c r="C447">
        <v>2011</v>
      </c>
      <c r="D447">
        <v>9.4341061151975572E-9</v>
      </c>
      <c r="E447">
        <v>0.66172201579903878</v>
      </c>
      <c r="F447">
        <v>0.16764941345749845</v>
      </c>
      <c r="G447">
        <v>2.1972245773362196</v>
      </c>
      <c r="H447">
        <v>0.88888888888888884</v>
      </c>
      <c r="I447">
        <v>1</v>
      </c>
      <c r="J447">
        <v>0</v>
      </c>
      <c r="K447">
        <v>1</v>
      </c>
      <c r="L447">
        <v>3</v>
      </c>
      <c r="M447">
        <v>4</v>
      </c>
      <c r="N447">
        <v>4</v>
      </c>
      <c r="O447">
        <v>5</v>
      </c>
      <c r="P447">
        <v>3</v>
      </c>
      <c r="Q447">
        <f t="shared" si="42"/>
        <v>5</v>
      </c>
      <c r="R447">
        <f t="shared" si="43"/>
        <v>25</v>
      </c>
      <c r="S447">
        <f t="array" ref="S447">MAX(IF($C$2:$C$1387=C447,$R$2:$R$1387))</f>
        <v>28</v>
      </c>
      <c r="T447" cm="1">
        <f t="array" ref="T447">MIN(IF($C$2:$C$1387=C447,$R$2:$R$1387))</f>
        <v>10</v>
      </c>
      <c r="U447">
        <f t="shared" si="44"/>
        <v>18</v>
      </c>
      <c r="V447">
        <f t="shared" si="45"/>
        <v>0.83333333333333337</v>
      </c>
      <c r="W447" cm="1">
        <f t="array" ref="W447">_xlfn.IFS(N447=1,5,N447=2,4,N447=4,2,N447=5,1,N447=3,3)</f>
        <v>2</v>
      </c>
      <c r="X447">
        <f t="shared" si="46"/>
        <v>23</v>
      </c>
      <c r="Y447" cm="1">
        <f t="array" ref="Y447">MAX(IF($C$2:$C$1387=C447,$X$2:$X$1387))</f>
        <v>29</v>
      </c>
      <c r="Z447" cm="1">
        <f t="array" ref="Z447">MIN(IF($C$2:$C$1387=C447,$X$2:$X$1387))</f>
        <v>12</v>
      </c>
      <c r="AA447">
        <f t="shared" si="47"/>
        <v>17</v>
      </c>
      <c r="AB447">
        <f t="shared" si="48"/>
        <v>0.6470588235294118</v>
      </c>
    </row>
    <row r="448" spans="1:28" x14ac:dyDescent="0.25">
      <c r="A448" t="s">
        <v>176</v>
      </c>
      <c r="B448" t="s">
        <v>177</v>
      </c>
      <c r="C448">
        <v>2012</v>
      </c>
      <c r="D448">
        <v>5.0731437715718452E-9</v>
      </c>
      <c r="E448">
        <v>0.71468582681943182</v>
      </c>
      <c r="F448">
        <v>4.6933110472543234E-2</v>
      </c>
      <c r="G448">
        <v>2.1972245773362196</v>
      </c>
      <c r="H448">
        <v>0.88888888888888884</v>
      </c>
      <c r="I448">
        <v>1</v>
      </c>
      <c r="J448">
        <v>0</v>
      </c>
      <c r="K448">
        <v>1</v>
      </c>
      <c r="L448">
        <v>3</v>
      </c>
      <c r="M448">
        <v>3</v>
      </c>
      <c r="N448">
        <v>4</v>
      </c>
      <c r="O448">
        <v>5</v>
      </c>
      <c r="P448">
        <v>3</v>
      </c>
      <c r="Q448">
        <f t="shared" si="42"/>
        <v>5</v>
      </c>
      <c r="R448">
        <f t="shared" si="43"/>
        <v>24</v>
      </c>
      <c r="S448">
        <f t="array" ref="S448">MAX(IF($C$2:$C$1387=C448,$R$2:$R$1387))</f>
        <v>29</v>
      </c>
      <c r="T448" cm="1">
        <f t="array" ref="T448">MIN(IF($C$2:$C$1387=C448,$R$2:$R$1387))</f>
        <v>11</v>
      </c>
      <c r="U448">
        <f t="shared" si="44"/>
        <v>18</v>
      </c>
      <c r="V448">
        <f t="shared" si="45"/>
        <v>0.72222222222222221</v>
      </c>
      <c r="W448" cm="1">
        <f t="array" ref="W448">_xlfn.IFS(N448=1,5,N448=2,4,N448=4,2,N448=5,1,N448=3,3)</f>
        <v>2</v>
      </c>
      <c r="X448">
        <f t="shared" si="46"/>
        <v>22</v>
      </c>
      <c r="Y448" cm="1">
        <f t="array" ref="Y448">MAX(IF($C$2:$C$1387=C448,$X$2:$X$1387))</f>
        <v>30</v>
      </c>
      <c r="Z448" cm="1">
        <f t="array" ref="Z448">MIN(IF($C$2:$C$1387=C448,$X$2:$X$1387))</f>
        <v>12</v>
      </c>
      <c r="AA448">
        <f t="shared" si="47"/>
        <v>18</v>
      </c>
      <c r="AB448">
        <f t="shared" si="48"/>
        <v>0.55555555555555558</v>
      </c>
    </row>
    <row r="449" spans="1:28" x14ac:dyDescent="0.25">
      <c r="A449" t="s">
        <v>176</v>
      </c>
      <c r="B449" t="s">
        <v>177</v>
      </c>
      <c r="C449">
        <v>2013</v>
      </c>
      <c r="D449">
        <v>5.0731437715718452E-9</v>
      </c>
      <c r="E449">
        <v>0.52909210928472095</v>
      </c>
      <c r="F449">
        <v>8.5767860804385712E-2</v>
      </c>
      <c r="G449">
        <v>2.3978952727983707</v>
      </c>
      <c r="H449">
        <v>0.72727272727272729</v>
      </c>
      <c r="I449">
        <v>1</v>
      </c>
      <c r="J449">
        <v>0</v>
      </c>
      <c r="K449">
        <v>1</v>
      </c>
      <c r="L449">
        <v>2</v>
      </c>
      <c r="M449">
        <v>4</v>
      </c>
      <c r="N449">
        <v>5</v>
      </c>
      <c r="O449">
        <v>4</v>
      </c>
      <c r="P449">
        <v>3</v>
      </c>
      <c r="Q449">
        <f t="shared" si="42"/>
        <v>5</v>
      </c>
      <c r="R449">
        <f t="shared" si="43"/>
        <v>24</v>
      </c>
      <c r="S449">
        <f t="array" ref="S449">MAX(IF($C$2:$C$1387=C449,$R$2:$R$1387))</f>
        <v>29</v>
      </c>
      <c r="T449" cm="1">
        <f t="array" ref="T449">MIN(IF($C$2:$C$1387=C449,$R$2:$R$1387))</f>
        <v>10</v>
      </c>
      <c r="U449">
        <f t="shared" si="44"/>
        <v>19</v>
      </c>
      <c r="V449">
        <f t="shared" si="45"/>
        <v>0.73684210526315785</v>
      </c>
      <c r="W449" cm="1">
        <f t="array" ref="W449">_xlfn.IFS(N449=1,5,N449=2,4,N449=4,2,N449=5,1,N449=3,3)</f>
        <v>1</v>
      </c>
      <c r="X449">
        <f t="shared" si="46"/>
        <v>20</v>
      </c>
      <c r="Y449" cm="1">
        <f t="array" ref="Y449">MAX(IF($C$2:$C$1387=C449,$X$2:$X$1387))</f>
        <v>32</v>
      </c>
      <c r="Z449" cm="1">
        <f t="array" ref="Z449">MIN(IF($C$2:$C$1387=C449,$X$2:$X$1387))</f>
        <v>10</v>
      </c>
      <c r="AA449">
        <f t="shared" si="47"/>
        <v>22</v>
      </c>
      <c r="AB449">
        <f t="shared" si="48"/>
        <v>0.45454545454545453</v>
      </c>
    </row>
    <row r="450" spans="1:28" x14ac:dyDescent="0.25">
      <c r="A450" t="s">
        <v>176</v>
      </c>
      <c r="B450" t="s">
        <v>177</v>
      </c>
      <c r="C450">
        <v>2014</v>
      </c>
      <c r="D450">
        <v>5.0731437715718452E-9</v>
      </c>
      <c r="E450">
        <v>0.52841448222380383</v>
      </c>
      <c r="F450">
        <v>0.11190819798472625</v>
      </c>
      <c r="G450">
        <v>2.3978952727983707</v>
      </c>
      <c r="H450">
        <v>0.72727272727272729</v>
      </c>
      <c r="I450">
        <v>1</v>
      </c>
      <c r="J450">
        <v>0</v>
      </c>
      <c r="K450">
        <v>1</v>
      </c>
      <c r="L450">
        <v>2</v>
      </c>
      <c r="M450">
        <v>4</v>
      </c>
      <c r="N450">
        <v>5</v>
      </c>
      <c r="O450">
        <v>4</v>
      </c>
      <c r="P450">
        <v>3</v>
      </c>
      <c r="Q450">
        <f t="shared" si="42"/>
        <v>5</v>
      </c>
      <c r="R450">
        <f t="shared" si="43"/>
        <v>24</v>
      </c>
      <c r="S450">
        <f t="array" ref="S450">MAX(IF($C$2:$C$1387=C450,$R$2:$R$1387))</f>
        <v>29</v>
      </c>
      <c r="T450" cm="1">
        <f t="array" ref="T450">MIN(IF($C$2:$C$1387=C450,$R$2:$R$1387))</f>
        <v>11</v>
      </c>
      <c r="U450">
        <f t="shared" si="44"/>
        <v>18</v>
      </c>
      <c r="V450">
        <f t="shared" si="45"/>
        <v>0.72222222222222221</v>
      </c>
      <c r="W450" cm="1">
        <f t="array" ref="W450">_xlfn.IFS(N450=1,5,N450=2,4,N450=4,2,N450=5,1,N450=3,3)</f>
        <v>1</v>
      </c>
      <c r="X450">
        <f t="shared" si="46"/>
        <v>20</v>
      </c>
      <c r="Y450" cm="1">
        <f t="array" ref="Y450">MAX(IF($C$2:$C$1387=C450,$X$2:$X$1387))</f>
        <v>30</v>
      </c>
      <c r="Z450" cm="1">
        <f t="array" ref="Z450">MIN(IF($C$2:$C$1387=C450,$X$2:$X$1387))</f>
        <v>14</v>
      </c>
      <c r="AA450">
        <f t="shared" si="47"/>
        <v>16</v>
      </c>
      <c r="AB450">
        <f t="shared" si="48"/>
        <v>0.375</v>
      </c>
    </row>
    <row r="451" spans="1:28" x14ac:dyDescent="0.25">
      <c r="A451" t="s">
        <v>176</v>
      </c>
      <c r="B451" t="s">
        <v>177</v>
      </c>
      <c r="C451">
        <v>2015</v>
      </c>
      <c r="D451">
        <v>3.9125316815563741E-4</v>
      </c>
      <c r="E451">
        <v>0.50576543185562139</v>
      </c>
      <c r="F451">
        <v>0.16497468202304871</v>
      </c>
      <c r="G451">
        <v>2.3025850929940459</v>
      </c>
      <c r="H451">
        <v>0.9</v>
      </c>
      <c r="I451">
        <v>1</v>
      </c>
      <c r="J451">
        <v>0</v>
      </c>
      <c r="K451">
        <v>1</v>
      </c>
      <c r="L451">
        <v>2</v>
      </c>
      <c r="M451">
        <v>5</v>
      </c>
      <c r="N451">
        <v>5</v>
      </c>
      <c r="O451">
        <v>5</v>
      </c>
      <c r="P451">
        <v>2</v>
      </c>
      <c r="Q451">
        <f t="shared" ref="Q451:Q514" si="49">IF(J451=0,5,1)</f>
        <v>5</v>
      </c>
      <c r="R451">
        <f t="shared" ref="R451:R514" si="50">SUM(K451:Q451)</f>
        <v>25</v>
      </c>
      <c r="S451">
        <f t="array" ref="S451">MAX(IF($C$2:$C$1387=C451,$R$2:$R$1387))</f>
        <v>29</v>
      </c>
      <c r="T451" cm="1">
        <f t="array" ref="T451">MIN(IF($C$2:$C$1387=C451,$R$2:$R$1387))</f>
        <v>11</v>
      </c>
      <c r="U451">
        <f t="shared" ref="U451:U514" si="51">S451-T451</f>
        <v>18</v>
      </c>
      <c r="V451">
        <f t="shared" ref="V451:V514" si="52">(R451-T451)/U451</f>
        <v>0.77777777777777779</v>
      </c>
      <c r="W451" cm="1">
        <f t="array" ref="W451">_xlfn.IFS(N451=1,5,N451=2,4,N451=4,2,N451=5,1,N451=3,3)</f>
        <v>1</v>
      </c>
      <c r="X451">
        <f t="shared" ref="X451:X514" si="53">SUM(K451:M451,O451:Q451,W451)</f>
        <v>21</v>
      </c>
      <c r="Y451" cm="1">
        <f t="array" ref="Y451">MAX(IF($C$2:$C$1387=C451,$X$2:$X$1387))</f>
        <v>29</v>
      </c>
      <c r="Z451" cm="1">
        <f t="array" ref="Z451">MIN(IF($C$2:$C$1387=C451,$X$2:$X$1387))</f>
        <v>12</v>
      </c>
      <c r="AA451">
        <f t="shared" ref="AA451:AA514" si="54">Y451-Z451</f>
        <v>17</v>
      </c>
      <c r="AB451">
        <f t="shared" ref="AB451:AB514" si="55">(X451-Z451)/AA451</f>
        <v>0.52941176470588236</v>
      </c>
    </row>
    <row r="452" spans="1:28" x14ac:dyDescent="0.25">
      <c r="A452" t="s">
        <v>178</v>
      </c>
      <c r="B452" t="s">
        <v>179</v>
      </c>
      <c r="C452">
        <v>2010</v>
      </c>
      <c r="D452">
        <v>0.36968564593301434</v>
      </c>
      <c r="E452">
        <v>0.53631654704944176</v>
      </c>
      <c r="F452">
        <v>0</v>
      </c>
      <c r="G452">
        <v>2.1972245773362196</v>
      </c>
      <c r="H452">
        <v>0.44444444444444442</v>
      </c>
      <c r="I452">
        <v>0.66666666666666663</v>
      </c>
      <c r="J452">
        <v>0</v>
      </c>
      <c r="K452">
        <v>4</v>
      </c>
      <c r="L452">
        <v>2</v>
      </c>
      <c r="M452">
        <v>1</v>
      </c>
      <c r="N452">
        <v>4</v>
      </c>
      <c r="O452">
        <v>2</v>
      </c>
      <c r="P452">
        <v>1</v>
      </c>
      <c r="Q452">
        <f t="shared" si="49"/>
        <v>5</v>
      </c>
      <c r="R452">
        <f t="shared" si="50"/>
        <v>19</v>
      </c>
      <c r="S452">
        <f t="array" ref="S452">MAX(IF($C$2:$C$1387=C452,$R$2:$R$1387))</f>
        <v>29</v>
      </c>
      <c r="T452" cm="1">
        <f t="array" ref="T452">MIN(IF($C$2:$C$1387=C452,$R$2:$R$1387))</f>
        <v>9</v>
      </c>
      <c r="U452">
        <f t="shared" si="51"/>
        <v>20</v>
      </c>
      <c r="V452">
        <f t="shared" si="52"/>
        <v>0.5</v>
      </c>
      <c r="W452" cm="1">
        <f t="array" ref="W452">_xlfn.IFS(N452=1,5,N452=2,4,N452=4,2,N452=5,1,N452=3,3)</f>
        <v>2</v>
      </c>
      <c r="X452">
        <f t="shared" si="53"/>
        <v>17</v>
      </c>
      <c r="Y452" cm="1">
        <f t="array" ref="Y452">MAX(IF($C$2:$C$1387=C452,$X$2:$X$1387))</f>
        <v>29</v>
      </c>
      <c r="Z452" cm="1">
        <f t="array" ref="Z452">MIN(IF($C$2:$C$1387=C452,$X$2:$X$1387))</f>
        <v>12</v>
      </c>
      <c r="AA452">
        <f t="shared" si="54"/>
        <v>17</v>
      </c>
      <c r="AB452">
        <f t="shared" si="55"/>
        <v>0.29411764705882354</v>
      </c>
    </row>
    <row r="453" spans="1:28" x14ac:dyDescent="0.25">
      <c r="A453" t="s">
        <v>178</v>
      </c>
      <c r="B453" t="s">
        <v>179</v>
      </c>
      <c r="C453">
        <v>2011</v>
      </c>
      <c r="D453">
        <v>0.36968564593301434</v>
      </c>
      <c r="E453">
        <v>0.5707594298245614</v>
      </c>
      <c r="F453">
        <v>0.11721152312599681</v>
      </c>
      <c r="G453">
        <v>2.1972245773362196</v>
      </c>
      <c r="H453">
        <v>0.44444444444444442</v>
      </c>
      <c r="I453">
        <v>0.66666666666666663</v>
      </c>
      <c r="J453">
        <v>0</v>
      </c>
      <c r="K453">
        <v>4</v>
      </c>
      <c r="L453">
        <v>2</v>
      </c>
      <c r="M453">
        <v>4</v>
      </c>
      <c r="N453">
        <v>4</v>
      </c>
      <c r="O453">
        <v>2</v>
      </c>
      <c r="P453">
        <v>1</v>
      </c>
      <c r="Q453">
        <f t="shared" si="49"/>
        <v>5</v>
      </c>
      <c r="R453">
        <f t="shared" si="50"/>
        <v>22</v>
      </c>
      <c r="S453">
        <f t="array" ref="S453">MAX(IF($C$2:$C$1387=C453,$R$2:$R$1387))</f>
        <v>28</v>
      </c>
      <c r="T453" cm="1">
        <f t="array" ref="T453">MIN(IF($C$2:$C$1387=C453,$R$2:$R$1387))</f>
        <v>10</v>
      </c>
      <c r="U453">
        <f t="shared" si="51"/>
        <v>18</v>
      </c>
      <c r="V453">
        <f t="shared" si="52"/>
        <v>0.66666666666666663</v>
      </c>
      <c r="W453" cm="1">
        <f t="array" ref="W453">_xlfn.IFS(N453=1,5,N453=2,4,N453=4,2,N453=5,1,N453=3,3)</f>
        <v>2</v>
      </c>
      <c r="X453">
        <f t="shared" si="53"/>
        <v>20</v>
      </c>
      <c r="Y453" cm="1">
        <f t="array" ref="Y453">MAX(IF($C$2:$C$1387=C453,$X$2:$X$1387))</f>
        <v>29</v>
      </c>
      <c r="Z453" cm="1">
        <f t="array" ref="Z453">MIN(IF($C$2:$C$1387=C453,$X$2:$X$1387))</f>
        <v>12</v>
      </c>
      <c r="AA453">
        <f t="shared" si="54"/>
        <v>17</v>
      </c>
      <c r="AB453">
        <f t="shared" si="55"/>
        <v>0.47058823529411764</v>
      </c>
    </row>
    <row r="454" spans="1:28" x14ac:dyDescent="0.25">
      <c r="A454" t="s">
        <v>178</v>
      </c>
      <c r="B454" t="s">
        <v>179</v>
      </c>
      <c r="C454">
        <v>2012</v>
      </c>
      <c r="D454">
        <v>0.36968564593301434</v>
      </c>
      <c r="E454">
        <v>0.51648736044657095</v>
      </c>
      <c r="F454">
        <v>9.241202153110048E-2</v>
      </c>
      <c r="G454">
        <v>2.1972245773362196</v>
      </c>
      <c r="H454">
        <v>0.22222222222222221</v>
      </c>
      <c r="I454">
        <v>0.75</v>
      </c>
      <c r="J454">
        <v>0</v>
      </c>
      <c r="K454">
        <v>4</v>
      </c>
      <c r="L454">
        <v>2</v>
      </c>
      <c r="M454">
        <v>4</v>
      </c>
      <c r="N454">
        <v>4</v>
      </c>
      <c r="O454">
        <v>1</v>
      </c>
      <c r="P454">
        <v>3</v>
      </c>
      <c r="Q454">
        <f t="shared" si="49"/>
        <v>5</v>
      </c>
      <c r="R454">
        <f t="shared" si="50"/>
        <v>23</v>
      </c>
      <c r="S454">
        <f t="array" ref="S454">MAX(IF($C$2:$C$1387=C454,$R$2:$R$1387))</f>
        <v>29</v>
      </c>
      <c r="T454" cm="1">
        <f t="array" ref="T454">MIN(IF($C$2:$C$1387=C454,$R$2:$R$1387))</f>
        <v>11</v>
      </c>
      <c r="U454">
        <f t="shared" si="51"/>
        <v>18</v>
      </c>
      <c r="V454">
        <f t="shared" si="52"/>
        <v>0.66666666666666663</v>
      </c>
      <c r="W454" cm="1">
        <f t="array" ref="W454">_xlfn.IFS(N454=1,5,N454=2,4,N454=4,2,N454=5,1,N454=3,3)</f>
        <v>2</v>
      </c>
      <c r="X454">
        <f t="shared" si="53"/>
        <v>21</v>
      </c>
      <c r="Y454" cm="1">
        <f t="array" ref="Y454">MAX(IF($C$2:$C$1387=C454,$X$2:$X$1387))</f>
        <v>30</v>
      </c>
      <c r="Z454" cm="1">
        <f t="array" ref="Z454">MIN(IF($C$2:$C$1387=C454,$X$2:$X$1387))</f>
        <v>12</v>
      </c>
      <c r="AA454">
        <f t="shared" si="54"/>
        <v>18</v>
      </c>
      <c r="AB454">
        <f t="shared" si="55"/>
        <v>0.5</v>
      </c>
    </row>
    <row r="455" spans="1:28" x14ac:dyDescent="0.25">
      <c r="A455" t="s">
        <v>178</v>
      </c>
      <c r="B455" t="s">
        <v>179</v>
      </c>
      <c r="C455">
        <v>2013</v>
      </c>
      <c r="D455">
        <v>0.36968564593301434</v>
      </c>
      <c r="E455">
        <v>0.51648736044657095</v>
      </c>
      <c r="F455">
        <v>6.5395713716108458E-2</v>
      </c>
      <c r="G455">
        <v>2.1972245773362196</v>
      </c>
      <c r="H455">
        <v>0.33333333333333331</v>
      </c>
      <c r="I455">
        <v>0.5</v>
      </c>
      <c r="J455">
        <v>0</v>
      </c>
      <c r="K455">
        <v>4</v>
      </c>
      <c r="L455">
        <v>2</v>
      </c>
      <c r="M455">
        <v>3</v>
      </c>
      <c r="N455">
        <v>4</v>
      </c>
      <c r="O455">
        <v>1</v>
      </c>
      <c r="P455">
        <v>1</v>
      </c>
      <c r="Q455">
        <f t="shared" si="49"/>
        <v>5</v>
      </c>
      <c r="R455">
        <f t="shared" si="50"/>
        <v>20</v>
      </c>
      <c r="S455">
        <f t="array" ref="S455">MAX(IF($C$2:$C$1387=C455,$R$2:$R$1387))</f>
        <v>29</v>
      </c>
      <c r="T455" cm="1">
        <f t="array" ref="T455">MIN(IF($C$2:$C$1387=C455,$R$2:$R$1387))</f>
        <v>10</v>
      </c>
      <c r="U455">
        <f t="shared" si="51"/>
        <v>19</v>
      </c>
      <c r="V455">
        <f t="shared" si="52"/>
        <v>0.52631578947368418</v>
      </c>
      <c r="W455" cm="1">
        <f t="array" ref="W455">_xlfn.IFS(N455=1,5,N455=2,4,N455=4,2,N455=5,1,N455=3,3)</f>
        <v>2</v>
      </c>
      <c r="X455">
        <f t="shared" si="53"/>
        <v>18</v>
      </c>
      <c r="Y455" cm="1">
        <f t="array" ref="Y455">MAX(IF($C$2:$C$1387=C455,$X$2:$X$1387))</f>
        <v>32</v>
      </c>
      <c r="Z455" cm="1">
        <f t="array" ref="Z455">MIN(IF($C$2:$C$1387=C455,$X$2:$X$1387))</f>
        <v>10</v>
      </c>
      <c r="AA455">
        <f t="shared" si="54"/>
        <v>22</v>
      </c>
      <c r="AB455">
        <f t="shared" si="55"/>
        <v>0.36363636363636365</v>
      </c>
    </row>
    <row r="456" spans="1:28" x14ac:dyDescent="0.25">
      <c r="A456" t="s">
        <v>178</v>
      </c>
      <c r="B456" t="s">
        <v>179</v>
      </c>
      <c r="C456">
        <v>2014</v>
      </c>
      <c r="D456">
        <v>0.36968564593301434</v>
      </c>
      <c r="E456">
        <v>0.52131993620414674</v>
      </c>
      <c r="F456">
        <v>3.310903110047847E-2</v>
      </c>
      <c r="G456">
        <v>2.1972245773362196</v>
      </c>
      <c r="H456">
        <v>0.22222222222222221</v>
      </c>
      <c r="I456">
        <v>0.75</v>
      </c>
      <c r="J456">
        <v>0</v>
      </c>
      <c r="K456">
        <v>4</v>
      </c>
      <c r="L456">
        <v>2</v>
      </c>
      <c r="M456">
        <v>3</v>
      </c>
      <c r="N456">
        <v>4</v>
      </c>
      <c r="O456">
        <v>1</v>
      </c>
      <c r="P456">
        <v>2</v>
      </c>
      <c r="Q456">
        <f t="shared" si="49"/>
        <v>5</v>
      </c>
      <c r="R456">
        <f t="shared" si="50"/>
        <v>21</v>
      </c>
      <c r="S456">
        <f t="array" ref="S456">MAX(IF($C$2:$C$1387=C456,$R$2:$R$1387))</f>
        <v>29</v>
      </c>
      <c r="T456" cm="1">
        <f t="array" ref="T456">MIN(IF($C$2:$C$1387=C456,$R$2:$R$1387))</f>
        <v>11</v>
      </c>
      <c r="U456">
        <f t="shared" si="51"/>
        <v>18</v>
      </c>
      <c r="V456">
        <f t="shared" si="52"/>
        <v>0.55555555555555558</v>
      </c>
      <c r="W456" cm="1">
        <f t="array" ref="W456">_xlfn.IFS(N456=1,5,N456=2,4,N456=4,2,N456=5,1,N456=3,3)</f>
        <v>2</v>
      </c>
      <c r="X456">
        <f t="shared" si="53"/>
        <v>19</v>
      </c>
      <c r="Y456" cm="1">
        <f t="array" ref="Y456">MAX(IF($C$2:$C$1387=C456,$X$2:$X$1387))</f>
        <v>30</v>
      </c>
      <c r="Z456" cm="1">
        <f t="array" ref="Z456">MIN(IF($C$2:$C$1387=C456,$X$2:$X$1387))</f>
        <v>14</v>
      </c>
      <c r="AA456">
        <f t="shared" si="54"/>
        <v>16</v>
      </c>
      <c r="AB456">
        <f t="shared" si="55"/>
        <v>0.3125</v>
      </c>
    </row>
    <row r="457" spans="1:28" x14ac:dyDescent="0.25">
      <c r="A457" t="s">
        <v>178</v>
      </c>
      <c r="B457" t="s">
        <v>179</v>
      </c>
      <c r="C457">
        <v>2015</v>
      </c>
      <c r="D457">
        <v>0.36968564593301434</v>
      </c>
      <c r="E457">
        <v>0.52906401515151513</v>
      </c>
      <c r="F457">
        <v>0.10713558612440191</v>
      </c>
      <c r="G457">
        <v>2.0794415416798357</v>
      </c>
      <c r="H457">
        <v>0.75</v>
      </c>
      <c r="I457">
        <v>0.75</v>
      </c>
      <c r="J457">
        <v>0</v>
      </c>
      <c r="K457">
        <v>4</v>
      </c>
      <c r="L457">
        <v>2</v>
      </c>
      <c r="M457">
        <v>4</v>
      </c>
      <c r="N457">
        <v>3</v>
      </c>
      <c r="O457">
        <v>4</v>
      </c>
      <c r="P457">
        <v>2</v>
      </c>
      <c r="Q457">
        <f t="shared" si="49"/>
        <v>5</v>
      </c>
      <c r="R457">
        <f t="shared" si="50"/>
        <v>24</v>
      </c>
      <c r="S457">
        <f t="array" ref="S457">MAX(IF($C$2:$C$1387=C457,$R$2:$R$1387))</f>
        <v>29</v>
      </c>
      <c r="T457" cm="1">
        <f t="array" ref="T457">MIN(IF($C$2:$C$1387=C457,$R$2:$R$1387))</f>
        <v>11</v>
      </c>
      <c r="U457">
        <f t="shared" si="51"/>
        <v>18</v>
      </c>
      <c r="V457">
        <f t="shared" si="52"/>
        <v>0.72222222222222221</v>
      </c>
      <c r="W457" cm="1">
        <f t="array" ref="W457">_xlfn.IFS(N457=1,5,N457=2,4,N457=4,2,N457=5,1,N457=3,3)</f>
        <v>3</v>
      </c>
      <c r="X457">
        <f t="shared" si="53"/>
        <v>24</v>
      </c>
      <c r="Y457" cm="1">
        <f t="array" ref="Y457">MAX(IF($C$2:$C$1387=C457,$X$2:$X$1387))</f>
        <v>29</v>
      </c>
      <c r="Z457" cm="1">
        <f t="array" ref="Z457">MIN(IF($C$2:$C$1387=C457,$X$2:$X$1387))</f>
        <v>12</v>
      </c>
      <c r="AA457">
        <f t="shared" si="54"/>
        <v>17</v>
      </c>
      <c r="AB457">
        <f t="shared" si="55"/>
        <v>0.70588235294117652</v>
      </c>
    </row>
    <row r="458" spans="1:28" x14ac:dyDescent="0.25">
      <c r="A458" t="s">
        <v>180</v>
      </c>
      <c r="B458" t="s">
        <v>181</v>
      </c>
      <c r="C458">
        <v>2010</v>
      </c>
      <c r="D458">
        <v>0.14422164118555098</v>
      </c>
      <c r="E458">
        <v>0.48450739813733856</v>
      </c>
      <c r="F458">
        <v>0</v>
      </c>
      <c r="G458">
        <v>1.9459101490553132</v>
      </c>
      <c r="H458">
        <v>0.5714285714285714</v>
      </c>
      <c r="I458">
        <v>0.75</v>
      </c>
      <c r="J458">
        <v>1</v>
      </c>
      <c r="K458">
        <v>3</v>
      </c>
      <c r="L458">
        <v>2</v>
      </c>
      <c r="M458">
        <v>1</v>
      </c>
      <c r="N458">
        <v>1</v>
      </c>
      <c r="O458">
        <v>2</v>
      </c>
      <c r="P458">
        <v>3</v>
      </c>
      <c r="Q458">
        <f t="shared" si="49"/>
        <v>1</v>
      </c>
      <c r="R458">
        <f t="shared" si="50"/>
        <v>13</v>
      </c>
      <c r="S458">
        <f t="array" ref="S458">MAX(IF($C$2:$C$1387=C458,$R$2:$R$1387))</f>
        <v>29</v>
      </c>
      <c r="T458" cm="1">
        <f t="array" ref="T458">MIN(IF($C$2:$C$1387=C458,$R$2:$R$1387))</f>
        <v>9</v>
      </c>
      <c r="U458">
        <f t="shared" si="51"/>
        <v>20</v>
      </c>
      <c r="V458">
        <f t="shared" si="52"/>
        <v>0.2</v>
      </c>
      <c r="W458" cm="1">
        <f t="array" ref="W458">_xlfn.IFS(N458=1,5,N458=2,4,N458=4,2,N458=5,1,N458=3,3)</f>
        <v>5</v>
      </c>
      <c r="X458">
        <f t="shared" si="53"/>
        <v>17</v>
      </c>
      <c r="Y458" cm="1">
        <f t="array" ref="Y458">MAX(IF($C$2:$C$1387=C458,$X$2:$X$1387))</f>
        <v>29</v>
      </c>
      <c r="Z458" cm="1">
        <f t="array" ref="Z458">MIN(IF($C$2:$C$1387=C458,$X$2:$X$1387))</f>
        <v>12</v>
      </c>
      <c r="AA458">
        <f t="shared" si="54"/>
        <v>17</v>
      </c>
      <c r="AB458">
        <f t="shared" si="55"/>
        <v>0.29411764705882354</v>
      </c>
    </row>
    <row r="459" spans="1:28" x14ac:dyDescent="0.25">
      <c r="A459" t="s">
        <v>180</v>
      </c>
      <c r="B459" t="s">
        <v>181</v>
      </c>
      <c r="C459">
        <v>2011</v>
      </c>
      <c r="D459">
        <v>0.14429467139562327</v>
      </c>
      <c r="E459">
        <v>0.49897325757594546</v>
      </c>
      <c r="F459">
        <v>0.2295033723536522</v>
      </c>
      <c r="G459">
        <v>2.0794415416798357</v>
      </c>
      <c r="H459">
        <v>0.625</v>
      </c>
      <c r="I459">
        <v>1</v>
      </c>
      <c r="J459">
        <v>1</v>
      </c>
      <c r="K459">
        <v>3</v>
      </c>
      <c r="L459">
        <v>2</v>
      </c>
      <c r="M459">
        <v>5</v>
      </c>
      <c r="N459">
        <v>3</v>
      </c>
      <c r="O459">
        <v>3</v>
      </c>
      <c r="P459">
        <v>3</v>
      </c>
      <c r="Q459">
        <f t="shared" si="49"/>
        <v>1</v>
      </c>
      <c r="R459">
        <f t="shared" si="50"/>
        <v>20</v>
      </c>
      <c r="S459">
        <f t="array" ref="S459">MAX(IF($C$2:$C$1387=C459,$R$2:$R$1387))</f>
        <v>28</v>
      </c>
      <c r="T459" cm="1">
        <f t="array" ref="T459">MIN(IF($C$2:$C$1387=C459,$R$2:$R$1387))</f>
        <v>10</v>
      </c>
      <c r="U459">
        <f t="shared" si="51"/>
        <v>18</v>
      </c>
      <c r="V459">
        <f t="shared" si="52"/>
        <v>0.55555555555555558</v>
      </c>
      <c r="W459" cm="1">
        <f t="array" ref="W459">_xlfn.IFS(N459=1,5,N459=2,4,N459=4,2,N459=5,1,N459=3,3)</f>
        <v>3</v>
      </c>
      <c r="X459">
        <f t="shared" si="53"/>
        <v>20</v>
      </c>
      <c r="Y459" cm="1">
        <f t="array" ref="Y459">MAX(IF($C$2:$C$1387=C459,$X$2:$X$1387))</f>
        <v>29</v>
      </c>
      <c r="Z459" cm="1">
        <f t="array" ref="Z459">MIN(IF($C$2:$C$1387=C459,$X$2:$X$1387))</f>
        <v>12</v>
      </c>
      <c r="AA459">
        <f t="shared" si="54"/>
        <v>17</v>
      </c>
      <c r="AB459">
        <f t="shared" si="55"/>
        <v>0.47058823529411764</v>
      </c>
    </row>
    <row r="460" spans="1:28" x14ac:dyDescent="0.25">
      <c r="A460" t="s">
        <v>180</v>
      </c>
      <c r="B460" t="s">
        <v>181</v>
      </c>
      <c r="C460">
        <v>2012</v>
      </c>
      <c r="D460">
        <v>0.14429449102401262</v>
      </c>
      <c r="E460">
        <v>0.49806983609937638</v>
      </c>
      <c r="F460">
        <v>0.32040244218204139</v>
      </c>
      <c r="G460">
        <v>1.9459101490553132</v>
      </c>
      <c r="H460">
        <v>0.5714285714285714</v>
      </c>
      <c r="I460">
        <v>0.66666666666666663</v>
      </c>
      <c r="J460">
        <v>1</v>
      </c>
      <c r="K460">
        <v>3</v>
      </c>
      <c r="L460">
        <v>2</v>
      </c>
      <c r="M460">
        <v>5</v>
      </c>
      <c r="N460">
        <v>1</v>
      </c>
      <c r="O460">
        <v>2</v>
      </c>
      <c r="P460">
        <v>1</v>
      </c>
      <c r="Q460">
        <f t="shared" si="49"/>
        <v>1</v>
      </c>
      <c r="R460">
        <f t="shared" si="50"/>
        <v>15</v>
      </c>
      <c r="S460">
        <f t="array" ref="S460">MAX(IF($C$2:$C$1387=C460,$R$2:$R$1387))</f>
        <v>29</v>
      </c>
      <c r="T460" cm="1">
        <f t="array" ref="T460">MIN(IF($C$2:$C$1387=C460,$R$2:$R$1387))</f>
        <v>11</v>
      </c>
      <c r="U460">
        <f t="shared" si="51"/>
        <v>18</v>
      </c>
      <c r="V460">
        <f t="shared" si="52"/>
        <v>0.22222222222222221</v>
      </c>
      <c r="W460" cm="1">
        <f t="array" ref="W460">_xlfn.IFS(N460=1,5,N460=2,4,N460=4,2,N460=5,1,N460=3,3)</f>
        <v>5</v>
      </c>
      <c r="X460">
        <f t="shared" si="53"/>
        <v>19</v>
      </c>
      <c r="Y460" cm="1">
        <f t="array" ref="Y460">MAX(IF($C$2:$C$1387=C460,$X$2:$X$1387))</f>
        <v>30</v>
      </c>
      <c r="Z460" cm="1">
        <f t="array" ref="Z460">MIN(IF($C$2:$C$1387=C460,$X$2:$X$1387))</f>
        <v>12</v>
      </c>
      <c r="AA460">
        <f t="shared" si="54"/>
        <v>18</v>
      </c>
      <c r="AB460">
        <f t="shared" si="55"/>
        <v>0.3888888888888889</v>
      </c>
    </row>
    <row r="461" spans="1:28" x14ac:dyDescent="0.25">
      <c r="A461" t="s">
        <v>180</v>
      </c>
      <c r="B461" t="s">
        <v>181</v>
      </c>
      <c r="C461">
        <v>2013</v>
      </c>
      <c r="D461">
        <v>0.14246800451892266</v>
      </c>
      <c r="E461">
        <v>0.49475703668363313</v>
      </c>
      <c r="F461">
        <v>3.362723512539785E-2</v>
      </c>
      <c r="G461">
        <v>2.0794415416798357</v>
      </c>
      <c r="H461">
        <v>0.375</v>
      </c>
      <c r="I461">
        <v>0.75</v>
      </c>
      <c r="J461">
        <v>1</v>
      </c>
      <c r="K461">
        <v>3</v>
      </c>
      <c r="L461">
        <v>2</v>
      </c>
      <c r="M461">
        <v>3</v>
      </c>
      <c r="N461">
        <v>3</v>
      </c>
      <c r="O461">
        <v>1</v>
      </c>
      <c r="P461">
        <v>3</v>
      </c>
      <c r="Q461">
        <f t="shared" si="49"/>
        <v>1</v>
      </c>
      <c r="R461">
        <f t="shared" si="50"/>
        <v>16</v>
      </c>
      <c r="S461">
        <f t="array" ref="S461">MAX(IF($C$2:$C$1387=C461,$R$2:$R$1387))</f>
        <v>29</v>
      </c>
      <c r="T461" cm="1">
        <f t="array" ref="T461">MIN(IF($C$2:$C$1387=C461,$R$2:$R$1387))</f>
        <v>10</v>
      </c>
      <c r="U461">
        <f t="shared" si="51"/>
        <v>19</v>
      </c>
      <c r="V461">
        <f t="shared" si="52"/>
        <v>0.31578947368421051</v>
      </c>
      <c r="W461" cm="1">
        <f t="array" ref="W461">_xlfn.IFS(N461=1,5,N461=2,4,N461=4,2,N461=5,1,N461=3,3)</f>
        <v>3</v>
      </c>
      <c r="X461">
        <f t="shared" si="53"/>
        <v>16</v>
      </c>
      <c r="Y461" cm="1">
        <f t="array" ref="Y461">MAX(IF($C$2:$C$1387=C461,$X$2:$X$1387))</f>
        <v>32</v>
      </c>
      <c r="Z461" cm="1">
        <f t="array" ref="Z461">MIN(IF($C$2:$C$1387=C461,$X$2:$X$1387))</f>
        <v>10</v>
      </c>
      <c r="AA461">
        <f t="shared" si="54"/>
        <v>22</v>
      </c>
      <c r="AB461">
        <f t="shared" si="55"/>
        <v>0.27272727272727271</v>
      </c>
    </row>
    <row r="462" spans="1:28" x14ac:dyDescent="0.25">
      <c r="A462" t="s">
        <v>180</v>
      </c>
      <c r="B462" t="s">
        <v>181</v>
      </c>
      <c r="C462">
        <v>2014</v>
      </c>
      <c r="D462">
        <v>0.14246800451892266</v>
      </c>
      <c r="E462">
        <v>0.49475703668363313</v>
      </c>
      <c r="F462">
        <v>0.18454193335433808</v>
      </c>
      <c r="G462">
        <v>2.0794415416798357</v>
      </c>
      <c r="H462">
        <v>0.625</v>
      </c>
      <c r="I462">
        <v>0.75</v>
      </c>
      <c r="J462">
        <v>1</v>
      </c>
      <c r="K462">
        <v>3</v>
      </c>
      <c r="L462">
        <v>2</v>
      </c>
      <c r="M462">
        <v>5</v>
      </c>
      <c r="N462">
        <v>3</v>
      </c>
      <c r="O462">
        <v>3</v>
      </c>
      <c r="P462">
        <v>2</v>
      </c>
      <c r="Q462">
        <f t="shared" si="49"/>
        <v>1</v>
      </c>
      <c r="R462">
        <f t="shared" si="50"/>
        <v>19</v>
      </c>
      <c r="S462">
        <f t="array" ref="S462">MAX(IF($C$2:$C$1387=C462,$R$2:$R$1387))</f>
        <v>29</v>
      </c>
      <c r="T462" cm="1">
        <f t="array" ref="T462">MIN(IF($C$2:$C$1387=C462,$R$2:$R$1387))</f>
        <v>11</v>
      </c>
      <c r="U462">
        <f t="shared" si="51"/>
        <v>18</v>
      </c>
      <c r="V462">
        <f t="shared" si="52"/>
        <v>0.44444444444444442</v>
      </c>
      <c r="W462" cm="1">
        <f t="array" ref="W462">_xlfn.IFS(N462=1,5,N462=2,4,N462=4,2,N462=5,1,N462=3,3)</f>
        <v>3</v>
      </c>
      <c r="X462">
        <f t="shared" si="53"/>
        <v>19</v>
      </c>
      <c r="Y462" cm="1">
        <f t="array" ref="Y462">MAX(IF($C$2:$C$1387=C462,$X$2:$X$1387))</f>
        <v>30</v>
      </c>
      <c r="Z462" cm="1">
        <f t="array" ref="Z462">MIN(IF($C$2:$C$1387=C462,$X$2:$X$1387))</f>
        <v>14</v>
      </c>
      <c r="AA462">
        <f t="shared" si="54"/>
        <v>16</v>
      </c>
      <c r="AB462">
        <f t="shared" si="55"/>
        <v>0.3125</v>
      </c>
    </row>
    <row r="463" spans="1:28" x14ac:dyDescent="0.25">
      <c r="A463" t="s">
        <v>180</v>
      </c>
      <c r="B463" t="s">
        <v>181</v>
      </c>
      <c r="C463">
        <v>2015</v>
      </c>
      <c r="D463">
        <v>0.14246800451892266</v>
      </c>
      <c r="E463">
        <v>0.49475703668363313</v>
      </c>
      <c r="F463">
        <v>0.18454193335433808</v>
      </c>
      <c r="G463">
        <v>1.9459101490553132</v>
      </c>
      <c r="H463">
        <v>0.5714285714285714</v>
      </c>
      <c r="I463">
        <v>0.75</v>
      </c>
      <c r="J463">
        <v>1</v>
      </c>
      <c r="K463">
        <v>3</v>
      </c>
      <c r="L463">
        <v>2</v>
      </c>
      <c r="M463">
        <v>5</v>
      </c>
      <c r="N463">
        <v>1</v>
      </c>
      <c r="O463">
        <v>1</v>
      </c>
      <c r="P463">
        <v>2</v>
      </c>
      <c r="Q463">
        <f t="shared" si="49"/>
        <v>1</v>
      </c>
      <c r="R463">
        <f t="shared" si="50"/>
        <v>15</v>
      </c>
      <c r="S463">
        <f t="array" ref="S463">MAX(IF($C$2:$C$1387=C463,$R$2:$R$1387))</f>
        <v>29</v>
      </c>
      <c r="T463" cm="1">
        <f t="array" ref="T463">MIN(IF($C$2:$C$1387=C463,$R$2:$R$1387))</f>
        <v>11</v>
      </c>
      <c r="U463">
        <f t="shared" si="51"/>
        <v>18</v>
      </c>
      <c r="V463">
        <f t="shared" si="52"/>
        <v>0.22222222222222221</v>
      </c>
      <c r="W463" cm="1">
        <f t="array" ref="W463">_xlfn.IFS(N463=1,5,N463=2,4,N463=4,2,N463=5,1,N463=3,3)</f>
        <v>5</v>
      </c>
      <c r="X463">
        <f t="shared" si="53"/>
        <v>19</v>
      </c>
      <c r="Y463" cm="1">
        <f t="array" ref="Y463">MAX(IF($C$2:$C$1387=C463,$X$2:$X$1387))</f>
        <v>29</v>
      </c>
      <c r="Z463" cm="1">
        <f t="array" ref="Z463">MIN(IF($C$2:$C$1387=C463,$X$2:$X$1387))</f>
        <v>12</v>
      </c>
      <c r="AA463">
        <f t="shared" si="54"/>
        <v>17</v>
      </c>
      <c r="AB463">
        <f t="shared" si="55"/>
        <v>0.41176470588235292</v>
      </c>
    </row>
    <row r="464" spans="1:28" x14ac:dyDescent="0.25">
      <c r="A464" t="s">
        <v>182</v>
      </c>
      <c r="B464" t="s">
        <v>183</v>
      </c>
      <c r="C464">
        <v>2010</v>
      </c>
      <c r="D464">
        <v>1.1569301260022909E-4</v>
      </c>
      <c r="E464">
        <v>0.72872278425453108</v>
      </c>
      <c r="F464">
        <v>0.24590036719444178</v>
      </c>
      <c r="G464">
        <v>2.4849066497880004</v>
      </c>
      <c r="H464">
        <v>0</v>
      </c>
      <c r="I464">
        <v>0.8</v>
      </c>
      <c r="J464">
        <v>0</v>
      </c>
      <c r="K464">
        <v>1</v>
      </c>
      <c r="L464">
        <v>4</v>
      </c>
      <c r="M464">
        <v>5</v>
      </c>
      <c r="N464">
        <v>5</v>
      </c>
      <c r="O464">
        <v>1</v>
      </c>
      <c r="P464">
        <v>3</v>
      </c>
      <c r="Q464">
        <f t="shared" si="49"/>
        <v>5</v>
      </c>
      <c r="R464">
        <f t="shared" si="50"/>
        <v>24</v>
      </c>
      <c r="S464">
        <f t="array" ref="S464">MAX(IF($C$2:$C$1387=C464,$R$2:$R$1387))</f>
        <v>29</v>
      </c>
      <c r="T464" cm="1">
        <f t="array" ref="T464">MIN(IF($C$2:$C$1387=C464,$R$2:$R$1387))</f>
        <v>9</v>
      </c>
      <c r="U464">
        <f t="shared" si="51"/>
        <v>20</v>
      </c>
      <c r="V464">
        <f t="shared" si="52"/>
        <v>0.75</v>
      </c>
      <c r="W464" cm="1">
        <f t="array" ref="W464">_xlfn.IFS(N464=1,5,N464=2,4,N464=4,2,N464=5,1,N464=3,3)</f>
        <v>1</v>
      </c>
      <c r="X464">
        <f t="shared" si="53"/>
        <v>20</v>
      </c>
      <c r="Y464" cm="1">
        <f t="array" ref="Y464">MAX(IF($C$2:$C$1387=C464,$X$2:$X$1387))</f>
        <v>29</v>
      </c>
      <c r="Z464" cm="1">
        <f t="array" ref="Z464">MIN(IF($C$2:$C$1387=C464,$X$2:$X$1387))</f>
        <v>12</v>
      </c>
      <c r="AA464">
        <f t="shared" si="54"/>
        <v>17</v>
      </c>
      <c r="AB464">
        <f t="shared" si="55"/>
        <v>0.47058823529411764</v>
      </c>
    </row>
    <row r="465" spans="1:28" x14ac:dyDescent="0.25">
      <c r="A465" t="s">
        <v>182</v>
      </c>
      <c r="B465" t="s">
        <v>183</v>
      </c>
      <c r="C465">
        <v>2011</v>
      </c>
      <c r="D465">
        <v>4.48739441821627E-4</v>
      </c>
      <c r="E465">
        <v>0.73355640449197634</v>
      </c>
      <c r="F465">
        <v>0.26627964586611858</v>
      </c>
      <c r="G465">
        <v>2.3978952727983707</v>
      </c>
      <c r="H465">
        <v>0.72727272727272729</v>
      </c>
      <c r="I465">
        <v>0.8</v>
      </c>
      <c r="J465">
        <v>0</v>
      </c>
      <c r="K465">
        <v>1</v>
      </c>
      <c r="L465">
        <v>4</v>
      </c>
      <c r="M465">
        <v>5</v>
      </c>
      <c r="N465">
        <v>5</v>
      </c>
      <c r="O465">
        <v>4</v>
      </c>
      <c r="P465">
        <v>3</v>
      </c>
      <c r="Q465">
        <f t="shared" si="49"/>
        <v>5</v>
      </c>
      <c r="R465">
        <f t="shared" si="50"/>
        <v>27</v>
      </c>
      <c r="S465">
        <f t="array" ref="S465">MAX(IF($C$2:$C$1387=C465,$R$2:$R$1387))</f>
        <v>28</v>
      </c>
      <c r="T465" cm="1">
        <f t="array" ref="T465">MIN(IF($C$2:$C$1387=C465,$R$2:$R$1387))</f>
        <v>10</v>
      </c>
      <c r="U465">
        <f t="shared" si="51"/>
        <v>18</v>
      </c>
      <c r="V465">
        <f t="shared" si="52"/>
        <v>0.94444444444444442</v>
      </c>
      <c r="W465" cm="1">
        <f t="array" ref="W465">_xlfn.IFS(N465=1,5,N465=2,4,N465=4,2,N465=5,1,N465=3,3)</f>
        <v>1</v>
      </c>
      <c r="X465">
        <f t="shared" si="53"/>
        <v>23</v>
      </c>
      <c r="Y465" cm="1">
        <f t="array" ref="Y465">MAX(IF($C$2:$C$1387=C465,$X$2:$X$1387))</f>
        <v>29</v>
      </c>
      <c r="Z465" cm="1">
        <f t="array" ref="Z465">MIN(IF($C$2:$C$1387=C465,$X$2:$X$1387))</f>
        <v>12</v>
      </c>
      <c r="AA465">
        <f t="shared" si="54"/>
        <v>17</v>
      </c>
      <c r="AB465">
        <f t="shared" si="55"/>
        <v>0.6470588235294118</v>
      </c>
    </row>
    <row r="466" spans="1:28" x14ac:dyDescent="0.25">
      <c r="A466" t="s">
        <v>182</v>
      </c>
      <c r="B466" t="s">
        <v>183</v>
      </c>
      <c r="C466">
        <v>2012</v>
      </c>
      <c r="D466">
        <v>4.0402843348213806E-4</v>
      </c>
      <c r="E466">
        <v>0.73236828317864067</v>
      </c>
      <c r="F466">
        <v>0.24582622068064788</v>
      </c>
      <c r="G466">
        <v>2.4849066497880004</v>
      </c>
      <c r="H466">
        <v>0.75</v>
      </c>
      <c r="I466">
        <v>0.8</v>
      </c>
      <c r="J466">
        <v>0</v>
      </c>
      <c r="K466">
        <v>1</v>
      </c>
      <c r="L466">
        <v>4</v>
      </c>
      <c r="M466">
        <v>5</v>
      </c>
      <c r="N466">
        <v>5</v>
      </c>
      <c r="O466">
        <v>4</v>
      </c>
      <c r="P466">
        <v>3</v>
      </c>
      <c r="Q466">
        <f t="shared" si="49"/>
        <v>5</v>
      </c>
      <c r="R466">
        <f t="shared" si="50"/>
        <v>27</v>
      </c>
      <c r="S466">
        <f t="array" ref="S466">MAX(IF($C$2:$C$1387=C466,$R$2:$R$1387))</f>
        <v>29</v>
      </c>
      <c r="T466" cm="1">
        <f t="array" ref="T466">MIN(IF($C$2:$C$1387=C466,$R$2:$R$1387))</f>
        <v>11</v>
      </c>
      <c r="U466">
        <f t="shared" si="51"/>
        <v>18</v>
      </c>
      <c r="V466">
        <f t="shared" si="52"/>
        <v>0.88888888888888884</v>
      </c>
      <c r="W466" cm="1">
        <f t="array" ref="W466">_xlfn.IFS(N466=1,5,N466=2,4,N466=4,2,N466=5,1,N466=3,3)</f>
        <v>1</v>
      </c>
      <c r="X466">
        <f t="shared" si="53"/>
        <v>23</v>
      </c>
      <c r="Y466" cm="1">
        <f t="array" ref="Y466">MAX(IF($C$2:$C$1387=C466,$X$2:$X$1387))</f>
        <v>30</v>
      </c>
      <c r="Z466" cm="1">
        <f t="array" ref="Z466">MIN(IF($C$2:$C$1387=C466,$X$2:$X$1387))</f>
        <v>12</v>
      </c>
      <c r="AA466">
        <f t="shared" si="54"/>
        <v>18</v>
      </c>
      <c r="AB466">
        <f t="shared" si="55"/>
        <v>0.61111111111111116</v>
      </c>
    </row>
    <row r="467" spans="1:28" x14ac:dyDescent="0.25">
      <c r="A467" t="s">
        <v>182</v>
      </c>
      <c r="B467" t="s">
        <v>183</v>
      </c>
      <c r="C467">
        <v>2013</v>
      </c>
      <c r="D467">
        <v>0</v>
      </c>
      <c r="E467">
        <v>0.76645558981276296</v>
      </c>
      <c r="F467">
        <v>0.27572940767147336</v>
      </c>
      <c r="G467">
        <v>2.4849066497880004</v>
      </c>
      <c r="H467">
        <v>0.66666666666666663</v>
      </c>
      <c r="I467">
        <v>0.8</v>
      </c>
      <c r="J467">
        <v>0</v>
      </c>
      <c r="K467">
        <v>1</v>
      </c>
      <c r="L467">
        <v>4</v>
      </c>
      <c r="M467">
        <v>5</v>
      </c>
      <c r="N467">
        <v>5</v>
      </c>
      <c r="O467">
        <v>4</v>
      </c>
      <c r="P467">
        <v>3</v>
      </c>
      <c r="Q467">
        <f t="shared" si="49"/>
        <v>5</v>
      </c>
      <c r="R467">
        <f t="shared" si="50"/>
        <v>27</v>
      </c>
      <c r="S467">
        <f t="array" ref="S467">MAX(IF($C$2:$C$1387=C467,$R$2:$R$1387))</f>
        <v>29</v>
      </c>
      <c r="T467" cm="1">
        <f t="array" ref="T467">MIN(IF($C$2:$C$1387=C467,$R$2:$R$1387))</f>
        <v>10</v>
      </c>
      <c r="U467">
        <f t="shared" si="51"/>
        <v>19</v>
      </c>
      <c r="V467">
        <f t="shared" si="52"/>
        <v>0.89473684210526316</v>
      </c>
      <c r="W467" cm="1">
        <f t="array" ref="W467">_xlfn.IFS(N467=1,5,N467=2,4,N467=4,2,N467=5,1,N467=3,3)</f>
        <v>1</v>
      </c>
      <c r="X467">
        <f t="shared" si="53"/>
        <v>23</v>
      </c>
      <c r="Y467" cm="1">
        <f t="array" ref="Y467">MAX(IF($C$2:$C$1387=C467,$X$2:$X$1387))</f>
        <v>32</v>
      </c>
      <c r="Z467" cm="1">
        <f t="array" ref="Z467">MIN(IF($C$2:$C$1387=C467,$X$2:$X$1387))</f>
        <v>10</v>
      </c>
      <c r="AA467">
        <f t="shared" si="54"/>
        <v>22</v>
      </c>
      <c r="AB467">
        <f t="shared" si="55"/>
        <v>0.59090909090909094</v>
      </c>
    </row>
    <row r="468" spans="1:28" x14ac:dyDescent="0.25">
      <c r="A468" t="s">
        <v>182</v>
      </c>
      <c r="B468" t="s">
        <v>183</v>
      </c>
      <c r="C468">
        <v>2014</v>
      </c>
      <c r="D468">
        <v>8.4371219663637048E-5</v>
      </c>
      <c r="E468">
        <v>0.76645558981276296</v>
      </c>
      <c r="F468">
        <v>0.27563134213315349</v>
      </c>
      <c r="G468">
        <v>2.4849066497880004</v>
      </c>
      <c r="H468">
        <v>0.66666666666666663</v>
      </c>
      <c r="I468">
        <v>0.8</v>
      </c>
      <c r="J468">
        <v>0</v>
      </c>
      <c r="K468">
        <v>1</v>
      </c>
      <c r="L468">
        <v>4</v>
      </c>
      <c r="M468">
        <v>5</v>
      </c>
      <c r="N468">
        <v>5</v>
      </c>
      <c r="O468">
        <v>4</v>
      </c>
      <c r="P468">
        <v>3</v>
      </c>
      <c r="Q468">
        <f t="shared" si="49"/>
        <v>5</v>
      </c>
      <c r="R468">
        <f t="shared" si="50"/>
        <v>27</v>
      </c>
      <c r="S468">
        <f t="array" ref="S468">MAX(IF($C$2:$C$1387=C468,$R$2:$R$1387))</f>
        <v>29</v>
      </c>
      <c r="T468" cm="1">
        <f t="array" ref="T468">MIN(IF($C$2:$C$1387=C468,$R$2:$R$1387))</f>
        <v>11</v>
      </c>
      <c r="U468">
        <f t="shared" si="51"/>
        <v>18</v>
      </c>
      <c r="V468">
        <f t="shared" si="52"/>
        <v>0.88888888888888884</v>
      </c>
      <c r="W468" cm="1">
        <f t="array" ref="W468">_xlfn.IFS(N468=1,5,N468=2,4,N468=4,2,N468=5,1,N468=3,3)</f>
        <v>1</v>
      </c>
      <c r="X468">
        <f t="shared" si="53"/>
        <v>23</v>
      </c>
      <c r="Y468" cm="1">
        <f t="array" ref="Y468">MAX(IF($C$2:$C$1387=C468,$X$2:$X$1387))</f>
        <v>30</v>
      </c>
      <c r="Z468" cm="1">
        <f t="array" ref="Z468">MIN(IF($C$2:$C$1387=C468,$X$2:$X$1387))</f>
        <v>14</v>
      </c>
      <c r="AA468">
        <f t="shared" si="54"/>
        <v>16</v>
      </c>
      <c r="AB468">
        <f t="shared" si="55"/>
        <v>0.5625</v>
      </c>
    </row>
    <row r="469" spans="1:28" x14ac:dyDescent="0.25">
      <c r="A469" t="s">
        <v>182</v>
      </c>
      <c r="B469" t="s">
        <v>183</v>
      </c>
      <c r="C469">
        <v>2015</v>
      </c>
      <c r="D469">
        <v>6.3228099474365971E-5</v>
      </c>
      <c r="E469">
        <v>0.742346492383124</v>
      </c>
      <c r="F469">
        <v>0.29422174476239416</v>
      </c>
      <c r="G469">
        <v>2.4849066497880004</v>
      </c>
      <c r="H469">
        <v>0.91666666666666663</v>
      </c>
      <c r="I469">
        <v>0.8</v>
      </c>
      <c r="J469">
        <v>0</v>
      </c>
      <c r="K469">
        <v>1</v>
      </c>
      <c r="L469">
        <v>4</v>
      </c>
      <c r="M469">
        <v>5</v>
      </c>
      <c r="N469">
        <v>5</v>
      </c>
      <c r="O469">
        <v>5</v>
      </c>
      <c r="P469">
        <v>2</v>
      </c>
      <c r="Q469">
        <f t="shared" si="49"/>
        <v>5</v>
      </c>
      <c r="R469">
        <f t="shared" si="50"/>
        <v>27</v>
      </c>
      <c r="S469">
        <f t="array" ref="S469">MAX(IF($C$2:$C$1387=C469,$R$2:$R$1387))</f>
        <v>29</v>
      </c>
      <c r="T469" cm="1">
        <f t="array" ref="T469">MIN(IF($C$2:$C$1387=C469,$R$2:$R$1387))</f>
        <v>11</v>
      </c>
      <c r="U469">
        <f t="shared" si="51"/>
        <v>18</v>
      </c>
      <c r="V469">
        <f t="shared" si="52"/>
        <v>0.88888888888888884</v>
      </c>
      <c r="W469" cm="1">
        <f t="array" ref="W469">_xlfn.IFS(N469=1,5,N469=2,4,N469=4,2,N469=5,1,N469=3,3)</f>
        <v>1</v>
      </c>
      <c r="X469">
        <f t="shared" si="53"/>
        <v>23</v>
      </c>
      <c r="Y469" cm="1">
        <f t="array" ref="Y469">MAX(IF($C$2:$C$1387=C469,$X$2:$X$1387))</f>
        <v>29</v>
      </c>
      <c r="Z469" cm="1">
        <f t="array" ref="Z469">MIN(IF($C$2:$C$1387=C469,$X$2:$X$1387))</f>
        <v>12</v>
      </c>
      <c r="AA469">
        <f t="shared" si="54"/>
        <v>17</v>
      </c>
      <c r="AB469">
        <f t="shared" si="55"/>
        <v>0.6470588235294118</v>
      </c>
    </row>
    <row r="470" spans="1:28" x14ac:dyDescent="0.25">
      <c r="A470" t="s">
        <v>184</v>
      </c>
      <c r="B470" s="1" t="s">
        <v>185</v>
      </c>
      <c r="C470">
        <v>2010</v>
      </c>
      <c r="D470">
        <v>0</v>
      </c>
      <c r="E470">
        <v>0.60905584215715847</v>
      </c>
      <c r="F470">
        <v>0.67899788787349258</v>
      </c>
      <c r="G470">
        <v>2.5649493574615367</v>
      </c>
      <c r="H470">
        <v>0.92307692307692313</v>
      </c>
      <c r="I470" s="1">
        <v>1</v>
      </c>
      <c r="J470">
        <v>0</v>
      </c>
      <c r="K470">
        <v>1</v>
      </c>
      <c r="L470">
        <v>3</v>
      </c>
      <c r="M470">
        <v>5</v>
      </c>
      <c r="N470">
        <v>5</v>
      </c>
      <c r="O470">
        <v>5</v>
      </c>
      <c r="P470">
        <v>3</v>
      </c>
      <c r="Q470">
        <f t="shared" si="49"/>
        <v>5</v>
      </c>
      <c r="R470">
        <f t="shared" si="50"/>
        <v>27</v>
      </c>
      <c r="S470">
        <f t="array" ref="S470">MAX(IF($C$2:$C$1387=C470,$R$2:$R$1387))</f>
        <v>29</v>
      </c>
      <c r="T470" cm="1">
        <f t="array" ref="T470">MIN(IF($C$2:$C$1387=C470,$R$2:$R$1387))</f>
        <v>9</v>
      </c>
      <c r="U470">
        <f t="shared" si="51"/>
        <v>20</v>
      </c>
      <c r="V470">
        <f t="shared" si="52"/>
        <v>0.9</v>
      </c>
      <c r="W470" cm="1">
        <f t="array" ref="W470">_xlfn.IFS(N470=1,5,N470=2,4,N470=4,2,N470=5,1,N470=3,3)</f>
        <v>1</v>
      </c>
      <c r="X470">
        <f t="shared" si="53"/>
        <v>23</v>
      </c>
      <c r="Y470" cm="1">
        <f t="array" ref="Y470">MAX(IF($C$2:$C$1387=C470,$X$2:$X$1387))</f>
        <v>29</v>
      </c>
      <c r="Z470" cm="1">
        <f t="array" ref="Z470">MIN(IF($C$2:$C$1387=C470,$X$2:$X$1387))</f>
        <v>12</v>
      </c>
      <c r="AA470">
        <f t="shared" si="54"/>
        <v>17</v>
      </c>
      <c r="AB470">
        <f t="shared" si="55"/>
        <v>0.6470588235294118</v>
      </c>
    </row>
    <row r="471" spans="1:28" x14ac:dyDescent="0.25">
      <c r="A471" t="s">
        <v>184</v>
      </c>
      <c r="B471" t="s">
        <v>185</v>
      </c>
      <c r="C471">
        <v>2011</v>
      </c>
      <c r="D471">
        <v>0.14846918572023923</v>
      </c>
      <c r="E471">
        <v>0.60327248776827269</v>
      </c>
      <c r="F471">
        <v>0.67673695659486688</v>
      </c>
      <c r="G471">
        <v>1.6094379124341003</v>
      </c>
      <c r="H471">
        <v>0.8</v>
      </c>
      <c r="I471">
        <v>1</v>
      </c>
      <c r="J471">
        <v>1</v>
      </c>
      <c r="K471">
        <v>3</v>
      </c>
      <c r="L471">
        <v>2</v>
      </c>
      <c r="M471">
        <v>5</v>
      </c>
      <c r="N471">
        <v>1</v>
      </c>
      <c r="O471">
        <v>5</v>
      </c>
      <c r="P471">
        <v>3</v>
      </c>
      <c r="Q471">
        <f t="shared" si="49"/>
        <v>1</v>
      </c>
      <c r="R471">
        <f t="shared" si="50"/>
        <v>20</v>
      </c>
      <c r="S471">
        <f t="array" ref="S471">MAX(IF($C$2:$C$1387=C471,$R$2:$R$1387))</f>
        <v>28</v>
      </c>
      <c r="T471" cm="1">
        <f t="array" ref="T471">MIN(IF($C$2:$C$1387=C471,$R$2:$R$1387))</f>
        <v>10</v>
      </c>
      <c r="U471">
        <f t="shared" si="51"/>
        <v>18</v>
      </c>
      <c r="V471">
        <f t="shared" si="52"/>
        <v>0.55555555555555558</v>
      </c>
      <c r="W471" cm="1">
        <f t="array" ref="W471">_xlfn.IFS(N471=1,5,N471=2,4,N471=4,2,N471=5,1,N471=3,3)</f>
        <v>5</v>
      </c>
      <c r="X471">
        <f t="shared" si="53"/>
        <v>24</v>
      </c>
      <c r="Y471" cm="1">
        <f t="array" ref="Y471">MAX(IF($C$2:$C$1387=C471,$X$2:$X$1387))</f>
        <v>29</v>
      </c>
      <c r="Z471" cm="1">
        <f t="array" ref="Z471">MIN(IF($C$2:$C$1387=C471,$X$2:$X$1387))</f>
        <v>12</v>
      </c>
      <c r="AA471">
        <f t="shared" si="54"/>
        <v>17</v>
      </c>
      <c r="AB471">
        <f t="shared" si="55"/>
        <v>0.70588235294117652</v>
      </c>
    </row>
    <row r="472" spans="1:28" x14ac:dyDescent="0.25">
      <c r="A472" t="s">
        <v>184</v>
      </c>
      <c r="B472" t="s">
        <v>185</v>
      </c>
      <c r="C472">
        <v>2012</v>
      </c>
      <c r="D472">
        <v>1.9570516810598604E-3</v>
      </c>
      <c r="E472">
        <v>0.58655108723515681</v>
      </c>
      <c r="F472">
        <v>0.6631152262473996</v>
      </c>
      <c r="G472">
        <v>2.5649493574615367</v>
      </c>
      <c r="H472">
        <v>0.61538461538461542</v>
      </c>
      <c r="I472">
        <v>1</v>
      </c>
      <c r="J472">
        <v>0</v>
      </c>
      <c r="K472">
        <v>2</v>
      </c>
      <c r="L472">
        <v>3</v>
      </c>
      <c r="M472">
        <v>5</v>
      </c>
      <c r="N472">
        <v>5</v>
      </c>
      <c r="O472">
        <v>3</v>
      </c>
      <c r="P472">
        <v>3</v>
      </c>
      <c r="Q472">
        <f t="shared" si="49"/>
        <v>5</v>
      </c>
      <c r="R472">
        <f t="shared" si="50"/>
        <v>26</v>
      </c>
      <c r="S472">
        <f t="array" ref="S472">MAX(IF($C$2:$C$1387=C472,$R$2:$R$1387))</f>
        <v>29</v>
      </c>
      <c r="T472" cm="1">
        <f t="array" ref="T472">MIN(IF($C$2:$C$1387=C472,$R$2:$R$1387))</f>
        <v>11</v>
      </c>
      <c r="U472">
        <f t="shared" si="51"/>
        <v>18</v>
      </c>
      <c r="V472">
        <f t="shared" si="52"/>
        <v>0.83333333333333337</v>
      </c>
      <c r="W472" cm="1">
        <f t="array" ref="W472">_xlfn.IFS(N472=1,5,N472=2,4,N472=4,2,N472=5,1,N472=3,3)</f>
        <v>1</v>
      </c>
      <c r="X472">
        <f t="shared" si="53"/>
        <v>22</v>
      </c>
      <c r="Y472" cm="1">
        <f t="array" ref="Y472">MAX(IF($C$2:$C$1387=C472,$X$2:$X$1387))</f>
        <v>30</v>
      </c>
      <c r="Z472" cm="1">
        <f t="array" ref="Z472">MIN(IF($C$2:$C$1387=C472,$X$2:$X$1387))</f>
        <v>12</v>
      </c>
      <c r="AA472">
        <f t="shared" si="54"/>
        <v>18</v>
      </c>
      <c r="AB472">
        <f t="shared" si="55"/>
        <v>0.55555555555555558</v>
      </c>
    </row>
    <row r="473" spans="1:28" x14ac:dyDescent="0.25">
      <c r="A473" t="s">
        <v>184</v>
      </c>
      <c r="B473" t="s">
        <v>185</v>
      </c>
      <c r="C473">
        <v>2013</v>
      </c>
      <c r="D473">
        <v>0</v>
      </c>
      <c r="E473">
        <v>0.58455577856872909</v>
      </c>
      <c r="F473">
        <v>0.66933267413395092</v>
      </c>
      <c r="G473">
        <v>2.5649493574615367</v>
      </c>
      <c r="H473">
        <v>0.61538461538461542</v>
      </c>
      <c r="I473">
        <v>0.66666666666666663</v>
      </c>
      <c r="J473">
        <v>0</v>
      </c>
      <c r="K473">
        <v>1</v>
      </c>
      <c r="L473">
        <v>2</v>
      </c>
      <c r="M473">
        <v>5</v>
      </c>
      <c r="N473">
        <v>5</v>
      </c>
      <c r="O473">
        <v>3</v>
      </c>
      <c r="P473">
        <v>1</v>
      </c>
      <c r="Q473">
        <f t="shared" si="49"/>
        <v>5</v>
      </c>
      <c r="R473">
        <f t="shared" si="50"/>
        <v>22</v>
      </c>
      <c r="S473">
        <f t="array" ref="S473">MAX(IF($C$2:$C$1387=C473,$R$2:$R$1387))</f>
        <v>29</v>
      </c>
      <c r="T473" cm="1">
        <f t="array" ref="T473">MIN(IF($C$2:$C$1387=C473,$R$2:$R$1387))</f>
        <v>10</v>
      </c>
      <c r="U473">
        <f t="shared" si="51"/>
        <v>19</v>
      </c>
      <c r="V473">
        <f t="shared" si="52"/>
        <v>0.63157894736842102</v>
      </c>
      <c r="W473" cm="1">
        <f t="array" ref="W473">_xlfn.IFS(N473=1,5,N473=2,4,N473=4,2,N473=5,1,N473=3,3)</f>
        <v>1</v>
      </c>
      <c r="X473">
        <f t="shared" si="53"/>
        <v>18</v>
      </c>
      <c r="Y473" cm="1">
        <f t="array" ref="Y473">MAX(IF($C$2:$C$1387=C473,$X$2:$X$1387))</f>
        <v>32</v>
      </c>
      <c r="Z473" cm="1">
        <f t="array" ref="Z473">MIN(IF($C$2:$C$1387=C473,$X$2:$X$1387))</f>
        <v>10</v>
      </c>
      <c r="AA473">
        <f t="shared" si="54"/>
        <v>22</v>
      </c>
      <c r="AB473">
        <f t="shared" si="55"/>
        <v>0.36363636363636365</v>
      </c>
    </row>
    <row r="474" spans="1:28" x14ac:dyDescent="0.25">
      <c r="A474" t="s">
        <v>184</v>
      </c>
      <c r="B474" t="s">
        <v>185</v>
      </c>
      <c r="C474">
        <v>2014</v>
      </c>
      <c r="D474">
        <v>1.4120885016908316E-3</v>
      </c>
      <c r="E474">
        <v>0.57889198955987686</v>
      </c>
      <c r="F474">
        <v>0.65303829920151735</v>
      </c>
      <c r="G474">
        <v>2.5649493574615367</v>
      </c>
      <c r="H474">
        <v>0.61538461538461542</v>
      </c>
      <c r="I474">
        <v>0.75</v>
      </c>
      <c r="J474">
        <v>0</v>
      </c>
      <c r="K474">
        <v>2</v>
      </c>
      <c r="L474">
        <v>2</v>
      </c>
      <c r="M474">
        <v>5</v>
      </c>
      <c r="N474">
        <v>5</v>
      </c>
      <c r="O474">
        <v>3</v>
      </c>
      <c r="P474">
        <v>2</v>
      </c>
      <c r="Q474">
        <f t="shared" si="49"/>
        <v>5</v>
      </c>
      <c r="R474">
        <f t="shared" si="50"/>
        <v>24</v>
      </c>
      <c r="S474">
        <f t="array" ref="S474">MAX(IF($C$2:$C$1387=C474,$R$2:$R$1387))</f>
        <v>29</v>
      </c>
      <c r="T474" cm="1">
        <f t="array" ref="T474">MIN(IF($C$2:$C$1387=C474,$R$2:$R$1387))</f>
        <v>11</v>
      </c>
      <c r="U474">
        <f t="shared" si="51"/>
        <v>18</v>
      </c>
      <c r="V474">
        <f t="shared" si="52"/>
        <v>0.72222222222222221</v>
      </c>
      <c r="W474" cm="1">
        <f t="array" ref="W474">_xlfn.IFS(N474=1,5,N474=2,4,N474=4,2,N474=5,1,N474=3,3)</f>
        <v>1</v>
      </c>
      <c r="X474">
        <f t="shared" si="53"/>
        <v>20</v>
      </c>
      <c r="Y474" cm="1">
        <f t="array" ref="Y474">MAX(IF($C$2:$C$1387=C474,$X$2:$X$1387))</f>
        <v>30</v>
      </c>
      <c r="Z474" cm="1">
        <f t="array" ref="Z474">MIN(IF($C$2:$C$1387=C474,$X$2:$X$1387))</f>
        <v>14</v>
      </c>
      <c r="AA474">
        <f t="shared" si="54"/>
        <v>16</v>
      </c>
      <c r="AB474">
        <f t="shared" si="55"/>
        <v>0.375</v>
      </c>
    </row>
    <row r="475" spans="1:28" x14ac:dyDescent="0.25">
      <c r="A475" t="s">
        <v>184</v>
      </c>
      <c r="B475" t="s">
        <v>185</v>
      </c>
      <c r="C475">
        <v>2015</v>
      </c>
      <c r="D475">
        <v>1.7298080805143409E-3</v>
      </c>
      <c r="E475">
        <v>0.57462451056150332</v>
      </c>
      <c r="F475">
        <v>0.6434829804326736</v>
      </c>
      <c r="G475">
        <v>2.5649493574615367</v>
      </c>
      <c r="H475">
        <v>0.61538461538461542</v>
      </c>
      <c r="I475">
        <v>0.75</v>
      </c>
      <c r="J475">
        <v>0</v>
      </c>
      <c r="K475">
        <v>2</v>
      </c>
      <c r="L475">
        <v>2</v>
      </c>
      <c r="M475">
        <v>5</v>
      </c>
      <c r="N475">
        <v>5</v>
      </c>
      <c r="O475">
        <v>2</v>
      </c>
      <c r="P475">
        <v>2</v>
      </c>
      <c r="Q475">
        <f t="shared" si="49"/>
        <v>5</v>
      </c>
      <c r="R475">
        <f t="shared" si="50"/>
        <v>23</v>
      </c>
      <c r="S475">
        <f t="array" ref="S475">MAX(IF($C$2:$C$1387=C475,$R$2:$R$1387))</f>
        <v>29</v>
      </c>
      <c r="T475" cm="1">
        <f t="array" ref="T475">MIN(IF($C$2:$C$1387=C475,$R$2:$R$1387))</f>
        <v>11</v>
      </c>
      <c r="U475">
        <f t="shared" si="51"/>
        <v>18</v>
      </c>
      <c r="V475">
        <f t="shared" si="52"/>
        <v>0.66666666666666663</v>
      </c>
      <c r="W475" cm="1">
        <f t="array" ref="W475">_xlfn.IFS(N475=1,5,N475=2,4,N475=4,2,N475=5,1,N475=3,3)</f>
        <v>1</v>
      </c>
      <c r="X475">
        <f t="shared" si="53"/>
        <v>19</v>
      </c>
      <c r="Y475" cm="1">
        <f t="array" ref="Y475">MAX(IF($C$2:$C$1387=C475,$X$2:$X$1387))</f>
        <v>29</v>
      </c>
      <c r="Z475" cm="1">
        <f t="array" ref="Z475">MIN(IF($C$2:$C$1387=C475,$X$2:$X$1387))</f>
        <v>12</v>
      </c>
      <c r="AA475">
        <f t="shared" si="54"/>
        <v>17</v>
      </c>
      <c r="AB475">
        <f t="shared" si="55"/>
        <v>0.41176470588235292</v>
      </c>
    </row>
    <row r="476" spans="1:28" x14ac:dyDescent="0.25">
      <c r="A476" t="s">
        <v>186</v>
      </c>
      <c r="B476" t="s">
        <v>187</v>
      </c>
      <c r="C476">
        <v>2010</v>
      </c>
      <c r="D476">
        <v>0.77130471022727276</v>
      </c>
      <c r="E476">
        <v>0.63103319318181816</v>
      </c>
      <c r="F476">
        <v>0</v>
      </c>
      <c r="G476">
        <v>1.9459101490553132</v>
      </c>
      <c r="H476">
        <v>0.5714285714285714</v>
      </c>
      <c r="I476">
        <v>0.66666666666666663</v>
      </c>
      <c r="J476">
        <v>1</v>
      </c>
      <c r="K476">
        <v>5</v>
      </c>
      <c r="L476">
        <v>3</v>
      </c>
      <c r="M476">
        <v>1</v>
      </c>
      <c r="N476">
        <v>1</v>
      </c>
      <c r="O476">
        <v>2</v>
      </c>
      <c r="P476">
        <v>1</v>
      </c>
      <c r="Q476">
        <f t="shared" si="49"/>
        <v>1</v>
      </c>
      <c r="R476">
        <f t="shared" si="50"/>
        <v>14</v>
      </c>
      <c r="S476">
        <f t="array" ref="S476">MAX(IF($C$2:$C$1387=C476,$R$2:$R$1387))</f>
        <v>29</v>
      </c>
      <c r="T476" cm="1">
        <f t="array" ref="T476">MIN(IF($C$2:$C$1387=C476,$R$2:$R$1387))</f>
        <v>9</v>
      </c>
      <c r="U476">
        <f t="shared" si="51"/>
        <v>20</v>
      </c>
      <c r="V476">
        <f t="shared" si="52"/>
        <v>0.25</v>
      </c>
      <c r="W476" cm="1">
        <f t="array" ref="W476">_xlfn.IFS(N476=1,5,N476=2,4,N476=4,2,N476=5,1,N476=3,3)</f>
        <v>5</v>
      </c>
      <c r="X476">
        <f t="shared" si="53"/>
        <v>18</v>
      </c>
      <c r="Y476" cm="1">
        <f t="array" ref="Y476">MAX(IF($C$2:$C$1387=C476,$X$2:$X$1387))</f>
        <v>29</v>
      </c>
      <c r="Z476" cm="1">
        <f t="array" ref="Z476">MIN(IF($C$2:$C$1387=C476,$X$2:$X$1387))</f>
        <v>12</v>
      </c>
      <c r="AA476">
        <f t="shared" si="54"/>
        <v>17</v>
      </c>
      <c r="AB476">
        <f t="shared" si="55"/>
        <v>0.35294117647058826</v>
      </c>
    </row>
    <row r="477" spans="1:28" x14ac:dyDescent="0.25">
      <c r="A477" t="s">
        <v>186</v>
      </c>
      <c r="B477" t="s">
        <v>187</v>
      </c>
      <c r="C477">
        <v>2011</v>
      </c>
      <c r="D477">
        <v>0.76571351704545454</v>
      </c>
      <c r="E477">
        <v>0.62543887499999995</v>
      </c>
      <c r="F477">
        <v>6.2528409090909092E-5</v>
      </c>
      <c r="G477">
        <v>1.9459101490553132</v>
      </c>
      <c r="H477">
        <v>0.5714285714285714</v>
      </c>
      <c r="I477">
        <v>0.66666666666666663</v>
      </c>
      <c r="J477">
        <v>1</v>
      </c>
      <c r="K477">
        <v>5</v>
      </c>
      <c r="L477">
        <v>3</v>
      </c>
      <c r="M477">
        <v>1</v>
      </c>
      <c r="N477">
        <v>1</v>
      </c>
      <c r="O477">
        <v>2</v>
      </c>
      <c r="P477">
        <v>1</v>
      </c>
      <c r="Q477">
        <f t="shared" si="49"/>
        <v>1</v>
      </c>
      <c r="R477">
        <f t="shared" si="50"/>
        <v>14</v>
      </c>
      <c r="S477">
        <f t="array" ref="S477">MAX(IF($C$2:$C$1387=C477,$R$2:$R$1387))</f>
        <v>28</v>
      </c>
      <c r="T477" cm="1">
        <f t="array" ref="T477">MIN(IF($C$2:$C$1387=C477,$R$2:$R$1387))</f>
        <v>10</v>
      </c>
      <c r="U477">
        <f t="shared" si="51"/>
        <v>18</v>
      </c>
      <c r="V477">
        <f t="shared" si="52"/>
        <v>0.22222222222222221</v>
      </c>
      <c r="W477" cm="1">
        <f t="array" ref="W477">_xlfn.IFS(N477=1,5,N477=2,4,N477=4,2,N477=5,1,N477=3,3)</f>
        <v>5</v>
      </c>
      <c r="X477">
        <f t="shared" si="53"/>
        <v>18</v>
      </c>
      <c r="Y477" cm="1">
        <f t="array" ref="Y477">MAX(IF($C$2:$C$1387=C477,$X$2:$X$1387))</f>
        <v>29</v>
      </c>
      <c r="Z477" cm="1">
        <f t="array" ref="Z477">MIN(IF($C$2:$C$1387=C477,$X$2:$X$1387))</f>
        <v>12</v>
      </c>
      <c r="AA477">
        <f t="shared" si="54"/>
        <v>17</v>
      </c>
      <c r="AB477">
        <f t="shared" si="55"/>
        <v>0.35294117647058826</v>
      </c>
    </row>
    <row r="478" spans="1:28" x14ac:dyDescent="0.25">
      <c r="A478" t="s">
        <v>186</v>
      </c>
      <c r="B478" t="s">
        <v>187</v>
      </c>
      <c r="C478">
        <v>2012</v>
      </c>
      <c r="D478">
        <v>0.68210473295454543</v>
      </c>
      <c r="E478">
        <v>0.54183321590909095</v>
      </c>
      <c r="F478">
        <v>2.0315852272727274E-2</v>
      </c>
      <c r="G478">
        <v>2.0794415416798357</v>
      </c>
      <c r="H478">
        <v>0.625</v>
      </c>
      <c r="I478">
        <v>1</v>
      </c>
      <c r="J478">
        <v>0</v>
      </c>
      <c r="K478">
        <v>5</v>
      </c>
      <c r="L478">
        <v>2</v>
      </c>
      <c r="M478">
        <v>2</v>
      </c>
      <c r="N478">
        <v>3</v>
      </c>
      <c r="O478">
        <v>3</v>
      </c>
      <c r="P478">
        <v>3</v>
      </c>
      <c r="Q478">
        <f t="shared" si="49"/>
        <v>5</v>
      </c>
      <c r="R478">
        <f t="shared" si="50"/>
        <v>23</v>
      </c>
      <c r="S478">
        <f t="array" ref="S478">MAX(IF($C$2:$C$1387=C478,$R$2:$R$1387))</f>
        <v>29</v>
      </c>
      <c r="T478" cm="1">
        <f t="array" ref="T478">MIN(IF($C$2:$C$1387=C478,$R$2:$R$1387))</f>
        <v>11</v>
      </c>
      <c r="U478">
        <f t="shared" si="51"/>
        <v>18</v>
      </c>
      <c r="V478">
        <f t="shared" si="52"/>
        <v>0.66666666666666663</v>
      </c>
      <c r="W478" cm="1">
        <f t="array" ref="W478">_xlfn.IFS(N478=1,5,N478=2,4,N478=4,2,N478=5,1,N478=3,3)</f>
        <v>3</v>
      </c>
      <c r="X478">
        <f t="shared" si="53"/>
        <v>23</v>
      </c>
      <c r="Y478" cm="1">
        <f t="array" ref="Y478">MAX(IF($C$2:$C$1387=C478,$X$2:$X$1387))</f>
        <v>30</v>
      </c>
      <c r="Z478" cm="1">
        <f t="array" ref="Z478">MIN(IF($C$2:$C$1387=C478,$X$2:$X$1387))</f>
        <v>12</v>
      </c>
      <c r="AA478">
        <f t="shared" si="54"/>
        <v>18</v>
      </c>
      <c r="AB478">
        <f t="shared" si="55"/>
        <v>0.61111111111111116</v>
      </c>
    </row>
    <row r="479" spans="1:28" x14ac:dyDescent="0.25">
      <c r="A479" t="s">
        <v>186</v>
      </c>
      <c r="B479" t="s">
        <v>187</v>
      </c>
      <c r="C479">
        <v>2013</v>
      </c>
      <c r="D479">
        <v>0.63677234659090909</v>
      </c>
      <c r="E479">
        <v>0.49649230681818179</v>
      </c>
      <c r="F479">
        <v>5.781821022727273E-2</v>
      </c>
      <c r="G479">
        <v>2.1972245773362196</v>
      </c>
      <c r="H479">
        <v>0.66666666666666663</v>
      </c>
      <c r="I479">
        <v>1</v>
      </c>
      <c r="J479">
        <v>0</v>
      </c>
      <c r="K479">
        <v>5</v>
      </c>
      <c r="L479">
        <v>2</v>
      </c>
      <c r="M479">
        <v>3</v>
      </c>
      <c r="N479">
        <v>4</v>
      </c>
      <c r="O479">
        <v>4</v>
      </c>
      <c r="P479">
        <v>3</v>
      </c>
      <c r="Q479">
        <f t="shared" si="49"/>
        <v>5</v>
      </c>
      <c r="R479">
        <f t="shared" si="50"/>
        <v>26</v>
      </c>
      <c r="S479">
        <f t="array" ref="S479">MAX(IF($C$2:$C$1387=C479,$R$2:$R$1387))</f>
        <v>29</v>
      </c>
      <c r="T479" cm="1">
        <f t="array" ref="T479">MIN(IF($C$2:$C$1387=C479,$R$2:$R$1387))</f>
        <v>10</v>
      </c>
      <c r="U479">
        <f t="shared" si="51"/>
        <v>19</v>
      </c>
      <c r="V479">
        <f t="shared" si="52"/>
        <v>0.84210526315789469</v>
      </c>
      <c r="W479" cm="1">
        <f t="array" ref="W479">_xlfn.IFS(N479=1,5,N479=2,4,N479=4,2,N479=5,1,N479=3,3)</f>
        <v>2</v>
      </c>
      <c r="X479">
        <f t="shared" si="53"/>
        <v>24</v>
      </c>
      <c r="Y479" cm="1">
        <f t="array" ref="Y479">MAX(IF($C$2:$C$1387=C479,$X$2:$X$1387))</f>
        <v>32</v>
      </c>
      <c r="Z479" cm="1">
        <f t="array" ref="Z479">MIN(IF($C$2:$C$1387=C479,$X$2:$X$1387))</f>
        <v>10</v>
      </c>
      <c r="AA479">
        <f t="shared" si="54"/>
        <v>22</v>
      </c>
      <c r="AB479">
        <f t="shared" si="55"/>
        <v>0.63636363636363635</v>
      </c>
    </row>
    <row r="480" spans="1:28" x14ac:dyDescent="0.25">
      <c r="A480" t="s">
        <v>186</v>
      </c>
      <c r="B480" t="s">
        <v>187</v>
      </c>
      <c r="C480">
        <v>2014</v>
      </c>
      <c r="D480">
        <v>0.63677234659090909</v>
      </c>
      <c r="E480">
        <v>0.49649230681818179</v>
      </c>
      <c r="F480">
        <v>5.781821022727273E-2</v>
      </c>
      <c r="G480">
        <v>2.1972245773362196</v>
      </c>
      <c r="H480">
        <v>0.66666666666666663</v>
      </c>
      <c r="I480">
        <v>1</v>
      </c>
      <c r="J480">
        <v>0</v>
      </c>
      <c r="K480">
        <v>5</v>
      </c>
      <c r="L480">
        <v>2</v>
      </c>
      <c r="M480">
        <v>3</v>
      </c>
      <c r="N480">
        <v>4</v>
      </c>
      <c r="O480">
        <v>4</v>
      </c>
      <c r="P480">
        <v>3</v>
      </c>
      <c r="Q480">
        <f t="shared" si="49"/>
        <v>5</v>
      </c>
      <c r="R480">
        <f t="shared" si="50"/>
        <v>26</v>
      </c>
      <c r="S480">
        <f t="array" ref="S480">MAX(IF($C$2:$C$1387=C480,$R$2:$R$1387))</f>
        <v>29</v>
      </c>
      <c r="T480" cm="1">
        <f t="array" ref="T480">MIN(IF($C$2:$C$1387=C480,$R$2:$R$1387))</f>
        <v>11</v>
      </c>
      <c r="U480">
        <f t="shared" si="51"/>
        <v>18</v>
      </c>
      <c r="V480">
        <f t="shared" si="52"/>
        <v>0.83333333333333337</v>
      </c>
      <c r="W480" cm="1">
        <f t="array" ref="W480">_xlfn.IFS(N480=1,5,N480=2,4,N480=4,2,N480=5,1,N480=3,3)</f>
        <v>2</v>
      </c>
      <c r="X480">
        <f t="shared" si="53"/>
        <v>24</v>
      </c>
      <c r="Y480" cm="1">
        <f t="array" ref="Y480">MAX(IF($C$2:$C$1387=C480,$X$2:$X$1387))</f>
        <v>30</v>
      </c>
      <c r="Z480" cm="1">
        <f t="array" ref="Z480">MIN(IF($C$2:$C$1387=C480,$X$2:$X$1387))</f>
        <v>14</v>
      </c>
      <c r="AA480">
        <f t="shared" si="54"/>
        <v>16</v>
      </c>
      <c r="AB480">
        <f t="shared" si="55"/>
        <v>0.625</v>
      </c>
    </row>
    <row r="481" spans="1:28" x14ac:dyDescent="0.25">
      <c r="A481" t="s">
        <v>186</v>
      </c>
      <c r="B481" t="s">
        <v>187</v>
      </c>
      <c r="C481">
        <v>2015</v>
      </c>
      <c r="D481">
        <v>0.6438746193181818</v>
      </c>
      <c r="E481">
        <v>0.49649230681818179</v>
      </c>
      <c r="F481">
        <v>1.4207386363636364E-4</v>
      </c>
      <c r="G481">
        <v>2.1972245773362196</v>
      </c>
      <c r="H481">
        <v>0.66666666666666663</v>
      </c>
      <c r="I481">
        <v>1</v>
      </c>
      <c r="J481">
        <v>0</v>
      </c>
      <c r="K481">
        <v>5</v>
      </c>
      <c r="L481">
        <v>2</v>
      </c>
      <c r="M481">
        <v>1</v>
      </c>
      <c r="N481">
        <v>4</v>
      </c>
      <c r="O481">
        <v>2</v>
      </c>
      <c r="P481">
        <v>2</v>
      </c>
      <c r="Q481">
        <f t="shared" si="49"/>
        <v>5</v>
      </c>
      <c r="R481">
        <f t="shared" si="50"/>
        <v>21</v>
      </c>
      <c r="S481">
        <f t="array" ref="S481">MAX(IF($C$2:$C$1387=C481,$R$2:$R$1387))</f>
        <v>29</v>
      </c>
      <c r="T481" cm="1">
        <f t="array" ref="T481">MIN(IF($C$2:$C$1387=C481,$R$2:$R$1387))</f>
        <v>11</v>
      </c>
      <c r="U481">
        <f t="shared" si="51"/>
        <v>18</v>
      </c>
      <c r="V481">
        <f t="shared" si="52"/>
        <v>0.55555555555555558</v>
      </c>
      <c r="W481" cm="1">
        <f t="array" ref="W481">_xlfn.IFS(N481=1,5,N481=2,4,N481=4,2,N481=5,1,N481=3,3)</f>
        <v>2</v>
      </c>
      <c r="X481">
        <f t="shared" si="53"/>
        <v>19</v>
      </c>
      <c r="Y481" cm="1">
        <f t="array" ref="Y481">MAX(IF($C$2:$C$1387=C481,$X$2:$X$1387))</f>
        <v>29</v>
      </c>
      <c r="Z481" cm="1">
        <f t="array" ref="Z481">MIN(IF($C$2:$C$1387=C481,$X$2:$X$1387))</f>
        <v>12</v>
      </c>
      <c r="AA481">
        <f t="shared" si="54"/>
        <v>17</v>
      </c>
      <c r="AB481">
        <f t="shared" si="55"/>
        <v>0.41176470588235292</v>
      </c>
    </row>
    <row r="482" spans="1:28" x14ac:dyDescent="0.25">
      <c r="A482" t="s">
        <v>188</v>
      </c>
      <c r="B482" t="s">
        <v>189</v>
      </c>
      <c r="C482">
        <v>2010</v>
      </c>
      <c r="D482">
        <v>0.27269220796962729</v>
      </c>
      <c r="E482">
        <v>0.45155521968500906</v>
      </c>
      <c r="F482">
        <v>3.3618331560584538E-4</v>
      </c>
      <c r="G482">
        <v>1.9459101490553132</v>
      </c>
      <c r="H482">
        <v>1</v>
      </c>
      <c r="I482">
        <v>1</v>
      </c>
      <c r="J482">
        <v>0</v>
      </c>
      <c r="K482">
        <v>4</v>
      </c>
      <c r="L482">
        <v>1</v>
      </c>
      <c r="M482">
        <v>1</v>
      </c>
      <c r="N482">
        <v>1</v>
      </c>
      <c r="O482">
        <v>5</v>
      </c>
      <c r="P482">
        <v>3</v>
      </c>
      <c r="Q482">
        <f t="shared" si="49"/>
        <v>5</v>
      </c>
      <c r="R482">
        <f t="shared" si="50"/>
        <v>20</v>
      </c>
      <c r="S482">
        <f t="array" ref="S482">MAX(IF($C$2:$C$1387=C482,$R$2:$R$1387))</f>
        <v>29</v>
      </c>
      <c r="T482" cm="1">
        <f t="array" ref="T482">MIN(IF($C$2:$C$1387=C482,$R$2:$R$1387))</f>
        <v>9</v>
      </c>
      <c r="U482">
        <f t="shared" si="51"/>
        <v>20</v>
      </c>
      <c r="V482">
        <f t="shared" si="52"/>
        <v>0.55000000000000004</v>
      </c>
      <c r="W482" cm="1">
        <f t="array" ref="W482">_xlfn.IFS(N482=1,5,N482=2,4,N482=4,2,N482=5,1,N482=3,3)</f>
        <v>5</v>
      </c>
      <c r="X482">
        <f t="shared" si="53"/>
        <v>24</v>
      </c>
      <c r="Y482" cm="1">
        <f t="array" ref="Y482">MAX(IF($C$2:$C$1387=C482,$X$2:$X$1387))</f>
        <v>29</v>
      </c>
      <c r="Z482" cm="1">
        <f t="array" ref="Z482">MIN(IF($C$2:$C$1387=C482,$X$2:$X$1387))</f>
        <v>12</v>
      </c>
      <c r="AA482">
        <f t="shared" si="54"/>
        <v>17</v>
      </c>
      <c r="AB482">
        <f t="shared" si="55"/>
        <v>0.70588235294117652</v>
      </c>
    </row>
    <row r="483" spans="1:28" x14ac:dyDescent="0.25">
      <c r="A483" t="s">
        <v>188</v>
      </c>
      <c r="B483" t="s">
        <v>189</v>
      </c>
      <c r="C483">
        <v>2011</v>
      </c>
      <c r="D483">
        <v>0.41538081998283627</v>
      </c>
      <c r="E483">
        <v>0.64530193107383949</v>
      </c>
      <c r="F483">
        <v>9.3428193196372895E-5</v>
      </c>
      <c r="G483">
        <v>1.9459101490553132</v>
      </c>
      <c r="H483">
        <v>0.8571428571428571</v>
      </c>
      <c r="I483">
        <v>1</v>
      </c>
      <c r="J483">
        <v>0</v>
      </c>
      <c r="K483">
        <v>4</v>
      </c>
      <c r="L483">
        <v>3</v>
      </c>
      <c r="M483">
        <v>1</v>
      </c>
      <c r="N483">
        <v>1</v>
      </c>
      <c r="O483">
        <v>5</v>
      </c>
      <c r="P483">
        <v>3</v>
      </c>
      <c r="Q483">
        <f t="shared" si="49"/>
        <v>5</v>
      </c>
      <c r="R483">
        <f t="shared" si="50"/>
        <v>22</v>
      </c>
      <c r="S483">
        <f t="array" ref="S483">MAX(IF($C$2:$C$1387=C483,$R$2:$R$1387))</f>
        <v>28</v>
      </c>
      <c r="T483" cm="1">
        <f t="array" ref="T483">MIN(IF($C$2:$C$1387=C483,$R$2:$R$1387))</f>
        <v>10</v>
      </c>
      <c r="U483">
        <f t="shared" si="51"/>
        <v>18</v>
      </c>
      <c r="V483">
        <f t="shared" si="52"/>
        <v>0.66666666666666663</v>
      </c>
      <c r="W483" cm="1">
        <f t="array" ref="W483">_xlfn.IFS(N483=1,5,N483=2,4,N483=4,2,N483=5,1,N483=3,3)</f>
        <v>5</v>
      </c>
      <c r="X483">
        <f t="shared" si="53"/>
        <v>26</v>
      </c>
      <c r="Y483" cm="1">
        <f t="array" ref="Y483">MAX(IF($C$2:$C$1387=C483,$X$2:$X$1387))</f>
        <v>29</v>
      </c>
      <c r="Z483" cm="1">
        <f t="array" ref="Z483">MIN(IF($C$2:$C$1387=C483,$X$2:$X$1387))</f>
        <v>12</v>
      </c>
      <c r="AA483">
        <f t="shared" si="54"/>
        <v>17</v>
      </c>
      <c r="AB483">
        <f t="shared" si="55"/>
        <v>0.82352941176470584</v>
      </c>
    </row>
    <row r="484" spans="1:28" x14ac:dyDescent="0.25">
      <c r="A484" t="s">
        <v>188</v>
      </c>
      <c r="B484" t="s">
        <v>189</v>
      </c>
      <c r="C484">
        <v>2012</v>
      </c>
      <c r="D484">
        <v>0.49036391806721685</v>
      </c>
      <c r="E484">
        <v>0.56272041742737777</v>
      </c>
      <c r="F484">
        <v>2.9155976053649628E-5</v>
      </c>
      <c r="G484">
        <v>2.0794415416798357</v>
      </c>
      <c r="H484">
        <v>0.875</v>
      </c>
      <c r="I484">
        <v>1</v>
      </c>
      <c r="J484">
        <v>0</v>
      </c>
      <c r="K484">
        <v>4</v>
      </c>
      <c r="L484">
        <v>2</v>
      </c>
      <c r="M484">
        <v>1</v>
      </c>
      <c r="N484">
        <v>3</v>
      </c>
      <c r="O484">
        <v>5</v>
      </c>
      <c r="P484">
        <v>3</v>
      </c>
      <c r="Q484">
        <f t="shared" si="49"/>
        <v>5</v>
      </c>
      <c r="R484">
        <f t="shared" si="50"/>
        <v>23</v>
      </c>
      <c r="S484">
        <f t="array" ref="S484">MAX(IF($C$2:$C$1387=C484,$R$2:$R$1387))</f>
        <v>29</v>
      </c>
      <c r="T484" cm="1">
        <f t="array" ref="T484">MIN(IF($C$2:$C$1387=C484,$R$2:$R$1387))</f>
        <v>11</v>
      </c>
      <c r="U484">
        <f t="shared" si="51"/>
        <v>18</v>
      </c>
      <c r="V484">
        <f t="shared" si="52"/>
        <v>0.66666666666666663</v>
      </c>
      <c r="W484" cm="1">
        <f t="array" ref="W484">_xlfn.IFS(N484=1,5,N484=2,4,N484=4,2,N484=5,1,N484=3,3)</f>
        <v>3</v>
      </c>
      <c r="X484">
        <f t="shared" si="53"/>
        <v>23</v>
      </c>
      <c r="Y484" cm="1">
        <f t="array" ref="Y484">MAX(IF($C$2:$C$1387=C484,$X$2:$X$1387))</f>
        <v>30</v>
      </c>
      <c r="Z484" cm="1">
        <f t="array" ref="Z484">MIN(IF($C$2:$C$1387=C484,$X$2:$X$1387))</f>
        <v>12</v>
      </c>
      <c r="AA484">
        <f t="shared" si="54"/>
        <v>18</v>
      </c>
      <c r="AB484">
        <f t="shared" si="55"/>
        <v>0.61111111111111116</v>
      </c>
    </row>
    <row r="485" spans="1:28" x14ac:dyDescent="0.25">
      <c r="A485" t="s">
        <v>188</v>
      </c>
      <c r="B485" t="s">
        <v>189</v>
      </c>
      <c r="C485">
        <v>2013</v>
      </c>
      <c r="D485">
        <v>0.46792126871606127</v>
      </c>
      <c r="E485">
        <v>0.56272041742737777</v>
      </c>
      <c r="F485">
        <v>1.7250486469026269E-7</v>
      </c>
      <c r="G485">
        <v>2.0794415416798357</v>
      </c>
      <c r="H485">
        <v>0.625</v>
      </c>
      <c r="I485">
        <v>0.66666666666666663</v>
      </c>
      <c r="J485">
        <v>0</v>
      </c>
      <c r="K485">
        <v>4</v>
      </c>
      <c r="L485">
        <v>2</v>
      </c>
      <c r="M485">
        <v>1</v>
      </c>
      <c r="N485">
        <v>3</v>
      </c>
      <c r="O485">
        <v>3</v>
      </c>
      <c r="P485">
        <v>1</v>
      </c>
      <c r="Q485">
        <f t="shared" si="49"/>
        <v>5</v>
      </c>
      <c r="R485">
        <f t="shared" si="50"/>
        <v>19</v>
      </c>
      <c r="S485">
        <f t="array" ref="S485">MAX(IF($C$2:$C$1387=C485,$R$2:$R$1387))</f>
        <v>29</v>
      </c>
      <c r="T485" cm="1">
        <f t="array" ref="T485">MIN(IF($C$2:$C$1387=C485,$R$2:$R$1387))</f>
        <v>10</v>
      </c>
      <c r="U485">
        <f t="shared" si="51"/>
        <v>19</v>
      </c>
      <c r="V485">
        <f t="shared" si="52"/>
        <v>0.47368421052631576</v>
      </c>
      <c r="W485" cm="1">
        <f t="array" ref="W485">_xlfn.IFS(N485=1,5,N485=2,4,N485=4,2,N485=5,1,N485=3,3)</f>
        <v>3</v>
      </c>
      <c r="X485">
        <f t="shared" si="53"/>
        <v>19</v>
      </c>
      <c r="Y485" cm="1">
        <f t="array" ref="Y485">MAX(IF($C$2:$C$1387=C485,$X$2:$X$1387))</f>
        <v>32</v>
      </c>
      <c r="Z485" cm="1">
        <f t="array" ref="Z485">MIN(IF($C$2:$C$1387=C485,$X$2:$X$1387))</f>
        <v>10</v>
      </c>
      <c r="AA485">
        <f t="shared" si="54"/>
        <v>22</v>
      </c>
      <c r="AB485">
        <f t="shared" si="55"/>
        <v>0.40909090909090912</v>
      </c>
    </row>
    <row r="486" spans="1:28" x14ac:dyDescent="0.25">
      <c r="A486" t="s">
        <v>188</v>
      </c>
      <c r="B486" t="s">
        <v>189</v>
      </c>
      <c r="C486">
        <v>2014</v>
      </c>
      <c r="D486">
        <v>0.46792126871606127</v>
      </c>
      <c r="E486">
        <v>0.54638181290447219</v>
      </c>
      <c r="F486">
        <v>1.7250486469026269E-7</v>
      </c>
      <c r="G486">
        <v>2.0794415416798357</v>
      </c>
      <c r="H486">
        <v>0.625</v>
      </c>
      <c r="I486">
        <v>0.66666666666666663</v>
      </c>
      <c r="J486">
        <v>0</v>
      </c>
      <c r="K486">
        <v>4</v>
      </c>
      <c r="L486">
        <v>2</v>
      </c>
      <c r="M486">
        <v>1</v>
      </c>
      <c r="N486">
        <v>3</v>
      </c>
      <c r="O486">
        <v>3</v>
      </c>
      <c r="P486">
        <v>1</v>
      </c>
      <c r="Q486">
        <f t="shared" si="49"/>
        <v>5</v>
      </c>
      <c r="R486">
        <f t="shared" si="50"/>
        <v>19</v>
      </c>
      <c r="S486">
        <f t="array" ref="S486">MAX(IF($C$2:$C$1387=C486,$R$2:$R$1387))</f>
        <v>29</v>
      </c>
      <c r="T486" cm="1">
        <f t="array" ref="T486">MIN(IF($C$2:$C$1387=C486,$R$2:$R$1387))</f>
        <v>11</v>
      </c>
      <c r="U486">
        <f t="shared" si="51"/>
        <v>18</v>
      </c>
      <c r="V486">
        <f t="shared" si="52"/>
        <v>0.44444444444444442</v>
      </c>
      <c r="W486" cm="1">
        <f t="array" ref="W486">_xlfn.IFS(N486=1,5,N486=2,4,N486=4,2,N486=5,1,N486=3,3)</f>
        <v>3</v>
      </c>
      <c r="X486">
        <f t="shared" si="53"/>
        <v>19</v>
      </c>
      <c r="Y486" cm="1">
        <f t="array" ref="Y486">MAX(IF($C$2:$C$1387=C486,$X$2:$X$1387))</f>
        <v>30</v>
      </c>
      <c r="Z486" cm="1">
        <f t="array" ref="Z486">MIN(IF($C$2:$C$1387=C486,$X$2:$X$1387))</f>
        <v>14</v>
      </c>
      <c r="AA486">
        <f t="shared" si="54"/>
        <v>16</v>
      </c>
      <c r="AB486">
        <f t="shared" si="55"/>
        <v>0.3125</v>
      </c>
    </row>
    <row r="487" spans="1:28" x14ac:dyDescent="0.25">
      <c r="A487" t="s">
        <v>188</v>
      </c>
      <c r="B487" t="s">
        <v>189</v>
      </c>
      <c r="C487">
        <v>2015</v>
      </c>
      <c r="D487">
        <v>0.46792126871606127</v>
      </c>
      <c r="E487">
        <v>0.54970840733084314</v>
      </c>
      <c r="F487">
        <v>1.7250486469026269E-7</v>
      </c>
      <c r="G487">
        <v>2.0794415416798357</v>
      </c>
      <c r="H487">
        <v>0.625</v>
      </c>
      <c r="I487">
        <v>0.66666666666666663</v>
      </c>
      <c r="J487">
        <v>0</v>
      </c>
      <c r="K487">
        <v>4</v>
      </c>
      <c r="L487">
        <v>2</v>
      </c>
      <c r="M487">
        <v>1</v>
      </c>
      <c r="N487">
        <v>3</v>
      </c>
      <c r="O487">
        <v>2</v>
      </c>
      <c r="P487">
        <v>1</v>
      </c>
      <c r="Q487">
        <f t="shared" si="49"/>
        <v>5</v>
      </c>
      <c r="R487">
        <f t="shared" si="50"/>
        <v>18</v>
      </c>
      <c r="S487">
        <f t="array" ref="S487">MAX(IF($C$2:$C$1387=C487,$R$2:$R$1387))</f>
        <v>29</v>
      </c>
      <c r="T487" cm="1">
        <f t="array" ref="T487">MIN(IF($C$2:$C$1387=C487,$R$2:$R$1387))</f>
        <v>11</v>
      </c>
      <c r="U487">
        <f t="shared" si="51"/>
        <v>18</v>
      </c>
      <c r="V487">
        <f t="shared" si="52"/>
        <v>0.3888888888888889</v>
      </c>
      <c r="W487" cm="1">
        <f t="array" ref="W487">_xlfn.IFS(N487=1,5,N487=2,4,N487=4,2,N487=5,1,N487=3,3)</f>
        <v>3</v>
      </c>
      <c r="X487">
        <f t="shared" si="53"/>
        <v>18</v>
      </c>
      <c r="Y487" cm="1">
        <f t="array" ref="Y487">MAX(IF($C$2:$C$1387=C487,$X$2:$X$1387))</f>
        <v>29</v>
      </c>
      <c r="Z487" cm="1">
        <f t="array" ref="Z487">MIN(IF($C$2:$C$1387=C487,$X$2:$X$1387))</f>
        <v>12</v>
      </c>
      <c r="AA487">
        <f t="shared" si="54"/>
        <v>17</v>
      </c>
      <c r="AB487">
        <f t="shared" si="55"/>
        <v>0.35294117647058826</v>
      </c>
    </row>
    <row r="488" spans="1:28" x14ac:dyDescent="0.25">
      <c r="A488" t="s">
        <v>190</v>
      </c>
      <c r="B488" t="s">
        <v>191</v>
      </c>
      <c r="C488">
        <v>2010</v>
      </c>
      <c r="D488">
        <v>0.28165496315096861</v>
      </c>
      <c r="E488">
        <v>0.35998194821459878</v>
      </c>
      <c r="F488">
        <v>0.24837860012662669</v>
      </c>
      <c r="G488">
        <v>2.0794415416798357</v>
      </c>
      <c r="H488">
        <v>0.625</v>
      </c>
      <c r="I488">
        <v>0.66666666666666663</v>
      </c>
      <c r="J488">
        <v>0</v>
      </c>
      <c r="K488">
        <v>4</v>
      </c>
      <c r="L488">
        <v>1</v>
      </c>
      <c r="M488">
        <v>5</v>
      </c>
      <c r="N488">
        <v>3</v>
      </c>
      <c r="O488">
        <v>3</v>
      </c>
      <c r="P488">
        <v>1</v>
      </c>
      <c r="Q488">
        <f t="shared" si="49"/>
        <v>5</v>
      </c>
      <c r="R488">
        <f t="shared" si="50"/>
        <v>22</v>
      </c>
      <c r="S488">
        <f t="array" ref="S488">MAX(IF($C$2:$C$1387=C488,$R$2:$R$1387))</f>
        <v>29</v>
      </c>
      <c r="T488" cm="1">
        <f t="array" ref="T488">MIN(IF($C$2:$C$1387=C488,$R$2:$R$1387))</f>
        <v>9</v>
      </c>
      <c r="U488">
        <f t="shared" si="51"/>
        <v>20</v>
      </c>
      <c r="V488">
        <f t="shared" si="52"/>
        <v>0.65</v>
      </c>
      <c r="W488" cm="1">
        <f t="array" ref="W488">_xlfn.IFS(N488=1,5,N488=2,4,N488=4,2,N488=5,1,N488=3,3)</f>
        <v>3</v>
      </c>
      <c r="X488">
        <f t="shared" si="53"/>
        <v>22</v>
      </c>
      <c r="Y488" cm="1">
        <f t="array" ref="Y488">MAX(IF($C$2:$C$1387=C488,$X$2:$X$1387))</f>
        <v>29</v>
      </c>
      <c r="Z488" cm="1">
        <f t="array" ref="Z488">MIN(IF($C$2:$C$1387=C488,$X$2:$X$1387))</f>
        <v>12</v>
      </c>
      <c r="AA488">
        <f t="shared" si="54"/>
        <v>17</v>
      </c>
      <c r="AB488">
        <f t="shared" si="55"/>
        <v>0.58823529411764708</v>
      </c>
    </row>
    <row r="489" spans="1:28" x14ac:dyDescent="0.25">
      <c r="A489" t="s">
        <v>190</v>
      </c>
      <c r="B489" t="s">
        <v>191</v>
      </c>
      <c r="C489">
        <v>2011</v>
      </c>
      <c r="D489">
        <v>0.4726111128867504</v>
      </c>
      <c r="E489">
        <v>0.35944271324745358</v>
      </c>
      <c r="F489">
        <v>0.20742500915891168</v>
      </c>
      <c r="G489">
        <v>2.0794415416798357</v>
      </c>
      <c r="H489">
        <v>0.75</v>
      </c>
      <c r="I489">
        <v>0.66666666666666663</v>
      </c>
      <c r="J489">
        <v>0</v>
      </c>
      <c r="K489">
        <v>4</v>
      </c>
      <c r="L489">
        <v>1</v>
      </c>
      <c r="M489">
        <v>5</v>
      </c>
      <c r="N489">
        <v>3</v>
      </c>
      <c r="O489">
        <v>4</v>
      </c>
      <c r="P489">
        <v>1</v>
      </c>
      <c r="Q489">
        <f t="shared" si="49"/>
        <v>5</v>
      </c>
      <c r="R489">
        <f t="shared" si="50"/>
        <v>23</v>
      </c>
      <c r="S489">
        <f t="array" ref="S489">MAX(IF($C$2:$C$1387=C489,$R$2:$R$1387))</f>
        <v>28</v>
      </c>
      <c r="T489" cm="1">
        <f t="array" ref="T489">MIN(IF($C$2:$C$1387=C489,$R$2:$R$1387))</f>
        <v>10</v>
      </c>
      <c r="U489">
        <f t="shared" si="51"/>
        <v>18</v>
      </c>
      <c r="V489">
        <f t="shared" si="52"/>
        <v>0.72222222222222221</v>
      </c>
      <c r="W489" cm="1">
        <f t="array" ref="W489">_xlfn.IFS(N489=1,5,N489=2,4,N489=4,2,N489=5,1,N489=3,3)</f>
        <v>3</v>
      </c>
      <c r="X489">
        <f t="shared" si="53"/>
        <v>23</v>
      </c>
      <c r="Y489" cm="1">
        <f t="array" ref="Y489">MAX(IF($C$2:$C$1387=C489,$X$2:$X$1387))</f>
        <v>29</v>
      </c>
      <c r="Z489" cm="1">
        <f t="array" ref="Z489">MIN(IF($C$2:$C$1387=C489,$X$2:$X$1387))</f>
        <v>12</v>
      </c>
      <c r="AA489">
        <f t="shared" si="54"/>
        <v>17</v>
      </c>
      <c r="AB489">
        <f t="shared" si="55"/>
        <v>0.6470588235294118</v>
      </c>
    </row>
    <row r="490" spans="1:28" x14ac:dyDescent="0.25">
      <c r="A490" t="s">
        <v>190</v>
      </c>
      <c r="B490" t="s">
        <v>191</v>
      </c>
      <c r="C490">
        <v>2012</v>
      </c>
      <c r="D490">
        <v>0.4726111128867504</v>
      </c>
      <c r="E490">
        <v>0.35944271324745358</v>
      </c>
      <c r="F490">
        <v>0.20742500915891168</v>
      </c>
      <c r="G490">
        <v>2.0794415416798357</v>
      </c>
      <c r="H490">
        <v>0.75</v>
      </c>
      <c r="I490">
        <v>0.66666666666666663</v>
      </c>
      <c r="J490">
        <v>0</v>
      </c>
      <c r="K490">
        <v>4</v>
      </c>
      <c r="L490">
        <v>1</v>
      </c>
      <c r="M490">
        <v>5</v>
      </c>
      <c r="N490">
        <v>3</v>
      </c>
      <c r="O490">
        <v>4</v>
      </c>
      <c r="P490">
        <v>1</v>
      </c>
      <c r="Q490">
        <f t="shared" si="49"/>
        <v>5</v>
      </c>
      <c r="R490">
        <f t="shared" si="50"/>
        <v>23</v>
      </c>
      <c r="S490">
        <f t="array" ref="S490">MAX(IF($C$2:$C$1387=C490,$R$2:$R$1387))</f>
        <v>29</v>
      </c>
      <c r="T490" cm="1">
        <f t="array" ref="T490">MIN(IF($C$2:$C$1387=C490,$R$2:$R$1387))</f>
        <v>11</v>
      </c>
      <c r="U490">
        <f t="shared" si="51"/>
        <v>18</v>
      </c>
      <c r="V490">
        <f t="shared" si="52"/>
        <v>0.66666666666666663</v>
      </c>
      <c r="W490" cm="1">
        <f t="array" ref="W490">_xlfn.IFS(N490=1,5,N490=2,4,N490=4,2,N490=5,1,N490=3,3)</f>
        <v>3</v>
      </c>
      <c r="X490">
        <f t="shared" si="53"/>
        <v>23</v>
      </c>
      <c r="Y490" cm="1">
        <f t="array" ref="Y490">MAX(IF($C$2:$C$1387=C490,$X$2:$X$1387))</f>
        <v>30</v>
      </c>
      <c r="Z490" cm="1">
        <f t="array" ref="Z490">MIN(IF($C$2:$C$1387=C490,$X$2:$X$1387))</f>
        <v>12</v>
      </c>
      <c r="AA490">
        <f t="shared" si="54"/>
        <v>18</v>
      </c>
      <c r="AB490">
        <f t="shared" si="55"/>
        <v>0.61111111111111116</v>
      </c>
    </row>
    <row r="491" spans="1:28" x14ac:dyDescent="0.25">
      <c r="A491" t="s">
        <v>190</v>
      </c>
      <c r="B491" t="s">
        <v>191</v>
      </c>
      <c r="C491">
        <v>2013</v>
      </c>
      <c r="D491">
        <v>0.31547654137856385</v>
      </c>
      <c r="E491">
        <v>0.32757875035039252</v>
      </c>
      <c r="F491">
        <v>0.13179658608100689</v>
      </c>
      <c r="G491">
        <v>2.0794415416798357</v>
      </c>
      <c r="H491">
        <v>0.625</v>
      </c>
      <c r="I491">
        <v>0.66666666666666663</v>
      </c>
      <c r="J491">
        <v>0</v>
      </c>
      <c r="K491">
        <v>4</v>
      </c>
      <c r="L491">
        <v>1</v>
      </c>
      <c r="M491">
        <v>4</v>
      </c>
      <c r="N491">
        <v>3</v>
      </c>
      <c r="O491">
        <v>3</v>
      </c>
      <c r="P491">
        <v>1</v>
      </c>
      <c r="Q491">
        <f t="shared" si="49"/>
        <v>5</v>
      </c>
      <c r="R491">
        <f t="shared" si="50"/>
        <v>21</v>
      </c>
      <c r="S491">
        <f t="array" ref="S491">MAX(IF($C$2:$C$1387=C491,$R$2:$R$1387))</f>
        <v>29</v>
      </c>
      <c r="T491" cm="1">
        <f t="array" ref="T491">MIN(IF($C$2:$C$1387=C491,$R$2:$R$1387))</f>
        <v>10</v>
      </c>
      <c r="U491">
        <f t="shared" si="51"/>
        <v>19</v>
      </c>
      <c r="V491">
        <f t="shared" si="52"/>
        <v>0.57894736842105265</v>
      </c>
      <c r="W491" cm="1">
        <f t="array" ref="W491">_xlfn.IFS(N491=1,5,N491=2,4,N491=4,2,N491=5,1,N491=3,3)</f>
        <v>3</v>
      </c>
      <c r="X491">
        <f t="shared" si="53"/>
        <v>21</v>
      </c>
      <c r="Y491" cm="1">
        <f t="array" ref="Y491">MAX(IF($C$2:$C$1387=C491,$X$2:$X$1387))</f>
        <v>32</v>
      </c>
      <c r="Z491" cm="1">
        <f t="array" ref="Z491">MIN(IF($C$2:$C$1387=C491,$X$2:$X$1387))</f>
        <v>10</v>
      </c>
      <c r="AA491">
        <f t="shared" si="54"/>
        <v>22</v>
      </c>
      <c r="AB491">
        <f t="shared" si="55"/>
        <v>0.5</v>
      </c>
    </row>
    <row r="492" spans="1:28" x14ac:dyDescent="0.25">
      <c r="A492" t="s">
        <v>190</v>
      </c>
      <c r="B492" t="s">
        <v>191</v>
      </c>
      <c r="C492">
        <v>2014</v>
      </c>
      <c r="D492">
        <v>0.30858435183331995</v>
      </c>
      <c r="E492">
        <v>0.31166709421438954</v>
      </c>
      <c r="F492">
        <v>0.12352095646991007</v>
      </c>
      <c r="G492">
        <v>2.0794415416798357</v>
      </c>
      <c r="H492">
        <v>0.625</v>
      </c>
      <c r="I492">
        <v>0.66666666666666663</v>
      </c>
      <c r="J492">
        <v>0</v>
      </c>
      <c r="K492">
        <v>4</v>
      </c>
      <c r="L492">
        <v>1</v>
      </c>
      <c r="M492">
        <v>4</v>
      </c>
      <c r="N492">
        <v>3</v>
      </c>
      <c r="O492">
        <v>3</v>
      </c>
      <c r="P492">
        <v>1</v>
      </c>
      <c r="Q492">
        <f t="shared" si="49"/>
        <v>5</v>
      </c>
      <c r="R492">
        <f t="shared" si="50"/>
        <v>21</v>
      </c>
      <c r="S492">
        <f t="array" ref="S492">MAX(IF($C$2:$C$1387=C492,$R$2:$R$1387))</f>
        <v>29</v>
      </c>
      <c r="T492" cm="1">
        <f t="array" ref="T492">MIN(IF($C$2:$C$1387=C492,$R$2:$R$1387))</f>
        <v>11</v>
      </c>
      <c r="U492">
        <f t="shared" si="51"/>
        <v>18</v>
      </c>
      <c r="V492">
        <f t="shared" si="52"/>
        <v>0.55555555555555558</v>
      </c>
      <c r="W492" cm="1">
        <f t="array" ref="W492">_xlfn.IFS(N492=1,5,N492=2,4,N492=4,2,N492=5,1,N492=3,3)</f>
        <v>3</v>
      </c>
      <c r="X492">
        <f t="shared" si="53"/>
        <v>21</v>
      </c>
      <c r="Y492" cm="1">
        <f t="array" ref="Y492">MAX(IF($C$2:$C$1387=C492,$X$2:$X$1387))</f>
        <v>30</v>
      </c>
      <c r="Z492" cm="1">
        <f t="array" ref="Z492">MIN(IF($C$2:$C$1387=C492,$X$2:$X$1387))</f>
        <v>14</v>
      </c>
      <c r="AA492">
        <f t="shared" si="54"/>
        <v>16</v>
      </c>
      <c r="AB492">
        <f t="shared" si="55"/>
        <v>0.4375</v>
      </c>
    </row>
    <row r="493" spans="1:28" x14ac:dyDescent="0.25">
      <c r="A493" t="s">
        <v>190</v>
      </c>
      <c r="B493" t="s">
        <v>191</v>
      </c>
      <c r="C493">
        <v>2015</v>
      </c>
      <c r="D493">
        <v>0.14027137650305685</v>
      </c>
      <c r="E493">
        <v>0.31154712758910469</v>
      </c>
      <c r="F493">
        <v>0.16722375835042691</v>
      </c>
      <c r="G493">
        <v>2.0794415416798357</v>
      </c>
      <c r="H493">
        <v>0.5</v>
      </c>
      <c r="I493">
        <v>0.5</v>
      </c>
      <c r="J493">
        <v>0</v>
      </c>
      <c r="K493">
        <v>3</v>
      </c>
      <c r="L493">
        <v>1</v>
      </c>
      <c r="M493">
        <v>5</v>
      </c>
      <c r="N493">
        <v>3</v>
      </c>
      <c r="O493">
        <v>1</v>
      </c>
      <c r="P493">
        <v>1</v>
      </c>
      <c r="Q493">
        <f t="shared" si="49"/>
        <v>5</v>
      </c>
      <c r="R493">
        <f t="shared" si="50"/>
        <v>19</v>
      </c>
      <c r="S493">
        <f t="array" ref="S493">MAX(IF($C$2:$C$1387=C493,$R$2:$R$1387))</f>
        <v>29</v>
      </c>
      <c r="T493" cm="1">
        <f t="array" ref="T493">MIN(IF($C$2:$C$1387=C493,$R$2:$R$1387))</f>
        <v>11</v>
      </c>
      <c r="U493">
        <f t="shared" si="51"/>
        <v>18</v>
      </c>
      <c r="V493">
        <f t="shared" si="52"/>
        <v>0.44444444444444442</v>
      </c>
      <c r="W493" cm="1">
        <f t="array" ref="W493">_xlfn.IFS(N493=1,5,N493=2,4,N493=4,2,N493=5,1,N493=3,3)</f>
        <v>3</v>
      </c>
      <c r="X493">
        <f t="shared" si="53"/>
        <v>19</v>
      </c>
      <c r="Y493" cm="1">
        <f t="array" ref="Y493">MAX(IF($C$2:$C$1387=C493,$X$2:$X$1387))</f>
        <v>29</v>
      </c>
      <c r="Z493" cm="1">
        <f t="array" ref="Z493">MIN(IF($C$2:$C$1387=C493,$X$2:$X$1387))</f>
        <v>12</v>
      </c>
      <c r="AA493">
        <f t="shared" si="54"/>
        <v>17</v>
      </c>
      <c r="AB493">
        <f t="shared" si="55"/>
        <v>0.41176470588235292</v>
      </c>
    </row>
    <row r="494" spans="1:28" x14ac:dyDescent="0.25">
      <c r="A494" t="s">
        <v>192</v>
      </c>
      <c r="B494" t="s">
        <v>193</v>
      </c>
      <c r="C494">
        <v>2010</v>
      </c>
      <c r="D494">
        <v>0.1990999984741211</v>
      </c>
      <c r="E494">
        <v>0.55130542933333337</v>
      </c>
      <c r="F494">
        <v>1.95E-2</v>
      </c>
      <c r="G494">
        <v>1.9459101490553132</v>
      </c>
      <c r="H494">
        <v>0.7142857142857143</v>
      </c>
      <c r="I494">
        <v>1</v>
      </c>
      <c r="J494">
        <v>0</v>
      </c>
      <c r="K494">
        <v>3</v>
      </c>
      <c r="L494">
        <v>2</v>
      </c>
      <c r="M494">
        <v>2</v>
      </c>
      <c r="N494">
        <v>1</v>
      </c>
      <c r="O494">
        <v>4</v>
      </c>
      <c r="P494">
        <v>3</v>
      </c>
      <c r="Q494">
        <f t="shared" si="49"/>
        <v>5</v>
      </c>
      <c r="R494">
        <f t="shared" si="50"/>
        <v>20</v>
      </c>
      <c r="S494">
        <f t="array" ref="S494">MAX(IF($C$2:$C$1387=C494,$R$2:$R$1387))</f>
        <v>29</v>
      </c>
      <c r="T494" cm="1">
        <f t="array" ref="T494">MIN(IF($C$2:$C$1387=C494,$R$2:$R$1387))</f>
        <v>9</v>
      </c>
      <c r="U494">
        <f t="shared" si="51"/>
        <v>20</v>
      </c>
      <c r="V494">
        <f t="shared" si="52"/>
        <v>0.55000000000000004</v>
      </c>
      <c r="W494" cm="1">
        <f t="array" ref="W494">_xlfn.IFS(N494=1,5,N494=2,4,N494=4,2,N494=5,1,N494=3,3)</f>
        <v>5</v>
      </c>
      <c r="X494">
        <f t="shared" si="53"/>
        <v>24</v>
      </c>
      <c r="Y494" cm="1">
        <f t="array" ref="Y494">MAX(IF($C$2:$C$1387=C494,$X$2:$X$1387))</f>
        <v>29</v>
      </c>
      <c r="Z494" cm="1">
        <f t="array" ref="Z494">MIN(IF($C$2:$C$1387=C494,$X$2:$X$1387))</f>
        <v>12</v>
      </c>
      <c r="AA494">
        <f t="shared" si="54"/>
        <v>17</v>
      </c>
      <c r="AB494">
        <f t="shared" si="55"/>
        <v>0.70588235294117652</v>
      </c>
    </row>
    <row r="495" spans="1:28" x14ac:dyDescent="0.25">
      <c r="A495" t="s">
        <v>192</v>
      </c>
      <c r="B495" t="s">
        <v>193</v>
      </c>
      <c r="C495">
        <v>2011</v>
      </c>
      <c r="D495">
        <v>0.217584896</v>
      </c>
      <c r="E495">
        <v>0.58082824533333333</v>
      </c>
      <c r="F495">
        <v>1.8493909333333333E-2</v>
      </c>
      <c r="G495">
        <v>1.9459101490553132</v>
      </c>
      <c r="H495">
        <v>0.7142857142857143</v>
      </c>
      <c r="I495">
        <v>1</v>
      </c>
      <c r="J495">
        <v>0</v>
      </c>
      <c r="K495">
        <v>3</v>
      </c>
      <c r="L495">
        <v>2</v>
      </c>
      <c r="M495">
        <v>2</v>
      </c>
      <c r="N495">
        <v>1</v>
      </c>
      <c r="O495">
        <v>4</v>
      </c>
      <c r="P495">
        <v>3</v>
      </c>
      <c r="Q495">
        <f t="shared" si="49"/>
        <v>5</v>
      </c>
      <c r="R495">
        <f t="shared" si="50"/>
        <v>20</v>
      </c>
      <c r="S495">
        <f t="array" ref="S495">MAX(IF($C$2:$C$1387=C495,$R$2:$R$1387))</f>
        <v>28</v>
      </c>
      <c r="T495" cm="1">
        <f t="array" ref="T495">MIN(IF($C$2:$C$1387=C495,$R$2:$R$1387))</f>
        <v>10</v>
      </c>
      <c r="U495">
        <f t="shared" si="51"/>
        <v>18</v>
      </c>
      <c r="V495">
        <f t="shared" si="52"/>
        <v>0.55555555555555558</v>
      </c>
      <c r="W495" cm="1">
        <f t="array" ref="W495">_xlfn.IFS(N495=1,5,N495=2,4,N495=4,2,N495=5,1,N495=3,3)</f>
        <v>5</v>
      </c>
      <c r="X495">
        <f t="shared" si="53"/>
        <v>24</v>
      </c>
      <c r="Y495" cm="1">
        <f t="array" ref="Y495">MAX(IF($C$2:$C$1387=C495,$X$2:$X$1387))</f>
        <v>29</v>
      </c>
      <c r="Z495" cm="1">
        <f t="array" ref="Z495">MIN(IF($C$2:$C$1387=C495,$X$2:$X$1387))</f>
        <v>12</v>
      </c>
      <c r="AA495">
        <f t="shared" si="54"/>
        <v>17</v>
      </c>
      <c r="AB495">
        <f t="shared" si="55"/>
        <v>0.70588235294117652</v>
      </c>
    </row>
    <row r="496" spans="1:28" x14ac:dyDescent="0.25">
      <c r="A496" t="s">
        <v>192</v>
      </c>
      <c r="B496" t="s">
        <v>193</v>
      </c>
      <c r="C496">
        <v>2012</v>
      </c>
      <c r="D496">
        <v>0.34404599466666669</v>
      </c>
      <c r="E496">
        <v>0.46997734400000002</v>
      </c>
      <c r="F496">
        <v>2.1585066666666665E-3</v>
      </c>
      <c r="G496">
        <v>1.9459101490553132</v>
      </c>
      <c r="H496">
        <v>0.5714285714285714</v>
      </c>
      <c r="I496">
        <v>1</v>
      </c>
      <c r="J496">
        <v>0</v>
      </c>
      <c r="K496">
        <v>4</v>
      </c>
      <c r="L496">
        <v>2</v>
      </c>
      <c r="M496">
        <v>1</v>
      </c>
      <c r="N496">
        <v>1</v>
      </c>
      <c r="O496">
        <v>2</v>
      </c>
      <c r="P496">
        <v>3</v>
      </c>
      <c r="Q496">
        <f t="shared" si="49"/>
        <v>5</v>
      </c>
      <c r="R496">
        <f t="shared" si="50"/>
        <v>18</v>
      </c>
      <c r="S496">
        <f t="array" ref="S496">MAX(IF($C$2:$C$1387=C496,$R$2:$R$1387))</f>
        <v>29</v>
      </c>
      <c r="T496" cm="1">
        <f t="array" ref="T496">MIN(IF($C$2:$C$1387=C496,$R$2:$R$1387))</f>
        <v>11</v>
      </c>
      <c r="U496">
        <f t="shared" si="51"/>
        <v>18</v>
      </c>
      <c r="V496">
        <f t="shared" si="52"/>
        <v>0.3888888888888889</v>
      </c>
      <c r="W496" cm="1">
        <f t="array" ref="W496">_xlfn.IFS(N496=1,5,N496=2,4,N496=4,2,N496=5,1,N496=3,3)</f>
        <v>5</v>
      </c>
      <c r="X496">
        <f t="shared" si="53"/>
        <v>22</v>
      </c>
      <c r="Y496" cm="1">
        <f t="array" ref="Y496">MAX(IF($C$2:$C$1387=C496,$X$2:$X$1387))</f>
        <v>30</v>
      </c>
      <c r="Z496" cm="1">
        <f t="array" ref="Z496">MIN(IF($C$2:$C$1387=C496,$X$2:$X$1387))</f>
        <v>12</v>
      </c>
      <c r="AA496">
        <f t="shared" si="54"/>
        <v>18</v>
      </c>
      <c r="AB496">
        <f t="shared" si="55"/>
        <v>0.55555555555555558</v>
      </c>
    </row>
    <row r="497" spans="1:28" x14ac:dyDescent="0.25">
      <c r="A497" t="s">
        <v>192</v>
      </c>
      <c r="B497" t="s">
        <v>193</v>
      </c>
      <c r="C497">
        <v>2013</v>
      </c>
      <c r="D497">
        <v>0.35813422933333333</v>
      </c>
      <c r="E497">
        <v>0.46891575466666668</v>
      </c>
      <c r="F497">
        <v>6.2173567999999999E-2</v>
      </c>
      <c r="G497">
        <v>1.9459101490553132</v>
      </c>
      <c r="H497">
        <v>0.5714285714285714</v>
      </c>
      <c r="I497">
        <v>0.66666666666666663</v>
      </c>
      <c r="J497">
        <v>0</v>
      </c>
      <c r="K497">
        <v>4</v>
      </c>
      <c r="L497">
        <v>2</v>
      </c>
      <c r="M497">
        <v>3</v>
      </c>
      <c r="N497">
        <v>1</v>
      </c>
      <c r="O497">
        <v>2</v>
      </c>
      <c r="P497">
        <v>1</v>
      </c>
      <c r="Q497">
        <f t="shared" si="49"/>
        <v>5</v>
      </c>
      <c r="R497">
        <f t="shared" si="50"/>
        <v>18</v>
      </c>
      <c r="S497">
        <f t="array" ref="S497">MAX(IF($C$2:$C$1387=C497,$R$2:$R$1387))</f>
        <v>29</v>
      </c>
      <c r="T497" cm="1">
        <f t="array" ref="T497">MIN(IF($C$2:$C$1387=C497,$R$2:$R$1387))</f>
        <v>10</v>
      </c>
      <c r="U497">
        <f t="shared" si="51"/>
        <v>19</v>
      </c>
      <c r="V497">
        <f t="shared" si="52"/>
        <v>0.42105263157894735</v>
      </c>
      <c r="W497" cm="1">
        <f t="array" ref="W497">_xlfn.IFS(N497=1,5,N497=2,4,N497=4,2,N497=5,1,N497=3,3)</f>
        <v>5</v>
      </c>
      <c r="X497">
        <f t="shared" si="53"/>
        <v>22</v>
      </c>
      <c r="Y497" cm="1">
        <f t="array" ref="Y497">MAX(IF($C$2:$C$1387=C497,$X$2:$X$1387))</f>
        <v>32</v>
      </c>
      <c r="Z497" cm="1">
        <f t="array" ref="Z497">MIN(IF($C$2:$C$1387=C497,$X$2:$X$1387))</f>
        <v>10</v>
      </c>
      <c r="AA497">
        <f t="shared" si="54"/>
        <v>22</v>
      </c>
      <c r="AB497">
        <f t="shared" si="55"/>
        <v>0.54545454545454541</v>
      </c>
    </row>
    <row r="498" spans="1:28" x14ac:dyDescent="0.25">
      <c r="A498" t="s">
        <v>192</v>
      </c>
      <c r="B498" t="s">
        <v>193</v>
      </c>
      <c r="C498">
        <v>2014</v>
      </c>
      <c r="D498">
        <v>5.3333333333333336E-4</v>
      </c>
      <c r="E498">
        <v>0.84146641066666672</v>
      </c>
      <c r="F498">
        <v>2.9149439999999999E-2</v>
      </c>
      <c r="G498">
        <v>2.0794415416798357</v>
      </c>
      <c r="H498">
        <v>0.75</v>
      </c>
      <c r="I498">
        <v>1</v>
      </c>
      <c r="J498">
        <v>0</v>
      </c>
      <c r="K498">
        <v>2</v>
      </c>
      <c r="L498">
        <v>4</v>
      </c>
      <c r="M498">
        <v>2</v>
      </c>
      <c r="N498">
        <v>3</v>
      </c>
      <c r="O498">
        <v>5</v>
      </c>
      <c r="P498">
        <v>3</v>
      </c>
      <c r="Q498">
        <f t="shared" si="49"/>
        <v>5</v>
      </c>
      <c r="R498">
        <f t="shared" si="50"/>
        <v>24</v>
      </c>
      <c r="S498">
        <f t="array" ref="S498">MAX(IF($C$2:$C$1387=C498,$R$2:$R$1387))</f>
        <v>29</v>
      </c>
      <c r="T498" cm="1">
        <f t="array" ref="T498">MIN(IF($C$2:$C$1387=C498,$R$2:$R$1387))</f>
        <v>11</v>
      </c>
      <c r="U498">
        <f t="shared" si="51"/>
        <v>18</v>
      </c>
      <c r="V498">
        <f t="shared" si="52"/>
        <v>0.72222222222222221</v>
      </c>
      <c r="W498" cm="1">
        <f t="array" ref="W498">_xlfn.IFS(N498=1,5,N498=2,4,N498=4,2,N498=5,1,N498=3,3)</f>
        <v>3</v>
      </c>
      <c r="X498">
        <f t="shared" si="53"/>
        <v>24</v>
      </c>
      <c r="Y498" cm="1">
        <f t="array" ref="Y498">MAX(IF($C$2:$C$1387=C498,$X$2:$X$1387))</f>
        <v>30</v>
      </c>
      <c r="Z498" cm="1">
        <f t="array" ref="Z498">MIN(IF($C$2:$C$1387=C498,$X$2:$X$1387))</f>
        <v>14</v>
      </c>
      <c r="AA498">
        <f t="shared" si="54"/>
        <v>16</v>
      </c>
      <c r="AB498">
        <f t="shared" si="55"/>
        <v>0.625</v>
      </c>
    </row>
    <row r="499" spans="1:28" x14ac:dyDescent="0.25">
      <c r="A499" t="s">
        <v>192</v>
      </c>
      <c r="B499" t="s">
        <v>193</v>
      </c>
      <c r="C499">
        <v>2015</v>
      </c>
      <c r="D499">
        <v>5.3333333333333336E-4</v>
      </c>
      <c r="E499">
        <v>0.84146641066666672</v>
      </c>
      <c r="F499">
        <v>2.7225045333333333E-2</v>
      </c>
      <c r="G499">
        <v>2.0794415416798357</v>
      </c>
      <c r="H499">
        <v>0.75</v>
      </c>
      <c r="I499">
        <v>1</v>
      </c>
      <c r="J499">
        <v>0</v>
      </c>
      <c r="K499">
        <v>1</v>
      </c>
      <c r="L499">
        <v>5</v>
      </c>
      <c r="M499">
        <v>2</v>
      </c>
      <c r="N499">
        <v>3</v>
      </c>
      <c r="O499">
        <v>4</v>
      </c>
      <c r="P499">
        <v>2</v>
      </c>
      <c r="Q499">
        <f t="shared" si="49"/>
        <v>5</v>
      </c>
      <c r="R499">
        <f t="shared" si="50"/>
        <v>22</v>
      </c>
      <c r="S499">
        <f t="array" ref="S499">MAX(IF($C$2:$C$1387=C499,$R$2:$R$1387))</f>
        <v>29</v>
      </c>
      <c r="T499" cm="1">
        <f t="array" ref="T499">MIN(IF($C$2:$C$1387=C499,$R$2:$R$1387))</f>
        <v>11</v>
      </c>
      <c r="U499">
        <f t="shared" si="51"/>
        <v>18</v>
      </c>
      <c r="V499">
        <f t="shared" si="52"/>
        <v>0.61111111111111116</v>
      </c>
      <c r="W499" cm="1">
        <f t="array" ref="W499">_xlfn.IFS(N499=1,5,N499=2,4,N499=4,2,N499=5,1,N499=3,3)</f>
        <v>3</v>
      </c>
      <c r="X499">
        <f t="shared" si="53"/>
        <v>22</v>
      </c>
      <c r="Y499" cm="1">
        <f t="array" ref="Y499">MAX(IF($C$2:$C$1387=C499,$X$2:$X$1387))</f>
        <v>29</v>
      </c>
      <c r="Z499" cm="1">
        <f t="array" ref="Z499">MIN(IF($C$2:$C$1387=C499,$X$2:$X$1387))</f>
        <v>12</v>
      </c>
      <c r="AA499">
        <f t="shared" si="54"/>
        <v>17</v>
      </c>
      <c r="AB499">
        <f t="shared" si="55"/>
        <v>0.58823529411764708</v>
      </c>
    </row>
    <row r="500" spans="1:28" x14ac:dyDescent="0.25">
      <c r="A500" t="s">
        <v>194</v>
      </c>
      <c r="B500" t="s">
        <v>195</v>
      </c>
      <c r="C500">
        <v>2010</v>
      </c>
      <c r="D500">
        <v>0.65248150000000005</v>
      </c>
      <c r="E500">
        <v>0.55292649999999999</v>
      </c>
      <c r="F500">
        <v>1.9705E-2</v>
      </c>
      <c r="G500">
        <v>2.0794415416798357</v>
      </c>
      <c r="H500">
        <v>0.625</v>
      </c>
      <c r="I500">
        <v>1</v>
      </c>
      <c r="J500">
        <v>0</v>
      </c>
      <c r="K500">
        <v>5</v>
      </c>
      <c r="L500">
        <v>2</v>
      </c>
      <c r="M500">
        <v>2</v>
      </c>
      <c r="N500">
        <v>3</v>
      </c>
      <c r="O500">
        <v>3</v>
      </c>
      <c r="P500">
        <v>3</v>
      </c>
      <c r="Q500">
        <f t="shared" si="49"/>
        <v>5</v>
      </c>
      <c r="R500">
        <f t="shared" si="50"/>
        <v>23</v>
      </c>
      <c r="S500">
        <f t="array" ref="S500">MAX(IF($C$2:$C$1387=C500,$R$2:$R$1387))</f>
        <v>29</v>
      </c>
      <c r="T500" cm="1">
        <f t="array" ref="T500">MIN(IF($C$2:$C$1387=C500,$R$2:$R$1387))</f>
        <v>9</v>
      </c>
      <c r="U500">
        <f t="shared" si="51"/>
        <v>20</v>
      </c>
      <c r="V500">
        <f t="shared" si="52"/>
        <v>0.7</v>
      </c>
      <c r="W500" cm="1">
        <f t="array" ref="W500">_xlfn.IFS(N500=1,5,N500=2,4,N500=4,2,N500=5,1,N500=3,3)</f>
        <v>3</v>
      </c>
      <c r="X500">
        <f t="shared" si="53"/>
        <v>23</v>
      </c>
      <c r="Y500" cm="1">
        <f t="array" ref="Y500">MAX(IF($C$2:$C$1387=C500,$X$2:$X$1387))</f>
        <v>29</v>
      </c>
      <c r="Z500" cm="1">
        <f t="array" ref="Z500">MIN(IF($C$2:$C$1387=C500,$X$2:$X$1387))</f>
        <v>12</v>
      </c>
      <c r="AA500">
        <f t="shared" si="54"/>
        <v>17</v>
      </c>
      <c r="AB500">
        <f t="shared" si="55"/>
        <v>0.6470588235294118</v>
      </c>
    </row>
    <row r="501" spans="1:28" x14ac:dyDescent="0.25">
      <c r="A501" t="s">
        <v>194</v>
      </c>
      <c r="B501" t="s">
        <v>195</v>
      </c>
      <c r="C501">
        <v>2011</v>
      </c>
      <c r="D501">
        <v>0.65308149999999998</v>
      </c>
      <c r="E501">
        <v>0.55370649999999999</v>
      </c>
      <c r="F501">
        <v>5.0000000000000001E-3</v>
      </c>
      <c r="G501">
        <v>2.0794415416798357</v>
      </c>
      <c r="H501">
        <v>0.625</v>
      </c>
      <c r="I501">
        <v>0.66666666666666663</v>
      </c>
      <c r="J501">
        <v>0</v>
      </c>
      <c r="K501">
        <v>5</v>
      </c>
      <c r="L501">
        <v>2</v>
      </c>
      <c r="M501">
        <v>2</v>
      </c>
      <c r="N501">
        <v>3</v>
      </c>
      <c r="O501">
        <v>3</v>
      </c>
      <c r="P501">
        <v>1</v>
      </c>
      <c r="Q501">
        <f t="shared" si="49"/>
        <v>5</v>
      </c>
      <c r="R501">
        <f t="shared" si="50"/>
        <v>21</v>
      </c>
      <c r="S501">
        <f t="array" ref="S501">MAX(IF($C$2:$C$1387=C501,$R$2:$R$1387))</f>
        <v>28</v>
      </c>
      <c r="T501" cm="1">
        <f t="array" ref="T501">MIN(IF($C$2:$C$1387=C501,$R$2:$R$1387))</f>
        <v>10</v>
      </c>
      <c r="U501">
        <f t="shared" si="51"/>
        <v>18</v>
      </c>
      <c r="V501">
        <f t="shared" si="52"/>
        <v>0.61111111111111116</v>
      </c>
      <c r="W501" cm="1">
        <f t="array" ref="W501">_xlfn.IFS(N501=1,5,N501=2,4,N501=4,2,N501=5,1,N501=3,3)</f>
        <v>3</v>
      </c>
      <c r="X501">
        <f t="shared" si="53"/>
        <v>21</v>
      </c>
      <c r="Y501" cm="1">
        <f t="array" ref="Y501">MAX(IF($C$2:$C$1387=C501,$X$2:$X$1387))</f>
        <v>29</v>
      </c>
      <c r="Z501" cm="1">
        <f t="array" ref="Z501">MIN(IF($C$2:$C$1387=C501,$X$2:$X$1387))</f>
        <v>12</v>
      </c>
      <c r="AA501">
        <f t="shared" si="54"/>
        <v>17</v>
      </c>
      <c r="AB501">
        <f t="shared" si="55"/>
        <v>0.52941176470588236</v>
      </c>
    </row>
    <row r="502" spans="1:28" x14ac:dyDescent="0.25">
      <c r="A502" t="s">
        <v>194</v>
      </c>
      <c r="B502" t="s">
        <v>195</v>
      </c>
      <c r="C502">
        <v>2012</v>
      </c>
      <c r="D502">
        <v>0.70565040000000001</v>
      </c>
      <c r="E502">
        <v>0.55333149999999998</v>
      </c>
      <c r="F502">
        <v>1.49999E-2</v>
      </c>
      <c r="G502">
        <v>1.9459101490553132</v>
      </c>
      <c r="H502">
        <v>1</v>
      </c>
      <c r="I502">
        <v>1</v>
      </c>
      <c r="J502">
        <v>0</v>
      </c>
      <c r="K502">
        <v>5</v>
      </c>
      <c r="L502">
        <v>2</v>
      </c>
      <c r="M502">
        <v>2</v>
      </c>
      <c r="N502">
        <v>1</v>
      </c>
      <c r="O502">
        <v>5</v>
      </c>
      <c r="P502">
        <v>3</v>
      </c>
      <c r="Q502">
        <f t="shared" si="49"/>
        <v>5</v>
      </c>
      <c r="R502">
        <f t="shared" si="50"/>
        <v>23</v>
      </c>
      <c r="S502">
        <f t="array" ref="S502">MAX(IF($C$2:$C$1387=C502,$R$2:$R$1387))</f>
        <v>29</v>
      </c>
      <c r="T502" cm="1">
        <f t="array" ref="T502">MIN(IF($C$2:$C$1387=C502,$R$2:$R$1387))</f>
        <v>11</v>
      </c>
      <c r="U502">
        <f t="shared" si="51"/>
        <v>18</v>
      </c>
      <c r="V502">
        <f t="shared" si="52"/>
        <v>0.66666666666666663</v>
      </c>
      <c r="W502" cm="1">
        <f t="array" ref="W502">_xlfn.IFS(N502=1,5,N502=2,4,N502=4,2,N502=5,1,N502=3,3)</f>
        <v>5</v>
      </c>
      <c r="X502">
        <f t="shared" si="53"/>
        <v>27</v>
      </c>
      <c r="Y502" cm="1">
        <f t="array" ref="Y502">MAX(IF($C$2:$C$1387=C502,$X$2:$X$1387))</f>
        <v>30</v>
      </c>
      <c r="Z502" cm="1">
        <f t="array" ref="Z502">MIN(IF($C$2:$C$1387=C502,$X$2:$X$1387))</f>
        <v>12</v>
      </c>
      <c r="AA502">
        <f t="shared" si="54"/>
        <v>18</v>
      </c>
      <c r="AB502">
        <f t="shared" si="55"/>
        <v>0.83333333333333337</v>
      </c>
    </row>
    <row r="503" spans="1:28" x14ac:dyDescent="0.25">
      <c r="A503" t="s">
        <v>194</v>
      </c>
      <c r="B503" t="s">
        <v>195</v>
      </c>
      <c r="C503">
        <v>2013</v>
      </c>
      <c r="D503">
        <v>0.70235040000000004</v>
      </c>
      <c r="E503">
        <v>0.55183150000000003</v>
      </c>
      <c r="F503">
        <v>0</v>
      </c>
      <c r="G503">
        <v>2.3025850929940459</v>
      </c>
      <c r="H503">
        <v>0.9</v>
      </c>
      <c r="I503">
        <v>1</v>
      </c>
      <c r="J503">
        <v>0</v>
      </c>
      <c r="K503">
        <v>5</v>
      </c>
      <c r="L503">
        <v>2</v>
      </c>
      <c r="M503">
        <v>1</v>
      </c>
      <c r="N503">
        <v>5</v>
      </c>
      <c r="O503">
        <v>5</v>
      </c>
      <c r="P503">
        <v>3</v>
      </c>
      <c r="Q503">
        <f t="shared" si="49"/>
        <v>5</v>
      </c>
      <c r="R503">
        <f t="shared" si="50"/>
        <v>26</v>
      </c>
      <c r="S503">
        <f t="array" ref="S503">MAX(IF($C$2:$C$1387=C503,$R$2:$R$1387))</f>
        <v>29</v>
      </c>
      <c r="T503" cm="1">
        <f t="array" ref="T503">MIN(IF($C$2:$C$1387=C503,$R$2:$R$1387))</f>
        <v>10</v>
      </c>
      <c r="U503">
        <f t="shared" si="51"/>
        <v>19</v>
      </c>
      <c r="V503">
        <f t="shared" si="52"/>
        <v>0.84210526315789469</v>
      </c>
      <c r="W503" cm="1">
        <f t="array" ref="W503">_xlfn.IFS(N503=1,5,N503=2,4,N503=4,2,N503=5,1,N503=3,3)</f>
        <v>1</v>
      </c>
      <c r="X503">
        <f t="shared" si="53"/>
        <v>22</v>
      </c>
      <c r="Y503" cm="1">
        <f t="array" ref="Y503">MAX(IF($C$2:$C$1387=C503,$X$2:$X$1387))</f>
        <v>32</v>
      </c>
      <c r="Z503" cm="1">
        <f t="array" ref="Z503">MIN(IF($C$2:$C$1387=C503,$X$2:$X$1387))</f>
        <v>10</v>
      </c>
      <c r="AA503">
        <f t="shared" si="54"/>
        <v>22</v>
      </c>
      <c r="AB503">
        <f t="shared" si="55"/>
        <v>0.54545454545454541</v>
      </c>
    </row>
    <row r="504" spans="1:28" x14ac:dyDescent="0.25">
      <c r="A504" t="s">
        <v>194</v>
      </c>
      <c r="B504" t="s">
        <v>195</v>
      </c>
      <c r="C504">
        <v>2014</v>
      </c>
      <c r="D504">
        <v>0.61625039999999998</v>
      </c>
      <c r="E504">
        <v>0.54016595000000001</v>
      </c>
      <c r="F504">
        <v>0</v>
      </c>
      <c r="G504">
        <v>2.3025850929940459</v>
      </c>
      <c r="H504">
        <v>0.9</v>
      </c>
      <c r="I504">
        <v>1</v>
      </c>
      <c r="J504">
        <v>0</v>
      </c>
      <c r="K504">
        <v>5</v>
      </c>
      <c r="L504">
        <v>2</v>
      </c>
      <c r="M504">
        <v>1</v>
      </c>
      <c r="N504">
        <v>5</v>
      </c>
      <c r="O504">
        <v>5</v>
      </c>
      <c r="P504">
        <v>3</v>
      </c>
      <c r="Q504">
        <f t="shared" si="49"/>
        <v>5</v>
      </c>
      <c r="R504">
        <f t="shared" si="50"/>
        <v>26</v>
      </c>
      <c r="S504">
        <f t="array" ref="S504">MAX(IF($C$2:$C$1387=C504,$R$2:$R$1387))</f>
        <v>29</v>
      </c>
      <c r="T504" cm="1">
        <f t="array" ref="T504">MIN(IF($C$2:$C$1387=C504,$R$2:$R$1387))</f>
        <v>11</v>
      </c>
      <c r="U504">
        <f t="shared" si="51"/>
        <v>18</v>
      </c>
      <c r="V504">
        <f t="shared" si="52"/>
        <v>0.83333333333333337</v>
      </c>
      <c r="W504" cm="1">
        <f t="array" ref="W504">_xlfn.IFS(N504=1,5,N504=2,4,N504=4,2,N504=5,1,N504=3,3)</f>
        <v>1</v>
      </c>
      <c r="X504">
        <f t="shared" si="53"/>
        <v>22</v>
      </c>
      <c r="Y504" cm="1">
        <f t="array" ref="Y504">MAX(IF($C$2:$C$1387=C504,$X$2:$X$1387))</f>
        <v>30</v>
      </c>
      <c r="Z504" cm="1">
        <f t="array" ref="Z504">MIN(IF($C$2:$C$1387=C504,$X$2:$X$1387))</f>
        <v>14</v>
      </c>
      <c r="AA504">
        <f t="shared" si="54"/>
        <v>16</v>
      </c>
      <c r="AB504">
        <f t="shared" si="55"/>
        <v>0.5</v>
      </c>
    </row>
    <row r="505" spans="1:28" x14ac:dyDescent="0.25">
      <c r="A505" t="s">
        <v>194</v>
      </c>
      <c r="B505" t="s">
        <v>195</v>
      </c>
      <c r="C505">
        <v>2015</v>
      </c>
      <c r="D505">
        <v>4.3850199999999999E-3</v>
      </c>
      <c r="E505">
        <v>0.13197577999999999</v>
      </c>
      <c r="F505">
        <v>1.354E-2</v>
      </c>
      <c r="G505">
        <v>2.3025850929940459</v>
      </c>
      <c r="H505">
        <v>0.7</v>
      </c>
      <c r="I505">
        <v>1</v>
      </c>
      <c r="J505">
        <v>0</v>
      </c>
      <c r="K505">
        <v>2</v>
      </c>
      <c r="L505">
        <v>1</v>
      </c>
      <c r="M505">
        <v>2</v>
      </c>
      <c r="N505">
        <v>5</v>
      </c>
      <c r="O505">
        <v>3</v>
      </c>
      <c r="P505">
        <v>2</v>
      </c>
      <c r="Q505">
        <f t="shared" si="49"/>
        <v>5</v>
      </c>
      <c r="R505">
        <f t="shared" si="50"/>
        <v>20</v>
      </c>
      <c r="S505">
        <f t="array" ref="S505">MAX(IF($C$2:$C$1387=C505,$R$2:$R$1387))</f>
        <v>29</v>
      </c>
      <c r="T505" cm="1">
        <f t="array" ref="T505">MIN(IF($C$2:$C$1387=C505,$R$2:$R$1387))</f>
        <v>11</v>
      </c>
      <c r="U505">
        <f t="shared" si="51"/>
        <v>18</v>
      </c>
      <c r="V505">
        <f t="shared" si="52"/>
        <v>0.5</v>
      </c>
      <c r="W505" cm="1">
        <f t="array" ref="W505">_xlfn.IFS(N505=1,5,N505=2,4,N505=4,2,N505=5,1,N505=3,3)</f>
        <v>1</v>
      </c>
      <c r="X505">
        <f t="shared" si="53"/>
        <v>16</v>
      </c>
      <c r="Y505" cm="1">
        <f t="array" ref="Y505">MAX(IF($C$2:$C$1387=C505,$X$2:$X$1387))</f>
        <v>29</v>
      </c>
      <c r="Z505" cm="1">
        <f t="array" ref="Z505">MIN(IF($C$2:$C$1387=C505,$X$2:$X$1387))</f>
        <v>12</v>
      </c>
      <c r="AA505">
        <f t="shared" si="54"/>
        <v>17</v>
      </c>
      <c r="AB505">
        <f t="shared" si="55"/>
        <v>0.23529411764705882</v>
      </c>
    </row>
    <row r="506" spans="1:28" x14ac:dyDescent="0.25">
      <c r="A506" t="s">
        <v>196</v>
      </c>
      <c r="B506" t="s">
        <v>197</v>
      </c>
      <c r="C506">
        <v>2010</v>
      </c>
      <c r="D506">
        <v>0.14204621054713662</v>
      </c>
      <c r="E506">
        <v>0.87456951724480003</v>
      </c>
      <c r="F506">
        <v>9.8856476478947626E-4</v>
      </c>
      <c r="G506">
        <v>1.9459101490553132</v>
      </c>
      <c r="H506">
        <v>0.7142857142857143</v>
      </c>
      <c r="I506">
        <v>0.66666666666666663</v>
      </c>
      <c r="J506">
        <v>0</v>
      </c>
      <c r="K506">
        <v>3</v>
      </c>
      <c r="L506">
        <v>5</v>
      </c>
      <c r="M506">
        <v>2</v>
      </c>
      <c r="N506">
        <v>1</v>
      </c>
      <c r="O506">
        <v>4</v>
      </c>
      <c r="P506">
        <v>1</v>
      </c>
      <c r="Q506">
        <f t="shared" si="49"/>
        <v>5</v>
      </c>
      <c r="R506">
        <f t="shared" si="50"/>
        <v>21</v>
      </c>
      <c r="S506">
        <f t="array" ref="S506">MAX(IF($C$2:$C$1387=C506,$R$2:$R$1387))</f>
        <v>29</v>
      </c>
      <c r="T506" cm="1">
        <f t="array" ref="T506">MIN(IF($C$2:$C$1387=C506,$R$2:$R$1387))</f>
        <v>9</v>
      </c>
      <c r="U506">
        <f t="shared" si="51"/>
        <v>20</v>
      </c>
      <c r="V506">
        <f t="shared" si="52"/>
        <v>0.6</v>
      </c>
      <c r="W506" cm="1">
        <f t="array" ref="W506">_xlfn.IFS(N506=1,5,N506=2,4,N506=4,2,N506=5,1,N506=3,3)</f>
        <v>5</v>
      </c>
      <c r="X506">
        <f t="shared" si="53"/>
        <v>25</v>
      </c>
      <c r="Y506" cm="1">
        <f t="array" ref="Y506">MAX(IF($C$2:$C$1387=C506,$X$2:$X$1387))</f>
        <v>29</v>
      </c>
      <c r="Z506" cm="1">
        <f t="array" ref="Z506">MIN(IF($C$2:$C$1387=C506,$X$2:$X$1387))</f>
        <v>12</v>
      </c>
      <c r="AA506">
        <f t="shared" si="54"/>
        <v>17</v>
      </c>
      <c r="AB506">
        <f t="shared" si="55"/>
        <v>0.76470588235294112</v>
      </c>
    </row>
    <row r="507" spans="1:28" x14ac:dyDescent="0.25">
      <c r="A507" t="s">
        <v>196</v>
      </c>
      <c r="B507" t="s">
        <v>197</v>
      </c>
      <c r="C507">
        <v>2011</v>
      </c>
      <c r="D507">
        <v>0.14204621054713662</v>
      </c>
      <c r="E507">
        <v>0.87456951724480003</v>
      </c>
      <c r="F507">
        <v>5.7528009305520781E-4</v>
      </c>
      <c r="G507">
        <v>1.9459101490553132</v>
      </c>
      <c r="H507">
        <v>0.7142857142857143</v>
      </c>
      <c r="I507">
        <v>0.66666666666666663</v>
      </c>
      <c r="J507">
        <v>0</v>
      </c>
      <c r="K507">
        <v>3</v>
      </c>
      <c r="L507">
        <v>5</v>
      </c>
      <c r="M507">
        <v>1</v>
      </c>
      <c r="N507">
        <v>1</v>
      </c>
      <c r="O507">
        <v>4</v>
      </c>
      <c r="P507">
        <v>1</v>
      </c>
      <c r="Q507">
        <f t="shared" si="49"/>
        <v>5</v>
      </c>
      <c r="R507">
        <f t="shared" si="50"/>
        <v>20</v>
      </c>
      <c r="S507">
        <f t="array" ref="S507">MAX(IF($C$2:$C$1387=C507,$R$2:$R$1387))</f>
        <v>28</v>
      </c>
      <c r="T507" cm="1">
        <f t="array" ref="T507">MIN(IF($C$2:$C$1387=C507,$R$2:$R$1387))</f>
        <v>10</v>
      </c>
      <c r="U507">
        <f t="shared" si="51"/>
        <v>18</v>
      </c>
      <c r="V507">
        <f t="shared" si="52"/>
        <v>0.55555555555555558</v>
      </c>
      <c r="W507" cm="1">
        <f t="array" ref="W507">_xlfn.IFS(N507=1,5,N507=2,4,N507=4,2,N507=5,1,N507=3,3)</f>
        <v>5</v>
      </c>
      <c r="X507">
        <f t="shared" si="53"/>
        <v>24</v>
      </c>
      <c r="Y507" cm="1">
        <f t="array" ref="Y507">MAX(IF($C$2:$C$1387=C507,$X$2:$X$1387))</f>
        <v>29</v>
      </c>
      <c r="Z507" cm="1">
        <f t="array" ref="Z507">MIN(IF($C$2:$C$1387=C507,$X$2:$X$1387))</f>
        <v>12</v>
      </c>
      <c r="AA507">
        <f t="shared" si="54"/>
        <v>17</v>
      </c>
      <c r="AB507">
        <f t="shared" si="55"/>
        <v>0.70588235294117652</v>
      </c>
    </row>
    <row r="508" spans="1:28" x14ac:dyDescent="0.25">
      <c r="A508" t="s">
        <v>196</v>
      </c>
      <c r="B508" t="s">
        <v>197</v>
      </c>
      <c r="C508">
        <v>2012</v>
      </c>
      <c r="D508">
        <v>0.14204621054713662</v>
      </c>
      <c r="E508">
        <v>0.87456951724480003</v>
      </c>
      <c r="F508">
        <v>5.7528009305520781E-4</v>
      </c>
      <c r="G508">
        <v>2.0794415416798357</v>
      </c>
      <c r="H508">
        <v>0.5</v>
      </c>
      <c r="I508">
        <v>0.66666666666666663</v>
      </c>
      <c r="J508">
        <v>0</v>
      </c>
      <c r="K508">
        <v>3</v>
      </c>
      <c r="L508">
        <v>5</v>
      </c>
      <c r="M508">
        <v>1</v>
      </c>
      <c r="N508">
        <v>3</v>
      </c>
      <c r="O508">
        <v>2</v>
      </c>
      <c r="P508">
        <v>1</v>
      </c>
      <c r="Q508">
        <f t="shared" si="49"/>
        <v>5</v>
      </c>
      <c r="R508">
        <f t="shared" si="50"/>
        <v>20</v>
      </c>
      <c r="S508">
        <f t="array" ref="S508">MAX(IF($C$2:$C$1387=C508,$R$2:$R$1387))</f>
        <v>29</v>
      </c>
      <c r="T508" cm="1">
        <f t="array" ref="T508">MIN(IF($C$2:$C$1387=C508,$R$2:$R$1387))</f>
        <v>11</v>
      </c>
      <c r="U508">
        <f t="shared" si="51"/>
        <v>18</v>
      </c>
      <c r="V508">
        <f t="shared" si="52"/>
        <v>0.5</v>
      </c>
      <c r="W508" cm="1">
        <f t="array" ref="W508">_xlfn.IFS(N508=1,5,N508=2,4,N508=4,2,N508=5,1,N508=3,3)</f>
        <v>3</v>
      </c>
      <c r="X508">
        <f t="shared" si="53"/>
        <v>20</v>
      </c>
      <c r="Y508" cm="1">
        <f t="array" ref="Y508">MAX(IF($C$2:$C$1387=C508,$X$2:$X$1387))</f>
        <v>30</v>
      </c>
      <c r="Z508" cm="1">
        <f t="array" ref="Z508">MIN(IF($C$2:$C$1387=C508,$X$2:$X$1387))</f>
        <v>12</v>
      </c>
      <c r="AA508">
        <f t="shared" si="54"/>
        <v>18</v>
      </c>
      <c r="AB508">
        <f t="shared" si="55"/>
        <v>0.44444444444444442</v>
      </c>
    </row>
    <row r="509" spans="1:28" x14ac:dyDescent="0.25">
      <c r="A509" t="s">
        <v>196</v>
      </c>
      <c r="B509" t="s">
        <v>197</v>
      </c>
      <c r="C509">
        <v>2013</v>
      </c>
      <c r="D509">
        <v>0.14204621054713662</v>
      </c>
      <c r="E509">
        <v>0.87456951724480003</v>
      </c>
      <c r="F509">
        <v>5.7528009305520781E-4</v>
      </c>
      <c r="G509">
        <v>2.0794415416798357</v>
      </c>
      <c r="H509">
        <v>0.5</v>
      </c>
      <c r="I509">
        <v>0.66666666666666663</v>
      </c>
      <c r="J509">
        <v>0</v>
      </c>
      <c r="K509">
        <v>3</v>
      </c>
      <c r="L509">
        <v>5</v>
      </c>
      <c r="M509">
        <v>1</v>
      </c>
      <c r="N509">
        <v>3</v>
      </c>
      <c r="O509">
        <v>2</v>
      </c>
      <c r="P509">
        <v>1</v>
      </c>
      <c r="Q509">
        <f t="shared" si="49"/>
        <v>5</v>
      </c>
      <c r="R509">
        <f t="shared" si="50"/>
        <v>20</v>
      </c>
      <c r="S509">
        <f t="array" ref="S509">MAX(IF($C$2:$C$1387=C509,$R$2:$R$1387))</f>
        <v>29</v>
      </c>
      <c r="T509" cm="1">
        <f t="array" ref="T509">MIN(IF($C$2:$C$1387=C509,$R$2:$R$1387))</f>
        <v>10</v>
      </c>
      <c r="U509">
        <f t="shared" si="51"/>
        <v>19</v>
      </c>
      <c r="V509">
        <f t="shared" si="52"/>
        <v>0.52631578947368418</v>
      </c>
      <c r="W509" cm="1">
        <f t="array" ref="W509">_xlfn.IFS(N509=1,5,N509=2,4,N509=4,2,N509=5,1,N509=3,3)</f>
        <v>3</v>
      </c>
      <c r="X509">
        <f t="shared" si="53"/>
        <v>20</v>
      </c>
      <c r="Y509" cm="1">
        <f t="array" ref="Y509">MAX(IF($C$2:$C$1387=C509,$X$2:$X$1387))</f>
        <v>32</v>
      </c>
      <c r="Z509" cm="1">
        <f t="array" ref="Z509">MIN(IF($C$2:$C$1387=C509,$X$2:$X$1387))</f>
        <v>10</v>
      </c>
      <c r="AA509">
        <f t="shared" si="54"/>
        <v>22</v>
      </c>
      <c r="AB509">
        <f t="shared" si="55"/>
        <v>0.45454545454545453</v>
      </c>
    </row>
    <row r="510" spans="1:28" x14ac:dyDescent="0.25">
      <c r="A510" t="s">
        <v>196</v>
      </c>
      <c r="B510" t="s">
        <v>197</v>
      </c>
      <c r="C510">
        <v>2014</v>
      </c>
      <c r="D510">
        <v>3.3911489649964296E-3</v>
      </c>
      <c r="E510">
        <v>0.88239369444054994</v>
      </c>
      <c r="F510">
        <v>6.2657805350844261E-4</v>
      </c>
      <c r="G510">
        <v>2.0794415416798357</v>
      </c>
      <c r="H510">
        <v>0.5</v>
      </c>
      <c r="I510">
        <v>1</v>
      </c>
      <c r="J510">
        <v>0</v>
      </c>
      <c r="K510">
        <v>2</v>
      </c>
      <c r="L510">
        <v>5</v>
      </c>
      <c r="M510">
        <v>1</v>
      </c>
      <c r="N510">
        <v>3</v>
      </c>
      <c r="O510">
        <v>2</v>
      </c>
      <c r="P510">
        <v>3</v>
      </c>
      <c r="Q510">
        <f t="shared" si="49"/>
        <v>5</v>
      </c>
      <c r="R510">
        <f t="shared" si="50"/>
        <v>21</v>
      </c>
      <c r="S510">
        <f t="array" ref="S510">MAX(IF($C$2:$C$1387=C510,$R$2:$R$1387))</f>
        <v>29</v>
      </c>
      <c r="T510" cm="1">
        <f t="array" ref="T510">MIN(IF($C$2:$C$1387=C510,$R$2:$R$1387))</f>
        <v>11</v>
      </c>
      <c r="U510">
        <f t="shared" si="51"/>
        <v>18</v>
      </c>
      <c r="V510">
        <f t="shared" si="52"/>
        <v>0.55555555555555558</v>
      </c>
      <c r="W510" cm="1">
        <f t="array" ref="W510">_xlfn.IFS(N510=1,5,N510=2,4,N510=4,2,N510=5,1,N510=3,3)</f>
        <v>3</v>
      </c>
      <c r="X510">
        <f t="shared" si="53"/>
        <v>21</v>
      </c>
      <c r="Y510" cm="1">
        <f t="array" ref="Y510">MAX(IF($C$2:$C$1387=C510,$X$2:$X$1387))</f>
        <v>30</v>
      </c>
      <c r="Z510" cm="1">
        <f t="array" ref="Z510">MIN(IF($C$2:$C$1387=C510,$X$2:$X$1387))</f>
        <v>14</v>
      </c>
      <c r="AA510">
        <f t="shared" si="54"/>
        <v>16</v>
      </c>
      <c r="AB510">
        <f t="shared" si="55"/>
        <v>0.4375</v>
      </c>
    </row>
    <row r="511" spans="1:28" x14ac:dyDescent="0.25">
      <c r="A511" t="s">
        <v>196</v>
      </c>
      <c r="B511" t="s">
        <v>197</v>
      </c>
      <c r="C511">
        <v>2015</v>
      </c>
      <c r="D511">
        <v>3.3911489649964296E-3</v>
      </c>
      <c r="E511">
        <v>0.88370883263495581</v>
      </c>
      <c r="F511">
        <v>4.4650806115608408E-3</v>
      </c>
      <c r="G511">
        <v>2.0794415416798357</v>
      </c>
      <c r="H511">
        <v>0.875</v>
      </c>
      <c r="I511">
        <v>1</v>
      </c>
      <c r="J511">
        <v>0</v>
      </c>
      <c r="K511">
        <v>2</v>
      </c>
      <c r="L511">
        <v>5</v>
      </c>
      <c r="M511">
        <v>1</v>
      </c>
      <c r="N511">
        <v>3</v>
      </c>
      <c r="O511">
        <v>5</v>
      </c>
      <c r="P511">
        <v>2</v>
      </c>
      <c r="Q511">
        <f t="shared" si="49"/>
        <v>5</v>
      </c>
      <c r="R511">
        <f t="shared" si="50"/>
        <v>23</v>
      </c>
      <c r="S511">
        <f t="array" ref="S511">MAX(IF($C$2:$C$1387=C511,$R$2:$R$1387))</f>
        <v>29</v>
      </c>
      <c r="T511" cm="1">
        <f t="array" ref="T511">MIN(IF($C$2:$C$1387=C511,$R$2:$R$1387))</f>
        <v>11</v>
      </c>
      <c r="U511">
        <f t="shared" si="51"/>
        <v>18</v>
      </c>
      <c r="V511">
        <f t="shared" si="52"/>
        <v>0.66666666666666663</v>
      </c>
      <c r="W511" cm="1">
        <f t="array" ref="W511">_xlfn.IFS(N511=1,5,N511=2,4,N511=4,2,N511=5,1,N511=3,3)</f>
        <v>3</v>
      </c>
      <c r="X511">
        <f t="shared" si="53"/>
        <v>23</v>
      </c>
      <c r="Y511" cm="1">
        <f t="array" ref="Y511">MAX(IF($C$2:$C$1387=C511,$X$2:$X$1387))</f>
        <v>29</v>
      </c>
      <c r="Z511" cm="1">
        <f t="array" ref="Z511">MIN(IF($C$2:$C$1387=C511,$X$2:$X$1387))</f>
        <v>12</v>
      </c>
      <c r="AA511">
        <f t="shared" si="54"/>
        <v>17</v>
      </c>
      <c r="AB511">
        <f t="shared" si="55"/>
        <v>0.6470588235294118</v>
      </c>
    </row>
    <row r="512" spans="1:28" x14ac:dyDescent="0.25">
      <c r="A512" t="s">
        <v>198</v>
      </c>
      <c r="B512" t="s">
        <v>199</v>
      </c>
      <c r="C512">
        <v>2010</v>
      </c>
      <c r="D512">
        <v>0.45155946333691999</v>
      </c>
      <c r="E512">
        <v>0.38563859069639417</v>
      </c>
      <c r="F512">
        <v>0.24981649692632352</v>
      </c>
      <c r="G512">
        <v>2.0794415416798357</v>
      </c>
      <c r="H512">
        <v>0.375</v>
      </c>
      <c r="I512">
        <v>0.75</v>
      </c>
      <c r="J512">
        <v>0</v>
      </c>
      <c r="K512">
        <v>4</v>
      </c>
      <c r="L512">
        <v>1</v>
      </c>
      <c r="M512">
        <v>5</v>
      </c>
      <c r="N512">
        <v>3</v>
      </c>
      <c r="O512">
        <v>2</v>
      </c>
      <c r="P512">
        <v>3</v>
      </c>
      <c r="Q512">
        <f t="shared" si="49"/>
        <v>5</v>
      </c>
      <c r="R512">
        <f t="shared" si="50"/>
        <v>23</v>
      </c>
      <c r="S512">
        <f t="array" ref="S512">MAX(IF($C$2:$C$1387=C512,$R$2:$R$1387))</f>
        <v>29</v>
      </c>
      <c r="T512" cm="1">
        <f t="array" ref="T512">MIN(IF($C$2:$C$1387=C512,$R$2:$R$1387))</f>
        <v>9</v>
      </c>
      <c r="U512">
        <f t="shared" si="51"/>
        <v>20</v>
      </c>
      <c r="V512">
        <f t="shared" si="52"/>
        <v>0.7</v>
      </c>
      <c r="W512" cm="1">
        <f t="array" ref="W512">_xlfn.IFS(N512=1,5,N512=2,4,N512=4,2,N512=5,1,N512=3,3)</f>
        <v>3</v>
      </c>
      <c r="X512">
        <f t="shared" si="53"/>
        <v>23</v>
      </c>
      <c r="Y512" cm="1">
        <f t="array" ref="Y512">MAX(IF($C$2:$C$1387=C512,$X$2:$X$1387))</f>
        <v>29</v>
      </c>
      <c r="Z512" cm="1">
        <f t="array" ref="Z512">MIN(IF($C$2:$C$1387=C512,$X$2:$X$1387))</f>
        <v>12</v>
      </c>
      <c r="AA512">
        <f t="shared" si="54"/>
        <v>17</v>
      </c>
      <c r="AB512">
        <f t="shared" si="55"/>
        <v>0.6470588235294118</v>
      </c>
    </row>
    <row r="513" spans="1:28" x14ac:dyDescent="0.25">
      <c r="A513" t="s">
        <v>198</v>
      </c>
      <c r="B513" t="s">
        <v>199</v>
      </c>
      <c r="C513">
        <v>2011</v>
      </c>
      <c r="D513">
        <v>0.45155946333691999</v>
      </c>
      <c r="E513">
        <v>0.38563859069639417</v>
      </c>
      <c r="F513">
        <v>0.24981649692632352</v>
      </c>
      <c r="G513">
        <v>2.0794415416798357</v>
      </c>
      <c r="H513">
        <v>0.375</v>
      </c>
      <c r="I513">
        <v>0.75</v>
      </c>
      <c r="J513">
        <v>0</v>
      </c>
      <c r="K513">
        <v>4</v>
      </c>
      <c r="L513">
        <v>1</v>
      </c>
      <c r="M513">
        <v>5</v>
      </c>
      <c r="N513">
        <v>3</v>
      </c>
      <c r="O513">
        <v>1</v>
      </c>
      <c r="P513">
        <v>3</v>
      </c>
      <c r="Q513">
        <f t="shared" si="49"/>
        <v>5</v>
      </c>
      <c r="R513">
        <f t="shared" si="50"/>
        <v>22</v>
      </c>
      <c r="S513">
        <f t="array" ref="S513">MAX(IF($C$2:$C$1387=C513,$R$2:$R$1387))</f>
        <v>28</v>
      </c>
      <c r="T513" cm="1">
        <f t="array" ref="T513">MIN(IF($C$2:$C$1387=C513,$R$2:$R$1387))</f>
        <v>10</v>
      </c>
      <c r="U513">
        <f t="shared" si="51"/>
        <v>18</v>
      </c>
      <c r="V513">
        <f t="shared" si="52"/>
        <v>0.66666666666666663</v>
      </c>
      <c r="W513" cm="1">
        <f t="array" ref="W513">_xlfn.IFS(N513=1,5,N513=2,4,N513=4,2,N513=5,1,N513=3,3)</f>
        <v>3</v>
      </c>
      <c r="X513">
        <f t="shared" si="53"/>
        <v>22</v>
      </c>
      <c r="Y513" cm="1">
        <f t="array" ref="Y513">MAX(IF($C$2:$C$1387=C513,$X$2:$X$1387))</f>
        <v>29</v>
      </c>
      <c r="Z513" cm="1">
        <f t="array" ref="Z513">MIN(IF($C$2:$C$1387=C513,$X$2:$X$1387))</f>
        <v>12</v>
      </c>
      <c r="AA513">
        <f t="shared" si="54"/>
        <v>17</v>
      </c>
      <c r="AB513">
        <f t="shared" si="55"/>
        <v>0.58823529411764708</v>
      </c>
    </row>
    <row r="514" spans="1:28" x14ac:dyDescent="0.25">
      <c r="A514" t="s">
        <v>198</v>
      </c>
      <c r="B514" t="s">
        <v>199</v>
      </c>
      <c r="C514">
        <v>2012</v>
      </c>
      <c r="D514">
        <v>0.45155946333691999</v>
      </c>
      <c r="E514">
        <v>0.38563859069639417</v>
      </c>
      <c r="F514">
        <v>0.24981649692632352</v>
      </c>
      <c r="G514">
        <v>2.0794415416798357</v>
      </c>
      <c r="H514">
        <v>0.375</v>
      </c>
      <c r="I514">
        <v>0.75</v>
      </c>
      <c r="J514">
        <v>0</v>
      </c>
      <c r="K514">
        <v>4</v>
      </c>
      <c r="L514">
        <v>1</v>
      </c>
      <c r="M514">
        <v>5</v>
      </c>
      <c r="N514">
        <v>3</v>
      </c>
      <c r="O514">
        <v>1</v>
      </c>
      <c r="P514">
        <v>3</v>
      </c>
      <c r="Q514">
        <f t="shared" si="49"/>
        <v>5</v>
      </c>
      <c r="R514">
        <f t="shared" si="50"/>
        <v>22</v>
      </c>
      <c r="S514">
        <f t="array" ref="S514">MAX(IF($C$2:$C$1387=C514,$R$2:$R$1387))</f>
        <v>29</v>
      </c>
      <c r="T514" cm="1">
        <f t="array" ref="T514">MIN(IF($C$2:$C$1387=C514,$R$2:$R$1387))</f>
        <v>11</v>
      </c>
      <c r="U514">
        <f t="shared" si="51"/>
        <v>18</v>
      </c>
      <c r="V514">
        <f t="shared" si="52"/>
        <v>0.61111111111111116</v>
      </c>
      <c r="W514" cm="1">
        <f t="array" ref="W514">_xlfn.IFS(N514=1,5,N514=2,4,N514=4,2,N514=5,1,N514=3,3)</f>
        <v>3</v>
      </c>
      <c r="X514">
        <f t="shared" si="53"/>
        <v>22</v>
      </c>
      <c r="Y514" cm="1">
        <f t="array" ref="Y514">MAX(IF($C$2:$C$1387=C514,$X$2:$X$1387))</f>
        <v>30</v>
      </c>
      <c r="Z514" cm="1">
        <f t="array" ref="Z514">MIN(IF($C$2:$C$1387=C514,$X$2:$X$1387))</f>
        <v>12</v>
      </c>
      <c r="AA514">
        <f t="shared" si="54"/>
        <v>18</v>
      </c>
      <c r="AB514">
        <f t="shared" si="55"/>
        <v>0.55555555555555558</v>
      </c>
    </row>
    <row r="515" spans="1:28" x14ac:dyDescent="0.25">
      <c r="A515" t="s">
        <v>198</v>
      </c>
      <c r="B515" t="s">
        <v>199</v>
      </c>
      <c r="C515">
        <v>2013</v>
      </c>
      <c r="D515">
        <v>0.45155946333691999</v>
      </c>
      <c r="E515">
        <v>0.38563859069639417</v>
      </c>
      <c r="F515">
        <v>0.24981649692632352</v>
      </c>
      <c r="G515">
        <v>2.0794415416798357</v>
      </c>
      <c r="H515">
        <v>0.375</v>
      </c>
      <c r="I515">
        <v>0.75</v>
      </c>
      <c r="J515">
        <v>0</v>
      </c>
      <c r="K515">
        <v>4</v>
      </c>
      <c r="L515">
        <v>1</v>
      </c>
      <c r="M515">
        <v>5</v>
      </c>
      <c r="N515">
        <v>3</v>
      </c>
      <c r="O515">
        <v>1</v>
      </c>
      <c r="P515">
        <v>3</v>
      </c>
      <c r="Q515">
        <f t="shared" ref="Q515:Q578" si="56">IF(J515=0,5,1)</f>
        <v>5</v>
      </c>
      <c r="R515">
        <f t="shared" ref="R515:R578" si="57">SUM(K515:Q515)</f>
        <v>22</v>
      </c>
      <c r="S515">
        <f t="array" ref="S515">MAX(IF($C$2:$C$1387=C515,$R$2:$R$1387))</f>
        <v>29</v>
      </c>
      <c r="T515" cm="1">
        <f t="array" ref="T515">MIN(IF($C$2:$C$1387=C515,$R$2:$R$1387))</f>
        <v>10</v>
      </c>
      <c r="U515">
        <f t="shared" ref="U515:U578" si="58">S515-T515</f>
        <v>19</v>
      </c>
      <c r="V515">
        <f t="shared" ref="V515:V578" si="59">(R515-T515)/U515</f>
        <v>0.63157894736842102</v>
      </c>
      <c r="W515" cm="1">
        <f t="array" ref="W515">_xlfn.IFS(N515=1,5,N515=2,4,N515=4,2,N515=5,1,N515=3,3)</f>
        <v>3</v>
      </c>
      <c r="X515">
        <f t="shared" ref="X515:X578" si="60">SUM(K515:M515,O515:Q515,W515)</f>
        <v>22</v>
      </c>
      <c r="Y515" cm="1">
        <f t="array" ref="Y515">MAX(IF($C$2:$C$1387=C515,$X$2:$X$1387))</f>
        <v>32</v>
      </c>
      <c r="Z515" cm="1">
        <f t="array" ref="Z515">MIN(IF($C$2:$C$1387=C515,$X$2:$X$1387))</f>
        <v>10</v>
      </c>
      <c r="AA515">
        <f t="shared" ref="AA515:AA578" si="61">Y515-Z515</f>
        <v>22</v>
      </c>
      <c r="AB515">
        <f t="shared" ref="AB515:AB578" si="62">(X515-Z515)/AA515</f>
        <v>0.54545454545454541</v>
      </c>
    </row>
    <row r="516" spans="1:28" x14ac:dyDescent="0.25">
      <c r="A516" t="s">
        <v>198</v>
      </c>
      <c r="B516" t="s">
        <v>199</v>
      </c>
      <c r="C516">
        <v>2014</v>
      </c>
      <c r="D516">
        <v>0.43397121504057923</v>
      </c>
      <c r="E516">
        <v>0.38563859069639417</v>
      </c>
      <c r="F516">
        <v>0.24981102311304623</v>
      </c>
      <c r="G516">
        <v>2.0794415416798357</v>
      </c>
      <c r="H516">
        <v>0.375</v>
      </c>
      <c r="I516">
        <v>0.75</v>
      </c>
      <c r="J516">
        <v>0</v>
      </c>
      <c r="K516">
        <v>4</v>
      </c>
      <c r="L516">
        <v>1</v>
      </c>
      <c r="M516">
        <v>5</v>
      </c>
      <c r="N516">
        <v>3</v>
      </c>
      <c r="O516">
        <v>1</v>
      </c>
      <c r="P516">
        <v>2</v>
      </c>
      <c r="Q516">
        <f t="shared" si="56"/>
        <v>5</v>
      </c>
      <c r="R516">
        <f t="shared" si="57"/>
        <v>21</v>
      </c>
      <c r="S516">
        <f t="array" ref="S516">MAX(IF($C$2:$C$1387=C516,$R$2:$R$1387))</f>
        <v>29</v>
      </c>
      <c r="T516" cm="1">
        <f t="array" ref="T516">MIN(IF($C$2:$C$1387=C516,$R$2:$R$1387))</f>
        <v>11</v>
      </c>
      <c r="U516">
        <f t="shared" si="58"/>
        <v>18</v>
      </c>
      <c r="V516">
        <f t="shared" si="59"/>
        <v>0.55555555555555558</v>
      </c>
      <c r="W516" cm="1">
        <f t="array" ref="W516">_xlfn.IFS(N516=1,5,N516=2,4,N516=4,2,N516=5,1,N516=3,3)</f>
        <v>3</v>
      </c>
      <c r="X516">
        <f t="shared" si="60"/>
        <v>21</v>
      </c>
      <c r="Y516" cm="1">
        <f t="array" ref="Y516">MAX(IF($C$2:$C$1387=C516,$X$2:$X$1387))</f>
        <v>30</v>
      </c>
      <c r="Z516" cm="1">
        <f t="array" ref="Z516">MIN(IF($C$2:$C$1387=C516,$X$2:$X$1387))</f>
        <v>14</v>
      </c>
      <c r="AA516">
        <f t="shared" si="61"/>
        <v>16</v>
      </c>
      <c r="AB516">
        <f t="shared" si="62"/>
        <v>0.4375</v>
      </c>
    </row>
    <row r="517" spans="1:28" x14ac:dyDescent="0.25">
      <c r="A517" t="s">
        <v>198</v>
      </c>
      <c r="B517" t="s">
        <v>199</v>
      </c>
      <c r="C517">
        <v>2015</v>
      </c>
      <c r="D517">
        <v>0.9432339236710624</v>
      </c>
      <c r="E517">
        <v>0.38563859069639417</v>
      </c>
      <c r="F517">
        <v>0.24981102311304623</v>
      </c>
      <c r="G517">
        <v>2.1972245773362196</v>
      </c>
      <c r="H517">
        <v>0.33333333333333331</v>
      </c>
      <c r="I517">
        <v>0.75</v>
      </c>
      <c r="J517">
        <v>0</v>
      </c>
      <c r="K517">
        <v>5</v>
      </c>
      <c r="L517">
        <v>1</v>
      </c>
      <c r="M517">
        <v>5</v>
      </c>
      <c r="N517">
        <v>4</v>
      </c>
      <c r="O517">
        <v>1</v>
      </c>
      <c r="P517">
        <v>2</v>
      </c>
      <c r="Q517">
        <f t="shared" si="56"/>
        <v>5</v>
      </c>
      <c r="R517">
        <f t="shared" si="57"/>
        <v>23</v>
      </c>
      <c r="S517">
        <f t="array" ref="S517">MAX(IF($C$2:$C$1387=C517,$R$2:$R$1387))</f>
        <v>29</v>
      </c>
      <c r="T517" cm="1">
        <f t="array" ref="T517">MIN(IF($C$2:$C$1387=C517,$R$2:$R$1387))</f>
        <v>11</v>
      </c>
      <c r="U517">
        <f t="shared" si="58"/>
        <v>18</v>
      </c>
      <c r="V517">
        <f t="shared" si="59"/>
        <v>0.66666666666666663</v>
      </c>
      <c r="W517" cm="1">
        <f t="array" ref="W517">_xlfn.IFS(N517=1,5,N517=2,4,N517=4,2,N517=5,1,N517=3,3)</f>
        <v>2</v>
      </c>
      <c r="X517">
        <f t="shared" si="60"/>
        <v>21</v>
      </c>
      <c r="Y517" cm="1">
        <f t="array" ref="Y517">MAX(IF($C$2:$C$1387=C517,$X$2:$X$1387))</f>
        <v>29</v>
      </c>
      <c r="Z517" cm="1">
        <f t="array" ref="Z517">MIN(IF($C$2:$C$1387=C517,$X$2:$X$1387))</f>
        <v>12</v>
      </c>
      <c r="AA517">
        <f t="shared" si="61"/>
        <v>17</v>
      </c>
      <c r="AB517">
        <f t="shared" si="62"/>
        <v>0.52941176470588236</v>
      </c>
    </row>
    <row r="518" spans="1:28" x14ac:dyDescent="0.25">
      <c r="A518" t="s">
        <v>200</v>
      </c>
      <c r="B518" t="s">
        <v>201</v>
      </c>
      <c r="C518">
        <v>2010</v>
      </c>
      <c r="D518">
        <v>0.43951849686290873</v>
      </c>
      <c r="E518">
        <v>0.503984023075008</v>
      </c>
      <c r="F518">
        <v>7.1599999999999997E-2</v>
      </c>
      <c r="G518">
        <v>2.1972245773362196</v>
      </c>
      <c r="H518">
        <v>0.44444444444444442</v>
      </c>
      <c r="I518">
        <v>1</v>
      </c>
      <c r="J518">
        <v>1</v>
      </c>
      <c r="K518">
        <v>4</v>
      </c>
      <c r="L518">
        <v>2</v>
      </c>
      <c r="M518">
        <v>3</v>
      </c>
      <c r="N518">
        <v>4</v>
      </c>
      <c r="O518">
        <v>2</v>
      </c>
      <c r="P518">
        <v>3</v>
      </c>
      <c r="Q518">
        <f t="shared" si="56"/>
        <v>1</v>
      </c>
      <c r="R518">
        <f t="shared" si="57"/>
        <v>19</v>
      </c>
      <c r="S518">
        <f t="array" ref="S518">MAX(IF($C$2:$C$1387=C518,$R$2:$R$1387))</f>
        <v>29</v>
      </c>
      <c r="T518" cm="1">
        <f t="array" ref="T518">MIN(IF($C$2:$C$1387=C518,$R$2:$R$1387))</f>
        <v>9</v>
      </c>
      <c r="U518">
        <f t="shared" si="58"/>
        <v>20</v>
      </c>
      <c r="V518">
        <f t="shared" si="59"/>
        <v>0.5</v>
      </c>
      <c r="W518" cm="1">
        <f t="array" ref="W518">_xlfn.IFS(N518=1,5,N518=2,4,N518=4,2,N518=5,1,N518=3,3)</f>
        <v>2</v>
      </c>
      <c r="X518">
        <f t="shared" si="60"/>
        <v>17</v>
      </c>
      <c r="Y518" cm="1">
        <f t="array" ref="Y518">MAX(IF($C$2:$C$1387=C518,$X$2:$X$1387))</f>
        <v>29</v>
      </c>
      <c r="Z518" cm="1">
        <f t="array" ref="Z518">MIN(IF($C$2:$C$1387=C518,$X$2:$X$1387))</f>
        <v>12</v>
      </c>
      <c r="AA518">
        <f t="shared" si="61"/>
        <v>17</v>
      </c>
      <c r="AB518">
        <f t="shared" si="62"/>
        <v>0.29411764705882354</v>
      </c>
    </row>
    <row r="519" spans="1:28" x14ac:dyDescent="0.25">
      <c r="A519" t="s">
        <v>200</v>
      </c>
      <c r="B519" t="s">
        <v>201</v>
      </c>
      <c r="C519">
        <v>2011</v>
      </c>
      <c r="D519">
        <v>0.7039796656974574</v>
      </c>
      <c r="E519">
        <v>0.65232998083068949</v>
      </c>
      <c r="F519">
        <v>6.6146393266588263E-2</v>
      </c>
      <c r="G519">
        <v>2.1972245773362196</v>
      </c>
      <c r="H519">
        <v>0.22222222222222221</v>
      </c>
      <c r="I519">
        <v>0.66666666666666663</v>
      </c>
      <c r="J519">
        <v>1</v>
      </c>
      <c r="K519">
        <v>5</v>
      </c>
      <c r="L519">
        <v>3</v>
      </c>
      <c r="M519">
        <v>3</v>
      </c>
      <c r="N519">
        <v>4</v>
      </c>
      <c r="O519">
        <v>1</v>
      </c>
      <c r="P519">
        <v>1</v>
      </c>
      <c r="Q519">
        <f t="shared" si="56"/>
        <v>1</v>
      </c>
      <c r="R519">
        <f t="shared" si="57"/>
        <v>18</v>
      </c>
      <c r="S519">
        <f t="array" ref="S519">MAX(IF($C$2:$C$1387=C519,$R$2:$R$1387))</f>
        <v>28</v>
      </c>
      <c r="T519" cm="1">
        <f t="array" ref="T519">MIN(IF($C$2:$C$1387=C519,$R$2:$R$1387))</f>
        <v>10</v>
      </c>
      <c r="U519">
        <f t="shared" si="58"/>
        <v>18</v>
      </c>
      <c r="V519">
        <f t="shared" si="59"/>
        <v>0.44444444444444442</v>
      </c>
      <c r="W519" cm="1">
        <f t="array" ref="W519">_xlfn.IFS(N519=1,5,N519=2,4,N519=4,2,N519=5,1,N519=3,3)</f>
        <v>2</v>
      </c>
      <c r="X519">
        <f t="shared" si="60"/>
        <v>16</v>
      </c>
      <c r="Y519" cm="1">
        <f t="array" ref="Y519">MAX(IF($C$2:$C$1387=C519,$X$2:$X$1387))</f>
        <v>29</v>
      </c>
      <c r="Z519" cm="1">
        <f t="array" ref="Z519">MIN(IF($C$2:$C$1387=C519,$X$2:$X$1387))</f>
        <v>12</v>
      </c>
      <c r="AA519">
        <f t="shared" si="61"/>
        <v>17</v>
      </c>
      <c r="AB519">
        <f t="shared" si="62"/>
        <v>0.23529411764705882</v>
      </c>
    </row>
    <row r="520" spans="1:28" x14ac:dyDescent="0.25">
      <c r="A520" t="s">
        <v>200</v>
      </c>
      <c r="B520" t="s">
        <v>201</v>
      </c>
      <c r="C520">
        <v>2012</v>
      </c>
      <c r="D520">
        <v>0</v>
      </c>
      <c r="E520">
        <v>0.6740623934876393</v>
      </c>
      <c r="F520">
        <v>6.648191606399062E-2</v>
      </c>
      <c r="G520">
        <v>2.1972245773362196</v>
      </c>
      <c r="H520">
        <v>0.22222222222222221</v>
      </c>
      <c r="I520">
        <v>0.66666666666666663</v>
      </c>
      <c r="J520">
        <v>1</v>
      </c>
      <c r="K520">
        <v>1</v>
      </c>
      <c r="L520">
        <v>3</v>
      </c>
      <c r="M520">
        <v>3</v>
      </c>
      <c r="N520">
        <v>4</v>
      </c>
      <c r="O520">
        <v>1</v>
      </c>
      <c r="P520">
        <v>1</v>
      </c>
      <c r="Q520">
        <f t="shared" si="56"/>
        <v>1</v>
      </c>
      <c r="R520">
        <f t="shared" si="57"/>
        <v>14</v>
      </c>
      <c r="S520">
        <f t="array" ref="S520">MAX(IF($C$2:$C$1387=C520,$R$2:$R$1387))</f>
        <v>29</v>
      </c>
      <c r="T520" cm="1">
        <f t="array" ref="T520">MIN(IF($C$2:$C$1387=C520,$R$2:$R$1387))</f>
        <v>11</v>
      </c>
      <c r="U520">
        <f t="shared" si="58"/>
        <v>18</v>
      </c>
      <c r="V520">
        <f t="shared" si="59"/>
        <v>0.16666666666666666</v>
      </c>
      <c r="W520" cm="1">
        <f t="array" ref="W520">_xlfn.IFS(N520=1,5,N520=2,4,N520=4,2,N520=5,1,N520=3,3)</f>
        <v>2</v>
      </c>
      <c r="X520">
        <f t="shared" si="60"/>
        <v>12</v>
      </c>
      <c r="Y520" cm="1">
        <f t="array" ref="Y520">MAX(IF($C$2:$C$1387=C520,$X$2:$X$1387))</f>
        <v>30</v>
      </c>
      <c r="Z520" cm="1">
        <f t="array" ref="Z520">MIN(IF($C$2:$C$1387=C520,$X$2:$X$1387))</f>
        <v>12</v>
      </c>
      <c r="AA520">
        <f t="shared" si="61"/>
        <v>18</v>
      </c>
      <c r="AB520">
        <f t="shared" si="62"/>
        <v>0</v>
      </c>
    </row>
    <row r="521" spans="1:28" x14ac:dyDescent="0.25">
      <c r="A521" t="s">
        <v>200</v>
      </c>
      <c r="B521" t="s">
        <v>201</v>
      </c>
      <c r="C521">
        <v>2013</v>
      </c>
      <c r="D521">
        <v>0.67487832093407674</v>
      </c>
      <c r="E521">
        <v>0.74858933150743212</v>
      </c>
      <c r="F521">
        <v>3.8670419596804076E-2</v>
      </c>
      <c r="G521">
        <v>2.1972245773362196</v>
      </c>
      <c r="H521">
        <v>0.22222222222222221</v>
      </c>
      <c r="I521">
        <v>0.66666666666666663</v>
      </c>
      <c r="J521">
        <v>1</v>
      </c>
      <c r="K521">
        <v>5</v>
      </c>
      <c r="L521">
        <v>4</v>
      </c>
      <c r="M521">
        <v>3</v>
      </c>
      <c r="N521">
        <v>4</v>
      </c>
      <c r="O521">
        <v>1</v>
      </c>
      <c r="P521">
        <v>1</v>
      </c>
      <c r="Q521">
        <f t="shared" si="56"/>
        <v>1</v>
      </c>
      <c r="R521">
        <f t="shared" si="57"/>
        <v>19</v>
      </c>
      <c r="S521">
        <f t="array" ref="S521">MAX(IF($C$2:$C$1387=C521,$R$2:$R$1387))</f>
        <v>29</v>
      </c>
      <c r="T521" cm="1">
        <f t="array" ref="T521">MIN(IF($C$2:$C$1387=C521,$R$2:$R$1387))</f>
        <v>10</v>
      </c>
      <c r="U521">
        <f t="shared" si="58"/>
        <v>19</v>
      </c>
      <c r="V521">
        <f t="shared" si="59"/>
        <v>0.47368421052631576</v>
      </c>
      <c r="W521" cm="1">
        <f t="array" ref="W521">_xlfn.IFS(N521=1,5,N521=2,4,N521=4,2,N521=5,1,N521=3,3)</f>
        <v>2</v>
      </c>
      <c r="X521">
        <f t="shared" si="60"/>
        <v>17</v>
      </c>
      <c r="Y521" cm="1">
        <f t="array" ref="Y521">MAX(IF($C$2:$C$1387=C521,$X$2:$X$1387))</f>
        <v>32</v>
      </c>
      <c r="Z521" cm="1">
        <f t="array" ref="Z521">MIN(IF($C$2:$C$1387=C521,$X$2:$X$1387))</f>
        <v>10</v>
      </c>
      <c r="AA521">
        <f t="shared" si="61"/>
        <v>22</v>
      </c>
      <c r="AB521">
        <f t="shared" si="62"/>
        <v>0.31818181818181818</v>
      </c>
    </row>
    <row r="522" spans="1:28" x14ac:dyDescent="0.25">
      <c r="A522" t="s">
        <v>200</v>
      </c>
      <c r="B522" t="s">
        <v>201</v>
      </c>
      <c r="C522">
        <v>2014</v>
      </c>
      <c r="D522">
        <v>2.4548975748139059E-4</v>
      </c>
      <c r="E522">
        <v>0.91666869326994538</v>
      </c>
      <c r="F522">
        <v>6.0007580863740834E-2</v>
      </c>
      <c r="G522">
        <v>2.1972245773362196</v>
      </c>
      <c r="H522">
        <v>0.22222222222222221</v>
      </c>
      <c r="I522">
        <v>1</v>
      </c>
      <c r="J522">
        <v>1</v>
      </c>
      <c r="K522">
        <v>1</v>
      </c>
      <c r="L522">
        <v>5</v>
      </c>
      <c r="M522">
        <v>3</v>
      </c>
      <c r="N522">
        <v>4</v>
      </c>
      <c r="O522">
        <v>1</v>
      </c>
      <c r="P522">
        <v>3</v>
      </c>
      <c r="Q522">
        <f t="shared" si="56"/>
        <v>1</v>
      </c>
      <c r="R522">
        <f t="shared" si="57"/>
        <v>18</v>
      </c>
      <c r="S522">
        <f t="array" ref="S522">MAX(IF($C$2:$C$1387=C522,$R$2:$R$1387))</f>
        <v>29</v>
      </c>
      <c r="T522" cm="1">
        <f t="array" ref="T522">MIN(IF($C$2:$C$1387=C522,$R$2:$R$1387))</f>
        <v>11</v>
      </c>
      <c r="U522">
        <f t="shared" si="58"/>
        <v>18</v>
      </c>
      <c r="V522">
        <f t="shared" si="59"/>
        <v>0.3888888888888889</v>
      </c>
      <c r="W522" cm="1">
        <f t="array" ref="W522">_xlfn.IFS(N522=1,5,N522=2,4,N522=4,2,N522=5,1,N522=3,3)</f>
        <v>2</v>
      </c>
      <c r="X522">
        <f t="shared" si="60"/>
        <v>16</v>
      </c>
      <c r="Y522" cm="1">
        <f t="array" ref="Y522">MAX(IF($C$2:$C$1387=C522,$X$2:$X$1387))</f>
        <v>30</v>
      </c>
      <c r="Z522" cm="1">
        <f t="array" ref="Z522">MIN(IF($C$2:$C$1387=C522,$X$2:$X$1387))</f>
        <v>14</v>
      </c>
      <c r="AA522">
        <f t="shared" si="61"/>
        <v>16</v>
      </c>
      <c r="AB522">
        <f t="shared" si="62"/>
        <v>0.125</v>
      </c>
    </row>
    <row r="523" spans="1:28" x14ac:dyDescent="0.25">
      <c r="A523" t="s">
        <v>200</v>
      </c>
      <c r="B523" t="s">
        <v>201</v>
      </c>
      <c r="C523">
        <v>2015</v>
      </c>
      <c r="D523">
        <v>1.4947744463733356E-3</v>
      </c>
      <c r="E523">
        <v>0.85138691123526189</v>
      </c>
      <c r="F523">
        <v>3.9179981590631151E-2</v>
      </c>
      <c r="G523">
        <v>1.9459101490553132</v>
      </c>
      <c r="H523">
        <v>0.5714285714285714</v>
      </c>
      <c r="I523">
        <v>1</v>
      </c>
      <c r="J523">
        <v>0</v>
      </c>
      <c r="K523">
        <v>2</v>
      </c>
      <c r="L523">
        <v>5</v>
      </c>
      <c r="M523">
        <v>3</v>
      </c>
      <c r="N523">
        <v>1</v>
      </c>
      <c r="O523">
        <v>1</v>
      </c>
      <c r="P523">
        <v>2</v>
      </c>
      <c r="Q523">
        <f t="shared" si="56"/>
        <v>5</v>
      </c>
      <c r="R523">
        <f t="shared" si="57"/>
        <v>19</v>
      </c>
      <c r="S523">
        <f t="array" ref="S523">MAX(IF($C$2:$C$1387=C523,$R$2:$R$1387))</f>
        <v>29</v>
      </c>
      <c r="T523" cm="1">
        <f t="array" ref="T523">MIN(IF($C$2:$C$1387=C523,$R$2:$R$1387))</f>
        <v>11</v>
      </c>
      <c r="U523">
        <f t="shared" si="58"/>
        <v>18</v>
      </c>
      <c r="V523">
        <f t="shared" si="59"/>
        <v>0.44444444444444442</v>
      </c>
      <c r="W523" cm="1">
        <f t="array" ref="W523">_xlfn.IFS(N523=1,5,N523=2,4,N523=4,2,N523=5,1,N523=3,3)</f>
        <v>5</v>
      </c>
      <c r="X523">
        <f t="shared" si="60"/>
        <v>23</v>
      </c>
      <c r="Y523" cm="1">
        <f t="array" ref="Y523">MAX(IF($C$2:$C$1387=C523,$X$2:$X$1387))</f>
        <v>29</v>
      </c>
      <c r="Z523" cm="1">
        <f t="array" ref="Z523">MIN(IF($C$2:$C$1387=C523,$X$2:$X$1387))</f>
        <v>12</v>
      </c>
      <c r="AA523">
        <f t="shared" si="61"/>
        <v>17</v>
      </c>
      <c r="AB523">
        <f t="shared" si="62"/>
        <v>0.6470588235294118</v>
      </c>
    </row>
    <row r="524" spans="1:28" x14ac:dyDescent="0.25">
      <c r="A524" t="s">
        <v>202</v>
      </c>
      <c r="B524" t="s">
        <v>203</v>
      </c>
      <c r="C524">
        <v>2010</v>
      </c>
      <c r="D524">
        <v>0.49962500000923876</v>
      </c>
      <c r="E524">
        <v>0.82496794911078697</v>
      </c>
      <c r="F524">
        <v>4.7310000000000008E-3</v>
      </c>
      <c r="G524">
        <v>2.4849066497880004</v>
      </c>
      <c r="H524">
        <v>0.33333333333333331</v>
      </c>
      <c r="I524">
        <v>0.66666666666666663</v>
      </c>
      <c r="J524">
        <v>0</v>
      </c>
      <c r="K524">
        <v>4</v>
      </c>
      <c r="L524">
        <v>5</v>
      </c>
      <c r="M524">
        <v>2</v>
      </c>
      <c r="N524">
        <v>5</v>
      </c>
      <c r="O524">
        <v>1</v>
      </c>
      <c r="P524">
        <v>1</v>
      </c>
      <c r="Q524">
        <f t="shared" si="56"/>
        <v>5</v>
      </c>
      <c r="R524">
        <f t="shared" si="57"/>
        <v>23</v>
      </c>
      <c r="S524">
        <f t="array" ref="S524">MAX(IF($C$2:$C$1387=C524,$R$2:$R$1387))</f>
        <v>29</v>
      </c>
      <c r="T524" cm="1">
        <f t="array" ref="T524">MIN(IF($C$2:$C$1387=C524,$R$2:$R$1387))</f>
        <v>9</v>
      </c>
      <c r="U524">
        <f t="shared" si="58"/>
        <v>20</v>
      </c>
      <c r="V524">
        <f t="shared" si="59"/>
        <v>0.7</v>
      </c>
      <c r="W524" cm="1">
        <f t="array" ref="W524">_xlfn.IFS(N524=1,5,N524=2,4,N524=4,2,N524=5,1,N524=3,3)</f>
        <v>1</v>
      </c>
      <c r="X524">
        <f t="shared" si="60"/>
        <v>19</v>
      </c>
      <c r="Y524" cm="1">
        <f t="array" ref="Y524">MAX(IF($C$2:$C$1387=C524,$X$2:$X$1387))</f>
        <v>29</v>
      </c>
      <c r="Z524" cm="1">
        <f t="array" ref="Z524">MIN(IF($C$2:$C$1387=C524,$X$2:$X$1387))</f>
        <v>12</v>
      </c>
      <c r="AA524">
        <f t="shared" si="61"/>
        <v>17</v>
      </c>
      <c r="AB524">
        <f t="shared" si="62"/>
        <v>0.41176470588235292</v>
      </c>
    </row>
    <row r="525" spans="1:28" x14ac:dyDescent="0.25">
      <c r="A525" t="s">
        <v>202</v>
      </c>
      <c r="B525" t="s">
        <v>203</v>
      </c>
      <c r="C525">
        <v>2011</v>
      </c>
      <c r="D525">
        <v>0.49962311095858508</v>
      </c>
      <c r="E525">
        <v>0.67126263957151089</v>
      </c>
      <c r="F525">
        <v>4.7310299182487837E-3</v>
      </c>
      <c r="G525">
        <v>1.9459101490553132</v>
      </c>
      <c r="H525">
        <v>0.7142857142857143</v>
      </c>
      <c r="I525">
        <v>0.66666666666666663</v>
      </c>
      <c r="J525">
        <v>1</v>
      </c>
      <c r="K525">
        <v>4</v>
      </c>
      <c r="L525">
        <v>3</v>
      </c>
      <c r="M525">
        <v>1</v>
      </c>
      <c r="N525">
        <v>1</v>
      </c>
      <c r="O525">
        <v>4</v>
      </c>
      <c r="P525">
        <v>1</v>
      </c>
      <c r="Q525">
        <f t="shared" si="56"/>
        <v>1</v>
      </c>
      <c r="R525">
        <f t="shared" si="57"/>
        <v>15</v>
      </c>
      <c r="S525">
        <f t="array" ref="S525">MAX(IF($C$2:$C$1387=C525,$R$2:$R$1387))</f>
        <v>28</v>
      </c>
      <c r="T525" cm="1">
        <f t="array" ref="T525">MIN(IF($C$2:$C$1387=C525,$R$2:$R$1387))</f>
        <v>10</v>
      </c>
      <c r="U525">
        <f t="shared" si="58"/>
        <v>18</v>
      </c>
      <c r="V525">
        <f t="shared" si="59"/>
        <v>0.27777777777777779</v>
      </c>
      <c r="W525" cm="1">
        <f t="array" ref="W525">_xlfn.IFS(N525=1,5,N525=2,4,N525=4,2,N525=5,1,N525=3,3)</f>
        <v>5</v>
      </c>
      <c r="X525">
        <f t="shared" si="60"/>
        <v>19</v>
      </c>
      <c r="Y525" cm="1">
        <f t="array" ref="Y525">MAX(IF($C$2:$C$1387=C525,$X$2:$X$1387))</f>
        <v>29</v>
      </c>
      <c r="Z525" cm="1">
        <f t="array" ref="Z525">MIN(IF($C$2:$C$1387=C525,$X$2:$X$1387))</f>
        <v>12</v>
      </c>
      <c r="AA525">
        <f t="shared" si="61"/>
        <v>17</v>
      </c>
      <c r="AB525">
        <f t="shared" si="62"/>
        <v>0.41176470588235292</v>
      </c>
    </row>
    <row r="526" spans="1:28" x14ac:dyDescent="0.25">
      <c r="A526" t="s">
        <v>202</v>
      </c>
      <c r="B526" t="s">
        <v>203</v>
      </c>
      <c r="C526">
        <v>2012</v>
      </c>
      <c r="D526">
        <v>0.499653752344066</v>
      </c>
      <c r="E526">
        <v>0.67126263957151089</v>
      </c>
      <c r="F526">
        <v>4.7157092255083405E-3</v>
      </c>
      <c r="G526">
        <v>1.9459101490553132</v>
      </c>
      <c r="H526">
        <v>0.7142857142857143</v>
      </c>
      <c r="I526">
        <v>0.66666666666666663</v>
      </c>
      <c r="J526">
        <v>1</v>
      </c>
      <c r="K526">
        <v>4</v>
      </c>
      <c r="L526">
        <v>3</v>
      </c>
      <c r="M526">
        <v>1</v>
      </c>
      <c r="N526">
        <v>1</v>
      </c>
      <c r="O526">
        <v>4</v>
      </c>
      <c r="P526">
        <v>1</v>
      </c>
      <c r="Q526">
        <f t="shared" si="56"/>
        <v>1</v>
      </c>
      <c r="R526">
        <f t="shared" si="57"/>
        <v>15</v>
      </c>
      <c r="S526">
        <f t="array" ref="S526">MAX(IF($C$2:$C$1387=C526,$R$2:$R$1387))</f>
        <v>29</v>
      </c>
      <c r="T526" cm="1">
        <f t="array" ref="T526">MIN(IF($C$2:$C$1387=C526,$R$2:$R$1387))</f>
        <v>11</v>
      </c>
      <c r="U526">
        <f t="shared" si="58"/>
        <v>18</v>
      </c>
      <c r="V526">
        <f t="shared" si="59"/>
        <v>0.22222222222222221</v>
      </c>
      <c r="W526" cm="1">
        <f t="array" ref="W526">_xlfn.IFS(N526=1,5,N526=2,4,N526=4,2,N526=5,1,N526=3,3)</f>
        <v>5</v>
      </c>
      <c r="X526">
        <f t="shared" si="60"/>
        <v>19</v>
      </c>
      <c r="Y526" cm="1">
        <f t="array" ref="Y526">MAX(IF($C$2:$C$1387=C526,$X$2:$X$1387))</f>
        <v>30</v>
      </c>
      <c r="Z526" cm="1">
        <f t="array" ref="Z526">MIN(IF($C$2:$C$1387=C526,$X$2:$X$1387))</f>
        <v>12</v>
      </c>
      <c r="AA526">
        <f t="shared" si="61"/>
        <v>18</v>
      </c>
      <c r="AB526">
        <f t="shared" si="62"/>
        <v>0.3888888888888889</v>
      </c>
    </row>
    <row r="527" spans="1:28" x14ac:dyDescent="0.25">
      <c r="A527" t="s">
        <v>202</v>
      </c>
      <c r="B527" t="s">
        <v>203</v>
      </c>
      <c r="C527">
        <v>2013</v>
      </c>
      <c r="D527">
        <v>0.499653752344066</v>
      </c>
      <c r="E527">
        <v>0.83269371483901011</v>
      </c>
      <c r="F527">
        <v>4.7157092255083405E-3</v>
      </c>
      <c r="G527">
        <v>1.791759469228055</v>
      </c>
      <c r="H527">
        <v>0.5</v>
      </c>
      <c r="I527">
        <v>0.66666666666666663</v>
      </c>
      <c r="J527">
        <v>1</v>
      </c>
      <c r="K527">
        <v>4</v>
      </c>
      <c r="L527">
        <v>4</v>
      </c>
      <c r="M527">
        <v>2</v>
      </c>
      <c r="N527">
        <v>1</v>
      </c>
      <c r="O527">
        <v>2</v>
      </c>
      <c r="P527">
        <v>1</v>
      </c>
      <c r="Q527">
        <f t="shared" si="56"/>
        <v>1</v>
      </c>
      <c r="R527">
        <f t="shared" si="57"/>
        <v>15</v>
      </c>
      <c r="S527">
        <f t="array" ref="S527">MAX(IF($C$2:$C$1387=C527,$R$2:$R$1387))</f>
        <v>29</v>
      </c>
      <c r="T527" cm="1">
        <f t="array" ref="T527">MIN(IF($C$2:$C$1387=C527,$R$2:$R$1387))</f>
        <v>10</v>
      </c>
      <c r="U527">
        <f t="shared" si="58"/>
        <v>19</v>
      </c>
      <c r="V527">
        <f t="shared" si="59"/>
        <v>0.26315789473684209</v>
      </c>
      <c r="W527" cm="1">
        <f t="array" ref="W527">_xlfn.IFS(N527=1,5,N527=2,4,N527=4,2,N527=5,1,N527=3,3)</f>
        <v>5</v>
      </c>
      <c r="X527">
        <f t="shared" si="60"/>
        <v>19</v>
      </c>
      <c r="Y527" cm="1">
        <f t="array" ref="Y527">MAX(IF($C$2:$C$1387=C527,$X$2:$X$1387))</f>
        <v>32</v>
      </c>
      <c r="Z527" cm="1">
        <f t="array" ref="Z527">MIN(IF($C$2:$C$1387=C527,$X$2:$X$1387))</f>
        <v>10</v>
      </c>
      <c r="AA527">
        <f t="shared" si="61"/>
        <v>22</v>
      </c>
      <c r="AB527">
        <f t="shared" si="62"/>
        <v>0.40909090909090912</v>
      </c>
    </row>
    <row r="528" spans="1:28" x14ac:dyDescent="0.25">
      <c r="A528" t="s">
        <v>202</v>
      </c>
      <c r="B528" t="s">
        <v>203</v>
      </c>
      <c r="C528">
        <v>2014</v>
      </c>
      <c r="D528">
        <v>0.499653752344066</v>
      </c>
      <c r="E528">
        <v>0.83269371483901011</v>
      </c>
      <c r="F528">
        <v>0</v>
      </c>
      <c r="G528">
        <v>1.9459101490553132</v>
      </c>
      <c r="H528">
        <v>0.7142857142857143</v>
      </c>
      <c r="I528">
        <v>0.66666666666666663</v>
      </c>
      <c r="J528">
        <v>1</v>
      </c>
      <c r="K528">
        <v>4</v>
      </c>
      <c r="L528">
        <v>4</v>
      </c>
      <c r="M528">
        <v>1</v>
      </c>
      <c r="N528">
        <v>1</v>
      </c>
      <c r="O528">
        <v>4</v>
      </c>
      <c r="P528">
        <v>1</v>
      </c>
      <c r="Q528">
        <f t="shared" si="56"/>
        <v>1</v>
      </c>
      <c r="R528">
        <f t="shared" si="57"/>
        <v>16</v>
      </c>
      <c r="S528">
        <f t="array" ref="S528">MAX(IF($C$2:$C$1387=C528,$R$2:$R$1387))</f>
        <v>29</v>
      </c>
      <c r="T528" cm="1">
        <f t="array" ref="T528">MIN(IF($C$2:$C$1387=C528,$R$2:$R$1387))</f>
        <v>11</v>
      </c>
      <c r="U528">
        <f t="shared" si="58"/>
        <v>18</v>
      </c>
      <c r="V528">
        <f t="shared" si="59"/>
        <v>0.27777777777777779</v>
      </c>
      <c r="W528" cm="1">
        <f t="array" ref="W528">_xlfn.IFS(N528=1,5,N528=2,4,N528=4,2,N528=5,1,N528=3,3)</f>
        <v>5</v>
      </c>
      <c r="X528">
        <f t="shared" si="60"/>
        <v>20</v>
      </c>
      <c r="Y528" cm="1">
        <f t="array" ref="Y528">MAX(IF($C$2:$C$1387=C528,$X$2:$X$1387))</f>
        <v>30</v>
      </c>
      <c r="Z528" cm="1">
        <f t="array" ref="Z528">MIN(IF($C$2:$C$1387=C528,$X$2:$X$1387))</f>
        <v>14</v>
      </c>
      <c r="AA528">
        <f t="shared" si="61"/>
        <v>16</v>
      </c>
      <c r="AB528">
        <f t="shared" si="62"/>
        <v>0.375</v>
      </c>
    </row>
    <row r="529" spans="1:28" x14ac:dyDescent="0.25">
      <c r="A529" t="s">
        <v>202</v>
      </c>
      <c r="B529" t="s">
        <v>203</v>
      </c>
      <c r="C529">
        <v>2015</v>
      </c>
      <c r="D529">
        <v>0.50113985953988893</v>
      </c>
      <c r="E529">
        <v>0.83269371483901011</v>
      </c>
      <c r="F529">
        <v>3.9803159739670788E-3</v>
      </c>
      <c r="G529">
        <v>1.9459101490553132</v>
      </c>
      <c r="H529">
        <v>0.7142857142857143</v>
      </c>
      <c r="I529">
        <v>1</v>
      </c>
      <c r="J529">
        <v>0</v>
      </c>
      <c r="K529">
        <v>4</v>
      </c>
      <c r="L529">
        <v>4</v>
      </c>
      <c r="M529">
        <v>1</v>
      </c>
      <c r="N529">
        <v>1</v>
      </c>
      <c r="O529">
        <v>3</v>
      </c>
      <c r="P529">
        <v>2</v>
      </c>
      <c r="Q529">
        <f t="shared" si="56"/>
        <v>5</v>
      </c>
      <c r="R529">
        <f t="shared" si="57"/>
        <v>20</v>
      </c>
      <c r="S529">
        <f t="array" ref="S529">MAX(IF($C$2:$C$1387=C529,$R$2:$R$1387))</f>
        <v>29</v>
      </c>
      <c r="T529" cm="1">
        <f t="array" ref="T529">MIN(IF($C$2:$C$1387=C529,$R$2:$R$1387))</f>
        <v>11</v>
      </c>
      <c r="U529">
        <f t="shared" si="58"/>
        <v>18</v>
      </c>
      <c r="V529">
        <f t="shared" si="59"/>
        <v>0.5</v>
      </c>
      <c r="W529" cm="1">
        <f t="array" ref="W529">_xlfn.IFS(N529=1,5,N529=2,4,N529=4,2,N529=5,1,N529=3,3)</f>
        <v>5</v>
      </c>
      <c r="X529">
        <f t="shared" si="60"/>
        <v>24</v>
      </c>
      <c r="Y529" cm="1">
        <f t="array" ref="Y529">MAX(IF($C$2:$C$1387=C529,$X$2:$X$1387))</f>
        <v>29</v>
      </c>
      <c r="Z529" cm="1">
        <f t="array" ref="Z529">MIN(IF($C$2:$C$1387=C529,$X$2:$X$1387))</f>
        <v>12</v>
      </c>
      <c r="AA529">
        <f t="shared" si="61"/>
        <v>17</v>
      </c>
      <c r="AB529">
        <f t="shared" si="62"/>
        <v>0.70588235294117652</v>
      </c>
    </row>
    <row r="530" spans="1:28" x14ac:dyDescent="0.25">
      <c r="A530" t="s">
        <v>204</v>
      </c>
      <c r="B530" t="s">
        <v>205</v>
      </c>
      <c r="C530">
        <v>2010</v>
      </c>
      <c r="D530">
        <v>0.51142115942028987</v>
      </c>
      <c r="E530">
        <v>0.47947636991028297</v>
      </c>
      <c r="F530">
        <v>1.5233954451345756E-3</v>
      </c>
      <c r="G530">
        <v>1.9459101490553132</v>
      </c>
      <c r="H530">
        <v>0</v>
      </c>
      <c r="I530">
        <v>0.66666666666666663</v>
      </c>
      <c r="J530">
        <v>0</v>
      </c>
      <c r="K530">
        <v>4</v>
      </c>
      <c r="L530">
        <v>2</v>
      </c>
      <c r="M530">
        <v>2</v>
      </c>
      <c r="N530">
        <v>1</v>
      </c>
      <c r="O530">
        <v>1</v>
      </c>
      <c r="P530">
        <v>1</v>
      </c>
      <c r="Q530">
        <f t="shared" si="56"/>
        <v>5</v>
      </c>
      <c r="R530">
        <f t="shared" si="57"/>
        <v>16</v>
      </c>
      <c r="S530">
        <f t="array" ref="S530">MAX(IF($C$2:$C$1387=C530,$R$2:$R$1387))</f>
        <v>29</v>
      </c>
      <c r="T530" cm="1">
        <f t="array" ref="T530">MIN(IF($C$2:$C$1387=C530,$R$2:$R$1387))</f>
        <v>9</v>
      </c>
      <c r="U530">
        <f t="shared" si="58"/>
        <v>20</v>
      </c>
      <c r="V530">
        <f t="shared" si="59"/>
        <v>0.35</v>
      </c>
      <c r="W530" cm="1">
        <f t="array" ref="W530">_xlfn.IFS(N530=1,5,N530=2,4,N530=4,2,N530=5,1,N530=3,3)</f>
        <v>5</v>
      </c>
      <c r="X530">
        <f t="shared" si="60"/>
        <v>20</v>
      </c>
      <c r="Y530" cm="1">
        <f t="array" ref="Y530">MAX(IF($C$2:$C$1387=C530,$X$2:$X$1387))</f>
        <v>29</v>
      </c>
      <c r="Z530" cm="1">
        <f t="array" ref="Z530">MIN(IF($C$2:$C$1387=C530,$X$2:$X$1387))</f>
        <v>12</v>
      </c>
      <c r="AA530">
        <f t="shared" si="61"/>
        <v>17</v>
      </c>
      <c r="AB530">
        <f t="shared" si="62"/>
        <v>0.47058823529411764</v>
      </c>
    </row>
    <row r="531" spans="1:28" x14ac:dyDescent="0.25">
      <c r="A531" t="s">
        <v>204</v>
      </c>
      <c r="B531" t="s">
        <v>205</v>
      </c>
      <c r="C531">
        <v>2011</v>
      </c>
      <c r="D531">
        <v>0.51142115942028987</v>
      </c>
      <c r="E531">
        <v>0.47947636991028297</v>
      </c>
      <c r="F531">
        <v>7.5825272601794336E-2</v>
      </c>
      <c r="G531">
        <v>1.9459101490553132</v>
      </c>
      <c r="H531">
        <v>0.5714285714285714</v>
      </c>
      <c r="I531">
        <v>1</v>
      </c>
      <c r="J531">
        <v>0</v>
      </c>
      <c r="K531">
        <v>4</v>
      </c>
      <c r="L531">
        <v>2</v>
      </c>
      <c r="M531">
        <v>3</v>
      </c>
      <c r="N531">
        <v>1</v>
      </c>
      <c r="O531">
        <v>2</v>
      </c>
      <c r="P531">
        <v>3</v>
      </c>
      <c r="Q531">
        <f t="shared" si="56"/>
        <v>5</v>
      </c>
      <c r="R531">
        <f t="shared" si="57"/>
        <v>20</v>
      </c>
      <c r="S531">
        <f t="array" ref="S531">MAX(IF($C$2:$C$1387=C531,$R$2:$R$1387))</f>
        <v>28</v>
      </c>
      <c r="T531" cm="1">
        <f t="array" ref="T531">MIN(IF($C$2:$C$1387=C531,$R$2:$R$1387))</f>
        <v>10</v>
      </c>
      <c r="U531">
        <f t="shared" si="58"/>
        <v>18</v>
      </c>
      <c r="V531">
        <f t="shared" si="59"/>
        <v>0.55555555555555558</v>
      </c>
      <c r="W531" cm="1">
        <f t="array" ref="W531">_xlfn.IFS(N531=1,5,N531=2,4,N531=4,2,N531=5,1,N531=3,3)</f>
        <v>5</v>
      </c>
      <c r="X531">
        <f t="shared" si="60"/>
        <v>24</v>
      </c>
      <c r="Y531" cm="1">
        <f t="array" ref="Y531">MAX(IF($C$2:$C$1387=C531,$X$2:$X$1387))</f>
        <v>29</v>
      </c>
      <c r="Z531" cm="1">
        <f t="array" ref="Z531">MIN(IF($C$2:$C$1387=C531,$X$2:$X$1387))</f>
        <v>12</v>
      </c>
      <c r="AA531">
        <f t="shared" si="61"/>
        <v>17</v>
      </c>
      <c r="AB531">
        <f t="shared" si="62"/>
        <v>0.70588235294117652</v>
      </c>
    </row>
    <row r="532" spans="1:28" x14ac:dyDescent="0.25">
      <c r="A532" t="s">
        <v>204</v>
      </c>
      <c r="B532" t="s">
        <v>205</v>
      </c>
      <c r="C532">
        <v>2012</v>
      </c>
      <c r="D532">
        <v>0.64951027420890661</v>
      </c>
      <c r="E532">
        <v>0.49644871175634464</v>
      </c>
      <c r="F532">
        <v>4.4022466638146365E-4</v>
      </c>
      <c r="G532">
        <v>1.9459101490553132</v>
      </c>
      <c r="H532">
        <v>0.5714285714285714</v>
      </c>
      <c r="I532">
        <v>1</v>
      </c>
      <c r="J532">
        <v>0</v>
      </c>
      <c r="K532">
        <v>5</v>
      </c>
      <c r="L532">
        <v>2</v>
      </c>
      <c r="M532">
        <v>1</v>
      </c>
      <c r="N532">
        <v>1</v>
      </c>
      <c r="O532">
        <v>2</v>
      </c>
      <c r="P532">
        <v>3</v>
      </c>
      <c r="Q532">
        <f t="shared" si="56"/>
        <v>5</v>
      </c>
      <c r="R532">
        <f t="shared" si="57"/>
        <v>19</v>
      </c>
      <c r="S532">
        <f t="array" ref="S532">MAX(IF($C$2:$C$1387=C532,$R$2:$R$1387))</f>
        <v>29</v>
      </c>
      <c r="T532" cm="1">
        <f t="array" ref="T532">MIN(IF($C$2:$C$1387=C532,$R$2:$R$1387))</f>
        <v>11</v>
      </c>
      <c r="U532">
        <f t="shared" si="58"/>
        <v>18</v>
      </c>
      <c r="V532">
        <f t="shared" si="59"/>
        <v>0.44444444444444442</v>
      </c>
      <c r="W532" cm="1">
        <f t="array" ref="W532">_xlfn.IFS(N532=1,5,N532=2,4,N532=4,2,N532=5,1,N532=3,3)</f>
        <v>5</v>
      </c>
      <c r="X532">
        <f t="shared" si="60"/>
        <v>23</v>
      </c>
      <c r="Y532" cm="1">
        <f t="array" ref="Y532">MAX(IF($C$2:$C$1387=C532,$X$2:$X$1387))</f>
        <v>30</v>
      </c>
      <c r="Z532" cm="1">
        <f t="array" ref="Z532">MIN(IF($C$2:$C$1387=C532,$X$2:$X$1387))</f>
        <v>12</v>
      </c>
      <c r="AA532">
        <f t="shared" si="61"/>
        <v>18</v>
      </c>
      <c r="AB532">
        <f t="shared" si="62"/>
        <v>0.61111111111111116</v>
      </c>
    </row>
    <row r="533" spans="1:28" x14ac:dyDescent="0.25">
      <c r="A533" t="s">
        <v>204</v>
      </c>
      <c r="B533" t="s">
        <v>205</v>
      </c>
      <c r="C533">
        <v>2013</v>
      </c>
      <c r="D533">
        <v>0.64951027420890661</v>
      </c>
      <c r="E533">
        <v>0.49644871175634464</v>
      </c>
      <c r="F533">
        <v>4.4022466638146365E-4</v>
      </c>
      <c r="G533">
        <v>1.9459101490553132</v>
      </c>
      <c r="H533">
        <v>0.5714285714285714</v>
      </c>
      <c r="I533">
        <v>0.66666666666666663</v>
      </c>
      <c r="J533">
        <v>0</v>
      </c>
      <c r="K533">
        <v>5</v>
      </c>
      <c r="L533">
        <v>2</v>
      </c>
      <c r="M533">
        <v>1</v>
      </c>
      <c r="N533">
        <v>1</v>
      </c>
      <c r="O533">
        <v>2</v>
      </c>
      <c r="P533">
        <v>1</v>
      </c>
      <c r="Q533">
        <f t="shared" si="56"/>
        <v>5</v>
      </c>
      <c r="R533">
        <f t="shared" si="57"/>
        <v>17</v>
      </c>
      <c r="S533">
        <f t="array" ref="S533">MAX(IF($C$2:$C$1387=C533,$R$2:$R$1387))</f>
        <v>29</v>
      </c>
      <c r="T533" cm="1">
        <f t="array" ref="T533">MIN(IF($C$2:$C$1387=C533,$R$2:$R$1387))</f>
        <v>10</v>
      </c>
      <c r="U533">
        <f t="shared" si="58"/>
        <v>19</v>
      </c>
      <c r="V533">
        <f t="shared" si="59"/>
        <v>0.36842105263157893</v>
      </c>
      <c r="W533" cm="1">
        <f t="array" ref="W533">_xlfn.IFS(N533=1,5,N533=2,4,N533=4,2,N533=5,1,N533=3,3)</f>
        <v>5</v>
      </c>
      <c r="X533">
        <f t="shared" si="60"/>
        <v>21</v>
      </c>
      <c r="Y533" cm="1">
        <f t="array" ref="Y533">MAX(IF($C$2:$C$1387=C533,$X$2:$X$1387))</f>
        <v>32</v>
      </c>
      <c r="Z533" cm="1">
        <f t="array" ref="Z533">MIN(IF($C$2:$C$1387=C533,$X$2:$X$1387))</f>
        <v>10</v>
      </c>
      <c r="AA533">
        <f t="shared" si="61"/>
        <v>22</v>
      </c>
      <c r="AB533">
        <f t="shared" si="62"/>
        <v>0.5</v>
      </c>
    </row>
    <row r="534" spans="1:28" x14ac:dyDescent="0.25">
      <c r="A534" t="s">
        <v>204</v>
      </c>
      <c r="B534" t="s">
        <v>205</v>
      </c>
      <c r="C534">
        <v>2014</v>
      </c>
      <c r="D534">
        <v>0.57431662180497167</v>
      </c>
      <c r="E534">
        <v>0.47846538334281952</v>
      </c>
      <c r="F534">
        <v>6.3288413296205331E-3</v>
      </c>
      <c r="G534">
        <v>1.9459101490553132</v>
      </c>
      <c r="H534">
        <v>0.5714285714285714</v>
      </c>
      <c r="I534">
        <v>0.33333333333333331</v>
      </c>
      <c r="J534">
        <v>0</v>
      </c>
      <c r="K534">
        <v>5</v>
      </c>
      <c r="L534">
        <v>2</v>
      </c>
      <c r="M534">
        <v>2</v>
      </c>
      <c r="N534">
        <v>1</v>
      </c>
      <c r="O534">
        <v>2</v>
      </c>
      <c r="P534">
        <v>1</v>
      </c>
      <c r="Q534">
        <f t="shared" si="56"/>
        <v>5</v>
      </c>
      <c r="R534">
        <f t="shared" si="57"/>
        <v>18</v>
      </c>
      <c r="S534">
        <f t="array" ref="S534">MAX(IF($C$2:$C$1387=C534,$R$2:$R$1387))</f>
        <v>29</v>
      </c>
      <c r="T534" cm="1">
        <f t="array" ref="T534">MIN(IF($C$2:$C$1387=C534,$R$2:$R$1387))</f>
        <v>11</v>
      </c>
      <c r="U534">
        <f t="shared" si="58"/>
        <v>18</v>
      </c>
      <c r="V534">
        <f t="shared" si="59"/>
        <v>0.3888888888888889</v>
      </c>
      <c r="W534" cm="1">
        <f t="array" ref="W534">_xlfn.IFS(N534=1,5,N534=2,4,N534=4,2,N534=5,1,N534=3,3)</f>
        <v>5</v>
      </c>
      <c r="X534">
        <f t="shared" si="60"/>
        <v>22</v>
      </c>
      <c r="Y534" cm="1">
        <f t="array" ref="Y534">MAX(IF($C$2:$C$1387=C534,$X$2:$X$1387))</f>
        <v>30</v>
      </c>
      <c r="Z534" cm="1">
        <f t="array" ref="Z534">MIN(IF($C$2:$C$1387=C534,$X$2:$X$1387))</f>
        <v>14</v>
      </c>
      <c r="AA534">
        <f t="shared" si="61"/>
        <v>16</v>
      </c>
      <c r="AB534">
        <f t="shared" si="62"/>
        <v>0.5</v>
      </c>
    </row>
    <row r="535" spans="1:28" x14ac:dyDescent="0.25">
      <c r="A535" t="s">
        <v>204</v>
      </c>
      <c r="B535" t="s">
        <v>205</v>
      </c>
      <c r="C535">
        <v>2015</v>
      </c>
      <c r="D535">
        <v>0.26024000000000003</v>
      </c>
      <c r="E535">
        <v>0.67968399999999995</v>
      </c>
      <c r="F535">
        <v>6.9999999999999999E-4</v>
      </c>
      <c r="G535">
        <v>1.9459101490553132</v>
      </c>
      <c r="H535">
        <v>0.8571428571428571</v>
      </c>
      <c r="I535">
        <v>0.66666666666666663</v>
      </c>
      <c r="J535">
        <v>0</v>
      </c>
      <c r="K535">
        <v>3</v>
      </c>
      <c r="L535">
        <v>3</v>
      </c>
      <c r="M535">
        <v>1</v>
      </c>
      <c r="N535">
        <v>1</v>
      </c>
      <c r="O535">
        <v>4</v>
      </c>
      <c r="P535">
        <v>1</v>
      </c>
      <c r="Q535">
        <f t="shared" si="56"/>
        <v>5</v>
      </c>
      <c r="R535">
        <f t="shared" si="57"/>
        <v>18</v>
      </c>
      <c r="S535">
        <f t="array" ref="S535">MAX(IF($C$2:$C$1387=C535,$R$2:$R$1387))</f>
        <v>29</v>
      </c>
      <c r="T535" cm="1">
        <f t="array" ref="T535">MIN(IF($C$2:$C$1387=C535,$R$2:$R$1387))</f>
        <v>11</v>
      </c>
      <c r="U535">
        <f t="shared" si="58"/>
        <v>18</v>
      </c>
      <c r="V535">
        <f t="shared" si="59"/>
        <v>0.3888888888888889</v>
      </c>
      <c r="W535" cm="1">
        <f t="array" ref="W535">_xlfn.IFS(N535=1,5,N535=2,4,N535=4,2,N535=5,1,N535=3,3)</f>
        <v>5</v>
      </c>
      <c r="X535">
        <f t="shared" si="60"/>
        <v>22</v>
      </c>
      <c r="Y535" cm="1">
        <f t="array" ref="Y535">MAX(IF($C$2:$C$1387=C535,$X$2:$X$1387))</f>
        <v>29</v>
      </c>
      <c r="Z535" cm="1">
        <f t="array" ref="Z535">MIN(IF($C$2:$C$1387=C535,$X$2:$X$1387))</f>
        <v>12</v>
      </c>
      <c r="AA535">
        <f t="shared" si="61"/>
        <v>17</v>
      </c>
      <c r="AB535">
        <f t="shared" si="62"/>
        <v>0.58823529411764708</v>
      </c>
    </row>
    <row r="536" spans="1:28" x14ac:dyDescent="0.25">
      <c r="A536" t="s">
        <v>206</v>
      </c>
      <c r="B536" t="s">
        <v>207</v>
      </c>
      <c r="C536">
        <v>2010</v>
      </c>
      <c r="D536">
        <v>0.55830243334262653</v>
      </c>
      <c r="E536">
        <v>0.5201226725996464</v>
      </c>
      <c r="F536">
        <v>1.2212003801797227E-2</v>
      </c>
      <c r="G536">
        <v>2.5649493574615367</v>
      </c>
      <c r="H536">
        <v>0.38461538461538464</v>
      </c>
      <c r="I536">
        <v>0.66666666666666663</v>
      </c>
      <c r="J536">
        <v>0</v>
      </c>
      <c r="K536">
        <v>5</v>
      </c>
      <c r="L536">
        <v>2</v>
      </c>
      <c r="M536">
        <v>2</v>
      </c>
      <c r="N536">
        <v>5</v>
      </c>
      <c r="O536">
        <v>2</v>
      </c>
      <c r="P536">
        <v>1</v>
      </c>
      <c r="Q536">
        <f t="shared" si="56"/>
        <v>5</v>
      </c>
      <c r="R536">
        <f t="shared" si="57"/>
        <v>22</v>
      </c>
      <c r="S536">
        <f t="array" ref="S536">MAX(IF($C$2:$C$1387=C536,$R$2:$R$1387))</f>
        <v>29</v>
      </c>
      <c r="T536" cm="1">
        <f t="array" ref="T536">MIN(IF($C$2:$C$1387=C536,$R$2:$R$1387))</f>
        <v>9</v>
      </c>
      <c r="U536">
        <f t="shared" si="58"/>
        <v>20</v>
      </c>
      <c r="V536">
        <f t="shared" si="59"/>
        <v>0.65</v>
      </c>
      <c r="W536" cm="1">
        <f t="array" ref="W536">_xlfn.IFS(N536=1,5,N536=2,4,N536=4,2,N536=5,1,N536=3,3)</f>
        <v>1</v>
      </c>
      <c r="X536">
        <f t="shared" si="60"/>
        <v>18</v>
      </c>
      <c r="Y536" cm="1">
        <f t="array" ref="Y536">MAX(IF($C$2:$C$1387=C536,$X$2:$X$1387))</f>
        <v>29</v>
      </c>
      <c r="Z536" cm="1">
        <f t="array" ref="Z536">MIN(IF($C$2:$C$1387=C536,$X$2:$X$1387))</f>
        <v>12</v>
      </c>
      <c r="AA536">
        <f t="shared" si="61"/>
        <v>17</v>
      </c>
      <c r="AB536">
        <f t="shared" si="62"/>
        <v>0.35294117647058826</v>
      </c>
    </row>
    <row r="537" spans="1:28" x14ac:dyDescent="0.25">
      <c r="A537" t="s">
        <v>206</v>
      </c>
      <c r="B537" t="s">
        <v>207</v>
      </c>
      <c r="C537">
        <v>2011</v>
      </c>
      <c r="D537">
        <v>0.57191032924673568</v>
      </c>
      <c r="E537">
        <v>0.39658284094289215</v>
      </c>
      <c r="F537">
        <v>8.747069581005798E-2</v>
      </c>
      <c r="G537">
        <v>2.4849066497880004</v>
      </c>
      <c r="H537">
        <v>0.5</v>
      </c>
      <c r="I537">
        <v>1</v>
      </c>
      <c r="J537">
        <v>0</v>
      </c>
      <c r="K537">
        <v>5</v>
      </c>
      <c r="L537">
        <v>1</v>
      </c>
      <c r="M537">
        <v>4</v>
      </c>
      <c r="N537">
        <v>5</v>
      </c>
      <c r="O537">
        <v>2</v>
      </c>
      <c r="P537">
        <v>3</v>
      </c>
      <c r="Q537">
        <f t="shared" si="56"/>
        <v>5</v>
      </c>
      <c r="R537">
        <f t="shared" si="57"/>
        <v>25</v>
      </c>
      <c r="S537">
        <f t="array" ref="S537">MAX(IF($C$2:$C$1387=C537,$R$2:$R$1387))</f>
        <v>28</v>
      </c>
      <c r="T537" cm="1">
        <f t="array" ref="T537">MIN(IF($C$2:$C$1387=C537,$R$2:$R$1387))</f>
        <v>10</v>
      </c>
      <c r="U537">
        <f t="shared" si="58"/>
        <v>18</v>
      </c>
      <c r="V537">
        <f t="shared" si="59"/>
        <v>0.83333333333333337</v>
      </c>
      <c r="W537" cm="1">
        <f t="array" ref="W537">_xlfn.IFS(N537=1,5,N537=2,4,N537=4,2,N537=5,1,N537=3,3)</f>
        <v>1</v>
      </c>
      <c r="X537">
        <f t="shared" si="60"/>
        <v>21</v>
      </c>
      <c r="Y537" cm="1">
        <f t="array" ref="Y537">MAX(IF($C$2:$C$1387=C537,$X$2:$X$1387))</f>
        <v>29</v>
      </c>
      <c r="Z537" cm="1">
        <f t="array" ref="Z537">MIN(IF($C$2:$C$1387=C537,$X$2:$X$1387))</f>
        <v>12</v>
      </c>
      <c r="AA537">
        <f t="shared" si="61"/>
        <v>17</v>
      </c>
      <c r="AB537">
        <f t="shared" si="62"/>
        <v>0.52941176470588236</v>
      </c>
    </row>
    <row r="538" spans="1:28" x14ac:dyDescent="0.25">
      <c r="A538" t="s">
        <v>206</v>
      </c>
      <c r="B538" t="s">
        <v>207</v>
      </c>
      <c r="C538">
        <v>2012</v>
      </c>
      <c r="D538">
        <v>0.57191032924673568</v>
      </c>
      <c r="E538">
        <v>0.39658284094289215</v>
      </c>
      <c r="F538">
        <v>8.747069581005798E-2</v>
      </c>
      <c r="G538">
        <v>2.4849066497880004</v>
      </c>
      <c r="H538">
        <v>0.5</v>
      </c>
      <c r="I538">
        <v>1</v>
      </c>
      <c r="J538">
        <v>0</v>
      </c>
      <c r="K538">
        <v>5</v>
      </c>
      <c r="L538">
        <v>1</v>
      </c>
      <c r="M538">
        <v>4</v>
      </c>
      <c r="N538">
        <v>5</v>
      </c>
      <c r="O538">
        <v>2</v>
      </c>
      <c r="P538">
        <v>3</v>
      </c>
      <c r="Q538">
        <f t="shared" si="56"/>
        <v>5</v>
      </c>
      <c r="R538">
        <f t="shared" si="57"/>
        <v>25</v>
      </c>
      <c r="S538">
        <f t="array" ref="S538">MAX(IF($C$2:$C$1387=C538,$R$2:$R$1387))</f>
        <v>29</v>
      </c>
      <c r="T538" cm="1">
        <f t="array" ref="T538">MIN(IF($C$2:$C$1387=C538,$R$2:$R$1387))</f>
        <v>11</v>
      </c>
      <c r="U538">
        <f t="shared" si="58"/>
        <v>18</v>
      </c>
      <c r="V538">
        <f t="shared" si="59"/>
        <v>0.77777777777777779</v>
      </c>
      <c r="W538" cm="1">
        <f t="array" ref="W538">_xlfn.IFS(N538=1,5,N538=2,4,N538=4,2,N538=5,1,N538=3,3)</f>
        <v>1</v>
      </c>
      <c r="X538">
        <f t="shared" si="60"/>
        <v>21</v>
      </c>
      <c r="Y538" cm="1">
        <f t="array" ref="Y538">MAX(IF($C$2:$C$1387=C538,$X$2:$X$1387))</f>
        <v>30</v>
      </c>
      <c r="Z538" cm="1">
        <f t="array" ref="Z538">MIN(IF($C$2:$C$1387=C538,$X$2:$X$1387))</f>
        <v>12</v>
      </c>
      <c r="AA538">
        <f t="shared" si="61"/>
        <v>18</v>
      </c>
      <c r="AB538">
        <f t="shared" si="62"/>
        <v>0.5</v>
      </c>
    </row>
    <row r="539" spans="1:28" x14ac:dyDescent="0.25">
      <c r="A539" t="s">
        <v>206</v>
      </c>
      <c r="B539" t="s">
        <v>207</v>
      </c>
      <c r="C539">
        <v>2013</v>
      </c>
      <c r="D539">
        <v>0.52770769270950968</v>
      </c>
      <c r="E539">
        <v>0.44379694206551457</v>
      </c>
      <c r="F539">
        <v>7.7182788604161515E-2</v>
      </c>
      <c r="G539">
        <v>2.3978952727983707</v>
      </c>
      <c r="H539">
        <v>0.54545454545454541</v>
      </c>
      <c r="I539">
        <v>0.66666666666666663</v>
      </c>
      <c r="J539">
        <v>0</v>
      </c>
      <c r="K539">
        <v>4</v>
      </c>
      <c r="L539">
        <v>1</v>
      </c>
      <c r="M539">
        <v>4</v>
      </c>
      <c r="N539">
        <v>5</v>
      </c>
      <c r="O539">
        <v>2</v>
      </c>
      <c r="P539">
        <v>1</v>
      </c>
      <c r="Q539">
        <f t="shared" si="56"/>
        <v>5</v>
      </c>
      <c r="R539">
        <f t="shared" si="57"/>
        <v>22</v>
      </c>
      <c r="S539">
        <f t="array" ref="S539">MAX(IF($C$2:$C$1387=C539,$R$2:$R$1387))</f>
        <v>29</v>
      </c>
      <c r="T539" cm="1">
        <f t="array" ref="T539">MIN(IF($C$2:$C$1387=C539,$R$2:$R$1387))</f>
        <v>10</v>
      </c>
      <c r="U539">
        <f t="shared" si="58"/>
        <v>19</v>
      </c>
      <c r="V539">
        <f t="shared" si="59"/>
        <v>0.63157894736842102</v>
      </c>
      <c r="W539" cm="1">
        <f t="array" ref="W539">_xlfn.IFS(N539=1,5,N539=2,4,N539=4,2,N539=5,1,N539=3,3)</f>
        <v>1</v>
      </c>
      <c r="X539">
        <f t="shared" si="60"/>
        <v>18</v>
      </c>
      <c r="Y539" cm="1">
        <f t="array" ref="Y539">MAX(IF($C$2:$C$1387=C539,$X$2:$X$1387))</f>
        <v>32</v>
      </c>
      <c r="Z539" cm="1">
        <f t="array" ref="Z539">MIN(IF($C$2:$C$1387=C539,$X$2:$X$1387))</f>
        <v>10</v>
      </c>
      <c r="AA539">
        <f t="shared" si="61"/>
        <v>22</v>
      </c>
      <c r="AB539">
        <f t="shared" si="62"/>
        <v>0.36363636363636365</v>
      </c>
    </row>
    <row r="540" spans="1:28" x14ac:dyDescent="0.25">
      <c r="A540" t="s">
        <v>206</v>
      </c>
      <c r="B540" t="s">
        <v>207</v>
      </c>
      <c r="C540">
        <v>2014</v>
      </c>
      <c r="D540">
        <v>0.51147636266437668</v>
      </c>
      <c r="E540">
        <v>0.42678149018666811</v>
      </c>
      <c r="F540">
        <v>8.1901707598582646E-2</v>
      </c>
      <c r="G540">
        <v>2.4849066497880004</v>
      </c>
      <c r="H540">
        <v>0.58333333333333337</v>
      </c>
      <c r="I540">
        <v>1</v>
      </c>
      <c r="J540">
        <v>0</v>
      </c>
      <c r="K540">
        <v>4</v>
      </c>
      <c r="L540">
        <v>1</v>
      </c>
      <c r="M540">
        <v>4</v>
      </c>
      <c r="N540">
        <v>5</v>
      </c>
      <c r="O540">
        <v>3</v>
      </c>
      <c r="P540">
        <v>3</v>
      </c>
      <c r="Q540">
        <f t="shared" si="56"/>
        <v>5</v>
      </c>
      <c r="R540">
        <f t="shared" si="57"/>
        <v>25</v>
      </c>
      <c r="S540">
        <f t="array" ref="S540">MAX(IF($C$2:$C$1387=C540,$R$2:$R$1387))</f>
        <v>29</v>
      </c>
      <c r="T540" cm="1">
        <f t="array" ref="T540">MIN(IF($C$2:$C$1387=C540,$R$2:$R$1387))</f>
        <v>11</v>
      </c>
      <c r="U540">
        <f t="shared" si="58"/>
        <v>18</v>
      </c>
      <c r="V540">
        <f t="shared" si="59"/>
        <v>0.77777777777777779</v>
      </c>
      <c r="W540" cm="1">
        <f t="array" ref="W540">_xlfn.IFS(N540=1,5,N540=2,4,N540=4,2,N540=5,1,N540=3,3)</f>
        <v>1</v>
      </c>
      <c r="X540">
        <f t="shared" si="60"/>
        <v>21</v>
      </c>
      <c r="Y540" cm="1">
        <f t="array" ref="Y540">MAX(IF($C$2:$C$1387=C540,$X$2:$X$1387))</f>
        <v>30</v>
      </c>
      <c r="Z540" cm="1">
        <f t="array" ref="Z540">MIN(IF($C$2:$C$1387=C540,$X$2:$X$1387))</f>
        <v>14</v>
      </c>
      <c r="AA540">
        <f t="shared" si="61"/>
        <v>16</v>
      </c>
      <c r="AB540">
        <f t="shared" si="62"/>
        <v>0.4375</v>
      </c>
    </row>
    <row r="541" spans="1:28" x14ac:dyDescent="0.25">
      <c r="A541" t="s">
        <v>206</v>
      </c>
      <c r="B541" t="s">
        <v>207</v>
      </c>
      <c r="C541">
        <v>2015</v>
      </c>
      <c r="D541">
        <v>0.51415862744421104</v>
      </c>
      <c r="E541">
        <v>0.39304144362274762</v>
      </c>
      <c r="F541">
        <v>3.6693665585972993E-2</v>
      </c>
      <c r="G541">
        <v>2.6390573296152584</v>
      </c>
      <c r="H541">
        <v>0.6428571428571429</v>
      </c>
      <c r="I541">
        <v>1</v>
      </c>
      <c r="J541">
        <v>0</v>
      </c>
      <c r="K541">
        <v>4</v>
      </c>
      <c r="L541">
        <v>1</v>
      </c>
      <c r="M541">
        <v>3</v>
      </c>
      <c r="N541">
        <v>5</v>
      </c>
      <c r="O541">
        <v>2</v>
      </c>
      <c r="P541">
        <v>2</v>
      </c>
      <c r="Q541">
        <f t="shared" si="56"/>
        <v>5</v>
      </c>
      <c r="R541">
        <f t="shared" si="57"/>
        <v>22</v>
      </c>
      <c r="S541">
        <f t="array" ref="S541">MAX(IF($C$2:$C$1387=C541,$R$2:$R$1387))</f>
        <v>29</v>
      </c>
      <c r="T541" cm="1">
        <f t="array" ref="T541">MIN(IF($C$2:$C$1387=C541,$R$2:$R$1387))</f>
        <v>11</v>
      </c>
      <c r="U541">
        <f t="shared" si="58"/>
        <v>18</v>
      </c>
      <c r="V541">
        <f t="shared" si="59"/>
        <v>0.61111111111111116</v>
      </c>
      <c r="W541" cm="1">
        <f t="array" ref="W541">_xlfn.IFS(N541=1,5,N541=2,4,N541=4,2,N541=5,1,N541=3,3)</f>
        <v>1</v>
      </c>
      <c r="X541">
        <f t="shared" si="60"/>
        <v>18</v>
      </c>
      <c r="Y541" cm="1">
        <f t="array" ref="Y541">MAX(IF($C$2:$C$1387=C541,$X$2:$X$1387))</f>
        <v>29</v>
      </c>
      <c r="Z541" cm="1">
        <f t="array" ref="Z541">MIN(IF($C$2:$C$1387=C541,$X$2:$X$1387))</f>
        <v>12</v>
      </c>
      <c r="AA541">
        <f t="shared" si="61"/>
        <v>17</v>
      </c>
      <c r="AB541">
        <f t="shared" si="62"/>
        <v>0.35294117647058826</v>
      </c>
    </row>
    <row r="542" spans="1:28" x14ac:dyDescent="0.25">
      <c r="A542" t="s">
        <v>208</v>
      </c>
      <c r="B542" t="s">
        <v>209</v>
      </c>
      <c r="C542">
        <v>2010</v>
      </c>
      <c r="D542">
        <v>0</v>
      </c>
      <c r="E542">
        <v>0.76663140638126681</v>
      </c>
      <c r="F542">
        <v>2.4858688961380881E-2</v>
      </c>
      <c r="G542">
        <v>1.9459101490553132</v>
      </c>
      <c r="H542">
        <v>0.8571428571428571</v>
      </c>
      <c r="I542">
        <v>1</v>
      </c>
      <c r="J542">
        <v>0</v>
      </c>
      <c r="K542">
        <v>1</v>
      </c>
      <c r="L542">
        <v>4</v>
      </c>
      <c r="M542">
        <v>3</v>
      </c>
      <c r="N542">
        <v>1</v>
      </c>
      <c r="O542">
        <v>5</v>
      </c>
      <c r="P542">
        <v>3</v>
      </c>
      <c r="Q542">
        <f t="shared" si="56"/>
        <v>5</v>
      </c>
      <c r="R542">
        <f t="shared" si="57"/>
        <v>22</v>
      </c>
      <c r="S542">
        <f t="array" ref="S542">MAX(IF($C$2:$C$1387=C542,$R$2:$R$1387))</f>
        <v>29</v>
      </c>
      <c r="T542" cm="1">
        <f t="array" ref="T542">MIN(IF($C$2:$C$1387=C542,$R$2:$R$1387))</f>
        <v>9</v>
      </c>
      <c r="U542">
        <f t="shared" si="58"/>
        <v>20</v>
      </c>
      <c r="V542">
        <f t="shared" si="59"/>
        <v>0.65</v>
      </c>
      <c r="W542" cm="1">
        <f t="array" ref="W542">_xlfn.IFS(N542=1,5,N542=2,4,N542=4,2,N542=5,1,N542=3,3)</f>
        <v>5</v>
      </c>
      <c r="X542">
        <f t="shared" si="60"/>
        <v>26</v>
      </c>
      <c r="Y542" cm="1">
        <f t="array" ref="Y542">MAX(IF($C$2:$C$1387=C542,$X$2:$X$1387))</f>
        <v>29</v>
      </c>
      <c r="Z542" cm="1">
        <f t="array" ref="Z542">MIN(IF($C$2:$C$1387=C542,$X$2:$X$1387))</f>
        <v>12</v>
      </c>
      <c r="AA542">
        <f t="shared" si="61"/>
        <v>17</v>
      </c>
      <c r="AB542">
        <f t="shared" si="62"/>
        <v>0.82352941176470584</v>
      </c>
    </row>
    <row r="543" spans="1:28" x14ac:dyDescent="0.25">
      <c r="A543" t="s">
        <v>208</v>
      </c>
      <c r="B543" t="s">
        <v>209</v>
      </c>
      <c r="C543">
        <v>2011</v>
      </c>
      <c r="D543">
        <v>0</v>
      </c>
      <c r="E543">
        <v>0.76663140638126681</v>
      </c>
      <c r="F543">
        <v>3.7240437689414901E-2</v>
      </c>
      <c r="G543">
        <v>1.9459101490553132</v>
      </c>
      <c r="H543">
        <v>0.8571428571428571</v>
      </c>
      <c r="I543">
        <v>1</v>
      </c>
      <c r="J543">
        <v>0</v>
      </c>
      <c r="K543">
        <v>1</v>
      </c>
      <c r="L543">
        <v>4</v>
      </c>
      <c r="M543">
        <v>3</v>
      </c>
      <c r="N543">
        <v>1</v>
      </c>
      <c r="O543">
        <v>5</v>
      </c>
      <c r="P543">
        <v>3</v>
      </c>
      <c r="Q543">
        <f t="shared" si="56"/>
        <v>5</v>
      </c>
      <c r="R543">
        <f t="shared" si="57"/>
        <v>22</v>
      </c>
      <c r="S543">
        <f t="array" ref="S543">MAX(IF($C$2:$C$1387=C543,$R$2:$R$1387))</f>
        <v>28</v>
      </c>
      <c r="T543" cm="1">
        <f t="array" ref="T543">MIN(IF($C$2:$C$1387=C543,$R$2:$R$1387))</f>
        <v>10</v>
      </c>
      <c r="U543">
        <f t="shared" si="58"/>
        <v>18</v>
      </c>
      <c r="V543">
        <f t="shared" si="59"/>
        <v>0.66666666666666663</v>
      </c>
      <c r="W543" cm="1">
        <f t="array" ref="W543">_xlfn.IFS(N543=1,5,N543=2,4,N543=4,2,N543=5,1,N543=3,3)</f>
        <v>5</v>
      </c>
      <c r="X543">
        <f t="shared" si="60"/>
        <v>26</v>
      </c>
      <c r="Y543" cm="1">
        <f t="array" ref="Y543">MAX(IF($C$2:$C$1387=C543,$X$2:$X$1387))</f>
        <v>29</v>
      </c>
      <c r="Z543" cm="1">
        <f t="array" ref="Z543">MIN(IF($C$2:$C$1387=C543,$X$2:$X$1387))</f>
        <v>12</v>
      </c>
      <c r="AA543">
        <f t="shared" si="61"/>
        <v>17</v>
      </c>
      <c r="AB543">
        <f t="shared" si="62"/>
        <v>0.82352941176470584</v>
      </c>
    </row>
    <row r="544" spans="1:28" x14ac:dyDescent="0.25">
      <c r="A544" t="s">
        <v>208</v>
      </c>
      <c r="B544" t="s">
        <v>209</v>
      </c>
      <c r="C544">
        <v>2012</v>
      </c>
      <c r="D544">
        <v>0</v>
      </c>
      <c r="E544">
        <v>0.76663140638126681</v>
      </c>
      <c r="F544">
        <v>2.9501527898762051E-2</v>
      </c>
      <c r="G544">
        <v>1.9459101490553132</v>
      </c>
      <c r="H544">
        <v>0.8571428571428571</v>
      </c>
      <c r="I544">
        <v>1</v>
      </c>
      <c r="J544">
        <v>0</v>
      </c>
      <c r="K544">
        <v>1</v>
      </c>
      <c r="L544">
        <v>4</v>
      </c>
      <c r="M544">
        <v>3</v>
      </c>
      <c r="N544">
        <v>1</v>
      </c>
      <c r="O544">
        <v>5</v>
      </c>
      <c r="P544">
        <v>3</v>
      </c>
      <c r="Q544">
        <f t="shared" si="56"/>
        <v>5</v>
      </c>
      <c r="R544">
        <f t="shared" si="57"/>
        <v>22</v>
      </c>
      <c r="S544">
        <f t="array" ref="S544">MAX(IF($C$2:$C$1387=C544,$R$2:$R$1387))</f>
        <v>29</v>
      </c>
      <c r="T544" cm="1">
        <f t="array" ref="T544">MIN(IF($C$2:$C$1387=C544,$R$2:$R$1387))</f>
        <v>11</v>
      </c>
      <c r="U544">
        <f t="shared" si="58"/>
        <v>18</v>
      </c>
      <c r="V544">
        <f t="shared" si="59"/>
        <v>0.61111111111111116</v>
      </c>
      <c r="W544" cm="1">
        <f t="array" ref="W544">_xlfn.IFS(N544=1,5,N544=2,4,N544=4,2,N544=5,1,N544=3,3)</f>
        <v>5</v>
      </c>
      <c r="X544">
        <f t="shared" si="60"/>
        <v>26</v>
      </c>
      <c r="Y544" cm="1">
        <f t="array" ref="Y544">MAX(IF($C$2:$C$1387=C544,$X$2:$X$1387))</f>
        <v>30</v>
      </c>
      <c r="Z544" cm="1">
        <f t="array" ref="Z544">MIN(IF($C$2:$C$1387=C544,$X$2:$X$1387))</f>
        <v>12</v>
      </c>
      <c r="AA544">
        <f t="shared" si="61"/>
        <v>18</v>
      </c>
      <c r="AB544">
        <f t="shared" si="62"/>
        <v>0.77777777777777779</v>
      </c>
    </row>
    <row r="545" spans="1:28" x14ac:dyDescent="0.25">
      <c r="A545" t="s">
        <v>208</v>
      </c>
      <c r="B545" t="s">
        <v>209</v>
      </c>
      <c r="C545">
        <v>2013</v>
      </c>
      <c r="D545">
        <v>1.1494796714034297E-3</v>
      </c>
      <c r="E545">
        <v>0.76663140638126681</v>
      </c>
      <c r="F545">
        <v>7.8349837418729307E-2</v>
      </c>
      <c r="G545">
        <v>1.9459101490553132</v>
      </c>
      <c r="H545">
        <v>0.8571428571428571</v>
      </c>
      <c r="I545">
        <v>1</v>
      </c>
      <c r="J545">
        <v>0</v>
      </c>
      <c r="K545">
        <v>2</v>
      </c>
      <c r="L545">
        <v>4</v>
      </c>
      <c r="M545">
        <v>4</v>
      </c>
      <c r="N545">
        <v>1</v>
      </c>
      <c r="O545">
        <v>5</v>
      </c>
      <c r="P545">
        <v>3</v>
      </c>
      <c r="Q545">
        <f t="shared" si="56"/>
        <v>5</v>
      </c>
      <c r="R545">
        <f t="shared" si="57"/>
        <v>24</v>
      </c>
      <c r="S545">
        <f t="array" ref="S545">MAX(IF($C$2:$C$1387=C545,$R$2:$R$1387))</f>
        <v>29</v>
      </c>
      <c r="T545" cm="1">
        <f t="array" ref="T545">MIN(IF($C$2:$C$1387=C545,$R$2:$R$1387))</f>
        <v>10</v>
      </c>
      <c r="U545">
        <f t="shared" si="58"/>
        <v>19</v>
      </c>
      <c r="V545">
        <f t="shared" si="59"/>
        <v>0.73684210526315785</v>
      </c>
      <c r="W545" cm="1">
        <f t="array" ref="W545">_xlfn.IFS(N545=1,5,N545=2,4,N545=4,2,N545=5,1,N545=3,3)</f>
        <v>5</v>
      </c>
      <c r="X545">
        <f t="shared" si="60"/>
        <v>28</v>
      </c>
      <c r="Y545" cm="1">
        <f t="array" ref="Y545">MAX(IF($C$2:$C$1387=C545,$X$2:$X$1387))</f>
        <v>32</v>
      </c>
      <c r="Z545" cm="1">
        <f t="array" ref="Z545">MIN(IF($C$2:$C$1387=C545,$X$2:$X$1387))</f>
        <v>10</v>
      </c>
      <c r="AA545">
        <f t="shared" si="61"/>
        <v>22</v>
      </c>
      <c r="AB545">
        <f t="shared" si="62"/>
        <v>0.81818181818181823</v>
      </c>
    </row>
    <row r="546" spans="1:28" x14ac:dyDescent="0.25">
      <c r="A546" t="s">
        <v>208</v>
      </c>
      <c r="B546" t="s">
        <v>209</v>
      </c>
      <c r="C546">
        <v>2014</v>
      </c>
      <c r="D546">
        <v>1.1494796714034297E-3</v>
      </c>
      <c r="E546">
        <v>0.76663140638126681</v>
      </c>
      <c r="F546">
        <v>7.8387857694519947E-2</v>
      </c>
      <c r="G546">
        <v>1.9459101490553132</v>
      </c>
      <c r="H546">
        <v>0.8571428571428571</v>
      </c>
      <c r="I546">
        <v>1</v>
      </c>
      <c r="J546">
        <v>0</v>
      </c>
      <c r="K546">
        <v>2</v>
      </c>
      <c r="L546">
        <v>4</v>
      </c>
      <c r="M546">
        <v>4</v>
      </c>
      <c r="N546">
        <v>1</v>
      </c>
      <c r="O546">
        <v>5</v>
      </c>
      <c r="P546">
        <v>3</v>
      </c>
      <c r="Q546">
        <f t="shared" si="56"/>
        <v>5</v>
      </c>
      <c r="R546">
        <f t="shared" si="57"/>
        <v>24</v>
      </c>
      <c r="S546">
        <f t="array" ref="S546">MAX(IF($C$2:$C$1387=C546,$R$2:$R$1387))</f>
        <v>29</v>
      </c>
      <c r="T546" cm="1">
        <f t="array" ref="T546">MIN(IF($C$2:$C$1387=C546,$R$2:$R$1387))</f>
        <v>11</v>
      </c>
      <c r="U546">
        <f t="shared" si="58"/>
        <v>18</v>
      </c>
      <c r="V546">
        <f t="shared" si="59"/>
        <v>0.72222222222222221</v>
      </c>
      <c r="W546" cm="1">
        <f t="array" ref="W546">_xlfn.IFS(N546=1,5,N546=2,4,N546=4,2,N546=5,1,N546=3,3)</f>
        <v>5</v>
      </c>
      <c r="X546">
        <f t="shared" si="60"/>
        <v>28</v>
      </c>
      <c r="Y546" cm="1">
        <f t="array" ref="Y546">MAX(IF($C$2:$C$1387=C546,$X$2:$X$1387))</f>
        <v>30</v>
      </c>
      <c r="Z546" cm="1">
        <f t="array" ref="Z546">MIN(IF($C$2:$C$1387=C546,$X$2:$X$1387))</f>
        <v>14</v>
      </c>
      <c r="AA546">
        <f t="shared" si="61"/>
        <v>16</v>
      </c>
      <c r="AB546">
        <f t="shared" si="62"/>
        <v>0.875</v>
      </c>
    </row>
    <row r="547" spans="1:28" x14ac:dyDescent="0.25">
      <c r="A547" t="s">
        <v>208</v>
      </c>
      <c r="B547" t="s">
        <v>209</v>
      </c>
      <c r="C547">
        <v>2015</v>
      </c>
      <c r="D547">
        <v>1.2643853937928942E-3</v>
      </c>
      <c r="E547">
        <v>0.74524382778373433</v>
      </c>
      <c r="F547">
        <v>0.10179609660379427</v>
      </c>
      <c r="G547">
        <v>1.9459101490553132</v>
      </c>
      <c r="H547">
        <v>0.8571428571428571</v>
      </c>
      <c r="I547">
        <v>1</v>
      </c>
      <c r="J547">
        <v>0</v>
      </c>
      <c r="K547">
        <v>2</v>
      </c>
      <c r="L547">
        <v>4</v>
      </c>
      <c r="M547">
        <v>4</v>
      </c>
      <c r="N547">
        <v>1</v>
      </c>
      <c r="O547">
        <v>4</v>
      </c>
      <c r="P547">
        <v>2</v>
      </c>
      <c r="Q547">
        <f t="shared" si="56"/>
        <v>5</v>
      </c>
      <c r="R547">
        <f t="shared" si="57"/>
        <v>22</v>
      </c>
      <c r="S547">
        <f t="array" ref="S547">MAX(IF($C$2:$C$1387=C547,$R$2:$R$1387))</f>
        <v>29</v>
      </c>
      <c r="T547" cm="1">
        <f t="array" ref="T547">MIN(IF($C$2:$C$1387=C547,$R$2:$R$1387))</f>
        <v>11</v>
      </c>
      <c r="U547">
        <f t="shared" si="58"/>
        <v>18</v>
      </c>
      <c r="V547">
        <f t="shared" si="59"/>
        <v>0.61111111111111116</v>
      </c>
      <c r="W547" cm="1">
        <f t="array" ref="W547">_xlfn.IFS(N547=1,5,N547=2,4,N547=4,2,N547=5,1,N547=3,3)</f>
        <v>5</v>
      </c>
      <c r="X547">
        <f t="shared" si="60"/>
        <v>26</v>
      </c>
      <c r="Y547" cm="1">
        <f t="array" ref="Y547">MAX(IF($C$2:$C$1387=C547,$X$2:$X$1387))</f>
        <v>29</v>
      </c>
      <c r="Z547" cm="1">
        <f t="array" ref="Z547">MIN(IF($C$2:$C$1387=C547,$X$2:$X$1387))</f>
        <v>12</v>
      </c>
      <c r="AA547">
        <f t="shared" si="61"/>
        <v>17</v>
      </c>
      <c r="AB547">
        <f t="shared" si="62"/>
        <v>0.82352941176470584</v>
      </c>
    </row>
    <row r="548" spans="1:28" x14ac:dyDescent="0.25">
      <c r="A548" t="s">
        <v>210</v>
      </c>
      <c r="B548" t="s">
        <v>211</v>
      </c>
      <c r="C548">
        <v>2010</v>
      </c>
      <c r="D548">
        <v>4.5515933987818717E-3</v>
      </c>
      <c r="E548">
        <v>0.79298332923059667</v>
      </c>
      <c r="F548">
        <v>9.0704108275628005E-3</v>
      </c>
      <c r="G548">
        <v>2.1972245773362196</v>
      </c>
      <c r="H548">
        <v>0.77777777777777779</v>
      </c>
      <c r="I548">
        <v>0.75</v>
      </c>
      <c r="J548">
        <v>0</v>
      </c>
      <c r="K548">
        <v>2</v>
      </c>
      <c r="L548">
        <v>4</v>
      </c>
      <c r="M548">
        <v>2</v>
      </c>
      <c r="N548">
        <v>4</v>
      </c>
      <c r="O548">
        <v>4</v>
      </c>
      <c r="P548">
        <v>3</v>
      </c>
      <c r="Q548">
        <f t="shared" si="56"/>
        <v>5</v>
      </c>
      <c r="R548">
        <f t="shared" si="57"/>
        <v>24</v>
      </c>
      <c r="S548">
        <f t="array" ref="S548">MAX(IF($C$2:$C$1387=C548,$R$2:$R$1387))</f>
        <v>29</v>
      </c>
      <c r="T548" cm="1">
        <f t="array" ref="T548">MIN(IF($C$2:$C$1387=C548,$R$2:$R$1387))</f>
        <v>9</v>
      </c>
      <c r="U548">
        <f t="shared" si="58"/>
        <v>20</v>
      </c>
      <c r="V548">
        <f t="shared" si="59"/>
        <v>0.75</v>
      </c>
      <c r="W548" cm="1">
        <f t="array" ref="W548">_xlfn.IFS(N548=1,5,N548=2,4,N548=4,2,N548=5,1,N548=3,3)</f>
        <v>2</v>
      </c>
      <c r="X548">
        <f t="shared" si="60"/>
        <v>22</v>
      </c>
      <c r="Y548" cm="1">
        <f t="array" ref="Y548">MAX(IF($C$2:$C$1387=C548,$X$2:$X$1387))</f>
        <v>29</v>
      </c>
      <c r="Z548" cm="1">
        <f t="array" ref="Z548">MIN(IF($C$2:$C$1387=C548,$X$2:$X$1387))</f>
        <v>12</v>
      </c>
      <c r="AA548">
        <f t="shared" si="61"/>
        <v>17</v>
      </c>
      <c r="AB548">
        <f t="shared" si="62"/>
        <v>0.58823529411764708</v>
      </c>
    </row>
    <row r="549" spans="1:28" x14ac:dyDescent="0.25">
      <c r="A549" t="s">
        <v>210</v>
      </c>
      <c r="B549" t="s">
        <v>211</v>
      </c>
      <c r="C549">
        <v>2011</v>
      </c>
      <c r="D549">
        <v>4.5515933987818717E-3</v>
      </c>
      <c r="E549">
        <v>0.79298332923059667</v>
      </c>
      <c r="F549">
        <v>9.0704108275628005E-3</v>
      </c>
      <c r="G549">
        <v>2.1972245773362196</v>
      </c>
      <c r="H549">
        <v>0.77777777777777779</v>
      </c>
      <c r="I549">
        <v>0.75</v>
      </c>
      <c r="J549">
        <v>0</v>
      </c>
      <c r="K549">
        <v>2</v>
      </c>
      <c r="L549">
        <v>4</v>
      </c>
      <c r="M549">
        <v>2</v>
      </c>
      <c r="N549">
        <v>4</v>
      </c>
      <c r="O549">
        <v>4</v>
      </c>
      <c r="P549">
        <v>3</v>
      </c>
      <c r="Q549">
        <f t="shared" si="56"/>
        <v>5</v>
      </c>
      <c r="R549">
        <f t="shared" si="57"/>
        <v>24</v>
      </c>
      <c r="S549">
        <f t="array" ref="S549">MAX(IF($C$2:$C$1387=C549,$R$2:$R$1387))</f>
        <v>28</v>
      </c>
      <c r="T549" cm="1">
        <f t="array" ref="T549">MIN(IF($C$2:$C$1387=C549,$R$2:$R$1387))</f>
        <v>10</v>
      </c>
      <c r="U549">
        <f t="shared" si="58"/>
        <v>18</v>
      </c>
      <c r="V549">
        <f t="shared" si="59"/>
        <v>0.77777777777777779</v>
      </c>
      <c r="W549" cm="1">
        <f t="array" ref="W549">_xlfn.IFS(N549=1,5,N549=2,4,N549=4,2,N549=5,1,N549=3,3)</f>
        <v>2</v>
      </c>
      <c r="X549">
        <f t="shared" si="60"/>
        <v>22</v>
      </c>
      <c r="Y549" cm="1">
        <f t="array" ref="Y549">MAX(IF($C$2:$C$1387=C549,$X$2:$X$1387))</f>
        <v>29</v>
      </c>
      <c r="Z549" cm="1">
        <f t="array" ref="Z549">MIN(IF($C$2:$C$1387=C549,$X$2:$X$1387))</f>
        <v>12</v>
      </c>
      <c r="AA549">
        <f t="shared" si="61"/>
        <v>17</v>
      </c>
      <c r="AB549">
        <f t="shared" si="62"/>
        <v>0.58823529411764708</v>
      </c>
    </row>
    <row r="550" spans="1:28" x14ac:dyDescent="0.25">
      <c r="A550" t="s">
        <v>210</v>
      </c>
      <c r="B550" t="s">
        <v>211</v>
      </c>
      <c r="C550">
        <v>2012</v>
      </c>
      <c r="D550">
        <v>4.5515933987818717E-3</v>
      </c>
      <c r="E550">
        <v>0.79298332923059667</v>
      </c>
      <c r="F550">
        <v>9.0704108275628005E-3</v>
      </c>
      <c r="G550">
        <v>2.1972245773362196</v>
      </c>
      <c r="H550">
        <v>0.77777777777777779</v>
      </c>
      <c r="I550">
        <v>0.75</v>
      </c>
      <c r="J550">
        <v>0</v>
      </c>
      <c r="K550">
        <v>2</v>
      </c>
      <c r="L550">
        <v>4</v>
      </c>
      <c r="M550">
        <v>2</v>
      </c>
      <c r="N550">
        <v>4</v>
      </c>
      <c r="O550">
        <v>5</v>
      </c>
      <c r="P550">
        <v>3</v>
      </c>
      <c r="Q550">
        <f t="shared" si="56"/>
        <v>5</v>
      </c>
      <c r="R550">
        <f t="shared" si="57"/>
        <v>25</v>
      </c>
      <c r="S550">
        <f t="array" ref="S550">MAX(IF($C$2:$C$1387=C550,$R$2:$R$1387))</f>
        <v>29</v>
      </c>
      <c r="T550" cm="1">
        <f t="array" ref="T550">MIN(IF($C$2:$C$1387=C550,$R$2:$R$1387))</f>
        <v>11</v>
      </c>
      <c r="U550">
        <f t="shared" si="58"/>
        <v>18</v>
      </c>
      <c r="V550">
        <f t="shared" si="59"/>
        <v>0.77777777777777779</v>
      </c>
      <c r="W550" cm="1">
        <f t="array" ref="W550">_xlfn.IFS(N550=1,5,N550=2,4,N550=4,2,N550=5,1,N550=3,3)</f>
        <v>2</v>
      </c>
      <c r="X550">
        <f t="shared" si="60"/>
        <v>23</v>
      </c>
      <c r="Y550" cm="1">
        <f t="array" ref="Y550">MAX(IF($C$2:$C$1387=C550,$X$2:$X$1387))</f>
        <v>30</v>
      </c>
      <c r="Z550" cm="1">
        <f t="array" ref="Z550">MIN(IF($C$2:$C$1387=C550,$X$2:$X$1387))</f>
        <v>12</v>
      </c>
      <c r="AA550">
        <f t="shared" si="61"/>
        <v>18</v>
      </c>
      <c r="AB550">
        <f t="shared" si="62"/>
        <v>0.61111111111111116</v>
      </c>
    </row>
    <row r="551" spans="1:28" x14ac:dyDescent="0.25">
      <c r="A551" t="s">
        <v>210</v>
      </c>
      <c r="B551" t="s">
        <v>211</v>
      </c>
      <c r="C551">
        <v>2013</v>
      </c>
      <c r="D551">
        <v>4.5515933987818717E-3</v>
      </c>
      <c r="E551">
        <v>0.79298332923059667</v>
      </c>
      <c r="F551">
        <v>2.0999508427112976E-3</v>
      </c>
      <c r="G551">
        <v>2.1972245773362196</v>
      </c>
      <c r="H551">
        <v>0.66666666666666663</v>
      </c>
      <c r="I551">
        <v>1</v>
      </c>
      <c r="J551">
        <v>0</v>
      </c>
      <c r="K551">
        <v>2</v>
      </c>
      <c r="L551">
        <v>4</v>
      </c>
      <c r="M551">
        <v>1</v>
      </c>
      <c r="N551">
        <v>4</v>
      </c>
      <c r="O551">
        <v>4</v>
      </c>
      <c r="P551">
        <v>3</v>
      </c>
      <c r="Q551">
        <f t="shared" si="56"/>
        <v>5</v>
      </c>
      <c r="R551">
        <f t="shared" si="57"/>
        <v>23</v>
      </c>
      <c r="S551">
        <f t="array" ref="S551">MAX(IF($C$2:$C$1387=C551,$R$2:$R$1387))</f>
        <v>29</v>
      </c>
      <c r="T551" cm="1">
        <f t="array" ref="T551">MIN(IF($C$2:$C$1387=C551,$R$2:$R$1387))</f>
        <v>10</v>
      </c>
      <c r="U551">
        <f t="shared" si="58"/>
        <v>19</v>
      </c>
      <c r="V551">
        <f t="shared" si="59"/>
        <v>0.68421052631578949</v>
      </c>
      <c r="W551" cm="1">
        <f t="array" ref="W551">_xlfn.IFS(N551=1,5,N551=2,4,N551=4,2,N551=5,1,N551=3,3)</f>
        <v>2</v>
      </c>
      <c r="X551">
        <f t="shared" si="60"/>
        <v>21</v>
      </c>
      <c r="Y551" cm="1">
        <f t="array" ref="Y551">MAX(IF($C$2:$C$1387=C551,$X$2:$X$1387))</f>
        <v>32</v>
      </c>
      <c r="Z551" cm="1">
        <f t="array" ref="Z551">MIN(IF($C$2:$C$1387=C551,$X$2:$X$1387))</f>
        <v>10</v>
      </c>
      <c r="AA551">
        <f t="shared" si="61"/>
        <v>22</v>
      </c>
      <c r="AB551">
        <f t="shared" si="62"/>
        <v>0.5</v>
      </c>
    </row>
    <row r="552" spans="1:28" x14ac:dyDescent="0.25">
      <c r="A552" t="s">
        <v>210</v>
      </c>
      <c r="B552" t="s">
        <v>211</v>
      </c>
      <c r="C552">
        <v>2014</v>
      </c>
      <c r="D552">
        <v>4.5515933987818717E-3</v>
      </c>
      <c r="E552">
        <v>0.79298332923059667</v>
      </c>
      <c r="F552">
        <v>2.0999508427112976E-3</v>
      </c>
      <c r="G552">
        <v>2.1972245773362196</v>
      </c>
      <c r="H552">
        <v>0.66666666666666663</v>
      </c>
      <c r="I552">
        <v>1</v>
      </c>
      <c r="J552">
        <v>0</v>
      </c>
      <c r="K552">
        <v>2</v>
      </c>
      <c r="L552">
        <v>4</v>
      </c>
      <c r="M552">
        <v>1</v>
      </c>
      <c r="N552">
        <v>4</v>
      </c>
      <c r="O552">
        <v>4</v>
      </c>
      <c r="P552">
        <v>3</v>
      </c>
      <c r="Q552">
        <f t="shared" si="56"/>
        <v>5</v>
      </c>
      <c r="R552">
        <f t="shared" si="57"/>
        <v>23</v>
      </c>
      <c r="S552">
        <f t="array" ref="S552">MAX(IF($C$2:$C$1387=C552,$R$2:$R$1387))</f>
        <v>29</v>
      </c>
      <c r="T552" cm="1">
        <f t="array" ref="T552">MIN(IF($C$2:$C$1387=C552,$R$2:$R$1387))</f>
        <v>11</v>
      </c>
      <c r="U552">
        <f t="shared" si="58"/>
        <v>18</v>
      </c>
      <c r="V552">
        <f t="shared" si="59"/>
        <v>0.66666666666666663</v>
      </c>
      <c r="W552" cm="1">
        <f t="array" ref="W552">_xlfn.IFS(N552=1,5,N552=2,4,N552=4,2,N552=5,1,N552=3,3)</f>
        <v>2</v>
      </c>
      <c r="X552">
        <f t="shared" si="60"/>
        <v>21</v>
      </c>
      <c r="Y552" cm="1">
        <f t="array" ref="Y552">MAX(IF($C$2:$C$1387=C552,$X$2:$X$1387))</f>
        <v>30</v>
      </c>
      <c r="Z552" cm="1">
        <f t="array" ref="Z552">MIN(IF($C$2:$C$1387=C552,$X$2:$X$1387))</f>
        <v>14</v>
      </c>
      <c r="AA552">
        <f t="shared" si="61"/>
        <v>16</v>
      </c>
      <c r="AB552">
        <f t="shared" si="62"/>
        <v>0.4375</v>
      </c>
    </row>
    <row r="553" spans="1:28" x14ac:dyDescent="0.25">
      <c r="A553" t="s">
        <v>210</v>
      </c>
      <c r="B553" t="s">
        <v>211</v>
      </c>
      <c r="C553">
        <v>2015</v>
      </c>
      <c r="D553">
        <v>4.5515933987818717E-3</v>
      </c>
      <c r="E553">
        <v>0.79298332923059667</v>
      </c>
      <c r="F553">
        <v>2.0999508427112976E-3</v>
      </c>
      <c r="G553">
        <v>2.1972245773362196</v>
      </c>
      <c r="H553">
        <v>0.66666666666666663</v>
      </c>
      <c r="I553">
        <v>1</v>
      </c>
      <c r="J553">
        <v>0</v>
      </c>
      <c r="K553">
        <v>2</v>
      </c>
      <c r="L553">
        <v>4</v>
      </c>
      <c r="M553">
        <v>1</v>
      </c>
      <c r="N553">
        <v>4</v>
      </c>
      <c r="O553">
        <v>2</v>
      </c>
      <c r="P553">
        <v>2</v>
      </c>
      <c r="Q553">
        <f t="shared" si="56"/>
        <v>5</v>
      </c>
      <c r="R553">
        <f t="shared" si="57"/>
        <v>20</v>
      </c>
      <c r="S553">
        <f t="array" ref="S553">MAX(IF($C$2:$C$1387=C553,$R$2:$R$1387))</f>
        <v>29</v>
      </c>
      <c r="T553" cm="1">
        <f t="array" ref="T553">MIN(IF($C$2:$C$1387=C553,$R$2:$R$1387))</f>
        <v>11</v>
      </c>
      <c r="U553">
        <f t="shared" si="58"/>
        <v>18</v>
      </c>
      <c r="V553">
        <f t="shared" si="59"/>
        <v>0.5</v>
      </c>
      <c r="W553" cm="1">
        <f t="array" ref="W553">_xlfn.IFS(N553=1,5,N553=2,4,N553=4,2,N553=5,1,N553=3,3)</f>
        <v>2</v>
      </c>
      <c r="X553">
        <f t="shared" si="60"/>
        <v>18</v>
      </c>
      <c r="Y553" cm="1">
        <f t="array" ref="Y553">MAX(IF($C$2:$C$1387=C553,$X$2:$X$1387))</f>
        <v>29</v>
      </c>
      <c r="Z553" cm="1">
        <f t="array" ref="Z553">MIN(IF($C$2:$C$1387=C553,$X$2:$X$1387))</f>
        <v>12</v>
      </c>
      <c r="AA553">
        <f t="shared" si="61"/>
        <v>17</v>
      </c>
      <c r="AB553">
        <f t="shared" si="62"/>
        <v>0.35294117647058826</v>
      </c>
    </row>
    <row r="554" spans="1:28" x14ac:dyDescent="0.25">
      <c r="A554" t="s">
        <v>212</v>
      </c>
      <c r="B554" t="s">
        <v>213</v>
      </c>
      <c r="C554">
        <v>2010</v>
      </c>
      <c r="D554">
        <v>1.7641502311846326E-5</v>
      </c>
      <c r="E554">
        <v>0.89457350138212643</v>
      </c>
      <c r="F554">
        <v>0</v>
      </c>
      <c r="G554">
        <v>1.9459101490553132</v>
      </c>
      <c r="H554">
        <v>0.2857142857142857</v>
      </c>
      <c r="I554">
        <v>0.66666666666666663</v>
      </c>
      <c r="J554">
        <v>1</v>
      </c>
      <c r="K554">
        <v>1</v>
      </c>
      <c r="L554">
        <v>5</v>
      </c>
      <c r="M554">
        <v>1</v>
      </c>
      <c r="N554">
        <v>1</v>
      </c>
      <c r="O554">
        <v>1</v>
      </c>
      <c r="P554">
        <v>1</v>
      </c>
      <c r="Q554">
        <f t="shared" si="56"/>
        <v>1</v>
      </c>
      <c r="R554">
        <f t="shared" si="57"/>
        <v>11</v>
      </c>
      <c r="S554">
        <f t="array" ref="S554">MAX(IF($C$2:$C$1387=C554,$R$2:$R$1387))</f>
        <v>29</v>
      </c>
      <c r="T554" cm="1">
        <f t="array" ref="T554">MIN(IF($C$2:$C$1387=C554,$R$2:$R$1387))</f>
        <v>9</v>
      </c>
      <c r="U554">
        <f t="shared" si="58"/>
        <v>20</v>
      </c>
      <c r="V554">
        <f t="shared" si="59"/>
        <v>0.1</v>
      </c>
      <c r="W554" cm="1">
        <f t="array" ref="W554">_xlfn.IFS(N554=1,5,N554=2,4,N554=4,2,N554=5,1,N554=3,3)</f>
        <v>5</v>
      </c>
      <c r="X554">
        <f t="shared" si="60"/>
        <v>15</v>
      </c>
      <c r="Y554" cm="1">
        <f t="array" ref="Y554">MAX(IF($C$2:$C$1387=C554,$X$2:$X$1387))</f>
        <v>29</v>
      </c>
      <c r="Z554" cm="1">
        <f t="array" ref="Z554">MIN(IF($C$2:$C$1387=C554,$X$2:$X$1387))</f>
        <v>12</v>
      </c>
      <c r="AA554">
        <f t="shared" si="61"/>
        <v>17</v>
      </c>
      <c r="AB554">
        <f t="shared" si="62"/>
        <v>0.17647058823529413</v>
      </c>
    </row>
    <row r="555" spans="1:28" x14ac:dyDescent="0.25">
      <c r="A555" t="s">
        <v>212</v>
      </c>
      <c r="B555" t="s">
        <v>213</v>
      </c>
      <c r="C555">
        <v>2011</v>
      </c>
      <c r="D555">
        <v>4.1961108580558133E-5</v>
      </c>
      <c r="E555">
        <v>0.885296342325812</v>
      </c>
      <c r="F555">
        <v>2.9953711672994037E-5</v>
      </c>
      <c r="G555">
        <v>2.3978952727983707</v>
      </c>
      <c r="H555">
        <v>0.27272727272727271</v>
      </c>
      <c r="I555">
        <v>0.75</v>
      </c>
      <c r="J555">
        <v>1</v>
      </c>
      <c r="K555">
        <v>1</v>
      </c>
      <c r="L555">
        <v>5</v>
      </c>
      <c r="M555">
        <v>1</v>
      </c>
      <c r="N555">
        <v>5</v>
      </c>
      <c r="O555">
        <v>1</v>
      </c>
      <c r="P555">
        <v>3</v>
      </c>
      <c r="Q555">
        <f t="shared" si="56"/>
        <v>1</v>
      </c>
      <c r="R555">
        <f t="shared" si="57"/>
        <v>17</v>
      </c>
      <c r="S555">
        <f t="array" ref="S555">MAX(IF($C$2:$C$1387=C555,$R$2:$R$1387))</f>
        <v>28</v>
      </c>
      <c r="T555" cm="1">
        <f t="array" ref="T555">MIN(IF($C$2:$C$1387=C555,$R$2:$R$1387))</f>
        <v>10</v>
      </c>
      <c r="U555">
        <f t="shared" si="58"/>
        <v>18</v>
      </c>
      <c r="V555">
        <f t="shared" si="59"/>
        <v>0.3888888888888889</v>
      </c>
      <c r="W555" cm="1">
        <f t="array" ref="W555">_xlfn.IFS(N555=1,5,N555=2,4,N555=4,2,N555=5,1,N555=3,3)</f>
        <v>1</v>
      </c>
      <c r="X555">
        <f t="shared" si="60"/>
        <v>13</v>
      </c>
      <c r="Y555" cm="1">
        <f t="array" ref="Y555">MAX(IF($C$2:$C$1387=C555,$X$2:$X$1387))</f>
        <v>29</v>
      </c>
      <c r="Z555" cm="1">
        <f t="array" ref="Z555">MIN(IF($C$2:$C$1387=C555,$X$2:$X$1387))</f>
        <v>12</v>
      </c>
      <c r="AA555">
        <f t="shared" si="61"/>
        <v>17</v>
      </c>
      <c r="AB555">
        <f t="shared" si="62"/>
        <v>5.8823529411764705E-2</v>
      </c>
    </row>
    <row r="556" spans="1:28" x14ac:dyDescent="0.25">
      <c r="A556" t="s">
        <v>212</v>
      </c>
      <c r="B556" t="s">
        <v>213</v>
      </c>
      <c r="C556">
        <v>2012</v>
      </c>
      <c r="D556">
        <v>7.0931902914958501E-5</v>
      </c>
      <c r="E556">
        <v>0.88553380409740645</v>
      </c>
      <c r="F556">
        <v>1.4451430106123496E-3</v>
      </c>
      <c r="G556">
        <v>2.3025850929940459</v>
      </c>
      <c r="H556">
        <v>0.3</v>
      </c>
      <c r="I556">
        <v>1</v>
      </c>
      <c r="J556">
        <v>1</v>
      </c>
      <c r="K556">
        <v>1</v>
      </c>
      <c r="L556">
        <v>5</v>
      </c>
      <c r="M556">
        <v>1</v>
      </c>
      <c r="N556">
        <v>5</v>
      </c>
      <c r="O556">
        <v>1</v>
      </c>
      <c r="P556">
        <v>3</v>
      </c>
      <c r="Q556">
        <f t="shared" si="56"/>
        <v>1</v>
      </c>
      <c r="R556">
        <f t="shared" si="57"/>
        <v>17</v>
      </c>
      <c r="S556">
        <f t="array" ref="S556">MAX(IF($C$2:$C$1387=C556,$R$2:$R$1387))</f>
        <v>29</v>
      </c>
      <c r="T556" cm="1">
        <f t="array" ref="T556">MIN(IF($C$2:$C$1387=C556,$R$2:$R$1387))</f>
        <v>11</v>
      </c>
      <c r="U556">
        <f t="shared" si="58"/>
        <v>18</v>
      </c>
      <c r="V556">
        <f t="shared" si="59"/>
        <v>0.33333333333333331</v>
      </c>
      <c r="W556" cm="1">
        <f t="array" ref="W556">_xlfn.IFS(N556=1,5,N556=2,4,N556=4,2,N556=5,1,N556=3,3)</f>
        <v>1</v>
      </c>
      <c r="X556">
        <f t="shared" si="60"/>
        <v>13</v>
      </c>
      <c r="Y556" cm="1">
        <f t="array" ref="Y556">MAX(IF($C$2:$C$1387=C556,$X$2:$X$1387))</f>
        <v>30</v>
      </c>
      <c r="Z556" cm="1">
        <f t="array" ref="Z556">MIN(IF($C$2:$C$1387=C556,$X$2:$X$1387))</f>
        <v>12</v>
      </c>
      <c r="AA556">
        <f t="shared" si="61"/>
        <v>18</v>
      </c>
      <c r="AB556">
        <f t="shared" si="62"/>
        <v>5.5555555555555552E-2</v>
      </c>
    </row>
    <row r="557" spans="1:28" x14ac:dyDescent="0.25">
      <c r="A557" t="s">
        <v>212</v>
      </c>
      <c r="B557" t="s">
        <v>213</v>
      </c>
      <c r="C557">
        <v>2013</v>
      </c>
      <c r="D557">
        <v>7.6320556936138877E-5</v>
      </c>
      <c r="E557">
        <v>0.88553379938035626</v>
      </c>
      <c r="F557">
        <v>4.7912975581666802E-2</v>
      </c>
      <c r="G557">
        <v>2.1972245773362196</v>
      </c>
      <c r="H557">
        <v>0.33333333333333331</v>
      </c>
      <c r="I557">
        <v>1</v>
      </c>
      <c r="J557">
        <v>1</v>
      </c>
      <c r="K557">
        <v>1</v>
      </c>
      <c r="L557">
        <v>5</v>
      </c>
      <c r="M557">
        <v>3</v>
      </c>
      <c r="N557">
        <v>4</v>
      </c>
      <c r="O557">
        <v>1</v>
      </c>
      <c r="P557">
        <v>3</v>
      </c>
      <c r="Q557">
        <f t="shared" si="56"/>
        <v>1</v>
      </c>
      <c r="R557">
        <f t="shared" si="57"/>
        <v>18</v>
      </c>
      <c r="S557">
        <f t="array" ref="S557">MAX(IF($C$2:$C$1387=C557,$R$2:$R$1387))</f>
        <v>29</v>
      </c>
      <c r="T557" cm="1">
        <f t="array" ref="T557">MIN(IF($C$2:$C$1387=C557,$R$2:$R$1387))</f>
        <v>10</v>
      </c>
      <c r="U557">
        <f t="shared" si="58"/>
        <v>19</v>
      </c>
      <c r="V557">
        <f t="shared" si="59"/>
        <v>0.42105263157894735</v>
      </c>
      <c r="W557" cm="1">
        <f t="array" ref="W557">_xlfn.IFS(N557=1,5,N557=2,4,N557=4,2,N557=5,1,N557=3,3)</f>
        <v>2</v>
      </c>
      <c r="X557">
        <f t="shared" si="60"/>
        <v>16</v>
      </c>
      <c r="Y557" cm="1">
        <f t="array" ref="Y557">MAX(IF($C$2:$C$1387=C557,$X$2:$X$1387))</f>
        <v>32</v>
      </c>
      <c r="Z557" cm="1">
        <f t="array" ref="Z557">MIN(IF($C$2:$C$1387=C557,$X$2:$X$1387))</f>
        <v>10</v>
      </c>
      <c r="AA557">
        <f t="shared" si="61"/>
        <v>22</v>
      </c>
      <c r="AB557">
        <f t="shared" si="62"/>
        <v>0.27272727272727271</v>
      </c>
    </row>
    <row r="558" spans="1:28" x14ac:dyDescent="0.25">
      <c r="A558" t="s">
        <v>212</v>
      </c>
      <c r="B558" t="s">
        <v>213</v>
      </c>
      <c r="C558">
        <v>2014</v>
      </c>
      <c r="D558">
        <v>7.3712439618364812E-5</v>
      </c>
      <c r="E558">
        <v>0.88545529000941814</v>
      </c>
      <c r="F558">
        <v>5.8299581409428196E-2</v>
      </c>
      <c r="G558">
        <v>2.1972245773362196</v>
      </c>
      <c r="H558">
        <v>0.33333333333333331</v>
      </c>
      <c r="I558">
        <v>1</v>
      </c>
      <c r="J558">
        <v>0</v>
      </c>
      <c r="K558">
        <v>1</v>
      </c>
      <c r="L558">
        <v>5</v>
      </c>
      <c r="M558">
        <v>3</v>
      </c>
      <c r="N558">
        <v>4</v>
      </c>
      <c r="O558">
        <v>1</v>
      </c>
      <c r="P558">
        <v>3</v>
      </c>
      <c r="Q558">
        <f t="shared" si="56"/>
        <v>5</v>
      </c>
      <c r="R558">
        <f t="shared" si="57"/>
        <v>22</v>
      </c>
      <c r="S558">
        <f t="array" ref="S558">MAX(IF($C$2:$C$1387=C558,$R$2:$R$1387))</f>
        <v>29</v>
      </c>
      <c r="T558" cm="1">
        <f t="array" ref="T558">MIN(IF($C$2:$C$1387=C558,$R$2:$R$1387))</f>
        <v>11</v>
      </c>
      <c r="U558">
        <f t="shared" si="58"/>
        <v>18</v>
      </c>
      <c r="V558">
        <f t="shared" si="59"/>
        <v>0.61111111111111116</v>
      </c>
      <c r="W558" cm="1">
        <f t="array" ref="W558">_xlfn.IFS(N558=1,5,N558=2,4,N558=4,2,N558=5,1,N558=3,3)</f>
        <v>2</v>
      </c>
      <c r="X558">
        <f t="shared" si="60"/>
        <v>20</v>
      </c>
      <c r="Y558" cm="1">
        <f t="array" ref="Y558">MAX(IF($C$2:$C$1387=C558,$X$2:$X$1387))</f>
        <v>30</v>
      </c>
      <c r="Z558" cm="1">
        <f t="array" ref="Z558">MIN(IF($C$2:$C$1387=C558,$X$2:$X$1387))</f>
        <v>14</v>
      </c>
      <c r="AA558">
        <f t="shared" si="61"/>
        <v>16</v>
      </c>
      <c r="AB558">
        <f t="shared" si="62"/>
        <v>0.375</v>
      </c>
    </row>
    <row r="559" spans="1:28" x14ac:dyDescent="0.25">
      <c r="A559" t="s">
        <v>212</v>
      </c>
      <c r="B559" t="s">
        <v>213</v>
      </c>
      <c r="C559">
        <v>2015</v>
      </c>
      <c r="D559">
        <v>4.378595959352526E-6</v>
      </c>
      <c r="E559">
        <v>5.2596969725807644E-2</v>
      </c>
      <c r="F559">
        <v>7.4973891905815489E-4</v>
      </c>
      <c r="G559">
        <v>2.7080502011022101</v>
      </c>
      <c r="H559">
        <v>0.73333333333333328</v>
      </c>
      <c r="I559">
        <v>1</v>
      </c>
      <c r="J559">
        <v>0</v>
      </c>
      <c r="K559">
        <v>1</v>
      </c>
      <c r="L559">
        <v>1</v>
      </c>
      <c r="M559">
        <v>1</v>
      </c>
      <c r="N559">
        <v>5</v>
      </c>
      <c r="O559">
        <v>4</v>
      </c>
      <c r="P559">
        <v>2</v>
      </c>
      <c r="Q559">
        <f t="shared" si="56"/>
        <v>5</v>
      </c>
      <c r="R559">
        <f t="shared" si="57"/>
        <v>19</v>
      </c>
      <c r="S559">
        <f t="array" ref="S559">MAX(IF($C$2:$C$1387=C559,$R$2:$R$1387))</f>
        <v>29</v>
      </c>
      <c r="T559" cm="1">
        <f t="array" ref="T559">MIN(IF($C$2:$C$1387=C559,$R$2:$R$1387))</f>
        <v>11</v>
      </c>
      <c r="U559">
        <f t="shared" si="58"/>
        <v>18</v>
      </c>
      <c r="V559">
        <f t="shared" si="59"/>
        <v>0.44444444444444442</v>
      </c>
      <c r="W559" cm="1">
        <f t="array" ref="W559">_xlfn.IFS(N559=1,5,N559=2,4,N559=4,2,N559=5,1,N559=3,3)</f>
        <v>1</v>
      </c>
      <c r="X559">
        <f t="shared" si="60"/>
        <v>15</v>
      </c>
      <c r="Y559" cm="1">
        <f t="array" ref="Y559">MAX(IF($C$2:$C$1387=C559,$X$2:$X$1387))</f>
        <v>29</v>
      </c>
      <c r="Z559" cm="1">
        <f t="array" ref="Z559">MIN(IF($C$2:$C$1387=C559,$X$2:$X$1387))</f>
        <v>12</v>
      </c>
      <c r="AA559">
        <f t="shared" si="61"/>
        <v>17</v>
      </c>
      <c r="AB559">
        <f t="shared" si="62"/>
        <v>0.17647058823529413</v>
      </c>
    </row>
    <row r="560" spans="1:28" x14ac:dyDescent="0.25">
      <c r="A560" t="s">
        <v>214</v>
      </c>
      <c r="B560" t="s">
        <v>215</v>
      </c>
      <c r="C560">
        <v>2010</v>
      </c>
      <c r="D560">
        <v>0.14541156250000001</v>
      </c>
      <c r="E560">
        <v>0.96148437499999995</v>
      </c>
      <c r="F560">
        <v>1.0552083333333333E-2</v>
      </c>
      <c r="G560">
        <v>2.0794415416798357</v>
      </c>
      <c r="H560">
        <v>0.625</v>
      </c>
      <c r="I560">
        <v>1</v>
      </c>
      <c r="J560">
        <v>0</v>
      </c>
      <c r="K560">
        <v>3</v>
      </c>
      <c r="L560">
        <v>5</v>
      </c>
      <c r="M560">
        <v>2</v>
      </c>
      <c r="N560">
        <v>3</v>
      </c>
      <c r="O560">
        <v>3</v>
      </c>
      <c r="P560">
        <v>3</v>
      </c>
      <c r="Q560">
        <f t="shared" si="56"/>
        <v>5</v>
      </c>
      <c r="R560">
        <f t="shared" si="57"/>
        <v>24</v>
      </c>
      <c r="S560">
        <f t="array" ref="S560">MAX(IF($C$2:$C$1387=C560,$R$2:$R$1387))</f>
        <v>29</v>
      </c>
      <c r="T560" cm="1">
        <f t="array" ref="T560">MIN(IF($C$2:$C$1387=C560,$R$2:$R$1387))</f>
        <v>9</v>
      </c>
      <c r="U560">
        <f t="shared" si="58"/>
        <v>20</v>
      </c>
      <c r="V560">
        <f t="shared" si="59"/>
        <v>0.75</v>
      </c>
      <c r="W560" cm="1">
        <f t="array" ref="W560">_xlfn.IFS(N560=1,5,N560=2,4,N560=4,2,N560=5,1,N560=3,3)</f>
        <v>3</v>
      </c>
      <c r="X560">
        <f t="shared" si="60"/>
        <v>24</v>
      </c>
      <c r="Y560" cm="1">
        <f t="array" ref="Y560">MAX(IF($C$2:$C$1387=C560,$X$2:$X$1387))</f>
        <v>29</v>
      </c>
      <c r="Z560" cm="1">
        <f t="array" ref="Z560">MIN(IF($C$2:$C$1387=C560,$X$2:$X$1387))</f>
        <v>12</v>
      </c>
      <c r="AA560">
        <f t="shared" si="61"/>
        <v>17</v>
      </c>
      <c r="AB560">
        <f t="shared" si="62"/>
        <v>0.70588235294117652</v>
      </c>
    </row>
    <row r="561" spans="1:28" x14ac:dyDescent="0.25">
      <c r="A561" t="s">
        <v>214</v>
      </c>
      <c r="B561" t="s">
        <v>215</v>
      </c>
      <c r="C561">
        <v>2011</v>
      </c>
      <c r="D561">
        <v>0.14541166666666666</v>
      </c>
      <c r="E561">
        <v>0.9619056770833333</v>
      </c>
      <c r="F561">
        <v>2.0467604166666667E-2</v>
      </c>
      <c r="G561">
        <v>2.0794415416798357</v>
      </c>
      <c r="H561">
        <v>0.625</v>
      </c>
      <c r="I561">
        <v>1</v>
      </c>
      <c r="J561">
        <v>0</v>
      </c>
      <c r="K561">
        <v>3</v>
      </c>
      <c r="L561">
        <v>5</v>
      </c>
      <c r="M561">
        <v>2</v>
      </c>
      <c r="N561">
        <v>3</v>
      </c>
      <c r="O561">
        <v>3</v>
      </c>
      <c r="P561">
        <v>3</v>
      </c>
      <c r="Q561">
        <f t="shared" si="56"/>
        <v>5</v>
      </c>
      <c r="R561">
        <f t="shared" si="57"/>
        <v>24</v>
      </c>
      <c r="S561">
        <f t="array" ref="S561">MAX(IF($C$2:$C$1387=C561,$R$2:$R$1387))</f>
        <v>28</v>
      </c>
      <c r="T561" cm="1">
        <f t="array" ref="T561">MIN(IF($C$2:$C$1387=C561,$R$2:$R$1387))</f>
        <v>10</v>
      </c>
      <c r="U561">
        <f t="shared" si="58"/>
        <v>18</v>
      </c>
      <c r="V561">
        <f t="shared" si="59"/>
        <v>0.77777777777777779</v>
      </c>
      <c r="W561" cm="1">
        <f t="array" ref="W561">_xlfn.IFS(N561=1,5,N561=2,4,N561=4,2,N561=5,1,N561=3,3)</f>
        <v>3</v>
      </c>
      <c r="X561">
        <f t="shared" si="60"/>
        <v>24</v>
      </c>
      <c r="Y561" cm="1">
        <f t="array" ref="Y561">MAX(IF($C$2:$C$1387=C561,$X$2:$X$1387))</f>
        <v>29</v>
      </c>
      <c r="Z561" cm="1">
        <f t="array" ref="Z561">MIN(IF($C$2:$C$1387=C561,$X$2:$X$1387))</f>
        <v>12</v>
      </c>
      <c r="AA561">
        <f t="shared" si="61"/>
        <v>17</v>
      </c>
      <c r="AB561">
        <f t="shared" si="62"/>
        <v>0.70588235294117652</v>
      </c>
    </row>
    <row r="562" spans="1:28" x14ac:dyDescent="0.25">
      <c r="A562" t="s">
        <v>214</v>
      </c>
      <c r="B562" t="s">
        <v>215</v>
      </c>
      <c r="C562">
        <v>2012</v>
      </c>
      <c r="D562">
        <v>0.14633197916666665</v>
      </c>
      <c r="E562">
        <v>0.95784666666666662</v>
      </c>
      <c r="F562">
        <v>1.0929947916666667E-2</v>
      </c>
      <c r="G562">
        <v>1.9459101490553132</v>
      </c>
      <c r="H562">
        <v>0.7142857142857143</v>
      </c>
      <c r="I562">
        <v>1</v>
      </c>
      <c r="J562">
        <v>0</v>
      </c>
      <c r="K562">
        <v>3</v>
      </c>
      <c r="L562">
        <v>5</v>
      </c>
      <c r="M562">
        <v>2</v>
      </c>
      <c r="N562">
        <v>1</v>
      </c>
      <c r="O562">
        <v>4</v>
      </c>
      <c r="P562">
        <v>3</v>
      </c>
      <c r="Q562">
        <f t="shared" si="56"/>
        <v>5</v>
      </c>
      <c r="R562">
        <f t="shared" si="57"/>
        <v>23</v>
      </c>
      <c r="S562">
        <f t="array" ref="S562">MAX(IF($C$2:$C$1387=C562,$R$2:$R$1387))</f>
        <v>29</v>
      </c>
      <c r="T562" cm="1">
        <f t="array" ref="T562">MIN(IF($C$2:$C$1387=C562,$R$2:$R$1387))</f>
        <v>11</v>
      </c>
      <c r="U562">
        <f t="shared" si="58"/>
        <v>18</v>
      </c>
      <c r="V562">
        <f t="shared" si="59"/>
        <v>0.66666666666666663</v>
      </c>
      <c r="W562" cm="1">
        <f t="array" ref="W562">_xlfn.IFS(N562=1,5,N562=2,4,N562=4,2,N562=5,1,N562=3,3)</f>
        <v>5</v>
      </c>
      <c r="X562">
        <f t="shared" si="60"/>
        <v>27</v>
      </c>
      <c r="Y562" cm="1">
        <f t="array" ref="Y562">MAX(IF($C$2:$C$1387=C562,$X$2:$X$1387))</f>
        <v>30</v>
      </c>
      <c r="Z562" cm="1">
        <f t="array" ref="Z562">MIN(IF($C$2:$C$1387=C562,$X$2:$X$1387))</f>
        <v>12</v>
      </c>
      <c r="AA562">
        <f t="shared" si="61"/>
        <v>18</v>
      </c>
      <c r="AB562">
        <f t="shared" si="62"/>
        <v>0.83333333333333337</v>
      </c>
    </row>
    <row r="563" spans="1:28" x14ac:dyDescent="0.25">
      <c r="A563" t="s">
        <v>214</v>
      </c>
      <c r="B563" t="s">
        <v>215</v>
      </c>
      <c r="C563">
        <v>2013</v>
      </c>
      <c r="D563">
        <v>0</v>
      </c>
      <c r="E563">
        <v>0.96738833333333329</v>
      </c>
      <c r="F563">
        <v>9.129427083333334E-3</v>
      </c>
      <c r="G563">
        <v>1.9459101490553132</v>
      </c>
      <c r="H563">
        <v>0.5714285714285714</v>
      </c>
      <c r="I563">
        <v>1</v>
      </c>
      <c r="J563">
        <v>0</v>
      </c>
      <c r="K563">
        <v>1</v>
      </c>
      <c r="L563">
        <v>5</v>
      </c>
      <c r="M563">
        <v>2</v>
      </c>
      <c r="N563">
        <v>1</v>
      </c>
      <c r="O563">
        <v>2</v>
      </c>
      <c r="P563">
        <v>3</v>
      </c>
      <c r="Q563">
        <f t="shared" si="56"/>
        <v>5</v>
      </c>
      <c r="R563">
        <f t="shared" si="57"/>
        <v>19</v>
      </c>
      <c r="S563">
        <f t="array" ref="S563">MAX(IF($C$2:$C$1387=C563,$R$2:$R$1387))</f>
        <v>29</v>
      </c>
      <c r="T563" cm="1">
        <f t="array" ref="T563">MIN(IF($C$2:$C$1387=C563,$R$2:$R$1387))</f>
        <v>10</v>
      </c>
      <c r="U563">
        <f t="shared" si="58"/>
        <v>19</v>
      </c>
      <c r="V563">
        <f t="shared" si="59"/>
        <v>0.47368421052631576</v>
      </c>
      <c r="W563" cm="1">
        <f t="array" ref="W563">_xlfn.IFS(N563=1,5,N563=2,4,N563=4,2,N563=5,1,N563=3,3)</f>
        <v>5</v>
      </c>
      <c r="X563">
        <f t="shared" si="60"/>
        <v>23</v>
      </c>
      <c r="Y563" cm="1">
        <f t="array" ref="Y563">MAX(IF($C$2:$C$1387=C563,$X$2:$X$1387))</f>
        <v>32</v>
      </c>
      <c r="Z563" cm="1">
        <f t="array" ref="Z563">MIN(IF($C$2:$C$1387=C563,$X$2:$X$1387))</f>
        <v>10</v>
      </c>
      <c r="AA563">
        <f t="shared" si="61"/>
        <v>22</v>
      </c>
      <c r="AB563">
        <f t="shared" si="62"/>
        <v>0.59090909090909094</v>
      </c>
    </row>
    <row r="564" spans="1:28" x14ac:dyDescent="0.25">
      <c r="A564" t="s">
        <v>214</v>
      </c>
      <c r="B564" t="s">
        <v>215</v>
      </c>
      <c r="C564">
        <v>2014</v>
      </c>
      <c r="D564">
        <v>5.3125000000000004E-6</v>
      </c>
      <c r="E564">
        <v>0.96273729166666666</v>
      </c>
      <c r="F564">
        <v>9.2856770833333342E-3</v>
      </c>
      <c r="G564">
        <v>2.0794415416798357</v>
      </c>
      <c r="H564">
        <v>0.625</v>
      </c>
      <c r="I564">
        <v>1</v>
      </c>
      <c r="J564">
        <v>0</v>
      </c>
      <c r="K564">
        <v>1</v>
      </c>
      <c r="L564">
        <v>5</v>
      </c>
      <c r="M564">
        <v>2</v>
      </c>
      <c r="N564">
        <v>3</v>
      </c>
      <c r="O564">
        <v>3</v>
      </c>
      <c r="P564">
        <v>3</v>
      </c>
      <c r="Q564">
        <f t="shared" si="56"/>
        <v>5</v>
      </c>
      <c r="R564">
        <f t="shared" si="57"/>
        <v>22</v>
      </c>
      <c r="S564">
        <f t="array" ref="S564">MAX(IF($C$2:$C$1387=C564,$R$2:$R$1387))</f>
        <v>29</v>
      </c>
      <c r="T564" cm="1">
        <f t="array" ref="T564">MIN(IF($C$2:$C$1387=C564,$R$2:$R$1387))</f>
        <v>11</v>
      </c>
      <c r="U564">
        <f t="shared" si="58"/>
        <v>18</v>
      </c>
      <c r="V564">
        <f t="shared" si="59"/>
        <v>0.61111111111111116</v>
      </c>
      <c r="W564" cm="1">
        <f t="array" ref="W564">_xlfn.IFS(N564=1,5,N564=2,4,N564=4,2,N564=5,1,N564=3,3)</f>
        <v>3</v>
      </c>
      <c r="X564">
        <f t="shared" si="60"/>
        <v>22</v>
      </c>
      <c r="Y564" cm="1">
        <f t="array" ref="Y564">MAX(IF($C$2:$C$1387=C564,$X$2:$X$1387))</f>
        <v>30</v>
      </c>
      <c r="Z564" cm="1">
        <f t="array" ref="Z564">MIN(IF($C$2:$C$1387=C564,$X$2:$X$1387))</f>
        <v>14</v>
      </c>
      <c r="AA564">
        <f t="shared" si="61"/>
        <v>16</v>
      </c>
      <c r="AB564">
        <f t="shared" si="62"/>
        <v>0.5</v>
      </c>
    </row>
    <row r="565" spans="1:28" x14ac:dyDescent="0.25">
      <c r="A565" t="s">
        <v>214</v>
      </c>
      <c r="B565" t="s">
        <v>215</v>
      </c>
      <c r="C565">
        <v>2015</v>
      </c>
      <c r="D565">
        <v>5.2604166666666663E-6</v>
      </c>
      <c r="E565">
        <v>0.96367999999999998</v>
      </c>
      <c r="F565">
        <v>1.0290885416666666E-2</v>
      </c>
      <c r="G565">
        <v>1.6094379124341003</v>
      </c>
      <c r="H565">
        <v>0.8</v>
      </c>
      <c r="I565">
        <v>1</v>
      </c>
      <c r="J565">
        <v>0</v>
      </c>
      <c r="K565">
        <v>1</v>
      </c>
      <c r="L565">
        <v>5</v>
      </c>
      <c r="M565">
        <v>2</v>
      </c>
      <c r="N565">
        <v>1</v>
      </c>
      <c r="O565">
        <v>4</v>
      </c>
      <c r="P565">
        <v>2</v>
      </c>
      <c r="Q565">
        <f t="shared" si="56"/>
        <v>5</v>
      </c>
      <c r="R565">
        <f t="shared" si="57"/>
        <v>20</v>
      </c>
      <c r="S565">
        <f t="array" ref="S565">MAX(IF($C$2:$C$1387=C565,$R$2:$R$1387))</f>
        <v>29</v>
      </c>
      <c r="T565" cm="1">
        <f t="array" ref="T565">MIN(IF($C$2:$C$1387=C565,$R$2:$R$1387))</f>
        <v>11</v>
      </c>
      <c r="U565">
        <f t="shared" si="58"/>
        <v>18</v>
      </c>
      <c r="V565">
        <f t="shared" si="59"/>
        <v>0.5</v>
      </c>
      <c r="W565" cm="1">
        <f t="array" ref="W565">_xlfn.IFS(N565=1,5,N565=2,4,N565=4,2,N565=5,1,N565=3,3)</f>
        <v>5</v>
      </c>
      <c r="X565">
        <f t="shared" si="60"/>
        <v>24</v>
      </c>
      <c r="Y565" cm="1">
        <f t="array" ref="Y565">MAX(IF($C$2:$C$1387=C565,$X$2:$X$1387))</f>
        <v>29</v>
      </c>
      <c r="Z565" cm="1">
        <f t="array" ref="Z565">MIN(IF($C$2:$C$1387=C565,$X$2:$X$1387))</f>
        <v>12</v>
      </c>
      <c r="AA565">
        <f t="shared" si="61"/>
        <v>17</v>
      </c>
      <c r="AB565">
        <f t="shared" si="62"/>
        <v>0.70588235294117652</v>
      </c>
    </row>
    <row r="566" spans="1:28" x14ac:dyDescent="0.25">
      <c r="A566" t="s">
        <v>216</v>
      </c>
      <c r="B566" t="s">
        <v>217</v>
      </c>
      <c r="C566">
        <v>2010</v>
      </c>
      <c r="D566">
        <v>1.0045632306501871E-2</v>
      </c>
      <c r="E566">
        <v>0.72048514963297572</v>
      </c>
      <c r="F566">
        <v>0.42990849279544929</v>
      </c>
      <c r="G566">
        <v>2.5649493574615367</v>
      </c>
      <c r="H566">
        <v>0.92307692307692313</v>
      </c>
      <c r="I566">
        <v>1</v>
      </c>
      <c r="J566">
        <v>0</v>
      </c>
      <c r="K566">
        <v>2</v>
      </c>
      <c r="L566">
        <v>4</v>
      </c>
      <c r="M566">
        <v>5</v>
      </c>
      <c r="N566">
        <v>5</v>
      </c>
      <c r="O566">
        <v>5</v>
      </c>
      <c r="P566">
        <v>3</v>
      </c>
      <c r="Q566">
        <f t="shared" si="56"/>
        <v>5</v>
      </c>
      <c r="R566">
        <f t="shared" si="57"/>
        <v>29</v>
      </c>
      <c r="S566">
        <f t="array" ref="S566">MAX(IF($C$2:$C$1387=C566,$R$2:$R$1387))</f>
        <v>29</v>
      </c>
      <c r="T566" cm="1">
        <f t="array" ref="T566">MIN(IF($C$2:$C$1387=C566,$R$2:$R$1387))</f>
        <v>9</v>
      </c>
      <c r="U566">
        <f t="shared" si="58"/>
        <v>20</v>
      </c>
      <c r="V566">
        <f t="shared" si="59"/>
        <v>1</v>
      </c>
      <c r="W566" cm="1">
        <f t="array" ref="W566">_xlfn.IFS(N566=1,5,N566=2,4,N566=4,2,N566=5,1,N566=3,3)</f>
        <v>1</v>
      </c>
      <c r="X566">
        <f t="shared" si="60"/>
        <v>25</v>
      </c>
      <c r="Y566" cm="1">
        <f t="array" ref="Y566">MAX(IF($C$2:$C$1387=C566,$X$2:$X$1387))</f>
        <v>29</v>
      </c>
      <c r="Z566" cm="1">
        <f t="array" ref="Z566">MIN(IF($C$2:$C$1387=C566,$X$2:$X$1387))</f>
        <v>12</v>
      </c>
      <c r="AA566">
        <f t="shared" si="61"/>
        <v>17</v>
      </c>
      <c r="AB566">
        <f t="shared" si="62"/>
        <v>0.76470588235294112</v>
      </c>
    </row>
    <row r="567" spans="1:28" x14ac:dyDescent="0.25">
      <c r="A567" t="s">
        <v>216</v>
      </c>
      <c r="B567" t="s">
        <v>217</v>
      </c>
      <c r="C567">
        <v>2011</v>
      </c>
      <c r="D567">
        <v>1.0045632306501871E-2</v>
      </c>
      <c r="E567">
        <v>0.71929698642742124</v>
      </c>
      <c r="F567">
        <v>6.7621975448062402E-3</v>
      </c>
      <c r="G567">
        <v>2.5649493574615367</v>
      </c>
      <c r="H567">
        <v>0.92307692307692313</v>
      </c>
      <c r="I567">
        <v>1</v>
      </c>
      <c r="J567">
        <v>0</v>
      </c>
      <c r="K567">
        <v>2</v>
      </c>
      <c r="L567">
        <v>3</v>
      </c>
      <c r="M567">
        <v>2</v>
      </c>
      <c r="N567">
        <v>5</v>
      </c>
      <c r="O567">
        <v>5</v>
      </c>
      <c r="P567">
        <v>3</v>
      </c>
      <c r="Q567">
        <f t="shared" si="56"/>
        <v>5</v>
      </c>
      <c r="R567">
        <f t="shared" si="57"/>
        <v>25</v>
      </c>
      <c r="S567">
        <f t="array" ref="S567">MAX(IF($C$2:$C$1387=C567,$R$2:$R$1387))</f>
        <v>28</v>
      </c>
      <c r="T567" cm="1">
        <f t="array" ref="T567">MIN(IF($C$2:$C$1387=C567,$R$2:$R$1387))</f>
        <v>10</v>
      </c>
      <c r="U567">
        <f t="shared" si="58"/>
        <v>18</v>
      </c>
      <c r="V567">
        <f t="shared" si="59"/>
        <v>0.83333333333333337</v>
      </c>
      <c r="W567" cm="1">
        <f t="array" ref="W567">_xlfn.IFS(N567=1,5,N567=2,4,N567=4,2,N567=5,1,N567=3,3)</f>
        <v>1</v>
      </c>
      <c r="X567">
        <f t="shared" si="60"/>
        <v>21</v>
      </c>
      <c r="Y567" cm="1">
        <f t="array" ref="Y567">MAX(IF($C$2:$C$1387=C567,$X$2:$X$1387))</f>
        <v>29</v>
      </c>
      <c r="Z567" cm="1">
        <f t="array" ref="Z567">MIN(IF($C$2:$C$1387=C567,$X$2:$X$1387))</f>
        <v>12</v>
      </c>
      <c r="AA567">
        <f t="shared" si="61"/>
        <v>17</v>
      </c>
      <c r="AB567">
        <f t="shared" si="62"/>
        <v>0.52941176470588236</v>
      </c>
    </row>
    <row r="568" spans="1:28" x14ac:dyDescent="0.25">
      <c r="A568" t="s">
        <v>216</v>
      </c>
      <c r="B568" t="s">
        <v>217</v>
      </c>
      <c r="C568">
        <v>2012</v>
      </c>
      <c r="D568">
        <v>1.004814187422883E-2</v>
      </c>
      <c r="E568">
        <v>0.81967969550578246</v>
      </c>
      <c r="F568">
        <v>6.168652989522555E-2</v>
      </c>
      <c r="G568">
        <v>2.3025850929940459</v>
      </c>
      <c r="H568">
        <v>0.9</v>
      </c>
      <c r="I568">
        <v>1</v>
      </c>
      <c r="J568">
        <v>0</v>
      </c>
      <c r="K568">
        <v>2</v>
      </c>
      <c r="L568">
        <v>4</v>
      </c>
      <c r="M568">
        <v>3</v>
      </c>
      <c r="N568">
        <v>5</v>
      </c>
      <c r="O568">
        <v>5</v>
      </c>
      <c r="P568">
        <v>3</v>
      </c>
      <c r="Q568">
        <f t="shared" si="56"/>
        <v>5</v>
      </c>
      <c r="R568">
        <f t="shared" si="57"/>
        <v>27</v>
      </c>
      <c r="S568">
        <f t="array" ref="S568">MAX(IF($C$2:$C$1387=C568,$R$2:$R$1387))</f>
        <v>29</v>
      </c>
      <c r="T568" cm="1">
        <f t="array" ref="T568">MIN(IF($C$2:$C$1387=C568,$R$2:$R$1387))</f>
        <v>11</v>
      </c>
      <c r="U568">
        <f t="shared" si="58"/>
        <v>18</v>
      </c>
      <c r="V568">
        <f t="shared" si="59"/>
        <v>0.88888888888888884</v>
      </c>
      <c r="W568" cm="1">
        <f t="array" ref="W568">_xlfn.IFS(N568=1,5,N568=2,4,N568=4,2,N568=5,1,N568=3,3)</f>
        <v>1</v>
      </c>
      <c r="X568">
        <f t="shared" si="60"/>
        <v>23</v>
      </c>
      <c r="Y568" cm="1">
        <f t="array" ref="Y568">MAX(IF($C$2:$C$1387=C568,$X$2:$X$1387))</f>
        <v>30</v>
      </c>
      <c r="Z568" cm="1">
        <f t="array" ref="Z568">MIN(IF($C$2:$C$1387=C568,$X$2:$X$1387))</f>
        <v>12</v>
      </c>
      <c r="AA568">
        <f t="shared" si="61"/>
        <v>18</v>
      </c>
      <c r="AB568">
        <f t="shared" si="62"/>
        <v>0.61111111111111116</v>
      </c>
    </row>
    <row r="569" spans="1:28" x14ac:dyDescent="0.25">
      <c r="A569" t="s">
        <v>216</v>
      </c>
      <c r="B569" t="s">
        <v>217</v>
      </c>
      <c r="C569">
        <v>2013</v>
      </c>
      <c r="D569">
        <v>1.0047305351653178E-2</v>
      </c>
      <c r="E569">
        <v>0.68068143129012693</v>
      </c>
      <c r="F569">
        <v>6.044166718949328E-2</v>
      </c>
      <c r="G569">
        <v>2.3025850929940459</v>
      </c>
      <c r="H569">
        <v>0.9</v>
      </c>
      <c r="I569">
        <v>1</v>
      </c>
      <c r="J569">
        <v>0</v>
      </c>
      <c r="K569">
        <v>2</v>
      </c>
      <c r="L569">
        <v>3</v>
      </c>
      <c r="M569">
        <v>3</v>
      </c>
      <c r="N569">
        <v>5</v>
      </c>
      <c r="O569">
        <v>5</v>
      </c>
      <c r="P569">
        <v>3</v>
      </c>
      <c r="Q569">
        <f t="shared" si="56"/>
        <v>5</v>
      </c>
      <c r="R569">
        <f t="shared" si="57"/>
        <v>26</v>
      </c>
      <c r="S569">
        <f t="array" ref="S569">MAX(IF($C$2:$C$1387=C569,$R$2:$R$1387))</f>
        <v>29</v>
      </c>
      <c r="T569" cm="1">
        <f t="array" ref="T569">MIN(IF($C$2:$C$1387=C569,$R$2:$R$1387))</f>
        <v>10</v>
      </c>
      <c r="U569">
        <f t="shared" si="58"/>
        <v>19</v>
      </c>
      <c r="V569">
        <f t="shared" si="59"/>
        <v>0.84210526315789469</v>
      </c>
      <c r="W569" cm="1">
        <f t="array" ref="W569">_xlfn.IFS(N569=1,5,N569=2,4,N569=4,2,N569=5,1,N569=3,3)</f>
        <v>1</v>
      </c>
      <c r="X569">
        <f t="shared" si="60"/>
        <v>22</v>
      </c>
      <c r="Y569" cm="1">
        <f t="array" ref="Y569">MAX(IF($C$2:$C$1387=C569,$X$2:$X$1387))</f>
        <v>32</v>
      </c>
      <c r="Z569" cm="1">
        <f t="array" ref="Z569">MIN(IF($C$2:$C$1387=C569,$X$2:$X$1387))</f>
        <v>10</v>
      </c>
      <c r="AA569">
        <f t="shared" si="61"/>
        <v>22</v>
      </c>
      <c r="AB569">
        <f t="shared" si="62"/>
        <v>0.54545454545454541</v>
      </c>
    </row>
    <row r="570" spans="1:28" x14ac:dyDescent="0.25">
      <c r="A570" t="s">
        <v>216</v>
      </c>
      <c r="B570" t="s">
        <v>217</v>
      </c>
      <c r="C570">
        <v>2014</v>
      </c>
      <c r="D570">
        <v>1.004814187422883E-2</v>
      </c>
      <c r="E570">
        <v>0.73344258318171363</v>
      </c>
      <c r="F570">
        <v>3.2421573917226089E-2</v>
      </c>
      <c r="G570">
        <v>2.3025850929940459</v>
      </c>
      <c r="H570">
        <v>0.9</v>
      </c>
      <c r="I570">
        <v>1</v>
      </c>
      <c r="J570">
        <v>0</v>
      </c>
      <c r="K570">
        <v>2</v>
      </c>
      <c r="L570">
        <v>4</v>
      </c>
      <c r="M570">
        <v>3</v>
      </c>
      <c r="N570">
        <v>5</v>
      </c>
      <c r="O570">
        <v>5</v>
      </c>
      <c r="P570">
        <v>3</v>
      </c>
      <c r="Q570">
        <f t="shared" si="56"/>
        <v>5</v>
      </c>
      <c r="R570">
        <f t="shared" si="57"/>
        <v>27</v>
      </c>
      <c r="S570">
        <f t="array" ref="S570">MAX(IF($C$2:$C$1387=C570,$R$2:$R$1387))</f>
        <v>29</v>
      </c>
      <c r="T570" cm="1">
        <f t="array" ref="T570">MIN(IF($C$2:$C$1387=C570,$R$2:$R$1387))</f>
        <v>11</v>
      </c>
      <c r="U570">
        <f t="shared" si="58"/>
        <v>18</v>
      </c>
      <c r="V570">
        <f t="shared" si="59"/>
        <v>0.88888888888888884</v>
      </c>
      <c r="W570" cm="1">
        <f t="array" ref="W570">_xlfn.IFS(N570=1,5,N570=2,4,N570=4,2,N570=5,1,N570=3,3)</f>
        <v>1</v>
      </c>
      <c r="X570">
        <f t="shared" si="60"/>
        <v>23</v>
      </c>
      <c r="Y570" cm="1">
        <f t="array" ref="Y570">MAX(IF($C$2:$C$1387=C570,$X$2:$X$1387))</f>
        <v>30</v>
      </c>
      <c r="Z570" cm="1">
        <f t="array" ref="Z570">MIN(IF($C$2:$C$1387=C570,$X$2:$X$1387))</f>
        <v>14</v>
      </c>
      <c r="AA570">
        <f t="shared" si="61"/>
        <v>16</v>
      </c>
      <c r="AB570">
        <f t="shared" si="62"/>
        <v>0.5625</v>
      </c>
    </row>
    <row r="571" spans="1:28" x14ac:dyDescent="0.25">
      <c r="A571" t="s">
        <v>216</v>
      </c>
      <c r="B571" t="s">
        <v>217</v>
      </c>
      <c r="C571">
        <v>2015</v>
      </c>
      <c r="D571">
        <v>1.004814187422883E-2</v>
      </c>
      <c r="E571">
        <v>0.72474274839492225</v>
      </c>
      <c r="F571">
        <v>3.2860882113056024E-2</v>
      </c>
      <c r="G571">
        <v>2.1972245773362196</v>
      </c>
      <c r="H571">
        <v>0.88888888888888884</v>
      </c>
      <c r="I571">
        <v>1</v>
      </c>
      <c r="J571">
        <v>0</v>
      </c>
      <c r="K571">
        <v>2</v>
      </c>
      <c r="L571">
        <v>4</v>
      </c>
      <c r="M571">
        <v>3</v>
      </c>
      <c r="N571">
        <v>4</v>
      </c>
      <c r="O571">
        <v>5</v>
      </c>
      <c r="P571">
        <v>2</v>
      </c>
      <c r="Q571">
        <f t="shared" si="56"/>
        <v>5</v>
      </c>
      <c r="R571">
        <f t="shared" si="57"/>
        <v>25</v>
      </c>
      <c r="S571">
        <f t="array" ref="S571">MAX(IF($C$2:$C$1387=C571,$R$2:$R$1387))</f>
        <v>29</v>
      </c>
      <c r="T571" cm="1">
        <f t="array" ref="T571">MIN(IF($C$2:$C$1387=C571,$R$2:$R$1387))</f>
        <v>11</v>
      </c>
      <c r="U571">
        <f t="shared" si="58"/>
        <v>18</v>
      </c>
      <c r="V571">
        <f t="shared" si="59"/>
        <v>0.77777777777777779</v>
      </c>
      <c r="W571" cm="1">
        <f t="array" ref="W571">_xlfn.IFS(N571=1,5,N571=2,4,N571=4,2,N571=5,1,N571=3,3)</f>
        <v>2</v>
      </c>
      <c r="X571">
        <f t="shared" si="60"/>
        <v>23</v>
      </c>
      <c r="Y571" cm="1">
        <f t="array" ref="Y571">MAX(IF($C$2:$C$1387=C571,$X$2:$X$1387))</f>
        <v>29</v>
      </c>
      <c r="Z571" cm="1">
        <f t="array" ref="Z571">MIN(IF($C$2:$C$1387=C571,$X$2:$X$1387))</f>
        <v>12</v>
      </c>
      <c r="AA571">
        <f t="shared" si="61"/>
        <v>17</v>
      </c>
      <c r="AB571">
        <f t="shared" si="62"/>
        <v>0.6470588235294118</v>
      </c>
    </row>
    <row r="572" spans="1:28" x14ac:dyDescent="0.25">
      <c r="A572" t="s">
        <v>218</v>
      </c>
      <c r="B572" t="s">
        <v>219</v>
      </c>
      <c r="C572">
        <v>2010</v>
      </c>
      <c r="D572">
        <v>0.8732266755142668</v>
      </c>
      <c r="E572">
        <v>0.85536589250165895</v>
      </c>
      <c r="F572">
        <v>1.0748772395487724E-2</v>
      </c>
      <c r="G572">
        <v>2.0794415416798357</v>
      </c>
      <c r="H572">
        <v>0.625</v>
      </c>
      <c r="I572">
        <v>0.66666666666666663</v>
      </c>
      <c r="J572">
        <v>0</v>
      </c>
      <c r="K572">
        <v>5</v>
      </c>
      <c r="L572">
        <v>5</v>
      </c>
      <c r="M572">
        <v>2</v>
      </c>
      <c r="N572">
        <v>3</v>
      </c>
      <c r="O572">
        <v>3</v>
      </c>
      <c r="P572">
        <v>1</v>
      </c>
      <c r="Q572">
        <f t="shared" si="56"/>
        <v>5</v>
      </c>
      <c r="R572">
        <f t="shared" si="57"/>
        <v>24</v>
      </c>
      <c r="S572">
        <f t="array" ref="S572">MAX(IF($C$2:$C$1387=C572,$R$2:$R$1387))</f>
        <v>29</v>
      </c>
      <c r="T572" cm="1">
        <f t="array" ref="T572">MIN(IF($C$2:$C$1387=C572,$R$2:$R$1387))</f>
        <v>9</v>
      </c>
      <c r="U572">
        <f t="shared" si="58"/>
        <v>20</v>
      </c>
      <c r="V572">
        <f t="shared" si="59"/>
        <v>0.75</v>
      </c>
      <c r="W572" cm="1">
        <f t="array" ref="W572">_xlfn.IFS(N572=1,5,N572=2,4,N572=4,2,N572=5,1,N572=3,3)</f>
        <v>3</v>
      </c>
      <c r="X572">
        <f t="shared" si="60"/>
        <v>24</v>
      </c>
      <c r="Y572" cm="1">
        <f t="array" ref="Y572">MAX(IF($C$2:$C$1387=C572,$X$2:$X$1387))</f>
        <v>29</v>
      </c>
      <c r="Z572" cm="1">
        <f t="array" ref="Z572">MIN(IF($C$2:$C$1387=C572,$X$2:$X$1387))</f>
        <v>12</v>
      </c>
      <c r="AA572">
        <f t="shared" si="61"/>
        <v>17</v>
      </c>
      <c r="AB572">
        <f t="shared" si="62"/>
        <v>0.70588235294117652</v>
      </c>
    </row>
    <row r="573" spans="1:28" x14ac:dyDescent="0.25">
      <c r="A573" t="s">
        <v>218</v>
      </c>
      <c r="B573" t="s">
        <v>219</v>
      </c>
      <c r="C573">
        <v>2011</v>
      </c>
      <c r="D573">
        <v>0.87395660252156604</v>
      </c>
      <c r="E573">
        <v>0.85536721964167217</v>
      </c>
      <c r="F573">
        <v>1.0748772395487724E-2</v>
      </c>
      <c r="G573">
        <v>2.0794415416798357</v>
      </c>
      <c r="H573">
        <v>0.625</v>
      </c>
      <c r="I573">
        <v>0.66666666666666663</v>
      </c>
      <c r="J573">
        <v>0</v>
      </c>
      <c r="K573">
        <v>5</v>
      </c>
      <c r="L573">
        <v>5</v>
      </c>
      <c r="M573">
        <v>2</v>
      </c>
      <c r="N573">
        <v>3</v>
      </c>
      <c r="O573">
        <v>3</v>
      </c>
      <c r="P573">
        <v>1</v>
      </c>
      <c r="Q573">
        <f t="shared" si="56"/>
        <v>5</v>
      </c>
      <c r="R573">
        <f t="shared" si="57"/>
        <v>24</v>
      </c>
      <c r="S573">
        <f t="array" ref="S573">MAX(IF($C$2:$C$1387=C573,$R$2:$R$1387))</f>
        <v>28</v>
      </c>
      <c r="T573" cm="1">
        <f t="array" ref="T573">MIN(IF($C$2:$C$1387=C573,$R$2:$R$1387))</f>
        <v>10</v>
      </c>
      <c r="U573">
        <f t="shared" si="58"/>
        <v>18</v>
      </c>
      <c r="V573">
        <f t="shared" si="59"/>
        <v>0.77777777777777779</v>
      </c>
      <c r="W573" cm="1">
        <f t="array" ref="W573">_xlfn.IFS(N573=1,5,N573=2,4,N573=4,2,N573=5,1,N573=3,3)</f>
        <v>3</v>
      </c>
      <c r="X573">
        <f t="shared" si="60"/>
        <v>24</v>
      </c>
      <c r="Y573" cm="1">
        <f t="array" ref="Y573">MAX(IF($C$2:$C$1387=C573,$X$2:$X$1387))</f>
        <v>29</v>
      </c>
      <c r="Z573" cm="1">
        <f t="array" ref="Z573">MIN(IF($C$2:$C$1387=C573,$X$2:$X$1387))</f>
        <v>12</v>
      </c>
      <c r="AA573">
        <f t="shared" si="61"/>
        <v>17</v>
      </c>
      <c r="AB573">
        <f t="shared" si="62"/>
        <v>0.70588235294117652</v>
      </c>
    </row>
    <row r="574" spans="1:28" x14ac:dyDescent="0.25">
      <c r="A574" t="s">
        <v>218</v>
      </c>
      <c r="B574" t="s">
        <v>219</v>
      </c>
      <c r="C574">
        <v>2012</v>
      </c>
      <c r="D574">
        <v>0.87395660252156604</v>
      </c>
      <c r="E574">
        <v>0.85536721964167217</v>
      </c>
      <c r="F574">
        <v>1.0748772395487724E-2</v>
      </c>
      <c r="G574">
        <v>2.1972245773362196</v>
      </c>
      <c r="H574">
        <v>0.66666666666666663</v>
      </c>
      <c r="I574">
        <v>0.66666666666666663</v>
      </c>
      <c r="J574">
        <v>0</v>
      </c>
      <c r="K574">
        <v>5</v>
      </c>
      <c r="L574">
        <v>5</v>
      </c>
      <c r="M574">
        <v>2</v>
      </c>
      <c r="N574">
        <v>4</v>
      </c>
      <c r="O574">
        <v>3</v>
      </c>
      <c r="P574">
        <v>1</v>
      </c>
      <c r="Q574">
        <f t="shared" si="56"/>
        <v>5</v>
      </c>
      <c r="R574">
        <f t="shared" si="57"/>
        <v>25</v>
      </c>
      <c r="S574">
        <f t="array" ref="S574">MAX(IF($C$2:$C$1387=C574,$R$2:$R$1387))</f>
        <v>29</v>
      </c>
      <c r="T574" cm="1">
        <f t="array" ref="T574">MIN(IF($C$2:$C$1387=C574,$R$2:$R$1387))</f>
        <v>11</v>
      </c>
      <c r="U574">
        <f t="shared" si="58"/>
        <v>18</v>
      </c>
      <c r="V574">
        <f t="shared" si="59"/>
        <v>0.77777777777777779</v>
      </c>
      <c r="W574" cm="1">
        <f t="array" ref="W574">_xlfn.IFS(N574=1,5,N574=2,4,N574=4,2,N574=5,1,N574=3,3)</f>
        <v>2</v>
      </c>
      <c r="X574">
        <f t="shared" si="60"/>
        <v>23</v>
      </c>
      <c r="Y574" cm="1">
        <f t="array" ref="Y574">MAX(IF($C$2:$C$1387=C574,$X$2:$X$1387))</f>
        <v>30</v>
      </c>
      <c r="Z574" cm="1">
        <f t="array" ref="Z574">MIN(IF($C$2:$C$1387=C574,$X$2:$X$1387))</f>
        <v>12</v>
      </c>
      <c r="AA574">
        <f t="shared" si="61"/>
        <v>18</v>
      </c>
      <c r="AB574">
        <f t="shared" si="62"/>
        <v>0.61111111111111116</v>
      </c>
    </row>
    <row r="575" spans="1:28" x14ac:dyDescent="0.25">
      <c r="A575" t="s">
        <v>218</v>
      </c>
      <c r="B575" t="s">
        <v>219</v>
      </c>
      <c r="C575">
        <v>2013</v>
      </c>
      <c r="D575">
        <v>0.9339284671532847</v>
      </c>
      <c r="E575">
        <v>0.77353284671532851</v>
      </c>
      <c r="F575">
        <v>1.0748772395487724E-2</v>
      </c>
      <c r="G575">
        <v>2.1972245773362196</v>
      </c>
      <c r="H575">
        <v>0.66666666666666663</v>
      </c>
      <c r="I575">
        <v>0.66666666666666663</v>
      </c>
      <c r="J575">
        <v>0</v>
      </c>
      <c r="K575">
        <v>5</v>
      </c>
      <c r="L575">
        <v>4</v>
      </c>
      <c r="M575">
        <v>2</v>
      </c>
      <c r="N575">
        <v>4</v>
      </c>
      <c r="O575">
        <v>4</v>
      </c>
      <c r="P575">
        <v>1</v>
      </c>
      <c r="Q575">
        <f t="shared" si="56"/>
        <v>5</v>
      </c>
      <c r="R575">
        <f t="shared" si="57"/>
        <v>25</v>
      </c>
      <c r="S575">
        <f t="array" ref="S575">MAX(IF($C$2:$C$1387=C575,$R$2:$R$1387))</f>
        <v>29</v>
      </c>
      <c r="T575" cm="1">
        <f t="array" ref="T575">MIN(IF($C$2:$C$1387=C575,$R$2:$R$1387))</f>
        <v>10</v>
      </c>
      <c r="U575">
        <f t="shared" si="58"/>
        <v>19</v>
      </c>
      <c r="V575">
        <f t="shared" si="59"/>
        <v>0.78947368421052633</v>
      </c>
      <c r="W575" cm="1">
        <f t="array" ref="W575">_xlfn.IFS(N575=1,5,N575=2,4,N575=4,2,N575=5,1,N575=3,3)</f>
        <v>2</v>
      </c>
      <c r="X575">
        <f t="shared" si="60"/>
        <v>23</v>
      </c>
      <c r="Y575" cm="1">
        <f t="array" ref="Y575">MAX(IF($C$2:$C$1387=C575,$X$2:$X$1387))</f>
        <v>32</v>
      </c>
      <c r="Z575" cm="1">
        <f t="array" ref="Z575">MIN(IF($C$2:$C$1387=C575,$X$2:$X$1387))</f>
        <v>10</v>
      </c>
      <c r="AA575">
        <f t="shared" si="61"/>
        <v>22</v>
      </c>
      <c r="AB575">
        <f t="shared" si="62"/>
        <v>0.59090909090909094</v>
      </c>
    </row>
    <row r="576" spans="1:28" x14ac:dyDescent="0.25">
      <c r="A576" t="s">
        <v>218</v>
      </c>
      <c r="B576" t="s">
        <v>219</v>
      </c>
      <c r="C576">
        <v>2014</v>
      </c>
      <c r="D576">
        <v>0.88592870603848706</v>
      </c>
      <c r="E576">
        <v>0.87477727936297278</v>
      </c>
      <c r="F576">
        <v>4.2995089581950897E-3</v>
      </c>
      <c r="G576">
        <v>2.3978952727983707</v>
      </c>
      <c r="H576">
        <v>0.72727272727272729</v>
      </c>
      <c r="I576">
        <v>1</v>
      </c>
      <c r="J576">
        <v>0</v>
      </c>
      <c r="K576">
        <v>5</v>
      </c>
      <c r="L576">
        <v>5</v>
      </c>
      <c r="M576">
        <v>1</v>
      </c>
      <c r="N576">
        <v>5</v>
      </c>
      <c r="O576">
        <v>4</v>
      </c>
      <c r="P576">
        <v>3</v>
      </c>
      <c r="Q576">
        <f t="shared" si="56"/>
        <v>5</v>
      </c>
      <c r="R576">
        <f t="shared" si="57"/>
        <v>28</v>
      </c>
      <c r="S576">
        <f t="array" ref="S576">MAX(IF($C$2:$C$1387=C576,$R$2:$R$1387))</f>
        <v>29</v>
      </c>
      <c r="T576" cm="1">
        <f t="array" ref="T576">MIN(IF($C$2:$C$1387=C576,$R$2:$R$1387))</f>
        <v>11</v>
      </c>
      <c r="U576">
        <f t="shared" si="58"/>
        <v>18</v>
      </c>
      <c r="V576">
        <f t="shared" si="59"/>
        <v>0.94444444444444442</v>
      </c>
      <c r="W576" cm="1">
        <f t="array" ref="W576">_xlfn.IFS(N576=1,5,N576=2,4,N576=4,2,N576=5,1,N576=3,3)</f>
        <v>1</v>
      </c>
      <c r="X576">
        <f t="shared" si="60"/>
        <v>24</v>
      </c>
      <c r="Y576" cm="1">
        <f t="array" ref="Y576">MAX(IF($C$2:$C$1387=C576,$X$2:$X$1387))</f>
        <v>30</v>
      </c>
      <c r="Z576" cm="1">
        <f t="array" ref="Z576">MIN(IF($C$2:$C$1387=C576,$X$2:$X$1387))</f>
        <v>14</v>
      </c>
      <c r="AA576">
        <f t="shared" si="61"/>
        <v>16</v>
      </c>
      <c r="AB576">
        <f t="shared" si="62"/>
        <v>0.625</v>
      </c>
    </row>
    <row r="577" spans="1:28" x14ac:dyDescent="0.25">
      <c r="A577" t="s">
        <v>218</v>
      </c>
      <c r="B577" t="s">
        <v>219</v>
      </c>
      <c r="C577">
        <v>2015</v>
      </c>
      <c r="D577">
        <v>0.88595524883875254</v>
      </c>
      <c r="E577">
        <v>0.80752382216323826</v>
      </c>
      <c r="F577">
        <v>4.2995089581950897E-3</v>
      </c>
      <c r="G577">
        <v>2.3978952727983707</v>
      </c>
      <c r="H577">
        <v>0.72727272727272729</v>
      </c>
      <c r="I577">
        <v>1</v>
      </c>
      <c r="J577">
        <v>0</v>
      </c>
      <c r="K577">
        <v>5</v>
      </c>
      <c r="L577">
        <v>4</v>
      </c>
      <c r="M577">
        <v>1</v>
      </c>
      <c r="N577">
        <v>5</v>
      </c>
      <c r="O577">
        <v>4</v>
      </c>
      <c r="P577">
        <v>2</v>
      </c>
      <c r="Q577">
        <f t="shared" si="56"/>
        <v>5</v>
      </c>
      <c r="R577">
        <f t="shared" si="57"/>
        <v>26</v>
      </c>
      <c r="S577">
        <f t="array" ref="S577">MAX(IF($C$2:$C$1387=C577,$R$2:$R$1387))</f>
        <v>29</v>
      </c>
      <c r="T577" cm="1">
        <f t="array" ref="T577">MIN(IF($C$2:$C$1387=C577,$R$2:$R$1387))</f>
        <v>11</v>
      </c>
      <c r="U577">
        <f t="shared" si="58"/>
        <v>18</v>
      </c>
      <c r="V577">
        <f t="shared" si="59"/>
        <v>0.83333333333333337</v>
      </c>
      <c r="W577" cm="1">
        <f t="array" ref="W577">_xlfn.IFS(N577=1,5,N577=2,4,N577=4,2,N577=5,1,N577=3,3)</f>
        <v>1</v>
      </c>
      <c r="X577">
        <f t="shared" si="60"/>
        <v>22</v>
      </c>
      <c r="Y577" cm="1">
        <f t="array" ref="Y577">MAX(IF($C$2:$C$1387=C577,$X$2:$X$1387))</f>
        <v>29</v>
      </c>
      <c r="Z577" cm="1">
        <f t="array" ref="Z577">MIN(IF($C$2:$C$1387=C577,$X$2:$X$1387))</f>
        <v>12</v>
      </c>
      <c r="AA577">
        <f t="shared" si="61"/>
        <v>17</v>
      </c>
      <c r="AB577">
        <f t="shared" si="62"/>
        <v>0.58823529411764708</v>
      </c>
    </row>
    <row r="578" spans="1:28" x14ac:dyDescent="0.25">
      <c r="A578" t="s">
        <v>220</v>
      </c>
      <c r="B578" t="s">
        <v>221</v>
      </c>
      <c r="C578">
        <v>2010</v>
      </c>
      <c r="D578">
        <v>0.86780998229980455</v>
      </c>
      <c r="E578">
        <v>0.79716811822221667</v>
      </c>
      <c r="F578">
        <v>1.013E-2</v>
      </c>
      <c r="G578">
        <v>1.9459101490553132</v>
      </c>
      <c r="H578">
        <v>0.42857142857142855</v>
      </c>
      <c r="I578">
        <v>0.66666666666666663</v>
      </c>
      <c r="J578">
        <v>1</v>
      </c>
      <c r="K578">
        <v>5</v>
      </c>
      <c r="L578">
        <v>4</v>
      </c>
      <c r="M578">
        <v>2</v>
      </c>
      <c r="N578">
        <v>1</v>
      </c>
      <c r="O578">
        <v>2</v>
      </c>
      <c r="P578">
        <v>1</v>
      </c>
      <c r="Q578">
        <f t="shared" si="56"/>
        <v>1</v>
      </c>
      <c r="R578">
        <f t="shared" si="57"/>
        <v>16</v>
      </c>
      <c r="S578">
        <f t="array" ref="S578">MAX(IF($C$2:$C$1387=C578,$R$2:$R$1387))</f>
        <v>29</v>
      </c>
      <c r="T578" cm="1">
        <f t="array" ref="T578">MIN(IF($C$2:$C$1387=C578,$R$2:$R$1387))</f>
        <v>9</v>
      </c>
      <c r="U578">
        <f t="shared" si="58"/>
        <v>20</v>
      </c>
      <c r="V578">
        <f t="shared" si="59"/>
        <v>0.35</v>
      </c>
      <c r="W578" cm="1">
        <f t="array" ref="W578">_xlfn.IFS(N578=1,5,N578=2,4,N578=4,2,N578=5,1,N578=3,3)</f>
        <v>5</v>
      </c>
      <c r="X578">
        <f t="shared" si="60"/>
        <v>20</v>
      </c>
      <c r="Y578" cm="1">
        <f t="array" ref="Y578">MAX(IF($C$2:$C$1387=C578,$X$2:$X$1387))</f>
        <v>29</v>
      </c>
      <c r="Z578" cm="1">
        <f t="array" ref="Z578">MIN(IF($C$2:$C$1387=C578,$X$2:$X$1387))</f>
        <v>12</v>
      </c>
      <c r="AA578">
        <f t="shared" si="61"/>
        <v>17</v>
      </c>
      <c r="AB578">
        <f t="shared" si="62"/>
        <v>0.47058823529411764</v>
      </c>
    </row>
    <row r="579" spans="1:28" x14ac:dyDescent="0.25">
      <c r="A579" t="s">
        <v>220</v>
      </c>
      <c r="B579" t="s">
        <v>221</v>
      </c>
      <c r="C579">
        <v>2011</v>
      </c>
      <c r="D579">
        <v>0.80676892146568813</v>
      </c>
      <c r="E579">
        <v>0.81415945718777205</v>
      </c>
      <c r="F579">
        <v>2.5986364438995734E-2</v>
      </c>
      <c r="G579">
        <v>1.9459101490553132</v>
      </c>
      <c r="H579">
        <v>0.42857142857142855</v>
      </c>
      <c r="I579">
        <v>0.66666666666666663</v>
      </c>
      <c r="J579">
        <v>1</v>
      </c>
      <c r="K579">
        <v>5</v>
      </c>
      <c r="L579">
        <v>4</v>
      </c>
      <c r="M579">
        <v>2</v>
      </c>
      <c r="N579">
        <v>1</v>
      </c>
      <c r="O579">
        <v>2</v>
      </c>
      <c r="P579">
        <v>1</v>
      </c>
      <c r="Q579">
        <f t="shared" ref="Q579:Q642" si="63">IF(J579=0,5,1)</f>
        <v>1</v>
      </c>
      <c r="R579">
        <f t="shared" ref="R579:R642" si="64">SUM(K579:Q579)</f>
        <v>16</v>
      </c>
      <c r="S579">
        <f t="array" ref="S579">MAX(IF($C$2:$C$1387=C579,$R$2:$R$1387))</f>
        <v>28</v>
      </c>
      <c r="T579" cm="1">
        <f t="array" ref="T579">MIN(IF($C$2:$C$1387=C579,$R$2:$R$1387))</f>
        <v>10</v>
      </c>
      <c r="U579">
        <f t="shared" ref="U579:U642" si="65">S579-T579</f>
        <v>18</v>
      </c>
      <c r="V579">
        <f t="shared" ref="V579:V642" si="66">(R579-T579)/U579</f>
        <v>0.33333333333333331</v>
      </c>
      <c r="W579" cm="1">
        <f t="array" ref="W579">_xlfn.IFS(N579=1,5,N579=2,4,N579=4,2,N579=5,1,N579=3,3)</f>
        <v>5</v>
      </c>
      <c r="X579">
        <f t="shared" ref="X579:X642" si="67">SUM(K579:M579,O579:Q579,W579)</f>
        <v>20</v>
      </c>
      <c r="Y579" cm="1">
        <f t="array" ref="Y579">MAX(IF($C$2:$C$1387=C579,$X$2:$X$1387))</f>
        <v>29</v>
      </c>
      <c r="Z579" cm="1">
        <f t="array" ref="Z579">MIN(IF($C$2:$C$1387=C579,$X$2:$X$1387))</f>
        <v>12</v>
      </c>
      <c r="AA579">
        <f t="shared" ref="AA579:AA642" si="68">Y579-Z579</f>
        <v>17</v>
      </c>
      <c r="AB579">
        <f t="shared" ref="AB579:AB642" si="69">(X579-Z579)/AA579</f>
        <v>0.47058823529411764</v>
      </c>
    </row>
    <row r="580" spans="1:28" x14ac:dyDescent="0.25">
      <c r="A580" t="s">
        <v>220</v>
      </c>
      <c r="B580" t="s">
        <v>221</v>
      </c>
      <c r="C580">
        <v>2012</v>
      </c>
      <c r="D580">
        <v>0.69277534566575349</v>
      </c>
      <c r="E580">
        <v>0.80441613039229432</v>
      </c>
      <c r="F580">
        <v>0.13602615068939283</v>
      </c>
      <c r="G580">
        <v>1.9459101490553132</v>
      </c>
      <c r="H580">
        <v>0.5714285714285714</v>
      </c>
      <c r="I580">
        <v>0.66666666666666663</v>
      </c>
      <c r="J580">
        <v>1</v>
      </c>
      <c r="K580">
        <v>5</v>
      </c>
      <c r="L580">
        <v>4</v>
      </c>
      <c r="M580">
        <v>4</v>
      </c>
      <c r="N580">
        <v>1</v>
      </c>
      <c r="O580">
        <v>2</v>
      </c>
      <c r="P580">
        <v>1</v>
      </c>
      <c r="Q580">
        <f t="shared" si="63"/>
        <v>1</v>
      </c>
      <c r="R580">
        <f t="shared" si="64"/>
        <v>18</v>
      </c>
      <c r="S580">
        <f t="array" ref="S580">MAX(IF($C$2:$C$1387=C580,$R$2:$R$1387))</f>
        <v>29</v>
      </c>
      <c r="T580" cm="1">
        <f t="array" ref="T580">MIN(IF($C$2:$C$1387=C580,$R$2:$R$1387))</f>
        <v>11</v>
      </c>
      <c r="U580">
        <f t="shared" si="65"/>
        <v>18</v>
      </c>
      <c r="V580">
        <f t="shared" si="66"/>
        <v>0.3888888888888889</v>
      </c>
      <c r="W580" cm="1">
        <f t="array" ref="W580">_xlfn.IFS(N580=1,5,N580=2,4,N580=4,2,N580=5,1,N580=3,3)</f>
        <v>5</v>
      </c>
      <c r="X580">
        <f t="shared" si="67"/>
        <v>22</v>
      </c>
      <c r="Y580" cm="1">
        <f t="array" ref="Y580">MAX(IF($C$2:$C$1387=C580,$X$2:$X$1387))</f>
        <v>30</v>
      </c>
      <c r="Z580" cm="1">
        <f t="array" ref="Z580">MIN(IF($C$2:$C$1387=C580,$X$2:$X$1387))</f>
        <v>12</v>
      </c>
      <c r="AA580">
        <f t="shared" si="68"/>
        <v>18</v>
      </c>
      <c r="AB580">
        <f t="shared" si="69"/>
        <v>0.55555555555555558</v>
      </c>
    </row>
    <row r="581" spans="1:28" x14ac:dyDescent="0.25">
      <c r="A581" t="s">
        <v>220</v>
      </c>
      <c r="B581" t="s">
        <v>221</v>
      </c>
      <c r="C581">
        <v>2013</v>
      </c>
      <c r="D581">
        <v>0.73257486447532083</v>
      </c>
      <c r="E581">
        <v>0.80279224259304804</v>
      </c>
      <c r="F581">
        <v>0.13530381541682102</v>
      </c>
      <c r="G581">
        <v>1.9459101490553132</v>
      </c>
      <c r="H581">
        <v>0.5714285714285714</v>
      </c>
      <c r="I581">
        <v>0.66666666666666663</v>
      </c>
      <c r="J581">
        <v>0</v>
      </c>
      <c r="K581">
        <v>5</v>
      </c>
      <c r="L581">
        <v>4</v>
      </c>
      <c r="M581">
        <v>4</v>
      </c>
      <c r="N581">
        <v>1</v>
      </c>
      <c r="O581">
        <v>2</v>
      </c>
      <c r="P581">
        <v>1</v>
      </c>
      <c r="Q581">
        <f t="shared" si="63"/>
        <v>5</v>
      </c>
      <c r="R581">
        <f t="shared" si="64"/>
        <v>22</v>
      </c>
      <c r="S581">
        <f t="array" ref="S581">MAX(IF($C$2:$C$1387=C581,$R$2:$R$1387))</f>
        <v>29</v>
      </c>
      <c r="T581" cm="1">
        <f t="array" ref="T581">MIN(IF($C$2:$C$1387=C581,$R$2:$R$1387))</f>
        <v>10</v>
      </c>
      <c r="U581">
        <f t="shared" si="65"/>
        <v>19</v>
      </c>
      <c r="V581">
        <f t="shared" si="66"/>
        <v>0.63157894736842102</v>
      </c>
      <c r="W581" cm="1">
        <f t="array" ref="W581">_xlfn.IFS(N581=1,5,N581=2,4,N581=4,2,N581=5,1,N581=3,3)</f>
        <v>5</v>
      </c>
      <c r="X581">
        <f t="shared" si="67"/>
        <v>26</v>
      </c>
      <c r="Y581" cm="1">
        <f t="array" ref="Y581">MAX(IF($C$2:$C$1387=C581,$X$2:$X$1387))</f>
        <v>32</v>
      </c>
      <c r="Z581" cm="1">
        <f t="array" ref="Z581">MIN(IF($C$2:$C$1387=C581,$X$2:$X$1387))</f>
        <v>10</v>
      </c>
      <c r="AA581">
        <f t="shared" si="68"/>
        <v>22</v>
      </c>
      <c r="AB581">
        <f t="shared" si="69"/>
        <v>0.72727272727272729</v>
      </c>
    </row>
    <row r="582" spans="1:28" x14ac:dyDescent="0.25">
      <c r="A582" t="s">
        <v>220</v>
      </c>
      <c r="B582" t="s">
        <v>221</v>
      </c>
      <c r="C582">
        <v>2014</v>
      </c>
      <c r="D582">
        <v>0.74592395668206846</v>
      </c>
      <c r="E582">
        <v>0.88682769421223406</v>
      </c>
      <c r="F582">
        <v>0.12624751058000375</v>
      </c>
      <c r="G582">
        <v>1.9459101490553132</v>
      </c>
      <c r="H582">
        <v>0.5714285714285714</v>
      </c>
      <c r="I582">
        <v>0.66666666666666663</v>
      </c>
      <c r="J582">
        <v>0</v>
      </c>
      <c r="K582">
        <v>5</v>
      </c>
      <c r="L582">
        <v>5</v>
      </c>
      <c r="M582">
        <v>4</v>
      </c>
      <c r="N582">
        <v>1</v>
      </c>
      <c r="O582">
        <v>2</v>
      </c>
      <c r="P582">
        <v>1</v>
      </c>
      <c r="Q582">
        <f t="shared" si="63"/>
        <v>5</v>
      </c>
      <c r="R582">
        <f t="shared" si="64"/>
        <v>23</v>
      </c>
      <c r="S582">
        <f t="array" ref="S582">MAX(IF($C$2:$C$1387=C582,$R$2:$R$1387))</f>
        <v>29</v>
      </c>
      <c r="T582" cm="1">
        <f t="array" ref="T582">MIN(IF($C$2:$C$1387=C582,$R$2:$R$1387))</f>
        <v>11</v>
      </c>
      <c r="U582">
        <f t="shared" si="65"/>
        <v>18</v>
      </c>
      <c r="V582">
        <f t="shared" si="66"/>
        <v>0.66666666666666663</v>
      </c>
      <c r="W582" cm="1">
        <f t="array" ref="W582">_xlfn.IFS(N582=1,5,N582=2,4,N582=4,2,N582=5,1,N582=3,3)</f>
        <v>5</v>
      </c>
      <c r="X582">
        <f t="shared" si="67"/>
        <v>27</v>
      </c>
      <c r="Y582" cm="1">
        <f t="array" ref="Y582">MAX(IF($C$2:$C$1387=C582,$X$2:$X$1387))</f>
        <v>30</v>
      </c>
      <c r="Z582" cm="1">
        <f t="array" ref="Z582">MIN(IF($C$2:$C$1387=C582,$X$2:$X$1387))</f>
        <v>14</v>
      </c>
      <c r="AA582">
        <f t="shared" si="68"/>
        <v>16</v>
      </c>
      <c r="AB582">
        <f t="shared" si="69"/>
        <v>0.8125</v>
      </c>
    </row>
    <row r="583" spans="1:28" x14ac:dyDescent="0.25">
      <c r="A583" t="s">
        <v>220</v>
      </c>
      <c r="B583" t="s">
        <v>221</v>
      </c>
      <c r="C583">
        <v>2015</v>
      </c>
      <c r="D583">
        <v>0.92891347466120455</v>
      </c>
      <c r="E583">
        <v>0.9315501637928183</v>
      </c>
      <c r="F583">
        <v>6.994084751353798E-3</v>
      </c>
      <c r="G583">
        <v>2.0794415416798357</v>
      </c>
      <c r="H583">
        <v>0.75</v>
      </c>
      <c r="I583">
        <v>1</v>
      </c>
      <c r="J583">
        <v>0</v>
      </c>
      <c r="K583">
        <v>5</v>
      </c>
      <c r="L583">
        <v>5</v>
      </c>
      <c r="M583">
        <v>2</v>
      </c>
      <c r="N583">
        <v>3</v>
      </c>
      <c r="O583">
        <v>4</v>
      </c>
      <c r="P583">
        <v>2</v>
      </c>
      <c r="Q583">
        <f t="shared" si="63"/>
        <v>5</v>
      </c>
      <c r="R583">
        <f t="shared" si="64"/>
        <v>26</v>
      </c>
      <c r="S583">
        <f t="array" ref="S583">MAX(IF($C$2:$C$1387=C583,$R$2:$R$1387))</f>
        <v>29</v>
      </c>
      <c r="T583" cm="1">
        <f t="array" ref="T583">MIN(IF($C$2:$C$1387=C583,$R$2:$R$1387))</f>
        <v>11</v>
      </c>
      <c r="U583">
        <f t="shared" si="65"/>
        <v>18</v>
      </c>
      <c r="V583">
        <f t="shared" si="66"/>
        <v>0.83333333333333337</v>
      </c>
      <c r="W583" cm="1">
        <f t="array" ref="W583">_xlfn.IFS(N583=1,5,N583=2,4,N583=4,2,N583=5,1,N583=3,3)</f>
        <v>3</v>
      </c>
      <c r="X583">
        <f t="shared" si="67"/>
        <v>26</v>
      </c>
      <c r="Y583" cm="1">
        <f t="array" ref="Y583">MAX(IF($C$2:$C$1387=C583,$X$2:$X$1387))</f>
        <v>29</v>
      </c>
      <c r="Z583" cm="1">
        <f t="array" ref="Z583">MIN(IF($C$2:$C$1387=C583,$X$2:$X$1387))</f>
        <v>12</v>
      </c>
      <c r="AA583">
        <f t="shared" si="68"/>
        <v>17</v>
      </c>
      <c r="AB583">
        <f t="shared" si="69"/>
        <v>0.82352941176470584</v>
      </c>
    </row>
    <row r="584" spans="1:28" x14ac:dyDescent="0.25">
      <c r="A584" t="s">
        <v>222</v>
      </c>
      <c r="B584" t="s">
        <v>223</v>
      </c>
      <c r="C584">
        <v>2010</v>
      </c>
      <c r="D584">
        <v>0.11861356942908743</v>
      </c>
      <c r="E584">
        <v>0.38525971080650323</v>
      </c>
      <c r="F584">
        <v>0.16115830817509613</v>
      </c>
      <c r="G584">
        <v>2.1972245773362196</v>
      </c>
      <c r="H584">
        <v>0.77777777777777779</v>
      </c>
      <c r="I584">
        <v>0.66666666666666663</v>
      </c>
      <c r="J584">
        <v>0</v>
      </c>
      <c r="K584">
        <v>3</v>
      </c>
      <c r="L584">
        <v>1</v>
      </c>
      <c r="M584">
        <v>4</v>
      </c>
      <c r="N584">
        <v>4</v>
      </c>
      <c r="O584">
        <v>4</v>
      </c>
      <c r="P584">
        <v>1</v>
      </c>
      <c r="Q584">
        <f t="shared" si="63"/>
        <v>5</v>
      </c>
      <c r="R584">
        <f t="shared" si="64"/>
        <v>22</v>
      </c>
      <c r="S584">
        <f t="array" ref="S584">MAX(IF($C$2:$C$1387=C584,$R$2:$R$1387))</f>
        <v>29</v>
      </c>
      <c r="T584" cm="1">
        <f t="array" ref="T584">MIN(IF($C$2:$C$1387=C584,$R$2:$R$1387))</f>
        <v>9</v>
      </c>
      <c r="U584">
        <f t="shared" si="65"/>
        <v>20</v>
      </c>
      <c r="V584">
        <f t="shared" si="66"/>
        <v>0.65</v>
      </c>
      <c r="W584" cm="1">
        <f t="array" ref="W584">_xlfn.IFS(N584=1,5,N584=2,4,N584=4,2,N584=5,1,N584=3,3)</f>
        <v>2</v>
      </c>
      <c r="X584">
        <f t="shared" si="67"/>
        <v>20</v>
      </c>
      <c r="Y584" cm="1">
        <f t="array" ref="Y584">MAX(IF($C$2:$C$1387=C584,$X$2:$X$1387))</f>
        <v>29</v>
      </c>
      <c r="Z584" cm="1">
        <f t="array" ref="Z584">MIN(IF($C$2:$C$1387=C584,$X$2:$X$1387))</f>
        <v>12</v>
      </c>
      <c r="AA584">
        <f t="shared" si="68"/>
        <v>17</v>
      </c>
      <c r="AB584">
        <f t="shared" si="69"/>
        <v>0.47058823529411764</v>
      </c>
    </row>
    <row r="585" spans="1:28" x14ac:dyDescent="0.25">
      <c r="A585" t="s">
        <v>222</v>
      </c>
      <c r="B585" t="s">
        <v>223</v>
      </c>
      <c r="C585">
        <v>2011</v>
      </c>
      <c r="D585">
        <v>0.11861356942908743</v>
      </c>
      <c r="E585">
        <v>0.38525971080650323</v>
      </c>
      <c r="F585">
        <v>0.16115830817509613</v>
      </c>
      <c r="G585">
        <v>2.1972245773362196</v>
      </c>
      <c r="H585">
        <v>0.77777777777777779</v>
      </c>
      <c r="I585">
        <v>0.66666666666666663</v>
      </c>
      <c r="J585">
        <v>0</v>
      </c>
      <c r="K585">
        <v>3</v>
      </c>
      <c r="L585">
        <v>1</v>
      </c>
      <c r="M585">
        <v>4</v>
      </c>
      <c r="N585">
        <v>4</v>
      </c>
      <c r="O585">
        <v>4</v>
      </c>
      <c r="P585">
        <v>1</v>
      </c>
      <c r="Q585">
        <f t="shared" si="63"/>
        <v>5</v>
      </c>
      <c r="R585">
        <f t="shared" si="64"/>
        <v>22</v>
      </c>
      <c r="S585">
        <f t="array" ref="S585">MAX(IF($C$2:$C$1387=C585,$R$2:$R$1387))</f>
        <v>28</v>
      </c>
      <c r="T585" cm="1">
        <f t="array" ref="T585">MIN(IF($C$2:$C$1387=C585,$R$2:$R$1387))</f>
        <v>10</v>
      </c>
      <c r="U585">
        <f t="shared" si="65"/>
        <v>18</v>
      </c>
      <c r="V585">
        <f t="shared" si="66"/>
        <v>0.66666666666666663</v>
      </c>
      <c r="W585" cm="1">
        <f t="array" ref="W585">_xlfn.IFS(N585=1,5,N585=2,4,N585=4,2,N585=5,1,N585=3,3)</f>
        <v>2</v>
      </c>
      <c r="X585">
        <f t="shared" si="67"/>
        <v>20</v>
      </c>
      <c r="Y585" cm="1">
        <f t="array" ref="Y585">MAX(IF($C$2:$C$1387=C585,$X$2:$X$1387))</f>
        <v>29</v>
      </c>
      <c r="Z585" cm="1">
        <f t="array" ref="Z585">MIN(IF($C$2:$C$1387=C585,$X$2:$X$1387))</f>
        <v>12</v>
      </c>
      <c r="AA585">
        <f t="shared" si="68"/>
        <v>17</v>
      </c>
      <c r="AB585">
        <f t="shared" si="69"/>
        <v>0.47058823529411764</v>
      </c>
    </row>
    <row r="586" spans="1:28" x14ac:dyDescent="0.25">
      <c r="A586" t="s">
        <v>222</v>
      </c>
      <c r="B586" t="s">
        <v>223</v>
      </c>
      <c r="C586">
        <v>2012</v>
      </c>
      <c r="D586">
        <v>0.11861356942908743</v>
      </c>
      <c r="E586">
        <v>0.38525971080650323</v>
      </c>
      <c r="F586">
        <v>0.16115830817509613</v>
      </c>
      <c r="G586">
        <v>2.1972245773362196</v>
      </c>
      <c r="H586">
        <v>0.77777777777777779</v>
      </c>
      <c r="I586">
        <v>0.66666666666666663</v>
      </c>
      <c r="J586">
        <v>0</v>
      </c>
      <c r="K586">
        <v>3</v>
      </c>
      <c r="L586">
        <v>1</v>
      </c>
      <c r="M586">
        <v>5</v>
      </c>
      <c r="N586">
        <v>4</v>
      </c>
      <c r="O586">
        <v>5</v>
      </c>
      <c r="P586">
        <v>1</v>
      </c>
      <c r="Q586">
        <f t="shared" si="63"/>
        <v>5</v>
      </c>
      <c r="R586">
        <f t="shared" si="64"/>
        <v>24</v>
      </c>
      <c r="S586">
        <f t="array" ref="S586">MAX(IF($C$2:$C$1387=C586,$R$2:$R$1387))</f>
        <v>29</v>
      </c>
      <c r="T586" cm="1">
        <f t="array" ref="T586">MIN(IF($C$2:$C$1387=C586,$R$2:$R$1387))</f>
        <v>11</v>
      </c>
      <c r="U586">
        <f t="shared" si="65"/>
        <v>18</v>
      </c>
      <c r="V586">
        <f t="shared" si="66"/>
        <v>0.72222222222222221</v>
      </c>
      <c r="W586" cm="1">
        <f t="array" ref="W586">_xlfn.IFS(N586=1,5,N586=2,4,N586=4,2,N586=5,1,N586=3,3)</f>
        <v>2</v>
      </c>
      <c r="X586">
        <f t="shared" si="67"/>
        <v>22</v>
      </c>
      <c r="Y586" cm="1">
        <f t="array" ref="Y586">MAX(IF($C$2:$C$1387=C586,$X$2:$X$1387))</f>
        <v>30</v>
      </c>
      <c r="Z586" cm="1">
        <f t="array" ref="Z586">MIN(IF($C$2:$C$1387=C586,$X$2:$X$1387))</f>
        <v>12</v>
      </c>
      <c r="AA586">
        <f t="shared" si="68"/>
        <v>18</v>
      </c>
      <c r="AB586">
        <f t="shared" si="69"/>
        <v>0.55555555555555558</v>
      </c>
    </row>
    <row r="587" spans="1:28" x14ac:dyDescent="0.25">
      <c r="A587" t="s">
        <v>222</v>
      </c>
      <c r="B587" t="s">
        <v>223</v>
      </c>
      <c r="C587">
        <v>2013</v>
      </c>
      <c r="D587">
        <v>0.11861356942908743</v>
      </c>
      <c r="E587">
        <v>0.38525971080650323</v>
      </c>
      <c r="F587">
        <v>0.16115830817509613</v>
      </c>
      <c r="G587">
        <v>2.1972245773362196</v>
      </c>
      <c r="H587">
        <v>0.77777777777777779</v>
      </c>
      <c r="I587">
        <v>0.66666666666666663</v>
      </c>
      <c r="J587">
        <v>0</v>
      </c>
      <c r="K587">
        <v>3</v>
      </c>
      <c r="L587">
        <v>1</v>
      </c>
      <c r="M587">
        <v>5</v>
      </c>
      <c r="N587">
        <v>4</v>
      </c>
      <c r="O587">
        <v>5</v>
      </c>
      <c r="P587">
        <v>1</v>
      </c>
      <c r="Q587">
        <f t="shared" si="63"/>
        <v>5</v>
      </c>
      <c r="R587">
        <f t="shared" si="64"/>
        <v>24</v>
      </c>
      <c r="S587">
        <f t="array" ref="S587">MAX(IF($C$2:$C$1387=C587,$R$2:$R$1387))</f>
        <v>29</v>
      </c>
      <c r="T587" cm="1">
        <f t="array" ref="T587">MIN(IF($C$2:$C$1387=C587,$R$2:$R$1387))</f>
        <v>10</v>
      </c>
      <c r="U587">
        <f t="shared" si="65"/>
        <v>19</v>
      </c>
      <c r="V587">
        <f t="shared" si="66"/>
        <v>0.73684210526315785</v>
      </c>
      <c r="W587" cm="1">
        <f t="array" ref="W587">_xlfn.IFS(N587=1,5,N587=2,4,N587=4,2,N587=5,1,N587=3,3)</f>
        <v>2</v>
      </c>
      <c r="X587">
        <f t="shared" si="67"/>
        <v>22</v>
      </c>
      <c r="Y587" cm="1">
        <f t="array" ref="Y587">MAX(IF($C$2:$C$1387=C587,$X$2:$X$1387))</f>
        <v>32</v>
      </c>
      <c r="Z587" cm="1">
        <f t="array" ref="Z587">MIN(IF($C$2:$C$1387=C587,$X$2:$X$1387))</f>
        <v>10</v>
      </c>
      <c r="AA587">
        <f t="shared" si="68"/>
        <v>22</v>
      </c>
      <c r="AB587">
        <f t="shared" si="69"/>
        <v>0.54545454545454541</v>
      </c>
    </row>
    <row r="588" spans="1:28" x14ac:dyDescent="0.25">
      <c r="A588" t="s">
        <v>222</v>
      </c>
      <c r="B588" t="s">
        <v>223</v>
      </c>
      <c r="C588">
        <v>2014</v>
      </c>
      <c r="D588">
        <v>0.11861356942908743</v>
      </c>
      <c r="E588">
        <v>0.38525971080650323</v>
      </c>
      <c r="F588">
        <v>0.16115830817509613</v>
      </c>
      <c r="G588">
        <v>2.1972245773362196</v>
      </c>
      <c r="H588">
        <v>0.77777777777777779</v>
      </c>
      <c r="I588">
        <v>0.66666666666666663</v>
      </c>
      <c r="J588">
        <v>0</v>
      </c>
      <c r="K588">
        <v>3</v>
      </c>
      <c r="L588">
        <v>1</v>
      </c>
      <c r="M588">
        <v>5</v>
      </c>
      <c r="N588">
        <v>4</v>
      </c>
      <c r="O588">
        <v>5</v>
      </c>
      <c r="P588">
        <v>1</v>
      </c>
      <c r="Q588">
        <f t="shared" si="63"/>
        <v>5</v>
      </c>
      <c r="R588">
        <f t="shared" si="64"/>
        <v>24</v>
      </c>
      <c r="S588">
        <f t="array" ref="S588">MAX(IF($C$2:$C$1387=C588,$R$2:$R$1387))</f>
        <v>29</v>
      </c>
      <c r="T588" cm="1">
        <f t="array" ref="T588">MIN(IF($C$2:$C$1387=C588,$R$2:$R$1387))</f>
        <v>11</v>
      </c>
      <c r="U588">
        <f t="shared" si="65"/>
        <v>18</v>
      </c>
      <c r="V588">
        <f t="shared" si="66"/>
        <v>0.72222222222222221</v>
      </c>
      <c r="W588" cm="1">
        <f t="array" ref="W588">_xlfn.IFS(N588=1,5,N588=2,4,N588=4,2,N588=5,1,N588=3,3)</f>
        <v>2</v>
      </c>
      <c r="X588">
        <f t="shared" si="67"/>
        <v>22</v>
      </c>
      <c r="Y588" cm="1">
        <f t="array" ref="Y588">MAX(IF($C$2:$C$1387=C588,$X$2:$X$1387))</f>
        <v>30</v>
      </c>
      <c r="Z588" cm="1">
        <f t="array" ref="Z588">MIN(IF($C$2:$C$1387=C588,$X$2:$X$1387))</f>
        <v>14</v>
      </c>
      <c r="AA588">
        <f t="shared" si="68"/>
        <v>16</v>
      </c>
      <c r="AB588">
        <f t="shared" si="69"/>
        <v>0.5</v>
      </c>
    </row>
    <row r="589" spans="1:28" x14ac:dyDescent="0.25">
      <c r="A589" t="s">
        <v>222</v>
      </c>
      <c r="B589" t="s">
        <v>223</v>
      </c>
      <c r="C589">
        <v>2015</v>
      </c>
      <c r="D589">
        <v>0.11861356942908743</v>
      </c>
      <c r="E589">
        <v>0.38525971080650323</v>
      </c>
      <c r="F589">
        <v>0.16115830817509613</v>
      </c>
      <c r="G589">
        <v>2.1972245773362196</v>
      </c>
      <c r="H589">
        <v>0.77777777777777779</v>
      </c>
      <c r="I589">
        <v>0.6</v>
      </c>
      <c r="J589">
        <v>0</v>
      </c>
      <c r="K589">
        <v>3</v>
      </c>
      <c r="L589">
        <v>1</v>
      </c>
      <c r="M589">
        <v>5</v>
      </c>
      <c r="N589">
        <v>4</v>
      </c>
      <c r="O589">
        <v>4</v>
      </c>
      <c r="P589">
        <v>1</v>
      </c>
      <c r="Q589">
        <f t="shared" si="63"/>
        <v>5</v>
      </c>
      <c r="R589">
        <f t="shared" si="64"/>
        <v>23</v>
      </c>
      <c r="S589">
        <f t="array" ref="S589">MAX(IF($C$2:$C$1387=C589,$R$2:$R$1387))</f>
        <v>29</v>
      </c>
      <c r="T589" cm="1">
        <f t="array" ref="T589">MIN(IF($C$2:$C$1387=C589,$R$2:$R$1387))</f>
        <v>11</v>
      </c>
      <c r="U589">
        <f t="shared" si="65"/>
        <v>18</v>
      </c>
      <c r="V589">
        <f t="shared" si="66"/>
        <v>0.66666666666666663</v>
      </c>
      <c r="W589" cm="1">
        <f t="array" ref="W589">_xlfn.IFS(N589=1,5,N589=2,4,N589=4,2,N589=5,1,N589=3,3)</f>
        <v>2</v>
      </c>
      <c r="X589">
        <f t="shared" si="67"/>
        <v>21</v>
      </c>
      <c r="Y589" cm="1">
        <f t="array" ref="Y589">MAX(IF($C$2:$C$1387=C589,$X$2:$X$1387))</f>
        <v>29</v>
      </c>
      <c r="Z589" cm="1">
        <f t="array" ref="Z589">MIN(IF($C$2:$C$1387=C589,$X$2:$X$1387))</f>
        <v>12</v>
      </c>
      <c r="AA589">
        <f t="shared" si="68"/>
        <v>17</v>
      </c>
      <c r="AB589">
        <f t="shared" si="69"/>
        <v>0.52941176470588236</v>
      </c>
    </row>
    <row r="590" spans="1:28" x14ac:dyDescent="0.25">
      <c r="A590" t="s">
        <v>224</v>
      </c>
      <c r="B590" t="s">
        <v>225</v>
      </c>
      <c r="C590">
        <v>2010</v>
      </c>
      <c r="D590">
        <v>2.9242226890756302E-2</v>
      </c>
      <c r="E590">
        <v>0.80900876750700279</v>
      </c>
      <c r="F590">
        <v>0.33235864145658262</v>
      </c>
      <c r="G590">
        <v>2.0794415416798357</v>
      </c>
      <c r="H590">
        <v>0.5</v>
      </c>
      <c r="I590">
        <v>0.6</v>
      </c>
      <c r="J590">
        <v>0</v>
      </c>
      <c r="K590">
        <v>2</v>
      </c>
      <c r="L590">
        <v>4</v>
      </c>
      <c r="M590">
        <v>5</v>
      </c>
      <c r="N590">
        <v>3</v>
      </c>
      <c r="O590">
        <v>2</v>
      </c>
      <c r="P590">
        <v>1</v>
      </c>
      <c r="Q590">
        <f t="shared" si="63"/>
        <v>5</v>
      </c>
      <c r="R590">
        <f t="shared" si="64"/>
        <v>22</v>
      </c>
      <c r="S590">
        <f t="array" ref="S590">MAX(IF($C$2:$C$1387=C590,$R$2:$R$1387))</f>
        <v>29</v>
      </c>
      <c r="T590" cm="1">
        <f t="array" ref="T590">MIN(IF($C$2:$C$1387=C590,$R$2:$R$1387))</f>
        <v>9</v>
      </c>
      <c r="U590">
        <f t="shared" si="65"/>
        <v>20</v>
      </c>
      <c r="V590">
        <f t="shared" si="66"/>
        <v>0.65</v>
      </c>
      <c r="W590" cm="1">
        <f t="array" ref="W590">_xlfn.IFS(N590=1,5,N590=2,4,N590=4,2,N590=5,1,N590=3,3)</f>
        <v>3</v>
      </c>
      <c r="X590">
        <f t="shared" si="67"/>
        <v>22</v>
      </c>
      <c r="Y590" cm="1">
        <f t="array" ref="Y590">MAX(IF($C$2:$C$1387=C590,$X$2:$X$1387))</f>
        <v>29</v>
      </c>
      <c r="Z590" cm="1">
        <f t="array" ref="Z590">MIN(IF($C$2:$C$1387=C590,$X$2:$X$1387))</f>
        <v>12</v>
      </c>
      <c r="AA590">
        <f t="shared" si="68"/>
        <v>17</v>
      </c>
      <c r="AB590">
        <f t="shared" si="69"/>
        <v>0.58823529411764708</v>
      </c>
    </row>
    <row r="591" spans="1:28" x14ac:dyDescent="0.25">
      <c r="A591" t="s">
        <v>224</v>
      </c>
      <c r="B591" t="s">
        <v>225</v>
      </c>
      <c r="C591">
        <v>2011</v>
      </c>
      <c r="D591">
        <v>1.6099439775910365E-4</v>
      </c>
      <c r="E591">
        <v>0.87172958683473389</v>
      </c>
      <c r="F591">
        <v>0.35505684873949578</v>
      </c>
      <c r="G591">
        <v>2.3978952727983707</v>
      </c>
      <c r="H591">
        <v>0.36363636363636365</v>
      </c>
      <c r="I591">
        <v>0.6</v>
      </c>
      <c r="J591">
        <v>0</v>
      </c>
      <c r="K591">
        <v>1</v>
      </c>
      <c r="L591">
        <v>5</v>
      </c>
      <c r="M591">
        <v>5</v>
      </c>
      <c r="N591">
        <v>5</v>
      </c>
      <c r="O591">
        <v>1</v>
      </c>
      <c r="P591">
        <v>1</v>
      </c>
      <c r="Q591">
        <f t="shared" si="63"/>
        <v>5</v>
      </c>
      <c r="R591">
        <f t="shared" si="64"/>
        <v>23</v>
      </c>
      <c r="S591">
        <f t="array" ref="S591">MAX(IF($C$2:$C$1387=C591,$R$2:$R$1387))</f>
        <v>28</v>
      </c>
      <c r="T591" cm="1">
        <f t="array" ref="T591">MIN(IF($C$2:$C$1387=C591,$R$2:$R$1387))</f>
        <v>10</v>
      </c>
      <c r="U591">
        <f t="shared" si="65"/>
        <v>18</v>
      </c>
      <c r="V591">
        <f t="shared" si="66"/>
        <v>0.72222222222222221</v>
      </c>
      <c r="W591" cm="1">
        <f t="array" ref="W591">_xlfn.IFS(N591=1,5,N591=2,4,N591=4,2,N591=5,1,N591=3,3)</f>
        <v>1</v>
      </c>
      <c r="X591">
        <f t="shared" si="67"/>
        <v>19</v>
      </c>
      <c r="Y591" cm="1">
        <f t="array" ref="Y591">MAX(IF($C$2:$C$1387=C591,$X$2:$X$1387))</f>
        <v>29</v>
      </c>
      <c r="Z591" cm="1">
        <f t="array" ref="Z591">MIN(IF($C$2:$C$1387=C591,$X$2:$X$1387))</f>
        <v>12</v>
      </c>
      <c r="AA591">
        <f t="shared" si="68"/>
        <v>17</v>
      </c>
      <c r="AB591">
        <f t="shared" si="69"/>
        <v>0.41176470588235292</v>
      </c>
    </row>
    <row r="592" spans="1:28" x14ac:dyDescent="0.25">
      <c r="A592" t="s">
        <v>224</v>
      </c>
      <c r="B592" t="s">
        <v>225</v>
      </c>
      <c r="C592">
        <v>2012</v>
      </c>
      <c r="D592">
        <v>1.5259103641456582E-4</v>
      </c>
      <c r="E592">
        <v>0.87878179271708678</v>
      </c>
      <c r="F592">
        <v>0.37955319327731091</v>
      </c>
      <c r="G592">
        <v>2.0794415416798357</v>
      </c>
      <c r="H592">
        <v>0.5</v>
      </c>
      <c r="I592">
        <v>0.6</v>
      </c>
      <c r="J592">
        <v>0</v>
      </c>
      <c r="K592">
        <v>1</v>
      </c>
      <c r="L592">
        <v>5</v>
      </c>
      <c r="M592">
        <v>5</v>
      </c>
      <c r="N592">
        <v>3</v>
      </c>
      <c r="O592">
        <v>2</v>
      </c>
      <c r="P592">
        <v>1</v>
      </c>
      <c r="Q592">
        <f t="shared" si="63"/>
        <v>5</v>
      </c>
      <c r="R592">
        <f t="shared" si="64"/>
        <v>22</v>
      </c>
      <c r="S592">
        <f t="array" ref="S592">MAX(IF($C$2:$C$1387=C592,$R$2:$R$1387))</f>
        <v>29</v>
      </c>
      <c r="T592" cm="1">
        <f t="array" ref="T592">MIN(IF($C$2:$C$1387=C592,$R$2:$R$1387))</f>
        <v>11</v>
      </c>
      <c r="U592">
        <f t="shared" si="65"/>
        <v>18</v>
      </c>
      <c r="V592">
        <f t="shared" si="66"/>
        <v>0.61111111111111116</v>
      </c>
      <c r="W592" cm="1">
        <f t="array" ref="W592">_xlfn.IFS(N592=1,5,N592=2,4,N592=4,2,N592=5,1,N592=3,3)</f>
        <v>3</v>
      </c>
      <c r="X592">
        <f t="shared" si="67"/>
        <v>22</v>
      </c>
      <c r="Y592" cm="1">
        <f t="array" ref="Y592">MAX(IF($C$2:$C$1387=C592,$X$2:$X$1387))</f>
        <v>30</v>
      </c>
      <c r="Z592" cm="1">
        <f t="array" ref="Z592">MIN(IF($C$2:$C$1387=C592,$X$2:$X$1387))</f>
        <v>12</v>
      </c>
      <c r="AA592">
        <f t="shared" si="68"/>
        <v>18</v>
      </c>
      <c r="AB592">
        <f t="shared" si="69"/>
        <v>0.55555555555555558</v>
      </c>
    </row>
    <row r="593" spans="1:28" x14ac:dyDescent="0.25">
      <c r="A593" t="s">
        <v>224</v>
      </c>
      <c r="B593" t="s">
        <v>225</v>
      </c>
      <c r="C593">
        <v>2013</v>
      </c>
      <c r="D593">
        <v>1.5259103641456582E-4</v>
      </c>
      <c r="E593">
        <v>0.87878179271708678</v>
      </c>
      <c r="F593">
        <v>0.37955319327731091</v>
      </c>
      <c r="G593">
        <v>2.1972245773362196</v>
      </c>
      <c r="H593">
        <v>0.77777777777777779</v>
      </c>
      <c r="I593">
        <v>0.6</v>
      </c>
      <c r="J593">
        <v>0</v>
      </c>
      <c r="K593">
        <v>1</v>
      </c>
      <c r="L593">
        <v>5</v>
      </c>
      <c r="M593">
        <v>5</v>
      </c>
      <c r="N593">
        <v>4</v>
      </c>
      <c r="O593">
        <v>5</v>
      </c>
      <c r="P593">
        <v>1</v>
      </c>
      <c r="Q593">
        <f t="shared" si="63"/>
        <v>5</v>
      </c>
      <c r="R593">
        <f t="shared" si="64"/>
        <v>26</v>
      </c>
      <c r="S593">
        <f t="array" ref="S593">MAX(IF($C$2:$C$1387=C593,$R$2:$R$1387))</f>
        <v>29</v>
      </c>
      <c r="T593" cm="1">
        <f t="array" ref="T593">MIN(IF($C$2:$C$1387=C593,$R$2:$R$1387))</f>
        <v>10</v>
      </c>
      <c r="U593">
        <f t="shared" si="65"/>
        <v>19</v>
      </c>
      <c r="V593">
        <f t="shared" si="66"/>
        <v>0.84210526315789469</v>
      </c>
      <c r="W593" cm="1">
        <f t="array" ref="W593">_xlfn.IFS(N593=1,5,N593=2,4,N593=4,2,N593=5,1,N593=3,3)</f>
        <v>2</v>
      </c>
      <c r="X593">
        <f t="shared" si="67"/>
        <v>24</v>
      </c>
      <c r="Y593" cm="1">
        <f t="array" ref="Y593">MAX(IF($C$2:$C$1387=C593,$X$2:$X$1387))</f>
        <v>32</v>
      </c>
      <c r="Z593" cm="1">
        <f t="array" ref="Z593">MIN(IF($C$2:$C$1387=C593,$X$2:$X$1387))</f>
        <v>10</v>
      </c>
      <c r="AA593">
        <f t="shared" si="68"/>
        <v>22</v>
      </c>
      <c r="AB593">
        <f t="shared" si="69"/>
        <v>0.63636363636363635</v>
      </c>
    </row>
    <row r="594" spans="1:28" x14ac:dyDescent="0.25">
      <c r="A594" t="s">
        <v>224</v>
      </c>
      <c r="B594" t="s">
        <v>225</v>
      </c>
      <c r="C594">
        <v>2014</v>
      </c>
      <c r="D594">
        <v>2.8354341736694675E-4</v>
      </c>
      <c r="E594">
        <v>0.85550867647058826</v>
      </c>
      <c r="F594">
        <v>0.38169713585434173</v>
      </c>
      <c r="G594">
        <v>2.1972245773362196</v>
      </c>
      <c r="H594">
        <v>0.77777777777777779</v>
      </c>
      <c r="I594">
        <v>0.6</v>
      </c>
      <c r="J594">
        <v>0</v>
      </c>
      <c r="K594">
        <v>1</v>
      </c>
      <c r="L594">
        <v>5</v>
      </c>
      <c r="M594">
        <v>5</v>
      </c>
      <c r="N594">
        <v>4</v>
      </c>
      <c r="O594">
        <v>5</v>
      </c>
      <c r="P594">
        <v>1</v>
      </c>
      <c r="Q594">
        <f t="shared" si="63"/>
        <v>5</v>
      </c>
      <c r="R594">
        <f t="shared" si="64"/>
        <v>26</v>
      </c>
      <c r="S594">
        <f t="array" ref="S594">MAX(IF($C$2:$C$1387=C594,$R$2:$R$1387))</f>
        <v>29</v>
      </c>
      <c r="T594" cm="1">
        <f t="array" ref="T594">MIN(IF($C$2:$C$1387=C594,$R$2:$R$1387))</f>
        <v>11</v>
      </c>
      <c r="U594">
        <f t="shared" si="65"/>
        <v>18</v>
      </c>
      <c r="V594">
        <f t="shared" si="66"/>
        <v>0.83333333333333337</v>
      </c>
      <c r="W594" cm="1">
        <f t="array" ref="W594">_xlfn.IFS(N594=1,5,N594=2,4,N594=4,2,N594=5,1,N594=3,3)</f>
        <v>2</v>
      </c>
      <c r="X594">
        <f t="shared" si="67"/>
        <v>24</v>
      </c>
      <c r="Y594" cm="1">
        <f t="array" ref="Y594">MAX(IF($C$2:$C$1387=C594,$X$2:$X$1387))</f>
        <v>30</v>
      </c>
      <c r="Z594" cm="1">
        <f t="array" ref="Z594">MIN(IF($C$2:$C$1387=C594,$X$2:$X$1387))</f>
        <v>14</v>
      </c>
      <c r="AA594">
        <f t="shared" si="68"/>
        <v>16</v>
      </c>
      <c r="AB594">
        <f t="shared" si="69"/>
        <v>0.625</v>
      </c>
    </row>
    <row r="595" spans="1:28" x14ac:dyDescent="0.25">
      <c r="A595" t="s">
        <v>224</v>
      </c>
      <c r="B595" t="s">
        <v>225</v>
      </c>
      <c r="C595">
        <v>2015</v>
      </c>
      <c r="D595">
        <v>1.7209383753501401E-4</v>
      </c>
      <c r="E595">
        <v>0.84597646358543421</v>
      </c>
      <c r="F595">
        <v>0.386105931372549</v>
      </c>
      <c r="G595">
        <v>2.1972245773362196</v>
      </c>
      <c r="H595">
        <v>0.77777777777777779</v>
      </c>
      <c r="I595">
        <v>0.4</v>
      </c>
      <c r="J595">
        <v>0</v>
      </c>
      <c r="K595">
        <v>1</v>
      </c>
      <c r="L595">
        <v>5</v>
      </c>
      <c r="M595">
        <v>5</v>
      </c>
      <c r="N595">
        <v>4</v>
      </c>
      <c r="O595">
        <v>4</v>
      </c>
      <c r="P595">
        <v>1</v>
      </c>
      <c r="Q595">
        <f t="shared" si="63"/>
        <v>5</v>
      </c>
      <c r="R595">
        <f t="shared" si="64"/>
        <v>25</v>
      </c>
      <c r="S595">
        <f t="array" ref="S595">MAX(IF($C$2:$C$1387=C595,$R$2:$R$1387))</f>
        <v>29</v>
      </c>
      <c r="T595" cm="1">
        <f t="array" ref="T595">MIN(IF($C$2:$C$1387=C595,$R$2:$R$1387))</f>
        <v>11</v>
      </c>
      <c r="U595">
        <f t="shared" si="65"/>
        <v>18</v>
      </c>
      <c r="V595">
        <f t="shared" si="66"/>
        <v>0.77777777777777779</v>
      </c>
      <c r="W595" cm="1">
        <f t="array" ref="W595">_xlfn.IFS(N595=1,5,N595=2,4,N595=4,2,N595=5,1,N595=3,3)</f>
        <v>2</v>
      </c>
      <c r="X595">
        <f t="shared" si="67"/>
        <v>23</v>
      </c>
      <c r="Y595" cm="1">
        <f t="array" ref="Y595">MAX(IF($C$2:$C$1387=C595,$X$2:$X$1387))</f>
        <v>29</v>
      </c>
      <c r="Z595" cm="1">
        <f t="array" ref="Z595">MIN(IF($C$2:$C$1387=C595,$X$2:$X$1387))</f>
        <v>12</v>
      </c>
      <c r="AA595">
        <f t="shared" si="68"/>
        <v>17</v>
      </c>
      <c r="AB595">
        <f t="shared" si="69"/>
        <v>0.6470588235294118</v>
      </c>
    </row>
    <row r="596" spans="1:28" x14ac:dyDescent="0.25">
      <c r="A596" t="s">
        <v>226</v>
      </c>
      <c r="B596" t="s">
        <v>227</v>
      </c>
      <c r="C596">
        <v>2010</v>
      </c>
      <c r="D596">
        <v>1.0644680562813292E-4</v>
      </c>
      <c r="E596">
        <v>0.96573372492855158</v>
      </c>
      <c r="F596">
        <v>9.4299999999999995E-2</v>
      </c>
      <c r="G596">
        <v>1.9459101490553132</v>
      </c>
      <c r="H596">
        <v>0.42857142857142855</v>
      </c>
      <c r="I596">
        <v>1</v>
      </c>
      <c r="J596">
        <v>0</v>
      </c>
      <c r="K596">
        <v>1</v>
      </c>
      <c r="L596">
        <v>5</v>
      </c>
      <c r="M596">
        <v>4</v>
      </c>
      <c r="N596">
        <v>1</v>
      </c>
      <c r="O596">
        <v>2</v>
      </c>
      <c r="P596">
        <v>3</v>
      </c>
      <c r="Q596">
        <f t="shared" si="63"/>
        <v>5</v>
      </c>
      <c r="R596">
        <f t="shared" si="64"/>
        <v>21</v>
      </c>
      <c r="S596">
        <f t="array" ref="S596">MAX(IF($C$2:$C$1387=C596,$R$2:$R$1387))</f>
        <v>29</v>
      </c>
      <c r="T596" cm="1">
        <f t="array" ref="T596">MIN(IF($C$2:$C$1387=C596,$R$2:$R$1387))</f>
        <v>9</v>
      </c>
      <c r="U596">
        <f t="shared" si="65"/>
        <v>20</v>
      </c>
      <c r="V596">
        <f t="shared" si="66"/>
        <v>0.6</v>
      </c>
      <c r="W596" cm="1">
        <f t="array" ref="W596">_xlfn.IFS(N596=1,5,N596=2,4,N596=4,2,N596=5,1,N596=3,3)</f>
        <v>5</v>
      </c>
      <c r="X596">
        <f t="shared" si="67"/>
        <v>25</v>
      </c>
      <c r="Y596" cm="1">
        <f t="array" ref="Y596">MAX(IF($C$2:$C$1387=C596,$X$2:$X$1387))</f>
        <v>29</v>
      </c>
      <c r="Z596" cm="1">
        <f t="array" ref="Z596">MIN(IF($C$2:$C$1387=C596,$X$2:$X$1387))</f>
        <v>12</v>
      </c>
      <c r="AA596">
        <f t="shared" si="68"/>
        <v>17</v>
      </c>
      <c r="AB596">
        <f t="shared" si="69"/>
        <v>0.76470588235294112</v>
      </c>
    </row>
    <row r="597" spans="1:28" x14ac:dyDescent="0.25">
      <c r="A597" t="s">
        <v>226</v>
      </c>
      <c r="B597" t="s">
        <v>227</v>
      </c>
      <c r="C597">
        <v>2011</v>
      </c>
      <c r="D597">
        <v>4.8384911649151328E-5</v>
      </c>
      <c r="E597">
        <v>0.96117312443954139</v>
      </c>
      <c r="F597">
        <v>5.1823788603095347E-2</v>
      </c>
      <c r="G597">
        <v>1.9459101490553132</v>
      </c>
      <c r="H597">
        <v>0.5714285714285714</v>
      </c>
      <c r="I597">
        <v>1</v>
      </c>
      <c r="J597">
        <v>0</v>
      </c>
      <c r="K597">
        <v>1</v>
      </c>
      <c r="L597">
        <v>5</v>
      </c>
      <c r="M597">
        <v>3</v>
      </c>
      <c r="N597">
        <v>1</v>
      </c>
      <c r="O597">
        <v>2</v>
      </c>
      <c r="P597">
        <v>3</v>
      </c>
      <c r="Q597">
        <f t="shared" si="63"/>
        <v>5</v>
      </c>
      <c r="R597">
        <f t="shared" si="64"/>
        <v>20</v>
      </c>
      <c r="S597">
        <f t="array" ref="S597">MAX(IF($C$2:$C$1387=C597,$R$2:$R$1387))</f>
        <v>28</v>
      </c>
      <c r="T597" cm="1">
        <f t="array" ref="T597">MIN(IF($C$2:$C$1387=C597,$R$2:$R$1387))</f>
        <v>10</v>
      </c>
      <c r="U597">
        <f t="shared" si="65"/>
        <v>18</v>
      </c>
      <c r="V597">
        <f t="shared" si="66"/>
        <v>0.55555555555555558</v>
      </c>
      <c r="W597" cm="1">
        <f t="array" ref="W597">_xlfn.IFS(N597=1,5,N597=2,4,N597=4,2,N597=5,1,N597=3,3)</f>
        <v>5</v>
      </c>
      <c r="X597">
        <f t="shared" si="67"/>
        <v>24</v>
      </c>
      <c r="Y597" cm="1">
        <f t="array" ref="Y597">MAX(IF($C$2:$C$1387=C597,$X$2:$X$1387))</f>
        <v>29</v>
      </c>
      <c r="Z597" cm="1">
        <f t="array" ref="Z597">MIN(IF($C$2:$C$1387=C597,$X$2:$X$1387))</f>
        <v>12</v>
      </c>
      <c r="AA597">
        <f t="shared" si="68"/>
        <v>17</v>
      </c>
      <c r="AB597">
        <f t="shared" si="69"/>
        <v>0.70588235294117652</v>
      </c>
    </row>
    <row r="598" spans="1:28" x14ac:dyDescent="0.25">
      <c r="A598" t="s">
        <v>226</v>
      </c>
      <c r="B598" t="s">
        <v>227</v>
      </c>
      <c r="C598">
        <v>2012</v>
      </c>
      <c r="D598">
        <v>4.8384911649151328E-5</v>
      </c>
      <c r="E598">
        <v>0.96117312443954139</v>
      </c>
      <c r="F598">
        <v>5.1823788603095347E-2</v>
      </c>
      <c r="G598">
        <v>1.9459101490553132</v>
      </c>
      <c r="H598">
        <v>0.5714285714285714</v>
      </c>
      <c r="I598">
        <v>1</v>
      </c>
      <c r="J598">
        <v>0</v>
      </c>
      <c r="K598">
        <v>1</v>
      </c>
      <c r="L598">
        <v>5</v>
      </c>
      <c r="M598">
        <v>3</v>
      </c>
      <c r="N598">
        <v>1</v>
      </c>
      <c r="O598">
        <v>2</v>
      </c>
      <c r="P598">
        <v>3</v>
      </c>
      <c r="Q598">
        <f t="shared" si="63"/>
        <v>5</v>
      </c>
      <c r="R598">
        <f t="shared" si="64"/>
        <v>20</v>
      </c>
      <c r="S598">
        <f t="array" ref="S598">MAX(IF($C$2:$C$1387=C598,$R$2:$R$1387))</f>
        <v>29</v>
      </c>
      <c r="T598" cm="1">
        <f t="array" ref="T598">MIN(IF($C$2:$C$1387=C598,$R$2:$R$1387))</f>
        <v>11</v>
      </c>
      <c r="U598">
        <f t="shared" si="65"/>
        <v>18</v>
      </c>
      <c r="V598">
        <f t="shared" si="66"/>
        <v>0.5</v>
      </c>
      <c r="W598" cm="1">
        <f t="array" ref="W598">_xlfn.IFS(N598=1,5,N598=2,4,N598=4,2,N598=5,1,N598=3,3)</f>
        <v>5</v>
      </c>
      <c r="X598">
        <f t="shared" si="67"/>
        <v>24</v>
      </c>
      <c r="Y598" cm="1">
        <f t="array" ref="Y598">MAX(IF($C$2:$C$1387=C598,$X$2:$X$1387))</f>
        <v>30</v>
      </c>
      <c r="Z598" cm="1">
        <f t="array" ref="Z598">MIN(IF($C$2:$C$1387=C598,$X$2:$X$1387))</f>
        <v>12</v>
      </c>
      <c r="AA598">
        <f t="shared" si="68"/>
        <v>18</v>
      </c>
      <c r="AB598">
        <f t="shared" si="69"/>
        <v>0.66666666666666663</v>
      </c>
    </row>
    <row r="599" spans="1:28" x14ac:dyDescent="0.25">
      <c r="A599" t="s">
        <v>226</v>
      </c>
      <c r="B599" t="s">
        <v>227</v>
      </c>
      <c r="C599">
        <v>2013</v>
      </c>
      <c r="D599">
        <v>4.8384911649151328E-5</v>
      </c>
      <c r="E599">
        <v>0.92052737940867191</v>
      </c>
      <c r="F599">
        <v>0.10518266916977943</v>
      </c>
      <c r="G599">
        <v>2.0794415416798357</v>
      </c>
      <c r="H599">
        <v>0.375</v>
      </c>
      <c r="I599">
        <v>1</v>
      </c>
      <c r="J599">
        <v>0</v>
      </c>
      <c r="K599">
        <v>1</v>
      </c>
      <c r="L599">
        <v>5</v>
      </c>
      <c r="M599">
        <v>4</v>
      </c>
      <c r="N599">
        <v>3</v>
      </c>
      <c r="O599">
        <v>1</v>
      </c>
      <c r="P599">
        <v>3</v>
      </c>
      <c r="Q599">
        <f t="shared" si="63"/>
        <v>5</v>
      </c>
      <c r="R599">
        <f t="shared" si="64"/>
        <v>22</v>
      </c>
      <c r="S599">
        <f t="array" ref="S599">MAX(IF($C$2:$C$1387=C599,$R$2:$R$1387))</f>
        <v>29</v>
      </c>
      <c r="T599" cm="1">
        <f t="array" ref="T599">MIN(IF($C$2:$C$1387=C599,$R$2:$R$1387))</f>
        <v>10</v>
      </c>
      <c r="U599">
        <f t="shared" si="65"/>
        <v>19</v>
      </c>
      <c r="V599">
        <f t="shared" si="66"/>
        <v>0.63157894736842102</v>
      </c>
      <c r="W599" cm="1">
        <f t="array" ref="W599">_xlfn.IFS(N599=1,5,N599=2,4,N599=4,2,N599=5,1,N599=3,3)</f>
        <v>3</v>
      </c>
      <c r="X599">
        <f t="shared" si="67"/>
        <v>22</v>
      </c>
      <c r="Y599" cm="1">
        <f t="array" ref="Y599">MAX(IF($C$2:$C$1387=C599,$X$2:$X$1387))</f>
        <v>32</v>
      </c>
      <c r="Z599" cm="1">
        <f t="array" ref="Z599">MIN(IF($C$2:$C$1387=C599,$X$2:$X$1387))</f>
        <v>10</v>
      </c>
      <c r="AA599">
        <f t="shared" si="68"/>
        <v>22</v>
      </c>
      <c r="AB599">
        <f t="shared" si="69"/>
        <v>0.54545454545454541</v>
      </c>
    </row>
    <row r="600" spans="1:28" x14ac:dyDescent="0.25">
      <c r="A600" t="s">
        <v>226</v>
      </c>
      <c r="B600" t="s">
        <v>227</v>
      </c>
      <c r="C600">
        <v>2014</v>
      </c>
      <c r="D600">
        <v>4.8384911649151328E-5</v>
      </c>
      <c r="E600">
        <v>0.96690891379099009</v>
      </c>
      <c r="F600">
        <v>2.0948086215461237E-2</v>
      </c>
      <c r="G600">
        <v>2.0794415416798357</v>
      </c>
      <c r="H600">
        <v>0.375</v>
      </c>
      <c r="I600">
        <v>1</v>
      </c>
      <c r="J600">
        <v>0</v>
      </c>
      <c r="K600">
        <v>1</v>
      </c>
      <c r="L600">
        <v>5</v>
      </c>
      <c r="M600">
        <v>2</v>
      </c>
      <c r="N600">
        <v>3</v>
      </c>
      <c r="O600">
        <v>1</v>
      </c>
      <c r="P600">
        <v>3</v>
      </c>
      <c r="Q600">
        <f t="shared" si="63"/>
        <v>5</v>
      </c>
      <c r="R600">
        <f t="shared" si="64"/>
        <v>20</v>
      </c>
      <c r="S600">
        <f t="array" ref="S600">MAX(IF($C$2:$C$1387=C600,$R$2:$R$1387))</f>
        <v>29</v>
      </c>
      <c r="T600" cm="1">
        <f t="array" ref="T600">MIN(IF($C$2:$C$1387=C600,$R$2:$R$1387))</f>
        <v>11</v>
      </c>
      <c r="U600">
        <f t="shared" si="65"/>
        <v>18</v>
      </c>
      <c r="V600">
        <f t="shared" si="66"/>
        <v>0.5</v>
      </c>
      <c r="W600" cm="1">
        <f t="array" ref="W600">_xlfn.IFS(N600=1,5,N600=2,4,N600=4,2,N600=5,1,N600=3,3)</f>
        <v>3</v>
      </c>
      <c r="X600">
        <f t="shared" si="67"/>
        <v>20</v>
      </c>
      <c r="Y600" cm="1">
        <f t="array" ref="Y600">MAX(IF($C$2:$C$1387=C600,$X$2:$X$1387))</f>
        <v>30</v>
      </c>
      <c r="Z600" cm="1">
        <f t="array" ref="Z600">MIN(IF($C$2:$C$1387=C600,$X$2:$X$1387))</f>
        <v>14</v>
      </c>
      <c r="AA600">
        <f t="shared" si="68"/>
        <v>16</v>
      </c>
      <c r="AB600">
        <f t="shared" si="69"/>
        <v>0.375</v>
      </c>
    </row>
    <row r="601" spans="1:28" x14ac:dyDescent="0.25">
      <c r="A601" t="s">
        <v>226</v>
      </c>
      <c r="B601" t="s">
        <v>227</v>
      </c>
      <c r="C601">
        <v>2015</v>
      </c>
      <c r="D601">
        <v>1.2096227912287832E-4</v>
      </c>
      <c r="E601">
        <v>0.96690891379099009</v>
      </c>
      <c r="F601">
        <v>1.5175766255717484E-2</v>
      </c>
      <c r="G601">
        <v>2.1972245773362196</v>
      </c>
      <c r="H601">
        <v>0.55555555555555558</v>
      </c>
      <c r="I601">
        <v>1</v>
      </c>
      <c r="J601">
        <v>0</v>
      </c>
      <c r="K601">
        <v>1</v>
      </c>
      <c r="L601">
        <v>5</v>
      </c>
      <c r="M601">
        <v>2</v>
      </c>
      <c r="N601">
        <v>4</v>
      </c>
      <c r="O601">
        <v>1</v>
      </c>
      <c r="P601">
        <v>2</v>
      </c>
      <c r="Q601">
        <f t="shared" si="63"/>
        <v>5</v>
      </c>
      <c r="R601">
        <f t="shared" si="64"/>
        <v>20</v>
      </c>
      <c r="S601">
        <f t="array" ref="S601">MAX(IF($C$2:$C$1387=C601,$R$2:$R$1387))</f>
        <v>29</v>
      </c>
      <c r="T601" cm="1">
        <f t="array" ref="T601">MIN(IF($C$2:$C$1387=C601,$R$2:$R$1387))</f>
        <v>11</v>
      </c>
      <c r="U601">
        <f t="shared" si="65"/>
        <v>18</v>
      </c>
      <c r="V601">
        <f t="shared" si="66"/>
        <v>0.5</v>
      </c>
      <c r="W601" cm="1">
        <f t="array" ref="W601">_xlfn.IFS(N601=1,5,N601=2,4,N601=4,2,N601=5,1,N601=3,3)</f>
        <v>2</v>
      </c>
      <c r="X601">
        <f t="shared" si="67"/>
        <v>18</v>
      </c>
      <c r="Y601" cm="1">
        <f t="array" ref="Y601">MAX(IF($C$2:$C$1387=C601,$X$2:$X$1387))</f>
        <v>29</v>
      </c>
      <c r="Z601" cm="1">
        <f t="array" ref="Z601">MIN(IF($C$2:$C$1387=C601,$X$2:$X$1387))</f>
        <v>12</v>
      </c>
      <c r="AA601">
        <f t="shared" si="68"/>
        <v>17</v>
      </c>
      <c r="AB601">
        <f t="shared" si="69"/>
        <v>0.35294117647058826</v>
      </c>
    </row>
    <row r="602" spans="1:28" x14ac:dyDescent="0.25">
      <c r="A602" t="s">
        <v>228</v>
      </c>
      <c r="B602" t="s">
        <v>229</v>
      </c>
      <c r="C602">
        <v>2010</v>
      </c>
      <c r="D602">
        <v>0.50614979761026602</v>
      </c>
      <c r="E602">
        <v>0.43783859391897378</v>
      </c>
      <c r="F602">
        <v>9.2811662066595801E-2</v>
      </c>
      <c r="G602">
        <v>2.1972245773362196</v>
      </c>
      <c r="H602">
        <v>0.55555555555555558</v>
      </c>
      <c r="I602">
        <v>0.66666666666666663</v>
      </c>
      <c r="J602">
        <v>0</v>
      </c>
      <c r="K602">
        <v>4</v>
      </c>
      <c r="L602">
        <v>1</v>
      </c>
      <c r="M602">
        <v>4</v>
      </c>
      <c r="N602">
        <v>4</v>
      </c>
      <c r="O602">
        <v>2</v>
      </c>
      <c r="P602">
        <v>1</v>
      </c>
      <c r="Q602">
        <f t="shared" si="63"/>
        <v>5</v>
      </c>
      <c r="R602">
        <f t="shared" si="64"/>
        <v>21</v>
      </c>
      <c r="S602">
        <f t="array" ref="S602">MAX(IF($C$2:$C$1387=C602,$R$2:$R$1387))</f>
        <v>29</v>
      </c>
      <c r="T602" cm="1">
        <f t="array" ref="T602">MIN(IF($C$2:$C$1387=C602,$R$2:$R$1387))</f>
        <v>9</v>
      </c>
      <c r="U602">
        <f t="shared" si="65"/>
        <v>20</v>
      </c>
      <c r="V602">
        <f t="shared" si="66"/>
        <v>0.6</v>
      </c>
      <c r="W602" cm="1">
        <f t="array" ref="W602">_xlfn.IFS(N602=1,5,N602=2,4,N602=4,2,N602=5,1,N602=3,3)</f>
        <v>2</v>
      </c>
      <c r="X602">
        <f t="shared" si="67"/>
        <v>19</v>
      </c>
      <c r="Y602" cm="1">
        <f t="array" ref="Y602">MAX(IF($C$2:$C$1387=C602,$X$2:$X$1387))</f>
        <v>29</v>
      </c>
      <c r="Z602" cm="1">
        <f t="array" ref="Z602">MIN(IF($C$2:$C$1387=C602,$X$2:$X$1387))</f>
        <v>12</v>
      </c>
      <c r="AA602">
        <f t="shared" si="68"/>
        <v>17</v>
      </c>
      <c r="AB602">
        <f t="shared" si="69"/>
        <v>0.41176470588235292</v>
      </c>
    </row>
    <row r="603" spans="1:28" x14ac:dyDescent="0.25">
      <c r="A603" t="s">
        <v>228</v>
      </c>
      <c r="B603" t="s">
        <v>229</v>
      </c>
      <c r="C603">
        <v>2011</v>
      </c>
      <c r="D603">
        <v>0.50614979761026602</v>
      </c>
      <c r="E603">
        <v>0.43783859391897378</v>
      </c>
      <c r="F603">
        <v>9.2811662066595801E-2</v>
      </c>
      <c r="G603">
        <v>2.1972245773362196</v>
      </c>
      <c r="H603">
        <v>0.55555555555555558</v>
      </c>
      <c r="I603">
        <v>0.66666666666666663</v>
      </c>
      <c r="J603">
        <v>0</v>
      </c>
      <c r="K603">
        <v>4</v>
      </c>
      <c r="L603">
        <v>1</v>
      </c>
      <c r="M603">
        <v>4</v>
      </c>
      <c r="N603">
        <v>4</v>
      </c>
      <c r="O603">
        <v>2</v>
      </c>
      <c r="P603">
        <v>1</v>
      </c>
      <c r="Q603">
        <f t="shared" si="63"/>
        <v>5</v>
      </c>
      <c r="R603">
        <f t="shared" si="64"/>
        <v>21</v>
      </c>
      <c r="S603">
        <f t="array" ref="S603">MAX(IF($C$2:$C$1387=C603,$R$2:$R$1387))</f>
        <v>28</v>
      </c>
      <c r="T603" cm="1">
        <f t="array" ref="T603">MIN(IF($C$2:$C$1387=C603,$R$2:$R$1387))</f>
        <v>10</v>
      </c>
      <c r="U603">
        <f t="shared" si="65"/>
        <v>18</v>
      </c>
      <c r="V603">
        <f t="shared" si="66"/>
        <v>0.61111111111111116</v>
      </c>
      <c r="W603" cm="1">
        <f t="array" ref="W603">_xlfn.IFS(N603=1,5,N603=2,4,N603=4,2,N603=5,1,N603=3,3)</f>
        <v>2</v>
      </c>
      <c r="X603">
        <f t="shared" si="67"/>
        <v>19</v>
      </c>
      <c r="Y603" cm="1">
        <f t="array" ref="Y603">MAX(IF($C$2:$C$1387=C603,$X$2:$X$1387))</f>
        <v>29</v>
      </c>
      <c r="Z603" cm="1">
        <f t="array" ref="Z603">MIN(IF($C$2:$C$1387=C603,$X$2:$X$1387))</f>
        <v>12</v>
      </c>
      <c r="AA603">
        <f t="shared" si="68"/>
        <v>17</v>
      </c>
      <c r="AB603">
        <f t="shared" si="69"/>
        <v>0.41176470588235292</v>
      </c>
    </row>
    <row r="604" spans="1:28" x14ac:dyDescent="0.25">
      <c r="A604" t="s">
        <v>228</v>
      </c>
      <c r="B604" t="s">
        <v>229</v>
      </c>
      <c r="C604">
        <v>2012</v>
      </c>
      <c r="D604">
        <v>0.26024936474578803</v>
      </c>
      <c r="E604">
        <v>0.36332932666326268</v>
      </c>
      <c r="F604">
        <v>8.0630050289548977E-2</v>
      </c>
      <c r="G604">
        <v>2.1972245773362196</v>
      </c>
      <c r="H604">
        <v>0.66666666666666663</v>
      </c>
      <c r="I604">
        <v>0.66666666666666663</v>
      </c>
      <c r="J604">
        <v>0</v>
      </c>
      <c r="K604">
        <v>3</v>
      </c>
      <c r="L604">
        <v>1</v>
      </c>
      <c r="M604">
        <v>4</v>
      </c>
      <c r="N604">
        <v>4</v>
      </c>
      <c r="O604">
        <v>3</v>
      </c>
      <c r="P604">
        <v>1</v>
      </c>
      <c r="Q604">
        <f t="shared" si="63"/>
        <v>5</v>
      </c>
      <c r="R604">
        <f t="shared" si="64"/>
        <v>21</v>
      </c>
      <c r="S604">
        <f t="array" ref="S604">MAX(IF($C$2:$C$1387=C604,$R$2:$R$1387))</f>
        <v>29</v>
      </c>
      <c r="T604" cm="1">
        <f t="array" ref="T604">MIN(IF($C$2:$C$1387=C604,$R$2:$R$1387))</f>
        <v>11</v>
      </c>
      <c r="U604">
        <f t="shared" si="65"/>
        <v>18</v>
      </c>
      <c r="V604">
        <f t="shared" si="66"/>
        <v>0.55555555555555558</v>
      </c>
      <c r="W604" cm="1">
        <f t="array" ref="W604">_xlfn.IFS(N604=1,5,N604=2,4,N604=4,2,N604=5,1,N604=3,3)</f>
        <v>2</v>
      </c>
      <c r="X604">
        <f t="shared" si="67"/>
        <v>19</v>
      </c>
      <c r="Y604" cm="1">
        <f t="array" ref="Y604">MAX(IF($C$2:$C$1387=C604,$X$2:$X$1387))</f>
        <v>30</v>
      </c>
      <c r="Z604" cm="1">
        <f t="array" ref="Z604">MIN(IF($C$2:$C$1387=C604,$X$2:$X$1387))</f>
        <v>12</v>
      </c>
      <c r="AA604">
        <f t="shared" si="68"/>
        <v>18</v>
      </c>
      <c r="AB604">
        <f t="shared" si="69"/>
        <v>0.3888888888888889</v>
      </c>
    </row>
    <row r="605" spans="1:28" x14ac:dyDescent="0.25">
      <c r="A605" t="s">
        <v>228</v>
      </c>
      <c r="B605" t="s">
        <v>229</v>
      </c>
      <c r="C605">
        <v>2013</v>
      </c>
      <c r="D605">
        <v>0.24849601361721452</v>
      </c>
      <c r="E605">
        <v>0.37617280080648974</v>
      </c>
      <c r="F605">
        <v>6.4413459749246949E-2</v>
      </c>
      <c r="G605">
        <v>2.1972245773362196</v>
      </c>
      <c r="H605">
        <v>0.55555555555555558</v>
      </c>
      <c r="I605">
        <v>0.66666666666666663</v>
      </c>
      <c r="J605">
        <v>0</v>
      </c>
      <c r="K605">
        <v>3</v>
      </c>
      <c r="L605">
        <v>1</v>
      </c>
      <c r="M605">
        <v>3</v>
      </c>
      <c r="N605">
        <v>4</v>
      </c>
      <c r="O605">
        <v>2</v>
      </c>
      <c r="P605">
        <v>1</v>
      </c>
      <c r="Q605">
        <f t="shared" si="63"/>
        <v>5</v>
      </c>
      <c r="R605">
        <f t="shared" si="64"/>
        <v>19</v>
      </c>
      <c r="S605">
        <f t="array" ref="S605">MAX(IF($C$2:$C$1387=C605,$R$2:$R$1387))</f>
        <v>29</v>
      </c>
      <c r="T605" cm="1">
        <f t="array" ref="T605">MIN(IF($C$2:$C$1387=C605,$R$2:$R$1387))</f>
        <v>10</v>
      </c>
      <c r="U605">
        <f t="shared" si="65"/>
        <v>19</v>
      </c>
      <c r="V605">
        <f t="shared" si="66"/>
        <v>0.47368421052631576</v>
      </c>
      <c r="W605" cm="1">
        <f t="array" ref="W605">_xlfn.IFS(N605=1,5,N605=2,4,N605=4,2,N605=5,1,N605=3,3)</f>
        <v>2</v>
      </c>
      <c r="X605">
        <f t="shared" si="67"/>
        <v>17</v>
      </c>
      <c r="Y605" cm="1">
        <f t="array" ref="Y605">MAX(IF($C$2:$C$1387=C605,$X$2:$X$1387))</f>
        <v>32</v>
      </c>
      <c r="Z605" cm="1">
        <f t="array" ref="Z605">MIN(IF($C$2:$C$1387=C605,$X$2:$X$1387))</f>
        <v>10</v>
      </c>
      <c r="AA605">
        <f t="shared" si="68"/>
        <v>22</v>
      </c>
      <c r="AB605">
        <f t="shared" si="69"/>
        <v>0.31818181818181818</v>
      </c>
    </row>
    <row r="606" spans="1:28" x14ac:dyDescent="0.25">
      <c r="A606" t="s">
        <v>228</v>
      </c>
      <c r="B606" t="s">
        <v>229</v>
      </c>
      <c r="C606">
        <v>2014</v>
      </c>
      <c r="D606">
        <v>0.25428204269438542</v>
      </c>
      <c r="E606">
        <v>0.36779669137021792</v>
      </c>
      <c r="F606">
        <v>7.8927073416009019E-2</v>
      </c>
      <c r="G606">
        <v>2.1972245773362196</v>
      </c>
      <c r="H606">
        <v>0.55555555555555558</v>
      </c>
      <c r="I606">
        <v>0.66666666666666663</v>
      </c>
      <c r="J606">
        <v>0</v>
      </c>
      <c r="K606">
        <v>3</v>
      </c>
      <c r="L606">
        <v>1</v>
      </c>
      <c r="M606">
        <v>4</v>
      </c>
      <c r="N606">
        <v>4</v>
      </c>
      <c r="O606">
        <v>2</v>
      </c>
      <c r="P606">
        <v>1</v>
      </c>
      <c r="Q606">
        <f t="shared" si="63"/>
        <v>5</v>
      </c>
      <c r="R606">
        <f t="shared" si="64"/>
        <v>20</v>
      </c>
      <c r="S606">
        <f t="array" ref="S606">MAX(IF($C$2:$C$1387=C606,$R$2:$R$1387))</f>
        <v>29</v>
      </c>
      <c r="T606" cm="1">
        <f t="array" ref="T606">MIN(IF($C$2:$C$1387=C606,$R$2:$R$1387))</f>
        <v>11</v>
      </c>
      <c r="U606">
        <f t="shared" si="65"/>
        <v>18</v>
      </c>
      <c r="V606">
        <f t="shared" si="66"/>
        <v>0.5</v>
      </c>
      <c r="W606" cm="1">
        <f t="array" ref="W606">_xlfn.IFS(N606=1,5,N606=2,4,N606=4,2,N606=5,1,N606=3,3)</f>
        <v>2</v>
      </c>
      <c r="X606">
        <f t="shared" si="67"/>
        <v>18</v>
      </c>
      <c r="Y606" cm="1">
        <f t="array" ref="Y606">MAX(IF($C$2:$C$1387=C606,$X$2:$X$1387))</f>
        <v>30</v>
      </c>
      <c r="Z606" cm="1">
        <f t="array" ref="Z606">MIN(IF($C$2:$C$1387=C606,$X$2:$X$1387))</f>
        <v>14</v>
      </c>
      <c r="AA606">
        <f t="shared" si="68"/>
        <v>16</v>
      </c>
      <c r="AB606">
        <f t="shared" si="69"/>
        <v>0.25</v>
      </c>
    </row>
    <row r="607" spans="1:28" x14ac:dyDescent="0.25">
      <c r="A607" t="s">
        <v>228</v>
      </c>
      <c r="B607" t="s">
        <v>229</v>
      </c>
      <c r="C607">
        <v>2015</v>
      </c>
      <c r="D607">
        <v>0.25423369473375124</v>
      </c>
      <c r="E607">
        <v>0.36743960457277192</v>
      </c>
      <c r="F607">
        <v>0.12646652403949499</v>
      </c>
      <c r="G607">
        <v>1.9459101490553132</v>
      </c>
      <c r="H607">
        <v>0.5714285714285714</v>
      </c>
      <c r="I607">
        <v>0.66666666666666663</v>
      </c>
      <c r="J607">
        <v>0</v>
      </c>
      <c r="K607">
        <v>3</v>
      </c>
      <c r="L607">
        <v>1</v>
      </c>
      <c r="M607">
        <v>4</v>
      </c>
      <c r="N607">
        <v>1</v>
      </c>
      <c r="O607">
        <v>1</v>
      </c>
      <c r="P607">
        <v>1</v>
      </c>
      <c r="Q607">
        <f t="shared" si="63"/>
        <v>5</v>
      </c>
      <c r="R607">
        <f t="shared" si="64"/>
        <v>16</v>
      </c>
      <c r="S607">
        <f t="array" ref="S607">MAX(IF($C$2:$C$1387=C607,$R$2:$R$1387))</f>
        <v>29</v>
      </c>
      <c r="T607" cm="1">
        <f t="array" ref="T607">MIN(IF($C$2:$C$1387=C607,$R$2:$R$1387))</f>
        <v>11</v>
      </c>
      <c r="U607">
        <f t="shared" si="65"/>
        <v>18</v>
      </c>
      <c r="V607">
        <f t="shared" si="66"/>
        <v>0.27777777777777779</v>
      </c>
      <c r="W607" cm="1">
        <f t="array" ref="W607">_xlfn.IFS(N607=1,5,N607=2,4,N607=4,2,N607=5,1,N607=3,3)</f>
        <v>5</v>
      </c>
      <c r="X607">
        <f t="shared" si="67"/>
        <v>20</v>
      </c>
      <c r="Y607" cm="1">
        <f t="array" ref="Y607">MAX(IF($C$2:$C$1387=C607,$X$2:$X$1387))</f>
        <v>29</v>
      </c>
      <c r="Z607" cm="1">
        <f t="array" ref="Z607">MIN(IF($C$2:$C$1387=C607,$X$2:$X$1387))</f>
        <v>12</v>
      </c>
      <c r="AA607">
        <f t="shared" si="68"/>
        <v>17</v>
      </c>
      <c r="AB607">
        <f t="shared" si="69"/>
        <v>0.47058823529411764</v>
      </c>
    </row>
    <row r="608" spans="1:28" x14ac:dyDescent="0.25">
      <c r="A608" t="s">
        <v>230</v>
      </c>
      <c r="B608" t="s">
        <v>231</v>
      </c>
      <c r="C608">
        <v>2010</v>
      </c>
      <c r="D608">
        <v>0.32229999542236326</v>
      </c>
      <c r="E608">
        <v>0.45202297520661155</v>
      </c>
      <c r="F608">
        <v>6.7000000000000004E-2</v>
      </c>
      <c r="G608">
        <v>2.3025850929940459</v>
      </c>
      <c r="H608">
        <v>0.5</v>
      </c>
      <c r="I608">
        <v>1</v>
      </c>
      <c r="J608">
        <v>1</v>
      </c>
      <c r="K608">
        <v>4</v>
      </c>
      <c r="L608">
        <v>1</v>
      </c>
      <c r="M608">
        <v>3</v>
      </c>
      <c r="N608">
        <v>5</v>
      </c>
      <c r="O608">
        <v>2</v>
      </c>
      <c r="P608">
        <v>3</v>
      </c>
      <c r="Q608">
        <f t="shared" si="63"/>
        <v>1</v>
      </c>
      <c r="R608">
        <f t="shared" si="64"/>
        <v>19</v>
      </c>
      <c r="S608">
        <f t="array" ref="S608">MAX(IF($C$2:$C$1387=C608,$R$2:$R$1387))</f>
        <v>29</v>
      </c>
      <c r="T608" cm="1">
        <f t="array" ref="T608">MIN(IF($C$2:$C$1387=C608,$R$2:$R$1387))</f>
        <v>9</v>
      </c>
      <c r="U608">
        <f t="shared" si="65"/>
        <v>20</v>
      </c>
      <c r="V608">
        <f t="shared" si="66"/>
        <v>0.5</v>
      </c>
      <c r="W608" cm="1">
        <f t="array" ref="W608">_xlfn.IFS(N608=1,5,N608=2,4,N608=4,2,N608=5,1,N608=3,3)</f>
        <v>1</v>
      </c>
      <c r="X608">
        <f t="shared" si="67"/>
        <v>15</v>
      </c>
      <c r="Y608" cm="1">
        <f t="array" ref="Y608">MAX(IF($C$2:$C$1387=C608,$X$2:$X$1387))</f>
        <v>29</v>
      </c>
      <c r="Z608" cm="1">
        <f t="array" ref="Z608">MIN(IF($C$2:$C$1387=C608,$X$2:$X$1387))</f>
        <v>12</v>
      </c>
      <c r="AA608">
        <f t="shared" si="68"/>
        <v>17</v>
      </c>
      <c r="AB608">
        <f t="shared" si="69"/>
        <v>0.17647058823529413</v>
      </c>
    </row>
    <row r="609" spans="1:28" x14ac:dyDescent="0.25">
      <c r="A609" t="s">
        <v>230</v>
      </c>
      <c r="B609" t="s">
        <v>231</v>
      </c>
      <c r="C609">
        <v>2011</v>
      </c>
      <c r="D609">
        <v>0.6554284117647059</v>
      </c>
      <c r="E609">
        <v>0.615371</v>
      </c>
      <c r="F609">
        <v>9.9364705882352944E-4</v>
      </c>
      <c r="G609">
        <v>2.4849066497880004</v>
      </c>
      <c r="H609">
        <v>0.33333333333333331</v>
      </c>
      <c r="I609">
        <v>1</v>
      </c>
      <c r="J609">
        <v>1</v>
      </c>
      <c r="K609">
        <v>5</v>
      </c>
      <c r="L609">
        <v>3</v>
      </c>
      <c r="M609">
        <v>1</v>
      </c>
      <c r="N609">
        <v>5</v>
      </c>
      <c r="O609">
        <v>1</v>
      </c>
      <c r="P609">
        <v>3</v>
      </c>
      <c r="Q609">
        <f t="shared" si="63"/>
        <v>1</v>
      </c>
      <c r="R609">
        <f t="shared" si="64"/>
        <v>19</v>
      </c>
      <c r="S609">
        <f t="array" ref="S609">MAX(IF($C$2:$C$1387=C609,$R$2:$R$1387))</f>
        <v>28</v>
      </c>
      <c r="T609" cm="1">
        <f t="array" ref="T609">MIN(IF($C$2:$C$1387=C609,$R$2:$R$1387))</f>
        <v>10</v>
      </c>
      <c r="U609">
        <f t="shared" si="65"/>
        <v>18</v>
      </c>
      <c r="V609">
        <f t="shared" si="66"/>
        <v>0.5</v>
      </c>
      <c r="W609" cm="1">
        <f t="array" ref="W609">_xlfn.IFS(N609=1,5,N609=2,4,N609=4,2,N609=5,1,N609=3,3)</f>
        <v>1</v>
      </c>
      <c r="X609">
        <f t="shared" si="67"/>
        <v>15</v>
      </c>
      <c r="Y609" cm="1">
        <f t="array" ref="Y609">MAX(IF($C$2:$C$1387=C609,$X$2:$X$1387))</f>
        <v>29</v>
      </c>
      <c r="Z609" cm="1">
        <f t="array" ref="Z609">MIN(IF($C$2:$C$1387=C609,$X$2:$X$1387))</f>
        <v>12</v>
      </c>
      <c r="AA609">
        <f t="shared" si="68"/>
        <v>17</v>
      </c>
      <c r="AB609">
        <f t="shared" si="69"/>
        <v>0.17647058823529413</v>
      </c>
    </row>
    <row r="610" spans="1:28" x14ac:dyDescent="0.25">
      <c r="A610" t="s">
        <v>230</v>
      </c>
      <c r="B610" t="s">
        <v>231</v>
      </c>
      <c r="C610">
        <v>2012</v>
      </c>
      <c r="D610">
        <v>0.6554284117647059</v>
      </c>
      <c r="E610">
        <v>0.615371</v>
      </c>
      <c r="F610">
        <v>9.9364705882352944E-4</v>
      </c>
      <c r="G610">
        <v>2.4849066497880004</v>
      </c>
      <c r="H610">
        <v>0.33333333333333331</v>
      </c>
      <c r="I610">
        <v>1</v>
      </c>
      <c r="J610">
        <v>1</v>
      </c>
      <c r="K610">
        <v>5</v>
      </c>
      <c r="L610">
        <v>3</v>
      </c>
      <c r="M610">
        <v>1</v>
      </c>
      <c r="N610">
        <v>5</v>
      </c>
      <c r="O610">
        <v>1</v>
      </c>
      <c r="P610">
        <v>3</v>
      </c>
      <c r="Q610">
        <f t="shared" si="63"/>
        <v>1</v>
      </c>
      <c r="R610">
        <f t="shared" si="64"/>
        <v>19</v>
      </c>
      <c r="S610">
        <f t="array" ref="S610">MAX(IF($C$2:$C$1387=C610,$R$2:$R$1387))</f>
        <v>29</v>
      </c>
      <c r="T610" cm="1">
        <f t="array" ref="T610">MIN(IF($C$2:$C$1387=C610,$R$2:$R$1387))</f>
        <v>11</v>
      </c>
      <c r="U610">
        <f t="shared" si="65"/>
        <v>18</v>
      </c>
      <c r="V610">
        <f t="shared" si="66"/>
        <v>0.44444444444444442</v>
      </c>
      <c r="W610" cm="1">
        <f t="array" ref="W610">_xlfn.IFS(N610=1,5,N610=2,4,N610=4,2,N610=5,1,N610=3,3)</f>
        <v>1</v>
      </c>
      <c r="X610">
        <f t="shared" si="67"/>
        <v>15</v>
      </c>
      <c r="Y610" cm="1">
        <f t="array" ref="Y610">MAX(IF($C$2:$C$1387=C610,$X$2:$X$1387))</f>
        <v>30</v>
      </c>
      <c r="Z610" cm="1">
        <f t="array" ref="Z610">MIN(IF($C$2:$C$1387=C610,$X$2:$X$1387))</f>
        <v>12</v>
      </c>
      <c r="AA610">
        <f t="shared" si="68"/>
        <v>18</v>
      </c>
      <c r="AB610">
        <f t="shared" si="69"/>
        <v>0.16666666666666666</v>
      </c>
    </row>
    <row r="611" spans="1:28" x14ac:dyDescent="0.25">
      <c r="A611" t="s">
        <v>230</v>
      </c>
      <c r="B611" t="s">
        <v>231</v>
      </c>
      <c r="C611">
        <v>2013</v>
      </c>
      <c r="D611">
        <v>0.71371276470588241</v>
      </c>
      <c r="E611">
        <v>0.63457664705882355</v>
      </c>
      <c r="F611">
        <v>2.6588235294117645E-4</v>
      </c>
      <c r="G611">
        <v>2.1972245773362196</v>
      </c>
      <c r="H611">
        <v>0.44444444444444442</v>
      </c>
      <c r="I611">
        <v>1</v>
      </c>
      <c r="J611">
        <v>1</v>
      </c>
      <c r="K611">
        <v>5</v>
      </c>
      <c r="L611">
        <v>3</v>
      </c>
      <c r="M611">
        <v>1</v>
      </c>
      <c r="N611">
        <v>4</v>
      </c>
      <c r="O611">
        <v>2</v>
      </c>
      <c r="P611">
        <v>3</v>
      </c>
      <c r="Q611">
        <f t="shared" si="63"/>
        <v>1</v>
      </c>
      <c r="R611">
        <f t="shared" si="64"/>
        <v>19</v>
      </c>
      <c r="S611">
        <f t="array" ref="S611">MAX(IF($C$2:$C$1387=C611,$R$2:$R$1387))</f>
        <v>29</v>
      </c>
      <c r="T611" cm="1">
        <f t="array" ref="T611">MIN(IF($C$2:$C$1387=C611,$R$2:$R$1387))</f>
        <v>10</v>
      </c>
      <c r="U611">
        <f t="shared" si="65"/>
        <v>19</v>
      </c>
      <c r="V611">
        <f t="shared" si="66"/>
        <v>0.47368421052631576</v>
      </c>
      <c r="W611" cm="1">
        <f t="array" ref="W611">_xlfn.IFS(N611=1,5,N611=2,4,N611=4,2,N611=5,1,N611=3,3)</f>
        <v>2</v>
      </c>
      <c r="X611">
        <f t="shared" si="67"/>
        <v>17</v>
      </c>
      <c r="Y611" cm="1">
        <f t="array" ref="Y611">MAX(IF($C$2:$C$1387=C611,$X$2:$X$1387))</f>
        <v>32</v>
      </c>
      <c r="Z611" cm="1">
        <f t="array" ref="Z611">MIN(IF($C$2:$C$1387=C611,$X$2:$X$1387))</f>
        <v>10</v>
      </c>
      <c r="AA611">
        <f t="shared" si="68"/>
        <v>22</v>
      </c>
      <c r="AB611">
        <f t="shared" si="69"/>
        <v>0.31818181818181818</v>
      </c>
    </row>
    <row r="612" spans="1:28" x14ac:dyDescent="0.25">
      <c r="A612" t="s">
        <v>230</v>
      </c>
      <c r="B612" t="s">
        <v>231</v>
      </c>
      <c r="C612">
        <v>2014</v>
      </c>
      <c r="D612">
        <v>0.71371276470588241</v>
      </c>
      <c r="E612">
        <v>0.63457664705882355</v>
      </c>
      <c r="F612">
        <v>2.6588235294117645E-4</v>
      </c>
      <c r="G612">
        <v>2.1972245773362196</v>
      </c>
      <c r="H612">
        <v>0.44444444444444442</v>
      </c>
      <c r="I612">
        <v>0.66666666666666663</v>
      </c>
      <c r="J612">
        <v>1</v>
      </c>
      <c r="K612">
        <v>5</v>
      </c>
      <c r="L612">
        <v>3</v>
      </c>
      <c r="M612">
        <v>1</v>
      </c>
      <c r="N612">
        <v>4</v>
      </c>
      <c r="O612">
        <v>2</v>
      </c>
      <c r="P612">
        <v>1</v>
      </c>
      <c r="Q612">
        <f t="shared" si="63"/>
        <v>1</v>
      </c>
      <c r="R612">
        <f t="shared" si="64"/>
        <v>17</v>
      </c>
      <c r="S612">
        <f t="array" ref="S612">MAX(IF($C$2:$C$1387=C612,$R$2:$R$1387))</f>
        <v>29</v>
      </c>
      <c r="T612" cm="1">
        <f t="array" ref="T612">MIN(IF($C$2:$C$1387=C612,$R$2:$R$1387))</f>
        <v>11</v>
      </c>
      <c r="U612">
        <f t="shared" si="65"/>
        <v>18</v>
      </c>
      <c r="V612">
        <f t="shared" si="66"/>
        <v>0.33333333333333331</v>
      </c>
      <c r="W612" cm="1">
        <f t="array" ref="W612">_xlfn.IFS(N612=1,5,N612=2,4,N612=4,2,N612=5,1,N612=3,3)</f>
        <v>2</v>
      </c>
      <c r="X612">
        <f t="shared" si="67"/>
        <v>15</v>
      </c>
      <c r="Y612" cm="1">
        <f t="array" ref="Y612">MAX(IF($C$2:$C$1387=C612,$X$2:$X$1387))</f>
        <v>30</v>
      </c>
      <c r="Z612" cm="1">
        <f t="array" ref="Z612">MIN(IF($C$2:$C$1387=C612,$X$2:$X$1387))</f>
        <v>14</v>
      </c>
      <c r="AA612">
        <f t="shared" si="68"/>
        <v>16</v>
      </c>
      <c r="AB612">
        <f t="shared" si="69"/>
        <v>6.25E-2</v>
      </c>
    </row>
    <row r="613" spans="1:28" x14ac:dyDescent="0.25">
      <c r="A613" t="s">
        <v>230</v>
      </c>
      <c r="B613" t="s">
        <v>231</v>
      </c>
      <c r="C613">
        <v>2015</v>
      </c>
      <c r="D613">
        <v>0.71371276470588241</v>
      </c>
      <c r="E613">
        <v>0.63457664705882355</v>
      </c>
      <c r="F613">
        <v>2.6588235294117645E-4</v>
      </c>
      <c r="G613">
        <v>2.1972245773362196</v>
      </c>
      <c r="H613">
        <v>0.44444444444444442</v>
      </c>
      <c r="I613">
        <v>0.66666666666666663</v>
      </c>
      <c r="J613">
        <v>1</v>
      </c>
      <c r="K613">
        <v>5</v>
      </c>
      <c r="L613">
        <v>3</v>
      </c>
      <c r="M613">
        <v>1</v>
      </c>
      <c r="N613">
        <v>4</v>
      </c>
      <c r="O613">
        <v>1</v>
      </c>
      <c r="P613">
        <v>1</v>
      </c>
      <c r="Q613">
        <f t="shared" si="63"/>
        <v>1</v>
      </c>
      <c r="R613">
        <f t="shared" si="64"/>
        <v>16</v>
      </c>
      <c r="S613">
        <f t="array" ref="S613">MAX(IF($C$2:$C$1387=C613,$R$2:$R$1387))</f>
        <v>29</v>
      </c>
      <c r="T613" cm="1">
        <f t="array" ref="T613">MIN(IF($C$2:$C$1387=C613,$R$2:$R$1387))</f>
        <v>11</v>
      </c>
      <c r="U613">
        <f t="shared" si="65"/>
        <v>18</v>
      </c>
      <c r="V613">
        <f t="shared" si="66"/>
        <v>0.27777777777777779</v>
      </c>
      <c r="W613" cm="1">
        <f t="array" ref="W613">_xlfn.IFS(N613=1,5,N613=2,4,N613=4,2,N613=5,1,N613=3,3)</f>
        <v>2</v>
      </c>
      <c r="X613">
        <f t="shared" si="67"/>
        <v>14</v>
      </c>
      <c r="Y613" cm="1">
        <f t="array" ref="Y613">MAX(IF($C$2:$C$1387=C613,$X$2:$X$1387))</f>
        <v>29</v>
      </c>
      <c r="Z613" cm="1">
        <f t="array" ref="Z613">MIN(IF($C$2:$C$1387=C613,$X$2:$X$1387))</f>
        <v>12</v>
      </c>
      <c r="AA613">
        <f t="shared" si="68"/>
        <v>17</v>
      </c>
      <c r="AB613">
        <f t="shared" si="69"/>
        <v>0.11764705882352941</v>
      </c>
    </row>
    <row r="614" spans="1:28" x14ac:dyDescent="0.25">
      <c r="A614" t="s">
        <v>232</v>
      </c>
      <c r="B614" t="s">
        <v>233</v>
      </c>
      <c r="C614">
        <v>2010</v>
      </c>
      <c r="D614">
        <v>0.48748315356867689</v>
      </c>
      <c r="E614">
        <v>0.3135300086584849</v>
      </c>
      <c r="F614">
        <v>0</v>
      </c>
      <c r="G614">
        <v>2.5649493574615367</v>
      </c>
      <c r="H614">
        <v>0.61538461538461542</v>
      </c>
      <c r="I614">
        <v>1</v>
      </c>
      <c r="J614">
        <v>0</v>
      </c>
      <c r="K614">
        <v>4</v>
      </c>
      <c r="L614">
        <v>1</v>
      </c>
      <c r="M614">
        <v>1</v>
      </c>
      <c r="N614">
        <v>5</v>
      </c>
      <c r="O614">
        <v>3</v>
      </c>
      <c r="P614">
        <v>3</v>
      </c>
      <c r="Q614">
        <f t="shared" si="63"/>
        <v>5</v>
      </c>
      <c r="R614">
        <f t="shared" si="64"/>
        <v>22</v>
      </c>
      <c r="S614">
        <f t="array" ref="S614">MAX(IF($C$2:$C$1387=C614,$R$2:$R$1387))</f>
        <v>29</v>
      </c>
      <c r="T614" cm="1">
        <f t="array" ref="T614">MIN(IF($C$2:$C$1387=C614,$R$2:$R$1387))</f>
        <v>9</v>
      </c>
      <c r="U614">
        <f t="shared" si="65"/>
        <v>20</v>
      </c>
      <c r="V614">
        <f t="shared" si="66"/>
        <v>0.65</v>
      </c>
      <c r="W614" cm="1">
        <f t="array" ref="W614">_xlfn.IFS(N614=1,5,N614=2,4,N614=4,2,N614=5,1,N614=3,3)</f>
        <v>1</v>
      </c>
      <c r="X614">
        <f t="shared" si="67"/>
        <v>18</v>
      </c>
      <c r="Y614" cm="1">
        <f t="array" ref="Y614">MAX(IF($C$2:$C$1387=C614,$X$2:$X$1387))</f>
        <v>29</v>
      </c>
      <c r="Z614" cm="1">
        <f t="array" ref="Z614">MIN(IF($C$2:$C$1387=C614,$X$2:$X$1387))</f>
        <v>12</v>
      </c>
      <c r="AA614">
        <f t="shared" si="68"/>
        <v>17</v>
      </c>
      <c r="AB614">
        <f t="shared" si="69"/>
        <v>0.35294117647058826</v>
      </c>
    </row>
    <row r="615" spans="1:28" x14ac:dyDescent="0.25">
      <c r="A615" t="s">
        <v>232</v>
      </c>
      <c r="B615" t="s">
        <v>233</v>
      </c>
      <c r="C615">
        <v>2011</v>
      </c>
      <c r="D615">
        <v>0.48931428407778682</v>
      </c>
      <c r="E615">
        <v>0.31536110312136389</v>
      </c>
      <c r="F615">
        <v>0.54203944852654995</v>
      </c>
      <c r="G615">
        <v>2.3025850929940459</v>
      </c>
      <c r="H615">
        <v>0.8</v>
      </c>
      <c r="I615">
        <v>1</v>
      </c>
      <c r="J615">
        <v>0</v>
      </c>
      <c r="K615">
        <v>4</v>
      </c>
      <c r="L615">
        <v>1</v>
      </c>
      <c r="M615">
        <v>5</v>
      </c>
      <c r="N615">
        <v>5</v>
      </c>
      <c r="O615">
        <v>5</v>
      </c>
      <c r="P615">
        <v>3</v>
      </c>
      <c r="Q615">
        <f t="shared" si="63"/>
        <v>5</v>
      </c>
      <c r="R615">
        <f t="shared" si="64"/>
        <v>28</v>
      </c>
      <c r="S615">
        <f t="array" ref="S615">MAX(IF($C$2:$C$1387=C615,$R$2:$R$1387))</f>
        <v>28</v>
      </c>
      <c r="T615" cm="1">
        <f t="array" ref="T615">MIN(IF($C$2:$C$1387=C615,$R$2:$R$1387))</f>
        <v>10</v>
      </c>
      <c r="U615">
        <f t="shared" si="65"/>
        <v>18</v>
      </c>
      <c r="V615">
        <f t="shared" si="66"/>
        <v>1</v>
      </c>
      <c r="W615" cm="1">
        <f t="array" ref="W615">_xlfn.IFS(N615=1,5,N615=2,4,N615=4,2,N615=5,1,N615=3,3)</f>
        <v>1</v>
      </c>
      <c r="X615">
        <f t="shared" si="67"/>
        <v>24</v>
      </c>
      <c r="Y615" cm="1">
        <f t="array" ref="Y615">MAX(IF($C$2:$C$1387=C615,$X$2:$X$1387))</f>
        <v>29</v>
      </c>
      <c r="Z615" cm="1">
        <f t="array" ref="Z615">MIN(IF($C$2:$C$1387=C615,$X$2:$X$1387))</f>
        <v>12</v>
      </c>
      <c r="AA615">
        <f t="shared" si="68"/>
        <v>17</v>
      </c>
      <c r="AB615">
        <f t="shared" si="69"/>
        <v>0.70588235294117652</v>
      </c>
    </row>
    <row r="616" spans="1:28" x14ac:dyDescent="0.25">
      <c r="A616" t="s">
        <v>232</v>
      </c>
      <c r="B616" t="s">
        <v>233</v>
      </c>
      <c r="C616">
        <v>2012</v>
      </c>
      <c r="D616">
        <v>0.48931428407778682</v>
      </c>
      <c r="E616">
        <v>0.31536110312136389</v>
      </c>
      <c r="F616">
        <v>0.54203944852654995</v>
      </c>
      <c r="G616">
        <v>2.3025850929940459</v>
      </c>
      <c r="H616">
        <v>0.8</v>
      </c>
      <c r="I616">
        <v>1</v>
      </c>
      <c r="J616">
        <v>0</v>
      </c>
      <c r="K616">
        <v>4</v>
      </c>
      <c r="L616">
        <v>1</v>
      </c>
      <c r="M616">
        <v>5</v>
      </c>
      <c r="N616">
        <v>5</v>
      </c>
      <c r="O616">
        <v>5</v>
      </c>
      <c r="P616">
        <v>3</v>
      </c>
      <c r="Q616">
        <f t="shared" si="63"/>
        <v>5</v>
      </c>
      <c r="R616">
        <f t="shared" si="64"/>
        <v>28</v>
      </c>
      <c r="S616">
        <f t="array" ref="S616">MAX(IF($C$2:$C$1387=C616,$R$2:$R$1387))</f>
        <v>29</v>
      </c>
      <c r="T616" cm="1">
        <f t="array" ref="T616">MIN(IF($C$2:$C$1387=C616,$R$2:$R$1387))</f>
        <v>11</v>
      </c>
      <c r="U616">
        <f t="shared" si="65"/>
        <v>18</v>
      </c>
      <c r="V616">
        <f t="shared" si="66"/>
        <v>0.94444444444444442</v>
      </c>
      <c r="W616" cm="1">
        <f t="array" ref="W616">_xlfn.IFS(N616=1,5,N616=2,4,N616=4,2,N616=5,1,N616=3,3)</f>
        <v>1</v>
      </c>
      <c r="X616">
        <f t="shared" si="67"/>
        <v>24</v>
      </c>
      <c r="Y616" cm="1">
        <f t="array" ref="Y616">MAX(IF($C$2:$C$1387=C616,$X$2:$X$1387))</f>
        <v>30</v>
      </c>
      <c r="Z616" cm="1">
        <f t="array" ref="Z616">MIN(IF($C$2:$C$1387=C616,$X$2:$X$1387))</f>
        <v>12</v>
      </c>
      <c r="AA616">
        <f t="shared" si="68"/>
        <v>18</v>
      </c>
      <c r="AB616">
        <f t="shared" si="69"/>
        <v>0.66666666666666663</v>
      </c>
    </row>
    <row r="617" spans="1:28" x14ac:dyDescent="0.25">
      <c r="A617" t="s">
        <v>232</v>
      </c>
      <c r="B617" t="s">
        <v>233</v>
      </c>
      <c r="C617">
        <v>2013</v>
      </c>
      <c r="D617">
        <v>0.54679084641290343</v>
      </c>
      <c r="E617">
        <v>0.33941233793637093</v>
      </c>
      <c r="F617">
        <v>1.2869549789604457E-2</v>
      </c>
      <c r="G617">
        <v>2.3978952727983707</v>
      </c>
      <c r="H617">
        <v>0.72727272727272729</v>
      </c>
      <c r="I617">
        <v>0.66666666666666663</v>
      </c>
      <c r="J617">
        <v>0</v>
      </c>
      <c r="K617">
        <v>5</v>
      </c>
      <c r="L617">
        <v>1</v>
      </c>
      <c r="M617">
        <v>2</v>
      </c>
      <c r="N617">
        <v>5</v>
      </c>
      <c r="O617">
        <v>4</v>
      </c>
      <c r="P617">
        <v>1</v>
      </c>
      <c r="Q617">
        <f t="shared" si="63"/>
        <v>5</v>
      </c>
      <c r="R617">
        <f t="shared" si="64"/>
        <v>23</v>
      </c>
      <c r="S617">
        <f t="array" ref="S617">MAX(IF($C$2:$C$1387=C617,$R$2:$R$1387))</f>
        <v>29</v>
      </c>
      <c r="T617" cm="1">
        <f t="array" ref="T617">MIN(IF($C$2:$C$1387=C617,$R$2:$R$1387))</f>
        <v>10</v>
      </c>
      <c r="U617">
        <f t="shared" si="65"/>
        <v>19</v>
      </c>
      <c r="V617">
        <f t="shared" si="66"/>
        <v>0.68421052631578949</v>
      </c>
      <c r="W617" cm="1">
        <f t="array" ref="W617">_xlfn.IFS(N617=1,5,N617=2,4,N617=4,2,N617=5,1,N617=3,3)</f>
        <v>1</v>
      </c>
      <c r="X617">
        <f t="shared" si="67"/>
        <v>19</v>
      </c>
      <c r="Y617" cm="1">
        <f t="array" ref="Y617">MAX(IF($C$2:$C$1387=C617,$X$2:$X$1387))</f>
        <v>32</v>
      </c>
      <c r="Z617" cm="1">
        <f t="array" ref="Z617">MIN(IF($C$2:$C$1387=C617,$X$2:$X$1387))</f>
        <v>10</v>
      </c>
      <c r="AA617">
        <f t="shared" si="68"/>
        <v>22</v>
      </c>
      <c r="AB617">
        <f t="shared" si="69"/>
        <v>0.40909090909090912</v>
      </c>
    </row>
    <row r="618" spans="1:28" x14ac:dyDescent="0.25">
      <c r="A618" t="s">
        <v>232</v>
      </c>
      <c r="B618" t="s">
        <v>233</v>
      </c>
      <c r="C618">
        <v>2014</v>
      </c>
      <c r="D618">
        <v>0.54798911324523625</v>
      </c>
      <c r="E618">
        <v>0.34057681142718871</v>
      </c>
      <c r="F618">
        <v>3.8398247518762196E-2</v>
      </c>
      <c r="G618">
        <v>2.3025850929940459</v>
      </c>
      <c r="H618">
        <v>0.8</v>
      </c>
      <c r="I618">
        <v>1</v>
      </c>
      <c r="J618">
        <v>0</v>
      </c>
      <c r="K618">
        <v>5</v>
      </c>
      <c r="L618">
        <v>1</v>
      </c>
      <c r="M618">
        <v>3</v>
      </c>
      <c r="N618">
        <v>5</v>
      </c>
      <c r="O618">
        <v>5</v>
      </c>
      <c r="P618">
        <v>3</v>
      </c>
      <c r="Q618">
        <f t="shared" si="63"/>
        <v>5</v>
      </c>
      <c r="R618">
        <f t="shared" si="64"/>
        <v>27</v>
      </c>
      <c r="S618">
        <f t="array" ref="S618">MAX(IF($C$2:$C$1387=C618,$R$2:$R$1387))</f>
        <v>29</v>
      </c>
      <c r="T618" cm="1">
        <f t="array" ref="T618">MIN(IF($C$2:$C$1387=C618,$R$2:$R$1387))</f>
        <v>11</v>
      </c>
      <c r="U618">
        <f t="shared" si="65"/>
        <v>18</v>
      </c>
      <c r="V618">
        <f t="shared" si="66"/>
        <v>0.88888888888888884</v>
      </c>
      <c r="W618" cm="1">
        <f t="array" ref="W618">_xlfn.IFS(N618=1,5,N618=2,4,N618=4,2,N618=5,1,N618=3,3)</f>
        <v>1</v>
      </c>
      <c r="X618">
        <f t="shared" si="67"/>
        <v>23</v>
      </c>
      <c r="Y618" cm="1">
        <f t="array" ref="Y618">MAX(IF($C$2:$C$1387=C618,$X$2:$X$1387))</f>
        <v>30</v>
      </c>
      <c r="Z618" cm="1">
        <f t="array" ref="Z618">MIN(IF($C$2:$C$1387=C618,$X$2:$X$1387))</f>
        <v>14</v>
      </c>
      <c r="AA618">
        <f t="shared" si="68"/>
        <v>16</v>
      </c>
      <c r="AB618">
        <f t="shared" si="69"/>
        <v>0.5625</v>
      </c>
    </row>
    <row r="619" spans="1:28" x14ac:dyDescent="0.25">
      <c r="A619" t="s">
        <v>232</v>
      </c>
      <c r="B619" t="s">
        <v>233</v>
      </c>
      <c r="C619">
        <v>2015</v>
      </c>
      <c r="D619">
        <v>0.54798911324523625</v>
      </c>
      <c r="E619">
        <v>0.34057681142718871</v>
      </c>
      <c r="F619">
        <v>3.5505537485079341E-2</v>
      </c>
      <c r="G619">
        <v>2.3978952727983707</v>
      </c>
      <c r="H619">
        <v>0.81818181818181823</v>
      </c>
      <c r="I619">
        <v>1</v>
      </c>
      <c r="J619">
        <v>0</v>
      </c>
      <c r="K619">
        <v>5</v>
      </c>
      <c r="L619">
        <v>1</v>
      </c>
      <c r="M619">
        <v>3</v>
      </c>
      <c r="N619">
        <v>5</v>
      </c>
      <c r="O619">
        <v>4</v>
      </c>
      <c r="P619">
        <v>2</v>
      </c>
      <c r="Q619">
        <f t="shared" si="63"/>
        <v>5</v>
      </c>
      <c r="R619">
        <f t="shared" si="64"/>
        <v>25</v>
      </c>
      <c r="S619">
        <f t="array" ref="S619">MAX(IF($C$2:$C$1387=C619,$R$2:$R$1387))</f>
        <v>29</v>
      </c>
      <c r="T619" cm="1">
        <f t="array" ref="T619">MIN(IF($C$2:$C$1387=C619,$R$2:$R$1387))</f>
        <v>11</v>
      </c>
      <c r="U619">
        <f t="shared" si="65"/>
        <v>18</v>
      </c>
      <c r="V619">
        <f t="shared" si="66"/>
        <v>0.77777777777777779</v>
      </c>
      <c r="W619" cm="1">
        <f t="array" ref="W619">_xlfn.IFS(N619=1,5,N619=2,4,N619=4,2,N619=5,1,N619=3,3)</f>
        <v>1</v>
      </c>
      <c r="X619">
        <f t="shared" si="67"/>
        <v>21</v>
      </c>
      <c r="Y619" cm="1">
        <f t="array" ref="Y619">MAX(IF($C$2:$C$1387=C619,$X$2:$X$1387))</f>
        <v>29</v>
      </c>
      <c r="Z619" cm="1">
        <f t="array" ref="Z619">MIN(IF($C$2:$C$1387=C619,$X$2:$X$1387))</f>
        <v>12</v>
      </c>
      <c r="AA619">
        <f t="shared" si="68"/>
        <v>17</v>
      </c>
      <c r="AB619">
        <f t="shared" si="69"/>
        <v>0.52941176470588236</v>
      </c>
    </row>
    <row r="620" spans="1:28" x14ac:dyDescent="0.25">
      <c r="A620" t="s">
        <v>234</v>
      </c>
      <c r="B620" t="s">
        <v>235</v>
      </c>
      <c r="C620">
        <v>2010</v>
      </c>
      <c r="D620">
        <v>6.3949980081612053E-5</v>
      </c>
      <c r="E620">
        <v>0.4606240109255188</v>
      </c>
      <c r="F620">
        <v>0.34639999999999999</v>
      </c>
      <c r="G620">
        <v>2.7080502011022101</v>
      </c>
      <c r="H620">
        <v>0.8666666666666667</v>
      </c>
      <c r="I620">
        <v>1</v>
      </c>
      <c r="J620">
        <v>0</v>
      </c>
      <c r="K620">
        <v>1</v>
      </c>
      <c r="L620">
        <v>1</v>
      </c>
      <c r="M620">
        <v>5</v>
      </c>
      <c r="N620">
        <v>5</v>
      </c>
      <c r="O620">
        <v>5</v>
      </c>
      <c r="P620">
        <v>3</v>
      </c>
      <c r="Q620">
        <f t="shared" si="63"/>
        <v>5</v>
      </c>
      <c r="R620">
        <f t="shared" si="64"/>
        <v>25</v>
      </c>
      <c r="S620">
        <f t="array" ref="S620">MAX(IF($C$2:$C$1387=C620,$R$2:$R$1387))</f>
        <v>29</v>
      </c>
      <c r="T620" cm="1">
        <f t="array" ref="T620">MIN(IF($C$2:$C$1387=C620,$R$2:$R$1387))</f>
        <v>9</v>
      </c>
      <c r="U620">
        <f t="shared" si="65"/>
        <v>20</v>
      </c>
      <c r="V620">
        <f t="shared" si="66"/>
        <v>0.8</v>
      </c>
      <c r="W620" cm="1">
        <f t="array" ref="W620">_xlfn.IFS(N620=1,5,N620=2,4,N620=4,2,N620=5,1,N620=3,3)</f>
        <v>1</v>
      </c>
      <c r="X620">
        <f t="shared" si="67"/>
        <v>21</v>
      </c>
      <c r="Y620" cm="1">
        <f t="array" ref="Y620">MAX(IF($C$2:$C$1387=C620,$X$2:$X$1387))</f>
        <v>29</v>
      </c>
      <c r="Z620" cm="1">
        <f t="array" ref="Z620">MIN(IF($C$2:$C$1387=C620,$X$2:$X$1387))</f>
        <v>12</v>
      </c>
      <c r="AA620">
        <f t="shared" si="68"/>
        <v>17</v>
      </c>
      <c r="AB620">
        <f t="shared" si="69"/>
        <v>0.52941176470588236</v>
      </c>
    </row>
    <row r="621" spans="1:28" x14ac:dyDescent="0.25">
      <c r="A621" t="s">
        <v>234</v>
      </c>
      <c r="B621" t="s">
        <v>235</v>
      </c>
      <c r="C621">
        <v>2011</v>
      </c>
      <c r="D621">
        <v>8.6418892002178445E-5</v>
      </c>
      <c r="E621">
        <v>0.44166839165256522</v>
      </c>
      <c r="F621">
        <v>0.50685900739708301</v>
      </c>
      <c r="G621">
        <v>2.0794415416798357</v>
      </c>
      <c r="H621">
        <v>0.5</v>
      </c>
      <c r="I621">
        <v>1</v>
      </c>
      <c r="J621">
        <v>0</v>
      </c>
      <c r="K621">
        <v>1</v>
      </c>
      <c r="L621">
        <v>1</v>
      </c>
      <c r="M621">
        <v>5</v>
      </c>
      <c r="N621">
        <v>3</v>
      </c>
      <c r="O621">
        <v>2</v>
      </c>
      <c r="P621">
        <v>3</v>
      </c>
      <c r="Q621">
        <f t="shared" si="63"/>
        <v>5</v>
      </c>
      <c r="R621">
        <f t="shared" si="64"/>
        <v>20</v>
      </c>
      <c r="S621">
        <f t="array" ref="S621">MAX(IF($C$2:$C$1387=C621,$R$2:$R$1387))</f>
        <v>28</v>
      </c>
      <c r="T621" cm="1">
        <f t="array" ref="T621">MIN(IF($C$2:$C$1387=C621,$R$2:$R$1387))</f>
        <v>10</v>
      </c>
      <c r="U621">
        <f t="shared" si="65"/>
        <v>18</v>
      </c>
      <c r="V621">
        <f t="shared" si="66"/>
        <v>0.55555555555555558</v>
      </c>
      <c r="W621" cm="1">
        <f t="array" ref="W621">_xlfn.IFS(N621=1,5,N621=2,4,N621=4,2,N621=5,1,N621=3,3)</f>
        <v>3</v>
      </c>
      <c r="X621">
        <f t="shared" si="67"/>
        <v>20</v>
      </c>
      <c r="Y621" cm="1">
        <f t="array" ref="Y621">MAX(IF($C$2:$C$1387=C621,$X$2:$X$1387))</f>
        <v>29</v>
      </c>
      <c r="Z621" cm="1">
        <f t="array" ref="Z621">MIN(IF($C$2:$C$1387=C621,$X$2:$X$1387))</f>
        <v>12</v>
      </c>
      <c r="AA621">
        <f t="shared" si="68"/>
        <v>17</v>
      </c>
      <c r="AB621">
        <f t="shared" si="69"/>
        <v>0.47058823529411764</v>
      </c>
    </row>
    <row r="622" spans="1:28" x14ac:dyDescent="0.25">
      <c r="A622" t="s">
        <v>234</v>
      </c>
      <c r="B622" t="s">
        <v>235</v>
      </c>
      <c r="C622">
        <v>2012</v>
      </c>
      <c r="D622">
        <v>4.3036608217084864E-5</v>
      </c>
      <c r="E622">
        <v>0.35955143036587733</v>
      </c>
      <c r="F622">
        <v>0.48787106918689838</v>
      </c>
      <c r="G622">
        <v>2.7725887222397811</v>
      </c>
      <c r="H622">
        <v>0.625</v>
      </c>
      <c r="I622">
        <v>1</v>
      </c>
      <c r="J622">
        <v>0</v>
      </c>
      <c r="K622">
        <v>1</v>
      </c>
      <c r="L622">
        <v>1</v>
      </c>
      <c r="M622">
        <v>5</v>
      </c>
      <c r="N622">
        <v>5</v>
      </c>
      <c r="O622">
        <v>3</v>
      </c>
      <c r="P622">
        <v>3</v>
      </c>
      <c r="Q622">
        <f t="shared" si="63"/>
        <v>5</v>
      </c>
      <c r="R622">
        <f t="shared" si="64"/>
        <v>23</v>
      </c>
      <c r="S622">
        <f t="array" ref="S622">MAX(IF($C$2:$C$1387=C622,$R$2:$R$1387))</f>
        <v>29</v>
      </c>
      <c r="T622" cm="1">
        <f t="array" ref="T622">MIN(IF($C$2:$C$1387=C622,$R$2:$R$1387))</f>
        <v>11</v>
      </c>
      <c r="U622">
        <f t="shared" si="65"/>
        <v>18</v>
      </c>
      <c r="V622">
        <f t="shared" si="66"/>
        <v>0.66666666666666663</v>
      </c>
      <c r="W622" cm="1">
        <f t="array" ref="W622">_xlfn.IFS(N622=1,5,N622=2,4,N622=4,2,N622=5,1,N622=3,3)</f>
        <v>1</v>
      </c>
      <c r="X622">
        <f t="shared" si="67"/>
        <v>19</v>
      </c>
      <c r="Y622" cm="1">
        <f t="array" ref="Y622">MAX(IF($C$2:$C$1387=C622,$X$2:$X$1387))</f>
        <v>30</v>
      </c>
      <c r="Z622" cm="1">
        <f t="array" ref="Z622">MIN(IF($C$2:$C$1387=C622,$X$2:$X$1387))</f>
        <v>12</v>
      </c>
      <c r="AA622">
        <f t="shared" si="68"/>
        <v>18</v>
      </c>
      <c r="AB622">
        <f t="shared" si="69"/>
        <v>0.3888888888888889</v>
      </c>
    </row>
    <row r="623" spans="1:28" x14ac:dyDescent="0.25">
      <c r="A623" t="s">
        <v>234</v>
      </c>
      <c r="B623" t="s">
        <v>235</v>
      </c>
      <c r="C623">
        <v>2013</v>
      </c>
      <c r="D623">
        <v>1.6027074872940011E-2</v>
      </c>
      <c r="E623">
        <v>0.37417479021319217</v>
      </c>
      <c r="F623">
        <v>0.45054440086567288</v>
      </c>
      <c r="G623">
        <v>2.9957322735539909</v>
      </c>
      <c r="H623">
        <v>0.7</v>
      </c>
      <c r="I623">
        <v>1</v>
      </c>
      <c r="J623">
        <v>0</v>
      </c>
      <c r="K623">
        <v>2</v>
      </c>
      <c r="L623">
        <v>1</v>
      </c>
      <c r="M623">
        <v>5</v>
      </c>
      <c r="N623">
        <v>5</v>
      </c>
      <c r="O623">
        <v>4</v>
      </c>
      <c r="P623">
        <v>3</v>
      </c>
      <c r="Q623">
        <f t="shared" si="63"/>
        <v>5</v>
      </c>
      <c r="R623">
        <f t="shared" si="64"/>
        <v>25</v>
      </c>
      <c r="S623">
        <f t="array" ref="S623">MAX(IF($C$2:$C$1387=C623,$R$2:$R$1387))</f>
        <v>29</v>
      </c>
      <c r="T623" cm="1">
        <f t="array" ref="T623">MIN(IF($C$2:$C$1387=C623,$R$2:$R$1387))</f>
        <v>10</v>
      </c>
      <c r="U623">
        <f t="shared" si="65"/>
        <v>19</v>
      </c>
      <c r="V623">
        <f t="shared" si="66"/>
        <v>0.78947368421052633</v>
      </c>
      <c r="W623" cm="1">
        <f t="array" ref="W623">_xlfn.IFS(N623=1,5,N623=2,4,N623=4,2,N623=5,1,N623=3,3)</f>
        <v>1</v>
      </c>
      <c r="X623">
        <f t="shared" si="67"/>
        <v>21</v>
      </c>
      <c r="Y623" cm="1">
        <f t="array" ref="Y623">MAX(IF($C$2:$C$1387=C623,$X$2:$X$1387))</f>
        <v>32</v>
      </c>
      <c r="Z623" cm="1">
        <f t="array" ref="Z623">MIN(IF($C$2:$C$1387=C623,$X$2:$X$1387))</f>
        <v>10</v>
      </c>
      <c r="AA623">
        <f t="shared" si="68"/>
        <v>22</v>
      </c>
      <c r="AB623">
        <f t="shared" si="69"/>
        <v>0.5</v>
      </c>
    </row>
    <row r="624" spans="1:28" x14ac:dyDescent="0.25">
      <c r="A624" t="s">
        <v>234</v>
      </c>
      <c r="B624" t="s">
        <v>235</v>
      </c>
      <c r="C624">
        <v>2014</v>
      </c>
      <c r="D624">
        <v>2.2708849653265844E-2</v>
      </c>
      <c r="E624">
        <v>0.37417479021319217</v>
      </c>
      <c r="F624">
        <v>0.52897999426588183</v>
      </c>
      <c r="G624">
        <v>2.7080502011022101</v>
      </c>
      <c r="H624">
        <v>0.53333333333333333</v>
      </c>
      <c r="I624">
        <v>0.8</v>
      </c>
      <c r="J624">
        <v>0</v>
      </c>
      <c r="K624">
        <v>2</v>
      </c>
      <c r="L624">
        <v>1</v>
      </c>
      <c r="M624">
        <v>5</v>
      </c>
      <c r="N624">
        <v>5</v>
      </c>
      <c r="O624">
        <v>2</v>
      </c>
      <c r="P624">
        <v>3</v>
      </c>
      <c r="Q624">
        <f t="shared" si="63"/>
        <v>5</v>
      </c>
      <c r="R624">
        <f t="shared" si="64"/>
        <v>23</v>
      </c>
      <c r="S624">
        <f t="array" ref="S624">MAX(IF($C$2:$C$1387=C624,$R$2:$R$1387))</f>
        <v>29</v>
      </c>
      <c r="T624" cm="1">
        <f t="array" ref="T624">MIN(IF($C$2:$C$1387=C624,$R$2:$R$1387))</f>
        <v>11</v>
      </c>
      <c r="U624">
        <f t="shared" si="65"/>
        <v>18</v>
      </c>
      <c r="V624">
        <f t="shared" si="66"/>
        <v>0.66666666666666663</v>
      </c>
      <c r="W624" cm="1">
        <f t="array" ref="W624">_xlfn.IFS(N624=1,5,N624=2,4,N624=4,2,N624=5,1,N624=3,3)</f>
        <v>1</v>
      </c>
      <c r="X624">
        <f t="shared" si="67"/>
        <v>19</v>
      </c>
      <c r="Y624" cm="1">
        <f t="array" ref="Y624">MAX(IF($C$2:$C$1387=C624,$X$2:$X$1387))</f>
        <v>30</v>
      </c>
      <c r="Z624" cm="1">
        <f t="array" ref="Z624">MIN(IF($C$2:$C$1387=C624,$X$2:$X$1387))</f>
        <v>14</v>
      </c>
      <c r="AA624">
        <f t="shared" si="68"/>
        <v>16</v>
      </c>
      <c r="AB624">
        <f t="shared" si="69"/>
        <v>0.3125</v>
      </c>
    </row>
    <row r="625" spans="1:28" x14ac:dyDescent="0.25">
      <c r="A625" t="s">
        <v>234</v>
      </c>
      <c r="B625" t="s">
        <v>235</v>
      </c>
      <c r="C625">
        <v>2015</v>
      </c>
      <c r="D625">
        <v>1.1586349367571469E-2</v>
      </c>
      <c r="E625">
        <v>0.4138622342707326</v>
      </c>
      <c r="F625">
        <v>0.49670121935077621</v>
      </c>
      <c r="G625">
        <v>2.7080502011022101</v>
      </c>
      <c r="H625">
        <v>0.93333333333333335</v>
      </c>
      <c r="I625">
        <v>1</v>
      </c>
      <c r="J625">
        <v>0</v>
      </c>
      <c r="K625">
        <v>2</v>
      </c>
      <c r="L625">
        <v>1</v>
      </c>
      <c r="M625">
        <v>5</v>
      </c>
      <c r="N625">
        <v>5</v>
      </c>
      <c r="O625">
        <v>5</v>
      </c>
      <c r="P625">
        <v>2</v>
      </c>
      <c r="Q625">
        <f t="shared" si="63"/>
        <v>5</v>
      </c>
      <c r="R625">
        <f t="shared" si="64"/>
        <v>25</v>
      </c>
      <c r="S625">
        <f t="array" ref="S625">MAX(IF($C$2:$C$1387=C625,$R$2:$R$1387))</f>
        <v>29</v>
      </c>
      <c r="T625" cm="1">
        <f t="array" ref="T625">MIN(IF($C$2:$C$1387=C625,$R$2:$R$1387))</f>
        <v>11</v>
      </c>
      <c r="U625">
        <f t="shared" si="65"/>
        <v>18</v>
      </c>
      <c r="V625">
        <f t="shared" si="66"/>
        <v>0.77777777777777779</v>
      </c>
      <c r="W625" cm="1">
        <f t="array" ref="W625">_xlfn.IFS(N625=1,5,N625=2,4,N625=4,2,N625=5,1,N625=3,3)</f>
        <v>1</v>
      </c>
      <c r="X625">
        <f t="shared" si="67"/>
        <v>21</v>
      </c>
      <c r="Y625" cm="1">
        <f t="array" ref="Y625">MAX(IF($C$2:$C$1387=C625,$X$2:$X$1387))</f>
        <v>29</v>
      </c>
      <c r="Z625" cm="1">
        <f t="array" ref="Z625">MIN(IF($C$2:$C$1387=C625,$X$2:$X$1387))</f>
        <v>12</v>
      </c>
      <c r="AA625">
        <f t="shared" si="68"/>
        <v>17</v>
      </c>
      <c r="AB625">
        <f t="shared" si="69"/>
        <v>0.52941176470588236</v>
      </c>
    </row>
    <row r="626" spans="1:28" x14ac:dyDescent="0.25">
      <c r="A626" t="s">
        <v>236</v>
      </c>
      <c r="B626" t="s">
        <v>237</v>
      </c>
      <c r="C626">
        <v>2010</v>
      </c>
      <c r="D626">
        <v>0.2708256172839506</v>
      </c>
      <c r="E626">
        <v>0.47170910493827162</v>
      </c>
      <c r="F626">
        <v>8.7896419753086416E-2</v>
      </c>
      <c r="G626">
        <v>2.0794415416798357</v>
      </c>
      <c r="H626">
        <v>0.625</v>
      </c>
      <c r="I626">
        <v>1</v>
      </c>
      <c r="J626">
        <v>0</v>
      </c>
      <c r="K626">
        <v>4</v>
      </c>
      <c r="L626">
        <v>2</v>
      </c>
      <c r="M626">
        <v>4</v>
      </c>
      <c r="N626">
        <v>3</v>
      </c>
      <c r="O626">
        <v>3</v>
      </c>
      <c r="P626">
        <v>3</v>
      </c>
      <c r="Q626">
        <f t="shared" si="63"/>
        <v>5</v>
      </c>
      <c r="R626">
        <f t="shared" si="64"/>
        <v>24</v>
      </c>
      <c r="S626">
        <f t="array" ref="S626">MAX(IF($C$2:$C$1387=C626,$R$2:$R$1387))</f>
        <v>29</v>
      </c>
      <c r="T626" cm="1">
        <f t="array" ref="T626">MIN(IF($C$2:$C$1387=C626,$R$2:$R$1387))</f>
        <v>9</v>
      </c>
      <c r="U626">
        <f t="shared" si="65"/>
        <v>20</v>
      </c>
      <c r="V626">
        <f t="shared" si="66"/>
        <v>0.75</v>
      </c>
      <c r="W626" cm="1">
        <f t="array" ref="W626">_xlfn.IFS(N626=1,5,N626=2,4,N626=4,2,N626=5,1,N626=3,3)</f>
        <v>3</v>
      </c>
      <c r="X626">
        <f t="shared" si="67"/>
        <v>24</v>
      </c>
      <c r="Y626" cm="1">
        <f t="array" ref="Y626">MAX(IF($C$2:$C$1387=C626,$X$2:$X$1387))</f>
        <v>29</v>
      </c>
      <c r="Z626" cm="1">
        <f t="array" ref="Z626">MIN(IF($C$2:$C$1387=C626,$X$2:$X$1387))</f>
        <v>12</v>
      </c>
      <c r="AA626">
        <f t="shared" si="68"/>
        <v>17</v>
      </c>
      <c r="AB626">
        <f t="shared" si="69"/>
        <v>0.70588235294117652</v>
      </c>
    </row>
    <row r="627" spans="1:28" x14ac:dyDescent="0.25">
      <c r="A627" t="s">
        <v>236</v>
      </c>
      <c r="B627" t="s">
        <v>237</v>
      </c>
      <c r="C627">
        <v>2011</v>
      </c>
      <c r="D627">
        <v>0.31784666666666667</v>
      </c>
      <c r="E627">
        <v>0.47201774691358023</v>
      </c>
      <c r="F627">
        <v>0.13023592592592592</v>
      </c>
      <c r="G627">
        <v>2.0794415416798357</v>
      </c>
      <c r="H627">
        <v>0.75</v>
      </c>
      <c r="I627">
        <v>1</v>
      </c>
      <c r="J627">
        <v>0</v>
      </c>
      <c r="K627">
        <v>4</v>
      </c>
      <c r="L627">
        <v>2</v>
      </c>
      <c r="M627">
        <v>4</v>
      </c>
      <c r="N627">
        <v>3</v>
      </c>
      <c r="O627">
        <v>4</v>
      </c>
      <c r="P627">
        <v>3</v>
      </c>
      <c r="Q627">
        <f t="shared" si="63"/>
        <v>5</v>
      </c>
      <c r="R627">
        <f t="shared" si="64"/>
        <v>25</v>
      </c>
      <c r="S627">
        <f t="array" ref="S627">MAX(IF($C$2:$C$1387=C627,$R$2:$R$1387))</f>
        <v>28</v>
      </c>
      <c r="T627" cm="1">
        <f t="array" ref="T627">MIN(IF($C$2:$C$1387=C627,$R$2:$R$1387))</f>
        <v>10</v>
      </c>
      <c r="U627">
        <f t="shared" si="65"/>
        <v>18</v>
      </c>
      <c r="V627">
        <f t="shared" si="66"/>
        <v>0.83333333333333337</v>
      </c>
      <c r="W627" cm="1">
        <f t="array" ref="W627">_xlfn.IFS(N627=1,5,N627=2,4,N627=4,2,N627=5,1,N627=3,3)</f>
        <v>3</v>
      </c>
      <c r="X627">
        <f t="shared" si="67"/>
        <v>25</v>
      </c>
      <c r="Y627" cm="1">
        <f t="array" ref="Y627">MAX(IF($C$2:$C$1387=C627,$X$2:$X$1387))</f>
        <v>29</v>
      </c>
      <c r="Z627" cm="1">
        <f t="array" ref="Z627">MIN(IF($C$2:$C$1387=C627,$X$2:$X$1387))</f>
        <v>12</v>
      </c>
      <c r="AA627">
        <f t="shared" si="68"/>
        <v>17</v>
      </c>
      <c r="AB627">
        <f t="shared" si="69"/>
        <v>0.76470588235294112</v>
      </c>
    </row>
    <row r="628" spans="1:28" x14ac:dyDescent="0.25">
      <c r="A628" t="s">
        <v>236</v>
      </c>
      <c r="B628" t="s">
        <v>237</v>
      </c>
      <c r="C628">
        <v>2012</v>
      </c>
      <c r="D628">
        <v>0.31784666666666667</v>
      </c>
      <c r="E628">
        <v>0.47201774691358023</v>
      </c>
      <c r="F628">
        <v>0.13023592592592592</v>
      </c>
      <c r="G628">
        <v>2.0794415416798357</v>
      </c>
      <c r="H628">
        <v>0.75</v>
      </c>
      <c r="I628">
        <v>1</v>
      </c>
      <c r="J628">
        <v>0</v>
      </c>
      <c r="K628">
        <v>4</v>
      </c>
      <c r="L628">
        <v>2</v>
      </c>
      <c r="M628">
        <v>4</v>
      </c>
      <c r="N628">
        <v>3</v>
      </c>
      <c r="O628">
        <v>4</v>
      </c>
      <c r="P628">
        <v>3</v>
      </c>
      <c r="Q628">
        <f t="shared" si="63"/>
        <v>5</v>
      </c>
      <c r="R628">
        <f t="shared" si="64"/>
        <v>25</v>
      </c>
      <c r="S628">
        <f t="array" ref="S628">MAX(IF($C$2:$C$1387=C628,$R$2:$R$1387))</f>
        <v>29</v>
      </c>
      <c r="T628" cm="1">
        <f t="array" ref="T628">MIN(IF($C$2:$C$1387=C628,$R$2:$R$1387))</f>
        <v>11</v>
      </c>
      <c r="U628">
        <f t="shared" si="65"/>
        <v>18</v>
      </c>
      <c r="V628">
        <f t="shared" si="66"/>
        <v>0.77777777777777779</v>
      </c>
      <c r="W628" cm="1">
        <f t="array" ref="W628">_xlfn.IFS(N628=1,5,N628=2,4,N628=4,2,N628=5,1,N628=3,3)</f>
        <v>3</v>
      </c>
      <c r="X628">
        <f t="shared" si="67"/>
        <v>25</v>
      </c>
      <c r="Y628" cm="1">
        <f t="array" ref="Y628">MAX(IF($C$2:$C$1387=C628,$X$2:$X$1387))</f>
        <v>30</v>
      </c>
      <c r="Z628" cm="1">
        <f t="array" ref="Z628">MIN(IF($C$2:$C$1387=C628,$X$2:$X$1387))</f>
        <v>12</v>
      </c>
      <c r="AA628">
        <f t="shared" si="68"/>
        <v>18</v>
      </c>
      <c r="AB628">
        <f t="shared" si="69"/>
        <v>0.72222222222222221</v>
      </c>
    </row>
    <row r="629" spans="1:28" x14ac:dyDescent="0.25">
      <c r="A629" t="s">
        <v>236</v>
      </c>
      <c r="B629" t="s">
        <v>237</v>
      </c>
      <c r="C629">
        <v>2013</v>
      </c>
      <c r="D629">
        <v>0.17692074074074074</v>
      </c>
      <c r="E629">
        <v>0.32101543209876543</v>
      </c>
      <c r="F629">
        <v>6.6599351851851854E-2</v>
      </c>
      <c r="G629">
        <v>2.0794415416798357</v>
      </c>
      <c r="H629">
        <v>0.5</v>
      </c>
      <c r="I629">
        <v>1</v>
      </c>
      <c r="J629">
        <v>0</v>
      </c>
      <c r="K629">
        <v>3</v>
      </c>
      <c r="L629">
        <v>1</v>
      </c>
      <c r="M629">
        <v>3</v>
      </c>
      <c r="N629">
        <v>3</v>
      </c>
      <c r="O629">
        <v>2</v>
      </c>
      <c r="P629">
        <v>3</v>
      </c>
      <c r="Q629">
        <f t="shared" si="63"/>
        <v>5</v>
      </c>
      <c r="R629">
        <f t="shared" si="64"/>
        <v>20</v>
      </c>
      <c r="S629">
        <f t="array" ref="S629">MAX(IF($C$2:$C$1387=C629,$R$2:$R$1387))</f>
        <v>29</v>
      </c>
      <c r="T629" cm="1">
        <f t="array" ref="T629">MIN(IF($C$2:$C$1387=C629,$R$2:$R$1387))</f>
        <v>10</v>
      </c>
      <c r="U629">
        <f t="shared" si="65"/>
        <v>19</v>
      </c>
      <c r="V629">
        <f t="shared" si="66"/>
        <v>0.52631578947368418</v>
      </c>
      <c r="W629" cm="1">
        <f t="array" ref="W629">_xlfn.IFS(N629=1,5,N629=2,4,N629=4,2,N629=5,1,N629=3,3)</f>
        <v>3</v>
      </c>
      <c r="X629">
        <f t="shared" si="67"/>
        <v>20</v>
      </c>
      <c r="Y629" cm="1">
        <f t="array" ref="Y629">MAX(IF($C$2:$C$1387=C629,$X$2:$X$1387))</f>
        <v>32</v>
      </c>
      <c r="Z629" cm="1">
        <f t="array" ref="Z629">MIN(IF($C$2:$C$1387=C629,$X$2:$X$1387))</f>
        <v>10</v>
      </c>
      <c r="AA629">
        <f t="shared" si="68"/>
        <v>22</v>
      </c>
      <c r="AB629">
        <f t="shared" si="69"/>
        <v>0.45454545454545453</v>
      </c>
    </row>
    <row r="630" spans="1:28" x14ac:dyDescent="0.25">
      <c r="A630" t="s">
        <v>236</v>
      </c>
      <c r="B630" t="s">
        <v>237</v>
      </c>
      <c r="C630">
        <v>2014</v>
      </c>
      <c r="D630">
        <v>0.17692074074074074</v>
      </c>
      <c r="E630">
        <v>0.43872222222222224</v>
      </c>
      <c r="F630">
        <v>5.115182098765432E-2</v>
      </c>
      <c r="G630">
        <v>2.0794415416798357</v>
      </c>
      <c r="H630">
        <v>0.5</v>
      </c>
      <c r="I630">
        <v>0.66666666666666663</v>
      </c>
      <c r="J630">
        <v>0</v>
      </c>
      <c r="K630">
        <v>3</v>
      </c>
      <c r="L630">
        <v>1</v>
      </c>
      <c r="M630">
        <v>3</v>
      </c>
      <c r="N630">
        <v>3</v>
      </c>
      <c r="O630">
        <v>2</v>
      </c>
      <c r="P630">
        <v>1</v>
      </c>
      <c r="Q630">
        <f t="shared" si="63"/>
        <v>5</v>
      </c>
      <c r="R630">
        <f t="shared" si="64"/>
        <v>18</v>
      </c>
      <c r="S630">
        <f t="array" ref="S630">MAX(IF($C$2:$C$1387=C630,$R$2:$R$1387))</f>
        <v>29</v>
      </c>
      <c r="T630" cm="1">
        <f t="array" ref="T630">MIN(IF($C$2:$C$1387=C630,$R$2:$R$1387))</f>
        <v>11</v>
      </c>
      <c r="U630">
        <f t="shared" si="65"/>
        <v>18</v>
      </c>
      <c r="V630">
        <f t="shared" si="66"/>
        <v>0.3888888888888889</v>
      </c>
      <c r="W630" cm="1">
        <f t="array" ref="W630">_xlfn.IFS(N630=1,5,N630=2,4,N630=4,2,N630=5,1,N630=3,3)</f>
        <v>3</v>
      </c>
      <c r="X630">
        <f t="shared" si="67"/>
        <v>18</v>
      </c>
      <c r="Y630" cm="1">
        <f t="array" ref="Y630">MAX(IF($C$2:$C$1387=C630,$X$2:$X$1387))</f>
        <v>30</v>
      </c>
      <c r="Z630" cm="1">
        <f t="array" ref="Z630">MIN(IF($C$2:$C$1387=C630,$X$2:$X$1387))</f>
        <v>14</v>
      </c>
      <c r="AA630">
        <f t="shared" si="68"/>
        <v>16</v>
      </c>
      <c r="AB630">
        <f t="shared" si="69"/>
        <v>0.25</v>
      </c>
    </row>
    <row r="631" spans="1:28" x14ac:dyDescent="0.25">
      <c r="A631" t="s">
        <v>236</v>
      </c>
      <c r="B631" t="s">
        <v>237</v>
      </c>
      <c r="C631">
        <v>2015</v>
      </c>
      <c r="D631">
        <v>0.26468308641975308</v>
      </c>
      <c r="E631">
        <v>0.46077469135802468</v>
      </c>
      <c r="F631">
        <v>4.80654012345679E-2</v>
      </c>
      <c r="G631">
        <v>2.0794415416798357</v>
      </c>
      <c r="H631">
        <v>0.75</v>
      </c>
      <c r="I631">
        <v>0.66666666666666663</v>
      </c>
      <c r="J631">
        <v>0</v>
      </c>
      <c r="K631">
        <v>3</v>
      </c>
      <c r="L631">
        <v>2</v>
      </c>
      <c r="M631">
        <v>3</v>
      </c>
      <c r="N631">
        <v>3</v>
      </c>
      <c r="O631">
        <v>4</v>
      </c>
      <c r="P631">
        <v>1</v>
      </c>
      <c r="Q631">
        <f t="shared" si="63"/>
        <v>5</v>
      </c>
      <c r="R631">
        <f t="shared" si="64"/>
        <v>21</v>
      </c>
      <c r="S631">
        <f t="array" ref="S631">MAX(IF($C$2:$C$1387=C631,$R$2:$R$1387))</f>
        <v>29</v>
      </c>
      <c r="T631" cm="1">
        <f t="array" ref="T631">MIN(IF($C$2:$C$1387=C631,$R$2:$R$1387))</f>
        <v>11</v>
      </c>
      <c r="U631">
        <f t="shared" si="65"/>
        <v>18</v>
      </c>
      <c r="V631">
        <f t="shared" si="66"/>
        <v>0.55555555555555558</v>
      </c>
      <c r="W631" cm="1">
        <f t="array" ref="W631">_xlfn.IFS(N631=1,5,N631=2,4,N631=4,2,N631=5,1,N631=3,3)</f>
        <v>3</v>
      </c>
      <c r="X631">
        <f t="shared" si="67"/>
        <v>21</v>
      </c>
      <c r="Y631" cm="1">
        <f t="array" ref="Y631">MAX(IF($C$2:$C$1387=C631,$X$2:$X$1387))</f>
        <v>29</v>
      </c>
      <c r="Z631" cm="1">
        <f t="array" ref="Z631">MIN(IF($C$2:$C$1387=C631,$X$2:$X$1387))</f>
        <v>12</v>
      </c>
      <c r="AA631">
        <f t="shared" si="68"/>
        <v>17</v>
      </c>
      <c r="AB631">
        <f t="shared" si="69"/>
        <v>0.52941176470588236</v>
      </c>
    </row>
    <row r="632" spans="1:28" x14ac:dyDescent="0.25">
      <c r="A632" t="s">
        <v>238</v>
      </c>
      <c r="B632" t="s">
        <v>239</v>
      </c>
      <c r="C632">
        <v>2010</v>
      </c>
      <c r="D632">
        <v>0.87969844286438703</v>
      </c>
      <c r="E632">
        <v>0.84214491206550757</v>
      </c>
      <c r="F632">
        <v>1.7205000000000002E-2</v>
      </c>
      <c r="G632">
        <v>1.9459101490553132</v>
      </c>
      <c r="H632">
        <v>0.42857142857142855</v>
      </c>
      <c r="I632">
        <v>0.66666666666666663</v>
      </c>
      <c r="J632">
        <v>0</v>
      </c>
      <c r="K632">
        <v>5</v>
      </c>
      <c r="L632">
        <v>5</v>
      </c>
      <c r="M632">
        <v>2</v>
      </c>
      <c r="N632">
        <v>1</v>
      </c>
      <c r="O632">
        <v>2</v>
      </c>
      <c r="P632">
        <v>1</v>
      </c>
      <c r="Q632">
        <f t="shared" si="63"/>
        <v>5</v>
      </c>
      <c r="R632">
        <f t="shared" si="64"/>
        <v>21</v>
      </c>
      <c r="S632">
        <f t="array" ref="S632">MAX(IF($C$2:$C$1387=C632,$R$2:$R$1387))</f>
        <v>29</v>
      </c>
      <c r="T632" cm="1">
        <f t="array" ref="T632">MIN(IF($C$2:$C$1387=C632,$R$2:$R$1387))</f>
        <v>9</v>
      </c>
      <c r="U632">
        <f t="shared" si="65"/>
        <v>20</v>
      </c>
      <c r="V632">
        <f t="shared" si="66"/>
        <v>0.6</v>
      </c>
      <c r="W632" cm="1">
        <f t="array" ref="W632">_xlfn.IFS(N632=1,5,N632=2,4,N632=4,2,N632=5,1,N632=3,3)</f>
        <v>5</v>
      </c>
      <c r="X632">
        <f t="shared" si="67"/>
        <v>25</v>
      </c>
      <c r="Y632" cm="1">
        <f t="array" ref="Y632">MAX(IF($C$2:$C$1387=C632,$X$2:$X$1387))</f>
        <v>29</v>
      </c>
      <c r="Z632" cm="1">
        <f t="array" ref="Z632">MIN(IF($C$2:$C$1387=C632,$X$2:$X$1387))</f>
        <v>12</v>
      </c>
      <c r="AA632">
        <f t="shared" si="68"/>
        <v>17</v>
      </c>
      <c r="AB632">
        <f t="shared" si="69"/>
        <v>0.76470588235294112</v>
      </c>
    </row>
    <row r="633" spans="1:28" x14ac:dyDescent="0.25">
      <c r="A633" t="s">
        <v>238</v>
      </c>
      <c r="B633" t="s">
        <v>239</v>
      </c>
      <c r="C633">
        <v>2011</v>
      </c>
      <c r="D633">
        <v>0.88069480045046977</v>
      </c>
      <c r="E633">
        <v>0.9330153576733432</v>
      </c>
      <c r="F633">
        <v>1.6682538826540767E-2</v>
      </c>
      <c r="G633">
        <v>1.9459101490553132</v>
      </c>
      <c r="H633">
        <v>0.7142857142857143</v>
      </c>
      <c r="I633">
        <v>0.66666666666666663</v>
      </c>
      <c r="J633">
        <v>0</v>
      </c>
      <c r="K633">
        <v>5</v>
      </c>
      <c r="L633">
        <v>5</v>
      </c>
      <c r="M633">
        <v>2</v>
      </c>
      <c r="N633">
        <v>1</v>
      </c>
      <c r="O633">
        <v>4</v>
      </c>
      <c r="P633">
        <v>1</v>
      </c>
      <c r="Q633">
        <f t="shared" si="63"/>
        <v>5</v>
      </c>
      <c r="R633">
        <f t="shared" si="64"/>
        <v>23</v>
      </c>
      <c r="S633">
        <f t="array" ref="S633">MAX(IF($C$2:$C$1387=C633,$R$2:$R$1387))</f>
        <v>28</v>
      </c>
      <c r="T633" cm="1">
        <f t="array" ref="T633">MIN(IF($C$2:$C$1387=C633,$R$2:$R$1387))</f>
        <v>10</v>
      </c>
      <c r="U633">
        <f t="shared" si="65"/>
        <v>18</v>
      </c>
      <c r="V633">
        <f t="shared" si="66"/>
        <v>0.72222222222222221</v>
      </c>
      <c r="W633" cm="1">
        <f t="array" ref="W633">_xlfn.IFS(N633=1,5,N633=2,4,N633=4,2,N633=5,1,N633=3,3)</f>
        <v>5</v>
      </c>
      <c r="X633">
        <f t="shared" si="67"/>
        <v>27</v>
      </c>
      <c r="Y633" cm="1">
        <f t="array" ref="Y633">MAX(IF($C$2:$C$1387=C633,$X$2:$X$1387))</f>
        <v>29</v>
      </c>
      <c r="Z633" cm="1">
        <f t="array" ref="Z633">MIN(IF($C$2:$C$1387=C633,$X$2:$X$1387))</f>
        <v>12</v>
      </c>
      <c r="AA633">
        <f t="shared" si="68"/>
        <v>17</v>
      </c>
      <c r="AB633">
        <f t="shared" si="69"/>
        <v>0.88235294117647056</v>
      </c>
    </row>
    <row r="634" spans="1:28" x14ac:dyDescent="0.25">
      <c r="A634" t="s">
        <v>238</v>
      </c>
      <c r="B634" t="s">
        <v>239</v>
      </c>
      <c r="C634">
        <v>2012</v>
      </c>
      <c r="D634">
        <v>0.88069480045046977</v>
      </c>
      <c r="E634">
        <v>0.9330153576733432</v>
      </c>
      <c r="F634">
        <v>1.6682538826540767E-2</v>
      </c>
      <c r="G634">
        <v>1.9459101490553132</v>
      </c>
      <c r="H634">
        <v>0.7142857142857143</v>
      </c>
      <c r="I634">
        <v>0.66666666666666663</v>
      </c>
      <c r="J634">
        <v>0</v>
      </c>
      <c r="K634">
        <v>5</v>
      </c>
      <c r="L634">
        <v>5</v>
      </c>
      <c r="M634">
        <v>2</v>
      </c>
      <c r="N634">
        <v>1</v>
      </c>
      <c r="O634">
        <v>4</v>
      </c>
      <c r="P634">
        <v>1</v>
      </c>
      <c r="Q634">
        <f t="shared" si="63"/>
        <v>5</v>
      </c>
      <c r="R634">
        <f t="shared" si="64"/>
        <v>23</v>
      </c>
      <c r="S634">
        <f t="array" ref="S634">MAX(IF($C$2:$C$1387=C634,$R$2:$R$1387))</f>
        <v>29</v>
      </c>
      <c r="T634" cm="1">
        <f t="array" ref="T634">MIN(IF($C$2:$C$1387=C634,$R$2:$R$1387))</f>
        <v>11</v>
      </c>
      <c r="U634">
        <f t="shared" si="65"/>
        <v>18</v>
      </c>
      <c r="V634">
        <f t="shared" si="66"/>
        <v>0.66666666666666663</v>
      </c>
      <c r="W634" cm="1">
        <f t="array" ref="W634">_xlfn.IFS(N634=1,5,N634=2,4,N634=4,2,N634=5,1,N634=3,3)</f>
        <v>5</v>
      </c>
      <c r="X634">
        <f t="shared" si="67"/>
        <v>27</v>
      </c>
      <c r="Y634" cm="1">
        <f t="array" ref="Y634">MAX(IF($C$2:$C$1387=C634,$X$2:$X$1387))</f>
        <v>30</v>
      </c>
      <c r="Z634" cm="1">
        <f t="array" ref="Z634">MIN(IF($C$2:$C$1387=C634,$X$2:$X$1387))</f>
        <v>12</v>
      </c>
      <c r="AA634">
        <f t="shared" si="68"/>
        <v>18</v>
      </c>
      <c r="AB634">
        <f t="shared" si="69"/>
        <v>0.83333333333333337</v>
      </c>
    </row>
    <row r="635" spans="1:28" x14ac:dyDescent="0.25">
      <c r="A635" t="s">
        <v>238</v>
      </c>
      <c r="B635" t="s">
        <v>239</v>
      </c>
      <c r="C635">
        <v>2013</v>
      </c>
      <c r="D635">
        <v>0.885015456737134</v>
      </c>
      <c r="E635">
        <v>0.93722200686654422</v>
      </c>
      <c r="F635">
        <v>1.4025049580606066E-2</v>
      </c>
      <c r="G635">
        <v>1.9459101490553132</v>
      </c>
      <c r="H635">
        <v>0.5714285714285714</v>
      </c>
      <c r="I635">
        <v>1</v>
      </c>
      <c r="J635">
        <v>0</v>
      </c>
      <c r="K635">
        <v>5</v>
      </c>
      <c r="L635">
        <v>5</v>
      </c>
      <c r="M635">
        <v>2</v>
      </c>
      <c r="N635">
        <v>1</v>
      </c>
      <c r="O635">
        <v>2</v>
      </c>
      <c r="P635">
        <v>3</v>
      </c>
      <c r="Q635">
        <f t="shared" si="63"/>
        <v>5</v>
      </c>
      <c r="R635">
        <f t="shared" si="64"/>
        <v>23</v>
      </c>
      <c r="S635">
        <f t="array" ref="S635">MAX(IF($C$2:$C$1387=C635,$R$2:$R$1387))</f>
        <v>29</v>
      </c>
      <c r="T635" cm="1">
        <f t="array" ref="T635">MIN(IF($C$2:$C$1387=C635,$R$2:$R$1387))</f>
        <v>10</v>
      </c>
      <c r="U635">
        <f t="shared" si="65"/>
        <v>19</v>
      </c>
      <c r="V635">
        <f t="shared" si="66"/>
        <v>0.68421052631578949</v>
      </c>
      <c r="W635" cm="1">
        <f t="array" ref="W635">_xlfn.IFS(N635=1,5,N635=2,4,N635=4,2,N635=5,1,N635=3,3)</f>
        <v>5</v>
      </c>
      <c r="X635">
        <f t="shared" si="67"/>
        <v>27</v>
      </c>
      <c r="Y635" cm="1">
        <f t="array" ref="Y635">MAX(IF($C$2:$C$1387=C635,$X$2:$X$1387))</f>
        <v>32</v>
      </c>
      <c r="Z635" cm="1">
        <f t="array" ref="Z635">MIN(IF($C$2:$C$1387=C635,$X$2:$X$1387))</f>
        <v>10</v>
      </c>
      <c r="AA635">
        <f t="shared" si="68"/>
        <v>22</v>
      </c>
      <c r="AB635">
        <f t="shared" si="69"/>
        <v>0.77272727272727271</v>
      </c>
    </row>
    <row r="636" spans="1:28" x14ac:dyDescent="0.25">
      <c r="A636" t="s">
        <v>238</v>
      </c>
      <c r="B636" t="s">
        <v>239</v>
      </c>
      <c r="C636">
        <v>2014</v>
      </c>
      <c r="D636">
        <v>0.8849752772880366</v>
      </c>
      <c r="E636">
        <v>0.93722200686654422</v>
      </c>
      <c r="F636">
        <v>1.0401601419639516E-2</v>
      </c>
      <c r="G636">
        <v>1.9459101490553132</v>
      </c>
      <c r="H636">
        <v>0.7142857142857143</v>
      </c>
      <c r="I636">
        <v>0.66666666666666663</v>
      </c>
      <c r="J636">
        <v>0</v>
      </c>
      <c r="K636">
        <v>5</v>
      </c>
      <c r="L636">
        <v>5</v>
      </c>
      <c r="M636">
        <v>2</v>
      </c>
      <c r="N636">
        <v>1</v>
      </c>
      <c r="O636">
        <v>4</v>
      </c>
      <c r="P636">
        <v>1</v>
      </c>
      <c r="Q636">
        <f t="shared" si="63"/>
        <v>5</v>
      </c>
      <c r="R636">
        <f t="shared" si="64"/>
        <v>23</v>
      </c>
      <c r="S636">
        <f t="array" ref="S636">MAX(IF($C$2:$C$1387=C636,$R$2:$R$1387))</f>
        <v>29</v>
      </c>
      <c r="T636" cm="1">
        <f t="array" ref="T636">MIN(IF($C$2:$C$1387=C636,$R$2:$R$1387))</f>
        <v>11</v>
      </c>
      <c r="U636">
        <f t="shared" si="65"/>
        <v>18</v>
      </c>
      <c r="V636">
        <f t="shared" si="66"/>
        <v>0.66666666666666663</v>
      </c>
      <c r="W636" cm="1">
        <f t="array" ref="W636">_xlfn.IFS(N636=1,5,N636=2,4,N636=4,2,N636=5,1,N636=3,3)</f>
        <v>5</v>
      </c>
      <c r="X636">
        <f t="shared" si="67"/>
        <v>27</v>
      </c>
      <c r="Y636" cm="1">
        <f t="array" ref="Y636">MAX(IF($C$2:$C$1387=C636,$X$2:$X$1387))</f>
        <v>30</v>
      </c>
      <c r="Z636" cm="1">
        <f t="array" ref="Z636">MIN(IF($C$2:$C$1387=C636,$X$2:$X$1387))</f>
        <v>14</v>
      </c>
      <c r="AA636">
        <f t="shared" si="68"/>
        <v>16</v>
      </c>
      <c r="AB636">
        <f t="shared" si="69"/>
        <v>0.8125</v>
      </c>
    </row>
    <row r="637" spans="1:28" x14ac:dyDescent="0.25">
      <c r="A637" t="s">
        <v>238</v>
      </c>
      <c r="B637" t="s">
        <v>239</v>
      </c>
      <c r="C637">
        <v>2015</v>
      </c>
      <c r="D637">
        <v>0.8849752772880366</v>
      </c>
      <c r="E637">
        <v>0.93722200686654422</v>
      </c>
      <c r="F637">
        <v>1.0401601419639516E-2</v>
      </c>
      <c r="G637">
        <v>1.9459101490553132</v>
      </c>
      <c r="H637">
        <v>0.7142857142857143</v>
      </c>
      <c r="I637">
        <v>0.66666666666666663</v>
      </c>
      <c r="J637">
        <v>0</v>
      </c>
      <c r="K637">
        <v>5</v>
      </c>
      <c r="L637">
        <v>5</v>
      </c>
      <c r="M637">
        <v>2</v>
      </c>
      <c r="N637">
        <v>1</v>
      </c>
      <c r="O637">
        <v>3</v>
      </c>
      <c r="P637">
        <v>1</v>
      </c>
      <c r="Q637">
        <f t="shared" si="63"/>
        <v>5</v>
      </c>
      <c r="R637">
        <f t="shared" si="64"/>
        <v>22</v>
      </c>
      <c r="S637">
        <f t="array" ref="S637">MAX(IF($C$2:$C$1387=C637,$R$2:$R$1387))</f>
        <v>29</v>
      </c>
      <c r="T637" cm="1">
        <f t="array" ref="T637">MIN(IF($C$2:$C$1387=C637,$R$2:$R$1387))</f>
        <v>11</v>
      </c>
      <c r="U637">
        <f t="shared" si="65"/>
        <v>18</v>
      </c>
      <c r="V637">
        <f t="shared" si="66"/>
        <v>0.61111111111111116</v>
      </c>
      <c r="W637" cm="1">
        <f t="array" ref="W637">_xlfn.IFS(N637=1,5,N637=2,4,N637=4,2,N637=5,1,N637=3,3)</f>
        <v>5</v>
      </c>
      <c r="X637">
        <f t="shared" si="67"/>
        <v>26</v>
      </c>
      <c r="Y637" cm="1">
        <f t="array" ref="Y637">MAX(IF($C$2:$C$1387=C637,$X$2:$X$1387))</f>
        <v>29</v>
      </c>
      <c r="Z637" cm="1">
        <f t="array" ref="Z637">MIN(IF($C$2:$C$1387=C637,$X$2:$X$1387))</f>
        <v>12</v>
      </c>
      <c r="AA637">
        <f t="shared" si="68"/>
        <v>17</v>
      </c>
      <c r="AB637">
        <f t="shared" si="69"/>
        <v>0.82352941176470584</v>
      </c>
    </row>
    <row r="638" spans="1:28" x14ac:dyDescent="0.25">
      <c r="A638" t="s">
        <v>240</v>
      </c>
      <c r="B638" t="s">
        <v>241</v>
      </c>
      <c r="C638">
        <v>2010</v>
      </c>
      <c r="D638">
        <v>8.5494000000000004E-3</v>
      </c>
      <c r="E638">
        <v>0.7818832</v>
      </c>
      <c r="F638">
        <v>0</v>
      </c>
      <c r="G638">
        <v>1.9459101490553132</v>
      </c>
      <c r="H638">
        <v>1</v>
      </c>
      <c r="I638">
        <v>1</v>
      </c>
      <c r="J638">
        <v>1</v>
      </c>
      <c r="K638">
        <v>2</v>
      </c>
      <c r="L638">
        <v>4</v>
      </c>
      <c r="M638">
        <v>1</v>
      </c>
      <c r="N638">
        <v>1</v>
      </c>
      <c r="O638">
        <v>5</v>
      </c>
      <c r="P638">
        <v>3</v>
      </c>
      <c r="Q638">
        <f t="shared" si="63"/>
        <v>1</v>
      </c>
      <c r="R638">
        <f t="shared" si="64"/>
        <v>17</v>
      </c>
      <c r="S638">
        <f t="array" ref="S638">MAX(IF($C$2:$C$1387=C638,$R$2:$R$1387))</f>
        <v>29</v>
      </c>
      <c r="T638" cm="1">
        <f t="array" ref="T638">MIN(IF($C$2:$C$1387=C638,$R$2:$R$1387))</f>
        <v>9</v>
      </c>
      <c r="U638">
        <f t="shared" si="65"/>
        <v>20</v>
      </c>
      <c r="V638">
        <f t="shared" si="66"/>
        <v>0.4</v>
      </c>
      <c r="W638" cm="1">
        <f t="array" ref="W638">_xlfn.IFS(N638=1,5,N638=2,4,N638=4,2,N638=5,1,N638=3,3)</f>
        <v>5</v>
      </c>
      <c r="X638">
        <f t="shared" si="67"/>
        <v>21</v>
      </c>
      <c r="Y638" cm="1">
        <f t="array" ref="Y638">MAX(IF($C$2:$C$1387=C638,$X$2:$X$1387))</f>
        <v>29</v>
      </c>
      <c r="Z638" cm="1">
        <f t="array" ref="Z638">MIN(IF($C$2:$C$1387=C638,$X$2:$X$1387))</f>
        <v>12</v>
      </c>
      <c r="AA638">
        <f t="shared" si="68"/>
        <v>17</v>
      </c>
      <c r="AB638">
        <f t="shared" si="69"/>
        <v>0.52941176470588236</v>
      </c>
    </row>
    <row r="639" spans="1:28" x14ac:dyDescent="0.25">
      <c r="A639" t="s">
        <v>240</v>
      </c>
      <c r="B639" t="s">
        <v>241</v>
      </c>
      <c r="C639">
        <v>2011</v>
      </c>
      <c r="D639">
        <v>8.5494000000000004E-3</v>
      </c>
      <c r="E639">
        <v>0.7818832</v>
      </c>
      <c r="F639">
        <v>0</v>
      </c>
      <c r="G639">
        <v>1.9459101490553132</v>
      </c>
      <c r="H639">
        <v>1</v>
      </c>
      <c r="I639">
        <v>1</v>
      </c>
      <c r="J639">
        <v>1</v>
      </c>
      <c r="K639">
        <v>2</v>
      </c>
      <c r="L639">
        <v>4</v>
      </c>
      <c r="M639">
        <v>1</v>
      </c>
      <c r="N639">
        <v>1</v>
      </c>
      <c r="O639">
        <v>5</v>
      </c>
      <c r="P639">
        <v>3</v>
      </c>
      <c r="Q639">
        <f t="shared" si="63"/>
        <v>1</v>
      </c>
      <c r="R639">
        <f t="shared" si="64"/>
        <v>17</v>
      </c>
      <c r="S639">
        <f t="array" ref="S639">MAX(IF($C$2:$C$1387=C639,$R$2:$R$1387))</f>
        <v>28</v>
      </c>
      <c r="T639" cm="1">
        <f t="array" ref="T639">MIN(IF($C$2:$C$1387=C639,$R$2:$R$1387))</f>
        <v>10</v>
      </c>
      <c r="U639">
        <f t="shared" si="65"/>
        <v>18</v>
      </c>
      <c r="V639">
        <f t="shared" si="66"/>
        <v>0.3888888888888889</v>
      </c>
      <c r="W639" cm="1">
        <f t="array" ref="W639">_xlfn.IFS(N639=1,5,N639=2,4,N639=4,2,N639=5,1,N639=3,3)</f>
        <v>5</v>
      </c>
      <c r="X639">
        <f t="shared" si="67"/>
        <v>21</v>
      </c>
      <c r="Y639" cm="1">
        <f t="array" ref="Y639">MAX(IF($C$2:$C$1387=C639,$X$2:$X$1387))</f>
        <v>29</v>
      </c>
      <c r="Z639" cm="1">
        <f t="array" ref="Z639">MIN(IF($C$2:$C$1387=C639,$X$2:$X$1387))</f>
        <v>12</v>
      </c>
      <c r="AA639">
        <f t="shared" si="68"/>
        <v>17</v>
      </c>
      <c r="AB639">
        <f t="shared" si="69"/>
        <v>0.52941176470588236</v>
      </c>
    </row>
    <row r="640" spans="1:28" x14ac:dyDescent="0.25">
      <c r="A640" t="s">
        <v>240</v>
      </c>
      <c r="B640" t="s">
        <v>241</v>
      </c>
      <c r="C640">
        <v>2012</v>
      </c>
      <c r="D640">
        <v>8.5494000000000004E-3</v>
      </c>
      <c r="E640">
        <v>0.7818832</v>
      </c>
      <c r="F640">
        <v>0</v>
      </c>
      <c r="G640">
        <v>1.9459101490553132</v>
      </c>
      <c r="H640">
        <v>0.8571428571428571</v>
      </c>
      <c r="I640">
        <v>1</v>
      </c>
      <c r="J640">
        <v>0</v>
      </c>
      <c r="K640">
        <v>2</v>
      </c>
      <c r="L640">
        <v>4</v>
      </c>
      <c r="M640">
        <v>1</v>
      </c>
      <c r="N640">
        <v>1</v>
      </c>
      <c r="O640">
        <v>5</v>
      </c>
      <c r="P640">
        <v>3</v>
      </c>
      <c r="Q640">
        <f t="shared" si="63"/>
        <v>5</v>
      </c>
      <c r="R640">
        <f t="shared" si="64"/>
        <v>21</v>
      </c>
      <c r="S640">
        <f t="array" ref="S640">MAX(IF($C$2:$C$1387=C640,$R$2:$R$1387))</f>
        <v>29</v>
      </c>
      <c r="T640" cm="1">
        <f t="array" ref="T640">MIN(IF($C$2:$C$1387=C640,$R$2:$R$1387))</f>
        <v>11</v>
      </c>
      <c r="U640">
        <f t="shared" si="65"/>
        <v>18</v>
      </c>
      <c r="V640">
        <f t="shared" si="66"/>
        <v>0.55555555555555558</v>
      </c>
      <c r="W640" cm="1">
        <f t="array" ref="W640">_xlfn.IFS(N640=1,5,N640=2,4,N640=4,2,N640=5,1,N640=3,3)</f>
        <v>5</v>
      </c>
      <c r="X640">
        <f t="shared" si="67"/>
        <v>25</v>
      </c>
      <c r="Y640" cm="1">
        <f t="array" ref="Y640">MAX(IF($C$2:$C$1387=C640,$X$2:$X$1387))</f>
        <v>30</v>
      </c>
      <c r="Z640" cm="1">
        <f t="array" ref="Z640">MIN(IF($C$2:$C$1387=C640,$X$2:$X$1387))</f>
        <v>12</v>
      </c>
      <c r="AA640">
        <f t="shared" si="68"/>
        <v>18</v>
      </c>
      <c r="AB640">
        <f t="shared" si="69"/>
        <v>0.72222222222222221</v>
      </c>
    </row>
    <row r="641" spans="1:28" x14ac:dyDescent="0.25">
      <c r="A641" t="s">
        <v>240</v>
      </c>
      <c r="B641" t="s">
        <v>241</v>
      </c>
      <c r="C641">
        <v>2013</v>
      </c>
      <c r="D641">
        <v>2.8347850000000001E-2</v>
      </c>
      <c r="E641">
        <v>0.80275025</v>
      </c>
      <c r="F641">
        <v>1.130865E-2</v>
      </c>
      <c r="G641">
        <v>1.9459101490553132</v>
      </c>
      <c r="H641">
        <v>0.8571428571428571</v>
      </c>
      <c r="I641">
        <v>0.66666666666666663</v>
      </c>
      <c r="J641">
        <v>0</v>
      </c>
      <c r="K641">
        <v>2</v>
      </c>
      <c r="L641">
        <v>4</v>
      </c>
      <c r="M641">
        <v>2</v>
      </c>
      <c r="N641">
        <v>1</v>
      </c>
      <c r="O641">
        <v>5</v>
      </c>
      <c r="P641">
        <v>1</v>
      </c>
      <c r="Q641">
        <f t="shared" si="63"/>
        <v>5</v>
      </c>
      <c r="R641">
        <f t="shared" si="64"/>
        <v>20</v>
      </c>
      <c r="S641">
        <f t="array" ref="S641">MAX(IF($C$2:$C$1387=C641,$R$2:$R$1387))</f>
        <v>29</v>
      </c>
      <c r="T641" cm="1">
        <f t="array" ref="T641">MIN(IF($C$2:$C$1387=C641,$R$2:$R$1387))</f>
        <v>10</v>
      </c>
      <c r="U641">
        <f t="shared" si="65"/>
        <v>19</v>
      </c>
      <c r="V641">
        <f t="shared" si="66"/>
        <v>0.52631578947368418</v>
      </c>
      <c r="W641" cm="1">
        <f t="array" ref="W641">_xlfn.IFS(N641=1,5,N641=2,4,N641=4,2,N641=5,1,N641=3,3)</f>
        <v>5</v>
      </c>
      <c r="X641">
        <f t="shared" si="67"/>
        <v>24</v>
      </c>
      <c r="Y641" cm="1">
        <f t="array" ref="Y641">MAX(IF($C$2:$C$1387=C641,$X$2:$X$1387))</f>
        <v>32</v>
      </c>
      <c r="Z641" cm="1">
        <f t="array" ref="Z641">MIN(IF($C$2:$C$1387=C641,$X$2:$X$1387))</f>
        <v>10</v>
      </c>
      <c r="AA641">
        <f t="shared" si="68"/>
        <v>22</v>
      </c>
      <c r="AB641">
        <f t="shared" si="69"/>
        <v>0.63636363636363635</v>
      </c>
    </row>
    <row r="642" spans="1:28" x14ac:dyDescent="0.25">
      <c r="A642" t="s">
        <v>240</v>
      </c>
      <c r="B642" t="s">
        <v>241</v>
      </c>
      <c r="C642">
        <v>2014</v>
      </c>
      <c r="D642">
        <v>2.8348130434782608E-2</v>
      </c>
      <c r="E642">
        <v>0.80275008695652172</v>
      </c>
      <c r="F642">
        <v>2.0481695652173913E-2</v>
      </c>
      <c r="G642">
        <v>1.9459101490553132</v>
      </c>
      <c r="H642">
        <v>1</v>
      </c>
      <c r="I642">
        <v>1</v>
      </c>
      <c r="J642">
        <v>0</v>
      </c>
      <c r="K642">
        <v>2</v>
      </c>
      <c r="L642">
        <v>4</v>
      </c>
      <c r="M642">
        <v>2</v>
      </c>
      <c r="N642">
        <v>1</v>
      </c>
      <c r="O642">
        <v>5</v>
      </c>
      <c r="P642">
        <v>3</v>
      </c>
      <c r="Q642">
        <f t="shared" si="63"/>
        <v>5</v>
      </c>
      <c r="R642">
        <f t="shared" si="64"/>
        <v>22</v>
      </c>
      <c r="S642">
        <f t="array" ref="S642">MAX(IF($C$2:$C$1387=C642,$R$2:$R$1387))</f>
        <v>29</v>
      </c>
      <c r="T642" cm="1">
        <f t="array" ref="T642">MIN(IF($C$2:$C$1387=C642,$R$2:$R$1387))</f>
        <v>11</v>
      </c>
      <c r="U642">
        <f t="shared" si="65"/>
        <v>18</v>
      </c>
      <c r="V642">
        <f t="shared" si="66"/>
        <v>0.61111111111111116</v>
      </c>
      <c r="W642" cm="1">
        <f t="array" ref="W642">_xlfn.IFS(N642=1,5,N642=2,4,N642=4,2,N642=5,1,N642=3,3)</f>
        <v>5</v>
      </c>
      <c r="X642">
        <f t="shared" si="67"/>
        <v>26</v>
      </c>
      <c r="Y642" cm="1">
        <f t="array" ref="Y642">MAX(IF($C$2:$C$1387=C642,$X$2:$X$1387))</f>
        <v>30</v>
      </c>
      <c r="Z642" cm="1">
        <f t="array" ref="Z642">MIN(IF($C$2:$C$1387=C642,$X$2:$X$1387))</f>
        <v>14</v>
      </c>
      <c r="AA642">
        <f t="shared" si="68"/>
        <v>16</v>
      </c>
      <c r="AB642">
        <f t="shared" si="69"/>
        <v>0.75</v>
      </c>
    </row>
    <row r="643" spans="1:28" x14ac:dyDescent="0.25">
      <c r="A643" t="s">
        <v>240</v>
      </c>
      <c r="B643" t="s">
        <v>241</v>
      </c>
      <c r="C643">
        <v>2015</v>
      </c>
      <c r="D643">
        <v>8.7690301003344479E-3</v>
      </c>
      <c r="E643">
        <v>0.77898254180602011</v>
      </c>
      <c r="F643">
        <v>1.7991371237458195E-2</v>
      </c>
      <c r="G643">
        <v>2.1972245773362196</v>
      </c>
      <c r="H643">
        <v>0.88888888888888884</v>
      </c>
      <c r="I643">
        <v>1</v>
      </c>
      <c r="J643">
        <v>0</v>
      </c>
      <c r="K643">
        <v>2</v>
      </c>
      <c r="L643">
        <v>4</v>
      </c>
      <c r="M643">
        <v>2</v>
      </c>
      <c r="N643">
        <v>4</v>
      </c>
      <c r="O643">
        <v>5</v>
      </c>
      <c r="P643">
        <v>2</v>
      </c>
      <c r="Q643">
        <f t="shared" ref="Q643:Q706" si="70">IF(J643=0,5,1)</f>
        <v>5</v>
      </c>
      <c r="R643">
        <f t="shared" ref="R643:R706" si="71">SUM(K643:Q643)</f>
        <v>24</v>
      </c>
      <c r="S643">
        <f t="array" ref="S643">MAX(IF($C$2:$C$1387=C643,$R$2:$R$1387))</f>
        <v>29</v>
      </c>
      <c r="T643" cm="1">
        <f t="array" ref="T643">MIN(IF($C$2:$C$1387=C643,$R$2:$R$1387))</f>
        <v>11</v>
      </c>
      <c r="U643">
        <f t="shared" ref="U643:U706" si="72">S643-T643</f>
        <v>18</v>
      </c>
      <c r="V643">
        <f t="shared" ref="V643:V706" si="73">(R643-T643)/U643</f>
        <v>0.72222222222222221</v>
      </c>
      <c r="W643" cm="1">
        <f t="array" ref="W643">_xlfn.IFS(N643=1,5,N643=2,4,N643=4,2,N643=5,1,N643=3,3)</f>
        <v>2</v>
      </c>
      <c r="X643">
        <f t="shared" ref="X643:X706" si="74">SUM(K643:M643,O643:Q643,W643)</f>
        <v>22</v>
      </c>
      <c r="Y643" cm="1">
        <f t="array" ref="Y643">MAX(IF($C$2:$C$1387=C643,$X$2:$X$1387))</f>
        <v>29</v>
      </c>
      <c r="Z643" cm="1">
        <f t="array" ref="Z643">MIN(IF($C$2:$C$1387=C643,$X$2:$X$1387))</f>
        <v>12</v>
      </c>
      <c r="AA643">
        <f t="shared" ref="AA643:AA706" si="75">Y643-Z643</f>
        <v>17</v>
      </c>
      <c r="AB643">
        <f t="shared" ref="AB643:AB706" si="76">(X643-Z643)/AA643</f>
        <v>0.58823529411764708</v>
      </c>
    </row>
    <row r="644" spans="1:28" x14ac:dyDescent="0.25">
      <c r="A644" t="s">
        <v>242</v>
      </c>
      <c r="B644" t="s">
        <v>243</v>
      </c>
      <c r="C644">
        <v>2010</v>
      </c>
      <c r="D644">
        <v>0.19622790176785856</v>
      </c>
      <c r="E644">
        <v>0.40597862171026317</v>
      </c>
      <c r="F644">
        <v>1.9916306695464361E-2</v>
      </c>
      <c r="G644">
        <v>2.0794415416798357</v>
      </c>
      <c r="H644">
        <v>0.75</v>
      </c>
      <c r="I644">
        <v>0.66666666666666663</v>
      </c>
      <c r="J644">
        <v>0</v>
      </c>
      <c r="K644">
        <v>3</v>
      </c>
      <c r="L644">
        <v>1</v>
      </c>
      <c r="M644">
        <v>3</v>
      </c>
      <c r="N644">
        <v>3</v>
      </c>
      <c r="O644">
        <v>4</v>
      </c>
      <c r="P644">
        <v>1</v>
      </c>
      <c r="Q644">
        <f t="shared" si="70"/>
        <v>5</v>
      </c>
      <c r="R644">
        <f t="shared" si="71"/>
        <v>20</v>
      </c>
      <c r="S644">
        <f t="array" ref="S644">MAX(IF($C$2:$C$1387=C644,$R$2:$R$1387))</f>
        <v>29</v>
      </c>
      <c r="T644" cm="1">
        <f t="array" ref="T644">MIN(IF($C$2:$C$1387=C644,$R$2:$R$1387))</f>
        <v>9</v>
      </c>
      <c r="U644">
        <f t="shared" si="72"/>
        <v>20</v>
      </c>
      <c r="V644">
        <f t="shared" si="73"/>
        <v>0.55000000000000004</v>
      </c>
      <c r="W644" cm="1">
        <f t="array" ref="W644">_xlfn.IFS(N644=1,5,N644=2,4,N644=4,2,N644=5,1,N644=3,3)</f>
        <v>3</v>
      </c>
      <c r="X644">
        <f t="shared" si="74"/>
        <v>20</v>
      </c>
      <c r="Y644" cm="1">
        <f t="array" ref="Y644">MAX(IF($C$2:$C$1387=C644,$X$2:$X$1387))</f>
        <v>29</v>
      </c>
      <c r="Z644" cm="1">
        <f t="array" ref="Z644">MIN(IF($C$2:$C$1387=C644,$X$2:$X$1387))</f>
        <v>12</v>
      </c>
      <c r="AA644">
        <f t="shared" si="75"/>
        <v>17</v>
      </c>
      <c r="AB644">
        <f t="shared" si="76"/>
        <v>0.47058823529411764</v>
      </c>
    </row>
    <row r="645" spans="1:28" x14ac:dyDescent="0.25">
      <c r="A645" t="s">
        <v>242</v>
      </c>
      <c r="B645" t="s">
        <v>243</v>
      </c>
      <c r="C645">
        <v>2011</v>
      </c>
      <c r="D645">
        <v>0.31439739583055565</v>
      </c>
      <c r="E645">
        <v>0.60632203064418932</v>
      </c>
      <c r="F645">
        <v>8.786671964246668E-3</v>
      </c>
      <c r="G645">
        <v>2.0794415416798357</v>
      </c>
      <c r="H645">
        <v>0.75</v>
      </c>
      <c r="I645">
        <v>0.66666666666666663</v>
      </c>
      <c r="J645">
        <v>1</v>
      </c>
      <c r="K645">
        <v>4</v>
      </c>
      <c r="L645">
        <v>3</v>
      </c>
      <c r="M645">
        <v>2</v>
      </c>
      <c r="N645">
        <v>3</v>
      </c>
      <c r="O645">
        <v>4</v>
      </c>
      <c r="P645">
        <v>1</v>
      </c>
      <c r="Q645">
        <f t="shared" si="70"/>
        <v>1</v>
      </c>
      <c r="R645">
        <f t="shared" si="71"/>
        <v>18</v>
      </c>
      <c r="S645">
        <f t="array" ref="S645">MAX(IF($C$2:$C$1387=C645,$R$2:$R$1387))</f>
        <v>28</v>
      </c>
      <c r="T645" cm="1">
        <f t="array" ref="T645">MIN(IF($C$2:$C$1387=C645,$R$2:$R$1387))</f>
        <v>10</v>
      </c>
      <c r="U645">
        <f t="shared" si="72"/>
        <v>18</v>
      </c>
      <c r="V645">
        <f t="shared" si="73"/>
        <v>0.44444444444444442</v>
      </c>
      <c r="W645" cm="1">
        <f t="array" ref="W645">_xlfn.IFS(N645=1,5,N645=2,4,N645=4,2,N645=5,1,N645=3,3)</f>
        <v>3</v>
      </c>
      <c r="X645">
        <f t="shared" si="74"/>
        <v>18</v>
      </c>
      <c r="Y645" cm="1">
        <f t="array" ref="Y645">MAX(IF($C$2:$C$1387=C645,$X$2:$X$1387))</f>
        <v>29</v>
      </c>
      <c r="Z645" cm="1">
        <f t="array" ref="Z645">MIN(IF($C$2:$C$1387=C645,$X$2:$X$1387))</f>
        <v>12</v>
      </c>
      <c r="AA645">
        <f t="shared" si="75"/>
        <v>17</v>
      </c>
      <c r="AB645">
        <f t="shared" si="76"/>
        <v>0.35294117647058826</v>
      </c>
    </row>
    <row r="646" spans="1:28" x14ac:dyDescent="0.25">
      <c r="A646" t="s">
        <v>242</v>
      </c>
      <c r="B646" t="s">
        <v>243</v>
      </c>
      <c r="C646">
        <v>2012</v>
      </c>
      <c r="D646">
        <v>0.30871374135365615</v>
      </c>
      <c r="E646">
        <v>0.60632203064418932</v>
      </c>
      <c r="F646">
        <v>8.786671964246668E-3</v>
      </c>
      <c r="G646">
        <v>2.0794415416798357</v>
      </c>
      <c r="H646">
        <v>0.75</v>
      </c>
      <c r="I646">
        <v>0.66666666666666663</v>
      </c>
      <c r="J646">
        <v>0</v>
      </c>
      <c r="K646">
        <v>4</v>
      </c>
      <c r="L646">
        <v>3</v>
      </c>
      <c r="M646">
        <v>2</v>
      </c>
      <c r="N646">
        <v>3</v>
      </c>
      <c r="O646">
        <v>4</v>
      </c>
      <c r="P646">
        <v>1</v>
      </c>
      <c r="Q646">
        <f t="shared" si="70"/>
        <v>5</v>
      </c>
      <c r="R646">
        <f t="shared" si="71"/>
        <v>22</v>
      </c>
      <c r="S646">
        <f t="array" ref="S646">MAX(IF($C$2:$C$1387=C646,$R$2:$R$1387))</f>
        <v>29</v>
      </c>
      <c r="T646" cm="1">
        <f t="array" ref="T646">MIN(IF($C$2:$C$1387=C646,$R$2:$R$1387))</f>
        <v>11</v>
      </c>
      <c r="U646">
        <f t="shared" si="72"/>
        <v>18</v>
      </c>
      <c r="V646">
        <f t="shared" si="73"/>
        <v>0.61111111111111116</v>
      </c>
      <c r="W646" cm="1">
        <f t="array" ref="W646">_xlfn.IFS(N646=1,5,N646=2,4,N646=4,2,N646=5,1,N646=3,3)</f>
        <v>3</v>
      </c>
      <c r="X646">
        <f t="shared" si="74"/>
        <v>22</v>
      </c>
      <c r="Y646" cm="1">
        <f t="array" ref="Y646">MAX(IF($C$2:$C$1387=C646,$X$2:$X$1387))</f>
        <v>30</v>
      </c>
      <c r="Z646" cm="1">
        <f t="array" ref="Z646">MIN(IF($C$2:$C$1387=C646,$X$2:$X$1387))</f>
        <v>12</v>
      </c>
      <c r="AA646">
        <f t="shared" si="75"/>
        <v>18</v>
      </c>
      <c r="AB646">
        <f t="shared" si="76"/>
        <v>0.55555555555555558</v>
      </c>
    </row>
    <row r="647" spans="1:28" x14ac:dyDescent="0.25">
      <c r="A647" t="s">
        <v>242</v>
      </c>
      <c r="B647" t="s">
        <v>243</v>
      </c>
      <c r="C647">
        <v>2013</v>
      </c>
      <c r="D647">
        <v>0.82109394582602246</v>
      </c>
      <c r="E647">
        <v>0.81397421162943251</v>
      </c>
      <c r="F647">
        <v>5.9686105052078053E-3</v>
      </c>
      <c r="G647">
        <v>1.791759469228055</v>
      </c>
      <c r="H647">
        <v>0.83333333333333337</v>
      </c>
      <c r="I647">
        <v>0.66666666666666663</v>
      </c>
      <c r="J647">
        <v>0</v>
      </c>
      <c r="K647">
        <v>5</v>
      </c>
      <c r="L647">
        <v>4</v>
      </c>
      <c r="M647">
        <v>2</v>
      </c>
      <c r="N647">
        <v>1</v>
      </c>
      <c r="O647">
        <v>5</v>
      </c>
      <c r="P647">
        <v>1</v>
      </c>
      <c r="Q647">
        <f t="shared" si="70"/>
        <v>5</v>
      </c>
      <c r="R647">
        <f t="shared" si="71"/>
        <v>23</v>
      </c>
      <c r="S647">
        <f t="array" ref="S647">MAX(IF($C$2:$C$1387=C647,$R$2:$R$1387))</f>
        <v>29</v>
      </c>
      <c r="T647" cm="1">
        <f t="array" ref="T647">MIN(IF($C$2:$C$1387=C647,$R$2:$R$1387))</f>
        <v>10</v>
      </c>
      <c r="U647">
        <f t="shared" si="72"/>
        <v>19</v>
      </c>
      <c r="V647">
        <f t="shared" si="73"/>
        <v>0.68421052631578949</v>
      </c>
      <c r="W647" cm="1">
        <f t="array" ref="W647">_xlfn.IFS(N647=1,5,N647=2,4,N647=4,2,N647=5,1,N647=3,3)</f>
        <v>5</v>
      </c>
      <c r="X647">
        <f t="shared" si="74"/>
        <v>27</v>
      </c>
      <c r="Y647" cm="1">
        <f t="array" ref="Y647">MAX(IF($C$2:$C$1387=C647,$X$2:$X$1387))</f>
        <v>32</v>
      </c>
      <c r="Z647" cm="1">
        <f t="array" ref="Z647">MIN(IF($C$2:$C$1387=C647,$X$2:$X$1387))</f>
        <v>10</v>
      </c>
      <c r="AA647">
        <f t="shared" si="75"/>
        <v>22</v>
      </c>
      <c r="AB647">
        <f t="shared" si="76"/>
        <v>0.77272727272727271</v>
      </c>
    </row>
    <row r="648" spans="1:28" x14ac:dyDescent="0.25">
      <c r="A648" t="s">
        <v>242</v>
      </c>
      <c r="B648" t="s">
        <v>243</v>
      </c>
      <c r="C648">
        <v>2014</v>
      </c>
      <c r="D648">
        <v>0.82112727791495788</v>
      </c>
      <c r="E648">
        <v>0.81397421162943251</v>
      </c>
      <c r="F648">
        <v>5.9686105052078053E-3</v>
      </c>
      <c r="G648">
        <v>1.9459101490553132</v>
      </c>
      <c r="H648">
        <v>0.7142857142857143</v>
      </c>
      <c r="I648">
        <v>0.66666666666666663</v>
      </c>
      <c r="J648">
        <v>0</v>
      </c>
      <c r="K648">
        <v>5</v>
      </c>
      <c r="L648">
        <v>4</v>
      </c>
      <c r="M648">
        <v>2</v>
      </c>
      <c r="N648">
        <v>1</v>
      </c>
      <c r="O648">
        <v>4</v>
      </c>
      <c r="P648">
        <v>1</v>
      </c>
      <c r="Q648">
        <f t="shared" si="70"/>
        <v>5</v>
      </c>
      <c r="R648">
        <f t="shared" si="71"/>
        <v>22</v>
      </c>
      <c r="S648">
        <f t="array" ref="S648">MAX(IF($C$2:$C$1387=C648,$R$2:$R$1387))</f>
        <v>29</v>
      </c>
      <c r="T648" cm="1">
        <f t="array" ref="T648">MIN(IF($C$2:$C$1387=C648,$R$2:$R$1387))</f>
        <v>11</v>
      </c>
      <c r="U648">
        <f t="shared" si="72"/>
        <v>18</v>
      </c>
      <c r="V648">
        <f t="shared" si="73"/>
        <v>0.61111111111111116</v>
      </c>
      <c r="W648" cm="1">
        <f t="array" ref="W648">_xlfn.IFS(N648=1,5,N648=2,4,N648=4,2,N648=5,1,N648=3,3)</f>
        <v>5</v>
      </c>
      <c r="X648">
        <f t="shared" si="74"/>
        <v>26</v>
      </c>
      <c r="Y648" cm="1">
        <f t="array" ref="Y648">MAX(IF($C$2:$C$1387=C648,$X$2:$X$1387))</f>
        <v>30</v>
      </c>
      <c r="Z648" cm="1">
        <f t="array" ref="Z648">MIN(IF($C$2:$C$1387=C648,$X$2:$X$1387))</f>
        <v>14</v>
      </c>
      <c r="AA648">
        <f t="shared" si="75"/>
        <v>16</v>
      </c>
      <c r="AB648">
        <f t="shared" si="76"/>
        <v>0.75</v>
      </c>
    </row>
    <row r="649" spans="1:28" x14ac:dyDescent="0.25">
      <c r="A649" t="s">
        <v>242</v>
      </c>
      <c r="B649" t="s">
        <v>243</v>
      </c>
      <c r="C649">
        <v>2015</v>
      </c>
      <c r="D649">
        <v>0.82112727791495788</v>
      </c>
      <c r="E649">
        <v>0.81962233409952701</v>
      </c>
      <c r="F649">
        <v>5.9686105052078053E-3</v>
      </c>
      <c r="G649">
        <v>1.9459101490553132</v>
      </c>
      <c r="H649">
        <v>0.7142857142857143</v>
      </c>
      <c r="I649">
        <v>0.66666666666666663</v>
      </c>
      <c r="J649">
        <v>0</v>
      </c>
      <c r="K649">
        <v>5</v>
      </c>
      <c r="L649">
        <v>4</v>
      </c>
      <c r="M649">
        <v>2</v>
      </c>
      <c r="N649">
        <v>1</v>
      </c>
      <c r="O649">
        <v>3</v>
      </c>
      <c r="P649">
        <v>1</v>
      </c>
      <c r="Q649">
        <f t="shared" si="70"/>
        <v>5</v>
      </c>
      <c r="R649">
        <f t="shared" si="71"/>
        <v>21</v>
      </c>
      <c r="S649">
        <f t="array" ref="S649">MAX(IF($C$2:$C$1387=C649,$R$2:$R$1387))</f>
        <v>29</v>
      </c>
      <c r="T649" cm="1">
        <f t="array" ref="T649">MIN(IF($C$2:$C$1387=C649,$R$2:$R$1387))</f>
        <v>11</v>
      </c>
      <c r="U649">
        <f t="shared" si="72"/>
        <v>18</v>
      </c>
      <c r="V649">
        <f t="shared" si="73"/>
        <v>0.55555555555555558</v>
      </c>
      <c r="W649" cm="1">
        <f t="array" ref="W649">_xlfn.IFS(N649=1,5,N649=2,4,N649=4,2,N649=5,1,N649=3,3)</f>
        <v>5</v>
      </c>
      <c r="X649">
        <f t="shared" si="74"/>
        <v>25</v>
      </c>
      <c r="Y649" cm="1">
        <f t="array" ref="Y649">MAX(IF($C$2:$C$1387=C649,$X$2:$X$1387))</f>
        <v>29</v>
      </c>
      <c r="Z649" cm="1">
        <f t="array" ref="Z649">MIN(IF($C$2:$C$1387=C649,$X$2:$X$1387))</f>
        <v>12</v>
      </c>
      <c r="AA649">
        <f t="shared" si="75"/>
        <v>17</v>
      </c>
      <c r="AB649">
        <f t="shared" si="76"/>
        <v>0.76470588235294112</v>
      </c>
    </row>
    <row r="650" spans="1:28" x14ac:dyDescent="0.25">
      <c r="A650" t="s">
        <v>244</v>
      </c>
      <c r="B650" t="s">
        <v>245</v>
      </c>
      <c r="C650">
        <v>2010</v>
      </c>
      <c r="D650">
        <v>4.8558273169824998E-4</v>
      </c>
      <c r="E650">
        <v>0.8172809528372369</v>
      </c>
      <c r="F650">
        <v>9.9999999999999991E-5</v>
      </c>
      <c r="G650">
        <v>2.3025850929940459</v>
      </c>
      <c r="H650">
        <v>0.7</v>
      </c>
      <c r="I650">
        <v>1</v>
      </c>
      <c r="J650">
        <v>0</v>
      </c>
      <c r="K650">
        <v>1</v>
      </c>
      <c r="L650">
        <v>4</v>
      </c>
      <c r="M650">
        <v>1</v>
      </c>
      <c r="N650">
        <v>5</v>
      </c>
      <c r="O650">
        <v>4</v>
      </c>
      <c r="P650">
        <v>3</v>
      </c>
      <c r="Q650">
        <f t="shared" si="70"/>
        <v>5</v>
      </c>
      <c r="R650">
        <f t="shared" si="71"/>
        <v>23</v>
      </c>
      <c r="S650">
        <f t="array" ref="S650">MAX(IF($C$2:$C$1387=C650,$R$2:$R$1387))</f>
        <v>29</v>
      </c>
      <c r="T650" cm="1">
        <f t="array" ref="T650">MIN(IF($C$2:$C$1387=C650,$R$2:$R$1387))</f>
        <v>9</v>
      </c>
      <c r="U650">
        <f t="shared" si="72"/>
        <v>20</v>
      </c>
      <c r="V650">
        <f t="shared" si="73"/>
        <v>0.7</v>
      </c>
      <c r="W650" cm="1">
        <f t="array" ref="W650">_xlfn.IFS(N650=1,5,N650=2,4,N650=4,2,N650=5,1,N650=3,3)</f>
        <v>1</v>
      </c>
      <c r="X650">
        <f t="shared" si="74"/>
        <v>19</v>
      </c>
      <c r="Y650" cm="1">
        <f t="array" ref="Y650">MAX(IF($C$2:$C$1387=C650,$X$2:$X$1387))</f>
        <v>29</v>
      </c>
      <c r="Z650" cm="1">
        <f t="array" ref="Z650">MIN(IF($C$2:$C$1387=C650,$X$2:$X$1387))</f>
        <v>12</v>
      </c>
      <c r="AA650">
        <f t="shared" si="75"/>
        <v>17</v>
      </c>
      <c r="AB650">
        <f t="shared" si="76"/>
        <v>0.41176470588235292</v>
      </c>
    </row>
    <row r="651" spans="1:28" x14ac:dyDescent="0.25">
      <c r="A651" t="s">
        <v>244</v>
      </c>
      <c r="B651" t="s">
        <v>245</v>
      </c>
      <c r="C651">
        <v>2011</v>
      </c>
      <c r="D651">
        <v>5.6502666022104824E-4</v>
      </c>
      <c r="E651">
        <v>0.86065715769839546</v>
      </c>
      <c r="F651">
        <v>1.013657554665881E-3</v>
      </c>
      <c r="G651">
        <v>2.0794415416798357</v>
      </c>
      <c r="H651">
        <v>0.625</v>
      </c>
      <c r="I651">
        <v>1</v>
      </c>
      <c r="J651">
        <v>0</v>
      </c>
      <c r="K651">
        <v>1</v>
      </c>
      <c r="L651">
        <v>5</v>
      </c>
      <c r="M651">
        <v>1</v>
      </c>
      <c r="N651">
        <v>3</v>
      </c>
      <c r="O651">
        <v>3</v>
      </c>
      <c r="P651">
        <v>3</v>
      </c>
      <c r="Q651">
        <f t="shared" si="70"/>
        <v>5</v>
      </c>
      <c r="R651">
        <f t="shared" si="71"/>
        <v>21</v>
      </c>
      <c r="S651">
        <f t="array" ref="S651">MAX(IF($C$2:$C$1387=C651,$R$2:$R$1387))</f>
        <v>28</v>
      </c>
      <c r="T651" cm="1">
        <f t="array" ref="T651">MIN(IF($C$2:$C$1387=C651,$R$2:$R$1387))</f>
        <v>10</v>
      </c>
      <c r="U651">
        <f t="shared" si="72"/>
        <v>18</v>
      </c>
      <c r="V651">
        <f t="shared" si="73"/>
        <v>0.61111111111111116</v>
      </c>
      <c r="W651" cm="1">
        <f t="array" ref="W651">_xlfn.IFS(N651=1,5,N651=2,4,N651=4,2,N651=5,1,N651=3,3)</f>
        <v>3</v>
      </c>
      <c r="X651">
        <f t="shared" si="74"/>
        <v>21</v>
      </c>
      <c r="Y651" cm="1">
        <f t="array" ref="Y651">MAX(IF($C$2:$C$1387=C651,$X$2:$X$1387))</f>
        <v>29</v>
      </c>
      <c r="Z651" cm="1">
        <f t="array" ref="Z651">MIN(IF($C$2:$C$1387=C651,$X$2:$X$1387))</f>
        <v>12</v>
      </c>
      <c r="AA651">
        <f t="shared" si="75"/>
        <v>17</v>
      </c>
      <c r="AB651">
        <f t="shared" si="76"/>
        <v>0.52941176470588236</v>
      </c>
    </row>
    <row r="652" spans="1:28" x14ac:dyDescent="0.25">
      <c r="A652" t="s">
        <v>244</v>
      </c>
      <c r="B652" t="s">
        <v>245</v>
      </c>
      <c r="C652">
        <v>2012</v>
      </c>
      <c r="D652">
        <v>1.1788774354002125E-4</v>
      </c>
      <c r="E652">
        <v>0.9135357390531843</v>
      </c>
      <c r="F652">
        <v>4.349339886020915E-2</v>
      </c>
      <c r="G652">
        <v>2.0794415416798357</v>
      </c>
      <c r="H652">
        <v>0.75</v>
      </c>
      <c r="I652">
        <v>1</v>
      </c>
      <c r="J652">
        <v>0</v>
      </c>
      <c r="K652">
        <v>1</v>
      </c>
      <c r="L652">
        <v>5</v>
      </c>
      <c r="M652">
        <v>3</v>
      </c>
      <c r="N652">
        <v>3</v>
      </c>
      <c r="O652">
        <v>4</v>
      </c>
      <c r="P652">
        <v>3</v>
      </c>
      <c r="Q652">
        <f t="shared" si="70"/>
        <v>5</v>
      </c>
      <c r="R652">
        <f t="shared" si="71"/>
        <v>24</v>
      </c>
      <c r="S652">
        <f t="array" ref="S652">MAX(IF($C$2:$C$1387=C652,$R$2:$R$1387))</f>
        <v>29</v>
      </c>
      <c r="T652" cm="1">
        <f t="array" ref="T652">MIN(IF($C$2:$C$1387=C652,$R$2:$R$1387))</f>
        <v>11</v>
      </c>
      <c r="U652">
        <f t="shared" si="72"/>
        <v>18</v>
      </c>
      <c r="V652">
        <f t="shared" si="73"/>
        <v>0.72222222222222221</v>
      </c>
      <c r="W652" cm="1">
        <f t="array" ref="W652">_xlfn.IFS(N652=1,5,N652=2,4,N652=4,2,N652=5,1,N652=3,3)</f>
        <v>3</v>
      </c>
      <c r="X652">
        <f t="shared" si="74"/>
        <v>24</v>
      </c>
      <c r="Y652" cm="1">
        <f t="array" ref="Y652">MAX(IF($C$2:$C$1387=C652,$X$2:$X$1387))</f>
        <v>30</v>
      </c>
      <c r="Z652" cm="1">
        <f t="array" ref="Z652">MIN(IF($C$2:$C$1387=C652,$X$2:$X$1387))</f>
        <v>12</v>
      </c>
      <c r="AA652">
        <f t="shared" si="75"/>
        <v>18</v>
      </c>
      <c r="AB652">
        <f t="shared" si="76"/>
        <v>0.66666666666666663</v>
      </c>
    </row>
    <row r="653" spans="1:28" x14ac:dyDescent="0.25">
      <c r="A653" t="s">
        <v>244</v>
      </c>
      <c r="B653" t="s">
        <v>245</v>
      </c>
      <c r="C653">
        <v>2013</v>
      </c>
      <c r="D653">
        <v>2.6016941490844699E-4</v>
      </c>
      <c r="E653">
        <v>0.90832603843369975</v>
      </c>
      <c r="F653">
        <v>2.0989507795933372E-2</v>
      </c>
      <c r="G653">
        <v>2.0794415416798357</v>
      </c>
      <c r="H653">
        <v>0.5</v>
      </c>
      <c r="I653">
        <v>0.66666666666666663</v>
      </c>
      <c r="J653">
        <v>0</v>
      </c>
      <c r="K653">
        <v>1</v>
      </c>
      <c r="L653">
        <v>5</v>
      </c>
      <c r="M653">
        <v>2</v>
      </c>
      <c r="N653">
        <v>3</v>
      </c>
      <c r="O653">
        <v>2</v>
      </c>
      <c r="P653">
        <v>1</v>
      </c>
      <c r="Q653">
        <f t="shared" si="70"/>
        <v>5</v>
      </c>
      <c r="R653">
        <f t="shared" si="71"/>
        <v>19</v>
      </c>
      <c r="S653">
        <f t="array" ref="S653">MAX(IF($C$2:$C$1387=C653,$R$2:$R$1387))</f>
        <v>29</v>
      </c>
      <c r="T653" cm="1">
        <f t="array" ref="T653">MIN(IF($C$2:$C$1387=C653,$R$2:$R$1387))</f>
        <v>10</v>
      </c>
      <c r="U653">
        <f t="shared" si="72"/>
        <v>19</v>
      </c>
      <c r="V653">
        <f t="shared" si="73"/>
        <v>0.47368421052631576</v>
      </c>
      <c r="W653" cm="1">
        <f t="array" ref="W653">_xlfn.IFS(N653=1,5,N653=2,4,N653=4,2,N653=5,1,N653=3,3)</f>
        <v>3</v>
      </c>
      <c r="X653">
        <f t="shared" si="74"/>
        <v>19</v>
      </c>
      <c r="Y653" cm="1">
        <f t="array" ref="Y653">MAX(IF($C$2:$C$1387=C653,$X$2:$X$1387))</f>
        <v>32</v>
      </c>
      <c r="Z653" cm="1">
        <f t="array" ref="Z653">MIN(IF($C$2:$C$1387=C653,$X$2:$X$1387))</f>
        <v>10</v>
      </c>
      <c r="AA653">
        <f t="shared" si="75"/>
        <v>22</v>
      </c>
      <c r="AB653">
        <f t="shared" si="76"/>
        <v>0.40909090909090912</v>
      </c>
    </row>
    <row r="654" spans="1:28" x14ac:dyDescent="0.25">
      <c r="A654" t="s">
        <v>244</v>
      </c>
      <c r="B654" t="s">
        <v>245</v>
      </c>
      <c r="C654">
        <v>2014</v>
      </c>
      <c r="D654">
        <v>5.648477328426397E-3</v>
      </c>
      <c r="E654">
        <v>0.90383911484581103</v>
      </c>
      <c r="F654">
        <v>6.0686473063549268E-2</v>
      </c>
      <c r="G654">
        <v>2.0794415416798357</v>
      </c>
      <c r="H654">
        <v>0.75</v>
      </c>
      <c r="I654">
        <v>0.66666666666666663</v>
      </c>
      <c r="J654">
        <v>0</v>
      </c>
      <c r="K654">
        <v>2</v>
      </c>
      <c r="L654">
        <v>5</v>
      </c>
      <c r="M654">
        <v>3</v>
      </c>
      <c r="N654">
        <v>3</v>
      </c>
      <c r="O654">
        <v>5</v>
      </c>
      <c r="P654">
        <v>1</v>
      </c>
      <c r="Q654">
        <f t="shared" si="70"/>
        <v>5</v>
      </c>
      <c r="R654">
        <f t="shared" si="71"/>
        <v>24</v>
      </c>
      <c r="S654">
        <f t="array" ref="S654">MAX(IF($C$2:$C$1387=C654,$R$2:$R$1387))</f>
        <v>29</v>
      </c>
      <c r="T654" cm="1">
        <f t="array" ref="T654">MIN(IF($C$2:$C$1387=C654,$R$2:$R$1387))</f>
        <v>11</v>
      </c>
      <c r="U654">
        <f t="shared" si="72"/>
        <v>18</v>
      </c>
      <c r="V654">
        <f t="shared" si="73"/>
        <v>0.72222222222222221</v>
      </c>
      <c r="W654" cm="1">
        <f t="array" ref="W654">_xlfn.IFS(N654=1,5,N654=2,4,N654=4,2,N654=5,1,N654=3,3)</f>
        <v>3</v>
      </c>
      <c r="X654">
        <f t="shared" si="74"/>
        <v>24</v>
      </c>
      <c r="Y654" cm="1">
        <f t="array" ref="Y654">MAX(IF($C$2:$C$1387=C654,$X$2:$X$1387))</f>
        <v>30</v>
      </c>
      <c r="Z654" cm="1">
        <f t="array" ref="Z654">MIN(IF($C$2:$C$1387=C654,$X$2:$X$1387))</f>
        <v>14</v>
      </c>
      <c r="AA654">
        <f t="shared" si="75"/>
        <v>16</v>
      </c>
      <c r="AB654">
        <f t="shared" si="76"/>
        <v>0.625</v>
      </c>
    </row>
    <row r="655" spans="1:28" x14ac:dyDescent="0.25">
      <c r="A655" t="s">
        <v>244</v>
      </c>
      <c r="B655" t="s">
        <v>245</v>
      </c>
      <c r="C655">
        <v>2015</v>
      </c>
      <c r="D655">
        <v>5.648477328426397E-3</v>
      </c>
      <c r="E655">
        <v>0.90383911484581103</v>
      </c>
      <c r="F655">
        <v>6.0686473063549268E-2</v>
      </c>
      <c r="G655">
        <v>2.0794415416798357</v>
      </c>
      <c r="H655">
        <v>0.75</v>
      </c>
      <c r="I655">
        <v>0.66666666666666663</v>
      </c>
      <c r="J655">
        <v>0</v>
      </c>
      <c r="K655">
        <v>2</v>
      </c>
      <c r="L655">
        <v>5</v>
      </c>
      <c r="M655">
        <v>3</v>
      </c>
      <c r="N655">
        <v>3</v>
      </c>
      <c r="O655">
        <v>4</v>
      </c>
      <c r="P655">
        <v>1</v>
      </c>
      <c r="Q655">
        <f t="shared" si="70"/>
        <v>5</v>
      </c>
      <c r="R655">
        <f t="shared" si="71"/>
        <v>23</v>
      </c>
      <c r="S655">
        <f t="array" ref="S655">MAX(IF($C$2:$C$1387=C655,$R$2:$R$1387))</f>
        <v>29</v>
      </c>
      <c r="T655" cm="1">
        <f t="array" ref="T655">MIN(IF($C$2:$C$1387=C655,$R$2:$R$1387))</f>
        <v>11</v>
      </c>
      <c r="U655">
        <f t="shared" si="72"/>
        <v>18</v>
      </c>
      <c r="V655">
        <f t="shared" si="73"/>
        <v>0.66666666666666663</v>
      </c>
      <c r="W655" cm="1">
        <f t="array" ref="W655">_xlfn.IFS(N655=1,5,N655=2,4,N655=4,2,N655=5,1,N655=3,3)</f>
        <v>3</v>
      </c>
      <c r="X655">
        <f t="shared" si="74"/>
        <v>23</v>
      </c>
      <c r="Y655" cm="1">
        <f t="array" ref="Y655">MAX(IF($C$2:$C$1387=C655,$X$2:$X$1387))</f>
        <v>29</v>
      </c>
      <c r="Z655" cm="1">
        <f t="array" ref="Z655">MIN(IF($C$2:$C$1387=C655,$X$2:$X$1387))</f>
        <v>12</v>
      </c>
      <c r="AA655">
        <f t="shared" si="75"/>
        <v>17</v>
      </c>
      <c r="AB655">
        <f t="shared" si="76"/>
        <v>0.6470588235294118</v>
      </c>
    </row>
    <row r="656" spans="1:28" x14ac:dyDescent="0.25">
      <c r="A656" t="s">
        <v>246</v>
      </c>
      <c r="B656" t="s">
        <v>247</v>
      </c>
      <c r="C656">
        <v>2010</v>
      </c>
      <c r="D656">
        <v>0.25944491666666669</v>
      </c>
      <c r="E656">
        <v>0.39882338888888891</v>
      </c>
      <c r="F656">
        <v>0</v>
      </c>
      <c r="G656">
        <v>1.9459101490553132</v>
      </c>
      <c r="H656">
        <v>0.5714285714285714</v>
      </c>
      <c r="I656">
        <v>0.66666666666666663</v>
      </c>
      <c r="J656">
        <v>1</v>
      </c>
      <c r="K656">
        <v>4</v>
      </c>
      <c r="L656">
        <v>1</v>
      </c>
      <c r="M656">
        <v>1</v>
      </c>
      <c r="N656">
        <v>1</v>
      </c>
      <c r="O656">
        <v>2</v>
      </c>
      <c r="P656">
        <v>1</v>
      </c>
      <c r="Q656">
        <f t="shared" si="70"/>
        <v>1</v>
      </c>
      <c r="R656">
        <f t="shared" si="71"/>
        <v>11</v>
      </c>
      <c r="S656">
        <f t="array" ref="S656">MAX(IF($C$2:$C$1387=C656,$R$2:$R$1387))</f>
        <v>29</v>
      </c>
      <c r="T656" cm="1">
        <f t="array" ref="T656">MIN(IF($C$2:$C$1387=C656,$R$2:$R$1387))</f>
        <v>9</v>
      </c>
      <c r="U656">
        <f t="shared" si="72"/>
        <v>20</v>
      </c>
      <c r="V656">
        <f t="shared" si="73"/>
        <v>0.1</v>
      </c>
      <c r="W656" cm="1">
        <f t="array" ref="W656">_xlfn.IFS(N656=1,5,N656=2,4,N656=4,2,N656=5,1,N656=3,3)</f>
        <v>5</v>
      </c>
      <c r="X656">
        <f t="shared" si="74"/>
        <v>15</v>
      </c>
      <c r="Y656" cm="1">
        <f t="array" ref="Y656">MAX(IF($C$2:$C$1387=C656,$X$2:$X$1387))</f>
        <v>29</v>
      </c>
      <c r="Z656" cm="1">
        <f t="array" ref="Z656">MIN(IF($C$2:$C$1387=C656,$X$2:$X$1387))</f>
        <v>12</v>
      </c>
      <c r="AA656">
        <f t="shared" si="75"/>
        <v>17</v>
      </c>
      <c r="AB656">
        <f t="shared" si="76"/>
        <v>0.17647058823529413</v>
      </c>
    </row>
    <row r="657" spans="1:28" x14ac:dyDescent="0.25">
      <c r="A657" t="s">
        <v>246</v>
      </c>
      <c r="B657" t="s">
        <v>247</v>
      </c>
      <c r="C657">
        <v>2011</v>
      </c>
      <c r="D657">
        <v>0.25944491666666669</v>
      </c>
      <c r="E657">
        <v>0.39882338888888891</v>
      </c>
      <c r="F657">
        <v>0</v>
      </c>
      <c r="G657">
        <v>1.9459101490553132</v>
      </c>
      <c r="H657">
        <v>0.5714285714285714</v>
      </c>
      <c r="I657">
        <v>0.66666666666666663</v>
      </c>
      <c r="J657">
        <v>1</v>
      </c>
      <c r="K657">
        <v>3</v>
      </c>
      <c r="L657">
        <v>1</v>
      </c>
      <c r="M657">
        <v>1</v>
      </c>
      <c r="N657">
        <v>1</v>
      </c>
      <c r="O657">
        <v>2</v>
      </c>
      <c r="P657">
        <v>1</v>
      </c>
      <c r="Q657">
        <f t="shared" si="70"/>
        <v>1</v>
      </c>
      <c r="R657">
        <f t="shared" si="71"/>
        <v>10</v>
      </c>
      <c r="S657">
        <f t="array" ref="S657">MAX(IF($C$2:$C$1387=C657,$R$2:$R$1387))</f>
        <v>28</v>
      </c>
      <c r="T657" cm="1">
        <f t="array" ref="T657">MIN(IF($C$2:$C$1387=C657,$R$2:$R$1387))</f>
        <v>10</v>
      </c>
      <c r="U657">
        <f t="shared" si="72"/>
        <v>18</v>
      </c>
      <c r="V657">
        <f t="shared" si="73"/>
        <v>0</v>
      </c>
      <c r="W657" cm="1">
        <f t="array" ref="W657">_xlfn.IFS(N657=1,5,N657=2,4,N657=4,2,N657=5,1,N657=3,3)</f>
        <v>5</v>
      </c>
      <c r="X657">
        <f t="shared" si="74"/>
        <v>14</v>
      </c>
      <c r="Y657" cm="1">
        <f t="array" ref="Y657">MAX(IF($C$2:$C$1387=C657,$X$2:$X$1387))</f>
        <v>29</v>
      </c>
      <c r="Z657" cm="1">
        <f t="array" ref="Z657">MIN(IF($C$2:$C$1387=C657,$X$2:$X$1387))</f>
        <v>12</v>
      </c>
      <c r="AA657">
        <f t="shared" si="75"/>
        <v>17</v>
      </c>
      <c r="AB657">
        <f t="shared" si="76"/>
        <v>0.11764705882352941</v>
      </c>
    </row>
    <row r="658" spans="1:28" x14ac:dyDescent="0.25">
      <c r="A658" t="s">
        <v>246</v>
      </c>
      <c r="B658" t="s">
        <v>247</v>
      </c>
      <c r="C658">
        <v>2012</v>
      </c>
      <c r="D658">
        <v>0.35116491666666666</v>
      </c>
      <c r="E658">
        <v>0.39107999999999998</v>
      </c>
      <c r="F658">
        <v>0</v>
      </c>
      <c r="G658">
        <v>1.9459101490553132</v>
      </c>
      <c r="H658">
        <v>0.5714285714285714</v>
      </c>
      <c r="I658">
        <v>0.66666666666666663</v>
      </c>
      <c r="J658">
        <v>1</v>
      </c>
      <c r="K658">
        <v>4</v>
      </c>
      <c r="L658">
        <v>1</v>
      </c>
      <c r="M658">
        <v>1</v>
      </c>
      <c r="N658">
        <v>1</v>
      </c>
      <c r="O658">
        <v>2</v>
      </c>
      <c r="P658">
        <v>1</v>
      </c>
      <c r="Q658">
        <f t="shared" si="70"/>
        <v>1</v>
      </c>
      <c r="R658">
        <f t="shared" si="71"/>
        <v>11</v>
      </c>
      <c r="S658">
        <f t="array" ref="S658">MAX(IF($C$2:$C$1387=C658,$R$2:$R$1387))</f>
        <v>29</v>
      </c>
      <c r="T658" cm="1">
        <f t="array" ref="T658">MIN(IF($C$2:$C$1387=C658,$R$2:$R$1387))</f>
        <v>11</v>
      </c>
      <c r="U658">
        <f t="shared" si="72"/>
        <v>18</v>
      </c>
      <c r="V658">
        <f t="shared" si="73"/>
        <v>0</v>
      </c>
      <c r="W658" cm="1">
        <f t="array" ref="W658">_xlfn.IFS(N658=1,5,N658=2,4,N658=4,2,N658=5,1,N658=3,3)</f>
        <v>5</v>
      </c>
      <c r="X658">
        <f t="shared" si="74"/>
        <v>15</v>
      </c>
      <c r="Y658" cm="1">
        <f t="array" ref="Y658">MAX(IF($C$2:$C$1387=C658,$X$2:$X$1387))</f>
        <v>30</v>
      </c>
      <c r="Z658" cm="1">
        <f t="array" ref="Z658">MIN(IF($C$2:$C$1387=C658,$X$2:$X$1387))</f>
        <v>12</v>
      </c>
      <c r="AA658">
        <f t="shared" si="75"/>
        <v>18</v>
      </c>
      <c r="AB658">
        <f t="shared" si="76"/>
        <v>0.16666666666666666</v>
      </c>
    </row>
    <row r="659" spans="1:28" x14ac:dyDescent="0.25">
      <c r="A659" t="s">
        <v>246</v>
      </c>
      <c r="B659" t="s">
        <v>247</v>
      </c>
      <c r="C659">
        <v>2013</v>
      </c>
      <c r="D659">
        <v>0.25275047222222224</v>
      </c>
      <c r="E659">
        <v>0.39384433333333335</v>
      </c>
      <c r="F659">
        <v>0</v>
      </c>
      <c r="G659">
        <v>1.9459101490553132</v>
      </c>
      <c r="H659">
        <v>0.5714285714285714</v>
      </c>
      <c r="I659">
        <v>0.66666666666666663</v>
      </c>
      <c r="J659">
        <v>1</v>
      </c>
      <c r="K659">
        <v>3</v>
      </c>
      <c r="L659">
        <v>1</v>
      </c>
      <c r="M659">
        <v>1</v>
      </c>
      <c r="N659">
        <v>1</v>
      </c>
      <c r="O659">
        <v>2</v>
      </c>
      <c r="P659">
        <v>1</v>
      </c>
      <c r="Q659">
        <f t="shared" si="70"/>
        <v>1</v>
      </c>
      <c r="R659">
        <f t="shared" si="71"/>
        <v>10</v>
      </c>
      <c r="S659">
        <f t="array" ref="S659">MAX(IF($C$2:$C$1387=C659,$R$2:$R$1387))</f>
        <v>29</v>
      </c>
      <c r="T659" cm="1">
        <f t="array" ref="T659">MIN(IF($C$2:$C$1387=C659,$R$2:$R$1387))</f>
        <v>10</v>
      </c>
      <c r="U659">
        <f t="shared" si="72"/>
        <v>19</v>
      </c>
      <c r="V659">
        <f t="shared" si="73"/>
        <v>0</v>
      </c>
      <c r="W659" cm="1">
        <f t="array" ref="W659">_xlfn.IFS(N659=1,5,N659=2,4,N659=4,2,N659=5,1,N659=3,3)</f>
        <v>5</v>
      </c>
      <c r="X659">
        <f t="shared" si="74"/>
        <v>14</v>
      </c>
      <c r="Y659" cm="1">
        <f t="array" ref="Y659">MAX(IF($C$2:$C$1387=C659,$X$2:$X$1387))</f>
        <v>32</v>
      </c>
      <c r="Z659" cm="1">
        <f t="array" ref="Z659">MIN(IF($C$2:$C$1387=C659,$X$2:$X$1387))</f>
        <v>10</v>
      </c>
      <c r="AA659">
        <f t="shared" si="75"/>
        <v>22</v>
      </c>
      <c r="AB659">
        <f t="shared" si="76"/>
        <v>0.18181818181818182</v>
      </c>
    </row>
    <row r="660" spans="1:28" x14ac:dyDescent="0.25">
      <c r="A660" t="s">
        <v>246</v>
      </c>
      <c r="B660" t="s">
        <v>247</v>
      </c>
      <c r="C660">
        <v>2014</v>
      </c>
      <c r="D660">
        <v>0.27660328000000001</v>
      </c>
      <c r="E660">
        <v>0.39509232</v>
      </c>
      <c r="F660">
        <v>2E-3</v>
      </c>
      <c r="G660">
        <v>1.9459101490553132</v>
      </c>
      <c r="H660">
        <v>0.5714285714285714</v>
      </c>
      <c r="I660">
        <v>0.66666666666666663</v>
      </c>
      <c r="J660">
        <v>0</v>
      </c>
      <c r="K660">
        <v>3</v>
      </c>
      <c r="L660">
        <v>1</v>
      </c>
      <c r="M660">
        <v>1</v>
      </c>
      <c r="N660">
        <v>1</v>
      </c>
      <c r="O660">
        <v>2</v>
      </c>
      <c r="P660">
        <v>1</v>
      </c>
      <c r="Q660">
        <f t="shared" si="70"/>
        <v>5</v>
      </c>
      <c r="R660">
        <f t="shared" si="71"/>
        <v>14</v>
      </c>
      <c r="S660">
        <f t="array" ref="S660">MAX(IF($C$2:$C$1387=C660,$R$2:$R$1387))</f>
        <v>29</v>
      </c>
      <c r="T660" cm="1">
        <f t="array" ref="T660">MIN(IF($C$2:$C$1387=C660,$R$2:$R$1387))</f>
        <v>11</v>
      </c>
      <c r="U660">
        <f t="shared" si="72"/>
        <v>18</v>
      </c>
      <c r="V660">
        <f t="shared" si="73"/>
        <v>0.16666666666666666</v>
      </c>
      <c r="W660" cm="1">
        <f t="array" ref="W660">_xlfn.IFS(N660=1,5,N660=2,4,N660=4,2,N660=5,1,N660=3,3)</f>
        <v>5</v>
      </c>
      <c r="X660">
        <f t="shared" si="74"/>
        <v>18</v>
      </c>
      <c r="Y660" cm="1">
        <f t="array" ref="Y660">MAX(IF($C$2:$C$1387=C660,$X$2:$X$1387))</f>
        <v>30</v>
      </c>
      <c r="Z660" cm="1">
        <f t="array" ref="Z660">MIN(IF($C$2:$C$1387=C660,$X$2:$X$1387))</f>
        <v>14</v>
      </c>
      <c r="AA660">
        <f t="shared" si="75"/>
        <v>16</v>
      </c>
      <c r="AB660">
        <f t="shared" si="76"/>
        <v>0.25</v>
      </c>
    </row>
    <row r="661" spans="1:28" x14ac:dyDescent="0.25">
      <c r="A661" t="s">
        <v>246</v>
      </c>
      <c r="B661" t="s">
        <v>247</v>
      </c>
      <c r="C661">
        <v>2015</v>
      </c>
      <c r="D661">
        <v>0.27570995999999998</v>
      </c>
      <c r="E661">
        <v>0.39509232</v>
      </c>
      <c r="F661">
        <v>2.9430000000000001E-2</v>
      </c>
      <c r="G661">
        <v>1.9459101490553132</v>
      </c>
      <c r="H661">
        <v>0.7142857142857143</v>
      </c>
      <c r="I661">
        <v>1</v>
      </c>
      <c r="J661">
        <v>1</v>
      </c>
      <c r="K661">
        <v>4</v>
      </c>
      <c r="L661">
        <v>1</v>
      </c>
      <c r="M661">
        <v>3</v>
      </c>
      <c r="N661">
        <v>1</v>
      </c>
      <c r="O661">
        <v>3</v>
      </c>
      <c r="P661">
        <v>2</v>
      </c>
      <c r="Q661">
        <f t="shared" si="70"/>
        <v>1</v>
      </c>
      <c r="R661">
        <f t="shared" si="71"/>
        <v>15</v>
      </c>
      <c r="S661">
        <f t="array" ref="S661">MAX(IF($C$2:$C$1387=C661,$R$2:$R$1387))</f>
        <v>29</v>
      </c>
      <c r="T661" cm="1">
        <f t="array" ref="T661">MIN(IF($C$2:$C$1387=C661,$R$2:$R$1387))</f>
        <v>11</v>
      </c>
      <c r="U661">
        <f t="shared" si="72"/>
        <v>18</v>
      </c>
      <c r="V661">
        <f t="shared" si="73"/>
        <v>0.22222222222222221</v>
      </c>
      <c r="W661" cm="1">
        <f t="array" ref="W661">_xlfn.IFS(N661=1,5,N661=2,4,N661=4,2,N661=5,1,N661=3,3)</f>
        <v>5</v>
      </c>
      <c r="X661">
        <f t="shared" si="74"/>
        <v>19</v>
      </c>
      <c r="Y661" cm="1">
        <f t="array" ref="Y661">MAX(IF($C$2:$C$1387=C661,$X$2:$X$1387))</f>
        <v>29</v>
      </c>
      <c r="Z661" cm="1">
        <f t="array" ref="Z661">MIN(IF($C$2:$C$1387=C661,$X$2:$X$1387))</f>
        <v>12</v>
      </c>
      <c r="AA661">
        <f t="shared" si="75"/>
        <v>17</v>
      </c>
      <c r="AB661">
        <f t="shared" si="76"/>
        <v>0.41176470588235292</v>
      </c>
    </row>
    <row r="662" spans="1:28" x14ac:dyDescent="0.25">
      <c r="A662" t="s">
        <v>248</v>
      </c>
      <c r="B662" t="s">
        <v>249</v>
      </c>
      <c r="C662">
        <v>2010</v>
      </c>
      <c r="D662">
        <v>0.5233584884751773</v>
      </c>
      <c r="E662">
        <v>0.49561092641843973</v>
      </c>
      <c r="F662">
        <v>1.0050975177304964E-2</v>
      </c>
      <c r="G662">
        <v>1.9459101490553132</v>
      </c>
      <c r="H662">
        <v>0.42857142857142855</v>
      </c>
      <c r="I662">
        <v>0.66666666666666663</v>
      </c>
      <c r="J662">
        <v>0</v>
      </c>
      <c r="K662">
        <v>5</v>
      </c>
      <c r="L662">
        <v>2</v>
      </c>
      <c r="M662">
        <v>2</v>
      </c>
      <c r="N662">
        <v>1</v>
      </c>
      <c r="O662">
        <v>2</v>
      </c>
      <c r="P662">
        <v>1</v>
      </c>
      <c r="Q662">
        <f t="shared" si="70"/>
        <v>5</v>
      </c>
      <c r="R662">
        <f t="shared" si="71"/>
        <v>18</v>
      </c>
      <c r="S662">
        <f t="array" ref="S662">MAX(IF($C$2:$C$1387=C662,$R$2:$R$1387))</f>
        <v>29</v>
      </c>
      <c r="T662" cm="1">
        <f t="array" ref="T662">MIN(IF($C$2:$C$1387=C662,$R$2:$R$1387))</f>
        <v>9</v>
      </c>
      <c r="U662">
        <f t="shared" si="72"/>
        <v>20</v>
      </c>
      <c r="V662">
        <f t="shared" si="73"/>
        <v>0.45</v>
      </c>
      <c r="W662" cm="1">
        <f t="array" ref="W662">_xlfn.IFS(N662=1,5,N662=2,4,N662=4,2,N662=5,1,N662=3,3)</f>
        <v>5</v>
      </c>
      <c r="X662">
        <f t="shared" si="74"/>
        <v>22</v>
      </c>
      <c r="Y662" cm="1">
        <f t="array" ref="Y662">MAX(IF($C$2:$C$1387=C662,$X$2:$X$1387))</f>
        <v>29</v>
      </c>
      <c r="Z662" cm="1">
        <f t="array" ref="Z662">MIN(IF($C$2:$C$1387=C662,$X$2:$X$1387))</f>
        <v>12</v>
      </c>
      <c r="AA662">
        <f t="shared" si="75"/>
        <v>17</v>
      </c>
      <c r="AB662">
        <f t="shared" si="76"/>
        <v>0.58823529411764708</v>
      </c>
    </row>
    <row r="663" spans="1:28" x14ac:dyDescent="0.25">
      <c r="A663" t="s">
        <v>248</v>
      </c>
      <c r="B663" t="s">
        <v>249</v>
      </c>
      <c r="C663">
        <v>2011</v>
      </c>
      <c r="D663">
        <v>0.5233584884751773</v>
      </c>
      <c r="E663">
        <v>0.49561092641843973</v>
      </c>
      <c r="F663">
        <v>1.0050975177304964E-2</v>
      </c>
      <c r="G663">
        <v>1.9459101490553132</v>
      </c>
      <c r="H663">
        <v>0.42857142857142855</v>
      </c>
      <c r="I663">
        <v>0.66666666666666663</v>
      </c>
      <c r="J663">
        <v>0</v>
      </c>
      <c r="K663">
        <v>5</v>
      </c>
      <c r="L663">
        <v>2</v>
      </c>
      <c r="M663">
        <v>2</v>
      </c>
      <c r="N663">
        <v>1</v>
      </c>
      <c r="O663">
        <v>2</v>
      </c>
      <c r="P663">
        <v>1</v>
      </c>
      <c r="Q663">
        <f t="shared" si="70"/>
        <v>5</v>
      </c>
      <c r="R663">
        <f t="shared" si="71"/>
        <v>18</v>
      </c>
      <c r="S663">
        <f t="array" ref="S663">MAX(IF($C$2:$C$1387=C663,$R$2:$R$1387))</f>
        <v>28</v>
      </c>
      <c r="T663" cm="1">
        <f t="array" ref="T663">MIN(IF($C$2:$C$1387=C663,$R$2:$R$1387))</f>
        <v>10</v>
      </c>
      <c r="U663">
        <f t="shared" si="72"/>
        <v>18</v>
      </c>
      <c r="V663">
        <f t="shared" si="73"/>
        <v>0.44444444444444442</v>
      </c>
      <c r="W663" cm="1">
        <f t="array" ref="W663">_xlfn.IFS(N663=1,5,N663=2,4,N663=4,2,N663=5,1,N663=3,3)</f>
        <v>5</v>
      </c>
      <c r="X663">
        <f t="shared" si="74"/>
        <v>22</v>
      </c>
      <c r="Y663" cm="1">
        <f t="array" ref="Y663">MAX(IF($C$2:$C$1387=C663,$X$2:$X$1387))</f>
        <v>29</v>
      </c>
      <c r="Z663" cm="1">
        <f t="array" ref="Z663">MIN(IF($C$2:$C$1387=C663,$X$2:$X$1387))</f>
        <v>12</v>
      </c>
      <c r="AA663">
        <f t="shared" si="75"/>
        <v>17</v>
      </c>
      <c r="AB663">
        <f t="shared" si="76"/>
        <v>0.58823529411764708</v>
      </c>
    </row>
    <row r="664" spans="1:28" x14ac:dyDescent="0.25">
      <c r="A664" t="s">
        <v>248</v>
      </c>
      <c r="B664" t="s">
        <v>249</v>
      </c>
      <c r="C664">
        <v>2012</v>
      </c>
      <c r="D664">
        <v>0.5233584884751773</v>
      </c>
      <c r="E664">
        <v>0.49561092641843973</v>
      </c>
      <c r="F664">
        <v>1.0050975177304964E-2</v>
      </c>
      <c r="G664">
        <v>1.9459101490553132</v>
      </c>
      <c r="H664">
        <v>0.42857142857142855</v>
      </c>
      <c r="I664">
        <v>0.5</v>
      </c>
      <c r="J664">
        <v>0</v>
      </c>
      <c r="K664">
        <v>4</v>
      </c>
      <c r="L664">
        <v>2</v>
      </c>
      <c r="M664">
        <v>2</v>
      </c>
      <c r="N664">
        <v>1</v>
      </c>
      <c r="O664">
        <v>2</v>
      </c>
      <c r="P664">
        <v>1</v>
      </c>
      <c r="Q664">
        <f t="shared" si="70"/>
        <v>5</v>
      </c>
      <c r="R664">
        <f t="shared" si="71"/>
        <v>17</v>
      </c>
      <c r="S664">
        <f t="array" ref="S664">MAX(IF($C$2:$C$1387=C664,$R$2:$R$1387))</f>
        <v>29</v>
      </c>
      <c r="T664" cm="1">
        <f t="array" ref="T664">MIN(IF($C$2:$C$1387=C664,$R$2:$R$1387))</f>
        <v>11</v>
      </c>
      <c r="U664">
        <f t="shared" si="72"/>
        <v>18</v>
      </c>
      <c r="V664">
        <f t="shared" si="73"/>
        <v>0.33333333333333331</v>
      </c>
      <c r="W664" cm="1">
        <f t="array" ref="W664">_xlfn.IFS(N664=1,5,N664=2,4,N664=4,2,N664=5,1,N664=3,3)</f>
        <v>5</v>
      </c>
      <c r="X664">
        <f t="shared" si="74"/>
        <v>21</v>
      </c>
      <c r="Y664" cm="1">
        <f t="array" ref="Y664">MAX(IF($C$2:$C$1387=C664,$X$2:$X$1387))</f>
        <v>30</v>
      </c>
      <c r="Z664" cm="1">
        <f t="array" ref="Z664">MIN(IF($C$2:$C$1387=C664,$X$2:$X$1387))</f>
        <v>12</v>
      </c>
      <c r="AA664">
        <f t="shared" si="75"/>
        <v>18</v>
      </c>
      <c r="AB664">
        <f t="shared" si="76"/>
        <v>0.5</v>
      </c>
    </row>
    <row r="665" spans="1:28" x14ac:dyDescent="0.25">
      <c r="A665" t="s">
        <v>248</v>
      </c>
      <c r="B665" t="s">
        <v>249</v>
      </c>
      <c r="C665">
        <v>2013</v>
      </c>
      <c r="D665">
        <v>0.5233584884751773</v>
      </c>
      <c r="E665">
        <v>0.49561092641843973</v>
      </c>
      <c r="F665">
        <v>1.0050975177304964E-2</v>
      </c>
      <c r="G665">
        <v>1.9459101490553132</v>
      </c>
      <c r="H665">
        <v>0.42857142857142855</v>
      </c>
      <c r="I665">
        <v>0.5</v>
      </c>
      <c r="J665">
        <v>0</v>
      </c>
      <c r="K665">
        <v>4</v>
      </c>
      <c r="L665">
        <v>2</v>
      </c>
      <c r="M665">
        <v>2</v>
      </c>
      <c r="N665">
        <v>1</v>
      </c>
      <c r="O665">
        <v>1</v>
      </c>
      <c r="P665">
        <v>1</v>
      </c>
      <c r="Q665">
        <f t="shared" si="70"/>
        <v>5</v>
      </c>
      <c r="R665">
        <f t="shared" si="71"/>
        <v>16</v>
      </c>
      <c r="S665">
        <f t="array" ref="S665">MAX(IF($C$2:$C$1387=C665,$R$2:$R$1387))</f>
        <v>29</v>
      </c>
      <c r="T665" cm="1">
        <f t="array" ref="T665">MIN(IF($C$2:$C$1387=C665,$R$2:$R$1387))</f>
        <v>10</v>
      </c>
      <c r="U665">
        <f t="shared" si="72"/>
        <v>19</v>
      </c>
      <c r="V665">
        <f t="shared" si="73"/>
        <v>0.31578947368421051</v>
      </c>
      <c r="W665" cm="1">
        <f t="array" ref="W665">_xlfn.IFS(N665=1,5,N665=2,4,N665=4,2,N665=5,1,N665=3,3)</f>
        <v>5</v>
      </c>
      <c r="X665">
        <f t="shared" si="74"/>
        <v>20</v>
      </c>
      <c r="Y665" cm="1">
        <f t="array" ref="Y665">MAX(IF($C$2:$C$1387=C665,$X$2:$X$1387))</f>
        <v>32</v>
      </c>
      <c r="Z665" cm="1">
        <f t="array" ref="Z665">MIN(IF($C$2:$C$1387=C665,$X$2:$X$1387))</f>
        <v>10</v>
      </c>
      <c r="AA665">
        <f t="shared" si="75"/>
        <v>22</v>
      </c>
      <c r="AB665">
        <f t="shared" si="76"/>
        <v>0.45454545454545453</v>
      </c>
    </row>
    <row r="666" spans="1:28" x14ac:dyDescent="0.25">
      <c r="A666" t="s">
        <v>248</v>
      </c>
      <c r="B666" t="s">
        <v>249</v>
      </c>
      <c r="C666">
        <v>2014</v>
      </c>
      <c r="D666">
        <v>0.60770024379432619</v>
      </c>
      <c r="E666">
        <v>0.5573795434397163</v>
      </c>
      <c r="F666">
        <v>9.3860815602836885E-3</v>
      </c>
      <c r="G666">
        <v>1.9459101490553132</v>
      </c>
      <c r="H666">
        <v>0.42857142857142855</v>
      </c>
      <c r="I666">
        <v>0.5</v>
      </c>
      <c r="J666">
        <v>0</v>
      </c>
      <c r="K666">
        <v>5</v>
      </c>
      <c r="L666">
        <v>2</v>
      </c>
      <c r="M666">
        <v>2</v>
      </c>
      <c r="N666">
        <v>1</v>
      </c>
      <c r="O666">
        <v>1</v>
      </c>
      <c r="P666">
        <v>1</v>
      </c>
      <c r="Q666">
        <f t="shared" si="70"/>
        <v>5</v>
      </c>
      <c r="R666">
        <f t="shared" si="71"/>
        <v>17</v>
      </c>
      <c r="S666">
        <f t="array" ref="S666">MAX(IF($C$2:$C$1387=C666,$R$2:$R$1387))</f>
        <v>29</v>
      </c>
      <c r="T666" cm="1">
        <f t="array" ref="T666">MIN(IF($C$2:$C$1387=C666,$R$2:$R$1387))</f>
        <v>11</v>
      </c>
      <c r="U666">
        <f t="shared" si="72"/>
        <v>18</v>
      </c>
      <c r="V666">
        <f t="shared" si="73"/>
        <v>0.33333333333333331</v>
      </c>
      <c r="W666" cm="1">
        <f t="array" ref="W666">_xlfn.IFS(N666=1,5,N666=2,4,N666=4,2,N666=5,1,N666=3,3)</f>
        <v>5</v>
      </c>
      <c r="X666">
        <f t="shared" si="74"/>
        <v>21</v>
      </c>
      <c r="Y666" cm="1">
        <f t="array" ref="Y666">MAX(IF($C$2:$C$1387=C666,$X$2:$X$1387))</f>
        <v>30</v>
      </c>
      <c r="Z666" cm="1">
        <f t="array" ref="Z666">MIN(IF($C$2:$C$1387=C666,$X$2:$X$1387))</f>
        <v>14</v>
      </c>
      <c r="AA666">
        <f t="shared" si="75"/>
        <v>16</v>
      </c>
      <c r="AB666">
        <f t="shared" si="76"/>
        <v>0.4375</v>
      </c>
    </row>
    <row r="667" spans="1:28" x14ac:dyDescent="0.25">
      <c r="A667" t="s">
        <v>248</v>
      </c>
      <c r="B667" t="s">
        <v>249</v>
      </c>
      <c r="C667">
        <v>2015</v>
      </c>
      <c r="D667">
        <v>0.61213286790780141</v>
      </c>
      <c r="E667">
        <v>0.58626551418439721</v>
      </c>
      <c r="F667">
        <v>9.3860815602836885E-3</v>
      </c>
      <c r="G667">
        <v>2.0794415416798357</v>
      </c>
      <c r="H667">
        <v>0.625</v>
      </c>
      <c r="I667">
        <v>0.66666666666666663</v>
      </c>
      <c r="J667">
        <v>0</v>
      </c>
      <c r="K667">
        <v>5</v>
      </c>
      <c r="L667">
        <v>2</v>
      </c>
      <c r="M667">
        <v>2</v>
      </c>
      <c r="N667">
        <v>3</v>
      </c>
      <c r="O667">
        <v>2</v>
      </c>
      <c r="P667">
        <v>1</v>
      </c>
      <c r="Q667">
        <f t="shared" si="70"/>
        <v>5</v>
      </c>
      <c r="R667">
        <f t="shared" si="71"/>
        <v>20</v>
      </c>
      <c r="S667">
        <f t="array" ref="S667">MAX(IF($C$2:$C$1387=C667,$R$2:$R$1387))</f>
        <v>29</v>
      </c>
      <c r="T667" cm="1">
        <f t="array" ref="T667">MIN(IF($C$2:$C$1387=C667,$R$2:$R$1387))</f>
        <v>11</v>
      </c>
      <c r="U667">
        <f t="shared" si="72"/>
        <v>18</v>
      </c>
      <c r="V667">
        <f t="shared" si="73"/>
        <v>0.5</v>
      </c>
      <c r="W667" cm="1">
        <f t="array" ref="W667">_xlfn.IFS(N667=1,5,N667=2,4,N667=4,2,N667=5,1,N667=3,3)</f>
        <v>3</v>
      </c>
      <c r="X667">
        <f t="shared" si="74"/>
        <v>20</v>
      </c>
      <c r="Y667" cm="1">
        <f t="array" ref="Y667">MAX(IF($C$2:$C$1387=C667,$X$2:$X$1387))</f>
        <v>29</v>
      </c>
      <c r="Z667" cm="1">
        <f t="array" ref="Z667">MIN(IF($C$2:$C$1387=C667,$X$2:$X$1387))</f>
        <v>12</v>
      </c>
      <c r="AA667">
        <f t="shared" si="75"/>
        <v>17</v>
      </c>
      <c r="AB667">
        <f t="shared" si="76"/>
        <v>0.47058823529411764</v>
      </c>
    </row>
    <row r="668" spans="1:28" x14ac:dyDescent="0.25">
      <c r="A668" t="s">
        <v>250</v>
      </c>
      <c r="B668" t="s">
        <v>251</v>
      </c>
      <c r="C668">
        <v>2010</v>
      </c>
      <c r="D668">
        <v>0.88230003356933595</v>
      </c>
      <c r="E668">
        <v>0.53713341904856093</v>
      </c>
      <c r="F668">
        <v>8.3699999999999997E-2</v>
      </c>
      <c r="G668">
        <v>2.3025850929940459</v>
      </c>
      <c r="H668">
        <v>0.3</v>
      </c>
      <c r="I668">
        <v>1</v>
      </c>
      <c r="J668">
        <v>0</v>
      </c>
      <c r="K668">
        <v>5</v>
      </c>
      <c r="L668">
        <v>2</v>
      </c>
      <c r="M668">
        <v>3</v>
      </c>
      <c r="N668">
        <v>5</v>
      </c>
      <c r="O668">
        <v>1</v>
      </c>
      <c r="P668">
        <v>3</v>
      </c>
      <c r="Q668">
        <f t="shared" si="70"/>
        <v>5</v>
      </c>
      <c r="R668">
        <f t="shared" si="71"/>
        <v>24</v>
      </c>
      <c r="S668">
        <f t="array" ref="S668">MAX(IF($C$2:$C$1387=C668,$R$2:$R$1387))</f>
        <v>29</v>
      </c>
      <c r="T668" cm="1">
        <f t="array" ref="T668">MIN(IF($C$2:$C$1387=C668,$R$2:$R$1387))</f>
        <v>9</v>
      </c>
      <c r="U668">
        <f t="shared" si="72"/>
        <v>20</v>
      </c>
      <c r="V668">
        <f t="shared" si="73"/>
        <v>0.75</v>
      </c>
      <c r="W668" cm="1">
        <f t="array" ref="W668">_xlfn.IFS(N668=1,5,N668=2,4,N668=4,2,N668=5,1,N668=3,3)</f>
        <v>1</v>
      </c>
      <c r="X668">
        <f t="shared" si="74"/>
        <v>20</v>
      </c>
      <c r="Y668" cm="1">
        <f t="array" ref="Y668">MAX(IF($C$2:$C$1387=C668,$X$2:$X$1387))</f>
        <v>29</v>
      </c>
      <c r="Z668" cm="1">
        <f t="array" ref="Z668">MIN(IF($C$2:$C$1387=C668,$X$2:$X$1387))</f>
        <v>12</v>
      </c>
      <c r="AA668">
        <f t="shared" si="75"/>
        <v>17</v>
      </c>
      <c r="AB668">
        <f t="shared" si="76"/>
        <v>0.47058823529411764</v>
      </c>
    </row>
    <row r="669" spans="1:28" x14ac:dyDescent="0.25">
      <c r="A669" t="s">
        <v>250</v>
      </c>
      <c r="B669" t="s">
        <v>251</v>
      </c>
      <c r="C669">
        <v>2011</v>
      </c>
      <c r="D669">
        <v>0.88230003356933595</v>
      </c>
      <c r="E669">
        <v>0.53713341904856093</v>
      </c>
      <c r="F669">
        <v>8.3699999999999997E-2</v>
      </c>
      <c r="G669">
        <v>2.3025850929940459</v>
      </c>
      <c r="H669">
        <v>0.3</v>
      </c>
      <c r="I669">
        <v>1</v>
      </c>
      <c r="J669">
        <v>0</v>
      </c>
      <c r="K669">
        <v>5</v>
      </c>
      <c r="L669">
        <v>2</v>
      </c>
      <c r="M669">
        <v>3</v>
      </c>
      <c r="N669">
        <v>5</v>
      </c>
      <c r="O669">
        <v>1</v>
      </c>
      <c r="P669">
        <v>3</v>
      </c>
      <c r="Q669">
        <f t="shared" si="70"/>
        <v>5</v>
      </c>
      <c r="R669">
        <f t="shared" si="71"/>
        <v>24</v>
      </c>
      <c r="S669">
        <f t="array" ref="S669">MAX(IF($C$2:$C$1387=C669,$R$2:$R$1387))</f>
        <v>28</v>
      </c>
      <c r="T669" cm="1">
        <f t="array" ref="T669">MIN(IF($C$2:$C$1387=C669,$R$2:$R$1387))</f>
        <v>10</v>
      </c>
      <c r="U669">
        <f t="shared" si="72"/>
        <v>18</v>
      </c>
      <c r="V669">
        <f t="shared" si="73"/>
        <v>0.77777777777777779</v>
      </c>
      <c r="W669" cm="1">
        <f t="array" ref="W669">_xlfn.IFS(N669=1,5,N669=2,4,N669=4,2,N669=5,1,N669=3,3)</f>
        <v>1</v>
      </c>
      <c r="X669">
        <f t="shared" si="74"/>
        <v>20</v>
      </c>
      <c r="Y669" cm="1">
        <f t="array" ref="Y669">MAX(IF($C$2:$C$1387=C669,$X$2:$X$1387))</f>
        <v>29</v>
      </c>
      <c r="Z669" cm="1">
        <f t="array" ref="Z669">MIN(IF($C$2:$C$1387=C669,$X$2:$X$1387))</f>
        <v>12</v>
      </c>
      <c r="AA669">
        <f t="shared" si="75"/>
        <v>17</v>
      </c>
      <c r="AB669">
        <f t="shared" si="76"/>
        <v>0.47058823529411764</v>
      </c>
    </row>
    <row r="670" spans="1:28" x14ac:dyDescent="0.25">
      <c r="A670" t="s">
        <v>250</v>
      </c>
      <c r="B670" t="s">
        <v>251</v>
      </c>
      <c r="C670">
        <v>2012</v>
      </c>
      <c r="D670">
        <v>0.88230003356933595</v>
      </c>
      <c r="E670">
        <v>0.53713341904856093</v>
      </c>
      <c r="F670">
        <v>8.3699999999999997E-2</v>
      </c>
      <c r="G670">
        <v>2.3025850929940459</v>
      </c>
      <c r="H670">
        <v>0.3</v>
      </c>
      <c r="I670">
        <v>1</v>
      </c>
      <c r="J670">
        <v>0</v>
      </c>
      <c r="K670">
        <v>5</v>
      </c>
      <c r="L670">
        <v>2</v>
      </c>
      <c r="M670">
        <v>4</v>
      </c>
      <c r="N670">
        <v>5</v>
      </c>
      <c r="O670">
        <v>1</v>
      </c>
      <c r="P670">
        <v>3</v>
      </c>
      <c r="Q670">
        <f t="shared" si="70"/>
        <v>5</v>
      </c>
      <c r="R670">
        <f t="shared" si="71"/>
        <v>25</v>
      </c>
      <c r="S670">
        <f t="array" ref="S670">MAX(IF($C$2:$C$1387=C670,$R$2:$R$1387))</f>
        <v>29</v>
      </c>
      <c r="T670" cm="1">
        <f t="array" ref="T670">MIN(IF($C$2:$C$1387=C670,$R$2:$R$1387))</f>
        <v>11</v>
      </c>
      <c r="U670">
        <f t="shared" si="72"/>
        <v>18</v>
      </c>
      <c r="V670">
        <f t="shared" si="73"/>
        <v>0.77777777777777779</v>
      </c>
      <c r="W670" cm="1">
        <f t="array" ref="W670">_xlfn.IFS(N670=1,5,N670=2,4,N670=4,2,N670=5,1,N670=3,3)</f>
        <v>1</v>
      </c>
      <c r="X670">
        <f t="shared" si="74"/>
        <v>21</v>
      </c>
      <c r="Y670" cm="1">
        <f t="array" ref="Y670">MAX(IF($C$2:$C$1387=C670,$X$2:$X$1387))</f>
        <v>30</v>
      </c>
      <c r="Z670" cm="1">
        <f t="array" ref="Z670">MIN(IF($C$2:$C$1387=C670,$X$2:$X$1387))</f>
        <v>12</v>
      </c>
      <c r="AA670">
        <f t="shared" si="75"/>
        <v>18</v>
      </c>
      <c r="AB670">
        <f t="shared" si="76"/>
        <v>0.5</v>
      </c>
    </row>
    <row r="671" spans="1:28" x14ac:dyDescent="0.25">
      <c r="A671" t="s">
        <v>250</v>
      </c>
      <c r="B671" t="s">
        <v>251</v>
      </c>
      <c r="C671">
        <v>2013</v>
      </c>
      <c r="D671">
        <v>0.88230003356933595</v>
      </c>
      <c r="E671">
        <v>0.53713341904856093</v>
      </c>
      <c r="F671">
        <v>8.3699999999999997E-2</v>
      </c>
      <c r="G671">
        <v>2.3025850929940459</v>
      </c>
      <c r="H671">
        <v>0.7</v>
      </c>
      <c r="I671">
        <v>0.66666666666666663</v>
      </c>
      <c r="J671">
        <v>0</v>
      </c>
      <c r="K671">
        <v>5</v>
      </c>
      <c r="L671">
        <v>2</v>
      </c>
      <c r="M671">
        <v>4</v>
      </c>
      <c r="N671">
        <v>5</v>
      </c>
      <c r="O671">
        <v>4</v>
      </c>
      <c r="P671">
        <v>1</v>
      </c>
      <c r="Q671">
        <f t="shared" si="70"/>
        <v>5</v>
      </c>
      <c r="R671">
        <f t="shared" si="71"/>
        <v>26</v>
      </c>
      <c r="S671">
        <f t="array" ref="S671">MAX(IF($C$2:$C$1387=C671,$R$2:$R$1387))</f>
        <v>29</v>
      </c>
      <c r="T671" cm="1">
        <f t="array" ref="T671">MIN(IF($C$2:$C$1387=C671,$R$2:$R$1387))</f>
        <v>10</v>
      </c>
      <c r="U671">
        <f t="shared" si="72"/>
        <v>19</v>
      </c>
      <c r="V671">
        <f t="shared" si="73"/>
        <v>0.84210526315789469</v>
      </c>
      <c r="W671" cm="1">
        <f t="array" ref="W671">_xlfn.IFS(N671=1,5,N671=2,4,N671=4,2,N671=5,1,N671=3,3)</f>
        <v>1</v>
      </c>
      <c r="X671">
        <f t="shared" si="74"/>
        <v>22</v>
      </c>
      <c r="Y671" cm="1">
        <f t="array" ref="Y671">MAX(IF($C$2:$C$1387=C671,$X$2:$X$1387))</f>
        <v>32</v>
      </c>
      <c r="Z671" cm="1">
        <f t="array" ref="Z671">MIN(IF($C$2:$C$1387=C671,$X$2:$X$1387))</f>
        <v>10</v>
      </c>
      <c r="AA671">
        <f t="shared" si="75"/>
        <v>22</v>
      </c>
      <c r="AB671">
        <f t="shared" si="76"/>
        <v>0.54545454545454541</v>
      </c>
    </row>
    <row r="672" spans="1:28" x14ac:dyDescent="0.25">
      <c r="A672" t="s">
        <v>250</v>
      </c>
      <c r="B672" t="s">
        <v>251</v>
      </c>
      <c r="C672">
        <v>2014</v>
      </c>
      <c r="D672">
        <v>0.88230003356933595</v>
      </c>
      <c r="E672">
        <v>0.53713341904856093</v>
      </c>
      <c r="F672">
        <v>8.3699999999999997E-2</v>
      </c>
      <c r="G672">
        <v>2.3025850929940459</v>
      </c>
      <c r="H672">
        <v>0.7</v>
      </c>
      <c r="I672">
        <v>0.66666666666666663</v>
      </c>
      <c r="J672">
        <v>0</v>
      </c>
      <c r="K672">
        <v>5</v>
      </c>
      <c r="L672">
        <v>2</v>
      </c>
      <c r="M672">
        <v>4</v>
      </c>
      <c r="N672">
        <v>5</v>
      </c>
      <c r="O672">
        <v>4</v>
      </c>
      <c r="P672">
        <v>1</v>
      </c>
      <c r="Q672">
        <f t="shared" si="70"/>
        <v>5</v>
      </c>
      <c r="R672">
        <f t="shared" si="71"/>
        <v>26</v>
      </c>
      <c r="S672">
        <f t="array" ref="S672">MAX(IF($C$2:$C$1387=C672,$R$2:$R$1387))</f>
        <v>29</v>
      </c>
      <c r="T672" cm="1">
        <f t="array" ref="T672">MIN(IF($C$2:$C$1387=C672,$R$2:$R$1387))</f>
        <v>11</v>
      </c>
      <c r="U672">
        <f t="shared" si="72"/>
        <v>18</v>
      </c>
      <c r="V672">
        <f t="shared" si="73"/>
        <v>0.83333333333333337</v>
      </c>
      <c r="W672" cm="1">
        <f t="array" ref="W672">_xlfn.IFS(N672=1,5,N672=2,4,N672=4,2,N672=5,1,N672=3,3)</f>
        <v>1</v>
      </c>
      <c r="X672">
        <f t="shared" si="74"/>
        <v>22</v>
      </c>
      <c r="Y672" cm="1">
        <f t="array" ref="Y672">MAX(IF($C$2:$C$1387=C672,$X$2:$X$1387))</f>
        <v>30</v>
      </c>
      <c r="Z672" cm="1">
        <f t="array" ref="Z672">MIN(IF($C$2:$C$1387=C672,$X$2:$X$1387))</f>
        <v>14</v>
      </c>
      <c r="AA672">
        <f t="shared" si="75"/>
        <v>16</v>
      </c>
      <c r="AB672">
        <f t="shared" si="76"/>
        <v>0.5</v>
      </c>
    </row>
    <row r="673" spans="1:28" x14ac:dyDescent="0.25">
      <c r="A673" t="s">
        <v>250</v>
      </c>
      <c r="B673" t="s">
        <v>251</v>
      </c>
      <c r="C673">
        <v>2015</v>
      </c>
      <c r="D673">
        <v>0.88458537506254931</v>
      </c>
      <c r="E673">
        <v>0.60097781686704221</v>
      </c>
      <c r="F673">
        <v>6.936221030609506E-2</v>
      </c>
      <c r="G673">
        <v>2.3025850929940459</v>
      </c>
      <c r="H673">
        <v>0.7</v>
      </c>
      <c r="I673">
        <v>0.66666666666666663</v>
      </c>
      <c r="J673">
        <v>0</v>
      </c>
      <c r="K673">
        <v>5</v>
      </c>
      <c r="L673">
        <v>3</v>
      </c>
      <c r="M673">
        <v>3</v>
      </c>
      <c r="N673">
        <v>5</v>
      </c>
      <c r="O673">
        <v>3</v>
      </c>
      <c r="P673">
        <v>1</v>
      </c>
      <c r="Q673">
        <f t="shared" si="70"/>
        <v>5</v>
      </c>
      <c r="R673">
        <f t="shared" si="71"/>
        <v>25</v>
      </c>
      <c r="S673">
        <f t="array" ref="S673">MAX(IF($C$2:$C$1387=C673,$R$2:$R$1387))</f>
        <v>29</v>
      </c>
      <c r="T673" cm="1">
        <f t="array" ref="T673">MIN(IF($C$2:$C$1387=C673,$R$2:$R$1387))</f>
        <v>11</v>
      </c>
      <c r="U673">
        <f t="shared" si="72"/>
        <v>18</v>
      </c>
      <c r="V673">
        <f t="shared" si="73"/>
        <v>0.77777777777777779</v>
      </c>
      <c r="W673" cm="1">
        <f t="array" ref="W673">_xlfn.IFS(N673=1,5,N673=2,4,N673=4,2,N673=5,1,N673=3,3)</f>
        <v>1</v>
      </c>
      <c r="X673">
        <f t="shared" si="74"/>
        <v>21</v>
      </c>
      <c r="Y673" cm="1">
        <f t="array" ref="Y673">MAX(IF($C$2:$C$1387=C673,$X$2:$X$1387))</f>
        <v>29</v>
      </c>
      <c r="Z673" cm="1">
        <f t="array" ref="Z673">MIN(IF($C$2:$C$1387=C673,$X$2:$X$1387))</f>
        <v>12</v>
      </c>
      <c r="AA673">
        <f t="shared" si="75"/>
        <v>17</v>
      </c>
      <c r="AB673">
        <f t="shared" si="76"/>
        <v>0.52941176470588236</v>
      </c>
    </row>
    <row r="674" spans="1:28" x14ac:dyDescent="0.25">
      <c r="A674" t="s">
        <v>252</v>
      </c>
      <c r="B674" t="s">
        <v>253</v>
      </c>
      <c r="C674">
        <v>2010</v>
      </c>
      <c r="D674">
        <v>0.75918200000000002</v>
      </c>
      <c r="E674">
        <v>0.86108799999999996</v>
      </c>
      <c r="F674">
        <v>2.0000000000000001E-4</v>
      </c>
      <c r="G674">
        <v>1.9459101490553132</v>
      </c>
      <c r="H674">
        <v>0.42857142857142855</v>
      </c>
      <c r="I674">
        <v>0.66666666666666663</v>
      </c>
      <c r="J674">
        <v>0</v>
      </c>
      <c r="K674">
        <v>5</v>
      </c>
      <c r="L674">
        <v>5</v>
      </c>
      <c r="M674">
        <v>1</v>
      </c>
      <c r="N674">
        <v>1</v>
      </c>
      <c r="O674">
        <v>2</v>
      </c>
      <c r="P674">
        <v>1</v>
      </c>
      <c r="Q674">
        <f t="shared" si="70"/>
        <v>5</v>
      </c>
      <c r="R674">
        <f t="shared" si="71"/>
        <v>20</v>
      </c>
      <c r="S674">
        <f t="array" ref="S674">MAX(IF($C$2:$C$1387=C674,$R$2:$R$1387))</f>
        <v>29</v>
      </c>
      <c r="T674" cm="1">
        <f t="array" ref="T674">MIN(IF($C$2:$C$1387=C674,$R$2:$R$1387))</f>
        <v>9</v>
      </c>
      <c r="U674">
        <f t="shared" si="72"/>
        <v>20</v>
      </c>
      <c r="V674">
        <f t="shared" si="73"/>
        <v>0.55000000000000004</v>
      </c>
      <c r="W674" cm="1">
        <f t="array" ref="W674">_xlfn.IFS(N674=1,5,N674=2,4,N674=4,2,N674=5,1,N674=3,3)</f>
        <v>5</v>
      </c>
      <c r="X674">
        <f t="shared" si="74"/>
        <v>24</v>
      </c>
      <c r="Y674" cm="1">
        <f t="array" ref="Y674">MAX(IF($C$2:$C$1387=C674,$X$2:$X$1387))</f>
        <v>29</v>
      </c>
      <c r="Z674" cm="1">
        <f t="array" ref="Z674">MIN(IF($C$2:$C$1387=C674,$X$2:$X$1387))</f>
        <v>12</v>
      </c>
      <c r="AA674">
        <f t="shared" si="75"/>
        <v>17</v>
      </c>
      <c r="AB674">
        <f t="shared" si="76"/>
        <v>0.70588235294117652</v>
      </c>
    </row>
    <row r="675" spans="1:28" x14ac:dyDescent="0.25">
      <c r="A675" t="s">
        <v>252</v>
      </c>
      <c r="B675" t="s">
        <v>253</v>
      </c>
      <c r="C675">
        <v>2011</v>
      </c>
      <c r="D675">
        <v>0.76418200000000003</v>
      </c>
      <c r="E675">
        <v>0.86808799999999997</v>
      </c>
      <c r="F675">
        <v>0</v>
      </c>
      <c r="G675">
        <v>1.9459101490553132</v>
      </c>
      <c r="H675">
        <v>0.42857142857142855</v>
      </c>
      <c r="I675">
        <v>0.66666666666666663</v>
      </c>
      <c r="J675">
        <v>0</v>
      </c>
      <c r="K675">
        <v>5</v>
      </c>
      <c r="L675">
        <v>5</v>
      </c>
      <c r="M675">
        <v>1</v>
      </c>
      <c r="N675">
        <v>1</v>
      </c>
      <c r="O675">
        <v>2</v>
      </c>
      <c r="P675">
        <v>1</v>
      </c>
      <c r="Q675">
        <f t="shared" si="70"/>
        <v>5</v>
      </c>
      <c r="R675">
        <f t="shared" si="71"/>
        <v>20</v>
      </c>
      <c r="S675">
        <f t="array" ref="S675">MAX(IF($C$2:$C$1387=C675,$R$2:$R$1387))</f>
        <v>28</v>
      </c>
      <c r="T675" cm="1">
        <f t="array" ref="T675">MIN(IF($C$2:$C$1387=C675,$R$2:$R$1387))</f>
        <v>10</v>
      </c>
      <c r="U675">
        <f t="shared" si="72"/>
        <v>18</v>
      </c>
      <c r="V675">
        <f t="shared" si="73"/>
        <v>0.55555555555555558</v>
      </c>
      <c r="W675" cm="1">
        <f t="array" ref="W675">_xlfn.IFS(N675=1,5,N675=2,4,N675=4,2,N675=5,1,N675=3,3)</f>
        <v>5</v>
      </c>
      <c r="X675">
        <f t="shared" si="74"/>
        <v>24</v>
      </c>
      <c r="Y675" cm="1">
        <f t="array" ref="Y675">MAX(IF($C$2:$C$1387=C675,$X$2:$X$1387))</f>
        <v>29</v>
      </c>
      <c r="Z675" cm="1">
        <f t="array" ref="Z675">MIN(IF($C$2:$C$1387=C675,$X$2:$X$1387))</f>
        <v>12</v>
      </c>
      <c r="AA675">
        <f t="shared" si="75"/>
        <v>17</v>
      </c>
      <c r="AB675">
        <f t="shared" si="76"/>
        <v>0.70588235294117652</v>
      </c>
    </row>
    <row r="676" spans="1:28" x14ac:dyDescent="0.25">
      <c r="A676" t="s">
        <v>252</v>
      </c>
      <c r="B676" t="s">
        <v>253</v>
      </c>
      <c r="C676">
        <v>2012</v>
      </c>
      <c r="D676">
        <v>0.76418200000000003</v>
      </c>
      <c r="E676">
        <v>0.86808799999999997</v>
      </c>
      <c r="F676">
        <v>0.13819999999999999</v>
      </c>
      <c r="G676">
        <v>1.9459101490553132</v>
      </c>
      <c r="H676">
        <v>0.42857142857142855</v>
      </c>
      <c r="I676">
        <v>0.66666666666666663</v>
      </c>
      <c r="J676">
        <v>0</v>
      </c>
      <c r="K676">
        <v>5</v>
      </c>
      <c r="L676">
        <v>5</v>
      </c>
      <c r="M676">
        <v>4</v>
      </c>
      <c r="N676">
        <v>1</v>
      </c>
      <c r="O676">
        <v>2</v>
      </c>
      <c r="P676">
        <v>1</v>
      </c>
      <c r="Q676">
        <f t="shared" si="70"/>
        <v>5</v>
      </c>
      <c r="R676">
        <f t="shared" si="71"/>
        <v>23</v>
      </c>
      <c r="S676">
        <f t="array" ref="S676">MAX(IF($C$2:$C$1387=C676,$R$2:$R$1387))</f>
        <v>29</v>
      </c>
      <c r="T676" cm="1">
        <f t="array" ref="T676">MIN(IF($C$2:$C$1387=C676,$R$2:$R$1387))</f>
        <v>11</v>
      </c>
      <c r="U676">
        <f t="shared" si="72"/>
        <v>18</v>
      </c>
      <c r="V676">
        <f t="shared" si="73"/>
        <v>0.66666666666666663</v>
      </c>
      <c r="W676" cm="1">
        <f t="array" ref="W676">_xlfn.IFS(N676=1,5,N676=2,4,N676=4,2,N676=5,1,N676=3,3)</f>
        <v>5</v>
      </c>
      <c r="X676">
        <f t="shared" si="74"/>
        <v>27</v>
      </c>
      <c r="Y676" cm="1">
        <f t="array" ref="Y676">MAX(IF($C$2:$C$1387=C676,$X$2:$X$1387))</f>
        <v>30</v>
      </c>
      <c r="Z676" cm="1">
        <f t="array" ref="Z676">MIN(IF($C$2:$C$1387=C676,$X$2:$X$1387))</f>
        <v>12</v>
      </c>
      <c r="AA676">
        <f t="shared" si="75"/>
        <v>18</v>
      </c>
      <c r="AB676">
        <f t="shared" si="76"/>
        <v>0.83333333333333337</v>
      </c>
    </row>
    <row r="677" spans="1:28" x14ac:dyDescent="0.25">
      <c r="A677" t="s">
        <v>252</v>
      </c>
      <c r="B677" t="s">
        <v>253</v>
      </c>
      <c r="C677">
        <v>2013</v>
      </c>
      <c r="D677">
        <v>0.76628200000000002</v>
      </c>
      <c r="E677">
        <v>0.86898799999999998</v>
      </c>
      <c r="F677">
        <v>0.13730000000000001</v>
      </c>
      <c r="G677">
        <v>1.9459101490553132</v>
      </c>
      <c r="H677">
        <v>0.42857142857142855</v>
      </c>
      <c r="I677">
        <v>1</v>
      </c>
      <c r="J677">
        <v>0</v>
      </c>
      <c r="K677">
        <v>5</v>
      </c>
      <c r="L677">
        <v>5</v>
      </c>
      <c r="M677">
        <v>4</v>
      </c>
      <c r="N677">
        <v>1</v>
      </c>
      <c r="O677">
        <v>1</v>
      </c>
      <c r="P677">
        <v>3</v>
      </c>
      <c r="Q677">
        <f t="shared" si="70"/>
        <v>5</v>
      </c>
      <c r="R677">
        <f t="shared" si="71"/>
        <v>24</v>
      </c>
      <c r="S677">
        <f t="array" ref="S677">MAX(IF($C$2:$C$1387=C677,$R$2:$R$1387))</f>
        <v>29</v>
      </c>
      <c r="T677" cm="1">
        <f t="array" ref="T677">MIN(IF($C$2:$C$1387=C677,$R$2:$R$1387))</f>
        <v>10</v>
      </c>
      <c r="U677">
        <f t="shared" si="72"/>
        <v>19</v>
      </c>
      <c r="V677">
        <f t="shared" si="73"/>
        <v>0.73684210526315785</v>
      </c>
      <c r="W677" cm="1">
        <f t="array" ref="W677">_xlfn.IFS(N677=1,5,N677=2,4,N677=4,2,N677=5,1,N677=3,3)</f>
        <v>5</v>
      </c>
      <c r="X677">
        <f t="shared" si="74"/>
        <v>28</v>
      </c>
      <c r="Y677" cm="1">
        <f t="array" ref="Y677">MAX(IF($C$2:$C$1387=C677,$X$2:$X$1387))</f>
        <v>32</v>
      </c>
      <c r="Z677" cm="1">
        <f t="array" ref="Z677">MIN(IF($C$2:$C$1387=C677,$X$2:$X$1387))</f>
        <v>10</v>
      </c>
      <c r="AA677">
        <f t="shared" si="75"/>
        <v>22</v>
      </c>
      <c r="AB677">
        <f t="shared" si="76"/>
        <v>0.81818181818181823</v>
      </c>
    </row>
    <row r="678" spans="1:28" x14ac:dyDescent="0.25">
      <c r="A678" t="s">
        <v>252</v>
      </c>
      <c r="B678" t="s">
        <v>253</v>
      </c>
      <c r="C678">
        <v>2014</v>
      </c>
      <c r="D678">
        <v>0.76128200000000001</v>
      </c>
      <c r="E678">
        <v>0.86368800000000001</v>
      </c>
      <c r="F678">
        <v>0.13700000000000001</v>
      </c>
      <c r="G678">
        <v>1.9459101490553132</v>
      </c>
      <c r="H678">
        <v>0.5714285714285714</v>
      </c>
      <c r="I678">
        <v>1</v>
      </c>
      <c r="J678">
        <v>0</v>
      </c>
      <c r="K678">
        <v>5</v>
      </c>
      <c r="L678">
        <v>5</v>
      </c>
      <c r="M678">
        <v>4</v>
      </c>
      <c r="N678">
        <v>1</v>
      </c>
      <c r="O678">
        <v>2</v>
      </c>
      <c r="P678">
        <v>3</v>
      </c>
      <c r="Q678">
        <f t="shared" si="70"/>
        <v>5</v>
      </c>
      <c r="R678">
        <f t="shared" si="71"/>
        <v>25</v>
      </c>
      <c r="S678">
        <f t="array" ref="S678">MAX(IF($C$2:$C$1387=C678,$R$2:$R$1387))</f>
        <v>29</v>
      </c>
      <c r="T678" cm="1">
        <f t="array" ref="T678">MIN(IF($C$2:$C$1387=C678,$R$2:$R$1387))</f>
        <v>11</v>
      </c>
      <c r="U678">
        <f t="shared" si="72"/>
        <v>18</v>
      </c>
      <c r="V678">
        <f t="shared" si="73"/>
        <v>0.77777777777777779</v>
      </c>
      <c r="W678" cm="1">
        <f t="array" ref="W678">_xlfn.IFS(N678=1,5,N678=2,4,N678=4,2,N678=5,1,N678=3,3)</f>
        <v>5</v>
      </c>
      <c r="X678">
        <f t="shared" si="74"/>
        <v>29</v>
      </c>
      <c r="Y678" cm="1">
        <f t="array" ref="Y678">MAX(IF($C$2:$C$1387=C678,$X$2:$X$1387))</f>
        <v>30</v>
      </c>
      <c r="Z678" cm="1">
        <f t="array" ref="Z678">MIN(IF($C$2:$C$1387=C678,$X$2:$X$1387))</f>
        <v>14</v>
      </c>
      <c r="AA678">
        <f t="shared" si="75"/>
        <v>16</v>
      </c>
      <c r="AB678">
        <f t="shared" si="76"/>
        <v>0.9375</v>
      </c>
    </row>
    <row r="679" spans="1:28" x14ac:dyDescent="0.25">
      <c r="A679" t="s">
        <v>252</v>
      </c>
      <c r="B679" t="s">
        <v>253</v>
      </c>
      <c r="C679">
        <v>2015</v>
      </c>
      <c r="D679">
        <v>0.76128200000000001</v>
      </c>
      <c r="E679">
        <v>0.86898799999999998</v>
      </c>
      <c r="F679">
        <v>0.14199999999999999</v>
      </c>
      <c r="G679">
        <v>1.9459101490553132</v>
      </c>
      <c r="H679">
        <v>0.7142857142857143</v>
      </c>
      <c r="I679">
        <v>1</v>
      </c>
      <c r="J679">
        <v>1</v>
      </c>
      <c r="K679">
        <v>5</v>
      </c>
      <c r="L679">
        <v>5</v>
      </c>
      <c r="M679">
        <v>4</v>
      </c>
      <c r="N679">
        <v>1</v>
      </c>
      <c r="O679">
        <v>3</v>
      </c>
      <c r="P679">
        <v>2</v>
      </c>
      <c r="Q679">
        <f t="shared" si="70"/>
        <v>1</v>
      </c>
      <c r="R679">
        <f t="shared" si="71"/>
        <v>21</v>
      </c>
      <c r="S679">
        <f t="array" ref="S679">MAX(IF($C$2:$C$1387=C679,$R$2:$R$1387))</f>
        <v>29</v>
      </c>
      <c r="T679" cm="1">
        <f t="array" ref="T679">MIN(IF($C$2:$C$1387=C679,$R$2:$R$1387))</f>
        <v>11</v>
      </c>
      <c r="U679">
        <f t="shared" si="72"/>
        <v>18</v>
      </c>
      <c r="V679">
        <f t="shared" si="73"/>
        <v>0.55555555555555558</v>
      </c>
      <c r="W679" cm="1">
        <f t="array" ref="W679">_xlfn.IFS(N679=1,5,N679=2,4,N679=4,2,N679=5,1,N679=3,3)</f>
        <v>5</v>
      </c>
      <c r="X679">
        <f t="shared" si="74"/>
        <v>25</v>
      </c>
      <c r="Y679" cm="1">
        <f t="array" ref="Y679">MAX(IF($C$2:$C$1387=C679,$X$2:$X$1387))</f>
        <v>29</v>
      </c>
      <c r="Z679" cm="1">
        <f t="array" ref="Z679">MIN(IF($C$2:$C$1387=C679,$X$2:$X$1387))</f>
        <v>12</v>
      </c>
      <c r="AA679">
        <f t="shared" si="75"/>
        <v>17</v>
      </c>
      <c r="AB679">
        <f t="shared" si="76"/>
        <v>0.76470588235294112</v>
      </c>
    </row>
    <row r="680" spans="1:28" x14ac:dyDescent="0.25">
      <c r="A680" t="s">
        <v>254</v>
      </c>
      <c r="B680" t="s">
        <v>255</v>
      </c>
      <c r="C680">
        <v>2010</v>
      </c>
      <c r="D680">
        <v>6.216844783715013E-3</v>
      </c>
      <c r="E680">
        <v>0.7233807888040712</v>
      </c>
      <c r="F680">
        <v>7.1618969465648857E-2</v>
      </c>
      <c r="G680">
        <v>2.1972245773362196</v>
      </c>
      <c r="H680">
        <v>0.55555555555555558</v>
      </c>
      <c r="I680">
        <v>1</v>
      </c>
      <c r="J680">
        <v>0</v>
      </c>
      <c r="K680">
        <v>2</v>
      </c>
      <c r="L680">
        <v>4</v>
      </c>
      <c r="M680">
        <v>3</v>
      </c>
      <c r="N680">
        <v>4</v>
      </c>
      <c r="O680">
        <v>2</v>
      </c>
      <c r="P680">
        <v>3</v>
      </c>
      <c r="Q680">
        <f t="shared" si="70"/>
        <v>5</v>
      </c>
      <c r="R680">
        <f t="shared" si="71"/>
        <v>23</v>
      </c>
      <c r="S680">
        <f t="array" ref="S680">MAX(IF($C$2:$C$1387=C680,$R$2:$R$1387))</f>
        <v>29</v>
      </c>
      <c r="T680" cm="1">
        <f t="array" ref="T680">MIN(IF($C$2:$C$1387=C680,$R$2:$R$1387))</f>
        <v>9</v>
      </c>
      <c r="U680">
        <f t="shared" si="72"/>
        <v>20</v>
      </c>
      <c r="V680">
        <f t="shared" si="73"/>
        <v>0.7</v>
      </c>
      <c r="W680" cm="1">
        <f t="array" ref="W680">_xlfn.IFS(N680=1,5,N680=2,4,N680=4,2,N680=5,1,N680=3,3)</f>
        <v>2</v>
      </c>
      <c r="X680">
        <f t="shared" si="74"/>
        <v>21</v>
      </c>
      <c r="Y680" cm="1">
        <f t="array" ref="Y680">MAX(IF($C$2:$C$1387=C680,$X$2:$X$1387))</f>
        <v>29</v>
      </c>
      <c r="Z680" cm="1">
        <f t="array" ref="Z680">MIN(IF($C$2:$C$1387=C680,$X$2:$X$1387))</f>
        <v>12</v>
      </c>
      <c r="AA680">
        <f t="shared" si="75"/>
        <v>17</v>
      </c>
      <c r="AB680">
        <f t="shared" si="76"/>
        <v>0.52941176470588236</v>
      </c>
    </row>
    <row r="681" spans="1:28" x14ac:dyDescent="0.25">
      <c r="A681" t="s">
        <v>254</v>
      </c>
      <c r="B681" t="s">
        <v>255</v>
      </c>
      <c r="C681">
        <v>2011</v>
      </c>
      <c r="D681">
        <v>5.3901017811704838E-3</v>
      </c>
      <c r="E681">
        <v>0.7233807888040712</v>
      </c>
      <c r="F681">
        <v>3.9397888040712467E-2</v>
      </c>
      <c r="G681">
        <v>2.1972245773362196</v>
      </c>
      <c r="H681">
        <v>0.66666666666666663</v>
      </c>
      <c r="I681">
        <v>0.66666666666666663</v>
      </c>
      <c r="J681">
        <v>0</v>
      </c>
      <c r="K681">
        <v>2</v>
      </c>
      <c r="L681">
        <v>3</v>
      </c>
      <c r="M681">
        <v>3</v>
      </c>
      <c r="N681">
        <v>4</v>
      </c>
      <c r="O681">
        <v>3</v>
      </c>
      <c r="P681">
        <v>1</v>
      </c>
      <c r="Q681">
        <f t="shared" si="70"/>
        <v>5</v>
      </c>
      <c r="R681">
        <f t="shared" si="71"/>
        <v>21</v>
      </c>
      <c r="S681">
        <f t="array" ref="S681">MAX(IF($C$2:$C$1387=C681,$R$2:$R$1387))</f>
        <v>28</v>
      </c>
      <c r="T681" cm="1">
        <f t="array" ref="T681">MIN(IF($C$2:$C$1387=C681,$R$2:$R$1387))</f>
        <v>10</v>
      </c>
      <c r="U681">
        <f t="shared" si="72"/>
        <v>18</v>
      </c>
      <c r="V681">
        <f t="shared" si="73"/>
        <v>0.61111111111111116</v>
      </c>
      <c r="W681" cm="1">
        <f t="array" ref="W681">_xlfn.IFS(N681=1,5,N681=2,4,N681=4,2,N681=5,1,N681=3,3)</f>
        <v>2</v>
      </c>
      <c r="X681">
        <f t="shared" si="74"/>
        <v>19</v>
      </c>
      <c r="Y681" cm="1">
        <f t="array" ref="Y681">MAX(IF($C$2:$C$1387=C681,$X$2:$X$1387))</f>
        <v>29</v>
      </c>
      <c r="Z681" cm="1">
        <f t="array" ref="Z681">MIN(IF($C$2:$C$1387=C681,$X$2:$X$1387))</f>
        <v>12</v>
      </c>
      <c r="AA681">
        <f t="shared" si="75"/>
        <v>17</v>
      </c>
      <c r="AB681">
        <f t="shared" si="76"/>
        <v>0.41176470588235292</v>
      </c>
    </row>
    <row r="682" spans="1:28" x14ac:dyDescent="0.25">
      <c r="A682" t="s">
        <v>254</v>
      </c>
      <c r="B682" t="s">
        <v>255</v>
      </c>
      <c r="C682">
        <v>2012</v>
      </c>
      <c r="D682">
        <v>5.3901017811704838E-3</v>
      </c>
      <c r="E682">
        <v>0.7233807888040712</v>
      </c>
      <c r="F682">
        <v>3.9397888040712467E-2</v>
      </c>
      <c r="G682">
        <v>2.1972245773362196</v>
      </c>
      <c r="H682">
        <v>0.66666666666666663</v>
      </c>
      <c r="I682">
        <v>0.66666666666666663</v>
      </c>
      <c r="J682">
        <v>0</v>
      </c>
      <c r="K682">
        <v>2</v>
      </c>
      <c r="L682">
        <v>4</v>
      </c>
      <c r="M682">
        <v>3</v>
      </c>
      <c r="N682">
        <v>4</v>
      </c>
      <c r="O682">
        <v>3</v>
      </c>
      <c r="P682">
        <v>1</v>
      </c>
      <c r="Q682">
        <f t="shared" si="70"/>
        <v>5</v>
      </c>
      <c r="R682">
        <f t="shared" si="71"/>
        <v>22</v>
      </c>
      <c r="S682">
        <f t="array" ref="S682">MAX(IF($C$2:$C$1387=C682,$R$2:$R$1387))</f>
        <v>29</v>
      </c>
      <c r="T682" cm="1">
        <f t="array" ref="T682">MIN(IF($C$2:$C$1387=C682,$R$2:$R$1387))</f>
        <v>11</v>
      </c>
      <c r="U682">
        <f t="shared" si="72"/>
        <v>18</v>
      </c>
      <c r="V682">
        <f t="shared" si="73"/>
        <v>0.61111111111111116</v>
      </c>
      <c r="W682" cm="1">
        <f t="array" ref="W682">_xlfn.IFS(N682=1,5,N682=2,4,N682=4,2,N682=5,1,N682=3,3)</f>
        <v>2</v>
      </c>
      <c r="X682">
        <f t="shared" si="74"/>
        <v>20</v>
      </c>
      <c r="Y682" cm="1">
        <f t="array" ref="Y682">MAX(IF($C$2:$C$1387=C682,$X$2:$X$1387))</f>
        <v>30</v>
      </c>
      <c r="Z682" cm="1">
        <f t="array" ref="Z682">MIN(IF($C$2:$C$1387=C682,$X$2:$X$1387))</f>
        <v>12</v>
      </c>
      <c r="AA682">
        <f t="shared" si="75"/>
        <v>18</v>
      </c>
      <c r="AB682">
        <f t="shared" si="76"/>
        <v>0.44444444444444442</v>
      </c>
    </row>
    <row r="683" spans="1:28" x14ac:dyDescent="0.25">
      <c r="A683" t="s">
        <v>254</v>
      </c>
      <c r="B683" t="s">
        <v>255</v>
      </c>
      <c r="C683">
        <v>2013</v>
      </c>
      <c r="D683">
        <v>3.7886259541984732E-3</v>
      </c>
      <c r="E683">
        <v>0.7233807888040712</v>
      </c>
      <c r="F683">
        <v>3.237769720101781E-2</v>
      </c>
      <c r="G683">
        <v>2.1972245773362196</v>
      </c>
      <c r="H683">
        <v>0.66666666666666663</v>
      </c>
      <c r="I683">
        <v>1</v>
      </c>
      <c r="J683">
        <v>0</v>
      </c>
      <c r="K683">
        <v>2</v>
      </c>
      <c r="L683">
        <v>4</v>
      </c>
      <c r="M683">
        <v>3</v>
      </c>
      <c r="N683">
        <v>4</v>
      </c>
      <c r="O683">
        <v>4</v>
      </c>
      <c r="P683">
        <v>3</v>
      </c>
      <c r="Q683">
        <f t="shared" si="70"/>
        <v>5</v>
      </c>
      <c r="R683">
        <f t="shared" si="71"/>
        <v>25</v>
      </c>
      <c r="S683">
        <f t="array" ref="S683">MAX(IF($C$2:$C$1387=C683,$R$2:$R$1387))</f>
        <v>29</v>
      </c>
      <c r="T683" cm="1">
        <f t="array" ref="T683">MIN(IF($C$2:$C$1387=C683,$R$2:$R$1387))</f>
        <v>10</v>
      </c>
      <c r="U683">
        <f t="shared" si="72"/>
        <v>19</v>
      </c>
      <c r="V683">
        <f t="shared" si="73"/>
        <v>0.78947368421052633</v>
      </c>
      <c r="W683" cm="1">
        <f t="array" ref="W683">_xlfn.IFS(N683=1,5,N683=2,4,N683=4,2,N683=5,1,N683=3,3)</f>
        <v>2</v>
      </c>
      <c r="X683">
        <f t="shared" si="74"/>
        <v>23</v>
      </c>
      <c r="Y683" cm="1">
        <f t="array" ref="Y683">MAX(IF($C$2:$C$1387=C683,$X$2:$X$1387))</f>
        <v>32</v>
      </c>
      <c r="Z683" cm="1">
        <f t="array" ref="Z683">MIN(IF($C$2:$C$1387=C683,$X$2:$X$1387))</f>
        <v>10</v>
      </c>
      <c r="AA683">
        <f t="shared" si="75"/>
        <v>22</v>
      </c>
      <c r="AB683">
        <f t="shared" si="76"/>
        <v>0.59090909090909094</v>
      </c>
    </row>
    <row r="684" spans="1:28" x14ac:dyDescent="0.25">
      <c r="A684" t="s">
        <v>254</v>
      </c>
      <c r="B684" t="s">
        <v>255</v>
      </c>
      <c r="C684">
        <v>2014</v>
      </c>
      <c r="D684">
        <v>3.7517302798982187E-3</v>
      </c>
      <c r="E684">
        <v>0.7233807888040712</v>
      </c>
      <c r="F684">
        <v>5.2673905852417303E-2</v>
      </c>
      <c r="G684">
        <v>2.1972245773362196</v>
      </c>
      <c r="H684">
        <v>0.55555555555555558</v>
      </c>
      <c r="I684">
        <v>1</v>
      </c>
      <c r="J684">
        <v>0</v>
      </c>
      <c r="K684">
        <v>2</v>
      </c>
      <c r="L684">
        <v>4</v>
      </c>
      <c r="M684">
        <v>3</v>
      </c>
      <c r="N684">
        <v>4</v>
      </c>
      <c r="O684">
        <v>2</v>
      </c>
      <c r="P684">
        <v>3</v>
      </c>
      <c r="Q684">
        <f t="shared" si="70"/>
        <v>5</v>
      </c>
      <c r="R684">
        <f t="shared" si="71"/>
        <v>23</v>
      </c>
      <c r="S684">
        <f t="array" ref="S684">MAX(IF($C$2:$C$1387=C684,$R$2:$R$1387))</f>
        <v>29</v>
      </c>
      <c r="T684" cm="1">
        <f t="array" ref="T684">MIN(IF($C$2:$C$1387=C684,$R$2:$R$1387))</f>
        <v>11</v>
      </c>
      <c r="U684">
        <f t="shared" si="72"/>
        <v>18</v>
      </c>
      <c r="V684">
        <f t="shared" si="73"/>
        <v>0.66666666666666663</v>
      </c>
      <c r="W684" cm="1">
        <f t="array" ref="W684">_xlfn.IFS(N684=1,5,N684=2,4,N684=4,2,N684=5,1,N684=3,3)</f>
        <v>2</v>
      </c>
      <c r="X684">
        <f t="shared" si="74"/>
        <v>21</v>
      </c>
      <c r="Y684" cm="1">
        <f t="array" ref="Y684">MAX(IF($C$2:$C$1387=C684,$X$2:$X$1387))</f>
        <v>30</v>
      </c>
      <c r="Z684" cm="1">
        <f t="array" ref="Z684">MIN(IF($C$2:$C$1387=C684,$X$2:$X$1387))</f>
        <v>14</v>
      </c>
      <c r="AA684">
        <f t="shared" si="75"/>
        <v>16</v>
      </c>
      <c r="AB684">
        <f t="shared" si="76"/>
        <v>0.4375</v>
      </c>
    </row>
    <row r="685" spans="1:28" x14ac:dyDescent="0.25">
      <c r="A685" t="s">
        <v>254</v>
      </c>
      <c r="B685" t="s">
        <v>255</v>
      </c>
      <c r="C685">
        <v>2015</v>
      </c>
      <c r="D685">
        <v>3.9807379134860054E-3</v>
      </c>
      <c r="E685">
        <v>0.7233807888040712</v>
      </c>
      <c r="F685">
        <v>5.9769363867684479E-2</v>
      </c>
      <c r="G685">
        <v>2.3978952727983707</v>
      </c>
      <c r="H685">
        <v>0.63636363636363635</v>
      </c>
      <c r="I685">
        <v>0.83333333333333337</v>
      </c>
      <c r="J685">
        <v>0</v>
      </c>
      <c r="K685">
        <v>2</v>
      </c>
      <c r="L685">
        <v>4</v>
      </c>
      <c r="M685">
        <v>3</v>
      </c>
      <c r="N685">
        <v>5</v>
      </c>
      <c r="O685">
        <v>2</v>
      </c>
      <c r="P685">
        <v>2</v>
      </c>
      <c r="Q685">
        <f t="shared" si="70"/>
        <v>5</v>
      </c>
      <c r="R685">
        <f t="shared" si="71"/>
        <v>23</v>
      </c>
      <c r="S685">
        <f t="array" ref="S685">MAX(IF($C$2:$C$1387=C685,$R$2:$R$1387))</f>
        <v>29</v>
      </c>
      <c r="T685" cm="1">
        <f t="array" ref="T685">MIN(IF($C$2:$C$1387=C685,$R$2:$R$1387))</f>
        <v>11</v>
      </c>
      <c r="U685">
        <f t="shared" si="72"/>
        <v>18</v>
      </c>
      <c r="V685">
        <f t="shared" si="73"/>
        <v>0.66666666666666663</v>
      </c>
      <c r="W685" cm="1">
        <f t="array" ref="W685">_xlfn.IFS(N685=1,5,N685=2,4,N685=4,2,N685=5,1,N685=3,3)</f>
        <v>1</v>
      </c>
      <c r="X685">
        <f t="shared" si="74"/>
        <v>19</v>
      </c>
      <c r="Y685" cm="1">
        <f t="array" ref="Y685">MAX(IF($C$2:$C$1387=C685,$X$2:$X$1387))</f>
        <v>29</v>
      </c>
      <c r="Z685" cm="1">
        <f t="array" ref="Z685">MIN(IF($C$2:$C$1387=C685,$X$2:$X$1387))</f>
        <v>12</v>
      </c>
      <c r="AA685">
        <f t="shared" si="75"/>
        <v>17</v>
      </c>
      <c r="AB685">
        <f t="shared" si="76"/>
        <v>0.41176470588235292</v>
      </c>
    </row>
    <row r="686" spans="1:28" x14ac:dyDescent="0.25">
      <c r="A686" t="s">
        <v>256</v>
      </c>
      <c r="B686" t="s">
        <v>257</v>
      </c>
      <c r="C686">
        <v>2010</v>
      </c>
      <c r="D686">
        <v>0.50412983304668657</v>
      </c>
      <c r="E686">
        <v>0.40051291230863845</v>
      </c>
      <c r="F686">
        <v>0.17313745560933988</v>
      </c>
      <c r="G686">
        <v>2.3025850929940459</v>
      </c>
      <c r="H686">
        <v>0.2</v>
      </c>
      <c r="I686">
        <v>1</v>
      </c>
      <c r="J686">
        <v>0</v>
      </c>
      <c r="K686">
        <v>4</v>
      </c>
      <c r="L686">
        <v>1</v>
      </c>
      <c r="M686">
        <v>5</v>
      </c>
      <c r="N686">
        <v>5</v>
      </c>
      <c r="O686">
        <v>1</v>
      </c>
      <c r="P686">
        <v>3</v>
      </c>
      <c r="Q686">
        <f t="shared" si="70"/>
        <v>5</v>
      </c>
      <c r="R686">
        <f t="shared" si="71"/>
        <v>24</v>
      </c>
      <c r="S686">
        <f t="array" ref="S686">MAX(IF($C$2:$C$1387=C686,$R$2:$R$1387))</f>
        <v>29</v>
      </c>
      <c r="T686" cm="1">
        <f t="array" ref="T686">MIN(IF($C$2:$C$1387=C686,$R$2:$R$1387))</f>
        <v>9</v>
      </c>
      <c r="U686">
        <f t="shared" si="72"/>
        <v>20</v>
      </c>
      <c r="V686">
        <f t="shared" si="73"/>
        <v>0.75</v>
      </c>
      <c r="W686" cm="1">
        <f t="array" ref="W686">_xlfn.IFS(N686=1,5,N686=2,4,N686=4,2,N686=5,1,N686=3,3)</f>
        <v>1</v>
      </c>
      <c r="X686">
        <f t="shared" si="74"/>
        <v>20</v>
      </c>
      <c r="Y686" cm="1">
        <f t="array" ref="Y686">MAX(IF($C$2:$C$1387=C686,$X$2:$X$1387))</f>
        <v>29</v>
      </c>
      <c r="Z686" cm="1">
        <f t="array" ref="Z686">MIN(IF($C$2:$C$1387=C686,$X$2:$X$1387))</f>
        <v>12</v>
      </c>
      <c r="AA686">
        <f t="shared" si="75"/>
        <v>17</v>
      </c>
      <c r="AB686">
        <f t="shared" si="76"/>
        <v>0.47058823529411764</v>
      </c>
    </row>
    <row r="687" spans="1:28" x14ac:dyDescent="0.25">
      <c r="A687" t="s">
        <v>256</v>
      </c>
      <c r="B687" t="s">
        <v>257</v>
      </c>
      <c r="C687">
        <v>2011</v>
      </c>
      <c r="D687">
        <v>0.50412983304668657</v>
      </c>
      <c r="E687">
        <v>0.40051291230863845</v>
      </c>
      <c r="F687">
        <v>0.17313745560933988</v>
      </c>
      <c r="G687">
        <v>2.3025850929940459</v>
      </c>
      <c r="H687">
        <v>0.2</v>
      </c>
      <c r="I687">
        <v>1</v>
      </c>
      <c r="J687">
        <v>0</v>
      </c>
      <c r="K687">
        <v>4</v>
      </c>
      <c r="L687">
        <v>1</v>
      </c>
      <c r="M687">
        <v>5</v>
      </c>
      <c r="N687">
        <v>5</v>
      </c>
      <c r="O687">
        <v>1</v>
      </c>
      <c r="P687">
        <v>3</v>
      </c>
      <c r="Q687">
        <f t="shared" si="70"/>
        <v>5</v>
      </c>
      <c r="R687">
        <f t="shared" si="71"/>
        <v>24</v>
      </c>
      <c r="S687">
        <f t="array" ref="S687">MAX(IF($C$2:$C$1387=C687,$R$2:$R$1387))</f>
        <v>28</v>
      </c>
      <c r="T687" cm="1">
        <f t="array" ref="T687">MIN(IF($C$2:$C$1387=C687,$R$2:$R$1387))</f>
        <v>10</v>
      </c>
      <c r="U687">
        <f t="shared" si="72"/>
        <v>18</v>
      </c>
      <c r="V687">
        <f t="shared" si="73"/>
        <v>0.77777777777777779</v>
      </c>
      <c r="W687" cm="1">
        <f t="array" ref="W687">_xlfn.IFS(N687=1,5,N687=2,4,N687=4,2,N687=5,1,N687=3,3)</f>
        <v>1</v>
      </c>
      <c r="X687">
        <f t="shared" si="74"/>
        <v>20</v>
      </c>
      <c r="Y687" cm="1">
        <f t="array" ref="Y687">MAX(IF($C$2:$C$1387=C687,$X$2:$X$1387))</f>
        <v>29</v>
      </c>
      <c r="Z687" cm="1">
        <f t="array" ref="Z687">MIN(IF($C$2:$C$1387=C687,$X$2:$X$1387))</f>
        <v>12</v>
      </c>
      <c r="AA687">
        <f t="shared" si="75"/>
        <v>17</v>
      </c>
      <c r="AB687">
        <f t="shared" si="76"/>
        <v>0.47058823529411764</v>
      </c>
    </row>
    <row r="688" spans="1:28" x14ac:dyDescent="0.25">
      <c r="A688" t="s">
        <v>256</v>
      </c>
      <c r="B688" t="s">
        <v>257</v>
      </c>
      <c r="C688">
        <v>2012</v>
      </c>
      <c r="D688">
        <v>0.50412983304668657</v>
      </c>
      <c r="E688">
        <v>0.40051291230863845</v>
      </c>
      <c r="F688">
        <v>0.17313745560933988</v>
      </c>
      <c r="G688">
        <v>2.3025850929940459</v>
      </c>
      <c r="H688">
        <v>0.3</v>
      </c>
      <c r="I688">
        <v>1</v>
      </c>
      <c r="J688">
        <v>0</v>
      </c>
      <c r="K688">
        <v>4</v>
      </c>
      <c r="L688">
        <v>1</v>
      </c>
      <c r="M688">
        <v>5</v>
      </c>
      <c r="N688">
        <v>5</v>
      </c>
      <c r="O688">
        <v>1</v>
      </c>
      <c r="P688">
        <v>3</v>
      </c>
      <c r="Q688">
        <f t="shared" si="70"/>
        <v>5</v>
      </c>
      <c r="R688">
        <f t="shared" si="71"/>
        <v>24</v>
      </c>
      <c r="S688">
        <f t="array" ref="S688">MAX(IF($C$2:$C$1387=C688,$R$2:$R$1387))</f>
        <v>29</v>
      </c>
      <c r="T688" cm="1">
        <f t="array" ref="T688">MIN(IF($C$2:$C$1387=C688,$R$2:$R$1387))</f>
        <v>11</v>
      </c>
      <c r="U688">
        <f t="shared" si="72"/>
        <v>18</v>
      </c>
      <c r="V688">
        <f t="shared" si="73"/>
        <v>0.72222222222222221</v>
      </c>
      <c r="W688" cm="1">
        <f t="array" ref="W688">_xlfn.IFS(N688=1,5,N688=2,4,N688=4,2,N688=5,1,N688=3,3)</f>
        <v>1</v>
      </c>
      <c r="X688">
        <f t="shared" si="74"/>
        <v>20</v>
      </c>
      <c r="Y688" cm="1">
        <f t="array" ref="Y688">MAX(IF($C$2:$C$1387=C688,$X$2:$X$1387))</f>
        <v>30</v>
      </c>
      <c r="Z688" cm="1">
        <f t="array" ref="Z688">MIN(IF($C$2:$C$1387=C688,$X$2:$X$1387))</f>
        <v>12</v>
      </c>
      <c r="AA688">
        <f t="shared" si="75"/>
        <v>18</v>
      </c>
      <c r="AB688">
        <f t="shared" si="76"/>
        <v>0.44444444444444442</v>
      </c>
    </row>
    <row r="689" spans="1:28" x14ac:dyDescent="0.25">
      <c r="A689" t="s">
        <v>256</v>
      </c>
      <c r="B689" t="s">
        <v>257</v>
      </c>
      <c r="C689">
        <v>2013</v>
      </c>
      <c r="D689">
        <v>0.50425774750987795</v>
      </c>
      <c r="E689">
        <v>0.42444838076312269</v>
      </c>
      <c r="F689">
        <v>0.19044612746344294</v>
      </c>
      <c r="G689">
        <v>2.3025850929940459</v>
      </c>
      <c r="H689">
        <v>0.3</v>
      </c>
      <c r="I689">
        <v>1</v>
      </c>
      <c r="J689">
        <v>0</v>
      </c>
      <c r="K689">
        <v>4</v>
      </c>
      <c r="L689">
        <v>1</v>
      </c>
      <c r="M689">
        <v>5</v>
      </c>
      <c r="N689">
        <v>5</v>
      </c>
      <c r="O689">
        <v>1</v>
      </c>
      <c r="P689">
        <v>3</v>
      </c>
      <c r="Q689">
        <f t="shared" si="70"/>
        <v>5</v>
      </c>
      <c r="R689">
        <f t="shared" si="71"/>
        <v>24</v>
      </c>
      <c r="S689">
        <f t="array" ref="S689">MAX(IF($C$2:$C$1387=C689,$R$2:$R$1387))</f>
        <v>29</v>
      </c>
      <c r="T689" cm="1">
        <f t="array" ref="T689">MIN(IF($C$2:$C$1387=C689,$R$2:$R$1387))</f>
        <v>10</v>
      </c>
      <c r="U689">
        <f t="shared" si="72"/>
        <v>19</v>
      </c>
      <c r="V689">
        <f t="shared" si="73"/>
        <v>0.73684210526315785</v>
      </c>
      <c r="W689" cm="1">
        <f t="array" ref="W689">_xlfn.IFS(N689=1,5,N689=2,4,N689=4,2,N689=5,1,N689=3,3)</f>
        <v>1</v>
      </c>
      <c r="X689">
        <f t="shared" si="74"/>
        <v>20</v>
      </c>
      <c r="Y689" cm="1">
        <f t="array" ref="Y689">MAX(IF($C$2:$C$1387=C689,$X$2:$X$1387))</f>
        <v>32</v>
      </c>
      <c r="Z689" cm="1">
        <f t="array" ref="Z689">MIN(IF($C$2:$C$1387=C689,$X$2:$X$1387))</f>
        <v>10</v>
      </c>
      <c r="AA689">
        <f t="shared" si="75"/>
        <v>22</v>
      </c>
      <c r="AB689">
        <f t="shared" si="76"/>
        <v>0.45454545454545453</v>
      </c>
    </row>
    <row r="690" spans="1:28" x14ac:dyDescent="0.25">
      <c r="A690" t="s">
        <v>256</v>
      </c>
      <c r="B690" t="s">
        <v>257</v>
      </c>
      <c r="C690">
        <v>2014</v>
      </c>
      <c r="D690">
        <v>0.2846122328848284</v>
      </c>
      <c r="E690">
        <v>0.41477175504857394</v>
      </c>
      <c r="F690">
        <v>0.10174245171839978</v>
      </c>
      <c r="G690">
        <v>2.1972245773362196</v>
      </c>
      <c r="H690">
        <v>0.44444444444444442</v>
      </c>
      <c r="I690">
        <v>0.66666666666666663</v>
      </c>
      <c r="J690">
        <v>0</v>
      </c>
      <c r="K690">
        <v>4</v>
      </c>
      <c r="L690">
        <v>1</v>
      </c>
      <c r="M690">
        <v>4</v>
      </c>
      <c r="N690">
        <v>4</v>
      </c>
      <c r="O690">
        <v>2</v>
      </c>
      <c r="P690">
        <v>1</v>
      </c>
      <c r="Q690">
        <f t="shared" si="70"/>
        <v>5</v>
      </c>
      <c r="R690">
        <f t="shared" si="71"/>
        <v>21</v>
      </c>
      <c r="S690">
        <f t="array" ref="S690">MAX(IF($C$2:$C$1387=C690,$R$2:$R$1387))</f>
        <v>29</v>
      </c>
      <c r="T690" cm="1">
        <f t="array" ref="T690">MIN(IF($C$2:$C$1387=C690,$R$2:$R$1387))</f>
        <v>11</v>
      </c>
      <c r="U690">
        <f t="shared" si="72"/>
        <v>18</v>
      </c>
      <c r="V690">
        <f t="shared" si="73"/>
        <v>0.55555555555555558</v>
      </c>
      <c r="W690" cm="1">
        <f t="array" ref="W690">_xlfn.IFS(N690=1,5,N690=2,4,N690=4,2,N690=5,1,N690=3,3)</f>
        <v>2</v>
      </c>
      <c r="X690">
        <f t="shared" si="74"/>
        <v>19</v>
      </c>
      <c r="Y690" cm="1">
        <f t="array" ref="Y690">MAX(IF($C$2:$C$1387=C690,$X$2:$X$1387))</f>
        <v>30</v>
      </c>
      <c r="Z690" cm="1">
        <f t="array" ref="Z690">MIN(IF($C$2:$C$1387=C690,$X$2:$X$1387))</f>
        <v>14</v>
      </c>
      <c r="AA690">
        <f t="shared" si="75"/>
        <v>16</v>
      </c>
      <c r="AB690">
        <f t="shared" si="76"/>
        <v>0.3125</v>
      </c>
    </row>
    <row r="691" spans="1:28" x14ac:dyDescent="0.25">
      <c r="A691" t="s">
        <v>256</v>
      </c>
      <c r="B691" t="s">
        <v>257</v>
      </c>
      <c r="C691">
        <v>2015</v>
      </c>
      <c r="D691">
        <v>0.50720143998188916</v>
      </c>
      <c r="E691">
        <v>0.40713992576974234</v>
      </c>
      <c r="F691">
        <v>0.17979638930066244</v>
      </c>
      <c r="G691">
        <v>2.1972245773362196</v>
      </c>
      <c r="H691">
        <v>0.77777777777777779</v>
      </c>
      <c r="I691">
        <v>1</v>
      </c>
      <c r="J691">
        <v>0</v>
      </c>
      <c r="K691">
        <v>4</v>
      </c>
      <c r="L691">
        <v>1</v>
      </c>
      <c r="M691">
        <v>5</v>
      </c>
      <c r="N691">
        <v>4</v>
      </c>
      <c r="O691">
        <v>4</v>
      </c>
      <c r="P691">
        <v>2</v>
      </c>
      <c r="Q691">
        <f t="shared" si="70"/>
        <v>5</v>
      </c>
      <c r="R691">
        <f t="shared" si="71"/>
        <v>25</v>
      </c>
      <c r="S691">
        <f t="array" ref="S691">MAX(IF($C$2:$C$1387=C691,$R$2:$R$1387))</f>
        <v>29</v>
      </c>
      <c r="T691" cm="1">
        <f t="array" ref="T691">MIN(IF($C$2:$C$1387=C691,$R$2:$R$1387))</f>
        <v>11</v>
      </c>
      <c r="U691">
        <f t="shared" si="72"/>
        <v>18</v>
      </c>
      <c r="V691">
        <f t="shared" si="73"/>
        <v>0.77777777777777779</v>
      </c>
      <c r="W691" cm="1">
        <f t="array" ref="W691">_xlfn.IFS(N691=1,5,N691=2,4,N691=4,2,N691=5,1,N691=3,3)</f>
        <v>2</v>
      </c>
      <c r="X691">
        <f t="shared" si="74"/>
        <v>23</v>
      </c>
      <c r="Y691" cm="1">
        <f t="array" ref="Y691">MAX(IF($C$2:$C$1387=C691,$X$2:$X$1387))</f>
        <v>29</v>
      </c>
      <c r="Z691" cm="1">
        <f t="array" ref="Z691">MIN(IF($C$2:$C$1387=C691,$X$2:$X$1387))</f>
        <v>12</v>
      </c>
      <c r="AA691">
        <f t="shared" si="75"/>
        <v>17</v>
      </c>
      <c r="AB691">
        <f t="shared" si="76"/>
        <v>0.6470588235294118</v>
      </c>
    </row>
    <row r="692" spans="1:28" x14ac:dyDescent="0.25">
      <c r="A692" t="s">
        <v>258</v>
      </c>
      <c r="B692" t="s">
        <v>259</v>
      </c>
      <c r="C692">
        <v>2010</v>
      </c>
      <c r="D692">
        <v>0.6318553212561383</v>
      </c>
      <c r="E692">
        <v>0.75764683568814295</v>
      </c>
      <c r="F692">
        <v>1.3803094318300855E-2</v>
      </c>
      <c r="G692">
        <v>1.9459101490553132</v>
      </c>
      <c r="H692">
        <v>0.7142857142857143</v>
      </c>
      <c r="I692">
        <v>1</v>
      </c>
      <c r="J692">
        <v>0</v>
      </c>
      <c r="K692">
        <v>5</v>
      </c>
      <c r="L692">
        <v>4</v>
      </c>
      <c r="M692">
        <v>2</v>
      </c>
      <c r="N692">
        <v>1</v>
      </c>
      <c r="O692">
        <v>4</v>
      </c>
      <c r="P692">
        <v>3</v>
      </c>
      <c r="Q692">
        <f t="shared" si="70"/>
        <v>5</v>
      </c>
      <c r="R692">
        <f t="shared" si="71"/>
        <v>24</v>
      </c>
      <c r="S692">
        <f t="array" ref="S692">MAX(IF($C$2:$C$1387=C692,$R$2:$R$1387))</f>
        <v>29</v>
      </c>
      <c r="T692" cm="1">
        <f t="array" ref="T692">MIN(IF($C$2:$C$1387=C692,$R$2:$R$1387))</f>
        <v>9</v>
      </c>
      <c r="U692">
        <f t="shared" si="72"/>
        <v>20</v>
      </c>
      <c r="V692">
        <f t="shared" si="73"/>
        <v>0.75</v>
      </c>
      <c r="W692" cm="1">
        <f t="array" ref="W692">_xlfn.IFS(N692=1,5,N692=2,4,N692=4,2,N692=5,1,N692=3,3)</f>
        <v>5</v>
      </c>
      <c r="X692">
        <f t="shared" si="74"/>
        <v>28</v>
      </c>
      <c r="Y692" cm="1">
        <f t="array" ref="Y692">MAX(IF($C$2:$C$1387=C692,$X$2:$X$1387))</f>
        <v>29</v>
      </c>
      <c r="Z692" cm="1">
        <f t="array" ref="Z692">MIN(IF($C$2:$C$1387=C692,$X$2:$X$1387))</f>
        <v>12</v>
      </c>
      <c r="AA692">
        <f t="shared" si="75"/>
        <v>17</v>
      </c>
      <c r="AB692">
        <f t="shared" si="76"/>
        <v>0.94117647058823528</v>
      </c>
    </row>
    <row r="693" spans="1:28" x14ac:dyDescent="0.25">
      <c r="A693" t="s">
        <v>258</v>
      </c>
      <c r="B693" t="s">
        <v>259</v>
      </c>
      <c r="C693">
        <v>2011</v>
      </c>
      <c r="D693">
        <v>0.6318553212561383</v>
      </c>
      <c r="E693">
        <v>0.75764683568814295</v>
      </c>
      <c r="F693">
        <v>1.3803094318300855E-2</v>
      </c>
      <c r="G693">
        <v>1.9459101490553132</v>
      </c>
      <c r="H693">
        <v>0.7142857142857143</v>
      </c>
      <c r="I693">
        <v>1</v>
      </c>
      <c r="J693">
        <v>0</v>
      </c>
      <c r="K693">
        <v>5</v>
      </c>
      <c r="L693">
        <v>4</v>
      </c>
      <c r="M693">
        <v>2</v>
      </c>
      <c r="N693">
        <v>1</v>
      </c>
      <c r="O693">
        <v>4</v>
      </c>
      <c r="P693">
        <v>3</v>
      </c>
      <c r="Q693">
        <f t="shared" si="70"/>
        <v>5</v>
      </c>
      <c r="R693">
        <f t="shared" si="71"/>
        <v>24</v>
      </c>
      <c r="S693">
        <f t="array" ref="S693">MAX(IF($C$2:$C$1387=C693,$R$2:$R$1387))</f>
        <v>28</v>
      </c>
      <c r="T693" cm="1">
        <f t="array" ref="T693">MIN(IF($C$2:$C$1387=C693,$R$2:$R$1387))</f>
        <v>10</v>
      </c>
      <c r="U693">
        <f t="shared" si="72"/>
        <v>18</v>
      </c>
      <c r="V693">
        <f t="shared" si="73"/>
        <v>0.77777777777777779</v>
      </c>
      <c r="W693" cm="1">
        <f t="array" ref="W693">_xlfn.IFS(N693=1,5,N693=2,4,N693=4,2,N693=5,1,N693=3,3)</f>
        <v>5</v>
      </c>
      <c r="X693">
        <f t="shared" si="74"/>
        <v>28</v>
      </c>
      <c r="Y693" cm="1">
        <f t="array" ref="Y693">MAX(IF($C$2:$C$1387=C693,$X$2:$X$1387))</f>
        <v>29</v>
      </c>
      <c r="Z693" cm="1">
        <f t="array" ref="Z693">MIN(IF($C$2:$C$1387=C693,$X$2:$X$1387))</f>
        <v>12</v>
      </c>
      <c r="AA693">
        <f t="shared" si="75"/>
        <v>17</v>
      </c>
      <c r="AB693">
        <f t="shared" si="76"/>
        <v>0.94117647058823528</v>
      </c>
    </row>
    <row r="694" spans="1:28" x14ac:dyDescent="0.25">
      <c r="A694" t="s">
        <v>258</v>
      </c>
      <c r="B694" t="s">
        <v>259</v>
      </c>
      <c r="C694">
        <v>2012</v>
      </c>
      <c r="D694">
        <v>0.6318553212561383</v>
      </c>
      <c r="E694">
        <v>0.75764683568814295</v>
      </c>
      <c r="F694">
        <v>1.3803094318300855E-2</v>
      </c>
      <c r="G694">
        <v>1.9459101490553132</v>
      </c>
      <c r="H694">
        <v>0.7142857142857143</v>
      </c>
      <c r="I694">
        <v>1</v>
      </c>
      <c r="J694">
        <v>0</v>
      </c>
      <c r="K694">
        <v>5</v>
      </c>
      <c r="L694">
        <v>4</v>
      </c>
      <c r="M694">
        <v>2</v>
      </c>
      <c r="N694">
        <v>1</v>
      </c>
      <c r="O694">
        <v>4</v>
      </c>
      <c r="P694">
        <v>3</v>
      </c>
      <c r="Q694">
        <f t="shared" si="70"/>
        <v>5</v>
      </c>
      <c r="R694">
        <f t="shared" si="71"/>
        <v>24</v>
      </c>
      <c r="S694">
        <f t="array" ref="S694">MAX(IF($C$2:$C$1387=C694,$R$2:$R$1387))</f>
        <v>29</v>
      </c>
      <c r="T694" cm="1">
        <f t="array" ref="T694">MIN(IF($C$2:$C$1387=C694,$R$2:$R$1387))</f>
        <v>11</v>
      </c>
      <c r="U694">
        <f t="shared" si="72"/>
        <v>18</v>
      </c>
      <c r="V694">
        <f t="shared" si="73"/>
        <v>0.72222222222222221</v>
      </c>
      <c r="W694" cm="1">
        <f t="array" ref="W694">_xlfn.IFS(N694=1,5,N694=2,4,N694=4,2,N694=5,1,N694=3,3)</f>
        <v>5</v>
      </c>
      <c r="X694">
        <f t="shared" si="74"/>
        <v>28</v>
      </c>
      <c r="Y694" cm="1">
        <f t="array" ref="Y694">MAX(IF($C$2:$C$1387=C694,$X$2:$X$1387))</f>
        <v>30</v>
      </c>
      <c r="Z694" cm="1">
        <f t="array" ref="Z694">MIN(IF($C$2:$C$1387=C694,$X$2:$X$1387))</f>
        <v>12</v>
      </c>
      <c r="AA694">
        <f t="shared" si="75"/>
        <v>18</v>
      </c>
      <c r="AB694">
        <f t="shared" si="76"/>
        <v>0.88888888888888884</v>
      </c>
    </row>
    <row r="695" spans="1:28" x14ac:dyDescent="0.25">
      <c r="A695" t="s">
        <v>258</v>
      </c>
      <c r="B695" t="s">
        <v>259</v>
      </c>
      <c r="C695">
        <v>2013</v>
      </c>
      <c r="D695">
        <v>0.63176802770538587</v>
      </c>
      <c r="E695">
        <v>0.87070785546727447</v>
      </c>
      <c r="F695">
        <v>1.4215754740039806E-2</v>
      </c>
      <c r="G695">
        <v>1.9459101490553132</v>
      </c>
      <c r="H695">
        <v>0.5714285714285714</v>
      </c>
      <c r="I695">
        <v>1</v>
      </c>
      <c r="J695">
        <v>0</v>
      </c>
      <c r="K695">
        <v>5</v>
      </c>
      <c r="L695">
        <v>5</v>
      </c>
      <c r="M695">
        <v>2</v>
      </c>
      <c r="N695">
        <v>1</v>
      </c>
      <c r="O695">
        <v>2</v>
      </c>
      <c r="P695">
        <v>3</v>
      </c>
      <c r="Q695">
        <f t="shared" si="70"/>
        <v>5</v>
      </c>
      <c r="R695">
        <f t="shared" si="71"/>
        <v>23</v>
      </c>
      <c r="S695">
        <f t="array" ref="S695">MAX(IF($C$2:$C$1387=C695,$R$2:$R$1387))</f>
        <v>29</v>
      </c>
      <c r="T695" cm="1">
        <f t="array" ref="T695">MIN(IF($C$2:$C$1387=C695,$R$2:$R$1387))</f>
        <v>10</v>
      </c>
      <c r="U695">
        <f t="shared" si="72"/>
        <v>19</v>
      </c>
      <c r="V695">
        <f t="shared" si="73"/>
        <v>0.68421052631578949</v>
      </c>
      <c r="W695" cm="1">
        <f t="array" ref="W695">_xlfn.IFS(N695=1,5,N695=2,4,N695=4,2,N695=5,1,N695=3,3)</f>
        <v>5</v>
      </c>
      <c r="X695">
        <f t="shared" si="74"/>
        <v>27</v>
      </c>
      <c r="Y695" cm="1">
        <f t="array" ref="Y695">MAX(IF($C$2:$C$1387=C695,$X$2:$X$1387))</f>
        <v>32</v>
      </c>
      <c r="Z695" cm="1">
        <f t="array" ref="Z695">MIN(IF($C$2:$C$1387=C695,$X$2:$X$1387))</f>
        <v>10</v>
      </c>
      <c r="AA695">
        <f t="shared" si="75"/>
        <v>22</v>
      </c>
      <c r="AB695">
        <f t="shared" si="76"/>
        <v>0.77272727272727271</v>
      </c>
    </row>
    <row r="696" spans="1:28" x14ac:dyDescent="0.25">
      <c r="A696" t="s">
        <v>258</v>
      </c>
      <c r="B696" t="s">
        <v>259</v>
      </c>
      <c r="C696">
        <v>2014</v>
      </c>
      <c r="D696">
        <v>0.72301756346241142</v>
      </c>
      <c r="E696">
        <v>0.89571920362887225</v>
      </c>
      <c r="F696">
        <v>9.1638388846741088E-3</v>
      </c>
      <c r="G696">
        <v>1.9459101490553132</v>
      </c>
      <c r="H696">
        <v>0.42857142857142855</v>
      </c>
      <c r="I696">
        <v>1</v>
      </c>
      <c r="J696">
        <v>0</v>
      </c>
      <c r="K696">
        <v>5</v>
      </c>
      <c r="L696">
        <v>5</v>
      </c>
      <c r="M696">
        <v>2</v>
      </c>
      <c r="N696">
        <v>1</v>
      </c>
      <c r="O696">
        <v>1</v>
      </c>
      <c r="P696">
        <v>3</v>
      </c>
      <c r="Q696">
        <f t="shared" si="70"/>
        <v>5</v>
      </c>
      <c r="R696">
        <f t="shared" si="71"/>
        <v>22</v>
      </c>
      <c r="S696">
        <f t="array" ref="S696">MAX(IF($C$2:$C$1387=C696,$R$2:$R$1387))</f>
        <v>29</v>
      </c>
      <c r="T696" cm="1">
        <f t="array" ref="T696">MIN(IF($C$2:$C$1387=C696,$R$2:$R$1387))</f>
        <v>11</v>
      </c>
      <c r="U696">
        <f t="shared" si="72"/>
        <v>18</v>
      </c>
      <c r="V696">
        <f t="shared" si="73"/>
        <v>0.61111111111111116</v>
      </c>
      <c r="W696" cm="1">
        <f t="array" ref="W696">_xlfn.IFS(N696=1,5,N696=2,4,N696=4,2,N696=5,1,N696=3,3)</f>
        <v>5</v>
      </c>
      <c r="X696">
        <f t="shared" si="74"/>
        <v>26</v>
      </c>
      <c r="Y696" cm="1">
        <f t="array" ref="Y696">MAX(IF($C$2:$C$1387=C696,$X$2:$X$1387))</f>
        <v>30</v>
      </c>
      <c r="Z696" cm="1">
        <f t="array" ref="Z696">MIN(IF($C$2:$C$1387=C696,$X$2:$X$1387))</f>
        <v>14</v>
      </c>
      <c r="AA696">
        <f t="shared" si="75"/>
        <v>16</v>
      </c>
      <c r="AB696">
        <f t="shared" si="76"/>
        <v>0.75</v>
      </c>
    </row>
    <row r="697" spans="1:28" x14ac:dyDescent="0.25">
      <c r="A697" t="s">
        <v>258</v>
      </c>
      <c r="B697" t="s">
        <v>259</v>
      </c>
      <c r="C697">
        <v>2015</v>
      </c>
      <c r="D697">
        <v>0.72301756346241142</v>
      </c>
      <c r="E697">
        <v>0.89571920362887225</v>
      </c>
      <c r="F697">
        <v>9.1638388846741088E-3</v>
      </c>
      <c r="G697">
        <v>1.9459101490553132</v>
      </c>
      <c r="H697">
        <v>0.42857142857142855</v>
      </c>
      <c r="I697">
        <v>1</v>
      </c>
      <c r="J697">
        <v>0</v>
      </c>
      <c r="K697">
        <v>5</v>
      </c>
      <c r="L697">
        <v>5</v>
      </c>
      <c r="M697">
        <v>2</v>
      </c>
      <c r="N697">
        <v>1</v>
      </c>
      <c r="O697">
        <v>1</v>
      </c>
      <c r="P697">
        <v>2</v>
      </c>
      <c r="Q697">
        <f t="shared" si="70"/>
        <v>5</v>
      </c>
      <c r="R697">
        <f t="shared" si="71"/>
        <v>21</v>
      </c>
      <c r="S697">
        <f t="array" ref="S697">MAX(IF($C$2:$C$1387=C697,$R$2:$R$1387))</f>
        <v>29</v>
      </c>
      <c r="T697" cm="1">
        <f t="array" ref="T697">MIN(IF($C$2:$C$1387=C697,$R$2:$R$1387))</f>
        <v>11</v>
      </c>
      <c r="U697">
        <f t="shared" si="72"/>
        <v>18</v>
      </c>
      <c r="V697">
        <f t="shared" si="73"/>
        <v>0.55555555555555558</v>
      </c>
      <c r="W697" cm="1">
        <f t="array" ref="W697">_xlfn.IFS(N697=1,5,N697=2,4,N697=4,2,N697=5,1,N697=3,3)</f>
        <v>5</v>
      </c>
      <c r="X697">
        <f t="shared" si="74"/>
        <v>25</v>
      </c>
      <c r="Y697" cm="1">
        <f t="array" ref="Y697">MAX(IF($C$2:$C$1387=C697,$X$2:$X$1387))</f>
        <v>29</v>
      </c>
      <c r="Z697" cm="1">
        <f t="array" ref="Z697">MIN(IF($C$2:$C$1387=C697,$X$2:$X$1387))</f>
        <v>12</v>
      </c>
      <c r="AA697">
        <f t="shared" si="75"/>
        <v>17</v>
      </c>
      <c r="AB697">
        <f t="shared" si="76"/>
        <v>0.76470588235294112</v>
      </c>
    </row>
    <row r="698" spans="1:28" x14ac:dyDescent="0.25">
      <c r="A698" t="s">
        <v>260</v>
      </c>
      <c r="B698" t="s">
        <v>261</v>
      </c>
      <c r="C698">
        <v>2010</v>
      </c>
      <c r="D698">
        <v>1.7200877773520497E-2</v>
      </c>
      <c r="E698">
        <v>0.67674596816329369</v>
      </c>
      <c r="F698">
        <v>0</v>
      </c>
      <c r="G698">
        <v>1.9459101490553132</v>
      </c>
      <c r="H698">
        <v>0.5714285714285714</v>
      </c>
      <c r="I698">
        <v>0.66666666666666663</v>
      </c>
      <c r="J698">
        <v>0</v>
      </c>
      <c r="K698">
        <v>2</v>
      </c>
      <c r="L698">
        <v>3</v>
      </c>
      <c r="M698">
        <v>1</v>
      </c>
      <c r="N698">
        <v>1</v>
      </c>
      <c r="O698">
        <v>2</v>
      </c>
      <c r="P698">
        <v>1</v>
      </c>
      <c r="Q698">
        <f t="shared" si="70"/>
        <v>5</v>
      </c>
      <c r="R698">
        <f t="shared" si="71"/>
        <v>15</v>
      </c>
      <c r="S698">
        <f t="array" ref="S698">MAX(IF($C$2:$C$1387=C698,$R$2:$R$1387))</f>
        <v>29</v>
      </c>
      <c r="T698" cm="1">
        <f t="array" ref="T698">MIN(IF($C$2:$C$1387=C698,$R$2:$R$1387))</f>
        <v>9</v>
      </c>
      <c r="U698">
        <f t="shared" si="72"/>
        <v>20</v>
      </c>
      <c r="V698">
        <f t="shared" si="73"/>
        <v>0.3</v>
      </c>
      <c r="W698" cm="1">
        <f t="array" ref="W698">_xlfn.IFS(N698=1,5,N698=2,4,N698=4,2,N698=5,1,N698=3,3)</f>
        <v>5</v>
      </c>
      <c r="X698">
        <f t="shared" si="74"/>
        <v>19</v>
      </c>
      <c r="Y698" cm="1">
        <f t="array" ref="Y698">MAX(IF($C$2:$C$1387=C698,$X$2:$X$1387))</f>
        <v>29</v>
      </c>
      <c r="Z698" cm="1">
        <f t="array" ref="Z698">MIN(IF($C$2:$C$1387=C698,$X$2:$X$1387))</f>
        <v>12</v>
      </c>
      <c r="AA698">
        <f t="shared" si="75"/>
        <v>17</v>
      </c>
      <c r="AB698">
        <f t="shared" si="76"/>
        <v>0.41176470588235292</v>
      </c>
    </row>
    <row r="699" spans="1:28" x14ac:dyDescent="0.25">
      <c r="A699" t="s">
        <v>260</v>
      </c>
      <c r="B699" t="s">
        <v>261</v>
      </c>
      <c r="C699">
        <v>2011</v>
      </c>
      <c r="D699">
        <v>1.5480917255789905E-2</v>
      </c>
      <c r="E699">
        <v>0.6751479792024484</v>
      </c>
      <c r="F699">
        <v>0.11091950876046074</v>
      </c>
      <c r="G699">
        <v>1.9459101490553132</v>
      </c>
      <c r="H699">
        <v>0.5714285714285714</v>
      </c>
      <c r="I699">
        <v>0.66666666666666663</v>
      </c>
      <c r="J699">
        <v>0</v>
      </c>
      <c r="K699">
        <v>2</v>
      </c>
      <c r="L699">
        <v>3</v>
      </c>
      <c r="M699">
        <v>4</v>
      </c>
      <c r="N699">
        <v>1</v>
      </c>
      <c r="O699">
        <v>2</v>
      </c>
      <c r="P699">
        <v>1</v>
      </c>
      <c r="Q699">
        <f t="shared" si="70"/>
        <v>5</v>
      </c>
      <c r="R699">
        <f t="shared" si="71"/>
        <v>18</v>
      </c>
      <c r="S699">
        <f t="array" ref="S699">MAX(IF($C$2:$C$1387=C699,$R$2:$R$1387))</f>
        <v>28</v>
      </c>
      <c r="T699" cm="1">
        <f t="array" ref="T699">MIN(IF($C$2:$C$1387=C699,$R$2:$R$1387))</f>
        <v>10</v>
      </c>
      <c r="U699">
        <f t="shared" si="72"/>
        <v>18</v>
      </c>
      <c r="V699">
        <f t="shared" si="73"/>
        <v>0.44444444444444442</v>
      </c>
      <c r="W699" cm="1">
        <f t="array" ref="W699">_xlfn.IFS(N699=1,5,N699=2,4,N699=4,2,N699=5,1,N699=3,3)</f>
        <v>5</v>
      </c>
      <c r="X699">
        <f t="shared" si="74"/>
        <v>22</v>
      </c>
      <c r="Y699" cm="1">
        <f t="array" ref="Y699">MAX(IF($C$2:$C$1387=C699,$X$2:$X$1387))</f>
        <v>29</v>
      </c>
      <c r="Z699" cm="1">
        <f t="array" ref="Z699">MIN(IF($C$2:$C$1387=C699,$X$2:$X$1387))</f>
        <v>12</v>
      </c>
      <c r="AA699">
        <f t="shared" si="75"/>
        <v>17</v>
      </c>
      <c r="AB699">
        <f t="shared" si="76"/>
        <v>0.58823529411764708</v>
      </c>
    </row>
    <row r="700" spans="1:28" x14ac:dyDescent="0.25">
      <c r="A700" t="s">
        <v>260</v>
      </c>
      <c r="B700" t="s">
        <v>261</v>
      </c>
      <c r="C700">
        <v>2012</v>
      </c>
      <c r="D700">
        <v>1.5480917255789905E-2</v>
      </c>
      <c r="E700">
        <v>0.6751479792024484</v>
      </c>
      <c r="F700">
        <v>0.11091950876046074</v>
      </c>
      <c r="G700">
        <v>1.9459101490553132</v>
      </c>
      <c r="H700">
        <v>0.5714285714285714</v>
      </c>
      <c r="I700">
        <v>1</v>
      </c>
      <c r="J700">
        <v>0</v>
      </c>
      <c r="K700">
        <v>2</v>
      </c>
      <c r="L700">
        <v>3</v>
      </c>
      <c r="M700">
        <v>4</v>
      </c>
      <c r="N700">
        <v>1</v>
      </c>
      <c r="O700">
        <v>2</v>
      </c>
      <c r="P700">
        <v>3</v>
      </c>
      <c r="Q700">
        <f t="shared" si="70"/>
        <v>5</v>
      </c>
      <c r="R700">
        <f t="shared" si="71"/>
        <v>20</v>
      </c>
      <c r="S700">
        <f t="array" ref="S700">MAX(IF($C$2:$C$1387=C700,$R$2:$R$1387))</f>
        <v>29</v>
      </c>
      <c r="T700" cm="1">
        <f t="array" ref="T700">MIN(IF($C$2:$C$1387=C700,$R$2:$R$1387))</f>
        <v>11</v>
      </c>
      <c r="U700">
        <f t="shared" si="72"/>
        <v>18</v>
      </c>
      <c r="V700">
        <f t="shared" si="73"/>
        <v>0.5</v>
      </c>
      <c r="W700" cm="1">
        <f t="array" ref="W700">_xlfn.IFS(N700=1,5,N700=2,4,N700=4,2,N700=5,1,N700=3,3)</f>
        <v>5</v>
      </c>
      <c r="X700">
        <f t="shared" si="74"/>
        <v>24</v>
      </c>
      <c r="Y700" cm="1">
        <f t="array" ref="Y700">MAX(IF($C$2:$C$1387=C700,$X$2:$X$1387))</f>
        <v>30</v>
      </c>
      <c r="Z700" cm="1">
        <f t="array" ref="Z700">MIN(IF($C$2:$C$1387=C700,$X$2:$X$1387))</f>
        <v>12</v>
      </c>
      <c r="AA700">
        <f t="shared" si="75"/>
        <v>18</v>
      </c>
      <c r="AB700">
        <f t="shared" si="76"/>
        <v>0.66666666666666663</v>
      </c>
    </row>
    <row r="701" spans="1:28" x14ac:dyDescent="0.25">
      <c r="A701" t="s">
        <v>260</v>
      </c>
      <c r="B701" t="s">
        <v>261</v>
      </c>
      <c r="C701">
        <v>2013</v>
      </c>
      <c r="D701">
        <v>1.5480917255789905E-2</v>
      </c>
      <c r="E701">
        <v>0.67512707966110974</v>
      </c>
      <c r="F701">
        <v>0.11089860921912208</v>
      </c>
      <c r="G701">
        <v>1.6094379124341003</v>
      </c>
      <c r="H701">
        <v>0.6</v>
      </c>
      <c r="I701">
        <v>0.66666666666666663</v>
      </c>
      <c r="J701">
        <v>0</v>
      </c>
      <c r="K701">
        <v>2</v>
      </c>
      <c r="L701">
        <v>3</v>
      </c>
      <c r="M701">
        <v>4</v>
      </c>
      <c r="N701">
        <v>1</v>
      </c>
      <c r="O701">
        <v>3</v>
      </c>
      <c r="P701">
        <v>1</v>
      </c>
      <c r="Q701">
        <f t="shared" si="70"/>
        <v>5</v>
      </c>
      <c r="R701">
        <f t="shared" si="71"/>
        <v>19</v>
      </c>
      <c r="S701">
        <f t="array" ref="S701">MAX(IF($C$2:$C$1387=C701,$R$2:$R$1387))</f>
        <v>29</v>
      </c>
      <c r="T701" cm="1">
        <f t="array" ref="T701">MIN(IF($C$2:$C$1387=C701,$R$2:$R$1387))</f>
        <v>10</v>
      </c>
      <c r="U701">
        <f t="shared" si="72"/>
        <v>19</v>
      </c>
      <c r="V701">
        <f t="shared" si="73"/>
        <v>0.47368421052631576</v>
      </c>
      <c r="W701" cm="1">
        <f t="array" ref="W701">_xlfn.IFS(N701=1,5,N701=2,4,N701=4,2,N701=5,1,N701=3,3)</f>
        <v>5</v>
      </c>
      <c r="X701">
        <f t="shared" si="74"/>
        <v>23</v>
      </c>
      <c r="Y701" cm="1">
        <f t="array" ref="Y701">MAX(IF($C$2:$C$1387=C701,$X$2:$X$1387))</f>
        <v>32</v>
      </c>
      <c r="Z701" cm="1">
        <f t="array" ref="Z701">MIN(IF($C$2:$C$1387=C701,$X$2:$X$1387))</f>
        <v>10</v>
      </c>
      <c r="AA701">
        <f t="shared" si="75"/>
        <v>22</v>
      </c>
      <c r="AB701">
        <f t="shared" si="76"/>
        <v>0.59090909090909094</v>
      </c>
    </row>
    <row r="702" spans="1:28" x14ac:dyDescent="0.25">
      <c r="A702" t="s">
        <v>260</v>
      </c>
      <c r="B702" t="s">
        <v>261</v>
      </c>
      <c r="C702">
        <v>2014</v>
      </c>
      <c r="D702">
        <v>1.5503906751262437E-2</v>
      </c>
      <c r="E702">
        <v>0.67512707966110974</v>
      </c>
      <c r="F702">
        <v>0.15992099137392332</v>
      </c>
      <c r="G702">
        <v>2.1972245773362196</v>
      </c>
      <c r="H702">
        <v>0.77777777777777779</v>
      </c>
      <c r="I702">
        <v>0.75</v>
      </c>
      <c r="J702">
        <v>0</v>
      </c>
      <c r="K702">
        <v>2</v>
      </c>
      <c r="L702">
        <v>3</v>
      </c>
      <c r="M702">
        <v>5</v>
      </c>
      <c r="N702">
        <v>4</v>
      </c>
      <c r="O702">
        <v>5</v>
      </c>
      <c r="P702">
        <v>2</v>
      </c>
      <c r="Q702">
        <f t="shared" si="70"/>
        <v>5</v>
      </c>
      <c r="R702">
        <f t="shared" si="71"/>
        <v>26</v>
      </c>
      <c r="S702">
        <f t="array" ref="S702">MAX(IF($C$2:$C$1387=C702,$R$2:$R$1387))</f>
        <v>29</v>
      </c>
      <c r="T702" cm="1">
        <f t="array" ref="T702">MIN(IF($C$2:$C$1387=C702,$R$2:$R$1387))</f>
        <v>11</v>
      </c>
      <c r="U702">
        <f t="shared" si="72"/>
        <v>18</v>
      </c>
      <c r="V702">
        <f t="shared" si="73"/>
        <v>0.83333333333333337</v>
      </c>
      <c r="W702" cm="1">
        <f t="array" ref="W702">_xlfn.IFS(N702=1,5,N702=2,4,N702=4,2,N702=5,1,N702=3,3)</f>
        <v>2</v>
      </c>
      <c r="X702">
        <f t="shared" si="74"/>
        <v>24</v>
      </c>
      <c r="Y702" cm="1">
        <f t="array" ref="Y702">MAX(IF($C$2:$C$1387=C702,$X$2:$X$1387))</f>
        <v>30</v>
      </c>
      <c r="Z702" cm="1">
        <f t="array" ref="Z702">MIN(IF($C$2:$C$1387=C702,$X$2:$X$1387))</f>
        <v>14</v>
      </c>
      <c r="AA702">
        <f t="shared" si="75"/>
        <v>16</v>
      </c>
      <c r="AB702">
        <f t="shared" si="76"/>
        <v>0.625</v>
      </c>
    </row>
    <row r="703" spans="1:28" x14ac:dyDescent="0.25">
      <c r="A703" t="s">
        <v>260</v>
      </c>
      <c r="B703" t="s">
        <v>261</v>
      </c>
      <c r="C703">
        <v>2015</v>
      </c>
      <c r="D703">
        <v>1.5503906751262437E-2</v>
      </c>
      <c r="E703">
        <v>0.67512707966110974</v>
      </c>
      <c r="F703">
        <v>0.15992099137392332</v>
      </c>
      <c r="G703">
        <v>2.1972245773362196</v>
      </c>
      <c r="H703">
        <v>0.77777777777777779</v>
      </c>
      <c r="I703">
        <v>1</v>
      </c>
      <c r="J703">
        <v>0</v>
      </c>
      <c r="K703">
        <v>2</v>
      </c>
      <c r="L703">
        <v>3</v>
      </c>
      <c r="M703">
        <v>5</v>
      </c>
      <c r="N703">
        <v>4</v>
      </c>
      <c r="O703">
        <v>4</v>
      </c>
      <c r="P703">
        <v>2</v>
      </c>
      <c r="Q703">
        <f t="shared" si="70"/>
        <v>5</v>
      </c>
      <c r="R703">
        <f t="shared" si="71"/>
        <v>25</v>
      </c>
      <c r="S703">
        <f t="array" ref="S703">MAX(IF($C$2:$C$1387=C703,$R$2:$R$1387))</f>
        <v>29</v>
      </c>
      <c r="T703" cm="1">
        <f t="array" ref="T703">MIN(IF($C$2:$C$1387=C703,$R$2:$R$1387))</f>
        <v>11</v>
      </c>
      <c r="U703">
        <f t="shared" si="72"/>
        <v>18</v>
      </c>
      <c r="V703">
        <f t="shared" si="73"/>
        <v>0.77777777777777779</v>
      </c>
      <c r="W703" cm="1">
        <f t="array" ref="W703">_xlfn.IFS(N703=1,5,N703=2,4,N703=4,2,N703=5,1,N703=3,3)</f>
        <v>2</v>
      </c>
      <c r="X703">
        <f t="shared" si="74"/>
        <v>23</v>
      </c>
      <c r="Y703" cm="1">
        <f t="array" ref="Y703">MAX(IF($C$2:$C$1387=C703,$X$2:$X$1387))</f>
        <v>29</v>
      </c>
      <c r="Z703" cm="1">
        <f t="array" ref="Z703">MIN(IF($C$2:$C$1387=C703,$X$2:$X$1387))</f>
        <v>12</v>
      </c>
      <c r="AA703">
        <f t="shared" si="75"/>
        <v>17</v>
      </c>
      <c r="AB703">
        <f t="shared" si="76"/>
        <v>0.6470588235294118</v>
      </c>
    </row>
    <row r="704" spans="1:28" x14ac:dyDescent="0.25">
      <c r="A704" t="s">
        <v>262</v>
      </c>
      <c r="B704" t="s">
        <v>263</v>
      </c>
      <c r="C704">
        <v>2010</v>
      </c>
      <c r="D704">
        <v>0.59998767474436521</v>
      </c>
      <c r="E704">
        <v>0.67544882462256095</v>
      </c>
      <c r="F704">
        <v>2.1577682993986453E-2</v>
      </c>
      <c r="G704">
        <v>1.9459101490553132</v>
      </c>
      <c r="H704">
        <v>0.5714285714285714</v>
      </c>
      <c r="I704">
        <v>1</v>
      </c>
      <c r="J704">
        <v>0</v>
      </c>
      <c r="K704">
        <v>5</v>
      </c>
      <c r="L704">
        <v>3</v>
      </c>
      <c r="M704">
        <v>3</v>
      </c>
      <c r="N704">
        <v>1</v>
      </c>
      <c r="O704">
        <v>2</v>
      </c>
      <c r="P704">
        <v>3</v>
      </c>
      <c r="Q704">
        <f t="shared" si="70"/>
        <v>5</v>
      </c>
      <c r="R704">
        <f t="shared" si="71"/>
        <v>22</v>
      </c>
      <c r="S704">
        <f t="array" ref="S704">MAX(IF($C$2:$C$1387=C704,$R$2:$R$1387))</f>
        <v>29</v>
      </c>
      <c r="T704" cm="1">
        <f t="array" ref="T704">MIN(IF($C$2:$C$1387=C704,$R$2:$R$1387))</f>
        <v>9</v>
      </c>
      <c r="U704">
        <f t="shared" si="72"/>
        <v>20</v>
      </c>
      <c r="V704">
        <f t="shared" si="73"/>
        <v>0.65</v>
      </c>
      <c r="W704" cm="1">
        <f t="array" ref="W704">_xlfn.IFS(N704=1,5,N704=2,4,N704=4,2,N704=5,1,N704=3,3)</f>
        <v>5</v>
      </c>
      <c r="X704">
        <f t="shared" si="74"/>
        <v>26</v>
      </c>
      <c r="Y704" cm="1">
        <f t="array" ref="Y704">MAX(IF($C$2:$C$1387=C704,$X$2:$X$1387))</f>
        <v>29</v>
      </c>
      <c r="Z704" cm="1">
        <f t="array" ref="Z704">MIN(IF($C$2:$C$1387=C704,$X$2:$X$1387))</f>
        <v>12</v>
      </c>
      <c r="AA704">
        <f t="shared" si="75"/>
        <v>17</v>
      </c>
      <c r="AB704">
        <f t="shared" si="76"/>
        <v>0.82352941176470584</v>
      </c>
    </row>
    <row r="705" spans="1:28" x14ac:dyDescent="0.25">
      <c r="A705" t="s">
        <v>262</v>
      </c>
      <c r="B705" t="s">
        <v>263</v>
      </c>
      <c r="C705">
        <v>2011</v>
      </c>
      <c r="D705">
        <v>0.59998767474436521</v>
      </c>
      <c r="E705">
        <v>0.67544882462256095</v>
      </c>
      <c r="F705">
        <v>2.1577682993986453E-2</v>
      </c>
      <c r="G705">
        <v>1.9459101490553132</v>
      </c>
      <c r="H705">
        <v>0.5714285714285714</v>
      </c>
      <c r="I705">
        <v>1</v>
      </c>
      <c r="J705">
        <v>0</v>
      </c>
      <c r="K705">
        <v>5</v>
      </c>
      <c r="L705">
        <v>3</v>
      </c>
      <c r="M705">
        <v>2</v>
      </c>
      <c r="N705">
        <v>1</v>
      </c>
      <c r="O705">
        <v>2</v>
      </c>
      <c r="P705">
        <v>3</v>
      </c>
      <c r="Q705">
        <f t="shared" si="70"/>
        <v>5</v>
      </c>
      <c r="R705">
        <f t="shared" si="71"/>
        <v>21</v>
      </c>
      <c r="S705">
        <f t="array" ref="S705">MAX(IF($C$2:$C$1387=C705,$R$2:$R$1387))</f>
        <v>28</v>
      </c>
      <c r="T705" cm="1">
        <f t="array" ref="T705">MIN(IF($C$2:$C$1387=C705,$R$2:$R$1387))</f>
        <v>10</v>
      </c>
      <c r="U705">
        <f t="shared" si="72"/>
        <v>18</v>
      </c>
      <c r="V705">
        <f t="shared" si="73"/>
        <v>0.61111111111111116</v>
      </c>
      <c r="W705" cm="1">
        <f t="array" ref="W705">_xlfn.IFS(N705=1,5,N705=2,4,N705=4,2,N705=5,1,N705=3,3)</f>
        <v>5</v>
      </c>
      <c r="X705">
        <f t="shared" si="74"/>
        <v>25</v>
      </c>
      <c r="Y705" cm="1">
        <f t="array" ref="Y705">MAX(IF($C$2:$C$1387=C705,$X$2:$X$1387))</f>
        <v>29</v>
      </c>
      <c r="Z705" cm="1">
        <f t="array" ref="Z705">MIN(IF($C$2:$C$1387=C705,$X$2:$X$1387))</f>
        <v>12</v>
      </c>
      <c r="AA705">
        <f t="shared" si="75"/>
        <v>17</v>
      </c>
      <c r="AB705">
        <f t="shared" si="76"/>
        <v>0.76470588235294112</v>
      </c>
    </row>
    <row r="706" spans="1:28" x14ac:dyDescent="0.25">
      <c r="A706" t="s">
        <v>262</v>
      </c>
      <c r="B706" t="s">
        <v>263</v>
      </c>
      <c r="C706">
        <v>2012</v>
      </c>
      <c r="D706">
        <v>0.54558243057436751</v>
      </c>
      <c r="E706">
        <v>0.6697990541827018</v>
      </c>
      <c r="F706">
        <v>2.1259183412736953E-2</v>
      </c>
      <c r="G706">
        <v>1.9459101490553132</v>
      </c>
      <c r="H706">
        <v>0.2857142857142857</v>
      </c>
      <c r="I706">
        <v>1</v>
      </c>
      <c r="J706">
        <v>0</v>
      </c>
      <c r="K706">
        <v>5</v>
      </c>
      <c r="L706">
        <v>3</v>
      </c>
      <c r="M706">
        <v>2</v>
      </c>
      <c r="N706">
        <v>1</v>
      </c>
      <c r="O706">
        <v>1</v>
      </c>
      <c r="P706">
        <v>3</v>
      </c>
      <c r="Q706">
        <f t="shared" si="70"/>
        <v>5</v>
      </c>
      <c r="R706">
        <f t="shared" si="71"/>
        <v>20</v>
      </c>
      <c r="S706">
        <f t="array" ref="S706">MAX(IF($C$2:$C$1387=C706,$R$2:$R$1387))</f>
        <v>29</v>
      </c>
      <c r="T706" cm="1">
        <f t="array" ref="T706">MIN(IF($C$2:$C$1387=C706,$R$2:$R$1387))</f>
        <v>11</v>
      </c>
      <c r="U706">
        <f t="shared" si="72"/>
        <v>18</v>
      </c>
      <c r="V706">
        <f t="shared" si="73"/>
        <v>0.5</v>
      </c>
      <c r="W706" cm="1">
        <f t="array" ref="W706">_xlfn.IFS(N706=1,5,N706=2,4,N706=4,2,N706=5,1,N706=3,3)</f>
        <v>5</v>
      </c>
      <c r="X706">
        <f t="shared" si="74"/>
        <v>24</v>
      </c>
      <c r="Y706" cm="1">
        <f t="array" ref="Y706">MAX(IF($C$2:$C$1387=C706,$X$2:$X$1387))</f>
        <v>30</v>
      </c>
      <c r="Z706" cm="1">
        <f t="array" ref="Z706">MIN(IF($C$2:$C$1387=C706,$X$2:$X$1387))</f>
        <v>12</v>
      </c>
      <c r="AA706">
        <f t="shared" si="75"/>
        <v>18</v>
      </c>
      <c r="AB706">
        <f t="shared" si="76"/>
        <v>0.66666666666666663</v>
      </c>
    </row>
    <row r="707" spans="1:28" x14ac:dyDescent="0.25">
      <c r="A707" t="s">
        <v>262</v>
      </c>
      <c r="B707" t="s">
        <v>263</v>
      </c>
      <c r="C707">
        <v>2013</v>
      </c>
      <c r="D707">
        <v>0.54559079504290142</v>
      </c>
      <c r="E707">
        <v>0.6697990541827018</v>
      </c>
      <c r="F707">
        <v>1.1771584230842201E-2</v>
      </c>
      <c r="G707">
        <v>1.9459101490553132</v>
      </c>
      <c r="H707">
        <v>0.42857142857142855</v>
      </c>
      <c r="I707">
        <v>1</v>
      </c>
      <c r="J707">
        <v>0</v>
      </c>
      <c r="K707">
        <v>5</v>
      </c>
      <c r="L707">
        <v>3</v>
      </c>
      <c r="M707">
        <v>2</v>
      </c>
      <c r="N707">
        <v>1</v>
      </c>
      <c r="O707">
        <v>1</v>
      </c>
      <c r="P707">
        <v>3</v>
      </c>
      <c r="Q707">
        <f t="shared" ref="Q707:Q770" si="77">IF(J707=0,5,1)</f>
        <v>5</v>
      </c>
      <c r="R707">
        <f t="shared" ref="R707:R770" si="78">SUM(K707:Q707)</f>
        <v>20</v>
      </c>
      <c r="S707">
        <f t="array" ref="S707">MAX(IF($C$2:$C$1387=C707,$R$2:$R$1387))</f>
        <v>29</v>
      </c>
      <c r="T707" cm="1">
        <f t="array" ref="T707">MIN(IF($C$2:$C$1387=C707,$R$2:$R$1387))</f>
        <v>10</v>
      </c>
      <c r="U707">
        <f t="shared" ref="U707:U770" si="79">S707-T707</f>
        <v>19</v>
      </c>
      <c r="V707">
        <f t="shared" ref="V707:V770" si="80">(R707-T707)/U707</f>
        <v>0.52631578947368418</v>
      </c>
      <c r="W707" cm="1">
        <f t="array" ref="W707">_xlfn.IFS(N707=1,5,N707=2,4,N707=4,2,N707=5,1,N707=3,3)</f>
        <v>5</v>
      </c>
      <c r="X707">
        <f t="shared" ref="X707:X770" si="81">SUM(K707:M707,O707:Q707,W707)</f>
        <v>24</v>
      </c>
      <c r="Y707" cm="1">
        <f t="array" ref="Y707">MAX(IF($C$2:$C$1387=C707,$X$2:$X$1387))</f>
        <v>32</v>
      </c>
      <c r="Z707" cm="1">
        <f t="array" ref="Z707">MIN(IF($C$2:$C$1387=C707,$X$2:$X$1387))</f>
        <v>10</v>
      </c>
      <c r="AA707">
        <f t="shared" ref="AA707:AA770" si="82">Y707-Z707</f>
        <v>22</v>
      </c>
      <c r="AB707">
        <f t="shared" ref="AB707:AB770" si="83">(X707-Z707)/AA707</f>
        <v>0.63636363636363635</v>
      </c>
    </row>
    <row r="708" spans="1:28" x14ac:dyDescent="0.25">
      <c r="A708" t="s">
        <v>262</v>
      </c>
      <c r="B708" t="s">
        <v>263</v>
      </c>
      <c r="C708">
        <v>2014</v>
      </c>
      <c r="D708">
        <v>0.60510922481936558</v>
      </c>
      <c r="E708">
        <v>0.65458294835169861</v>
      </c>
      <c r="F708">
        <v>2.3956841617500182E-3</v>
      </c>
      <c r="G708">
        <v>1.9459101490553132</v>
      </c>
      <c r="H708">
        <v>0.42857142857142855</v>
      </c>
      <c r="I708">
        <v>1</v>
      </c>
      <c r="J708">
        <v>0</v>
      </c>
      <c r="K708">
        <v>5</v>
      </c>
      <c r="L708">
        <v>3</v>
      </c>
      <c r="M708">
        <v>1</v>
      </c>
      <c r="N708">
        <v>1</v>
      </c>
      <c r="O708">
        <v>1</v>
      </c>
      <c r="P708">
        <v>3</v>
      </c>
      <c r="Q708">
        <f t="shared" si="77"/>
        <v>5</v>
      </c>
      <c r="R708">
        <f t="shared" si="78"/>
        <v>19</v>
      </c>
      <c r="S708">
        <f t="array" ref="S708">MAX(IF($C$2:$C$1387=C708,$R$2:$R$1387))</f>
        <v>29</v>
      </c>
      <c r="T708" cm="1">
        <f t="array" ref="T708">MIN(IF($C$2:$C$1387=C708,$R$2:$R$1387))</f>
        <v>11</v>
      </c>
      <c r="U708">
        <f t="shared" si="79"/>
        <v>18</v>
      </c>
      <c r="V708">
        <f t="shared" si="80"/>
        <v>0.44444444444444442</v>
      </c>
      <c r="W708" cm="1">
        <f t="array" ref="W708">_xlfn.IFS(N708=1,5,N708=2,4,N708=4,2,N708=5,1,N708=3,3)</f>
        <v>5</v>
      </c>
      <c r="X708">
        <f t="shared" si="81"/>
        <v>23</v>
      </c>
      <c r="Y708" cm="1">
        <f t="array" ref="Y708">MAX(IF($C$2:$C$1387=C708,$X$2:$X$1387))</f>
        <v>30</v>
      </c>
      <c r="Z708" cm="1">
        <f t="array" ref="Z708">MIN(IF($C$2:$C$1387=C708,$X$2:$X$1387))</f>
        <v>14</v>
      </c>
      <c r="AA708">
        <f t="shared" si="82"/>
        <v>16</v>
      </c>
      <c r="AB708">
        <f t="shared" si="83"/>
        <v>0.5625</v>
      </c>
    </row>
    <row r="709" spans="1:28" x14ac:dyDescent="0.25">
      <c r="A709" t="s">
        <v>262</v>
      </c>
      <c r="B709" t="s">
        <v>263</v>
      </c>
      <c r="C709">
        <v>2015</v>
      </c>
      <c r="D709">
        <v>0.60885383009265104</v>
      </c>
      <c r="E709">
        <v>0.6546930247576056</v>
      </c>
      <c r="F709">
        <v>1.9140915214384423E-3</v>
      </c>
      <c r="G709">
        <v>1.9459101490553132</v>
      </c>
      <c r="H709">
        <v>0.8571428571428571</v>
      </c>
      <c r="I709">
        <v>1</v>
      </c>
      <c r="J709">
        <v>0</v>
      </c>
      <c r="K709">
        <v>5</v>
      </c>
      <c r="L709">
        <v>3</v>
      </c>
      <c r="M709">
        <v>1</v>
      </c>
      <c r="N709">
        <v>1</v>
      </c>
      <c r="O709">
        <v>4</v>
      </c>
      <c r="P709">
        <v>2</v>
      </c>
      <c r="Q709">
        <f t="shared" si="77"/>
        <v>5</v>
      </c>
      <c r="R709">
        <f t="shared" si="78"/>
        <v>21</v>
      </c>
      <c r="S709">
        <f t="array" ref="S709">MAX(IF($C$2:$C$1387=C709,$R$2:$R$1387))</f>
        <v>29</v>
      </c>
      <c r="T709" cm="1">
        <f t="array" ref="T709">MIN(IF($C$2:$C$1387=C709,$R$2:$R$1387))</f>
        <v>11</v>
      </c>
      <c r="U709">
        <f t="shared" si="79"/>
        <v>18</v>
      </c>
      <c r="V709">
        <f t="shared" si="80"/>
        <v>0.55555555555555558</v>
      </c>
      <c r="W709" cm="1">
        <f t="array" ref="W709">_xlfn.IFS(N709=1,5,N709=2,4,N709=4,2,N709=5,1,N709=3,3)</f>
        <v>5</v>
      </c>
      <c r="X709">
        <f t="shared" si="81"/>
        <v>25</v>
      </c>
      <c r="Y709" cm="1">
        <f t="array" ref="Y709">MAX(IF($C$2:$C$1387=C709,$X$2:$X$1387))</f>
        <v>29</v>
      </c>
      <c r="Z709" cm="1">
        <f t="array" ref="Z709">MIN(IF($C$2:$C$1387=C709,$X$2:$X$1387))</f>
        <v>12</v>
      </c>
      <c r="AA709">
        <f t="shared" si="82"/>
        <v>17</v>
      </c>
      <c r="AB709">
        <f t="shared" si="83"/>
        <v>0.76470588235294112</v>
      </c>
    </row>
    <row r="710" spans="1:28" x14ac:dyDescent="0.25">
      <c r="A710" t="s">
        <v>264</v>
      </c>
      <c r="B710" t="s">
        <v>265</v>
      </c>
      <c r="C710">
        <v>2010</v>
      </c>
      <c r="D710">
        <v>0.46737400054931644</v>
      </c>
      <c r="E710">
        <v>0.58070126832450264</v>
      </c>
      <c r="F710">
        <v>0.15784599999999999</v>
      </c>
      <c r="G710">
        <v>2.5649493574615367</v>
      </c>
      <c r="H710">
        <v>0.23076923076923078</v>
      </c>
      <c r="I710">
        <v>1</v>
      </c>
      <c r="J710">
        <v>0</v>
      </c>
      <c r="K710">
        <v>4</v>
      </c>
      <c r="L710">
        <v>2</v>
      </c>
      <c r="M710">
        <v>4</v>
      </c>
      <c r="N710">
        <v>5</v>
      </c>
      <c r="O710">
        <v>1</v>
      </c>
      <c r="P710">
        <v>3</v>
      </c>
      <c r="Q710">
        <f t="shared" si="77"/>
        <v>5</v>
      </c>
      <c r="R710">
        <f t="shared" si="78"/>
        <v>24</v>
      </c>
      <c r="S710">
        <f t="array" ref="S710">MAX(IF($C$2:$C$1387=C710,$R$2:$R$1387))</f>
        <v>29</v>
      </c>
      <c r="T710" cm="1">
        <f t="array" ref="T710">MIN(IF($C$2:$C$1387=C710,$R$2:$R$1387))</f>
        <v>9</v>
      </c>
      <c r="U710">
        <f t="shared" si="79"/>
        <v>20</v>
      </c>
      <c r="V710">
        <f t="shared" si="80"/>
        <v>0.75</v>
      </c>
      <c r="W710" cm="1">
        <f t="array" ref="W710">_xlfn.IFS(N710=1,5,N710=2,4,N710=4,2,N710=5,1,N710=3,3)</f>
        <v>1</v>
      </c>
      <c r="X710">
        <f t="shared" si="81"/>
        <v>20</v>
      </c>
      <c r="Y710" cm="1">
        <f t="array" ref="Y710">MAX(IF($C$2:$C$1387=C710,$X$2:$X$1387))</f>
        <v>29</v>
      </c>
      <c r="Z710" cm="1">
        <f t="array" ref="Z710">MIN(IF($C$2:$C$1387=C710,$X$2:$X$1387))</f>
        <v>12</v>
      </c>
      <c r="AA710">
        <f t="shared" si="82"/>
        <v>17</v>
      </c>
      <c r="AB710">
        <f t="shared" si="83"/>
        <v>0.47058823529411764</v>
      </c>
    </row>
    <row r="711" spans="1:28" x14ac:dyDescent="0.25">
      <c r="A711" t="s">
        <v>264</v>
      </c>
      <c r="B711" t="s">
        <v>265</v>
      </c>
      <c r="C711">
        <v>2011</v>
      </c>
      <c r="D711">
        <v>0.46737423035453041</v>
      </c>
      <c r="E711">
        <v>0.45761394124573485</v>
      </c>
      <c r="F711">
        <v>8.5607570037402075E-2</v>
      </c>
      <c r="G711">
        <v>2.5649493574615367</v>
      </c>
      <c r="H711">
        <v>0.23076923076923078</v>
      </c>
      <c r="I711">
        <v>1</v>
      </c>
      <c r="J711">
        <v>0</v>
      </c>
      <c r="K711">
        <v>4</v>
      </c>
      <c r="L711">
        <v>1</v>
      </c>
      <c r="M711">
        <v>3</v>
      </c>
      <c r="N711">
        <v>5</v>
      </c>
      <c r="O711">
        <v>1</v>
      </c>
      <c r="P711">
        <v>3</v>
      </c>
      <c r="Q711">
        <f t="shared" si="77"/>
        <v>5</v>
      </c>
      <c r="R711">
        <f t="shared" si="78"/>
        <v>22</v>
      </c>
      <c r="S711">
        <f t="array" ref="S711">MAX(IF($C$2:$C$1387=C711,$R$2:$R$1387))</f>
        <v>28</v>
      </c>
      <c r="T711" cm="1">
        <f t="array" ref="T711">MIN(IF($C$2:$C$1387=C711,$R$2:$R$1387))</f>
        <v>10</v>
      </c>
      <c r="U711">
        <f t="shared" si="79"/>
        <v>18</v>
      </c>
      <c r="V711">
        <f t="shared" si="80"/>
        <v>0.66666666666666663</v>
      </c>
      <c r="W711" cm="1">
        <f t="array" ref="W711">_xlfn.IFS(N711=1,5,N711=2,4,N711=4,2,N711=5,1,N711=3,3)</f>
        <v>1</v>
      </c>
      <c r="X711">
        <f t="shared" si="81"/>
        <v>18</v>
      </c>
      <c r="Y711" cm="1">
        <f t="array" ref="Y711">MAX(IF($C$2:$C$1387=C711,$X$2:$X$1387))</f>
        <v>29</v>
      </c>
      <c r="Z711" cm="1">
        <f t="array" ref="Z711">MIN(IF($C$2:$C$1387=C711,$X$2:$X$1387))</f>
        <v>12</v>
      </c>
      <c r="AA711">
        <f t="shared" si="82"/>
        <v>17</v>
      </c>
      <c r="AB711">
        <f t="shared" si="83"/>
        <v>0.35294117647058826</v>
      </c>
    </row>
    <row r="712" spans="1:28" x14ac:dyDescent="0.25">
      <c r="A712" t="s">
        <v>264</v>
      </c>
      <c r="B712" t="s">
        <v>265</v>
      </c>
      <c r="C712">
        <v>2012</v>
      </c>
      <c r="D712">
        <v>3.2043560580219418E-6</v>
      </c>
      <c r="E712">
        <v>0.46110093432549853</v>
      </c>
      <c r="F712">
        <v>4.8016230909383881E-2</v>
      </c>
      <c r="G712">
        <v>2.5649493574615367</v>
      </c>
      <c r="H712">
        <v>0.92307692307692313</v>
      </c>
      <c r="I712">
        <v>1</v>
      </c>
      <c r="J712">
        <v>0</v>
      </c>
      <c r="K712">
        <v>1</v>
      </c>
      <c r="L712">
        <v>1</v>
      </c>
      <c r="M712">
        <v>3</v>
      </c>
      <c r="N712">
        <v>5</v>
      </c>
      <c r="O712">
        <v>5</v>
      </c>
      <c r="P712">
        <v>3</v>
      </c>
      <c r="Q712">
        <f t="shared" si="77"/>
        <v>5</v>
      </c>
      <c r="R712">
        <f t="shared" si="78"/>
        <v>23</v>
      </c>
      <c r="S712">
        <f t="array" ref="S712">MAX(IF($C$2:$C$1387=C712,$R$2:$R$1387))</f>
        <v>29</v>
      </c>
      <c r="T712" cm="1">
        <f t="array" ref="T712">MIN(IF($C$2:$C$1387=C712,$R$2:$R$1387))</f>
        <v>11</v>
      </c>
      <c r="U712">
        <f t="shared" si="79"/>
        <v>18</v>
      </c>
      <c r="V712">
        <f t="shared" si="80"/>
        <v>0.66666666666666663</v>
      </c>
      <c r="W712" cm="1">
        <f t="array" ref="W712">_xlfn.IFS(N712=1,5,N712=2,4,N712=4,2,N712=5,1,N712=3,3)</f>
        <v>1</v>
      </c>
      <c r="X712">
        <f t="shared" si="81"/>
        <v>19</v>
      </c>
      <c r="Y712" cm="1">
        <f t="array" ref="Y712">MAX(IF($C$2:$C$1387=C712,$X$2:$X$1387))</f>
        <v>30</v>
      </c>
      <c r="Z712" cm="1">
        <f t="array" ref="Z712">MIN(IF($C$2:$C$1387=C712,$X$2:$X$1387))</f>
        <v>12</v>
      </c>
      <c r="AA712">
        <f t="shared" si="82"/>
        <v>18</v>
      </c>
      <c r="AB712">
        <f t="shared" si="83"/>
        <v>0.3888888888888889</v>
      </c>
    </row>
    <row r="713" spans="1:28" x14ac:dyDescent="0.25">
      <c r="A713" t="s">
        <v>264</v>
      </c>
      <c r="B713" t="s">
        <v>265</v>
      </c>
      <c r="C713">
        <v>2013</v>
      </c>
      <c r="D713">
        <v>3.2043560580219418E-6</v>
      </c>
      <c r="E713">
        <v>0.44298115958480799</v>
      </c>
      <c r="F713">
        <v>3.4081723294484851E-3</v>
      </c>
      <c r="G713">
        <v>2.5649493574615367</v>
      </c>
      <c r="H713">
        <v>0.84615384615384615</v>
      </c>
      <c r="I713">
        <v>1</v>
      </c>
      <c r="J713">
        <v>0</v>
      </c>
      <c r="K713">
        <v>1</v>
      </c>
      <c r="L713">
        <v>1</v>
      </c>
      <c r="M713">
        <v>1</v>
      </c>
      <c r="N713">
        <v>5</v>
      </c>
      <c r="O713">
        <v>5</v>
      </c>
      <c r="P713">
        <v>3</v>
      </c>
      <c r="Q713">
        <f t="shared" si="77"/>
        <v>5</v>
      </c>
      <c r="R713">
        <f t="shared" si="78"/>
        <v>21</v>
      </c>
      <c r="S713">
        <f t="array" ref="S713">MAX(IF($C$2:$C$1387=C713,$R$2:$R$1387))</f>
        <v>29</v>
      </c>
      <c r="T713" cm="1">
        <f t="array" ref="T713">MIN(IF($C$2:$C$1387=C713,$R$2:$R$1387))</f>
        <v>10</v>
      </c>
      <c r="U713">
        <f t="shared" si="79"/>
        <v>19</v>
      </c>
      <c r="V713">
        <f t="shared" si="80"/>
        <v>0.57894736842105265</v>
      </c>
      <c r="W713" cm="1">
        <f t="array" ref="W713">_xlfn.IFS(N713=1,5,N713=2,4,N713=4,2,N713=5,1,N713=3,3)</f>
        <v>1</v>
      </c>
      <c r="X713">
        <f t="shared" si="81"/>
        <v>17</v>
      </c>
      <c r="Y713" cm="1">
        <f t="array" ref="Y713">MAX(IF($C$2:$C$1387=C713,$X$2:$X$1387))</f>
        <v>32</v>
      </c>
      <c r="Z713" cm="1">
        <f t="array" ref="Z713">MIN(IF($C$2:$C$1387=C713,$X$2:$X$1387))</f>
        <v>10</v>
      </c>
      <c r="AA713">
        <f t="shared" si="82"/>
        <v>22</v>
      </c>
      <c r="AB713">
        <f t="shared" si="83"/>
        <v>0.31818181818181818</v>
      </c>
    </row>
    <row r="714" spans="1:28" x14ac:dyDescent="0.25">
      <c r="A714" t="s">
        <v>264</v>
      </c>
      <c r="B714" t="s">
        <v>265</v>
      </c>
      <c r="C714">
        <v>2014</v>
      </c>
      <c r="D714">
        <v>1.6021780290109708E-5</v>
      </c>
      <c r="E714">
        <v>0.44298115958480799</v>
      </c>
      <c r="F714">
        <v>2.3654556420317973E-3</v>
      </c>
      <c r="G714">
        <v>2.5649493574615367</v>
      </c>
      <c r="H714">
        <v>0.84615384615384615</v>
      </c>
      <c r="I714">
        <v>1</v>
      </c>
      <c r="J714">
        <v>0</v>
      </c>
      <c r="K714">
        <v>1</v>
      </c>
      <c r="L714">
        <v>1</v>
      </c>
      <c r="M714">
        <v>1</v>
      </c>
      <c r="N714">
        <v>5</v>
      </c>
      <c r="O714">
        <v>5</v>
      </c>
      <c r="P714">
        <v>3</v>
      </c>
      <c r="Q714">
        <f t="shared" si="77"/>
        <v>5</v>
      </c>
      <c r="R714">
        <f t="shared" si="78"/>
        <v>21</v>
      </c>
      <c r="S714">
        <f t="array" ref="S714">MAX(IF($C$2:$C$1387=C714,$R$2:$R$1387))</f>
        <v>29</v>
      </c>
      <c r="T714" cm="1">
        <f t="array" ref="T714">MIN(IF($C$2:$C$1387=C714,$R$2:$R$1387))</f>
        <v>11</v>
      </c>
      <c r="U714">
        <f t="shared" si="79"/>
        <v>18</v>
      </c>
      <c r="V714">
        <f t="shared" si="80"/>
        <v>0.55555555555555558</v>
      </c>
      <c r="W714" cm="1">
        <f t="array" ref="W714">_xlfn.IFS(N714=1,5,N714=2,4,N714=4,2,N714=5,1,N714=3,3)</f>
        <v>1</v>
      </c>
      <c r="X714">
        <f t="shared" si="81"/>
        <v>17</v>
      </c>
      <c r="Y714" cm="1">
        <f t="array" ref="Y714">MAX(IF($C$2:$C$1387=C714,$X$2:$X$1387))</f>
        <v>30</v>
      </c>
      <c r="Z714" cm="1">
        <f t="array" ref="Z714">MIN(IF($C$2:$C$1387=C714,$X$2:$X$1387))</f>
        <v>14</v>
      </c>
      <c r="AA714">
        <f t="shared" si="82"/>
        <v>16</v>
      </c>
      <c r="AB714">
        <f t="shared" si="83"/>
        <v>0.1875</v>
      </c>
    </row>
    <row r="715" spans="1:28" x14ac:dyDescent="0.25">
      <c r="A715" t="s">
        <v>264</v>
      </c>
      <c r="B715" t="s">
        <v>265</v>
      </c>
      <c r="C715">
        <v>2015</v>
      </c>
      <c r="D715">
        <v>2.2430492406153592E-5</v>
      </c>
      <c r="E715">
        <v>0.44298115958480799</v>
      </c>
      <c r="F715">
        <v>9.4469537151467553E-2</v>
      </c>
      <c r="G715">
        <v>2.5649493574615367</v>
      </c>
      <c r="H715">
        <v>0.84615384615384615</v>
      </c>
      <c r="I715">
        <v>1</v>
      </c>
      <c r="J715">
        <v>0</v>
      </c>
      <c r="K715">
        <v>1</v>
      </c>
      <c r="L715">
        <v>2</v>
      </c>
      <c r="M715">
        <v>4</v>
      </c>
      <c r="N715">
        <v>5</v>
      </c>
      <c r="O715">
        <v>4</v>
      </c>
      <c r="P715">
        <v>2</v>
      </c>
      <c r="Q715">
        <f t="shared" si="77"/>
        <v>5</v>
      </c>
      <c r="R715">
        <f t="shared" si="78"/>
        <v>23</v>
      </c>
      <c r="S715">
        <f t="array" ref="S715">MAX(IF($C$2:$C$1387=C715,$R$2:$R$1387))</f>
        <v>29</v>
      </c>
      <c r="T715" cm="1">
        <f t="array" ref="T715">MIN(IF($C$2:$C$1387=C715,$R$2:$R$1387))</f>
        <v>11</v>
      </c>
      <c r="U715">
        <f t="shared" si="79"/>
        <v>18</v>
      </c>
      <c r="V715">
        <f t="shared" si="80"/>
        <v>0.66666666666666663</v>
      </c>
      <c r="W715" cm="1">
        <f t="array" ref="W715">_xlfn.IFS(N715=1,5,N715=2,4,N715=4,2,N715=5,1,N715=3,3)</f>
        <v>1</v>
      </c>
      <c r="X715">
        <f t="shared" si="81"/>
        <v>19</v>
      </c>
      <c r="Y715" cm="1">
        <f t="array" ref="Y715">MAX(IF($C$2:$C$1387=C715,$X$2:$X$1387))</f>
        <v>29</v>
      </c>
      <c r="Z715" cm="1">
        <f t="array" ref="Z715">MIN(IF($C$2:$C$1387=C715,$X$2:$X$1387))</f>
        <v>12</v>
      </c>
      <c r="AA715">
        <f t="shared" si="82"/>
        <v>17</v>
      </c>
      <c r="AB715">
        <f t="shared" si="83"/>
        <v>0.41176470588235292</v>
      </c>
    </row>
    <row r="716" spans="1:28" x14ac:dyDescent="0.25">
      <c r="A716" t="s">
        <v>266</v>
      </c>
      <c r="B716" t="s">
        <v>267</v>
      </c>
      <c r="C716">
        <v>2010</v>
      </c>
      <c r="D716">
        <v>0.20738587565465794</v>
      </c>
      <c r="E716">
        <v>0.47094756873436983</v>
      </c>
      <c r="F716">
        <v>3.0192170465822982E-3</v>
      </c>
      <c r="G716">
        <v>1.9459101490553132</v>
      </c>
      <c r="H716">
        <v>0.8571428571428571</v>
      </c>
      <c r="I716">
        <v>1</v>
      </c>
      <c r="J716">
        <v>1</v>
      </c>
      <c r="K716">
        <v>3</v>
      </c>
      <c r="L716">
        <v>2</v>
      </c>
      <c r="M716">
        <v>2</v>
      </c>
      <c r="N716">
        <v>1</v>
      </c>
      <c r="O716">
        <v>5</v>
      </c>
      <c r="P716">
        <v>3</v>
      </c>
      <c r="Q716">
        <f t="shared" si="77"/>
        <v>1</v>
      </c>
      <c r="R716">
        <f t="shared" si="78"/>
        <v>17</v>
      </c>
      <c r="S716">
        <f t="array" ref="S716">MAX(IF($C$2:$C$1387=C716,$R$2:$R$1387))</f>
        <v>29</v>
      </c>
      <c r="T716" cm="1">
        <f t="array" ref="T716">MIN(IF($C$2:$C$1387=C716,$R$2:$R$1387))</f>
        <v>9</v>
      </c>
      <c r="U716">
        <f t="shared" si="79"/>
        <v>20</v>
      </c>
      <c r="V716">
        <f t="shared" si="80"/>
        <v>0.4</v>
      </c>
      <c r="W716" cm="1">
        <f t="array" ref="W716">_xlfn.IFS(N716=1,5,N716=2,4,N716=4,2,N716=5,1,N716=3,3)</f>
        <v>5</v>
      </c>
      <c r="X716">
        <f t="shared" si="81"/>
        <v>21</v>
      </c>
      <c r="Y716" cm="1">
        <f t="array" ref="Y716">MAX(IF($C$2:$C$1387=C716,$X$2:$X$1387))</f>
        <v>29</v>
      </c>
      <c r="Z716" cm="1">
        <f t="array" ref="Z716">MIN(IF($C$2:$C$1387=C716,$X$2:$X$1387))</f>
        <v>12</v>
      </c>
      <c r="AA716">
        <f t="shared" si="82"/>
        <v>17</v>
      </c>
      <c r="AB716">
        <f t="shared" si="83"/>
        <v>0.52941176470588236</v>
      </c>
    </row>
    <row r="717" spans="1:28" x14ac:dyDescent="0.25">
      <c r="A717" t="s">
        <v>266</v>
      </c>
      <c r="B717" t="s">
        <v>267</v>
      </c>
      <c r="C717">
        <v>2011</v>
      </c>
      <c r="D717">
        <v>0.20732432053535718</v>
      </c>
      <c r="E717">
        <v>0.62320415632476545</v>
      </c>
      <c r="F717">
        <v>3.0192170465822982E-3</v>
      </c>
      <c r="G717">
        <v>1.9459101490553132</v>
      </c>
      <c r="H717">
        <v>0.5714285714285714</v>
      </c>
      <c r="I717">
        <v>1</v>
      </c>
      <c r="J717">
        <v>1</v>
      </c>
      <c r="K717">
        <v>3</v>
      </c>
      <c r="L717">
        <v>3</v>
      </c>
      <c r="M717">
        <v>1</v>
      </c>
      <c r="N717">
        <v>1</v>
      </c>
      <c r="O717">
        <v>2</v>
      </c>
      <c r="P717">
        <v>3</v>
      </c>
      <c r="Q717">
        <f t="shared" si="77"/>
        <v>1</v>
      </c>
      <c r="R717">
        <f t="shared" si="78"/>
        <v>14</v>
      </c>
      <c r="S717">
        <f t="array" ref="S717">MAX(IF($C$2:$C$1387=C717,$R$2:$R$1387))</f>
        <v>28</v>
      </c>
      <c r="T717" cm="1">
        <f t="array" ref="T717">MIN(IF($C$2:$C$1387=C717,$R$2:$R$1387))</f>
        <v>10</v>
      </c>
      <c r="U717">
        <f t="shared" si="79"/>
        <v>18</v>
      </c>
      <c r="V717">
        <f t="shared" si="80"/>
        <v>0.22222222222222221</v>
      </c>
      <c r="W717" cm="1">
        <f t="array" ref="W717">_xlfn.IFS(N717=1,5,N717=2,4,N717=4,2,N717=5,1,N717=3,3)</f>
        <v>5</v>
      </c>
      <c r="X717">
        <f t="shared" si="81"/>
        <v>18</v>
      </c>
      <c r="Y717" cm="1">
        <f t="array" ref="Y717">MAX(IF($C$2:$C$1387=C717,$X$2:$X$1387))</f>
        <v>29</v>
      </c>
      <c r="Z717" cm="1">
        <f t="array" ref="Z717">MIN(IF($C$2:$C$1387=C717,$X$2:$X$1387))</f>
        <v>12</v>
      </c>
      <c r="AA717">
        <f t="shared" si="82"/>
        <v>17</v>
      </c>
      <c r="AB717">
        <f t="shared" si="83"/>
        <v>0.35294117647058826</v>
      </c>
    </row>
    <row r="718" spans="1:28" x14ac:dyDescent="0.25">
      <c r="A718" t="s">
        <v>266</v>
      </c>
      <c r="B718" t="s">
        <v>267</v>
      </c>
      <c r="C718">
        <v>2012</v>
      </c>
      <c r="D718">
        <v>0.20732432053535718</v>
      </c>
      <c r="E718">
        <v>0.62320415632476545</v>
      </c>
      <c r="F718">
        <v>3.0192170465822982E-3</v>
      </c>
      <c r="G718">
        <v>1.9459101490553132</v>
      </c>
      <c r="H718">
        <v>0.5714285714285714</v>
      </c>
      <c r="I718">
        <v>1</v>
      </c>
      <c r="J718">
        <v>1</v>
      </c>
      <c r="K718">
        <v>3</v>
      </c>
      <c r="L718">
        <v>3</v>
      </c>
      <c r="M718">
        <v>1</v>
      </c>
      <c r="N718">
        <v>1</v>
      </c>
      <c r="O718">
        <v>2</v>
      </c>
      <c r="P718">
        <v>3</v>
      </c>
      <c r="Q718">
        <f t="shared" si="77"/>
        <v>1</v>
      </c>
      <c r="R718">
        <f t="shared" si="78"/>
        <v>14</v>
      </c>
      <c r="S718">
        <f t="array" ref="S718">MAX(IF($C$2:$C$1387=C718,$R$2:$R$1387))</f>
        <v>29</v>
      </c>
      <c r="T718" cm="1">
        <f t="array" ref="T718">MIN(IF($C$2:$C$1387=C718,$R$2:$R$1387))</f>
        <v>11</v>
      </c>
      <c r="U718">
        <f t="shared" si="79"/>
        <v>18</v>
      </c>
      <c r="V718">
        <f t="shared" si="80"/>
        <v>0.16666666666666666</v>
      </c>
      <c r="W718" cm="1">
        <f t="array" ref="W718">_xlfn.IFS(N718=1,5,N718=2,4,N718=4,2,N718=5,1,N718=3,3)</f>
        <v>5</v>
      </c>
      <c r="X718">
        <f t="shared" si="81"/>
        <v>18</v>
      </c>
      <c r="Y718" cm="1">
        <f t="array" ref="Y718">MAX(IF($C$2:$C$1387=C718,$X$2:$X$1387))</f>
        <v>30</v>
      </c>
      <c r="Z718" cm="1">
        <f t="array" ref="Z718">MIN(IF($C$2:$C$1387=C718,$X$2:$X$1387))</f>
        <v>12</v>
      </c>
      <c r="AA718">
        <f t="shared" si="82"/>
        <v>18</v>
      </c>
      <c r="AB718">
        <f t="shared" si="83"/>
        <v>0.33333333333333331</v>
      </c>
    </row>
    <row r="719" spans="1:28" x14ac:dyDescent="0.25">
      <c r="A719" t="s">
        <v>266</v>
      </c>
      <c r="B719" t="s">
        <v>267</v>
      </c>
      <c r="C719">
        <v>2013</v>
      </c>
      <c r="D719">
        <v>0</v>
      </c>
      <c r="E719">
        <v>0.57589904714214202</v>
      </c>
      <c r="F719">
        <v>5.53965296147065E-4</v>
      </c>
      <c r="G719">
        <v>1.791759469228055</v>
      </c>
      <c r="H719">
        <v>0.5</v>
      </c>
      <c r="I719">
        <v>0.66666666666666663</v>
      </c>
      <c r="J719">
        <v>0</v>
      </c>
      <c r="K719">
        <v>1</v>
      </c>
      <c r="L719">
        <v>2</v>
      </c>
      <c r="M719">
        <v>1</v>
      </c>
      <c r="N719">
        <v>1</v>
      </c>
      <c r="O719">
        <v>2</v>
      </c>
      <c r="P719">
        <v>1</v>
      </c>
      <c r="Q719">
        <f t="shared" si="77"/>
        <v>5</v>
      </c>
      <c r="R719">
        <f t="shared" si="78"/>
        <v>13</v>
      </c>
      <c r="S719">
        <f t="array" ref="S719">MAX(IF($C$2:$C$1387=C719,$R$2:$R$1387))</f>
        <v>29</v>
      </c>
      <c r="T719" cm="1">
        <f t="array" ref="T719">MIN(IF($C$2:$C$1387=C719,$R$2:$R$1387))</f>
        <v>10</v>
      </c>
      <c r="U719">
        <f t="shared" si="79"/>
        <v>19</v>
      </c>
      <c r="V719">
        <f t="shared" si="80"/>
        <v>0.15789473684210525</v>
      </c>
      <c r="W719" cm="1">
        <f t="array" ref="W719">_xlfn.IFS(N719=1,5,N719=2,4,N719=4,2,N719=5,1,N719=3,3)</f>
        <v>5</v>
      </c>
      <c r="X719">
        <f t="shared" si="81"/>
        <v>17</v>
      </c>
      <c r="Y719" cm="1">
        <f t="array" ref="Y719">MAX(IF($C$2:$C$1387=C719,$X$2:$X$1387))</f>
        <v>32</v>
      </c>
      <c r="Z719" cm="1">
        <f t="array" ref="Z719">MIN(IF($C$2:$C$1387=C719,$X$2:$X$1387))</f>
        <v>10</v>
      </c>
      <c r="AA719">
        <f t="shared" si="82"/>
        <v>22</v>
      </c>
      <c r="AB719">
        <f t="shared" si="83"/>
        <v>0.31818181818181818</v>
      </c>
    </row>
    <row r="720" spans="1:28" x14ac:dyDescent="0.25">
      <c r="A720" t="s">
        <v>266</v>
      </c>
      <c r="B720" t="s">
        <v>267</v>
      </c>
      <c r="C720">
        <v>2014</v>
      </c>
      <c r="D720">
        <v>0.32566009786340644</v>
      </c>
      <c r="E720">
        <v>0.53105817405048539</v>
      </c>
      <c r="F720">
        <v>2.7696725929370731E-4</v>
      </c>
      <c r="G720">
        <v>1.9459101490553132</v>
      </c>
      <c r="H720">
        <v>0.5714285714285714</v>
      </c>
      <c r="I720">
        <v>0.66666666666666663</v>
      </c>
      <c r="J720">
        <v>1</v>
      </c>
      <c r="K720">
        <v>4</v>
      </c>
      <c r="L720">
        <v>2</v>
      </c>
      <c r="M720">
        <v>1</v>
      </c>
      <c r="N720">
        <v>1</v>
      </c>
      <c r="O720">
        <v>2</v>
      </c>
      <c r="P720">
        <v>1</v>
      </c>
      <c r="Q720">
        <f t="shared" si="77"/>
        <v>1</v>
      </c>
      <c r="R720">
        <f t="shared" si="78"/>
        <v>12</v>
      </c>
      <c r="S720">
        <f t="array" ref="S720">MAX(IF($C$2:$C$1387=C720,$R$2:$R$1387))</f>
        <v>29</v>
      </c>
      <c r="T720" cm="1">
        <f t="array" ref="T720">MIN(IF($C$2:$C$1387=C720,$R$2:$R$1387))</f>
        <v>11</v>
      </c>
      <c r="U720">
        <f t="shared" si="79"/>
        <v>18</v>
      </c>
      <c r="V720">
        <f t="shared" si="80"/>
        <v>5.5555555555555552E-2</v>
      </c>
      <c r="W720" cm="1">
        <f t="array" ref="W720">_xlfn.IFS(N720=1,5,N720=2,4,N720=4,2,N720=5,1,N720=3,3)</f>
        <v>5</v>
      </c>
      <c r="X720">
        <f t="shared" si="81"/>
        <v>16</v>
      </c>
      <c r="Y720" cm="1">
        <f t="array" ref="Y720">MAX(IF($C$2:$C$1387=C720,$X$2:$X$1387))</f>
        <v>30</v>
      </c>
      <c r="Z720" cm="1">
        <f t="array" ref="Z720">MIN(IF($C$2:$C$1387=C720,$X$2:$X$1387))</f>
        <v>14</v>
      </c>
      <c r="AA720">
        <f t="shared" si="82"/>
        <v>16</v>
      </c>
      <c r="AB720">
        <f t="shared" si="83"/>
        <v>0.125</v>
      </c>
    </row>
    <row r="721" spans="1:28" x14ac:dyDescent="0.25">
      <c r="A721" t="s">
        <v>266</v>
      </c>
      <c r="B721" t="s">
        <v>267</v>
      </c>
      <c r="C721">
        <v>2015</v>
      </c>
      <c r="D721">
        <v>0.32566009786340644</v>
      </c>
      <c r="E721">
        <v>0.53105817405048539</v>
      </c>
      <c r="F721">
        <v>2.7696725929370731E-4</v>
      </c>
      <c r="G721">
        <v>1.9459101490553132</v>
      </c>
      <c r="H721">
        <v>0.5714285714285714</v>
      </c>
      <c r="I721">
        <v>0.66666666666666663</v>
      </c>
      <c r="J721">
        <v>1</v>
      </c>
      <c r="K721">
        <v>4</v>
      </c>
      <c r="L721">
        <v>2</v>
      </c>
      <c r="M721">
        <v>1</v>
      </c>
      <c r="N721">
        <v>1</v>
      </c>
      <c r="O721">
        <v>1</v>
      </c>
      <c r="P721">
        <v>1</v>
      </c>
      <c r="Q721">
        <f t="shared" si="77"/>
        <v>1</v>
      </c>
      <c r="R721">
        <f t="shared" si="78"/>
        <v>11</v>
      </c>
      <c r="S721">
        <f t="array" ref="S721">MAX(IF($C$2:$C$1387=C721,$R$2:$R$1387))</f>
        <v>29</v>
      </c>
      <c r="T721" cm="1">
        <f t="array" ref="T721">MIN(IF($C$2:$C$1387=C721,$R$2:$R$1387))</f>
        <v>11</v>
      </c>
      <c r="U721">
        <f t="shared" si="79"/>
        <v>18</v>
      </c>
      <c r="V721">
        <f t="shared" si="80"/>
        <v>0</v>
      </c>
      <c r="W721" cm="1">
        <f t="array" ref="W721">_xlfn.IFS(N721=1,5,N721=2,4,N721=4,2,N721=5,1,N721=3,3)</f>
        <v>5</v>
      </c>
      <c r="X721">
        <f t="shared" si="81"/>
        <v>15</v>
      </c>
      <c r="Y721" cm="1">
        <f t="array" ref="Y721">MAX(IF($C$2:$C$1387=C721,$X$2:$X$1387))</f>
        <v>29</v>
      </c>
      <c r="Z721" cm="1">
        <f t="array" ref="Z721">MIN(IF($C$2:$C$1387=C721,$X$2:$X$1387))</f>
        <v>12</v>
      </c>
      <c r="AA721">
        <f t="shared" si="82"/>
        <v>17</v>
      </c>
      <c r="AB721">
        <f t="shared" si="83"/>
        <v>0.17647058823529413</v>
      </c>
    </row>
    <row r="722" spans="1:28" x14ac:dyDescent="0.25">
      <c r="A722" t="s">
        <v>268</v>
      </c>
      <c r="B722" t="s">
        <v>269</v>
      </c>
      <c r="C722">
        <v>2010</v>
      </c>
      <c r="D722">
        <v>7.5247892189496185E-4</v>
      </c>
      <c r="E722">
        <v>0.84941028696801324</v>
      </c>
      <c r="F722">
        <v>5.8982013752978818E-2</v>
      </c>
      <c r="G722">
        <v>1.9459101490553132</v>
      </c>
      <c r="H722">
        <v>0.8571428571428571</v>
      </c>
      <c r="I722">
        <v>1</v>
      </c>
      <c r="J722">
        <v>0</v>
      </c>
      <c r="K722">
        <v>2</v>
      </c>
      <c r="L722">
        <v>5</v>
      </c>
      <c r="M722">
        <v>3</v>
      </c>
      <c r="N722">
        <v>1</v>
      </c>
      <c r="O722">
        <v>5</v>
      </c>
      <c r="P722">
        <v>3</v>
      </c>
      <c r="Q722">
        <f t="shared" si="77"/>
        <v>5</v>
      </c>
      <c r="R722">
        <f t="shared" si="78"/>
        <v>24</v>
      </c>
      <c r="S722">
        <f t="array" ref="S722">MAX(IF($C$2:$C$1387=C722,$R$2:$R$1387))</f>
        <v>29</v>
      </c>
      <c r="T722" cm="1">
        <f t="array" ref="T722">MIN(IF($C$2:$C$1387=C722,$R$2:$R$1387))</f>
        <v>9</v>
      </c>
      <c r="U722">
        <f t="shared" si="79"/>
        <v>20</v>
      </c>
      <c r="V722">
        <f t="shared" si="80"/>
        <v>0.75</v>
      </c>
      <c r="W722" cm="1">
        <f t="array" ref="W722">_xlfn.IFS(N722=1,5,N722=2,4,N722=4,2,N722=5,1,N722=3,3)</f>
        <v>5</v>
      </c>
      <c r="X722">
        <f t="shared" si="81"/>
        <v>28</v>
      </c>
      <c r="Y722" cm="1">
        <f t="array" ref="Y722">MAX(IF($C$2:$C$1387=C722,$X$2:$X$1387))</f>
        <v>29</v>
      </c>
      <c r="Z722" cm="1">
        <f t="array" ref="Z722">MIN(IF($C$2:$C$1387=C722,$X$2:$X$1387))</f>
        <v>12</v>
      </c>
      <c r="AA722">
        <f t="shared" si="82"/>
        <v>17</v>
      </c>
      <c r="AB722">
        <f t="shared" si="83"/>
        <v>0.94117647058823528</v>
      </c>
    </row>
    <row r="723" spans="1:28" x14ac:dyDescent="0.25">
      <c r="A723" t="s">
        <v>268</v>
      </c>
      <c r="B723" t="s">
        <v>269</v>
      </c>
      <c r="C723">
        <v>2011</v>
      </c>
      <c r="D723">
        <v>7.5247892189496185E-4</v>
      </c>
      <c r="E723">
        <v>0.84941028696801324</v>
      </c>
      <c r="F723">
        <v>5.8982013752978818E-2</v>
      </c>
      <c r="G723">
        <v>1.9459101490553132</v>
      </c>
      <c r="H723">
        <v>0.8571428571428571</v>
      </c>
      <c r="I723">
        <v>1</v>
      </c>
      <c r="J723">
        <v>0</v>
      </c>
      <c r="K723">
        <v>1</v>
      </c>
      <c r="L723">
        <v>5</v>
      </c>
      <c r="M723">
        <v>3</v>
      </c>
      <c r="N723">
        <v>1</v>
      </c>
      <c r="O723">
        <v>5</v>
      </c>
      <c r="P723">
        <v>3</v>
      </c>
      <c r="Q723">
        <f t="shared" si="77"/>
        <v>5</v>
      </c>
      <c r="R723">
        <f t="shared" si="78"/>
        <v>23</v>
      </c>
      <c r="S723">
        <f t="array" ref="S723">MAX(IF($C$2:$C$1387=C723,$R$2:$R$1387))</f>
        <v>28</v>
      </c>
      <c r="T723" cm="1">
        <f t="array" ref="T723">MIN(IF($C$2:$C$1387=C723,$R$2:$R$1387))</f>
        <v>10</v>
      </c>
      <c r="U723">
        <f t="shared" si="79"/>
        <v>18</v>
      </c>
      <c r="V723">
        <f t="shared" si="80"/>
        <v>0.72222222222222221</v>
      </c>
      <c r="W723" cm="1">
        <f t="array" ref="W723">_xlfn.IFS(N723=1,5,N723=2,4,N723=4,2,N723=5,1,N723=3,3)</f>
        <v>5</v>
      </c>
      <c r="X723">
        <f t="shared" si="81"/>
        <v>27</v>
      </c>
      <c r="Y723" cm="1">
        <f t="array" ref="Y723">MAX(IF($C$2:$C$1387=C723,$X$2:$X$1387))</f>
        <v>29</v>
      </c>
      <c r="Z723" cm="1">
        <f t="array" ref="Z723">MIN(IF($C$2:$C$1387=C723,$X$2:$X$1387))</f>
        <v>12</v>
      </c>
      <c r="AA723">
        <f t="shared" si="82"/>
        <v>17</v>
      </c>
      <c r="AB723">
        <f t="shared" si="83"/>
        <v>0.88235294117647056</v>
      </c>
    </row>
    <row r="724" spans="1:28" x14ac:dyDescent="0.25">
      <c r="A724" t="s">
        <v>268</v>
      </c>
      <c r="B724" t="s">
        <v>269</v>
      </c>
      <c r="C724">
        <v>2012</v>
      </c>
      <c r="D724">
        <v>7.5247892189496185E-4</v>
      </c>
      <c r="E724">
        <v>0.84941028696801324</v>
      </c>
      <c r="F724">
        <v>5.8982013752978818E-2</v>
      </c>
      <c r="G724">
        <v>1.9459101490553132</v>
      </c>
      <c r="H724">
        <v>0.8571428571428571</v>
      </c>
      <c r="I724">
        <v>1</v>
      </c>
      <c r="J724">
        <v>0</v>
      </c>
      <c r="K724">
        <v>2</v>
      </c>
      <c r="L724">
        <v>5</v>
      </c>
      <c r="M724">
        <v>3</v>
      </c>
      <c r="N724">
        <v>1</v>
      </c>
      <c r="O724">
        <v>5</v>
      </c>
      <c r="P724">
        <v>3</v>
      </c>
      <c r="Q724">
        <f t="shared" si="77"/>
        <v>5</v>
      </c>
      <c r="R724">
        <f t="shared" si="78"/>
        <v>24</v>
      </c>
      <c r="S724">
        <f t="array" ref="S724">MAX(IF($C$2:$C$1387=C724,$R$2:$R$1387))</f>
        <v>29</v>
      </c>
      <c r="T724" cm="1">
        <f t="array" ref="T724">MIN(IF($C$2:$C$1387=C724,$R$2:$R$1387))</f>
        <v>11</v>
      </c>
      <c r="U724">
        <f t="shared" si="79"/>
        <v>18</v>
      </c>
      <c r="V724">
        <f t="shared" si="80"/>
        <v>0.72222222222222221</v>
      </c>
      <c r="W724" cm="1">
        <f t="array" ref="W724">_xlfn.IFS(N724=1,5,N724=2,4,N724=4,2,N724=5,1,N724=3,3)</f>
        <v>5</v>
      </c>
      <c r="X724">
        <f t="shared" si="81"/>
        <v>28</v>
      </c>
      <c r="Y724" cm="1">
        <f t="array" ref="Y724">MAX(IF($C$2:$C$1387=C724,$X$2:$X$1387))</f>
        <v>30</v>
      </c>
      <c r="Z724" cm="1">
        <f t="array" ref="Z724">MIN(IF($C$2:$C$1387=C724,$X$2:$X$1387))</f>
        <v>12</v>
      </c>
      <c r="AA724">
        <f t="shared" si="82"/>
        <v>18</v>
      </c>
      <c r="AB724">
        <f t="shared" si="83"/>
        <v>0.88888888888888884</v>
      </c>
    </row>
    <row r="725" spans="1:28" x14ac:dyDescent="0.25">
      <c r="A725" t="s">
        <v>268</v>
      </c>
      <c r="B725" t="s">
        <v>269</v>
      </c>
      <c r="C725">
        <v>2013</v>
      </c>
      <c r="D725">
        <v>2.2834338302477657E-6</v>
      </c>
      <c r="E725">
        <v>0.85771325680387056</v>
      </c>
      <c r="F725">
        <v>6.9500212045800078E-2</v>
      </c>
      <c r="G725">
        <v>1.9459101490553132</v>
      </c>
      <c r="H725">
        <v>0.7142857142857143</v>
      </c>
      <c r="I725">
        <v>1</v>
      </c>
      <c r="J725">
        <v>1</v>
      </c>
      <c r="K725">
        <v>1</v>
      </c>
      <c r="L725">
        <v>5</v>
      </c>
      <c r="M725">
        <v>3</v>
      </c>
      <c r="N725">
        <v>1</v>
      </c>
      <c r="O725">
        <v>4</v>
      </c>
      <c r="P725">
        <v>3</v>
      </c>
      <c r="Q725">
        <f t="shared" si="77"/>
        <v>1</v>
      </c>
      <c r="R725">
        <f t="shared" si="78"/>
        <v>18</v>
      </c>
      <c r="S725">
        <f t="array" ref="S725">MAX(IF($C$2:$C$1387=C725,$R$2:$R$1387))</f>
        <v>29</v>
      </c>
      <c r="T725" cm="1">
        <f t="array" ref="T725">MIN(IF($C$2:$C$1387=C725,$R$2:$R$1387))</f>
        <v>10</v>
      </c>
      <c r="U725">
        <f t="shared" si="79"/>
        <v>19</v>
      </c>
      <c r="V725">
        <f t="shared" si="80"/>
        <v>0.42105263157894735</v>
      </c>
      <c r="W725" cm="1">
        <f t="array" ref="W725">_xlfn.IFS(N725=1,5,N725=2,4,N725=4,2,N725=5,1,N725=3,3)</f>
        <v>5</v>
      </c>
      <c r="X725">
        <f t="shared" si="81"/>
        <v>22</v>
      </c>
      <c r="Y725" cm="1">
        <f t="array" ref="Y725">MAX(IF($C$2:$C$1387=C725,$X$2:$X$1387))</f>
        <v>32</v>
      </c>
      <c r="Z725" cm="1">
        <f t="array" ref="Z725">MIN(IF($C$2:$C$1387=C725,$X$2:$X$1387))</f>
        <v>10</v>
      </c>
      <c r="AA725">
        <f t="shared" si="82"/>
        <v>22</v>
      </c>
      <c r="AB725">
        <f t="shared" si="83"/>
        <v>0.54545454545454541</v>
      </c>
    </row>
    <row r="726" spans="1:28" x14ac:dyDescent="0.25">
      <c r="A726" t="s">
        <v>268</v>
      </c>
      <c r="B726" t="s">
        <v>269</v>
      </c>
      <c r="C726">
        <v>2014</v>
      </c>
      <c r="D726">
        <v>3.4194705617143163E-6</v>
      </c>
      <c r="E726">
        <v>0.67641641752661652</v>
      </c>
      <c r="F726">
        <v>0.32272844218413932</v>
      </c>
      <c r="G726">
        <v>1.9459101490553132</v>
      </c>
      <c r="H726">
        <v>0.7142857142857143</v>
      </c>
      <c r="I726">
        <v>1</v>
      </c>
      <c r="J726">
        <v>0</v>
      </c>
      <c r="K726">
        <v>1</v>
      </c>
      <c r="L726">
        <v>3</v>
      </c>
      <c r="M726">
        <v>5</v>
      </c>
      <c r="N726">
        <v>1</v>
      </c>
      <c r="O726">
        <v>4</v>
      </c>
      <c r="P726">
        <v>3</v>
      </c>
      <c r="Q726">
        <f t="shared" si="77"/>
        <v>5</v>
      </c>
      <c r="R726">
        <f t="shared" si="78"/>
        <v>22</v>
      </c>
      <c r="S726">
        <f t="array" ref="S726">MAX(IF($C$2:$C$1387=C726,$R$2:$R$1387))</f>
        <v>29</v>
      </c>
      <c r="T726" cm="1">
        <f t="array" ref="T726">MIN(IF($C$2:$C$1387=C726,$R$2:$R$1387))</f>
        <v>11</v>
      </c>
      <c r="U726">
        <f t="shared" si="79"/>
        <v>18</v>
      </c>
      <c r="V726">
        <f t="shared" si="80"/>
        <v>0.61111111111111116</v>
      </c>
      <c r="W726" cm="1">
        <f t="array" ref="W726">_xlfn.IFS(N726=1,5,N726=2,4,N726=4,2,N726=5,1,N726=3,3)</f>
        <v>5</v>
      </c>
      <c r="X726">
        <f t="shared" si="81"/>
        <v>26</v>
      </c>
      <c r="Y726" cm="1">
        <f t="array" ref="Y726">MAX(IF($C$2:$C$1387=C726,$X$2:$X$1387))</f>
        <v>30</v>
      </c>
      <c r="Z726" cm="1">
        <f t="array" ref="Z726">MIN(IF($C$2:$C$1387=C726,$X$2:$X$1387))</f>
        <v>14</v>
      </c>
      <c r="AA726">
        <f t="shared" si="82"/>
        <v>16</v>
      </c>
      <c r="AB726">
        <f t="shared" si="83"/>
        <v>0.75</v>
      </c>
    </row>
    <row r="727" spans="1:28" x14ac:dyDescent="0.25">
      <c r="A727" t="s">
        <v>268</v>
      </c>
      <c r="B727" t="s">
        <v>269</v>
      </c>
      <c r="C727">
        <v>2015</v>
      </c>
      <c r="D727">
        <v>3.4183345249828494E-6</v>
      </c>
      <c r="E727">
        <v>0.67767741829854444</v>
      </c>
      <c r="F727">
        <v>0.33166087747649814</v>
      </c>
      <c r="G727">
        <v>1.9459101490553132</v>
      </c>
      <c r="H727">
        <v>0.7142857142857143</v>
      </c>
      <c r="I727">
        <v>1</v>
      </c>
      <c r="J727">
        <v>0</v>
      </c>
      <c r="K727">
        <v>1</v>
      </c>
      <c r="L727">
        <v>3</v>
      </c>
      <c r="M727">
        <v>5</v>
      </c>
      <c r="N727">
        <v>1</v>
      </c>
      <c r="O727">
        <v>3</v>
      </c>
      <c r="P727">
        <v>2</v>
      </c>
      <c r="Q727">
        <f t="shared" si="77"/>
        <v>5</v>
      </c>
      <c r="R727">
        <f t="shared" si="78"/>
        <v>20</v>
      </c>
      <c r="S727">
        <f t="array" ref="S727">MAX(IF($C$2:$C$1387=C727,$R$2:$R$1387))</f>
        <v>29</v>
      </c>
      <c r="T727" cm="1">
        <f t="array" ref="T727">MIN(IF($C$2:$C$1387=C727,$R$2:$R$1387))</f>
        <v>11</v>
      </c>
      <c r="U727">
        <f t="shared" si="79"/>
        <v>18</v>
      </c>
      <c r="V727">
        <f t="shared" si="80"/>
        <v>0.5</v>
      </c>
      <c r="W727" cm="1">
        <f t="array" ref="W727">_xlfn.IFS(N727=1,5,N727=2,4,N727=4,2,N727=5,1,N727=3,3)</f>
        <v>5</v>
      </c>
      <c r="X727">
        <f t="shared" si="81"/>
        <v>24</v>
      </c>
      <c r="Y727" cm="1">
        <f t="array" ref="Y727">MAX(IF($C$2:$C$1387=C727,$X$2:$X$1387))</f>
        <v>29</v>
      </c>
      <c r="Z727" cm="1">
        <f t="array" ref="Z727">MIN(IF($C$2:$C$1387=C727,$X$2:$X$1387))</f>
        <v>12</v>
      </c>
      <c r="AA727">
        <f t="shared" si="82"/>
        <v>17</v>
      </c>
      <c r="AB727">
        <f t="shared" si="83"/>
        <v>0.70588235294117652</v>
      </c>
    </row>
    <row r="728" spans="1:28" x14ac:dyDescent="0.25">
      <c r="A728" t="s">
        <v>270</v>
      </c>
      <c r="B728" t="s">
        <v>271</v>
      </c>
      <c r="C728">
        <v>2010</v>
      </c>
      <c r="D728">
        <v>0</v>
      </c>
      <c r="E728">
        <v>0.83629823084932264</v>
      </c>
      <c r="F728">
        <v>0</v>
      </c>
      <c r="G728">
        <v>1.9459101490553132</v>
      </c>
      <c r="H728">
        <v>0</v>
      </c>
      <c r="I728">
        <v>0.66666666666666663</v>
      </c>
      <c r="J728">
        <v>0</v>
      </c>
      <c r="K728">
        <v>1</v>
      </c>
      <c r="L728">
        <v>5</v>
      </c>
      <c r="M728">
        <v>1</v>
      </c>
      <c r="N728">
        <v>1</v>
      </c>
      <c r="O728">
        <v>1</v>
      </c>
      <c r="P728">
        <v>1</v>
      </c>
      <c r="Q728">
        <f t="shared" si="77"/>
        <v>5</v>
      </c>
      <c r="R728">
        <f t="shared" si="78"/>
        <v>15</v>
      </c>
      <c r="S728">
        <f t="array" ref="S728">MAX(IF($C$2:$C$1387=C728,$R$2:$R$1387))</f>
        <v>29</v>
      </c>
      <c r="T728" cm="1">
        <f t="array" ref="T728">MIN(IF($C$2:$C$1387=C728,$R$2:$R$1387))</f>
        <v>9</v>
      </c>
      <c r="U728">
        <f t="shared" si="79"/>
        <v>20</v>
      </c>
      <c r="V728">
        <f t="shared" si="80"/>
        <v>0.3</v>
      </c>
      <c r="W728" cm="1">
        <f t="array" ref="W728">_xlfn.IFS(N728=1,5,N728=2,4,N728=4,2,N728=5,1,N728=3,3)</f>
        <v>5</v>
      </c>
      <c r="X728">
        <f t="shared" si="81"/>
        <v>19</v>
      </c>
      <c r="Y728" cm="1">
        <f t="array" ref="Y728">MAX(IF($C$2:$C$1387=C728,$X$2:$X$1387))</f>
        <v>29</v>
      </c>
      <c r="Z728" cm="1">
        <f t="array" ref="Z728">MIN(IF($C$2:$C$1387=C728,$X$2:$X$1387))</f>
        <v>12</v>
      </c>
      <c r="AA728">
        <f t="shared" si="82"/>
        <v>17</v>
      </c>
      <c r="AB728">
        <f t="shared" si="83"/>
        <v>0.41176470588235292</v>
      </c>
    </row>
    <row r="729" spans="1:28" x14ac:dyDescent="0.25">
      <c r="A729" t="s">
        <v>270</v>
      </c>
      <c r="B729" t="s">
        <v>271</v>
      </c>
      <c r="C729">
        <v>2011</v>
      </c>
      <c r="D729">
        <v>0.67589813671017207</v>
      </c>
      <c r="E729">
        <v>0.83629823084932264</v>
      </c>
      <c r="F729">
        <v>0</v>
      </c>
      <c r="G729">
        <v>1.9459101490553132</v>
      </c>
      <c r="H729">
        <v>0.7142857142857143</v>
      </c>
      <c r="I729">
        <v>0.66666666666666663</v>
      </c>
      <c r="J729">
        <v>0</v>
      </c>
      <c r="K729">
        <v>5</v>
      </c>
      <c r="L729">
        <v>4</v>
      </c>
      <c r="M729">
        <v>1</v>
      </c>
      <c r="N729">
        <v>1</v>
      </c>
      <c r="O729">
        <v>4</v>
      </c>
      <c r="P729">
        <v>1</v>
      </c>
      <c r="Q729">
        <f t="shared" si="77"/>
        <v>5</v>
      </c>
      <c r="R729">
        <f t="shared" si="78"/>
        <v>21</v>
      </c>
      <c r="S729">
        <f t="array" ref="S729">MAX(IF($C$2:$C$1387=C729,$R$2:$R$1387))</f>
        <v>28</v>
      </c>
      <c r="T729" cm="1">
        <f t="array" ref="T729">MIN(IF($C$2:$C$1387=C729,$R$2:$R$1387))</f>
        <v>10</v>
      </c>
      <c r="U729">
        <f t="shared" si="79"/>
        <v>18</v>
      </c>
      <c r="V729">
        <f t="shared" si="80"/>
        <v>0.61111111111111116</v>
      </c>
      <c r="W729" cm="1">
        <f t="array" ref="W729">_xlfn.IFS(N729=1,5,N729=2,4,N729=4,2,N729=5,1,N729=3,3)</f>
        <v>5</v>
      </c>
      <c r="X729">
        <f t="shared" si="81"/>
        <v>25</v>
      </c>
      <c r="Y729" cm="1">
        <f t="array" ref="Y729">MAX(IF($C$2:$C$1387=C729,$X$2:$X$1387))</f>
        <v>29</v>
      </c>
      <c r="Z729" cm="1">
        <f t="array" ref="Z729">MIN(IF($C$2:$C$1387=C729,$X$2:$X$1387))</f>
        <v>12</v>
      </c>
      <c r="AA729">
        <f t="shared" si="82"/>
        <v>17</v>
      </c>
      <c r="AB729">
        <f t="shared" si="83"/>
        <v>0.76470588235294112</v>
      </c>
    </row>
    <row r="730" spans="1:28" x14ac:dyDescent="0.25">
      <c r="A730" t="s">
        <v>270</v>
      </c>
      <c r="B730" t="s">
        <v>271</v>
      </c>
      <c r="C730">
        <v>2012</v>
      </c>
      <c r="D730">
        <v>0.70539539130571061</v>
      </c>
      <c r="E730">
        <v>0.83629823084932264</v>
      </c>
      <c r="F730">
        <v>0.24983785466113892</v>
      </c>
      <c r="G730">
        <v>1.9459101490553132</v>
      </c>
      <c r="H730">
        <v>0.7142857142857143</v>
      </c>
      <c r="I730">
        <v>0.66666666666666663</v>
      </c>
      <c r="J730">
        <v>1</v>
      </c>
      <c r="K730">
        <v>5</v>
      </c>
      <c r="L730">
        <v>4</v>
      </c>
      <c r="M730">
        <v>5</v>
      </c>
      <c r="N730">
        <v>1</v>
      </c>
      <c r="O730">
        <v>4</v>
      </c>
      <c r="P730">
        <v>1</v>
      </c>
      <c r="Q730">
        <f t="shared" si="77"/>
        <v>1</v>
      </c>
      <c r="R730">
        <f t="shared" si="78"/>
        <v>21</v>
      </c>
      <c r="S730">
        <f t="array" ref="S730">MAX(IF($C$2:$C$1387=C730,$R$2:$R$1387))</f>
        <v>29</v>
      </c>
      <c r="T730" cm="1">
        <f t="array" ref="T730">MIN(IF($C$2:$C$1387=C730,$R$2:$R$1387))</f>
        <v>11</v>
      </c>
      <c r="U730">
        <f t="shared" si="79"/>
        <v>18</v>
      </c>
      <c r="V730">
        <f t="shared" si="80"/>
        <v>0.55555555555555558</v>
      </c>
      <c r="W730" cm="1">
        <f t="array" ref="W730">_xlfn.IFS(N730=1,5,N730=2,4,N730=4,2,N730=5,1,N730=3,3)</f>
        <v>5</v>
      </c>
      <c r="X730">
        <f t="shared" si="81"/>
        <v>25</v>
      </c>
      <c r="Y730" cm="1">
        <f t="array" ref="Y730">MAX(IF($C$2:$C$1387=C730,$X$2:$X$1387))</f>
        <v>30</v>
      </c>
      <c r="Z730" cm="1">
        <f t="array" ref="Z730">MIN(IF($C$2:$C$1387=C730,$X$2:$X$1387))</f>
        <v>12</v>
      </c>
      <c r="AA730">
        <f t="shared" si="82"/>
        <v>18</v>
      </c>
      <c r="AB730">
        <f t="shared" si="83"/>
        <v>0.72222222222222221</v>
      </c>
    </row>
    <row r="731" spans="1:28" x14ac:dyDescent="0.25">
      <c r="A731" t="s">
        <v>270</v>
      </c>
      <c r="B731" t="s">
        <v>271</v>
      </c>
      <c r="C731">
        <v>2013</v>
      </c>
      <c r="D731">
        <v>0.70539539130571061</v>
      </c>
      <c r="E731">
        <v>0.90228361673598345</v>
      </c>
      <c r="F731">
        <v>0.23313846565831833</v>
      </c>
      <c r="G731">
        <v>1.9459101490553132</v>
      </c>
      <c r="H731">
        <v>0.7142857142857143</v>
      </c>
      <c r="I731">
        <v>1</v>
      </c>
      <c r="J731">
        <v>0</v>
      </c>
      <c r="K731">
        <v>5</v>
      </c>
      <c r="L731">
        <v>5</v>
      </c>
      <c r="M731">
        <v>5</v>
      </c>
      <c r="N731">
        <v>1</v>
      </c>
      <c r="O731">
        <v>4</v>
      </c>
      <c r="P731">
        <v>3</v>
      </c>
      <c r="Q731">
        <f t="shared" si="77"/>
        <v>5</v>
      </c>
      <c r="R731">
        <f t="shared" si="78"/>
        <v>28</v>
      </c>
      <c r="S731">
        <f t="array" ref="S731">MAX(IF($C$2:$C$1387=C731,$R$2:$R$1387))</f>
        <v>29</v>
      </c>
      <c r="T731" cm="1">
        <f t="array" ref="T731">MIN(IF($C$2:$C$1387=C731,$R$2:$R$1387))</f>
        <v>10</v>
      </c>
      <c r="U731">
        <f t="shared" si="79"/>
        <v>19</v>
      </c>
      <c r="V731">
        <f t="shared" si="80"/>
        <v>0.94736842105263153</v>
      </c>
      <c r="W731" cm="1">
        <f t="array" ref="W731">_xlfn.IFS(N731=1,5,N731=2,4,N731=4,2,N731=5,1,N731=3,3)</f>
        <v>5</v>
      </c>
      <c r="X731">
        <f t="shared" si="81"/>
        <v>32</v>
      </c>
      <c r="Y731" cm="1">
        <f t="array" ref="Y731">MAX(IF($C$2:$C$1387=C731,$X$2:$X$1387))</f>
        <v>32</v>
      </c>
      <c r="Z731" cm="1">
        <f t="array" ref="Z731">MIN(IF($C$2:$C$1387=C731,$X$2:$X$1387))</f>
        <v>10</v>
      </c>
      <c r="AA731">
        <f t="shared" si="82"/>
        <v>22</v>
      </c>
      <c r="AB731">
        <f t="shared" si="83"/>
        <v>1</v>
      </c>
    </row>
    <row r="732" spans="1:28" x14ac:dyDescent="0.25">
      <c r="A732" t="s">
        <v>270</v>
      </c>
      <c r="B732" t="s">
        <v>271</v>
      </c>
      <c r="C732">
        <v>2014</v>
      </c>
      <c r="D732">
        <v>0.70539539130571061</v>
      </c>
      <c r="E732">
        <v>0.90228361673598345</v>
      </c>
      <c r="F732">
        <v>0.2296911416544021</v>
      </c>
      <c r="G732">
        <v>1.9459101490553132</v>
      </c>
      <c r="H732">
        <v>0.5714285714285714</v>
      </c>
      <c r="I732">
        <v>0.66666666666666663</v>
      </c>
      <c r="J732">
        <v>0</v>
      </c>
      <c r="K732">
        <v>5</v>
      </c>
      <c r="L732">
        <v>5</v>
      </c>
      <c r="M732">
        <v>5</v>
      </c>
      <c r="N732">
        <v>1</v>
      </c>
      <c r="O732">
        <v>2</v>
      </c>
      <c r="P732">
        <v>1</v>
      </c>
      <c r="Q732">
        <f t="shared" si="77"/>
        <v>5</v>
      </c>
      <c r="R732">
        <f t="shared" si="78"/>
        <v>24</v>
      </c>
      <c r="S732">
        <f t="array" ref="S732">MAX(IF($C$2:$C$1387=C732,$R$2:$R$1387))</f>
        <v>29</v>
      </c>
      <c r="T732" cm="1">
        <f t="array" ref="T732">MIN(IF($C$2:$C$1387=C732,$R$2:$R$1387))</f>
        <v>11</v>
      </c>
      <c r="U732">
        <f t="shared" si="79"/>
        <v>18</v>
      </c>
      <c r="V732">
        <f t="shared" si="80"/>
        <v>0.72222222222222221</v>
      </c>
      <c r="W732" cm="1">
        <f t="array" ref="W732">_xlfn.IFS(N732=1,5,N732=2,4,N732=4,2,N732=5,1,N732=3,3)</f>
        <v>5</v>
      </c>
      <c r="X732">
        <f t="shared" si="81"/>
        <v>28</v>
      </c>
      <c r="Y732" cm="1">
        <f t="array" ref="Y732">MAX(IF($C$2:$C$1387=C732,$X$2:$X$1387))</f>
        <v>30</v>
      </c>
      <c r="Z732" cm="1">
        <f t="array" ref="Z732">MIN(IF($C$2:$C$1387=C732,$X$2:$X$1387))</f>
        <v>14</v>
      </c>
      <c r="AA732">
        <f t="shared" si="82"/>
        <v>16</v>
      </c>
      <c r="AB732">
        <f t="shared" si="83"/>
        <v>0.875</v>
      </c>
    </row>
    <row r="733" spans="1:28" x14ac:dyDescent="0.25">
      <c r="A733" t="s">
        <v>270</v>
      </c>
      <c r="B733" t="s">
        <v>271</v>
      </c>
      <c r="C733">
        <v>2015</v>
      </c>
      <c r="D733">
        <v>7.0539477269271789E-2</v>
      </c>
      <c r="E733">
        <v>0.90228361673598345</v>
      </c>
      <c r="F733">
        <v>0.2296911416544021</v>
      </c>
      <c r="G733">
        <v>1.9459101490553132</v>
      </c>
      <c r="H733">
        <v>0.7142857142857143</v>
      </c>
      <c r="I733">
        <v>0.66666666666666663</v>
      </c>
      <c r="J733">
        <v>0</v>
      </c>
      <c r="K733">
        <v>3</v>
      </c>
      <c r="L733">
        <v>5</v>
      </c>
      <c r="M733">
        <v>5</v>
      </c>
      <c r="N733">
        <v>1</v>
      </c>
      <c r="O733">
        <v>3</v>
      </c>
      <c r="P733">
        <v>1</v>
      </c>
      <c r="Q733">
        <f t="shared" si="77"/>
        <v>5</v>
      </c>
      <c r="R733">
        <f t="shared" si="78"/>
        <v>23</v>
      </c>
      <c r="S733">
        <f t="array" ref="S733">MAX(IF($C$2:$C$1387=C733,$R$2:$R$1387))</f>
        <v>29</v>
      </c>
      <c r="T733" cm="1">
        <f t="array" ref="T733">MIN(IF($C$2:$C$1387=C733,$R$2:$R$1387))</f>
        <v>11</v>
      </c>
      <c r="U733">
        <f t="shared" si="79"/>
        <v>18</v>
      </c>
      <c r="V733">
        <f t="shared" si="80"/>
        <v>0.66666666666666663</v>
      </c>
      <c r="W733" cm="1">
        <f t="array" ref="W733">_xlfn.IFS(N733=1,5,N733=2,4,N733=4,2,N733=5,1,N733=3,3)</f>
        <v>5</v>
      </c>
      <c r="X733">
        <f t="shared" si="81"/>
        <v>27</v>
      </c>
      <c r="Y733" cm="1">
        <f t="array" ref="Y733">MAX(IF($C$2:$C$1387=C733,$X$2:$X$1387))</f>
        <v>29</v>
      </c>
      <c r="Z733" cm="1">
        <f t="array" ref="Z733">MIN(IF($C$2:$C$1387=C733,$X$2:$X$1387))</f>
        <v>12</v>
      </c>
      <c r="AA733">
        <f t="shared" si="82"/>
        <v>17</v>
      </c>
      <c r="AB733">
        <f t="shared" si="83"/>
        <v>0.88235294117647056</v>
      </c>
    </row>
    <row r="734" spans="1:28" x14ac:dyDescent="0.25">
      <c r="A734" t="s">
        <v>272</v>
      </c>
      <c r="B734" t="s">
        <v>273</v>
      </c>
      <c r="C734">
        <v>2010</v>
      </c>
      <c r="D734">
        <v>1.3164647806093953E-6</v>
      </c>
      <c r="E734">
        <v>0.98851970275365719</v>
      </c>
      <c r="F734">
        <v>1.0687741093679515E-3</v>
      </c>
      <c r="G734">
        <v>2.5649493574615367</v>
      </c>
      <c r="H734">
        <v>0.30769230769230771</v>
      </c>
      <c r="I734">
        <v>0.6</v>
      </c>
      <c r="J734">
        <v>0</v>
      </c>
      <c r="K734">
        <v>1</v>
      </c>
      <c r="L734">
        <v>5</v>
      </c>
      <c r="M734">
        <v>2</v>
      </c>
      <c r="N734">
        <v>5</v>
      </c>
      <c r="O734">
        <v>1</v>
      </c>
      <c r="P734">
        <v>1</v>
      </c>
      <c r="Q734">
        <f t="shared" si="77"/>
        <v>5</v>
      </c>
      <c r="R734">
        <f t="shared" si="78"/>
        <v>20</v>
      </c>
      <c r="S734">
        <f t="array" ref="S734">MAX(IF($C$2:$C$1387=C734,$R$2:$R$1387))</f>
        <v>29</v>
      </c>
      <c r="T734" cm="1">
        <f t="array" ref="T734">MIN(IF($C$2:$C$1387=C734,$R$2:$R$1387))</f>
        <v>9</v>
      </c>
      <c r="U734">
        <f t="shared" si="79"/>
        <v>20</v>
      </c>
      <c r="V734">
        <f t="shared" si="80"/>
        <v>0.55000000000000004</v>
      </c>
      <c r="W734" cm="1">
        <f t="array" ref="W734">_xlfn.IFS(N734=1,5,N734=2,4,N734=4,2,N734=5,1,N734=3,3)</f>
        <v>1</v>
      </c>
      <c r="X734">
        <f t="shared" si="81"/>
        <v>16</v>
      </c>
      <c r="Y734" cm="1">
        <f t="array" ref="Y734">MAX(IF($C$2:$C$1387=C734,$X$2:$X$1387))</f>
        <v>29</v>
      </c>
      <c r="Z734" cm="1">
        <f t="array" ref="Z734">MIN(IF($C$2:$C$1387=C734,$X$2:$X$1387))</f>
        <v>12</v>
      </c>
      <c r="AA734">
        <f t="shared" si="82"/>
        <v>17</v>
      </c>
      <c r="AB734">
        <f t="shared" si="83"/>
        <v>0.23529411764705882</v>
      </c>
    </row>
    <row r="735" spans="1:28" x14ac:dyDescent="0.25">
      <c r="A735" t="s">
        <v>272</v>
      </c>
      <c r="B735" t="s">
        <v>273</v>
      </c>
      <c r="C735">
        <v>2011</v>
      </c>
      <c r="D735">
        <v>1.1741525027105472E-7</v>
      </c>
      <c r="E735">
        <v>0.98910578817754391</v>
      </c>
      <c r="F735">
        <v>3.392564304383781E-4</v>
      </c>
      <c r="G735">
        <v>2.5649493574615367</v>
      </c>
      <c r="H735">
        <v>0.30769230769230771</v>
      </c>
      <c r="I735">
        <v>0.6</v>
      </c>
      <c r="J735">
        <v>0</v>
      </c>
      <c r="K735">
        <v>1</v>
      </c>
      <c r="L735">
        <v>5</v>
      </c>
      <c r="M735">
        <v>1</v>
      </c>
      <c r="N735">
        <v>5</v>
      </c>
      <c r="O735">
        <v>1</v>
      </c>
      <c r="P735">
        <v>1</v>
      </c>
      <c r="Q735">
        <f t="shared" si="77"/>
        <v>5</v>
      </c>
      <c r="R735">
        <f t="shared" si="78"/>
        <v>19</v>
      </c>
      <c r="S735">
        <f t="array" ref="S735">MAX(IF($C$2:$C$1387=C735,$R$2:$R$1387))</f>
        <v>28</v>
      </c>
      <c r="T735" cm="1">
        <f t="array" ref="T735">MIN(IF($C$2:$C$1387=C735,$R$2:$R$1387))</f>
        <v>10</v>
      </c>
      <c r="U735">
        <f t="shared" si="79"/>
        <v>18</v>
      </c>
      <c r="V735">
        <f t="shared" si="80"/>
        <v>0.5</v>
      </c>
      <c r="W735" cm="1">
        <f t="array" ref="W735">_xlfn.IFS(N735=1,5,N735=2,4,N735=4,2,N735=5,1,N735=3,3)</f>
        <v>1</v>
      </c>
      <c r="X735">
        <f t="shared" si="81"/>
        <v>15</v>
      </c>
      <c r="Y735" cm="1">
        <f t="array" ref="Y735">MAX(IF($C$2:$C$1387=C735,$X$2:$X$1387))</f>
        <v>29</v>
      </c>
      <c r="Z735" cm="1">
        <f t="array" ref="Z735">MIN(IF($C$2:$C$1387=C735,$X$2:$X$1387))</f>
        <v>12</v>
      </c>
      <c r="AA735">
        <f t="shared" si="82"/>
        <v>17</v>
      </c>
      <c r="AB735">
        <f t="shared" si="83"/>
        <v>0.17647058823529413</v>
      </c>
    </row>
    <row r="736" spans="1:28" x14ac:dyDescent="0.25">
      <c r="A736" t="s">
        <v>272</v>
      </c>
      <c r="B736" t="s">
        <v>273</v>
      </c>
      <c r="C736">
        <v>2012</v>
      </c>
      <c r="D736">
        <v>1.1741525027105472E-7</v>
      </c>
      <c r="E736">
        <v>0.98910578817754391</v>
      </c>
      <c r="F736">
        <v>3.392564304383781E-4</v>
      </c>
      <c r="G736">
        <v>2.4849066497880004</v>
      </c>
      <c r="H736">
        <v>0.66666666666666663</v>
      </c>
      <c r="I736">
        <v>1</v>
      </c>
      <c r="J736">
        <v>0</v>
      </c>
      <c r="K736">
        <v>1</v>
      </c>
      <c r="L736">
        <v>5</v>
      </c>
      <c r="M736">
        <v>1</v>
      </c>
      <c r="N736">
        <v>5</v>
      </c>
      <c r="O736">
        <v>3</v>
      </c>
      <c r="P736">
        <v>3</v>
      </c>
      <c r="Q736">
        <f t="shared" si="77"/>
        <v>5</v>
      </c>
      <c r="R736">
        <f t="shared" si="78"/>
        <v>23</v>
      </c>
      <c r="S736">
        <f t="array" ref="S736">MAX(IF($C$2:$C$1387=C736,$R$2:$R$1387))</f>
        <v>29</v>
      </c>
      <c r="T736" cm="1">
        <f t="array" ref="T736">MIN(IF($C$2:$C$1387=C736,$R$2:$R$1387))</f>
        <v>11</v>
      </c>
      <c r="U736">
        <f t="shared" si="79"/>
        <v>18</v>
      </c>
      <c r="V736">
        <f t="shared" si="80"/>
        <v>0.66666666666666663</v>
      </c>
      <c r="W736" cm="1">
        <f t="array" ref="W736">_xlfn.IFS(N736=1,5,N736=2,4,N736=4,2,N736=5,1,N736=3,3)</f>
        <v>1</v>
      </c>
      <c r="X736">
        <f t="shared" si="81"/>
        <v>19</v>
      </c>
      <c r="Y736" cm="1">
        <f t="array" ref="Y736">MAX(IF($C$2:$C$1387=C736,$X$2:$X$1387))</f>
        <v>30</v>
      </c>
      <c r="Z736" cm="1">
        <f t="array" ref="Z736">MIN(IF($C$2:$C$1387=C736,$X$2:$X$1387))</f>
        <v>12</v>
      </c>
      <c r="AA736">
        <f t="shared" si="82"/>
        <v>18</v>
      </c>
      <c r="AB736">
        <f t="shared" si="83"/>
        <v>0.3888888888888889</v>
      </c>
    </row>
    <row r="737" spans="1:28" x14ac:dyDescent="0.25">
      <c r="A737" t="s">
        <v>272</v>
      </c>
      <c r="B737" t="s">
        <v>273</v>
      </c>
      <c r="C737">
        <v>2013</v>
      </c>
      <c r="D737">
        <v>4.4887885621224783E-6</v>
      </c>
      <c r="E737">
        <v>0.98878878014893734</v>
      </c>
      <c r="F737">
        <v>6.8717851710264183E-4</v>
      </c>
      <c r="G737">
        <v>2.4849066497880004</v>
      </c>
      <c r="H737">
        <v>0.66666666666666663</v>
      </c>
      <c r="I737">
        <v>0.4</v>
      </c>
      <c r="J737">
        <v>0</v>
      </c>
      <c r="K737">
        <v>1</v>
      </c>
      <c r="L737">
        <v>5</v>
      </c>
      <c r="M737">
        <v>1</v>
      </c>
      <c r="N737">
        <v>5</v>
      </c>
      <c r="O737">
        <v>4</v>
      </c>
      <c r="P737">
        <v>1</v>
      </c>
      <c r="Q737">
        <f t="shared" si="77"/>
        <v>5</v>
      </c>
      <c r="R737">
        <f t="shared" si="78"/>
        <v>22</v>
      </c>
      <c r="S737">
        <f t="array" ref="S737">MAX(IF($C$2:$C$1387=C737,$R$2:$R$1387))</f>
        <v>29</v>
      </c>
      <c r="T737" cm="1">
        <f t="array" ref="T737">MIN(IF($C$2:$C$1387=C737,$R$2:$R$1387))</f>
        <v>10</v>
      </c>
      <c r="U737">
        <f t="shared" si="79"/>
        <v>19</v>
      </c>
      <c r="V737">
        <f t="shared" si="80"/>
        <v>0.63157894736842102</v>
      </c>
      <c r="W737" cm="1">
        <f t="array" ref="W737">_xlfn.IFS(N737=1,5,N737=2,4,N737=4,2,N737=5,1,N737=3,3)</f>
        <v>1</v>
      </c>
      <c r="X737">
        <f t="shared" si="81"/>
        <v>18</v>
      </c>
      <c r="Y737" cm="1">
        <f t="array" ref="Y737">MAX(IF($C$2:$C$1387=C737,$X$2:$X$1387))</f>
        <v>32</v>
      </c>
      <c r="Z737" cm="1">
        <f t="array" ref="Z737">MIN(IF($C$2:$C$1387=C737,$X$2:$X$1387))</f>
        <v>10</v>
      </c>
      <c r="AA737">
        <f t="shared" si="82"/>
        <v>22</v>
      </c>
      <c r="AB737">
        <f t="shared" si="83"/>
        <v>0.36363636363636365</v>
      </c>
    </row>
    <row r="738" spans="1:28" x14ac:dyDescent="0.25">
      <c r="A738" t="s">
        <v>272</v>
      </c>
      <c r="B738" t="s">
        <v>273</v>
      </c>
      <c r="C738">
        <v>2014</v>
      </c>
      <c r="D738">
        <v>5.5259433861162785E-6</v>
      </c>
      <c r="E738">
        <v>0.97584604764832983</v>
      </c>
      <c r="F738">
        <v>4.2956944623767325E-3</v>
      </c>
      <c r="G738">
        <v>2.5649493574615367</v>
      </c>
      <c r="H738">
        <v>0.76923076923076927</v>
      </c>
      <c r="I738">
        <v>1</v>
      </c>
      <c r="J738">
        <v>0</v>
      </c>
      <c r="K738">
        <v>1</v>
      </c>
      <c r="L738">
        <v>5</v>
      </c>
      <c r="M738">
        <v>1</v>
      </c>
      <c r="N738">
        <v>5</v>
      </c>
      <c r="O738">
        <v>5</v>
      </c>
      <c r="P738">
        <v>3</v>
      </c>
      <c r="Q738">
        <f t="shared" si="77"/>
        <v>5</v>
      </c>
      <c r="R738">
        <f t="shared" si="78"/>
        <v>25</v>
      </c>
      <c r="S738">
        <f t="array" ref="S738">MAX(IF($C$2:$C$1387=C738,$R$2:$R$1387))</f>
        <v>29</v>
      </c>
      <c r="T738" cm="1">
        <f t="array" ref="T738">MIN(IF($C$2:$C$1387=C738,$R$2:$R$1387))</f>
        <v>11</v>
      </c>
      <c r="U738">
        <f t="shared" si="79"/>
        <v>18</v>
      </c>
      <c r="V738">
        <f t="shared" si="80"/>
        <v>0.77777777777777779</v>
      </c>
      <c r="W738" cm="1">
        <f t="array" ref="W738">_xlfn.IFS(N738=1,5,N738=2,4,N738=4,2,N738=5,1,N738=3,3)</f>
        <v>1</v>
      </c>
      <c r="X738">
        <f t="shared" si="81"/>
        <v>21</v>
      </c>
      <c r="Y738" cm="1">
        <f t="array" ref="Y738">MAX(IF($C$2:$C$1387=C738,$X$2:$X$1387))</f>
        <v>30</v>
      </c>
      <c r="Z738" cm="1">
        <f t="array" ref="Z738">MIN(IF($C$2:$C$1387=C738,$X$2:$X$1387))</f>
        <v>14</v>
      </c>
      <c r="AA738">
        <f t="shared" si="82"/>
        <v>16</v>
      </c>
      <c r="AB738">
        <f t="shared" si="83"/>
        <v>0.4375</v>
      </c>
    </row>
    <row r="739" spans="1:28" x14ac:dyDescent="0.25">
      <c r="A739" t="s">
        <v>272</v>
      </c>
      <c r="B739" t="s">
        <v>273</v>
      </c>
      <c r="C739">
        <v>2015</v>
      </c>
      <c r="D739">
        <v>3.3894380389970872E-6</v>
      </c>
      <c r="E739">
        <v>0.9477947419619166</v>
      </c>
      <c r="F739">
        <v>1.2144485951429442E-2</v>
      </c>
      <c r="G739">
        <v>2.5649493574615367</v>
      </c>
      <c r="H739">
        <v>0.92307692307692313</v>
      </c>
      <c r="I739">
        <v>1</v>
      </c>
      <c r="J739">
        <v>0</v>
      </c>
      <c r="K739">
        <v>1</v>
      </c>
      <c r="L739">
        <v>5</v>
      </c>
      <c r="M739">
        <v>2</v>
      </c>
      <c r="N739">
        <v>5</v>
      </c>
      <c r="O739">
        <v>5</v>
      </c>
      <c r="P739">
        <v>2</v>
      </c>
      <c r="Q739">
        <f t="shared" si="77"/>
        <v>5</v>
      </c>
      <c r="R739">
        <f t="shared" si="78"/>
        <v>25</v>
      </c>
      <c r="S739">
        <f t="array" ref="S739">MAX(IF($C$2:$C$1387=C739,$R$2:$R$1387))</f>
        <v>29</v>
      </c>
      <c r="T739" cm="1">
        <f t="array" ref="T739">MIN(IF($C$2:$C$1387=C739,$R$2:$R$1387))</f>
        <v>11</v>
      </c>
      <c r="U739">
        <f t="shared" si="79"/>
        <v>18</v>
      </c>
      <c r="V739">
        <f t="shared" si="80"/>
        <v>0.77777777777777779</v>
      </c>
      <c r="W739" cm="1">
        <f t="array" ref="W739">_xlfn.IFS(N739=1,5,N739=2,4,N739=4,2,N739=5,1,N739=3,3)</f>
        <v>1</v>
      </c>
      <c r="X739">
        <f t="shared" si="81"/>
        <v>21</v>
      </c>
      <c r="Y739" cm="1">
        <f t="array" ref="Y739">MAX(IF($C$2:$C$1387=C739,$X$2:$X$1387))</f>
        <v>29</v>
      </c>
      <c r="Z739" cm="1">
        <f t="array" ref="Z739">MIN(IF($C$2:$C$1387=C739,$X$2:$X$1387))</f>
        <v>12</v>
      </c>
      <c r="AA739">
        <f t="shared" si="82"/>
        <v>17</v>
      </c>
      <c r="AB739">
        <f t="shared" si="83"/>
        <v>0.52941176470588236</v>
      </c>
    </row>
    <row r="740" spans="1:28" x14ac:dyDescent="0.25">
      <c r="A740" t="s">
        <v>274</v>
      </c>
      <c r="B740" t="s">
        <v>275</v>
      </c>
      <c r="C740">
        <v>2010</v>
      </c>
      <c r="D740">
        <v>0.61466801356586687</v>
      </c>
      <c r="E740">
        <v>0.73786073507752581</v>
      </c>
      <c r="F740">
        <v>0.13333484970471318</v>
      </c>
      <c r="G740">
        <v>1.9459101490553132</v>
      </c>
      <c r="H740">
        <v>0.2857142857142857</v>
      </c>
      <c r="I740">
        <v>0.33333333333333331</v>
      </c>
      <c r="J740">
        <v>1</v>
      </c>
      <c r="K740">
        <v>5</v>
      </c>
      <c r="L740">
        <v>4</v>
      </c>
      <c r="M740">
        <v>4</v>
      </c>
      <c r="N740">
        <v>1</v>
      </c>
      <c r="O740">
        <v>1</v>
      </c>
      <c r="P740">
        <v>1</v>
      </c>
      <c r="Q740">
        <f t="shared" si="77"/>
        <v>1</v>
      </c>
      <c r="R740">
        <f t="shared" si="78"/>
        <v>17</v>
      </c>
      <c r="S740">
        <f t="array" ref="S740">MAX(IF($C$2:$C$1387=C740,$R$2:$R$1387))</f>
        <v>29</v>
      </c>
      <c r="T740" cm="1">
        <f t="array" ref="T740">MIN(IF($C$2:$C$1387=C740,$R$2:$R$1387))</f>
        <v>9</v>
      </c>
      <c r="U740">
        <f t="shared" si="79"/>
        <v>20</v>
      </c>
      <c r="V740">
        <f t="shared" si="80"/>
        <v>0.4</v>
      </c>
      <c r="W740" cm="1">
        <f t="array" ref="W740">_xlfn.IFS(N740=1,5,N740=2,4,N740=4,2,N740=5,1,N740=3,3)</f>
        <v>5</v>
      </c>
      <c r="X740">
        <f t="shared" si="81"/>
        <v>21</v>
      </c>
      <c r="Y740" cm="1">
        <f t="array" ref="Y740">MAX(IF($C$2:$C$1387=C740,$X$2:$X$1387))</f>
        <v>29</v>
      </c>
      <c r="Z740" cm="1">
        <f t="array" ref="Z740">MIN(IF($C$2:$C$1387=C740,$X$2:$X$1387))</f>
        <v>12</v>
      </c>
      <c r="AA740">
        <f t="shared" si="82"/>
        <v>17</v>
      </c>
      <c r="AB740">
        <f t="shared" si="83"/>
        <v>0.52941176470588236</v>
      </c>
    </row>
    <row r="741" spans="1:28" x14ac:dyDescent="0.25">
      <c r="A741" t="s">
        <v>274</v>
      </c>
      <c r="B741" t="s">
        <v>275</v>
      </c>
      <c r="C741">
        <v>2011</v>
      </c>
      <c r="D741">
        <v>0.59744973440028526</v>
      </c>
      <c r="E741">
        <v>0.73786073507752581</v>
      </c>
      <c r="F741">
        <v>0.13243643894638038</v>
      </c>
      <c r="G741">
        <v>1.9459101490553132</v>
      </c>
      <c r="H741">
        <v>0.2857142857142857</v>
      </c>
      <c r="I741">
        <v>0.33333333333333331</v>
      </c>
      <c r="J741">
        <v>1</v>
      </c>
      <c r="K741">
        <v>5</v>
      </c>
      <c r="L741">
        <v>4</v>
      </c>
      <c r="M741">
        <v>4</v>
      </c>
      <c r="N741">
        <v>1</v>
      </c>
      <c r="O741">
        <v>1</v>
      </c>
      <c r="P741">
        <v>1</v>
      </c>
      <c r="Q741">
        <f t="shared" si="77"/>
        <v>1</v>
      </c>
      <c r="R741">
        <f t="shared" si="78"/>
        <v>17</v>
      </c>
      <c r="S741">
        <f t="array" ref="S741">MAX(IF($C$2:$C$1387=C741,$R$2:$R$1387))</f>
        <v>28</v>
      </c>
      <c r="T741" cm="1">
        <f t="array" ref="T741">MIN(IF($C$2:$C$1387=C741,$R$2:$R$1387))</f>
        <v>10</v>
      </c>
      <c r="U741">
        <f t="shared" si="79"/>
        <v>18</v>
      </c>
      <c r="V741">
        <f t="shared" si="80"/>
        <v>0.3888888888888889</v>
      </c>
      <c r="W741" cm="1">
        <f t="array" ref="W741">_xlfn.IFS(N741=1,5,N741=2,4,N741=4,2,N741=5,1,N741=3,3)</f>
        <v>5</v>
      </c>
      <c r="X741">
        <f t="shared" si="81"/>
        <v>21</v>
      </c>
      <c r="Y741" cm="1">
        <f t="array" ref="Y741">MAX(IF($C$2:$C$1387=C741,$X$2:$X$1387))</f>
        <v>29</v>
      </c>
      <c r="Z741" cm="1">
        <f t="array" ref="Z741">MIN(IF($C$2:$C$1387=C741,$X$2:$X$1387))</f>
        <v>12</v>
      </c>
      <c r="AA741">
        <f t="shared" si="82"/>
        <v>17</v>
      </c>
      <c r="AB741">
        <f t="shared" si="83"/>
        <v>0.52941176470588236</v>
      </c>
    </row>
    <row r="742" spans="1:28" x14ac:dyDescent="0.25">
      <c r="A742" t="s">
        <v>274</v>
      </c>
      <c r="B742" t="s">
        <v>275</v>
      </c>
      <c r="C742">
        <v>2012</v>
      </c>
      <c r="D742">
        <v>0.67527303671105643</v>
      </c>
      <c r="E742">
        <v>0.81520180379053953</v>
      </c>
      <c r="F742">
        <v>3.1216370855412789E-2</v>
      </c>
      <c r="G742">
        <v>1.9459101490553132</v>
      </c>
      <c r="H742">
        <v>0.5714285714285714</v>
      </c>
      <c r="I742">
        <v>0.33333333333333331</v>
      </c>
      <c r="J742">
        <v>0</v>
      </c>
      <c r="K742">
        <v>5</v>
      </c>
      <c r="L742">
        <v>4</v>
      </c>
      <c r="M742">
        <v>3</v>
      </c>
      <c r="N742">
        <v>1</v>
      </c>
      <c r="O742">
        <v>2</v>
      </c>
      <c r="P742">
        <v>1</v>
      </c>
      <c r="Q742">
        <f t="shared" si="77"/>
        <v>5</v>
      </c>
      <c r="R742">
        <f t="shared" si="78"/>
        <v>21</v>
      </c>
      <c r="S742">
        <f t="array" ref="S742">MAX(IF($C$2:$C$1387=C742,$R$2:$R$1387))</f>
        <v>29</v>
      </c>
      <c r="T742" cm="1">
        <f t="array" ref="T742">MIN(IF($C$2:$C$1387=C742,$R$2:$R$1387))</f>
        <v>11</v>
      </c>
      <c r="U742">
        <f t="shared" si="79"/>
        <v>18</v>
      </c>
      <c r="V742">
        <f t="shared" si="80"/>
        <v>0.55555555555555558</v>
      </c>
      <c r="W742" cm="1">
        <f t="array" ref="W742">_xlfn.IFS(N742=1,5,N742=2,4,N742=4,2,N742=5,1,N742=3,3)</f>
        <v>5</v>
      </c>
      <c r="X742">
        <f t="shared" si="81"/>
        <v>25</v>
      </c>
      <c r="Y742" cm="1">
        <f t="array" ref="Y742">MAX(IF($C$2:$C$1387=C742,$X$2:$X$1387))</f>
        <v>30</v>
      </c>
      <c r="Z742" cm="1">
        <f t="array" ref="Z742">MIN(IF($C$2:$C$1387=C742,$X$2:$X$1387))</f>
        <v>12</v>
      </c>
      <c r="AA742">
        <f t="shared" si="82"/>
        <v>18</v>
      </c>
      <c r="AB742">
        <f t="shared" si="83"/>
        <v>0.72222222222222221</v>
      </c>
    </row>
    <row r="743" spans="1:28" x14ac:dyDescent="0.25">
      <c r="A743" t="s">
        <v>274</v>
      </c>
      <c r="B743" t="s">
        <v>275</v>
      </c>
      <c r="C743">
        <v>2013</v>
      </c>
      <c r="D743">
        <v>0.67527303671105643</v>
      </c>
      <c r="E743">
        <v>0.81520180379053953</v>
      </c>
      <c r="F743">
        <v>3.1216370855412789E-2</v>
      </c>
      <c r="G743">
        <v>1.9459101490553132</v>
      </c>
      <c r="H743">
        <v>0.5714285714285714</v>
      </c>
      <c r="I743">
        <v>0.75</v>
      </c>
      <c r="J743">
        <v>0</v>
      </c>
      <c r="K743">
        <v>5</v>
      </c>
      <c r="L743">
        <v>4</v>
      </c>
      <c r="M743">
        <v>3</v>
      </c>
      <c r="N743">
        <v>1</v>
      </c>
      <c r="O743">
        <v>2</v>
      </c>
      <c r="P743">
        <v>3</v>
      </c>
      <c r="Q743">
        <f t="shared" si="77"/>
        <v>5</v>
      </c>
      <c r="R743">
        <f t="shared" si="78"/>
        <v>23</v>
      </c>
      <c r="S743">
        <f t="array" ref="S743">MAX(IF($C$2:$C$1387=C743,$R$2:$R$1387))</f>
        <v>29</v>
      </c>
      <c r="T743" cm="1">
        <f t="array" ref="T743">MIN(IF($C$2:$C$1387=C743,$R$2:$R$1387))</f>
        <v>10</v>
      </c>
      <c r="U743">
        <f t="shared" si="79"/>
        <v>19</v>
      </c>
      <c r="V743">
        <f t="shared" si="80"/>
        <v>0.68421052631578949</v>
      </c>
      <c r="W743" cm="1">
        <f t="array" ref="W743">_xlfn.IFS(N743=1,5,N743=2,4,N743=4,2,N743=5,1,N743=3,3)</f>
        <v>5</v>
      </c>
      <c r="X743">
        <f t="shared" si="81"/>
        <v>27</v>
      </c>
      <c r="Y743" cm="1">
        <f t="array" ref="Y743">MAX(IF($C$2:$C$1387=C743,$X$2:$X$1387))</f>
        <v>32</v>
      </c>
      <c r="Z743" cm="1">
        <f t="array" ref="Z743">MIN(IF($C$2:$C$1387=C743,$X$2:$X$1387))</f>
        <v>10</v>
      </c>
      <c r="AA743">
        <f t="shared" si="82"/>
        <v>22</v>
      </c>
      <c r="AB743">
        <f t="shared" si="83"/>
        <v>0.77272727272727271</v>
      </c>
    </row>
    <row r="744" spans="1:28" x14ac:dyDescent="0.25">
      <c r="A744" t="s">
        <v>274</v>
      </c>
      <c r="B744" t="s">
        <v>275</v>
      </c>
      <c r="C744">
        <v>2014</v>
      </c>
      <c r="D744">
        <v>0.67539088940897285</v>
      </c>
      <c r="E744">
        <v>0.81382685564818191</v>
      </c>
      <c r="F744">
        <v>1.8841837574193922E-2</v>
      </c>
      <c r="G744">
        <v>1.9459101490553132</v>
      </c>
      <c r="H744">
        <v>0.5714285714285714</v>
      </c>
      <c r="I744">
        <v>0.75</v>
      </c>
      <c r="J744">
        <v>0</v>
      </c>
      <c r="K744">
        <v>5</v>
      </c>
      <c r="L744">
        <v>4</v>
      </c>
      <c r="M744">
        <v>2</v>
      </c>
      <c r="N744">
        <v>1</v>
      </c>
      <c r="O744">
        <v>2</v>
      </c>
      <c r="P744">
        <v>2</v>
      </c>
      <c r="Q744">
        <f t="shared" si="77"/>
        <v>5</v>
      </c>
      <c r="R744">
        <f t="shared" si="78"/>
        <v>21</v>
      </c>
      <c r="S744">
        <f t="array" ref="S744">MAX(IF($C$2:$C$1387=C744,$R$2:$R$1387))</f>
        <v>29</v>
      </c>
      <c r="T744" cm="1">
        <f t="array" ref="T744">MIN(IF($C$2:$C$1387=C744,$R$2:$R$1387))</f>
        <v>11</v>
      </c>
      <c r="U744">
        <f t="shared" si="79"/>
        <v>18</v>
      </c>
      <c r="V744">
        <f t="shared" si="80"/>
        <v>0.55555555555555558</v>
      </c>
      <c r="W744" cm="1">
        <f t="array" ref="W744">_xlfn.IFS(N744=1,5,N744=2,4,N744=4,2,N744=5,1,N744=3,3)</f>
        <v>5</v>
      </c>
      <c r="X744">
        <f t="shared" si="81"/>
        <v>25</v>
      </c>
      <c r="Y744" cm="1">
        <f t="array" ref="Y744">MAX(IF($C$2:$C$1387=C744,$X$2:$X$1387))</f>
        <v>30</v>
      </c>
      <c r="Z744" cm="1">
        <f t="array" ref="Z744">MIN(IF($C$2:$C$1387=C744,$X$2:$X$1387))</f>
        <v>14</v>
      </c>
      <c r="AA744">
        <f t="shared" si="82"/>
        <v>16</v>
      </c>
      <c r="AB744">
        <f t="shared" si="83"/>
        <v>0.6875</v>
      </c>
    </row>
    <row r="745" spans="1:28" x14ac:dyDescent="0.25">
      <c r="A745" t="s">
        <v>274</v>
      </c>
      <c r="B745" t="s">
        <v>275</v>
      </c>
      <c r="C745">
        <v>2015</v>
      </c>
      <c r="D745">
        <v>0.68356527038915016</v>
      </c>
      <c r="E745">
        <v>0.81942811939051852</v>
      </c>
      <c r="F745">
        <v>1.272549861561382E-2</v>
      </c>
      <c r="G745">
        <v>1.9459101490553132</v>
      </c>
      <c r="H745">
        <v>0.5714285714285714</v>
      </c>
      <c r="I745">
        <v>0.75</v>
      </c>
      <c r="J745">
        <v>0</v>
      </c>
      <c r="K745">
        <v>5</v>
      </c>
      <c r="L745">
        <v>4</v>
      </c>
      <c r="M745">
        <v>2</v>
      </c>
      <c r="N745">
        <v>1</v>
      </c>
      <c r="O745">
        <v>1</v>
      </c>
      <c r="P745">
        <v>2</v>
      </c>
      <c r="Q745">
        <f t="shared" si="77"/>
        <v>5</v>
      </c>
      <c r="R745">
        <f t="shared" si="78"/>
        <v>20</v>
      </c>
      <c r="S745">
        <f t="array" ref="S745">MAX(IF($C$2:$C$1387=C745,$R$2:$R$1387))</f>
        <v>29</v>
      </c>
      <c r="T745" cm="1">
        <f t="array" ref="T745">MIN(IF($C$2:$C$1387=C745,$R$2:$R$1387))</f>
        <v>11</v>
      </c>
      <c r="U745">
        <f t="shared" si="79"/>
        <v>18</v>
      </c>
      <c r="V745">
        <f t="shared" si="80"/>
        <v>0.5</v>
      </c>
      <c r="W745" cm="1">
        <f t="array" ref="W745">_xlfn.IFS(N745=1,5,N745=2,4,N745=4,2,N745=5,1,N745=3,3)</f>
        <v>5</v>
      </c>
      <c r="X745">
        <f t="shared" si="81"/>
        <v>24</v>
      </c>
      <c r="Y745" cm="1">
        <f t="array" ref="Y745">MAX(IF($C$2:$C$1387=C745,$X$2:$X$1387))</f>
        <v>29</v>
      </c>
      <c r="Z745" cm="1">
        <f t="array" ref="Z745">MIN(IF($C$2:$C$1387=C745,$X$2:$X$1387))</f>
        <v>12</v>
      </c>
      <c r="AA745">
        <f t="shared" si="82"/>
        <v>17</v>
      </c>
      <c r="AB745">
        <f t="shared" si="83"/>
        <v>0.70588235294117652</v>
      </c>
    </row>
    <row r="746" spans="1:28" x14ac:dyDescent="0.25">
      <c r="A746" t="s">
        <v>276</v>
      </c>
      <c r="B746" t="s">
        <v>277</v>
      </c>
      <c r="C746">
        <v>2010</v>
      </c>
      <c r="D746">
        <v>0.69260101318359368</v>
      </c>
      <c r="E746">
        <v>0.59042200974157255</v>
      </c>
      <c r="F746">
        <v>4.7999999999999996E-3</v>
      </c>
      <c r="G746">
        <v>1.9459101490553132</v>
      </c>
      <c r="H746">
        <v>0.5714285714285714</v>
      </c>
      <c r="I746">
        <v>0.66666666666666663</v>
      </c>
      <c r="J746">
        <v>0</v>
      </c>
      <c r="K746">
        <v>5</v>
      </c>
      <c r="L746">
        <v>3</v>
      </c>
      <c r="M746">
        <v>2</v>
      </c>
      <c r="N746">
        <v>1</v>
      </c>
      <c r="O746">
        <v>2</v>
      </c>
      <c r="P746">
        <v>1</v>
      </c>
      <c r="Q746">
        <f t="shared" si="77"/>
        <v>5</v>
      </c>
      <c r="R746">
        <f t="shared" si="78"/>
        <v>19</v>
      </c>
      <c r="S746">
        <f t="array" ref="S746">MAX(IF($C$2:$C$1387=C746,$R$2:$R$1387))</f>
        <v>29</v>
      </c>
      <c r="T746" cm="1">
        <f t="array" ref="T746">MIN(IF($C$2:$C$1387=C746,$R$2:$R$1387))</f>
        <v>9</v>
      </c>
      <c r="U746">
        <f t="shared" si="79"/>
        <v>20</v>
      </c>
      <c r="V746">
        <f t="shared" si="80"/>
        <v>0.5</v>
      </c>
      <c r="W746" cm="1">
        <f t="array" ref="W746">_xlfn.IFS(N746=1,5,N746=2,4,N746=4,2,N746=5,1,N746=3,3)</f>
        <v>5</v>
      </c>
      <c r="X746">
        <f t="shared" si="81"/>
        <v>23</v>
      </c>
      <c r="Y746" cm="1">
        <f t="array" ref="Y746">MAX(IF($C$2:$C$1387=C746,$X$2:$X$1387))</f>
        <v>29</v>
      </c>
      <c r="Z746" cm="1">
        <f t="array" ref="Z746">MIN(IF($C$2:$C$1387=C746,$X$2:$X$1387))</f>
        <v>12</v>
      </c>
      <c r="AA746">
        <f t="shared" si="82"/>
        <v>17</v>
      </c>
      <c r="AB746">
        <f t="shared" si="83"/>
        <v>0.6470588235294118</v>
      </c>
    </row>
    <row r="747" spans="1:28" x14ac:dyDescent="0.25">
      <c r="A747" t="s">
        <v>276</v>
      </c>
      <c r="B747" t="s">
        <v>277</v>
      </c>
      <c r="C747">
        <v>2011</v>
      </c>
      <c r="D747">
        <v>0.57371249512872058</v>
      </c>
      <c r="E747">
        <v>0.609392997167437</v>
      </c>
      <c r="F747">
        <v>3.9581230231548687E-3</v>
      </c>
      <c r="G747">
        <v>1.9459101490553132</v>
      </c>
      <c r="H747">
        <v>0.5714285714285714</v>
      </c>
      <c r="I747">
        <v>0.66666666666666663</v>
      </c>
      <c r="J747">
        <v>1</v>
      </c>
      <c r="K747">
        <v>5</v>
      </c>
      <c r="L747">
        <v>3</v>
      </c>
      <c r="M747">
        <v>1</v>
      </c>
      <c r="N747">
        <v>1</v>
      </c>
      <c r="O747">
        <v>2</v>
      </c>
      <c r="P747">
        <v>1</v>
      </c>
      <c r="Q747">
        <f t="shared" si="77"/>
        <v>1</v>
      </c>
      <c r="R747">
        <f t="shared" si="78"/>
        <v>14</v>
      </c>
      <c r="S747">
        <f t="array" ref="S747">MAX(IF($C$2:$C$1387=C747,$R$2:$R$1387))</f>
        <v>28</v>
      </c>
      <c r="T747" cm="1">
        <f t="array" ref="T747">MIN(IF($C$2:$C$1387=C747,$R$2:$R$1387))</f>
        <v>10</v>
      </c>
      <c r="U747">
        <f t="shared" si="79"/>
        <v>18</v>
      </c>
      <c r="V747">
        <f t="shared" si="80"/>
        <v>0.22222222222222221</v>
      </c>
      <c r="W747" cm="1">
        <f t="array" ref="W747">_xlfn.IFS(N747=1,5,N747=2,4,N747=4,2,N747=5,1,N747=3,3)</f>
        <v>5</v>
      </c>
      <c r="X747">
        <f t="shared" si="81"/>
        <v>18</v>
      </c>
      <c r="Y747" cm="1">
        <f t="array" ref="Y747">MAX(IF($C$2:$C$1387=C747,$X$2:$X$1387))</f>
        <v>29</v>
      </c>
      <c r="Z747" cm="1">
        <f t="array" ref="Z747">MIN(IF($C$2:$C$1387=C747,$X$2:$X$1387))</f>
        <v>12</v>
      </c>
      <c r="AA747">
        <f t="shared" si="82"/>
        <v>17</v>
      </c>
      <c r="AB747">
        <f t="shared" si="83"/>
        <v>0.35294117647058826</v>
      </c>
    </row>
    <row r="748" spans="1:28" x14ac:dyDescent="0.25">
      <c r="A748" t="s">
        <v>276</v>
      </c>
      <c r="B748" t="s">
        <v>277</v>
      </c>
      <c r="C748">
        <v>2012</v>
      </c>
      <c r="D748">
        <v>0.58331157468650641</v>
      </c>
      <c r="E748">
        <v>0.67088508055247942</v>
      </c>
      <c r="F748">
        <v>1.3423229533164664E-2</v>
      </c>
      <c r="G748">
        <v>1.9459101490553132</v>
      </c>
      <c r="H748">
        <v>0.5714285714285714</v>
      </c>
      <c r="I748">
        <v>0.66666666666666663</v>
      </c>
      <c r="J748">
        <v>0</v>
      </c>
      <c r="K748">
        <v>5</v>
      </c>
      <c r="L748">
        <v>3</v>
      </c>
      <c r="M748">
        <v>2</v>
      </c>
      <c r="N748">
        <v>1</v>
      </c>
      <c r="O748">
        <v>2</v>
      </c>
      <c r="P748">
        <v>1</v>
      </c>
      <c r="Q748">
        <f t="shared" si="77"/>
        <v>5</v>
      </c>
      <c r="R748">
        <f t="shared" si="78"/>
        <v>19</v>
      </c>
      <c r="S748">
        <f t="array" ref="S748">MAX(IF($C$2:$C$1387=C748,$R$2:$R$1387))</f>
        <v>29</v>
      </c>
      <c r="T748" cm="1">
        <f t="array" ref="T748">MIN(IF($C$2:$C$1387=C748,$R$2:$R$1387))</f>
        <v>11</v>
      </c>
      <c r="U748">
        <f t="shared" si="79"/>
        <v>18</v>
      </c>
      <c r="V748">
        <f t="shared" si="80"/>
        <v>0.44444444444444442</v>
      </c>
      <c r="W748" cm="1">
        <f t="array" ref="W748">_xlfn.IFS(N748=1,5,N748=2,4,N748=4,2,N748=5,1,N748=3,3)</f>
        <v>5</v>
      </c>
      <c r="X748">
        <f t="shared" si="81"/>
        <v>23</v>
      </c>
      <c r="Y748" cm="1">
        <f t="array" ref="Y748">MAX(IF($C$2:$C$1387=C748,$X$2:$X$1387))</f>
        <v>30</v>
      </c>
      <c r="Z748" cm="1">
        <f t="array" ref="Z748">MIN(IF($C$2:$C$1387=C748,$X$2:$X$1387))</f>
        <v>12</v>
      </c>
      <c r="AA748">
        <f t="shared" si="82"/>
        <v>18</v>
      </c>
      <c r="AB748">
        <f t="shared" si="83"/>
        <v>0.61111111111111116</v>
      </c>
    </row>
    <row r="749" spans="1:28" x14ac:dyDescent="0.25">
      <c r="A749" t="s">
        <v>276</v>
      </c>
      <c r="B749" t="s">
        <v>277</v>
      </c>
      <c r="C749">
        <v>2013</v>
      </c>
      <c r="D749">
        <v>0.62510742988039014</v>
      </c>
      <c r="E749">
        <v>0.65414035238608448</v>
      </c>
      <c r="F749">
        <v>6.809803419133531E-2</v>
      </c>
      <c r="G749">
        <v>1.791759469228055</v>
      </c>
      <c r="H749">
        <v>0.66666666666666663</v>
      </c>
      <c r="I749">
        <v>1</v>
      </c>
      <c r="J749">
        <v>0</v>
      </c>
      <c r="K749">
        <v>5</v>
      </c>
      <c r="L749">
        <v>3</v>
      </c>
      <c r="M749">
        <v>3</v>
      </c>
      <c r="N749">
        <v>1</v>
      </c>
      <c r="O749">
        <v>4</v>
      </c>
      <c r="P749">
        <v>3</v>
      </c>
      <c r="Q749">
        <f t="shared" si="77"/>
        <v>5</v>
      </c>
      <c r="R749">
        <f t="shared" si="78"/>
        <v>24</v>
      </c>
      <c r="S749">
        <f t="array" ref="S749">MAX(IF($C$2:$C$1387=C749,$R$2:$R$1387))</f>
        <v>29</v>
      </c>
      <c r="T749" cm="1">
        <f t="array" ref="T749">MIN(IF($C$2:$C$1387=C749,$R$2:$R$1387))</f>
        <v>10</v>
      </c>
      <c r="U749">
        <f t="shared" si="79"/>
        <v>19</v>
      </c>
      <c r="V749">
        <f t="shared" si="80"/>
        <v>0.73684210526315785</v>
      </c>
      <c r="W749" cm="1">
        <f t="array" ref="W749">_xlfn.IFS(N749=1,5,N749=2,4,N749=4,2,N749=5,1,N749=3,3)</f>
        <v>5</v>
      </c>
      <c r="X749">
        <f t="shared" si="81"/>
        <v>28</v>
      </c>
      <c r="Y749" cm="1">
        <f t="array" ref="Y749">MAX(IF($C$2:$C$1387=C749,$X$2:$X$1387))</f>
        <v>32</v>
      </c>
      <c r="Z749" cm="1">
        <f t="array" ref="Z749">MIN(IF($C$2:$C$1387=C749,$X$2:$X$1387))</f>
        <v>10</v>
      </c>
      <c r="AA749">
        <f t="shared" si="82"/>
        <v>22</v>
      </c>
      <c r="AB749">
        <f t="shared" si="83"/>
        <v>0.81818181818181823</v>
      </c>
    </row>
    <row r="750" spans="1:28" x14ac:dyDescent="0.25">
      <c r="A750" t="s">
        <v>276</v>
      </c>
      <c r="B750" t="s">
        <v>277</v>
      </c>
      <c r="C750">
        <v>2014</v>
      </c>
      <c r="D750">
        <v>0.17278891562668741</v>
      </c>
      <c r="E750">
        <v>0.79906739873336574</v>
      </c>
      <c r="F750">
        <v>0.10321337913097316</v>
      </c>
      <c r="G750">
        <v>1.791759469228055</v>
      </c>
      <c r="H750">
        <v>0.66666666666666663</v>
      </c>
      <c r="I750">
        <v>1</v>
      </c>
      <c r="J750">
        <v>0</v>
      </c>
      <c r="K750">
        <v>3</v>
      </c>
      <c r="L750">
        <v>4</v>
      </c>
      <c r="M750">
        <v>4</v>
      </c>
      <c r="N750">
        <v>1</v>
      </c>
      <c r="O750">
        <v>4</v>
      </c>
      <c r="P750">
        <v>3</v>
      </c>
      <c r="Q750">
        <f t="shared" si="77"/>
        <v>5</v>
      </c>
      <c r="R750">
        <f t="shared" si="78"/>
        <v>24</v>
      </c>
      <c r="S750">
        <f t="array" ref="S750">MAX(IF($C$2:$C$1387=C750,$R$2:$R$1387))</f>
        <v>29</v>
      </c>
      <c r="T750" cm="1">
        <f t="array" ref="T750">MIN(IF($C$2:$C$1387=C750,$R$2:$R$1387))</f>
        <v>11</v>
      </c>
      <c r="U750">
        <f t="shared" si="79"/>
        <v>18</v>
      </c>
      <c r="V750">
        <f t="shared" si="80"/>
        <v>0.72222222222222221</v>
      </c>
      <c r="W750" cm="1">
        <f t="array" ref="W750">_xlfn.IFS(N750=1,5,N750=2,4,N750=4,2,N750=5,1,N750=3,3)</f>
        <v>5</v>
      </c>
      <c r="X750">
        <f t="shared" si="81"/>
        <v>28</v>
      </c>
      <c r="Y750" cm="1">
        <f t="array" ref="Y750">MAX(IF($C$2:$C$1387=C750,$X$2:$X$1387))</f>
        <v>30</v>
      </c>
      <c r="Z750" cm="1">
        <f t="array" ref="Z750">MIN(IF($C$2:$C$1387=C750,$X$2:$X$1387))</f>
        <v>14</v>
      </c>
      <c r="AA750">
        <f t="shared" si="82"/>
        <v>16</v>
      </c>
      <c r="AB750">
        <f t="shared" si="83"/>
        <v>0.875</v>
      </c>
    </row>
    <row r="751" spans="1:28" x14ac:dyDescent="0.25">
      <c r="A751" t="s">
        <v>276</v>
      </c>
      <c r="B751" t="s">
        <v>277</v>
      </c>
      <c r="C751">
        <v>2015</v>
      </c>
      <c r="D751">
        <v>0.16941370093811553</v>
      </c>
      <c r="E751">
        <v>0.81223364847634139</v>
      </c>
      <c r="F751">
        <v>0.14816089632240104</v>
      </c>
      <c r="G751">
        <v>1.9459101490553132</v>
      </c>
      <c r="H751">
        <v>0.7142857142857143</v>
      </c>
      <c r="I751">
        <v>1</v>
      </c>
      <c r="J751">
        <v>1</v>
      </c>
      <c r="K751">
        <v>3</v>
      </c>
      <c r="L751">
        <v>4</v>
      </c>
      <c r="M751">
        <v>4</v>
      </c>
      <c r="N751">
        <v>1</v>
      </c>
      <c r="O751">
        <v>3</v>
      </c>
      <c r="P751">
        <v>2</v>
      </c>
      <c r="Q751">
        <f t="shared" si="77"/>
        <v>1</v>
      </c>
      <c r="R751">
        <f t="shared" si="78"/>
        <v>18</v>
      </c>
      <c r="S751">
        <f t="array" ref="S751">MAX(IF($C$2:$C$1387=C751,$R$2:$R$1387))</f>
        <v>29</v>
      </c>
      <c r="T751" cm="1">
        <f t="array" ref="T751">MIN(IF($C$2:$C$1387=C751,$R$2:$R$1387))</f>
        <v>11</v>
      </c>
      <c r="U751">
        <f t="shared" si="79"/>
        <v>18</v>
      </c>
      <c r="V751">
        <f t="shared" si="80"/>
        <v>0.3888888888888889</v>
      </c>
      <c r="W751" cm="1">
        <f t="array" ref="W751">_xlfn.IFS(N751=1,5,N751=2,4,N751=4,2,N751=5,1,N751=3,3)</f>
        <v>5</v>
      </c>
      <c r="X751">
        <f t="shared" si="81"/>
        <v>22</v>
      </c>
      <c r="Y751" cm="1">
        <f t="array" ref="Y751">MAX(IF($C$2:$C$1387=C751,$X$2:$X$1387))</f>
        <v>29</v>
      </c>
      <c r="Z751" cm="1">
        <f t="array" ref="Z751">MIN(IF($C$2:$C$1387=C751,$X$2:$X$1387))</f>
        <v>12</v>
      </c>
      <c r="AA751">
        <f t="shared" si="82"/>
        <v>17</v>
      </c>
      <c r="AB751">
        <f t="shared" si="83"/>
        <v>0.58823529411764708</v>
      </c>
    </row>
    <row r="752" spans="1:28" x14ac:dyDescent="0.25">
      <c r="A752" t="s">
        <v>278</v>
      </c>
      <c r="B752" t="s">
        <v>279</v>
      </c>
      <c r="C752">
        <v>2010</v>
      </c>
      <c r="D752">
        <v>0.1300160026550293</v>
      </c>
      <c r="E752">
        <v>0.6703315949462445</v>
      </c>
      <c r="F752">
        <v>0.19555099999999997</v>
      </c>
      <c r="G752">
        <v>1.9459101490553132</v>
      </c>
      <c r="H752">
        <v>0.42857142857142855</v>
      </c>
      <c r="I752">
        <v>0.66666666666666663</v>
      </c>
      <c r="J752">
        <v>0</v>
      </c>
      <c r="K752">
        <v>3</v>
      </c>
      <c r="L752">
        <v>3</v>
      </c>
      <c r="M752">
        <v>5</v>
      </c>
      <c r="N752">
        <v>1</v>
      </c>
      <c r="O752">
        <v>2</v>
      </c>
      <c r="P752">
        <v>1</v>
      </c>
      <c r="Q752">
        <f t="shared" si="77"/>
        <v>5</v>
      </c>
      <c r="R752">
        <f t="shared" si="78"/>
        <v>20</v>
      </c>
      <c r="S752">
        <f t="array" ref="S752">MAX(IF($C$2:$C$1387=C752,$R$2:$R$1387))</f>
        <v>29</v>
      </c>
      <c r="T752" cm="1">
        <f t="array" ref="T752">MIN(IF($C$2:$C$1387=C752,$R$2:$R$1387))</f>
        <v>9</v>
      </c>
      <c r="U752">
        <f t="shared" si="79"/>
        <v>20</v>
      </c>
      <c r="V752">
        <f t="shared" si="80"/>
        <v>0.55000000000000004</v>
      </c>
      <c r="W752" cm="1">
        <f t="array" ref="W752">_xlfn.IFS(N752=1,5,N752=2,4,N752=4,2,N752=5,1,N752=3,3)</f>
        <v>5</v>
      </c>
      <c r="X752">
        <f t="shared" si="81"/>
        <v>24</v>
      </c>
      <c r="Y752" cm="1">
        <f t="array" ref="Y752">MAX(IF($C$2:$C$1387=C752,$X$2:$X$1387))</f>
        <v>29</v>
      </c>
      <c r="Z752" cm="1">
        <f t="array" ref="Z752">MIN(IF($C$2:$C$1387=C752,$X$2:$X$1387))</f>
        <v>12</v>
      </c>
      <c r="AA752">
        <f t="shared" si="82"/>
        <v>17</v>
      </c>
      <c r="AB752">
        <f t="shared" si="83"/>
        <v>0.70588235294117652</v>
      </c>
    </row>
    <row r="753" spans="1:28" x14ac:dyDescent="0.25">
      <c r="A753" t="s">
        <v>278</v>
      </c>
      <c r="B753" t="s">
        <v>279</v>
      </c>
      <c r="C753">
        <v>2011</v>
      </c>
      <c r="D753">
        <v>0.13001563909875954</v>
      </c>
      <c r="E753">
        <v>0.72286949071824702</v>
      </c>
      <c r="F753">
        <v>0.19103291497474423</v>
      </c>
      <c r="G753">
        <v>1.9459101490553132</v>
      </c>
      <c r="H753">
        <v>0.42857142857142855</v>
      </c>
      <c r="I753">
        <v>0.66666666666666663</v>
      </c>
      <c r="J753">
        <v>0</v>
      </c>
      <c r="K753">
        <v>3</v>
      </c>
      <c r="L753">
        <v>3</v>
      </c>
      <c r="M753">
        <v>5</v>
      </c>
      <c r="N753">
        <v>1</v>
      </c>
      <c r="O753">
        <v>2</v>
      </c>
      <c r="P753">
        <v>1</v>
      </c>
      <c r="Q753">
        <f t="shared" si="77"/>
        <v>5</v>
      </c>
      <c r="R753">
        <f t="shared" si="78"/>
        <v>20</v>
      </c>
      <c r="S753">
        <f t="array" ref="S753">MAX(IF($C$2:$C$1387=C753,$R$2:$R$1387))</f>
        <v>28</v>
      </c>
      <c r="T753" cm="1">
        <f t="array" ref="T753">MIN(IF($C$2:$C$1387=C753,$R$2:$R$1387))</f>
        <v>10</v>
      </c>
      <c r="U753">
        <f t="shared" si="79"/>
        <v>18</v>
      </c>
      <c r="V753">
        <f t="shared" si="80"/>
        <v>0.55555555555555558</v>
      </c>
      <c r="W753" cm="1">
        <f t="array" ref="W753">_xlfn.IFS(N753=1,5,N753=2,4,N753=4,2,N753=5,1,N753=3,3)</f>
        <v>5</v>
      </c>
      <c r="X753">
        <f t="shared" si="81"/>
        <v>24</v>
      </c>
      <c r="Y753" cm="1">
        <f t="array" ref="Y753">MAX(IF($C$2:$C$1387=C753,$X$2:$X$1387))</f>
        <v>29</v>
      </c>
      <c r="Z753" cm="1">
        <f t="array" ref="Z753">MIN(IF($C$2:$C$1387=C753,$X$2:$X$1387))</f>
        <v>12</v>
      </c>
      <c r="AA753">
        <f t="shared" si="82"/>
        <v>17</v>
      </c>
      <c r="AB753">
        <f t="shared" si="83"/>
        <v>0.70588235294117652</v>
      </c>
    </row>
    <row r="754" spans="1:28" x14ac:dyDescent="0.25">
      <c r="A754" t="s">
        <v>278</v>
      </c>
      <c r="B754" t="s">
        <v>279</v>
      </c>
      <c r="C754">
        <v>2012</v>
      </c>
      <c r="D754">
        <v>0.13001563909875954</v>
      </c>
      <c r="E754">
        <v>0.67623274081540641</v>
      </c>
      <c r="F754">
        <v>0.18650147817212762</v>
      </c>
      <c r="G754">
        <v>1.9459101490553132</v>
      </c>
      <c r="H754">
        <v>0.42857142857142855</v>
      </c>
      <c r="I754">
        <v>0.75</v>
      </c>
      <c r="J754">
        <v>0</v>
      </c>
      <c r="K754">
        <v>3</v>
      </c>
      <c r="L754">
        <v>3</v>
      </c>
      <c r="M754">
        <v>5</v>
      </c>
      <c r="N754">
        <v>1</v>
      </c>
      <c r="O754">
        <v>2</v>
      </c>
      <c r="P754">
        <v>3</v>
      </c>
      <c r="Q754">
        <f t="shared" si="77"/>
        <v>5</v>
      </c>
      <c r="R754">
        <f t="shared" si="78"/>
        <v>22</v>
      </c>
      <c r="S754">
        <f t="array" ref="S754">MAX(IF($C$2:$C$1387=C754,$R$2:$R$1387))</f>
        <v>29</v>
      </c>
      <c r="T754" cm="1">
        <f t="array" ref="T754">MIN(IF($C$2:$C$1387=C754,$R$2:$R$1387))</f>
        <v>11</v>
      </c>
      <c r="U754">
        <f t="shared" si="79"/>
        <v>18</v>
      </c>
      <c r="V754">
        <f t="shared" si="80"/>
        <v>0.61111111111111116</v>
      </c>
      <c r="W754" cm="1">
        <f t="array" ref="W754">_xlfn.IFS(N754=1,5,N754=2,4,N754=4,2,N754=5,1,N754=3,3)</f>
        <v>5</v>
      </c>
      <c r="X754">
        <f t="shared" si="81"/>
        <v>26</v>
      </c>
      <c r="Y754" cm="1">
        <f t="array" ref="Y754">MAX(IF($C$2:$C$1387=C754,$X$2:$X$1387))</f>
        <v>30</v>
      </c>
      <c r="Z754" cm="1">
        <f t="array" ref="Z754">MIN(IF($C$2:$C$1387=C754,$X$2:$X$1387))</f>
        <v>12</v>
      </c>
      <c r="AA754">
        <f t="shared" si="82"/>
        <v>18</v>
      </c>
      <c r="AB754">
        <f t="shared" si="83"/>
        <v>0.77777777777777779</v>
      </c>
    </row>
    <row r="755" spans="1:28" x14ac:dyDescent="0.25">
      <c r="A755" t="s">
        <v>278</v>
      </c>
      <c r="B755" t="s">
        <v>279</v>
      </c>
      <c r="C755">
        <v>2013</v>
      </c>
      <c r="D755">
        <v>0.13001858967169411</v>
      </c>
      <c r="E755">
        <v>0.5865366749665496</v>
      </c>
      <c r="F755">
        <v>0.15149324306405573</v>
      </c>
      <c r="G755">
        <v>1.6094379124341003</v>
      </c>
      <c r="H755">
        <v>0.6</v>
      </c>
      <c r="I755">
        <v>0.75</v>
      </c>
      <c r="J755">
        <v>0</v>
      </c>
      <c r="K755">
        <v>3</v>
      </c>
      <c r="L755">
        <v>2</v>
      </c>
      <c r="M755">
        <v>5</v>
      </c>
      <c r="N755">
        <v>1</v>
      </c>
      <c r="O755">
        <v>3</v>
      </c>
      <c r="P755">
        <v>3</v>
      </c>
      <c r="Q755">
        <f t="shared" si="77"/>
        <v>5</v>
      </c>
      <c r="R755">
        <f t="shared" si="78"/>
        <v>22</v>
      </c>
      <c r="S755">
        <f t="array" ref="S755">MAX(IF($C$2:$C$1387=C755,$R$2:$R$1387))</f>
        <v>29</v>
      </c>
      <c r="T755" cm="1">
        <f t="array" ref="T755">MIN(IF($C$2:$C$1387=C755,$R$2:$R$1387))</f>
        <v>10</v>
      </c>
      <c r="U755">
        <f t="shared" si="79"/>
        <v>19</v>
      </c>
      <c r="V755">
        <f t="shared" si="80"/>
        <v>0.63157894736842102</v>
      </c>
      <c r="W755" cm="1">
        <f t="array" ref="W755">_xlfn.IFS(N755=1,5,N755=2,4,N755=4,2,N755=5,1,N755=3,3)</f>
        <v>5</v>
      </c>
      <c r="X755">
        <f t="shared" si="81"/>
        <v>26</v>
      </c>
      <c r="Y755" cm="1">
        <f t="array" ref="Y755">MAX(IF($C$2:$C$1387=C755,$X$2:$X$1387))</f>
        <v>32</v>
      </c>
      <c r="Z755" cm="1">
        <f t="array" ref="Z755">MIN(IF($C$2:$C$1387=C755,$X$2:$X$1387))</f>
        <v>10</v>
      </c>
      <c r="AA755">
        <f t="shared" si="82"/>
        <v>22</v>
      </c>
      <c r="AB755">
        <f t="shared" si="83"/>
        <v>0.72727272727272729</v>
      </c>
    </row>
    <row r="756" spans="1:28" x14ac:dyDescent="0.25">
      <c r="A756" t="s">
        <v>278</v>
      </c>
      <c r="B756" t="s">
        <v>279</v>
      </c>
      <c r="C756">
        <v>2014</v>
      </c>
      <c r="D756">
        <v>0.13178893343244269</v>
      </c>
      <c r="E756">
        <v>0.5865366749665496</v>
      </c>
      <c r="F756">
        <v>9.6258033834739146E-2</v>
      </c>
      <c r="G756">
        <v>1.6094379124341003</v>
      </c>
      <c r="H756">
        <v>0.6</v>
      </c>
      <c r="I756">
        <v>0.75</v>
      </c>
      <c r="J756">
        <v>0</v>
      </c>
      <c r="K756">
        <v>3</v>
      </c>
      <c r="L756">
        <v>2</v>
      </c>
      <c r="M756">
        <v>4</v>
      </c>
      <c r="N756">
        <v>1</v>
      </c>
      <c r="O756">
        <v>3</v>
      </c>
      <c r="P756">
        <v>2</v>
      </c>
      <c r="Q756">
        <f t="shared" si="77"/>
        <v>5</v>
      </c>
      <c r="R756">
        <f t="shared" si="78"/>
        <v>20</v>
      </c>
      <c r="S756">
        <f t="array" ref="S756">MAX(IF($C$2:$C$1387=C756,$R$2:$R$1387))</f>
        <v>29</v>
      </c>
      <c r="T756" cm="1">
        <f t="array" ref="T756">MIN(IF($C$2:$C$1387=C756,$R$2:$R$1387))</f>
        <v>11</v>
      </c>
      <c r="U756">
        <f t="shared" si="79"/>
        <v>18</v>
      </c>
      <c r="V756">
        <f t="shared" si="80"/>
        <v>0.5</v>
      </c>
      <c r="W756" cm="1">
        <f t="array" ref="W756">_xlfn.IFS(N756=1,5,N756=2,4,N756=4,2,N756=5,1,N756=3,3)</f>
        <v>5</v>
      </c>
      <c r="X756">
        <f t="shared" si="81"/>
        <v>24</v>
      </c>
      <c r="Y756" cm="1">
        <f t="array" ref="Y756">MAX(IF($C$2:$C$1387=C756,$X$2:$X$1387))</f>
        <v>30</v>
      </c>
      <c r="Z756" cm="1">
        <f t="array" ref="Z756">MIN(IF($C$2:$C$1387=C756,$X$2:$X$1387))</f>
        <v>14</v>
      </c>
      <c r="AA756">
        <f t="shared" si="82"/>
        <v>16</v>
      </c>
      <c r="AB756">
        <f t="shared" si="83"/>
        <v>0.625</v>
      </c>
    </row>
    <row r="757" spans="1:28" x14ac:dyDescent="0.25">
      <c r="A757" t="s">
        <v>278</v>
      </c>
      <c r="B757" t="s">
        <v>279</v>
      </c>
      <c r="C757">
        <v>2015</v>
      </c>
      <c r="D757">
        <v>0.13023398149591853</v>
      </c>
      <c r="E757">
        <v>0.5865366749665496</v>
      </c>
      <c r="F757">
        <v>9.3829712309579025E-2</v>
      </c>
      <c r="G757">
        <v>1.9459101490553132</v>
      </c>
      <c r="H757">
        <v>0.7142857142857143</v>
      </c>
      <c r="I757">
        <v>1</v>
      </c>
      <c r="J757">
        <v>0</v>
      </c>
      <c r="K757">
        <v>3</v>
      </c>
      <c r="L757">
        <v>2</v>
      </c>
      <c r="M757">
        <v>4</v>
      </c>
      <c r="N757">
        <v>1</v>
      </c>
      <c r="O757">
        <v>3</v>
      </c>
      <c r="P757">
        <v>2</v>
      </c>
      <c r="Q757">
        <f t="shared" si="77"/>
        <v>5</v>
      </c>
      <c r="R757">
        <f t="shared" si="78"/>
        <v>20</v>
      </c>
      <c r="S757">
        <f t="array" ref="S757">MAX(IF($C$2:$C$1387=C757,$R$2:$R$1387))</f>
        <v>29</v>
      </c>
      <c r="T757" cm="1">
        <f t="array" ref="T757">MIN(IF($C$2:$C$1387=C757,$R$2:$R$1387))</f>
        <v>11</v>
      </c>
      <c r="U757">
        <f t="shared" si="79"/>
        <v>18</v>
      </c>
      <c r="V757">
        <f t="shared" si="80"/>
        <v>0.5</v>
      </c>
      <c r="W757" cm="1">
        <f t="array" ref="W757">_xlfn.IFS(N757=1,5,N757=2,4,N757=4,2,N757=5,1,N757=3,3)</f>
        <v>5</v>
      </c>
      <c r="X757">
        <f t="shared" si="81"/>
        <v>24</v>
      </c>
      <c r="Y757" cm="1">
        <f t="array" ref="Y757">MAX(IF($C$2:$C$1387=C757,$X$2:$X$1387))</f>
        <v>29</v>
      </c>
      <c r="Z757" cm="1">
        <f t="array" ref="Z757">MIN(IF($C$2:$C$1387=C757,$X$2:$X$1387))</f>
        <v>12</v>
      </c>
      <c r="AA757">
        <f t="shared" si="82"/>
        <v>17</v>
      </c>
      <c r="AB757">
        <f t="shared" si="83"/>
        <v>0.70588235294117652</v>
      </c>
    </row>
    <row r="758" spans="1:28" x14ac:dyDescent="0.25">
      <c r="A758" t="s">
        <v>280</v>
      </c>
      <c r="B758" t="s">
        <v>281</v>
      </c>
      <c r="C758">
        <v>2010</v>
      </c>
      <c r="D758">
        <v>1.0099999904632569E-2</v>
      </c>
      <c r="E758">
        <v>0.93036062500000005</v>
      </c>
      <c r="F758">
        <v>0.14510000000000001</v>
      </c>
      <c r="G758">
        <v>1.9459101490553132</v>
      </c>
      <c r="H758">
        <v>0.8571428571428571</v>
      </c>
      <c r="I758">
        <v>1</v>
      </c>
      <c r="J758">
        <v>0</v>
      </c>
      <c r="K758">
        <v>2</v>
      </c>
      <c r="L758">
        <v>5</v>
      </c>
      <c r="M758">
        <v>4</v>
      </c>
      <c r="N758">
        <v>1</v>
      </c>
      <c r="O758">
        <v>5</v>
      </c>
      <c r="P758">
        <v>3</v>
      </c>
      <c r="Q758">
        <f t="shared" si="77"/>
        <v>5</v>
      </c>
      <c r="R758">
        <f t="shared" si="78"/>
        <v>25</v>
      </c>
      <c r="S758">
        <f t="array" ref="S758">MAX(IF($C$2:$C$1387=C758,$R$2:$R$1387))</f>
        <v>29</v>
      </c>
      <c r="T758" cm="1">
        <f t="array" ref="T758">MIN(IF($C$2:$C$1387=C758,$R$2:$R$1387))</f>
        <v>9</v>
      </c>
      <c r="U758">
        <f t="shared" si="79"/>
        <v>20</v>
      </c>
      <c r="V758">
        <f t="shared" si="80"/>
        <v>0.8</v>
      </c>
      <c r="W758" cm="1">
        <f t="array" ref="W758">_xlfn.IFS(N758=1,5,N758=2,4,N758=4,2,N758=5,1,N758=3,3)</f>
        <v>5</v>
      </c>
      <c r="X758">
        <f t="shared" si="81"/>
        <v>29</v>
      </c>
      <c r="Y758" cm="1">
        <f t="array" ref="Y758">MAX(IF($C$2:$C$1387=C758,$X$2:$X$1387))</f>
        <v>29</v>
      </c>
      <c r="Z758" cm="1">
        <f t="array" ref="Z758">MIN(IF($C$2:$C$1387=C758,$X$2:$X$1387))</f>
        <v>12</v>
      </c>
      <c r="AA758">
        <f t="shared" si="82"/>
        <v>17</v>
      </c>
      <c r="AB758">
        <f t="shared" si="83"/>
        <v>1</v>
      </c>
    </row>
    <row r="759" spans="1:28" x14ac:dyDescent="0.25">
      <c r="A759" t="s">
        <v>280</v>
      </c>
      <c r="B759" t="s">
        <v>281</v>
      </c>
      <c r="C759">
        <v>2011</v>
      </c>
      <c r="D759">
        <v>1.0052740384615384E-2</v>
      </c>
      <c r="E759">
        <v>0.93385725961538457</v>
      </c>
      <c r="F759">
        <v>0.14120706730769231</v>
      </c>
      <c r="G759">
        <v>1.9459101490553132</v>
      </c>
      <c r="H759">
        <v>0.8571428571428571</v>
      </c>
      <c r="I759">
        <v>1</v>
      </c>
      <c r="J759">
        <v>0</v>
      </c>
      <c r="K759">
        <v>2</v>
      </c>
      <c r="L759">
        <v>5</v>
      </c>
      <c r="M759">
        <v>4</v>
      </c>
      <c r="N759">
        <v>1</v>
      </c>
      <c r="O759">
        <v>5</v>
      </c>
      <c r="P759">
        <v>3</v>
      </c>
      <c r="Q759">
        <f t="shared" si="77"/>
        <v>5</v>
      </c>
      <c r="R759">
        <f t="shared" si="78"/>
        <v>25</v>
      </c>
      <c r="S759">
        <f t="array" ref="S759">MAX(IF($C$2:$C$1387=C759,$R$2:$R$1387))</f>
        <v>28</v>
      </c>
      <c r="T759" cm="1">
        <f t="array" ref="T759">MIN(IF($C$2:$C$1387=C759,$R$2:$R$1387))</f>
        <v>10</v>
      </c>
      <c r="U759">
        <f t="shared" si="79"/>
        <v>18</v>
      </c>
      <c r="V759">
        <f t="shared" si="80"/>
        <v>0.83333333333333337</v>
      </c>
      <c r="W759" cm="1">
        <f t="array" ref="W759">_xlfn.IFS(N759=1,5,N759=2,4,N759=4,2,N759=5,1,N759=3,3)</f>
        <v>5</v>
      </c>
      <c r="X759">
        <f t="shared" si="81"/>
        <v>29</v>
      </c>
      <c r="Y759" cm="1">
        <f t="array" ref="Y759">MAX(IF($C$2:$C$1387=C759,$X$2:$X$1387))</f>
        <v>29</v>
      </c>
      <c r="Z759" cm="1">
        <f t="array" ref="Z759">MIN(IF($C$2:$C$1387=C759,$X$2:$X$1387))</f>
        <v>12</v>
      </c>
      <c r="AA759">
        <f t="shared" si="82"/>
        <v>17</v>
      </c>
      <c r="AB759">
        <f t="shared" si="83"/>
        <v>1</v>
      </c>
    </row>
    <row r="760" spans="1:28" x14ac:dyDescent="0.25">
      <c r="A760" t="s">
        <v>280</v>
      </c>
      <c r="B760" t="s">
        <v>281</v>
      </c>
      <c r="C760">
        <v>2012</v>
      </c>
      <c r="D760">
        <v>9.516586538461538E-3</v>
      </c>
      <c r="E760">
        <v>0.93385725961538457</v>
      </c>
      <c r="F760">
        <v>0.14081269230769231</v>
      </c>
      <c r="G760">
        <v>1.9459101490553132</v>
      </c>
      <c r="H760">
        <v>0.8571428571428571</v>
      </c>
      <c r="I760">
        <v>1</v>
      </c>
      <c r="J760">
        <v>0</v>
      </c>
      <c r="K760">
        <v>2</v>
      </c>
      <c r="L760">
        <v>5</v>
      </c>
      <c r="M760">
        <v>4</v>
      </c>
      <c r="N760">
        <v>1</v>
      </c>
      <c r="O760">
        <v>5</v>
      </c>
      <c r="P760">
        <v>3</v>
      </c>
      <c r="Q760">
        <f t="shared" si="77"/>
        <v>5</v>
      </c>
      <c r="R760">
        <f t="shared" si="78"/>
        <v>25</v>
      </c>
      <c r="S760">
        <f t="array" ref="S760">MAX(IF($C$2:$C$1387=C760,$R$2:$R$1387))</f>
        <v>29</v>
      </c>
      <c r="T760" cm="1">
        <f t="array" ref="T760">MIN(IF($C$2:$C$1387=C760,$R$2:$R$1387))</f>
        <v>11</v>
      </c>
      <c r="U760">
        <f t="shared" si="79"/>
        <v>18</v>
      </c>
      <c r="V760">
        <f t="shared" si="80"/>
        <v>0.77777777777777779</v>
      </c>
      <c r="W760" cm="1">
        <f t="array" ref="W760">_xlfn.IFS(N760=1,5,N760=2,4,N760=4,2,N760=5,1,N760=3,3)</f>
        <v>5</v>
      </c>
      <c r="X760">
        <f t="shared" si="81"/>
        <v>29</v>
      </c>
      <c r="Y760" cm="1">
        <f t="array" ref="Y760">MAX(IF($C$2:$C$1387=C760,$X$2:$X$1387))</f>
        <v>30</v>
      </c>
      <c r="Z760" cm="1">
        <f t="array" ref="Z760">MIN(IF($C$2:$C$1387=C760,$X$2:$X$1387))</f>
        <v>12</v>
      </c>
      <c r="AA760">
        <f t="shared" si="82"/>
        <v>18</v>
      </c>
      <c r="AB760">
        <f t="shared" si="83"/>
        <v>0.94444444444444442</v>
      </c>
    </row>
    <row r="761" spans="1:28" x14ac:dyDescent="0.25">
      <c r="A761" t="s">
        <v>280</v>
      </c>
      <c r="B761" t="s">
        <v>281</v>
      </c>
      <c r="C761">
        <v>2013</v>
      </c>
      <c r="D761">
        <v>1.9640144230769232E-2</v>
      </c>
      <c r="E761">
        <v>0.93130552884615381</v>
      </c>
      <c r="F761">
        <v>0.14087625000000001</v>
      </c>
      <c r="G761">
        <v>1.9459101490553132</v>
      </c>
      <c r="H761">
        <v>0.8571428571428571</v>
      </c>
      <c r="I761">
        <v>1</v>
      </c>
      <c r="J761">
        <v>0</v>
      </c>
      <c r="K761">
        <v>2</v>
      </c>
      <c r="L761">
        <v>5</v>
      </c>
      <c r="M761">
        <v>5</v>
      </c>
      <c r="N761">
        <v>1</v>
      </c>
      <c r="O761">
        <v>5</v>
      </c>
      <c r="P761">
        <v>3</v>
      </c>
      <c r="Q761">
        <f t="shared" si="77"/>
        <v>5</v>
      </c>
      <c r="R761">
        <f t="shared" si="78"/>
        <v>26</v>
      </c>
      <c r="S761">
        <f t="array" ref="S761">MAX(IF($C$2:$C$1387=C761,$R$2:$R$1387))</f>
        <v>29</v>
      </c>
      <c r="T761" cm="1">
        <f t="array" ref="T761">MIN(IF($C$2:$C$1387=C761,$R$2:$R$1387))</f>
        <v>10</v>
      </c>
      <c r="U761">
        <f t="shared" si="79"/>
        <v>19</v>
      </c>
      <c r="V761">
        <f t="shared" si="80"/>
        <v>0.84210526315789469</v>
      </c>
      <c r="W761" cm="1">
        <f t="array" ref="W761">_xlfn.IFS(N761=1,5,N761=2,4,N761=4,2,N761=5,1,N761=3,3)</f>
        <v>5</v>
      </c>
      <c r="X761">
        <f t="shared" si="81"/>
        <v>30</v>
      </c>
      <c r="Y761" cm="1">
        <f t="array" ref="Y761">MAX(IF($C$2:$C$1387=C761,$X$2:$X$1387))</f>
        <v>32</v>
      </c>
      <c r="Z761" cm="1">
        <f t="array" ref="Z761">MIN(IF($C$2:$C$1387=C761,$X$2:$X$1387))</f>
        <v>10</v>
      </c>
      <c r="AA761">
        <f t="shared" si="82"/>
        <v>22</v>
      </c>
      <c r="AB761">
        <f t="shared" si="83"/>
        <v>0.90909090909090906</v>
      </c>
    </row>
    <row r="762" spans="1:28" x14ac:dyDescent="0.25">
      <c r="A762" t="s">
        <v>280</v>
      </c>
      <c r="B762" t="s">
        <v>281</v>
      </c>
      <c r="C762">
        <v>2014</v>
      </c>
      <c r="D762">
        <v>1.9640144230769232E-2</v>
      </c>
      <c r="E762">
        <v>0.91792153846153846</v>
      </c>
      <c r="F762">
        <v>0.12248682692307693</v>
      </c>
      <c r="G762">
        <v>1.9459101490553132</v>
      </c>
      <c r="H762">
        <v>0.8571428571428571</v>
      </c>
      <c r="I762">
        <v>1</v>
      </c>
      <c r="J762">
        <v>0</v>
      </c>
      <c r="K762">
        <v>2</v>
      </c>
      <c r="L762">
        <v>5</v>
      </c>
      <c r="M762">
        <v>4</v>
      </c>
      <c r="N762">
        <v>1</v>
      </c>
      <c r="O762">
        <v>5</v>
      </c>
      <c r="P762">
        <v>3</v>
      </c>
      <c r="Q762">
        <f t="shared" si="77"/>
        <v>5</v>
      </c>
      <c r="R762">
        <f t="shared" si="78"/>
        <v>25</v>
      </c>
      <c r="S762">
        <f t="array" ref="S762">MAX(IF($C$2:$C$1387=C762,$R$2:$R$1387))</f>
        <v>29</v>
      </c>
      <c r="T762" cm="1">
        <f t="array" ref="T762">MIN(IF($C$2:$C$1387=C762,$R$2:$R$1387))</f>
        <v>11</v>
      </c>
      <c r="U762">
        <f t="shared" si="79"/>
        <v>18</v>
      </c>
      <c r="V762">
        <f t="shared" si="80"/>
        <v>0.77777777777777779</v>
      </c>
      <c r="W762" cm="1">
        <f t="array" ref="W762">_xlfn.IFS(N762=1,5,N762=2,4,N762=4,2,N762=5,1,N762=3,3)</f>
        <v>5</v>
      </c>
      <c r="X762">
        <f t="shared" si="81"/>
        <v>29</v>
      </c>
      <c r="Y762" cm="1">
        <f t="array" ref="Y762">MAX(IF($C$2:$C$1387=C762,$X$2:$X$1387))</f>
        <v>30</v>
      </c>
      <c r="Z762" cm="1">
        <f t="array" ref="Z762">MIN(IF($C$2:$C$1387=C762,$X$2:$X$1387))</f>
        <v>14</v>
      </c>
      <c r="AA762">
        <f t="shared" si="82"/>
        <v>16</v>
      </c>
      <c r="AB762">
        <f t="shared" si="83"/>
        <v>0.9375</v>
      </c>
    </row>
    <row r="763" spans="1:28" x14ac:dyDescent="0.25">
      <c r="A763" t="s">
        <v>280</v>
      </c>
      <c r="B763" t="s">
        <v>281</v>
      </c>
      <c r="C763">
        <v>2015</v>
      </c>
      <c r="D763">
        <v>9.0236538461538462E-3</v>
      </c>
      <c r="E763">
        <v>0.89496480769230768</v>
      </c>
      <c r="F763">
        <v>0.10023923076923077</v>
      </c>
      <c r="G763">
        <v>1.9459101490553132</v>
      </c>
      <c r="H763">
        <v>0.8571428571428571</v>
      </c>
      <c r="I763">
        <v>0.66666666666666663</v>
      </c>
      <c r="J763">
        <v>0</v>
      </c>
      <c r="K763">
        <v>2</v>
      </c>
      <c r="L763">
        <v>5</v>
      </c>
      <c r="M763">
        <v>4</v>
      </c>
      <c r="N763">
        <v>1</v>
      </c>
      <c r="O763">
        <v>4</v>
      </c>
      <c r="P763">
        <v>1</v>
      </c>
      <c r="Q763">
        <f t="shared" si="77"/>
        <v>5</v>
      </c>
      <c r="R763">
        <f t="shared" si="78"/>
        <v>22</v>
      </c>
      <c r="S763">
        <f t="array" ref="S763">MAX(IF($C$2:$C$1387=C763,$R$2:$R$1387))</f>
        <v>29</v>
      </c>
      <c r="T763" cm="1">
        <f t="array" ref="T763">MIN(IF($C$2:$C$1387=C763,$R$2:$R$1387))</f>
        <v>11</v>
      </c>
      <c r="U763">
        <f t="shared" si="79"/>
        <v>18</v>
      </c>
      <c r="V763">
        <f t="shared" si="80"/>
        <v>0.61111111111111116</v>
      </c>
      <c r="W763" cm="1">
        <f t="array" ref="W763">_xlfn.IFS(N763=1,5,N763=2,4,N763=4,2,N763=5,1,N763=3,3)</f>
        <v>5</v>
      </c>
      <c r="X763">
        <f t="shared" si="81"/>
        <v>26</v>
      </c>
      <c r="Y763" cm="1">
        <f t="array" ref="Y763">MAX(IF($C$2:$C$1387=C763,$X$2:$X$1387))</f>
        <v>29</v>
      </c>
      <c r="Z763" cm="1">
        <f t="array" ref="Z763">MIN(IF($C$2:$C$1387=C763,$X$2:$X$1387))</f>
        <v>12</v>
      </c>
      <c r="AA763">
        <f t="shared" si="82"/>
        <v>17</v>
      </c>
      <c r="AB763">
        <f t="shared" si="83"/>
        <v>0.82352941176470584</v>
      </c>
    </row>
    <row r="764" spans="1:28" x14ac:dyDescent="0.25">
      <c r="A764" t="s">
        <v>282</v>
      </c>
      <c r="B764" t="s">
        <v>283</v>
      </c>
      <c r="C764">
        <v>2010</v>
      </c>
      <c r="D764">
        <v>0</v>
      </c>
      <c r="E764">
        <v>0.84310575757575756</v>
      </c>
      <c r="F764">
        <v>0.268345</v>
      </c>
      <c r="G764">
        <v>2.0794415416798357</v>
      </c>
      <c r="H764">
        <v>0.75</v>
      </c>
      <c r="I764">
        <v>1</v>
      </c>
      <c r="J764">
        <v>0</v>
      </c>
      <c r="K764">
        <v>1</v>
      </c>
      <c r="L764">
        <v>5</v>
      </c>
      <c r="M764">
        <v>5</v>
      </c>
      <c r="N764">
        <v>3</v>
      </c>
      <c r="O764">
        <v>4</v>
      </c>
      <c r="P764">
        <v>3</v>
      </c>
      <c r="Q764">
        <f t="shared" si="77"/>
        <v>5</v>
      </c>
      <c r="R764">
        <f t="shared" si="78"/>
        <v>26</v>
      </c>
      <c r="S764">
        <f t="array" ref="S764">MAX(IF($C$2:$C$1387=C764,$R$2:$R$1387))</f>
        <v>29</v>
      </c>
      <c r="T764" cm="1">
        <f t="array" ref="T764">MIN(IF($C$2:$C$1387=C764,$R$2:$R$1387))</f>
        <v>9</v>
      </c>
      <c r="U764">
        <f t="shared" si="79"/>
        <v>20</v>
      </c>
      <c r="V764">
        <f t="shared" si="80"/>
        <v>0.85</v>
      </c>
      <c r="W764" cm="1">
        <f t="array" ref="W764">_xlfn.IFS(N764=1,5,N764=2,4,N764=4,2,N764=5,1,N764=3,3)</f>
        <v>3</v>
      </c>
      <c r="X764">
        <f t="shared" si="81"/>
        <v>26</v>
      </c>
      <c r="Y764" cm="1">
        <f t="array" ref="Y764">MAX(IF($C$2:$C$1387=C764,$X$2:$X$1387))</f>
        <v>29</v>
      </c>
      <c r="Z764" cm="1">
        <f t="array" ref="Z764">MIN(IF($C$2:$C$1387=C764,$X$2:$X$1387))</f>
        <v>12</v>
      </c>
      <c r="AA764">
        <f t="shared" si="82"/>
        <v>17</v>
      </c>
      <c r="AB764">
        <f t="shared" si="83"/>
        <v>0.82352941176470584</v>
      </c>
    </row>
    <row r="765" spans="1:28" x14ac:dyDescent="0.25">
      <c r="A765" t="s">
        <v>282</v>
      </c>
      <c r="B765" t="s">
        <v>283</v>
      </c>
      <c r="C765">
        <v>2011</v>
      </c>
      <c r="D765">
        <v>0</v>
      </c>
      <c r="E765">
        <v>0.84310575757575756</v>
      </c>
      <c r="F765">
        <v>0.26771454545454543</v>
      </c>
      <c r="G765">
        <v>2.0794415416798357</v>
      </c>
      <c r="H765">
        <v>0.75</v>
      </c>
      <c r="I765">
        <v>1</v>
      </c>
      <c r="J765">
        <v>0</v>
      </c>
      <c r="K765">
        <v>1</v>
      </c>
      <c r="L765">
        <v>4</v>
      </c>
      <c r="M765">
        <v>5</v>
      </c>
      <c r="N765">
        <v>3</v>
      </c>
      <c r="O765">
        <v>4</v>
      </c>
      <c r="P765">
        <v>3</v>
      </c>
      <c r="Q765">
        <f t="shared" si="77"/>
        <v>5</v>
      </c>
      <c r="R765">
        <f t="shared" si="78"/>
        <v>25</v>
      </c>
      <c r="S765">
        <f t="array" ref="S765">MAX(IF($C$2:$C$1387=C765,$R$2:$R$1387))</f>
        <v>28</v>
      </c>
      <c r="T765" cm="1">
        <f t="array" ref="T765">MIN(IF($C$2:$C$1387=C765,$R$2:$R$1387))</f>
        <v>10</v>
      </c>
      <c r="U765">
        <f t="shared" si="79"/>
        <v>18</v>
      </c>
      <c r="V765">
        <f t="shared" si="80"/>
        <v>0.83333333333333337</v>
      </c>
      <c r="W765" cm="1">
        <f t="array" ref="W765">_xlfn.IFS(N765=1,5,N765=2,4,N765=4,2,N765=5,1,N765=3,3)</f>
        <v>3</v>
      </c>
      <c r="X765">
        <f t="shared" si="81"/>
        <v>25</v>
      </c>
      <c r="Y765" cm="1">
        <f t="array" ref="Y765">MAX(IF($C$2:$C$1387=C765,$X$2:$X$1387))</f>
        <v>29</v>
      </c>
      <c r="Z765" cm="1">
        <f t="array" ref="Z765">MIN(IF($C$2:$C$1387=C765,$X$2:$X$1387))</f>
        <v>12</v>
      </c>
      <c r="AA765">
        <f t="shared" si="82"/>
        <v>17</v>
      </c>
      <c r="AB765">
        <f t="shared" si="83"/>
        <v>0.76470588235294112</v>
      </c>
    </row>
    <row r="766" spans="1:28" x14ac:dyDescent="0.25">
      <c r="A766" t="s">
        <v>282</v>
      </c>
      <c r="B766" t="s">
        <v>283</v>
      </c>
      <c r="C766">
        <v>2012</v>
      </c>
      <c r="D766">
        <v>0</v>
      </c>
      <c r="E766">
        <v>0.84647765151515153</v>
      </c>
      <c r="F766">
        <v>4.6879545454545452E-2</v>
      </c>
      <c r="G766">
        <v>2.0794415416798357</v>
      </c>
      <c r="H766">
        <v>0.625</v>
      </c>
      <c r="I766">
        <v>1</v>
      </c>
      <c r="J766">
        <v>0</v>
      </c>
      <c r="K766">
        <v>1</v>
      </c>
      <c r="L766">
        <v>5</v>
      </c>
      <c r="M766">
        <v>3</v>
      </c>
      <c r="N766">
        <v>3</v>
      </c>
      <c r="O766">
        <v>3</v>
      </c>
      <c r="P766">
        <v>3</v>
      </c>
      <c r="Q766">
        <f t="shared" si="77"/>
        <v>5</v>
      </c>
      <c r="R766">
        <f t="shared" si="78"/>
        <v>23</v>
      </c>
      <c r="S766">
        <f t="array" ref="S766">MAX(IF($C$2:$C$1387=C766,$R$2:$R$1387))</f>
        <v>29</v>
      </c>
      <c r="T766" cm="1">
        <f t="array" ref="T766">MIN(IF($C$2:$C$1387=C766,$R$2:$R$1387))</f>
        <v>11</v>
      </c>
      <c r="U766">
        <f t="shared" si="79"/>
        <v>18</v>
      </c>
      <c r="V766">
        <f t="shared" si="80"/>
        <v>0.66666666666666663</v>
      </c>
      <c r="W766" cm="1">
        <f t="array" ref="W766">_xlfn.IFS(N766=1,5,N766=2,4,N766=4,2,N766=5,1,N766=3,3)</f>
        <v>3</v>
      </c>
      <c r="X766">
        <f t="shared" si="81"/>
        <v>23</v>
      </c>
      <c r="Y766" cm="1">
        <f t="array" ref="Y766">MAX(IF($C$2:$C$1387=C766,$X$2:$X$1387))</f>
        <v>30</v>
      </c>
      <c r="Z766" cm="1">
        <f t="array" ref="Z766">MIN(IF($C$2:$C$1387=C766,$X$2:$X$1387))</f>
        <v>12</v>
      </c>
      <c r="AA766">
        <f t="shared" si="82"/>
        <v>18</v>
      </c>
      <c r="AB766">
        <f t="shared" si="83"/>
        <v>0.61111111111111116</v>
      </c>
    </row>
    <row r="767" spans="1:28" x14ac:dyDescent="0.25">
      <c r="A767" t="s">
        <v>282</v>
      </c>
      <c r="B767" t="s">
        <v>283</v>
      </c>
      <c r="C767">
        <v>2013</v>
      </c>
      <c r="D767">
        <v>0</v>
      </c>
      <c r="E767">
        <v>0.8299545454545455</v>
      </c>
      <c r="F767">
        <v>0.1384293181818182</v>
      </c>
      <c r="G767">
        <v>2.0794415416798357</v>
      </c>
      <c r="H767">
        <v>0.625</v>
      </c>
      <c r="I767">
        <v>1</v>
      </c>
      <c r="J767">
        <v>0</v>
      </c>
      <c r="K767">
        <v>1</v>
      </c>
      <c r="L767">
        <v>4</v>
      </c>
      <c r="M767">
        <v>4</v>
      </c>
      <c r="N767">
        <v>3</v>
      </c>
      <c r="O767">
        <v>3</v>
      </c>
      <c r="P767">
        <v>3</v>
      </c>
      <c r="Q767">
        <f t="shared" si="77"/>
        <v>5</v>
      </c>
      <c r="R767">
        <f t="shared" si="78"/>
        <v>23</v>
      </c>
      <c r="S767">
        <f t="array" ref="S767">MAX(IF($C$2:$C$1387=C767,$R$2:$R$1387))</f>
        <v>29</v>
      </c>
      <c r="T767" cm="1">
        <f t="array" ref="T767">MIN(IF($C$2:$C$1387=C767,$R$2:$R$1387))</f>
        <v>10</v>
      </c>
      <c r="U767">
        <f t="shared" si="79"/>
        <v>19</v>
      </c>
      <c r="V767">
        <f t="shared" si="80"/>
        <v>0.68421052631578949</v>
      </c>
      <c r="W767" cm="1">
        <f t="array" ref="W767">_xlfn.IFS(N767=1,5,N767=2,4,N767=4,2,N767=5,1,N767=3,3)</f>
        <v>3</v>
      </c>
      <c r="X767">
        <f t="shared" si="81"/>
        <v>23</v>
      </c>
      <c r="Y767" cm="1">
        <f t="array" ref="Y767">MAX(IF($C$2:$C$1387=C767,$X$2:$X$1387))</f>
        <v>32</v>
      </c>
      <c r="Z767" cm="1">
        <f t="array" ref="Z767">MIN(IF($C$2:$C$1387=C767,$X$2:$X$1387))</f>
        <v>10</v>
      </c>
      <c r="AA767">
        <f t="shared" si="82"/>
        <v>22</v>
      </c>
      <c r="AB767">
        <f t="shared" si="83"/>
        <v>0.59090909090909094</v>
      </c>
    </row>
    <row r="768" spans="1:28" x14ac:dyDescent="0.25">
      <c r="A768" t="s">
        <v>282</v>
      </c>
      <c r="B768" t="s">
        <v>283</v>
      </c>
      <c r="C768">
        <v>2014</v>
      </c>
      <c r="D768">
        <v>0</v>
      </c>
      <c r="E768">
        <v>0.81756818181818181</v>
      </c>
      <c r="F768">
        <v>4.6437727272727269E-2</v>
      </c>
      <c r="G768">
        <v>2.0794415416798357</v>
      </c>
      <c r="H768">
        <v>0.625</v>
      </c>
      <c r="I768">
        <v>1</v>
      </c>
      <c r="J768">
        <v>0</v>
      </c>
      <c r="K768">
        <v>1</v>
      </c>
      <c r="L768">
        <v>4</v>
      </c>
      <c r="M768">
        <v>3</v>
      </c>
      <c r="N768">
        <v>3</v>
      </c>
      <c r="O768">
        <v>3</v>
      </c>
      <c r="P768">
        <v>3</v>
      </c>
      <c r="Q768">
        <f t="shared" si="77"/>
        <v>5</v>
      </c>
      <c r="R768">
        <f t="shared" si="78"/>
        <v>22</v>
      </c>
      <c r="S768">
        <f t="array" ref="S768">MAX(IF($C$2:$C$1387=C768,$R$2:$R$1387))</f>
        <v>29</v>
      </c>
      <c r="T768" cm="1">
        <f t="array" ref="T768">MIN(IF($C$2:$C$1387=C768,$R$2:$R$1387))</f>
        <v>11</v>
      </c>
      <c r="U768">
        <f t="shared" si="79"/>
        <v>18</v>
      </c>
      <c r="V768">
        <f t="shared" si="80"/>
        <v>0.61111111111111116</v>
      </c>
      <c r="W768" cm="1">
        <f t="array" ref="W768">_xlfn.IFS(N768=1,5,N768=2,4,N768=4,2,N768=5,1,N768=3,3)</f>
        <v>3</v>
      </c>
      <c r="X768">
        <f t="shared" si="81"/>
        <v>22</v>
      </c>
      <c r="Y768" cm="1">
        <f t="array" ref="Y768">MAX(IF($C$2:$C$1387=C768,$X$2:$X$1387))</f>
        <v>30</v>
      </c>
      <c r="Z768" cm="1">
        <f t="array" ref="Z768">MIN(IF($C$2:$C$1387=C768,$X$2:$X$1387))</f>
        <v>14</v>
      </c>
      <c r="AA768">
        <f t="shared" si="82"/>
        <v>16</v>
      </c>
      <c r="AB768">
        <f t="shared" si="83"/>
        <v>0.5</v>
      </c>
    </row>
    <row r="769" spans="1:28" x14ac:dyDescent="0.25">
      <c r="A769" t="s">
        <v>282</v>
      </c>
      <c r="B769" t="s">
        <v>283</v>
      </c>
      <c r="C769">
        <v>2015</v>
      </c>
      <c r="D769">
        <v>0</v>
      </c>
      <c r="E769">
        <v>0.81061363636363637</v>
      </c>
      <c r="F769">
        <v>0.13758621212121211</v>
      </c>
      <c r="G769">
        <v>2.0794415416798357</v>
      </c>
      <c r="H769">
        <v>0.75</v>
      </c>
      <c r="I769">
        <v>1</v>
      </c>
      <c r="J769">
        <v>0</v>
      </c>
      <c r="K769">
        <v>1</v>
      </c>
      <c r="L769">
        <v>4</v>
      </c>
      <c r="M769">
        <v>4</v>
      </c>
      <c r="N769">
        <v>3</v>
      </c>
      <c r="O769">
        <v>4</v>
      </c>
      <c r="P769">
        <v>2</v>
      </c>
      <c r="Q769">
        <f t="shared" si="77"/>
        <v>5</v>
      </c>
      <c r="R769">
        <f t="shared" si="78"/>
        <v>23</v>
      </c>
      <c r="S769">
        <f t="array" ref="S769">MAX(IF($C$2:$C$1387=C769,$R$2:$R$1387))</f>
        <v>29</v>
      </c>
      <c r="T769" cm="1">
        <f t="array" ref="T769">MIN(IF($C$2:$C$1387=C769,$R$2:$R$1387))</f>
        <v>11</v>
      </c>
      <c r="U769">
        <f t="shared" si="79"/>
        <v>18</v>
      </c>
      <c r="V769">
        <f t="shared" si="80"/>
        <v>0.66666666666666663</v>
      </c>
      <c r="W769" cm="1">
        <f t="array" ref="W769">_xlfn.IFS(N769=1,5,N769=2,4,N769=4,2,N769=5,1,N769=3,3)</f>
        <v>3</v>
      </c>
      <c r="X769">
        <f t="shared" si="81"/>
        <v>23</v>
      </c>
      <c r="Y769" cm="1">
        <f t="array" ref="Y769">MAX(IF($C$2:$C$1387=C769,$X$2:$X$1387))</f>
        <v>29</v>
      </c>
      <c r="Z769" cm="1">
        <f t="array" ref="Z769">MIN(IF($C$2:$C$1387=C769,$X$2:$X$1387))</f>
        <v>12</v>
      </c>
      <c r="AA769">
        <f t="shared" si="82"/>
        <v>17</v>
      </c>
      <c r="AB769">
        <f t="shared" si="83"/>
        <v>0.6470588235294118</v>
      </c>
    </row>
    <row r="770" spans="1:28" x14ac:dyDescent="0.25">
      <c r="A770" t="s">
        <v>284</v>
      </c>
      <c r="B770" t="s">
        <v>285</v>
      </c>
      <c r="C770">
        <v>2010</v>
      </c>
      <c r="D770">
        <v>0.61466801356586687</v>
      </c>
      <c r="E770">
        <v>0.73786073507752581</v>
      </c>
      <c r="F770">
        <v>0.13333484970471318</v>
      </c>
      <c r="G770">
        <v>1.9459101490553132</v>
      </c>
      <c r="H770">
        <v>0.2857142857142857</v>
      </c>
      <c r="I770">
        <v>0.33333333333333331</v>
      </c>
      <c r="J770">
        <v>1</v>
      </c>
      <c r="K770">
        <v>5</v>
      </c>
      <c r="L770">
        <v>4</v>
      </c>
      <c r="M770">
        <v>4</v>
      </c>
      <c r="N770">
        <v>1</v>
      </c>
      <c r="O770">
        <v>1</v>
      </c>
      <c r="P770">
        <v>1</v>
      </c>
      <c r="Q770">
        <f t="shared" si="77"/>
        <v>1</v>
      </c>
      <c r="R770">
        <f t="shared" si="78"/>
        <v>17</v>
      </c>
      <c r="S770">
        <f t="array" ref="S770">MAX(IF($C$2:$C$1387=C770,$R$2:$R$1387))</f>
        <v>29</v>
      </c>
      <c r="T770" cm="1">
        <f t="array" ref="T770">MIN(IF($C$2:$C$1387=C770,$R$2:$R$1387))</f>
        <v>9</v>
      </c>
      <c r="U770">
        <f t="shared" si="79"/>
        <v>20</v>
      </c>
      <c r="V770">
        <f t="shared" si="80"/>
        <v>0.4</v>
      </c>
      <c r="W770" cm="1">
        <f t="array" ref="W770">_xlfn.IFS(N770=1,5,N770=2,4,N770=4,2,N770=5,1,N770=3,3)</f>
        <v>5</v>
      </c>
      <c r="X770">
        <f t="shared" si="81"/>
        <v>21</v>
      </c>
      <c r="Y770" cm="1">
        <f t="array" ref="Y770">MAX(IF($C$2:$C$1387=C770,$X$2:$X$1387))</f>
        <v>29</v>
      </c>
      <c r="Z770" cm="1">
        <f t="array" ref="Z770">MIN(IF($C$2:$C$1387=C770,$X$2:$X$1387))</f>
        <v>12</v>
      </c>
      <c r="AA770">
        <f t="shared" si="82"/>
        <v>17</v>
      </c>
      <c r="AB770">
        <f t="shared" si="83"/>
        <v>0.52941176470588236</v>
      </c>
    </row>
    <row r="771" spans="1:28" x14ac:dyDescent="0.25">
      <c r="A771" t="s">
        <v>284</v>
      </c>
      <c r="B771" t="s">
        <v>285</v>
      </c>
      <c r="C771">
        <v>2011</v>
      </c>
      <c r="D771">
        <v>0.59744973440028526</v>
      </c>
      <c r="E771">
        <v>0.73786073507752581</v>
      </c>
      <c r="F771">
        <v>0.13243643894638038</v>
      </c>
      <c r="G771">
        <v>1.9459101490553132</v>
      </c>
      <c r="H771">
        <v>0.2857142857142857</v>
      </c>
      <c r="I771">
        <v>0.33333333333333331</v>
      </c>
      <c r="J771">
        <v>1</v>
      </c>
      <c r="K771">
        <v>5</v>
      </c>
      <c r="L771">
        <v>4</v>
      </c>
      <c r="M771">
        <v>4</v>
      </c>
      <c r="N771">
        <v>1</v>
      </c>
      <c r="O771">
        <v>1</v>
      </c>
      <c r="P771">
        <v>1</v>
      </c>
      <c r="Q771">
        <f t="shared" ref="Q771:Q834" si="84">IF(J771=0,5,1)</f>
        <v>1</v>
      </c>
      <c r="R771">
        <f t="shared" ref="R771:R834" si="85">SUM(K771:Q771)</f>
        <v>17</v>
      </c>
      <c r="S771">
        <f t="array" ref="S771">MAX(IF($C$2:$C$1387=C771,$R$2:$R$1387))</f>
        <v>28</v>
      </c>
      <c r="T771" cm="1">
        <f t="array" ref="T771">MIN(IF($C$2:$C$1387=C771,$R$2:$R$1387))</f>
        <v>10</v>
      </c>
      <c r="U771">
        <f t="shared" ref="U771:U834" si="86">S771-T771</f>
        <v>18</v>
      </c>
      <c r="V771">
        <f t="shared" ref="V771:V834" si="87">(R771-T771)/U771</f>
        <v>0.3888888888888889</v>
      </c>
      <c r="W771" cm="1">
        <f t="array" ref="W771">_xlfn.IFS(N771=1,5,N771=2,4,N771=4,2,N771=5,1,N771=3,3)</f>
        <v>5</v>
      </c>
      <c r="X771">
        <f t="shared" ref="X771:X834" si="88">SUM(K771:M771,O771:Q771,W771)</f>
        <v>21</v>
      </c>
      <c r="Y771" cm="1">
        <f t="array" ref="Y771">MAX(IF($C$2:$C$1387=C771,$X$2:$X$1387))</f>
        <v>29</v>
      </c>
      <c r="Z771" cm="1">
        <f t="array" ref="Z771">MIN(IF($C$2:$C$1387=C771,$X$2:$X$1387))</f>
        <v>12</v>
      </c>
      <c r="AA771">
        <f t="shared" ref="AA771:AA834" si="89">Y771-Z771</f>
        <v>17</v>
      </c>
      <c r="AB771">
        <f t="shared" ref="AB771:AB834" si="90">(X771-Z771)/AA771</f>
        <v>0.52941176470588236</v>
      </c>
    </row>
    <row r="772" spans="1:28" x14ac:dyDescent="0.25">
      <c r="A772" t="s">
        <v>284</v>
      </c>
      <c r="B772" t="s">
        <v>285</v>
      </c>
      <c r="C772">
        <v>2012</v>
      </c>
      <c r="D772">
        <v>0.59744973440028526</v>
      </c>
      <c r="E772">
        <v>0.73786073507752581</v>
      </c>
      <c r="F772">
        <v>0.13243643894638038</v>
      </c>
      <c r="G772">
        <v>1.9459101490553132</v>
      </c>
      <c r="H772">
        <v>0.2857142857142857</v>
      </c>
      <c r="I772">
        <v>0.33333333333333331</v>
      </c>
      <c r="J772">
        <v>1</v>
      </c>
      <c r="K772">
        <v>5</v>
      </c>
      <c r="L772">
        <v>4</v>
      </c>
      <c r="M772">
        <v>4</v>
      </c>
      <c r="N772">
        <v>1</v>
      </c>
      <c r="O772">
        <v>1</v>
      </c>
      <c r="P772">
        <v>1</v>
      </c>
      <c r="Q772">
        <f t="shared" si="84"/>
        <v>1</v>
      </c>
      <c r="R772">
        <f t="shared" si="85"/>
        <v>17</v>
      </c>
      <c r="S772">
        <f t="array" ref="S772">MAX(IF($C$2:$C$1387=C772,$R$2:$R$1387))</f>
        <v>29</v>
      </c>
      <c r="T772" cm="1">
        <f t="array" ref="T772">MIN(IF($C$2:$C$1387=C772,$R$2:$R$1387))</f>
        <v>11</v>
      </c>
      <c r="U772">
        <f t="shared" si="86"/>
        <v>18</v>
      </c>
      <c r="V772">
        <f t="shared" si="87"/>
        <v>0.33333333333333331</v>
      </c>
      <c r="W772" cm="1">
        <f t="array" ref="W772">_xlfn.IFS(N772=1,5,N772=2,4,N772=4,2,N772=5,1,N772=3,3)</f>
        <v>5</v>
      </c>
      <c r="X772">
        <f t="shared" si="88"/>
        <v>21</v>
      </c>
      <c r="Y772" cm="1">
        <f t="array" ref="Y772">MAX(IF($C$2:$C$1387=C772,$X$2:$X$1387))</f>
        <v>30</v>
      </c>
      <c r="Z772" cm="1">
        <f t="array" ref="Z772">MIN(IF($C$2:$C$1387=C772,$X$2:$X$1387))</f>
        <v>12</v>
      </c>
      <c r="AA772">
        <f t="shared" si="89"/>
        <v>18</v>
      </c>
      <c r="AB772">
        <f t="shared" si="90"/>
        <v>0.5</v>
      </c>
    </row>
    <row r="773" spans="1:28" x14ac:dyDescent="0.25">
      <c r="A773" t="s">
        <v>284</v>
      </c>
      <c r="B773" t="s">
        <v>285</v>
      </c>
      <c r="C773">
        <v>2013</v>
      </c>
      <c r="D773">
        <v>0.59744973440028526</v>
      </c>
      <c r="E773">
        <v>0.73786073507752581</v>
      </c>
      <c r="F773">
        <v>0.13243643894638038</v>
      </c>
      <c r="G773">
        <v>1.9459101490553132</v>
      </c>
      <c r="H773">
        <v>0.2857142857142857</v>
      </c>
      <c r="I773">
        <v>0.33333333333333331</v>
      </c>
      <c r="J773">
        <v>1</v>
      </c>
      <c r="K773">
        <v>5</v>
      </c>
      <c r="L773">
        <v>4</v>
      </c>
      <c r="M773">
        <v>4</v>
      </c>
      <c r="N773">
        <v>1</v>
      </c>
      <c r="O773">
        <v>1</v>
      </c>
      <c r="P773">
        <v>1</v>
      </c>
      <c r="Q773">
        <f t="shared" si="84"/>
        <v>1</v>
      </c>
      <c r="R773">
        <f t="shared" si="85"/>
        <v>17</v>
      </c>
      <c r="S773">
        <f t="array" ref="S773">MAX(IF($C$2:$C$1387=C773,$R$2:$R$1387))</f>
        <v>29</v>
      </c>
      <c r="T773" cm="1">
        <f t="array" ref="T773">MIN(IF($C$2:$C$1387=C773,$R$2:$R$1387))</f>
        <v>10</v>
      </c>
      <c r="U773">
        <f t="shared" si="86"/>
        <v>19</v>
      </c>
      <c r="V773">
        <f t="shared" si="87"/>
        <v>0.36842105263157893</v>
      </c>
      <c r="W773" cm="1">
        <f t="array" ref="W773">_xlfn.IFS(N773=1,5,N773=2,4,N773=4,2,N773=5,1,N773=3,3)</f>
        <v>5</v>
      </c>
      <c r="X773">
        <f t="shared" si="88"/>
        <v>21</v>
      </c>
      <c r="Y773" cm="1">
        <f t="array" ref="Y773">MAX(IF($C$2:$C$1387=C773,$X$2:$X$1387))</f>
        <v>32</v>
      </c>
      <c r="Z773" cm="1">
        <f t="array" ref="Z773">MIN(IF($C$2:$C$1387=C773,$X$2:$X$1387))</f>
        <v>10</v>
      </c>
      <c r="AA773">
        <f t="shared" si="89"/>
        <v>22</v>
      </c>
      <c r="AB773">
        <f t="shared" si="90"/>
        <v>0.5</v>
      </c>
    </row>
    <row r="774" spans="1:28" x14ac:dyDescent="0.25">
      <c r="A774" t="s">
        <v>284</v>
      </c>
      <c r="B774" t="s">
        <v>285</v>
      </c>
      <c r="C774">
        <v>2014</v>
      </c>
      <c r="D774">
        <v>0.59744973440028526</v>
      </c>
      <c r="E774">
        <v>0.73786073507752581</v>
      </c>
      <c r="F774">
        <v>0.13243643894638038</v>
      </c>
      <c r="G774">
        <v>1.9459101490553132</v>
      </c>
      <c r="H774">
        <v>0.2857142857142857</v>
      </c>
      <c r="I774">
        <v>0.33333333333333331</v>
      </c>
      <c r="J774">
        <v>1</v>
      </c>
      <c r="K774">
        <v>5</v>
      </c>
      <c r="L774">
        <v>4</v>
      </c>
      <c r="M774">
        <v>4</v>
      </c>
      <c r="N774">
        <v>1</v>
      </c>
      <c r="O774">
        <v>1</v>
      </c>
      <c r="P774">
        <v>1</v>
      </c>
      <c r="Q774">
        <f t="shared" si="84"/>
        <v>1</v>
      </c>
      <c r="R774">
        <f t="shared" si="85"/>
        <v>17</v>
      </c>
      <c r="S774">
        <f t="array" ref="S774">MAX(IF($C$2:$C$1387=C774,$R$2:$R$1387))</f>
        <v>29</v>
      </c>
      <c r="T774" cm="1">
        <f t="array" ref="T774">MIN(IF($C$2:$C$1387=C774,$R$2:$R$1387))</f>
        <v>11</v>
      </c>
      <c r="U774">
        <f t="shared" si="86"/>
        <v>18</v>
      </c>
      <c r="V774">
        <f t="shared" si="87"/>
        <v>0.33333333333333331</v>
      </c>
      <c r="W774" cm="1">
        <f t="array" ref="W774">_xlfn.IFS(N774=1,5,N774=2,4,N774=4,2,N774=5,1,N774=3,3)</f>
        <v>5</v>
      </c>
      <c r="X774">
        <f t="shared" si="88"/>
        <v>21</v>
      </c>
      <c r="Y774" cm="1">
        <f t="array" ref="Y774">MAX(IF($C$2:$C$1387=C774,$X$2:$X$1387))</f>
        <v>30</v>
      </c>
      <c r="Z774" cm="1">
        <f t="array" ref="Z774">MIN(IF($C$2:$C$1387=C774,$X$2:$X$1387))</f>
        <v>14</v>
      </c>
      <c r="AA774">
        <f t="shared" si="89"/>
        <v>16</v>
      </c>
      <c r="AB774">
        <f t="shared" si="90"/>
        <v>0.4375</v>
      </c>
    </row>
    <row r="775" spans="1:28" x14ac:dyDescent="0.25">
      <c r="A775" t="s">
        <v>284</v>
      </c>
      <c r="B775" t="s">
        <v>285</v>
      </c>
      <c r="C775">
        <v>2015</v>
      </c>
      <c r="D775">
        <v>0.59744973440028526</v>
      </c>
      <c r="E775">
        <v>0.73786073507752581</v>
      </c>
      <c r="F775">
        <v>0.13243643894638038</v>
      </c>
      <c r="G775">
        <v>1.9459101490553132</v>
      </c>
      <c r="H775">
        <v>0.2857142857142857</v>
      </c>
      <c r="I775">
        <v>0.33333333333333331</v>
      </c>
      <c r="J775">
        <v>1</v>
      </c>
      <c r="K775">
        <v>5</v>
      </c>
      <c r="L775">
        <v>4</v>
      </c>
      <c r="M775">
        <v>4</v>
      </c>
      <c r="N775">
        <v>1</v>
      </c>
      <c r="O775">
        <v>1</v>
      </c>
      <c r="P775">
        <v>1</v>
      </c>
      <c r="Q775">
        <f t="shared" si="84"/>
        <v>1</v>
      </c>
      <c r="R775">
        <f t="shared" si="85"/>
        <v>17</v>
      </c>
      <c r="S775">
        <f t="array" ref="S775">MAX(IF($C$2:$C$1387=C775,$R$2:$R$1387))</f>
        <v>29</v>
      </c>
      <c r="T775" cm="1">
        <f t="array" ref="T775">MIN(IF($C$2:$C$1387=C775,$R$2:$R$1387))</f>
        <v>11</v>
      </c>
      <c r="U775">
        <f t="shared" si="86"/>
        <v>18</v>
      </c>
      <c r="V775">
        <f t="shared" si="87"/>
        <v>0.33333333333333331</v>
      </c>
      <c r="W775" cm="1">
        <f t="array" ref="W775">_xlfn.IFS(N775=1,5,N775=2,4,N775=4,2,N775=5,1,N775=3,3)</f>
        <v>5</v>
      </c>
      <c r="X775">
        <f t="shared" si="88"/>
        <v>21</v>
      </c>
      <c r="Y775" cm="1">
        <f t="array" ref="Y775">MAX(IF($C$2:$C$1387=C775,$X$2:$X$1387))</f>
        <v>29</v>
      </c>
      <c r="Z775" cm="1">
        <f t="array" ref="Z775">MIN(IF($C$2:$C$1387=C775,$X$2:$X$1387))</f>
        <v>12</v>
      </c>
      <c r="AA775">
        <f t="shared" si="89"/>
        <v>17</v>
      </c>
      <c r="AB775">
        <f t="shared" si="90"/>
        <v>0.52941176470588236</v>
      </c>
    </row>
    <row r="776" spans="1:28" x14ac:dyDescent="0.25">
      <c r="A776" t="s">
        <v>286</v>
      </c>
      <c r="B776" t="s">
        <v>287</v>
      </c>
      <c r="C776">
        <v>2010</v>
      </c>
      <c r="D776">
        <v>2.6614587347810324E-7</v>
      </c>
      <c r="E776">
        <v>0.78140947140439188</v>
      </c>
      <c r="F776">
        <v>0</v>
      </c>
      <c r="G776">
        <v>2.0794415416798357</v>
      </c>
      <c r="H776">
        <v>0.75</v>
      </c>
      <c r="I776">
        <v>0.66666666666666663</v>
      </c>
      <c r="J776">
        <v>0</v>
      </c>
      <c r="K776">
        <v>1</v>
      </c>
      <c r="L776">
        <v>4</v>
      </c>
      <c r="M776">
        <v>1</v>
      </c>
      <c r="N776">
        <v>3</v>
      </c>
      <c r="O776">
        <v>4</v>
      </c>
      <c r="P776">
        <v>1</v>
      </c>
      <c r="Q776">
        <f t="shared" si="84"/>
        <v>5</v>
      </c>
      <c r="R776">
        <f t="shared" si="85"/>
        <v>19</v>
      </c>
      <c r="S776">
        <f t="array" ref="S776">MAX(IF($C$2:$C$1387=C776,$R$2:$R$1387))</f>
        <v>29</v>
      </c>
      <c r="T776" cm="1">
        <f t="array" ref="T776">MIN(IF($C$2:$C$1387=C776,$R$2:$R$1387))</f>
        <v>9</v>
      </c>
      <c r="U776">
        <f t="shared" si="86"/>
        <v>20</v>
      </c>
      <c r="V776">
        <f t="shared" si="87"/>
        <v>0.5</v>
      </c>
      <c r="W776" cm="1">
        <f t="array" ref="W776">_xlfn.IFS(N776=1,5,N776=2,4,N776=4,2,N776=5,1,N776=3,3)</f>
        <v>3</v>
      </c>
      <c r="X776">
        <f t="shared" si="88"/>
        <v>19</v>
      </c>
      <c r="Y776" cm="1">
        <f t="array" ref="Y776">MAX(IF($C$2:$C$1387=C776,$X$2:$X$1387))</f>
        <v>29</v>
      </c>
      <c r="Z776" cm="1">
        <f t="array" ref="Z776">MIN(IF($C$2:$C$1387=C776,$X$2:$X$1387))</f>
        <v>12</v>
      </c>
      <c r="AA776">
        <f t="shared" si="89"/>
        <v>17</v>
      </c>
      <c r="AB776">
        <f t="shared" si="90"/>
        <v>0.41176470588235292</v>
      </c>
    </row>
    <row r="777" spans="1:28" x14ac:dyDescent="0.25">
      <c r="A777" t="s">
        <v>286</v>
      </c>
      <c r="B777" t="s">
        <v>287</v>
      </c>
      <c r="C777">
        <v>2011</v>
      </c>
      <c r="D777">
        <v>9.2727731883838712E-5</v>
      </c>
      <c r="E777">
        <v>0.78047646963783313</v>
      </c>
      <c r="F777">
        <v>4.5714942865336033E-2</v>
      </c>
      <c r="G777">
        <v>2.0794415416798357</v>
      </c>
      <c r="H777">
        <v>0.625</v>
      </c>
      <c r="I777">
        <v>0.66666666666666663</v>
      </c>
      <c r="J777">
        <v>0</v>
      </c>
      <c r="K777">
        <v>1</v>
      </c>
      <c r="L777">
        <v>4</v>
      </c>
      <c r="M777">
        <v>3</v>
      </c>
      <c r="N777">
        <v>3</v>
      </c>
      <c r="O777">
        <v>3</v>
      </c>
      <c r="P777">
        <v>1</v>
      </c>
      <c r="Q777">
        <f t="shared" si="84"/>
        <v>5</v>
      </c>
      <c r="R777">
        <f t="shared" si="85"/>
        <v>20</v>
      </c>
      <c r="S777">
        <f t="array" ref="S777">MAX(IF($C$2:$C$1387=C777,$R$2:$R$1387))</f>
        <v>28</v>
      </c>
      <c r="T777" cm="1">
        <f t="array" ref="T777">MIN(IF($C$2:$C$1387=C777,$R$2:$R$1387))</f>
        <v>10</v>
      </c>
      <c r="U777">
        <f t="shared" si="86"/>
        <v>18</v>
      </c>
      <c r="V777">
        <f t="shared" si="87"/>
        <v>0.55555555555555558</v>
      </c>
      <c r="W777" cm="1">
        <f t="array" ref="W777">_xlfn.IFS(N777=1,5,N777=2,4,N777=4,2,N777=5,1,N777=3,3)</f>
        <v>3</v>
      </c>
      <c r="X777">
        <f t="shared" si="88"/>
        <v>20</v>
      </c>
      <c r="Y777" cm="1">
        <f t="array" ref="Y777">MAX(IF($C$2:$C$1387=C777,$X$2:$X$1387))</f>
        <v>29</v>
      </c>
      <c r="Z777" cm="1">
        <f t="array" ref="Z777">MIN(IF($C$2:$C$1387=C777,$X$2:$X$1387))</f>
        <v>12</v>
      </c>
      <c r="AA777">
        <f t="shared" si="89"/>
        <v>17</v>
      </c>
      <c r="AB777">
        <f t="shared" si="90"/>
        <v>0.47058823529411764</v>
      </c>
    </row>
    <row r="778" spans="1:28" x14ac:dyDescent="0.25">
      <c r="A778" t="s">
        <v>286</v>
      </c>
      <c r="B778" t="s">
        <v>287</v>
      </c>
      <c r="C778">
        <v>2012</v>
      </c>
      <c r="D778">
        <v>4.6426935249406102E-7</v>
      </c>
      <c r="E778">
        <v>0.79169124916753142</v>
      </c>
      <c r="F778">
        <v>3.9716705007258164E-2</v>
      </c>
      <c r="G778">
        <v>2.0794415416798357</v>
      </c>
      <c r="H778">
        <v>0.375</v>
      </c>
      <c r="I778">
        <v>0.33333333333333331</v>
      </c>
      <c r="J778">
        <v>0</v>
      </c>
      <c r="K778">
        <v>1</v>
      </c>
      <c r="L778">
        <v>4</v>
      </c>
      <c r="M778">
        <v>3</v>
      </c>
      <c r="N778">
        <v>3</v>
      </c>
      <c r="O778">
        <v>1</v>
      </c>
      <c r="P778">
        <v>1</v>
      </c>
      <c r="Q778">
        <f t="shared" si="84"/>
        <v>5</v>
      </c>
      <c r="R778">
        <f t="shared" si="85"/>
        <v>18</v>
      </c>
      <c r="S778">
        <f t="array" ref="S778">MAX(IF($C$2:$C$1387=C778,$R$2:$R$1387))</f>
        <v>29</v>
      </c>
      <c r="T778" cm="1">
        <f t="array" ref="T778">MIN(IF($C$2:$C$1387=C778,$R$2:$R$1387))</f>
        <v>11</v>
      </c>
      <c r="U778">
        <f t="shared" si="86"/>
        <v>18</v>
      </c>
      <c r="V778">
        <f t="shared" si="87"/>
        <v>0.3888888888888889</v>
      </c>
      <c r="W778" cm="1">
        <f t="array" ref="W778">_xlfn.IFS(N778=1,5,N778=2,4,N778=4,2,N778=5,1,N778=3,3)</f>
        <v>3</v>
      </c>
      <c r="X778">
        <f t="shared" si="88"/>
        <v>18</v>
      </c>
      <c r="Y778" cm="1">
        <f t="array" ref="Y778">MAX(IF($C$2:$C$1387=C778,$X$2:$X$1387))</f>
        <v>30</v>
      </c>
      <c r="Z778" cm="1">
        <f t="array" ref="Z778">MIN(IF($C$2:$C$1387=C778,$X$2:$X$1387))</f>
        <v>12</v>
      </c>
      <c r="AA778">
        <f t="shared" si="89"/>
        <v>18</v>
      </c>
      <c r="AB778">
        <f t="shared" si="90"/>
        <v>0.33333333333333331</v>
      </c>
    </row>
    <row r="779" spans="1:28" x14ac:dyDescent="0.25">
      <c r="A779" t="s">
        <v>286</v>
      </c>
      <c r="B779" t="s">
        <v>287</v>
      </c>
      <c r="C779">
        <v>2013</v>
      </c>
      <c r="D779">
        <v>4.6426935249406102E-7</v>
      </c>
      <c r="E779">
        <v>0.80126495937272013</v>
      </c>
      <c r="F779">
        <v>4.2769815556181132E-2</v>
      </c>
      <c r="G779">
        <v>2.0794415416798357</v>
      </c>
      <c r="H779">
        <v>0.375</v>
      </c>
      <c r="I779">
        <v>0.33333333333333331</v>
      </c>
      <c r="J779">
        <v>0</v>
      </c>
      <c r="K779">
        <v>1</v>
      </c>
      <c r="L779">
        <v>4</v>
      </c>
      <c r="M779">
        <v>3</v>
      </c>
      <c r="N779">
        <v>3</v>
      </c>
      <c r="O779">
        <v>1</v>
      </c>
      <c r="P779">
        <v>1</v>
      </c>
      <c r="Q779">
        <f t="shared" si="84"/>
        <v>5</v>
      </c>
      <c r="R779">
        <f t="shared" si="85"/>
        <v>18</v>
      </c>
      <c r="S779">
        <f t="array" ref="S779">MAX(IF($C$2:$C$1387=C779,$R$2:$R$1387))</f>
        <v>29</v>
      </c>
      <c r="T779" cm="1">
        <f t="array" ref="T779">MIN(IF($C$2:$C$1387=C779,$R$2:$R$1387))</f>
        <v>10</v>
      </c>
      <c r="U779">
        <f t="shared" si="86"/>
        <v>19</v>
      </c>
      <c r="V779">
        <f t="shared" si="87"/>
        <v>0.42105263157894735</v>
      </c>
      <c r="W779" cm="1">
        <f t="array" ref="W779">_xlfn.IFS(N779=1,5,N779=2,4,N779=4,2,N779=5,1,N779=3,3)</f>
        <v>3</v>
      </c>
      <c r="X779">
        <f t="shared" si="88"/>
        <v>18</v>
      </c>
      <c r="Y779" cm="1">
        <f t="array" ref="Y779">MAX(IF($C$2:$C$1387=C779,$X$2:$X$1387))</f>
        <v>32</v>
      </c>
      <c r="Z779" cm="1">
        <f t="array" ref="Z779">MIN(IF($C$2:$C$1387=C779,$X$2:$X$1387))</f>
        <v>10</v>
      </c>
      <c r="AA779">
        <f t="shared" si="89"/>
        <v>22</v>
      </c>
      <c r="AB779">
        <f t="shared" si="90"/>
        <v>0.36363636363636365</v>
      </c>
    </row>
    <row r="780" spans="1:28" x14ac:dyDescent="0.25">
      <c r="A780" t="s">
        <v>286</v>
      </c>
      <c r="B780" t="s">
        <v>287</v>
      </c>
      <c r="C780">
        <v>2014</v>
      </c>
      <c r="D780">
        <v>2.0935047616019538E-7</v>
      </c>
      <c r="E780">
        <v>0.82089584465906196</v>
      </c>
      <c r="F780">
        <v>4.6149310101553813E-2</v>
      </c>
      <c r="G780">
        <v>2.0794415416798357</v>
      </c>
      <c r="H780">
        <v>0.5</v>
      </c>
      <c r="I780">
        <v>0.66666666666666663</v>
      </c>
      <c r="J780">
        <v>0</v>
      </c>
      <c r="K780">
        <v>1</v>
      </c>
      <c r="L780">
        <v>4</v>
      </c>
      <c r="M780">
        <v>3</v>
      </c>
      <c r="N780">
        <v>3</v>
      </c>
      <c r="O780">
        <v>2</v>
      </c>
      <c r="P780">
        <v>1</v>
      </c>
      <c r="Q780">
        <f t="shared" si="84"/>
        <v>5</v>
      </c>
      <c r="R780">
        <f t="shared" si="85"/>
        <v>19</v>
      </c>
      <c r="S780">
        <f t="array" ref="S780">MAX(IF($C$2:$C$1387=C780,$R$2:$R$1387))</f>
        <v>29</v>
      </c>
      <c r="T780" cm="1">
        <f t="array" ref="T780">MIN(IF($C$2:$C$1387=C780,$R$2:$R$1387))</f>
        <v>11</v>
      </c>
      <c r="U780">
        <f t="shared" si="86"/>
        <v>18</v>
      </c>
      <c r="V780">
        <f t="shared" si="87"/>
        <v>0.44444444444444442</v>
      </c>
      <c r="W780" cm="1">
        <f t="array" ref="W780">_xlfn.IFS(N780=1,5,N780=2,4,N780=4,2,N780=5,1,N780=3,3)</f>
        <v>3</v>
      </c>
      <c r="X780">
        <f t="shared" si="88"/>
        <v>19</v>
      </c>
      <c r="Y780" cm="1">
        <f t="array" ref="Y780">MAX(IF($C$2:$C$1387=C780,$X$2:$X$1387))</f>
        <v>30</v>
      </c>
      <c r="Z780" cm="1">
        <f t="array" ref="Z780">MIN(IF($C$2:$C$1387=C780,$X$2:$X$1387))</f>
        <v>14</v>
      </c>
      <c r="AA780">
        <f t="shared" si="89"/>
        <v>16</v>
      </c>
      <c r="AB780">
        <f t="shared" si="90"/>
        <v>0.3125</v>
      </c>
    </row>
    <row r="781" spans="1:28" x14ac:dyDescent="0.25">
      <c r="A781" t="s">
        <v>286</v>
      </c>
      <c r="B781" t="s">
        <v>287</v>
      </c>
      <c r="C781">
        <v>2015</v>
      </c>
      <c r="D781">
        <v>0</v>
      </c>
      <c r="E781">
        <v>0.81226987858850552</v>
      </c>
      <c r="F781">
        <v>2.9226930611731709E-2</v>
      </c>
      <c r="G781">
        <v>2.0794415416798357</v>
      </c>
      <c r="H781">
        <v>0.375</v>
      </c>
      <c r="I781">
        <v>0.33333333333333331</v>
      </c>
      <c r="J781">
        <v>0</v>
      </c>
      <c r="K781">
        <v>1</v>
      </c>
      <c r="L781">
        <v>4</v>
      </c>
      <c r="M781">
        <v>2</v>
      </c>
      <c r="N781">
        <v>3</v>
      </c>
      <c r="O781">
        <v>1</v>
      </c>
      <c r="P781">
        <v>1</v>
      </c>
      <c r="Q781">
        <f t="shared" si="84"/>
        <v>5</v>
      </c>
      <c r="R781">
        <f t="shared" si="85"/>
        <v>17</v>
      </c>
      <c r="S781">
        <f t="array" ref="S781">MAX(IF($C$2:$C$1387=C781,$R$2:$R$1387))</f>
        <v>29</v>
      </c>
      <c r="T781" cm="1">
        <f t="array" ref="T781">MIN(IF($C$2:$C$1387=C781,$R$2:$R$1387))</f>
        <v>11</v>
      </c>
      <c r="U781">
        <f t="shared" si="86"/>
        <v>18</v>
      </c>
      <c r="V781">
        <f t="shared" si="87"/>
        <v>0.33333333333333331</v>
      </c>
      <c r="W781" cm="1">
        <f t="array" ref="W781">_xlfn.IFS(N781=1,5,N781=2,4,N781=4,2,N781=5,1,N781=3,3)</f>
        <v>3</v>
      </c>
      <c r="X781">
        <f t="shared" si="88"/>
        <v>17</v>
      </c>
      <c r="Y781" cm="1">
        <f t="array" ref="Y781">MAX(IF($C$2:$C$1387=C781,$X$2:$X$1387))</f>
        <v>29</v>
      </c>
      <c r="Z781" cm="1">
        <f t="array" ref="Z781">MIN(IF($C$2:$C$1387=C781,$X$2:$X$1387))</f>
        <v>12</v>
      </c>
      <c r="AA781">
        <f t="shared" si="89"/>
        <v>17</v>
      </c>
      <c r="AB781">
        <f t="shared" si="90"/>
        <v>0.29411764705882354</v>
      </c>
    </row>
    <row r="782" spans="1:28" x14ac:dyDescent="0.25">
      <c r="A782" t="s">
        <v>288</v>
      </c>
      <c r="B782" t="s">
        <v>289</v>
      </c>
      <c r="C782">
        <v>2010</v>
      </c>
      <c r="D782">
        <v>0.63699133333333335</v>
      </c>
      <c r="E782">
        <v>0.44977533333333336</v>
      </c>
      <c r="F782">
        <v>3.2445333333333331E-3</v>
      </c>
      <c r="G782">
        <v>1.9459101490553132</v>
      </c>
      <c r="H782">
        <v>0.42857142857142855</v>
      </c>
      <c r="I782">
        <v>0.66666666666666663</v>
      </c>
      <c r="J782">
        <v>0</v>
      </c>
      <c r="K782">
        <v>5</v>
      </c>
      <c r="L782">
        <v>1</v>
      </c>
      <c r="M782">
        <v>2</v>
      </c>
      <c r="N782">
        <v>1</v>
      </c>
      <c r="O782">
        <v>2</v>
      </c>
      <c r="P782">
        <v>1</v>
      </c>
      <c r="Q782">
        <f t="shared" si="84"/>
        <v>5</v>
      </c>
      <c r="R782">
        <f t="shared" si="85"/>
        <v>17</v>
      </c>
      <c r="S782">
        <f t="array" ref="S782">MAX(IF($C$2:$C$1387=C782,$R$2:$R$1387))</f>
        <v>29</v>
      </c>
      <c r="T782" cm="1">
        <f t="array" ref="T782">MIN(IF($C$2:$C$1387=C782,$R$2:$R$1387))</f>
        <v>9</v>
      </c>
      <c r="U782">
        <f t="shared" si="86"/>
        <v>20</v>
      </c>
      <c r="V782">
        <f t="shared" si="87"/>
        <v>0.4</v>
      </c>
      <c r="W782" cm="1">
        <f t="array" ref="W782">_xlfn.IFS(N782=1,5,N782=2,4,N782=4,2,N782=5,1,N782=3,3)</f>
        <v>5</v>
      </c>
      <c r="X782">
        <f t="shared" si="88"/>
        <v>21</v>
      </c>
      <c r="Y782" cm="1">
        <f t="array" ref="Y782">MAX(IF($C$2:$C$1387=C782,$X$2:$X$1387))</f>
        <v>29</v>
      </c>
      <c r="Z782" cm="1">
        <f t="array" ref="Z782">MIN(IF($C$2:$C$1387=C782,$X$2:$X$1387))</f>
        <v>12</v>
      </c>
      <c r="AA782">
        <f t="shared" si="89"/>
        <v>17</v>
      </c>
      <c r="AB782">
        <f t="shared" si="90"/>
        <v>0.52941176470588236</v>
      </c>
    </row>
    <row r="783" spans="1:28" x14ac:dyDescent="0.25">
      <c r="A783" t="s">
        <v>288</v>
      </c>
      <c r="B783" t="s">
        <v>289</v>
      </c>
      <c r="C783">
        <v>2011</v>
      </c>
      <c r="D783">
        <v>0.63699133333333335</v>
      </c>
      <c r="E783">
        <v>0.44977533333333336</v>
      </c>
      <c r="F783">
        <v>3.2445333333333331E-3</v>
      </c>
      <c r="G783">
        <v>1.9459101490553132</v>
      </c>
      <c r="H783">
        <v>0.42857142857142855</v>
      </c>
      <c r="I783">
        <v>0.66666666666666663</v>
      </c>
      <c r="J783">
        <v>0</v>
      </c>
      <c r="K783">
        <v>5</v>
      </c>
      <c r="L783">
        <v>1</v>
      </c>
      <c r="M783">
        <v>1</v>
      </c>
      <c r="N783">
        <v>1</v>
      </c>
      <c r="O783">
        <v>2</v>
      </c>
      <c r="P783">
        <v>1</v>
      </c>
      <c r="Q783">
        <f t="shared" si="84"/>
        <v>5</v>
      </c>
      <c r="R783">
        <f t="shared" si="85"/>
        <v>16</v>
      </c>
      <c r="S783">
        <f t="array" ref="S783">MAX(IF($C$2:$C$1387=C783,$R$2:$R$1387))</f>
        <v>28</v>
      </c>
      <c r="T783" cm="1">
        <f t="array" ref="T783">MIN(IF($C$2:$C$1387=C783,$R$2:$R$1387))</f>
        <v>10</v>
      </c>
      <c r="U783">
        <f t="shared" si="86"/>
        <v>18</v>
      </c>
      <c r="V783">
        <f t="shared" si="87"/>
        <v>0.33333333333333331</v>
      </c>
      <c r="W783" cm="1">
        <f t="array" ref="W783">_xlfn.IFS(N783=1,5,N783=2,4,N783=4,2,N783=5,1,N783=3,3)</f>
        <v>5</v>
      </c>
      <c r="X783">
        <f t="shared" si="88"/>
        <v>20</v>
      </c>
      <c r="Y783" cm="1">
        <f t="array" ref="Y783">MAX(IF($C$2:$C$1387=C783,$X$2:$X$1387))</f>
        <v>29</v>
      </c>
      <c r="Z783" cm="1">
        <f t="array" ref="Z783">MIN(IF($C$2:$C$1387=C783,$X$2:$X$1387))</f>
        <v>12</v>
      </c>
      <c r="AA783">
        <f t="shared" si="89"/>
        <v>17</v>
      </c>
      <c r="AB783">
        <f t="shared" si="90"/>
        <v>0.47058823529411764</v>
      </c>
    </row>
    <row r="784" spans="1:28" x14ac:dyDescent="0.25">
      <c r="A784" t="s">
        <v>288</v>
      </c>
      <c r="B784" t="s">
        <v>289</v>
      </c>
      <c r="C784">
        <v>2012</v>
      </c>
      <c r="D784">
        <v>0.63699133333333335</v>
      </c>
      <c r="E784">
        <v>0.44977533333333336</v>
      </c>
      <c r="F784">
        <v>3.2445333333333331E-3</v>
      </c>
      <c r="G784">
        <v>1.9459101490553132</v>
      </c>
      <c r="H784">
        <v>0.42857142857142855</v>
      </c>
      <c r="I784">
        <v>0.66666666666666663</v>
      </c>
      <c r="J784">
        <v>0</v>
      </c>
      <c r="K784">
        <v>5</v>
      </c>
      <c r="L784">
        <v>1</v>
      </c>
      <c r="M784">
        <v>1</v>
      </c>
      <c r="N784">
        <v>1</v>
      </c>
      <c r="O784">
        <v>2</v>
      </c>
      <c r="P784">
        <v>1</v>
      </c>
      <c r="Q784">
        <f t="shared" si="84"/>
        <v>5</v>
      </c>
      <c r="R784">
        <f t="shared" si="85"/>
        <v>16</v>
      </c>
      <c r="S784">
        <f t="array" ref="S784">MAX(IF($C$2:$C$1387=C784,$R$2:$R$1387))</f>
        <v>29</v>
      </c>
      <c r="T784" cm="1">
        <f t="array" ref="T784">MIN(IF($C$2:$C$1387=C784,$R$2:$R$1387))</f>
        <v>11</v>
      </c>
      <c r="U784">
        <f t="shared" si="86"/>
        <v>18</v>
      </c>
      <c r="V784">
        <f t="shared" si="87"/>
        <v>0.27777777777777779</v>
      </c>
      <c r="W784" cm="1">
        <f t="array" ref="W784">_xlfn.IFS(N784=1,5,N784=2,4,N784=4,2,N784=5,1,N784=3,3)</f>
        <v>5</v>
      </c>
      <c r="X784">
        <f t="shared" si="88"/>
        <v>20</v>
      </c>
      <c r="Y784" cm="1">
        <f t="array" ref="Y784">MAX(IF($C$2:$C$1387=C784,$X$2:$X$1387))</f>
        <v>30</v>
      </c>
      <c r="Z784" cm="1">
        <f t="array" ref="Z784">MIN(IF($C$2:$C$1387=C784,$X$2:$X$1387))</f>
        <v>12</v>
      </c>
      <c r="AA784">
        <f t="shared" si="89"/>
        <v>18</v>
      </c>
      <c r="AB784">
        <f t="shared" si="90"/>
        <v>0.44444444444444442</v>
      </c>
    </row>
    <row r="785" spans="1:28" x14ac:dyDescent="0.25">
      <c r="A785" t="s">
        <v>288</v>
      </c>
      <c r="B785" t="s">
        <v>289</v>
      </c>
      <c r="C785">
        <v>2013</v>
      </c>
      <c r="D785">
        <v>0.5719913333333333</v>
      </c>
      <c r="E785">
        <v>0.42010199999999998</v>
      </c>
      <c r="F785">
        <v>5.2577866666666667E-2</v>
      </c>
      <c r="G785">
        <v>1.9459101490553132</v>
      </c>
      <c r="H785">
        <v>0.42857142857142855</v>
      </c>
      <c r="I785">
        <v>1</v>
      </c>
      <c r="J785">
        <v>0</v>
      </c>
      <c r="K785">
        <v>5</v>
      </c>
      <c r="L785">
        <v>1</v>
      </c>
      <c r="M785">
        <v>3</v>
      </c>
      <c r="N785">
        <v>1</v>
      </c>
      <c r="O785">
        <v>1</v>
      </c>
      <c r="P785">
        <v>3</v>
      </c>
      <c r="Q785">
        <f t="shared" si="84"/>
        <v>5</v>
      </c>
      <c r="R785">
        <f t="shared" si="85"/>
        <v>19</v>
      </c>
      <c r="S785">
        <f t="array" ref="S785">MAX(IF($C$2:$C$1387=C785,$R$2:$R$1387))</f>
        <v>29</v>
      </c>
      <c r="T785" cm="1">
        <f t="array" ref="T785">MIN(IF($C$2:$C$1387=C785,$R$2:$R$1387))</f>
        <v>10</v>
      </c>
      <c r="U785">
        <f t="shared" si="86"/>
        <v>19</v>
      </c>
      <c r="V785">
        <f t="shared" si="87"/>
        <v>0.47368421052631576</v>
      </c>
      <c r="W785" cm="1">
        <f t="array" ref="W785">_xlfn.IFS(N785=1,5,N785=2,4,N785=4,2,N785=5,1,N785=3,3)</f>
        <v>5</v>
      </c>
      <c r="X785">
        <f t="shared" si="88"/>
        <v>23</v>
      </c>
      <c r="Y785" cm="1">
        <f t="array" ref="Y785">MAX(IF($C$2:$C$1387=C785,$X$2:$X$1387))</f>
        <v>32</v>
      </c>
      <c r="Z785" cm="1">
        <f t="array" ref="Z785">MIN(IF($C$2:$C$1387=C785,$X$2:$X$1387))</f>
        <v>10</v>
      </c>
      <c r="AA785">
        <f t="shared" si="89"/>
        <v>22</v>
      </c>
      <c r="AB785">
        <f t="shared" si="90"/>
        <v>0.59090909090909094</v>
      </c>
    </row>
    <row r="786" spans="1:28" x14ac:dyDescent="0.25">
      <c r="A786" t="s">
        <v>288</v>
      </c>
      <c r="B786" t="s">
        <v>289</v>
      </c>
      <c r="C786">
        <v>2014</v>
      </c>
      <c r="D786">
        <v>0.5719913333333333</v>
      </c>
      <c r="E786">
        <v>0.42010199999999998</v>
      </c>
      <c r="F786">
        <v>2.8327999999999999E-3</v>
      </c>
      <c r="G786">
        <v>1.9459101490553132</v>
      </c>
      <c r="H786">
        <v>0.42857142857142855</v>
      </c>
      <c r="I786">
        <v>1</v>
      </c>
      <c r="J786">
        <v>0</v>
      </c>
      <c r="K786">
        <v>5</v>
      </c>
      <c r="L786">
        <v>1</v>
      </c>
      <c r="M786">
        <v>1</v>
      </c>
      <c r="N786">
        <v>1</v>
      </c>
      <c r="O786">
        <v>1</v>
      </c>
      <c r="P786">
        <v>3</v>
      </c>
      <c r="Q786">
        <f t="shared" si="84"/>
        <v>5</v>
      </c>
      <c r="R786">
        <f t="shared" si="85"/>
        <v>17</v>
      </c>
      <c r="S786">
        <f t="array" ref="S786">MAX(IF($C$2:$C$1387=C786,$R$2:$R$1387))</f>
        <v>29</v>
      </c>
      <c r="T786" cm="1">
        <f t="array" ref="T786">MIN(IF($C$2:$C$1387=C786,$R$2:$R$1387))</f>
        <v>11</v>
      </c>
      <c r="U786">
        <f t="shared" si="86"/>
        <v>18</v>
      </c>
      <c r="V786">
        <f t="shared" si="87"/>
        <v>0.33333333333333331</v>
      </c>
      <c r="W786" cm="1">
        <f t="array" ref="W786">_xlfn.IFS(N786=1,5,N786=2,4,N786=4,2,N786=5,1,N786=3,3)</f>
        <v>5</v>
      </c>
      <c r="X786">
        <f t="shared" si="88"/>
        <v>21</v>
      </c>
      <c r="Y786" cm="1">
        <f t="array" ref="Y786">MAX(IF($C$2:$C$1387=C786,$X$2:$X$1387))</f>
        <v>30</v>
      </c>
      <c r="Z786" cm="1">
        <f t="array" ref="Z786">MIN(IF($C$2:$C$1387=C786,$X$2:$X$1387))</f>
        <v>14</v>
      </c>
      <c r="AA786">
        <f t="shared" si="89"/>
        <v>16</v>
      </c>
      <c r="AB786">
        <f t="shared" si="90"/>
        <v>0.4375</v>
      </c>
    </row>
    <row r="787" spans="1:28" x14ac:dyDescent="0.25">
      <c r="A787" t="s">
        <v>288</v>
      </c>
      <c r="B787" t="s">
        <v>289</v>
      </c>
      <c r="C787">
        <v>2015</v>
      </c>
      <c r="D787">
        <v>0.65971133333333332</v>
      </c>
      <c r="E787">
        <v>0.42010199999999998</v>
      </c>
      <c r="F787">
        <v>2.8327999999999999E-3</v>
      </c>
      <c r="G787">
        <v>1.9459101490553132</v>
      </c>
      <c r="H787">
        <v>0.42857142857142855</v>
      </c>
      <c r="I787">
        <v>1</v>
      </c>
      <c r="J787">
        <v>0</v>
      </c>
      <c r="K787">
        <v>5</v>
      </c>
      <c r="L787">
        <v>1</v>
      </c>
      <c r="M787">
        <v>1</v>
      </c>
      <c r="N787">
        <v>1</v>
      </c>
      <c r="O787">
        <v>1</v>
      </c>
      <c r="P787">
        <v>2</v>
      </c>
      <c r="Q787">
        <f t="shared" si="84"/>
        <v>5</v>
      </c>
      <c r="R787">
        <f t="shared" si="85"/>
        <v>16</v>
      </c>
      <c r="S787">
        <f t="array" ref="S787">MAX(IF($C$2:$C$1387=C787,$R$2:$R$1387))</f>
        <v>29</v>
      </c>
      <c r="T787" cm="1">
        <f t="array" ref="T787">MIN(IF($C$2:$C$1387=C787,$R$2:$R$1387))</f>
        <v>11</v>
      </c>
      <c r="U787">
        <f t="shared" si="86"/>
        <v>18</v>
      </c>
      <c r="V787">
        <f t="shared" si="87"/>
        <v>0.27777777777777779</v>
      </c>
      <c r="W787" cm="1">
        <f t="array" ref="W787">_xlfn.IFS(N787=1,5,N787=2,4,N787=4,2,N787=5,1,N787=3,3)</f>
        <v>5</v>
      </c>
      <c r="X787">
        <f t="shared" si="88"/>
        <v>20</v>
      </c>
      <c r="Y787" cm="1">
        <f t="array" ref="Y787">MAX(IF($C$2:$C$1387=C787,$X$2:$X$1387))</f>
        <v>29</v>
      </c>
      <c r="Z787" cm="1">
        <f t="array" ref="Z787">MIN(IF($C$2:$C$1387=C787,$X$2:$X$1387))</f>
        <v>12</v>
      </c>
      <c r="AA787">
        <f t="shared" si="89"/>
        <v>17</v>
      </c>
      <c r="AB787">
        <f t="shared" si="90"/>
        <v>0.47058823529411764</v>
      </c>
    </row>
    <row r="788" spans="1:28" x14ac:dyDescent="0.25">
      <c r="A788" t="s">
        <v>290</v>
      </c>
      <c r="B788" t="s">
        <v>291</v>
      </c>
      <c r="C788">
        <v>2010</v>
      </c>
      <c r="D788">
        <v>0.29659999847412111</v>
      </c>
      <c r="E788">
        <v>0.30864537147274834</v>
      </c>
      <c r="F788">
        <v>9.8100000000000007E-2</v>
      </c>
      <c r="G788">
        <v>2.1972245773362196</v>
      </c>
      <c r="H788">
        <v>0.66666666666666663</v>
      </c>
      <c r="I788">
        <v>1</v>
      </c>
      <c r="J788">
        <v>0</v>
      </c>
      <c r="K788">
        <v>4</v>
      </c>
      <c r="L788">
        <v>1</v>
      </c>
      <c r="M788">
        <v>4</v>
      </c>
      <c r="N788">
        <v>4</v>
      </c>
      <c r="O788">
        <v>3</v>
      </c>
      <c r="P788">
        <v>3</v>
      </c>
      <c r="Q788">
        <f t="shared" si="84"/>
        <v>5</v>
      </c>
      <c r="R788">
        <f t="shared" si="85"/>
        <v>24</v>
      </c>
      <c r="S788">
        <f t="array" ref="S788">MAX(IF($C$2:$C$1387=C788,$R$2:$R$1387))</f>
        <v>29</v>
      </c>
      <c r="T788" cm="1">
        <f t="array" ref="T788">MIN(IF($C$2:$C$1387=C788,$R$2:$R$1387))</f>
        <v>9</v>
      </c>
      <c r="U788">
        <f t="shared" si="86"/>
        <v>20</v>
      </c>
      <c r="V788">
        <f t="shared" si="87"/>
        <v>0.75</v>
      </c>
      <c r="W788" cm="1">
        <f t="array" ref="W788">_xlfn.IFS(N788=1,5,N788=2,4,N788=4,2,N788=5,1,N788=3,3)</f>
        <v>2</v>
      </c>
      <c r="X788">
        <f t="shared" si="88"/>
        <v>22</v>
      </c>
      <c r="Y788" cm="1">
        <f t="array" ref="Y788">MAX(IF($C$2:$C$1387=C788,$X$2:$X$1387))</f>
        <v>29</v>
      </c>
      <c r="Z788" cm="1">
        <f t="array" ref="Z788">MIN(IF($C$2:$C$1387=C788,$X$2:$X$1387))</f>
        <v>12</v>
      </c>
      <c r="AA788">
        <f t="shared" si="89"/>
        <v>17</v>
      </c>
      <c r="AB788">
        <f t="shared" si="90"/>
        <v>0.58823529411764708</v>
      </c>
    </row>
    <row r="789" spans="1:28" x14ac:dyDescent="0.25">
      <c r="A789" t="s">
        <v>290</v>
      </c>
      <c r="B789" t="s">
        <v>291</v>
      </c>
      <c r="C789">
        <v>2011</v>
      </c>
      <c r="D789">
        <v>0.29664939775802085</v>
      </c>
      <c r="E789">
        <v>0.3038354943950522</v>
      </c>
      <c r="F789">
        <v>5.1776068032470042E-2</v>
      </c>
      <c r="G789">
        <v>2.0794415416798357</v>
      </c>
      <c r="H789">
        <v>0.75</v>
      </c>
      <c r="I789">
        <v>1</v>
      </c>
      <c r="J789">
        <v>0</v>
      </c>
      <c r="K789">
        <v>4</v>
      </c>
      <c r="L789">
        <v>1</v>
      </c>
      <c r="M789">
        <v>3</v>
      </c>
      <c r="N789">
        <v>3</v>
      </c>
      <c r="O789">
        <v>4</v>
      </c>
      <c r="P789">
        <v>3</v>
      </c>
      <c r="Q789">
        <f t="shared" si="84"/>
        <v>5</v>
      </c>
      <c r="R789">
        <f t="shared" si="85"/>
        <v>23</v>
      </c>
      <c r="S789">
        <f t="array" ref="S789">MAX(IF($C$2:$C$1387=C789,$R$2:$R$1387))</f>
        <v>28</v>
      </c>
      <c r="T789" cm="1">
        <f t="array" ref="T789">MIN(IF($C$2:$C$1387=C789,$R$2:$R$1387))</f>
        <v>10</v>
      </c>
      <c r="U789">
        <f t="shared" si="86"/>
        <v>18</v>
      </c>
      <c r="V789">
        <f t="shared" si="87"/>
        <v>0.72222222222222221</v>
      </c>
      <c r="W789" cm="1">
        <f t="array" ref="W789">_xlfn.IFS(N789=1,5,N789=2,4,N789=4,2,N789=5,1,N789=3,3)</f>
        <v>3</v>
      </c>
      <c r="X789">
        <f t="shared" si="88"/>
        <v>23</v>
      </c>
      <c r="Y789" cm="1">
        <f t="array" ref="Y789">MAX(IF($C$2:$C$1387=C789,$X$2:$X$1387))</f>
        <v>29</v>
      </c>
      <c r="Z789" cm="1">
        <f t="array" ref="Z789">MIN(IF($C$2:$C$1387=C789,$X$2:$X$1387))</f>
        <v>12</v>
      </c>
      <c r="AA789">
        <f t="shared" si="89"/>
        <v>17</v>
      </c>
      <c r="AB789">
        <f t="shared" si="90"/>
        <v>0.6470588235294118</v>
      </c>
    </row>
    <row r="790" spans="1:28" x14ac:dyDescent="0.25">
      <c r="A790" t="s">
        <v>290</v>
      </c>
      <c r="B790" t="s">
        <v>291</v>
      </c>
      <c r="C790">
        <v>2012</v>
      </c>
      <c r="D790">
        <v>0.29664939775802085</v>
      </c>
      <c r="E790">
        <v>0.3038354943950522</v>
      </c>
      <c r="F790">
        <v>5.1776068032470042E-2</v>
      </c>
      <c r="G790">
        <v>2.0794415416798357</v>
      </c>
      <c r="H790">
        <v>0.75</v>
      </c>
      <c r="I790">
        <v>1</v>
      </c>
      <c r="J790">
        <v>0</v>
      </c>
      <c r="K790">
        <v>3</v>
      </c>
      <c r="L790">
        <v>1</v>
      </c>
      <c r="M790">
        <v>3</v>
      </c>
      <c r="N790">
        <v>3</v>
      </c>
      <c r="O790">
        <v>4</v>
      </c>
      <c r="P790">
        <v>3</v>
      </c>
      <c r="Q790">
        <f t="shared" si="84"/>
        <v>5</v>
      </c>
      <c r="R790">
        <f t="shared" si="85"/>
        <v>22</v>
      </c>
      <c r="S790">
        <f t="array" ref="S790">MAX(IF($C$2:$C$1387=C790,$R$2:$R$1387))</f>
        <v>29</v>
      </c>
      <c r="T790" cm="1">
        <f t="array" ref="T790">MIN(IF($C$2:$C$1387=C790,$R$2:$R$1387))</f>
        <v>11</v>
      </c>
      <c r="U790">
        <f t="shared" si="86"/>
        <v>18</v>
      </c>
      <c r="V790">
        <f t="shared" si="87"/>
        <v>0.61111111111111116</v>
      </c>
      <c r="W790" cm="1">
        <f t="array" ref="W790">_xlfn.IFS(N790=1,5,N790=2,4,N790=4,2,N790=5,1,N790=3,3)</f>
        <v>3</v>
      </c>
      <c r="X790">
        <f t="shared" si="88"/>
        <v>22</v>
      </c>
      <c r="Y790" cm="1">
        <f t="array" ref="Y790">MAX(IF($C$2:$C$1387=C790,$X$2:$X$1387))</f>
        <v>30</v>
      </c>
      <c r="Z790" cm="1">
        <f t="array" ref="Z790">MIN(IF($C$2:$C$1387=C790,$X$2:$X$1387))</f>
        <v>12</v>
      </c>
      <c r="AA790">
        <f t="shared" si="89"/>
        <v>18</v>
      </c>
      <c r="AB790">
        <f t="shared" si="90"/>
        <v>0.55555555555555558</v>
      </c>
    </row>
    <row r="791" spans="1:28" x14ac:dyDescent="0.25">
      <c r="A791" t="s">
        <v>290</v>
      </c>
      <c r="B791" t="s">
        <v>291</v>
      </c>
      <c r="C791">
        <v>2013</v>
      </c>
      <c r="D791">
        <v>0.2361676814843448</v>
      </c>
      <c r="E791">
        <v>0.28437561963664476</v>
      </c>
      <c r="F791">
        <v>2.9653099342868187E-2</v>
      </c>
      <c r="G791">
        <v>2.0794415416798357</v>
      </c>
      <c r="H791">
        <v>0.625</v>
      </c>
      <c r="I791">
        <v>0.83333333333333337</v>
      </c>
      <c r="J791">
        <v>0</v>
      </c>
      <c r="K791">
        <v>3</v>
      </c>
      <c r="L791">
        <v>1</v>
      </c>
      <c r="M791">
        <v>2</v>
      </c>
      <c r="N791">
        <v>3</v>
      </c>
      <c r="O791">
        <v>3</v>
      </c>
      <c r="P791">
        <v>3</v>
      </c>
      <c r="Q791">
        <f t="shared" si="84"/>
        <v>5</v>
      </c>
      <c r="R791">
        <f t="shared" si="85"/>
        <v>20</v>
      </c>
      <c r="S791">
        <f t="array" ref="S791">MAX(IF($C$2:$C$1387=C791,$R$2:$R$1387))</f>
        <v>29</v>
      </c>
      <c r="T791" cm="1">
        <f t="array" ref="T791">MIN(IF($C$2:$C$1387=C791,$R$2:$R$1387))</f>
        <v>10</v>
      </c>
      <c r="U791">
        <f t="shared" si="86"/>
        <v>19</v>
      </c>
      <c r="V791">
        <f t="shared" si="87"/>
        <v>0.52631578947368418</v>
      </c>
      <c r="W791" cm="1">
        <f t="array" ref="W791">_xlfn.IFS(N791=1,5,N791=2,4,N791=4,2,N791=5,1,N791=3,3)</f>
        <v>3</v>
      </c>
      <c r="X791">
        <f t="shared" si="88"/>
        <v>20</v>
      </c>
      <c r="Y791" cm="1">
        <f t="array" ref="Y791">MAX(IF($C$2:$C$1387=C791,$X$2:$X$1387))</f>
        <v>32</v>
      </c>
      <c r="Z791" cm="1">
        <f t="array" ref="Z791">MIN(IF($C$2:$C$1387=C791,$X$2:$X$1387))</f>
        <v>10</v>
      </c>
      <c r="AA791">
        <f t="shared" si="89"/>
        <v>22</v>
      </c>
      <c r="AB791">
        <f t="shared" si="90"/>
        <v>0.45454545454545453</v>
      </c>
    </row>
    <row r="792" spans="1:28" x14ac:dyDescent="0.25">
      <c r="A792" t="s">
        <v>290</v>
      </c>
      <c r="B792" t="s">
        <v>291</v>
      </c>
      <c r="C792">
        <v>2014</v>
      </c>
      <c r="D792">
        <v>0.2361676814843448</v>
      </c>
      <c r="E792">
        <v>0.28489142945496715</v>
      </c>
      <c r="F792">
        <v>5.1274102821801316E-2</v>
      </c>
      <c r="G792">
        <v>2.0794415416798357</v>
      </c>
      <c r="H792">
        <v>0.625</v>
      </c>
      <c r="I792">
        <v>0.83333333333333337</v>
      </c>
      <c r="J792">
        <v>0</v>
      </c>
      <c r="K792">
        <v>3</v>
      </c>
      <c r="L792">
        <v>1</v>
      </c>
      <c r="M792">
        <v>3</v>
      </c>
      <c r="N792">
        <v>3</v>
      </c>
      <c r="O792">
        <v>3</v>
      </c>
      <c r="P792">
        <v>3</v>
      </c>
      <c r="Q792">
        <f t="shared" si="84"/>
        <v>5</v>
      </c>
      <c r="R792">
        <f t="shared" si="85"/>
        <v>21</v>
      </c>
      <c r="S792">
        <f t="array" ref="S792">MAX(IF($C$2:$C$1387=C792,$R$2:$R$1387))</f>
        <v>29</v>
      </c>
      <c r="T792" cm="1">
        <f t="array" ref="T792">MIN(IF($C$2:$C$1387=C792,$R$2:$R$1387))</f>
        <v>11</v>
      </c>
      <c r="U792">
        <f t="shared" si="86"/>
        <v>18</v>
      </c>
      <c r="V792">
        <f t="shared" si="87"/>
        <v>0.55555555555555558</v>
      </c>
      <c r="W792" cm="1">
        <f t="array" ref="W792">_xlfn.IFS(N792=1,5,N792=2,4,N792=4,2,N792=5,1,N792=3,3)</f>
        <v>3</v>
      </c>
      <c r="X792">
        <f t="shared" si="88"/>
        <v>21</v>
      </c>
      <c r="Y792" cm="1">
        <f t="array" ref="Y792">MAX(IF($C$2:$C$1387=C792,$X$2:$X$1387))</f>
        <v>30</v>
      </c>
      <c r="Z792" cm="1">
        <f t="array" ref="Z792">MIN(IF($C$2:$C$1387=C792,$X$2:$X$1387))</f>
        <v>14</v>
      </c>
      <c r="AA792">
        <f t="shared" si="89"/>
        <v>16</v>
      </c>
      <c r="AB792">
        <f t="shared" si="90"/>
        <v>0.4375</v>
      </c>
    </row>
    <row r="793" spans="1:28" x14ac:dyDescent="0.25">
      <c r="A793" t="s">
        <v>290</v>
      </c>
      <c r="B793" t="s">
        <v>291</v>
      </c>
      <c r="C793">
        <v>2015</v>
      </c>
      <c r="D793">
        <v>0.2336172833397758</v>
      </c>
      <c r="E793">
        <v>0.28489142945496715</v>
      </c>
      <c r="F793">
        <v>8.148919984538075E-2</v>
      </c>
      <c r="G793">
        <v>2.0794415416798357</v>
      </c>
      <c r="H793">
        <v>0.875</v>
      </c>
      <c r="I793">
        <v>0.83333333333333337</v>
      </c>
      <c r="J793">
        <v>0</v>
      </c>
      <c r="K793">
        <v>3</v>
      </c>
      <c r="L793">
        <v>1</v>
      </c>
      <c r="M793">
        <v>4</v>
      </c>
      <c r="N793">
        <v>3</v>
      </c>
      <c r="O793">
        <v>5</v>
      </c>
      <c r="P793">
        <v>2</v>
      </c>
      <c r="Q793">
        <f t="shared" si="84"/>
        <v>5</v>
      </c>
      <c r="R793">
        <f t="shared" si="85"/>
        <v>23</v>
      </c>
      <c r="S793">
        <f t="array" ref="S793">MAX(IF($C$2:$C$1387=C793,$R$2:$R$1387))</f>
        <v>29</v>
      </c>
      <c r="T793" cm="1">
        <f t="array" ref="T793">MIN(IF($C$2:$C$1387=C793,$R$2:$R$1387))</f>
        <v>11</v>
      </c>
      <c r="U793">
        <f t="shared" si="86"/>
        <v>18</v>
      </c>
      <c r="V793">
        <f t="shared" si="87"/>
        <v>0.66666666666666663</v>
      </c>
      <c r="W793" cm="1">
        <f t="array" ref="W793">_xlfn.IFS(N793=1,5,N793=2,4,N793=4,2,N793=5,1,N793=3,3)</f>
        <v>3</v>
      </c>
      <c r="X793">
        <f t="shared" si="88"/>
        <v>23</v>
      </c>
      <c r="Y793" cm="1">
        <f t="array" ref="Y793">MAX(IF($C$2:$C$1387=C793,$X$2:$X$1387))</f>
        <v>29</v>
      </c>
      <c r="Z793" cm="1">
        <f t="array" ref="Z793">MIN(IF($C$2:$C$1387=C793,$X$2:$X$1387))</f>
        <v>12</v>
      </c>
      <c r="AA793">
        <f t="shared" si="89"/>
        <v>17</v>
      </c>
      <c r="AB793">
        <f t="shared" si="90"/>
        <v>0.6470588235294118</v>
      </c>
    </row>
    <row r="794" spans="1:28" x14ac:dyDescent="0.25">
      <c r="A794" t="s">
        <v>292</v>
      </c>
      <c r="B794" t="s">
        <v>293</v>
      </c>
      <c r="C794">
        <v>2010</v>
      </c>
      <c r="D794">
        <v>2.0335886862890579E-3</v>
      </c>
      <c r="E794">
        <v>0.69375398363050711</v>
      </c>
      <c r="F794">
        <v>0</v>
      </c>
      <c r="G794">
        <v>2.0794415416798357</v>
      </c>
      <c r="H794">
        <v>0</v>
      </c>
      <c r="I794">
        <v>1</v>
      </c>
      <c r="J794">
        <v>0</v>
      </c>
      <c r="K794">
        <v>2</v>
      </c>
      <c r="L794">
        <v>3</v>
      </c>
      <c r="M794">
        <v>1</v>
      </c>
      <c r="N794">
        <v>3</v>
      </c>
      <c r="O794">
        <v>1</v>
      </c>
      <c r="P794">
        <v>3</v>
      </c>
      <c r="Q794">
        <f t="shared" si="84"/>
        <v>5</v>
      </c>
      <c r="R794">
        <f t="shared" si="85"/>
        <v>18</v>
      </c>
      <c r="S794">
        <f t="array" ref="S794">MAX(IF($C$2:$C$1387=C794,$R$2:$R$1387))</f>
        <v>29</v>
      </c>
      <c r="T794" cm="1">
        <f t="array" ref="T794">MIN(IF($C$2:$C$1387=C794,$R$2:$R$1387))</f>
        <v>9</v>
      </c>
      <c r="U794">
        <f t="shared" si="86"/>
        <v>20</v>
      </c>
      <c r="V794">
        <f t="shared" si="87"/>
        <v>0.45</v>
      </c>
      <c r="W794" cm="1">
        <f t="array" ref="W794">_xlfn.IFS(N794=1,5,N794=2,4,N794=4,2,N794=5,1,N794=3,3)</f>
        <v>3</v>
      </c>
      <c r="X794">
        <f t="shared" si="88"/>
        <v>18</v>
      </c>
      <c r="Y794" cm="1">
        <f t="array" ref="Y794">MAX(IF($C$2:$C$1387=C794,$X$2:$X$1387))</f>
        <v>29</v>
      </c>
      <c r="Z794" cm="1">
        <f t="array" ref="Z794">MIN(IF($C$2:$C$1387=C794,$X$2:$X$1387))</f>
        <v>12</v>
      </c>
      <c r="AA794">
        <f t="shared" si="89"/>
        <v>17</v>
      </c>
      <c r="AB794">
        <f t="shared" si="90"/>
        <v>0.35294117647058826</v>
      </c>
    </row>
    <row r="795" spans="1:28" x14ac:dyDescent="0.25">
      <c r="A795" t="s">
        <v>292</v>
      </c>
      <c r="B795" t="s">
        <v>293</v>
      </c>
      <c r="C795">
        <v>2011</v>
      </c>
      <c r="D795">
        <v>2.0335886862890579E-3</v>
      </c>
      <c r="E795">
        <v>0.68022856313939706</v>
      </c>
      <c r="F795">
        <v>8.7445789417200256E-2</v>
      </c>
      <c r="G795">
        <v>2.3025850929940459</v>
      </c>
      <c r="H795">
        <v>0.8</v>
      </c>
      <c r="I795">
        <v>1</v>
      </c>
      <c r="J795">
        <v>0</v>
      </c>
      <c r="K795">
        <v>2</v>
      </c>
      <c r="L795">
        <v>3</v>
      </c>
      <c r="M795">
        <v>4</v>
      </c>
      <c r="N795">
        <v>5</v>
      </c>
      <c r="O795">
        <v>5</v>
      </c>
      <c r="P795">
        <v>3</v>
      </c>
      <c r="Q795">
        <f t="shared" si="84"/>
        <v>5</v>
      </c>
      <c r="R795">
        <f t="shared" si="85"/>
        <v>27</v>
      </c>
      <c r="S795">
        <f t="array" ref="S795">MAX(IF($C$2:$C$1387=C795,$R$2:$R$1387))</f>
        <v>28</v>
      </c>
      <c r="T795" cm="1">
        <f t="array" ref="T795">MIN(IF($C$2:$C$1387=C795,$R$2:$R$1387))</f>
        <v>10</v>
      </c>
      <c r="U795">
        <f t="shared" si="86"/>
        <v>18</v>
      </c>
      <c r="V795">
        <f t="shared" si="87"/>
        <v>0.94444444444444442</v>
      </c>
      <c r="W795" cm="1">
        <f t="array" ref="W795">_xlfn.IFS(N795=1,5,N795=2,4,N795=4,2,N795=5,1,N795=3,3)</f>
        <v>1</v>
      </c>
      <c r="X795">
        <f t="shared" si="88"/>
        <v>23</v>
      </c>
      <c r="Y795" cm="1">
        <f t="array" ref="Y795">MAX(IF($C$2:$C$1387=C795,$X$2:$X$1387))</f>
        <v>29</v>
      </c>
      <c r="Z795" cm="1">
        <f t="array" ref="Z795">MIN(IF($C$2:$C$1387=C795,$X$2:$X$1387))</f>
        <v>12</v>
      </c>
      <c r="AA795">
        <f t="shared" si="89"/>
        <v>17</v>
      </c>
      <c r="AB795">
        <f t="shared" si="90"/>
        <v>0.6470588235294118</v>
      </c>
    </row>
    <row r="796" spans="1:28" x14ac:dyDescent="0.25">
      <c r="A796" t="s">
        <v>292</v>
      </c>
      <c r="B796" t="s">
        <v>293</v>
      </c>
      <c r="C796">
        <v>2012</v>
      </c>
      <c r="D796">
        <v>2.0335886862890579E-3</v>
      </c>
      <c r="E796">
        <v>0.68022856313939706</v>
      </c>
      <c r="F796">
        <v>8.7445789417200256E-2</v>
      </c>
      <c r="G796">
        <v>2.0794415416798357</v>
      </c>
      <c r="H796">
        <v>0.75</v>
      </c>
      <c r="I796">
        <v>0.66666666666666663</v>
      </c>
      <c r="J796">
        <v>0</v>
      </c>
      <c r="K796">
        <v>2</v>
      </c>
      <c r="L796">
        <v>3</v>
      </c>
      <c r="M796">
        <v>4</v>
      </c>
      <c r="N796">
        <v>3</v>
      </c>
      <c r="O796">
        <v>4</v>
      </c>
      <c r="P796">
        <v>1</v>
      </c>
      <c r="Q796">
        <f t="shared" si="84"/>
        <v>5</v>
      </c>
      <c r="R796">
        <f t="shared" si="85"/>
        <v>22</v>
      </c>
      <c r="S796">
        <f t="array" ref="S796">MAX(IF($C$2:$C$1387=C796,$R$2:$R$1387))</f>
        <v>29</v>
      </c>
      <c r="T796" cm="1">
        <f t="array" ref="T796">MIN(IF($C$2:$C$1387=C796,$R$2:$R$1387))</f>
        <v>11</v>
      </c>
      <c r="U796">
        <f t="shared" si="86"/>
        <v>18</v>
      </c>
      <c r="V796">
        <f t="shared" si="87"/>
        <v>0.61111111111111116</v>
      </c>
      <c r="W796" cm="1">
        <f t="array" ref="W796">_xlfn.IFS(N796=1,5,N796=2,4,N796=4,2,N796=5,1,N796=3,3)</f>
        <v>3</v>
      </c>
      <c r="X796">
        <f t="shared" si="88"/>
        <v>22</v>
      </c>
      <c r="Y796" cm="1">
        <f t="array" ref="Y796">MAX(IF($C$2:$C$1387=C796,$X$2:$X$1387))</f>
        <v>30</v>
      </c>
      <c r="Z796" cm="1">
        <f t="array" ref="Z796">MIN(IF($C$2:$C$1387=C796,$X$2:$X$1387))</f>
        <v>12</v>
      </c>
      <c r="AA796">
        <f t="shared" si="89"/>
        <v>18</v>
      </c>
      <c r="AB796">
        <f t="shared" si="90"/>
        <v>0.55555555555555558</v>
      </c>
    </row>
    <row r="797" spans="1:28" x14ac:dyDescent="0.25">
      <c r="A797" t="s">
        <v>292</v>
      </c>
      <c r="B797" t="s">
        <v>293</v>
      </c>
      <c r="C797">
        <v>2013</v>
      </c>
      <c r="D797">
        <v>2.139010598486521E-3</v>
      </c>
      <c r="E797">
        <v>0.70227861029461836</v>
      </c>
      <c r="F797">
        <v>0.27540947452026177</v>
      </c>
      <c r="G797">
        <v>2.1972245773362196</v>
      </c>
      <c r="H797">
        <v>0.66666666666666663</v>
      </c>
      <c r="I797">
        <v>1</v>
      </c>
      <c r="J797">
        <v>0</v>
      </c>
      <c r="K797">
        <v>2</v>
      </c>
      <c r="L797">
        <v>3</v>
      </c>
      <c r="M797">
        <v>5</v>
      </c>
      <c r="N797">
        <v>4</v>
      </c>
      <c r="O797">
        <v>4</v>
      </c>
      <c r="P797">
        <v>3</v>
      </c>
      <c r="Q797">
        <f t="shared" si="84"/>
        <v>5</v>
      </c>
      <c r="R797">
        <f t="shared" si="85"/>
        <v>26</v>
      </c>
      <c r="S797">
        <f t="array" ref="S797">MAX(IF($C$2:$C$1387=C797,$R$2:$R$1387))</f>
        <v>29</v>
      </c>
      <c r="T797" cm="1">
        <f t="array" ref="T797">MIN(IF($C$2:$C$1387=C797,$R$2:$R$1387))</f>
        <v>10</v>
      </c>
      <c r="U797">
        <f t="shared" si="86"/>
        <v>19</v>
      </c>
      <c r="V797">
        <f t="shared" si="87"/>
        <v>0.84210526315789469</v>
      </c>
      <c r="W797" cm="1">
        <f t="array" ref="W797">_xlfn.IFS(N797=1,5,N797=2,4,N797=4,2,N797=5,1,N797=3,3)</f>
        <v>2</v>
      </c>
      <c r="X797">
        <f t="shared" si="88"/>
        <v>24</v>
      </c>
      <c r="Y797" cm="1">
        <f t="array" ref="Y797">MAX(IF($C$2:$C$1387=C797,$X$2:$X$1387))</f>
        <v>32</v>
      </c>
      <c r="Z797" cm="1">
        <f t="array" ref="Z797">MIN(IF($C$2:$C$1387=C797,$X$2:$X$1387))</f>
        <v>10</v>
      </c>
      <c r="AA797">
        <f t="shared" si="89"/>
        <v>22</v>
      </c>
      <c r="AB797">
        <f t="shared" si="90"/>
        <v>0.63636363636363635</v>
      </c>
    </row>
    <row r="798" spans="1:28" x14ac:dyDescent="0.25">
      <c r="A798" t="s">
        <v>292</v>
      </c>
      <c r="B798" t="s">
        <v>293</v>
      </c>
      <c r="C798">
        <v>2014</v>
      </c>
      <c r="D798">
        <v>1.8582782706410711E-3</v>
      </c>
      <c r="E798">
        <v>0.70343205876420856</v>
      </c>
      <c r="F798">
        <v>0.20964137226191695</v>
      </c>
      <c r="G798">
        <v>2.1972245773362196</v>
      </c>
      <c r="H798">
        <v>0.66666666666666663</v>
      </c>
      <c r="I798">
        <v>1</v>
      </c>
      <c r="J798">
        <v>0</v>
      </c>
      <c r="K798">
        <v>2</v>
      </c>
      <c r="L798">
        <v>3</v>
      </c>
      <c r="M798">
        <v>5</v>
      </c>
      <c r="N798">
        <v>4</v>
      </c>
      <c r="O798">
        <v>4</v>
      </c>
      <c r="P798">
        <v>3</v>
      </c>
      <c r="Q798">
        <f t="shared" si="84"/>
        <v>5</v>
      </c>
      <c r="R798">
        <f t="shared" si="85"/>
        <v>26</v>
      </c>
      <c r="S798">
        <f t="array" ref="S798">MAX(IF($C$2:$C$1387=C798,$R$2:$R$1387))</f>
        <v>29</v>
      </c>
      <c r="T798" cm="1">
        <f t="array" ref="T798">MIN(IF($C$2:$C$1387=C798,$R$2:$R$1387))</f>
        <v>11</v>
      </c>
      <c r="U798">
        <f t="shared" si="86"/>
        <v>18</v>
      </c>
      <c r="V798">
        <f t="shared" si="87"/>
        <v>0.83333333333333337</v>
      </c>
      <c r="W798" cm="1">
        <f t="array" ref="W798">_xlfn.IFS(N798=1,5,N798=2,4,N798=4,2,N798=5,1,N798=3,3)</f>
        <v>2</v>
      </c>
      <c r="X798">
        <f t="shared" si="88"/>
        <v>24</v>
      </c>
      <c r="Y798" cm="1">
        <f t="array" ref="Y798">MAX(IF($C$2:$C$1387=C798,$X$2:$X$1387))</f>
        <v>30</v>
      </c>
      <c r="Z798" cm="1">
        <f t="array" ref="Z798">MIN(IF($C$2:$C$1387=C798,$X$2:$X$1387))</f>
        <v>14</v>
      </c>
      <c r="AA798">
        <f t="shared" si="89"/>
        <v>16</v>
      </c>
      <c r="AB798">
        <f t="shared" si="90"/>
        <v>0.625</v>
      </c>
    </row>
    <row r="799" spans="1:28" x14ac:dyDescent="0.25">
      <c r="A799" t="s">
        <v>292</v>
      </c>
      <c r="B799" t="s">
        <v>293</v>
      </c>
      <c r="C799">
        <v>2015</v>
      </c>
      <c r="D799">
        <v>1.8582782706410711E-3</v>
      </c>
      <c r="E799">
        <v>0.57611168213958563</v>
      </c>
      <c r="F799">
        <v>0.16488666933454388</v>
      </c>
      <c r="G799">
        <v>2.0794415416798357</v>
      </c>
      <c r="H799">
        <v>0.875</v>
      </c>
      <c r="I799">
        <v>1</v>
      </c>
      <c r="J799">
        <v>0</v>
      </c>
      <c r="K799">
        <v>2</v>
      </c>
      <c r="L799">
        <v>2</v>
      </c>
      <c r="M799">
        <v>5</v>
      </c>
      <c r="N799">
        <v>3</v>
      </c>
      <c r="O799">
        <v>5</v>
      </c>
      <c r="P799">
        <v>2</v>
      </c>
      <c r="Q799">
        <f t="shared" si="84"/>
        <v>5</v>
      </c>
      <c r="R799">
        <f t="shared" si="85"/>
        <v>24</v>
      </c>
      <c r="S799">
        <f t="array" ref="S799">MAX(IF($C$2:$C$1387=C799,$R$2:$R$1387))</f>
        <v>29</v>
      </c>
      <c r="T799" cm="1">
        <f t="array" ref="T799">MIN(IF($C$2:$C$1387=C799,$R$2:$R$1387))</f>
        <v>11</v>
      </c>
      <c r="U799">
        <f t="shared" si="86"/>
        <v>18</v>
      </c>
      <c r="V799">
        <f t="shared" si="87"/>
        <v>0.72222222222222221</v>
      </c>
      <c r="W799" cm="1">
        <f t="array" ref="W799">_xlfn.IFS(N799=1,5,N799=2,4,N799=4,2,N799=5,1,N799=3,3)</f>
        <v>3</v>
      </c>
      <c r="X799">
        <f t="shared" si="88"/>
        <v>24</v>
      </c>
      <c r="Y799" cm="1">
        <f t="array" ref="Y799">MAX(IF($C$2:$C$1387=C799,$X$2:$X$1387))</f>
        <v>29</v>
      </c>
      <c r="Z799" cm="1">
        <f t="array" ref="Z799">MIN(IF($C$2:$C$1387=C799,$X$2:$X$1387))</f>
        <v>12</v>
      </c>
      <c r="AA799">
        <f t="shared" si="89"/>
        <v>17</v>
      </c>
      <c r="AB799">
        <f t="shared" si="90"/>
        <v>0.70588235294117652</v>
      </c>
    </row>
    <row r="800" spans="1:28" x14ac:dyDescent="0.25">
      <c r="A800" t="s">
        <v>294</v>
      </c>
      <c r="B800" t="s">
        <v>295</v>
      </c>
      <c r="C800">
        <v>2010</v>
      </c>
      <c r="D800">
        <v>0.57734444444444444</v>
      </c>
      <c r="E800">
        <v>0.67473214285714289</v>
      </c>
      <c r="F800">
        <v>0.10738551587301587</v>
      </c>
      <c r="G800">
        <v>1.9459101490553132</v>
      </c>
      <c r="H800">
        <v>0.7142857142857143</v>
      </c>
      <c r="I800">
        <v>1</v>
      </c>
      <c r="J800">
        <v>0</v>
      </c>
      <c r="K800">
        <v>5</v>
      </c>
      <c r="L800">
        <v>3</v>
      </c>
      <c r="M800">
        <v>4</v>
      </c>
      <c r="N800">
        <v>1</v>
      </c>
      <c r="O800">
        <v>4</v>
      </c>
      <c r="P800">
        <v>3</v>
      </c>
      <c r="Q800">
        <f t="shared" si="84"/>
        <v>5</v>
      </c>
      <c r="R800">
        <f t="shared" si="85"/>
        <v>25</v>
      </c>
      <c r="S800">
        <f t="array" ref="S800">MAX(IF($C$2:$C$1387=C800,$R$2:$R$1387))</f>
        <v>29</v>
      </c>
      <c r="T800" cm="1">
        <f t="array" ref="T800">MIN(IF($C$2:$C$1387=C800,$R$2:$R$1387))</f>
        <v>9</v>
      </c>
      <c r="U800">
        <f t="shared" si="86"/>
        <v>20</v>
      </c>
      <c r="V800">
        <f t="shared" si="87"/>
        <v>0.8</v>
      </c>
      <c r="W800" cm="1">
        <f t="array" ref="W800">_xlfn.IFS(N800=1,5,N800=2,4,N800=4,2,N800=5,1,N800=3,3)</f>
        <v>5</v>
      </c>
      <c r="X800">
        <f t="shared" si="88"/>
        <v>29</v>
      </c>
      <c r="Y800" cm="1">
        <f t="array" ref="Y800">MAX(IF($C$2:$C$1387=C800,$X$2:$X$1387))</f>
        <v>29</v>
      </c>
      <c r="Z800" cm="1">
        <f t="array" ref="Z800">MIN(IF($C$2:$C$1387=C800,$X$2:$X$1387))</f>
        <v>12</v>
      </c>
      <c r="AA800">
        <f t="shared" si="89"/>
        <v>17</v>
      </c>
      <c r="AB800">
        <f t="shared" si="90"/>
        <v>1</v>
      </c>
    </row>
    <row r="801" spans="1:28" x14ac:dyDescent="0.25">
      <c r="A801" t="s">
        <v>294</v>
      </c>
      <c r="B801" t="s">
        <v>295</v>
      </c>
      <c r="C801">
        <v>2011</v>
      </c>
      <c r="D801">
        <v>0.57734444444444444</v>
      </c>
      <c r="E801">
        <v>0.67473214285714289</v>
      </c>
      <c r="F801">
        <v>0.10738551587301587</v>
      </c>
      <c r="G801">
        <v>1.9459101490553132</v>
      </c>
      <c r="H801">
        <v>0.7142857142857143</v>
      </c>
      <c r="I801">
        <v>1</v>
      </c>
      <c r="J801">
        <v>0</v>
      </c>
      <c r="K801">
        <v>5</v>
      </c>
      <c r="L801">
        <v>3</v>
      </c>
      <c r="M801">
        <v>4</v>
      </c>
      <c r="N801">
        <v>1</v>
      </c>
      <c r="O801">
        <v>4</v>
      </c>
      <c r="P801">
        <v>3</v>
      </c>
      <c r="Q801">
        <f t="shared" si="84"/>
        <v>5</v>
      </c>
      <c r="R801">
        <f t="shared" si="85"/>
        <v>25</v>
      </c>
      <c r="S801">
        <f t="array" ref="S801">MAX(IF($C$2:$C$1387=C801,$R$2:$R$1387))</f>
        <v>28</v>
      </c>
      <c r="T801" cm="1">
        <f t="array" ref="T801">MIN(IF($C$2:$C$1387=C801,$R$2:$R$1387))</f>
        <v>10</v>
      </c>
      <c r="U801">
        <f t="shared" si="86"/>
        <v>18</v>
      </c>
      <c r="V801">
        <f t="shared" si="87"/>
        <v>0.83333333333333337</v>
      </c>
      <c r="W801" cm="1">
        <f t="array" ref="W801">_xlfn.IFS(N801=1,5,N801=2,4,N801=4,2,N801=5,1,N801=3,3)</f>
        <v>5</v>
      </c>
      <c r="X801">
        <f t="shared" si="88"/>
        <v>29</v>
      </c>
      <c r="Y801" cm="1">
        <f t="array" ref="Y801">MAX(IF($C$2:$C$1387=C801,$X$2:$X$1387))</f>
        <v>29</v>
      </c>
      <c r="Z801" cm="1">
        <f t="array" ref="Z801">MIN(IF($C$2:$C$1387=C801,$X$2:$X$1387))</f>
        <v>12</v>
      </c>
      <c r="AA801">
        <f t="shared" si="89"/>
        <v>17</v>
      </c>
      <c r="AB801">
        <f t="shared" si="90"/>
        <v>1</v>
      </c>
    </row>
    <row r="802" spans="1:28" x14ac:dyDescent="0.25">
      <c r="A802" t="s">
        <v>294</v>
      </c>
      <c r="B802" t="s">
        <v>295</v>
      </c>
      <c r="C802">
        <v>2012</v>
      </c>
      <c r="D802">
        <v>0.57734444444444444</v>
      </c>
      <c r="E802">
        <v>0.67473214285714289</v>
      </c>
      <c r="F802">
        <v>0.10738551587301587</v>
      </c>
      <c r="G802">
        <v>2.0794415416798357</v>
      </c>
      <c r="H802">
        <v>0.625</v>
      </c>
      <c r="I802">
        <v>1</v>
      </c>
      <c r="J802">
        <v>0</v>
      </c>
      <c r="K802">
        <v>5</v>
      </c>
      <c r="L802">
        <v>3</v>
      </c>
      <c r="M802">
        <v>4</v>
      </c>
      <c r="N802">
        <v>3</v>
      </c>
      <c r="O802">
        <v>3</v>
      </c>
      <c r="P802">
        <v>3</v>
      </c>
      <c r="Q802">
        <f t="shared" si="84"/>
        <v>5</v>
      </c>
      <c r="R802">
        <f t="shared" si="85"/>
        <v>26</v>
      </c>
      <c r="S802">
        <f t="array" ref="S802">MAX(IF($C$2:$C$1387=C802,$R$2:$R$1387))</f>
        <v>29</v>
      </c>
      <c r="T802" cm="1">
        <f t="array" ref="T802">MIN(IF($C$2:$C$1387=C802,$R$2:$R$1387))</f>
        <v>11</v>
      </c>
      <c r="U802">
        <f t="shared" si="86"/>
        <v>18</v>
      </c>
      <c r="V802">
        <f t="shared" si="87"/>
        <v>0.83333333333333337</v>
      </c>
      <c r="W802" cm="1">
        <f t="array" ref="W802">_xlfn.IFS(N802=1,5,N802=2,4,N802=4,2,N802=5,1,N802=3,3)</f>
        <v>3</v>
      </c>
      <c r="X802">
        <f t="shared" si="88"/>
        <v>26</v>
      </c>
      <c r="Y802" cm="1">
        <f t="array" ref="Y802">MAX(IF($C$2:$C$1387=C802,$X$2:$X$1387))</f>
        <v>30</v>
      </c>
      <c r="Z802" cm="1">
        <f t="array" ref="Z802">MIN(IF($C$2:$C$1387=C802,$X$2:$X$1387))</f>
        <v>12</v>
      </c>
      <c r="AA802">
        <f t="shared" si="89"/>
        <v>18</v>
      </c>
      <c r="AB802">
        <f t="shared" si="90"/>
        <v>0.77777777777777779</v>
      </c>
    </row>
    <row r="803" spans="1:28" x14ac:dyDescent="0.25">
      <c r="A803" t="s">
        <v>294</v>
      </c>
      <c r="B803" t="s">
        <v>295</v>
      </c>
      <c r="C803">
        <v>2013</v>
      </c>
      <c r="D803">
        <v>0.57762222222222226</v>
      </c>
      <c r="E803">
        <v>0.70727015873015875</v>
      </c>
      <c r="F803">
        <v>4.785126984126984E-2</v>
      </c>
      <c r="G803">
        <v>2.0794415416798357</v>
      </c>
      <c r="H803">
        <v>0.625</v>
      </c>
      <c r="I803">
        <v>1</v>
      </c>
      <c r="J803">
        <v>0</v>
      </c>
      <c r="K803">
        <v>5</v>
      </c>
      <c r="L803">
        <v>3</v>
      </c>
      <c r="M803">
        <v>3</v>
      </c>
      <c r="N803">
        <v>3</v>
      </c>
      <c r="O803">
        <v>3</v>
      </c>
      <c r="P803">
        <v>3</v>
      </c>
      <c r="Q803">
        <f t="shared" si="84"/>
        <v>5</v>
      </c>
      <c r="R803">
        <f t="shared" si="85"/>
        <v>25</v>
      </c>
      <c r="S803">
        <f t="array" ref="S803">MAX(IF($C$2:$C$1387=C803,$R$2:$R$1387))</f>
        <v>29</v>
      </c>
      <c r="T803" cm="1">
        <f t="array" ref="T803">MIN(IF($C$2:$C$1387=C803,$R$2:$R$1387))</f>
        <v>10</v>
      </c>
      <c r="U803">
        <f t="shared" si="86"/>
        <v>19</v>
      </c>
      <c r="V803">
        <f t="shared" si="87"/>
        <v>0.78947368421052633</v>
      </c>
      <c r="W803" cm="1">
        <f t="array" ref="W803">_xlfn.IFS(N803=1,5,N803=2,4,N803=4,2,N803=5,1,N803=3,3)</f>
        <v>3</v>
      </c>
      <c r="X803">
        <f t="shared" si="88"/>
        <v>25</v>
      </c>
      <c r="Y803" cm="1">
        <f t="array" ref="Y803">MAX(IF($C$2:$C$1387=C803,$X$2:$X$1387))</f>
        <v>32</v>
      </c>
      <c r="Z803" cm="1">
        <f t="array" ref="Z803">MIN(IF($C$2:$C$1387=C803,$X$2:$X$1387))</f>
        <v>10</v>
      </c>
      <c r="AA803">
        <f t="shared" si="89"/>
        <v>22</v>
      </c>
      <c r="AB803">
        <f t="shared" si="90"/>
        <v>0.68181818181818177</v>
      </c>
    </row>
    <row r="804" spans="1:28" x14ac:dyDescent="0.25">
      <c r="A804" t="s">
        <v>294</v>
      </c>
      <c r="B804" t="s">
        <v>295</v>
      </c>
      <c r="C804">
        <v>2014</v>
      </c>
      <c r="D804">
        <v>0.57762184126984129</v>
      </c>
      <c r="E804">
        <v>0.69705092063492069</v>
      </c>
      <c r="F804">
        <v>0.14883250793650793</v>
      </c>
      <c r="G804">
        <v>2.0794415416798357</v>
      </c>
      <c r="H804">
        <v>0.625</v>
      </c>
      <c r="I804">
        <v>0.66666666666666663</v>
      </c>
      <c r="J804">
        <v>0</v>
      </c>
      <c r="K804">
        <v>5</v>
      </c>
      <c r="L804">
        <v>3</v>
      </c>
      <c r="M804">
        <v>5</v>
      </c>
      <c r="N804">
        <v>3</v>
      </c>
      <c r="O804">
        <v>3</v>
      </c>
      <c r="P804">
        <v>1</v>
      </c>
      <c r="Q804">
        <f t="shared" si="84"/>
        <v>5</v>
      </c>
      <c r="R804">
        <f t="shared" si="85"/>
        <v>25</v>
      </c>
      <c r="S804">
        <f t="array" ref="S804">MAX(IF($C$2:$C$1387=C804,$R$2:$R$1387))</f>
        <v>29</v>
      </c>
      <c r="T804" cm="1">
        <f t="array" ref="T804">MIN(IF($C$2:$C$1387=C804,$R$2:$R$1387))</f>
        <v>11</v>
      </c>
      <c r="U804">
        <f t="shared" si="86"/>
        <v>18</v>
      </c>
      <c r="V804">
        <f t="shared" si="87"/>
        <v>0.77777777777777779</v>
      </c>
      <c r="W804" cm="1">
        <f t="array" ref="W804">_xlfn.IFS(N804=1,5,N804=2,4,N804=4,2,N804=5,1,N804=3,3)</f>
        <v>3</v>
      </c>
      <c r="X804">
        <f t="shared" si="88"/>
        <v>25</v>
      </c>
      <c r="Y804" cm="1">
        <f t="array" ref="Y804">MAX(IF($C$2:$C$1387=C804,$X$2:$X$1387))</f>
        <v>30</v>
      </c>
      <c r="Z804" cm="1">
        <f t="array" ref="Z804">MIN(IF($C$2:$C$1387=C804,$X$2:$X$1387))</f>
        <v>14</v>
      </c>
      <c r="AA804">
        <f t="shared" si="89"/>
        <v>16</v>
      </c>
      <c r="AB804">
        <f t="shared" si="90"/>
        <v>0.6875</v>
      </c>
    </row>
    <row r="805" spans="1:28" x14ac:dyDescent="0.25">
      <c r="A805" t="s">
        <v>294</v>
      </c>
      <c r="B805" t="s">
        <v>295</v>
      </c>
      <c r="C805">
        <v>2015</v>
      </c>
      <c r="D805">
        <v>0.58251403174603178</v>
      </c>
      <c r="E805">
        <v>0.69512825396825395</v>
      </c>
      <c r="F805">
        <v>0.15154996825396824</v>
      </c>
      <c r="G805">
        <v>2.4849066497880004</v>
      </c>
      <c r="H805">
        <v>0.83333333333333337</v>
      </c>
      <c r="I805">
        <v>1</v>
      </c>
      <c r="J805">
        <v>0</v>
      </c>
      <c r="K805">
        <v>5</v>
      </c>
      <c r="L805">
        <v>3</v>
      </c>
      <c r="M805">
        <v>5</v>
      </c>
      <c r="N805">
        <v>5</v>
      </c>
      <c r="O805">
        <v>4</v>
      </c>
      <c r="P805">
        <v>2</v>
      </c>
      <c r="Q805">
        <f t="shared" si="84"/>
        <v>5</v>
      </c>
      <c r="R805">
        <f t="shared" si="85"/>
        <v>29</v>
      </c>
      <c r="S805">
        <f t="array" ref="S805">MAX(IF($C$2:$C$1387=C805,$R$2:$R$1387))</f>
        <v>29</v>
      </c>
      <c r="T805" cm="1">
        <f t="array" ref="T805">MIN(IF($C$2:$C$1387=C805,$R$2:$R$1387))</f>
        <v>11</v>
      </c>
      <c r="U805">
        <f t="shared" si="86"/>
        <v>18</v>
      </c>
      <c r="V805">
        <f t="shared" si="87"/>
        <v>1</v>
      </c>
      <c r="W805" cm="1">
        <f t="array" ref="W805">_xlfn.IFS(N805=1,5,N805=2,4,N805=4,2,N805=5,1,N805=3,3)</f>
        <v>1</v>
      </c>
      <c r="X805">
        <f t="shared" si="88"/>
        <v>25</v>
      </c>
      <c r="Y805" cm="1">
        <f t="array" ref="Y805">MAX(IF($C$2:$C$1387=C805,$X$2:$X$1387))</f>
        <v>29</v>
      </c>
      <c r="Z805" cm="1">
        <f t="array" ref="Z805">MIN(IF($C$2:$C$1387=C805,$X$2:$X$1387))</f>
        <v>12</v>
      </c>
      <c r="AA805">
        <f t="shared" si="89"/>
        <v>17</v>
      </c>
      <c r="AB805">
        <f t="shared" si="90"/>
        <v>0.76470588235294112</v>
      </c>
    </row>
    <row r="806" spans="1:28" x14ac:dyDescent="0.25">
      <c r="A806" t="s">
        <v>296</v>
      </c>
      <c r="B806" t="s">
        <v>297</v>
      </c>
      <c r="C806">
        <v>2010</v>
      </c>
      <c r="D806">
        <v>2.5516102042210231E-2</v>
      </c>
      <c r="E806">
        <v>0.62019756164196438</v>
      </c>
      <c r="F806">
        <v>0.29068099287389293</v>
      </c>
      <c r="G806">
        <v>2.1972245773362196</v>
      </c>
      <c r="H806">
        <v>0.66666666666666663</v>
      </c>
      <c r="I806">
        <v>0.66666666666666663</v>
      </c>
      <c r="J806">
        <v>0</v>
      </c>
      <c r="K806">
        <v>2</v>
      </c>
      <c r="L806">
        <v>3</v>
      </c>
      <c r="M806">
        <v>5</v>
      </c>
      <c r="N806">
        <v>4</v>
      </c>
      <c r="O806">
        <v>3</v>
      </c>
      <c r="P806">
        <v>1</v>
      </c>
      <c r="Q806">
        <f t="shared" si="84"/>
        <v>5</v>
      </c>
      <c r="R806">
        <f t="shared" si="85"/>
        <v>23</v>
      </c>
      <c r="S806">
        <f t="array" ref="S806">MAX(IF($C$2:$C$1387=C806,$R$2:$R$1387))</f>
        <v>29</v>
      </c>
      <c r="T806" cm="1">
        <f t="array" ref="T806">MIN(IF($C$2:$C$1387=C806,$R$2:$R$1387))</f>
        <v>9</v>
      </c>
      <c r="U806">
        <f t="shared" si="86"/>
        <v>20</v>
      </c>
      <c r="V806">
        <f t="shared" si="87"/>
        <v>0.7</v>
      </c>
      <c r="W806" cm="1">
        <f t="array" ref="W806">_xlfn.IFS(N806=1,5,N806=2,4,N806=4,2,N806=5,1,N806=3,3)</f>
        <v>2</v>
      </c>
      <c r="X806">
        <f t="shared" si="88"/>
        <v>21</v>
      </c>
      <c r="Y806" cm="1">
        <f t="array" ref="Y806">MAX(IF($C$2:$C$1387=C806,$X$2:$X$1387))</f>
        <v>29</v>
      </c>
      <c r="Z806" cm="1">
        <f t="array" ref="Z806">MIN(IF($C$2:$C$1387=C806,$X$2:$X$1387))</f>
        <v>12</v>
      </c>
      <c r="AA806">
        <f t="shared" si="89"/>
        <v>17</v>
      </c>
      <c r="AB806">
        <f t="shared" si="90"/>
        <v>0.52941176470588236</v>
      </c>
    </row>
    <row r="807" spans="1:28" x14ac:dyDescent="0.25">
      <c r="A807" t="s">
        <v>296</v>
      </c>
      <c r="B807" t="s">
        <v>297</v>
      </c>
      <c r="C807">
        <v>2011</v>
      </c>
      <c r="D807">
        <v>2.2352626239855726E-2</v>
      </c>
      <c r="E807">
        <v>0.72845167672025124</v>
      </c>
      <c r="F807">
        <v>0.2849486761916607</v>
      </c>
      <c r="G807">
        <v>2.1972245773362196</v>
      </c>
      <c r="H807">
        <v>0.66666666666666663</v>
      </c>
      <c r="I807">
        <v>0.75</v>
      </c>
      <c r="J807">
        <v>0</v>
      </c>
      <c r="K807">
        <v>2</v>
      </c>
      <c r="L807">
        <v>4</v>
      </c>
      <c r="M807">
        <v>5</v>
      </c>
      <c r="N807">
        <v>4</v>
      </c>
      <c r="O807">
        <v>3</v>
      </c>
      <c r="P807">
        <v>3</v>
      </c>
      <c r="Q807">
        <f t="shared" si="84"/>
        <v>5</v>
      </c>
      <c r="R807">
        <f t="shared" si="85"/>
        <v>26</v>
      </c>
      <c r="S807">
        <f t="array" ref="S807">MAX(IF($C$2:$C$1387=C807,$R$2:$R$1387))</f>
        <v>28</v>
      </c>
      <c r="T807" cm="1">
        <f t="array" ref="T807">MIN(IF($C$2:$C$1387=C807,$R$2:$R$1387))</f>
        <v>10</v>
      </c>
      <c r="U807">
        <f t="shared" si="86"/>
        <v>18</v>
      </c>
      <c r="V807">
        <f t="shared" si="87"/>
        <v>0.88888888888888884</v>
      </c>
      <c r="W807" cm="1">
        <f t="array" ref="W807">_xlfn.IFS(N807=1,5,N807=2,4,N807=4,2,N807=5,1,N807=3,3)</f>
        <v>2</v>
      </c>
      <c r="X807">
        <f t="shared" si="88"/>
        <v>24</v>
      </c>
      <c r="Y807" cm="1">
        <f t="array" ref="Y807">MAX(IF($C$2:$C$1387=C807,$X$2:$X$1387))</f>
        <v>29</v>
      </c>
      <c r="Z807" cm="1">
        <f t="array" ref="Z807">MIN(IF($C$2:$C$1387=C807,$X$2:$X$1387))</f>
        <v>12</v>
      </c>
      <c r="AA807">
        <f t="shared" si="89"/>
        <v>17</v>
      </c>
      <c r="AB807">
        <f t="shared" si="90"/>
        <v>0.70588235294117652</v>
      </c>
    </row>
    <row r="808" spans="1:28" x14ac:dyDescent="0.25">
      <c r="A808" t="s">
        <v>296</v>
      </c>
      <c r="B808" t="s">
        <v>297</v>
      </c>
      <c r="C808">
        <v>2012</v>
      </c>
      <c r="D808">
        <v>2.1822301421356834E-2</v>
      </c>
      <c r="E808">
        <v>0.7091394710646246</v>
      </c>
      <c r="F808">
        <v>9.3428284306012313E-2</v>
      </c>
      <c r="G808">
        <v>2.0794415416798357</v>
      </c>
      <c r="H808">
        <v>0.625</v>
      </c>
      <c r="I808">
        <v>0.5</v>
      </c>
      <c r="J808">
        <v>0</v>
      </c>
      <c r="K808">
        <v>2</v>
      </c>
      <c r="L808">
        <v>3</v>
      </c>
      <c r="M808">
        <v>4</v>
      </c>
      <c r="N808">
        <v>3</v>
      </c>
      <c r="O808">
        <v>3</v>
      </c>
      <c r="P808">
        <v>1</v>
      </c>
      <c r="Q808">
        <f t="shared" si="84"/>
        <v>5</v>
      </c>
      <c r="R808">
        <f t="shared" si="85"/>
        <v>21</v>
      </c>
      <c r="S808">
        <f t="array" ref="S808">MAX(IF($C$2:$C$1387=C808,$R$2:$R$1387))</f>
        <v>29</v>
      </c>
      <c r="T808" cm="1">
        <f t="array" ref="T808">MIN(IF($C$2:$C$1387=C808,$R$2:$R$1387))</f>
        <v>11</v>
      </c>
      <c r="U808">
        <f t="shared" si="86"/>
        <v>18</v>
      </c>
      <c r="V808">
        <f t="shared" si="87"/>
        <v>0.55555555555555558</v>
      </c>
      <c r="W808" cm="1">
        <f t="array" ref="W808">_xlfn.IFS(N808=1,5,N808=2,4,N808=4,2,N808=5,1,N808=3,3)</f>
        <v>3</v>
      </c>
      <c r="X808">
        <f t="shared" si="88"/>
        <v>21</v>
      </c>
      <c r="Y808" cm="1">
        <f t="array" ref="Y808">MAX(IF($C$2:$C$1387=C808,$X$2:$X$1387))</f>
        <v>30</v>
      </c>
      <c r="Z808" cm="1">
        <f t="array" ref="Z808">MIN(IF($C$2:$C$1387=C808,$X$2:$X$1387))</f>
        <v>12</v>
      </c>
      <c r="AA808">
        <f t="shared" si="89"/>
        <v>18</v>
      </c>
      <c r="AB808">
        <f t="shared" si="90"/>
        <v>0.5</v>
      </c>
    </row>
    <row r="809" spans="1:28" x14ac:dyDescent="0.25">
      <c r="A809" t="s">
        <v>296</v>
      </c>
      <c r="B809" t="s">
        <v>297</v>
      </c>
      <c r="C809">
        <v>2013</v>
      </c>
      <c r="D809">
        <v>9.8362519543076007E-3</v>
      </c>
      <c r="E809">
        <v>0.62598159209685489</v>
      </c>
      <c r="F809">
        <v>0.13910680129081809</v>
      </c>
      <c r="G809">
        <v>2.1972245773362196</v>
      </c>
      <c r="H809">
        <v>0.55555555555555558</v>
      </c>
      <c r="I809">
        <v>0.5</v>
      </c>
      <c r="J809">
        <v>0</v>
      </c>
      <c r="K809">
        <v>2</v>
      </c>
      <c r="L809">
        <v>3</v>
      </c>
      <c r="M809">
        <v>4</v>
      </c>
      <c r="N809">
        <v>4</v>
      </c>
      <c r="O809">
        <v>2</v>
      </c>
      <c r="P809">
        <v>1</v>
      </c>
      <c r="Q809">
        <f t="shared" si="84"/>
        <v>5</v>
      </c>
      <c r="R809">
        <f t="shared" si="85"/>
        <v>21</v>
      </c>
      <c r="S809">
        <f t="array" ref="S809">MAX(IF($C$2:$C$1387=C809,$R$2:$R$1387))</f>
        <v>29</v>
      </c>
      <c r="T809" cm="1">
        <f t="array" ref="T809">MIN(IF($C$2:$C$1387=C809,$R$2:$R$1387))</f>
        <v>10</v>
      </c>
      <c r="U809">
        <f t="shared" si="86"/>
        <v>19</v>
      </c>
      <c r="V809">
        <f t="shared" si="87"/>
        <v>0.57894736842105265</v>
      </c>
      <c r="W809" cm="1">
        <f t="array" ref="W809">_xlfn.IFS(N809=1,5,N809=2,4,N809=4,2,N809=5,1,N809=3,3)</f>
        <v>2</v>
      </c>
      <c r="X809">
        <f t="shared" si="88"/>
        <v>19</v>
      </c>
      <c r="Y809" cm="1">
        <f t="array" ref="Y809">MAX(IF($C$2:$C$1387=C809,$X$2:$X$1387))</f>
        <v>32</v>
      </c>
      <c r="Z809" cm="1">
        <f t="array" ref="Z809">MIN(IF($C$2:$C$1387=C809,$X$2:$X$1387))</f>
        <v>10</v>
      </c>
      <c r="AA809">
        <f t="shared" si="89"/>
        <v>22</v>
      </c>
      <c r="AB809">
        <f t="shared" si="90"/>
        <v>0.40909090909090912</v>
      </c>
    </row>
    <row r="810" spans="1:28" x14ac:dyDescent="0.25">
      <c r="A810" t="s">
        <v>296</v>
      </c>
      <c r="B810" t="s">
        <v>297</v>
      </c>
      <c r="C810">
        <v>2014</v>
      </c>
      <c r="D810">
        <v>9.5003194840261648E-3</v>
      </c>
      <c r="E810">
        <v>0.67308482184740914</v>
      </c>
      <c r="F810">
        <v>0.10645294153943616</v>
      </c>
      <c r="G810">
        <v>2.0794415416798357</v>
      </c>
      <c r="H810">
        <v>0.625</v>
      </c>
      <c r="I810">
        <v>0.5</v>
      </c>
      <c r="J810">
        <v>0</v>
      </c>
      <c r="K810">
        <v>2</v>
      </c>
      <c r="L810">
        <v>3</v>
      </c>
      <c r="M810">
        <v>4</v>
      </c>
      <c r="N810">
        <v>3</v>
      </c>
      <c r="O810">
        <v>3</v>
      </c>
      <c r="P810">
        <v>1</v>
      </c>
      <c r="Q810">
        <f t="shared" si="84"/>
        <v>5</v>
      </c>
      <c r="R810">
        <f t="shared" si="85"/>
        <v>21</v>
      </c>
      <c r="S810">
        <f t="array" ref="S810">MAX(IF($C$2:$C$1387=C810,$R$2:$R$1387))</f>
        <v>29</v>
      </c>
      <c r="T810" cm="1">
        <f t="array" ref="T810">MIN(IF($C$2:$C$1387=C810,$R$2:$R$1387))</f>
        <v>11</v>
      </c>
      <c r="U810">
        <f t="shared" si="86"/>
        <v>18</v>
      </c>
      <c r="V810">
        <f t="shared" si="87"/>
        <v>0.55555555555555558</v>
      </c>
      <c r="W810" cm="1">
        <f t="array" ref="W810">_xlfn.IFS(N810=1,5,N810=2,4,N810=4,2,N810=5,1,N810=3,3)</f>
        <v>3</v>
      </c>
      <c r="X810">
        <f t="shared" si="88"/>
        <v>21</v>
      </c>
      <c r="Y810" cm="1">
        <f t="array" ref="Y810">MAX(IF($C$2:$C$1387=C810,$X$2:$X$1387))</f>
        <v>30</v>
      </c>
      <c r="Z810" cm="1">
        <f t="array" ref="Z810">MIN(IF($C$2:$C$1387=C810,$X$2:$X$1387))</f>
        <v>14</v>
      </c>
      <c r="AA810">
        <f t="shared" si="89"/>
        <v>16</v>
      </c>
      <c r="AB810">
        <f t="shared" si="90"/>
        <v>0.4375</v>
      </c>
    </row>
    <row r="811" spans="1:28" x14ac:dyDescent="0.25">
      <c r="A811" t="s">
        <v>296</v>
      </c>
      <c r="B811" t="s">
        <v>297</v>
      </c>
      <c r="C811">
        <v>2015</v>
      </c>
      <c r="D811">
        <v>1.0396945147457834E-2</v>
      </c>
      <c r="E811">
        <v>0.67573394312572999</v>
      </c>
      <c r="F811">
        <v>0.1068103691334496</v>
      </c>
      <c r="G811">
        <v>2.0794415416798357</v>
      </c>
      <c r="H811">
        <v>0.625</v>
      </c>
      <c r="I811">
        <v>0.5</v>
      </c>
      <c r="J811">
        <v>0</v>
      </c>
      <c r="K811">
        <v>2</v>
      </c>
      <c r="L811">
        <v>3</v>
      </c>
      <c r="M811">
        <v>4</v>
      </c>
      <c r="N811">
        <v>3</v>
      </c>
      <c r="O811">
        <v>2</v>
      </c>
      <c r="P811">
        <v>1</v>
      </c>
      <c r="Q811">
        <f t="shared" si="84"/>
        <v>5</v>
      </c>
      <c r="R811">
        <f t="shared" si="85"/>
        <v>20</v>
      </c>
      <c r="S811">
        <f t="array" ref="S811">MAX(IF($C$2:$C$1387=C811,$R$2:$R$1387))</f>
        <v>29</v>
      </c>
      <c r="T811" cm="1">
        <f t="array" ref="T811">MIN(IF($C$2:$C$1387=C811,$R$2:$R$1387))</f>
        <v>11</v>
      </c>
      <c r="U811">
        <f t="shared" si="86"/>
        <v>18</v>
      </c>
      <c r="V811">
        <f t="shared" si="87"/>
        <v>0.5</v>
      </c>
      <c r="W811" cm="1">
        <f t="array" ref="W811">_xlfn.IFS(N811=1,5,N811=2,4,N811=4,2,N811=5,1,N811=3,3)</f>
        <v>3</v>
      </c>
      <c r="X811">
        <f t="shared" si="88"/>
        <v>20</v>
      </c>
      <c r="Y811" cm="1">
        <f t="array" ref="Y811">MAX(IF($C$2:$C$1387=C811,$X$2:$X$1387))</f>
        <v>29</v>
      </c>
      <c r="Z811" cm="1">
        <f t="array" ref="Z811">MIN(IF($C$2:$C$1387=C811,$X$2:$X$1387))</f>
        <v>12</v>
      </c>
      <c r="AA811">
        <f t="shared" si="89"/>
        <v>17</v>
      </c>
      <c r="AB811">
        <f t="shared" si="90"/>
        <v>0.47058823529411764</v>
      </c>
    </row>
    <row r="812" spans="1:28" x14ac:dyDescent="0.25">
      <c r="A812" t="s">
        <v>298</v>
      </c>
      <c r="B812" t="s">
        <v>299</v>
      </c>
      <c r="C812">
        <v>2010</v>
      </c>
      <c r="D812">
        <v>1.1906087259364846E-4</v>
      </c>
      <c r="E812">
        <v>0.61872841709405313</v>
      </c>
      <c r="F812">
        <v>4.2213190599399208E-2</v>
      </c>
      <c r="G812">
        <v>2.0794415416798357</v>
      </c>
      <c r="H812">
        <v>0.625</v>
      </c>
      <c r="I812">
        <v>1</v>
      </c>
      <c r="J812">
        <v>0</v>
      </c>
      <c r="K812">
        <v>1</v>
      </c>
      <c r="L812">
        <v>3</v>
      </c>
      <c r="M812">
        <v>3</v>
      </c>
      <c r="N812">
        <v>3</v>
      </c>
      <c r="O812">
        <v>3</v>
      </c>
      <c r="P812">
        <v>3</v>
      </c>
      <c r="Q812">
        <f t="shared" si="84"/>
        <v>5</v>
      </c>
      <c r="R812">
        <f t="shared" si="85"/>
        <v>21</v>
      </c>
      <c r="S812">
        <f t="array" ref="S812">MAX(IF($C$2:$C$1387=C812,$R$2:$R$1387))</f>
        <v>29</v>
      </c>
      <c r="T812" cm="1">
        <f t="array" ref="T812">MIN(IF($C$2:$C$1387=C812,$R$2:$R$1387))</f>
        <v>9</v>
      </c>
      <c r="U812">
        <f t="shared" si="86"/>
        <v>20</v>
      </c>
      <c r="V812">
        <f t="shared" si="87"/>
        <v>0.6</v>
      </c>
      <c r="W812" cm="1">
        <f t="array" ref="W812">_xlfn.IFS(N812=1,5,N812=2,4,N812=4,2,N812=5,1,N812=3,3)</f>
        <v>3</v>
      </c>
      <c r="X812">
        <f t="shared" si="88"/>
        <v>21</v>
      </c>
      <c r="Y812" cm="1">
        <f t="array" ref="Y812">MAX(IF($C$2:$C$1387=C812,$X$2:$X$1387))</f>
        <v>29</v>
      </c>
      <c r="Z812" cm="1">
        <f t="array" ref="Z812">MIN(IF($C$2:$C$1387=C812,$X$2:$X$1387))</f>
        <v>12</v>
      </c>
      <c r="AA812">
        <f t="shared" si="89"/>
        <v>17</v>
      </c>
      <c r="AB812">
        <f t="shared" si="90"/>
        <v>0.52941176470588236</v>
      </c>
    </row>
    <row r="813" spans="1:28" x14ac:dyDescent="0.25">
      <c r="A813" t="s">
        <v>298</v>
      </c>
      <c r="B813" t="s">
        <v>299</v>
      </c>
      <c r="C813">
        <v>2011</v>
      </c>
      <c r="D813">
        <v>2.7527499709429004E-3</v>
      </c>
      <c r="E813">
        <v>0.72929961056642301</v>
      </c>
      <c r="F813">
        <v>2.7083779824967995E-2</v>
      </c>
      <c r="G813">
        <v>2.0794415416798357</v>
      </c>
      <c r="H813">
        <v>0.375</v>
      </c>
      <c r="I813">
        <v>1</v>
      </c>
      <c r="J813">
        <v>0</v>
      </c>
      <c r="K813">
        <v>2</v>
      </c>
      <c r="L813">
        <v>4</v>
      </c>
      <c r="M813">
        <v>2</v>
      </c>
      <c r="N813">
        <v>3</v>
      </c>
      <c r="O813">
        <v>1</v>
      </c>
      <c r="P813">
        <v>3</v>
      </c>
      <c r="Q813">
        <f t="shared" si="84"/>
        <v>5</v>
      </c>
      <c r="R813">
        <f t="shared" si="85"/>
        <v>20</v>
      </c>
      <c r="S813">
        <f t="array" ref="S813">MAX(IF($C$2:$C$1387=C813,$R$2:$R$1387))</f>
        <v>28</v>
      </c>
      <c r="T813" cm="1">
        <f t="array" ref="T813">MIN(IF($C$2:$C$1387=C813,$R$2:$R$1387))</f>
        <v>10</v>
      </c>
      <c r="U813">
        <f t="shared" si="86"/>
        <v>18</v>
      </c>
      <c r="V813">
        <f t="shared" si="87"/>
        <v>0.55555555555555558</v>
      </c>
      <c r="W813" cm="1">
        <f t="array" ref="W813">_xlfn.IFS(N813=1,5,N813=2,4,N813=4,2,N813=5,1,N813=3,3)</f>
        <v>3</v>
      </c>
      <c r="X813">
        <f t="shared" si="88"/>
        <v>20</v>
      </c>
      <c r="Y813" cm="1">
        <f t="array" ref="Y813">MAX(IF($C$2:$C$1387=C813,$X$2:$X$1387))</f>
        <v>29</v>
      </c>
      <c r="Z813" cm="1">
        <f t="array" ref="Z813">MIN(IF($C$2:$C$1387=C813,$X$2:$X$1387))</f>
        <v>12</v>
      </c>
      <c r="AA813">
        <f t="shared" si="89"/>
        <v>17</v>
      </c>
      <c r="AB813">
        <f t="shared" si="90"/>
        <v>0.47058823529411764</v>
      </c>
    </row>
    <row r="814" spans="1:28" x14ac:dyDescent="0.25">
      <c r="A814" t="s">
        <v>298</v>
      </c>
      <c r="B814" t="s">
        <v>299</v>
      </c>
      <c r="C814">
        <v>2012</v>
      </c>
      <c r="D814">
        <v>7.0365193842019547E-3</v>
      </c>
      <c r="E814">
        <v>0.72409829115287916</v>
      </c>
      <c r="F814">
        <v>1.5033683849235799E-2</v>
      </c>
      <c r="G814">
        <v>2.0794415416798357</v>
      </c>
      <c r="H814">
        <v>0.375</v>
      </c>
      <c r="I814">
        <v>1</v>
      </c>
      <c r="J814">
        <v>0</v>
      </c>
      <c r="K814">
        <v>2</v>
      </c>
      <c r="L814">
        <v>4</v>
      </c>
      <c r="M814">
        <v>2</v>
      </c>
      <c r="N814">
        <v>3</v>
      </c>
      <c r="O814">
        <v>1</v>
      </c>
      <c r="P814">
        <v>3</v>
      </c>
      <c r="Q814">
        <f t="shared" si="84"/>
        <v>5</v>
      </c>
      <c r="R814">
        <f t="shared" si="85"/>
        <v>20</v>
      </c>
      <c r="S814">
        <f t="array" ref="S814">MAX(IF($C$2:$C$1387=C814,$R$2:$R$1387))</f>
        <v>29</v>
      </c>
      <c r="T814" cm="1">
        <f t="array" ref="T814">MIN(IF($C$2:$C$1387=C814,$R$2:$R$1387))</f>
        <v>11</v>
      </c>
      <c r="U814">
        <f t="shared" si="86"/>
        <v>18</v>
      </c>
      <c r="V814">
        <f t="shared" si="87"/>
        <v>0.5</v>
      </c>
      <c r="W814" cm="1">
        <f t="array" ref="W814">_xlfn.IFS(N814=1,5,N814=2,4,N814=4,2,N814=5,1,N814=3,3)</f>
        <v>3</v>
      </c>
      <c r="X814">
        <f t="shared" si="88"/>
        <v>20</v>
      </c>
      <c r="Y814" cm="1">
        <f t="array" ref="Y814">MAX(IF($C$2:$C$1387=C814,$X$2:$X$1387))</f>
        <v>30</v>
      </c>
      <c r="Z814" cm="1">
        <f t="array" ref="Z814">MIN(IF($C$2:$C$1387=C814,$X$2:$X$1387))</f>
        <v>12</v>
      </c>
      <c r="AA814">
        <f t="shared" si="89"/>
        <v>18</v>
      </c>
      <c r="AB814">
        <f t="shared" si="90"/>
        <v>0.44444444444444442</v>
      </c>
    </row>
    <row r="815" spans="1:28" x14ac:dyDescent="0.25">
      <c r="A815" t="s">
        <v>298</v>
      </c>
      <c r="B815" t="s">
        <v>299</v>
      </c>
      <c r="C815">
        <v>2013</v>
      </c>
      <c r="D815">
        <v>6.4680510989168433E-3</v>
      </c>
      <c r="E815">
        <v>0.70761330398152189</v>
      </c>
      <c r="F815">
        <v>5.6537009523242213E-2</v>
      </c>
      <c r="G815">
        <v>2.0794415416798357</v>
      </c>
      <c r="H815">
        <v>0.375</v>
      </c>
      <c r="I815">
        <v>1</v>
      </c>
      <c r="J815">
        <v>0</v>
      </c>
      <c r="K815">
        <v>2</v>
      </c>
      <c r="L815">
        <v>3</v>
      </c>
      <c r="M815">
        <v>3</v>
      </c>
      <c r="N815">
        <v>3</v>
      </c>
      <c r="O815">
        <v>1</v>
      </c>
      <c r="P815">
        <v>3</v>
      </c>
      <c r="Q815">
        <f t="shared" si="84"/>
        <v>5</v>
      </c>
      <c r="R815">
        <f t="shared" si="85"/>
        <v>20</v>
      </c>
      <c r="S815">
        <f t="array" ref="S815">MAX(IF($C$2:$C$1387=C815,$R$2:$R$1387))</f>
        <v>29</v>
      </c>
      <c r="T815" cm="1">
        <f t="array" ref="T815">MIN(IF($C$2:$C$1387=C815,$R$2:$R$1387))</f>
        <v>10</v>
      </c>
      <c r="U815">
        <f t="shared" si="86"/>
        <v>19</v>
      </c>
      <c r="V815">
        <f t="shared" si="87"/>
        <v>0.52631578947368418</v>
      </c>
      <c r="W815" cm="1">
        <f t="array" ref="W815">_xlfn.IFS(N815=1,5,N815=2,4,N815=4,2,N815=5,1,N815=3,3)</f>
        <v>3</v>
      </c>
      <c r="X815">
        <f t="shared" si="88"/>
        <v>20</v>
      </c>
      <c r="Y815" cm="1">
        <f t="array" ref="Y815">MAX(IF($C$2:$C$1387=C815,$X$2:$X$1387))</f>
        <v>32</v>
      </c>
      <c r="Z815" cm="1">
        <f t="array" ref="Z815">MIN(IF($C$2:$C$1387=C815,$X$2:$X$1387))</f>
        <v>10</v>
      </c>
      <c r="AA815">
        <f t="shared" si="89"/>
        <v>22</v>
      </c>
      <c r="AB815">
        <f t="shared" si="90"/>
        <v>0.45454545454545453</v>
      </c>
    </row>
    <row r="816" spans="1:28" x14ac:dyDescent="0.25">
      <c r="A816" t="s">
        <v>298</v>
      </c>
      <c r="B816" t="s">
        <v>299</v>
      </c>
      <c r="C816">
        <v>2014</v>
      </c>
      <c r="D816">
        <v>3.6920309724412146E-3</v>
      </c>
      <c r="E816">
        <v>0.66309750000798695</v>
      </c>
      <c r="F816">
        <v>0.15446873695969282</v>
      </c>
      <c r="G816">
        <v>2.0794415416798357</v>
      </c>
      <c r="H816">
        <v>0.375</v>
      </c>
      <c r="I816">
        <v>1</v>
      </c>
      <c r="J816">
        <v>0</v>
      </c>
      <c r="K816">
        <v>2</v>
      </c>
      <c r="L816">
        <v>3</v>
      </c>
      <c r="M816">
        <v>5</v>
      </c>
      <c r="N816">
        <v>3</v>
      </c>
      <c r="O816">
        <v>1</v>
      </c>
      <c r="P816">
        <v>3</v>
      </c>
      <c r="Q816">
        <f t="shared" si="84"/>
        <v>5</v>
      </c>
      <c r="R816">
        <f t="shared" si="85"/>
        <v>22</v>
      </c>
      <c r="S816">
        <f t="array" ref="S816">MAX(IF($C$2:$C$1387=C816,$R$2:$R$1387))</f>
        <v>29</v>
      </c>
      <c r="T816" cm="1">
        <f t="array" ref="T816">MIN(IF($C$2:$C$1387=C816,$R$2:$R$1387))</f>
        <v>11</v>
      </c>
      <c r="U816">
        <f t="shared" si="86"/>
        <v>18</v>
      </c>
      <c r="V816">
        <f t="shared" si="87"/>
        <v>0.61111111111111116</v>
      </c>
      <c r="W816" cm="1">
        <f t="array" ref="W816">_xlfn.IFS(N816=1,5,N816=2,4,N816=4,2,N816=5,1,N816=3,3)</f>
        <v>3</v>
      </c>
      <c r="X816">
        <f t="shared" si="88"/>
        <v>22</v>
      </c>
      <c r="Y816" cm="1">
        <f t="array" ref="Y816">MAX(IF($C$2:$C$1387=C816,$X$2:$X$1387))</f>
        <v>30</v>
      </c>
      <c r="Z816" cm="1">
        <f t="array" ref="Z816">MIN(IF($C$2:$C$1387=C816,$X$2:$X$1387))</f>
        <v>14</v>
      </c>
      <c r="AA816">
        <f t="shared" si="89"/>
        <v>16</v>
      </c>
      <c r="AB816">
        <f t="shared" si="90"/>
        <v>0.5</v>
      </c>
    </row>
    <row r="817" spans="1:28" x14ac:dyDescent="0.25">
      <c r="A817" t="s">
        <v>298</v>
      </c>
      <c r="B817" t="s">
        <v>299</v>
      </c>
      <c r="C817">
        <v>2015</v>
      </c>
      <c r="D817">
        <v>3.5991622035684702E-3</v>
      </c>
      <c r="E817">
        <v>0.64710950191972305</v>
      </c>
      <c r="F817">
        <v>7.6041563793645517E-2</v>
      </c>
      <c r="G817">
        <v>2.0794415416798357</v>
      </c>
      <c r="H817">
        <v>0.75</v>
      </c>
      <c r="I817">
        <v>1</v>
      </c>
      <c r="J817">
        <v>0</v>
      </c>
      <c r="K817">
        <v>2</v>
      </c>
      <c r="L817">
        <v>3</v>
      </c>
      <c r="M817">
        <v>3</v>
      </c>
      <c r="N817">
        <v>3</v>
      </c>
      <c r="O817">
        <v>4</v>
      </c>
      <c r="P817">
        <v>2</v>
      </c>
      <c r="Q817">
        <f t="shared" si="84"/>
        <v>5</v>
      </c>
      <c r="R817">
        <f t="shared" si="85"/>
        <v>22</v>
      </c>
      <c r="S817">
        <f t="array" ref="S817">MAX(IF($C$2:$C$1387=C817,$R$2:$R$1387))</f>
        <v>29</v>
      </c>
      <c r="T817" cm="1">
        <f t="array" ref="T817">MIN(IF($C$2:$C$1387=C817,$R$2:$R$1387))</f>
        <v>11</v>
      </c>
      <c r="U817">
        <f t="shared" si="86"/>
        <v>18</v>
      </c>
      <c r="V817">
        <f t="shared" si="87"/>
        <v>0.61111111111111116</v>
      </c>
      <c r="W817" cm="1">
        <f t="array" ref="W817">_xlfn.IFS(N817=1,5,N817=2,4,N817=4,2,N817=5,1,N817=3,3)</f>
        <v>3</v>
      </c>
      <c r="X817">
        <f t="shared" si="88"/>
        <v>22</v>
      </c>
      <c r="Y817" cm="1">
        <f t="array" ref="Y817">MAX(IF($C$2:$C$1387=C817,$X$2:$X$1387))</f>
        <v>29</v>
      </c>
      <c r="Z817" cm="1">
        <f t="array" ref="Z817">MIN(IF($C$2:$C$1387=C817,$X$2:$X$1387))</f>
        <v>12</v>
      </c>
      <c r="AA817">
        <f t="shared" si="89"/>
        <v>17</v>
      </c>
      <c r="AB817">
        <f t="shared" si="90"/>
        <v>0.58823529411764708</v>
      </c>
    </row>
    <row r="818" spans="1:28" x14ac:dyDescent="0.25">
      <c r="A818" t="s">
        <v>300</v>
      </c>
      <c r="B818" t="s">
        <v>301</v>
      </c>
      <c r="C818">
        <v>2010</v>
      </c>
      <c r="D818">
        <v>0</v>
      </c>
      <c r="E818">
        <v>0.75897825003279551</v>
      </c>
      <c r="F818">
        <v>1.0800000000000001E-2</v>
      </c>
      <c r="G818">
        <v>1.9459101490553132</v>
      </c>
      <c r="H818">
        <v>0.5714285714285714</v>
      </c>
      <c r="I818">
        <v>0.66666666666666663</v>
      </c>
      <c r="J818">
        <v>0</v>
      </c>
      <c r="K818">
        <v>1</v>
      </c>
      <c r="L818">
        <v>4</v>
      </c>
      <c r="M818">
        <v>2</v>
      </c>
      <c r="N818">
        <v>1</v>
      </c>
      <c r="O818">
        <v>2</v>
      </c>
      <c r="P818">
        <v>1</v>
      </c>
      <c r="Q818">
        <f t="shared" si="84"/>
        <v>5</v>
      </c>
      <c r="R818">
        <f t="shared" si="85"/>
        <v>16</v>
      </c>
      <c r="S818">
        <f t="array" ref="S818">MAX(IF($C$2:$C$1387=C818,$R$2:$R$1387))</f>
        <v>29</v>
      </c>
      <c r="T818" cm="1">
        <f t="array" ref="T818">MIN(IF($C$2:$C$1387=C818,$R$2:$R$1387))</f>
        <v>9</v>
      </c>
      <c r="U818">
        <f t="shared" si="86"/>
        <v>20</v>
      </c>
      <c r="V818">
        <f t="shared" si="87"/>
        <v>0.35</v>
      </c>
      <c r="W818" cm="1">
        <f t="array" ref="W818">_xlfn.IFS(N818=1,5,N818=2,4,N818=4,2,N818=5,1,N818=3,3)</f>
        <v>5</v>
      </c>
      <c r="X818">
        <f t="shared" si="88"/>
        <v>20</v>
      </c>
      <c r="Y818" cm="1">
        <f t="array" ref="Y818">MAX(IF($C$2:$C$1387=C818,$X$2:$X$1387))</f>
        <v>29</v>
      </c>
      <c r="Z818" cm="1">
        <f t="array" ref="Z818">MIN(IF($C$2:$C$1387=C818,$X$2:$X$1387))</f>
        <v>12</v>
      </c>
      <c r="AA818">
        <f t="shared" si="89"/>
        <v>17</v>
      </c>
      <c r="AB818">
        <f t="shared" si="90"/>
        <v>0.47058823529411764</v>
      </c>
    </row>
    <row r="819" spans="1:28" x14ac:dyDescent="0.25">
      <c r="A819" t="s">
        <v>300</v>
      </c>
      <c r="B819" t="s">
        <v>301</v>
      </c>
      <c r="C819">
        <v>2011</v>
      </c>
      <c r="D819">
        <v>0.76393834196189325</v>
      </c>
      <c r="E819">
        <v>0.71528263949222193</v>
      </c>
      <c r="F819">
        <v>1.0181570397513256E-2</v>
      </c>
      <c r="G819">
        <v>1.9459101490553132</v>
      </c>
      <c r="H819">
        <v>0.5714285714285714</v>
      </c>
      <c r="I819">
        <v>0.66666666666666663</v>
      </c>
      <c r="J819">
        <v>0</v>
      </c>
      <c r="K819">
        <v>5</v>
      </c>
      <c r="L819">
        <v>3</v>
      </c>
      <c r="M819">
        <v>2</v>
      </c>
      <c r="N819">
        <v>1</v>
      </c>
      <c r="O819">
        <v>2</v>
      </c>
      <c r="P819">
        <v>1</v>
      </c>
      <c r="Q819">
        <f t="shared" si="84"/>
        <v>5</v>
      </c>
      <c r="R819">
        <f t="shared" si="85"/>
        <v>19</v>
      </c>
      <c r="S819">
        <f t="array" ref="S819">MAX(IF($C$2:$C$1387=C819,$R$2:$R$1387))</f>
        <v>28</v>
      </c>
      <c r="T819" cm="1">
        <f t="array" ref="T819">MIN(IF($C$2:$C$1387=C819,$R$2:$R$1387))</f>
        <v>10</v>
      </c>
      <c r="U819">
        <f t="shared" si="86"/>
        <v>18</v>
      </c>
      <c r="V819">
        <f t="shared" si="87"/>
        <v>0.5</v>
      </c>
      <c r="W819" cm="1">
        <f t="array" ref="W819">_xlfn.IFS(N819=1,5,N819=2,4,N819=4,2,N819=5,1,N819=3,3)</f>
        <v>5</v>
      </c>
      <c r="X819">
        <f t="shared" si="88"/>
        <v>23</v>
      </c>
      <c r="Y819" cm="1">
        <f t="array" ref="Y819">MAX(IF($C$2:$C$1387=C819,$X$2:$X$1387))</f>
        <v>29</v>
      </c>
      <c r="Z819" cm="1">
        <f t="array" ref="Z819">MIN(IF($C$2:$C$1387=C819,$X$2:$X$1387))</f>
        <v>12</v>
      </c>
      <c r="AA819">
        <f t="shared" si="89"/>
        <v>17</v>
      </c>
      <c r="AB819">
        <f t="shared" si="90"/>
        <v>0.6470588235294118</v>
      </c>
    </row>
    <row r="820" spans="1:28" x14ac:dyDescent="0.25">
      <c r="A820" t="s">
        <v>300</v>
      </c>
      <c r="B820" t="s">
        <v>301</v>
      </c>
      <c r="C820">
        <v>2012</v>
      </c>
      <c r="D820">
        <v>0.76393834196189325</v>
      </c>
      <c r="E820">
        <v>0.71528263949222193</v>
      </c>
      <c r="F820">
        <v>1.0181570397513256E-2</v>
      </c>
      <c r="G820">
        <v>1.9459101490553132</v>
      </c>
      <c r="H820">
        <v>0.5714285714285714</v>
      </c>
      <c r="I820">
        <v>0.66666666666666663</v>
      </c>
      <c r="J820">
        <v>0</v>
      </c>
      <c r="K820">
        <v>5</v>
      </c>
      <c r="L820">
        <v>3</v>
      </c>
      <c r="M820">
        <v>2</v>
      </c>
      <c r="N820">
        <v>1</v>
      </c>
      <c r="O820">
        <v>2</v>
      </c>
      <c r="P820">
        <v>1</v>
      </c>
      <c r="Q820">
        <f t="shared" si="84"/>
        <v>5</v>
      </c>
      <c r="R820">
        <f t="shared" si="85"/>
        <v>19</v>
      </c>
      <c r="S820">
        <f t="array" ref="S820">MAX(IF($C$2:$C$1387=C820,$R$2:$R$1387))</f>
        <v>29</v>
      </c>
      <c r="T820" cm="1">
        <f t="array" ref="T820">MIN(IF($C$2:$C$1387=C820,$R$2:$R$1387))</f>
        <v>11</v>
      </c>
      <c r="U820">
        <f t="shared" si="86"/>
        <v>18</v>
      </c>
      <c r="V820">
        <f t="shared" si="87"/>
        <v>0.44444444444444442</v>
      </c>
      <c r="W820" cm="1">
        <f t="array" ref="W820">_xlfn.IFS(N820=1,5,N820=2,4,N820=4,2,N820=5,1,N820=3,3)</f>
        <v>5</v>
      </c>
      <c r="X820">
        <f t="shared" si="88"/>
        <v>23</v>
      </c>
      <c r="Y820" cm="1">
        <f t="array" ref="Y820">MAX(IF($C$2:$C$1387=C820,$X$2:$X$1387))</f>
        <v>30</v>
      </c>
      <c r="Z820" cm="1">
        <f t="array" ref="Z820">MIN(IF($C$2:$C$1387=C820,$X$2:$X$1387))</f>
        <v>12</v>
      </c>
      <c r="AA820">
        <f t="shared" si="89"/>
        <v>18</v>
      </c>
      <c r="AB820">
        <f t="shared" si="90"/>
        <v>0.61111111111111116</v>
      </c>
    </row>
    <row r="821" spans="1:28" x14ac:dyDescent="0.25">
      <c r="A821" t="s">
        <v>300</v>
      </c>
      <c r="B821" t="s">
        <v>301</v>
      </c>
      <c r="C821">
        <v>2013</v>
      </c>
      <c r="D821">
        <v>0.76393834196189325</v>
      </c>
      <c r="E821">
        <v>0.71528263949222193</v>
      </c>
      <c r="F821">
        <v>1.0181570397513256E-2</v>
      </c>
      <c r="G821">
        <v>1.9459101490553132</v>
      </c>
      <c r="H821">
        <v>0.2857142857142857</v>
      </c>
      <c r="I821">
        <v>0.33333333333333331</v>
      </c>
      <c r="J821">
        <v>0</v>
      </c>
      <c r="K821">
        <v>5</v>
      </c>
      <c r="L821">
        <v>3</v>
      </c>
      <c r="M821">
        <v>2</v>
      </c>
      <c r="N821">
        <v>1</v>
      </c>
      <c r="O821">
        <v>1</v>
      </c>
      <c r="P821">
        <v>1</v>
      </c>
      <c r="Q821">
        <f t="shared" si="84"/>
        <v>5</v>
      </c>
      <c r="R821">
        <f t="shared" si="85"/>
        <v>18</v>
      </c>
      <c r="S821">
        <f t="array" ref="S821">MAX(IF($C$2:$C$1387=C821,$R$2:$R$1387))</f>
        <v>29</v>
      </c>
      <c r="T821" cm="1">
        <f t="array" ref="T821">MIN(IF($C$2:$C$1387=C821,$R$2:$R$1387))</f>
        <v>10</v>
      </c>
      <c r="U821">
        <f t="shared" si="86"/>
        <v>19</v>
      </c>
      <c r="V821">
        <f t="shared" si="87"/>
        <v>0.42105263157894735</v>
      </c>
      <c r="W821" cm="1">
        <f t="array" ref="W821">_xlfn.IFS(N821=1,5,N821=2,4,N821=4,2,N821=5,1,N821=3,3)</f>
        <v>5</v>
      </c>
      <c r="X821">
        <f t="shared" si="88"/>
        <v>22</v>
      </c>
      <c r="Y821" cm="1">
        <f t="array" ref="Y821">MAX(IF($C$2:$C$1387=C821,$X$2:$X$1387))</f>
        <v>32</v>
      </c>
      <c r="Z821" cm="1">
        <f t="array" ref="Z821">MIN(IF($C$2:$C$1387=C821,$X$2:$X$1387))</f>
        <v>10</v>
      </c>
      <c r="AA821">
        <f t="shared" si="89"/>
        <v>22</v>
      </c>
      <c r="AB821">
        <f t="shared" si="90"/>
        <v>0.54545454545454541</v>
      </c>
    </row>
    <row r="822" spans="1:28" x14ac:dyDescent="0.25">
      <c r="A822" t="s">
        <v>300</v>
      </c>
      <c r="B822" t="s">
        <v>301</v>
      </c>
      <c r="C822">
        <v>2014</v>
      </c>
      <c r="D822">
        <v>0.76606372933677724</v>
      </c>
      <c r="E822">
        <v>0.71528249994653659</v>
      </c>
      <c r="F822">
        <v>1.0782909000258967E-2</v>
      </c>
      <c r="G822">
        <v>1.9459101490553132</v>
      </c>
      <c r="H822">
        <v>0.2857142857142857</v>
      </c>
      <c r="I822">
        <v>0.75</v>
      </c>
      <c r="J822">
        <v>0</v>
      </c>
      <c r="K822">
        <v>5</v>
      </c>
      <c r="L822">
        <v>3</v>
      </c>
      <c r="M822">
        <v>2</v>
      </c>
      <c r="N822">
        <v>1</v>
      </c>
      <c r="O822">
        <v>1</v>
      </c>
      <c r="P822">
        <v>2</v>
      </c>
      <c r="Q822">
        <f t="shared" si="84"/>
        <v>5</v>
      </c>
      <c r="R822">
        <f t="shared" si="85"/>
        <v>19</v>
      </c>
      <c r="S822">
        <f t="array" ref="S822">MAX(IF($C$2:$C$1387=C822,$R$2:$R$1387))</f>
        <v>29</v>
      </c>
      <c r="T822" cm="1">
        <f t="array" ref="T822">MIN(IF($C$2:$C$1387=C822,$R$2:$R$1387))</f>
        <v>11</v>
      </c>
      <c r="U822">
        <f t="shared" si="86"/>
        <v>18</v>
      </c>
      <c r="V822">
        <f t="shared" si="87"/>
        <v>0.44444444444444442</v>
      </c>
      <c r="W822" cm="1">
        <f t="array" ref="W822">_xlfn.IFS(N822=1,5,N822=2,4,N822=4,2,N822=5,1,N822=3,3)</f>
        <v>5</v>
      </c>
      <c r="X822">
        <f t="shared" si="88"/>
        <v>23</v>
      </c>
      <c r="Y822" cm="1">
        <f t="array" ref="Y822">MAX(IF($C$2:$C$1387=C822,$X$2:$X$1387))</f>
        <v>30</v>
      </c>
      <c r="Z822" cm="1">
        <f t="array" ref="Z822">MIN(IF($C$2:$C$1387=C822,$X$2:$X$1387))</f>
        <v>14</v>
      </c>
      <c r="AA822">
        <f t="shared" si="89"/>
        <v>16</v>
      </c>
      <c r="AB822">
        <f t="shared" si="90"/>
        <v>0.5625</v>
      </c>
    </row>
    <row r="823" spans="1:28" x14ac:dyDescent="0.25">
      <c r="A823" t="s">
        <v>300</v>
      </c>
      <c r="B823" t="s">
        <v>301</v>
      </c>
      <c r="C823">
        <v>2015</v>
      </c>
      <c r="D823">
        <v>0.76665995967374978</v>
      </c>
      <c r="E823">
        <v>0.71536054873920762</v>
      </c>
      <c r="F823">
        <v>1.0469090414687285E-2</v>
      </c>
      <c r="G823">
        <v>2.0794415416798357</v>
      </c>
      <c r="H823">
        <v>0.5</v>
      </c>
      <c r="I823">
        <v>0.5</v>
      </c>
      <c r="J823">
        <v>0</v>
      </c>
      <c r="K823">
        <v>5</v>
      </c>
      <c r="L823">
        <v>4</v>
      </c>
      <c r="M823">
        <v>2</v>
      </c>
      <c r="N823">
        <v>3</v>
      </c>
      <c r="O823">
        <v>1</v>
      </c>
      <c r="P823">
        <v>1</v>
      </c>
      <c r="Q823">
        <f t="shared" si="84"/>
        <v>5</v>
      </c>
      <c r="R823">
        <f t="shared" si="85"/>
        <v>21</v>
      </c>
      <c r="S823">
        <f t="array" ref="S823">MAX(IF($C$2:$C$1387=C823,$R$2:$R$1387))</f>
        <v>29</v>
      </c>
      <c r="T823" cm="1">
        <f t="array" ref="T823">MIN(IF($C$2:$C$1387=C823,$R$2:$R$1387))</f>
        <v>11</v>
      </c>
      <c r="U823">
        <f t="shared" si="86"/>
        <v>18</v>
      </c>
      <c r="V823">
        <f t="shared" si="87"/>
        <v>0.55555555555555558</v>
      </c>
      <c r="W823" cm="1">
        <f t="array" ref="W823">_xlfn.IFS(N823=1,5,N823=2,4,N823=4,2,N823=5,1,N823=3,3)</f>
        <v>3</v>
      </c>
      <c r="X823">
        <f t="shared" si="88"/>
        <v>21</v>
      </c>
      <c r="Y823" cm="1">
        <f t="array" ref="Y823">MAX(IF($C$2:$C$1387=C823,$X$2:$X$1387))</f>
        <v>29</v>
      </c>
      <c r="Z823" cm="1">
        <f t="array" ref="Z823">MIN(IF($C$2:$C$1387=C823,$X$2:$X$1387))</f>
        <v>12</v>
      </c>
      <c r="AA823">
        <f t="shared" si="89"/>
        <v>17</v>
      </c>
      <c r="AB823">
        <f t="shared" si="90"/>
        <v>0.52941176470588236</v>
      </c>
    </row>
    <row r="824" spans="1:28" x14ac:dyDescent="0.25">
      <c r="A824" t="s">
        <v>302</v>
      </c>
      <c r="B824" t="s">
        <v>303</v>
      </c>
      <c r="C824">
        <v>2010</v>
      </c>
      <c r="D824">
        <v>2.5358333333333333E-2</v>
      </c>
      <c r="E824">
        <v>0.64125456666666669</v>
      </c>
      <c r="F824">
        <v>0.10324703333333334</v>
      </c>
      <c r="G824">
        <v>1.9459101490553132</v>
      </c>
      <c r="H824">
        <v>0.7142857142857143</v>
      </c>
      <c r="I824">
        <v>0</v>
      </c>
      <c r="J824">
        <v>1</v>
      </c>
      <c r="K824">
        <v>2</v>
      </c>
      <c r="L824">
        <v>3</v>
      </c>
      <c r="M824">
        <v>4</v>
      </c>
      <c r="N824">
        <v>1</v>
      </c>
      <c r="O824">
        <v>4</v>
      </c>
      <c r="P824">
        <v>1</v>
      </c>
      <c r="Q824">
        <f t="shared" si="84"/>
        <v>1</v>
      </c>
      <c r="R824">
        <f t="shared" si="85"/>
        <v>16</v>
      </c>
      <c r="S824">
        <f t="array" ref="S824">MAX(IF($C$2:$C$1387=C824,$R$2:$R$1387))</f>
        <v>29</v>
      </c>
      <c r="T824" cm="1">
        <f t="array" ref="T824">MIN(IF($C$2:$C$1387=C824,$R$2:$R$1387))</f>
        <v>9</v>
      </c>
      <c r="U824">
        <f t="shared" si="86"/>
        <v>20</v>
      </c>
      <c r="V824">
        <f t="shared" si="87"/>
        <v>0.35</v>
      </c>
      <c r="W824" cm="1">
        <f t="array" ref="W824">_xlfn.IFS(N824=1,5,N824=2,4,N824=4,2,N824=5,1,N824=3,3)</f>
        <v>5</v>
      </c>
      <c r="X824">
        <f t="shared" si="88"/>
        <v>20</v>
      </c>
      <c r="Y824" cm="1">
        <f t="array" ref="Y824">MAX(IF($C$2:$C$1387=C824,$X$2:$X$1387))</f>
        <v>29</v>
      </c>
      <c r="Z824" cm="1">
        <f t="array" ref="Z824">MIN(IF($C$2:$C$1387=C824,$X$2:$X$1387))</f>
        <v>12</v>
      </c>
      <c r="AA824">
        <f t="shared" si="89"/>
        <v>17</v>
      </c>
      <c r="AB824">
        <f t="shared" si="90"/>
        <v>0.47058823529411764</v>
      </c>
    </row>
    <row r="825" spans="1:28" x14ac:dyDescent="0.25">
      <c r="A825" t="s">
        <v>302</v>
      </c>
      <c r="B825" t="s">
        <v>303</v>
      </c>
      <c r="C825">
        <v>2011</v>
      </c>
      <c r="D825">
        <v>2.5358333333333333E-2</v>
      </c>
      <c r="E825">
        <v>0.64214893333333334</v>
      </c>
      <c r="F825">
        <v>0.13154788333333334</v>
      </c>
      <c r="G825">
        <v>1.9459101490553132</v>
      </c>
      <c r="H825">
        <v>0.7142857142857143</v>
      </c>
      <c r="I825">
        <v>0</v>
      </c>
      <c r="J825">
        <v>1</v>
      </c>
      <c r="K825">
        <v>2</v>
      </c>
      <c r="L825">
        <v>3</v>
      </c>
      <c r="M825">
        <v>4</v>
      </c>
      <c r="N825">
        <v>1</v>
      </c>
      <c r="O825">
        <v>4</v>
      </c>
      <c r="P825">
        <v>1</v>
      </c>
      <c r="Q825">
        <f t="shared" si="84"/>
        <v>1</v>
      </c>
      <c r="R825">
        <f t="shared" si="85"/>
        <v>16</v>
      </c>
      <c r="S825">
        <f t="array" ref="S825">MAX(IF($C$2:$C$1387=C825,$R$2:$R$1387))</f>
        <v>28</v>
      </c>
      <c r="T825" cm="1">
        <f t="array" ref="T825">MIN(IF($C$2:$C$1387=C825,$R$2:$R$1387))</f>
        <v>10</v>
      </c>
      <c r="U825">
        <f t="shared" si="86"/>
        <v>18</v>
      </c>
      <c r="V825">
        <f t="shared" si="87"/>
        <v>0.33333333333333331</v>
      </c>
      <c r="W825" cm="1">
        <f t="array" ref="W825">_xlfn.IFS(N825=1,5,N825=2,4,N825=4,2,N825=5,1,N825=3,3)</f>
        <v>5</v>
      </c>
      <c r="X825">
        <f t="shared" si="88"/>
        <v>20</v>
      </c>
      <c r="Y825" cm="1">
        <f t="array" ref="Y825">MAX(IF($C$2:$C$1387=C825,$X$2:$X$1387))</f>
        <v>29</v>
      </c>
      <c r="Z825" cm="1">
        <f t="array" ref="Z825">MIN(IF($C$2:$C$1387=C825,$X$2:$X$1387))</f>
        <v>12</v>
      </c>
      <c r="AA825">
        <f t="shared" si="89"/>
        <v>17</v>
      </c>
      <c r="AB825">
        <f t="shared" si="90"/>
        <v>0.47058823529411764</v>
      </c>
    </row>
    <row r="826" spans="1:28" x14ac:dyDescent="0.25">
      <c r="A826" t="s">
        <v>302</v>
      </c>
      <c r="B826" t="s">
        <v>303</v>
      </c>
      <c r="C826">
        <v>2012</v>
      </c>
      <c r="D826">
        <v>2.5358333333333333E-2</v>
      </c>
      <c r="E826">
        <v>0.64214893333333334</v>
      </c>
      <c r="F826">
        <v>0.13154788333333334</v>
      </c>
      <c r="G826">
        <v>1.9459101490553132</v>
      </c>
      <c r="H826">
        <v>0.7142857142857143</v>
      </c>
      <c r="I826">
        <v>0</v>
      </c>
      <c r="J826">
        <v>1</v>
      </c>
      <c r="K826">
        <v>2</v>
      </c>
      <c r="L826">
        <v>3</v>
      </c>
      <c r="M826">
        <v>4</v>
      </c>
      <c r="N826">
        <v>1</v>
      </c>
      <c r="O826">
        <v>4</v>
      </c>
      <c r="P826">
        <v>1</v>
      </c>
      <c r="Q826">
        <f t="shared" si="84"/>
        <v>1</v>
      </c>
      <c r="R826">
        <f t="shared" si="85"/>
        <v>16</v>
      </c>
      <c r="S826">
        <f t="array" ref="S826">MAX(IF($C$2:$C$1387=C826,$R$2:$R$1387))</f>
        <v>29</v>
      </c>
      <c r="T826" cm="1">
        <f t="array" ref="T826">MIN(IF($C$2:$C$1387=C826,$R$2:$R$1387))</f>
        <v>11</v>
      </c>
      <c r="U826">
        <f t="shared" si="86"/>
        <v>18</v>
      </c>
      <c r="V826">
        <f t="shared" si="87"/>
        <v>0.27777777777777779</v>
      </c>
      <c r="W826" cm="1">
        <f t="array" ref="W826">_xlfn.IFS(N826=1,5,N826=2,4,N826=4,2,N826=5,1,N826=3,3)</f>
        <v>5</v>
      </c>
      <c r="X826">
        <f t="shared" si="88"/>
        <v>20</v>
      </c>
      <c r="Y826" cm="1">
        <f t="array" ref="Y826">MAX(IF($C$2:$C$1387=C826,$X$2:$X$1387))</f>
        <v>30</v>
      </c>
      <c r="Z826" cm="1">
        <f t="array" ref="Z826">MIN(IF($C$2:$C$1387=C826,$X$2:$X$1387))</f>
        <v>12</v>
      </c>
      <c r="AA826">
        <f t="shared" si="89"/>
        <v>18</v>
      </c>
      <c r="AB826">
        <f t="shared" si="90"/>
        <v>0.44444444444444442</v>
      </c>
    </row>
    <row r="827" spans="1:28" x14ac:dyDescent="0.25">
      <c r="A827" t="s">
        <v>302</v>
      </c>
      <c r="B827" t="s">
        <v>303</v>
      </c>
      <c r="C827">
        <v>2013</v>
      </c>
      <c r="D827">
        <v>2.5358333333333333E-2</v>
      </c>
      <c r="E827">
        <v>0.64214893333333334</v>
      </c>
      <c r="F827">
        <v>0.13154788333333334</v>
      </c>
      <c r="G827">
        <v>1.9459101490553132</v>
      </c>
      <c r="H827">
        <v>0.7142857142857143</v>
      </c>
      <c r="I827">
        <v>1</v>
      </c>
      <c r="J827">
        <v>0</v>
      </c>
      <c r="K827">
        <v>2</v>
      </c>
      <c r="L827">
        <v>3</v>
      </c>
      <c r="M827">
        <v>4</v>
      </c>
      <c r="N827">
        <v>1</v>
      </c>
      <c r="O827">
        <v>4</v>
      </c>
      <c r="P827">
        <v>3</v>
      </c>
      <c r="Q827">
        <f t="shared" si="84"/>
        <v>5</v>
      </c>
      <c r="R827">
        <f t="shared" si="85"/>
        <v>22</v>
      </c>
      <c r="S827">
        <f t="array" ref="S827">MAX(IF($C$2:$C$1387=C827,$R$2:$R$1387))</f>
        <v>29</v>
      </c>
      <c r="T827" cm="1">
        <f t="array" ref="T827">MIN(IF($C$2:$C$1387=C827,$R$2:$R$1387))</f>
        <v>10</v>
      </c>
      <c r="U827">
        <f t="shared" si="86"/>
        <v>19</v>
      </c>
      <c r="V827">
        <f t="shared" si="87"/>
        <v>0.63157894736842102</v>
      </c>
      <c r="W827" cm="1">
        <f t="array" ref="W827">_xlfn.IFS(N827=1,5,N827=2,4,N827=4,2,N827=5,1,N827=3,3)</f>
        <v>5</v>
      </c>
      <c r="X827">
        <f t="shared" si="88"/>
        <v>26</v>
      </c>
      <c r="Y827" cm="1">
        <f t="array" ref="Y827">MAX(IF($C$2:$C$1387=C827,$X$2:$X$1387))</f>
        <v>32</v>
      </c>
      <c r="Z827" cm="1">
        <f t="array" ref="Z827">MIN(IF($C$2:$C$1387=C827,$X$2:$X$1387))</f>
        <v>10</v>
      </c>
      <c r="AA827">
        <f t="shared" si="89"/>
        <v>22</v>
      </c>
      <c r="AB827">
        <f t="shared" si="90"/>
        <v>0.72727272727272729</v>
      </c>
    </row>
    <row r="828" spans="1:28" x14ac:dyDescent="0.25">
      <c r="A828" t="s">
        <v>302</v>
      </c>
      <c r="B828" t="s">
        <v>303</v>
      </c>
      <c r="C828">
        <v>2014</v>
      </c>
      <c r="D828">
        <v>2.5358333333333333E-2</v>
      </c>
      <c r="E828">
        <v>0.64131559999999999</v>
      </c>
      <c r="F828">
        <v>8.6867083333333331E-2</v>
      </c>
      <c r="G828">
        <v>1.9459101490553132</v>
      </c>
      <c r="H828">
        <v>0.7142857142857143</v>
      </c>
      <c r="I828">
        <v>1</v>
      </c>
      <c r="J828">
        <v>0</v>
      </c>
      <c r="K828">
        <v>2</v>
      </c>
      <c r="L828">
        <v>3</v>
      </c>
      <c r="M828">
        <v>4</v>
      </c>
      <c r="N828">
        <v>1</v>
      </c>
      <c r="O828">
        <v>4</v>
      </c>
      <c r="P828">
        <v>3</v>
      </c>
      <c r="Q828">
        <f t="shared" si="84"/>
        <v>5</v>
      </c>
      <c r="R828">
        <f t="shared" si="85"/>
        <v>22</v>
      </c>
      <c r="S828">
        <f t="array" ref="S828">MAX(IF($C$2:$C$1387=C828,$R$2:$R$1387))</f>
        <v>29</v>
      </c>
      <c r="T828" cm="1">
        <f t="array" ref="T828">MIN(IF($C$2:$C$1387=C828,$R$2:$R$1387))</f>
        <v>11</v>
      </c>
      <c r="U828">
        <f t="shared" si="86"/>
        <v>18</v>
      </c>
      <c r="V828">
        <f t="shared" si="87"/>
        <v>0.61111111111111116</v>
      </c>
      <c r="W828" cm="1">
        <f t="array" ref="W828">_xlfn.IFS(N828=1,5,N828=2,4,N828=4,2,N828=5,1,N828=3,3)</f>
        <v>5</v>
      </c>
      <c r="X828">
        <f t="shared" si="88"/>
        <v>26</v>
      </c>
      <c r="Y828" cm="1">
        <f t="array" ref="Y828">MAX(IF($C$2:$C$1387=C828,$X$2:$X$1387))</f>
        <v>30</v>
      </c>
      <c r="Z828" cm="1">
        <f t="array" ref="Z828">MIN(IF($C$2:$C$1387=C828,$X$2:$X$1387))</f>
        <v>14</v>
      </c>
      <c r="AA828">
        <f t="shared" si="89"/>
        <v>16</v>
      </c>
      <c r="AB828">
        <f t="shared" si="90"/>
        <v>0.75</v>
      </c>
    </row>
    <row r="829" spans="1:28" x14ac:dyDescent="0.25">
      <c r="A829" t="s">
        <v>302</v>
      </c>
      <c r="B829" t="s">
        <v>303</v>
      </c>
      <c r="C829">
        <v>2015</v>
      </c>
      <c r="D829">
        <v>2.5358333333333333E-2</v>
      </c>
      <c r="E829">
        <v>0.64131559999999999</v>
      </c>
      <c r="F829">
        <v>8.6867083333333331E-2</v>
      </c>
      <c r="G829">
        <v>1.9459101490553132</v>
      </c>
      <c r="H829">
        <v>0.7142857142857143</v>
      </c>
      <c r="I829">
        <v>1</v>
      </c>
      <c r="J829">
        <v>0</v>
      </c>
      <c r="K829">
        <v>2</v>
      </c>
      <c r="L829">
        <v>3</v>
      </c>
      <c r="M829">
        <v>4</v>
      </c>
      <c r="N829">
        <v>1</v>
      </c>
      <c r="O829">
        <v>3</v>
      </c>
      <c r="P829">
        <v>2</v>
      </c>
      <c r="Q829">
        <f t="shared" si="84"/>
        <v>5</v>
      </c>
      <c r="R829">
        <f t="shared" si="85"/>
        <v>20</v>
      </c>
      <c r="S829">
        <f t="array" ref="S829">MAX(IF($C$2:$C$1387=C829,$R$2:$R$1387))</f>
        <v>29</v>
      </c>
      <c r="T829" cm="1">
        <f t="array" ref="T829">MIN(IF($C$2:$C$1387=C829,$R$2:$R$1387))</f>
        <v>11</v>
      </c>
      <c r="U829">
        <f t="shared" si="86"/>
        <v>18</v>
      </c>
      <c r="V829">
        <f t="shared" si="87"/>
        <v>0.5</v>
      </c>
      <c r="W829" cm="1">
        <f t="array" ref="W829">_xlfn.IFS(N829=1,5,N829=2,4,N829=4,2,N829=5,1,N829=3,3)</f>
        <v>5</v>
      </c>
      <c r="X829">
        <f t="shared" si="88"/>
        <v>24</v>
      </c>
      <c r="Y829" cm="1">
        <f t="array" ref="Y829">MAX(IF($C$2:$C$1387=C829,$X$2:$X$1387))</f>
        <v>29</v>
      </c>
      <c r="Z829" cm="1">
        <f t="array" ref="Z829">MIN(IF($C$2:$C$1387=C829,$X$2:$X$1387))</f>
        <v>12</v>
      </c>
      <c r="AA829">
        <f t="shared" si="89"/>
        <v>17</v>
      </c>
      <c r="AB829">
        <f t="shared" si="90"/>
        <v>0.70588235294117652</v>
      </c>
    </row>
    <row r="830" spans="1:28" x14ac:dyDescent="0.25">
      <c r="A830" t="s">
        <v>304</v>
      </c>
      <c r="B830" t="s">
        <v>305</v>
      </c>
      <c r="C830">
        <v>2010</v>
      </c>
      <c r="D830">
        <v>0.24871080107847926</v>
      </c>
      <c r="E830">
        <v>0.3159941099831714</v>
      </c>
      <c r="F830">
        <v>6.4806832781427001E-2</v>
      </c>
      <c r="G830">
        <v>2.0794415416798357</v>
      </c>
      <c r="H830">
        <v>0.75</v>
      </c>
      <c r="I830">
        <v>1</v>
      </c>
      <c r="J830">
        <v>1</v>
      </c>
      <c r="K830">
        <v>3</v>
      </c>
      <c r="L830">
        <v>1</v>
      </c>
      <c r="M830">
        <v>3</v>
      </c>
      <c r="N830">
        <v>3</v>
      </c>
      <c r="O830">
        <v>4</v>
      </c>
      <c r="P830">
        <v>3</v>
      </c>
      <c r="Q830">
        <f t="shared" si="84"/>
        <v>1</v>
      </c>
      <c r="R830">
        <f t="shared" si="85"/>
        <v>18</v>
      </c>
      <c r="S830">
        <f t="array" ref="S830">MAX(IF($C$2:$C$1387=C830,$R$2:$R$1387))</f>
        <v>29</v>
      </c>
      <c r="T830" cm="1">
        <f t="array" ref="T830">MIN(IF($C$2:$C$1387=C830,$R$2:$R$1387))</f>
        <v>9</v>
      </c>
      <c r="U830">
        <f t="shared" si="86"/>
        <v>20</v>
      </c>
      <c r="V830">
        <f t="shared" si="87"/>
        <v>0.45</v>
      </c>
      <c r="W830" cm="1">
        <f t="array" ref="W830">_xlfn.IFS(N830=1,5,N830=2,4,N830=4,2,N830=5,1,N830=3,3)</f>
        <v>3</v>
      </c>
      <c r="X830">
        <f t="shared" si="88"/>
        <v>18</v>
      </c>
      <c r="Y830" cm="1">
        <f t="array" ref="Y830">MAX(IF($C$2:$C$1387=C830,$X$2:$X$1387))</f>
        <v>29</v>
      </c>
      <c r="Z830" cm="1">
        <f t="array" ref="Z830">MIN(IF($C$2:$C$1387=C830,$X$2:$X$1387))</f>
        <v>12</v>
      </c>
      <c r="AA830">
        <f t="shared" si="89"/>
        <v>17</v>
      </c>
      <c r="AB830">
        <f t="shared" si="90"/>
        <v>0.35294117647058826</v>
      </c>
    </row>
    <row r="831" spans="1:28" x14ac:dyDescent="0.25">
      <c r="A831" t="s">
        <v>304</v>
      </c>
      <c r="B831" t="s">
        <v>305</v>
      </c>
      <c r="C831">
        <v>2011</v>
      </c>
      <c r="D831">
        <v>0.24871080107847926</v>
      </c>
      <c r="E831">
        <v>0.3159941099831714</v>
      </c>
      <c r="F831">
        <v>6.4806832781427001E-2</v>
      </c>
      <c r="G831">
        <v>2.0794415416798357</v>
      </c>
      <c r="H831">
        <v>0.75</v>
      </c>
      <c r="I831">
        <v>1</v>
      </c>
      <c r="J831">
        <v>1</v>
      </c>
      <c r="K831">
        <v>3</v>
      </c>
      <c r="L831">
        <v>1</v>
      </c>
      <c r="M831">
        <v>3</v>
      </c>
      <c r="N831">
        <v>3</v>
      </c>
      <c r="O831">
        <v>4</v>
      </c>
      <c r="P831">
        <v>3</v>
      </c>
      <c r="Q831">
        <f t="shared" si="84"/>
        <v>1</v>
      </c>
      <c r="R831">
        <f t="shared" si="85"/>
        <v>18</v>
      </c>
      <c r="S831">
        <f t="array" ref="S831">MAX(IF($C$2:$C$1387=C831,$R$2:$R$1387))</f>
        <v>28</v>
      </c>
      <c r="T831" cm="1">
        <f t="array" ref="T831">MIN(IF($C$2:$C$1387=C831,$R$2:$R$1387))</f>
        <v>10</v>
      </c>
      <c r="U831">
        <f t="shared" si="86"/>
        <v>18</v>
      </c>
      <c r="V831">
        <f t="shared" si="87"/>
        <v>0.44444444444444442</v>
      </c>
      <c r="W831" cm="1">
        <f t="array" ref="W831">_xlfn.IFS(N831=1,5,N831=2,4,N831=4,2,N831=5,1,N831=3,3)</f>
        <v>3</v>
      </c>
      <c r="X831">
        <f t="shared" si="88"/>
        <v>18</v>
      </c>
      <c r="Y831" cm="1">
        <f t="array" ref="Y831">MAX(IF($C$2:$C$1387=C831,$X$2:$X$1387))</f>
        <v>29</v>
      </c>
      <c r="Z831" cm="1">
        <f t="array" ref="Z831">MIN(IF($C$2:$C$1387=C831,$X$2:$X$1387))</f>
        <v>12</v>
      </c>
      <c r="AA831">
        <f t="shared" si="89"/>
        <v>17</v>
      </c>
      <c r="AB831">
        <f t="shared" si="90"/>
        <v>0.35294117647058826</v>
      </c>
    </row>
    <row r="832" spans="1:28" x14ac:dyDescent="0.25">
      <c r="A832" t="s">
        <v>304</v>
      </c>
      <c r="B832" t="s">
        <v>305</v>
      </c>
      <c r="C832">
        <v>2012</v>
      </c>
      <c r="D832">
        <v>0.65862783417476434</v>
      </c>
      <c r="E832">
        <v>0.3151379313464705</v>
      </c>
      <c r="F832">
        <v>6.2881358232452098E-2</v>
      </c>
      <c r="G832">
        <v>2.0794415416798357</v>
      </c>
      <c r="H832">
        <v>0.5</v>
      </c>
      <c r="I832">
        <v>0.66666666666666663</v>
      </c>
      <c r="J832">
        <v>1</v>
      </c>
      <c r="K832">
        <v>5</v>
      </c>
      <c r="L832">
        <v>1</v>
      </c>
      <c r="M832">
        <v>3</v>
      </c>
      <c r="N832">
        <v>3</v>
      </c>
      <c r="O832">
        <v>2</v>
      </c>
      <c r="P832">
        <v>1</v>
      </c>
      <c r="Q832">
        <f t="shared" si="84"/>
        <v>1</v>
      </c>
      <c r="R832">
        <f t="shared" si="85"/>
        <v>16</v>
      </c>
      <c r="S832">
        <f t="array" ref="S832">MAX(IF($C$2:$C$1387=C832,$R$2:$R$1387))</f>
        <v>29</v>
      </c>
      <c r="T832" cm="1">
        <f t="array" ref="T832">MIN(IF($C$2:$C$1387=C832,$R$2:$R$1387))</f>
        <v>11</v>
      </c>
      <c r="U832">
        <f t="shared" si="86"/>
        <v>18</v>
      </c>
      <c r="V832">
        <f t="shared" si="87"/>
        <v>0.27777777777777779</v>
      </c>
      <c r="W832" cm="1">
        <f t="array" ref="W832">_xlfn.IFS(N832=1,5,N832=2,4,N832=4,2,N832=5,1,N832=3,3)</f>
        <v>3</v>
      </c>
      <c r="X832">
        <f t="shared" si="88"/>
        <v>16</v>
      </c>
      <c r="Y832" cm="1">
        <f t="array" ref="Y832">MAX(IF($C$2:$C$1387=C832,$X$2:$X$1387))</f>
        <v>30</v>
      </c>
      <c r="Z832" cm="1">
        <f t="array" ref="Z832">MIN(IF($C$2:$C$1387=C832,$X$2:$X$1387))</f>
        <v>12</v>
      </c>
      <c r="AA832">
        <f t="shared" si="89"/>
        <v>18</v>
      </c>
      <c r="AB832">
        <f t="shared" si="90"/>
        <v>0.22222222222222221</v>
      </c>
    </row>
    <row r="833" spans="1:28" x14ac:dyDescent="0.25">
      <c r="A833" t="s">
        <v>304</v>
      </c>
      <c r="B833" t="s">
        <v>305</v>
      </c>
      <c r="C833">
        <v>2013</v>
      </c>
      <c r="D833">
        <v>0.54955856540542491</v>
      </c>
      <c r="E833">
        <v>0.58815613520800536</v>
      </c>
      <c r="F833">
        <v>6.1349772904113059E-2</v>
      </c>
      <c r="G833">
        <v>1.9459101490553132</v>
      </c>
      <c r="H833">
        <v>0.42857142857142855</v>
      </c>
      <c r="I833">
        <v>0.66666666666666663</v>
      </c>
      <c r="J833">
        <v>1</v>
      </c>
      <c r="K833">
        <v>5</v>
      </c>
      <c r="L833">
        <v>3</v>
      </c>
      <c r="M833">
        <v>3</v>
      </c>
      <c r="N833">
        <v>1</v>
      </c>
      <c r="O833">
        <v>1</v>
      </c>
      <c r="P833">
        <v>1</v>
      </c>
      <c r="Q833">
        <f t="shared" si="84"/>
        <v>1</v>
      </c>
      <c r="R833">
        <f t="shared" si="85"/>
        <v>15</v>
      </c>
      <c r="S833">
        <f t="array" ref="S833">MAX(IF($C$2:$C$1387=C833,$R$2:$R$1387))</f>
        <v>29</v>
      </c>
      <c r="T833" cm="1">
        <f t="array" ref="T833">MIN(IF($C$2:$C$1387=C833,$R$2:$R$1387))</f>
        <v>10</v>
      </c>
      <c r="U833">
        <f t="shared" si="86"/>
        <v>19</v>
      </c>
      <c r="V833">
        <f t="shared" si="87"/>
        <v>0.26315789473684209</v>
      </c>
      <c r="W833" cm="1">
        <f t="array" ref="W833">_xlfn.IFS(N833=1,5,N833=2,4,N833=4,2,N833=5,1,N833=3,3)</f>
        <v>5</v>
      </c>
      <c r="X833">
        <f t="shared" si="88"/>
        <v>19</v>
      </c>
      <c r="Y833" cm="1">
        <f t="array" ref="Y833">MAX(IF($C$2:$C$1387=C833,$X$2:$X$1387))</f>
        <v>32</v>
      </c>
      <c r="Z833" cm="1">
        <f t="array" ref="Z833">MIN(IF($C$2:$C$1387=C833,$X$2:$X$1387))</f>
        <v>10</v>
      </c>
      <c r="AA833">
        <f t="shared" si="89"/>
        <v>22</v>
      </c>
      <c r="AB833">
        <f t="shared" si="90"/>
        <v>0.40909090909090912</v>
      </c>
    </row>
    <row r="834" spans="1:28" x14ac:dyDescent="0.25">
      <c r="A834" t="s">
        <v>304</v>
      </c>
      <c r="B834" t="s">
        <v>305</v>
      </c>
      <c r="C834">
        <v>2014</v>
      </c>
      <c r="D834">
        <v>0.71190077447840328</v>
      </c>
      <c r="E834">
        <v>0.65532576045455371</v>
      </c>
      <c r="F834">
        <v>2.7440195067224001E-2</v>
      </c>
      <c r="G834">
        <v>1.9459101490553132</v>
      </c>
      <c r="H834">
        <v>0.5714285714285714</v>
      </c>
      <c r="I834">
        <v>0.66666666666666663</v>
      </c>
      <c r="J834">
        <v>1</v>
      </c>
      <c r="K834">
        <v>5</v>
      </c>
      <c r="L834">
        <v>3</v>
      </c>
      <c r="M834">
        <v>2</v>
      </c>
      <c r="N834">
        <v>1</v>
      </c>
      <c r="O834">
        <v>2</v>
      </c>
      <c r="P834">
        <v>1</v>
      </c>
      <c r="Q834">
        <f t="shared" si="84"/>
        <v>1</v>
      </c>
      <c r="R834">
        <f t="shared" si="85"/>
        <v>15</v>
      </c>
      <c r="S834">
        <f t="array" ref="S834">MAX(IF($C$2:$C$1387=C834,$R$2:$R$1387))</f>
        <v>29</v>
      </c>
      <c r="T834" cm="1">
        <f t="array" ref="T834">MIN(IF($C$2:$C$1387=C834,$R$2:$R$1387))</f>
        <v>11</v>
      </c>
      <c r="U834">
        <f t="shared" si="86"/>
        <v>18</v>
      </c>
      <c r="V834">
        <f t="shared" si="87"/>
        <v>0.22222222222222221</v>
      </c>
      <c r="W834" cm="1">
        <f t="array" ref="W834">_xlfn.IFS(N834=1,5,N834=2,4,N834=4,2,N834=5,1,N834=3,3)</f>
        <v>5</v>
      </c>
      <c r="X834">
        <f t="shared" si="88"/>
        <v>19</v>
      </c>
      <c r="Y834" cm="1">
        <f t="array" ref="Y834">MAX(IF($C$2:$C$1387=C834,$X$2:$X$1387))</f>
        <v>30</v>
      </c>
      <c r="Z834" cm="1">
        <f t="array" ref="Z834">MIN(IF($C$2:$C$1387=C834,$X$2:$X$1387))</f>
        <v>14</v>
      </c>
      <c r="AA834">
        <f t="shared" si="89"/>
        <v>16</v>
      </c>
      <c r="AB834">
        <f t="shared" si="90"/>
        <v>0.3125</v>
      </c>
    </row>
    <row r="835" spans="1:28" x14ac:dyDescent="0.25">
      <c r="A835" t="s">
        <v>304</v>
      </c>
      <c r="B835" t="s">
        <v>305</v>
      </c>
      <c r="C835">
        <v>2015</v>
      </c>
      <c r="D835">
        <v>0.72624129164178564</v>
      </c>
      <c r="E835">
        <v>0.60963515371948684</v>
      </c>
      <c r="F835">
        <v>2.7440195067224001E-2</v>
      </c>
      <c r="G835">
        <v>2.0794415416798357</v>
      </c>
      <c r="H835">
        <v>0.5</v>
      </c>
      <c r="I835">
        <v>0.66666666666666663</v>
      </c>
      <c r="J835">
        <v>0</v>
      </c>
      <c r="K835">
        <v>5</v>
      </c>
      <c r="L835">
        <v>3</v>
      </c>
      <c r="M835">
        <v>2</v>
      </c>
      <c r="N835">
        <v>3</v>
      </c>
      <c r="O835">
        <v>1</v>
      </c>
      <c r="P835">
        <v>1</v>
      </c>
      <c r="Q835">
        <f t="shared" ref="Q835:Q898" si="91">IF(J835=0,5,1)</f>
        <v>5</v>
      </c>
      <c r="R835">
        <f t="shared" ref="R835:R898" si="92">SUM(K835:Q835)</f>
        <v>20</v>
      </c>
      <c r="S835">
        <f t="array" ref="S835">MAX(IF($C$2:$C$1387=C835,$R$2:$R$1387))</f>
        <v>29</v>
      </c>
      <c r="T835" cm="1">
        <f t="array" ref="T835">MIN(IF($C$2:$C$1387=C835,$R$2:$R$1387))</f>
        <v>11</v>
      </c>
      <c r="U835">
        <f t="shared" ref="U835:U898" si="93">S835-T835</f>
        <v>18</v>
      </c>
      <c r="V835">
        <f t="shared" ref="V835:V898" si="94">(R835-T835)/U835</f>
        <v>0.5</v>
      </c>
      <c r="W835" cm="1">
        <f t="array" ref="W835">_xlfn.IFS(N835=1,5,N835=2,4,N835=4,2,N835=5,1,N835=3,3)</f>
        <v>3</v>
      </c>
      <c r="X835">
        <f t="shared" ref="X835:X898" si="95">SUM(K835:M835,O835:Q835,W835)</f>
        <v>20</v>
      </c>
      <c r="Y835" cm="1">
        <f t="array" ref="Y835">MAX(IF($C$2:$C$1387=C835,$X$2:$X$1387))</f>
        <v>29</v>
      </c>
      <c r="Z835" cm="1">
        <f t="array" ref="Z835">MIN(IF($C$2:$C$1387=C835,$X$2:$X$1387))</f>
        <v>12</v>
      </c>
      <c r="AA835">
        <f t="shared" ref="AA835:AA898" si="96">Y835-Z835</f>
        <v>17</v>
      </c>
      <c r="AB835">
        <f t="shared" ref="AB835:AB898" si="97">(X835-Z835)/AA835</f>
        <v>0.47058823529411764</v>
      </c>
    </row>
    <row r="836" spans="1:28" x14ac:dyDescent="0.25">
      <c r="A836" t="s">
        <v>306</v>
      </c>
      <c r="B836" t="s">
        <v>307</v>
      </c>
      <c r="C836">
        <v>2010</v>
      </c>
      <c r="D836">
        <v>0.29490456710658708</v>
      </c>
      <c r="E836">
        <v>0.31102863270913411</v>
      </c>
      <c r="F836">
        <v>0.12734774053057951</v>
      </c>
      <c r="G836">
        <v>2.0794415416798357</v>
      </c>
      <c r="H836">
        <v>0.125</v>
      </c>
      <c r="I836">
        <v>0.4</v>
      </c>
      <c r="J836">
        <v>0</v>
      </c>
      <c r="K836">
        <v>4</v>
      </c>
      <c r="L836">
        <v>1</v>
      </c>
      <c r="M836">
        <v>4</v>
      </c>
      <c r="N836">
        <v>3</v>
      </c>
      <c r="O836">
        <v>1</v>
      </c>
      <c r="P836">
        <v>1</v>
      </c>
      <c r="Q836">
        <f t="shared" si="91"/>
        <v>5</v>
      </c>
      <c r="R836">
        <f t="shared" si="92"/>
        <v>19</v>
      </c>
      <c r="S836">
        <f t="array" ref="S836">MAX(IF($C$2:$C$1387=C836,$R$2:$R$1387))</f>
        <v>29</v>
      </c>
      <c r="T836" cm="1">
        <f t="array" ref="T836">MIN(IF($C$2:$C$1387=C836,$R$2:$R$1387))</f>
        <v>9</v>
      </c>
      <c r="U836">
        <f t="shared" si="93"/>
        <v>20</v>
      </c>
      <c r="V836">
        <f t="shared" si="94"/>
        <v>0.5</v>
      </c>
      <c r="W836" cm="1">
        <f t="array" ref="W836">_xlfn.IFS(N836=1,5,N836=2,4,N836=4,2,N836=5,1,N836=3,3)</f>
        <v>3</v>
      </c>
      <c r="X836">
        <f t="shared" si="95"/>
        <v>19</v>
      </c>
      <c r="Y836" cm="1">
        <f t="array" ref="Y836">MAX(IF($C$2:$C$1387=C836,$X$2:$X$1387))</f>
        <v>29</v>
      </c>
      <c r="Z836" cm="1">
        <f t="array" ref="Z836">MIN(IF($C$2:$C$1387=C836,$X$2:$X$1387))</f>
        <v>12</v>
      </c>
      <c r="AA836">
        <f t="shared" si="96"/>
        <v>17</v>
      </c>
      <c r="AB836">
        <f t="shared" si="97"/>
        <v>0.41176470588235292</v>
      </c>
    </row>
    <row r="837" spans="1:28" x14ac:dyDescent="0.25">
      <c r="A837" t="s">
        <v>306</v>
      </c>
      <c r="B837" t="s">
        <v>307</v>
      </c>
      <c r="C837">
        <v>2011</v>
      </c>
      <c r="D837">
        <v>0.29490456710658708</v>
      </c>
      <c r="E837">
        <v>0.31102863270913411</v>
      </c>
      <c r="F837">
        <v>0.12734774053057951</v>
      </c>
      <c r="G837">
        <v>2.0794415416798357</v>
      </c>
      <c r="H837">
        <v>0.125</v>
      </c>
      <c r="I837">
        <v>0.4</v>
      </c>
      <c r="J837">
        <v>0</v>
      </c>
      <c r="K837">
        <v>4</v>
      </c>
      <c r="L837">
        <v>1</v>
      </c>
      <c r="M837">
        <v>4</v>
      </c>
      <c r="N837">
        <v>3</v>
      </c>
      <c r="O837">
        <v>1</v>
      </c>
      <c r="P837">
        <v>1</v>
      </c>
      <c r="Q837">
        <f t="shared" si="91"/>
        <v>5</v>
      </c>
      <c r="R837">
        <f t="shared" si="92"/>
        <v>19</v>
      </c>
      <c r="S837">
        <f t="array" ref="S837">MAX(IF($C$2:$C$1387=C837,$R$2:$R$1387))</f>
        <v>28</v>
      </c>
      <c r="T837" cm="1">
        <f t="array" ref="T837">MIN(IF($C$2:$C$1387=C837,$R$2:$R$1387))</f>
        <v>10</v>
      </c>
      <c r="U837">
        <f t="shared" si="93"/>
        <v>18</v>
      </c>
      <c r="V837">
        <f t="shared" si="94"/>
        <v>0.5</v>
      </c>
      <c r="W837" cm="1">
        <f t="array" ref="W837">_xlfn.IFS(N837=1,5,N837=2,4,N837=4,2,N837=5,1,N837=3,3)</f>
        <v>3</v>
      </c>
      <c r="X837">
        <f t="shared" si="95"/>
        <v>19</v>
      </c>
      <c r="Y837" cm="1">
        <f t="array" ref="Y837">MAX(IF($C$2:$C$1387=C837,$X$2:$X$1387))</f>
        <v>29</v>
      </c>
      <c r="Z837" cm="1">
        <f t="array" ref="Z837">MIN(IF($C$2:$C$1387=C837,$X$2:$X$1387))</f>
        <v>12</v>
      </c>
      <c r="AA837">
        <f t="shared" si="96"/>
        <v>17</v>
      </c>
      <c r="AB837">
        <f t="shared" si="97"/>
        <v>0.41176470588235292</v>
      </c>
    </row>
    <row r="838" spans="1:28" x14ac:dyDescent="0.25">
      <c r="A838" t="s">
        <v>306</v>
      </c>
      <c r="B838" t="s">
        <v>307</v>
      </c>
      <c r="C838">
        <v>2012</v>
      </c>
      <c r="D838">
        <v>0.29490456710658708</v>
      </c>
      <c r="E838">
        <v>0.31102863270913411</v>
      </c>
      <c r="F838">
        <v>0.12734774053057951</v>
      </c>
      <c r="G838">
        <v>2.0794415416798357</v>
      </c>
      <c r="H838">
        <v>0.625</v>
      </c>
      <c r="I838">
        <v>0.4</v>
      </c>
      <c r="J838">
        <v>0</v>
      </c>
      <c r="K838">
        <v>3</v>
      </c>
      <c r="L838">
        <v>1</v>
      </c>
      <c r="M838">
        <v>4</v>
      </c>
      <c r="N838">
        <v>3</v>
      </c>
      <c r="O838">
        <v>3</v>
      </c>
      <c r="P838">
        <v>1</v>
      </c>
      <c r="Q838">
        <f t="shared" si="91"/>
        <v>5</v>
      </c>
      <c r="R838">
        <f t="shared" si="92"/>
        <v>20</v>
      </c>
      <c r="S838">
        <f t="array" ref="S838">MAX(IF($C$2:$C$1387=C838,$R$2:$R$1387))</f>
        <v>29</v>
      </c>
      <c r="T838" cm="1">
        <f t="array" ref="T838">MIN(IF($C$2:$C$1387=C838,$R$2:$R$1387))</f>
        <v>11</v>
      </c>
      <c r="U838">
        <f t="shared" si="93"/>
        <v>18</v>
      </c>
      <c r="V838">
        <f t="shared" si="94"/>
        <v>0.5</v>
      </c>
      <c r="W838" cm="1">
        <f t="array" ref="W838">_xlfn.IFS(N838=1,5,N838=2,4,N838=4,2,N838=5,1,N838=3,3)</f>
        <v>3</v>
      </c>
      <c r="X838">
        <f t="shared" si="95"/>
        <v>20</v>
      </c>
      <c r="Y838" cm="1">
        <f t="array" ref="Y838">MAX(IF($C$2:$C$1387=C838,$X$2:$X$1387))</f>
        <v>30</v>
      </c>
      <c r="Z838" cm="1">
        <f t="array" ref="Z838">MIN(IF($C$2:$C$1387=C838,$X$2:$X$1387))</f>
        <v>12</v>
      </c>
      <c r="AA838">
        <f t="shared" si="96"/>
        <v>18</v>
      </c>
      <c r="AB838">
        <f t="shared" si="97"/>
        <v>0.44444444444444442</v>
      </c>
    </row>
    <row r="839" spans="1:28" x14ac:dyDescent="0.25">
      <c r="A839" t="s">
        <v>306</v>
      </c>
      <c r="B839" t="s">
        <v>307</v>
      </c>
      <c r="C839">
        <v>2013</v>
      </c>
      <c r="D839">
        <v>0.41524853483240881</v>
      </c>
      <c r="E839">
        <v>0.31319722795782512</v>
      </c>
      <c r="F839">
        <v>0.13023381542500698</v>
      </c>
      <c r="G839">
        <v>2.0794415416798357</v>
      </c>
      <c r="H839">
        <v>0.625</v>
      </c>
      <c r="I839">
        <v>1</v>
      </c>
      <c r="J839">
        <v>0</v>
      </c>
      <c r="K839">
        <v>4</v>
      </c>
      <c r="L839">
        <v>1</v>
      </c>
      <c r="M839">
        <v>4</v>
      </c>
      <c r="N839">
        <v>3</v>
      </c>
      <c r="O839">
        <v>3</v>
      </c>
      <c r="P839">
        <v>3</v>
      </c>
      <c r="Q839">
        <f t="shared" si="91"/>
        <v>5</v>
      </c>
      <c r="R839">
        <f t="shared" si="92"/>
        <v>23</v>
      </c>
      <c r="S839">
        <f t="array" ref="S839">MAX(IF($C$2:$C$1387=C839,$R$2:$R$1387))</f>
        <v>29</v>
      </c>
      <c r="T839" cm="1">
        <f t="array" ref="T839">MIN(IF($C$2:$C$1387=C839,$R$2:$R$1387))</f>
        <v>10</v>
      </c>
      <c r="U839">
        <f t="shared" si="93"/>
        <v>19</v>
      </c>
      <c r="V839">
        <f t="shared" si="94"/>
        <v>0.68421052631578949</v>
      </c>
      <c r="W839" cm="1">
        <f t="array" ref="W839">_xlfn.IFS(N839=1,5,N839=2,4,N839=4,2,N839=5,1,N839=3,3)</f>
        <v>3</v>
      </c>
      <c r="X839">
        <f t="shared" si="95"/>
        <v>23</v>
      </c>
      <c r="Y839" cm="1">
        <f t="array" ref="Y839">MAX(IF($C$2:$C$1387=C839,$X$2:$X$1387))</f>
        <v>32</v>
      </c>
      <c r="Z839" cm="1">
        <f t="array" ref="Z839">MIN(IF($C$2:$C$1387=C839,$X$2:$X$1387))</f>
        <v>10</v>
      </c>
      <c r="AA839">
        <f t="shared" si="96"/>
        <v>22</v>
      </c>
      <c r="AB839">
        <f t="shared" si="97"/>
        <v>0.59090909090909094</v>
      </c>
    </row>
    <row r="840" spans="1:28" x14ac:dyDescent="0.25">
      <c r="A840" t="s">
        <v>306</v>
      </c>
      <c r="B840" t="s">
        <v>307</v>
      </c>
      <c r="C840">
        <v>2014</v>
      </c>
      <c r="D840">
        <v>0.41524853483240881</v>
      </c>
      <c r="E840">
        <v>0.31319722795782512</v>
      </c>
      <c r="F840">
        <v>0.13023381542500698</v>
      </c>
      <c r="G840">
        <v>2.0794415416798357</v>
      </c>
      <c r="H840">
        <v>0.625</v>
      </c>
      <c r="I840">
        <v>1</v>
      </c>
      <c r="J840">
        <v>0</v>
      </c>
      <c r="K840">
        <v>4</v>
      </c>
      <c r="L840">
        <v>1</v>
      </c>
      <c r="M840">
        <v>4</v>
      </c>
      <c r="N840">
        <v>3</v>
      </c>
      <c r="O840">
        <v>3</v>
      </c>
      <c r="P840">
        <v>3</v>
      </c>
      <c r="Q840">
        <f t="shared" si="91"/>
        <v>5</v>
      </c>
      <c r="R840">
        <f t="shared" si="92"/>
        <v>23</v>
      </c>
      <c r="S840">
        <f t="array" ref="S840">MAX(IF($C$2:$C$1387=C840,$R$2:$R$1387))</f>
        <v>29</v>
      </c>
      <c r="T840" cm="1">
        <f t="array" ref="T840">MIN(IF($C$2:$C$1387=C840,$R$2:$R$1387))</f>
        <v>11</v>
      </c>
      <c r="U840">
        <f t="shared" si="93"/>
        <v>18</v>
      </c>
      <c r="V840">
        <f t="shared" si="94"/>
        <v>0.66666666666666663</v>
      </c>
      <c r="W840" cm="1">
        <f t="array" ref="W840">_xlfn.IFS(N840=1,5,N840=2,4,N840=4,2,N840=5,1,N840=3,3)</f>
        <v>3</v>
      </c>
      <c r="X840">
        <f t="shared" si="95"/>
        <v>23</v>
      </c>
      <c r="Y840" cm="1">
        <f t="array" ref="Y840">MAX(IF($C$2:$C$1387=C840,$X$2:$X$1387))</f>
        <v>30</v>
      </c>
      <c r="Z840" cm="1">
        <f t="array" ref="Z840">MIN(IF($C$2:$C$1387=C840,$X$2:$X$1387))</f>
        <v>14</v>
      </c>
      <c r="AA840">
        <f t="shared" si="96"/>
        <v>16</v>
      </c>
      <c r="AB840">
        <f t="shared" si="97"/>
        <v>0.5625</v>
      </c>
    </row>
    <row r="841" spans="1:28" x14ac:dyDescent="0.25">
      <c r="A841" t="s">
        <v>306</v>
      </c>
      <c r="B841" t="s">
        <v>307</v>
      </c>
      <c r="C841">
        <v>2015</v>
      </c>
      <c r="D841">
        <v>0.41524853483240881</v>
      </c>
      <c r="E841">
        <v>0.31319722795782512</v>
      </c>
      <c r="F841">
        <v>0.13023381542500698</v>
      </c>
      <c r="G841">
        <v>2.0794415416798357</v>
      </c>
      <c r="H841">
        <v>0.625</v>
      </c>
      <c r="I841">
        <v>1</v>
      </c>
      <c r="J841">
        <v>0</v>
      </c>
      <c r="K841">
        <v>4</v>
      </c>
      <c r="L841">
        <v>1</v>
      </c>
      <c r="M841">
        <v>4</v>
      </c>
      <c r="N841">
        <v>3</v>
      </c>
      <c r="O841">
        <v>2</v>
      </c>
      <c r="P841">
        <v>2</v>
      </c>
      <c r="Q841">
        <f t="shared" si="91"/>
        <v>5</v>
      </c>
      <c r="R841">
        <f t="shared" si="92"/>
        <v>21</v>
      </c>
      <c r="S841">
        <f t="array" ref="S841">MAX(IF($C$2:$C$1387=C841,$R$2:$R$1387))</f>
        <v>29</v>
      </c>
      <c r="T841" cm="1">
        <f t="array" ref="T841">MIN(IF($C$2:$C$1387=C841,$R$2:$R$1387))</f>
        <v>11</v>
      </c>
      <c r="U841">
        <f t="shared" si="93"/>
        <v>18</v>
      </c>
      <c r="V841">
        <f t="shared" si="94"/>
        <v>0.55555555555555558</v>
      </c>
      <c r="W841" cm="1">
        <f t="array" ref="W841">_xlfn.IFS(N841=1,5,N841=2,4,N841=4,2,N841=5,1,N841=3,3)</f>
        <v>3</v>
      </c>
      <c r="X841">
        <f t="shared" si="95"/>
        <v>21</v>
      </c>
      <c r="Y841" cm="1">
        <f t="array" ref="Y841">MAX(IF($C$2:$C$1387=C841,$X$2:$X$1387))</f>
        <v>29</v>
      </c>
      <c r="Z841" cm="1">
        <f t="array" ref="Z841">MIN(IF($C$2:$C$1387=C841,$X$2:$X$1387))</f>
        <v>12</v>
      </c>
      <c r="AA841">
        <f t="shared" si="96"/>
        <v>17</v>
      </c>
      <c r="AB841">
        <f t="shared" si="97"/>
        <v>0.52941176470588236</v>
      </c>
    </row>
    <row r="842" spans="1:28" x14ac:dyDescent="0.25">
      <c r="A842" t="s">
        <v>308</v>
      </c>
      <c r="B842" t="s">
        <v>309</v>
      </c>
      <c r="C842">
        <v>2010</v>
      </c>
      <c r="D842">
        <v>0.13985815602836879</v>
      </c>
      <c r="E842">
        <v>0.41349673758865246</v>
      </c>
      <c r="F842">
        <v>2.2246312056737588E-2</v>
      </c>
      <c r="G842">
        <v>1.9459101490553132</v>
      </c>
      <c r="H842">
        <v>0.2857142857142857</v>
      </c>
      <c r="I842">
        <v>0.66666666666666663</v>
      </c>
      <c r="J842">
        <v>1</v>
      </c>
      <c r="K842">
        <v>3</v>
      </c>
      <c r="L842">
        <v>1</v>
      </c>
      <c r="M842">
        <v>3</v>
      </c>
      <c r="N842">
        <v>1</v>
      </c>
      <c r="O842">
        <v>1</v>
      </c>
      <c r="P842">
        <v>1</v>
      </c>
      <c r="Q842">
        <f t="shared" si="91"/>
        <v>1</v>
      </c>
      <c r="R842">
        <f t="shared" si="92"/>
        <v>11</v>
      </c>
      <c r="S842">
        <f t="array" ref="S842">MAX(IF($C$2:$C$1387=C842,$R$2:$R$1387))</f>
        <v>29</v>
      </c>
      <c r="T842" cm="1">
        <f t="array" ref="T842">MIN(IF($C$2:$C$1387=C842,$R$2:$R$1387))</f>
        <v>9</v>
      </c>
      <c r="U842">
        <f t="shared" si="93"/>
        <v>20</v>
      </c>
      <c r="V842">
        <f t="shared" si="94"/>
        <v>0.1</v>
      </c>
      <c r="W842" cm="1">
        <f t="array" ref="W842">_xlfn.IFS(N842=1,5,N842=2,4,N842=4,2,N842=5,1,N842=3,3)</f>
        <v>5</v>
      </c>
      <c r="X842">
        <f t="shared" si="95"/>
        <v>15</v>
      </c>
      <c r="Y842" cm="1">
        <f t="array" ref="Y842">MAX(IF($C$2:$C$1387=C842,$X$2:$X$1387))</f>
        <v>29</v>
      </c>
      <c r="Z842" cm="1">
        <f t="array" ref="Z842">MIN(IF($C$2:$C$1387=C842,$X$2:$X$1387))</f>
        <v>12</v>
      </c>
      <c r="AA842">
        <f t="shared" si="96"/>
        <v>17</v>
      </c>
      <c r="AB842">
        <f t="shared" si="97"/>
        <v>0.17647058823529413</v>
      </c>
    </row>
    <row r="843" spans="1:28" x14ac:dyDescent="0.25">
      <c r="A843" t="s">
        <v>308</v>
      </c>
      <c r="B843" t="s">
        <v>309</v>
      </c>
      <c r="C843">
        <v>2011</v>
      </c>
      <c r="D843">
        <v>0.13985815602836879</v>
      </c>
      <c r="E843">
        <v>0.32546666666666668</v>
      </c>
      <c r="F843">
        <v>2.1090141843971632E-2</v>
      </c>
      <c r="G843">
        <v>1.9459101490553132</v>
      </c>
      <c r="H843">
        <v>0.7142857142857143</v>
      </c>
      <c r="I843">
        <v>0.66666666666666663</v>
      </c>
      <c r="J843">
        <v>1</v>
      </c>
      <c r="K843">
        <v>3</v>
      </c>
      <c r="L843">
        <v>1</v>
      </c>
      <c r="M843">
        <v>2</v>
      </c>
      <c r="N843">
        <v>1</v>
      </c>
      <c r="O843">
        <v>4</v>
      </c>
      <c r="P843">
        <v>1</v>
      </c>
      <c r="Q843">
        <f t="shared" si="91"/>
        <v>1</v>
      </c>
      <c r="R843">
        <f t="shared" si="92"/>
        <v>13</v>
      </c>
      <c r="S843">
        <f t="array" ref="S843">MAX(IF($C$2:$C$1387=C843,$R$2:$R$1387))</f>
        <v>28</v>
      </c>
      <c r="T843" cm="1">
        <f t="array" ref="T843">MIN(IF($C$2:$C$1387=C843,$R$2:$R$1387))</f>
        <v>10</v>
      </c>
      <c r="U843">
        <f t="shared" si="93"/>
        <v>18</v>
      </c>
      <c r="V843">
        <f t="shared" si="94"/>
        <v>0.16666666666666666</v>
      </c>
      <c r="W843" cm="1">
        <f t="array" ref="W843">_xlfn.IFS(N843=1,5,N843=2,4,N843=4,2,N843=5,1,N843=3,3)</f>
        <v>5</v>
      </c>
      <c r="X843">
        <f t="shared" si="95"/>
        <v>17</v>
      </c>
      <c r="Y843" cm="1">
        <f t="array" ref="Y843">MAX(IF($C$2:$C$1387=C843,$X$2:$X$1387))</f>
        <v>29</v>
      </c>
      <c r="Z843" cm="1">
        <f t="array" ref="Z843">MIN(IF($C$2:$C$1387=C843,$X$2:$X$1387))</f>
        <v>12</v>
      </c>
      <c r="AA843">
        <f t="shared" si="96"/>
        <v>17</v>
      </c>
      <c r="AB843">
        <f t="shared" si="97"/>
        <v>0.29411764705882354</v>
      </c>
    </row>
    <row r="844" spans="1:28" x14ac:dyDescent="0.25">
      <c r="A844" t="s">
        <v>308</v>
      </c>
      <c r="B844" t="s">
        <v>309</v>
      </c>
      <c r="C844">
        <v>2012</v>
      </c>
      <c r="D844">
        <v>0.13985815602836879</v>
      </c>
      <c r="E844">
        <v>0.33248801418439716</v>
      </c>
      <c r="F844">
        <v>2.107609929078014E-2</v>
      </c>
      <c r="G844">
        <v>1.9459101490553132</v>
      </c>
      <c r="H844">
        <v>0.7142857142857143</v>
      </c>
      <c r="I844">
        <v>0.66666666666666663</v>
      </c>
      <c r="J844">
        <v>1</v>
      </c>
      <c r="K844">
        <v>3</v>
      </c>
      <c r="L844">
        <v>1</v>
      </c>
      <c r="M844">
        <v>2</v>
      </c>
      <c r="N844">
        <v>1</v>
      </c>
      <c r="O844">
        <v>4</v>
      </c>
      <c r="P844">
        <v>1</v>
      </c>
      <c r="Q844">
        <f t="shared" si="91"/>
        <v>1</v>
      </c>
      <c r="R844">
        <f t="shared" si="92"/>
        <v>13</v>
      </c>
      <c r="S844">
        <f t="array" ref="S844">MAX(IF($C$2:$C$1387=C844,$R$2:$R$1387))</f>
        <v>29</v>
      </c>
      <c r="T844" cm="1">
        <f t="array" ref="T844">MIN(IF($C$2:$C$1387=C844,$R$2:$R$1387))</f>
        <v>11</v>
      </c>
      <c r="U844">
        <f t="shared" si="93"/>
        <v>18</v>
      </c>
      <c r="V844">
        <f t="shared" si="94"/>
        <v>0.1111111111111111</v>
      </c>
      <c r="W844" cm="1">
        <f t="array" ref="W844">_xlfn.IFS(N844=1,5,N844=2,4,N844=4,2,N844=5,1,N844=3,3)</f>
        <v>5</v>
      </c>
      <c r="X844">
        <f t="shared" si="95"/>
        <v>17</v>
      </c>
      <c r="Y844" cm="1">
        <f t="array" ref="Y844">MAX(IF($C$2:$C$1387=C844,$X$2:$X$1387))</f>
        <v>30</v>
      </c>
      <c r="Z844" cm="1">
        <f t="array" ref="Z844">MIN(IF($C$2:$C$1387=C844,$X$2:$X$1387))</f>
        <v>12</v>
      </c>
      <c r="AA844">
        <f t="shared" si="96"/>
        <v>18</v>
      </c>
      <c r="AB844">
        <f t="shared" si="97"/>
        <v>0.27777777777777779</v>
      </c>
    </row>
    <row r="845" spans="1:28" x14ac:dyDescent="0.25">
      <c r="A845" t="s">
        <v>308</v>
      </c>
      <c r="B845" t="s">
        <v>309</v>
      </c>
      <c r="C845">
        <v>2013</v>
      </c>
      <c r="D845">
        <v>0.13985815602836879</v>
      </c>
      <c r="E845">
        <v>0.98433198581560288</v>
      </c>
      <c r="F845">
        <v>2.0764326241134751E-2</v>
      </c>
      <c r="G845">
        <v>1.9459101490553132</v>
      </c>
      <c r="H845">
        <v>0.7142857142857143</v>
      </c>
      <c r="I845">
        <v>0.66666666666666663</v>
      </c>
      <c r="J845">
        <v>1</v>
      </c>
      <c r="K845">
        <v>3</v>
      </c>
      <c r="L845">
        <v>5</v>
      </c>
      <c r="M845">
        <v>2</v>
      </c>
      <c r="N845">
        <v>1</v>
      </c>
      <c r="O845">
        <v>4</v>
      </c>
      <c r="P845">
        <v>1</v>
      </c>
      <c r="Q845">
        <f t="shared" si="91"/>
        <v>1</v>
      </c>
      <c r="R845">
        <f t="shared" si="92"/>
        <v>17</v>
      </c>
      <c r="S845">
        <f t="array" ref="S845">MAX(IF($C$2:$C$1387=C845,$R$2:$R$1387))</f>
        <v>29</v>
      </c>
      <c r="T845" cm="1">
        <f t="array" ref="T845">MIN(IF($C$2:$C$1387=C845,$R$2:$R$1387))</f>
        <v>10</v>
      </c>
      <c r="U845">
        <f t="shared" si="93"/>
        <v>19</v>
      </c>
      <c r="V845">
        <f t="shared" si="94"/>
        <v>0.36842105263157893</v>
      </c>
      <c r="W845" cm="1">
        <f t="array" ref="W845">_xlfn.IFS(N845=1,5,N845=2,4,N845=4,2,N845=5,1,N845=3,3)</f>
        <v>5</v>
      </c>
      <c r="X845">
        <f t="shared" si="95"/>
        <v>21</v>
      </c>
      <c r="Y845" cm="1">
        <f t="array" ref="Y845">MAX(IF($C$2:$C$1387=C845,$X$2:$X$1387))</f>
        <v>32</v>
      </c>
      <c r="Z845" cm="1">
        <f t="array" ref="Z845">MIN(IF($C$2:$C$1387=C845,$X$2:$X$1387))</f>
        <v>10</v>
      </c>
      <c r="AA845">
        <f t="shared" si="96"/>
        <v>22</v>
      </c>
      <c r="AB845">
        <f t="shared" si="97"/>
        <v>0.5</v>
      </c>
    </row>
    <row r="846" spans="1:28" x14ac:dyDescent="0.25">
      <c r="A846" t="s">
        <v>308</v>
      </c>
      <c r="B846" t="s">
        <v>309</v>
      </c>
      <c r="C846">
        <v>2014</v>
      </c>
      <c r="D846">
        <v>1.4003546099290781E-2</v>
      </c>
      <c r="E846">
        <v>2.7582127659574469E-2</v>
      </c>
      <c r="F846">
        <v>2.0764326241134753E-3</v>
      </c>
      <c r="G846">
        <v>1.9459101490553132</v>
      </c>
      <c r="H846">
        <v>0.7142857142857143</v>
      </c>
      <c r="I846">
        <v>0.66666666666666663</v>
      </c>
      <c r="J846">
        <v>1</v>
      </c>
      <c r="K846">
        <v>2</v>
      </c>
      <c r="L846">
        <v>1</v>
      </c>
      <c r="M846">
        <v>1</v>
      </c>
      <c r="N846">
        <v>1</v>
      </c>
      <c r="O846">
        <v>4</v>
      </c>
      <c r="P846">
        <v>1</v>
      </c>
      <c r="Q846">
        <f t="shared" si="91"/>
        <v>1</v>
      </c>
      <c r="R846">
        <f t="shared" si="92"/>
        <v>11</v>
      </c>
      <c r="S846">
        <f t="array" ref="S846">MAX(IF($C$2:$C$1387=C846,$R$2:$R$1387))</f>
        <v>29</v>
      </c>
      <c r="T846" cm="1">
        <f t="array" ref="T846">MIN(IF($C$2:$C$1387=C846,$R$2:$R$1387))</f>
        <v>11</v>
      </c>
      <c r="U846">
        <f t="shared" si="93"/>
        <v>18</v>
      </c>
      <c r="V846">
        <f t="shared" si="94"/>
        <v>0</v>
      </c>
      <c r="W846" cm="1">
        <f t="array" ref="W846">_xlfn.IFS(N846=1,5,N846=2,4,N846=4,2,N846=5,1,N846=3,3)</f>
        <v>5</v>
      </c>
      <c r="X846">
        <f t="shared" si="95"/>
        <v>15</v>
      </c>
      <c r="Y846" cm="1">
        <f t="array" ref="Y846">MAX(IF($C$2:$C$1387=C846,$X$2:$X$1387))</f>
        <v>30</v>
      </c>
      <c r="Z846" cm="1">
        <f t="array" ref="Z846">MIN(IF($C$2:$C$1387=C846,$X$2:$X$1387))</f>
        <v>14</v>
      </c>
      <c r="AA846">
        <f t="shared" si="96"/>
        <v>16</v>
      </c>
      <c r="AB846">
        <f t="shared" si="97"/>
        <v>6.25E-2</v>
      </c>
    </row>
    <row r="847" spans="1:28" x14ac:dyDescent="0.25">
      <c r="A847" t="s">
        <v>308</v>
      </c>
      <c r="B847" t="s">
        <v>309</v>
      </c>
      <c r="C847">
        <v>2015</v>
      </c>
      <c r="D847">
        <v>0.14003546099290781</v>
      </c>
      <c r="E847">
        <v>0.27582127659574468</v>
      </c>
      <c r="F847">
        <v>2.0764326241134751E-2</v>
      </c>
      <c r="G847">
        <v>1.9459101490553132</v>
      </c>
      <c r="H847">
        <v>0.5714285714285714</v>
      </c>
      <c r="I847">
        <v>0.66666666666666663</v>
      </c>
      <c r="J847">
        <v>0</v>
      </c>
      <c r="K847">
        <v>3</v>
      </c>
      <c r="L847">
        <v>1</v>
      </c>
      <c r="M847">
        <v>2</v>
      </c>
      <c r="N847">
        <v>1</v>
      </c>
      <c r="O847">
        <v>1</v>
      </c>
      <c r="P847">
        <v>1</v>
      </c>
      <c r="Q847">
        <f t="shared" si="91"/>
        <v>5</v>
      </c>
      <c r="R847">
        <f t="shared" si="92"/>
        <v>14</v>
      </c>
      <c r="S847">
        <f t="array" ref="S847">MAX(IF($C$2:$C$1387=C847,$R$2:$R$1387))</f>
        <v>29</v>
      </c>
      <c r="T847" cm="1">
        <f t="array" ref="T847">MIN(IF($C$2:$C$1387=C847,$R$2:$R$1387))</f>
        <v>11</v>
      </c>
      <c r="U847">
        <f t="shared" si="93"/>
        <v>18</v>
      </c>
      <c r="V847">
        <f t="shared" si="94"/>
        <v>0.16666666666666666</v>
      </c>
      <c r="W847" cm="1">
        <f t="array" ref="W847">_xlfn.IFS(N847=1,5,N847=2,4,N847=4,2,N847=5,1,N847=3,3)</f>
        <v>5</v>
      </c>
      <c r="X847">
        <f t="shared" si="95"/>
        <v>18</v>
      </c>
      <c r="Y847" cm="1">
        <f t="array" ref="Y847">MAX(IF($C$2:$C$1387=C847,$X$2:$X$1387))</f>
        <v>29</v>
      </c>
      <c r="Z847" cm="1">
        <f t="array" ref="Z847">MIN(IF($C$2:$C$1387=C847,$X$2:$X$1387))</f>
        <v>12</v>
      </c>
      <c r="AA847">
        <f t="shared" si="96"/>
        <v>17</v>
      </c>
      <c r="AB847">
        <f t="shared" si="97"/>
        <v>0.35294117647058826</v>
      </c>
    </row>
    <row r="848" spans="1:28" x14ac:dyDescent="0.25">
      <c r="A848" t="s">
        <v>310</v>
      </c>
      <c r="B848" t="s">
        <v>311</v>
      </c>
      <c r="C848">
        <v>2010</v>
      </c>
      <c r="D848">
        <v>0.74231743315508025</v>
      </c>
      <c r="E848">
        <v>0.74760251336898398</v>
      </c>
      <c r="F848">
        <v>0</v>
      </c>
      <c r="G848">
        <v>1.9459101490553132</v>
      </c>
      <c r="H848">
        <v>0.7142857142857143</v>
      </c>
      <c r="I848">
        <v>1</v>
      </c>
      <c r="J848">
        <v>0</v>
      </c>
      <c r="K848">
        <v>5</v>
      </c>
      <c r="L848">
        <v>4</v>
      </c>
      <c r="M848">
        <v>1</v>
      </c>
      <c r="N848">
        <v>1</v>
      </c>
      <c r="O848">
        <v>4</v>
      </c>
      <c r="P848">
        <v>3</v>
      </c>
      <c r="Q848">
        <f t="shared" si="91"/>
        <v>5</v>
      </c>
      <c r="R848">
        <f t="shared" si="92"/>
        <v>23</v>
      </c>
      <c r="S848">
        <f t="array" ref="S848">MAX(IF($C$2:$C$1387=C848,$R$2:$R$1387))</f>
        <v>29</v>
      </c>
      <c r="T848" cm="1">
        <f t="array" ref="T848">MIN(IF($C$2:$C$1387=C848,$R$2:$R$1387))</f>
        <v>9</v>
      </c>
      <c r="U848">
        <f t="shared" si="93"/>
        <v>20</v>
      </c>
      <c r="V848">
        <f t="shared" si="94"/>
        <v>0.7</v>
      </c>
      <c r="W848" cm="1">
        <f t="array" ref="W848">_xlfn.IFS(N848=1,5,N848=2,4,N848=4,2,N848=5,1,N848=3,3)</f>
        <v>5</v>
      </c>
      <c r="X848">
        <f t="shared" si="95"/>
        <v>27</v>
      </c>
      <c r="Y848" cm="1">
        <f t="array" ref="Y848">MAX(IF($C$2:$C$1387=C848,$X$2:$X$1387))</f>
        <v>29</v>
      </c>
      <c r="Z848" cm="1">
        <f t="array" ref="Z848">MIN(IF($C$2:$C$1387=C848,$X$2:$X$1387))</f>
        <v>12</v>
      </c>
      <c r="AA848">
        <f t="shared" si="96"/>
        <v>17</v>
      </c>
      <c r="AB848">
        <f t="shared" si="97"/>
        <v>0.88235294117647056</v>
      </c>
    </row>
    <row r="849" spans="1:28" x14ac:dyDescent="0.25">
      <c r="A849" t="s">
        <v>310</v>
      </c>
      <c r="B849" t="s">
        <v>311</v>
      </c>
      <c r="C849">
        <v>2011</v>
      </c>
      <c r="D849">
        <v>0.74466502673796786</v>
      </c>
      <c r="E849">
        <v>0.2922510695187166</v>
      </c>
      <c r="F849">
        <v>6.0710695187165776E-3</v>
      </c>
      <c r="G849">
        <v>2.0794415416798357</v>
      </c>
      <c r="H849">
        <v>0.5</v>
      </c>
      <c r="I849">
        <v>1</v>
      </c>
      <c r="J849">
        <v>0</v>
      </c>
      <c r="K849">
        <v>5</v>
      </c>
      <c r="L849">
        <v>1</v>
      </c>
      <c r="M849">
        <v>2</v>
      </c>
      <c r="N849">
        <v>3</v>
      </c>
      <c r="O849">
        <v>2</v>
      </c>
      <c r="P849">
        <v>3</v>
      </c>
      <c r="Q849">
        <f t="shared" si="91"/>
        <v>5</v>
      </c>
      <c r="R849">
        <f t="shared" si="92"/>
        <v>21</v>
      </c>
      <c r="S849">
        <f t="array" ref="S849">MAX(IF($C$2:$C$1387=C849,$R$2:$R$1387))</f>
        <v>28</v>
      </c>
      <c r="T849" cm="1">
        <f t="array" ref="T849">MIN(IF($C$2:$C$1387=C849,$R$2:$R$1387))</f>
        <v>10</v>
      </c>
      <c r="U849">
        <f t="shared" si="93"/>
        <v>18</v>
      </c>
      <c r="V849">
        <f t="shared" si="94"/>
        <v>0.61111111111111116</v>
      </c>
      <c r="W849" cm="1">
        <f t="array" ref="W849">_xlfn.IFS(N849=1,5,N849=2,4,N849=4,2,N849=5,1,N849=3,3)</f>
        <v>3</v>
      </c>
      <c r="X849">
        <f t="shared" si="95"/>
        <v>21</v>
      </c>
      <c r="Y849" cm="1">
        <f t="array" ref="Y849">MAX(IF($C$2:$C$1387=C849,$X$2:$X$1387))</f>
        <v>29</v>
      </c>
      <c r="Z849" cm="1">
        <f t="array" ref="Z849">MIN(IF($C$2:$C$1387=C849,$X$2:$X$1387))</f>
        <v>12</v>
      </c>
      <c r="AA849">
        <f t="shared" si="96"/>
        <v>17</v>
      </c>
      <c r="AB849">
        <f t="shared" si="97"/>
        <v>0.52941176470588236</v>
      </c>
    </row>
    <row r="850" spans="1:28" x14ac:dyDescent="0.25">
      <c r="A850" t="s">
        <v>310</v>
      </c>
      <c r="B850" t="s">
        <v>311</v>
      </c>
      <c r="C850">
        <v>2012</v>
      </c>
      <c r="D850">
        <v>0.7451997860962567</v>
      </c>
      <c r="E850">
        <v>0.2922510695187166</v>
      </c>
      <c r="F850">
        <v>2.2211016042780748E-2</v>
      </c>
      <c r="G850">
        <v>2.0794415416798357</v>
      </c>
      <c r="H850">
        <v>0.5</v>
      </c>
      <c r="I850">
        <v>1</v>
      </c>
      <c r="J850">
        <v>0</v>
      </c>
      <c r="K850">
        <v>5</v>
      </c>
      <c r="L850">
        <v>1</v>
      </c>
      <c r="M850">
        <v>2</v>
      </c>
      <c r="N850">
        <v>3</v>
      </c>
      <c r="O850">
        <v>2</v>
      </c>
      <c r="P850">
        <v>3</v>
      </c>
      <c r="Q850">
        <f t="shared" si="91"/>
        <v>5</v>
      </c>
      <c r="R850">
        <f t="shared" si="92"/>
        <v>21</v>
      </c>
      <c r="S850">
        <f t="array" ref="S850">MAX(IF($C$2:$C$1387=C850,$R$2:$R$1387))</f>
        <v>29</v>
      </c>
      <c r="T850" cm="1">
        <f t="array" ref="T850">MIN(IF($C$2:$C$1387=C850,$R$2:$R$1387))</f>
        <v>11</v>
      </c>
      <c r="U850">
        <f t="shared" si="93"/>
        <v>18</v>
      </c>
      <c r="V850">
        <f t="shared" si="94"/>
        <v>0.55555555555555558</v>
      </c>
      <c r="W850" cm="1">
        <f t="array" ref="W850">_xlfn.IFS(N850=1,5,N850=2,4,N850=4,2,N850=5,1,N850=3,3)</f>
        <v>3</v>
      </c>
      <c r="X850">
        <f t="shared" si="95"/>
        <v>21</v>
      </c>
      <c r="Y850" cm="1">
        <f t="array" ref="Y850">MAX(IF($C$2:$C$1387=C850,$X$2:$X$1387))</f>
        <v>30</v>
      </c>
      <c r="Z850" cm="1">
        <f t="array" ref="Z850">MIN(IF($C$2:$C$1387=C850,$X$2:$X$1387))</f>
        <v>12</v>
      </c>
      <c r="AA850">
        <f t="shared" si="96"/>
        <v>18</v>
      </c>
      <c r="AB850">
        <f t="shared" si="97"/>
        <v>0.5</v>
      </c>
    </row>
    <row r="851" spans="1:28" x14ac:dyDescent="0.25">
      <c r="A851" t="s">
        <v>310</v>
      </c>
      <c r="B851" t="s">
        <v>311</v>
      </c>
      <c r="C851">
        <v>2013</v>
      </c>
      <c r="D851">
        <v>0.74520080213903739</v>
      </c>
      <c r="E851">
        <v>0.72109518716577536</v>
      </c>
      <c r="F851">
        <v>3.4785668449197858E-2</v>
      </c>
      <c r="G851">
        <v>1.9459101490553132</v>
      </c>
      <c r="H851">
        <v>0.5714285714285714</v>
      </c>
      <c r="I851">
        <v>1</v>
      </c>
      <c r="J851">
        <v>0</v>
      </c>
      <c r="K851">
        <v>5</v>
      </c>
      <c r="L851">
        <v>3</v>
      </c>
      <c r="M851">
        <v>3</v>
      </c>
      <c r="N851">
        <v>1</v>
      </c>
      <c r="O851">
        <v>2</v>
      </c>
      <c r="P851">
        <v>3</v>
      </c>
      <c r="Q851">
        <f t="shared" si="91"/>
        <v>5</v>
      </c>
      <c r="R851">
        <f t="shared" si="92"/>
        <v>22</v>
      </c>
      <c r="S851">
        <f t="array" ref="S851">MAX(IF($C$2:$C$1387=C851,$R$2:$R$1387))</f>
        <v>29</v>
      </c>
      <c r="T851" cm="1">
        <f t="array" ref="T851">MIN(IF($C$2:$C$1387=C851,$R$2:$R$1387))</f>
        <v>10</v>
      </c>
      <c r="U851">
        <f t="shared" si="93"/>
        <v>19</v>
      </c>
      <c r="V851">
        <f t="shared" si="94"/>
        <v>0.63157894736842102</v>
      </c>
      <c r="W851" cm="1">
        <f t="array" ref="W851">_xlfn.IFS(N851=1,5,N851=2,4,N851=4,2,N851=5,1,N851=3,3)</f>
        <v>5</v>
      </c>
      <c r="X851">
        <f t="shared" si="95"/>
        <v>26</v>
      </c>
      <c r="Y851" cm="1">
        <f t="array" ref="Y851">MAX(IF($C$2:$C$1387=C851,$X$2:$X$1387))</f>
        <v>32</v>
      </c>
      <c r="Z851" cm="1">
        <f t="array" ref="Z851">MIN(IF($C$2:$C$1387=C851,$X$2:$X$1387))</f>
        <v>10</v>
      </c>
      <c r="AA851">
        <f t="shared" si="96"/>
        <v>22</v>
      </c>
      <c r="AB851">
        <f t="shared" si="97"/>
        <v>0.72727272727272729</v>
      </c>
    </row>
    <row r="852" spans="1:28" x14ac:dyDescent="0.25">
      <c r="A852" t="s">
        <v>310</v>
      </c>
      <c r="B852" t="s">
        <v>311</v>
      </c>
      <c r="C852">
        <v>2014</v>
      </c>
      <c r="D852">
        <v>0.74525427807486633</v>
      </c>
      <c r="E852">
        <v>0.72109518716577536</v>
      </c>
      <c r="F852">
        <v>1.7660320855614975E-2</v>
      </c>
      <c r="G852">
        <v>1.9459101490553132</v>
      </c>
      <c r="H852">
        <v>0.5714285714285714</v>
      </c>
      <c r="I852">
        <v>1</v>
      </c>
      <c r="J852">
        <v>0</v>
      </c>
      <c r="K852">
        <v>5</v>
      </c>
      <c r="L852">
        <v>3</v>
      </c>
      <c r="M852">
        <v>2</v>
      </c>
      <c r="N852">
        <v>1</v>
      </c>
      <c r="O852">
        <v>2</v>
      </c>
      <c r="P852">
        <v>3</v>
      </c>
      <c r="Q852">
        <f t="shared" si="91"/>
        <v>5</v>
      </c>
      <c r="R852">
        <f t="shared" si="92"/>
        <v>21</v>
      </c>
      <c r="S852">
        <f t="array" ref="S852">MAX(IF($C$2:$C$1387=C852,$R$2:$R$1387))</f>
        <v>29</v>
      </c>
      <c r="T852" cm="1">
        <f t="array" ref="T852">MIN(IF($C$2:$C$1387=C852,$R$2:$R$1387))</f>
        <v>11</v>
      </c>
      <c r="U852">
        <f t="shared" si="93"/>
        <v>18</v>
      </c>
      <c r="V852">
        <f t="shared" si="94"/>
        <v>0.55555555555555558</v>
      </c>
      <c r="W852" cm="1">
        <f t="array" ref="W852">_xlfn.IFS(N852=1,5,N852=2,4,N852=4,2,N852=5,1,N852=3,3)</f>
        <v>5</v>
      </c>
      <c r="X852">
        <f t="shared" si="95"/>
        <v>25</v>
      </c>
      <c r="Y852" cm="1">
        <f t="array" ref="Y852">MAX(IF($C$2:$C$1387=C852,$X$2:$X$1387))</f>
        <v>30</v>
      </c>
      <c r="Z852" cm="1">
        <f t="array" ref="Z852">MIN(IF($C$2:$C$1387=C852,$X$2:$X$1387))</f>
        <v>14</v>
      </c>
      <c r="AA852">
        <f t="shared" si="96"/>
        <v>16</v>
      </c>
      <c r="AB852">
        <f t="shared" si="97"/>
        <v>0.6875</v>
      </c>
    </row>
    <row r="853" spans="1:28" x14ac:dyDescent="0.25">
      <c r="A853" t="s">
        <v>310</v>
      </c>
      <c r="B853" t="s">
        <v>311</v>
      </c>
      <c r="C853">
        <v>2015</v>
      </c>
      <c r="D853">
        <v>0.73455909090909088</v>
      </c>
      <c r="E853">
        <v>0.71040000000000003</v>
      </c>
      <c r="F853">
        <v>1.7366203208556148E-2</v>
      </c>
      <c r="G853">
        <v>2.1972245773362196</v>
      </c>
      <c r="H853">
        <v>0.66666666666666663</v>
      </c>
      <c r="I853">
        <v>1</v>
      </c>
      <c r="J853">
        <v>0</v>
      </c>
      <c r="K853">
        <v>5</v>
      </c>
      <c r="L853">
        <v>3</v>
      </c>
      <c r="M853">
        <v>2</v>
      </c>
      <c r="N853">
        <v>4</v>
      </c>
      <c r="O853">
        <v>2</v>
      </c>
      <c r="P853">
        <v>2</v>
      </c>
      <c r="Q853">
        <f t="shared" si="91"/>
        <v>5</v>
      </c>
      <c r="R853">
        <f t="shared" si="92"/>
        <v>23</v>
      </c>
      <c r="S853">
        <f t="array" ref="S853">MAX(IF($C$2:$C$1387=C853,$R$2:$R$1387))</f>
        <v>29</v>
      </c>
      <c r="T853" cm="1">
        <f t="array" ref="T853">MIN(IF($C$2:$C$1387=C853,$R$2:$R$1387))</f>
        <v>11</v>
      </c>
      <c r="U853">
        <f t="shared" si="93"/>
        <v>18</v>
      </c>
      <c r="V853">
        <f t="shared" si="94"/>
        <v>0.66666666666666663</v>
      </c>
      <c r="W853" cm="1">
        <f t="array" ref="W853">_xlfn.IFS(N853=1,5,N853=2,4,N853=4,2,N853=5,1,N853=3,3)</f>
        <v>2</v>
      </c>
      <c r="X853">
        <f t="shared" si="95"/>
        <v>21</v>
      </c>
      <c r="Y853" cm="1">
        <f t="array" ref="Y853">MAX(IF($C$2:$C$1387=C853,$X$2:$X$1387))</f>
        <v>29</v>
      </c>
      <c r="Z853" cm="1">
        <f t="array" ref="Z853">MIN(IF($C$2:$C$1387=C853,$X$2:$X$1387))</f>
        <v>12</v>
      </c>
      <c r="AA853">
        <f t="shared" si="96"/>
        <v>17</v>
      </c>
      <c r="AB853">
        <f t="shared" si="97"/>
        <v>0.52941176470588236</v>
      </c>
    </row>
    <row r="854" spans="1:28" x14ac:dyDescent="0.25">
      <c r="A854" t="s">
        <v>312</v>
      </c>
      <c r="B854" t="s">
        <v>313</v>
      </c>
      <c r="C854">
        <v>2010</v>
      </c>
      <c r="D854">
        <v>0.31004577263696842</v>
      </c>
      <c r="E854">
        <v>0.61323502908855387</v>
      </c>
      <c r="F854">
        <v>9.5115456809913884E-5</v>
      </c>
      <c r="G854">
        <v>1.9459101490553132</v>
      </c>
      <c r="H854">
        <v>0</v>
      </c>
      <c r="I854">
        <v>0.66666666666666663</v>
      </c>
      <c r="J854">
        <v>0</v>
      </c>
      <c r="K854">
        <v>4</v>
      </c>
      <c r="L854">
        <v>3</v>
      </c>
      <c r="M854">
        <v>1</v>
      </c>
      <c r="N854">
        <v>1</v>
      </c>
      <c r="O854">
        <v>1</v>
      </c>
      <c r="P854">
        <v>1</v>
      </c>
      <c r="Q854">
        <f t="shared" si="91"/>
        <v>5</v>
      </c>
      <c r="R854">
        <f t="shared" si="92"/>
        <v>16</v>
      </c>
      <c r="S854">
        <f t="array" ref="S854">MAX(IF($C$2:$C$1387=C854,$R$2:$R$1387))</f>
        <v>29</v>
      </c>
      <c r="T854" cm="1">
        <f t="array" ref="T854">MIN(IF($C$2:$C$1387=C854,$R$2:$R$1387))</f>
        <v>9</v>
      </c>
      <c r="U854">
        <f t="shared" si="93"/>
        <v>20</v>
      </c>
      <c r="V854">
        <f t="shared" si="94"/>
        <v>0.35</v>
      </c>
      <c r="W854" cm="1">
        <f t="array" ref="W854">_xlfn.IFS(N854=1,5,N854=2,4,N854=4,2,N854=5,1,N854=3,3)</f>
        <v>5</v>
      </c>
      <c r="X854">
        <f t="shared" si="95"/>
        <v>20</v>
      </c>
      <c r="Y854" cm="1">
        <f t="array" ref="Y854">MAX(IF($C$2:$C$1387=C854,$X$2:$X$1387))</f>
        <v>29</v>
      </c>
      <c r="Z854" cm="1">
        <f t="array" ref="Z854">MIN(IF($C$2:$C$1387=C854,$X$2:$X$1387))</f>
        <v>12</v>
      </c>
      <c r="AA854">
        <f t="shared" si="96"/>
        <v>17</v>
      </c>
      <c r="AB854">
        <f t="shared" si="97"/>
        <v>0.47058823529411764</v>
      </c>
    </row>
    <row r="855" spans="1:28" x14ac:dyDescent="0.25">
      <c r="A855" t="s">
        <v>312</v>
      </c>
      <c r="B855" t="s">
        <v>313</v>
      </c>
      <c r="C855">
        <v>2011</v>
      </c>
      <c r="D855">
        <v>0.38511466289767549</v>
      </c>
      <c r="E855">
        <v>0.76452328457119745</v>
      </c>
      <c r="F855">
        <v>4.7550906560407937E-3</v>
      </c>
      <c r="G855">
        <v>1.9459101490553132</v>
      </c>
      <c r="H855">
        <v>0.5714285714285714</v>
      </c>
      <c r="I855">
        <v>0.66666666666666663</v>
      </c>
      <c r="J855">
        <v>0</v>
      </c>
      <c r="K855">
        <v>4</v>
      </c>
      <c r="L855">
        <v>4</v>
      </c>
      <c r="M855">
        <v>1</v>
      </c>
      <c r="N855">
        <v>1</v>
      </c>
      <c r="O855">
        <v>2</v>
      </c>
      <c r="P855">
        <v>1</v>
      </c>
      <c r="Q855">
        <f t="shared" si="91"/>
        <v>5</v>
      </c>
      <c r="R855">
        <f t="shared" si="92"/>
        <v>18</v>
      </c>
      <c r="S855">
        <f t="array" ref="S855">MAX(IF($C$2:$C$1387=C855,$R$2:$R$1387))</f>
        <v>28</v>
      </c>
      <c r="T855" cm="1">
        <f t="array" ref="T855">MIN(IF($C$2:$C$1387=C855,$R$2:$R$1387))</f>
        <v>10</v>
      </c>
      <c r="U855">
        <f t="shared" si="93"/>
        <v>18</v>
      </c>
      <c r="V855">
        <f t="shared" si="94"/>
        <v>0.44444444444444442</v>
      </c>
      <c r="W855" cm="1">
        <f t="array" ref="W855">_xlfn.IFS(N855=1,5,N855=2,4,N855=4,2,N855=5,1,N855=3,3)</f>
        <v>5</v>
      </c>
      <c r="X855">
        <f t="shared" si="95"/>
        <v>22</v>
      </c>
      <c r="Y855" cm="1">
        <f t="array" ref="Y855">MAX(IF($C$2:$C$1387=C855,$X$2:$X$1387))</f>
        <v>29</v>
      </c>
      <c r="Z855" cm="1">
        <f t="array" ref="Z855">MIN(IF($C$2:$C$1387=C855,$X$2:$X$1387))</f>
        <v>12</v>
      </c>
      <c r="AA855">
        <f t="shared" si="96"/>
        <v>17</v>
      </c>
      <c r="AB855">
        <f t="shared" si="97"/>
        <v>0.58823529411764708</v>
      </c>
    </row>
    <row r="856" spans="1:28" x14ac:dyDescent="0.25">
      <c r="A856" t="s">
        <v>312</v>
      </c>
      <c r="B856" t="s">
        <v>313</v>
      </c>
      <c r="C856">
        <v>2012</v>
      </c>
      <c r="D856">
        <v>0.30005395637060028</v>
      </c>
      <c r="E856">
        <v>0.67936847230406539</v>
      </c>
      <c r="F856">
        <v>4.6326880438391831E-2</v>
      </c>
      <c r="G856">
        <v>1.9459101490553132</v>
      </c>
      <c r="H856">
        <v>0.42857142857142855</v>
      </c>
      <c r="I856">
        <v>0.66666666666666663</v>
      </c>
      <c r="J856">
        <v>0</v>
      </c>
      <c r="K856">
        <v>4</v>
      </c>
      <c r="L856">
        <v>3</v>
      </c>
      <c r="M856">
        <v>3</v>
      </c>
      <c r="N856">
        <v>1</v>
      </c>
      <c r="O856">
        <v>2</v>
      </c>
      <c r="P856">
        <v>1</v>
      </c>
      <c r="Q856">
        <f t="shared" si="91"/>
        <v>5</v>
      </c>
      <c r="R856">
        <f t="shared" si="92"/>
        <v>19</v>
      </c>
      <c r="S856">
        <f t="array" ref="S856">MAX(IF($C$2:$C$1387=C856,$R$2:$R$1387))</f>
        <v>29</v>
      </c>
      <c r="T856" cm="1">
        <f t="array" ref="T856">MIN(IF($C$2:$C$1387=C856,$R$2:$R$1387))</f>
        <v>11</v>
      </c>
      <c r="U856">
        <f t="shared" si="93"/>
        <v>18</v>
      </c>
      <c r="V856">
        <f t="shared" si="94"/>
        <v>0.44444444444444442</v>
      </c>
      <c r="W856" cm="1">
        <f t="array" ref="W856">_xlfn.IFS(N856=1,5,N856=2,4,N856=4,2,N856=5,1,N856=3,3)</f>
        <v>5</v>
      </c>
      <c r="X856">
        <f t="shared" si="95"/>
        <v>23</v>
      </c>
      <c r="Y856" cm="1">
        <f t="array" ref="Y856">MAX(IF($C$2:$C$1387=C856,$X$2:$X$1387))</f>
        <v>30</v>
      </c>
      <c r="Z856" cm="1">
        <f t="array" ref="Z856">MIN(IF($C$2:$C$1387=C856,$X$2:$X$1387))</f>
        <v>12</v>
      </c>
      <c r="AA856">
        <f t="shared" si="96"/>
        <v>18</v>
      </c>
      <c r="AB856">
        <f t="shared" si="97"/>
        <v>0.61111111111111116</v>
      </c>
    </row>
    <row r="857" spans="1:28" x14ac:dyDescent="0.25">
      <c r="A857" t="s">
        <v>312</v>
      </c>
      <c r="B857" t="s">
        <v>313</v>
      </c>
      <c r="C857">
        <v>2013</v>
      </c>
      <c r="D857">
        <v>0.23242247597977492</v>
      </c>
      <c r="E857">
        <v>0.70789429224645128</v>
      </c>
      <c r="F857">
        <v>1.5968364101310053E-2</v>
      </c>
      <c r="G857">
        <v>1.9459101490553132</v>
      </c>
      <c r="H857">
        <v>0.42857142857142855</v>
      </c>
      <c r="I857">
        <v>0.66666666666666663</v>
      </c>
      <c r="J857">
        <v>0</v>
      </c>
      <c r="K857">
        <v>3</v>
      </c>
      <c r="L857">
        <v>3</v>
      </c>
      <c r="M857">
        <v>2</v>
      </c>
      <c r="N857">
        <v>1</v>
      </c>
      <c r="O857">
        <v>1</v>
      </c>
      <c r="P857">
        <v>1</v>
      </c>
      <c r="Q857">
        <f t="shared" si="91"/>
        <v>5</v>
      </c>
      <c r="R857">
        <f t="shared" si="92"/>
        <v>16</v>
      </c>
      <c r="S857">
        <f t="array" ref="S857">MAX(IF($C$2:$C$1387=C857,$R$2:$R$1387))</f>
        <v>29</v>
      </c>
      <c r="T857" cm="1">
        <f t="array" ref="T857">MIN(IF($C$2:$C$1387=C857,$R$2:$R$1387))</f>
        <v>10</v>
      </c>
      <c r="U857">
        <f t="shared" si="93"/>
        <v>19</v>
      </c>
      <c r="V857">
        <f t="shared" si="94"/>
        <v>0.31578947368421051</v>
      </c>
      <c r="W857" cm="1">
        <f t="array" ref="W857">_xlfn.IFS(N857=1,5,N857=2,4,N857=4,2,N857=5,1,N857=3,3)</f>
        <v>5</v>
      </c>
      <c r="X857">
        <f t="shared" si="95"/>
        <v>20</v>
      </c>
      <c r="Y857" cm="1">
        <f t="array" ref="Y857">MAX(IF($C$2:$C$1387=C857,$X$2:$X$1387))</f>
        <v>32</v>
      </c>
      <c r="Z857" cm="1">
        <f t="array" ref="Z857">MIN(IF($C$2:$C$1387=C857,$X$2:$X$1387))</f>
        <v>10</v>
      </c>
      <c r="AA857">
        <f t="shared" si="96"/>
        <v>22</v>
      </c>
      <c r="AB857">
        <f t="shared" si="97"/>
        <v>0.45454545454545453</v>
      </c>
    </row>
    <row r="858" spans="1:28" x14ac:dyDescent="0.25">
      <c r="A858" t="s">
        <v>312</v>
      </c>
      <c r="B858" t="s">
        <v>313</v>
      </c>
      <c r="C858">
        <v>2014</v>
      </c>
      <c r="D858">
        <v>0.23242247597977492</v>
      </c>
      <c r="E858">
        <v>0.70789429224645128</v>
      </c>
      <c r="F858">
        <v>1.5968364101310053E-2</v>
      </c>
      <c r="G858">
        <v>1.9459101490553132</v>
      </c>
      <c r="H858">
        <v>0.42857142857142855</v>
      </c>
      <c r="I858">
        <v>1</v>
      </c>
      <c r="J858">
        <v>0</v>
      </c>
      <c r="K858">
        <v>3</v>
      </c>
      <c r="L858">
        <v>3</v>
      </c>
      <c r="M858">
        <v>2</v>
      </c>
      <c r="N858">
        <v>1</v>
      </c>
      <c r="O858">
        <v>1</v>
      </c>
      <c r="P858">
        <v>3</v>
      </c>
      <c r="Q858">
        <f t="shared" si="91"/>
        <v>5</v>
      </c>
      <c r="R858">
        <f t="shared" si="92"/>
        <v>18</v>
      </c>
      <c r="S858">
        <f t="array" ref="S858">MAX(IF($C$2:$C$1387=C858,$R$2:$R$1387))</f>
        <v>29</v>
      </c>
      <c r="T858" cm="1">
        <f t="array" ref="T858">MIN(IF($C$2:$C$1387=C858,$R$2:$R$1387))</f>
        <v>11</v>
      </c>
      <c r="U858">
        <f t="shared" si="93"/>
        <v>18</v>
      </c>
      <c r="V858">
        <f t="shared" si="94"/>
        <v>0.3888888888888889</v>
      </c>
      <c r="W858" cm="1">
        <f t="array" ref="W858">_xlfn.IFS(N858=1,5,N858=2,4,N858=4,2,N858=5,1,N858=3,3)</f>
        <v>5</v>
      </c>
      <c r="X858">
        <f t="shared" si="95"/>
        <v>22</v>
      </c>
      <c r="Y858" cm="1">
        <f t="array" ref="Y858">MAX(IF($C$2:$C$1387=C858,$X$2:$X$1387))</f>
        <v>30</v>
      </c>
      <c r="Z858" cm="1">
        <f t="array" ref="Z858">MIN(IF($C$2:$C$1387=C858,$X$2:$X$1387))</f>
        <v>14</v>
      </c>
      <c r="AA858">
        <f t="shared" si="96"/>
        <v>16</v>
      </c>
      <c r="AB858">
        <f t="shared" si="97"/>
        <v>0.5</v>
      </c>
    </row>
    <row r="859" spans="1:28" x14ac:dyDescent="0.25">
      <c r="A859" t="s">
        <v>312</v>
      </c>
      <c r="B859" t="s">
        <v>313</v>
      </c>
      <c r="C859">
        <v>2015</v>
      </c>
      <c r="D859">
        <v>0.23109727410317324</v>
      </c>
      <c r="E859">
        <v>0.73676786408806771</v>
      </c>
      <c r="F859">
        <v>1.4195392629229092E-3</v>
      </c>
      <c r="G859">
        <v>1.9459101490553132</v>
      </c>
      <c r="H859">
        <v>0.8571428571428571</v>
      </c>
      <c r="I859">
        <v>1</v>
      </c>
      <c r="J859">
        <v>0</v>
      </c>
      <c r="K859">
        <v>3</v>
      </c>
      <c r="L859">
        <v>4</v>
      </c>
      <c r="M859">
        <v>1</v>
      </c>
      <c r="N859">
        <v>1</v>
      </c>
      <c r="O859">
        <v>4</v>
      </c>
      <c r="P859">
        <v>2</v>
      </c>
      <c r="Q859">
        <f t="shared" si="91"/>
        <v>5</v>
      </c>
      <c r="R859">
        <f t="shared" si="92"/>
        <v>20</v>
      </c>
      <c r="S859">
        <f t="array" ref="S859">MAX(IF($C$2:$C$1387=C859,$R$2:$R$1387))</f>
        <v>29</v>
      </c>
      <c r="T859" cm="1">
        <f t="array" ref="T859">MIN(IF($C$2:$C$1387=C859,$R$2:$R$1387))</f>
        <v>11</v>
      </c>
      <c r="U859">
        <f t="shared" si="93"/>
        <v>18</v>
      </c>
      <c r="V859">
        <f t="shared" si="94"/>
        <v>0.5</v>
      </c>
      <c r="W859" cm="1">
        <f t="array" ref="W859">_xlfn.IFS(N859=1,5,N859=2,4,N859=4,2,N859=5,1,N859=3,3)</f>
        <v>5</v>
      </c>
      <c r="X859">
        <f t="shared" si="95"/>
        <v>24</v>
      </c>
      <c r="Y859" cm="1">
        <f t="array" ref="Y859">MAX(IF($C$2:$C$1387=C859,$X$2:$X$1387))</f>
        <v>29</v>
      </c>
      <c r="Z859" cm="1">
        <f t="array" ref="Z859">MIN(IF($C$2:$C$1387=C859,$X$2:$X$1387))</f>
        <v>12</v>
      </c>
      <c r="AA859">
        <f t="shared" si="96"/>
        <v>17</v>
      </c>
      <c r="AB859">
        <f t="shared" si="97"/>
        <v>0.70588235294117652</v>
      </c>
    </row>
    <row r="860" spans="1:28" x14ac:dyDescent="0.25">
      <c r="A860" t="s">
        <v>314</v>
      </c>
      <c r="B860" t="s">
        <v>315</v>
      </c>
      <c r="C860">
        <v>2010</v>
      </c>
      <c r="D860">
        <v>0.33876013316687476</v>
      </c>
      <c r="E860">
        <v>0.52993258426966294</v>
      </c>
      <c r="F860">
        <v>0</v>
      </c>
      <c r="G860">
        <v>1.9459101490553132</v>
      </c>
      <c r="H860">
        <v>0.2857142857142857</v>
      </c>
      <c r="I860">
        <v>0.66666666666666663</v>
      </c>
      <c r="J860">
        <v>1</v>
      </c>
      <c r="K860">
        <v>4</v>
      </c>
      <c r="L860">
        <v>2</v>
      </c>
      <c r="M860">
        <v>1</v>
      </c>
      <c r="N860">
        <v>1</v>
      </c>
      <c r="O860">
        <v>1</v>
      </c>
      <c r="P860">
        <v>1</v>
      </c>
      <c r="Q860">
        <f t="shared" si="91"/>
        <v>1</v>
      </c>
      <c r="R860">
        <f t="shared" si="92"/>
        <v>11</v>
      </c>
      <c r="S860">
        <f t="array" ref="S860">MAX(IF($C$2:$C$1387=C860,$R$2:$R$1387))</f>
        <v>29</v>
      </c>
      <c r="T860" cm="1">
        <f t="array" ref="T860">MIN(IF($C$2:$C$1387=C860,$R$2:$R$1387))</f>
        <v>9</v>
      </c>
      <c r="U860">
        <f t="shared" si="93"/>
        <v>20</v>
      </c>
      <c r="V860">
        <f t="shared" si="94"/>
        <v>0.1</v>
      </c>
      <c r="W860" cm="1">
        <f t="array" ref="W860">_xlfn.IFS(N860=1,5,N860=2,4,N860=4,2,N860=5,1,N860=3,3)</f>
        <v>5</v>
      </c>
      <c r="X860">
        <f t="shared" si="95"/>
        <v>15</v>
      </c>
      <c r="Y860" cm="1">
        <f t="array" ref="Y860">MAX(IF($C$2:$C$1387=C860,$X$2:$X$1387))</f>
        <v>29</v>
      </c>
      <c r="Z860" cm="1">
        <f t="array" ref="Z860">MIN(IF($C$2:$C$1387=C860,$X$2:$X$1387))</f>
        <v>12</v>
      </c>
      <c r="AA860">
        <f t="shared" si="96"/>
        <v>17</v>
      </c>
      <c r="AB860">
        <f t="shared" si="97"/>
        <v>0.17647058823529413</v>
      </c>
    </row>
    <row r="861" spans="1:28" x14ac:dyDescent="0.25">
      <c r="A861" t="s">
        <v>314</v>
      </c>
      <c r="B861" t="s">
        <v>315</v>
      </c>
      <c r="C861">
        <v>2011</v>
      </c>
      <c r="D861">
        <v>0.33876013316687476</v>
      </c>
      <c r="E861">
        <v>0.52993258426966294</v>
      </c>
      <c r="F861">
        <v>0</v>
      </c>
      <c r="G861">
        <v>1.9459101490553132</v>
      </c>
      <c r="H861">
        <v>0.2857142857142857</v>
      </c>
      <c r="I861">
        <v>0.66666666666666663</v>
      </c>
      <c r="J861">
        <v>1</v>
      </c>
      <c r="K861">
        <v>4</v>
      </c>
      <c r="L861">
        <v>2</v>
      </c>
      <c r="M861">
        <v>1</v>
      </c>
      <c r="N861">
        <v>1</v>
      </c>
      <c r="O861">
        <v>1</v>
      </c>
      <c r="P861">
        <v>1</v>
      </c>
      <c r="Q861">
        <f t="shared" si="91"/>
        <v>1</v>
      </c>
      <c r="R861">
        <f t="shared" si="92"/>
        <v>11</v>
      </c>
      <c r="S861">
        <f t="array" ref="S861">MAX(IF($C$2:$C$1387=C861,$R$2:$R$1387))</f>
        <v>28</v>
      </c>
      <c r="T861" cm="1">
        <f t="array" ref="T861">MIN(IF($C$2:$C$1387=C861,$R$2:$R$1387))</f>
        <v>10</v>
      </c>
      <c r="U861">
        <f t="shared" si="93"/>
        <v>18</v>
      </c>
      <c r="V861">
        <f t="shared" si="94"/>
        <v>5.5555555555555552E-2</v>
      </c>
      <c r="W861" cm="1">
        <f t="array" ref="W861">_xlfn.IFS(N861=1,5,N861=2,4,N861=4,2,N861=5,1,N861=3,3)</f>
        <v>5</v>
      </c>
      <c r="X861">
        <f t="shared" si="95"/>
        <v>15</v>
      </c>
      <c r="Y861" cm="1">
        <f t="array" ref="Y861">MAX(IF($C$2:$C$1387=C861,$X$2:$X$1387))</f>
        <v>29</v>
      </c>
      <c r="Z861" cm="1">
        <f t="array" ref="Z861">MIN(IF($C$2:$C$1387=C861,$X$2:$X$1387))</f>
        <v>12</v>
      </c>
      <c r="AA861">
        <f t="shared" si="96"/>
        <v>17</v>
      </c>
      <c r="AB861">
        <f t="shared" si="97"/>
        <v>0.17647058823529413</v>
      </c>
    </row>
    <row r="862" spans="1:28" x14ac:dyDescent="0.25">
      <c r="A862" t="s">
        <v>314</v>
      </c>
      <c r="B862" t="s">
        <v>315</v>
      </c>
      <c r="C862">
        <v>2012</v>
      </c>
      <c r="D862">
        <v>0.38298901373283395</v>
      </c>
      <c r="E862">
        <v>0.52993258426966294</v>
      </c>
      <c r="F862">
        <v>0</v>
      </c>
      <c r="G862">
        <v>1.9459101490553132</v>
      </c>
      <c r="H862">
        <v>0.2857142857142857</v>
      </c>
      <c r="I862">
        <v>0.66666666666666663</v>
      </c>
      <c r="J862">
        <v>1</v>
      </c>
      <c r="K862">
        <v>4</v>
      </c>
      <c r="L862">
        <v>2</v>
      </c>
      <c r="M862">
        <v>1</v>
      </c>
      <c r="N862">
        <v>1</v>
      </c>
      <c r="O862">
        <v>1</v>
      </c>
      <c r="P862">
        <v>1</v>
      </c>
      <c r="Q862">
        <f t="shared" si="91"/>
        <v>1</v>
      </c>
      <c r="R862">
        <f t="shared" si="92"/>
        <v>11</v>
      </c>
      <c r="S862">
        <f t="array" ref="S862">MAX(IF($C$2:$C$1387=C862,$R$2:$R$1387))</f>
        <v>29</v>
      </c>
      <c r="T862" cm="1">
        <f t="array" ref="T862">MIN(IF($C$2:$C$1387=C862,$R$2:$R$1387))</f>
        <v>11</v>
      </c>
      <c r="U862">
        <f t="shared" si="93"/>
        <v>18</v>
      </c>
      <c r="V862">
        <f t="shared" si="94"/>
        <v>0</v>
      </c>
      <c r="W862" cm="1">
        <f t="array" ref="W862">_xlfn.IFS(N862=1,5,N862=2,4,N862=4,2,N862=5,1,N862=3,3)</f>
        <v>5</v>
      </c>
      <c r="X862">
        <f t="shared" si="95"/>
        <v>15</v>
      </c>
      <c r="Y862" cm="1">
        <f t="array" ref="Y862">MAX(IF($C$2:$C$1387=C862,$X$2:$X$1387))</f>
        <v>30</v>
      </c>
      <c r="Z862" cm="1">
        <f t="array" ref="Z862">MIN(IF($C$2:$C$1387=C862,$X$2:$X$1387))</f>
        <v>12</v>
      </c>
      <c r="AA862">
        <f t="shared" si="96"/>
        <v>18</v>
      </c>
      <c r="AB862">
        <f t="shared" si="97"/>
        <v>0.16666666666666666</v>
      </c>
    </row>
    <row r="863" spans="1:28" x14ac:dyDescent="0.25">
      <c r="A863" t="s">
        <v>314</v>
      </c>
      <c r="B863" t="s">
        <v>315</v>
      </c>
      <c r="C863">
        <v>2013</v>
      </c>
      <c r="D863">
        <v>0.47889779442363711</v>
      </c>
      <c r="E863">
        <v>0.57195455680399498</v>
      </c>
      <c r="F863">
        <v>0</v>
      </c>
      <c r="G863">
        <v>1.9459101490553132</v>
      </c>
      <c r="H863">
        <v>0.2857142857142857</v>
      </c>
      <c r="I863">
        <v>0.66666666666666663</v>
      </c>
      <c r="J863">
        <v>1</v>
      </c>
      <c r="K863">
        <v>4</v>
      </c>
      <c r="L863">
        <v>2</v>
      </c>
      <c r="M863">
        <v>1</v>
      </c>
      <c r="N863">
        <v>1</v>
      </c>
      <c r="O863">
        <v>1</v>
      </c>
      <c r="P863">
        <v>1</v>
      </c>
      <c r="Q863">
        <f t="shared" si="91"/>
        <v>1</v>
      </c>
      <c r="R863">
        <f t="shared" si="92"/>
        <v>11</v>
      </c>
      <c r="S863">
        <f t="array" ref="S863">MAX(IF($C$2:$C$1387=C863,$R$2:$R$1387))</f>
        <v>29</v>
      </c>
      <c r="T863" cm="1">
        <f t="array" ref="T863">MIN(IF($C$2:$C$1387=C863,$R$2:$R$1387))</f>
        <v>10</v>
      </c>
      <c r="U863">
        <f t="shared" si="93"/>
        <v>19</v>
      </c>
      <c r="V863">
        <f t="shared" si="94"/>
        <v>5.2631578947368418E-2</v>
      </c>
      <c r="W863" cm="1">
        <f t="array" ref="W863">_xlfn.IFS(N863=1,5,N863=2,4,N863=4,2,N863=5,1,N863=3,3)</f>
        <v>5</v>
      </c>
      <c r="X863">
        <f t="shared" si="95"/>
        <v>15</v>
      </c>
      <c r="Y863" cm="1">
        <f t="array" ref="Y863">MAX(IF($C$2:$C$1387=C863,$X$2:$X$1387))</f>
        <v>32</v>
      </c>
      <c r="Z863" cm="1">
        <f t="array" ref="Z863">MIN(IF($C$2:$C$1387=C863,$X$2:$X$1387))</f>
        <v>10</v>
      </c>
      <c r="AA863">
        <f t="shared" si="96"/>
        <v>22</v>
      </c>
      <c r="AB863">
        <f t="shared" si="97"/>
        <v>0.22727272727272727</v>
      </c>
    </row>
    <row r="864" spans="1:28" x14ac:dyDescent="0.25">
      <c r="A864" t="s">
        <v>314</v>
      </c>
      <c r="B864" t="s">
        <v>315</v>
      </c>
      <c r="C864">
        <v>2014</v>
      </c>
      <c r="D864">
        <v>0.61490228880565956</v>
      </c>
      <c r="E864">
        <v>0.58789163545568035</v>
      </c>
      <c r="F864">
        <v>0</v>
      </c>
      <c r="G864">
        <v>1.9459101490553132</v>
      </c>
      <c r="H864">
        <v>0.5714285714285714</v>
      </c>
      <c r="I864">
        <v>1</v>
      </c>
      <c r="J864">
        <v>0</v>
      </c>
      <c r="K864">
        <v>5</v>
      </c>
      <c r="L864">
        <v>2</v>
      </c>
      <c r="M864">
        <v>1</v>
      </c>
      <c r="N864">
        <v>1</v>
      </c>
      <c r="O864">
        <v>2</v>
      </c>
      <c r="P864">
        <v>3</v>
      </c>
      <c r="Q864">
        <f t="shared" si="91"/>
        <v>5</v>
      </c>
      <c r="R864">
        <f t="shared" si="92"/>
        <v>19</v>
      </c>
      <c r="S864">
        <f t="array" ref="S864">MAX(IF($C$2:$C$1387=C864,$R$2:$R$1387))</f>
        <v>29</v>
      </c>
      <c r="T864" cm="1">
        <f t="array" ref="T864">MIN(IF($C$2:$C$1387=C864,$R$2:$R$1387))</f>
        <v>11</v>
      </c>
      <c r="U864">
        <f t="shared" si="93"/>
        <v>18</v>
      </c>
      <c r="V864">
        <f t="shared" si="94"/>
        <v>0.44444444444444442</v>
      </c>
      <c r="W864" cm="1">
        <f t="array" ref="W864">_xlfn.IFS(N864=1,5,N864=2,4,N864=4,2,N864=5,1,N864=3,3)</f>
        <v>5</v>
      </c>
      <c r="X864">
        <f t="shared" si="95"/>
        <v>23</v>
      </c>
      <c r="Y864" cm="1">
        <f t="array" ref="Y864">MAX(IF($C$2:$C$1387=C864,$X$2:$X$1387))</f>
        <v>30</v>
      </c>
      <c r="Z864" cm="1">
        <f t="array" ref="Z864">MIN(IF($C$2:$C$1387=C864,$X$2:$X$1387))</f>
        <v>14</v>
      </c>
      <c r="AA864">
        <f t="shared" si="96"/>
        <v>16</v>
      </c>
      <c r="AB864">
        <f t="shared" si="97"/>
        <v>0.5625</v>
      </c>
    </row>
    <row r="865" spans="1:28" x14ac:dyDescent="0.25">
      <c r="A865" t="s">
        <v>314</v>
      </c>
      <c r="B865" t="s">
        <v>315</v>
      </c>
      <c r="C865">
        <v>2015</v>
      </c>
      <c r="D865">
        <v>0.67264785684560968</v>
      </c>
      <c r="E865">
        <v>0.58789163545568035</v>
      </c>
      <c r="F865">
        <v>0.32735214315439032</v>
      </c>
      <c r="G865">
        <v>1.9459101490553132</v>
      </c>
      <c r="H865">
        <v>0.5714285714285714</v>
      </c>
      <c r="I865">
        <v>1</v>
      </c>
      <c r="J865">
        <v>0</v>
      </c>
      <c r="K865">
        <v>5</v>
      </c>
      <c r="L865">
        <v>2</v>
      </c>
      <c r="M865">
        <v>5</v>
      </c>
      <c r="N865">
        <v>1</v>
      </c>
      <c r="O865">
        <v>1</v>
      </c>
      <c r="P865">
        <v>2</v>
      </c>
      <c r="Q865">
        <f t="shared" si="91"/>
        <v>5</v>
      </c>
      <c r="R865">
        <f t="shared" si="92"/>
        <v>21</v>
      </c>
      <c r="S865">
        <f t="array" ref="S865">MAX(IF($C$2:$C$1387=C865,$R$2:$R$1387))</f>
        <v>29</v>
      </c>
      <c r="T865" cm="1">
        <f t="array" ref="T865">MIN(IF($C$2:$C$1387=C865,$R$2:$R$1387))</f>
        <v>11</v>
      </c>
      <c r="U865">
        <f t="shared" si="93"/>
        <v>18</v>
      </c>
      <c r="V865">
        <f t="shared" si="94"/>
        <v>0.55555555555555558</v>
      </c>
      <c r="W865" cm="1">
        <f t="array" ref="W865">_xlfn.IFS(N865=1,5,N865=2,4,N865=4,2,N865=5,1,N865=3,3)</f>
        <v>5</v>
      </c>
      <c r="X865">
        <f t="shared" si="95"/>
        <v>25</v>
      </c>
      <c r="Y865" cm="1">
        <f t="array" ref="Y865">MAX(IF($C$2:$C$1387=C865,$X$2:$X$1387))</f>
        <v>29</v>
      </c>
      <c r="Z865" cm="1">
        <f t="array" ref="Z865">MIN(IF($C$2:$C$1387=C865,$X$2:$X$1387))</f>
        <v>12</v>
      </c>
      <c r="AA865">
        <f t="shared" si="96"/>
        <v>17</v>
      </c>
      <c r="AB865">
        <f t="shared" si="97"/>
        <v>0.76470588235294112</v>
      </c>
    </row>
    <row r="866" spans="1:28" x14ac:dyDescent="0.25">
      <c r="A866" t="s">
        <v>316</v>
      </c>
      <c r="B866" t="s">
        <v>317</v>
      </c>
      <c r="C866">
        <v>2010</v>
      </c>
      <c r="D866">
        <v>4.4736264835417233E-2</v>
      </c>
      <c r="E866">
        <v>0.89021976475021247</v>
      </c>
      <c r="F866">
        <v>1.1810163462579943E-2</v>
      </c>
      <c r="G866">
        <v>1.9459101490553132</v>
      </c>
      <c r="H866">
        <v>0.5714285714285714</v>
      </c>
      <c r="I866">
        <v>1</v>
      </c>
      <c r="J866">
        <v>0</v>
      </c>
      <c r="K866">
        <v>2</v>
      </c>
      <c r="L866">
        <v>5</v>
      </c>
      <c r="M866">
        <v>2</v>
      </c>
      <c r="N866">
        <v>1</v>
      </c>
      <c r="O866">
        <v>2</v>
      </c>
      <c r="P866">
        <v>3</v>
      </c>
      <c r="Q866">
        <f t="shared" si="91"/>
        <v>5</v>
      </c>
      <c r="R866">
        <f t="shared" si="92"/>
        <v>20</v>
      </c>
      <c r="S866">
        <f t="array" ref="S866">MAX(IF($C$2:$C$1387=C866,$R$2:$R$1387))</f>
        <v>29</v>
      </c>
      <c r="T866" cm="1">
        <f t="array" ref="T866">MIN(IF($C$2:$C$1387=C866,$R$2:$R$1387))</f>
        <v>9</v>
      </c>
      <c r="U866">
        <f t="shared" si="93"/>
        <v>20</v>
      </c>
      <c r="V866">
        <f t="shared" si="94"/>
        <v>0.55000000000000004</v>
      </c>
      <c r="W866" cm="1">
        <f t="array" ref="W866">_xlfn.IFS(N866=1,5,N866=2,4,N866=4,2,N866=5,1,N866=3,3)</f>
        <v>5</v>
      </c>
      <c r="X866">
        <f t="shared" si="95"/>
        <v>24</v>
      </c>
      <c r="Y866" cm="1">
        <f t="array" ref="Y866">MAX(IF($C$2:$C$1387=C866,$X$2:$X$1387))</f>
        <v>29</v>
      </c>
      <c r="Z866" cm="1">
        <f t="array" ref="Z866">MIN(IF($C$2:$C$1387=C866,$X$2:$X$1387))</f>
        <v>12</v>
      </c>
      <c r="AA866">
        <f t="shared" si="96"/>
        <v>17</v>
      </c>
      <c r="AB866">
        <f t="shared" si="97"/>
        <v>0.70588235294117652</v>
      </c>
    </row>
    <row r="867" spans="1:28" x14ac:dyDescent="0.25">
      <c r="A867" t="s">
        <v>316</v>
      </c>
      <c r="B867" t="s">
        <v>317</v>
      </c>
      <c r="C867">
        <v>2011</v>
      </c>
      <c r="D867">
        <v>3.013090483917118E-2</v>
      </c>
      <c r="E867">
        <v>0.88541288493407133</v>
      </c>
      <c r="F867">
        <v>1.2209020484068828E-2</v>
      </c>
      <c r="G867">
        <v>1.9459101490553132</v>
      </c>
      <c r="H867">
        <v>0.42857142857142855</v>
      </c>
      <c r="I867">
        <v>0.66666666666666663</v>
      </c>
      <c r="J867">
        <v>0</v>
      </c>
      <c r="K867">
        <v>2</v>
      </c>
      <c r="L867">
        <v>5</v>
      </c>
      <c r="M867">
        <v>2</v>
      </c>
      <c r="N867">
        <v>1</v>
      </c>
      <c r="O867">
        <v>2</v>
      </c>
      <c r="P867">
        <v>1</v>
      </c>
      <c r="Q867">
        <f t="shared" si="91"/>
        <v>5</v>
      </c>
      <c r="R867">
        <f t="shared" si="92"/>
        <v>18</v>
      </c>
      <c r="S867">
        <f t="array" ref="S867">MAX(IF($C$2:$C$1387=C867,$R$2:$R$1387))</f>
        <v>28</v>
      </c>
      <c r="T867" cm="1">
        <f t="array" ref="T867">MIN(IF($C$2:$C$1387=C867,$R$2:$R$1387))</f>
        <v>10</v>
      </c>
      <c r="U867">
        <f t="shared" si="93"/>
        <v>18</v>
      </c>
      <c r="V867">
        <f t="shared" si="94"/>
        <v>0.44444444444444442</v>
      </c>
      <c r="W867" cm="1">
        <f t="array" ref="W867">_xlfn.IFS(N867=1,5,N867=2,4,N867=4,2,N867=5,1,N867=3,3)</f>
        <v>5</v>
      </c>
      <c r="X867">
        <f t="shared" si="95"/>
        <v>22</v>
      </c>
      <c r="Y867" cm="1">
        <f t="array" ref="Y867">MAX(IF($C$2:$C$1387=C867,$X$2:$X$1387))</f>
        <v>29</v>
      </c>
      <c r="Z867" cm="1">
        <f t="array" ref="Z867">MIN(IF($C$2:$C$1387=C867,$X$2:$X$1387))</f>
        <v>12</v>
      </c>
      <c r="AA867">
        <f t="shared" si="96"/>
        <v>17</v>
      </c>
      <c r="AB867">
        <f t="shared" si="97"/>
        <v>0.58823529411764708</v>
      </c>
    </row>
    <row r="868" spans="1:28" x14ac:dyDescent="0.25">
      <c r="A868" t="s">
        <v>316</v>
      </c>
      <c r="B868" t="s">
        <v>317</v>
      </c>
      <c r="C868">
        <v>2012</v>
      </c>
      <c r="D868">
        <v>4.4731038767632354E-2</v>
      </c>
      <c r="E868">
        <v>0.87608519187298384</v>
      </c>
      <c r="F868">
        <v>1.378766782072356E-2</v>
      </c>
      <c r="G868">
        <v>2.1972245773362196</v>
      </c>
      <c r="H868">
        <v>0.22222222222222221</v>
      </c>
      <c r="I868">
        <v>0.66666666666666663</v>
      </c>
      <c r="J868">
        <v>0</v>
      </c>
      <c r="K868">
        <v>2</v>
      </c>
      <c r="L868">
        <v>5</v>
      </c>
      <c r="M868">
        <v>2</v>
      </c>
      <c r="N868">
        <v>4</v>
      </c>
      <c r="O868">
        <v>1</v>
      </c>
      <c r="P868">
        <v>1</v>
      </c>
      <c r="Q868">
        <f t="shared" si="91"/>
        <v>5</v>
      </c>
      <c r="R868">
        <f t="shared" si="92"/>
        <v>20</v>
      </c>
      <c r="S868">
        <f t="array" ref="S868">MAX(IF($C$2:$C$1387=C868,$R$2:$R$1387))</f>
        <v>29</v>
      </c>
      <c r="T868" cm="1">
        <f t="array" ref="T868">MIN(IF($C$2:$C$1387=C868,$R$2:$R$1387))</f>
        <v>11</v>
      </c>
      <c r="U868">
        <f t="shared" si="93"/>
        <v>18</v>
      </c>
      <c r="V868">
        <f t="shared" si="94"/>
        <v>0.5</v>
      </c>
      <c r="W868" cm="1">
        <f t="array" ref="W868">_xlfn.IFS(N868=1,5,N868=2,4,N868=4,2,N868=5,1,N868=3,3)</f>
        <v>2</v>
      </c>
      <c r="X868">
        <f t="shared" si="95"/>
        <v>18</v>
      </c>
      <c r="Y868" cm="1">
        <f t="array" ref="Y868">MAX(IF($C$2:$C$1387=C868,$X$2:$X$1387))</f>
        <v>30</v>
      </c>
      <c r="Z868" cm="1">
        <f t="array" ref="Z868">MIN(IF($C$2:$C$1387=C868,$X$2:$X$1387))</f>
        <v>12</v>
      </c>
      <c r="AA868">
        <f t="shared" si="96"/>
        <v>18</v>
      </c>
      <c r="AB868">
        <f t="shared" si="97"/>
        <v>0.33333333333333331</v>
      </c>
    </row>
    <row r="869" spans="1:28" x14ac:dyDescent="0.25">
      <c r="A869" t="s">
        <v>316</v>
      </c>
      <c r="B869" t="s">
        <v>317</v>
      </c>
      <c r="C869">
        <v>2013</v>
      </c>
      <c r="D869">
        <v>4.4731744397037906E-2</v>
      </c>
      <c r="E869">
        <v>0.86956270646275391</v>
      </c>
      <c r="F869">
        <v>1.0869162548437049E-2</v>
      </c>
      <c r="G869">
        <v>2.1972245773362196</v>
      </c>
      <c r="H869">
        <v>0.55555555555555558</v>
      </c>
      <c r="I869">
        <v>0.75</v>
      </c>
      <c r="J869">
        <v>0</v>
      </c>
      <c r="K869">
        <v>2</v>
      </c>
      <c r="L869">
        <v>5</v>
      </c>
      <c r="M869">
        <v>2</v>
      </c>
      <c r="N869">
        <v>4</v>
      </c>
      <c r="O869">
        <v>2</v>
      </c>
      <c r="P869">
        <v>3</v>
      </c>
      <c r="Q869">
        <f t="shared" si="91"/>
        <v>5</v>
      </c>
      <c r="R869">
        <f t="shared" si="92"/>
        <v>23</v>
      </c>
      <c r="S869">
        <f t="array" ref="S869">MAX(IF($C$2:$C$1387=C869,$R$2:$R$1387))</f>
        <v>29</v>
      </c>
      <c r="T869" cm="1">
        <f t="array" ref="T869">MIN(IF($C$2:$C$1387=C869,$R$2:$R$1387))</f>
        <v>10</v>
      </c>
      <c r="U869">
        <f t="shared" si="93"/>
        <v>19</v>
      </c>
      <c r="V869">
        <f t="shared" si="94"/>
        <v>0.68421052631578949</v>
      </c>
      <c r="W869" cm="1">
        <f t="array" ref="W869">_xlfn.IFS(N869=1,5,N869=2,4,N869=4,2,N869=5,1,N869=3,3)</f>
        <v>2</v>
      </c>
      <c r="X869">
        <f t="shared" si="95"/>
        <v>21</v>
      </c>
      <c r="Y869" cm="1">
        <f t="array" ref="Y869">MAX(IF($C$2:$C$1387=C869,$X$2:$X$1387))</f>
        <v>32</v>
      </c>
      <c r="Z869" cm="1">
        <f t="array" ref="Z869">MIN(IF($C$2:$C$1387=C869,$X$2:$X$1387))</f>
        <v>10</v>
      </c>
      <c r="AA869">
        <f t="shared" si="96"/>
        <v>22</v>
      </c>
      <c r="AB869">
        <f t="shared" si="97"/>
        <v>0.5</v>
      </c>
    </row>
    <row r="870" spans="1:28" x14ac:dyDescent="0.25">
      <c r="A870" t="s">
        <v>316</v>
      </c>
      <c r="B870" t="s">
        <v>317</v>
      </c>
      <c r="C870">
        <v>2014</v>
      </c>
      <c r="D870">
        <v>4.4730487494659264E-2</v>
      </c>
      <c r="E870">
        <v>0.87626159922437219</v>
      </c>
      <c r="F870">
        <v>1.3283407406780181E-2</v>
      </c>
      <c r="G870">
        <v>2.1972245773362196</v>
      </c>
      <c r="H870">
        <v>0.55555555555555558</v>
      </c>
      <c r="I870">
        <v>0.75</v>
      </c>
      <c r="J870">
        <v>0</v>
      </c>
      <c r="K870">
        <v>2</v>
      </c>
      <c r="L870">
        <v>5</v>
      </c>
      <c r="M870">
        <v>2</v>
      </c>
      <c r="N870">
        <v>4</v>
      </c>
      <c r="O870">
        <v>2</v>
      </c>
      <c r="P870">
        <v>2</v>
      </c>
      <c r="Q870">
        <f t="shared" si="91"/>
        <v>5</v>
      </c>
      <c r="R870">
        <f t="shared" si="92"/>
        <v>22</v>
      </c>
      <c r="S870">
        <f t="array" ref="S870">MAX(IF($C$2:$C$1387=C870,$R$2:$R$1387))</f>
        <v>29</v>
      </c>
      <c r="T870" cm="1">
        <f t="array" ref="T870">MIN(IF($C$2:$C$1387=C870,$R$2:$R$1387))</f>
        <v>11</v>
      </c>
      <c r="U870">
        <f t="shared" si="93"/>
        <v>18</v>
      </c>
      <c r="V870">
        <f t="shared" si="94"/>
        <v>0.61111111111111116</v>
      </c>
      <c r="W870" cm="1">
        <f t="array" ref="W870">_xlfn.IFS(N870=1,5,N870=2,4,N870=4,2,N870=5,1,N870=3,3)</f>
        <v>2</v>
      </c>
      <c r="X870">
        <f t="shared" si="95"/>
        <v>20</v>
      </c>
      <c r="Y870" cm="1">
        <f t="array" ref="Y870">MAX(IF($C$2:$C$1387=C870,$X$2:$X$1387))</f>
        <v>30</v>
      </c>
      <c r="Z870" cm="1">
        <f t="array" ref="Z870">MIN(IF($C$2:$C$1387=C870,$X$2:$X$1387))</f>
        <v>14</v>
      </c>
      <c r="AA870">
        <f t="shared" si="96"/>
        <v>16</v>
      </c>
      <c r="AB870">
        <f t="shared" si="97"/>
        <v>0.375</v>
      </c>
    </row>
    <row r="871" spans="1:28" x14ac:dyDescent="0.25">
      <c r="A871" t="s">
        <v>316</v>
      </c>
      <c r="B871" t="s">
        <v>317</v>
      </c>
      <c r="C871">
        <v>2015</v>
      </c>
      <c r="D871">
        <v>4.4742394990877975E-2</v>
      </c>
      <c r="E871">
        <v>0.87626159922437219</v>
      </c>
      <c r="F871">
        <v>2.5475867650737436E-3</v>
      </c>
      <c r="G871">
        <v>2.1972245773362196</v>
      </c>
      <c r="H871">
        <v>0.55555555555555558</v>
      </c>
      <c r="I871">
        <v>1</v>
      </c>
      <c r="J871">
        <v>0</v>
      </c>
      <c r="K871">
        <v>2</v>
      </c>
      <c r="L871">
        <v>5</v>
      </c>
      <c r="M871">
        <v>1</v>
      </c>
      <c r="N871">
        <v>4</v>
      </c>
      <c r="O871">
        <v>1</v>
      </c>
      <c r="P871">
        <v>2</v>
      </c>
      <c r="Q871">
        <f t="shared" si="91"/>
        <v>5</v>
      </c>
      <c r="R871">
        <f t="shared" si="92"/>
        <v>20</v>
      </c>
      <c r="S871">
        <f t="array" ref="S871">MAX(IF($C$2:$C$1387=C871,$R$2:$R$1387))</f>
        <v>29</v>
      </c>
      <c r="T871" cm="1">
        <f t="array" ref="T871">MIN(IF($C$2:$C$1387=C871,$R$2:$R$1387))</f>
        <v>11</v>
      </c>
      <c r="U871">
        <f t="shared" si="93"/>
        <v>18</v>
      </c>
      <c r="V871">
        <f t="shared" si="94"/>
        <v>0.5</v>
      </c>
      <c r="W871" cm="1">
        <f t="array" ref="W871">_xlfn.IFS(N871=1,5,N871=2,4,N871=4,2,N871=5,1,N871=3,3)</f>
        <v>2</v>
      </c>
      <c r="X871">
        <f t="shared" si="95"/>
        <v>18</v>
      </c>
      <c r="Y871" cm="1">
        <f t="array" ref="Y871">MAX(IF($C$2:$C$1387=C871,$X$2:$X$1387))</f>
        <v>29</v>
      </c>
      <c r="Z871" cm="1">
        <f t="array" ref="Z871">MIN(IF($C$2:$C$1387=C871,$X$2:$X$1387))</f>
        <v>12</v>
      </c>
      <c r="AA871">
        <f t="shared" si="96"/>
        <v>17</v>
      </c>
      <c r="AB871">
        <f t="shared" si="97"/>
        <v>0.35294117647058826</v>
      </c>
    </row>
    <row r="872" spans="1:28" x14ac:dyDescent="0.25">
      <c r="A872" t="s">
        <v>318</v>
      </c>
      <c r="B872" t="s">
        <v>319</v>
      </c>
      <c r="C872">
        <v>2010</v>
      </c>
      <c r="D872">
        <v>9.2705970324407794E-3</v>
      </c>
      <c r="E872">
        <v>0.62225096427907722</v>
      </c>
      <c r="F872">
        <v>2.7743524031755315E-3</v>
      </c>
      <c r="G872">
        <v>2.0794415416798357</v>
      </c>
      <c r="H872">
        <v>0.625</v>
      </c>
      <c r="I872">
        <v>1</v>
      </c>
      <c r="J872">
        <v>0</v>
      </c>
      <c r="K872">
        <v>2</v>
      </c>
      <c r="L872">
        <v>3</v>
      </c>
      <c r="M872">
        <v>2</v>
      </c>
      <c r="N872">
        <v>3</v>
      </c>
      <c r="O872">
        <v>3</v>
      </c>
      <c r="P872">
        <v>3</v>
      </c>
      <c r="Q872">
        <f t="shared" si="91"/>
        <v>5</v>
      </c>
      <c r="R872">
        <f t="shared" si="92"/>
        <v>21</v>
      </c>
      <c r="S872">
        <f t="array" ref="S872">MAX(IF($C$2:$C$1387=C872,$R$2:$R$1387))</f>
        <v>29</v>
      </c>
      <c r="T872" cm="1">
        <f t="array" ref="T872">MIN(IF($C$2:$C$1387=C872,$R$2:$R$1387))</f>
        <v>9</v>
      </c>
      <c r="U872">
        <f t="shared" si="93"/>
        <v>20</v>
      </c>
      <c r="V872">
        <f t="shared" si="94"/>
        <v>0.6</v>
      </c>
      <c r="W872" cm="1">
        <f t="array" ref="W872">_xlfn.IFS(N872=1,5,N872=2,4,N872=4,2,N872=5,1,N872=3,3)</f>
        <v>3</v>
      </c>
      <c r="X872">
        <f t="shared" si="95"/>
        <v>21</v>
      </c>
      <c r="Y872" cm="1">
        <f t="array" ref="Y872">MAX(IF($C$2:$C$1387=C872,$X$2:$X$1387))</f>
        <v>29</v>
      </c>
      <c r="Z872" cm="1">
        <f t="array" ref="Z872">MIN(IF($C$2:$C$1387=C872,$X$2:$X$1387))</f>
        <v>12</v>
      </c>
      <c r="AA872">
        <f t="shared" si="96"/>
        <v>17</v>
      </c>
      <c r="AB872">
        <f t="shared" si="97"/>
        <v>0.52941176470588236</v>
      </c>
    </row>
    <row r="873" spans="1:28" x14ac:dyDescent="0.25">
      <c r="A873" t="s">
        <v>318</v>
      </c>
      <c r="B873" t="s">
        <v>319</v>
      </c>
      <c r="C873">
        <v>2011</v>
      </c>
      <c r="D873">
        <v>9.2783427921662356E-3</v>
      </c>
      <c r="E873">
        <v>0.65156526285906369</v>
      </c>
      <c r="F873">
        <v>6.9771546883530405E-2</v>
      </c>
      <c r="G873">
        <v>2.3025850929940459</v>
      </c>
      <c r="H873">
        <v>0.5</v>
      </c>
      <c r="I873">
        <v>0.75</v>
      </c>
      <c r="J873">
        <v>0</v>
      </c>
      <c r="K873">
        <v>2</v>
      </c>
      <c r="L873">
        <v>3</v>
      </c>
      <c r="M873">
        <v>3</v>
      </c>
      <c r="N873">
        <v>5</v>
      </c>
      <c r="O873">
        <v>2</v>
      </c>
      <c r="P873">
        <v>3</v>
      </c>
      <c r="Q873">
        <f t="shared" si="91"/>
        <v>5</v>
      </c>
      <c r="R873">
        <f t="shared" si="92"/>
        <v>23</v>
      </c>
      <c r="S873">
        <f t="array" ref="S873">MAX(IF($C$2:$C$1387=C873,$R$2:$R$1387))</f>
        <v>28</v>
      </c>
      <c r="T873" cm="1">
        <f t="array" ref="T873">MIN(IF($C$2:$C$1387=C873,$R$2:$R$1387))</f>
        <v>10</v>
      </c>
      <c r="U873">
        <f t="shared" si="93"/>
        <v>18</v>
      </c>
      <c r="V873">
        <f t="shared" si="94"/>
        <v>0.72222222222222221</v>
      </c>
      <c r="W873" cm="1">
        <f t="array" ref="W873">_xlfn.IFS(N873=1,5,N873=2,4,N873=4,2,N873=5,1,N873=3,3)</f>
        <v>1</v>
      </c>
      <c r="X873">
        <f t="shared" si="95"/>
        <v>19</v>
      </c>
      <c r="Y873" cm="1">
        <f t="array" ref="Y873">MAX(IF($C$2:$C$1387=C873,$X$2:$X$1387))</f>
        <v>29</v>
      </c>
      <c r="Z873" cm="1">
        <f t="array" ref="Z873">MIN(IF($C$2:$C$1387=C873,$X$2:$X$1387))</f>
        <v>12</v>
      </c>
      <c r="AA873">
        <f t="shared" si="96"/>
        <v>17</v>
      </c>
      <c r="AB873">
        <f t="shared" si="97"/>
        <v>0.41176470588235292</v>
      </c>
    </row>
    <row r="874" spans="1:28" x14ac:dyDescent="0.25">
      <c r="A874" t="s">
        <v>318</v>
      </c>
      <c r="B874" t="s">
        <v>319</v>
      </c>
      <c r="C874">
        <v>2012</v>
      </c>
      <c r="D874">
        <v>1.1547976209702517E-2</v>
      </c>
      <c r="E874">
        <v>0.71785685587510861</v>
      </c>
      <c r="F874">
        <v>0.13861346186583859</v>
      </c>
      <c r="G874">
        <v>2.3025850929940459</v>
      </c>
      <c r="H874">
        <v>0.5</v>
      </c>
      <c r="I874">
        <v>0.75</v>
      </c>
      <c r="J874">
        <v>0</v>
      </c>
      <c r="K874">
        <v>2</v>
      </c>
      <c r="L874">
        <v>3</v>
      </c>
      <c r="M874">
        <v>4</v>
      </c>
      <c r="N874">
        <v>5</v>
      </c>
      <c r="O874">
        <v>2</v>
      </c>
      <c r="P874">
        <v>3</v>
      </c>
      <c r="Q874">
        <f t="shared" si="91"/>
        <v>5</v>
      </c>
      <c r="R874">
        <f t="shared" si="92"/>
        <v>24</v>
      </c>
      <c r="S874">
        <f t="array" ref="S874">MAX(IF($C$2:$C$1387=C874,$R$2:$R$1387))</f>
        <v>29</v>
      </c>
      <c r="T874" cm="1">
        <f t="array" ref="T874">MIN(IF($C$2:$C$1387=C874,$R$2:$R$1387))</f>
        <v>11</v>
      </c>
      <c r="U874">
        <f t="shared" si="93"/>
        <v>18</v>
      </c>
      <c r="V874">
        <f t="shared" si="94"/>
        <v>0.72222222222222221</v>
      </c>
      <c r="W874" cm="1">
        <f t="array" ref="W874">_xlfn.IFS(N874=1,5,N874=2,4,N874=4,2,N874=5,1,N874=3,3)</f>
        <v>1</v>
      </c>
      <c r="X874">
        <f t="shared" si="95"/>
        <v>20</v>
      </c>
      <c r="Y874" cm="1">
        <f t="array" ref="Y874">MAX(IF($C$2:$C$1387=C874,$X$2:$X$1387))</f>
        <v>30</v>
      </c>
      <c r="Z874" cm="1">
        <f t="array" ref="Z874">MIN(IF($C$2:$C$1387=C874,$X$2:$X$1387))</f>
        <v>12</v>
      </c>
      <c r="AA874">
        <f t="shared" si="96"/>
        <v>18</v>
      </c>
      <c r="AB874">
        <f t="shared" si="97"/>
        <v>0.44444444444444442</v>
      </c>
    </row>
    <row r="875" spans="1:28" x14ac:dyDescent="0.25">
      <c r="A875" t="s">
        <v>318</v>
      </c>
      <c r="B875" t="s">
        <v>319</v>
      </c>
      <c r="C875">
        <v>2013</v>
      </c>
      <c r="D875">
        <v>6.0381264143585724E-2</v>
      </c>
      <c r="E875">
        <v>0.68005272041946185</v>
      </c>
      <c r="F875">
        <v>4.8797719794250224E-2</v>
      </c>
      <c r="G875">
        <v>2.3025850929940459</v>
      </c>
      <c r="H875">
        <v>0.5</v>
      </c>
      <c r="I875">
        <v>0.33333333333333331</v>
      </c>
      <c r="J875">
        <v>0</v>
      </c>
      <c r="K875">
        <v>3</v>
      </c>
      <c r="L875">
        <v>3</v>
      </c>
      <c r="M875">
        <v>3</v>
      </c>
      <c r="N875">
        <v>5</v>
      </c>
      <c r="O875">
        <v>2</v>
      </c>
      <c r="P875">
        <v>1</v>
      </c>
      <c r="Q875">
        <f t="shared" si="91"/>
        <v>5</v>
      </c>
      <c r="R875">
        <f t="shared" si="92"/>
        <v>22</v>
      </c>
      <c r="S875">
        <f t="array" ref="S875">MAX(IF($C$2:$C$1387=C875,$R$2:$R$1387))</f>
        <v>29</v>
      </c>
      <c r="T875" cm="1">
        <f t="array" ref="T875">MIN(IF($C$2:$C$1387=C875,$R$2:$R$1387))</f>
        <v>10</v>
      </c>
      <c r="U875">
        <f t="shared" si="93"/>
        <v>19</v>
      </c>
      <c r="V875">
        <f t="shared" si="94"/>
        <v>0.63157894736842102</v>
      </c>
      <c r="W875" cm="1">
        <f t="array" ref="W875">_xlfn.IFS(N875=1,5,N875=2,4,N875=4,2,N875=5,1,N875=3,3)</f>
        <v>1</v>
      </c>
      <c r="X875">
        <f t="shared" si="95"/>
        <v>18</v>
      </c>
      <c r="Y875" cm="1">
        <f t="array" ref="Y875">MAX(IF($C$2:$C$1387=C875,$X$2:$X$1387))</f>
        <v>32</v>
      </c>
      <c r="Z875" cm="1">
        <f t="array" ref="Z875">MIN(IF($C$2:$C$1387=C875,$X$2:$X$1387))</f>
        <v>10</v>
      </c>
      <c r="AA875">
        <f t="shared" si="96"/>
        <v>22</v>
      </c>
      <c r="AB875">
        <f t="shared" si="97"/>
        <v>0.36363636363636365</v>
      </c>
    </row>
    <row r="876" spans="1:28" x14ac:dyDescent="0.25">
      <c r="A876" t="s">
        <v>318</v>
      </c>
      <c r="B876" t="s">
        <v>319</v>
      </c>
      <c r="C876">
        <v>2014</v>
      </c>
      <c r="D876">
        <v>4.9864289484564076E-2</v>
      </c>
      <c r="E876">
        <v>0.79536541939127414</v>
      </c>
      <c r="F876">
        <v>3.9622374230795458E-3</v>
      </c>
      <c r="G876">
        <v>2.3025850929940459</v>
      </c>
      <c r="H876">
        <v>0.5</v>
      </c>
      <c r="I876">
        <v>0.33333333333333331</v>
      </c>
      <c r="J876">
        <v>0</v>
      </c>
      <c r="K876">
        <v>2</v>
      </c>
      <c r="L876">
        <v>4</v>
      </c>
      <c r="M876">
        <v>1</v>
      </c>
      <c r="N876">
        <v>5</v>
      </c>
      <c r="O876">
        <v>2</v>
      </c>
      <c r="P876">
        <v>1</v>
      </c>
      <c r="Q876">
        <f t="shared" si="91"/>
        <v>5</v>
      </c>
      <c r="R876">
        <f t="shared" si="92"/>
        <v>20</v>
      </c>
      <c r="S876">
        <f t="array" ref="S876">MAX(IF($C$2:$C$1387=C876,$R$2:$R$1387))</f>
        <v>29</v>
      </c>
      <c r="T876" cm="1">
        <f t="array" ref="T876">MIN(IF($C$2:$C$1387=C876,$R$2:$R$1387))</f>
        <v>11</v>
      </c>
      <c r="U876">
        <f t="shared" si="93"/>
        <v>18</v>
      </c>
      <c r="V876">
        <f t="shared" si="94"/>
        <v>0.5</v>
      </c>
      <c r="W876" cm="1">
        <f t="array" ref="W876">_xlfn.IFS(N876=1,5,N876=2,4,N876=4,2,N876=5,1,N876=3,3)</f>
        <v>1</v>
      </c>
      <c r="X876">
        <f t="shared" si="95"/>
        <v>16</v>
      </c>
      <c r="Y876" cm="1">
        <f t="array" ref="Y876">MAX(IF($C$2:$C$1387=C876,$X$2:$X$1387))</f>
        <v>30</v>
      </c>
      <c r="Z876" cm="1">
        <f t="array" ref="Z876">MIN(IF($C$2:$C$1387=C876,$X$2:$X$1387))</f>
        <v>14</v>
      </c>
      <c r="AA876">
        <f t="shared" si="96"/>
        <v>16</v>
      </c>
      <c r="AB876">
        <f t="shared" si="97"/>
        <v>0.125</v>
      </c>
    </row>
    <row r="877" spans="1:28" x14ac:dyDescent="0.25">
      <c r="A877" t="s">
        <v>318</v>
      </c>
      <c r="B877" t="s">
        <v>319</v>
      </c>
      <c r="C877">
        <v>2015</v>
      </c>
      <c r="D877">
        <v>4.9728654020751467E-2</v>
      </c>
      <c r="E877">
        <v>0.79510319082790315</v>
      </c>
      <c r="F877">
        <v>6.7925878582785907E-3</v>
      </c>
      <c r="G877">
        <v>2.3025850929940459</v>
      </c>
      <c r="H877">
        <v>0.7</v>
      </c>
      <c r="I877">
        <v>1</v>
      </c>
      <c r="J877">
        <v>0</v>
      </c>
      <c r="K877">
        <v>2</v>
      </c>
      <c r="L877">
        <v>4</v>
      </c>
      <c r="M877">
        <v>2</v>
      </c>
      <c r="N877">
        <v>5</v>
      </c>
      <c r="O877">
        <v>3</v>
      </c>
      <c r="P877">
        <v>2</v>
      </c>
      <c r="Q877">
        <f t="shared" si="91"/>
        <v>5</v>
      </c>
      <c r="R877">
        <f t="shared" si="92"/>
        <v>23</v>
      </c>
      <c r="S877">
        <f t="array" ref="S877">MAX(IF($C$2:$C$1387=C877,$R$2:$R$1387))</f>
        <v>29</v>
      </c>
      <c r="T877" cm="1">
        <f t="array" ref="T877">MIN(IF($C$2:$C$1387=C877,$R$2:$R$1387))</f>
        <v>11</v>
      </c>
      <c r="U877">
        <f t="shared" si="93"/>
        <v>18</v>
      </c>
      <c r="V877">
        <f t="shared" si="94"/>
        <v>0.66666666666666663</v>
      </c>
      <c r="W877" cm="1">
        <f t="array" ref="W877">_xlfn.IFS(N877=1,5,N877=2,4,N877=4,2,N877=5,1,N877=3,3)</f>
        <v>1</v>
      </c>
      <c r="X877">
        <f t="shared" si="95"/>
        <v>19</v>
      </c>
      <c r="Y877" cm="1">
        <f t="array" ref="Y877">MAX(IF($C$2:$C$1387=C877,$X$2:$X$1387))</f>
        <v>29</v>
      </c>
      <c r="Z877" cm="1">
        <f t="array" ref="Z877">MIN(IF($C$2:$C$1387=C877,$X$2:$X$1387))</f>
        <v>12</v>
      </c>
      <c r="AA877">
        <f t="shared" si="96"/>
        <v>17</v>
      </c>
      <c r="AB877">
        <f t="shared" si="97"/>
        <v>0.41176470588235292</v>
      </c>
    </row>
    <row r="878" spans="1:28" x14ac:dyDescent="0.25">
      <c r="A878" t="s">
        <v>320</v>
      </c>
      <c r="B878" t="s">
        <v>321</v>
      </c>
      <c r="C878">
        <v>2010</v>
      </c>
      <c r="D878">
        <v>0.25219738718430845</v>
      </c>
      <c r="E878">
        <v>0.35208572672648025</v>
      </c>
      <c r="F878">
        <v>0.20880000000000001</v>
      </c>
      <c r="G878">
        <v>2.3025850929940459</v>
      </c>
      <c r="H878">
        <v>0.3</v>
      </c>
      <c r="I878">
        <v>0.66666666666666663</v>
      </c>
      <c r="J878">
        <v>0</v>
      </c>
      <c r="K878">
        <v>3</v>
      </c>
      <c r="L878">
        <v>1</v>
      </c>
      <c r="M878">
        <v>5</v>
      </c>
      <c r="N878">
        <v>5</v>
      </c>
      <c r="O878">
        <v>1</v>
      </c>
      <c r="P878">
        <v>1</v>
      </c>
      <c r="Q878">
        <f t="shared" si="91"/>
        <v>5</v>
      </c>
      <c r="R878">
        <f t="shared" si="92"/>
        <v>21</v>
      </c>
      <c r="S878">
        <f t="array" ref="S878">MAX(IF($C$2:$C$1387=C878,$R$2:$R$1387))</f>
        <v>29</v>
      </c>
      <c r="T878" cm="1">
        <f t="array" ref="T878">MIN(IF($C$2:$C$1387=C878,$R$2:$R$1387))</f>
        <v>9</v>
      </c>
      <c r="U878">
        <f t="shared" si="93"/>
        <v>20</v>
      </c>
      <c r="V878">
        <f t="shared" si="94"/>
        <v>0.6</v>
      </c>
      <c r="W878" cm="1">
        <f t="array" ref="W878">_xlfn.IFS(N878=1,5,N878=2,4,N878=4,2,N878=5,1,N878=3,3)</f>
        <v>1</v>
      </c>
      <c r="X878">
        <f t="shared" si="95"/>
        <v>17</v>
      </c>
      <c r="Y878" cm="1">
        <f t="array" ref="Y878">MAX(IF($C$2:$C$1387=C878,$X$2:$X$1387))</f>
        <v>29</v>
      </c>
      <c r="Z878" cm="1">
        <f t="array" ref="Z878">MIN(IF($C$2:$C$1387=C878,$X$2:$X$1387))</f>
        <v>12</v>
      </c>
      <c r="AA878">
        <f t="shared" si="96"/>
        <v>17</v>
      </c>
      <c r="AB878">
        <f t="shared" si="97"/>
        <v>0.29411764705882354</v>
      </c>
    </row>
    <row r="879" spans="1:28" x14ac:dyDescent="0.25">
      <c r="A879" t="s">
        <v>320</v>
      </c>
      <c r="B879" t="s">
        <v>321</v>
      </c>
      <c r="C879">
        <v>2011</v>
      </c>
      <c r="D879">
        <v>0.25218992131077372</v>
      </c>
      <c r="E879">
        <v>0.35208572672648025</v>
      </c>
      <c r="F879">
        <v>0.11077457860561987</v>
      </c>
      <c r="G879">
        <v>1.9459101490553132</v>
      </c>
      <c r="H879">
        <v>0.14285714285714285</v>
      </c>
      <c r="I879">
        <v>0.66666666666666663</v>
      </c>
      <c r="J879">
        <v>1</v>
      </c>
      <c r="K879">
        <v>3</v>
      </c>
      <c r="L879">
        <v>1</v>
      </c>
      <c r="M879">
        <v>4</v>
      </c>
      <c r="N879">
        <v>1</v>
      </c>
      <c r="O879">
        <v>1</v>
      </c>
      <c r="P879">
        <v>1</v>
      </c>
      <c r="Q879">
        <f t="shared" si="91"/>
        <v>1</v>
      </c>
      <c r="R879">
        <f t="shared" si="92"/>
        <v>12</v>
      </c>
      <c r="S879">
        <f t="array" ref="S879">MAX(IF($C$2:$C$1387=C879,$R$2:$R$1387))</f>
        <v>28</v>
      </c>
      <c r="T879" cm="1">
        <f t="array" ref="T879">MIN(IF($C$2:$C$1387=C879,$R$2:$R$1387))</f>
        <v>10</v>
      </c>
      <c r="U879">
        <f t="shared" si="93"/>
        <v>18</v>
      </c>
      <c r="V879">
        <f t="shared" si="94"/>
        <v>0.1111111111111111</v>
      </c>
      <c r="W879" cm="1">
        <f t="array" ref="W879">_xlfn.IFS(N879=1,5,N879=2,4,N879=4,2,N879=5,1,N879=3,3)</f>
        <v>5</v>
      </c>
      <c r="X879">
        <f t="shared" si="95"/>
        <v>16</v>
      </c>
      <c r="Y879" cm="1">
        <f t="array" ref="Y879">MAX(IF($C$2:$C$1387=C879,$X$2:$X$1387))</f>
        <v>29</v>
      </c>
      <c r="Z879" cm="1">
        <f t="array" ref="Z879">MIN(IF($C$2:$C$1387=C879,$X$2:$X$1387))</f>
        <v>12</v>
      </c>
      <c r="AA879">
        <f t="shared" si="96"/>
        <v>17</v>
      </c>
      <c r="AB879">
        <f t="shared" si="97"/>
        <v>0.23529411764705882</v>
      </c>
    </row>
    <row r="880" spans="1:28" x14ac:dyDescent="0.25">
      <c r="A880" t="s">
        <v>320</v>
      </c>
      <c r="B880" t="s">
        <v>321</v>
      </c>
      <c r="C880">
        <v>2012</v>
      </c>
      <c r="D880">
        <v>0.25218992131077372</v>
      </c>
      <c r="E880">
        <v>0.35677856151974219</v>
      </c>
      <c r="F880">
        <v>0.21244858444876233</v>
      </c>
      <c r="G880">
        <v>2.3978952727983707</v>
      </c>
      <c r="H880">
        <v>0.72727272727272729</v>
      </c>
      <c r="I880">
        <v>0.66666666666666663</v>
      </c>
      <c r="J880">
        <v>0</v>
      </c>
      <c r="K880">
        <v>3</v>
      </c>
      <c r="L880">
        <v>1</v>
      </c>
      <c r="M880">
        <v>5</v>
      </c>
      <c r="N880">
        <v>5</v>
      </c>
      <c r="O880">
        <v>4</v>
      </c>
      <c r="P880">
        <v>1</v>
      </c>
      <c r="Q880">
        <f t="shared" si="91"/>
        <v>5</v>
      </c>
      <c r="R880">
        <f t="shared" si="92"/>
        <v>24</v>
      </c>
      <c r="S880">
        <f t="array" ref="S880">MAX(IF($C$2:$C$1387=C880,$R$2:$R$1387))</f>
        <v>29</v>
      </c>
      <c r="T880" cm="1">
        <f t="array" ref="T880">MIN(IF($C$2:$C$1387=C880,$R$2:$R$1387))</f>
        <v>11</v>
      </c>
      <c r="U880">
        <f t="shared" si="93"/>
        <v>18</v>
      </c>
      <c r="V880">
        <f t="shared" si="94"/>
        <v>0.72222222222222221</v>
      </c>
      <c r="W880" cm="1">
        <f t="array" ref="W880">_xlfn.IFS(N880=1,5,N880=2,4,N880=4,2,N880=5,1,N880=3,3)</f>
        <v>1</v>
      </c>
      <c r="X880">
        <f t="shared" si="95"/>
        <v>20</v>
      </c>
      <c r="Y880" cm="1">
        <f t="array" ref="Y880">MAX(IF($C$2:$C$1387=C880,$X$2:$X$1387))</f>
        <v>30</v>
      </c>
      <c r="Z880" cm="1">
        <f t="array" ref="Z880">MIN(IF($C$2:$C$1387=C880,$X$2:$X$1387))</f>
        <v>12</v>
      </c>
      <c r="AA880">
        <f t="shared" si="96"/>
        <v>18</v>
      </c>
      <c r="AB880">
        <f t="shared" si="97"/>
        <v>0.44444444444444442</v>
      </c>
    </row>
    <row r="881" spans="1:28" x14ac:dyDescent="0.25">
      <c r="A881" t="s">
        <v>320</v>
      </c>
      <c r="B881" t="s">
        <v>321</v>
      </c>
      <c r="C881">
        <v>2013</v>
      </c>
      <c r="D881">
        <v>0.25218992131077372</v>
      </c>
      <c r="E881">
        <v>0.35677856151974219</v>
      </c>
      <c r="F881">
        <v>0.34512457468411645</v>
      </c>
      <c r="G881">
        <v>1.9459101490553132</v>
      </c>
      <c r="H881">
        <v>0.42857142857142855</v>
      </c>
      <c r="I881">
        <v>0.66666666666666663</v>
      </c>
      <c r="J881">
        <v>1</v>
      </c>
      <c r="K881">
        <v>3</v>
      </c>
      <c r="L881">
        <v>1</v>
      </c>
      <c r="M881">
        <v>5</v>
      </c>
      <c r="N881">
        <v>1</v>
      </c>
      <c r="O881">
        <v>1</v>
      </c>
      <c r="P881">
        <v>1</v>
      </c>
      <c r="Q881">
        <f t="shared" si="91"/>
        <v>1</v>
      </c>
      <c r="R881">
        <f t="shared" si="92"/>
        <v>13</v>
      </c>
      <c r="S881">
        <f t="array" ref="S881">MAX(IF($C$2:$C$1387=C881,$R$2:$R$1387))</f>
        <v>29</v>
      </c>
      <c r="T881" cm="1">
        <f t="array" ref="T881">MIN(IF($C$2:$C$1387=C881,$R$2:$R$1387))</f>
        <v>10</v>
      </c>
      <c r="U881">
        <f t="shared" si="93"/>
        <v>19</v>
      </c>
      <c r="V881">
        <f t="shared" si="94"/>
        <v>0.15789473684210525</v>
      </c>
      <c r="W881" cm="1">
        <f t="array" ref="W881">_xlfn.IFS(N881=1,5,N881=2,4,N881=4,2,N881=5,1,N881=3,3)</f>
        <v>5</v>
      </c>
      <c r="X881">
        <f t="shared" si="95"/>
        <v>17</v>
      </c>
      <c r="Y881" cm="1">
        <f t="array" ref="Y881">MAX(IF($C$2:$C$1387=C881,$X$2:$X$1387))</f>
        <v>32</v>
      </c>
      <c r="Z881" cm="1">
        <f t="array" ref="Z881">MIN(IF($C$2:$C$1387=C881,$X$2:$X$1387))</f>
        <v>10</v>
      </c>
      <c r="AA881">
        <f t="shared" si="96"/>
        <v>22</v>
      </c>
      <c r="AB881">
        <f t="shared" si="97"/>
        <v>0.31818181818181818</v>
      </c>
    </row>
    <row r="882" spans="1:28" x14ac:dyDescent="0.25">
      <c r="A882" t="s">
        <v>320</v>
      </c>
      <c r="B882" t="s">
        <v>321</v>
      </c>
      <c r="C882">
        <v>2014</v>
      </c>
      <c r="D882">
        <v>0.25218992131077372</v>
      </c>
      <c r="E882">
        <v>0.35677856151974219</v>
      </c>
      <c r="F882">
        <v>0.19116336762466404</v>
      </c>
      <c r="G882">
        <v>1.9459101490553132</v>
      </c>
      <c r="H882">
        <v>0.42857142857142855</v>
      </c>
      <c r="I882">
        <v>0.66666666666666663</v>
      </c>
      <c r="J882">
        <v>0</v>
      </c>
      <c r="K882">
        <v>3</v>
      </c>
      <c r="L882">
        <v>1</v>
      </c>
      <c r="M882">
        <v>5</v>
      </c>
      <c r="N882">
        <v>1</v>
      </c>
      <c r="O882">
        <v>1</v>
      </c>
      <c r="P882">
        <v>1</v>
      </c>
      <c r="Q882">
        <f t="shared" si="91"/>
        <v>5</v>
      </c>
      <c r="R882">
        <f t="shared" si="92"/>
        <v>17</v>
      </c>
      <c r="S882">
        <f t="array" ref="S882">MAX(IF($C$2:$C$1387=C882,$R$2:$R$1387))</f>
        <v>29</v>
      </c>
      <c r="T882" cm="1">
        <f t="array" ref="T882">MIN(IF($C$2:$C$1387=C882,$R$2:$R$1387))</f>
        <v>11</v>
      </c>
      <c r="U882">
        <f t="shared" si="93"/>
        <v>18</v>
      </c>
      <c r="V882">
        <f t="shared" si="94"/>
        <v>0.33333333333333331</v>
      </c>
      <c r="W882" cm="1">
        <f t="array" ref="W882">_xlfn.IFS(N882=1,5,N882=2,4,N882=4,2,N882=5,1,N882=3,3)</f>
        <v>5</v>
      </c>
      <c r="X882">
        <f t="shared" si="95"/>
        <v>21</v>
      </c>
      <c r="Y882" cm="1">
        <f t="array" ref="Y882">MAX(IF($C$2:$C$1387=C882,$X$2:$X$1387))</f>
        <v>30</v>
      </c>
      <c r="Z882" cm="1">
        <f t="array" ref="Z882">MIN(IF($C$2:$C$1387=C882,$X$2:$X$1387))</f>
        <v>14</v>
      </c>
      <c r="AA882">
        <f t="shared" si="96"/>
        <v>16</v>
      </c>
      <c r="AB882">
        <f t="shared" si="97"/>
        <v>0.4375</v>
      </c>
    </row>
    <row r="883" spans="1:28" x14ac:dyDescent="0.25">
      <c r="A883" t="s">
        <v>320</v>
      </c>
      <c r="B883" t="s">
        <v>321</v>
      </c>
      <c r="C883">
        <v>2015</v>
      </c>
      <c r="D883">
        <v>0.25218878365385416</v>
      </c>
      <c r="E883">
        <v>0.35677856151974219</v>
      </c>
      <c r="F883">
        <v>0.15272562063223646</v>
      </c>
      <c r="G883">
        <v>1.9459101490553132</v>
      </c>
      <c r="H883">
        <v>0.7142857142857143</v>
      </c>
      <c r="I883">
        <v>0.66666666666666663</v>
      </c>
      <c r="J883">
        <v>0</v>
      </c>
      <c r="K883">
        <v>3</v>
      </c>
      <c r="L883">
        <v>1</v>
      </c>
      <c r="M883">
        <v>5</v>
      </c>
      <c r="N883">
        <v>1</v>
      </c>
      <c r="O883">
        <v>3</v>
      </c>
      <c r="P883">
        <v>1</v>
      </c>
      <c r="Q883">
        <f t="shared" si="91"/>
        <v>5</v>
      </c>
      <c r="R883">
        <f t="shared" si="92"/>
        <v>19</v>
      </c>
      <c r="S883">
        <f t="array" ref="S883">MAX(IF($C$2:$C$1387=C883,$R$2:$R$1387))</f>
        <v>29</v>
      </c>
      <c r="T883" cm="1">
        <f t="array" ref="T883">MIN(IF($C$2:$C$1387=C883,$R$2:$R$1387))</f>
        <v>11</v>
      </c>
      <c r="U883">
        <f t="shared" si="93"/>
        <v>18</v>
      </c>
      <c r="V883">
        <f t="shared" si="94"/>
        <v>0.44444444444444442</v>
      </c>
      <c r="W883" cm="1">
        <f t="array" ref="W883">_xlfn.IFS(N883=1,5,N883=2,4,N883=4,2,N883=5,1,N883=3,3)</f>
        <v>5</v>
      </c>
      <c r="X883">
        <f t="shared" si="95"/>
        <v>23</v>
      </c>
      <c r="Y883" cm="1">
        <f t="array" ref="Y883">MAX(IF($C$2:$C$1387=C883,$X$2:$X$1387))</f>
        <v>29</v>
      </c>
      <c r="Z883" cm="1">
        <f t="array" ref="Z883">MIN(IF($C$2:$C$1387=C883,$X$2:$X$1387))</f>
        <v>12</v>
      </c>
      <c r="AA883">
        <f t="shared" si="96"/>
        <v>17</v>
      </c>
      <c r="AB883">
        <f t="shared" si="97"/>
        <v>0.6470588235294118</v>
      </c>
    </row>
    <row r="884" spans="1:28" x14ac:dyDescent="0.25">
      <c r="A884" t="s">
        <v>322</v>
      </c>
      <c r="B884" t="s">
        <v>323</v>
      </c>
      <c r="C884">
        <v>2010</v>
      </c>
      <c r="D884">
        <v>0.27181515213029517</v>
      </c>
      <c r="E884">
        <v>0.58625630719215605</v>
      </c>
      <c r="F884">
        <v>0.27429664852081009</v>
      </c>
      <c r="G884">
        <v>1.9459101490553132</v>
      </c>
      <c r="H884">
        <v>0.5714285714285714</v>
      </c>
      <c r="I884">
        <v>0.66666666666666663</v>
      </c>
      <c r="J884">
        <v>1</v>
      </c>
      <c r="K884">
        <v>4</v>
      </c>
      <c r="L884">
        <v>3</v>
      </c>
      <c r="M884">
        <v>5</v>
      </c>
      <c r="N884">
        <v>1</v>
      </c>
      <c r="O884">
        <v>2</v>
      </c>
      <c r="P884">
        <v>1</v>
      </c>
      <c r="Q884">
        <f t="shared" si="91"/>
        <v>1</v>
      </c>
      <c r="R884">
        <f t="shared" si="92"/>
        <v>17</v>
      </c>
      <c r="S884">
        <f t="array" ref="S884">MAX(IF($C$2:$C$1387=C884,$R$2:$R$1387))</f>
        <v>29</v>
      </c>
      <c r="T884" cm="1">
        <f t="array" ref="T884">MIN(IF($C$2:$C$1387=C884,$R$2:$R$1387))</f>
        <v>9</v>
      </c>
      <c r="U884">
        <f t="shared" si="93"/>
        <v>20</v>
      </c>
      <c r="V884">
        <f t="shared" si="94"/>
        <v>0.4</v>
      </c>
      <c r="W884" cm="1">
        <f t="array" ref="W884">_xlfn.IFS(N884=1,5,N884=2,4,N884=4,2,N884=5,1,N884=3,3)</f>
        <v>5</v>
      </c>
      <c r="X884">
        <f t="shared" si="95"/>
        <v>21</v>
      </c>
      <c r="Y884" cm="1">
        <f t="array" ref="Y884">MAX(IF($C$2:$C$1387=C884,$X$2:$X$1387))</f>
        <v>29</v>
      </c>
      <c r="Z884" cm="1">
        <f t="array" ref="Z884">MIN(IF($C$2:$C$1387=C884,$X$2:$X$1387))</f>
        <v>12</v>
      </c>
      <c r="AA884">
        <f t="shared" si="96"/>
        <v>17</v>
      </c>
      <c r="AB884">
        <f t="shared" si="97"/>
        <v>0.52941176470588236</v>
      </c>
    </row>
    <row r="885" spans="1:28" x14ac:dyDescent="0.25">
      <c r="A885" t="s">
        <v>322</v>
      </c>
      <c r="B885" t="s">
        <v>323</v>
      </c>
      <c r="C885">
        <v>2011</v>
      </c>
      <c r="D885">
        <v>0.27166010425078546</v>
      </c>
      <c r="E885">
        <v>0.40645201949648668</v>
      </c>
      <c r="F885">
        <v>0.28013779832284108</v>
      </c>
      <c r="G885">
        <v>1.9459101490553132</v>
      </c>
      <c r="H885">
        <v>0.5714285714285714</v>
      </c>
      <c r="I885">
        <v>0.66666666666666663</v>
      </c>
      <c r="J885">
        <v>1</v>
      </c>
      <c r="K885">
        <v>3</v>
      </c>
      <c r="L885">
        <v>1</v>
      </c>
      <c r="M885">
        <v>5</v>
      </c>
      <c r="N885">
        <v>1</v>
      </c>
      <c r="O885">
        <v>2</v>
      </c>
      <c r="P885">
        <v>1</v>
      </c>
      <c r="Q885">
        <f t="shared" si="91"/>
        <v>1</v>
      </c>
      <c r="R885">
        <f t="shared" si="92"/>
        <v>14</v>
      </c>
      <c r="S885">
        <f t="array" ref="S885">MAX(IF($C$2:$C$1387=C885,$R$2:$R$1387))</f>
        <v>28</v>
      </c>
      <c r="T885" cm="1">
        <f t="array" ref="T885">MIN(IF($C$2:$C$1387=C885,$R$2:$R$1387))</f>
        <v>10</v>
      </c>
      <c r="U885">
        <f t="shared" si="93"/>
        <v>18</v>
      </c>
      <c r="V885">
        <f t="shared" si="94"/>
        <v>0.22222222222222221</v>
      </c>
      <c r="W885" cm="1">
        <f t="array" ref="W885">_xlfn.IFS(N885=1,5,N885=2,4,N885=4,2,N885=5,1,N885=3,3)</f>
        <v>5</v>
      </c>
      <c r="X885">
        <f t="shared" si="95"/>
        <v>18</v>
      </c>
      <c r="Y885" cm="1">
        <f t="array" ref="Y885">MAX(IF($C$2:$C$1387=C885,$X$2:$X$1387))</f>
        <v>29</v>
      </c>
      <c r="Z885" cm="1">
        <f t="array" ref="Z885">MIN(IF($C$2:$C$1387=C885,$X$2:$X$1387))</f>
        <v>12</v>
      </c>
      <c r="AA885">
        <f t="shared" si="96"/>
        <v>17</v>
      </c>
      <c r="AB885">
        <f t="shared" si="97"/>
        <v>0.35294117647058826</v>
      </c>
    </row>
    <row r="886" spans="1:28" x14ac:dyDescent="0.25">
      <c r="A886" t="s">
        <v>322</v>
      </c>
      <c r="B886" t="s">
        <v>323</v>
      </c>
      <c r="C886">
        <v>2012</v>
      </c>
      <c r="D886">
        <v>0.27166997236196161</v>
      </c>
      <c r="E886">
        <v>0.58165129938617044</v>
      </c>
      <c r="F886">
        <v>0.28804011126897106</v>
      </c>
      <c r="G886">
        <v>1.9459101490553132</v>
      </c>
      <c r="H886">
        <v>0.5714285714285714</v>
      </c>
      <c r="I886">
        <v>0.66666666666666663</v>
      </c>
      <c r="J886">
        <v>1</v>
      </c>
      <c r="K886">
        <v>3</v>
      </c>
      <c r="L886">
        <v>2</v>
      </c>
      <c r="M886">
        <v>5</v>
      </c>
      <c r="N886">
        <v>1</v>
      </c>
      <c r="O886">
        <v>2</v>
      </c>
      <c r="P886">
        <v>1</v>
      </c>
      <c r="Q886">
        <f t="shared" si="91"/>
        <v>1</v>
      </c>
      <c r="R886">
        <f t="shared" si="92"/>
        <v>15</v>
      </c>
      <c r="S886">
        <f t="array" ref="S886">MAX(IF($C$2:$C$1387=C886,$R$2:$R$1387))</f>
        <v>29</v>
      </c>
      <c r="T886" cm="1">
        <f t="array" ref="T886">MIN(IF($C$2:$C$1387=C886,$R$2:$R$1387))</f>
        <v>11</v>
      </c>
      <c r="U886">
        <f t="shared" si="93"/>
        <v>18</v>
      </c>
      <c r="V886">
        <f t="shared" si="94"/>
        <v>0.22222222222222221</v>
      </c>
      <c r="W886" cm="1">
        <f t="array" ref="W886">_xlfn.IFS(N886=1,5,N886=2,4,N886=4,2,N886=5,1,N886=3,3)</f>
        <v>5</v>
      </c>
      <c r="X886">
        <f t="shared" si="95"/>
        <v>19</v>
      </c>
      <c r="Y886" cm="1">
        <f t="array" ref="Y886">MAX(IF($C$2:$C$1387=C886,$X$2:$X$1387))</f>
        <v>30</v>
      </c>
      <c r="Z886" cm="1">
        <f t="array" ref="Z886">MIN(IF($C$2:$C$1387=C886,$X$2:$X$1387))</f>
        <v>12</v>
      </c>
      <c r="AA886">
        <f t="shared" si="96"/>
        <v>18</v>
      </c>
      <c r="AB886">
        <f t="shared" si="97"/>
        <v>0.3888888888888889</v>
      </c>
    </row>
    <row r="887" spans="1:28" x14ac:dyDescent="0.25">
      <c r="A887" t="s">
        <v>322</v>
      </c>
      <c r="B887" t="s">
        <v>323</v>
      </c>
      <c r="C887">
        <v>2013</v>
      </c>
      <c r="D887">
        <v>0.27166997236196161</v>
      </c>
      <c r="E887">
        <v>0.5952429832856192</v>
      </c>
      <c r="F887">
        <v>0.29368874244715576</v>
      </c>
      <c r="G887">
        <v>1.9459101490553132</v>
      </c>
      <c r="H887">
        <v>0.5714285714285714</v>
      </c>
      <c r="I887">
        <v>1</v>
      </c>
      <c r="J887">
        <v>1</v>
      </c>
      <c r="K887">
        <v>4</v>
      </c>
      <c r="L887">
        <v>3</v>
      </c>
      <c r="M887">
        <v>5</v>
      </c>
      <c r="N887">
        <v>1</v>
      </c>
      <c r="O887">
        <v>2</v>
      </c>
      <c r="P887">
        <v>3</v>
      </c>
      <c r="Q887">
        <f t="shared" si="91"/>
        <v>1</v>
      </c>
      <c r="R887">
        <f t="shared" si="92"/>
        <v>19</v>
      </c>
      <c r="S887">
        <f t="array" ref="S887">MAX(IF($C$2:$C$1387=C887,$R$2:$R$1387))</f>
        <v>29</v>
      </c>
      <c r="T887" cm="1">
        <f t="array" ref="T887">MIN(IF($C$2:$C$1387=C887,$R$2:$R$1387))</f>
        <v>10</v>
      </c>
      <c r="U887">
        <f t="shared" si="93"/>
        <v>19</v>
      </c>
      <c r="V887">
        <f t="shared" si="94"/>
        <v>0.47368421052631576</v>
      </c>
      <c r="W887" cm="1">
        <f t="array" ref="W887">_xlfn.IFS(N887=1,5,N887=2,4,N887=4,2,N887=5,1,N887=3,3)</f>
        <v>5</v>
      </c>
      <c r="X887">
        <f t="shared" si="95"/>
        <v>23</v>
      </c>
      <c r="Y887" cm="1">
        <f t="array" ref="Y887">MAX(IF($C$2:$C$1387=C887,$X$2:$X$1387))</f>
        <v>32</v>
      </c>
      <c r="Z887" cm="1">
        <f t="array" ref="Z887">MIN(IF($C$2:$C$1387=C887,$X$2:$X$1387))</f>
        <v>10</v>
      </c>
      <c r="AA887">
        <f t="shared" si="96"/>
        <v>22</v>
      </c>
      <c r="AB887">
        <f t="shared" si="97"/>
        <v>0.59090909090909094</v>
      </c>
    </row>
    <row r="888" spans="1:28" x14ac:dyDescent="0.25">
      <c r="A888" t="s">
        <v>322</v>
      </c>
      <c r="B888" t="s">
        <v>323</v>
      </c>
      <c r="C888">
        <v>2014</v>
      </c>
      <c r="D888">
        <v>0.30121018052843862</v>
      </c>
      <c r="E888">
        <v>0.60804762090135811</v>
      </c>
      <c r="F888">
        <v>0.32206194260095672</v>
      </c>
      <c r="G888">
        <v>1.9459101490553132</v>
      </c>
      <c r="H888">
        <v>0.5714285714285714</v>
      </c>
      <c r="I888">
        <v>0.66666666666666663</v>
      </c>
      <c r="J888">
        <v>0</v>
      </c>
      <c r="K888">
        <v>4</v>
      </c>
      <c r="L888">
        <v>3</v>
      </c>
      <c r="M888">
        <v>5</v>
      </c>
      <c r="N888">
        <v>1</v>
      </c>
      <c r="O888">
        <v>2</v>
      </c>
      <c r="P888">
        <v>1</v>
      </c>
      <c r="Q888">
        <f t="shared" si="91"/>
        <v>5</v>
      </c>
      <c r="R888">
        <f t="shared" si="92"/>
        <v>21</v>
      </c>
      <c r="S888">
        <f t="array" ref="S888">MAX(IF($C$2:$C$1387=C888,$R$2:$R$1387))</f>
        <v>29</v>
      </c>
      <c r="T888" cm="1">
        <f t="array" ref="T888">MIN(IF($C$2:$C$1387=C888,$R$2:$R$1387))</f>
        <v>11</v>
      </c>
      <c r="U888">
        <f t="shared" si="93"/>
        <v>18</v>
      </c>
      <c r="V888">
        <f t="shared" si="94"/>
        <v>0.55555555555555558</v>
      </c>
      <c r="W888" cm="1">
        <f t="array" ref="W888">_xlfn.IFS(N888=1,5,N888=2,4,N888=4,2,N888=5,1,N888=3,3)</f>
        <v>5</v>
      </c>
      <c r="X888">
        <f t="shared" si="95"/>
        <v>25</v>
      </c>
      <c r="Y888" cm="1">
        <f t="array" ref="Y888">MAX(IF($C$2:$C$1387=C888,$X$2:$X$1387))</f>
        <v>30</v>
      </c>
      <c r="Z888" cm="1">
        <f t="array" ref="Z888">MIN(IF($C$2:$C$1387=C888,$X$2:$X$1387))</f>
        <v>14</v>
      </c>
      <c r="AA888">
        <f t="shared" si="96"/>
        <v>16</v>
      </c>
      <c r="AB888">
        <f t="shared" si="97"/>
        <v>0.6875</v>
      </c>
    </row>
    <row r="889" spans="1:28" x14ac:dyDescent="0.25">
      <c r="A889" t="s">
        <v>322</v>
      </c>
      <c r="B889" t="s">
        <v>323</v>
      </c>
      <c r="C889">
        <v>2015</v>
      </c>
      <c r="D889">
        <v>0.44520937943640582</v>
      </c>
      <c r="E889">
        <v>0.65987728253260358</v>
      </c>
      <c r="F889">
        <v>0.22537675754246131</v>
      </c>
      <c r="G889">
        <v>1.9459101490553132</v>
      </c>
      <c r="H889">
        <v>0.5714285714285714</v>
      </c>
      <c r="I889">
        <v>0.66666666666666663</v>
      </c>
      <c r="J889">
        <v>0</v>
      </c>
      <c r="K889">
        <v>4</v>
      </c>
      <c r="L889">
        <v>3</v>
      </c>
      <c r="M889">
        <v>5</v>
      </c>
      <c r="N889">
        <v>1</v>
      </c>
      <c r="O889">
        <v>1</v>
      </c>
      <c r="P889">
        <v>1</v>
      </c>
      <c r="Q889">
        <f t="shared" si="91"/>
        <v>5</v>
      </c>
      <c r="R889">
        <f t="shared" si="92"/>
        <v>20</v>
      </c>
      <c r="S889">
        <f t="array" ref="S889">MAX(IF($C$2:$C$1387=C889,$R$2:$R$1387))</f>
        <v>29</v>
      </c>
      <c r="T889" cm="1">
        <f t="array" ref="T889">MIN(IF($C$2:$C$1387=C889,$R$2:$R$1387))</f>
        <v>11</v>
      </c>
      <c r="U889">
        <f t="shared" si="93"/>
        <v>18</v>
      </c>
      <c r="V889">
        <f t="shared" si="94"/>
        <v>0.5</v>
      </c>
      <c r="W889" cm="1">
        <f t="array" ref="W889">_xlfn.IFS(N889=1,5,N889=2,4,N889=4,2,N889=5,1,N889=3,3)</f>
        <v>5</v>
      </c>
      <c r="X889">
        <f t="shared" si="95"/>
        <v>24</v>
      </c>
      <c r="Y889" cm="1">
        <f t="array" ref="Y889">MAX(IF($C$2:$C$1387=C889,$X$2:$X$1387))</f>
        <v>29</v>
      </c>
      <c r="Z889" cm="1">
        <f t="array" ref="Z889">MIN(IF($C$2:$C$1387=C889,$X$2:$X$1387))</f>
        <v>12</v>
      </c>
      <c r="AA889">
        <f t="shared" si="96"/>
        <v>17</v>
      </c>
      <c r="AB889">
        <f t="shared" si="97"/>
        <v>0.70588235294117652</v>
      </c>
    </row>
    <row r="890" spans="1:28" x14ac:dyDescent="0.25">
      <c r="A890" t="s">
        <v>324</v>
      </c>
      <c r="B890" t="s">
        <v>325</v>
      </c>
      <c r="C890">
        <v>2010</v>
      </c>
      <c r="D890">
        <v>5.6483054377648524E-9</v>
      </c>
      <c r="E890">
        <v>0.83249664137637902</v>
      </c>
      <c r="F890">
        <v>0.32393146346181817</v>
      </c>
      <c r="G890">
        <v>1.9459101490553132</v>
      </c>
      <c r="H890">
        <v>0.8571428571428571</v>
      </c>
      <c r="I890">
        <v>0.66666666666666663</v>
      </c>
      <c r="J890">
        <v>0</v>
      </c>
      <c r="K890">
        <v>1</v>
      </c>
      <c r="L890">
        <v>5</v>
      </c>
      <c r="M890">
        <v>5</v>
      </c>
      <c r="N890">
        <v>1</v>
      </c>
      <c r="O890">
        <v>5</v>
      </c>
      <c r="P890">
        <v>1</v>
      </c>
      <c r="Q890">
        <f t="shared" si="91"/>
        <v>5</v>
      </c>
      <c r="R890">
        <f t="shared" si="92"/>
        <v>23</v>
      </c>
      <c r="S890">
        <f t="array" ref="S890">MAX(IF($C$2:$C$1387=C890,$R$2:$R$1387))</f>
        <v>29</v>
      </c>
      <c r="T890" cm="1">
        <f t="array" ref="T890">MIN(IF($C$2:$C$1387=C890,$R$2:$R$1387))</f>
        <v>9</v>
      </c>
      <c r="U890">
        <f t="shared" si="93"/>
        <v>20</v>
      </c>
      <c r="V890">
        <f t="shared" si="94"/>
        <v>0.7</v>
      </c>
      <c r="W890" cm="1">
        <f t="array" ref="W890">_xlfn.IFS(N890=1,5,N890=2,4,N890=4,2,N890=5,1,N890=3,3)</f>
        <v>5</v>
      </c>
      <c r="X890">
        <f t="shared" si="95"/>
        <v>27</v>
      </c>
      <c r="Y890" cm="1">
        <f t="array" ref="Y890">MAX(IF($C$2:$C$1387=C890,$X$2:$X$1387))</f>
        <v>29</v>
      </c>
      <c r="Z890" cm="1">
        <f t="array" ref="Z890">MIN(IF($C$2:$C$1387=C890,$X$2:$X$1387))</f>
        <v>12</v>
      </c>
      <c r="AA890">
        <f t="shared" si="96"/>
        <v>17</v>
      </c>
      <c r="AB890">
        <f t="shared" si="97"/>
        <v>0.88235294117647056</v>
      </c>
    </row>
    <row r="891" spans="1:28" x14ac:dyDescent="0.25">
      <c r="A891" t="s">
        <v>324</v>
      </c>
      <c r="B891" t="s">
        <v>325</v>
      </c>
      <c r="C891">
        <v>2011</v>
      </c>
      <c r="D891">
        <v>4.2418773837614045E-6</v>
      </c>
      <c r="E891">
        <v>0.67179651132414642</v>
      </c>
      <c r="F891">
        <v>0.29216742424563352</v>
      </c>
      <c r="G891">
        <v>1.9459101490553132</v>
      </c>
      <c r="H891">
        <v>0.8571428571428571</v>
      </c>
      <c r="I891">
        <v>0.66666666666666663</v>
      </c>
      <c r="J891">
        <v>1</v>
      </c>
      <c r="K891">
        <v>1</v>
      </c>
      <c r="L891">
        <v>3</v>
      </c>
      <c r="M891">
        <v>5</v>
      </c>
      <c r="N891">
        <v>1</v>
      </c>
      <c r="O891">
        <v>5</v>
      </c>
      <c r="P891">
        <v>1</v>
      </c>
      <c r="Q891">
        <f t="shared" si="91"/>
        <v>1</v>
      </c>
      <c r="R891">
        <f t="shared" si="92"/>
        <v>17</v>
      </c>
      <c r="S891">
        <f t="array" ref="S891">MAX(IF($C$2:$C$1387=C891,$R$2:$R$1387))</f>
        <v>28</v>
      </c>
      <c r="T891" cm="1">
        <f t="array" ref="T891">MIN(IF($C$2:$C$1387=C891,$R$2:$R$1387))</f>
        <v>10</v>
      </c>
      <c r="U891">
        <f t="shared" si="93"/>
        <v>18</v>
      </c>
      <c r="V891">
        <f t="shared" si="94"/>
        <v>0.3888888888888889</v>
      </c>
      <c r="W891" cm="1">
        <f t="array" ref="W891">_xlfn.IFS(N891=1,5,N891=2,4,N891=4,2,N891=5,1,N891=3,3)</f>
        <v>5</v>
      </c>
      <c r="X891">
        <f t="shared" si="95"/>
        <v>21</v>
      </c>
      <c r="Y891" cm="1">
        <f t="array" ref="Y891">MAX(IF($C$2:$C$1387=C891,$X$2:$X$1387))</f>
        <v>29</v>
      </c>
      <c r="Z891" cm="1">
        <f t="array" ref="Z891">MIN(IF($C$2:$C$1387=C891,$X$2:$X$1387))</f>
        <v>12</v>
      </c>
      <c r="AA891">
        <f t="shared" si="96"/>
        <v>17</v>
      </c>
      <c r="AB891">
        <f t="shared" si="97"/>
        <v>0.52941176470588236</v>
      </c>
    </row>
    <row r="892" spans="1:28" x14ac:dyDescent="0.25">
      <c r="A892" t="s">
        <v>324</v>
      </c>
      <c r="B892" t="s">
        <v>325</v>
      </c>
      <c r="C892">
        <v>2012</v>
      </c>
      <c r="D892">
        <v>9.8901828215262574E-6</v>
      </c>
      <c r="E892">
        <v>0.66085646667429188</v>
      </c>
      <c r="F892">
        <v>0.18709698846474823</v>
      </c>
      <c r="G892">
        <v>1.9459101490553132</v>
      </c>
      <c r="H892">
        <v>0.7142857142857143</v>
      </c>
      <c r="I892">
        <v>1</v>
      </c>
      <c r="J892">
        <v>1</v>
      </c>
      <c r="K892">
        <v>1</v>
      </c>
      <c r="L892">
        <v>3</v>
      </c>
      <c r="M892">
        <v>5</v>
      </c>
      <c r="N892">
        <v>1</v>
      </c>
      <c r="O892">
        <v>4</v>
      </c>
      <c r="P892">
        <v>3</v>
      </c>
      <c r="Q892">
        <f t="shared" si="91"/>
        <v>1</v>
      </c>
      <c r="R892">
        <f t="shared" si="92"/>
        <v>18</v>
      </c>
      <c r="S892">
        <f t="array" ref="S892">MAX(IF($C$2:$C$1387=C892,$R$2:$R$1387))</f>
        <v>29</v>
      </c>
      <c r="T892" cm="1">
        <f t="array" ref="T892">MIN(IF($C$2:$C$1387=C892,$R$2:$R$1387))</f>
        <v>11</v>
      </c>
      <c r="U892">
        <f t="shared" si="93"/>
        <v>18</v>
      </c>
      <c r="V892">
        <f t="shared" si="94"/>
        <v>0.3888888888888889</v>
      </c>
      <c r="W892" cm="1">
        <f t="array" ref="W892">_xlfn.IFS(N892=1,5,N892=2,4,N892=4,2,N892=5,1,N892=3,3)</f>
        <v>5</v>
      </c>
      <c r="X892">
        <f t="shared" si="95"/>
        <v>22</v>
      </c>
      <c r="Y892" cm="1">
        <f t="array" ref="Y892">MAX(IF($C$2:$C$1387=C892,$X$2:$X$1387))</f>
        <v>30</v>
      </c>
      <c r="Z892" cm="1">
        <f t="array" ref="Z892">MIN(IF($C$2:$C$1387=C892,$X$2:$X$1387))</f>
        <v>12</v>
      </c>
      <c r="AA892">
        <f t="shared" si="96"/>
        <v>18</v>
      </c>
      <c r="AB892">
        <f t="shared" si="97"/>
        <v>0.55555555555555558</v>
      </c>
    </row>
    <row r="893" spans="1:28" x14ac:dyDescent="0.25">
      <c r="A893" t="s">
        <v>324</v>
      </c>
      <c r="B893" t="s">
        <v>325</v>
      </c>
      <c r="C893">
        <v>2013</v>
      </c>
      <c r="D893">
        <v>9.8901828215262574E-6</v>
      </c>
      <c r="E893">
        <v>0.67342834065494928</v>
      </c>
      <c r="F893">
        <v>0.24378086834223647</v>
      </c>
      <c r="G893">
        <v>1.9459101490553132</v>
      </c>
      <c r="H893">
        <v>0.7142857142857143</v>
      </c>
      <c r="I893">
        <v>1</v>
      </c>
      <c r="J893">
        <v>1</v>
      </c>
      <c r="K893">
        <v>1</v>
      </c>
      <c r="L893">
        <v>3</v>
      </c>
      <c r="M893">
        <v>5</v>
      </c>
      <c r="N893">
        <v>1</v>
      </c>
      <c r="O893">
        <v>4</v>
      </c>
      <c r="P893">
        <v>3</v>
      </c>
      <c r="Q893">
        <f t="shared" si="91"/>
        <v>1</v>
      </c>
      <c r="R893">
        <f t="shared" si="92"/>
        <v>18</v>
      </c>
      <c r="S893">
        <f t="array" ref="S893">MAX(IF($C$2:$C$1387=C893,$R$2:$R$1387))</f>
        <v>29</v>
      </c>
      <c r="T893" cm="1">
        <f t="array" ref="T893">MIN(IF($C$2:$C$1387=C893,$R$2:$R$1387))</f>
        <v>10</v>
      </c>
      <c r="U893">
        <f t="shared" si="93"/>
        <v>19</v>
      </c>
      <c r="V893">
        <f t="shared" si="94"/>
        <v>0.42105263157894735</v>
      </c>
      <c r="W893" cm="1">
        <f t="array" ref="W893">_xlfn.IFS(N893=1,5,N893=2,4,N893=4,2,N893=5,1,N893=3,3)</f>
        <v>5</v>
      </c>
      <c r="X893">
        <f t="shared" si="95"/>
        <v>22</v>
      </c>
      <c r="Y893" cm="1">
        <f t="array" ref="Y893">MAX(IF($C$2:$C$1387=C893,$X$2:$X$1387))</f>
        <v>32</v>
      </c>
      <c r="Z893" cm="1">
        <f t="array" ref="Z893">MIN(IF($C$2:$C$1387=C893,$X$2:$X$1387))</f>
        <v>10</v>
      </c>
      <c r="AA893">
        <f t="shared" si="96"/>
        <v>22</v>
      </c>
      <c r="AB893">
        <f t="shared" si="97"/>
        <v>0.54545454545454541</v>
      </c>
    </row>
    <row r="894" spans="1:28" x14ac:dyDescent="0.25">
      <c r="A894" t="s">
        <v>324</v>
      </c>
      <c r="B894" t="s">
        <v>325</v>
      </c>
      <c r="C894">
        <v>2014</v>
      </c>
      <c r="D894">
        <v>1.1302259180967471E-5</v>
      </c>
      <c r="E894">
        <v>0.6768254603015913</v>
      </c>
      <c r="F894">
        <v>0.11390714468275587</v>
      </c>
      <c r="G894">
        <v>1.9459101490553132</v>
      </c>
      <c r="H894">
        <v>0.5714285714285714</v>
      </c>
      <c r="I894">
        <v>0.66666666666666663</v>
      </c>
      <c r="J894">
        <v>0</v>
      </c>
      <c r="K894">
        <v>1</v>
      </c>
      <c r="L894">
        <v>3</v>
      </c>
      <c r="M894">
        <v>4</v>
      </c>
      <c r="N894">
        <v>1</v>
      </c>
      <c r="O894">
        <v>2</v>
      </c>
      <c r="P894">
        <v>1</v>
      </c>
      <c r="Q894">
        <f t="shared" si="91"/>
        <v>5</v>
      </c>
      <c r="R894">
        <f t="shared" si="92"/>
        <v>17</v>
      </c>
      <c r="S894">
        <f t="array" ref="S894">MAX(IF($C$2:$C$1387=C894,$R$2:$R$1387))</f>
        <v>29</v>
      </c>
      <c r="T894" cm="1">
        <f t="array" ref="T894">MIN(IF($C$2:$C$1387=C894,$R$2:$R$1387))</f>
        <v>11</v>
      </c>
      <c r="U894">
        <f t="shared" si="93"/>
        <v>18</v>
      </c>
      <c r="V894">
        <f t="shared" si="94"/>
        <v>0.33333333333333331</v>
      </c>
      <c r="W894" cm="1">
        <f t="array" ref="W894">_xlfn.IFS(N894=1,5,N894=2,4,N894=4,2,N894=5,1,N894=3,3)</f>
        <v>5</v>
      </c>
      <c r="X894">
        <f t="shared" si="95"/>
        <v>21</v>
      </c>
      <c r="Y894" cm="1">
        <f t="array" ref="Y894">MAX(IF($C$2:$C$1387=C894,$X$2:$X$1387))</f>
        <v>30</v>
      </c>
      <c r="Z894" cm="1">
        <f t="array" ref="Z894">MIN(IF($C$2:$C$1387=C894,$X$2:$X$1387))</f>
        <v>14</v>
      </c>
      <c r="AA894">
        <f t="shared" si="96"/>
        <v>16</v>
      </c>
      <c r="AB894">
        <f t="shared" si="97"/>
        <v>0.4375</v>
      </c>
    </row>
    <row r="895" spans="1:28" x14ac:dyDescent="0.25">
      <c r="A895" t="s">
        <v>324</v>
      </c>
      <c r="B895" t="s">
        <v>325</v>
      </c>
      <c r="C895">
        <v>2015</v>
      </c>
      <c r="D895">
        <v>9.8901828215262574E-6</v>
      </c>
      <c r="E895">
        <v>0.67345777962289088</v>
      </c>
      <c r="F895">
        <v>0.2140767576467465</v>
      </c>
      <c r="G895">
        <v>1.9459101490553132</v>
      </c>
      <c r="H895">
        <v>0.7142857142857143</v>
      </c>
      <c r="I895">
        <v>0.66666666666666663</v>
      </c>
      <c r="J895">
        <v>0</v>
      </c>
      <c r="K895">
        <v>1</v>
      </c>
      <c r="L895">
        <v>3</v>
      </c>
      <c r="M895">
        <v>5</v>
      </c>
      <c r="N895">
        <v>1</v>
      </c>
      <c r="O895">
        <v>3</v>
      </c>
      <c r="P895">
        <v>1</v>
      </c>
      <c r="Q895">
        <f t="shared" si="91"/>
        <v>5</v>
      </c>
      <c r="R895">
        <f t="shared" si="92"/>
        <v>19</v>
      </c>
      <c r="S895">
        <f t="array" ref="S895">MAX(IF($C$2:$C$1387=C895,$R$2:$R$1387))</f>
        <v>29</v>
      </c>
      <c r="T895" cm="1">
        <f t="array" ref="T895">MIN(IF($C$2:$C$1387=C895,$R$2:$R$1387))</f>
        <v>11</v>
      </c>
      <c r="U895">
        <f t="shared" si="93"/>
        <v>18</v>
      </c>
      <c r="V895">
        <f t="shared" si="94"/>
        <v>0.44444444444444442</v>
      </c>
      <c r="W895" cm="1">
        <f t="array" ref="W895">_xlfn.IFS(N895=1,5,N895=2,4,N895=4,2,N895=5,1,N895=3,3)</f>
        <v>5</v>
      </c>
      <c r="X895">
        <f t="shared" si="95"/>
        <v>23</v>
      </c>
      <c r="Y895" cm="1">
        <f t="array" ref="Y895">MAX(IF($C$2:$C$1387=C895,$X$2:$X$1387))</f>
        <v>29</v>
      </c>
      <c r="Z895" cm="1">
        <f t="array" ref="Z895">MIN(IF($C$2:$C$1387=C895,$X$2:$X$1387))</f>
        <v>12</v>
      </c>
      <c r="AA895">
        <f t="shared" si="96"/>
        <v>17</v>
      </c>
      <c r="AB895">
        <f t="shared" si="97"/>
        <v>0.6470588235294118</v>
      </c>
    </row>
    <row r="896" spans="1:28" x14ac:dyDescent="0.25">
      <c r="A896" t="s">
        <v>326</v>
      </c>
      <c r="B896" t="s">
        <v>327</v>
      </c>
      <c r="C896">
        <v>2010</v>
      </c>
      <c r="D896">
        <v>0</v>
      </c>
      <c r="E896">
        <v>0.7756600133855952</v>
      </c>
      <c r="F896">
        <v>0.14049999999999999</v>
      </c>
      <c r="G896">
        <v>2.3025850929940459</v>
      </c>
      <c r="H896">
        <v>0.1</v>
      </c>
      <c r="I896">
        <v>0.75</v>
      </c>
      <c r="J896">
        <v>0</v>
      </c>
      <c r="K896">
        <v>1</v>
      </c>
      <c r="L896">
        <v>4</v>
      </c>
      <c r="M896">
        <v>4</v>
      </c>
      <c r="N896">
        <v>5</v>
      </c>
      <c r="O896">
        <v>1</v>
      </c>
      <c r="P896">
        <v>3</v>
      </c>
      <c r="Q896">
        <f t="shared" si="91"/>
        <v>5</v>
      </c>
      <c r="R896">
        <f t="shared" si="92"/>
        <v>23</v>
      </c>
      <c r="S896">
        <f t="array" ref="S896">MAX(IF($C$2:$C$1387=C896,$R$2:$R$1387))</f>
        <v>29</v>
      </c>
      <c r="T896" cm="1">
        <f t="array" ref="T896">MIN(IF($C$2:$C$1387=C896,$R$2:$R$1387))</f>
        <v>9</v>
      </c>
      <c r="U896">
        <f t="shared" si="93"/>
        <v>20</v>
      </c>
      <c r="V896">
        <f t="shared" si="94"/>
        <v>0.7</v>
      </c>
      <c r="W896" cm="1">
        <f t="array" ref="W896">_xlfn.IFS(N896=1,5,N896=2,4,N896=4,2,N896=5,1,N896=3,3)</f>
        <v>1</v>
      </c>
      <c r="X896">
        <f t="shared" si="95"/>
        <v>19</v>
      </c>
      <c r="Y896" cm="1">
        <f t="array" ref="Y896">MAX(IF($C$2:$C$1387=C896,$X$2:$X$1387))</f>
        <v>29</v>
      </c>
      <c r="Z896" cm="1">
        <f t="array" ref="Z896">MIN(IF($C$2:$C$1387=C896,$X$2:$X$1387))</f>
        <v>12</v>
      </c>
      <c r="AA896">
        <f t="shared" si="96"/>
        <v>17</v>
      </c>
      <c r="AB896">
        <f t="shared" si="97"/>
        <v>0.41176470588235292</v>
      </c>
    </row>
    <row r="897" spans="1:28" x14ac:dyDescent="0.25">
      <c r="A897" t="s">
        <v>326</v>
      </c>
      <c r="B897" t="s">
        <v>327</v>
      </c>
      <c r="C897">
        <v>2011</v>
      </c>
      <c r="D897">
        <v>1.2580258548073094E-5</v>
      </c>
      <c r="E897">
        <v>0.78253551234415986</v>
      </c>
      <c r="F897">
        <v>0.10577658961445885</v>
      </c>
      <c r="G897">
        <v>2.3025850929940459</v>
      </c>
      <c r="H897">
        <v>0.1</v>
      </c>
      <c r="I897">
        <v>0.75</v>
      </c>
      <c r="J897">
        <v>0</v>
      </c>
      <c r="K897">
        <v>1</v>
      </c>
      <c r="L897">
        <v>4</v>
      </c>
      <c r="M897">
        <v>4</v>
      </c>
      <c r="N897">
        <v>5</v>
      </c>
      <c r="O897">
        <v>1</v>
      </c>
      <c r="P897">
        <v>3</v>
      </c>
      <c r="Q897">
        <f t="shared" si="91"/>
        <v>5</v>
      </c>
      <c r="R897">
        <f t="shared" si="92"/>
        <v>23</v>
      </c>
      <c r="S897">
        <f t="array" ref="S897">MAX(IF($C$2:$C$1387=C897,$R$2:$R$1387))</f>
        <v>28</v>
      </c>
      <c r="T897" cm="1">
        <f t="array" ref="T897">MIN(IF($C$2:$C$1387=C897,$R$2:$R$1387))</f>
        <v>10</v>
      </c>
      <c r="U897">
        <f t="shared" si="93"/>
        <v>18</v>
      </c>
      <c r="V897">
        <f t="shared" si="94"/>
        <v>0.72222222222222221</v>
      </c>
      <c r="W897" cm="1">
        <f t="array" ref="W897">_xlfn.IFS(N897=1,5,N897=2,4,N897=4,2,N897=5,1,N897=3,3)</f>
        <v>1</v>
      </c>
      <c r="X897">
        <f t="shared" si="95"/>
        <v>19</v>
      </c>
      <c r="Y897" cm="1">
        <f t="array" ref="Y897">MAX(IF($C$2:$C$1387=C897,$X$2:$X$1387))</f>
        <v>29</v>
      </c>
      <c r="Z897" cm="1">
        <f t="array" ref="Z897">MIN(IF($C$2:$C$1387=C897,$X$2:$X$1387))</f>
        <v>12</v>
      </c>
      <c r="AA897">
        <f t="shared" si="96"/>
        <v>17</v>
      </c>
      <c r="AB897">
        <f t="shared" si="97"/>
        <v>0.41176470588235292</v>
      </c>
    </row>
    <row r="898" spans="1:28" x14ac:dyDescent="0.25">
      <c r="A898" t="s">
        <v>326</v>
      </c>
      <c r="B898" t="s">
        <v>327</v>
      </c>
      <c r="C898">
        <v>2012</v>
      </c>
      <c r="D898">
        <v>2.5873315045689099E-5</v>
      </c>
      <c r="E898">
        <v>0.77924094771614538</v>
      </c>
      <c r="F898">
        <v>0.11455173262423693</v>
      </c>
      <c r="G898">
        <v>2.3025850929940459</v>
      </c>
      <c r="H898">
        <v>0.5</v>
      </c>
      <c r="I898">
        <v>0.75</v>
      </c>
      <c r="J898">
        <v>0</v>
      </c>
      <c r="K898">
        <v>1</v>
      </c>
      <c r="L898">
        <v>4</v>
      </c>
      <c r="M898">
        <v>4</v>
      </c>
      <c r="N898">
        <v>5</v>
      </c>
      <c r="O898">
        <v>2</v>
      </c>
      <c r="P898">
        <v>3</v>
      </c>
      <c r="Q898">
        <f t="shared" si="91"/>
        <v>5</v>
      </c>
      <c r="R898">
        <f t="shared" si="92"/>
        <v>24</v>
      </c>
      <c r="S898">
        <f t="array" ref="S898">MAX(IF($C$2:$C$1387=C898,$R$2:$R$1387))</f>
        <v>29</v>
      </c>
      <c r="T898" cm="1">
        <f t="array" ref="T898">MIN(IF($C$2:$C$1387=C898,$R$2:$R$1387))</f>
        <v>11</v>
      </c>
      <c r="U898">
        <f t="shared" si="93"/>
        <v>18</v>
      </c>
      <c r="V898">
        <f t="shared" si="94"/>
        <v>0.72222222222222221</v>
      </c>
      <c r="W898" cm="1">
        <f t="array" ref="W898">_xlfn.IFS(N898=1,5,N898=2,4,N898=4,2,N898=5,1,N898=3,3)</f>
        <v>1</v>
      </c>
      <c r="X898">
        <f t="shared" si="95"/>
        <v>20</v>
      </c>
      <c r="Y898" cm="1">
        <f t="array" ref="Y898">MAX(IF($C$2:$C$1387=C898,$X$2:$X$1387))</f>
        <v>30</v>
      </c>
      <c r="Z898" cm="1">
        <f t="array" ref="Z898">MIN(IF($C$2:$C$1387=C898,$X$2:$X$1387))</f>
        <v>12</v>
      </c>
      <c r="AA898">
        <f t="shared" si="96"/>
        <v>18</v>
      </c>
      <c r="AB898">
        <f t="shared" si="97"/>
        <v>0.44444444444444442</v>
      </c>
    </row>
    <row r="899" spans="1:28" x14ac:dyDescent="0.25">
      <c r="A899" t="s">
        <v>326</v>
      </c>
      <c r="B899" t="s">
        <v>327</v>
      </c>
      <c r="C899">
        <v>2013</v>
      </c>
      <c r="D899">
        <v>2.6393532496583573E-4</v>
      </c>
      <c r="E899">
        <v>0.75757229021731087</v>
      </c>
      <c r="F899">
        <v>0.10017155921175051</v>
      </c>
      <c r="G899">
        <v>2.3025850929940459</v>
      </c>
      <c r="H899">
        <v>0.5</v>
      </c>
      <c r="I899">
        <v>0.5</v>
      </c>
      <c r="J899">
        <v>0</v>
      </c>
      <c r="K899">
        <v>1</v>
      </c>
      <c r="L899">
        <v>4</v>
      </c>
      <c r="M899">
        <v>4</v>
      </c>
      <c r="N899">
        <v>5</v>
      </c>
      <c r="O899">
        <v>2</v>
      </c>
      <c r="P899">
        <v>1</v>
      </c>
      <c r="Q899">
        <f t="shared" ref="Q899:Q962" si="98">IF(J899=0,5,1)</f>
        <v>5</v>
      </c>
      <c r="R899">
        <f t="shared" ref="R899:R962" si="99">SUM(K899:Q899)</f>
        <v>22</v>
      </c>
      <c r="S899">
        <f t="array" ref="S899">MAX(IF($C$2:$C$1387=C899,$R$2:$R$1387))</f>
        <v>29</v>
      </c>
      <c r="T899" cm="1">
        <f t="array" ref="T899">MIN(IF($C$2:$C$1387=C899,$R$2:$R$1387))</f>
        <v>10</v>
      </c>
      <c r="U899">
        <f t="shared" ref="U899:U962" si="100">S899-T899</f>
        <v>19</v>
      </c>
      <c r="V899">
        <f t="shared" ref="V899:V962" si="101">(R899-T899)/U899</f>
        <v>0.63157894736842102</v>
      </c>
      <c r="W899" cm="1">
        <f t="array" ref="W899">_xlfn.IFS(N899=1,5,N899=2,4,N899=4,2,N899=5,1,N899=3,3)</f>
        <v>1</v>
      </c>
      <c r="X899">
        <f t="shared" ref="X899:X962" si="102">SUM(K899:M899,O899:Q899,W899)</f>
        <v>18</v>
      </c>
      <c r="Y899" cm="1">
        <f t="array" ref="Y899">MAX(IF($C$2:$C$1387=C899,$X$2:$X$1387))</f>
        <v>32</v>
      </c>
      <c r="Z899" cm="1">
        <f t="array" ref="Z899">MIN(IF($C$2:$C$1387=C899,$X$2:$X$1387))</f>
        <v>10</v>
      </c>
      <c r="AA899">
        <f t="shared" ref="AA899:AA962" si="103">Y899-Z899</f>
        <v>22</v>
      </c>
      <c r="AB899">
        <f t="shared" ref="AB899:AB962" si="104">(X899-Z899)/AA899</f>
        <v>0.36363636363636365</v>
      </c>
    </row>
    <row r="900" spans="1:28" x14ac:dyDescent="0.25">
      <c r="A900" t="s">
        <v>326</v>
      </c>
      <c r="B900" t="s">
        <v>327</v>
      </c>
      <c r="C900">
        <v>2014</v>
      </c>
      <c r="D900">
        <v>2.6393532496583573E-4</v>
      </c>
      <c r="E900">
        <v>0.75757229021731087</v>
      </c>
      <c r="F900">
        <v>0.10017155921175051</v>
      </c>
      <c r="G900">
        <v>2.3025850929940459</v>
      </c>
      <c r="H900">
        <v>0.5</v>
      </c>
      <c r="I900">
        <v>0.5</v>
      </c>
      <c r="J900">
        <v>0</v>
      </c>
      <c r="K900">
        <v>1</v>
      </c>
      <c r="L900">
        <v>4</v>
      </c>
      <c r="M900">
        <v>4</v>
      </c>
      <c r="N900">
        <v>5</v>
      </c>
      <c r="O900">
        <v>2</v>
      </c>
      <c r="P900">
        <v>1</v>
      </c>
      <c r="Q900">
        <f t="shared" si="98"/>
        <v>5</v>
      </c>
      <c r="R900">
        <f t="shared" si="99"/>
        <v>22</v>
      </c>
      <c r="S900">
        <f t="array" ref="S900">MAX(IF($C$2:$C$1387=C900,$R$2:$R$1387))</f>
        <v>29</v>
      </c>
      <c r="T900" cm="1">
        <f t="array" ref="T900">MIN(IF($C$2:$C$1387=C900,$R$2:$R$1387))</f>
        <v>11</v>
      </c>
      <c r="U900">
        <f t="shared" si="100"/>
        <v>18</v>
      </c>
      <c r="V900">
        <f t="shared" si="101"/>
        <v>0.61111111111111116</v>
      </c>
      <c r="W900" cm="1">
        <f t="array" ref="W900">_xlfn.IFS(N900=1,5,N900=2,4,N900=4,2,N900=5,1,N900=3,3)</f>
        <v>1</v>
      </c>
      <c r="X900">
        <f t="shared" si="102"/>
        <v>18</v>
      </c>
      <c r="Y900" cm="1">
        <f t="array" ref="Y900">MAX(IF($C$2:$C$1387=C900,$X$2:$X$1387))</f>
        <v>30</v>
      </c>
      <c r="Z900" cm="1">
        <f t="array" ref="Z900">MIN(IF($C$2:$C$1387=C900,$X$2:$X$1387))</f>
        <v>14</v>
      </c>
      <c r="AA900">
        <f t="shared" si="103"/>
        <v>16</v>
      </c>
      <c r="AB900">
        <f t="shared" si="104"/>
        <v>0.25</v>
      </c>
    </row>
    <row r="901" spans="1:28" x14ac:dyDescent="0.25">
      <c r="A901" t="s">
        <v>326</v>
      </c>
      <c r="B901" t="s">
        <v>327</v>
      </c>
      <c r="C901">
        <v>2015</v>
      </c>
      <c r="D901">
        <v>2.701879385583174E-4</v>
      </c>
      <c r="E901">
        <v>0.75757229021731087</v>
      </c>
      <c r="F901">
        <v>0.10493022333335335</v>
      </c>
      <c r="G901">
        <v>2.0794415416798357</v>
      </c>
      <c r="H901">
        <v>0.75</v>
      </c>
      <c r="I901">
        <v>0.5</v>
      </c>
      <c r="J901">
        <v>0</v>
      </c>
      <c r="K901">
        <v>1</v>
      </c>
      <c r="L901">
        <v>4</v>
      </c>
      <c r="M901">
        <v>4</v>
      </c>
      <c r="N901">
        <v>3</v>
      </c>
      <c r="O901">
        <v>4</v>
      </c>
      <c r="P901">
        <v>1</v>
      </c>
      <c r="Q901">
        <f t="shared" si="98"/>
        <v>5</v>
      </c>
      <c r="R901">
        <f t="shared" si="99"/>
        <v>22</v>
      </c>
      <c r="S901">
        <f t="array" ref="S901">MAX(IF($C$2:$C$1387=C901,$R$2:$R$1387))</f>
        <v>29</v>
      </c>
      <c r="T901" cm="1">
        <f t="array" ref="T901">MIN(IF($C$2:$C$1387=C901,$R$2:$R$1387))</f>
        <v>11</v>
      </c>
      <c r="U901">
        <f t="shared" si="100"/>
        <v>18</v>
      </c>
      <c r="V901">
        <f t="shared" si="101"/>
        <v>0.61111111111111116</v>
      </c>
      <c r="W901" cm="1">
        <f t="array" ref="W901">_xlfn.IFS(N901=1,5,N901=2,4,N901=4,2,N901=5,1,N901=3,3)</f>
        <v>3</v>
      </c>
      <c r="X901">
        <f t="shared" si="102"/>
        <v>22</v>
      </c>
      <c r="Y901" cm="1">
        <f t="array" ref="Y901">MAX(IF($C$2:$C$1387=C901,$X$2:$X$1387))</f>
        <v>29</v>
      </c>
      <c r="Z901" cm="1">
        <f t="array" ref="Z901">MIN(IF($C$2:$C$1387=C901,$X$2:$X$1387))</f>
        <v>12</v>
      </c>
      <c r="AA901">
        <f t="shared" si="103"/>
        <v>17</v>
      </c>
      <c r="AB901">
        <f t="shared" si="104"/>
        <v>0.58823529411764708</v>
      </c>
    </row>
    <row r="902" spans="1:28" x14ac:dyDescent="0.25">
      <c r="A902" t="s">
        <v>328</v>
      </c>
      <c r="B902" t="s">
        <v>329</v>
      </c>
      <c r="C902">
        <v>2010</v>
      </c>
      <c r="D902">
        <v>0</v>
      </c>
      <c r="E902">
        <v>0.94577646235636004</v>
      </c>
      <c r="F902">
        <v>0</v>
      </c>
      <c r="G902">
        <v>2.4849066497880004</v>
      </c>
      <c r="H902">
        <v>0.91666666666666663</v>
      </c>
      <c r="I902">
        <v>1</v>
      </c>
      <c r="J902">
        <v>0</v>
      </c>
      <c r="K902">
        <v>1</v>
      </c>
      <c r="L902">
        <v>5</v>
      </c>
      <c r="M902">
        <v>1</v>
      </c>
      <c r="N902">
        <v>5</v>
      </c>
      <c r="O902">
        <v>5</v>
      </c>
      <c r="P902">
        <v>3</v>
      </c>
      <c r="Q902">
        <f t="shared" si="98"/>
        <v>5</v>
      </c>
      <c r="R902">
        <f t="shared" si="99"/>
        <v>25</v>
      </c>
      <c r="S902">
        <f t="array" ref="S902">MAX(IF($C$2:$C$1387=C902,$R$2:$R$1387))</f>
        <v>29</v>
      </c>
      <c r="T902" cm="1">
        <f t="array" ref="T902">MIN(IF($C$2:$C$1387=C902,$R$2:$R$1387))</f>
        <v>9</v>
      </c>
      <c r="U902">
        <f t="shared" si="100"/>
        <v>20</v>
      </c>
      <c r="V902">
        <f t="shared" si="101"/>
        <v>0.8</v>
      </c>
      <c r="W902" cm="1">
        <f t="array" ref="W902">_xlfn.IFS(N902=1,5,N902=2,4,N902=4,2,N902=5,1,N902=3,3)</f>
        <v>1</v>
      </c>
      <c r="X902">
        <f t="shared" si="102"/>
        <v>21</v>
      </c>
      <c r="Y902" cm="1">
        <f t="array" ref="Y902">MAX(IF($C$2:$C$1387=C902,$X$2:$X$1387))</f>
        <v>29</v>
      </c>
      <c r="Z902" cm="1">
        <f t="array" ref="Z902">MIN(IF($C$2:$C$1387=C902,$X$2:$X$1387))</f>
        <v>12</v>
      </c>
      <c r="AA902">
        <f t="shared" si="103"/>
        <v>17</v>
      </c>
      <c r="AB902">
        <f t="shared" si="104"/>
        <v>0.52941176470588236</v>
      </c>
    </row>
    <row r="903" spans="1:28" x14ac:dyDescent="0.25">
      <c r="A903" t="s">
        <v>328</v>
      </c>
      <c r="B903" t="s">
        <v>329</v>
      </c>
      <c r="C903">
        <v>2011</v>
      </c>
      <c r="D903">
        <v>7.7959912097118384E-7</v>
      </c>
      <c r="E903">
        <v>0.96207139091178551</v>
      </c>
      <c r="F903">
        <v>1.8634100953645264E-2</v>
      </c>
      <c r="G903">
        <v>2.3978952727983707</v>
      </c>
      <c r="H903">
        <v>0.90909090909090906</v>
      </c>
      <c r="I903">
        <v>1</v>
      </c>
      <c r="J903">
        <v>0</v>
      </c>
      <c r="K903">
        <v>1</v>
      </c>
      <c r="L903">
        <v>5</v>
      </c>
      <c r="M903">
        <v>2</v>
      </c>
      <c r="N903">
        <v>5</v>
      </c>
      <c r="O903">
        <v>5</v>
      </c>
      <c r="P903">
        <v>3</v>
      </c>
      <c r="Q903">
        <f t="shared" si="98"/>
        <v>5</v>
      </c>
      <c r="R903">
        <f t="shared" si="99"/>
        <v>26</v>
      </c>
      <c r="S903">
        <f t="array" ref="S903">MAX(IF($C$2:$C$1387=C903,$R$2:$R$1387))</f>
        <v>28</v>
      </c>
      <c r="T903" cm="1">
        <f t="array" ref="T903">MIN(IF($C$2:$C$1387=C903,$R$2:$R$1387))</f>
        <v>10</v>
      </c>
      <c r="U903">
        <f t="shared" si="100"/>
        <v>18</v>
      </c>
      <c r="V903">
        <f t="shared" si="101"/>
        <v>0.88888888888888884</v>
      </c>
      <c r="W903" cm="1">
        <f t="array" ref="W903">_xlfn.IFS(N903=1,5,N903=2,4,N903=4,2,N903=5,1,N903=3,3)</f>
        <v>1</v>
      </c>
      <c r="X903">
        <f t="shared" si="102"/>
        <v>22</v>
      </c>
      <c r="Y903" cm="1">
        <f t="array" ref="Y903">MAX(IF($C$2:$C$1387=C903,$X$2:$X$1387))</f>
        <v>29</v>
      </c>
      <c r="Z903" cm="1">
        <f t="array" ref="Z903">MIN(IF($C$2:$C$1387=C903,$X$2:$X$1387))</f>
        <v>12</v>
      </c>
      <c r="AA903">
        <f t="shared" si="103"/>
        <v>17</v>
      </c>
      <c r="AB903">
        <f t="shared" si="104"/>
        <v>0.58823529411764708</v>
      </c>
    </row>
    <row r="904" spans="1:28" x14ac:dyDescent="0.25">
      <c r="A904" t="s">
        <v>328</v>
      </c>
      <c r="B904" t="s">
        <v>329</v>
      </c>
      <c r="C904">
        <v>2012</v>
      </c>
      <c r="D904">
        <v>7.7959912097118384E-7</v>
      </c>
      <c r="E904">
        <v>0.96207139091178551</v>
      </c>
      <c r="F904">
        <v>1.8634100953645264E-2</v>
      </c>
      <c r="G904">
        <v>2.3025850929940459</v>
      </c>
      <c r="H904">
        <v>0.9</v>
      </c>
      <c r="I904">
        <v>1</v>
      </c>
      <c r="J904">
        <v>0</v>
      </c>
      <c r="K904">
        <v>1</v>
      </c>
      <c r="L904">
        <v>5</v>
      </c>
      <c r="M904">
        <v>2</v>
      </c>
      <c r="N904">
        <v>5</v>
      </c>
      <c r="O904">
        <v>5</v>
      </c>
      <c r="P904">
        <v>3</v>
      </c>
      <c r="Q904">
        <f t="shared" si="98"/>
        <v>5</v>
      </c>
      <c r="R904">
        <f t="shared" si="99"/>
        <v>26</v>
      </c>
      <c r="S904">
        <f t="array" ref="S904">MAX(IF($C$2:$C$1387=C904,$R$2:$R$1387))</f>
        <v>29</v>
      </c>
      <c r="T904" cm="1">
        <f t="array" ref="T904">MIN(IF($C$2:$C$1387=C904,$R$2:$R$1387))</f>
        <v>11</v>
      </c>
      <c r="U904">
        <f t="shared" si="100"/>
        <v>18</v>
      </c>
      <c r="V904">
        <f t="shared" si="101"/>
        <v>0.83333333333333337</v>
      </c>
      <c r="W904" cm="1">
        <f t="array" ref="W904">_xlfn.IFS(N904=1,5,N904=2,4,N904=4,2,N904=5,1,N904=3,3)</f>
        <v>1</v>
      </c>
      <c r="X904">
        <f t="shared" si="102"/>
        <v>22</v>
      </c>
      <c r="Y904" cm="1">
        <f t="array" ref="Y904">MAX(IF($C$2:$C$1387=C904,$X$2:$X$1387))</f>
        <v>30</v>
      </c>
      <c r="Z904" cm="1">
        <f t="array" ref="Z904">MIN(IF($C$2:$C$1387=C904,$X$2:$X$1387))</f>
        <v>12</v>
      </c>
      <c r="AA904">
        <f t="shared" si="103"/>
        <v>18</v>
      </c>
      <c r="AB904">
        <f t="shared" si="104"/>
        <v>0.55555555555555558</v>
      </c>
    </row>
    <row r="905" spans="1:28" x14ac:dyDescent="0.25">
      <c r="A905" t="s">
        <v>328</v>
      </c>
      <c r="B905" t="s">
        <v>329</v>
      </c>
      <c r="C905">
        <v>2013</v>
      </c>
      <c r="D905">
        <v>2.3250793944860834E-7</v>
      </c>
      <c r="E905">
        <v>0.94809217563352133</v>
      </c>
      <c r="F905">
        <v>7.4822540640295246E-3</v>
      </c>
      <c r="G905">
        <v>2.3025850929940459</v>
      </c>
      <c r="H905">
        <v>0.9</v>
      </c>
      <c r="I905">
        <v>1</v>
      </c>
      <c r="J905">
        <v>0</v>
      </c>
      <c r="K905">
        <v>1</v>
      </c>
      <c r="L905">
        <v>5</v>
      </c>
      <c r="M905">
        <v>2</v>
      </c>
      <c r="N905">
        <v>5</v>
      </c>
      <c r="O905">
        <v>5</v>
      </c>
      <c r="P905">
        <v>3</v>
      </c>
      <c r="Q905">
        <f t="shared" si="98"/>
        <v>5</v>
      </c>
      <c r="R905">
        <f t="shared" si="99"/>
        <v>26</v>
      </c>
      <c r="S905">
        <f t="array" ref="S905">MAX(IF($C$2:$C$1387=C905,$R$2:$R$1387))</f>
        <v>29</v>
      </c>
      <c r="T905" cm="1">
        <f t="array" ref="T905">MIN(IF($C$2:$C$1387=C905,$R$2:$R$1387))</f>
        <v>10</v>
      </c>
      <c r="U905">
        <f t="shared" si="100"/>
        <v>19</v>
      </c>
      <c r="V905">
        <f t="shared" si="101"/>
        <v>0.84210526315789469</v>
      </c>
      <c r="W905" cm="1">
        <f t="array" ref="W905">_xlfn.IFS(N905=1,5,N905=2,4,N905=4,2,N905=5,1,N905=3,3)</f>
        <v>1</v>
      </c>
      <c r="X905">
        <f t="shared" si="102"/>
        <v>22</v>
      </c>
      <c r="Y905" cm="1">
        <f t="array" ref="Y905">MAX(IF($C$2:$C$1387=C905,$X$2:$X$1387))</f>
        <v>32</v>
      </c>
      <c r="Z905" cm="1">
        <f t="array" ref="Z905">MIN(IF($C$2:$C$1387=C905,$X$2:$X$1387))</f>
        <v>10</v>
      </c>
      <c r="AA905">
        <f t="shared" si="103"/>
        <v>22</v>
      </c>
      <c r="AB905">
        <f t="shared" si="104"/>
        <v>0.54545454545454541</v>
      </c>
    </row>
    <row r="906" spans="1:28" x14ac:dyDescent="0.25">
      <c r="A906" t="s">
        <v>328</v>
      </c>
      <c r="B906" t="s">
        <v>329</v>
      </c>
      <c r="C906">
        <v>2014</v>
      </c>
      <c r="D906">
        <v>5.470911815225755E-7</v>
      </c>
      <c r="E906">
        <v>0.94068681264259135</v>
      </c>
      <c r="F906">
        <v>1.0160538361903443E-2</v>
      </c>
      <c r="G906">
        <v>2.3025850929940459</v>
      </c>
      <c r="H906">
        <v>0.9</v>
      </c>
      <c r="I906">
        <v>1</v>
      </c>
      <c r="J906">
        <v>0</v>
      </c>
      <c r="K906">
        <v>1</v>
      </c>
      <c r="L906">
        <v>5</v>
      </c>
      <c r="M906">
        <v>2</v>
      </c>
      <c r="N906">
        <v>5</v>
      </c>
      <c r="O906">
        <v>5</v>
      </c>
      <c r="P906">
        <v>3</v>
      </c>
      <c r="Q906">
        <f t="shared" si="98"/>
        <v>5</v>
      </c>
      <c r="R906">
        <f t="shared" si="99"/>
        <v>26</v>
      </c>
      <c r="S906">
        <f t="array" ref="S906">MAX(IF($C$2:$C$1387=C906,$R$2:$R$1387))</f>
        <v>29</v>
      </c>
      <c r="T906" cm="1">
        <f t="array" ref="T906">MIN(IF($C$2:$C$1387=C906,$R$2:$R$1387))</f>
        <v>11</v>
      </c>
      <c r="U906">
        <f t="shared" si="100"/>
        <v>18</v>
      </c>
      <c r="V906">
        <f t="shared" si="101"/>
        <v>0.83333333333333337</v>
      </c>
      <c r="W906" cm="1">
        <f t="array" ref="W906">_xlfn.IFS(N906=1,5,N906=2,4,N906=4,2,N906=5,1,N906=3,3)</f>
        <v>1</v>
      </c>
      <c r="X906">
        <f t="shared" si="102"/>
        <v>22</v>
      </c>
      <c r="Y906" cm="1">
        <f t="array" ref="Y906">MAX(IF($C$2:$C$1387=C906,$X$2:$X$1387))</f>
        <v>30</v>
      </c>
      <c r="Z906" cm="1">
        <f t="array" ref="Z906">MIN(IF($C$2:$C$1387=C906,$X$2:$X$1387))</f>
        <v>14</v>
      </c>
      <c r="AA906">
        <f t="shared" si="103"/>
        <v>16</v>
      </c>
      <c r="AB906">
        <f t="shared" si="104"/>
        <v>0.5</v>
      </c>
    </row>
    <row r="907" spans="1:28" x14ac:dyDescent="0.25">
      <c r="A907" t="s">
        <v>328</v>
      </c>
      <c r="B907" t="s">
        <v>329</v>
      </c>
      <c r="C907">
        <v>2015</v>
      </c>
      <c r="D907">
        <v>5.470911815225755E-7</v>
      </c>
      <c r="E907">
        <v>0.94068681264259135</v>
      </c>
      <c r="F907">
        <v>1.0160538361903443E-2</v>
      </c>
      <c r="G907">
        <v>2.3025850929940459</v>
      </c>
      <c r="H907">
        <v>0.9</v>
      </c>
      <c r="I907">
        <v>0.66666666666666663</v>
      </c>
      <c r="J907">
        <v>0</v>
      </c>
      <c r="K907">
        <v>1</v>
      </c>
      <c r="L907">
        <v>5</v>
      </c>
      <c r="M907">
        <v>2</v>
      </c>
      <c r="N907">
        <v>5</v>
      </c>
      <c r="O907">
        <v>5</v>
      </c>
      <c r="P907">
        <v>1</v>
      </c>
      <c r="Q907">
        <f t="shared" si="98"/>
        <v>5</v>
      </c>
      <c r="R907">
        <f t="shared" si="99"/>
        <v>24</v>
      </c>
      <c r="S907">
        <f t="array" ref="S907">MAX(IF($C$2:$C$1387=C907,$R$2:$R$1387))</f>
        <v>29</v>
      </c>
      <c r="T907" cm="1">
        <f t="array" ref="T907">MIN(IF($C$2:$C$1387=C907,$R$2:$R$1387))</f>
        <v>11</v>
      </c>
      <c r="U907">
        <f t="shared" si="100"/>
        <v>18</v>
      </c>
      <c r="V907">
        <f t="shared" si="101"/>
        <v>0.72222222222222221</v>
      </c>
      <c r="W907" cm="1">
        <f t="array" ref="W907">_xlfn.IFS(N907=1,5,N907=2,4,N907=4,2,N907=5,1,N907=3,3)</f>
        <v>1</v>
      </c>
      <c r="X907">
        <f t="shared" si="102"/>
        <v>20</v>
      </c>
      <c r="Y907" cm="1">
        <f t="array" ref="Y907">MAX(IF($C$2:$C$1387=C907,$X$2:$X$1387))</f>
        <v>29</v>
      </c>
      <c r="Z907" cm="1">
        <f t="array" ref="Z907">MIN(IF($C$2:$C$1387=C907,$X$2:$X$1387))</f>
        <v>12</v>
      </c>
      <c r="AA907">
        <f t="shared" si="103"/>
        <v>17</v>
      </c>
      <c r="AB907">
        <f t="shared" si="104"/>
        <v>0.47058823529411764</v>
      </c>
    </row>
    <row r="908" spans="1:28" x14ac:dyDescent="0.25">
      <c r="A908" t="s">
        <v>330</v>
      </c>
      <c r="B908" t="s">
        <v>331</v>
      </c>
      <c r="C908">
        <v>2010</v>
      </c>
      <c r="D908">
        <v>0.82070874999999999</v>
      </c>
      <c r="E908">
        <v>0.79948883333333332</v>
      </c>
      <c r="F908">
        <v>3.0534999999999998E-3</v>
      </c>
      <c r="G908">
        <v>1.9459101490553132</v>
      </c>
      <c r="H908">
        <v>0.42857142857142855</v>
      </c>
      <c r="I908">
        <v>0.66666666666666663</v>
      </c>
      <c r="J908">
        <v>1</v>
      </c>
      <c r="K908">
        <v>5</v>
      </c>
      <c r="L908">
        <v>4</v>
      </c>
      <c r="M908">
        <v>2</v>
      </c>
      <c r="N908">
        <v>1</v>
      </c>
      <c r="O908">
        <v>2</v>
      </c>
      <c r="P908">
        <v>1</v>
      </c>
      <c r="Q908">
        <f t="shared" si="98"/>
        <v>1</v>
      </c>
      <c r="R908">
        <f t="shared" si="99"/>
        <v>16</v>
      </c>
      <c r="S908">
        <f t="array" ref="S908">MAX(IF($C$2:$C$1387=C908,$R$2:$R$1387))</f>
        <v>29</v>
      </c>
      <c r="T908" cm="1">
        <f t="array" ref="T908">MIN(IF($C$2:$C$1387=C908,$R$2:$R$1387))</f>
        <v>9</v>
      </c>
      <c r="U908">
        <f t="shared" si="100"/>
        <v>20</v>
      </c>
      <c r="V908">
        <f t="shared" si="101"/>
        <v>0.35</v>
      </c>
      <c r="W908" cm="1">
        <f t="array" ref="W908">_xlfn.IFS(N908=1,5,N908=2,4,N908=4,2,N908=5,1,N908=3,3)</f>
        <v>5</v>
      </c>
      <c r="X908">
        <f t="shared" si="102"/>
        <v>20</v>
      </c>
      <c r="Y908" cm="1">
        <f t="array" ref="Y908">MAX(IF($C$2:$C$1387=C908,$X$2:$X$1387))</f>
        <v>29</v>
      </c>
      <c r="Z908" cm="1">
        <f t="array" ref="Z908">MIN(IF($C$2:$C$1387=C908,$X$2:$X$1387))</f>
        <v>12</v>
      </c>
      <c r="AA908">
        <f t="shared" si="103"/>
        <v>17</v>
      </c>
      <c r="AB908">
        <f t="shared" si="104"/>
        <v>0.47058823529411764</v>
      </c>
    </row>
    <row r="909" spans="1:28" x14ac:dyDescent="0.25">
      <c r="A909" t="s">
        <v>330</v>
      </c>
      <c r="B909" t="s">
        <v>331</v>
      </c>
      <c r="C909">
        <v>2011</v>
      </c>
      <c r="D909">
        <v>0.82070874999999999</v>
      </c>
      <c r="E909">
        <v>0.79948883333333332</v>
      </c>
      <c r="F909">
        <v>3.0159166666666667E-3</v>
      </c>
      <c r="G909">
        <v>1.9459101490553132</v>
      </c>
      <c r="H909">
        <v>0.2857142857142857</v>
      </c>
      <c r="I909">
        <v>0.66666666666666663</v>
      </c>
      <c r="J909">
        <v>1</v>
      </c>
      <c r="K909">
        <v>5</v>
      </c>
      <c r="L909">
        <v>4</v>
      </c>
      <c r="M909">
        <v>1</v>
      </c>
      <c r="N909">
        <v>1</v>
      </c>
      <c r="O909">
        <v>1</v>
      </c>
      <c r="P909">
        <v>1</v>
      </c>
      <c r="Q909">
        <f t="shared" si="98"/>
        <v>1</v>
      </c>
      <c r="R909">
        <f t="shared" si="99"/>
        <v>14</v>
      </c>
      <c r="S909">
        <f t="array" ref="S909">MAX(IF($C$2:$C$1387=C909,$R$2:$R$1387))</f>
        <v>28</v>
      </c>
      <c r="T909" cm="1">
        <f t="array" ref="T909">MIN(IF($C$2:$C$1387=C909,$R$2:$R$1387))</f>
        <v>10</v>
      </c>
      <c r="U909">
        <f t="shared" si="100"/>
        <v>18</v>
      </c>
      <c r="V909">
        <f t="shared" si="101"/>
        <v>0.22222222222222221</v>
      </c>
      <c r="W909" cm="1">
        <f t="array" ref="W909">_xlfn.IFS(N909=1,5,N909=2,4,N909=4,2,N909=5,1,N909=3,3)</f>
        <v>5</v>
      </c>
      <c r="X909">
        <f t="shared" si="102"/>
        <v>18</v>
      </c>
      <c r="Y909" cm="1">
        <f t="array" ref="Y909">MAX(IF($C$2:$C$1387=C909,$X$2:$X$1387))</f>
        <v>29</v>
      </c>
      <c r="Z909" cm="1">
        <f t="array" ref="Z909">MIN(IF($C$2:$C$1387=C909,$X$2:$X$1387))</f>
        <v>12</v>
      </c>
      <c r="AA909">
        <f t="shared" si="103"/>
        <v>17</v>
      </c>
      <c r="AB909">
        <f t="shared" si="104"/>
        <v>0.35294117647058826</v>
      </c>
    </row>
    <row r="910" spans="1:28" x14ac:dyDescent="0.25">
      <c r="A910" t="s">
        <v>330</v>
      </c>
      <c r="B910" t="s">
        <v>331</v>
      </c>
      <c r="C910">
        <v>2012</v>
      </c>
      <c r="D910">
        <v>0.88320874999999999</v>
      </c>
      <c r="E910">
        <v>0.90398883333333335</v>
      </c>
      <c r="F910">
        <v>5.2999999999999998E-4</v>
      </c>
      <c r="G910">
        <v>1.9459101490553132</v>
      </c>
      <c r="H910">
        <v>0.2857142857142857</v>
      </c>
      <c r="I910">
        <v>0.66666666666666663</v>
      </c>
      <c r="J910">
        <v>1</v>
      </c>
      <c r="K910">
        <v>5</v>
      </c>
      <c r="L910">
        <v>5</v>
      </c>
      <c r="M910">
        <v>1</v>
      </c>
      <c r="N910">
        <v>1</v>
      </c>
      <c r="O910">
        <v>1</v>
      </c>
      <c r="P910">
        <v>1</v>
      </c>
      <c r="Q910">
        <f t="shared" si="98"/>
        <v>1</v>
      </c>
      <c r="R910">
        <f t="shared" si="99"/>
        <v>15</v>
      </c>
      <c r="S910">
        <f t="array" ref="S910">MAX(IF($C$2:$C$1387=C910,$R$2:$R$1387))</f>
        <v>29</v>
      </c>
      <c r="T910" cm="1">
        <f t="array" ref="T910">MIN(IF($C$2:$C$1387=C910,$R$2:$R$1387))</f>
        <v>11</v>
      </c>
      <c r="U910">
        <f t="shared" si="100"/>
        <v>18</v>
      </c>
      <c r="V910">
        <f t="shared" si="101"/>
        <v>0.22222222222222221</v>
      </c>
      <c r="W910" cm="1">
        <f t="array" ref="W910">_xlfn.IFS(N910=1,5,N910=2,4,N910=4,2,N910=5,1,N910=3,3)</f>
        <v>5</v>
      </c>
      <c r="X910">
        <f t="shared" si="102"/>
        <v>19</v>
      </c>
      <c r="Y910" cm="1">
        <f t="array" ref="Y910">MAX(IF($C$2:$C$1387=C910,$X$2:$X$1387))</f>
        <v>30</v>
      </c>
      <c r="Z910" cm="1">
        <f t="array" ref="Z910">MIN(IF($C$2:$C$1387=C910,$X$2:$X$1387))</f>
        <v>12</v>
      </c>
      <c r="AA910">
        <f t="shared" si="103"/>
        <v>18</v>
      </c>
      <c r="AB910">
        <f t="shared" si="104"/>
        <v>0.3888888888888889</v>
      </c>
    </row>
    <row r="911" spans="1:28" x14ac:dyDescent="0.25">
      <c r="A911" t="s">
        <v>330</v>
      </c>
      <c r="B911" t="s">
        <v>331</v>
      </c>
      <c r="C911">
        <v>2013</v>
      </c>
      <c r="D911">
        <v>0.78395875000000004</v>
      </c>
      <c r="E911">
        <v>0.87948708333333336</v>
      </c>
      <c r="F911">
        <v>2.0833333333333334E-6</v>
      </c>
      <c r="G911">
        <v>1.9459101490553132</v>
      </c>
      <c r="H911">
        <v>0.42857142857142855</v>
      </c>
      <c r="I911">
        <v>1</v>
      </c>
      <c r="J911">
        <v>1</v>
      </c>
      <c r="K911">
        <v>5</v>
      </c>
      <c r="L911">
        <v>5</v>
      </c>
      <c r="M911">
        <v>1</v>
      </c>
      <c r="N911">
        <v>1</v>
      </c>
      <c r="O911">
        <v>1</v>
      </c>
      <c r="P911">
        <v>3</v>
      </c>
      <c r="Q911">
        <f t="shared" si="98"/>
        <v>1</v>
      </c>
      <c r="R911">
        <f t="shared" si="99"/>
        <v>17</v>
      </c>
      <c r="S911">
        <f t="array" ref="S911">MAX(IF($C$2:$C$1387=C911,$R$2:$R$1387))</f>
        <v>29</v>
      </c>
      <c r="T911" cm="1">
        <f t="array" ref="T911">MIN(IF($C$2:$C$1387=C911,$R$2:$R$1387))</f>
        <v>10</v>
      </c>
      <c r="U911">
        <f t="shared" si="100"/>
        <v>19</v>
      </c>
      <c r="V911">
        <f t="shared" si="101"/>
        <v>0.36842105263157893</v>
      </c>
      <c r="W911" cm="1">
        <f t="array" ref="W911">_xlfn.IFS(N911=1,5,N911=2,4,N911=4,2,N911=5,1,N911=3,3)</f>
        <v>5</v>
      </c>
      <c r="X911">
        <f t="shared" si="102"/>
        <v>21</v>
      </c>
      <c r="Y911" cm="1">
        <f t="array" ref="Y911">MAX(IF($C$2:$C$1387=C911,$X$2:$X$1387))</f>
        <v>32</v>
      </c>
      <c r="Z911" cm="1">
        <f t="array" ref="Z911">MIN(IF($C$2:$C$1387=C911,$X$2:$X$1387))</f>
        <v>10</v>
      </c>
      <c r="AA911">
        <f t="shared" si="103"/>
        <v>22</v>
      </c>
      <c r="AB911">
        <f t="shared" si="104"/>
        <v>0.5</v>
      </c>
    </row>
    <row r="912" spans="1:28" x14ac:dyDescent="0.25">
      <c r="A912" t="s">
        <v>330</v>
      </c>
      <c r="B912" t="s">
        <v>331</v>
      </c>
      <c r="C912">
        <v>2014</v>
      </c>
      <c r="D912">
        <v>0.85879208333333334</v>
      </c>
      <c r="E912">
        <v>0.8822916666666667</v>
      </c>
      <c r="F912">
        <v>3.9583333333333331E-5</v>
      </c>
      <c r="G912">
        <v>1.9459101490553132</v>
      </c>
      <c r="H912">
        <v>0.42857142857142855</v>
      </c>
      <c r="I912">
        <v>0.66666666666666663</v>
      </c>
      <c r="J912">
        <v>1</v>
      </c>
      <c r="K912">
        <v>5</v>
      </c>
      <c r="L912">
        <v>5</v>
      </c>
      <c r="M912">
        <v>1</v>
      </c>
      <c r="N912">
        <v>1</v>
      </c>
      <c r="O912">
        <v>1</v>
      </c>
      <c r="P912">
        <v>1</v>
      </c>
      <c r="Q912">
        <f t="shared" si="98"/>
        <v>1</v>
      </c>
      <c r="R912">
        <f t="shared" si="99"/>
        <v>15</v>
      </c>
      <c r="S912">
        <f t="array" ref="S912">MAX(IF($C$2:$C$1387=C912,$R$2:$R$1387))</f>
        <v>29</v>
      </c>
      <c r="T912" cm="1">
        <f t="array" ref="T912">MIN(IF($C$2:$C$1387=C912,$R$2:$R$1387))</f>
        <v>11</v>
      </c>
      <c r="U912">
        <f t="shared" si="100"/>
        <v>18</v>
      </c>
      <c r="V912">
        <f t="shared" si="101"/>
        <v>0.22222222222222221</v>
      </c>
      <c r="W912" cm="1">
        <f t="array" ref="W912">_xlfn.IFS(N912=1,5,N912=2,4,N912=4,2,N912=5,1,N912=3,3)</f>
        <v>5</v>
      </c>
      <c r="X912">
        <f t="shared" si="102"/>
        <v>19</v>
      </c>
      <c r="Y912" cm="1">
        <f t="array" ref="Y912">MAX(IF($C$2:$C$1387=C912,$X$2:$X$1387))</f>
        <v>30</v>
      </c>
      <c r="Z912" cm="1">
        <f t="array" ref="Z912">MIN(IF($C$2:$C$1387=C912,$X$2:$X$1387))</f>
        <v>14</v>
      </c>
      <c r="AA912">
        <f t="shared" si="103"/>
        <v>16</v>
      </c>
      <c r="AB912">
        <f t="shared" si="104"/>
        <v>0.3125</v>
      </c>
    </row>
    <row r="913" spans="1:28" x14ac:dyDescent="0.25">
      <c r="A913" t="s">
        <v>330</v>
      </c>
      <c r="B913" t="s">
        <v>331</v>
      </c>
      <c r="C913">
        <v>2015</v>
      </c>
      <c r="D913">
        <v>0.84529208333333339</v>
      </c>
      <c r="E913">
        <v>0.71058183333333336</v>
      </c>
      <c r="F913">
        <v>3.9583333333333331E-5</v>
      </c>
      <c r="G913">
        <v>1.9459101490553132</v>
      </c>
      <c r="H913">
        <v>0.42857142857142855</v>
      </c>
      <c r="I913">
        <v>0.66666666666666663</v>
      </c>
      <c r="J913">
        <v>0</v>
      </c>
      <c r="K913">
        <v>5</v>
      </c>
      <c r="L913">
        <v>3</v>
      </c>
      <c r="M913">
        <v>1</v>
      </c>
      <c r="N913">
        <v>1</v>
      </c>
      <c r="O913">
        <v>1</v>
      </c>
      <c r="P913">
        <v>1</v>
      </c>
      <c r="Q913">
        <f t="shared" si="98"/>
        <v>5</v>
      </c>
      <c r="R913">
        <f t="shared" si="99"/>
        <v>17</v>
      </c>
      <c r="S913">
        <f t="array" ref="S913">MAX(IF($C$2:$C$1387=C913,$R$2:$R$1387))</f>
        <v>29</v>
      </c>
      <c r="T913" cm="1">
        <f t="array" ref="T913">MIN(IF($C$2:$C$1387=C913,$R$2:$R$1387))</f>
        <v>11</v>
      </c>
      <c r="U913">
        <f t="shared" si="100"/>
        <v>18</v>
      </c>
      <c r="V913">
        <f t="shared" si="101"/>
        <v>0.33333333333333331</v>
      </c>
      <c r="W913" cm="1">
        <f t="array" ref="W913">_xlfn.IFS(N913=1,5,N913=2,4,N913=4,2,N913=5,1,N913=3,3)</f>
        <v>5</v>
      </c>
      <c r="X913">
        <f t="shared" si="102"/>
        <v>21</v>
      </c>
      <c r="Y913" cm="1">
        <f t="array" ref="Y913">MAX(IF($C$2:$C$1387=C913,$X$2:$X$1387))</f>
        <v>29</v>
      </c>
      <c r="Z913" cm="1">
        <f t="array" ref="Z913">MIN(IF($C$2:$C$1387=C913,$X$2:$X$1387))</f>
        <v>12</v>
      </c>
      <c r="AA913">
        <f t="shared" si="103"/>
        <v>17</v>
      </c>
      <c r="AB913">
        <f t="shared" si="104"/>
        <v>0.52941176470588236</v>
      </c>
    </row>
    <row r="914" spans="1:28" x14ac:dyDescent="0.25">
      <c r="A914" t="s">
        <v>332</v>
      </c>
      <c r="B914" t="s">
        <v>333</v>
      </c>
      <c r="C914">
        <v>2010</v>
      </c>
      <c r="D914">
        <v>0</v>
      </c>
      <c r="E914">
        <v>0.74628035404550552</v>
      </c>
      <c r="F914">
        <v>0</v>
      </c>
      <c r="G914">
        <v>1.9459101490553132</v>
      </c>
      <c r="H914">
        <v>0.7142857142857143</v>
      </c>
      <c r="I914">
        <v>1</v>
      </c>
      <c r="J914">
        <v>0</v>
      </c>
      <c r="K914">
        <v>1</v>
      </c>
      <c r="L914">
        <v>4</v>
      </c>
      <c r="M914">
        <v>1</v>
      </c>
      <c r="N914">
        <v>1</v>
      </c>
      <c r="O914">
        <v>4</v>
      </c>
      <c r="P914">
        <v>3</v>
      </c>
      <c r="Q914">
        <f t="shared" si="98"/>
        <v>5</v>
      </c>
      <c r="R914">
        <f t="shared" si="99"/>
        <v>19</v>
      </c>
      <c r="S914">
        <f t="array" ref="S914">MAX(IF($C$2:$C$1387=C914,$R$2:$R$1387))</f>
        <v>29</v>
      </c>
      <c r="T914" cm="1">
        <f t="array" ref="T914">MIN(IF($C$2:$C$1387=C914,$R$2:$R$1387))</f>
        <v>9</v>
      </c>
      <c r="U914">
        <f t="shared" si="100"/>
        <v>20</v>
      </c>
      <c r="V914">
        <f t="shared" si="101"/>
        <v>0.5</v>
      </c>
      <c r="W914" cm="1">
        <f t="array" ref="W914">_xlfn.IFS(N914=1,5,N914=2,4,N914=4,2,N914=5,1,N914=3,3)</f>
        <v>5</v>
      </c>
      <c r="X914">
        <f t="shared" si="102"/>
        <v>23</v>
      </c>
      <c r="Y914" cm="1">
        <f t="array" ref="Y914">MAX(IF($C$2:$C$1387=C914,$X$2:$X$1387))</f>
        <v>29</v>
      </c>
      <c r="Z914" cm="1">
        <f t="array" ref="Z914">MIN(IF($C$2:$C$1387=C914,$X$2:$X$1387))</f>
        <v>12</v>
      </c>
      <c r="AA914">
        <f t="shared" si="103"/>
        <v>17</v>
      </c>
      <c r="AB914">
        <f t="shared" si="104"/>
        <v>0.6470588235294118</v>
      </c>
    </row>
    <row r="915" spans="1:28" x14ac:dyDescent="0.25">
      <c r="A915" t="s">
        <v>332</v>
      </c>
      <c r="B915" t="s">
        <v>333</v>
      </c>
      <c r="C915">
        <v>2011</v>
      </c>
      <c r="D915">
        <v>0</v>
      </c>
      <c r="E915">
        <v>0.80183833282318129</v>
      </c>
      <c r="F915">
        <v>0.17884641873278237</v>
      </c>
      <c r="G915">
        <v>1.9459101490553132</v>
      </c>
      <c r="H915">
        <v>0.7142857142857143</v>
      </c>
      <c r="I915">
        <v>1</v>
      </c>
      <c r="J915">
        <v>1</v>
      </c>
      <c r="K915">
        <v>1</v>
      </c>
      <c r="L915">
        <v>4</v>
      </c>
      <c r="M915">
        <v>5</v>
      </c>
      <c r="N915">
        <v>1</v>
      </c>
      <c r="O915">
        <v>4</v>
      </c>
      <c r="P915">
        <v>3</v>
      </c>
      <c r="Q915">
        <f t="shared" si="98"/>
        <v>1</v>
      </c>
      <c r="R915">
        <f t="shared" si="99"/>
        <v>19</v>
      </c>
      <c r="S915">
        <f t="array" ref="S915">MAX(IF($C$2:$C$1387=C915,$R$2:$R$1387))</f>
        <v>28</v>
      </c>
      <c r="T915" cm="1">
        <f t="array" ref="T915">MIN(IF($C$2:$C$1387=C915,$R$2:$R$1387))</f>
        <v>10</v>
      </c>
      <c r="U915">
        <f t="shared" si="100"/>
        <v>18</v>
      </c>
      <c r="V915">
        <f t="shared" si="101"/>
        <v>0.5</v>
      </c>
      <c r="W915" cm="1">
        <f t="array" ref="W915">_xlfn.IFS(N915=1,5,N915=2,4,N915=4,2,N915=5,1,N915=3,3)</f>
        <v>5</v>
      </c>
      <c r="X915">
        <f t="shared" si="102"/>
        <v>23</v>
      </c>
      <c r="Y915" cm="1">
        <f t="array" ref="Y915">MAX(IF($C$2:$C$1387=C915,$X$2:$X$1387))</f>
        <v>29</v>
      </c>
      <c r="Z915" cm="1">
        <f t="array" ref="Z915">MIN(IF($C$2:$C$1387=C915,$X$2:$X$1387))</f>
        <v>12</v>
      </c>
      <c r="AA915">
        <f t="shared" si="103"/>
        <v>17</v>
      </c>
      <c r="AB915">
        <f t="shared" si="104"/>
        <v>0.6470588235294118</v>
      </c>
    </row>
    <row r="916" spans="1:28" x14ac:dyDescent="0.25">
      <c r="A916" t="s">
        <v>332</v>
      </c>
      <c r="B916" t="s">
        <v>333</v>
      </c>
      <c r="C916">
        <v>2012</v>
      </c>
      <c r="D916">
        <v>0</v>
      </c>
      <c r="E916">
        <v>0.80183833282318129</v>
      </c>
      <c r="F916">
        <v>0.17884641873278237</v>
      </c>
      <c r="G916">
        <v>2.0794415416798357</v>
      </c>
      <c r="H916">
        <v>0.875</v>
      </c>
      <c r="I916">
        <v>1</v>
      </c>
      <c r="J916">
        <v>1</v>
      </c>
      <c r="K916">
        <v>1</v>
      </c>
      <c r="L916">
        <v>4</v>
      </c>
      <c r="M916">
        <v>5</v>
      </c>
      <c r="N916">
        <v>3</v>
      </c>
      <c r="O916">
        <v>5</v>
      </c>
      <c r="P916">
        <v>3</v>
      </c>
      <c r="Q916">
        <f t="shared" si="98"/>
        <v>1</v>
      </c>
      <c r="R916">
        <f t="shared" si="99"/>
        <v>22</v>
      </c>
      <c r="S916">
        <f t="array" ref="S916">MAX(IF($C$2:$C$1387=C916,$R$2:$R$1387))</f>
        <v>29</v>
      </c>
      <c r="T916" cm="1">
        <f t="array" ref="T916">MIN(IF($C$2:$C$1387=C916,$R$2:$R$1387))</f>
        <v>11</v>
      </c>
      <c r="U916">
        <f t="shared" si="100"/>
        <v>18</v>
      </c>
      <c r="V916">
        <f t="shared" si="101"/>
        <v>0.61111111111111116</v>
      </c>
      <c r="W916" cm="1">
        <f t="array" ref="W916">_xlfn.IFS(N916=1,5,N916=2,4,N916=4,2,N916=5,1,N916=3,3)</f>
        <v>3</v>
      </c>
      <c r="X916">
        <f t="shared" si="102"/>
        <v>22</v>
      </c>
      <c r="Y916" cm="1">
        <f t="array" ref="Y916">MAX(IF($C$2:$C$1387=C916,$X$2:$X$1387))</f>
        <v>30</v>
      </c>
      <c r="Z916" cm="1">
        <f t="array" ref="Z916">MIN(IF($C$2:$C$1387=C916,$X$2:$X$1387))</f>
        <v>12</v>
      </c>
      <c r="AA916">
        <f t="shared" si="103"/>
        <v>18</v>
      </c>
      <c r="AB916">
        <f t="shared" si="104"/>
        <v>0.55555555555555558</v>
      </c>
    </row>
    <row r="917" spans="1:28" x14ac:dyDescent="0.25">
      <c r="A917" t="s">
        <v>332</v>
      </c>
      <c r="B917" t="s">
        <v>333</v>
      </c>
      <c r="C917">
        <v>2013</v>
      </c>
      <c r="D917">
        <v>1.147842056932966E-3</v>
      </c>
      <c r="E917">
        <v>0.80513855729007244</v>
      </c>
      <c r="F917">
        <v>0.26286838077747171</v>
      </c>
      <c r="G917">
        <v>2.0794415416798357</v>
      </c>
      <c r="H917">
        <v>0.875</v>
      </c>
      <c r="I917">
        <v>1</v>
      </c>
      <c r="J917">
        <v>0</v>
      </c>
      <c r="K917">
        <v>2</v>
      </c>
      <c r="L917">
        <v>4</v>
      </c>
      <c r="M917">
        <v>5</v>
      </c>
      <c r="N917">
        <v>3</v>
      </c>
      <c r="O917">
        <v>5</v>
      </c>
      <c r="P917">
        <v>3</v>
      </c>
      <c r="Q917">
        <f t="shared" si="98"/>
        <v>5</v>
      </c>
      <c r="R917">
        <f t="shared" si="99"/>
        <v>27</v>
      </c>
      <c r="S917">
        <f t="array" ref="S917">MAX(IF($C$2:$C$1387=C917,$R$2:$R$1387))</f>
        <v>29</v>
      </c>
      <c r="T917" cm="1">
        <f t="array" ref="T917">MIN(IF($C$2:$C$1387=C917,$R$2:$R$1387))</f>
        <v>10</v>
      </c>
      <c r="U917">
        <f t="shared" si="100"/>
        <v>19</v>
      </c>
      <c r="V917">
        <f t="shared" si="101"/>
        <v>0.89473684210526316</v>
      </c>
      <c r="W917" cm="1">
        <f t="array" ref="W917">_xlfn.IFS(N917=1,5,N917=2,4,N917=4,2,N917=5,1,N917=3,3)</f>
        <v>3</v>
      </c>
      <c r="X917">
        <f t="shared" si="102"/>
        <v>27</v>
      </c>
      <c r="Y917" cm="1">
        <f t="array" ref="Y917">MAX(IF($C$2:$C$1387=C917,$X$2:$X$1387))</f>
        <v>32</v>
      </c>
      <c r="Z917" cm="1">
        <f t="array" ref="Z917">MIN(IF($C$2:$C$1387=C917,$X$2:$X$1387))</f>
        <v>10</v>
      </c>
      <c r="AA917">
        <f t="shared" si="103"/>
        <v>22</v>
      </c>
      <c r="AB917">
        <f t="shared" si="104"/>
        <v>0.77272727272727271</v>
      </c>
    </row>
    <row r="918" spans="1:28" x14ac:dyDescent="0.25">
      <c r="A918" t="s">
        <v>332</v>
      </c>
      <c r="B918" t="s">
        <v>333</v>
      </c>
      <c r="C918">
        <v>2014</v>
      </c>
      <c r="D918">
        <v>1.147842056932966E-3</v>
      </c>
      <c r="E918">
        <v>0.81217865523926125</v>
      </c>
      <c r="F918">
        <v>0.25154953576165695</v>
      </c>
      <c r="G918">
        <v>2.0794415416798357</v>
      </c>
      <c r="H918">
        <v>0.875</v>
      </c>
      <c r="I918">
        <v>1</v>
      </c>
      <c r="J918">
        <v>0</v>
      </c>
      <c r="K918">
        <v>2</v>
      </c>
      <c r="L918">
        <v>4</v>
      </c>
      <c r="M918">
        <v>5</v>
      </c>
      <c r="N918">
        <v>3</v>
      </c>
      <c r="O918">
        <v>5</v>
      </c>
      <c r="P918">
        <v>3</v>
      </c>
      <c r="Q918">
        <f t="shared" si="98"/>
        <v>5</v>
      </c>
      <c r="R918">
        <f t="shared" si="99"/>
        <v>27</v>
      </c>
      <c r="S918">
        <f t="array" ref="S918">MAX(IF($C$2:$C$1387=C918,$R$2:$R$1387))</f>
        <v>29</v>
      </c>
      <c r="T918" cm="1">
        <f t="array" ref="T918">MIN(IF($C$2:$C$1387=C918,$R$2:$R$1387))</f>
        <v>11</v>
      </c>
      <c r="U918">
        <f t="shared" si="100"/>
        <v>18</v>
      </c>
      <c r="V918">
        <f t="shared" si="101"/>
        <v>0.88888888888888884</v>
      </c>
      <c r="W918" cm="1">
        <f t="array" ref="W918">_xlfn.IFS(N918=1,5,N918=2,4,N918=4,2,N918=5,1,N918=3,3)</f>
        <v>3</v>
      </c>
      <c r="X918">
        <f t="shared" si="102"/>
        <v>27</v>
      </c>
      <c r="Y918" cm="1">
        <f t="array" ref="Y918">MAX(IF($C$2:$C$1387=C918,$X$2:$X$1387))</f>
        <v>30</v>
      </c>
      <c r="Z918" cm="1">
        <f t="array" ref="Z918">MIN(IF($C$2:$C$1387=C918,$X$2:$X$1387))</f>
        <v>14</v>
      </c>
      <c r="AA918">
        <f t="shared" si="103"/>
        <v>16</v>
      </c>
      <c r="AB918">
        <f t="shared" si="104"/>
        <v>0.8125</v>
      </c>
    </row>
    <row r="919" spans="1:28" x14ac:dyDescent="0.25">
      <c r="A919" t="s">
        <v>332</v>
      </c>
      <c r="B919" t="s">
        <v>333</v>
      </c>
      <c r="C919">
        <v>2015</v>
      </c>
      <c r="D919">
        <v>0</v>
      </c>
      <c r="E919">
        <v>0.83571982450770332</v>
      </c>
      <c r="F919">
        <v>0.15379165391286603</v>
      </c>
      <c r="G919">
        <v>1.9459101490553132</v>
      </c>
      <c r="H919">
        <v>0.7142857142857143</v>
      </c>
      <c r="I919">
        <v>0.66666666666666663</v>
      </c>
      <c r="J919">
        <v>0</v>
      </c>
      <c r="K919">
        <v>1</v>
      </c>
      <c r="L919">
        <v>4</v>
      </c>
      <c r="M919">
        <v>5</v>
      </c>
      <c r="N919">
        <v>1</v>
      </c>
      <c r="O919">
        <v>3</v>
      </c>
      <c r="P919">
        <v>1</v>
      </c>
      <c r="Q919">
        <f t="shared" si="98"/>
        <v>5</v>
      </c>
      <c r="R919">
        <f t="shared" si="99"/>
        <v>20</v>
      </c>
      <c r="S919">
        <f t="array" ref="S919">MAX(IF($C$2:$C$1387=C919,$R$2:$R$1387))</f>
        <v>29</v>
      </c>
      <c r="T919" cm="1">
        <f t="array" ref="T919">MIN(IF($C$2:$C$1387=C919,$R$2:$R$1387))</f>
        <v>11</v>
      </c>
      <c r="U919">
        <f t="shared" si="100"/>
        <v>18</v>
      </c>
      <c r="V919">
        <f t="shared" si="101"/>
        <v>0.5</v>
      </c>
      <c r="W919" cm="1">
        <f t="array" ref="W919">_xlfn.IFS(N919=1,5,N919=2,4,N919=4,2,N919=5,1,N919=3,3)</f>
        <v>5</v>
      </c>
      <c r="X919">
        <f t="shared" si="102"/>
        <v>24</v>
      </c>
      <c r="Y919" cm="1">
        <f t="array" ref="Y919">MAX(IF($C$2:$C$1387=C919,$X$2:$X$1387))</f>
        <v>29</v>
      </c>
      <c r="Z919" cm="1">
        <f t="array" ref="Z919">MIN(IF($C$2:$C$1387=C919,$X$2:$X$1387))</f>
        <v>12</v>
      </c>
      <c r="AA919">
        <f t="shared" si="103"/>
        <v>17</v>
      </c>
      <c r="AB919">
        <f t="shared" si="104"/>
        <v>0.70588235294117652</v>
      </c>
    </row>
    <row r="920" spans="1:28" x14ac:dyDescent="0.25">
      <c r="A920" t="s">
        <v>334</v>
      </c>
      <c r="B920" t="s">
        <v>335</v>
      </c>
      <c r="C920">
        <v>2010</v>
      </c>
      <c r="D920">
        <v>4.804030620047316E-5</v>
      </c>
      <c r="E920">
        <v>0.97031115730592776</v>
      </c>
      <c r="F920">
        <v>1.4999999999999998E-2</v>
      </c>
      <c r="G920">
        <v>2.1972245773362196</v>
      </c>
      <c r="H920">
        <v>0.44444444444444442</v>
      </c>
      <c r="I920">
        <v>1</v>
      </c>
      <c r="J920">
        <v>0</v>
      </c>
      <c r="K920">
        <v>1</v>
      </c>
      <c r="L920">
        <v>5</v>
      </c>
      <c r="M920">
        <v>2</v>
      </c>
      <c r="N920">
        <v>4</v>
      </c>
      <c r="O920">
        <v>2</v>
      </c>
      <c r="P920">
        <v>3</v>
      </c>
      <c r="Q920">
        <f t="shared" si="98"/>
        <v>5</v>
      </c>
      <c r="R920">
        <f t="shared" si="99"/>
        <v>22</v>
      </c>
      <c r="S920">
        <f t="array" ref="S920">MAX(IF($C$2:$C$1387=C920,$R$2:$R$1387))</f>
        <v>29</v>
      </c>
      <c r="T920" cm="1">
        <f t="array" ref="T920">MIN(IF($C$2:$C$1387=C920,$R$2:$R$1387))</f>
        <v>9</v>
      </c>
      <c r="U920">
        <f t="shared" si="100"/>
        <v>20</v>
      </c>
      <c r="V920">
        <f t="shared" si="101"/>
        <v>0.65</v>
      </c>
      <c r="W920" cm="1">
        <f t="array" ref="W920">_xlfn.IFS(N920=1,5,N920=2,4,N920=4,2,N920=5,1,N920=3,3)</f>
        <v>2</v>
      </c>
      <c r="X920">
        <f t="shared" si="102"/>
        <v>20</v>
      </c>
      <c r="Y920" cm="1">
        <f t="array" ref="Y920">MAX(IF($C$2:$C$1387=C920,$X$2:$X$1387))</f>
        <v>29</v>
      </c>
      <c r="Z920" cm="1">
        <f t="array" ref="Z920">MIN(IF($C$2:$C$1387=C920,$X$2:$X$1387))</f>
        <v>12</v>
      </c>
      <c r="AA920">
        <f t="shared" si="103"/>
        <v>17</v>
      </c>
      <c r="AB920">
        <f t="shared" si="104"/>
        <v>0.47058823529411764</v>
      </c>
    </row>
    <row r="921" spans="1:28" x14ac:dyDescent="0.25">
      <c r="A921" t="s">
        <v>334</v>
      </c>
      <c r="B921" t="s">
        <v>335</v>
      </c>
      <c r="C921">
        <v>2011</v>
      </c>
      <c r="D921">
        <v>4.8173381840917684E-5</v>
      </c>
      <c r="E921">
        <v>0.97260838337708022</v>
      </c>
      <c r="F921">
        <v>1.025163069324205E-2</v>
      </c>
      <c r="G921">
        <v>2.3025850929940459</v>
      </c>
      <c r="H921">
        <v>0.4</v>
      </c>
      <c r="I921">
        <v>1</v>
      </c>
      <c r="J921">
        <v>1</v>
      </c>
      <c r="K921">
        <v>1</v>
      </c>
      <c r="L921">
        <v>5</v>
      </c>
      <c r="M921">
        <v>2</v>
      </c>
      <c r="N921">
        <v>5</v>
      </c>
      <c r="O921">
        <v>2</v>
      </c>
      <c r="P921">
        <v>3</v>
      </c>
      <c r="Q921">
        <f t="shared" si="98"/>
        <v>1</v>
      </c>
      <c r="R921">
        <f t="shared" si="99"/>
        <v>19</v>
      </c>
      <c r="S921">
        <f t="array" ref="S921">MAX(IF($C$2:$C$1387=C921,$R$2:$R$1387))</f>
        <v>28</v>
      </c>
      <c r="T921" cm="1">
        <f t="array" ref="T921">MIN(IF($C$2:$C$1387=C921,$R$2:$R$1387))</f>
        <v>10</v>
      </c>
      <c r="U921">
        <f t="shared" si="100"/>
        <v>18</v>
      </c>
      <c r="V921">
        <f t="shared" si="101"/>
        <v>0.5</v>
      </c>
      <c r="W921" cm="1">
        <f t="array" ref="W921">_xlfn.IFS(N921=1,5,N921=2,4,N921=4,2,N921=5,1,N921=3,3)</f>
        <v>1</v>
      </c>
      <c r="X921">
        <f t="shared" si="102"/>
        <v>15</v>
      </c>
      <c r="Y921" cm="1">
        <f t="array" ref="Y921">MAX(IF($C$2:$C$1387=C921,$X$2:$X$1387))</f>
        <v>29</v>
      </c>
      <c r="Z921" cm="1">
        <f t="array" ref="Z921">MIN(IF($C$2:$C$1387=C921,$X$2:$X$1387))</f>
        <v>12</v>
      </c>
      <c r="AA921">
        <f t="shared" si="103"/>
        <v>17</v>
      </c>
      <c r="AB921">
        <f t="shared" si="104"/>
        <v>0.17647058823529413</v>
      </c>
    </row>
    <row r="922" spans="1:28" x14ac:dyDescent="0.25">
      <c r="A922" t="s">
        <v>334</v>
      </c>
      <c r="B922" t="s">
        <v>335</v>
      </c>
      <c r="C922">
        <v>2012</v>
      </c>
      <c r="D922">
        <v>4.8173381840917684E-5</v>
      </c>
      <c r="E922">
        <v>0.9643634237500377</v>
      </c>
      <c r="F922">
        <v>1.4132867854573938E-2</v>
      </c>
      <c r="G922">
        <v>2.1972245773362196</v>
      </c>
      <c r="H922">
        <v>0.44444444444444442</v>
      </c>
      <c r="I922">
        <v>1</v>
      </c>
      <c r="J922">
        <v>0</v>
      </c>
      <c r="K922">
        <v>1</v>
      </c>
      <c r="L922">
        <v>5</v>
      </c>
      <c r="M922">
        <v>2</v>
      </c>
      <c r="N922">
        <v>4</v>
      </c>
      <c r="O922">
        <v>2</v>
      </c>
      <c r="P922">
        <v>3</v>
      </c>
      <c r="Q922">
        <f t="shared" si="98"/>
        <v>5</v>
      </c>
      <c r="R922">
        <f t="shared" si="99"/>
        <v>22</v>
      </c>
      <c r="S922">
        <f t="array" ref="S922">MAX(IF($C$2:$C$1387=C922,$R$2:$R$1387))</f>
        <v>29</v>
      </c>
      <c r="T922" cm="1">
        <f t="array" ref="T922">MIN(IF($C$2:$C$1387=C922,$R$2:$R$1387))</f>
        <v>11</v>
      </c>
      <c r="U922">
        <f t="shared" si="100"/>
        <v>18</v>
      </c>
      <c r="V922">
        <f t="shared" si="101"/>
        <v>0.61111111111111116</v>
      </c>
      <c r="W922" cm="1">
        <f t="array" ref="W922">_xlfn.IFS(N922=1,5,N922=2,4,N922=4,2,N922=5,1,N922=3,3)</f>
        <v>2</v>
      </c>
      <c r="X922">
        <f t="shared" si="102"/>
        <v>20</v>
      </c>
      <c r="Y922" cm="1">
        <f t="array" ref="Y922">MAX(IF($C$2:$C$1387=C922,$X$2:$X$1387))</f>
        <v>30</v>
      </c>
      <c r="Z922" cm="1">
        <f t="array" ref="Z922">MIN(IF($C$2:$C$1387=C922,$X$2:$X$1387))</f>
        <v>12</v>
      </c>
      <c r="AA922">
        <f t="shared" si="103"/>
        <v>18</v>
      </c>
      <c r="AB922">
        <f t="shared" si="104"/>
        <v>0.44444444444444442</v>
      </c>
    </row>
    <row r="923" spans="1:28" x14ac:dyDescent="0.25">
      <c r="A923" t="s">
        <v>334</v>
      </c>
      <c r="B923" t="s">
        <v>335</v>
      </c>
      <c r="C923">
        <v>2013</v>
      </c>
      <c r="D923">
        <v>4.8173381840917684E-5</v>
      </c>
      <c r="E923">
        <v>0.97059311327611431</v>
      </c>
      <c r="F923">
        <v>1.1340858724269903E-2</v>
      </c>
      <c r="G923">
        <v>1.791759469228055</v>
      </c>
      <c r="H923">
        <v>0.33333333333333331</v>
      </c>
      <c r="I923">
        <v>1</v>
      </c>
      <c r="J923">
        <v>0</v>
      </c>
      <c r="K923">
        <v>1</v>
      </c>
      <c r="L923">
        <v>5</v>
      </c>
      <c r="M923">
        <v>2</v>
      </c>
      <c r="N923">
        <v>1</v>
      </c>
      <c r="O923">
        <v>1</v>
      </c>
      <c r="P923">
        <v>3</v>
      </c>
      <c r="Q923">
        <f t="shared" si="98"/>
        <v>5</v>
      </c>
      <c r="R923">
        <f t="shared" si="99"/>
        <v>18</v>
      </c>
      <c r="S923">
        <f t="array" ref="S923">MAX(IF($C$2:$C$1387=C923,$R$2:$R$1387))</f>
        <v>29</v>
      </c>
      <c r="T923" cm="1">
        <f t="array" ref="T923">MIN(IF($C$2:$C$1387=C923,$R$2:$R$1387))</f>
        <v>10</v>
      </c>
      <c r="U923">
        <f t="shared" si="100"/>
        <v>19</v>
      </c>
      <c r="V923">
        <f t="shared" si="101"/>
        <v>0.42105263157894735</v>
      </c>
      <c r="W923" cm="1">
        <f t="array" ref="W923">_xlfn.IFS(N923=1,5,N923=2,4,N923=4,2,N923=5,1,N923=3,3)</f>
        <v>5</v>
      </c>
      <c r="X923">
        <f t="shared" si="102"/>
        <v>22</v>
      </c>
      <c r="Y923" cm="1">
        <f t="array" ref="Y923">MAX(IF($C$2:$C$1387=C923,$X$2:$X$1387))</f>
        <v>32</v>
      </c>
      <c r="Z923" cm="1">
        <f t="array" ref="Z923">MIN(IF($C$2:$C$1387=C923,$X$2:$X$1387))</f>
        <v>10</v>
      </c>
      <c r="AA923">
        <f t="shared" si="103"/>
        <v>22</v>
      </c>
      <c r="AB923">
        <f t="shared" si="104"/>
        <v>0.54545454545454541</v>
      </c>
    </row>
    <row r="924" spans="1:28" x14ac:dyDescent="0.25">
      <c r="A924" t="s">
        <v>334</v>
      </c>
      <c r="B924" t="s">
        <v>335</v>
      </c>
      <c r="C924">
        <v>2014</v>
      </c>
      <c r="D924">
        <v>4.8173381840917684E-5</v>
      </c>
      <c r="E924">
        <v>0.97915684385787349</v>
      </c>
      <c r="F924">
        <v>1.1095435931374803E-2</v>
      </c>
      <c r="G924">
        <v>2.1972245773362196</v>
      </c>
      <c r="H924">
        <v>0.44444444444444442</v>
      </c>
      <c r="I924">
        <v>0.66666666666666663</v>
      </c>
      <c r="J924">
        <v>0</v>
      </c>
      <c r="K924">
        <v>1</v>
      </c>
      <c r="L924">
        <v>5</v>
      </c>
      <c r="M924">
        <v>2</v>
      </c>
      <c r="N924">
        <v>4</v>
      </c>
      <c r="O924">
        <v>2</v>
      </c>
      <c r="P924">
        <v>1</v>
      </c>
      <c r="Q924">
        <f t="shared" si="98"/>
        <v>5</v>
      </c>
      <c r="R924">
        <f t="shared" si="99"/>
        <v>20</v>
      </c>
      <c r="S924">
        <f t="array" ref="S924">MAX(IF($C$2:$C$1387=C924,$R$2:$R$1387))</f>
        <v>29</v>
      </c>
      <c r="T924" cm="1">
        <f t="array" ref="T924">MIN(IF($C$2:$C$1387=C924,$R$2:$R$1387))</f>
        <v>11</v>
      </c>
      <c r="U924">
        <f t="shared" si="100"/>
        <v>18</v>
      </c>
      <c r="V924">
        <f t="shared" si="101"/>
        <v>0.5</v>
      </c>
      <c r="W924" cm="1">
        <f t="array" ref="W924">_xlfn.IFS(N924=1,5,N924=2,4,N924=4,2,N924=5,1,N924=3,3)</f>
        <v>2</v>
      </c>
      <c r="X924">
        <f t="shared" si="102"/>
        <v>18</v>
      </c>
      <c r="Y924" cm="1">
        <f t="array" ref="Y924">MAX(IF($C$2:$C$1387=C924,$X$2:$X$1387))</f>
        <v>30</v>
      </c>
      <c r="Z924" cm="1">
        <f t="array" ref="Z924">MIN(IF($C$2:$C$1387=C924,$X$2:$X$1387))</f>
        <v>14</v>
      </c>
      <c r="AA924">
        <f t="shared" si="103"/>
        <v>16</v>
      </c>
      <c r="AB924">
        <f t="shared" si="104"/>
        <v>0.25</v>
      </c>
    </row>
    <row r="925" spans="1:28" x14ac:dyDescent="0.25">
      <c r="A925" t="s">
        <v>334</v>
      </c>
      <c r="B925" t="s">
        <v>335</v>
      </c>
      <c r="C925">
        <v>2015</v>
      </c>
      <c r="D925">
        <v>4.8173381840917684E-5</v>
      </c>
      <c r="E925">
        <v>0.98452043797604283</v>
      </c>
      <c r="F925">
        <v>9.2412969470506735E-3</v>
      </c>
      <c r="G925">
        <v>2.3025850929940459</v>
      </c>
      <c r="H925">
        <v>0.6</v>
      </c>
      <c r="I925">
        <v>0.66666666666666663</v>
      </c>
      <c r="J925">
        <v>0</v>
      </c>
      <c r="K925">
        <v>1</v>
      </c>
      <c r="L925">
        <v>5</v>
      </c>
      <c r="M925">
        <v>2</v>
      </c>
      <c r="N925">
        <v>5</v>
      </c>
      <c r="O925">
        <v>2</v>
      </c>
      <c r="P925">
        <v>1</v>
      </c>
      <c r="Q925">
        <f t="shared" si="98"/>
        <v>5</v>
      </c>
      <c r="R925">
        <f t="shared" si="99"/>
        <v>21</v>
      </c>
      <c r="S925">
        <f t="array" ref="S925">MAX(IF($C$2:$C$1387=C925,$R$2:$R$1387))</f>
        <v>29</v>
      </c>
      <c r="T925" cm="1">
        <f t="array" ref="T925">MIN(IF($C$2:$C$1387=C925,$R$2:$R$1387))</f>
        <v>11</v>
      </c>
      <c r="U925">
        <f t="shared" si="100"/>
        <v>18</v>
      </c>
      <c r="V925">
        <f t="shared" si="101"/>
        <v>0.55555555555555558</v>
      </c>
      <c r="W925" cm="1">
        <f t="array" ref="W925">_xlfn.IFS(N925=1,5,N925=2,4,N925=4,2,N925=5,1,N925=3,3)</f>
        <v>1</v>
      </c>
      <c r="X925">
        <f t="shared" si="102"/>
        <v>17</v>
      </c>
      <c r="Y925" cm="1">
        <f t="array" ref="Y925">MAX(IF($C$2:$C$1387=C925,$X$2:$X$1387))</f>
        <v>29</v>
      </c>
      <c r="Z925" cm="1">
        <f t="array" ref="Z925">MIN(IF($C$2:$C$1387=C925,$X$2:$X$1387))</f>
        <v>12</v>
      </c>
      <c r="AA925">
        <f t="shared" si="103"/>
        <v>17</v>
      </c>
      <c r="AB925">
        <f t="shared" si="104"/>
        <v>0.29411764705882354</v>
      </c>
    </row>
    <row r="926" spans="1:28" x14ac:dyDescent="0.25">
      <c r="A926" t="s">
        <v>336</v>
      </c>
      <c r="B926" t="s">
        <v>337</v>
      </c>
      <c r="C926">
        <v>2010</v>
      </c>
      <c r="D926">
        <v>0.31132517667195841</v>
      </c>
      <c r="E926">
        <v>0.26788296878220752</v>
      </c>
      <c r="F926">
        <v>0.12094089675812221</v>
      </c>
      <c r="G926">
        <v>2.3978952727983707</v>
      </c>
      <c r="H926">
        <v>0.72727272727272729</v>
      </c>
      <c r="I926">
        <v>1</v>
      </c>
      <c r="J926">
        <v>0</v>
      </c>
      <c r="K926">
        <v>4</v>
      </c>
      <c r="L926">
        <v>1</v>
      </c>
      <c r="M926">
        <v>4</v>
      </c>
      <c r="N926">
        <v>5</v>
      </c>
      <c r="O926">
        <v>4</v>
      </c>
      <c r="P926">
        <v>3</v>
      </c>
      <c r="Q926">
        <f t="shared" si="98"/>
        <v>5</v>
      </c>
      <c r="R926">
        <f t="shared" si="99"/>
        <v>26</v>
      </c>
      <c r="S926">
        <f t="array" ref="S926">MAX(IF($C$2:$C$1387=C926,$R$2:$R$1387))</f>
        <v>29</v>
      </c>
      <c r="T926" cm="1">
        <f t="array" ref="T926">MIN(IF($C$2:$C$1387=C926,$R$2:$R$1387))</f>
        <v>9</v>
      </c>
      <c r="U926">
        <f t="shared" si="100"/>
        <v>20</v>
      </c>
      <c r="V926">
        <f t="shared" si="101"/>
        <v>0.85</v>
      </c>
      <c r="W926" cm="1">
        <f t="array" ref="W926">_xlfn.IFS(N926=1,5,N926=2,4,N926=4,2,N926=5,1,N926=3,3)</f>
        <v>1</v>
      </c>
      <c r="X926">
        <f t="shared" si="102"/>
        <v>22</v>
      </c>
      <c r="Y926" cm="1">
        <f t="array" ref="Y926">MAX(IF($C$2:$C$1387=C926,$X$2:$X$1387))</f>
        <v>29</v>
      </c>
      <c r="Z926" cm="1">
        <f t="array" ref="Z926">MIN(IF($C$2:$C$1387=C926,$X$2:$X$1387))</f>
        <v>12</v>
      </c>
      <c r="AA926">
        <f t="shared" si="103"/>
        <v>17</v>
      </c>
      <c r="AB926">
        <f t="shared" si="104"/>
        <v>0.58823529411764708</v>
      </c>
    </row>
    <row r="927" spans="1:28" x14ac:dyDescent="0.25">
      <c r="A927" t="s">
        <v>336</v>
      </c>
      <c r="B927" t="s">
        <v>337</v>
      </c>
      <c r="C927">
        <v>2011</v>
      </c>
      <c r="D927">
        <v>0.22155075879821137</v>
      </c>
      <c r="E927">
        <v>0.58059404457308839</v>
      </c>
      <c r="F927">
        <v>8.9475277819392171E-2</v>
      </c>
      <c r="G927">
        <v>2.1972245773362196</v>
      </c>
      <c r="H927">
        <v>0.77777777777777779</v>
      </c>
      <c r="I927">
        <v>1</v>
      </c>
      <c r="J927">
        <v>0</v>
      </c>
      <c r="K927">
        <v>3</v>
      </c>
      <c r="L927">
        <v>2</v>
      </c>
      <c r="M927">
        <v>4</v>
      </c>
      <c r="N927">
        <v>4</v>
      </c>
      <c r="O927">
        <v>4</v>
      </c>
      <c r="P927">
        <v>3</v>
      </c>
      <c r="Q927">
        <f t="shared" si="98"/>
        <v>5</v>
      </c>
      <c r="R927">
        <f t="shared" si="99"/>
        <v>25</v>
      </c>
      <c r="S927">
        <f t="array" ref="S927">MAX(IF($C$2:$C$1387=C927,$R$2:$R$1387))</f>
        <v>28</v>
      </c>
      <c r="T927" cm="1">
        <f t="array" ref="T927">MIN(IF($C$2:$C$1387=C927,$R$2:$R$1387))</f>
        <v>10</v>
      </c>
      <c r="U927">
        <f t="shared" si="100"/>
        <v>18</v>
      </c>
      <c r="V927">
        <f t="shared" si="101"/>
        <v>0.83333333333333337</v>
      </c>
      <c r="W927" cm="1">
        <f t="array" ref="W927">_xlfn.IFS(N927=1,5,N927=2,4,N927=4,2,N927=5,1,N927=3,3)</f>
        <v>2</v>
      </c>
      <c r="X927">
        <f t="shared" si="102"/>
        <v>23</v>
      </c>
      <c r="Y927" cm="1">
        <f t="array" ref="Y927">MAX(IF($C$2:$C$1387=C927,$X$2:$X$1387))</f>
        <v>29</v>
      </c>
      <c r="Z927" cm="1">
        <f t="array" ref="Z927">MIN(IF($C$2:$C$1387=C927,$X$2:$X$1387))</f>
        <v>12</v>
      </c>
      <c r="AA927">
        <f t="shared" si="103"/>
        <v>17</v>
      </c>
      <c r="AB927">
        <f t="shared" si="104"/>
        <v>0.6470588235294118</v>
      </c>
    </row>
    <row r="928" spans="1:28" x14ac:dyDescent="0.25">
      <c r="A928" t="s">
        <v>336</v>
      </c>
      <c r="B928" t="s">
        <v>337</v>
      </c>
      <c r="C928">
        <v>2012</v>
      </c>
      <c r="D928">
        <v>0</v>
      </c>
      <c r="E928">
        <v>0.62203475212329429</v>
      </c>
      <c r="F928">
        <v>0</v>
      </c>
      <c r="G928">
        <v>2.1972245773362196</v>
      </c>
      <c r="H928">
        <v>0.77777777777777779</v>
      </c>
      <c r="I928">
        <v>0.5</v>
      </c>
      <c r="J928">
        <v>0</v>
      </c>
      <c r="K928">
        <v>1</v>
      </c>
      <c r="L928">
        <v>3</v>
      </c>
      <c r="M928">
        <v>1</v>
      </c>
      <c r="N928">
        <v>4</v>
      </c>
      <c r="O928">
        <v>5</v>
      </c>
      <c r="P928">
        <v>1</v>
      </c>
      <c r="Q928">
        <f t="shared" si="98"/>
        <v>5</v>
      </c>
      <c r="R928">
        <f t="shared" si="99"/>
        <v>20</v>
      </c>
      <c r="S928">
        <f t="array" ref="S928">MAX(IF($C$2:$C$1387=C928,$R$2:$R$1387))</f>
        <v>29</v>
      </c>
      <c r="T928" cm="1">
        <f t="array" ref="T928">MIN(IF($C$2:$C$1387=C928,$R$2:$R$1387))</f>
        <v>11</v>
      </c>
      <c r="U928">
        <f t="shared" si="100"/>
        <v>18</v>
      </c>
      <c r="V928">
        <f t="shared" si="101"/>
        <v>0.5</v>
      </c>
      <c r="W928" cm="1">
        <f t="array" ref="W928">_xlfn.IFS(N928=1,5,N928=2,4,N928=4,2,N928=5,1,N928=3,3)</f>
        <v>2</v>
      </c>
      <c r="X928">
        <f t="shared" si="102"/>
        <v>18</v>
      </c>
      <c r="Y928" cm="1">
        <f t="array" ref="Y928">MAX(IF($C$2:$C$1387=C928,$X$2:$X$1387))</f>
        <v>30</v>
      </c>
      <c r="Z928" cm="1">
        <f t="array" ref="Z928">MIN(IF($C$2:$C$1387=C928,$X$2:$X$1387))</f>
        <v>12</v>
      </c>
      <c r="AA928">
        <f t="shared" si="103"/>
        <v>18</v>
      </c>
      <c r="AB928">
        <f t="shared" si="104"/>
        <v>0.33333333333333331</v>
      </c>
    </row>
    <row r="929" spans="1:28" x14ac:dyDescent="0.25">
      <c r="A929" t="s">
        <v>336</v>
      </c>
      <c r="B929" t="s">
        <v>337</v>
      </c>
      <c r="C929">
        <v>2013</v>
      </c>
      <c r="D929">
        <v>0.2519949142685769</v>
      </c>
      <c r="E929">
        <v>0.3773519118713069</v>
      </c>
      <c r="F929">
        <v>7.923438998908594E-2</v>
      </c>
      <c r="G929">
        <v>2.1972245773362196</v>
      </c>
      <c r="H929">
        <v>0.55555555555555558</v>
      </c>
      <c r="I929">
        <v>1</v>
      </c>
      <c r="J929">
        <v>0</v>
      </c>
      <c r="K929">
        <v>3</v>
      </c>
      <c r="L929">
        <v>1</v>
      </c>
      <c r="M929">
        <v>4</v>
      </c>
      <c r="N929">
        <v>4</v>
      </c>
      <c r="O929">
        <v>2</v>
      </c>
      <c r="P929">
        <v>3</v>
      </c>
      <c r="Q929">
        <f t="shared" si="98"/>
        <v>5</v>
      </c>
      <c r="R929">
        <f t="shared" si="99"/>
        <v>22</v>
      </c>
      <c r="S929">
        <f t="array" ref="S929">MAX(IF($C$2:$C$1387=C929,$R$2:$R$1387))</f>
        <v>29</v>
      </c>
      <c r="T929" cm="1">
        <f t="array" ref="T929">MIN(IF($C$2:$C$1387=C929,$R$2:$R$1387))</f>
        <v>10</v>
      </c>
      <c r="U929">
        <f t="shared" si="100"/>
        <v>19</v>
      </c>
      <c r="V929">
        <f t="shared" si="101"/>
        <v>0.63157894736842102</v>
      </c>
      <c r="W929" cm="1">
        <f t="array" ref="W929">_xlfn.IFS(N929=1,5,N929=2,4,N929=4,2,N929=5,1,N929=3,3)</f>
        <v>2</v>
      </c>
      <c r="X929">
        <f t="shared" si="102"/>
        <v>20</v>
      </c>
      <c r="Y929" cm="1">
        <f t="array" ref="Y929">MAX(IF($C$2:$C$1387=C929,$X$2:$X$1387))</f>
        <v>32</v>
      </c>
      <c r="Z929" cm="1">
        <f t="array" ref="Z929">MIN(IF($C$2:$C$1387=C929,$X$2:$X$1387))</f>
        <v>10</v>
      </c>
      <c r="AA929">
        <f t="shared" si="103"/>
        <v>22</v>
      </c>
      <c r="AB929">
        <f t="shared" si="104"/>
        <v>0.45454545454545453</v>
      </c>
    </row>
    <row r="930" spans="1:28" x14ac:dyDescent="0.25">
      <c r="A930" t="s">
        <v>336</v>
      </c>
      <c r="B930" t="s">
        <v>337</v>
      </c>
      <c r="C930">
        <v>2014</v>
      </c>
      <c r="D930">
        <v>0.25342399383663544</v>
      </c>
      <c r="E930">
        <v>0.3773519118713069</v>
      </c>
      <c r="F930">
        <v>8.5794980714189145E-2</v>
      </c>
      <c r="G930">
        <v>2.1972245773362196</v>
      </c>
      <c r="H930">
        <v>0.77777777777777779</v>
      </c>
      <c r="I930">
        <v>1</v>
      </c>
      <c r="J930">
        <v>0</v>
      </c>
      <c r="K930">
        <v>3</v>
      </c>
      <c r="L930">
        <v>1</v>
      </c>
      <c r="M930">
        <v>4</v>
      </c>
      <c r="N930">
        <v>4</v>
      </c>
      <c r="O930">
        <v>5</v>
      </c>
      <c r="P930">
        <v>3</v>
      </c>
      <c r="Q930">
        <f t="shared" si="98"/>
        <v>5</v>
      </c>
      <c r="R930">
        <f t="shared" si="99"/>
        <v>25</v>
      </c>
      <c r="S930">
        <f t="array" ref="S930">MAX(IF($C$2:$C$1387=C930,$R$2:$R$1387))</f>
        <v>29</v>
      </c>
      <c r="T930" cm="1">
        <f t="array" ref="T930">MIN(IF($C$2:$C$1387=C930,$R$2:$R$1387))</f>
        <v>11</v>
      </c>
      <c r="U930">
        <f t="shared" si="100"/>
        <v>18</v>
      </c>
      <c r="V930">
        <f t="shared" si="101"/>
        <v>0.77777777777777779</v>
      </c>
      <c r="W930" cm="1">
        <f t="array" ref="W930">_xlfn.IFS(N930=1,5,N930=2,4,N930=4,2,N930=5,1,N930=3,3)</f>
        <v>2</v>
      </c>
      <c r="X930">
        <f t="shared" si="102"/>
        <v>23</v>
      </c>
      <c r="Y930" cm="1">
        <f t="array" ref="Y930">MAX(IF($C$2:$C$1387=C930,$X$2:$X$1387))</f>
        <v>30</v>
      </c>
      <c r="Z930" cm="1">
        <f t="array" ref="Z930">MIN(IF($C$2:$C$1387=C930,$X$2:$X$1387))</f>
        <v>14</v>
      </c>
      <c r="AA930">
        <f t="shared" si="103"/>
        <v>16</v>
      </c>
      <c r="AB930">
        <f t="shared" si="104"/>
        <v>0.5625</v>
      </c>
    </row>
    <row r="931" spans="1:28" x14ac:dyDescent="0.25">
      <c r="A931" t="s">
        <v>336</v>
      </c>
      <c r="B931" t="s">
        <v>337</v>
      </c>
      <c r="C931">
        <v>2015</v>
      </c>
      <c r="D931">
        <v>0.25342399383663544</v>
      </c>
      <c r="E931">
        <v>0.62203475212329429</v>
      </c>
      <c r="F931">
        <v>8.2811111763824635E-2</v>
      </c>
      <c r="G931">
        <v>2.1972245773362196</v>
      </c>
      <c r="H931">
        <v>0.88888888888888884</v>
      </c>
      <c r="I931">
        <v>1</v>
      </c>
      <c r="J931">
        <v>0</v>
      </c>
      <c r="K931">
        <v>3</v>
      </c>
      <c r="L931">
        <v>3</v>
      </c>
      <c r="M931">
        <v>4</v>
      </c>
      <c r="N931">
        <v>4</v>
      </c>
      <c r="O931">
        <v>5</v>
      </c>
      <c r="P931">
        <v>2</v>
      </c>
      <c r="Q931">
        <f t="shared" si="98"/>
        <v>5</v>
      </c>
      <c r="R931">
        <f t="shared" si="99"/>
        <v>26</v>
      </c>
      <c r="S931">
        <f t="array" ref="S931">MAX(IF($C$2:$C$1387=C931,$R$2:$R$1387))</f>
        <v>29</v>
      </c>
      <c r="T931" cm="1">
        <f t="array" ref="T931">MIN(IF($C$2:$C$1387=C931,$R$2:$R$1387))</f>
        <v>11</v>
      </c>
      <c r="U931">
        <f t="shared" si="100"/>
        <v>18</v>
      </c>
      <c r="V931">
        <f t="shared" si="101"/>
        <v>0.83333333333333337</v>
      </c>
      <c r="W931" cm="1">
        <f t="array" ref="W931">_xlfn.IFS(N931=1,5,N931=2,4,N931=4,2,N931=5,1,N931=3,3)</f>
        <v>2</v>
      </c>
      <c r="X931">
        <f t="shared" si="102"/>
        <v>24</v>
      </c>
      <c r="Y931" cm="1">
        <f t="array" ref="Y931">MAX(IF($C$2:$C$1387=C931,$X$2:$X$1387))</f>
        <v>29</v>
      </c>
      <c r="Z931" cm="1">
        <f t="array" ref="Z931">MIN(IF($C$2:$C$1387=C931,$X$2:$X$1387))</f>
        <v>12</v>
      </c>
      <c r="AA931">
        <f t="shared" si="103"/>
        <v>17</v>
      </c>
      <c r="AB931">
        <f t="shared" si="104"/>
        <v>0.70588235294117652</v>
      </c>
    </row>
    <row r="932" spans="1:28" x14ac:dyDescent="0.25">
      <c r="A932" t="s">
        <v>338</v>
      </c>
      <c r="B932" t="s">
        <v>339</v>
      </c>
      <c r="C932">
        <v>2010</v>
      </c>
      <c r="D932">
        <v>1.8855075660186864E-3</v>
      </c>
      <c r="E932">
        <v>0.71261764651609905</v>
      </c>
      <c r="F932">
        <v>6.8033274489938483E-2</v>
      </c>
      <c r="G932">
        <v>2.1972245773362196</v>
      </c>
      <c r="H932">
        <v>0.88888888888888884</v>
      </c>
      <c r="I932">
        <v>0.75</v>
      </c>
      <c r="J932">
        <v>0</v>
      </c>
      <c r="K932">
        <v>2</v>
      </c>
      <c r="L932">
        <v>3</v>
      </c>
      <c r="M932">
        <v>3</v>
      </c>
      <c r="N932">
        <v>4</v>
      </c>
      <c r="O932">
        <v>5</v>
      </c>
      <c r="P932">
        <v>3</v>
      </c>
      <c r="Q932">
        <f t="shared" si="98"/>
        <v>5</v>
      </c>
      <c r="R932">
        <f t="shared" si="99"/>
        <v>25</v>
      </c>
      <c r="S932">
        <f t="array" ref="S932">MAX(IF($C$2:$C$1387=C932,$R$2:$R$1387))</f>
        <v>29</v>
      </c>
      <c r="T932" cm="1">
        <f t="array" ref="T932">MIN(IF($C$2:$C$1387=C932,$R$2:$R$1387))</f>
        <v>9</v>
      </c>
      <c r="U932">
        <f t="shared" si="100"/>
        <v>20</v>
      </c>
      <c r="V932">
        <f t="shared" si="101"/>
        <v>0.8</v>
      </c>
      <c r="W932" cm="1">
        <f t="array" ref="W932">_xlfn.IFS(N932=1,5,N932=2,4,N932=4,2,N932=5,1,N932=3,3)</f>
        <v>2</v>
      </c>
      <c r="X932">
        <f t="shared" si="102"/>
        <v>23</v>
      </c>
      <c r="Y932" cm="1">
        <f t="array" ref="Y932">MAX(IF($C$2:$C$1387=C932,$X$2:$X$1387))</f>
        <v>29</v>
      </c>
      <c r="Z932" cm="1">
        <f t="array" ref="Z932">MIN(IF($C$2:$C$1387=C932,$X$2:$X$1387))</f>
        <v>12</v>
      </c>
      <c r="AA932">
        <f t="shared" si="103"/>
        <v>17</v>
      </c>
      <c r="AB932">
        <f t="shared" si="104"/>
        <v>0.6470588235294118</v>
      </c>
    </row>
    <row r="933" spans="1:28" x14ac:dyDescent="0.25">
      <c r="A933" t="s">
        <v>338</v>
      </c>
      <c r="B933" t="s">
        <v>339</v>
      </c>
      <c r="C933">
        <v>2011</v>
      </c>
      <c r="D933">
        <v>1.8855075660186864E-3</v>
      </c>
      <c r="E933">
        <v>0.69325275097996664</v>
      </c>
      <c r="F933">
        <v>6.6557063887407314E-2</v>
      </c>
      <c r="G933">
        <v>2.1972245773362196</v>
      </c>
      <c r="H933">
        <v>0.88888888888888884</v>
      </c>
      <c r="I933">
        <v>0.75</v>
      </c>
      <c r="J933">
        <v>0</v>
      </c>
      <c r="K933">
        <v>2</v>
      </c>
      <c r="L933">
        <v>3</v>
      </c>
      <c r="M933">
        <v>3</v>
      </c>
      <c r="N933">
        <v>4</v>
      </c>
      <c r="O933">
        <v>5</v>
      </c>
      <c r="P933">
        <v>3</v>
      </c>
      <c r="Q933">
        <f t="shared" si="98"/>
        <v>5</v>
      </c>
      <c r="R933">
        <f t="shared" si="99"/>
        <v>25</v>
      </c>
      <c r="S933">
        <f t="array" ref="S933">MAX(IF($C$2:$C$1387=C933,$R$2:$R$1387))</f>
        <v>28</v>
      </c>
      <c r="T933" cm="1">
        <f t="array" ref="T933">MIN(IF($C$2:$C$1387=C933,$R$2:$R$1387))</f>
        <v>10</v>
      </c>
      <c r="U933">
        <f t="shared" si="100"/>
        <v>18</v>
      </c>
      <c r="V933">
        <f t="shared" si="101"/>
        <v>0.83333333333333337</v>
      </c>
      <c r="W933" cm="1">
        <f t="array" ref="W933">_xlfn.IFS(N933=1,5,N933=2,4,N933=4,2,N933=5,1,N933=3,3)</f>
        <v>2</v>
      </c>
      <c r="X933">
        <f t="shared" si="102"/>
        <v>23</v>
      </c>
      <c r="Y933" cm="1">
        <f t="array" ref="Y933">MAX(IF($C$2:$C$1387=C933,$X$2:$X$1387))</f>
        <v>29</v>
      </c>
      <c r="Z933" cm="1">
        <f t="array" ref="Z933">MIN(IF($C$2:$C$1387=C933,$X$2:$X$1387))</f>
        <v>12</v>
      </c>
      <c r="AA933">
        <f t="shared" si="103"/>
        <v>17</v>
      </c>
      <c r="AB933">
        <f t="shared" si="104"/>
        <v>0.6470588235294118</v>
      </c>
    </row>
    <row r="934" spans="1:28" x14ac:dyDescent="0.25">
      <c r="A934" t="s">
        <v>338</v>
      </c>
      <c r="B934" t="s">
        <v>339</v>
      </c>
      <c r="C934">
        <v>2012</v>
      </c>
      <c r="D934">
        <v>1.5363134627770861E-3</v>
      </c>
      <c r="E934">
        <v>0.69325257524060913</v>
      </c>
      <c r="F934">
        <v>7.1455622736806584E-2</v>
      </c>
      <c r="G934">
        <v>2.1972245773362196</v>
      </c>
      <c r="H934">
        <v>0.88888888888888884</v>
      </c>
      <c r="I934">
        <v>0.25</v>
      </c>
      <c r="J934">
        <v>0</v>
      </c>
      <c r="K934">
        <v>2</v>
      </c>
      <c r="L934">
        <v>3</v>
      </c>
      <c r="M934">
        <v>3</v>
      </c>
      <c r="N934">
        <v>4</v>
      </c>
      <c r="O934">
        <v>5</v>
      </c>
      <c r="P934">
        <v>1</v>
      </c>
      <c r="Q934">
        <f t="shared" si="98"/>
        <v>5</v>
      </c>
      <c r="R934">
        <f t="shared" si="99"/>
        <v>23</v>
      </c>
      <c r="S934">
        <f t="array" ref="S934">MAX(IF($C$2:$C$1387=C934,$R$2:$R$1387))</f>
        <v>29</v>
      </c>
      <c r="T934" cm="1">
        <f t="array" ref="T934">MIN(IF($C$2:$C$1387=C934,$R$2:$R$1387))</f>
        <v>11</v>
      </c>
      <c r="U934">
        <f t="shared" si="100"/>
        <v>18</v>
      </c>
      <c r="V934">
        <f t="shared" si="101"/>
        <v>0.66666666666666663</v>
      </c>
      <c r="W934" cm="1">
        <f t="array" ref="W934">_xlfn.IFS(N934=1,5,N934=2,4,N934=4,2,N934=5,1,N934=3,3)</f>
        <v>2</v>
      </c>
      <c r="X934">
        <f t="shared" si="102"/>
        <v>21</v>
      </c>
      <c r="Y934" cm="1">
        <f t="array" ref="Y934">MAX(IF($C$2:$C$1387=C934,$X$2:$X$1387))</f>
        <v>30</v>
      </c>
      <c r="Z934" cm="1">
        <f t="array" ref="Z934">MIN(IF($C$2:$C$1387=C934,$X$2:$X$1387))</f>
        <v>12</v>
      </c>
      <c r="AA934">
        <f t="shared" si="103"/>
        <v>18</v>
      </c>
      <c r="AB934">
        <f t="shared" si="104"/>
        <v>0.5</v>
      </c>
    </row>
    <row r="935" spans="1:28" x14ac:dyDescent="0.25">
      <c r="A935" t="s">
        <v>338</v>
      </c>
      <c r="B935" t="s">
        <v>339</v>
      </c>
      <c r="C935">
        <v>2013</v>
      </c>
      <c r="D935">
        <v>1.537192159564307E-3</v>
      </c>
      <c r="E935">
        <v>0.69325257524060913</v>
      </c>
      <c r="F935">
        <v>7.1455622736806584E-2</v>
      </c>
      <c r="G935">
        <v>2.1972245773362196</v>
      </c>
      <c r="H935">
        <v>0.44444444444444442</v>
      </c>
      <c r="I935">
        <v>0.25</v>
      </c>
      <c r="J935">
        <v>0</v>
      </c>
      <c r="K935">
        <v>2</v>
      </c>
      <c r="L935">
        <v>3</v>
      </c>
      <c r="M935">
        <v>4</v>
      </c>
      <c r="N935">
        <v>4</v>
      </c>
      <c r="O935">
        <v>2</v>
      </c>
      <c r="P935">
        <v>1</v>
      </c>
      <c r="Q935">
        <f t="shared" si="98"/>
        <v>5</v>
      </c>
      <c r="R935">
        <f t="shared" si="99"/>
        <v>21</v>
      </c>
      <c r="S935">
        <f t="array" ref="S935">MAX(IF($C$2:$C$1387=C935,$R$2:$R$1387))</f>
        <v>29</v>
      </c>
      <c r="T935" cm="1">
        <f t="array" ref="T935">MIN(IF($C$2:$C$1387=C935,$R$2:$R$1387))</f>
        <v>10</v>
      </c>
      <c r="U935">
        <f t="shared" si="100"/>
        <v>19</v>
      </c>
      <c r="V935">
        <f t="shared" si="101"/>
        <v>0.57894736842105265</v>
      </c>
      <c r="W935" cm="1">
        <f t="array" ref="W935">_xlfn.IFS(N935=1,5,N935=2,4,N935=4,2,N935=5,1,N935=3,3)</f>
        <v>2</v>
      </c>
      <c r="X935">
        <f t="shared" si="102"/>
        <v>19</v>
      </c>
      <c r="Y935" cm="1">
        <f t="array" ref="Y935">MAX(IF($C$2:$C$1387=C935,$X$2:$X$1387))</f>
        <v>32</v>
      </c>
      <c r="Z935" cm="1">
        <f t="array" ref="Z935">MIN(IF($C$2:$C$1387=C935,$X$2:$X$1387))</f>
        <v>10</v>
      </c>
      <c r="AA935">
        <f t="shared" si="103"/>
        <v>22</v>
      </c>
      <c r="AB935">
        <f t="shared" si="104"/>
        <v>0.40909090909090912</v>
      </c>
    </row>
    <row r="936" spans="1:28" x14ac:dyDescent="0.25">
      <c r="A936" t="s">
        <v>338</v>
      </c>
      <c r="B936" t="s">
        <v>339</v>
      </c>
      <c r="C936">
        <v>2014</v>
      </c>
      <c r="D936">
        <v>1.537192159564307E-3</v>
      </c>
      <c r="E936">
        <v>0.69325257524060913</v>
      </c>
      <c r="F936">
        <v>7.1455622736806584E-2</v>
      </c>
      <c r="G936">
        <v>2.1972245773362196</v>
      </c>
      <c r="H936">
        <v>0.44444444444444442</v>
      </c>
      <c r="I936">
        <v>0.25</v>
      </c>
      <c r="J936">
        <v>0</v>
      </c>
      <c r="K936">
        <v>2</v>
      </c>
      <c r="L936">
        <v>3</v>
      </c>
      <c r="M936">
        <v>3</v>
      </c>
      <c r="N936">
        <v>4</v>
      </c>
      <c r="O936">
        <v>2</v>
      </c>
      <c r="P936">
        <v>1</v>
      </c>
      <c r="Q936">
        <f t="shared" si="98"/>
        <v>5</v>
      </c>
      <c r="R936">
        <f t="shared" si="99"/>
        <v>20</v>
      </c>
      <c r="S936">
        <f t="array" ref="S936">MAX(IF($C$2:$C$1387=C936,$R$2:$R$1387))</f>
        <v>29</v>
      </c>
      <c r="T936" cm="1">
        <f t="array" ref="T936">MIN(IF($C$2:$C$1387=C936,$R$2:$R$1387))</f>
        <v>11</v>
      </c>
      <c r="U936">
        <f t="shared" si="100"/>
        <v>18</v>
      </c>
      <c r="V936">
        <f t="shared" si="101"/>
        <v>0.5</v>
      </c>
      <c r="W936" cm="1">
        <f t="array" ref="W936">_xlfn.IFS(N936=1,5,N936=2,4,N936=4,2,N936=5,1,N936=3,3)</f>
        <v>2</v>
      </c>
      <c r="X936">
        <f t="shared" si="102"/>
        <v>18</v>
      </c>
      <c r="Y936" cm="1">
        <f t="array" ref="Y936">MAX(IF($C$2:$C$1387=C936,$X$2:$X$1387))</f>
        <v>30</v>
      </c>
      <c r="Z936" cm="1">
        <f t="array" ref="Z936">MIN(IF($C$2:$C$1387=C936,$X$2:$X$1387))</f>
        <v>14</v>
      </c>
      <c r="AA936">
        <f t="shared" si="103"/>
        <v>16</v>
      </c>
      <c r="AB936">
        <f t="shared" si="104"/>
        <v>0.25</v>
      </c>
    </row>
    <row r="937" spans="1:28" x14ac:dyDescent="0.25">
      <c r="A937" t="s">
        <v>338</v>
      </c>
      <c r="B937" t="s">
        <v>339</v>
      </c>
      <c r="C937">
        <v>2015</v>
      </c>
      <c r="D937">
        <v>1.537192159564307E-3</v>
      </c>
      <c r="E937">
        <v>0.69325257524060913</v>
      </c>
      <c r="F937">
        <v>6.7213801866176232E-2</v>
      </c>
      <c r="G937">
        <v>2.1972245773362196</v>
      </c>
      <c r="H937">
        <v>0.88888888888888884</v>
      </c>
      <c r="I937">
        <v>1</v>
      </c>
      <c r="J937">
        <v>0</v>
      </c>
      <c r="K937">
        <v>2</v>
      </c>
      <c r="L937">
        <v>3</v>
      </c>
      <c r="M937">
        <v>3</v>
      </c>
      <c r="N937">
        <v>4</v>
      </c>
      <c r="O937">
        <v>5</v>
      </c>
      <c r="P937">
        <v>2</v>
      </c>
      <c r="Q937">
        <f t="shared" si="98"/>
        <v>5</v>
      </c>
      <c r="R937">
        <f t="shared" si="99"/>
        <v>24</v>
      </c>
      <c r="S937">
        <f t="array" ref="S937">MAX(IF($C$2:$C$1387=C937,$R$2:$R$1387))</f>
        <v>29</v>
      </c>
      <c r="T937" cm="1">
        <f t="array" ref="T937">MIN(IF($C$2:$C$1387=C937,$R$2:$R$1387))</f>
        <v>11</v>
      </c>
      <c r="U937">
        <f t="shared" si="100"/>
        <v>18</v>
      </c>
      <c r="V937">
        <f t="shared" si="101"/>
        <v>0.72222222222222221</v>
      </c>
      <c r="W937" cm="1">
        <f t="array" ref="W937">_xlfn.IFS(N937=1,5,N937=2,4,N937=4,2,N937=5,1,N937=3,3)</f>
        <v>2</v>
      </c>
      <c r="X937">
        <f t="shared" si="102"/>
        <v>22</v>
      </c>
      <c r="Y937" cm="1">
        <f t="array" ref="Y937">MAX(IF($C$2:$C$1387=C937,$X$2:$X$1387))</f>
        <v>29</v>
      </c>
      <c r="Z937" cm="1">
        <f t="array" ref="Z937">MIN(IF($C$2:$C$1387=C937,$X$2:$X$1387))</f>
        <v>12</v>
      </c>
      <c r="AA937">
        <f t="shared" si="103"/>
        <v>17</v>
      </c>
      <c r="AB937">
        <f t="shared" si="104"/>
        <v>0.58823529411764708</v>
      </c>
    </row>
    <row r="938" spans="1:28" x14ac:dyDescent="0.25">
      <c r="A938" t="s">
        <v>340</v>
      </c>
      <c r="B938" t="s">
        <v>341</v>
      </c>
      <c r="C938">
        <v>2010</v>
      </c>
      <c r="D938">
        <v>0.17019398609220271</v>
      </c>
      <c r="E938">
        <v>0.85435014094213746</v>
      </c>
      <c r="F938">
        <v>0</v>
      </c>
      <c r="G938">
        <v>2.0794415416798357</v>
      </c>
      <c r="H938">
        <v>0.75</v>
      </c>
      <c r="I938">
        <v>1</v>
      </c>
      <c r="J938">
        <v>0</v>
      </c>
      <c r="K938">
        <v>3</v>
      </c>
      <c r="L938">
        <v>5</v>
      </c>
      <c r="M938">
        <v>1</v>
      </c>
      <c r="N938">
        <v>3</v>
      </c>
      <c r="O938">
        <v>4</v>
      </c>
      <c r="P938">
        <v>3</v>
      </c>
      <c r="Q938">
        <f t="shared" si="98"/>
        <v>5</v>
      </c>
      <c r="R938">
        <f t="shared" si="99"/>
        <v>24</v>
      </c>
      <c r="S938">
        <f t="array" ref="S938">MAX(IF($C$2:$C$1387=C938,$R$2:$R$1387))</f>
        <v>29</v>
      </c>
      <c r="T938" cm="1">
        <f t="array" ref="T938">MIN(IF($C$2:$C$1387=C938,$R$2:$R$1387))</f>
        <v>9</v>
      </c>
      <c r="U938">
        <f t="shared" si="100"/>
        <v>20</v>
      </c>
      <c r="V938">
        <f t="shared" si="101"/>
        <v>0.75</v>
      </c>
      <c r="W938" cm="1">
        <f t="array" ref="W938">_xlfn.IFS(N938=1,5,N938=2,4,N938=4,2,N938=5,1,N938=3,3)</f>
        <v>3</v>
      </c>
      <c r="X938">
        <f t="shared" si="102"/>
        <v>24</v>
      </c>
      <c r="Y938" cm="1">
        <f t="array" ref="Y938">MAX(IF($C$2:$C$1387=C938,$X$2:$X$1387))</f>
        <v>29</v>
      </c>
      <c r="Z938" cm="1">
        <f t="array" ref="Z938">MIN(IF($C$2:$C$1387=C938,$X$2:$X$1387))</f>
        <v>12</v>
      </c>
      <c r="AA938">
        <f t="shared" si="103"/>
        <v>17</v>
      </c>
      <c r="AB938">
        <f t="shared" si="104"/>
        <v>0.70588235294117652</v>
      </c>
    </row>
    <row r="939" spans="1:28" x14ac:dyDescent="0.25">
      <c r="A939" t="s">
        <v>340</v>
      </c>
      <c r="B939" t="s">
        <v>341</v>
      </c>
      <c r="C939">
        <v>2011</v>
      </c>
      <c r="D939">
        <v>0.17019398609220271</v>
      </c>
      <c r="E939">
        <v>0.85435014094213746</v>
      </c>
      <c r="F939">
        <v>5.2555553044896237E-2</v>
      </c>
      <c r="G939">
        <v>2.1972245773362196</v>
      </c>
      <c r="H939">
        <v>0.66666666666666663</v>
      </c>
      <c r="I939">
        <v>1</v>
      </c>
      <c r="J939">
        <v>0</v>
      </c>
      <c r="K939">
        <v>3</v>
      </c>
      <c r="L939">
        <v>5</v>
      </c>
      <c r="M939">
        <v>3</v>
      </c>
      <c r="N939">
        <v>4</v>
      </c>
      <c r="O939">
        <v>3</v>
      </c>
      <c r="P939">
        <v>3</v>
      </c>
      <c r="Q939">
        <f t="shared" si="98"/>
        <v>5</v>
      </c>
      <c r="R939">
        <f t="shared" si="99"/>
        <v>26</v>
      </c>
      <c r="S939">
        <f t="array" ref="S939">MAX(IF($C$2:$C$1387=C939,$R$2:$R$1387))</f>
        <v>28</v>
      </c>
      <c r="T939" cm="1">
        <f t="array" ref="T939">MIN(IF($C$2:$C$1387=C939,$R$2:$R$1387))</f>
        <v>10</v>
      </c>
      <c r="U939">
        <f t="shared" si="100"/>
        <v>18</v>
      </c>
      <c r="V939">
        <f t="shared" si="101"/>
        <v>0.88888888888888884</v>
      </c>
      <c r="W939" cm="1">
        <f t="array" ref="W939">_xlfn.IFS(N939=1,5,N939=2,4,N939=4,2,N939=5,1,N939=3,3)</f>
        <v>2</v>
      </c>
      <c r="X939">
        <f t="shared" si="102"/>
        <v>24</v>
      </c>
      <c r="Y939" cm="1">
        <f t="array" ref="Y939">MAX(IF($C$2:$C$1387=C939,$X$2:$X$1387))</f>
        <v>29</v>
      </c>
      <c r="Z939" cm="1">
        <f t="array" ref="Z939">MIN(IF($C$2:$C$1387=C939,$X$2:$X$1387))</f>
        <v>12</v>
      </c>
      <c r="AA939">
        <f t="shared" si="103"/>
        <v>17</v>
      </c>
      <c r="AB939">
        <f t="shared" si="104"/>
        <v>0.70588235294117652</v>
      </c>
    </row>
    <row r="940" spans="1:28" x14ac:dyDescent="0.25">
      <c r="A940" t="s">
        <v>340</v>
      </c>
      <c r="B940" t="s">
        <v>341</v>
      </c>
      <c r="C940">
        <v>2012</v>
      </c>
      <c r="D940">
        <v>0.16968910819498031</v>
      </c>
      <c r="E940">
        <v>0.83010658690302008</v>
      </c>
      <c r="F940">
        <v>3.5437250150168811E-2</v>
      </c>
      <c r="G940">
        <v>2.0794415416798357</v>
      </c>
      <c r="H940">
        <v>0.75</v>
      </c>
      <c r="I940">
        <v>1</v>
      </c>
      <c r="J940">
        <v>0</v>
      </c>
      <c r="K940">
        <v>3</v>
      </c>
      <c r="L940">
        <v>4</v>
      </c>
      <c r="M940">
        <v>3</v>
      </c>
      <c r="N940">
        <v>3</v>
      </c>
      <c r="O940">
        <v>4</v>
      </c>
      <c r="P940">
        <v>3</v>
      </c>
      <c r="Q940">
        <f t="shared" si="98"/>
        <v>5</v>
      </c>
      <c r="R940">
        <f t="shared" si="99"/>
        <v>25</v>
      </c>
      <c r="S940">
        <f t="array" ref="S940">MAX(IF($C$2:$C$1387=C940,$R$2:$R$1387))</f>
        <v>29</v>
      </c>
      <c r="T940" cm="1">
        <f t="array" ref="T940">MIN(IF($C$2:$C$1387=C940,$R$2:$R$1387))</f>
        <v>11</v>
      </c>
      <c r="U940">
        <f t="shared" si="100"/>
        <v>18</v>
      </c>
      <c r="V940">
        <f t="shared" si="101"/>
        <v>0.77777777777777779</v>
      </c>
      <c r="W940" cm="1">
        <f t="array" ref="W940">_xlfn.IFS(N940=1,5,N940=2,4,N940=4,2,N940=5,1,N940=3,3)</f>
        <v>3</v>
      </c>
      <c r="X940">
        <f t="shared" si="102"/>
        <v>25</v>
      </c>
      <c r="Y940" cm="1">
        <f t="array" ref="Y940">MAX(IF($C$2:$C$1387=C940,$X$2:$X$1387))</f>
        <v>30</v>
      </c>
      <c r="Z940" cm="1">
        <f t="array" ref="Z940">MIN(IF($C$2:$C$1387=C940,$X$2:$X$1387))</f>
        <v>12</v>
      </c>
      <c r="AA940">
        <f t="shared" si="103"/>
        <v>18</v>
      </c>
      <c r="AB940">
        <f t="shared" si="104"/>
        <v>0.72222222222222221</v>
      </c>
    </row>
    <row r="941" spans="1:28" x14ac:dyDescent="0.25">
      <c r="A941" t="s">
        <v>340</v>
      </c>
      <c r="B941" t="s">
        <v>341</v>
      </c>
      <c r="C941">
        <v>2013</v>
      </c>
      <c r="D941">
        <v>0.16968910819498031</v>
      </c>
      <c r="E941">
        <v>0.85435014094213746</v>
      </c>
      <c r="F941">
        <v>3.5800903460755568E-2</v>
      </c>
      <c r="G941">
        <v>2.0794415416798357</v>
      </c>
      <c r="H941">
        <v>0.5</v>
      </c>
      <c r="I941">
        <v>1</v>
      </c>
      <c r="J941">
        <v>0</v>
      </c>
      <c r="K941">
        <v>3</v>
      </c>
      <c r="L941">
        <v>5</v>
      </c>
      <c r="M941">
        <v>3</v>
      </c>
      <c r="N941">
        <v>3</v>
      </c>
      <c r="O941">
        <v>2</v>
      </c>
      <c r="P941">
        <v>3</v>
      </c>
      <c r="Q941">
        <f t="shared" si="98"/>
        <v>5</v>
      </c>
      <c r="R941">
        <f t="shared" si="99"/>
        <v>24</v>
      </c>
      <c r="S941">
        <f t="array" ref="S941">MAX(IF($C$2:$C$1387=C941,$R$2:$R$1387))</f>
        <v>29</v>
      </c>
      <c r="T941" cm="1">
        <f t="array" ref="T941">MIN(IF($C$2:$C$1387=C941,$R$2:$R$1387))</f>
        <v>10</v>
      </c>
      <c r="U941">
        <f t="shared" si="100"/>
        <v>19</v>
      </c>
      <c r="V941">
        <f t="shared" si="101"/>
        <v>0.73684210526315785</v>
      </c>
      <c r="W941" cm="1">
        <f t="array" ref="W941">_xlfn.IFS(N941=1,5,N941=2,4,N941=4,2,N941=5,1,N941=3,3)</f>
        <v>3</v>
      </c>
      <c r="X941">
        <f t="shared" si="102"/>
        <v>24</v>
      </c>
      <c r="Y941" cm="1">
        <f t="array" ref="Y941">MAX(IF($C$2:$C$1387=C941,$X$2:$X$1387))</f>
        <v>32</v>
      </c>
      <c r="Z941" cm="1">
        <f t="array" ref="Z941">MIN(IF($C$2:$C$1387=C941,$X$2:$X$1387))</f>
        <v>10</v>
      </c>
      <c r="AA941">
        <f t="shared" si="103"/>
        <v>22</v>
      </c>
      <c r="AB941">
        <f t="shared" si="104"/>
        <v>0.63636363636363635</v>
      </c>
    </row>
    <row r="942" spans="1:28" x14ac:dyDescent="0.25">
      <c r="A942" t="s">
        <v>340</v>
      </c>
      <c r="B942" t="s">
        <v>341</v>
      </c>
      <c r="C942">
        <v>2014</v>
      </c>
      <c r="D942">
        <v>0.16881822324406057</v>
      </c>
      <c r="E942">
        <v>0.85435014094213746</v>
      </c>
      <c r="F942">
        <v>3.5437250150168811E-2</v>
      </c>
      <c r="G942">
        <v>2.0794415416798357</v>
      </c>
      <c r="H942">
        <v>0.5</v>
      </c>
      <c r="I942">
        <v>1</v>
      </c>
      <c r="J942">
        <v>0</v>
      </c>
      <c r="K942">
        <v>3</v>
      </c>
      <c r="L942">
        <v>4</v>
      </c>
      <c r="M942">
        <v>3</v>
      </c>
      <c r="N942">
        <v>3</v>
      </c>
      <c r="O942">
        <v>2</v>
      </c>
      <c r="P942">
        <v>3</v>
      </c>
      <c r="Q942">
        <f t="shared" si="98"/>
        <v>5</v>
      </c>
      <c r="R942">
        <f t="shared" si="99"/>
        <v>23</v>
      </c>
      <c r="S942">
        <f t="array" ref="S942">MAX(IF($C$2:$C$1387=C942,$R$2:$R$1387))</f>
        <v>29</v>
      </c>
      <c r="T942" cm="1">
        <f t="array" ref="T942">MIN(IF($C$2:$C$1387=C942,$R$2:$R$1387))</f>
        <v>11</v>
      </c>
      <c r="U942">
        <f t="shared" si="100"/>
        <v>18</v>
      </c>
      <c r="V942">
        <f t="shared" si="101"/>
        <v>0.66666666666666663</v>
      </c>
      <c r="W942" cm="1">
        <f t="array" ref="W942">_xlfn.IFS(N942=1,5,N942=2,4,N942=4,2,N942=5,1,N942=3,3)</f>
        <v>3</v>
      </c>
      <c r="X942">
        <f t="shared" si="102"/>
        <v>23</v>
      </c>
      <c r="Y942" cm="1">
        <f t="array" ref="Y942">MAX(IF($C$2:$C$1387=C942,$X$2:$X$1387))</f>
        <v>30</v>
      </c>
      <c r="Z942" cm="1">
        <f t="array" ref="Z942">MIN(IF($C$2:$C$1387=C942,$X$2:$X$1387))</f>
        <v>14</v>
      </c>
      <c r="AA942">
        <f t="shared" si="103"/>
        <v>16</v>
      </c>
      <c r="AB942">
        <f t="shared" si="104"/>
        <v>0.5625</v>
      </c>
    </row>
    <row r="943" spans="1:28" x14ac:dyDescent="0.25">
      <c r="A943" t="s">
        <v>340</v>
      </c>
      <c r="B943" t="s">
        <v>341</v>
      </c>
      <c r="C943">
        <v>2015</v>
      </c>
      <c r="D943">
        <v>0.16881822324406057</v>
      </c>
      <c r="E943">
        <v>0.85435014094213746</v>
      </c>
      <c r="F943">
        <v>3.5437250150168811E-2</v>
      </c>
      <c r="G943">
        <v>2.3025850929940459</v>
      </c>
      <c r="H943">
        <v>0.7</v>
      </c>
      <c r="I943">
        <v>1</v>
      </c>
      <c r="J943">
        <v>0</v>
      </c>
      <c r="K943">
        <v>3</v>
      </c>
      <c r="L943">
        <v>5</v>
      </c>
      <c r="M943">
        <v>3</v>
      </c>
      <c r="N943">
        <v>5</v>
      </c>
      <c r="O943">
        <v>3</v>
      </c>
      <c r="P943">
        <v>2</v>
      </c>
      <c r="Q943">
        <f t="shared" si="98"/>
        <v>5</v>
      </c>
      <c r="R943">
        <f t="shared" si="99"/>
        <v>26</v>
      </c>
      <c r="S943">
        <f t="array" ref="S943">MAX(IF($C$2:$C$1387=C943,$R$2:$R$1387))</f>
        <v>29</v>
      </c>
      <c r="T943" cm="1">
        <f t="array" ref="T943">MIN(IF($C$2:$C$1387=C943,$R$2:$R$1387))</f>
        <v>11</v>
      </c>
      <c r="U943">
        <f t="shared" si="100"/>
        <v>18</v>
      </c>
      <c r="V943">
        <f t="shared" si="101"/>
        <v>0.83333333333333337</v>
      </c>
      <c r="W943" cm="1">
        <f t="array" ref="W943">_xlfn.IFS(N943=1,5,N943=2,4,N943=4,2,N943=5,1,N943=3,3)</f>
        <v>1</v>
      </c>
      <c r="X943">
        <f t="shared" si="102"/>
        <v>22</v>
      </c>
      <c r="Y943" cm="1">
        <f t="array" ref="Y943">MAX(IF($C$2:$C$1387=C943,$X$2:$X$1387))</f>
        <v>29</v>
      </c>
      <c r="Z943" cm="1">
        <f t="array" ref="Z943">MIN(IF($C$2:$C$1387=C943,$X$2:$X$1387))</f>
        <v>12</v>
      </c>
      <c r="AA943">
        <f t="shared" si="103"/>
        <v>17</v>
      </c>
      <c r="AB943">
        <f t="shared" si="104"/>
        <v>0.58823529411764708</v>
      </c>
    </row>
    <row r="944" spans="1:28" x14ac:dyDescent="0.25">
      <c r="A944" t="s">
        <v>342</v>
      </c>
      <c r="B944" t="s">
        <v>343</v>
      </c>
      <c r="C944">
        <v>2010</v>
      </c>
      <c r="D944">
        <v>7.0000000298023226E-4</v>
      </c>
      <c r="E944">
        <v>0.94043005177228201</v>
      </c>
      <c r="F944">
        <v>0.1013</v>
      </c>
      <c r="G944">
        <v>2.3025850929940459</v>
      </c>
      <c r="H944">
        <v>0.9</v>
      </c>
      <c r="I944">
        <v>1</v>
      </c>
      <c r="J944">
        <v>0</v>
      </c>
      <c r="K944">
        <v>2</v>
      </c>
      <c r="L944">
        <v>5</v>
      </c>
      <c r="M944">
        <v>4</v>
      </c>
      <c r="N944">
        <v>5</v>
      </c>
      <c r="O944">
        <v>5</v>
      </c>
      <c r="P944">
        <v>3</v>
      </c>
      <c r="Q944">
        <f t="shared" si="98"/>
        <v>5</v>
      </c>
      <c r="R944">
        <f t="shared" si="99"/>
        <v>29</v>
      </c>
      <c r="S944">
        <f t="array" ref="S944">MAX(IF($C$2:$C$1387=C944,$R$2:$R$1387))</f>
        <v>29</v>
      </c>
      <c r="T944" cm="1">
        <f t="array" ref="T944">MIN(IF($C$2:$C$1387=C944,$R$2:$R$1387))</f>
        <v>9</v>
      </c>
      <c r="U944">
        <f t="shared" si="100"/>
        <v>20</v>
      </c>
      <c r="V944">
        <f t="shared" si="101"/>
        <v>1</v>
      </c>
      <c r="W944" cm="1">
        <f t="array" ref="W944">_xlfn.IFS(N944=1,5,N944=2,4,N944=4,2,N944=5,1,N944=3,3)</f>
        <v>1</v>
      </c>
      <c r="X944">
        <f t="shared" si="102"/>
        <v>25</v>
      </c>
      <c r="Y944" cm="1">
        <f t="array" ref="Y944">MAX(IF($C$2:$C$1387=C944,$X$2:$X$1387))</f>
        <v>29</v>
      </c>
      <c r="Z944" cm="1">
        <f t="array" ref="Z944">MIN(IF($C$2:$C$1387=C944,$X$2:$X$1387))</f>
        <v>12</v>
      </c>
      <c r="AA944">
        <f t="shared" si="103"/>
        <v>17</v>
      </c>
      <c r="AB944">
        <f t="shared" si="104"/>
        <v>0.76470588235294112</v>
      </c>
    </row>
    <row r="945" spans="1:28" x14ac:dyDescent="0.25">
      <c r="A945" t="s">
        <v>342</v>
      </c>
      <c r="B945" t="s">
        <v>343</v>
      </c>
      <c r="C945">
        <v>2011</v>
      </c>
      <c r="D945">
        <v>6.4272062199322109E-4</v>
      </c>
      <c r="E945">
        <v>0.94559772078569826</v>
      </c>
      <c r="F945">
        <v>9.7598806214949201E-3</v>
      </c>
      <c r="G945">
        <v>2.3978952727983707</v>
      </c>
      <c r="H945">
        <v>0.90909090909090906</v>
      </c>
      <c r="I945">
        <v>1</v>
      </c>
      <c r="J945">
        <v>0</v>
      </c>
      <c r="K945">
        <v>1</v>
      </c>
      <c r="L945">
        <v>5</v>
      </c>
      <c r="M945">
        <v>2</v>
      </c>
      <c r="N945">
        <v>5</v>
      </c>
      <c r="O945">
        <v>5</v>
      </c>
      <c r="P945">
        <v>3</v>
      </c>
      <c r="Q945">
        <f t="shared" si="98"/>
        <v>5</v>
      </c>
      <c r="R945">
        <f t="shared" si="99"/>
        <v>26</v>
      </c>
      <c r="S945">
        <f t="array" ref="S945">MAX(IF($C$2:$C$1387=C945,$R$2:$R$1387))</f>
        <v>28</v>
      </c>
      <c r="T945" cm="1">
        <f t="array" ref="T945">MIN(IF($C$2:$C$1387=C945,$R$2:$R$1387))</f>
        <v>10</v>
      </c>
      <c r="U945">
        <f t="shared" si="100"/>
        <v>18</v>
      </c>
      <c r="V945">
        <f t="shared" si="101"/>
        <v>0.88888888888888884</v>
      </c>
      <c r="W945" cm="1">
        <f t="array" ref="W945">_xlfn.IFS(N945=1,5,N945=2,4,N945=4,2,N945=5,1,N945=3,3)</f>
        <v>1</v>
      </c>
      <c r="X945">
        <f t="shared" si="102"/>
        <v>22</v>
      </c>
      <c r="Y945" cm="1">
        <f t="array" ref="Y945">MAX(IF($C$2:$C$1387=C945,$X$2:$X$1387))</f>
        <v>29</v>
      </c>
      <c r="Z945" cm="1">
        <f t="array" ref="Z945">MIN(IF($C$2:$C$1387=C945,$X$2:$X$1387))</f>
        <v>12</v>
      </c>
      <c r="AA945">
        <f t="shared" si="103"/>
        <v>17</v>
      </c>
      <c r="AB945">
        <f t="shared" si="104"/>
        <v>0.58823529411764708</v>
      </c>
    </row>
    <row r="946" spans="1:28" x14ac:dyDescent="0.25">
      <c r="A946" t="s">
        <v>342</v>
      </c>
      <c r="B946" t="s">
        <v>343</v>
      </c>
      <c r="C946">
        <v>2012</v>
      </c>
      <c r="D946">
        <v>6.259989106343069E-4</v>
      </c>
      <c r="E946">
        <v>0.94681783954288778</v>
      </c>
      <c r="F946">
        <v>2.8974973548636529E-4</v>
      </c>
      <c r="G946">
        <v>2.3025850929940459</v>
      </c>
      <c r="H946">
        <v>0.8</v>
      </c>
      <c r="I946">
        <v>1</v>
      </c>
      <c r="J946">
        <v>1</v>
      </c>
      <c r="K946">
        <v>1</v>
      </c>
      <c r="L946">
        <v>5</v>
      </c>
      <c r="M946">
        <v>1</v>
      </c>
      <c r="N946">
        <v>5</v>
      </c>
      <c r="O946">
        <v>5</v>
      </c>
      <c r="P946">
        <v>3</v>
      </c>
      <c r="Q946">
        <f t="shared" si="98"/>
        <v>1</v>
      </c>
      <c r="R946">
        <f t="shared" si="99"/>
        <v>21</v>
      </c>
      <c r="S946">
        <f t="array" ref="S946">MAX(IF($C$2:$C$1387=C946,$R$2:$R$1387))</f>
        <v>29</v>
      </c>
      <c r="T946" cm="1">
        <f t="array" ref="T946">MIN(IF($C$2:$C$1387=C946,$R$2:$R$1387))</f>
        <v>11</v>
      </c>
      <c r="U946">
        <f t="shared" si="100"/>
        <v>18</v>
      </c>
      <c r="V946">
        <f t="shared" si="101"/>
        <v>0.55555555555555558</v>
      </c>
      <c r="W946" cm="1">
        <f t="array" ref="W946">_xlfn.IFS(N946=1,5,N946=2,4,N946=4,2,N946=5,1,N946=3,3)</f>
        <v>1</v>
      </c>
      <c r="X946">
        <f t="shared" si="102"/>
        <v>17</v>
      </c>
      <c r="Y946" cm="1">
        <f t="array" ref="Y946">MAX(IF($C$2:$C$1387=C946,$X$2:$X$1387))</f>
        <v>30</v>
      </c>
      <c r="Z946" cm="1">
        <f t="array" ref="Z946">MIN(IF($C$2:$C$1387=C946,$X$2:$X$1387))</f>
        <v>12</v>
      </c>
      <c r="AA946">
        <f t="shared" si="103"/>
        <v>18</v>
      </c>
      <c r="AB946">
        <f t="shared" si="104"/>
        <v>0.27777777777777779</v>
      </c>
    </row>
    <row r="947" spans="1:28" x14ac:dyDescent="0.25">
      <c r="A947" t="s">
        <v>342</v>
      </c>
      <c r="B947" t="s">
        <v>343</v>
      </c>
      <c r="C947">
        <v>2013</v>
      </c>
      <c r="D947">
        <v>7.0082432875762882E-4</v>
      </c>
      <c r="E947">
        <v>0.94003825224240511</v>
      </c>
      <c r="F947">
        <v>8.192493223175612E-2</v>
      </c>
      <c r="G947">
        <v>2.3025850929940459</v>
      </c>
      <c r="H947">
        <v>0.2</v>
      </c>
      <c r="I947">
        <v>1</v>
      </c>
      <c r="J947">
        <v>0</v>
      </c>
      <c r="K947">
        <v>2</v>
      </c>
      <c r="L947">
        <v>5</v>
      </c>
      <c r="M947">
        <v>4</v>
      </c>
      <c r="N947">
        <v>5</v>
      </c>
      <c r="O947">
        <v>1</v>
      </c>
      <c r="P947">
        <v>3</v>
      </c>
      <c r="Q947">
        <f t="shared" si="98"/>
        <v>5</v>
      </c>
      <c r="R947">
        <f t="shared" si="99"/>
        <v>25</v>
      </c>
      <c r="S947">
        <f t="array" ref="S947">MAX(IF($C$2:$C$1387=C947,$R$2:$R$1387))</f>
        <v>29</v>
      </c>
      <c r="T947" cm="1">
        <f t="array" ref="T947">MIN(IF($C$2:$C$1387=C947,$R$2:$R$1387))</f>
        <v>10</v>
      </c>
      <c r="U947">
        <f t="shared" si="100"/>
        <v>19</v>
      </c>
      <c r="V947">
        <f t="shared" si="101"/>
        <v>0.78947368421052633</v>
      </c>
      <c r="W947" cm="1">
        <f t="array" ref="W947">_xlfn.IFS(N947=1,5,N947=2,4,N947=4,2,N947=5,1,N947=3,3)</f>
        <v>1</v>
      </c>
      <c r="X947">
        <f t="shared" si="102"/>
        <v>21</v>
      </c>
      <c r="Y947" cm="1">
        <f t="array" ref="Y947">MAX(IF($C$2:$C$1387=C947,$X$2:$X$1387))</f>
        <v>32</v>
      </c>
      <c r="Z947" cm="1">
        <f t="array" ref="Z947">MIN(IF($C$2:$C$1387=C947,$X$2:$X$1387))</f>
        <v>10</v>
      </c>
      <c r="AA947">
        <f t="shared" si="103"/>
        <v>22</v>
      </c>
      <c r="AB947">
        <f t="shared" si="104"/>
        <v>0.5</v>
      </c>
    </row>
    <row r="948" spans="1:28" x14ac:dyDescent="0.25">
      <c r="A948" t="s">
        <v>342</v>
      </c>
      <c r="B948" t="s">
        <v>343</v>
      </c>
      <c r="C948">
        <v>2014</v>
      </c>
      <c r="D948">
        <v>6.96057918099661E-4</v>
      </c>
      <c r="E948">
        <v>0.94111480069087183</v>
      </c>
      <c r="F948">
        <v>4.4291090771415783E-4</v>
      </c>
      <c r="G948">
        <v>2.3025850929940459</v>
      </c>
      <c r="H948">
        <v>0.2</v>
      </c>
      <c r="I948">
        <v>1</v>
      </c>
      <c r="J948">
        <v>0</v>
      </c>
      <c r="K948">
        <v>2</v>
      </c>
      <c r="L948">
        <v>5</v>
      </c>
      <c r="M948">
        <v>1</v>
      </c>
      <c r="N948">
        <v>5</v>
      </c>
      <c r="O948">
        <v>1</v>
      </c>
      <c r="P948">
        <v>3</v>
      </c>
      <c r="Q948">
        <f t="shared" si="98"/>
        <v>5</v>
      </c>
      <c r="R948">
        <f t="shared" si="99"/>
        <v>22</v>
      </c>
      <c r="S948">
        <f t="array" ref="S948">MAX(IF($C$2:$C$1387=C948,$R$2:$R$1387))</f>
        <v>29</v>
      </c>
      <c r="T948" cm="1">
        <f t="array" ref="T948">MIN(IF($C$2:$C$1387=C948,$R$2:$R$1387))</f>
        <v>11</v>
      </c>
      <c r="U948">
        <f t="shared" si="100"/>
        <v>18</v>
      </c>
      <c r="V948">
        <f t="shared" si="101"/>
        <v>0.61111111111111116</v>
      </c>
      <c r="W948" cm="1">
        <f t="array" ref="W948">_xlfn.IFS(N948=1,5,N948=2,4,N948=4,2,N948=5,1,N948=3,3)</f>
        <v>1</v>
      </c>
      <c r="X948">
        <f t="shared" si="102"/>
        <v>18</v>
      </c>
      <c r="Y948" cm="1">
        <f t="array" ref="Y948">MAX(IF($C$2:$C$1387=C948,$X$2:$X$1387))</f>
        <v>30</v>
      </c>
      <c r="Z948" cm="1">
        <f t="array" ref="Z948">MIN(IF($C$2:$C$1387=C948,$X$2:$X$1387))</f>
        <v>14</v>
      </c>
      <c r="AA948">
        <f t="shared" si="103"/>
        <v>16</v>
      </c>
      <c r="AB948">
        <f t="shared" si="104"/>
        <v>0.25</v>
      </c>
    </row>
    <row r="949" spans="1:28" x14ac:dyDescent="0.25">
      <c r="A949" t="s">
        <v>342</v>
      </c>
      <c r="B949" t="s">
        <v>343</v>
      </c>
      <c r="C949">
        <v>2015</v>
      </c>
      <c r="D949">
        <v>6.96057918099661E-4</v>
      </c>
      <c r="E949">
        <v>0.94111480069087183</v>
      </c>
      <c r="F949">
        <v>4.4291090771415783E-4</v>
      </c>
      <c r="G949">
        <v>2.3025850929940459</v>
      </c>
      <c r="H949">
        <v>0.2</v>
      </c>
      <c r="I949">
        <v>1</v>
      </c>
      <c r="J949">
        <v>0</v>
      </c>
      <c r="K949">
        <v>2</v>
      </c>
      <c r="L949">
        <v>5</v>
      </c>
      <c r="M949">
        <v>1</v>
      </c>
      <c r="N949">
        <v>5</v>
      </c>
      <c r="O949">
        <v>1</v>
      </c>
      <c r="P949">
        <v>2</v>
      </c>
      <c r="Q949">
        <f t="shared" si="98"/>
        <v>5</v>
      </c>
      <c r="R949">
        <f t="shared" si="99"/>
        <v>21</v>
      </c>
      <c r="S949">
        <f t="array" ref="S949">MAX(IF($C$2:$C$1387=C949,$R$2:$R$1387))</f>
        <v>29</v>
      </c>
      <c r="T949" cm="1">
        <f t="array" ref="T949">MIN(IF($C$2:$C$1387=C949,$R$2:$R$1387))</f>
        <v>11</v>
      </c>
      <c r="U949">
        <f t="shared" si="100"/>
        <v>18</v>
      </c>
      <c r="V949">
        <f t="shared" si="101"/>
        <v>0.55555555555555558</v>
      </c>
      <c r="W949" cm="1">
        <f t="array" ref="W949">_xlfn.IFS(N949=1,5,N949=2,4,N949=4,2,N949=5,1,N949=3,3)</f>
        <v>1</v>
      </c>
      <c r="X949">
        <f t="shared" si="102"/>
        <v>17</v>
      </c>
      <c r="Y949" cm="1">
        <f t="array" ref="Y949">MAX(IF($C$2:$C$1387=C949,$X$2:$X$1387))</f>
        <v>29</v>
      </c>
      <c r="Z949" cm="1">
        <f t="array" ref="Z949">MIN(IF($C$2:$C$1387=C949,$X$2:$X$1387))</f>
        <v>12</v>
      </c>
      <c r="AA949">
        <f t="shared" si="103"/>
        <v>17</v>
      </c>
      <c r="AB949">
        <f t="shared" si="104"/>
        <v>0.29411764705882354</v>
      </c>
    </row>
    <row r="950" spans="1:28" x14ac:dyDescent="0.25">
      <c r="A950" t="s">
        <v>344</v>
      </c>
      <c r="B950" t="s">
        <v>345</v>
      </c>
      <c r="C950">
        <v>2010</v>
      </c>
      <c r="D950">
        <v>0.51422327777777777</v>
      </c>
      <c r="E950">
        <v>0.95956544444444447</v>
      </c>
      <c r="F950">
        <v>0.47193366666666664</v>
      </c>
      <c r="G950">
        <v>1.9459101490553132</v>
      </c>
      <c r="H950">
        <v>0.2857142857142857</v>
      </c>
      <c r="I950">
        <v>0.66666666666666663</v>
      </c>
      <c r="J950">
        <v>0</v>
      </c>
      <c r="K950">
        <v>5</v>
      </c>
      <c r="L950">
        <v>5</v>
      </c>
      <c r="M950">
        <v>5</v>
      </c>
      <c r="N950">
        <v>1</v>
      </c>
      <c r="O950">
        <v>1</v>
      </c>
      <c r="P950">
        <v>1</v>
      </c>
      <c r="Q950">
        <f t="shared" si="98"/>
        <v>5</v>
      </c>
      <c r="R950">
        <f t="shared" si="99"/>
        <v>23</v>
      </c>
      <c r="S950">
        <f t="array" ref="S950">MAX(IF($C$2:$C$1387=C950,$R$2:$R$1387))</f>
        <v>29</v>
      </c>
      <c r="T950" cm="1">
        <f t="array" ref="T950">MIN(IF($C$2:$C$1387=C950,$R$2:$R$1387))</f>
        <v>9</v>
      </c>
      <c r="U950">
        <f t="shared" si="100"/>
        <v>20</v>
      </c>
      <c r="V950">
        <f t="shared" si="101"/>
        <v>0.7</v>
      </c>
      <c r="W950" cm="1">
        <f t="array" ref="W950">_xlfn.IFS(N950=1,5,N950=2,4,N950=4,2,N950=5,1,N950=3,3)</f>
        <v>5</v>
      </c>
      <c r="X950">
        <f t="shared" si="102"/>
        <v>27</v>
      </c>
      <c r="Y950" cm="1">
        <f t="array" ref="Y950">MAX(IF($C$2:$C$1387=C950,$X$2:$X$1387))</f>
        <v>29</v>
      </c>
      <c r="Z950" cm="1">
        <f t="array" ref="Z950">MIN(IF($C$2:$C$1387=C950,$X$2:$X$1387))</f>
        <v>12</v>
      </c>
      <c r="AA950">
        <f t="shared" si="103"/>
        <v>17</v>
      </c>
      <c r="AB950">
        <f t="shared" si="104"/>
        <v>0.88235294117647056</v>
      </c>
    </row>
    <row r="951" spans="1:28" x14ac:dyDescent="0.25">
      <c r="A951" t="s">
        <v>344</v>
      </c>
      <c r="B951" t="s">
        <v>345</v>
      </c>
      <c r="C951">
        <v>2011</v>
      </c>
      <c r="D951">
        <v>9.3659695690693379E-2</v>
      </c>
      <c r="E951">
        <v>0.82431385032289306</v>
      </c>
      <c r="F951">
        <v>5.9117779759580373E-2</v>
      </c>
      <c r="G951">
        <v>1.9459101490553132</v>
      </c>
      <c r="H951">
        <v>0.2857142857142857</v>
      </c>
      <c r="I951">
        <v>0.66666666666666663</v>
      </c>
      <c r="J951">
        <v>0</v>
      </c>
      <c r="K951">
        <v>3</v>
      </c>
      <c r="L951">
        <v>4</v>
      </c>
      <c r="M951">
        <v>3</v>
      </c>
      <c r="N951">
        <v>1</v>
      </c>
      <c r="O951">
        <v>1</v>
      </c>
      <c r="P951">
        <v>1</v>
      </c>
      <c r="Q951">
        <f t="shared" si="98"/>
        <v>5</v>
      </c>
      <c r="R951">
        <f t="shared" si="99"/>
        <v>18</v>
      </c>
      <c r="S951">
        <f t="array" ref="S951">MAX(IF($C$2:$C$1387=C951,$R$2:$R$1387))</f>
        <v>28</v>
      </c>
      <c r="T951" cm="1">
        <f t="array" ref="T951">MIN(IF($C$2:$C$1387=C951,$R$2:$R$1387))</f>
        <v>10</v>
      </c>
      <c r="U951">
        <f t="shared" si="100"/>
        <v>18</v>
      </c>
      <c r="V951">
        <f t="shared" si="101"/>
        <v>0.44444444444444442</v>
      </c>
      <c r="W951" cm="1">
        <f t="array" ref="W951">_xlfn.IFS(N951=1,5,N951=2,4,N951=4,2,N951=5,1,N951=3,3)</f>
        <v>5</v>
      </c>
      <c r="X951">
        <f t="shared" si="102"/>
        <v>22</v>
      </c>
      <c r="Y951" cm="1">
        <f t="array" ref="Y951">MAX(IF($C$2:$C$1387=C951,$X$2:$X$1387))</f>
        <v>29</v>
      </c>
      <c r="Z951" cm="1">
        <f t="array" ref="Z951">MIN(IF($C$2:$C$1387=C951,$X$2:$X$1387))</f>
        <v>12</v>
      </c>
      <c r="AA951">
        <f t="shared" si="103"/>
        <v>17</v>
      </c>
      <c r="AB951">
        <f t="shared" si="104"/>
        <v>0.58823529411764708</v>
      </c>
    </row>
    <row r="952" spans="1:28" x14ac:dyDescent="0.25">
      <c r="A952" t="s">
        <v>344</v>
      </c>
      <c r="B952" t="s">
        <v>345</v>
      </c>
      <c r="C952">
        <v>2012</v>
      </c>
      <c r="D952">
        <v>9.7164715866381937E-2</v>
      </c>
      <c r="E952">
        <v>0.83735263091623779</v>
      </c>
      <c r="F952">
        <v>2.0010773486412926E-2</v>
      </c>
      <c r="G952">
        <v>2.0794415416798357</v>
      </c>
      <c r="H952">
        <v>0.25</v>
      </c>
      <c r="I952">
        <v>0.33333333333333331</v>
      </c>
      <c r="J952">
        <v>0</v>
      </c>
      <c r="K952">
        <v>3</v>
      </c>
      <c r="L952">
        <v>4</v>
      </c>
      <c r="M952">
        <v>2</v>
      </c>
      <c r="N952">
        <v>3</v>
      </c>
      <c r="O952">
        <v>1</v>
      </c>
      <c r="P952">
        <v>1</v>
      </c>
      <c r="Q952">
        <f t="shared" si="98"/>
        <v>5</v>
      </c>
      <c r="R952">
        <f t="shared" si="99"/>
        <v>19</v>
      </c>
      <c r="S952">
        <f t="array" ref="S952">MAX(IF($C$2:$C$1387=C952,$R$2:$R$1387))</f>
        <v>29</v>
      </c>
      <c r="T952" cm="1">
        <f t="array" ref="T952">MIN(IF($C$2:$C$1387=C952,$R$2:$R$1387))</f>
        <v>11</v>
      </c>
      <c r="U952">
        <f t="shared" si="100"/>
        <v>18</v>
      </c>
      <c r="V952">
        <f t="shared" si="101"/>
        <v>0.44444444444444442</v>
      </c>
      <c r="W952" cm="1">
        <f t="array" ref="W952">_xlfn.IFS(N952=1,5,N952=2,4,N952=4,2,N952=5,1,N952=3,3)</f>
        <v>3</v>
      </c>
      <c r="X952">
        <f t="shared" si="102"/>
        <v>19</v>
      </c>
      <c r="Y952" cm="1">
        <f t="array" ref="Y952">MAX(IF($C$2:$C$1387=C952,$X$2:$X$1387))</f>
        <v>30</v>
      </c>
      <c r="Z952" cm="1">
        <f t="array" ref="Z952">MIN(IF($C$2:$C$1387=C952,$X$2:$X$1387))</f>
        <v>12</v>
      </c>
      <c r="AA952">
        <f t="shared" si="103"/>
        <v>18</v>
      </c>
      <c r="AB952">
        <f t="shared" si="104"/>
        <v>0.3888888888888889</v>
      </c>
    </row>
    <row r="953" spans="1:28" x14ac:dyDescent="0.25">
      <c r="A953" t="s">
        <v>344</v>
      </c>
      <c r="B953" t="s">
        <v>345</v>
      </c>
      <c r="C953">
        <v>2013</v>
      </c>
      <c r="D953">
        <v>4.7639485481830154E-5</v>
      </c>
      <c r="E953">
        <v>0.97769079540643955</v>
      </c>
      <c r="F953">
        <v>4.4671179078731505E-5</v>
      </c>
      <c r="G953">
        <v>2.0794415416798357</v>
      </c>
      <c r="H953">
        <v>0.625</v>
      </c>
      <c r="I953">
        <v>0.66666666666666663</v>
      </c>
      <c r="J953">
        <v>0</v>
      </c>
      <c r="K953">
        <v>1</v>
      </c>
      <c r="L953">
        <v>5</v>
      </c>
      <c r="M953">
        <v>1</v>
      </c>
      <c r="N953">
        <v>3</v>
      </c>
      <c r="O953">
        <v>3</v>
      </c>
      <c r="P953">
        <v>1</v>
      </c>
      <c r="Q953">
        <f t="shared" si="98"/>
        <v>5</v>
      </c>
      <c r="R953">
        <f t="shared" si="99"/>
        <v>19</v>
      </c>
      <c r="S953">
        <f t="array" ref="S953">MAX(IF($C$2:$C$1387=C953,$R$2:$R$1387))</f>
        <v>29</v>
      </c>
      <c r="T953" cm="1">
        <f t="array" ref="T953">MIN(IF($C$2:$C$1387=C953,$R$2:$R$1387))</f>
        <v>10</v>
      </c>
      <c r="U953">
        <f t="shared" si="100"/>
        <v>19</v>
      </c>
      <c r="V953">
        <f t="shared" si="101"/>
        <v>0.47368421052631576</v>
      </c>
      <c r="W953" cm="1">
        <f t="array" ref="W953">_xlfn.IFS(N953=1,5,N953=2,4,N953=4,2,N953=5,1,N953=3,3)</f>
        <v>3</v>
      </c>
      <c r="X953">
        <f t="shared" si="102"/>
        <v>19</v>
      </c>
      <c r="Y953" cm="1">
        <f t="array" ref="Y953">MAX(IF($C$2:$C$1387=C953,$X$2:$X$1387))</f>
        <v>32</v>
      </c>
      <c r="Z953" cm="1">
        <f t="array" ref="Z953">MIN(IF($C$2:$C$1387=C953,$X$2:$X$1387))</f>
        <v>10</v>
      </c>
      <c r="AA953">
        <f t="shared" si="103"/>
        <v>22</v>
      </c>
      <c r="AB953">
        <f t="shared" si="104"/>
        <v>0.40909090909090912</v>
      </c>
    </row>
    <row r="954" spans="1:28" x14ac:dyDescent="0.25">
      <c r="A954" t="s">
        <v>344</v>
      </c>
      <c r="B954" t="s">
        <v>345</v>
      </c>
      <c r="C954">
        <v>2014</v>
      </c>
      <c r="D954">
        <v>8.1206999867488943E-5</v>
      </c>
      <c r="E954">
        <v>0.97769079540643955</v>
      </c>
      <c r="F954">
        <v>2.8653318229417688E-4</v>
      </c>
      <c r="G954">
        <v>2.0794415416798357</v>
      </c>
      <c r="H954">
        <v>0.625</v>
      </c>
      <c r="I954">
        <v>0.66666666666666663</v>
      </c>
      <c r="J954">
        <v>0</v>
      </c>
      <c r="K954">
        <v>1</v>
      </c>
      <c r="L954">
        <v>5</v>
      </c>
      <c r="M954">
        <v>1</v>
      </c>
      <c r="N954">
        <v>3</v>
      </c>
      <c r="O954">
        <v>3</v>
      </c>
      <c r="P954">
        <v>1</v>
      </c>
      <c r="Q954">
        <f t="shared" si="98"/>
        <v>5</v>
      </c>
      <c r="R954">
        <f t="shared" si="99"/>
        <v>19</v>
      </c>
      <c r="S954">
        <f t="array" ref="S954">MAX(IF($C$2:$C$1387=C954,$R$2:$R$1387))</f>
        <v>29</v>
      </c>
      <c r="T954" cm="1">
        <f t="array" ref="T954">MIN(IF($C$2:$C$1387=C954,$R$2:$R$1387))</f>
        <v>11</v>
      </c>
      <c r="U954">
        <f t="shared" si="100"/>
        <v>18</v>
      </c>
      <c r="V954">
        <f t="shared" si="101"/>
        <v>0.44444444444444442</v>
      </c>
      <c r="W954" cm="1">
        <f t="array" ref="W954">_xlfn.IFS(N954=1,5,N954=2,4,N954=4,2,N954=5,1,N954=3,3)</f>
        <v>3</v>
      </c>
      <c r="X954">
        <f t="shared" si="102"/>
        <v>19</v>
      </c>
      <c r="Y954" cm="1">
        <f t="array" ref="Y954">MAX(IF($C$2:$C$1387=C954,$X$2:$X$1387))</f>
        <v>30</v>
      </c>
      <c r="Z954" cm="1">
        <f t="array" ref="Z954">MIN(IF($C$2:$C$1387=C954,$X$2:$X$1387))</f>
        <v>14</v>
      </c>
      <c r="AA954">
        <f t="shared" si="103"/>
        <v>16</v>
      </c>
      <c r="AB954">
        <f t="shared" si="104"/>
        <v>0.3125</v>
      </c>
    </row>
    <row r="955" spans="1:28" x14ac:dyDescent="0.25">
      <c r="A955" t="s">
        <v>344</v>
      </c>
      <c r="B955" t="s">
        <v>345</v>
      </c>
      <c r="C955">
        <v>2015</v>
      </c>
      <c r="D955">
        <v>8.026337159736807E-5</v>
      </c>
      <c r="E955">
        <v>0.97769079540643955</v>
      </c>
      <c r="F955">
        <v>4.5658782258527908E-4</v>
      </c>
      <c r="G955">
        <v>1.9459101490553132</v>
      </c>
      <c r="H955">
        <v>0.8571428571428571</v>
      </c>
      <c r="I955">
        <v>1</v>
      </c>
      <c r="J955">
        <v>0</v>
      </c>
      <c r="K955">
        <v>1</v>
      </c>
      <c r="L955">
        <v>5</v>
      </c>
      <c r="M955">
        <v>1</v>
      </c>
      <c r="N955">
        <v>1</v>
      </c>
      <c r="O955">
        <v>4</v>
      </c>
      <c r="P955">
        <v>2</v>
      </c>
      <c r="Q955">
        <f t="shared" si="98"/>
        <v>5</v>
      </c>
      <c r="R955">
        <f t="shared" si="99"/>
        <v>19</v>
      </c>
      <c r="S955">
        <f t="array" ref="S955">MAX(IF($C$2:$C$1387=C955,$R$2:$R$1387))</f>
        <v>29</v>
      </c>
      <c r="T955" cm="1">
        <f t="array" ref="T955">MIN(IF($C$2:$C$1387=C955,$R$2:$R$1387))</f>
        <v>11</v>
      </c>
      <c r="U955">
        <f t="shared" si="100"/>
        <v>18</v>
      </c>
      <c r="V955">
        <f t="shared" si="101"/>
        <v>0.44444444444444442</v>
      </c>
      <c r="W955" cm="1">
        <f t="array" ref="W955">_xlfn.IFS(N955=1,5,N955=2,4,N955=4,2,N955=5,1,N955=3,3)</f>
        <v>5</v>
      </c>
      <c r="X955">
        <f t="shared" si="102"/>
        <v>23</v>
      </c>
      <c r="Y955" cm="1">
        <f t="array" ref="Y955">MAX(IF($C$2:$C$1387=C955,$X$2:$X$1387))</f>
        <v>29</v>
      </c>
      <c r="Z955" cm="1">
        <f t="array" ref="Z955">MIN(IF($C$2:$C$1387=C955,$X$2:$X$1387))</f>
        <v>12</v>
      </c>
      <c r="AA955">
        <f t="shared" si="103"/>
        <v>17</v>
      </c>
      <c r="AB955">
        <f t="shared" si="104"/>
        <v>0.6470588235294118</v>
      </c>
    </row>
    <row r="956" spans="1:28" x14ac:dyDescent="0.25">
      <c r="A956" t="s">
        <v>346</v>
      </c>
      <c r="B956" t="s">
        <v>347</v>
      </c>
      <c r="C956">
        <v>2010</v>
      </c>
      <c r="D956">
        <v>0.18809999465942381</v>
      </c>
      <c r="E956">
        <v>0.61572964279071984</v>
      </c>
      <c r="F956">
        <v>0.2102</v>
      </c>
      <c r="G956">
        <v>2.3025850929940459</v>
      </c>
      <c r="H956">
        <v>0.9</v>
      </c>
      <c r="I956">
        <v>1</v>
      </c>
      <c r="J956">
        <v>0</v>
      </c>
      <c r="K956">
        <v>3</v>
      </c>
      <c r="L956">
        <v>3</v>
      </c>
      <c r="M956">
        <v>5</v>
      </c>
      <c r="N956">
        <v>5</v>
      </c>
      <c r="O956">
        <v>5</v>
      </c>
      <c r="P956">
        <v>3</v>
      </c>
      <c r="Q956">
        <f t="shared" si="98"/>
        <v>5</v>
      </c>
      <c r="R956">
        <f t="shared" si="99"/>
        <v>29</v>
      </c>
      <c r="S956">
        <f t="array" ref="S956">MAX(IF($C$2:$C$1387=C956,$R$2:$R$1387))</f>
        <v>29</v>
      </c>
      <c r="T956" cm="1">
        <f t="array" ref="T956">MIN(IF($C$2:$C$1387=C956,$R$2:$R$1387))</f>
        <v>9</v>
      </c>
      <c r="U956">
        <f t="shared" si="100"/>
        <v>20</v>
      </c>
      <c r="V956">
        <f t="shared" si="101"/>
        <v>1</v>
      </c>
      <c r="W956" cm="1">
        <f t="array" ref="W956">_xlfn.IFS(N956=1,5,N956=2,4,N956=4,2,N956=5,1,N956=3,3)</f>
        <v>1</v>
      </c>
      <c r="X956">
        <f t="shared" si="102"/>
        <v>25</v>
      </c>
      <c r="Y956" cm="1">
        <f t="array" ref="Y956">MAX(IF($C$2:$C$1387=C956,$X$2:$X$1387))</f>
        <v>29</v>
      </c>
      <c r="Z956" cm="1">
        <f t="array" ref="Z956">MIN(IF($C$2:$C$1387=C956,$X$2:$X$1387))</f>
        <v>12</v>
      </c>
      <c r="AA956">
        <f t="shared" si="103"/>
        <v>17</v>
      </c>
      <c r="AB956">
        <f t="shared" si="104"/>
        <v>0.76470588235294112</v>
      </c>
    </row>
    <row r="957" spans="1:28" x14ac:dyDescent="0.25">
      <c r="A957" t="s">
        <v>346</v>
      </c>
      <c r="B957" t="s">
        <v>347</v>
      </c>
      <c r="C957">
        <v>2011</v>
      </c>
      <c r="D957">
        <v>0.10591504661880374</v>
      </c>
      <c r="E957">
        <v>0.60730269872048137</v>
      </c>
      <c r="F957">
        <v>0.17705631832258956</v>
      </c>
      <c r="G957">
        <v>2.3025850929940459</v>
      </c>
      <c r="H957">
        <v>0.9</v>
      </c>
      <c r="I957">
        <v>1</v>
      </c>
      <c r="J957">
        <v>1</v>
      </c>
      <c r="K957">
        <v>3</v>
      </c>
      <c r="L957">
        <v>3</v>
      </c>
      <c r="M957">
        <v>5</v>
      </c>
      <c r="N957">
        <v>5</v>
      </c>
      <c r="O957">
        <v>5</v>
      </c>
      <c r="P957">
        <v>3</v>
      </c>
      <c r="Q957">
        <f t="shared" si="98"/>
        <v>1</v>
      </c>
      <c r="R957">
        <f t="shared" si="99"/>
        <v>25</v>
      </c>
      <c r="S957">
        <f t="array" ref="S957">MAX(IF($C$2:$C$1387=C957,$R$2:$R$1387))</f>
        <v>28</v>
      </c>
      <c r="T957" cm="1">
        <f t="array" ref="T957">MIN(IF($C$2:$C$1387=C957,$R$2:$R$1387))</f>
        <v>10</v>
      </c>
      <c r="U957">
        <f t="shared" si="100"/>
        <v>18</v>
      </c>
      <c r="V957">
        <f t="shared" si="101"/>
        <v>0.83333333333333337</v>
      </c>
      <c r="W957" cm="1">
        <f t="array" ref="W957">_xlfn.IFS(N957=1,5,N957=2,4,N957=4,2,N957=5,1,N957=3,3)</f>
        <v>1</v>
      </c>
      <c r="X957">
        <f t="shared" si="102"/>
        <v>21</v>
      </c>
      <c r="Y957" cm="1">
        <f t="array" ref="Y957">MAX(IF($C$2:$C$1387=C957,$X$2:$X$1387))</f>
        <v>29</v>
      </c>
      <c r="Z957" cm="1">
        <f t="array" ref="Z957">MIN(IF($C$2:$C$1387=C957,$X$2:$X$1387))</f>
        <v>12</v>
      </c>
      <c r="AA957">
        <f t="shared" si="103"/>
        <v>17</v>
      </c>
      <c r="AB957">
        <f t="shared" si="104"/>
        <v>0.52941176470588236</v>
      </c>
    </row>
    <row r="958" spans="1:28" x14ac:dyDescent="0.25">
      <c r="A958" t="s">
        <v>346</v>
      </c>
      <c r="B958" t="s">
        <v>347</v>
      </c>
      <c r="C958">
        <v>2012</v>
      </c>
      <c r="D958">
        <v>0.10638844997076431</v>
      </c>
      <c r="E958">
        <v>0.60730269872048137</v>
      </c>
      <c r="F958">
        <v>5.3632237438303268E-2</v>
      </c>
      <c r="G958">
        <v>2.3025850929940459</v>
      </c>
      <c r="H958">
        <v>0.5</v>
      </c>
      <c r="I958">
        <v>0.8</v>
      </c>
      <c r="J958">
        <v>0</v>
      </c>
      <c r="K958">
        <v>3</v>
      </c>
      <c r="L958">
        <v>3</v>
      </c>
      <c r="M958">
        <v>3</v>
      </c>
      <c r="N958">
        <v>5</v>
      </c>
      <c r="O958">
        <v>2</v>
      </c>
      <c r="P958">
        <v>3</v>
      </c>
      <c r="Q958">
        <f t="shared" si="98"/>
        <v>5</v>
      </c>
      <c r="R958">
        <f t="shared" si="99"/>
        <v>24</v>
      </c>
      <c r="S958">
        <f t="array" ref="S958">MAX(IF($C$2:$C$1387=C958,$R$2:$R$1387))</f>
        <v>29</v>
      </c>
      <c r="T958" cm="1">
        <f t="array" ref="T958">MIN(IF($C$2:$C$1387=C958,$R$2:$R$1387))</f>
        <v>11</v>
      </c>
      <c r="U958">
        <f t="shared" si="100"/>
        <v>18</v>
      </c>
      <c r="V958">
        <f t="shared" si="101"/>
        <v>0.72222222222222221</v>
      </c>
      <c r="W958" cm="1">
        <f t="array" ref="W958">_xlfn.IFS(N958=1,5,N958=2,4,N958=4,2,N958=5,1,N958=3,3)</f>
        <v>1</v>
      </c>
      <c r="X958">
        <f t="shared" si="102"/>
        <v>20</v>
      </c>
      <c r="Y958" cm="1">
        <f t="array" ref="Y958">MAX(IF($C$2:$C$1387=C958,$X$2:$X$1387))</f>
        <v>30</v>
      </c>
      <c r="Z958" cm="1">
        <f t="array" ref="Z958">MIN(IF($C$2:$C$1387=C958,$X$2:$X$1387))</f>
        <v>12</v>
      </c>
      <c r="AA958">
        <f t="shared" si="103"/>
        <v>18</v>
      </c>
      <c r="AB958">
        <f t="shared" si="104"/>
        <v>0.44444444444444442</v>
      </c>
    </row>
    <row r="959" spans="1:28" x14ac:dyDescent="0.25">
      <c r="A959" t="s">
        <v>346</v>
      </c>
      <c r="B959" t="s">
        <v>347</v>
      </c>
      <c r="C959">
        <v>2013</v>
      </c>
      <c r="D959">
        <v>0.21204163739492113</v>
      </c>
      <c r="E959">
        <v>0.72399966483643163</v>
      </c>
      <c r="F959">
        <v>0.32239640384089563</v>
      </c>
      <c r="G959">
        <v>2.3025850929940459</v>
      </c>
      <c r="H959">
        <v>0.6</v>
      </c>
      <c r="I959">
        <v>0.75</v>
      </c>
      <c r="J959">
        <v>0</v>
      </c>
      <c r="K959">
        <v>3</v>
      </c>
      <c r="L959">
        <v>4</v>
      </c>
      <c r="M959">
        <v>5</v>
      </c>
      <c r="N959">
        <v>5</v>
      </c>
      <c r="O959">
        <v>3</v>
      </c>
      <c r="P959">
        <v>3</v>
      </c>
      <c r="Q959">
        <f t="shared" si="98"/>
        <v>5</v>
      </c>
      <c r="R959">
        <f t="shared" si="99"/>
        <v>28</v>
      </c>
      <c r="S959">
        <f t="array" ref="S959">MAX(IF($C$2:$C$1387=C959,$R$2:$R$1387))</f>
        <v>29</v>
      </c>
      <c r="T959" cm="1">
        <f t="array" ref="T959">MIN(IF($C$2:$C$1387=C959,$R$2:$R$1387))</f>
        <v>10</v>
      </c>
      <c r="U959">
        <f t="shared" si="100"/>
        <v>19</v>
      </c>
      <c r="V959">
        <f t="shared" si="101"/>
        <v>0.94736842105263153</v>
      </c>
      <c r="W959" cm="1">
        <f t="array" ref="W959">_xlfn.IFS(N959=1,5,N959=2,4,N959=4,2,N959=5,1,N959=3,3)</f>
        <v>1</v>
      </c>
      <c r="X959">
        <f t="shared" si="102"/>
        <v>24</v>
      </c>
      <c r="Y959" cm="1">
        <f t="array" ref="Y959">MAX(IF($C$2:$C$1387=C959,$X$2:$X$1387))</f>
        <v>32</v>
      </c>
      <c r="Z959" cm="1">
        <f t="array" ref="Z959">MIN(IF($C$2:$C$1387=C959,$X$2:$X$1387))</f>
        <v>10</v>
      </c>
      <c r="AA959">
        <f t="shared" si="103"/>
        <v>22</v>
      </c>
      <c r="AB959">
        <f t="shared" si="104"/>
        <v>0.63636363636363635</v>
      </c>
    </row>
    <row r="960" spans="1:28" x14ac:dyDescent="0.25">
      <c r="A960" t="s">
        <v>346</v>
      </c>
      <c r="B960" t="s">
        <v>347</v>
      </c>
      <c r="C960">
        <v>2014</v>
      </c>
      <c r="D960">
        <v>0.10624427134860452</v>
      </c>
      <c r="E960">
        <v>0.66717283415192963</v>
      </c>
      <c r="F960">
        <v>0.14133457887227249</v>
      </c>
      <c r="G960">
        <v>2.3025850929940459</v>
      </c>
      <c r="H960">
        <v>0.6</v>
      </c>
      <c r="I960">
        <v>0.8</v>
      </c>
      <c r="J960">
        <v>0</v>
      </c>
      <c r="K960">
        <v>3</v>
      </c>
      <c r="L960">
        <v>3</v>
      </c>
      <c r="M960">
        <v>4</v>
      </c>
      <c r="N960">
        <v>5</v>
      </c>
      <c r="O960">
        <v>3</v>
      </c>
      <c r="P960">
        <v>3</v>
      </c>
      <c r="Q960">
        <f t="shared" si="98"/>
        <v>5</v>
      </c>
      <c r="R960">
        <f t="shared" si="99"/>
        <v>26</v>
      </c>
      <c r="S960">
        <f t="array" ref="S960">MAX(IF($C$2:$C$1387=C960,$R$2:$R$1387))</f>
        <v>29</v>
      </c>
      <c r="T960" cm="1">
        <f t="array" ref="T960">MIN(IF($C$2:$C$1387=C960,$R$2:$R$1387))</f>
        <v>11</v>
      </c>
      <c r="U960">
        <f t="shared" si="100"/>
        <v>18</v>
      </c>
      <c r="V960">
        <f t="shared" si="101"/>
        <v>0.83333333333333337</v>
      </c>
      <c r="W960" cm="1">
        <f t="array" ref="W960">_xlfn.IFS(N960=1,5,N960=2,4,N960=4,2,N960=5,1,N960=3,3)</f>
        <v>1</v>
      </c>
      <c r="X960">
        <f t="shared" si="102"/>
        <v>22</v>
      </c>
      <c r="Y960" cm="1">
        <f t="array" ref="Y960">MAX(IF($C$2:$C$1387=C960,$X$2:$X$1387))</f>
        <v>30</v>
      </c>
      <c r="Z960" cm="1">
        <f t="array" ref="Z960">MIN(IF($C$2:$C$1387=C960,$X$2:$X$1387))</f>
        <v>14</v>
      </c>
      <c r="AA960">
        <f t="shared" si="103"/>
        <v>16</v>
      </c>
      <c r="AB960">
        <f t="shared" si="104"/>
        <v>0.5</v>
      </c>
    </row>
    <row r="961" spans="1:28" x14ac:dyDescent="0.25">
      <c r="A961" t="s">
        <v>346</v>
      </c>
      <c r="B961" t="s">
        <v>347</v>
      </c>
      <c r="C961">
        <v>2015</v>
      </c>
      <c r="D961">
        <v>4.7707935652557045E-4</v>
      </c>
      <c r="E961">
        <v>0.59190893433450908</v>
      </c>
      <c r="F961">
        <v>0.19549832694906727</v>
      </c>
      <c r="G961">
        <v>2.0794415416798357</v>
      </c>
      <c r="H961">
        <v>0.75</v>
      </c>
      <c r="I961">
        <v>0.5</v>
      </c>
      <c r="J961">
        <v>0</v>
      </c>
      <c r="K961">
        <v>1</v>
      </c>
      <c r="L961">
        <v>3</v>
      </c>
      <c r="M961">
        <v>5</v>
      </c>
      <c r="N961">
        <v>3</v>
      </c>
      <c r="O961">
        <v>4</v>
      </c>
      <c r="P961">
        <v>1</v>
      </c>
      <c r="Q961">
        <f t="shared" si="98"/>
        <v>5</v>
      </c>
      <c r="R961">
        <f t="shared" si="99"/>
        <v>22</v>
      </c>
      <c r="S961">
        <f t="array" ref="S961">MAX(IF($C$2:$C$1387=C961,$R$2:$R$1387))</f>
        <v>29</v>
      </c>
      <c r="T961" cm="1">
        <f t="array" ref="T961">MIN(IF($C$2:$C$1387=C961,$R$2:$R$1387))</f>
        <v>11</v>
      </c>
      <c r="U961">
        <f t="shared" si="100"/>
        <v>18</v>
      </c>
      <c r="V961">
        <f t="shared" si="101"/>
        <v>0.61111111111111116</v>
      </c>
      <c r="W961" cm="1">
        <f t="array" ref="W961">_xlfn.IFS(N961=1,5,N961=2,4,N961=4,2,N961=5,1,N961=3,3)</f>
        <v>3</v>
      </c>
      <c r="X961">
        <f t="shared" si="102"/>
        <v>22</v>
      </c>
      <c r="Y961" cm="1">
        <f t="array" ref="Y961">MAX(IF($C$2:$C$1387=C961,$X$2:$X$1387))</f>
        <v>29</v>
      </c>
      <c r="Z961" cm="1">
        <f t="array" ref="Z961">MIN(IF($C$2:$C$1387=C961,$X$2:$X$1387))</f>
        <v>12</v>
      </c>
      <c r="AA961">
        <f t="shared" si="103"/>
        <v>17</v>
      </c>
      <c r="AB961">
        <f t="shared" si="104"/>
        <v>0.58823529411764708</v>
      </c>
    </row>
    <row r="962" spans="1:28" x14ac:dyDescent="0.25">
      <c r="A962" t="s">
        <v>348</v>
      </c>
      <c r="B962" t="s">
        <v>349</v>
      </c>
      <c r="C962">
        <v>2010</v>
      </c>
      <c r="D962">
        <v>9.9300000286102294E-2</v>
      </c>
      <c r="E962">
        <v>0.43602823263810603</v>
      </c>
      <c r="F962">
        <v>0.19339999999999999</v>
      </c>
      <c r="G962">
        <v>2.3978952727983707</v>
      </c>
      <c r="H962">
        <v>0.63636363636363635</v>
      </c>
      <c r="I962">
        <v>0.83333333333333337</v>
      </c>
      <c r="J962">
        <v>0</v>
      </c>
      <c r="K962">
        <v>3</v>
      </c>
      <c r="L962">
        <v>1</v>
      </c>
      <c r="M962">
        <v>5</v>
      </c>
      <c r="N962">
        <v>5</v>
      </c>
      <c r="O962">
        <v>3</v>
      </c>
      <c r="P962">
        <v>3</v>
      </c>
      <c r="Q962">
        <f t="shared" si="98"/>
        <v>5</v>
      </c>
      <c r="R962">
        <f t="shared" si="99"/>
        <v>25</v>
      </c>
      <c r="S962">
        <f t="array" ref="S962">MAX(IF($C$2:$C$1387=C962,$R$2:$R$1387))</f>
        <v>29</v>
      </c>
      <c r="T962" cm="1">
        <f t="array" ref="T962">MIN(IF($C$2:$C$1387=C962,$R$2:$R$1387))</f>
        <v>9</v>
      </c>
      <c r="U962">
        <f t="shared" si="100"/>
        <v>20</v>
      </c>
      <c r="V962">
        <f t="shared" si="101"/>
        <v>0.8</v>
      </c>
      <c r="W962" cm="1">
        <f t="array" ref="W962">_xlfn.IFS(N962=1,5,N962=2,4,N962=4,2,N962=5,1,N962=3,3)</f>
        <v>1</v>
      </c>
      <c r="X962">
        <f t="shared" si="102"/>
        <v>21</v>
      </c>
      <c r="Y962" cm="1">
        <f t="array" ref="Y962">MAX(IF($C$2:$C$1387=C962,$X$2:$X$1387))</f>
        <v>29</v>
      </c>
      <c r="Z962" cm="1">
        <f t="array" ref="Z962">MIN(IF($C$2:$C$1387=C962,$X$2:$X$1387))</f>
        <v>12</v>
      </c>
      <c r="AA962">
        <f t="shared" si="103"/>
        <v>17</v>
      </c>
      <c r="AB962">
        <f t="shared" si="104"/>
        <v>0.52941176470588236</v>
      </c>
    </row>
    <row r="963" spans="1:28" x14ac:dyDescent="0.25">
      <c r="A963" t="s">
        <v>348</v>
      </c>
      <c r="B963" t="s">
        <v>349</v>
      </c>
      <c r="C963">
        <v>2011</v>
      </c>
      <c r="D963">
        <v>9.8191594015532499E-2</v>
      </c>
      <c r="E963">
        <v>0.44082990817296103</v>
      </c>
      <c r="F963">
        <v>0.12780817009780004</v>
      </c>
      <c r="G963">
        <v>2.3978952727983707</v>
      </c>
      <c r="H963">
        <v>0.63636363636363635</v>
      </c>
      <c r="I963">
        <v>0.83333333333333337</v>
      </c>
      <c r="J963">
        <v>0</v>
      </c>
      <c r="K963">
        <v>3</v>
      </c>
      <c r="L963">
        <v>1</v>
      </c>
      <c r="M963">
        <v>4</v>
      </c>
      <c r="N963">
        <v>5</v>
      </c>
      <c r="O963">
        <v>3</v>
      </c>
      <c r="P963">
        <v>3</v>
      </c>
      <c r="Q963">
        <f t="shared" ref="Q963:Q1026" si="105">IF(J963=0,5,1)</f>
        <v>5</v>
      </c>
      <c r="R963">
        <f t="shared" ref="R963:R1026" si="106">SUM(K963:Q963)</f>
        <v>24</v>
      </c>
      <c r="S963">
        <f t="array" ref="S963">MAX(IF($C$2:$C$1387=C963,$R$2:$R$1387))</f>
        <v>28</v>
      </c>
      <c r="T963" cm="1">
        <f t="array" ref="T963">MIN(IF($C$2:$C$1387=C963,$R$2:$R$1387))</f>
        <v>10</v>
      </c>
      <c r="U963">
        <f t="shared" ref="U963:U1026" si="107">S963-T963</f>
        <v>18</v>
      </c>
      <c r="V963">
        <f t="shared" ref="V963:V1026" si="108">(R963-T963)/U963</f>
        <v>0.77777777777777779</v>
      </c>
      <c r="W963" cm="1">
        <f t="array" ref="W963">_xlfn.IFS(N963=1,5,N963=2,4,N963=4,2,N963=5,1,N963=3,3)</f>
        <v>1</v>
      </c>
      <c r="X963">
        <f t="shared" ref="X963:X1026" si="109">SUM(K963:M963,O963:Q963,W963)</f>
        <v>20</v>
      </c>
      <c r="Y963" cm="1">
        <f t="array" ref="Y963">MAX(IF($C$2:$C$1387=C963,$X$2:$X$1387))</f>
        <v>29</v>
      </c>
      <c r="Z963" cm="1">
        <f t="array" ref="Z963">MIN(IF($C$2:$C$1387=C963,$X$2:$X$1387))</f>
        <v>12</v>
      </c>
      <c r="AA963">
        <f t="shared" ref="AA963:AA1026" si="110">Y963-Z963</f>
        <v>17</v>
      </c>
      <c r="AB963">
        <f t="shared" ref="AB963:AB1026" si="111">(X963-Z963)/AA963</f>
        <v>0.47058823529411764</v>
      </c>
    </row>
    <row r="964" spans="1:28" x14ac:dyDescent="0.25">
      <c r="A964" t="s">
        <v>348</v>
      </c>
      <c r="B964" t="s">
        <v>349</v>
      </c>
      <c r="C964">
        <v>2012</v>
      </c>
      <c r="D964">
        <v>9.5775557059448943E-2</v>
      </c>
      <c r="E964">
        <v>0.45324925114515963</v>
      </c>
      <c r="F964">
        <v>0.15754157549918757</v>
      </c>
      <c r="G964">
        <v>2.3025850929940459</v>
      </c>
      <c r="H964">
        <v>0.5</v>
      </c>
      <c r="I964">
        <v>0.5</v>
      </c>
      <c r="J964">
        <v>0</v>
      </c>
      <c r="K964">
        <v>3</v>
      </c>
      <c r="L964">
        <v>1</v>
      </c>
      <c r="M964">
        <v>5</v>
      </c>
      <c r="N964">
        <v>5</v>
      </c>
      <c r="O964">
        <v>2</v>
      </c>
      <c r="P964">
        <v>1</v>
      </c>
      <c r="Q964">
        <f t="shared" si="105"/>
        <v>5</v>
      </c>
      <c r="R964">
        <f t="shared" si="106"/>
        <v>22</v>
      </c>
      <c r="S964">
        <f t="array" ref="S964">MAX(IF($C$2:$C$1387=C964,$R$2:$R$1387))</f>
        <v>29</v>
      </c>
      <c r="T964" cm="1">
        <f t="array" ref="T964">MIN(IF($C$2:$C$1387=C964,$R$2:$R$1387))</f>
        <v>11</v>
      </c>
      <c r="U964">
        <f t="shared" si="107"/>
        <v>18</v>
      </c>
      <c r="V964">
        <f t="shared" si="108"/>
        <v>0.61111111111111116</v>
      </c>
      <c r="W964" cm="1">
        <f t="array" ref="W964">_xlfn.IFS(N964=1,5,N964=2,4,N964=4,2,N964=5,1,N964=3,3)</f>
        <v>1</v>
      </c>
      <c r="X964">
        <f t="shared" si="109"/>
        <v>18</v>
      </c>
      <c r="Y964" cm="1">
        <f t="array" ref="Y964">MAX(IF($C$2:$C$1387=C964,$X$2:$X$1387))</f>
        <v>30</v>
      </c>
      <c r="Z964" cm="1">
        <f t="array" ref="Z964">MIN(IF($C$2:$C$1387=C964,$X$2:$X$1387))</f>
        <v>12</v>
      </c>
      <c r="AA964">
        <f t="shared" si="110"/>
        <v>18</v>
      </c>
      <c r="AB964">
        <f t="shared" si="111"/>
        <v>0.33333333333333331</v>
      </c>
    </row>
    <row r="965" spans="1:28" x14ac:dyDescent="0.25">
      <c r="A965" t="s">
        <v>348</v>
      </c>
      <c r="B965" t="s">
        <v>349</v>
      </c>
      <c r="C965">
        <v>2013</v>
      </c>
      <c r="D965">
        <v>3.092164419454279E-2</v>
      </c>
      <c r="E965">
        <v>0.45369382593194668</v>
      </c>
      <c r="F965">
        <v>0.18213841361286029</v>
      </c>
      <c r="G965">
        <v>2.3025850929940459</v>
      </c>
      <c r="H965">
        <v>0.6</v>
      </c>
      <c r="I965">
        <v>0.66666666666666663</v>
      </c>
      <c r="J965">
        <v>0</v>
      </c>
      <c r="K965">
        <v>2</v>
      </c>
      <c r="L965">
        <v>2</v>
      </c>
      <c r="M965">
        <v>5</v>
      </c>
      <c r="N965">
        <v>5</v>
      </c>
      <c r="O965">
        <v>3</v>
      </c>
      <c r="P965">
        <v>1</v>
      </c>
      <c r="Q965">
        <f t="shared" si="105"/>
        <v>5</v>
      </c>
      <c r="R965">
        <f t="shared" si="106"/>
        <v>23</v>
      </c>
      <c r="S965">
        <f t="array" ref="S965">MAX(IF($C$2:$C$1387=C965,$R$2:$R$1387))</f>
        <v>29</v>
      </c>
      <c r="T965" cm="1">
        <f t="array" ref="T965">MIN(IF($C$2:$C$1387=C965,$R$2:$R$1387))</f>
        <v>10</v>
      </c>
      <c r="U965">
        <f t="shared" si="107"/>
        <v>19</v>
      </c>
      <c r="V965">
        <f t="shared" si="108"/>
        <v>0.68421052631578949</v>
      </c>
      <c r="W965" cm="1">
        <f t="array" ref="W965">_xlfn.IFS(N965=1,5,N965=2,4,N965=4,2,N965=5,1,N965=3,3)</f>
        <v>1</v>
      </c>
      <c r="X965">
        <f t="shared" si="109"/>
        <v>19</v>
      </c>
      <c r="Y965" cm="1">
        <f t="array" ref="Y965">MAX(IF($C$2:$C$1387=C965,$X$2:$X$1387))</f>
        <v>32</v>
      </c>
      <c r="Z965" cm="1">
        <f t="array" ref="Z965">MIN(IF($C$2:$C$1387=C965,$X$2:$X$1387))</f>
        <v>10</v>
      </c>
      <c r="AA965">
        <f t="shared" si="110"/>
        <v>22</v>
      </c>
      <c r="AB965">
        <f t="shared" si="111"/>
        <v>0.40909090909090912</v>
      </c>
    </row>
    <row r="966" spans="1:28" x14ac:dyDescent="0.25">
      <c r="A966" t="s">
        <v>348</v>
      </c>
      <c r="B966" t="s">
        <v>349</v>
      </c>
      <c r="C966">
        <v>2014</v>
      </c>
      <c r="D966">
        <v>8.872154440710843E-2</v>
      </c>
      <c r="E966">
        <v>0.47678035984091782</v>
      </c>
      <c r="F966">
        <v>0.21080273857557691</v>
      </c>
      <c r="G966">
        <v>2.3025850929940459</v>
      </c>
      <c r="H966">
        <v>0.6</v>
      </c>
      <c r="I966">
        <v>0.8</v>
      </c>
      <c r="J966">
        <v>0</v>
      </c>
      <c r="K966">
        <v>3</v>
      </c>
      <c r="L966">
        <v>2</v>
      </c>
      <c r="M966">
        <v>5</v>
      </c>
      <c r="N966">
        <v>5</v>
      </c>
      <c r="O966">
        <v>3</v>
      </c>
      <c r="P966">
        <v>3</v>
      </c>
      <c r="Q966">
        <f t="shared" si="105"/>
        <v>5</v>
      </c>
      <c r="R966">
        <f t="shared" si="106"/>
        <v>26</v>
      </c>
      <c r="S966">
        <f t="array" ref="S966">MAX(IF($C$2:$C$1387=C966,$R$2:$R$1387))</f>
        <v>29</v>
      </c>
      <c r="T966" cm="1">
        <f t="array" ref="T966">MIN(IF($C$2:$C$1387=C966,$R$2:$R$1387))</f>
        <v>11</v>
      </c>
      <c r="U966">
        <f t="shared" si="107"/>
        <v>18</v>
      </c>
      <c r="V966">
        <f t="shared" si="108"/>
        <v>0.83333333333333337</v>
      </c>
      <c r="W966" cm="1">
        <f t="array" ref="W966">_xlfn.IFS(N966=1,5,N966=2,4,N966=4,2,N966=5,1,N966=3,3)</f>
        <v>1</v>
      </c>
      <c r="X966">
        <f t="shared" si="109"/>
        <v>22</v>
      </c>
      <c r="Y966" cm="1">
        <f t="array" ref="Y966">MAX(IF($C$2:$C$1387=C966,$X$2:$X$1387))</f>
        <v>30</v>
      </c>
      <c r="Z966" cm="1">
        <f t="array" ref="Z966">MIN(IF($C$2:$C$1387=C966,$X$2:$X$1387))</f>
        <v>14</v>
      </c>
      <c r="AA966">
        <f t="shared" si="110"/>
        <v>16</v>
      </c>
      <c r="AB966">
        <f t="shared" si="111"/>
        <v>0.5</v>
      </c>
    </row>
    <row r="967" spans="1:28" x14ac:dyDescent="0.25">
      <c r="A967" t="s">
        <v>348</v>
      </c>
      <c r="B967" t="s">
        <v>349</v>
      </c>
      <c r="C967">
        <v>2015</v>
      </c>
      <c r="D967">
        <v>8.3269928738228721E-2</v>
      </c>
      <c r="E967">
        <v>0.44738016407061981</v>
      </c>
      <c r="F967">
        <v>0.2819001111388903</v>
      </c>
      <c r="G967">
        <v>2.3025850929940459</v>
      </c>
      <c r="H967">
        <v>0.8</v>
      </c>
      <c r="I967">
        <v>0.8</v>
      </c>
      <c r="J967">
        <v>0</v>
      </c>
      <c r="K967">
        <v>3</v>
      </c>
      <c r="L967">
        <v>2</v>
      </c>
      <c r="M967">
        <v>5</v>
      </c>
      <c r="N967">
        <v>5</v>
      </c>
      <c r="O967">
        <v>4</v>
      </c>
      <c r="P967">
        <v>2</v>
      </c>
      <c r="Q967">
        <f t="shared" si="105"/>
        <v>5</v>
      </c>
      <c r="R967">
        <f t="shared" si="106"/>
        <v>26</v>
      </c>
      <c r="S967">
        <f t="array" ref="S967">MAX(IF($C$2:$C$1387=C967,$R$2:$R$1387))</f>
        <v>29</v>
      </c>
      <c r="T967" cm="1">
        <f t="array" ref="T967">MIN(IF($C$2:$C$1387=C967,$R$2:$R$1387))</f>
        <v>11</v>
      </c>
      <c r="U967">
        <f t="shared" si="107"/>
        <v>18</v>
      </c>
      <c r="V967">
        <f t="shared" si="108"/>
        <v>0.83333333333333337</v>
      </c>
      <c r="W967" cm="1">
        <f t="array" ref="W967">_xlfn.IFS(N967=1,5,N967=2,4,N967=4,2,N967=5,1,N967=3,3)</f>
        <v>1</v>
      </c>
      <c r="X967">
        <f t="shared" si="109"/>
        <v>22</v>
      </c>
      <c r="Y967" cm="1">
        <f t="array" ref="Y967">MAX(IF($C$2:$C$1387=C967,$X$2:$X$1387))</f>
        <v>29</v>
      </c>
      <c r="Z967" cm="1">
        <f t="array" ref="Z967">MIN(IF($C$2:$C$1387=C967,$X$2:$X$1387))</f>
        <v>12</v>
      </c>
      <c r="AA967">
        <f t="shared" si="110"/>
        <v>17</v>
      </c>
      <c r="AB967">
        <f t="shared" si="111"/>
        <v>0.58823529411764708</v>
      </c>
    </row>
    <row r="968" spans="1:28" x14ac:dyDescent="0.25">
      <c r="A968" t="s">
        <v>350</v>
      </c>
      <c r="B968" t="s">
        <v>351</v>
      </c>
      <c r="C968">
        <v>2010</v>
      </c>
      <c r="D968">
        <v>0.13890000343322753</v>
      </c>
      <c r="E968">
        <v>0.62879733333333332</v>
      </c>
      <c r="F968">
        <v>6.8900000000000003E-2</v>
      </c>
      <c r="G968">
        <v>2.1972245773362196</v>
      </c>
      <c r="H968">
        <v>0.1111111111111111</v>
      </c>
      <c r="I968">
        <v>0.33333333333333331</v>
      </c>
      <c r="J968">
        <v>0</v>
      </c>
      <c r="K968">
        <v>3</v>
      </c>
      <c r="L968">
        <v>3</v>
      </c>
      <c r="M968">
        <v>3</v>
      </c>
      <c r="N968">
        <v>4</v>
      </c>
      <c r="O968">
        <v>1</v>
      </c>
      <c r="P968">
        <v>1</v>
      </c>
      <c r="Q968">
        <f t="shared" si="105"/>
        <v>5</v>
      </c>
      <c r="R968">
        <f t="shared" si="106"/>
        <v>20</v>
      </c>
      <c r="S968">
        <f t="array" ref="S968">MAX(IF($C$2:$C$1387=C968,$R$2:$R$1387))</f>
        <v>29</v>
      </c>
      <c r="T968" cm="1">
        <f t="array" ref="T968">MIN(IF($C$2:$C$1387=C968,$R$2:$R$1387))</f>
        <v>9</v>
      </c>
      <c r="U968">
        <f t="shared" si="107"/>
        <v>20</v>
      </c>
      <c r="V968">
        <f t="shared" si="108"/>
        <v>0.55000000000000004</v>
      </c>
      <c r="W968" cm="1">
        <f t="array" ref="W968">_xlfn.IFS(N968=1,5,N968=2,4,N968=4,2,N968=5,1,N968=3,3)</f>
        <v>2</v>
      </c>
      <c r="X968">
        <f t="shared" si="109"/>
        <v>18</v>
      </c>
      <c r="Y968" cm="1">
        <f t="array" ref="Y968">MAX(IF($C$2:$C$1387=C968,$X$2:$X$1387))</f>
        <v>29</v>
      </c>
      <c r="Z968" cm="1">
        <f t="array" ref="Z968">MIN(IF($C$2:$C$1387=C968,$X$2:$X$1387))</f>
        <v>12</v>
      </c>
      <c r="AA968">
        <f t="shared" si="110"/>
        <v>17</v>
      </c>
      <c r="AB968">
        <f t="shared" si="111"/>
        <v>0.35294117647058826</v>
      </c>
    </row>
    <row r="969" spans="1:28" x14ac:dyDescent="0.25">
      <c r="A969" t="s">
        <v>350</v>
      </c>
      <c r="B969" t="s">
        <v>351</v>
      </c>
      <c r="C969">
        <v>2011</v>
      </c>
      <c r="D969">
        <v>0.53359599999999996</v>
      </c>
      <c r="E969">
        <v>0.67256293333333328</v>
      </c>
      <c r="F969">
        <v>2.3333599999999999E-2</v>
      </c>
      <c r="G969">
        <v>2.1972245773362196</v>
      </c>
      <c r="H969">
        <v>0.1111111111111111</v>
      </c>
      <c r="I969">
        <v>0.33333333333333331</v>
      </c>
      <c r="J969">
        <v>0</v>
      </c>
      <c r="K969">
        <v>5</v>
      </c>
      <c r="L969">
        <v>3</v>
      </c>
      <c r="M969">
        <v>2</v>
      </c>
      <c r="N969">
        <v>4</v>
      </c>
      <c r="O969">
        <v>1</v>
      </c>
      <c r="P969">
        <v>1</v>
      </c>
      <c r="Q969">
        <f t="shared" si="105"/>
        <v>5</v>
      </c>
      <c r="R969">
        <f t="shared" si="106"/>
        <v>21</v>
      </c>
      <c r="S969">
        <f t="array" ref="S969">MAX(IF($C$2:$C$1387=C969,$R$2:$R$1387))</f>
        <v>28</v>
      </c>
      <c r="T969" cm="1">
        <f t="array" ref="T969">MIN(IF($C$2:$C$1387=C969,$R$2:$R$1387))</f>
        <v>10</v>
      </c>
      <c r="U969">
        <f t="shared" si="107"/>
        <v>18</v>
      </c>
      <c r="V969">
        <f t="shared" si="108"/>
        <v>0.61111111111111116</v>
      </c>
      <c r="W969" cm="1">
        <f t="array" ref="W969">_xlfn.IFS(N969=1,5,N969=2,4,N969=4,2,N969=5,1,N969=3,3)</f>
        <v>2</v>
      </c>
      <c r="X969">
        <f t="shared" si="109"/>
        <v>19</v>
      </c>
      <c r="Y969" cm="1">
        <f t="array" ref="Y969">MAX(IF($C$2:$C$1387=C969,$X$2:$X$1387))</f>
        <v>29</v>
      </c>
      <c r="Z969" cm="1">
        <f t="array" ref="Z969">MIN(IF($C$2:$C$1387=C969,$X$2:$X$1387))</f>
        <v>12</v>
      </c>
      <c r="AA969">
        <f t="shared" si="110"/>
        <v>17</v>
      </c>
      <c r="AB969">
        <f t="shared" si="111"/>
        <v>0.41176470588235292</v>
      </c>
    </row>
    <row r="970" spans="1:28" x14ac:dyDescent="0.25">
      <c r="A970" t="s">
        <v>350</v>
      </c>
      <c r="B970" t="s">
        <v>351</v>
      </c>
      <c r="C970">
        <v>2012</v>
      </c>
      <c r="D970">
        <v>0.53359599999999996</v>
      </c>
      <c r="E970">
        <v>0.62879733333333332</v>
      </c>
      <c r="F970">
        <v>1.3741333333333334E-3</v>
      </c>
      <c r="G970">
        <v>2.0794415416798357</v>
      </c>
      <c r="H970">
        <v>0</v>
      </c>
      <c r="I970">
        <v>0.66666666666666663</v>
      </c>
      <c r="J970">
        <v>0</v>
      </c>
      <c r="K970">
        <v>4</v>
      </c>
      <c r="L970">
        <v>3</v>
      </c>
      <c r="M970">
        <v>1</v>
      </c>
      <c r="N970">
        <v>3</v>
      </c>
      <c r="O970">
        <v>1</v>
      </c>
      <c r="P970">
        <v>1</v>
      </c>
      <c r="Q970">
        <f t="shared" si="105"/>
        <v>5</v>
      </c>
      <c r="R970">
        <f t="shared" si="106"/>
        <v>18</v>
      </c>
      <c r="S970">
        <f t="array" ref="S970">MAX(IF($C$2:$C$1387=C970,$R$2:$R$1387))</f>
        <v>29</v>
      </c>
      <c r="T970" cm="1">
        <f t="array" ref="T970">MIN(IF($C$2:$C$1387=C970,$R$2:$R$1387))</f>
        <v>11</v>
      </c>
      <c r="U970">
        <f t="shared" si="107"/>
        <v>18</v>
      </c>
      <c r="V970">
        <f t="shared" si="108"/>
        <v>0.3888888888888889</v>
      </c>
      <c r="W970" cm="1">
        <f t="array" ref="W970">_xlfn.IFS(N970=1,5,N970=2,4,N970=4,2,N970=5,1,N970=3,3)</f>
        <v>3</v>
      </c>
      <c r="X970">
        <f t="shared" si="109"/>
        <v>18</v>
      </c>
      <c r="Y970" cm="1">
        <f t="array" ref="Y970">MAX(IF($C$2:$C$1387=C970,$X$2:$X$1387))</f>
        <v>30</v>
      </c>
      <c r="Z970" cm="1">
        <f t="array" ref="Z970">MIN(IF($C$2:$C$1387=C970,$X$2:$X$1387))</f>
        <v>12</v>
      </c>
      <c r="AA970">
        <f t="shared" si="110"/>
        <v>18</v>
      </c>
      <c r="AB970">
        <f t="shared" si="111"/>
        <v>0.33333333333333331</v>
      </c>
    </row>
    <row r="971" spans="1:28" x14ac:dyDescent="0.25">
      <c r="A971" t="s">
        <v>350</v>
      </c>
      <c r="B971" t="s">
        <v>351</v>
      </c>
      <c r="C971">
        <v>2013</v>
      </c>
      <c r="D971">
        <v>0.53722026666666667</v>
      </c>
      <c r="E971">
        <v>0.63242160000000003</v>
      </c>
      <c r="F971">
        <v>1.8925600000000001E-2</v>
      </c>
      <c r="G971">
        <v>2.1972245773362196</v>
      </c>
      <c r="H971">
        <v>0.66666666666666663</v>
      </c>
      <c r="I971">
        <v>1</v>
      </c>
      <c r="J971">
        <v>0</v>
      </c>
      <c r="K971">
        <v>4</v>
      </c>
      <c r="L971">
        <v>3</v>
      </c>
      <c r="M971">
        <v>2</v>
      </c>
      <c r="N971">
        <v>4</v>
      </c>
      <c r="O971">
        <v>4</v>
      </c>
      <c r="P971">
        <v>3</v>
      </c>
      <c r="Q971">
        <f t="shared" si="105"/>
        <v>5</v>
      </c>
      <c r="R971">
        <f t="shared" si="106"/>
        <v>25</v>
      </c>
      <c r="S971">
        <f t="array" ref="S971">MAX(IF($C$2:$C$1387=C971,$R$2:$R$1387))</f>
        <v>29</v>
      </c>
      <c r="T971" cm="1">
        <f t="array" ref="T971">MIN(IF($C$2:$C$1387=C971,$R$2:$R$1387))</f>
        <v>10</v>
      </c>
      <c r="U971">
        <f t="shared" si="107"/>
        <v>19</v>
      </c>
      <c r="V971">
        <f t="shared" si="108"/>
        <v>0.78947368421052633</v>
      </c>
      <c r="W971" cm="1">
        <f t="array" ref="W971">_xlfn.IFS(N971=1,5,N971=2,4,N971=4,2,N971=5,1,N971=3,3)</f>
        <v>2</v>
      </c>
      <c r="X971">
        <f t="shared" si="109"/>
        <v>23</v>
      </c>
      <c r="Y971" cm="1">
        <f t="array" ref="Y971">MAX(IF($C$2:$C$1387=C971,$X$2:$X$1387))</f>
        <v>32</v>
      </c>
      <c r="Z971" cm="1">
        <f t="array" ref="Z971">MIN(IF($C$2:$C$1387=C971,$X$2:$X$1387))</f>
        <v>10</v>
      </c>
      <c r="AA971">
        <f t="shared" si="110"/>
        <v>22</v>
      </c>
      <c r="AB971">
        <f t="shared" si="111"/>
        <v>0.59090909090909094</v>
      </c>
    </row>
    <row r="972" spans="1:28" x14ac:dyDescent="0.25">
      <c r="A972" t="s">
        <v>350</v>
      </c>
      <c r="B972" t="s">
        <v>351</v>
      </c>
      <c r="C972">
        <v>2014</v>
      </c>
      <c r="D972">
        <v>0.53722026666666667</v>
      </c>
      <c r="E972">
        <v>0.69043706666666671</v>
      </c>
      <c r="F972">
        <v>1.8925600000000001E-2</v>
      </c>
      <c r="G972">
        <v>2.1972245773362196</v>
      </c>
      <c r="H972">
        <v>0.55555555555555558</v>
      </c>
      <c r="I972">
        <v>1</v>
      </c>
      <c r="J972">
        <v>0</v>
      </c>
      <c r="K972">
        <v>5</v>
      </c>
      <c r="L972">
        <v>3</v>
      </c>
      <c r="M972">
        <v>2</v>
      </c>
      <c r="N972">
        <v>4</v>
      </c>
      <c r="O972">
        <v>2</v>
      </c>
      <c r="P972">
        <v>3</v>
      </c>
      <c r="Q972">
        <f t="shared" si="105"/>
        <v>5</v>
      </c>
      <c r="R972">
        <f t="shared" si="106"/>
        <v>24</v>
      </c>
      <c r="S972">
        <f t="array" ref="S972">MAX(IF($C$2:$C$1387=C972,$R$2:$R$1387))</f>
        <v>29</v>
      </c>
      <c r="T972" cm="1">
        <f t="array" ref="T972">MIN(IF($C$2:$C$1387=C972,$R$2:$R$1387))</f>
        <v>11</v>
      </c>
      <c r="U972">
        <f t="shared" si="107"/>
        <v>18</v>
      </c>
      <c r="V972">
        <f t="shared" si="108"/>
        <v>0.72222222222222221</v>
      </c>
      <c r="W972" cm="1">
        <f t="array" ref="W972">_xlfn.IFS(N972=1,5,N972=2,4,N972=4,2,N972=5,1,N972=3,3)</f>
        <v>2</v>
      </c>
      <c r="X972">
        <f t="shared" si="109"/>
        <v>22</v>
      </c>
      <c r="Y972" cm="1">
        <f t="array" ref="Y972">MAX(IF($C$2:$C$1387=C972,$X$2:$X$1387))</f>
        <v>30</v>
      </c>
      <c r="Z972" cm="1">
        <f t="array" ref="Z972">MIN(IF($C$2:$C$1387=C972,$X$2:$X$1387))</f>
        <v>14</v>
      </c>
      <c r="AA972">
        <f t="shared" si="110"/>
        <v>16</v>
      </c>
      <c r="AB972">
        <f t="shared" si="111"/>
        <v>0.5</v>
      </c>
    </row>
    <row r="973" spans="1:28" x14ac:dyDescent="0.25">
      <c r="A973" t="s">
        <v>350</v>
      </c>
      <c r="B973" t="s">
        <v>351</v>
      </c>
      <c r="C973">
        <v>2015</v>
      </c>
      <c r="D973">
        <v>0.53722026666666667</v>
      </c>
      <c r="E973">
        <v>0.63242160000000003</v>
      </c>
      <c r="F973">
        <v>1.8925600000000001E-2</v>
      </c>
      <c r="G973">
        <v>2.1972245773362196</v>
      </c>
      <c r="H973">
        <v>0.55555555555555558</v>
      </c>
      <c r="I973">
        <v>0.75</v>
      </c>
      <c r="J973">
        <v>0</v>
      </c>
      <c r="K973">
        <v>4</v>
      </c>
      <c r="L973">
        <v>3</v>
      </c>
      <c r="M973">
        <v>2</v>
      </c>
      <c r="N973">
        <v>4</v>
      </c>
      <c r="O973">
        <v>1</v>
      </c>
      <c r="P973">
        <v>2</v>
      </c>
      <c r="Q973">
        <f t="shared" si="105"/>
        <v>5</v>
      </c>
      <c r="R973">
        <f t="shared" si="106"/>
        <v>21</v>
      </c>
      <c r="S973">
        <f t="array" ref="S973">MAX(IF($C$2:$C$1387=C973,$R$2:$R$1387))</f>
        <v>29</v>
      </c>
      <c r="T973" cm="1">
        <f t="array" ref="T973">MIN(IF($C$2:$C$1387=C973,$R$2:$R$1387))</f>
        <v>11</v>
      </c>
      <c r="U973">
        <f t="shared" si="107"/>
        <v>18</v>
      </c>
      <c r="V973">
        <f t="shared" si="108"/>
        <v>0.55555555555555558</v>
      </c>
      <c r="W973" cm="1">
        <f t="array" ref="W973">_xlfn.IFS(N973=1,5,N973=2,4,N973=4,2,N973=5,1,N973=3,3)</f>
        <v>2</v>
      </c>
      <c r="X973">
        <f t="shared" si="109"/>
        <v>19</v>
      </c>
      <c r="Y973" cm="1">
        <f t="array" ref="Y973">MAX(IF($C$2:$C$1387=C973,$X$2:$X$1387))</f>
        <v>29</v>
      </c>
      <c r="Z973" cm="1">
        <f t="array" ref="Z973">MIN(IF($C$2:$C$1387=C973,$X$2:$X$1387))</f>
        <v>12</v>
      </c>
      <c r="AA973">
        <f t="shared" si="110"/>
        <v>17</v>
      </c>
      <c r="AB973">
        <f t="shared" si="111"/>
        <v>0.41176470588235292</v>
      </c>
    </row>
    <row r="974" spans="1:28" x14ac:dyDescent="0.25">
      <c r="A974" t="s">
        <v>352</v>
      </c>
      <c r="B974" t="s">
        <v>353</v>
      </c>
      <c r="C974">
        <v>2010</v>
      </c>
      <c r="D974">
        <v>2.9539170506912443E-2</v>
      </c>
      <c r="E974">
        <v>0.36096285714285714</v>
      </c>
      <c r="F974">
        <v>5.1544147465437791E-2</v>
      </c>
      <c r="G974">
        <v>2.1972245773362196</v>
      </c>
      <c r="H974">
        <v>0.55555555555555558</v>
      </c>
      <c r="I974">
        <v>0.66666666666666663</v>
      </c>
      <c r="J974">
        <v>1</v>
      </c>
      <c r="K974">
        <v>2</v>
      </c>
      <c r="L974">
        <v>1</v>
      </c>
      <c r="M974">
        <v>3</v>
      </c>
      <c r="N974">
        <v>4</v>
      </c>
      <c r="O974">
        <v>2</v>
      </c>
      <c r="P974">
        <v>1</v>
      </c>
      <c r="Q974">
        <f t="shared" si="105"/>
        <v>1</v>
      </c>
      <c r="R974">
        <f t="shared" si="106"/>
        <v>14</v>
      </c>
      <c r="S974">
        <f t="array" ref="S974">MAX(IF($C$2:$C$1387=C974,$R$2:$R$1387))</f>
        <v>29</v>
      </c>
      <c r="T974" cm="1">
        <f t="array" ref="T974">MIN(IF($C$2:$C$1387=C974,$R$2:$R$1387))</f>
        <v>9</v>
      </c>
      <c r="U974">
        <f t="shared" si="107"/>
        <v>20</v>
      </c>
      <c r="V974">
        <f t="shared" si="108"/>
        <v>0.25</v>
      </c>
      <c r="W974" cm="1">
        <f t="array" ref="W974">_xlfn.IFS(N974=1,5,N974=2,4,N974=4,2,N974=5,1,N974=3,3)</f>
        <v>2</v>
      </c>
      <c r="X974">
        <f t="shared" si="109"/>
        <v>12</v>
      </c>
      <c r="Y974" cm="1">
        <f t="array" ref="Y974">MAX(IF($C$2:$C$1387=C974,$X$2:$X$1387))</f>
        <v>29</v>
      </c>
      <c r="Z974" cm="1">
        <f t="array" ref="Z974">MIN(IF($C$2:$C$1387=C974,$X$2:$X$1387))</f>
        <v>12</v>
      </c>
      <c r="AA974">
        <f t="shared" si="110"/>
        <v>17</v>
      </c>
      <c r="AB974">
        <f t="shared" si="111"/>
        <v>0</v>
      </c>
    </row>
    <row r="975" spans="1:28" x14ac:dyDescent="0.25">
      <c r="A975" t="s">
        <v>352</v>
      </c>
      <c r="B975" t="s">
        <v>353</v>
      </c>
      <c r="C975">
        <v>2011</v>
      </c>
      <c r="D975">
        <v>2.9539170506912443E-2</v>
      </c>
      <c r="E975">
        <v>0.3615041474654378</v>
      </c>
      <c r="F975">
        <v>5.1544147465437791E-2</v>
      </c>
      <c r="G975">
        <v>2.1972245773362196</v>
      </c>
      <c r="H975">
        <v>0.66666666666666663</v>
      </c>
      <c r="I975">
        <v>0.66666666666666663</v>
      </c>
      <c r="J975">
        <v>1</v>
      </c>
      <c r="K975">
        <v>2</v>
      </c>
      <c r="L975">
        <v>1</v>
      </c>
      <c r="M975">
        <v>3</v>
      </c>
      <c r="N975">
        <v>4</v>
      </c>
      <c r="O975">
        <v>3</v>
      </c>
      <c r="P975">
        <v>1</v>
      </c>
      <c r="Q975">
        <f t="shared" si="105"/>
        <v>1</v>
      </c>
      <c r="R975">
        <f t="shared" si="106"/>
        <v>15</v>
      </c>
      <c r="S975">
        <f t="array" ref="S975">MAX(IF($C$2:$C$1387=C975,$R$2:$R$1387))</f>
        <v>28</v>
      </c>
      <c r="T975" cm="1">
        <f t="array" ref="T975">MIN(IF($C$2:$C$1387=C975,$R$2:$R$1387))</f>
        <v>10</v>
      </c>
      <c r="U975">
        <f t="shared" si="107"/>
        <v>18</v>
      </c>
      <c r="V975">
        <f t="shared" si="108"/>
        <v>0.27777777777777779</v>
      </c>
      <c r="W975" cm="1">
        <f t="array" ref="W975">_xlfn.IFS(N975=1,5,N975=2,4,N975=4,2,N975=5,1,N975=3,3)</f>
        <v>2</v>
      </c>
      <c r="X975">
        <f t="shared" si="109"/>
        <v>13</v>
      </c>
      <c r="Y975" cm="1">
        <f t="array" ref="Y975">MAX(IF($C$2:$C$1387=C975,$X$2:$X$1387))</f>
        <v>29</v>
      </c>
      <c r="Z975" cm="1">
        <f t="array" ref="Z975">MIN(IF($C$2:$C$1387=C975,$X$2:$X$1387))</f>
        <v>12</v>
      </c>
      <c r="AA975">
        <f t="shared" si="110"/>
        <v>17</v>
      </c>
      <c r="AB975">
        <f t="shared" si="111"/>
        <v>5.8823529411764705E-2</v>
      </c>
    </row>
    <row r="976" spans="1:28" x14ac:dyDescent="0.25">
      <c r="A976" t="s">
        <v>352</v>
      </c>
      <c r="B976" t="s">
        <v>353</v>
      </c>
      <c r="C976">
        <v>2012</v>
      </c>
      <c r="D976">
        <v>2.9539170506912443E-2</v>
      </c>
      <c r="E976">
        <v>0.31542119815668201</v>
      </c>
      <c r="F976">
        <v>4.6731981566820277E-2</v>
      </c>
      <c r="G976">
        <v>2.1972245773362196</v>
      </c>
      <c r="H976">
        <v>0.66666666666666663</v>
      </c>
      <c r="I976">
        <v>0.66666666666666663</v>
      </c>
      <c r="J976">
        <v>1</v>
      </c>
      <c r="K976">
        <v>2</v>
      </c>
      <c r="L976">
        <v>1</v>
      </c>
      <c r="M976">
        <v>3</v>
      </c>
      <c r="N976">
        <v>4</v>
      </c>
      <c r="O976">
        <v>3</v>
      </c>
      <c r="P976">
        <v>1</v>
      </c>
      <c r="Q976">
        <f t="shared" si="105"/>
        <v>1</v>
      </c>
      <c r="R976">
        <f t="shared" si="106"/>
        <v>15</v>
      </c>
      <c r="S976">
        <f t="array" ref="S976">MAX(IF($C$2:$C$1387=C976,$R$2:$R$1387))</f>
        <v>29</v>
      </c>
      <c r="T976" cm="1">
        <f t="array" ref="T976">MIN(IF($C$2:$C$1387=C976,$R$2:$R$1387))</f>
        <v>11</v>
      </c>
      <c r="U976">
        <f t="shared" si="107"/>
        <v>18</v>
      </c>
      <c r="V976">
        <f t="shared" si="108"/>
        <v>0.22222222222222221</v>
      </c>
      <c r="W976" cm="1">
        <f t="array" ref="W976">_xlfn.IFS(N976=1,5,N976=2,4,N976=4,2,N976=5,1,N976=3,3)</f>
        <v>2</v>
      </c>
      <c r="X976">
        <f t="shared" si="109"/>
        <v>13</v>
      </c>
      <c r="Y976" cm="1">
        <f t="array" ref="Y976">MAX(IF($C$2:$C$1387=C976,$X$2:$X$1387))</f>
        <v>30</v>
      </c>
      <c r="Z976" cm="1">
        <f t="array" ref="Z976">MIN(IF($C$2:$C$1387=C976,$X$2:$X$1387))</f>
        <v>12</v>
      </c>
      <c r="AA976">
        <f t="shared" si="110"/>
        <v>18</v>
      </c>
      <c r="AB976">
        <f t="shared" si="111"/>
        <v>5.5555555555555552E-2</v>
      </c>
    </row>
    <row r="977" spans="1:28" x14ac:dyDescent="0.25">
      <c r="A977" t="s">
        <v>352</v>
      </c>
      <c r="B977" t="s">
        <v>353</v>
      </c>
      <c r="C977">
        <v>2013</v>
      </c>
      <c r="D977">
        <v>2.9539170506912443E-2</v>
      </c>
      <c r="E977">
        <v>0.31542119815668201</v>
      </c>
      <c r="F977">
        <v>4.0566728110599082E-2</v>
      </c>
      <c r="G977">
        <v>2.1972245773362196</v>
      </c>
      <c r="H977">
        <v>0.66666666666666663</v>
      </c>
      <c r="I977">
        <v>0.66666666666666663</v>
      </c>
      <c r="J977">
        <v>1</v>
      </c>
      <c r="K977">
        <v>2</v>
      </c>
      <c r="L977">
        <v>1</v>
      </c>
      <c r="M977">
        <v>3</v>
      </c>
      <c r="N977">
        <v>4</v>
      </c>
      <c r="O977">
        <v>4</v>
      </c>
      <c r="P977">
        <v>1</v>
      </c>
      <c r="Q977">
        <f t="shared" si="105"/>
        <v>1</v>
      </c>
      <c r="R977">
        <f t="shared" si="106"/>
        <v>16</v>
      </c>
      <c r="S977">
        <f t="array" ref="S977">MAX(IF($C$2:$C$1387=C977,$R$2:$R$1387))</f>
        <v>29</v>
      </c>
      <c r="T977" cm="1">
        <f t="array" ref="T977">MIN(IF($C$2:$C$1387=C977,$R$2:$R$1387))</f>
        <v>10</v>
      </c>
      <c r="U977">
        <f t="shared" si="107"/>
        <v>19</v>
      </c>
      <c r="V977">
        <f t="shared" si="108"/>
        <v>0.31578947368421051</v>
      </c>
      <c r="W977" cm="1">
        <f t="array" ref="W977">_xlfn.IFS(N977=1,5,N977=2,4,N977=4,2,N977=5,1,N977=3,3)</f>
        <v>2</v>
      </c>
      <c r="X977">
        <f t="shared" si="109"/>
        <v>14</v>
      </c>
      <c r="Y977" cm="1">
        <f t="array" ref="Y977">MAX(IF($C$2:$C$1387=C977,$X$2:$X$1387))</f>
        <v>32</v>
      </c>
      <c r="Z977" cm="1">
        <f t="array" ref="Z977">MIN(IF($C$2:$C$1387=C977,$X$2:$X$1387))</f>
        <v>10</v>
      </c>
      <c r="AA977">
        <f t="shared" si="110"/>
        <v>22</v>
      </c>
      <c r="AB977">
        <f t="shared" si="111"/>
        <v>0.18181818181818182</v>
      </c>
    </row>
    <row r="978" spans="1:28" x14ac:dyDescent="0.25">
      <c r="A978" t="s">
        <v>352</v>
      </c>
      <c r="B978" t="s">
        <v>353</v>
      </c>
      <c r="C978">
        <v>2014</v>
      </c>
      <c r="D978">
        <v>2.9539170506912443E-2</v>
      </c>
      <c r="E978">
        <v>0.36081566820276495</v>
      </c>
      <c r="F978">
        <v>4.0566728110599082E-2</v>
      </c>
      <c r="G978">
        <v>2.1972245773362196</v>
      </c>
      <c r="H978">
        <v>0.66666666666666663</v>
      </c>
      <c r="I978">
        <v>0.66666666666666663</v>
      </c>
      <c r="J978">
        <v>1</v>
      </c>
      <c r="K978">
        <v>2</v>
      </c>
      <c r="L978">
        <v>1</v>
      </c>
      <c r="M978">
        <v>3</v>
      </c>
      <c r="N978">
        <v>4</v>
      </c>
      <c r="O978">
        <v>4</v>
      </c>
      <c r="P978">
        <v>1</v>
      </c>
      <c r="Q978">
        <f t="shared" si="105"/>
        <v>1</v>
      </c>
      <c r="R978">
        <f t="shared" si="106"/>
        <v>16</v>
      </c>
      <c r="S978">
        <f t="array" ref="S978">MAX(IF($C$2:$C$1387=C978,$R$2:$R$1387))</f>
        <v>29</v>
      </c>
      <c r="T978" cm="1">
        <f t="array" ref="T978">MIN(IF($C$2:$C$1387=C978,$R$2:$R$1387))</f>
        <v>11</v>
      </c>
      <c r="U978">
        <f t="shared" si="107"/>
        <v>18</v>
      </c>
      <c r="V978">
        <f t="shared" si="108"/>
        <v>0.27777777777777779</v>
      </c>
      <c r="W978" cm="1">
        <f t="array" ref="W978">_xlfn.IFS(N978=1,5,N978=2,4,N978=4,2,N978=5,1,N978=3,3)</f>
        <v>2</v>
      </c>
      <c r="X978">
        <f t="shared" si="109"/>
        <v>14</v>
      </c>
      <c r="Y978" cm="1">
        <f t="array" ref="Y978">MAX(IF($C$2:$C$1387=C978,$X$2:$X$1387))</f>
        <v>30</v>
      </c>
      <c r="Z978" cm="1">
        <f t="array" ref="Z978">MIN(IF($C$2:$C$1387=C978,$X$2:$X$1387))</f>
        <v>14</v>
      </c>
      <c r="AA978">
        <f t="shared" si="110"/>
        <v>16</v>
      </c>
      <c r="AB978">
        <f t="shared" si="111"/>
        <v>0</v>
      </c>
    </row>
    <row r="979" spans="1:28" x14ac:dyDescent="0.25">
      <c r="A979" t="s">
        <v>352</v>
      </c>
      <c r="B979" t="s">
        <v>353</v>
      </c>
      <c r="C979">
        <v>2015</v>
      </c>
      <c r="D979">
        <v>2.9539170506912443E-2</v>
      </c>
      <c r="E979">
        <v>0.36081566820276495</v>
      </c>
      <c r="F979">
        <v>4.0566728110599082E-2</v>
      </c>
      <c r="G979">
        <v>2.1972245773362196</v>
      </c>
      <c r="H979">
        <v>0.66666666666666663</v>
      </c>
      <c r="I979">
        <v>0.66666666666666663</v>
      </c>
      <c r="J979">
        <v>1</v>
      </c>
      <c r="K979">
        <v>2</v>
      </c>
      <c r="L979">
        <v>1</v>
      </c>
      <c r="M979">
        <v>3</v>
      </c>
      <c r="N979">
        <v>4</v>
      </c>
      <c r="O979">
        <v>2</v>
      </c>
      <c r="P979">
        <v>1</v>
      </c>
      <c r="Q979">
        <f t="shared" si="105"/>
        <v>1</v>
      </c>
      <c r="R979">
        <f t="shared" si="106"/>
        <v>14</v>
      </c>
      <c r="S979">
        <f t="array" ref="S979">MAX(IF($C$2:$C$1387=C979,$R$2:$R$1387))</f>
        <v>29</v>
      </c>
      <c r="T979" cm="1">
        <f t="array" ref="T979">MIN(IF($C$2:$C$1387=C979,$R$2:$R$1387))</f>
        <v>11</v>
      </c>
      <c r="U979">
        <f t="shared" si="107"/>
        <v>18</v>
      </c>
      <c r="V979">
        <f t="shared" si="108"/>
        <v>0.16666666666666666</v>
      </c>
      <c r="W979" cm="1">
        <f t="array" ref="W979">_xlfn.IFS(N979=1,5,N979=2,4,N979=4,2,N979=5,1,N979=3,3)</f>
        <v>2</v>
      </c>
      <c r="X979">
        <f t="shared" si="109"/>
        <v>12</v>
      </c>
      <c r="Y979" cm="1">
        <f t="array" ref="Y979">MAX(IF($C$2:$C$1387=C979,$X$2:$X$1387))</f>
        <v>29</v>
      </c>
      <c r="Z979" cm="1">
        <f t="array" ref="Z979">MIN(IF($C$2:$C$1387=C979,$X$2:$X$1387))</f>
        <v>12</v>
      </c>
      <c r="AA979">
        <f t="shared" si="110"/>
        <v>17</v>
      </c>
      <c r="AB979">
        <f t="shared" si="111"/>
        <v>0</v>
      </c>
    </row>
    <row r="980" spans="1:28" x14ac:dyDescent="0.25">
      <c r="A980" t="s">
        <v>354</v>
      </c>
      <c r="B980" t="s">
        <v>355</v>
      </c>
      <c r="C980">
        <v>2010</v>
      </c>
      <c r="D980">
        <v>1.9157468324356596E-5</v>
      </c>
      <c r="E980">
        <v>0.91622199065495669</v>
      </c>
      <c r="F980">
        <v>0</v>
      </c>
      <c r="G980">
        <v>1.791759469228055</v>
      </c>
      <c r="H980">
        <v>0.83333333333333337</v>
      </c>
      <c r="I980">
        <v>1</v>
      </c>
      <c r="J980">
        <v>0</v>
      </c>
      <c r="K980">
        <v>1</v>
      </c>
      <c r="L980">
        <v>5</v>
      </c>
      <c r="M980">
        <v>1</v>
      </c>
      <c r="N980">
        <v>1</v>
      </c>
      <c r="O980">
        <v>5</v>
      </c>
      <c r="P980">
        <v>3</v>
      </c>
      <c r="Q980">
        <f t="shared" si="105"/>
        <v>5</v>
      </c>
      <c r="R980">
        <f t="shared" si="106"/>
        <v>21</v>
      </c>
      <c r="S980">
        <f t="array" ref="S980">MAX(IF($C$2:$C$1387=C980,$R$2:$R$1387))</f>
        <v>29</v>
      </c>
      <c r="T980" cm="1">
        <f t="array" ref="T980">MIN(IF($C$2:$C$1387=C980,$R$2:$R$1387))</f>
        <v>9</v>
      </c>
      <c r="U980">
        <f t="shared" si="107"/>
        <v>20</v>
      </c>
      <c r="V980">
        <f t="shared" si="108"/>
        <v>0.6</v>
      </c>
      <c r="W980" cm="1">
        <f t="array" ref="W980">_xlfn.IFS(N980=1,5,N980=2,4,N980=4,2,N980=5,1,N980=3,3)</f>
        <v>5</v>
      </c>
      <c r="X980">
        <f t="shared" si="109"/>
        <v>25</v>
      </c>
      <c r="Y980" cm="1">
        <f t="array" ref="Y980">MAX(IF($C$2:$C$1387=C980,$X$2:$X$1387))</f>
        <v>29</v>
      </c>
      <c r="Z980" cm="1">
        <f t="array" ref="Z980">MIN(IF($C$2:$C$1387=C980,$X$2:$X$1387))</f>
        <v>12</v>
      </c>
      <c r="AA980">
        <f t="shared" si="110"/>
        <v>17</v>
      </c>
      <c r="AB980">
        <f t="shared" si="111"/>
        <v>0.76470588235294112</v>
      </c>
    </row>
    <row r="981" spans="1:28" x14ac:dyDescent="0.25">
      <c r="A981" t="s">
        <v>354</v>
      </c>
      <c r="B981" t="s">
        <v>355</v>
      </c>
      <c r="C981">
        <v>2011</v>
      </c>
      <c r="D981">
        <v>1.6271823546177778E-2</v>
      </c>
      <c r="E981">
        <v>0.91563069123045837</v>
      </c>
      <c r="F981">
        <v>1.4910916371449196E-2</v>
      </c>
      <c r="G981">
        <v>1.791759469228055</v>
      </c>
      <c r="H981">
        <v>0.83333333333333337</v>
      </c>
      <c r="I981">
        <v>1</v>
      </c>
      <c r="J981">
        <v>0</v>
      </c>
      <c r="K981">
        <v>2</v>
      </c>
      <c r="L981">
        <v>5</v>
      </c>
      <c r="M981">
        <v>2</v>
      </c>
      <c r="N981">
        <v>1</v>
      </c>
      <c r="O981">
        <v>5</v>
      </c>
      <c r="P981">
        <v>3</v>
      </c>
      <c r="Q981">
        <f t="shared" si="105"/>
        <v>5</v>
      </c>
      <c r="R981">
        <f t="shared" si="106"/>
        <v>23</v>
      </c>
      <c r="S981">
        <f t="array" ref="S981">MAX(IF($C$2:$C$1387=C981,$R$2:$R$1387))</f>
        <v>28</v>
      </c>
      <c r="T981" cm="1">
        <f t="array" ref="T981">MIN(IF($C$2:$C$1387=C981,$R$2:$R$1387))</f>
        <v>10</v>
      </c>
      <c r="U981">
        <f t="shared" si="107"/>
        <v>18</v>
      </c>
      <c r="V981">
        <f t="shared" si="108"/>
        <v>0.72222222222222221</v>
      </c>
      <c r="W981" cm="1">
        <f t="array" ref="W981">_xlfn.IFS(N981=1,5,N981=2,4,N981=4,2,N981=5,1,N981=3,3)</f>
        <v>5</v>
      </c>
      <c r="X981">
        <f t="shared" si="109"/>
        <v>27</v>
      </c>
      <c r="Y981" cm="1">
        <f t="array" ref="Y981">MAX(IF($C$2:$C$1387=C981,$X$2:$X$1387))</f>
        <v>29</v>
      </c>
      <c r="Z981" cm="1">
        <f t="array" ref="Z981">MIN(IF($C$2:$C$1387=C981,$X$2:$X$1387))</f>
        <v>12</v>
      </c>
      <c r="AA981">
        <f t="shared" si="110"/>
        <v>17</v>
      </c>
      <c r="AB981">
        <f t="shared" si="111"/>
        <v>0.88235294117647056</v>
      </c>
    </row>
    <row r="982" spans="1:28" x14ac:dyDescent="0.25">
      <c r="A982" t="s">
        <v>354</v>
      </c>
      <c r="B982" t="s">
        <v>355</v>
      </c>
      <c r="C982">
        <v>2012</v>
      </c>
      <c r="D982">
        <v>1.903631437447924E-5</v>
      </c>
      <c r="E982">
        <v>0.91779468250619278</v>
      </c>
      <c r="F982">
        <v>2.6777885184961079E-2</v>
      </c>
      <c r="G982">
        <v>1.9459101490553132</v>
      </c>
      <c r="H982">
        <v>0.7142857142857143</v>
      </c>
      <c r="I982">
        <v>1</v>
      </c>
      <c r="J982">
        <v>1</v>
      </c>
      <c r="K982">
        <v>1</v>
      </c>
      <c r="L982">
        <v>5</v>
      </c>
      <c r="M982">
        <v>2</v>
      </c>
      <c r="N982">
        <v>1</v>
      </c>
      <c r="O982">
        <v>4</v>
      </c>
      <c r="P982">
        <v>3</v>
      </c>
      <c r="Q982">
        <f t="shared" si="105"/>
        <v>1</v>
      </c>
      <c r="R982">
        <f t="shared" si="106"/>
        <v>17</v>
      </c>
      <c r="S982">
        <f t="array" ref="S982">MAX(IF($C$2:$C$1387=C982,$R$2:$R$1387))</f>
        <v>29</v>
      </c>
      <c r="T982" cm="1">
        <f t="array" ref="T982">MIN(IF($C$2:$C$1387=C982,$R$2:$R$1387))</f>
        <v>11</v>
      </c>
      <c r="U982">
        <f t="shared" si="107"/>
        <v>18</v>
      </c>
      <c r="V982">
        <f t="shared" si="108"/>
        <v>0.33333333333333331</v>
      </c>
      <c r="W982" cm="1">
        <f t="array" ref="W982">_xlfn.IFS(N982=1,5,N982=2,4,N982=4,2,N982=5,1,N982=3,3)</f>
        <v>5</v>
      </c>
      <c r="X982">
        <f t="shared" si="109"/>
        <v>21</v>
      </c>
      <c r="Y982" cm="1">
        <f t="array" ref="Y982">MAX(IF($C$2:$C$1387=C982,$X$2:$X$1387))</f>
        <v>30</v>
      </c>
      <c r="Z982" cm="1">
        <f t="array" ref="Z982">MIN(IF($C$2:$C$1387=C982,$X$2:$X$1387))</f>
        <v>12</v>
      </c>
      <c r="AA982">
        <f t="shared" si="110"/>
        <v>18</v>
      </c>
      <c r="AB982">
        <f t="shared" si="111"/>
        <v>0.5</v>
      </c>
    </row>
    <row r="983" spans="1:28" x14ac:dyDescent="0.25">
      <c r="A983" t="s">
        <v>354</v>
      </c>
      <c r="B983" t="s">
        <v>355</v>
      </c>
      <c r="C983">
        <v>2013</v>
      </c>
      <c r="D983">
        <v>0.82200640951342008</v>
      </c>
      <c r="E983">
        <v>0.91726713277569549</v>
      </c>
      <c r="F983">
        <v>2.6880335993826117E-2</v>
      </c>
      <c r="G983">
        <v>1.9459101490553132</v>
      </c>
      <c r="H983">
        <v>0.8571428571428571</v>
      </c>
      <c r="I983">
        <v>1</v>
      </c>
      <c r="J983">
        <v>1</v>
      </c>
      <c r="K983">
        <v>5</v>
      </c>
      <c r="L983">
        <v>5</v>
      </c>
      <c r="M983">
        <v>2</v>
      </c>
      <c r="N983">
        <v>1</v>
      </c>
      <c r="O983">
        <v>5</v>
      </c>
      <c r="P983">
        <v>3</v>
      </c>
      <c r="Q983">
        <f t="shared" si="105"/>
        <v>1</v>
      </c>
      <c r="R983">
        <f t="shared" si="106"/>
        <v>22</v>
      </c>
      <c r="S983">
        <f t="array" ref="S983">MAX(IF($C$2:$C$1387=C983,$R$2:$R$1387))</f>
        <v>29</v>
      </c>
      <c r="T983" cm="1">
        <f t="array" ref="T983">MIN(IF($C$2:$C$1387=C983,$R$2:$R$1387))</f>
        <v>10</v>
      </c>
      <c r="U983">
        <f t="shared" si="107"/>
        <v>19</v>
      </c>
      <c r="V983">
        <f t="shared" si="108"/>
        <v>0.63157894736842102</v>
      </c>
      <c r="W983" cm="1">
        <f t="array" ref="W983">_xlfn.IFS(N983=1,5,N983=2,4,N983=4,2,N983=5,1,N983=3,3)</f>
        <v>5</v>
      </c>
      <c r="X983">
        <f t="shared" si="109"/>
        <v>26</v>
      </c>
      <c r="Y983" cm="1">
        <f t="array" ref="Y983">MAX(IF($C$2:$C$1387=C983,$X$2:$X$1387))</f>
        <v>32</v>
      </c>
      <c r="Z983" cm="1">
        <f t="array" ref="Z983">MIN(IF($C$2:$C$1387=C983,$X$2:$X$1387))</f>
        <v>10</v>
      </c>
      <c r="AA983">
        <f t="shared" si="110"/>
        <v>22</v>
      </c>
      <c r="AB983">
        <f t="shared" si="111"/>
        <v>0.72727272727272729</v>
      </c>
    </row>
    <row r="984" spans="1:28" x14ac:dyDescent="0.25">
      <c r="A984" t="s">
        <v>354</v>
      </c>
      <c r="B984" t="s">
        <v>355</v>
      </c>
      <c r="C984">
        <v>2014</v>
      </c>
      <c r="D984">
        <v>1.903631437447924E-5</v>
      </c>
      <c r="E984">
        <v>0.92111377068430156</v>
      </c>
      <c r="F984">
        <v>3.9022460571753202E-2</v>
      </c>
      <c r="G984">
        <v>1.9459101490553132</v>
      </c>
      <c r="H984">
        <v>0.8571428571428571</v>
      </c>
      <c r="I984">
        <v>1</v>
      </c>
      <c r="J984">
        <v>1</v>
      </c>
      <c r="K984">
        <v>1</v>
      </c>
      <c r="L984">
        <v>5</v>
      </c>
      <c r="M984">
        <v>3</v>
      </c>
      <c r="N984">
        <v>1</v>
      </c>
      <c r="O984">
        <v>5</v>
      </c>
      <c r="P984">
        <v>3</v>
      </c>
      <c r="Q984">
        <f t="shared" si="105"/>
        <v>1</v>
      </c>
      <c r="R984">
        <f t="shared" si="106"/>
        <v>19</v>
      </c>
      <c r="S984">
        <f t="array" ref="S984">MAX(IF($C$2:$C$1387=C984,$R$2:$R$1387))</f>
        <v>29</v>
      </c>
      <c r="T984" cm="1">
        <f t="array" ref="T984">MIN(IF($C$2:$C$1387=C984,$R$2:$R$1387))</f>
        <v>11</v>
      </c>
      <c r="U984">
        <f t="shared" si="107"/>
        <v>18</v>
      </c>
      <c r="V984">
        <f t="shared" si="108"/>
        <v>0.44444444444444442</v>
      </c>
      <c r="W984" cm="1">
        <f t="array" ref="W984">_xlfn.IFS(N984=1,5,N984=2,4,N984=4,2,N984=5,1,N984=3,3)</f>
        <v>5</v>
      </c>
      <c r="X984">
        <f t="shared" si="109"/>
        <v>23</v>
      </c>
      <c r="Y984" cm="1">
        <f t="array" ref="Y984">MAX(IF($C$2:$C$1387=C984,$X$2:$X$1387))</f>
        <v>30</v>
      </c>
      <c r="Z984" cm="1">
        <f t="array" ref="Z984">MIN(IF($C$2:$C$1387=C984,$X$2:$X$1387))</f>
        <v>14</v>
      </c>
      <c r="AA984">
        <f t="shared" si="110"/>
        <v>16</v>
      </c>
      <c r="AB984">
        <f t="shared" si="111"/>
        <v>0.5625</v>
      </c>
    </row>
    <row r="985" spans="1:28" x14ac:dyDescent="0.25">
      <c r="A985" t="s">
        <v>354</v>
      </c>
      <c r="B985" t="s">
        <v>355</v>
      </c>
      <c r="C985">
        <v>2015</v>
      </c>
      <c r="D985">
        <v>1.903631437447924E-5</v>
      </c>
      <c r="E985">
        <v>0.92150222053609576</v>
      </c>
      <c r="F985">
        <v>4.2740122528592883E-2</v>
      </c>
      <c r="G985">
        <v>1.9459101490553132</v>
      </c>
      <c r="H985">
        <v>0.8571428571428571</v>
      </c>
      <c r="I985">
        <v>1</v>
      </c>
      <c r="J985">
        <v>1</v>
      </c>
      <c r="K985">
        <v>1</v>
      </c>
      <c r="L985">
        <v>5</v>
      </c>
      <c r="M985">
        <v>3</v>
      </c>
      <c r="N985">
        <v>1</v>
      </c>
      <c r="O985">
        <v>4</v>
      </c>
      <c r="P985">
        <v>2</v>
      </c>
      <c r="Q985">
        <f t="shared" si="105"/>
        <v>1</v>
      </c>
      <c r="R985">
        <f t="shared" si="106"/>
        <v>17</v>
      </c>
      <c r="S985">
        <f t="array" ref="S985">MAX(IF($C$2:$C$1387=C985,$R$2:$R$1387))</f>
        <v>29</v>
      </c>
      <c r="T985" cm="1">
        <f t="array" ref="T985">MIN(IF($C$2:$C$1387=C985,$R$2:$R$1387))</f>
        <v>11</v>
      </c>
      <c r="U985">
        <f t="shared" si="107"/>
        <v>18</v>
      </c>
      <c r="V985">
        <f t="shared" si="108"/>
        <v>0.33333333333333331</v>
      </c>
      <c r="W985" cm="1">
        <f t="array" ref="W985">_xlfn.IFS(N985=1,5,N985=2,4,N985=4,2,N985=5,1,N985=3,3)</f>
        <v>5</v>
      </c>
      <c r="X985">
        <f t="shared" si="109"/>
        <v>21</v>
      </c>
      <c r="Y985" cm="1">
        <f t="array" ref="Y985">MAX(IF($C$2:$C$1387=C985,$X$2:$X$1387))</f>
        <v>29</v>
      </c>
      <c r="Z985" cm="1">
        <f t="array" ref="Z985">MIN(IF($C$2:$C$1387=C985,$X$2:$X$1387))</f>
        <v>12</v>
      </c>
      <c r="AA985">
        <f t="shared" si="110"/>
        <v>17</v>
      </c>
      <c r="AB985">
        <f t="shared" si="111"/>
        <v>0.52941176470588236</v>
      </c>
    </row>
    <row r="986" spans="1:28" x14ac:dyDescent="0.25">
      <c r="A986" t="s">
        <v>356</v>
      </c>
      <c r="B986" t="s">
        <v>357</v>
      </c>
      <c r="C986">
        <v>2010</v>
      </c>
      <c r="D986">
        <v>0</v>
      </c>
      <c r="E986">
        <v>0.68207468976848129</v>
      </c>
      <c r="F986">
        <v>0.25775763538851143</v>
      </c>
      <c r="G986">
        <v>1.9459101490553132</v>
      </c>
      <c r="H986">
        <v>0.7142857142857143</v>
      </c>
      <c r="I986">
        <v>1</v>
      </c>
      <c r="J986">
        <v>1</v>
      </c>
      <c r="K986">
        <v>1</v>
      </c>
      <c r="L986">
        <v>3</v>
      </c>
      <c r="M986">
        <v>5</v>
      </c>
      <c r="N986">
        <v>1</v>
      </c>
      <c r="O986">
        <v>4</v>
      </c>
      <c r="P986">
        <v>3</v>
      </c>
      <c r="Q986">
        <f t="shared" si="105"/>
        <v>1</v>
      </c>
      <c r="R986">
        <f t="shared" si="106"/>
        <v>18</v>
      </c>
      <c r="S986">
        <f t="array" ref="S986">MAX(IF($C$2:$C$1387=C986,$R$2:$R$1387))</f>
        <v>29</v>
      </c>
      <c r="T986" cm="1">
        <f t="array" ref="T986">MIN(IF($C$2:$C$1387=C986,$R$2:$R$1387))</f>
        <v>9</v>
      </c>
      <c r="U986">
        <f t="shared" si="107"/>
        <v>20</v>
      </c>
      <c r="V986">
        <f t="shared" si="108"/>
        <v>0.45</v>
      </c>
      <c r="W986" cm="1">
        <f t="array" ref="W986">_xlfn.IFS(N986=1,5,N986=2,4,N986=4,2,N986=5,1,N986=3,3)</f>
        <v>5</v>
      </c>
      <c r="X986">
        <f t="shared" si="109"/>
        <v>22</v>
      </c>
      <c r="Y986" cm="1">
        <f t="array" ref="Y986">MAX(IF($C$2:$C$1387=C986,$X$2:$X$1387))</f>
        <v>29</v>
      </c>
      <c r="Z986" cm="1">
        <f t="array" ref="Z986">MIN(IF($C$2:$C$1387=C986,$X$2:$X$1387))</f>
        <v>12</v>
      </c>
      <c r="AA986">
        <f t="shared" si="110"/>
        <v>17</v>
      </c>
      <c r="AB986">
        <f t="shared" si="111"/>
        <v>0.58823529411764708</v>
      </c>
    </row>
    <row r="987" spans="1:28" x14ac:dyDescent="0.25">
      <c r="A987" t="s">
        <v>356</v>
      </c>
      <c r="B987" t="s">
        <v>357</v>
      </c>
      <c r="C987">
        <v>2011</v>
      </c>
      <c r="D987">
        <v>1.1750361198366897E-2</v>
      </c>
      <c r="E987">
        <v>0.69145477546177925</v>
      </c>
      <c r="F987">
        <v>0.24219081436703707</v>
      </c>
      <c r="G987">
        <v>2.3025850929940459</v>
      </c>
      <c r="H987">
        <v>0.6</v>
      </c>
      <c r="I987">
        <v>0.75</v>
      </c>
      <c r="J987">
        <v>1</v>
      </c>
      <c r="K987">
        <v>2</v>
      </c>
      <c r="L987">
        <v>3</v>
      </c>
      <c r="M987">
        <v>5</v>
      </c>
      <c r="N987">
        <v>5</v>
      </c>
      <c r="O987">
        <v>3</v>
      </c>
      <c r="P987">
        <v>3</v>
      </c>
      <c r="Q987">
        <f t="shared" si="105"/>
        <v>1</v>
      </c>
      <c r="R987">
        <f t="shared" si="106"/>
        <v>22</v>
      </c>
      <c r="S987">
        <f t="array" ref="S987">MAX(IF($C$2:$C$1387=C987,$R$2:$R$1387))</f>
        <v>28</v>
      </c>
      <c r="T987" cm="1">
        <f t="array" ref="T987">MIN(IF($C$2:$C$1387=C987,$R$2:$R$1387))</f>
        <v>10</v>
      </c>
      <c r="U987">
        <f t="shared" si="107"/>
        <v>18</v>
      </c>
      <c r="V987">
        <f t="shared" si="108"/>
        <v>0.66666666666666663</v>
      </c>
      <c r="W987" cm="1">
        <f t="array" ref="W987">_xlfn.IFS(N987=1,5,N987=2,4,N987=4,2,N987=5,1,N987=3,3)</f>
        <v>1</v>
      </c>
      <c r="X987">
        <f t="shared" si="109"/>
        <v>18</v>
      </c>
      <c r="Y987" cm="1">
        <f t="array" ref="Y987">MAX(IF($C$2:$C$1387=C987,$X$2:$X$1387))</f>
        <v>29</v>
      </c>
      <c r="Z987" cm="1">
        <f t="array" ref="Z987">MIN(IF($C$2:$C$1387=C987,$X$2:$X$1387))</f>
        <v>12</v>
      </c>
      <c r="AA987">
        <f t="shared" si="110"/>
        <v>17</v>
      </c>
      <c r="AB987">
        <f t="shared" si="111"/>
        <v>0.35294117647058826</v>
      </c>
    </row>
    <row r="988" spans="1:28" x14ac:dyDescent="0.25">
      <c r="A988" t="s">
        <v>356</v>
      </c>
      <c r="B988" t="s">
        <v>357</v>
      </c>
      <c r="C988">
        <v>2012</v>
      </c>
      <c r="D988">
        <v>1.1763419973593288E-2</v>
      </c>
      <c r="E988">
        <v>0.69534154721417307</v>
      </c>
      <c r="F988">
        <v>0.27328009293079331</v>
      </c>
      <c r="G988">
        <v>2.3025850929940459</v>
      </c>
      <c r="H988">
        <v>0.6</v>
      </c>
      <c r="I988">
        <v>0.6</v>
      </c>
      <c r="J988">
        <v>1</v>
      </c>
      <c r="K988">
        <v>2</v>
      </c>
      <c r="L988">
        <v>3</v>
      </c>
      <c r="M988">
        <v>5</v>
      </c>
      <c r="N988">
        <v>5</v>
      </c>
      <c r="O988">
        <v>3</v>
      </c>
      <c r="P988">
        <v>1</v>
      </c>
      <c r="Q988">
        <f t="shared" si="105"/>
        <v>1</v>
      </c>
      <c r="R988">
        <f t="shared" si="106"/>
        <v>20</v>
      </c>
      <c r="S988">
        <f t="array" ref="S988">MAX(IF($C$2:$C$1387=C988,$R$2:$R$1387))</f>
        <v>29</v>
      </c>
      <c r="T988" cm="1">
        <f t="array" ref="T988">MIN(IF($C$2:$C$1387=C988,$R$2:$R$1387))</f>
        <v>11</v>
      </c>
      <c r="U988">
        <f t="shared" si="107"/>
        <v>18</v>
      </c>
      <c r="V988">
        <f t="shared" si="108"/>
        <v>0.5</v>
      </c>
      <c r="W988" cm="1">
        <f t="array" ref="W988">_xlfn.IFS(N988=1,5,N988=2,4,N988=4,2,N988=5,1,N988=3,3)</f>
        <v>1</v>
      </c>
      <c r="X988">
        <f t="shared" si="109"/>
        <v>16</v>
      </c>
      <c r="Y988" cm="1">
        <f t="array" ref="Y988">MAX(IF($C$2:$C$1387=C988,$X$2:$X$1387))</f>
        <v>30</v>
      </c>
      <c r="Z988" cm="1">
        <f t="array" ref="Z988">MIN(IF($C$2:$C$1387=C988,$X$2:$X$1387))</f>
        <v>12</v>
      </c>
      <c r="AA988">
        <f t="shared" si="110"/>
        <v>18</v>
      </c>
      <c r="AB988">
        <f t="shared" si="111"/>
        <v>0.22222222222222221</v>
      </c>
    </row>
    <row r="989" spans="1:28" x14ac:dyDescent="0.25">
      <c r="A989" t="s">
        <v>356</v>
      </c>
      <c r="B989" t="s">
        <v>357</v>
      </c>
      <c r="C989">
        <v>2013</v>
      </c>
      <c r="D989">
        <v>0</v>
      </c>
      <c r="E989">
        <v>0.69059090514010979</v>
      </c>
      <c r="F989">
        <v>0.34477788498740541</v>
      </c>
      <c r="G989">
        <v>2.0794415416798357</v>
      </c>
      <c r="H989">
        <v>0.375</v>
      </c>
      <c r="I989">
        <v>0.6</v>
      </c>
      <c r="J989">
        <v>0</v>
      </c>
      <c r="K989">
        <v>1</v>
      </c>
      <c r="L989">
        <v>3</v>
      </c>
      <c r="M989">
        <v>5</v>
      </c>
      <c r="N989">
        <v>3</v>
      </c>
      <c r="O989">
        <v>1</v>
      </c>
      <c r="P989">
        <v>1</v>
      </c>
      <c r="Q989">
        <f t="shared" si="105"/>
        <v>5</v>
      </c>
      <c r="R989">
        <f t="shared" si="106"/>
        <v>19</v>
      </c>
      <c r="S989">
        <f t="array" ref="S989">MAX(IF($C$2:$C$1387=C989,$R$2:$R$1387))</f>
        <v>29</v>
      </c>
      <c r="T989" cm="1">
        <f t="array" ref="T989">MIN(IF($C$2:$C$1387=C989,$R$2:$R$1387))</f>
        <v>10</v>
      </c>
      <c r="U989">
        <f t="shared" si="107"/>
        <v>19</v>
      </c>
      <c r="V989">
        <f t="shared" si="108"/>
        <v>0.47368421052631576</v>
      </c>
      <c r="W989" cm="1">
        <f t="array" ref="W989">_xlfn.IFS(N989=1,5,N989=2,4,N989=4,2,N989=5,1,N989=3,3)</f>
        <v>3</v>
      </c>
      <c r="X989">
        <f t="shared" si="109"/>
        <v>19</v>
      </c>
      <c r="Y989" cm="1">
        <f t="array" ref="Y989">MAX(IF($C$2:$C$1387=C989,$X$2:$X$1387))</f>
        <v>32</v>
      </c>
      <c r="Z989" cm="1">
        <f t="array" ref="Z989">MIN(IF($C$2:$C$1387=C989,$X$2:$X$1387))</f>
        <v>10</v>
      </c>
      <c r="AA989">
        <f t="shared" si="110"/>
        <v>22</v>
      </c>
      <c r="AB989">
        <f t="shared" si="111"/>
        <v>0.40909090909090912</v>
      </c>
    </row>
    <row r="990" spans="1:28" x14ac:dyDescent="0.25">
      <c r="A990" t="s">
        <v>356</v>
      </c>
      <c r="B990" t="s">
        <v>357</v>
      </c>
      <c r="C990">
        <v>2014</v>
      </c>
      <c r="D990">
        <v>1.018568825875331E-2</v>
      </c>
      <c r="E990">
        <v>0.69033550864035198</v>
      </c>
      <c r="F990">
        <v>0.2869755944215821</v>
      </c>
      <c r="G990">
        <v>2.0794415416798357</v>
      </c>
      <c r="H990">
        <v>0.375</v>
      </c>
      <c r="I990">
        <v>0.6</v>
      </c>
      <c r="J990">
        <v>0</v>
      </c>
      <c r="K990">
        <v>2</v>
      </c>
      <c r="L990">
        <v>3</v>
      </c>
      <c r="M990">
        <v>5</v>
      </c>
      <c r="N990">
        <v>3</v>
      </c>
      <c r="O990">
        <v>1</v>
      </c>
      <c r="P990">
        <v>1</v>
      </c>
      <c r="Q990">
        <f t="shared" si="105"/>
        <v>5</v>
      </c>
      <c r="R990">
        <f t="shared" si="106"/>
        <v>20</v>
      </c>
      <c r="S990">
        <f t="array" ref="S990">MAX(IF($C$2:$C$1387=C990,$R$2:$R$1387))</f>
        <v>29</v>
      </c>
      <c r="T990" cm="1">
        <f t="array" ref="T990">MIN(IF($C$2:$C$1387=C990,$R$2:$R$1387))</f>
        <v>11</v>
      </c>
      <c r="U990">
        <f t="shared" si="107"/>
        <v>18</v>
      </c>
      <c r="V990">
        <f t="shared" si="108"/>
        <v>0.5</v>
      </c>
      <c r="W990" cm="1">
        <f t="array" ref="W990">_xlfn.IFS(N990=1,5,N990=2,4,N990=4,2,N990=5,1,N990=3,3)</f>
        <v>3</v>
      </c>
      <c r="X990">
        <f t="shared" si="109"/>
        <v>20</v>
      </c>
      <c r="Y990" cm="1">
        <f t="array" ref="Y990">MAX(IF($C$2:$C$1387=C990,$X$2:$X$1387))</f>
        <v>30</v>
      </c>
      <c r="Z990" cm="1">
        <f t="array" ref="Z990">MIN(IF($C$2:$C$1387=C990,$X$2:$X$1387))</f>
        <v>14</v>
      </c>
      <c r="AA990">
        <f t="shared" si="110"/>
        <v>16</v>
      </c>
      <c r="AB990">
        <f t="shared" si="111"/>
        <v>0.375</v>
      </c>
    </row>
    <row r="991" spans="1:28" x14ac:dyDescent="0.25">
      <c r="A991" t="s">
        <v>356</v>
      </c>
      <c r="B991" t="s">
        <v>357</v>
      </c>
      <c r="C991">
        <v>2015</v>
      </c>
      <c r="D991">
        <v>1.0227684332919375E-2</v>
      </c>
      <c r="E991">
        <v>0.68602561819709251</v>
      </c>
      <c r="F991">
        <v>0.47383311874497774</v>
      </c>
      <c r="G991">
        <v>1.9459101490553132</v>
      </c>
      <c r="H991">
        <v>0.8571428571428571</v>
      </c>
      <c r="I991">
        <v>0.6</v>
      </c>
      <c r="J991">
        <v>0</v>
      </c>
      <c r="K991">
        <v>2</v>
      </c>
      <c r="L991">
        <v>3</v>
      </c>
      <c r="M991">
        <v>5</v>
      </c>
      <c r="N991">
        <v>1</v>
      </c>
      <c r="O991">
        <v>4</v>
      </c>
      <c r="P991">
        <v>1</v>
      </c>
      <c r="Q991">
        <f t="shared" si="105"/>
        <v>5</v>
      </c>
      <c r="R991">
        <f t="shared" si="106"/>
        <v>21</v>
      </c>
      <c r="S991">
        <f t="array" ref="S991">MAX(IF($C$2:$C$1387=C991,$R$2:$R$1387))</f>
        <v>29</v>
      </c>
      <c r="T991" cm="1">
        <f t="array" ref="T991">MIN(IF($C$2:$C$1387=C991,$R$2:$R$1387))</f>
        <v>11</v>
      </c>
      <c r="U991">
        <f t="shared" si="107"/>
        <v>18</v>
      </c>
      <c r="V991">
        <f t="shared" si="108"/>
        <v>0.55555555555555558</v>
      </c>
      <c r="W991" cm="1">
        <f t="array" ref="W991">_xlfn.IFS(N991=1,5,N991=2,4,N991=4,2,N991=5,1,N991=3,3)</f>
        <v>5</v>
      </c>
      <c r="X991">
        <f t="shared" si="109"/>
        <v>25</v>
      </c>
      <c r="Y991" cm="1">
        <f t="array" ref="Y991">MAX(IF($C$2:$C$1387=C991,$X$2:$X$1387))</f>
        <v>29</v>
      </c>
      <c r="Z991" cm="1">
        <f t="array" ref="Z991">MIN(IF($C$2:$C$1387=C991,$X$2:$X$1387))</f>
        <v>12</v>
      </c>
      <c r="AA991">
        <f t="shared" si="110"/>
        <v>17</v>
      </c>
      <c r="AB991">
        <f t="shared" si="111"/>
        <v>0.76470588235294112</v>
      </c>
    </row>
    <row r="992" spans="1:28" x14ac:dyDescent="0.25">
      <c r="A992" t="s">
        <v>358</v>
      </c>
      <c r="B992" t="s">
        <v>359</v>
      </c>
      <c r="C992">
        <v>2010</v>
      </c>
      <c r="D992">
        <v>6.6562137268361077E-2</v>
      </c>
      <c r="E992">
        <v>0.36530987403188853</v>
      </c>
      <c r="F992">
        <v>0.34940427123524392</v>
      </c>
      <c r="G992">
        <v>1.9459101490553132</v>
      </c>
      <c r="H992">
        <v>0.5714285714285714</v>
      </c>
      <c r="I992">
        <v>1</v>
      </c>
      <c r="J992">
        <v>0</v>
      </c>
      <c r="K992">
        <v>2</v>
      </c>
      <c r="L992">
        <v>1</v>
      </c>
      <c r="M992">
        <v>5</v>
      </c>
      <c r="N992">
        <v>1</v>
      </c>
      <c r="O992">
        <v>2</v>
      </c>
      <c r="P992">
        <v>3</v>
      </c>
      <c r="Q992">
        <f t="shared" si="105"/>
        <v>5</v>
      </c>
      <c r="R992">
        <f t="shared" si="106"/>
        <v>19</v>
      </c>
      <c r="S992">
        <f t="array" ref="S992">MAX(IF($C$2:$C$1387=C992,$R$2:$R$1387))</f>
        <v>29</v>
      </c>
      <c r="T992" cm="1">
        <f t="array" ref="T992">MIN(IF($C$2:$C$1387=C992,$R$2:$R$1387))</f>
        <v>9</v>
      </c>
      <c r="U992">
        <f t="shared" si="107"/>
        <v>20</v>
      </c>
      <c r="V992">
        <f t="shared" si="108"/>
        <v>0.5</v>
      </c>
      <c r="W992" cm="1">
        <f t="array" ref="W992">_xlfn.IFS(N992=1,5,N992=2,4,N992=4,2,N992=5,1,N992=3,3)</f>
        <v>5</v>
      </c>
      <c r="X992">
        <f t="shared" si="109"/>
        <v>23</v>
      </c>
      <c r="Y992" cm="1">
        <f t="array" ref="Y992">MAX(IF($C$2:$C$1387=C992,$X$2:$X$1387))</f>
        <v>29</v>
      </c>
      <c r="Z992" cm="1">
        <f t="array" ref="Z992">MIN(IF($C$2:$C$1387=C992,$X$2:$X$1387))</f>
        <v>12</v>
      </c>
      <c r="AA992">
        <f t="shared" si="110"/>
        <v>17</v>
      </c>
      <c r="AB992">
        <f t="shared" si="111"/>
        <v>0.6470588235294118</v>
      </c>
    </row>
    <row r="993" spans="1:28" x14ac:dyDescent="0.25">
      <c r="A993" t="s">
        <v>358</v>
      </c>
      <c r="B993" t="s">
        <v>359</v>
      </c>
      <c r="C993">
        <v>2011</v>
      </c>
      <c r="D993">
        <v>0</v>
      </c>
      <c r="E993">
        <v>0.44135700097131109</v>
      </c>
      <c r="F993">
        <v>0.13345992284421254</v>
      </c>
      <c r="G993">
        <v>1.9459101490553132</v>
      </c>
      <c r="H993">
        <v>0.5714285714285714</v>
      </c>
      <c r="I993">
        <v>0.66666666666666663</v>
      </c>
      <c r="J993">
        <v>0</v>
      </c>
      <c r="K993">
        <v>1</v>
      </c>
      <c r="L993">
        <v>1</v>
      </c>
      <c r="M993">
        <v>4</v>
      </c>
      <c r="N993">
        <v>1</v>
      </c>
      <c r="O993">
        <v>2</v>
      </c>
      <c r="P993">
        <v>1</v>
      </c>
      <c r="Q993">
        <f t="shared" si="105"/>
        <v>5</v>
      </c>
      <c r="R993">
        <f t="shared" si="106"/>
        <v>15</v>
      </c>
      <c r="S993">
        <f t="array" ref="S993">MAX(IF($C$2:$C$1387=C993,$R$2:$R$1387))</f>
        <v>28</v>
      </c>
      <c r="T993" cm="1">
        <f t="array" ref="T993">MIN(IF($C$2:$C$1387=C993,$R$2:$R$1387))</f>
        <v>10</v>
      </c>
      <c r="U993">
        <f t="shared" si="107"/>
        <v>18</v>
      </c>
      <c r="V993">
        <f t="shared" si="108"/>
        <v>0.27777777777777779</v>
      </c>
      <c r="W993" cm="1">
        <f t="array" ref="W993">_xlfn.IFS(N993=1,5,N993=2,4,N993=4,2,N993=5,1,N993=3,3)</f>
        <v>5</v>
      </c>
      <c r="X993">
        <f t="shared" si="109"/>
        <v>19</v>
      </c>
      <c r="Y993" cm="1">
        <f t="array" ref="Y993">MAX(IF($C$2:$C$1387=C993,$X$2:$X$1387))</f>
        <v>29</v>
      </c>
      <c r="Z993" cm="1">
        <f t="array" ref="Z993">MIN(IF($C$2:$C$1387=C993,$X$2:$X$1387))</f>
        <v>12</v>
      </c>
      <c r="AA993">
        <f t="shared" si="110"/>
        <v>17</v>
      </c>
      <c r="AB993">
        <f t="shared" si="111"/>
        <v>0.41176470588235292</v>
      </c>
    </row>
    <row r="994" spans="1:28" x14ac:dyDescent="0.25">
      <c r="A994" t="s">
        <v>358</v>
      </c>
      <c r="B994" t="s">
        <v>359</v>
      </c>
      <c r="C994">
        <v>2012</v>
      </c>
      <c r="D994">
        <v>0</v>
      </c>
      <c r="E994">
        <v>0.44135700097131109</v>
      </c>
      <c r="F994">
        <v>0.13345992284421254</v>
      </c>
      <c r="G994">
        <v>1.9459101490553132</v>
      </c>
      <c r="H994">
        <v>0.2857142857142857</v>
      </c>
      <c r="I994">
        <v>0.66666666666666663</v>
      </c>
      <c r="J994">
        <v>0</v>
      </c>
      <c r="K994">
        <v>1</v>
      </c>
      <c r="L994">
        <v>1</v>
      </c>
      <c r="M994">
        <v>4</v>
      </c>
      <c r="N994">
        <v>1</v>
      </c>
      <c r="O994">
        <v>1</v>
      </c>
      <c r="P994">
        <v>1</v>
      </c>
      <c r="Q994">
        <f t="shared" si="105"/>
        <v>5</v>
      </c>
      <c r="R994">
        <f t="shared" si="106"/>
        <v>14</v>
      </c>
      <c r="S994">
        <f t="array" ref="S994">MAX(IF($C$2:$C$1387=C994,$R$2:$R$1387))</f>
        <v>29</v>
      </c>
      <c r="T994" cm="1">
        <f t="array" ref="T994">MIN(IF($C$2:$C$1387=C994,$R$2:$R$1387))</f>
        <v>11</v>
      </c>
      <c r="U994">
        <f t="shared" si="107"/>
        <v>18</v>
      </c>
      <c r="V994">
        <f t="shared" si="108"/>
        <v>0.16666666666666666</v>
      </c>
      <c r="W994" cm="1">
        <f t="array" ref="W994">_xlfn.IFS(N994=1,5,N994=2,4,N994=4,2,N994=5,1,N994=3,3)</f>
        <v>5</v>
      </c>
      <c r="X994">
        <f t="shared" si="109"/>
        <v>18</v>
      </c>
      <c r="Y994" cm="1">
        <f t="array" ref="Y994">MAX(IF($C$2:$C$1387=C994,$X$2:$X$1387))</f>
        <v>30</v>
      </c>
      <c r="Z994" cm="1">
        <f t="array" ref="Z994">MIN(IF($C$2:$C$1387=C994,$X$2:$X$1387))</f>
        <v>12</v>
      </c>
      <c r="AA994">
        <f t="shared" si="110"/>
        <v>18</v>
      </c>
      <c r="AB994">
        <f t="shared" si="111"/>
        <v>0.33333333333333331</v>
      </c>
    </row>
    <row r="995" spans="1:28" x14ac:dyDescent="0.25">
      <c r="A995" t="s">
        <v>358</v>
      </c>
      <c r="B995" t="s">
        <v>359</v>
      </c>
      <c r="C995">
        <v>2013</v>
      </c>
      <c r="D995">
        <v>0.23128000100915436</v>
      </c>
      <c r="E995">
        <v>0.38620875545295819</v>
      </c>
      <c r="F995">
        <v>9.785458233994701E-2</v>
      </c>
      <c r="G995">
        <v>1.9459101490553132</v>
      </c>
      <c r="H995">
        <v>0.2857142857142857</v>
      </c>
      <c r="I995">
        <v>0.66666666666666663</v>
      </c>
      <c r="J995">
        <v>0</v>
      </c>
      <c r="K995">
        <v>3</v>
      </c>
      <c r="L995">
        <v>1</v>
      </c>
      <c r="M995">
        <v>4</v>
      </c>
      <c r="N995">
        <v>1</v>
      </c>
      <c r="O995">
        <v>1</v>
      </c>
      <c r="P995">
        <v>1</v>
      </c>
      <c r="Q995">
        <f t="shared" si="105"/>
        <v>5</v>
      </c>
      <c r="R995">
        <f t="shared" si="106"/>
        <v>16</v>
      </c>
      <c r="S995">
        <f t="array" ref="S995">MAX(IF($C$2:$C$1387=C995,$R$2:$R$1387))</f>
        <v>29</v>
      </c>
      <c r="T995" cm="1">
        <f t="array" ref="T995">MIN(IF($C$2:$C$1387=C995,$R$2:$R$1387))</f>
        <v>10</v>
      </c>
      <c r="U995">
        <f t="shared" si="107"/>
        <v>19</v>
      </c>
      <c r="V995">
        <f t="shared" si="108"/>
        <v>0.31578947368421051</v>
      </c>
      <c r="W995" cm="1">
        <f t="array" ref="W995">_xlfn.IFS(N995=1,5,N995=2,4,N995=4,2,N995=5,1,N995=3,3)</f>
        <v>5</v>
      </c>
      <c r="X995">
        <f t="shared" si="109"/>
        <v>20</v>
      </c>
      <c r="Y995" cm="1">
        <f t="array" ref="Y995">MAX(IF($C$2:$C$1387=C995,$X$2:$X$1387))</f>
        <v>32</v>
      </c>
      <c r="Z995" cm="1">
        <f t="array" ref="Z995">MIN(IF($C$2:$C$1387=C995,$X$2:$X$1387))</f>
        <v>10</v>
      </c>
      <c r="AA995">
        <f t="shared" si="110"/>
        <v>22</v>
      </c>
      <c r="AB995">
        <f t="shared" si="111"/>
        <v>0.45454545454545453</v>
      </c>
    </row>
    <row r="996" spans="1:28" x14ac:dyDescent="0.25">
      <c r="A996" t="s">
        <v>358</v>
      </c>
      <c r="B996" t="s">
        <v>359</v>
      </c>
      <c r="C996">
        <v>2014</v>
      </c>
      <c r="D996">
        <v>0.20445708608160942</v>
      </c>
      <c r="E996">
        <v>0.38817604994720489</v>
      </c>
      <c r="F996">
        <v>0.18664847962732523</v>
      </c>
      <c r="G996">
        <v>1.9459101490553132</v>
      </c>
      <c r="H996">
        <v>0.42857142857142855</v>
      </c>
      <c r="I996">
        <v>0.66666666666666663</v>
      </c>
      <c r="J996">
        <v>0</v>
      </c>
      <c r="K996">
        <v>3</v>
      </c>
      <c r="L996">
        <v>1</v>
      </c>
      <c r="M996">
        <v>5</v>
      </c>
      <c r="N996">
        <v>1</v>
      </c>
      <c r="O996">
        <v>1</v>
      </c>
      <c r="P996">
        <v>1</v>
      </c>
      <c r="Q996">
        <f t="shared" si="105"/>
        <v>5</v>
      </c>
      <c r="R996">
        <f t="shared" si="106"/>
        <v>17</v>
      </c>
      <c r="S996">
        <f t="array" ref="S996">MAX(IF($C$2:$C$1387=C996,$R$2:$R$1387))</f>
        <v>29</v>
      </c>
      <c r="T996" cm="1">
        <f t="array" ref="T996">MIN(IF($C$2:$C$1387=C996,$R$2:$R$1387))</f>
        <v>11</v>
      </c>
      <c r="U996">
        <f t="shared" si="107"/>
        <v>18</v>
      </c>
      <c r="V996">
        <f t="shared" si="108"/>
        <v>0.33333333333333331</v>
      </c>
      <c r="W996" cm="1">
        <f t="array" ref="W996">_xlfn.IFS(N996=1,5,N996=2,4,N996=4,2,N996=5,1,N996=3,3)</f>
        <v>5</v>
      </c>
      <c r="X996">
        <f t="shared" si="109"/>
        <v>21</v>
      </c>
      <c r="Y996" cm="1">
        <f t="array" ref="Y996">MAX(IF($C$2:$C$1387=C996,$X$2:$X$1387))</f>
        <v>30</v>
      </c>
      <c r="Z996" cm="1">
        <f t="array" ref="Z996">MIN(IF($C$2:$C$1387=C996,$X$2:$X$1387))</f>
        <v>14</v>
      </c>
      <c r="AA996">
        <f t="shared" si="110"/>
        <v>16</v>
      </c>
      <c r="AB996">
        <f t="shared" si="111"/>
        <v>0.4375</v>
      </c>
    </row>
    <row r="997" spans="1:28" x14ac:dyDescent="0.25">
      <c r="A997" t="s">
        <v>358</v>
      </c>
      <c r="B997" t="s">
        <v>359</v>
      </c>
      <c r="C997">
        <v>2015</v>
      </c>
      <c r="D997">
        <v>0.20445708608160942</v>
      </c>
      <c r="E997">
        <v>0.38081089263413775</v>
      </c>
      <c r="F997">
        <v>0.156224330563353</v>
      </c>
      <c r="G997">
        <v>1.9459101490553132</v>
      </c>
      <c r="H997">
        <v>0.42857142857142855</v>
      </c>
      <c r="I997">
        <v>0.75</v>
      </c>
      <c r="J997">
        <v>0</v>
      </c>
      <c r="K997">
        <v>3</v>
      </c>
      <c r="L997">
        <v>1</v>
      </c>
      <c r="M997">
        <v>5</v>
      </c>
      <c r="N997">
        <v>1</v>
      </c>
      <c r="O997">
        <v>1</v>
      </c>
      <c r="P997">
        <v>2</v>
      </c>
      <c r="Q997">
        <f t="shared" si="105"/>
        <v>5</v>
      </c>
      <c r="R997">
        <f t="shared" si="106"/>
        <v>18</v>
      </c>
      <c r="S997">
        <f t="array" ref="S997">MAX(IF($C$2:$C$1387=C997,$R$2:$R$1387))</f>
        <v>29</v>
      </c>
      <c r="T997" cm="1">
        <f t="array" ref="T997">MIN(IF($C$2:$C$1387=C997,$R$2:$R$1387))</f>
        <v>11</v>
      </c>
      <c r="U997">
        <f t="shared" si="107"/>
        <v>18</v>
      </c>
      <c r="V997">
        <f t="shared" si="108"/>
        <v>0.3888888888888889</v>
      </c>
      <c r="W997" cm="1">
        <f t="array" ref="W997">_xlfn.IFS(N997=1,5,N997=2,4,N997=4,2,N997=5,1,N997=3,3)</f>
        <v>5</v>
      </c>
      <c r="X997">
        <f t="shared" si="109"/>
        <v>22</v>
      </c>
      <c r="Y997" cm="1">
        <f t="array" ref="Y997">MAX(IF($C$2:$C$1387=C997,$X$2:$X$1387))</f>
        <v>29</v>
      </c>
      <c r="Z997" cm="1">
        <f t="array" ref="Z997">MIN(IF($C$2:$C$1387=C997,$X$2:$X$1387))</f>
        <v>12</v>
      </c>
      <c r="AA997">
        <f t="shared" si="110"/>
        <v>17</v>
      </c>
      <c r="AB997">
        <f t="shared" si="111"/>
        <v>0.58823529411764708</v>
      </c>
    </row>
    <row r="998" spans="1:28" x14ac:dyDescent="0.25">
      <c r="A998" t="s">
        <v>360</v>
      </c>
      <c r="B998" t="s">
        <v>361</v>
      </c>
      <c r="C998">
        <v>2010</v>
      </c>
      <c r="D998">
        <v>0</v>
      </c>
      <c r="E998">
        <v>0.73550043352570171</v>
      </c>
      <c r="F998">
        <v>0</v>
      </c>
      <c r="G998">
        <v>1.9459101490553132</v>
      </c>
      <c r="H998">
        <v>0.8571428571428571</v>
      </c>
      <c r="I998">
        <v>1</v>
      </c>
      <c r="J998">
        <v>0</v>
      </c>
      <c r="K998">
        <v>1</v>
      </c>
      <c r="L998">
        <v>4</v>
      </c>
      <c r="M998">
        <v>1</v>
      </c>
      <c r="N998">
        <v>1</v>
      </c>
      <c r="O998">
        <v>5</v>
      </c>
      <c r="P998">
        <v>3</v>
      </c>
      <c r="Q998">
        <f t="shared" si="105"/>
        <v>5</v>
      </c>
      <c r="R998">
        <f t="shared" si="106"/>
        <v>20</v>
      </c>
      <c r="S998">
        <f t="array" ref="S998">MAX(IF($C$2:$C$1387=C998,$R$2:$R$1387))</f>
        <v>29</v>
      </c>
      <c r="T998" cm="1">
        <f t="array" ref="T998">MIN(IF($C$2:$C$1387=C998,$R$2:$R$1387))</f>
        <v>9</v>
      </c>
      <c r="U998">
        <f t="shared" si="107"/>
        <v>20</v>
      </c>
      <c r="V998">
        <f t="shared" si="108"/>
        <v>0.55000000000000004</v>
      </c>
      <c r="W998" cm="1">
        <f t="array" ref="W998">_xlfn.IFS(N998=1,5,N998=2,4,N998=4,2,N998=5,1,N998=3,3)</f>
        <v>5</v>
      </c>
      <c r="X998">
        <f t="shared" si="109"/>
        <v>24</v>
      </c>
      <c r="Y998" cm="1">
        <f t="array" ref="Y998">MAX(IF($C$2:$C$1387=C998,$X$2:$X$1387))</f>
        <v>29</v>
      </c>
      <c r="Z998" cm="1">
        <f t="array" ref="Z998">MIN(IF($C$2:$C$1387=C998,$X$2:$X$1387))</f>
        <v>12</v>
      </c>
      <c r="AA998">
        <f t="shared" si="110"/>
        <v>17</v>
      </c>
      <c r="AB998">
        <f t="shared" si="111"/>
        <v>0.70588235294117652</v>
      </c>
    </row>
    <row r="999" spans="1:28" x14ac:dyDescent="0.25">
      <c r="A999" t="s">
        <v>360</v>
      </c>
      <c r="B999" t="s">
        <v>361</v>
      </c>
      <c r="C999">
        <v>2011</v>
      </c>
      <c r="D999">
        <v>4.3557784992340837E-2</v>
      </c>
      <c r="E999">
        <v>0.8119151986143629</v>
      </c>
      <c r="F999">
        <v>2.1077266740880351E-2</v>
      </c>
      <c r="G999">
        <v>1.9459101490553132</v>
      </c>
      <c r="H999">
        <v>0.8571428571428571</v>
      </c>
      <c r="I999">
        <v>1</v>
      </c>
      <c r="J999">
        <v>0</v>
      </c>
      <c r="K999">
        <v>2</v>
      </c>
      <c r="L999">
        <v>4</v>
      </c>
      <c r="M999">
        <v>2</v>
      </c>
      <c r="N999">
        <v>1</v>
      </c>
      <c r="O999">
        <v>5</v>
      </c>
      <c r="P999">
        <v>3</v>
      </c>
      <c r="Q999">
        <f t="shared" si="105"/>
        <v>5</v>
      </c>
      <c r="R999">
        <f t="shared" si="106"/>
        <v>22</v>
      </c>
      <c r="S999">
        <f t="array" ref="S999">MAX(IF($C$2:$C$1387=C999,$R$2:$R$1387))</f>
        <v>28</v>
      </c>
      <c r="T999" cm="1">
        <f t="array" ref="T999">MIN(IF($C$2:$C$1387=C999,$R$2:$R$1387))</f>
        <v>10</v>
      </c>
      <c r="U999">
        <f t="shared" si="107"/>
        <v>18</v>
      </c>
      <c r="V999">
        <f t="shared" si="108"/>
        <v>0.66666666666666663</v>
      </c>
      <c r="W999" cm="1">
        <f t="array" ref="W999">_xlfn.IFS(N999=1,5,N999=2,4,N999=4,2,N999=5,1,N999=3,3)</f>
        <v>5</v>
      </c>
      <c r="X999">
        <f t="shared" si="109"/>
        <v>26</v>
      </c>
      <c r="Y999" cm="1">
        <f t="array" ref="Y999">MAX(IF($C$2:$C$1387=C999,$X$2:$X$1387))</f>
        <v>29</v>
      </c>
      <c r="Z999" cm="1">
        <f t="array" ref="Z999">MIN(IF($C$2:$C$1387=C999,$X$2:$X$1387))</f>
        <v>12</v>
      </c>
      <c r="AA999">
        <f t="shared" si="110"/>
        <v>17</v>
      </c>
      <c r="AB999">
        <f t="shared" si="111"/>
        <v>0.82352941176470584</v>
      </c>
    </row>
    <row r="1000" spans="1:28" x14ac:dyDescent="0.25">
      <c r="A1000" t="s">
        <v>360</v>
      </c>
      <c r="B1000" t="s">
        <v>361</v>
      </c>
      <c r="C1000">
        <v>2012</v>
      </c>
      <c r="D1000">
        <v>0.76903685528502108</v>
      </c>
      <c r="E1000">
        <v>0.85298774999482618</v>
      </c>
      <c r="F1000">
        <v>1.2228125984577187E-2</v>
      </c>
      <c r="G1000">
        <v>1.9459101490553132</v>
      </c>
      <c r="H1000">
        <v>0.8571428571428571</v>
      </c>
      <c r="I1000">
        <v>1</v>
      </c>
      <c r="J1000">
        <v>0</v>
      </c>
      <c r="K1000">
        <v>5</v>
      </c>
      <c r="L1000">
        <v>5</v>
      </c>
      <c r="M1000">
        <v>2</v>
      </c>
      <c r="N1000">
        <v>1</v>
      </c>
      <c r="O1000">
        <v>5</v>
      </c>
      <c r="P1000">
        <v>3</v>
      </c>
      <c r="Q1000">
        <f t="shared" si="105"/>
        <v>5</v>
      </c>
      <c r="R1000">
        <f t="shared" si="106"/>
        <v>26</v>
      </c>
      <c r="S1000">
        <f t="array" ref="S1000">MAX(IF($C$2:$C$1387=C1000,$R$2:$R$1387))</f>
        <v>29</v>
      </c>
      <c r="T1000" cm="1">
        <f t="array" ref="T1000">MIN(IF($C$2:$C$1387=C1000,$R$2:$R$1387))</f>
        <v>11</v>
      </c>
      <c r="U1000">
        <f t="shared" si="107"/>
        <v>18</v>
      </c>
      <c r="V1000">
        <f t="shared" si="108"/>
        <v>0.83333333333333337</v>
      </c>
      <c r="W1000" cm="1">
        <f t="array" ref="W1000">_xlfn.IFS(N1000=1,5,N1000=2,4,N1000=4,2,N1000=5,1,N1000=3,3)</f>
        <v>5</v>
      </c>
      <c r="X1000">
        <f t="shared" si="109"/>
        <v>30</v>
      </c>
      <c r="Y1000" cm="1">
        <f t="array" ref="Y1000">MAX(IF($C$2:$C$1387=C1000,$X$2:$X$1387))</f>
        <v>30</v>
      </c>
      <c r="Z1000" cm="1">
        <f t="array" ref="Z1000">MIN(IF($C$2:$C$1387=C1000,$X$2:$X$1387))</f>
        <v>12</v>
      </c>
      <c r="AA1000">
        <f t="shared" si="110"/>
        <v>18</v>
      </c>
      <c r="AB1000">
        <f t="shared" si="111"/>
        <v>1</v>
      </c>
    </row>
    <row r="1001" spans="1:28" x14ac:dyDescent="0.25">
      <c r="A1001" t="s">
        <v>360</v>
      </c>
      <c r="B1001" t="s">
        <v>361</v>
      </c>
      <c r="C1001">
        <v>2013</v>
      </c>
      <c r="D1001">
        <v>8.9489862625927979E-2</v>
      </c>
      <c r="E1001">
        <v>0.89474675717656005</v>
      </c>
      <c r="F1001">
        <v>8.5140536313536505E-3</v>
      </c>
      <c r="G1001">
        <v>1.6094379124341003</v>
      </c>
      <c r="H1001">
        <v>0.6</v>
      </c>
      <c r="I1001">
        <v>1</v>
      </c>
      <c r="J1001">
        <v>0</v>
      </c>
      <c r="K1001">
        <v>3</v>
      </c>
      <c r="L1001">
        <v>5</v>
      </c>
      <c r="M1001">
        <v>2</v>
      </c>
      <c r="N1001">
        <v>1</v>
      </c>
      <c r="O1001">
        <v>3</v>
      </c>
      <c r="P1001">
        <v>3</v>
      </c>
      <c r="Q1001">
        <f t="shared" si="105"/>
        <v>5</v>
      </c>
      <c r="R1001">
        <f t="shared" si="106"/>
        <v>22</v>
      </c>
      <c r="S1001">
        <f t="array" ref="S1001">MAX(IF($C$2:$C$1387=C1001,$R$2:$R$1387))</f>
        <v>29</v>
      </c>
      <c r="T1001" cm="1">
        <f t="array" ref="T1001">MIN(IF($C$2:$C$1387=C1001,$R$2:$R$1387))</f>
        <v>10</v>
      </c>
      <c r="U1001">
        <f t="shared" si="107"/>
        <v>19</v>
      </c>
      <c r="V1001">
        <f t="shared" si="108"/>
        <v>0.63157894736842102</v>
      </c>
      <c r="W1001" cm="1">
        <f t="array" ref="W1001">_xlfn.IFS(N1001=1,5,N1001=2,4,N1001=4,2,N1001=5,1,N1001=3,3)</f>
        <v>5</v>
      </c>
      <c r="X1001">
        <f t="shared" si="109"/>
        <v>26</v>
      </c>
      <c r="Y1001" cm="1">
        <f t="array" ref="Y1001">MAX(IF($C$2:$C$1387=C1001,$X$2:$X$1387))</f>
        <v>32</v>
      </c>
      <c r="Z1001" cm="1">
        <f t="array" ref="Z1001">MIN(IF($C$2:$C$1387=C1001,$X$2:$X$1387))</f>
        <v>10</v>
      </c>
      <c r="AA1001">
        <f t="shared" si="110"/>
        <v>22</v>
      </c>
      <c r="AB1001">
        <f t="shared" si="111"/>
        <v>0.72727272727272729</v>
      </c>
    </row>
    <row r="1002" spans="1:28" x14ac:dyDescent="0.25">
      <c r="A1002" t="s">
        <v>360</v>
      </c>
      <c r="B1002" t="s">
        <v>361</v>
      </c>
      <c r="C1002">
        <v>2014</v>
      </c>
      <c r="D1002">
        <v>8.9489862625927979E-2</v>
      </c>
      <c r="E1002">
        <v>0.82859951465772774</v>
      </c>
      <c r="F1002">
        <v>7.7817940031649976E-3</v>
      </c>
      <c r="G1002">
        <v>1.6094379124341003</v>
      </c>
      <c r="H1002">
        <v>0.6</v>
      </c>
      <c r="I1002">
        <v>1</v>
      </c>
      <c r="J1002">
        <v>0</v>
      </c>
      <c r="K1002">
        <v>3</v>
      </c>
      <c r="L1002">
        <v>4</v>
      </c>
      <c r="M1002">
        <v>2</v>
      </c>
      <c r="N1002">
        <v>1</v>
      </c>
      <c r="O1002">
        <v>3</v>
      </c>
      <c r="P1002">
        <v>3</v>
      </c>
      <c r="Q1002">
        <f t="shared" si="105"/>
        <v>5</v>
      </c>
      <c r="R1002">
        <f t="shared" si="106"/>
        <v>21</v>
      </c>
      <c r="S1002">
        <f t="array" ref="S1002">MAX(IF($C$2:$C$1387=C1002,$R$2:$R$1387))</f>
        <v>29</v>
      </c>
      <c r="T1002" cm="1">
        <f t="array" ref="T1002">MIN(IF($C$2:$C$1387=C1002,$R$2:$R$1387))</f>
        <v>11</v>
      </c>
      <c r="U1002">
        <f t="shared" si="107"/>
        <v>18</v>
      </c>
      <c r="V1002">
        <f t="shared" si="108"/>
        <v>0.55555555555555558</v>
      </c>
      <c r="W1002" cm="1">
        <f t="array" ref="W1002">_xlfn.IFS(N1002=1,5,N1002=2,4,N1002=4,2,N1002=5,1,N1002=3,3)</f>
        <v>5</v>
      </c>
      <c r="X1002">
        <f t="shared" si="109"/>
        <v>25</v>
      </c>
      <c r="Y1002" cm="1">
        <f t="array" ref="Y1002">MAX(IF($C$2:$C$1387=C1002,$X$2:$X$1387))</f>
        <v>30</v>
      </c>
      <c r="Z1002" cm="1">
        <f t="array" ref="Z1002">MIN(IF($C$2:$C$1387=C1002,$X$2:$X$1387))</f>
        <v>14</v>
      </c>
      <c r="AA1002">
        <f t="shared" si="110"/>
        <v>16</v>
      </c>
      <c r="AB1002">
        <f t="shared" si="111"/>
        <v>0.6875</v>
      </c>
    </row>
    <row r="1003" spans="1:28" x14ac:dyDescent="0.25">
      <c r="A1003" t="s">
        <v>360</v>
      </c>
      <c r="B1003" t="s">
        <v>361</v>
      </c>
      <c r="C1003">
        <v>2015</v>
      </c>
      <c r="D1003">
        <v>8.9489862625927979E-2</v>
      </c>
      <c r="E1003">
        <v>0.69347549069215919</v>
      </c>
      <c r="F1003">
        <v>2.4885812563499143E-2</v>
      </c>
      <c r="G1003">
        <v>1.9459101490553132</v>
      </c>
      <c r="H1003">
        <v>0.8571428571428571</v>
      </c>
      <c r="I1003">
        <v>1</v>
      </c>
      <c r="J1003">
        <v>0</v>
      </c>
      <c r="K1003">
        <v>3</v>
      </c>
      <c r="L1003">
        <v>3</v>
      </c>
      <c r="M1003">
        <v>2</v>
      </c>
      <c r="N1003">
        <v>1</v>
      </c>
      <c r="O1003">
        <v>4</v>
      </c>
      <c r="P1003">
        <v>2</v>
      </c>
      <c r="Q1003">
        <f t="shared" si="105"/>
        <v>5</v>
      </c>
      <c r="R1003">
        <f t="shared" si="106"/>
        <v>20</v>
      </c>
      <c r="S1003">
        <f t="array" ref="S1003">MAX(IF($C$2:$C$1387=C1003,$R$2:$R$1387))</f>
        <v>29</v>
      </c>
      <c r="T1003" cm="1">
        <f t="array" ref="T1003">MIN(IF($C$2:$C$1387=C1003,$R$2:$R$1387))</f>
        <v>11</v>
      </c>
      <c r="U1003">
        <f t="shared" si="107"/>
        <v>18</v>
      </c>
      <c r="V1003">
        <f t="shared" si="108"/>
        <v>0.5</v>
      </c>
      <c r="W1003" cm="1">
        <f t="array" ref="W1003">_xlfn.IFS(N1003=1,5,N1003=2,4,N1003=4,2,N1003=5,1,N1003=3,3)</f>
        <v>5</v>
      </c>
      <c r="X1003">
        <f t="shared" si="109"/>
        <v>24</v>
      </c>
      <c r="Y1003" cm="1">
        <f t="array" ref="Y1003">MAX(IF($C$2:$C$1387=C1003,$X$2:$X$1387))</f>
        <v>29</v>
      </c>
      <c r="Z1003" cm="1">
        <f t="array" ref="Z1003">MIN(IF($C$2:$C$1387=C1003,$X$2:$X$1387))</f>
        <v>12</v>
      </c>
      <c r="AA1003">
        <f t="shared" si="110"/>
        <v>17</v>
      </c>
      <c r="AB1003">
        <f t="shared" si="111"/>
        <v>0.70588235294117652</v>
      </c>
    </row>
    <row r="1004" spans="1:28" x14ac:dyDescent="0.25">
      <c r="A1004" t="s">
        <v>362</v>
      </c>
      <c r="B1004" t="s">
        <v>363</v>
      </c>
      <c r="C1004">
        <v>2010</v>
      </c>
      <c r="D1004">
        <v>1.2320047596586117E-4</v>
      </c>
      <c r="E1004">
        <v>0.88439208060973851</v>
      </c>
      <c r="F1004">
        <v>5.1710025920271505E-2</v>
      </c>
      <c r="G1004">
        <v>2.0794415416798357</v>
      </c>
      <c r="H1004">
        <v>0.875</v>
      </c>
      <c r="I1004">
        <v>0.66666666666666663</v>
      </c>
      <c r="J1004">
        <v>0</v>
      </c>
      <c r="K1004">
        <v>1</v>
      </c>
      <c r="L1004">
        <v>5</v>
      </c>
      <c r="M1004">
        <v>3</v>
      </c>
      <c r="N1004">
        <v>3</v>
      </c>
      <c r="O1004">
        <v>5</v>
      </c>
      <c r="P1004">
        <v>1</v>
      </c>
      <c r="Q1004">
        <f t="shared" si="105"/>
        <v>5</v>
      </c>
      <c r="R1004">
        <f t="shared" si="106"/>
        <v>23</v>
      </c>
      <c r="S1004">
        <f t="array" ref="S1004">MAX(IF($C$2:$C$1387=C1004,$R$2:$R$1387))</f>
        <v>29</v>
      </c>
      <c r="T1004" cm="1">
        <f t="array" ref="T1004">MIN(IF($C$2:$C$1387=C1004,$R$2:$R$1387))</f>
        <v>9</v>
      </c>
      <c r="U1004">
        <f t="shared" si="107"/>
        <v>20</v>
      </c>
      <c r="V1004">
        <f t="shared" si="108"/>
        <v>0.7</v>
      </c>
      <c r="W1004" cm="1">
        <f t="array" ref="W1004">_xlfn.IFS(N1004=1,5,N1004=2,4,N1004=4,2,N1004=5,1,N1004=3,3)</f>
        <v>3</v>
      </c>
      <c r="X1004">
        <f t="shared" si="109"/>
        <v>23</v>
      </c>
      <c r="Y1004" cm="1">
        <f t="array" ref="Y1004">MAX(IF($C$2:$C$1387=C1004,$X$2:$X$1387))</f>
        <v>29</v>
      </c>
      <c r="Z1004" cm="1">
        <f t="array" ref="Z1004">MIN(IF($C$2:$C$1387=C1004,$X$2:$X$1387))</f>
        <v>12</v>
      </c>
      <c r="AA1004">
        <f t="shared" si="110"/>
        <v>17</v>
      </c>
      <c r="AB1004">
        <f t="shared" si="111"/>
        <v>0.6470588235294118</v>
      </c>
    </row>
    <row r="1005" spans="1:28" x14ac:dyDescent="0.25">
      <c r="A1005" t="s">
        <v>362</v>
      </c>
      <c r="B1005" t="s">
        <v>363</v>
      </c>
      <c r="C1005">
        <v>2011</v>
      </c>
      <c r="D1005">
        <v>7.6864786589199687E-5</v>
      </c>
      <c r="E1005">
        <v>0.8562431279278977</v>
      </c>
      <c r="F1005">
        <v>4.9322720901278982E-2</v>
      </c>
      <c r="G1005">
        <v>2.0794415416798357</v>
      </c>
      <c r="H1005">
        <v>0.875</v>
      </c>
      <c r="I1005">
        <v>0.66666666666666663</v>
      </c>
      <c r="J1005">
        <v>0</v>
      </c>
      <c r="K1005">
        <v>1</v>
      </c>
      <c r="L1005">
        <v>5</v>
      </c>
      <c r="M1005">
        <v>3</v>
      </c>
      <c r="N1005">
        <v>3</v>
      </c>
      <c r="O1005">
        <v>5</v>
      </c>
      <c r="P1005">
        <v>1</v>
      </c>
      <c r="Q1005">
        <f t="shared" si="105"/>
        <v>5</v>
      </c>
      <c r="R1005">
        <f t="shared" si="106"/>
        <v>23</v>
      </c>
      <c r="S1005">
        <f t="array" ref="S1005">MAX(IF($C$2:$C$1387=C1005,$R$2:$R$1387))</f>
        <v>28</v>
      </c>
      <c r="T1005" cm="1">
        <f t="array" ref="T1005">MIN(IF($C$2:$C$1387=C1005,$R$2:$R$1387))</f>
        <v>10</v>
      </c>
      <c r="U1005">
        <f t="shared" si="107"/>
        <v>18</v>
      </c>
      <c r="V1005">
        <f t="shared" si="108"/>
        <v>0.72222222222222221</v>
      </c>
      <c r="W1005" cm="1">
        <f t="array" ref="W1005">_xlfn.IFS(N1005=1,5,N1005=2,4,N1005=4,2,N1005=5,1,N1005=3,3)</f>
        <v>3</v>
      </c>
      <c r="X1005">
        <f t="shared" si="109"/>
        <v>23</v>
      </c>
      <c r="Y1005" cm="1">
        <f t="array" ref="Y1005">MAX(IF($C$2:$C$1387=C1005,$X$2:$X$1387))</f>
        <v>29</v>
      </c>
      <c r="Z1005" cm="1">
        <f t="array" ref="Z1005">MIN(IF($C$2:$C$1387=C1005,$X$2:$X$1387))</f>
        <v>12</v>
      </c>
      <c r="AA1005">
        <f t="shared" si="110"/>
        <v>17</v>
      </c>
      <c r="AB1005">
        <f t="shared" si="111"/>
        <v>0.6470588235294118</v>
      </c>
    </row>
    <row r="1006" spans="1:28" x14ac:dyDescent="0.25">
      <c r="A1006" t="s">
        <v>362</v>
      </c>
      <c r="B1006" t="s">
        <v>363</v>
      </c>
      <c r="C1006">
        <v>2012</v>
      </c>
      <c r="D1006">
        <v>7.6864786589199687E-5</v>
      </c>
      <c r="E1006">
        <v>0.8562431279278977</v>
      </c>
      <c r="F1006">
        <v>4.9322720901278982E-2</v>
      </c>
      <c r="G1006">
        <v>2.3025850929940459</v>
      </c>
      <c r="H1006">
        <v>0.9</v>
      </c>
      <c r="I1006">
        <v>1</v>
      </c>
      <c r="J1006">
        <v>0</v>
      </c>
      <c r="K1006">
        <v>1</v>
      </c>
      <c r="L1006">
        <v>5</v>
      </c>
      <c r="M1006">
        <v>3</v>
      </c>
      <c r="N1006">
        <v>5</v>
      </c>
      <c r="O1006">
        <v>5</v>
      </c>
      <c r="P1006">
        <v>3</v>
      </c>
      <c r="Q1006">
        <f t="shared" si="105"/>
        <v>5</v>
      </c>
      <c r="R1006">
        <f t="shared" si="106"/>
        <v>27</v>
      </c>
      <c r="S1006">
        <f t="array" ref="S1006">MAX(IF($C$2:$C$1387=C1006,$R$2:$R$1387))</f>
        <v>29</v>
      </c>
      <c r="T1006" cm="1">
        <f t="array" ref="T1006">MIN(IF($C$2:$C$1387=C1006,$R$2:$R$1387))</f>
        <v>11</v>
      </c>
      <c r="U1006">
        <f t="shared" si="107"/>
        <v>18</v>
      </c>
      <c r="V1006">
        <f t="shared" si="108"/>
        <v>0.88888888888888884</v>
      </c>
      <c r="W1006" cm="1">
        <f t="array" ref="W1006">_xlfn.IFS(N1006=1,5,N1006=2,4,N1006=4,2,N1006=5,1,N1006=3,3)</f>
        <v>1</v>
      </c>
      <c r="X1006">
        <f t="shared" si="109"/>
        <v>23</v>
      </c>
      <c r="Y1006" cm="1">
        <f t="array" ref="Y1006">MAX(IF($C$2:$C$1387=C1006,$X$2:$X$1387))</f>
        <v>30</v>
      </c>
      <c r="Z1006" cm="1">
        <f t="array" ref="Z1006">MIN(IF($C$2:$C$1387=C1006,$X$2:$X$1387))</f>
        <v>12</v>
      </c>
      <c r="AA1006">
        <f t="shared" si="110"/>
        <v>18</v>
      </c>
      <c r="AB1006">
        <f t="shared" si="111"/>
        <v>0.61111111111111116</v>
      </c>
    </row>
    <row r="1007" spans="1:28" x14ac:dyDescent="0.25">
      <c r="A1007" t="s">
        <v>362</v>
      </c>
      <c r="B1007" t="s">
        <v>363</v>
      </c>
      <c r="C1007">
        <v>2013</v>
      </c>
      <c r="D1007">
        <v>4.3020605682729697E-5</v>
      </c>
      <c r="E1007">
        <v>0.24681675422580485</v>
      </c>
      <c r="F1007">
        <v>3.4170683987389261E-2</v>
      </c>
      <c r="G1007">
        <v>2.1972245773362196</v>
      </c>
      <c r="H1007">
        <v>0.33333333333333331</v>
      </c>
      <c r="I1007">
        <v>1</v>
      </c>
      <c r="J1007">
        <v>0</v>
      </c>
      <c r="K1007">
        <v>1</v>
      </c>
      <c r="L1007">
        <v>1</v>
      </c>
      <c r="M1007">
        <v>3</v>
      </c>
      <c r="N1007">
        <v>4</v>
      </c>
      <c r="O1007">
        <v>1</v>
      </c>
      <c r="P1007">
        <v>3</v>
      </c>
      <c r="Q1007">
        <f t="shared" si="105"/>
        <v>5</v>
      </c>
      <c r="R1007">
        <f t="shared" si="106"/>
        <v>18</v>
      </c>
      <c r="S1007">
        <f t="array" ref="S1007">MAX(IF($C$2:$C$1387=C1007,$R$2:$R$1387))</f>
        <v>29</v>
      </c>
      <c r="T1007" cm="1">
        <f t="array" ref="T1007">MIN(IF($C$2:$C$1387=C1007,$R$2:$R$1387))</f>
        <v>10</v>
      </c>
      <c r="U1007">
        <f t="shared" si="107"/>
        <v>19</v>
      </c>
      <c r="V1007">
        <f t="shared" si="108"/>
        <v>0.42105263157894735</v>
      </c>
      <c r="W1007" cm="1">
        <f t="array" ref="W1007">_xlfn.IFS(N1007=1,5,N1007=2,4,N1007=4,2,N1007=5,1,N1007=3,3)</f>
        <v>2</v>
      </c>
      <c r="X1007">
        <f t="shared" si="109"/>
        <v>16</v>
      </c>
      <c r="Y1007" cm="1">
        <f t="array" ref="Y1007">MAX(IF($C$2:$C$1387=C1007,$X$2:$X$1387))</f>
        <v>32</v>
      </c>
      <c r="Z1007" cm="1">
        <f t="array" ref="Z1007">MIN(IF($C$2:$C$1387=C1007,$X$2:$X$1387))</f>
        <v>10</v>
      </c>
      <c r="AA1007">
        <f t="shared" si="110"/>
        <v>22</v>
      </c>
      <c r="AB1007">
        <f t="shared" si="111"/>
        <v>0.27272727272727271</v>
      </c>
    </row>
    <row r="1008" spans="1:28" x14ac:dyDescent="0.25">
      <c r="A1008" t="s">
        <v>362</v>
      </c>
      <c r="B1008" t="s">
        <v>363</v>
      </c>
      <c r="C1008">
        <v>2014</v>
      </c>
      <c r="D1008">
        <v>1.9453413924502494E-4</v>
      </c>
      <c r="E1008">
        <v>0.83733112191232506</v>
      </c>
      <c r="F1008">
        <v>2.4766741526262143E-2</v>
      </c>
      <c r="G1008">
        <v>2.1972245773362196</v>
      </c>
      <c r="H1008">
        <v>0.33333333333333331</v>
      </c>
      <c r="I1008">
        <v>1</v>
      </c>
      <c r="J1008">
        <v>0</v>
      </c>
      <c r="K1008">
        <v>1</v>
      </c>
      <c r="L1008">
        <v>4</v>
      </c>
      <c r="M1008">
        <v>2</v>
      </c>
      <c r="N1008">
        <v>4</v>
      </c>
      <c r="O1008">
        <v>1</v>
      </c>
      <c r="P1008">
        <v>3</v>
      </c>
      <c r="Q1008">
        <f t="shared" si="105"/>
        <v>5</v>
      </c>
      <c r="R1008">
        <f t="shared" si="106"/>
        <v>20</v>
      </c>
      <c r="S1008">
        <f t="array" ref="S1008">MAX(IF($C$2:$C$1387=C1008,$R$2:$R$1387))</f>
        <v>29</v>
      </c>
      <c r="T1008" cm="1">
        <f t="array" ref="T1008">MIN(IF($C$2:$C$1387=C1008,$R$2:$R$1387))</f>
        <v>11</v>
      </c>
      <c r="U1008">
        <f t="shared" si="107"/>
        <v>18</v>
      </c>
      <c r="V1008">
        <f t="shared" si="108"/>
        <v>0.5</v>
      </c>
      <c r="W1008" cm="1">
        <f t="array" ref="W1008">_xlfn.IFS(N1008=1,5,N1008=2,4,N1008=4,2,N1008=5,1,N1008=3,3)</f>
        <v>2</v>
      </c>
      <c r="X1008">
        <f t="shared" si="109"/>
        <v>18</v>
      </c>
      <c r="Y1008" cm="1">
        <f t="array" ref="Y1008">MAX(IF($C$2:$C$1387=C1008,$X$2:$X$1387))</f>
        <v>30</v>
      </c>
      <c r="Z1008" cm="1">
        <f t="array" ref="Z1008">MIN(IF($C$2:$C$1387=C1008,$X$2:$X$1387))</f>
        <v>14</v>
      </c>
      <c r="AA1008">
        <f t="shared" si="110"/>
        <v>16</v>
      </c>
      <c r="AB1008">
        <f t="shared" si="111"/>
        <v>0.25</v>
      </c>
    </row>
    <row r="1009" spans="1:28" x14ac:dyDescent="0.25">
      <c r="A1009" t="s">
        <v>362</v>
      </c>
      <c r="B1009" t="s">
        <v>363</v>
      </c>
      <c r="C1009">
        <v>2015</v>
      </c>
      <c r="D1009">
        <v>1.8595162693640116E-4</v>
      </c>
      <c r="E1009">
        <v>0.83733049722124286</v>
      </c>
      <c r="F1009">
        <v>4.1499625164783907E-2</v>
      </c>
      <c r="G1009">
        <v>2.3025850929940459</v>
      </c>
      <c r="H1009">
        <v>0.9</v>
      </c>
      <c r="I1009">
        <v>1</v>
      </c>
      <c r="J1009">
        <v>0</v>
      </c>
      <c r="K1009">
        <v>1</v>
      </c>
      <c r="L1009">
        <v>4</v>
      </c>
      <c r="M1009">
        <v>3</v>
      </c>
      <c r="N1009">
        <v>5</v>
      </c>
      <c r="O1009">
        <v>5</v>
      </c>
      <c r="P1009">
        <v>2</v>
      </c>
      <c r="Q1009">
        <f t="shared" si="105"/>
        <v>5</v>
      </c>
      <c r="R1009">
        <f t="shared" si="106"/>
        <v>25</v>
      </c>
      <c r="S1009">
        <f t="array" ref="S1009">MAX(IF($C$2:$C$1387=C1009,$R$2:$R$1387))</f>
        <v>29</v>
      </c>
      <c r="T1009" cm="1">
        <f t="array" ref="T1009">MIN(IF($C$2:$C$1387=C1009,$R$2:$R$1387))</f>
        <v>11</v>
      </c>
      <c r="U1009">
        <f t="shared" si="107"/>
        <v>18</v>
      </c>
      <c r="V1009">
        <f t="shared" si="108"/>
        <v>0.77777777777777779</v>
      </c>
      <c r="W1009" cm="1">
        <f t="array" ref="W1009">_xlfn.IFS(N1009=1,5,N1009=2,4,N1009=4,2,N1009=5,1,N1009=3,3)</f>
        <v>1</v>
      </c>
      <c r="X1009">
        <f t="shared" si="109"/>
        <v>21</v>
      </c>
      <c r="Y1009" cm="1">
        <f t="array" ref="Y1009">MAX(IF($C$2:$C$1387=C1009,$X$2:$X$1387))</f>
        <v>29</v>
      </c>
      <c r="Z1009" cm="1">
        <f t="array" ref="Z1009">MIN(IF($C$2:$C$1387=C1009,$X$2:$X$1387))</f>
        <v>12</v>
      </c>
      <c r="AA1009">
        <f t="shared" si="110"/>
        <v>17</v>
      </c>
      <c r="AB1009">
        <f t="shared" si="111"/>
        <v>0.52941176470588236</v>
      </c>
    </row>
    <row r="1010" spans="1:28" x14ac:dyDescent="0.25">
      <c r="A1010" t="s">
        <v>364</v>
      </c>
      <c r="B1010" t="s">
        <v>365</v>
      </c>
      <c r="C1010">
        <v>2010</v>
      </c>
      <c r="D1010">
        <v>0.37012319999999999</v>
      </c>
      <c r="E1010">
        <v>0.51600820000000003</v>
      </c>
      <c r="F1010">
        <v>0.29274119999999998</v>
      </c>
      <c r="G1010">
        <v>1.9459101490553132</v>
      </c>
      <c r="H1010">
        <v>0.7142857142857143</v>
      </c>
      <c r="I1010">
        <v>0.66666666666666663</v>
      </c>
      <c r="J1010">
        <v>0</v>
      </c>
      <c r="K1010">
        <v>4</v>
      </c>
      <c r="L1010">
        <v>2</v>
      </c>
      <c r="M1010">
        <v>5</v>
      </c>
      <c r="N1010">
        <v>1</v>
      </c>
      <c r="O1010">
        <v>4</v>
      </c>
      <c r="P1010">
        <v>1</v>
      </c>
      <c r="Q1010">
        <f t="shared" si="105"/>
        <v>5</v>
      </c>
      <c r="R1010">
        <f t="shared" si="106"/>
        <v>22</v>
      </c>
      <c r="S1010">
        <f t="array" ref="S1010">MAX(IF($C$2:$C$1387=C1010,$R$2:$R$1387))</f>
        <v>29</v>
      </c>
      <c r="T1010" cm="1">
        <f t="array" ref="T1010">MIN(IF($C$2:$C$1387=C1010,$R$2:$R$1387))</f>
        <v>9</v>
      </c>
      <c r="U1010">
        <f t="shared" si="107"/>
        <v>20</v>
      </c>
      <c r="V1010">
        <f t="shared" si="108"/>
        <v>0.65</v>
      </c>
      <c r="W1010" cm="1">
        <f t="array" ref="W1010">_xlfn.IFS(N1010=1,5,N1010=2,4,N1010=4,2,N1010=5,1,N1010=3,3)</f>
        <v>5</v>
      </c>
      <c r="X1010">
        <f t="shared" si="109"/>
        <v>26</v>
      </c>
      <c r="Y1010" cm="1">
        <f t="array" ref="Y1010">MAX(IF($C$2:$C$1387=C1010,$X$2:$X$1387))</f>
        <v>29</v>
      </c>
      <c r="Z1010" cm="1">
        <f t="array" ref="Z1010">MIN(IF($C$2:$C$1387=C1010,$X$2:$X$1387))</f>
        <v>12</v>
      </c>
      <c r="AA1010">
        <f t="shared" si="110"/>
        <v>17</v>
      </c>
      <c r="AB1010">
        <f t="shared" si="111"/>
        <v>0.82352941176470584</v>
      </c>
    </row>
    <row r="1011" spans="1:28" x14ac:dyDescent="0.25">
      <c r="A1011" t="s">
        <v>364</v>
      </c>
      <c r="B1011" t="s">
        <v>365</v>
      </c>
      <c r="C1011">
        <v>2011</v>
      </c>
      <c r="D1011">
        <v>0.37012319999999999</v>
      </c>
      <c r="E1011">
        <v>0.51600820000000003</v>
      </c>
      <c r="F1011">
        <v>0.29274119999999998</v>
      </c>
      <c r="G1011">
        <v>1.9459101490553132</v>
      </c>
      <c r="H1011">
        <v>0.7142857142857143</v>
      </c>
      <c r="I1011">
        <v>0.66666666666666663</v>
      </c>
      <c r="J1011">
        <v>0</v>
      </c>
      <c r="K1011">
        <v>4</v>
      </c>
      <c r="L1011">
        <v>2</v>
      </c>
      <c r="M1011">
        <v>5</v>
      </c>
      <c r="N1011">
        <v>1</v>
      </c>
      <c r="O1011">
        <v>4</v>
      </c>
      <c r="P1011">
        <v>1</v>
      </c>
      <c r="Q1011">
        <f t="shared" si="105"/>
        <v>5</v>
      </c>
      <c r="R1011">
        <f t="shared" si="106"/>
        <v>22</v>
      </c>
      <c r="S1011">
        <f t="array" ref="S1011">MAX(IF($C$2:$C$1387=C1011,$R$2:$R$1387))</f>
        <v>28</v>
      </c>
      <c r="T1011" cm="1">
        <f t="array" ref="T1011">MIN(IF($C$2:$C$1387=C1011,$R$2:$R$1387))</f>
        <v>10</v>
      </c>
      <c r="U1011">
        <f t="shared" si="107"/>
        <v>18</v>
      </c>
      <c r="V1011">
        <f t="shared" si="108"/>
        <v>0.66666666666666663</v>
      </c>
      <c r="W1011" cm="1">
        <f t="array" ref="W1011">_xlfn.IFS(N1011=1,5,N1011=2,4,N1011=4,2,N1011=5,1,N1011=3,3)</f>
        <v>5</v>
      </c>
      <c r="X1011">
        <f t="shared" si="109"/>
        <v>26</v>
      </c>
      <c r="Y1011" cm="1">
        <f t="array" ref="Y1011">MAX(IF($C$2:$C$1387=C1011,$X$2:$X$1387))</f>
        <v>29</v>
      </c>
      <c r="Z1011" cm="1">
        <f t="array" ref="Z1011">MIN(IF($C$2:$C$1387=C1011,$X$2:$X$1387))</f>
        <v>12</v>
      </c>
      <c r="AA1011">
        <f t="shared" si="110"/>
        <v>17</v>
      </c>
      <c r="AB1011">
        <f t="shared" si="111"/>
        <v>0.82352941176470584</v>
      </c>
    </row>
    <row r="1012" spans="1:28" x14ac:dyDescent="0.25">
      <c r="A1012" t="s">
        <v>364</v>
      </c>
      <c r="B1012" t="s">
        <v>365</v>
      </c>
      <c r="C1012">
        <v>2012</v>
      </c>
      <c r="D1012">
        <v>0.37012319999999999</v>
      </c>
      <c r="E1012">
        <v>0.51600820000000003</v>
      </c>
      <c r="F1012">
        <v>0.29990359999999999</v>
      </c>
      <c r="G1012">
        <v>1.791759469228055</v>
      </c>
      <c r="H1012">
        <v>0</v>
      </c>
      <c r="I1012">
        <v>0.66666666666666663</v>
      </c>
      <c r="J1012">
        <v>0</v>
      </c>
      <c r="K1012">
        <v>4</v>
      </c>
      <c r="L1012">
        <v>2</v>
      </c>
      <c r="M1012">
        <v>5</v>
      </c>
      <c r="N1012">
        <v>1</v>
      </c>
      <c r="O1012">
        <v>1</v>
      </c>
      <c r="P1012">
        <v>1</v>
      </c>
      <c r="Q1012">
        <f t="shared" si="105"/>
        <v>5</v>
      </c>
      <c r="R1012">
        <f t="shared" si="106"/>
        <v>19</v>
      </c>
      <c r="S1012">
        <f t="array" ref="S1012">MAX(IF($C$2:$C$1387=C1012,$R$2:$R$1387))</f>
        <v>29</v>
      </c>
      <c r="T1012" cm="1">
        <f t="array" ref="T1012">MIN(IF($C$2:$C$1387=C1012,$R$2:$R$1387))</f>
        <v>11</v>
      </c>
      <c r="U1012">
        <f t="shared" si="107"/>
        <v>18</v>
      </c>
      <c r="V1012">
        <f t="shared" si="108"/>
        <v>0.44444444444444442</v>
      </c>
      <c r="W1012" cm="1">
        <f t="array" ref="W1012">_xlfn.IFS(N1012=1,5,N1012=2,4,N1012=4,2,N1012=5,1,N1012=3,3)</f>
        <v>5</v>
      </c>
      <c r="X1012">
        <f t="shared" si="109"/>
        <v>23</v>
      </c>
      <c r="Y1012" cm="1">
        <f t="array" ref="Y1012">MAX(IF($C$2:$C$1387=C1012,$X$2:$X$1387))</f>
        <v>30</v>
      </c>
      <c r="Z1012" cm="1">
        <f t="array" ref="Z1012">MIN(IF($C$2:$C$1387=C1012,$X$2:$X$1387))</f>
        <v>12</v>
      </c>
      <c r="AA1012">
        <f t="shared" si="110"/>
        <v>18</v>
      </c>
      <c r="AB1012">
        <f t="shared" si="111"/>
        <v>0.61111111111111116</v>
      </c>
    </row>
    <row r="1013" spans="1:28" x14ac:dyDescent="0.25">
      <c r="A1013" t="s">
        <v>364</v>
      </c>
      <c r="B1013" t="s">
        <v>365</v>
      </c>
      <c r="C1013">
        <v>2013</v>
      </c>
      <c r="D1013">
        <v>0</v>
      </c>
      <c r="E1013">
        <v>0.51609366666666667</v>
      </c>
      <c r="F1013">
        <v>0.26830349999999997</v>
      </c>
      <c r="G1013">
        <v>1.9459101490553132</v>
      </c>
      <c r="H1013">
        <v>0.8571428571428571</v>
      </c>
      <c r="I1013">
        <v>1</v>
      </c>
      <c r="J1013">
        <v>0</v>
      </c>
      <c r="K1013">
        <v>1</v>
      </c>
      <c r="L1013">
        <v>2</v>
      </c>
      <c r="M1013">
        <v>5</v>
      </c>
      <c r="N1013">
        <v>1</v>
      </c>
      <c r="O1013">
        <v>5</v>
      </c>
      <c r="P1013">
        <v>3</v>
      </c>
      <c r="Q1013">
        <f t="shared" si="105"/>
        <v>5</v>
      </c>
      <c r="R1013">
        <f t="shared" si="106"/>
        <v>22</v>
      </c>
      <c r="S1013">
        <f t="array" ref="S1013">MAX(IF($C$2:$C$1387=C1013,$R$2:$R$1387))</f>
        <v>29</v>
      </c>
      <c r="T1013" cm="1">
        <f t="array" ref="T1013">MIN(IF($C$2:$C$1387=C1013,$R$2:$R$1387))</f>
        <v>10</v>
      </c>
      <c r="U1013">
        <f t="shared" si="107"/>
        <v>19</v>
      </c>
      <c r="V1013">
        <f t="shared" si="108"/>
        <v>0.63157894736842102</v>
      </c>
      <c r="W1013" cm="1">
        <f t="array" ref="W1013">_xlfn.IFS(N1013=1,5,N1013=2,4,N1013=4,2,N1013=5,1,N1013=3,3)</f>
        <v>5</v>
      </c>
      <c r="X1013">
        <f t="shared" si="109"/>
        <v>26</v>
      </c>
      <c r="Y1013" cm="1">
        <f t="array" ref="Y1013">MAX(IF($C$2:$C$1387=C1013,$X$2:$X$1387))</f>
        <v>32</v>
      </c>
      <c r="Z1013" cm="1">
        <f t="array" ref="Z1013">MIN(IF($C$2:$C$1387=C1013,$X$2:$X$1387))</f>
        <v>10</v>
      </c>
      <c r="AA1013">
        <f t="shared" si="110"/>
        <v>22</v>
      </c>
      <c r="AB1013">
        <f t="shared" si="111"/>
        <v>0.72727272727272729</v>
      </c>
    </row>
    <row r="1014" spans="1:28" x14ac:dyDescent="0.25">
      <c r="A1014" t="s">
        <v>364</v>
      </c>
      <c r="B1014" t="s">
        <v>365</v>
      </c>
      <c r="C1014">
        <v>2014</v>
      </c>
      <c r="D1014">
        <v>0.37097599999999997</v>
      </c>
      <c r="E1014">
        <v>0.51613133333333339</v>
      </c>
      <c r="F1014">
        <v>0.26968866666666669</v>
      </c>
      <c r="G1014">
        <v>1.9459101490553132</v>
      </c>
      <c r="H1014">
        <v>0.8571428571428571</v>
      </c>
      <c r="I1014">
        <v>1</v>
      </c>
      <c r="J1014">
        <v>0</v>
      </c>
      <c r="K1014">
        <v>4</v>
      </c>
      <c r="L1014">
        <v>2</v>
      </c>
      <c r="M1014">
        <v>5</v>
      </c>
      <c r="N1014">
        <v>1</v>
      </c>
      <c r="O1014">
        <v>5</v>
      </c>
      <c r="P1014">
        <v>3</v>
      </c>
      <c r="Q1014">
        <f t="shared" si="105"/>
        <v>5</v>
      </c>
      <c r="R1014">
        <f t="shared" si="106"/>
        <v>25</v>
      </c>
      <c r="S1014">
        <f t="array" ref="S1014">MAX(IF($C$2:$C$1387=C1014,$R$2:$R$1387))</f>
        <v>29</v>
      </c>
      <c r="T1014" cm="1">
        <f t="array" ref="T1014">MIN(IF($C$2:$C$1387=C1014,$R$2:$R$1387))</f>
        <v>11</v>
      </c>
      <c r="U1014">
        <f t="shared" si="107"/>
        <v>18</v>
      </c>
      <c r="V1014">
        <f t="shared" si="108"/>
        <v>0.77777777777777779</v>
      </c>
      <c r="W1014" cm="1">
        <f t="array" ref="W1014">_xlfn.IFS(N1014=1,5,N1014=2,4,N1014=4,2,N1014=5,1,N1014=3,3)</f>
        <v>5</v>
      </c>
      <c r="X1014">
        <f t="shared" si="109"/>
        <v>29</v>
      </c>
      <c r="Y1014" cm="1">
        <f t="array" ref="Y1014">MAX(IF($C$2:$C$1387=C1014,$X$2:$X$1387))</f>
        <v>30</v>
      </c>
      <c r="Z1014" cm="1">
        <f t="array" ref="Z1014">MIN(IF($C$2:$C$1387=C1014,$X$2:$X$1387))</f>
        <v>14</v>
      </c>
      <c r="AA1014">
        <f t="shared" si="110"/>
        <v>16</v>
      </c>
      <c r="AB1014">
        <f t="shared" si="111"/>
        <v>0.9375</v>
      </c>
    </row>
    <row r="1015" spans="1:28" x14ac:dyDescent="0.25">
      <c r="A1015" t="s">
        <v>364</v>
      </c>
      <c r="B1015" t="s">
        <v>365</v>
      </c>
      <c r="C1015">
        <v>2015</v>
      </c>
      <c r="D1015">
        <v>0.36164266666666667</v>
      </c>
      <c r="E1015">
        <v>0.51613133333333339</v>
      </c>
      <c r="F1015">
        <v>0.31171650000000001</v>
      </c>
      <c r="G1015">
        <v>1.9459101490553132</v>
      </c>
      <c r="H1015">
        <v>0.8571428571428571</v>
      </c>
      <c r="I1015">
        <v>1</v>
      </c>
      <c r="J1015">
        <v>0</v>
      </c>
      <c r="K1015">
        <v>4</v>
      </c>
      <c r="L1015">
        <v>2</v>
      </c>
      <c r="M1015">
        <v>5</v>
      </c>
      <c r="N1015">
        <v>1</v>
      </c>
      <c r="O1015">
        <v>4</v>
      </c>
      <c r="P1015">
        <v>2</v>
      </c>
      <c r="Q1015">
        <f t="shared" si="105"/>
        <v>5</v>
      </c>
      <c r="R1015">
        <f t="shared" si="106"/>
        <v>23</v>
      </c>
      <c r="S1015">
        <f t="array" ref="S1015">MAX(IF($C$2:$C$1387=C1015,$R$2:$R$1387))</f>
        <v>29</v>
      </c>
      <c r="T1015" cm="1">
        <f t="array" ref="T1015">MIN(IF($C$2:$C$1387=C1015,$R$2:$R$1387))</f>
        <v>11</v>
      </c>
      <c r="U1015">
        <f t="shared" si="107"/>
        <v>18</v>
      </c>
      <c r="V1015">
        <f t="shared" si="108"/>
        <v>0.66666666666666663</v>
      </c>
      <c r="W1015" cm="1">
        <f t="array" ref="W1015">_xlfn.IFS(N1015=1,5,N1015=2,4,N1015=4,2,N1015=5,1,N1015=3,3)</f>
        <v>5</v>
      </c>
      <c r="X1015">
        <f t="shared" si="109"/>
        <v>27</v>
      </c>
      <c r="Y1015" cm="1">
        <f t="array" ref="Y1015">MAX(IF($C$2:$C$1387=C1015,$X$2:$X$1387))</f>
        <v>29</v>
      </c>
      <c r="Z1015" cm="1">
        <f t="array" ref="Z1015">MIN(IF($C$2:$C$1387=C1015,$X$2:$X$1387))</f>
        <v>12</v>
      </c>
      <c r="AA1015">
        <f t="shared" si="110"/>
        <v>17</v>
      </c>
      <c r="AB1015">
        <f t="shared" si="111"/>
        <v>0.88235294117647056</v>
      </c>
    </row>
    <row r="1016" spans="1:28" x14ac:dyDescent="0.25">
      <c r="A1016" t="s">
        <v>366</v>
      </c>
      <c r="B1016" t="s">
        <v>367</v>
      </c>
      <c r="C1016">
        <v>2010</v>
      </c>
      <c r="D1016">
        <v>5.3863879241250336E-2</v>
      </c>
      <c r="E1016">
        <v>0.89492298958055039</v>
      </c>
      <c r="F1016">
        <v>0.1895020705316591</v>
      </c>
      <c r="G1016">
        <v>1.9459101490553132</v>
      </c>
      <c r="H1016">
        <v>0.5714285714285714</v>
      </c>
      <c r="I1016">
        <v>1</v>
      </c>
      <c r="J1016">
        <v>1</v>
      </c>
      <c r="K1016">
        <v>2</v>
      </c>
      <c r="L1016">
        <v>5</v>
      </c>
      <c r="M1016">
        <v>5</v>
      </c>
      <c r="N1016">
        <v>1</v>
      </c>
      <c r="O1016">
        <v>2</v>
      </c>
      <c r="P1016">
        <v>3</v>
      </c>
      <c r="Q1016">
        <f t="shared" si="105"/>
        <v>1</v>
      </c>
      <c r="R1016">
        <f t="shared" si="106"/>
        <v>19</v>
      </c>
      <c r="S1016">
        <f t="array" ref="S1016">MAX(IF($C$2:$C$1387=C1016,$R$2:$R$1387))</f>
        <v>29</v>
      </c>
      <c r="T1016" cm="1">
        <f t="array" ref="T1016">MIN(IF($C$2:$C$1387=C1016,$R$2:$R$1387))</f>
        <v>9</v>
      </c>
      <c r="U1016">
        <f t="shared" si="107"/>
        <v>20</v>
      </c>
      <c r="V1016">
        <f t="shared" si="108"/>
        <v>0.5</v>
      </c>
      <c r="W1016" cm="1">
        <f t="array" ref="W1016">_xlfn.IFS(N1016=1,5,N1016=2,4,N1016=4,2,N1016=5,1,N1016=3,3)</f>
        <v>5</v>
      </c>
      <c r="X1016">
        <f t="shared" si="109"/>
        <v>23</v>
      </c>
      <c r="Y1016" cm="1">
        <f t="array" ref="Y1016">MAX(IF($C$2:$C$1387=C1016,$X$2:$X$1387))</f>
        <v>29</v>
      </c>
      <c r="Z1016" cm="1">
        <f t="array" ref="Z1016">MIN(IF($C$2:$C$1387=C1016,$X$2:$X$1387))</f>
        <v>12</v>
      </c>
      <c r="AA1016">
        <f t="shared" si="110"/>
        <v>17</v>
      </c>
      <c r="AB1016">
        <f t="shared" si="111"/>
        <v>0.6470588235294118</v>
      </c>
    </row>
    <row r="1017" spans="1:28" x14ac:dyDescent="0.25">
      <c r="A1017" t="s">
        <v>366</v>
      </c>
      <c r="B1017" t="s">
        <v>367</v>
      </c>
      <c r="C1017">
        <v>2011</v>
      </c>
      <c r="D1017">
        <v>5.3863879241250336E-2</v>
      </c>
      <c r="E1017">
        <v>0.89492298958055039</v>
      </c>
      <c r="F1017">
        <v>0.18956886187550093</v>
      </c>
      <c r="G1017">
        <v>1.9459101490553132</v>
      </c>
      <c r="H1017">
        <v>0.5714285714285714</v>
      </c>
      <c r="I1017">
        <v>1</v>
      </c>
      <c r="J1017">
        <v>1</v>
      </c>
      <c r="K1017">
        <v>2</v>
      </c>
      <c r="L1017">
        <v>5</v>
      </c>
      <c r="M1017">
        <v>5</v>
      </c>
      <c r="N1017">
        <v>1</v>
      </c>
      <c r="O1017">
        <v>2</v>
      </c>
      <c r="P1017">
        <v>3</v>
      </c>
      <c r="Q1017">
        <f t="shared" si="105"/>
        <v>1</v>
      </c>
      <c r="R1017">
        <f t="shared" si="106"/>
        <v>19</v>
      </c>
      <c r="S1017">
        <f t="array" ref="S1017">MAX(IF($C$2:$C$1387=C1017,$R$2:$R$1387))</f>
        <v>28</v>
      </c>
      <c r="T1017" cm="1">
        <f t="array" ref="T1017">MIN(IF($C$2:$C$1387=C1017,$R$2:$R$1387))</f>
        <v>10</v>
      </c>
      <c r="U1017">
        <f t="shared" si="107"/>
        <v>18</v>
      </c>
      <c r="V1017">
        <f t="shared" si="108"/>
        <v>0.5</v>
      </c>
      <c r="W1017" cm="1">
        <f t="array" ref="W1017">_xlfn.IFS(N1017=1,5,N1017=2,4,N1017=4,2,N1017=5,1,N1017=3,3)</f>
        <v>5</v>
      </c>
      <c r="X1017">
        <f t="shared" si="109"/>
        <v>23</v>
      </c>
      <c r="Y1017" cm="1">
        <f t="array" ref="Y1017">MAX(IF($C$2:$C$1387=C1017,$X$2:$X$1387))</f>
        <v>29</v>
      </c>
      <c r="Z1017" cm="1">
        <f t="array" ref="Z1017">MIN(IF($C$2:$C$1387=C1017,$X$2:$X$1387))</f>
        <v>12</v>
      </c>
      <c r="AA1017">
        <f t="shared" si="110"/>
        <v>17</v>
      </c>
      <c r="AB1017">
        <f t="shared" si="111"/>
        <v>0.6470588235294118</v>
      </c>
    </row>
    <row r="1018" spans="1:28" x14ac:dyDescent="0.25">
      <c r="A1018" t="s">
        <v>366</v>
      </c>
      <c r="B1018" t="s">
        <v>367</v>
      </c>
      <c r="C1018">
        <v>2012</v>
      </c>
      <c r="D1018">
        <v>5.3863879241250336E-2</v>
      </c>
      <c r="E1018">
        <v>0.88770952444563189</v>
      </c>
      <c r="F1018">
        <v>0.18288525247127974</v>
      </c>
      <c r="G1018">
        <v>1.9459101490553132</v>
      </c>
      <c r="H1018">
        <v>0.2857142857142857</v>
      </c>
      <c r="I1018">
        <v>1</v>
      </c>
      <c r="J1018">
        <v>0</v>
      </c>
      <c r="K1018">
        <v>2</v>
      </c>
      <c r="L1018">
        <v>5</v>
      </c>
      <c r="M1018">
        <v>5</v>
      </c>
      <c r="N1018">
        <v>1</v>
      </c>
      <c r="O1018">
        <v>1</v>
      </c>
      <c r="P1018">
        <v>3</v>
      </c>
      <c r="Q1018">
        <f t="shared" si="105"/>
        <v>5</v>
      </c>
      <c r="R1018">
        <f t="shared" si="106"/>
        <v>22</v>
      </c>
      <c r="S1018">
        <f t="array" ref="S1018">MAX(IF($C$2:$C$1387=C1018,$R$2:$R$1387))</f>
        <v>29</v>
      </c>
      <c r="T1018" cm="1">
        <f t="array" ref="T1018">MIN(IF($C$2:$C$1387=C1018,$R$2:$R$1387))</f>
        <v>11</v>
      </c>
      <c r="U1018">
        <f t="shared" si="107"/>
        <v>18</v>
      </c>
      <c r="V1018">
        <f t="shared" si="108"/>
        <v>0.61111111111111116</v>
      </c>
      <c r="W1018" cm="1">
        <f t="array" ref="W1018">_xlfn.IFS(N1018=1,5,N1018=2,4,N1018=4,2,N1018=5,1,N1018=3,3)</f>
        <v>5</v>
      </c>
      <c r="X1018">
        <f t="shared" si="109"/>
        <v>26</v>
      </c>
      <c r="Y1018" cm="1">
        <f t="array" ref="Y1018">MAX(IF($C$2:$C$1387=C1018,$X$2:$X$1387))</f>
        <v>30</v>
      </c>
      <c r="Z1018" cm="1">
        <f t="array" ref="Z1018">MIN(IF($C$2:$C$1387=C1018,$X$2:$X$1387))</f>
        <v>12</v>
      </c>
      <c r="AA1018">
        <f t="shared" si="110"/>
        <v>18</v>
      </c>
      <c r="AB1018">
        <f t="shared" si="111"/>
        <v>0.77777777777777779</v>
      </c>
    </row>
    <row r="1019" spans="1:28" x14ac:dyDescent="0.25">
      <c r="A1019" t="s">
        <v>366</v>
      </c>
      <c r="B1019" t="s">
        <v>367</v>
      </c>
      <c r="C1019">
        <v>2013</v>
      </c>
      <c r="D1019">
        <v>5.3863879241250336E-2</v>
      </c>
      <c r="E1019">
        <v>0.8857725754742185</v>
      </c>
      <c r="F1019">
        <v>0.1808314186481432</v>
      </c>
      <c r="G1019">
        <v>1.9459101490553132</v>
      </c>
      <c r="H1019">
        <v>0.2857142857142857</v>
      </c>
      <c r="I1019">
        <v>1</v>
      </c>
      <c r="J1019">
        <v>0</v>
      </c>
      <c r="K1019">
        <v>3</v>
      </c>
      <c r="L1019">
        <v>5</v>
      </c>
      <c r="M1019">
        <v>5</v>
      </c>
      <c r="N1019">
        <v>1</v>
      </c>
      <c r="O1019">
        <v>1</v>
      </c>
      <c r="P1019">
        <v>3</v>
      </c>
      <c r="Q1019">
        <f t="shared" si="105"/>
        <v>5</v>
      </c>
      <c r="R1019">
        <f t="shared" si="106"/>
        <v>23</v>
      </c>
      <c r="S1019">
        <f t="array" ref="S1019">MAX(IF($C$2:$C$1387=C1019,$R$2:$R$1387))</f>
        <v>29</v>
      </c>
      <c r="T1019" cm="1">
        <f t="array" ref="T1019">MIN(IF($C$2:$C$1387=C1019,$R$2:$R$1387))</f>
        <v>10</v>
      </c>
      <c r="U1019">
        <f t="shared" si="107"/>
        <v>19</v>
      </c>
      <c r="V1019">
        <f t="shared" si="108"/>
        <v>0.68421052631578949</v>
      </c>
      <c r="W1019" cm="1">
        <f t="array" ref="W1019">_xlfn.IFS(N1019=1,5,N1019=2,4,N1019=4,2,N1019=5,1,N1019=3,3)</f>
        <v>5</v>
      </c>
      <c r="X1019">
        <f t="shared" si="109"/>
        <v>27</v>
      </c>
      <c r="Y1019" cm="1">
        <f t="array" ref="Y1019">MAX(IF($C$2:$C$1387=C1019,$X$2:$X$1387))</f>
        <v>32</v>
      </c>
      <c r="Z1019" cm="1">
        <f t="array" ref="Z1019">MIN(IF($C$2:$C$1387=C1019,$X$2:$X$1387))</f>
        <v>10</v>
      </c>
      <c r="AA1019">
        <f t="shared" si="110"/>
        <v>22</v>
      </c>
      <c r="AB1019">
        <f t="shared" si="111"/>
        <v>0.77272727272727271</v>
      </c>
    </row>
    <row r="1020" spans="1:28" x14ac:dyDescent="0.25">
      <c r="A1020" t="s">
        <v>366</v>
      </c>
      <c r="B1020" t="s">
        <v>367</v>
      </c>
      <c r="C1020">
        <v>2014</v>
      </c>
      <c r="D1020">
        <v>5.3863879241250336E-2</v>
      </c>
      <c r="E1020">
        <v>0.86383495858936676</v>
      </c>
      <c r="F1020">
        <v>0.10862997595511621</v>
      </c>
      <c r="G1020">
        <v>1.9459101490553132</v>
      </c>
      <c r="H1020">
        <v>0.2857142857142857</v>
      </c>
      <c r="I1020">
        <v>1</v>
      </c>
      <c r="J1020">
        <v>0</v>
      </c>
      <c r="K1020">
        <v>2</v>
      </c>
      <c r="L1020">
        <v>5</v>
      </c>
      <c r="M1020">
        <v>4</v>
      </c>
      <c r="N1020">
        <v>1</v>
      </c>
      <c r="O1020">
        <v>1</v>
      </c>
      <c r="P1020">
        <v>3</v>
      </c>
      <c r="Q1020">
        <f t="shared" si="105"/>
        <v>5</v>
      </c>
      <c r="R1020">
        <f t="shared" si="106"/>
        <v>21</v>
      </c>
      <c r="S1020">
        <f t="array" ref="S1020">MAX(IF($C$2:$C$1387=C1020,$R$2:$R$1387))</f>
        <v>29</v>
      </c>
      <c r="T1020" cm="1">
        <f t="array" ref="T1020">MIN(IF($C$2:$C$1387=C1020,$R$2:$R$1387))</f>
        <v>11</v>
      </c>
      <c r="U1020">
        <f t="shared" si="107"/>
        <v>18</v>
      </c>
      <c r="V1020">
        <f t="shared" si="108"/>
        <v>0.55555555555555558</v>
      </c>
      <c r="W1020" cm="1">
        <f t="array" ref="W1020">_xlfn.IFS(N1020=1,5,N1020=2,4,N1020=4,2,N1020=5,1,N1020=3,3)</f>
        <v>5</v>
      </c>
      <c r="X1020">
        <f t="shared" si="109"/>
        <v>25</v>
      </c>
      <c r="Y1020" cm="1">
        <f t="array" ref="Y1020">MAX(IF($C$2:$C$1387=C1020,$X$2:$X$1387))</f>
        <v>30</v>
      </c>
      <c r="Z1020" cm="1">
        <f t="array" ref="Z1020">MIN(IF($C$2:$C$1387=C1020,$X$2:$X$1387))</f>
        <v>14</v>
      </c>
      <c r="AA1020">
        <f t="shared" si="110"/>
        <v>16</v>
      </c>
      <c r="AB1020">
        <f t="shared" si="111"/>
        <v>0.6875</v>
      </c>
    </row>
    <row r="1021" spans="1:28" x14ac:dyDescent="0.25">
      <c r="A1021" t="s">
        <v>366</v>
      </c>
      <c r="B1021" t="s">
        <v>367</v>
      </c>
      <c r="C1021">
        <v>2015</v>
      </c>
      <c r="D1021">
        <v>5.3863879241250336E-2</v>
      </c>
      <c r="E1021">
        <v>0.81357113278119153</v>
      </c>
      <c r="F1021">
        <v>0.10862997595511621</v>
      </c>
      <c r="G1021">
        <v>1.9459101490553132</v>
      </c>
      <c r="H1021">
        <v>0.5714285714285714</v>
      </c>
      <c r="I1021">
        <v>1</v>
      </c>
      <c r="J1021">
        <v>0</v>
      </c>
      <c r="K1021">
        <v>3</v>
      </c>
      <c r="L1021">
        <v>4</v>
      </c>
      <c r="M1021">
        <v>4</v>
      </c>
      <c r="N1021">
        <v>1</v>
      </c>
      <c r="O1021">
        <v>1</v>
      </c>
      <c r="P1021">
        <v>2</v>
      </c>
      <c r="Q1021">
        <f t="shared" si="105"/>
        <v>5</v>
      </c>
      <c r="R1021">
        <f t="shared" si="106"/>
        <v>20</v>
      </c>
      <c r="S1021">
        <f t="array" ref="S1021">MAX(IF($C$2:$C$1387=C1021,$R$2:$R$1387))</f>
        <v>29</v>
      </c>
      <c r="T1021" cm="1">
        <f t="array" ref="T1021">MIN(IF($C$2:$C$1387=C1021,$R$2:$R$1387))</f>
        <v>11</v>
      </c>
      <c r="U1021">
        <f t="shared" si="107"/>
        <v>18</v>
      </c>
      <c r="V1021">
        <f t="shared" si="108"/>
        <v>0.5</v>
      </c>
      <c r="W1021" cm="1">
        <f t="array" ref="W1021">_xlfn.IFS(N1021=1,5,N1021=2,4,N1021=4,2,N1021=5,1,N1021=3,3)</f>
        <v>5</v>
      </c>
      <c r="X1021">
        <f t="shared" si="109"/>
        <v>24</v>
      </c>
      <c r="Y1021" cm="1">
        <f t="array" ref="Y1021">MAX(IF($C$2:$C$1387=C1021,$X$2:$X$1387))</f>
        <v>29</v>
      </c>
      <c r="Z1021" cm="1">
        <f t="array" ref="Z1021">MIN(IF($C$2:$C$1387=C1021,$X$2:$X$1387))</f>
        <v>12</v>
      </c>
      <c r="AA1021">
        <f t="shared" si="110"/>
        <v>17</v>
      </c>
      <c r="AB1021">
        <f t="shared" si="111"/>
        <v>0.70588235294117652</v>
      </c>
    </row>
    <row r="1022" spans="1:28" x14ac:dyDescent="0.25">
      <c r="A1022" t="s">
        <v>368</v>
      </c>
      <c r="B1022" s="1" t="s">
        <v>369</v>
      </c>
      <c r="C1022">
        <v>2010</v>
      </c>
      <c r="D1022">
        <v>9.1523770890799938E-2</v>
      </c>
      <c r="E1022">
        <v>0.73740645789388282</v>
      </c>
      <c r="F1022">
        <v>2.7234139217913355E-2</v>
      </c>
      <c r="G1022">
        <v>1.9459101490553132</v>
      </c>
      <c r="H1022">
        <v>0.5714285714285714</v>
      </c>
      <c r="I1022" s="1">
        <v>1</v>
      </c>
      <c r="J1022">
        <v>0</v>
      </c>
      <c r="K1022">
        <v>3</v>
      </c>
      <c r="L1022">
        <v>4</v>
      </c>
      <c r="M1022">
        <v>3</v>
      </c>
      <c r="N1022">
        <v>1</v>
      </c>
      <c r="O1022">
        <v>2</v>
      </c>
      <c r="P1022">
        <v>3</v>
      </c>
      <c r="Q1022">
        <f t="shared" si="105"/>
        <v>5</v>
      </c>
      <c r="R1022">
        <f t="shared" si="106"/>
        <v>21</v>
      </c>
      <c r="S1022">
        <f t="array" ref="S1022">MAX(IF($C$2:$C$1387=C1022,$R$2:$R$1387))</f>
        <v>29</v>
      </c>
      <c r="T1022" cm="1">
        <f t="array" ref="T1022">MIN(IF($C$2:$C$1387=C1022,$R$2:$R$1387))</f>
        <v>9</v>
      </c>
      <c r="U1022">
        <f t="shared" si="107"/>
        <v>20</v>
      </c>
      <c r="V1022">
        <f t="shared" si="108"/>
        <v>0.6</v>
      </c>
      <c r="W1022" cm="1">
        <f t="array" ref="W1022">_xlfn.IFS(N1022=1,5,N1022=2,4,N1022=4,2,N1022=5,1,N1022=3,3)</f>
        <v>5</v>
      </c>
      <c r="X1022">
        <f t="shared" si="109"/>
        <v>25</v>
      </c>
      <c r="Y1022" cm="1">
        <f t="array" ref="Y1022">MAX(IF($C$2:$C$1387=C1022,$X$2:$X$1387))</f>
        <v>29</v>
      </c>
      <c r="Z1022" cm="1">
        <f t="array" ref="Z1022">MIN(IF($C$2:$C$1387=C1022,$X$2:$X$1387))</f>
        <v>12</v>
      </c>
      <c r="AA1022">
        <f t="shared" si="110"/>
        <v>17</v>
      </c>
      <c r="AB1022">
        <f t="shared" si="111"/>
        <v>0.76470588235294112</v>
      </c>
    </row>
    <row r="1023" spans="1:28" x14ac:dyDescent="0.25">
      <c r="A1023" t="s">
        <v>368</v>
      </c>
      <c r="B1023" t="s">
        <v>369</v>
      </c>
      <c r="C1023">
        <v>2011</v>
      </c>
      <c r="D1023">
        <v>9.1523770890799938E-2</v>
      </c>
      <c r="E1023">
        <v>0.73740645789388282</v>
      </c>
      <c r="F1023">
        <v>2.7234139217913355E-2</v>
      </c>
      <c r="G1023">
        <v>1.9459101490553132</v>
      </c>
      <c r="H1023">
        <v>0.5714285714285714</v>
      </c>
      <c r="I1023">
        <v>1</v>
      </c>
      <c r="J1023">
        <v>0</v>
      </c>
      <c r="K1023">
        <v>3</v>
      </c>
      <c r="L1023">
        <v>4</v>
      </c>
      <c r="M1023">
        <v>2</v>
      </c>
      <c r="N1023">
        <v>1</v>
      </c>
      <c r="O1023">
        <v>2</v>
      </c>
      <c r="P1023">
        <v>3</v>
      </c>
      <c r="Q1023">
        <f t="shared" si="105"/>
        <v>5</v>
      </c>
      <c r="R1023">
        <f t="shared" si="106"/>
        <v>20</v>
      </c>
      <c r="S1023">
        <f t="array" ref="S1023">MAX(IF($C$2:$C$1387=C1023,$R$2:$R$1387))</f>
        <v>28</v>
      </c>
      <c r="T1023" cm="1">
        <f t="array" ref="T1023">MIN(IF($C$2:$C$1387=C1023,$R$2:$R$1387))</f>
        <v>10</v>
      </c>
      <c r="U1023">
        <f t="shared" si="107"/>
        <v>18</v>
      </c>
      <c r="V1023">
        <f t="shared" si="108"/>
        <v>0.55555555555555558</v>
      </c>
      <c r="W1023" cm="1">
        <f t="array" ref="W1023">_xlfn.IFS(N1023=1,5,N1023=2,4,N1023=4,2,N1023=5,1,N1023=3,3)</f>
        <v>5</v>
      </c>
      <c r="X1023">
        <f t="shared" si="109"/>
        <v>24</v>
      </c>
      <c r="Y1023" cm="1">
        <f t="array" ref="Y1023">MAX(IF($C$2:$C$1387=C1023,$X$2:$X$1387))</f>
        <v>29</v>
      </c>
      <c r="Z1023" cm="1">
        <f t="array" ref="Z1023">MIN(IF($C$2:$C$1387=C1023,$X$2:$X$1387))</f>
        <v>12</v>
      </c>
      <c r="AA1023">
        <f t="shared" si="110"/>
        <v>17</v>
      </c>
      <c r="AB1023">
        <f t="shared" si="111"/>
        <v>0.70588235294117652</v>
      </c>
    </row>
    <row r="1024" spans="1:28" x14ac:dyDescent="0.25">
      <c r="A1024" t="s">
        <v>368</v>
      </c>
      <c r="B1024" t="s">
        <v>369</v>
      </c>
      <c r="C1024">
        <v>2012</v>
      </c>
      <c r="D1024">
        <v>9.1523770890799938E-2</v>
      </c>
      <c r="E1024">
        <v>0.73740645789388282</v>
      </c>
      <c r="F1024">
        <v>2.7234139217913355E-2</v>
      </c>
      <c r="G1024">
        <v>1.9459101490553132</v>
      </c>
      <c r="H1024">
        <v>0.5714285714285714</v>
      </c>
      <c r="I1024">
        <v>1</v>
      </c>
      <c r="J1024">
        <v>0</v>
      </c>
      <c r="K1024">
        <v>3</v>
      </c>
      <c r="L1024">
        <v>4</v>
      </c>
      <c r="M1024">
        <v>2</v>
      </c>
      <c r="N1024">
        <v>1</v>
      </c>
      <c r="O1024">
        <v>2</v>
      </c>
      <c r="P1024">
        <v>3</v>
      </c>
      <c r="Q1024">
        <f t="shared" si="105"/>
        <v>5</v>
      </c>
      <c r="R1024">
        <f t="shared" si="106"/>
        <v>20</v>
      </c>
      <c r="S1024">
        <f t="array" ref="S1024">MAX(IF($C$2:$C$1387=C1024,$R$2:$R$1387))</f>
        <v>29</v>
      </c>
      <c r="T1024" cm="1">
        <f t="array" ref="T1024">MIN(IF($C$2:$C$1387=C1024,$R$2:$R$1387))</f>
        <v>11</v>
      </c>
      <c r="U1024">
        <f t="shared" si="107"/>
        <v>18</v>
      </c>
      <c r="V1024">
        <f t="shared" si="108"/>
        <v>0.5</v>
      </c>
      <c r="W1024" cm="1">
        <f t="array" ref="W1024">_xlfn.IFS(N1024=1,5,N1024=2,4,N1024=4,2,N1024=5,1,N1024=3,3)</f>
        <v>5</v>
      </c>
      <c r="X1024">
        <f t="shared" si="109"/>
        <v>24</v>
      </c>
      <c r="Y1024" cm="1">
        <f t="array" ref="Y1024">MAX(IF($C$2:$C$1387=C1024,$X$2:$X$1387))</f>
        <v>30</v>
      </c>
      <c r="Z1024" cm="1">
        <f t="array" ref="Z1024">MIN(IF($C$2:$C$1387=C1024,$X$2:$X$1387))</f>
        <v>12</v>
      </c>
      <c r="AA1024">
        <f t="shared" si="110"/>
        <v>18</v>
      </c>
      <c r="AB1024">
        <f t="shared" si="111"/>
        <v>0.66666666666666663</v>
      </c>
    </row>
    <row r="1025" spans="1:28" x14ac:dyDescent="0.25">
      <c r="A1025" t="s">
        <v>368</v>
      </c>
      <c r="B1025" t="s">
        <v>369</v>
      </c>
      <c r="C1025">
        <v>2013</v>
      </c>
      <c r="D1025">
        <v>9.1523770890799938E-2</v>
      </c>
      <c r="E1025">
        <v>0.73740645789388282</v>
      </c>
      <c r="F1025">
        <v>2.7234139217913355E-2</v>
      </c>
      <c r="G1025">
        <v>1.9459101490553132</v>
      </c>
      <c r="H1025">
        <v>0.5714285714285714</v>
      </c>
      <c r="I1025">
        <v>1</v>
      </c>
      <c r="J1025">
        <v>0</v>
      </c>
      <c r="K1025">
        <v>3</v>
      </c>
      <c r="L1025">
        <v>4</v>
      </c>
      <c r="M1025">
        <v>2</v>
      </c>
      <c r="N1025">
        <v>1</v>
      </c>
      <c r="O1025">
        <v>2</v>
      </c>
      <c r="P1025">
        <v>3</v>
      </c>
      <c r="Q1025">
        <f t="shared" si="105"/>
        <v>5</v>
      </c>
      <c r="R1025">
        <f t="shared" si="106"/>
        <v>20</v>
      </c>
      <c r="S1025">
        <f t="array" ref="S1025">MAX(IF($C$2:$C$1387=C1025,$R$2:$R$1387))</f>
        <v>29</v>
      </c>
      <c r="T1025" cm="1">
        <f t="array" ref="T1025">MIN(IF($C$2:$C$1387=C1025,$R$2:$R$1387))</f>
        <v>10</v>
      </c>
      <c r="U1025">
        <f t="shared" si="107"/>
        <v>19</v>
      </c>
      <c r="V1025">
        <f t="shared" si="108"/>
        <v>0.52631578947368418</v>
      </c>
      <c r="W1025" cm="1">
        <f t="array" ref="W1025">_xlfn.IFS(N1025=1,5,N1025=2,4,N1025=4,2,N1025=5,1,N1025=3,3)</f>
        <v>5</v>
      </c>
      <c r="X1025">
        <f t="shared" si="109"/>
        <v>24</v>
      </c>
      <c r="Y1025" cm="1">
        <f t="array" ref="Y1025">MAX(IF($C$2:$C$1387=C1025,$X$2:$X$1387))</f>
        <v>32</v>
      </c>
      <c r="Z1025" cm="1">
        <f t="array" ref="Z1025">MIN(IF($C$2:$C$1387=C1025,$X$2:$X$1387))</f>
        <v>10</v>
      </c>
      <c r="AA1025">
        <f t="shared" si="110"/>
        <v>22</v>
      </c>
      <c r="AB1025">
        <f t="shared" si="111"/>
        <v>0.63636363636363635</v>
      </c>
    </row>
    <row r="1026" spans="1:28" x14ac:dyDescent="0.25">
      <c r="A1026" t="s">
        <v>368</v>
      </c>
      <c r="B1026" t="s">
        <v>369</v>
      </c>
      <c r="C1026">
        <v>2014</v>
      </c>
      <c r="D1026">
        <v>9.1523770890799938E-2</v>
      </c>
      <c r="E1026">
        <v>0.73740645789388282</v>
      </c>
      <c r="F1026">
        <v>2.7234139217913355E-2</v>
      </c>
      <c r="G1026">
        <v>1.9459101490553132</v>
      </c>
      <c r="H1026">
        <v>0.5714285714285714</v>
      </c>
      <c r="I1026">
        <v>1</v>
      </c>
      <c r="J1026">
        <v>0</v>
      </c>
      <c r="K1026">
        <v>3</v>
      </c>
      <c r="L1026">
        <v>4</v>
      </c>
      <c r="M1026">
        <v>2</v>
      </c>
      <c r="N1026">
        <v>1</v>
      </c>
      <c r="O1026">
        <v>2</v>
      </c>
      <c r="P1026">
        <v>3</v>
      </c>
      <c r="Q1026">
        <f t="shared" si="105"/>
        <v>5</v>
      </c>
      <c r="R1026">
        <f t="shared" si="106"/>
        <v>20</v>
      </c>
      <c r="S1026">
        <f t="array" ref="S1026">MAX(IF($C$2:$C$1387=C1026,$R$2:$R$1387))</f>
        <v>29</v>
      </c>
      <c r="T1026" cm="1">
        <f t="array" ref="T1026">MIN(IF($C$2:$C$1387=C1026,$R$2:$R$1387))</f>
        <v>11</v>
      </c>
      <c r="U1026">
        <f t="shared" si="107"/>
        <v>18</v>
      </c>
      <c r="V1026">
        <f t="shared" si="108"/>
        <v>0.5</v>
      </c>
      <c r="W1026" cm="1">
        <f t="array" ref="W1026">_xlfn.IFS(N1026=1,5,N1026=2,4,N1026=4,2,N1026=5,1,N1026=3,3)</f>
        <v>5</v>
      </c>
      <c r="X1026">
        <f t="shared" si="109"/>
        <v>24</v>
      </c>
      <c r="Y1026" cm="1">
        <f t="array" ref="Y1026">MAX(IF($C$2:$C$1387=C1026,$X$2:$X$1387))</f>
        <v>30</v>
      </c>
      <c r="Z1026" cm="1">
        <f t="array" ref="Z1026">MIN(IF($C$2:$C$1387=C1026,$X$2:$X$1387))</f>
        <v>14</v>
      </c>
      <c r="AA1026">
        <f t="shared" si="110"/>
        <v>16</v>
      </c>
      <c r="AB1026">
        <f t="shared" si="111"/>
        <v>0.625</v>
      </c>
    </row>
    <row r="1027" spans="1:28" x14ac:dyDescent="0.25">
      <c r="A1027" t="s">
        <v>368</v>
      </c>
      <c r="B1027" t="s">
        <v>369</v>
      </c>
      <c r="C1027">
        <v>2015</v>
      </c>
      <c r="D1027">
        <v>0.1780887554762291</v>
      </c>
      <c r="E1027">
        <v>0.73737400616582838</v>
      </c>
      <c r="F1027">
        <v>2.7234139217913355E-2</v>
      </c>
      <c r="G1027">
        <v>1.9459101490553132</v>
      </c>
      <c r="H1027">
        <v>0.5714285714285714</v>
      </c>
      <c r="I1027">
        <v>1</v>
      </c>
      <c r="J1027">
        <v>0</v>
      </c>
      <c r="K1027">
        <v>3</v>
      </c>
      <c r="L1027">
        <v>4</v>
      </c>
      <c r="M1027">
        <v>2</v>
      </c>
      <c r="N1027">
        <v>1</v>
      </c>
      <c r="O1027">
        <v>1</v>
      </c>
      <c r="P1027">
        <v>2</v>
      </c>
      <c r="Q1027">
        <f t="shared" ref="Q1027:Q1090" si="112">IF(J1027=0,5,1)</f>
        <v>5</v>
      </c>
      <c r="R1027">
        <f t="shared" ref="R1027:R1090" si="113">SUM(K1027:Q1027)</f>
        <v>18</v>
      </c>
      <c r="S1027">
        <f t="array" ref="S1027">MAX(IF($C$2:$C$1387=C1027,$R$2:$R$1387))</f>
        <v>29</v>
      </c>
      <c r="T1027" cm="1">
        <f t="array" ref="T1027">MIN(IF($C$2:$C$1387=C1027,$R$2:$R$1387))</f>
        <v>11</v>
      </c>
      <c r="U1027">
        <f t="shared" ref="U1027:U1090" si="114">S1027-T1027</f>
        <v>18</v>
      </c>
      <c r="V1027">
        <f t="shared" ref="V1027:V1090" si="115">(R1027-T1027)/U1027</f>
        <v>0.3888888888888889</v>
      </c>
      <c r="W1027" cm="1">
        <f t="array" ref="W1027">_xlfn.IFS(N1027=1,5,N1027=2,4,N1027=4,2,N1027=5,1,N1027=3,3)</f>
        <v>5</v>
      </c>
      <c r="X1027">
        <f t="shared" ref="X1027:X1090" si="116">SUM(K1027:M1027,O1027:Q1027,W1027)</f>
        <v>22</v>
      </c>
      <c r="Y1027" cm="1">
        <f t="array" ref="Y1027">MAX(IF($C$2:$C$1387=C1027,$X$2:$X$1387))</f>
        <v>29</v>
      </c>
      <c r="Z1027" cm="1">
        <f t="array" ref="Z1027">MIN(IF($C$2:$C$1387=C1027,$X$2:$X$1387))</f>
        <v>12</v>
      </c>
      <c r="AA1027">
        <f t="shared" ref="AA1027:AA1090" si="117">Y1027-Z1027</f>
        <v>17</v>
      </c>
      <c r="AB1027">
        <f t="shared" ref="AB1027:AB1090" si="118">(X1027-Z1027)/AA1027</f>
        <v>0.58823529411764708</v>
      </c>
    </row>
    <row r="1028" spans="1:28" x14ac:dyDescent="0.25">
      <c r="A1028" t="s">
        <v>370</v>
      </c>
      <c r="B1028" t="s">
        <v>371</v>
      </c>
      <c r="C1028">
        <v>2010</v>
      </c>
      <c r="D1028">
        <v>3.7132285714285714E-3</v>
      </c>
      <c r="E1028">
        <v>0.71840848571428573</v>
      </c>
      <c r="F1028">
        <v>5.1887485714285711E-2</v>
      </c>
      <c r="G1028">
        <v>2.3978952727983707</v>
      </c>
      <c r="H1028">
        <v>0.90909090909090906</v>
      </c>
      <c r="I1028">
        <v>1</v>
      </c>
      <c r="J1028">
        <v>0</v>
      </c>
      <c r="K1028">
        <v>2</v>
      </c>
      <c r="L1028">
        <v>4</v>
      </c>
      <c r="M1028">
        <v>3</v>
      </c>
      <c r="N1028">
        <v>5</v>
      </c>
      <c r="O1028">
        <v>5</v>
      </c>
      <c r="P1028">
        <v>3</v>
      </c>
      <c r="Q1028">
        <f t="shared" si="112"/>
        <v>5</v>
      </c>
      <c r="R1028">
        <f t="shared" si="113"/>
        <v>27</v>
      </c>
      <c r="S1028">
        <f t="array" ref="S1028">MAX(IF($C$2:$C$1387=C1028,$R$2:$R$1387))</f>
        <v>29</v>
      </c>
      <c r="T1028" cm="1">
        <f t="array" ref="T1028">MIN(IF($C$2:$C$1387=C1028,$R$2:$R$1387))</f>
        <v>9</v>
      </c>
      <c r="U1028">
        <f t="shared" si="114"/>
        <v>20</v>
      </c>
      <c r="V1028">
        <f t="shared" si="115"/>
        <v>0.9</v>
      </c>
      <c r="W1028" cm="1">
        <f t="array" ref="W1028">_xlfn.IFS(N1028=1,5,N1028=2,4,N1028=4,2,N1028=5,1,N1028=3,3)</f>
        <v>1</v>
      </c>
      <c r="X1028">
        <f t="shared" si="116"/>
        <v>23</v>
      </c>
      <c r="Y1028" cm="1">
        <f t="array" ref="Y1028">MAX(IF($C$2:$C$1387=C1028,$X$2:$X$1387))</f>
        <v>29</v>
      </c>
      <c r="Z1028" cm="1">
        <f t="array" ref="Z1028">MIN(IF($C$2:$C$1387=C1028,$X$2:$X$1387))</f>
        <v>12</v>
      </c>
      <c r="AA1028">
        <f t="shared" si="117"/>
        <v>17</v>
      </c>
      <c r="AB1028">
        <f t="shared" si="118"/>
        <v>0.6470588235294118</v>
      </c>
    </row>
    <row r="1029" spans="1:28" x14ac:dyDescent="0.25">
      <c r="A1029" t="s">
        <v>370</v>
      </c>
      <c r="B1029" t="s">
        <v>371</v>
      </c>
      <c r="C1029">
        <v>2011</v>
      </c>
      <c r="D1029">
        <v>2.4285714285714286E-4</v>
      </c>
      <c r="E1029">
        <v>0.74165491428571428</v>
      </c>
      <c r="F1029">
        <v>0.14186119999999999</v>
      </c>
      <c r="G1029">
        <v>2.3978952727983707</v>
      </c>
      <c r="H1029">
        <v>0.90909090909090906</v>
      </c>
      <c r="I1029">
        <v>1</v>
      </c>
      <c r="J1029">
        <v>0</v>
      </c>
      <c r="K1029">
        <v>1</v>
      </c>
      <c r="L1029">
        <v>4</v>
      </c>
      <c r="M1029">
        <v>4</v>
      </c>
      <c r="N1029">
        <v>5</v>
      </c>
      <c r="O1029">
        <v>5</v>
      </c>
      <c r="P1029">
        <v>3</v>
      </c>
      <c r="Q1029">
        <f t="shared" si="112"/>
        <v>5</v>
      </c>
      <c r="R1029">
        <f t="shared" si="113"/>
        <v>27</v>
      </c>
      <c r="S1029">
        <f t="array" ref="S1029">MAX(IF($C$2:$C$1387=C1029,$R$2:$R$1387))</f>
        <v>28</v>
      </c>
      <c r="T1029" cm="1">
        <f t="array" ref="T1029">MIN(IF($C$2:$C$1387=C1029,$R$2:$R$1387))</f>
        <v>10</v>
      </c>
      <c r="U1029">
        <f t="shared" si="114"/>
        <v>18</v>
      </c>
      <c r="V1029">
        <f t="shared" si="115"/>
        <v>0.94444444444444442</v>
      </c>
      <c r="W1029" cm="1">
        <f t="array" ref="W1029">_xlfn.IFS(N1029=1,5,N1029=2,4,N1029=4,2,N1029=5,1,N1029=3,3)</f>
        <v>1</v>
      </c>
      <c r="X1029">
        <f t="shared" si="116"/>
        <v>23</v>
      </c>
      <c r="Y1029" cm="1">
        <f t="array" ref="Y1029">MAX(IF($C$2:$C$1387=C1029,$X$2:$X$1387))</f>
        <v>29</v>
      </c>
      <c r="Z1029" cm="1">
        <f t="array" ref="Z1029">MIN(IF($C$2:$C$1387=C1029,$X$2:$X$1387))</f>
        <v>12</v>
      </c>
      <c r="AA1029">
        <f t="shared" si="117"/>
        <v>17</v>
      </c>
      <c r="AB1029">
        <f t="shared" si="118"/>
        <v>0.6470588235294118</v>
      </c>
    </row>
    <row r="1030" spans="1:28" x14ac:dyDescent="0.25">
      <c r="A1030" t="s">
        <v>370</v>
      </c>
      <c r="B1030" t="s">
        <v>371</v>
      </c>
      <c r="C1030">
        <v>2012</v>
      </c>
      <c r="D1030">
        <v>2.9285714285714288E-4</v>
      </c>
      <c r="E1030">
        <v>0.75286634285714282</v>
      </c>
      <c r="F1030">
        <v>8.6619971428571432E-2</v>
      </c>
      <c r="G1030">
        <v>2.3978952727983707</v>
      </c>
      <c r="H1030">
        <v>0.81818181818181823</v>
      </c>
      <c r="I1030">
        <v>1</v>
      </c>
      <c r="J1030">
        <v>0</v>
      </c>
      <c r="K1030">
        <v>1</v>
      </c>
      <c r="L1030">
        <v>4</v>
      </c>
      <c r="M1030">
        <v>4</v>
      </c>
      <c r="N1030">
        <v>5</v>
      </c>
      <c r="O1030">
        <v>5</v>
      </c>
      <c r="P1030">
        <v>3</v>
      </c>
      <c r="Q1030">
        <f t="shared" si="112"/>
        <v>5</v>
      </c>
      <c r="R1030">
        <f t="shared" si="113"/>
        <v>27</v>
      </c>
      <c r="S1030">
        <f t="array" ref="S1030">MAX(IF($C$2:$C$1387=C1030,$R$2:$R$1387))</f>
        <v>29</v>
      </c>
      <c r="T1030" cm="1">
        <f t="array" ref="T1030">MIN(IF($C$2:$C$1387=C1030,$R$2:$R$1387))</f>
        <v>11</v>
      </c>
      <c r="U1030">
        <f t="shared" si="114"/>
        <v>18</v>
      </c>
      <c r="V1030">
        <f t="shared" si="115"/>
        <v>0.88888888888888884</v>
      </c>
      <c r="W1030" cm="1">
        <f t="array" ref="W1030">_xlfn.IFS(N1030=1,5,N1030=2,4,N1030=4,2,N1030=5,1,N1030=3,3)</f>
        <v>1</v>
      </c>
      <c r="X1030">
        <f t="shared" si="116"/>
        <v>23</v>
      </c>
      <c r="Y1030" cm="1">
        <f t="array" ref="Y1030">MAX(IF($C$2:$C$1387=C1030,$X$2:$X$1387))</f>
        <v>30</v>
      </c>
      <c r="Z1030" cm="1">
        <f t="array" ref="Z1030">MIN(IF($C$2:$C$1387=C1030,$X$2:$X$1387))</f>
        <v>12</v>
      </c>
      <c r="AA1030">
        <f t="shared" si="117"/>
        <v>18</v>
      </c>
      <c r="AB1030">
        <f t="shared" si="118"/>
        <v>0.61111111111111116</v>
      </c>
    </row>
    <row r="1031" spans="1:28" x14ac:dyDescent="0.25">
      <c r="A1031" t="s">
        <v>370</v>
      </c>
      <c r="B1031" t="s">
        <v>371</v>
      </c>
      <c r="C1031">
        <v>2013</v>
      </c>
      <c r="D1031">
        <v>2.6285714285714286E-4</v>
      </c>
      <c r="E1031">
        <v>0.74165491428571428</v>
      </c>
      <c r="F1031">
        <v>0.17660919999999999</v>
      </c>
      <c r="G1031">
        <v>2.3978952727983707</v>
      </c>
      <c r="H1031">
        <v>0.81818181818181823</v>
      </c>
      <c r="I1031">
        <v>1</v>
      </c>
      <c r="J1031">
        <v>0</v>
      </c>
      <c r="K1031">
        <v>1</v>
      </c>
      <c r="L1031">
        <v>4</v>
      </c>
      <c r="M1031">
        <v>5</v>
      </c>
      <c r="N1031">
        <v>5</v>
      </c>
      <c r="O1031">
        <v>5</v>
      </c>
      <c r="P1031">
        <v>3</v>
      </c>
      <c r="Q1031">
        <f t="shared" si="112"/>
        <v>5</v>
      </c>
      <c r="R1031">
        <f t="shared" si="113"/>
        <v>28</v>
      </c>
      <c r="S1031">
        <f t="array" ref="S1031">MAX(IF($C$2:$C$1387=C1031,$R$2:$R$1387))</f>
        <v>29</v>
      </c>
      <c r="T1031" cm="1">
        <f t="array" ref="T1031">MIN(IF($C$2:$C$1387=C1031,$R$2:$R$1387))</f>
        <v>10</v>
      </c>
      <c r="U1031">
        <f t="shared" si="114"/>
        <v>19</v>
      </c>
      <c r="V1031">
        <f t="shared" si="115"/>
        <v>0.94736842105263153</v>
      </c>
      <c r="W1031" cm="1">
        <f t="array" ref="W1031">_xlfn.IFS(N1031=1,5,N1031=2,4,N1031=4,2,N1031=5,1,N1031=3,3)</f>
        <v>1</v>
      </c>
      <c r="X1031">
        <f t="shared" si="116"/>
        <v>24</v>
      </c>
      <c r="Y1031" cm="1">
        <f t="array" ref="Y1031">MAX(IF($C$2:$C$1387=C1031,$X$2:$X$1387))</f>
        <v>32</v>
      </c>
      <c r="Z1031" cm="1">
        <f t="array" ref="Z1031">MIN(IF($C$2:$C$1387=C1031,$X$2:$X$1387))</f>
        <v>10</v>
      </c>
      <c r="AA1031">
        <f t="shared" si="117"/>
        <v>22</v>
      </c>
      <c r="AB1031">
        <f t="shared" si="118"/>
        <v>0.63636363636363635</v>
      </c>
    </row>
    <row r="1032" spans="1:28" x14ac:dyDescent="0.25">
      <c r="A1032" t="s">
        <v>370</v>
      </c>
      <c r="B1032" t="s">
        <v>371</v>
      </c>
      <c r="C1032">
        <v>2014</v>
      </c>
      <c r="D1032">
        <v>3.2757142857142859E-4</v>
      </c>
      <c r="E1032">
        <v>0.69879777142857147</v>
      </c>
      <c r="F1032">
        <v>0.16647385714285715</v>
      </c>
      <c r="G1032">
        <v>2.3978952727983707</v>
      </c>
      <c r="H1032">
        <v>0.81818181818181823</v>
      </c>
      <c r="I1032">
        <v>1</v>
      </c>
      <c r="J1032">
        <v>0</v>
      </c>
      <c r="K1032">
        <v>1</v>
      </c>
      <c r="L1032">
        <v>3</v>
      </c>
      <c r="M1032">
        <v>5</v>
      </c>
      <c r="N1032">
        <v>5</v>
      </c>
      <c r="O1032">
        <v>5</v>
      </c>
      <c r="P1032">
        <v>3</v>
      </c>
      <c r="Q1032">
        <f t="shared" si="112"/>
        <v>5</v>
      </c>
      <c r="R1032">
        <f t="shared" si="113"/>
        <v>27</v>
      </c>
      <c r="S1032">
        <f t="array" ref="S1032">MAX(IF($C$2:$C$1387=C1032,$R$2:$R$1387))</f>
        <v>29</v>
      </c>
      <c r="T1032" cm="1">
        <f t="array" ref="T1032">MIN(IF($C$2:$C$1387=C1032,$R$2:$R$1387))</f>
        <v>11</v>
      </c>
      <c r="U1032">
        <f t="shared" si="114"/>
        <v>18</v>
      </c>
      <c r="V1032">
        <f t="shared" si="115"/>
        <v>0.88888888888888884</v>
      </c>
      <c r="W1032" cm="1">
        <f t="array" ref="W1032">_xlfn.IFS(N1032=1,5,N1032=2,4,N1032=4,2,N1032=5,1,N1032=3,3)</f>
        <v>1</v>
      </c>
      <c r="X1032">
        <f t="shared" si="116"/>
        <v>23</v>
      </c>
      <c r="Y1032" cm="1">
        <f t="array" ref="Y1032">MAX(IF($C$2:$C$1387=C1032,$X$2:$X$1387))</f>
        <v>30</v>
      </c>
      <c r="Z1032" cm="1">
        <f t="array" ref="Z1032">MIN(IF($C$2:$C$1387=C1032,$X$2:$X$1387))</f>
        <v>14</v>
      </c>
      <c r="AA1032">
        <f t="shared" si="117"/>
        <v>16</v>
      </c>
      <c r="AB1032">
        <f t="shared" si="118"/>
        <v>0.5625</v>
      </c>
    </row>
    <row r="1033" spans="1:28" x14ac:dyDescent="0.25">
      <c r="A1033" t="s">
        <v>370</v>
      </c>
      <c r="B1033" t="s">
        <v>371</v>
      </c>
      <c r="C1033">
        <v>2015</v>
      </c>
      <c r="D1033">
        <v>3.2757142857142859E-4</v>
      </c>
      <c r="E1033">
        <v>0.73729999999999996</v>
      </c>
      <c r="F1033">
        <v>6.1763457142857144E-2</v>
      </c>
      <c r="G1033">
        <v>2.3978952727983707</v>
      </c>
      <c r="H1033">
        <v>0.90909090909090906</v>
      </c>
      <c r="I1033">
        <v>1</v>
      </c>
      <c r="J1033">
        <v>0</v>
      </c>
      <c r="K1033">
        <v>1</v>
      </c>
      <c r="L1033">
        <v>4</v>
      </c>
      <c r="M1033">
        <v>3</v>
      </c>
      <c r="N1033">
        <v>5</v>
      </c>
      <c r="O1033">
        <v>5</v>
      </c>
      <c r="P1033">
        <v>2</v>
      </c>
      <c r="Q1033">
        <f t="shared" si="112"/>
        <v>5</v>
      </c>
      <c r="R1033">
        <f t="shared" si="113"/>
        <v>25</v>
      </c>
      <c r="S1033">
        <f t="array" ref="S1033">MAX(IF($C$2:$C$1387=C1033,$R$2:$R$1387))</f>
        <v>29</v>
      </c>
      <c r="T1033" cm="1">
        <f t="array" ref="T1033">MIN(IF($C$2:$C$1387=C1033,$R$2:$R$1387))</f>
        <v>11</v>
      </c>
      <c r="U1033">
        <f t="shared" si="114"/>
        <v>18</v>
      </c>
      <c r="V1033">
        <f t="shared" si="115"/>
        <v>0.77777777777777779</v>
      </c>
      <c r="W1033" cm="1">
        <f t="array" ref="W1033">_xlfn.IFS(N1033=1,5,N1033=2,4,N1033=4,2,N1033=5,1,N1033=3,3)</f>
        <v>1</v>
      </c>
      <c r="X1033">
        <f t="shared" si="116"/>
        <v>21</v>
      </c>
      <c r="Y1033" cm="1">
        <f t="array" ref="Y1033">MAX(IF($C$2:$C$1387=C1033,$X$2:$X$1387))</f>
        <v>29</v>
      </c>
      <c r="Z1033" cm="1">
        <f t="array" ref="Z1033">MIN(IF($C$2:$C$1387=C1033,$X$2:$X$1387))</f>
        <v>12</v>
      </c>
      <c r="AA1033">
        <f t="shared" si="117"/>
        <v>17</v>
      </c>
      <c r="AB1033">
        <f t="shared" si="118"/>
        <v>0.52941176470588236</v>
      </c>
    </row>
    <row r="1034" spans="1:28" x14ac:dyDescent="0.25">
      <c r="A1034" t="s">
        <v>372</v>
      </c>
      <c r="B1034" t="s">
        <v>373</v>
      </c>
      <c r="C1034">
        <v>2010</v>
      </c>
      <c r="D1034">
        <v>0.57413933982683985</v>
      </c>
      <c r="E1034">
        <v>0.38935146103896107</v>
      </c>
      <c r="F1034">
        <v>4.7925324675324671E-3</v>
      </c>
      <c r="G1034">
        <v>1.9459101490553132</v>
      </c>
      <c r="H1034">
        <v>0.7142857142857143</v>
      </c>
      <c r="I1034">
        <v>1</v>
      </c>
      <c r="J1034">
        <v>0</v>
      </c>
      <c r="K1034">
        <v>5</v>
      </c>
      <c r="L1034">
        <v>1</v>
      </c>
      <c r="M1034">
        <v>2</v>
      </c>
      <c r="N1034">
        <v>1</v>
      </c>
      <c r="O1034">
        <v>4</v>
      </c>
      <c r="P1034">
        <v>3</v>
      </c>
      <c r="Q1034">
        <f t="shared" si="112"/>
        <v>5</v>
      </c>
      <c r="R1034">
        <f t="shared" si="113"/>
        <v>21</v>
      </c>
      <c r="S1034">
        <f t="array" ref="S1034">MAX(IF($C$2:$C$1387=C1034,$R$2:$R$1387))</f>
        <v>29</v>
      </c>
      <c r="T1034" cm="1">
        <f t="array" ref="T1034">MIN(IF($C$2:$C$1387=C1034,$R$2:$R$1387))</f>
        <v>9</v>
      </c>
      <c r="U1034">
        <f t="shared" si="114"/>
        <v>20</v>
      </c>
      <c r="V1034">
        <f t="shared" si="115"/>
        <v>0.6</v>
      </c>
      <c r="W1034" cm="1">
        <f t="array" ref="W1034">_xlfn.IFS(N1034=1,5,N1034=2,4,N1034=4,2,N1034=5,1,N1034=3,3)</f>
        <v>5</v>
      </c>
      <c r="X1034">
        <f t="shared" si="116"/>
        <v>25</v>
      </c>
      <c r="Y1034" cm="1">
        <f t="array" ref="Y1034">MAX(IF($C$2:$C$1387=C1034,$X$2:$X$1387))</f>
        <v>29</v>
      </c>
      <c r="Z1034" cm="1">
        <f t="array" ref="Z1034">MIN(IF($C$2:$C$1387=C1034,$X$2:$X$1387))</f>
        <v>12</v>
      </c>
      <c r="AA1034">
        <f t="shared" si="117"/>
        <v>17</v>
      </c>
      <c r="AB1034">
        <f t="shared" si="118"/>
        <v>0.76470588235294112</v>
      </c>
    </row>
    <row r="1035" spans="1:28" x14ac:dyDescent="0.25">
      <c r="A1035" t="s">
        <v>372</v>
      </c>
      <c r="B1035" t="s">
        <v>373</v>
      </c>
      <c r="C1035">
        <v>2011</v>
      </c>
      <c r="D1035">
        <v>0.57413933982683985</v>
      </c>
      <c r="E1035">
        <v>0.38935146103896107</v>
      </c>
      <c r="F1035">
        <v>4.7925324675324671E-3</v>
      </c>
      <c r="G1035">
        <v>1.9459101490553132</v>
      </c>
      <c r="H1035">
        <v>0.7142857142857143</v>
      </c>
      <c r="I1035">
        <v>1</v>
      </c>
      <c r="J1035">
        <v>0</v>
      </c>
      <c r="K1035">
        <v>5</v>
      </c>
      <c r="L1035">
        <v>1</v>
      </c>
      <c r="M1035">
        <v>2</v>
      </c>
      <c r="N1035">
        <v>1</v>
      </c>
      <c r="O1035">
        <v>4</v>
      </c>
      <c r="P1035">
        <v>3</v>
      </c>
      <c r="Q1035">
        <f t="shared" si="112"/>
        <v>5</v>
      </c>
      <c r="R1035">
        <f t="shared" si="113"/>
        <v>21</v>
      </c>
      <c r="S1035">
        <f t="array" ref="S1035">MAX(IF($C$2:$C$1387=C1035,$R$2:$R$1387))</f>
        <v>28</v>
      </c>
      <c r="T1035" cm="1">
        <f t="array" ref="T1035">MIN(IF($C$2:$C$1387=C1035,$R$2:$R$1387))</f>
        <v>10</v>
      </c>
      <c r="U1035">
        <f t="shared" si="114"/>
        <v>18</v>
      </c>
      <c r="V1035">
        <f t="shared" si="115"/>
        <v>0.61111111111111116</v>
      </c>
      <c r="W1035" cm="1">
        <f t="array" ref="W1035">_xlfn.IFS(N1035=1,5,N1035=2,4,N1035=4,2,N1035=5,1,N1035=3,3)</f>
        <v>5</v>
      </c>
      <c r="X1035">
        <f t="shared" si="116"/>
        <v>25</v>
      </c>
      <c r="Y1035" cm="1">
        <f t="array" ref="Y1035">MAX(IF($C$2:$C$1387=C1035,$X$2:$X$1387))</f>
        <v>29</v>
      </c>
      <c r="Z1035" cm="1">
        <f t="array" ref="Z1035">MIN(IF($C$2:$C$1387=C1035,$X$2:$X$1387))</f>
        <v>12</v>
      </c>
      <c r="AA1035">
        <f t="shared" si="117"/>
        <v>17</v>
      </c>
      <c r="AB1035">
        <f t="shared" si="118"/>
        <v>0.76470588235294112</v>
      </c>
    </row>
    <row r="1036" spans="1:28" x14ac:dyDescent="0.25">
      <c r="A1036" t="s">
        <v>372</v>
      </c>
      <c r="B1036" t="s">
        <v>373</v>
      </c>
      <c r="C1036">
        <v>2012</v>
      </c>
      <c r="D1036">
        <v>0.57413933982683985</v>
      </c>
      <c r="E1036">
        <v>0.38935146103896107</v>
      </c>
      <c r="F1036">
        <v>4.7925324675324671E-3</v>
      </c>
      <c r="G1036">
        <v>1.9459101490553132</v>
      </c>
      <c r="H1036">
        <v>0.7142857142857143</v>
      </c>
      <c r="I1036">
        <v>1</v>
      </c>
      <c r="J1036">
        <v>0</v>
      </c>
      <c r="K1036">
        <v>5</v>
      </c>
      <c r="L1036">
        <v>1</v>
      </c>
      <c r="M1036">
        <v>1</v>
      </c>
      <c r="N1036">
        <v>1</v>
      </c>
      <c r="O1036">
        <v>4</v>
      </c>
      <c r="P1036">
        <v>3</v>
      </c>
      <c r="Q1036">
        <f t="shared" si="112"/>
        <v>5</v>
      </c>
      <c r="R1036">
        <f t="shared" si="113"/>
        <v>20</v>
      </c>
      <c r="S1036">
        <f t="array" ref="S1036">MAX(IF($C$2:$C$1387=C1036,$R$2:$R$1387))</f>
        <v>29</v>
      </c>
      <c r="T1036" cm="1">
        <f t="array" ref="T1036">MIN(IF($C$2:$C$1387=C1036,$R$2:$R$1387))</f>
        <v>11</v>
      </c>
      <c r="U1036">
        <f t="shared" si="114"/>
        <v>18</v>
      </c>
      <c r="V1036">
        <f t="shared" si="115"/>
        <v>0.5</v>
      </c>
      <c r="W1036" cm="1">
        <f t="array" ref="W1036">_xlfn.IFS(N1036=1,5,N1036=2,4,N1036=4,2,N1036=5,1,N1036=3,3)</f>
        <v>5</v>
      </c>
      <c r="X1036">
        <f t="shared" si="116"/>
        <v>24</v>
      </c>
      <c r="Y1036" cm="1">
        <f t="array" ref="Y1036">MAX(IF($C$2:$C$1387=C1036,$X$2:$X$1387))</f>
        <v>30</v>
      </c>
      <c r="Z1036" cm="1">
        <f t="array" ref="Z1036">MIN(IF($C$2:$C$1387=C1036,$X$2:$X$1387))</f>
        <v>12</v>
      </c>
      <c r="AA1036">
        <f t="shared" si="117"/>
        <v>18</v>
      </c>
      <c r="AB1036">
        <f t="shared" si="118"/>
        <v>0.66666666666666663</v>
      </c>
    </row>
    <row r="1037" spans="1:28" x14ac:dyDescent="0.25">
      <c r="A1037" t="s">
        <v>372</v>
      </c>
      <c r="B1037" t="s">
        <v>373</v>
      </c>
      <c r="C1037">
        <v>2013</v>
      </c>
      <c r="D1037">
        <v>0.57407873376623375</v>
      </c>
      <c r="E1037">
        <v>0.38935146103896107</v>
      </c>
      <c r="F1037">
        <v>4.783116883116883E-3</v>
      </c>
      <c r="G1037">
        <v>1.9459101490553132</v>
      </c>
      <c r="H1037">
        <v>0.7142857142857143</v>
      </c>
      <c r="I1037">
        <v>1</v>
      </c>
      <c r="J1037">
        <v>0</v>
      </c>
      <c r="K1037">
        <v>5</v>
      </c>
      <c r="L1037">
        <v>1</v>
      </c>
      <c r="M1037">
        <v>2</v>
      </c>
      <c r="N1037">
        <v>1</v>
      </c>
      <c r="O1037">
        <v>4</v>
      </c>
      <c r="P1037">
        <v>3</v>
      </c>
      <c r="Q1037">
        <f t="shared" si="112"/>
        <v>5</v>
      </c>
      <c r="R1037">
        <f t="shared" si="113"/>
        <v>21</v>
      </c>
      <c r="S1037">
        <f t="array" ref="S1037">MAX(IF($C$2:$C$1387=C1037,$R$2:$R$1387))</f>
        <v>29</v>
      </c>
      <c r="T1037" cm="1">
        <f t="array" ref="T1037">MIN(IF($C$2:$C$1387=C1037,$R$2:$R$1387))</f>
        <v>10</v>
      </c>
      <c r="U1037">
        <f t="shared" si="114"/>
        <v>19</v>
      </c>
      <c r="V1037">
        <f t="shared" si="115"/>
        <v>0.57894736842105265</v>
      </c>
      <c r="W1037" cm="1">
        <f t="array" ref="W1037">_xlfn.IFS(N1037=1,5,N1037=2,4,N1037=4,2,N1037=5,1,N1037=3,3)</f>
        <v>5</v>
      </c>
      <c r="X1037">
        <f t="shared" si="116"/>
        <v>25</v>
      </c>
      <c r="Y1037" cm="1">
        <f t="array" ref="Y1037">MAX(IF($C$2:$C$1387=C1037,$X$2:$X$1387))</f>
        <v>32</v>
      </c>
      <c r="Z1037" cm="1">
        <f t="array" ref="Z1037">MIN(IF($C$2:$C$1387=C1037,$X$2:$X$1387))</f>
        <v>10</v>
      </c>
      <c r="AA1037">
        <f t="shared" si="117"/>
        <v>22</v>
      </c>
      <c r="AB1037">
        <f t="shared" si="118"/>
        <v>0.68181818181818177</v>
      </c>
    </row>
    <row r="1038" spans="1:28" x14ac:dyDescent="0.25">
      <c r="A1038" t="s">
        <v>372</v>
      </c>
      <c r="B1038" t="s">
        <v>373</v>
      </c>
      <c r="C1038">
        <v>2014</v>
      </c>
      <c r="D1038">
        <v>0.5741057900432901</v>
      </c>
      <c r="E1038">
        <v>0.38935146103896107</v>
      </c>
      <c r="F1038">
        <v>4.783116883116883E-3</v>
      </c>
      <c r="G1038">
        <v>2.1972245773362196</v>
      </c>
      <c r="H1038">
        <v>0.55555555555555558</v>
      </c>
      <c r="I1038">
        <v>0.66666666666666663</v>
      </c>
      <c r="J1038">
        <v>0</v>
      </c>
      <c r="K1038">
        <v>5</v>
      </c>
      <c r="L1038">
        <v>1</v>
      </c>
      <c r="M1038">
        <v>2</v>
      </c>
      <c r="N1038">
        <v>4</v>
      </c>
      <c r="O1038">
        <v>2</v>
      </c>
      <c r="P1038">
        <v>1</v>
      </c>
      <c r="Q1038">
        <f t="shared" si="112"/>
        <v>5</v>
      </c>
      <c r="R1038">
        <f t="shared" si="113"/>
        <v>20</v>
      </c>
      <c r="S1038">
        <f t="array" ref="S1038">MAX(IF($C$2:$C$1387=C1038,$R$2:$R$1387))</f>
        <v>29</v>
      </c>
      <c r="T1038" cm="1">
        <f t="array" ref="T1038">MIN(IF($C$2:$C$1387=C1038,$R$2:$R$1387))</f>
        <v>11</v>
      </c>
      <c r="U1038">
        <f t="shared" si="114"/>
        <v>18</v>
      </c>
      <c r="V1038">
        <f t="shared" si="115"/>
        <v>0.5</v>
      </c>
      <c r="W1038" cm="1">
        <f t="array" ref="W1038">_xlfn.IFS(N1038=1,5,N1038=2,4,N1038=4,2,N1038=5,1,N1038=3,3)</f>
        <v>2</v>
      </c>
      <c r="X1038">
        <f t="shared" si="116"/>
        <v>18</v>
      </c>
      <c r="Y1038" cm="1">
        <f t="array" ref="Y1038">MAX(IF($C$2:$C$1387=C1038,$X$2:$X$1387))</f>
        <v>30</v>
      </c>
      <c r="Z1038" cm="1">
        <f t="array" ref="Z1038">MIN(IF($C$2:$C$1387=C1038,$X$2:$X$1387))</f>
        <v>14</v>
      </c>
      <c r="AA1038">
        <f t="shared" si="117"/>
        <v>16</v>
      </c>
      <c r="AB1038">
        <f t="shared" si="118"/>
        <v>0.25</v>
      </c>
    </row>
    <row r="1039" spans="1:28" x14ac:dyDescent="0.25">
      <c r="A1039" t="s">
        <v>372</v>
      </c>
      <c r="B1039" t="s">
        <v>373</v>
      </c>
      <c r="C1039">
        <v>2015</v>
      </c>
      <c r="D1039">
        <v>0.55787202380952383</v>
      </c>
      <c r="E1039">
        <v>0.37852895021645022</v>
      </c>
      <c r="F1039">
        <v>4.7869047619047622E-3</v>
      </c>
      <c r="G1039">
        <v>2.1972245773362196</v>
      </c>
      <c r="H1039">
        <v>0.55555555555555558</v>
      </c>
      <c r="I1039">
        <v>1</v>
      </c>
      <c r="J1039">
        <v>0</v>
      </c>
      <c r="K1039">
        <v>5</v>
      </c>
      <c r="L1039">
        <v>1</v>
      </c>
      <c r="M1039">
        <v>2</v>
      </c>
      <c r="N1039">
        <v>4</v>
      </c>
      <c r="O1039">
        <v>1</v>
      </c>
      <c r="P1039">
        <v>2</v>
      </c>
      <c r="Q1039">
        <f t="shared" si="112"/>
        <v>5</v>
      </c>
      <c r="R1039">
        <f t="shared" si="113"/>
        <v>20</v>
      </c>
      <c r="S1039">
        <f t="array" ref="S1039">MAX(IF($C$2:$C$1387=C1039,$R$2:$R$1387))</f>
        <v>29</v>
      </c>
      <c r="T1039" cm="1">
        <f t="array" ref="T1039">MIN(IF($C$2:$C$1387=C1039,$R$2:$R$1387))</f>
        <v>11</v>
      </c>
      <c r="U1039">
        <f t="shared" si="114"/>
        <v>18</v>
      </c>
      <c r="V1039">
        <f t="shared" si="115"/>
        <v>0.5</v>
      </c>
      <c r="W1039" cm="1">
        <f t="array" ref="W1039">_xlfn.IFS(N1039=1,5,N1039=2,4,N1039=4,2,N1039=5,1,N1039=3,3)</f>
        <v>2</v>
      </c>
      <c r="X1039">
        <f t="shared" si="116"/>
        <v>18</v>
      </c>
      <c r="Y1039" cm="1">
        <f t="array" ref="Y1039">MAX(IF($C$2:$C$1387=C1039,$X$2:$X$1387))</f>
        <v>29</v>
      </c>
      <c r="Z1039" cm="1">
        <f t="array" ref="Z1039">MIN(IF($C$2:$C$1387=C1039,$X$2:$X$1387))</f>
        <v>12</v>
      </c>
      <c r="AA1039">
        <f t="shared" si="117"/>
        <v>17</v>
      </c>
      <c r="AB1039">
        <f t="shared" si="118"/>
        <v>0.35294117647058826</v>
      </c>
    </row>
    <row r="1040" spans="1:28" x14ac:dyDescent="0.25">
      <c r="A1040" t="s">
        <v>374</v>
      </c>
      <c r="B1040" t="s">
        <v>375</v>
      </c>
      <c r="C1040">
        <v>2010</v>
      </c>
      <c r="D1040">
        <v>5.5149016869608047E-2</v>
      </c>
      <c r="E1040">
        <v>0.45910450597202018</v>
      </c>
      <c r="F1040">
        <v>2.2136860064376738E-2</v>
      </c>
      <c r="G1040">
        <v>2.1972245773362196</v>
      </c>
      <c r="H1040">
        <v>0.33333333333333331</v>
      </c>
      <c r="I1040">
        <v>1</v>
      </c>
      <c r="J1040">
        <v>0</v>
      </c>
      <c r="K1040">
        <v>2</v>
      </c>
      <c r="L1040">
        <v>1</v>
      </c>
      <c r="M1040">
        <v>3</v>
      </c>
      <c r="N1040">
        <v>4</v>
      </c>
      <c r="O1040">
        <v>1</v>
      </c>
      <c r="P1040">
        <v>3</v>
      </c>
      <c r="Q1040">
        <f t="shared" si="112"/>
        <v>5</v>
      </c>
      <c r="R1040">
        <f t="shared" si="113"/>
        <v>19</v>
      </c>
      <c r="S1040">
        <f t="array" ref="S1040">MAX(IF($C$2:$C$1387=C1040,$R$2:$R$1387))</f>
        <v>29</v>
      </c>
      <c r="T1040" cm="1">
        <f t="array" ref="T1040">MIN(IF($C$2:$C$1387=C1040,$R$2:$R$1387))</f>
        <v>9</v>
      </c>
      <c r="U1040">
        <f t="shared" si="114"/>
        <v>20</v>
      </c>
      <c r="V1040">
        <f t="shared" si="115"/>
        <v>0.5</v>
      </c>
      <c r="W1040" cm="1">
        <f t="array" ref="W1040">_xlfn.IFS(N1040=1,5,N1040=2,4,N1040=4,2,N1040=5,1,N1040=3,3)</f>
        <v>2</v>
      </c>
      <c r="X1040">
        <f t="shared" si="116"/>
        <v>17</v>
      </c>
      <c r="Y1040" cm="1">
        <f t="array" ref="Y1040">MAX(IF($C$2:$C$1387=C1040,$X$2:$X$1387))</f>
        <v>29</v>
      </c>
      <c r="Z1040" cm="1">
        <f t="array" ref="Z1040">MIN(IF($C$2:$C$1387=C1040,$X$2:$X$1387))</f>
        <v>12</v>
      </c>
      <c r="AA1040">
        <f t="shared" si="117"/>
        <v>17</v>
      </c>
      <c r="AB1040">
        <f t="shared" si="118"/>
        <v>0.29411764705882354</v>
      </c>
    </row>
    <row r="1041" spans="1:28" x14ac:dyDescent="0.25">
      <c r="A1041" t="s">
        <v>374</v>
      </c>
      <c r="B1041" t="s">
        <v>375</v>
      </c>
      <c r="C1041">
        <v>2011</v>
      </c>
      <c r="D1041">
        <v>5.515209150610146E-2</v>
      </c>
      <c r="E1041">
        <v>0.47825733908044388</v>
      </c>
      <c r="F1041">
        <v>2.2134769311561216E-2</v>
      </c>
      <c r="G1041">
        <v>2.1972245773362196</v>
      </c>
      <c r="H1041">
        <v>0.33333333333333331</v>
      </c>
      <c r="I1041">
        <v>1</v>
      </c>
      <c r="J1041">
        <v>0</v>
      </c>
      <c r="K1041">
        <v>2</v>
      </c>
      <c r="L1041">
        <v>2</v>
      </c>
      <c r="M1041">
        <v>2</v>
      </c>
      <c r="N1041">
        <v>4</v>
      </c>
      <c r="O1041">
        <v>1</v>
      </c>
      <c r="P1041">
        <v>3</v>
      </c>
      <c r="Q1041">
        <f t="shared" si="112"/>
        <v>5</v>
      </c>
      <c r="R1041">
        <f t="shared" si="113"/>
        <v>19</v>
      </c>
      <c r="S1041">
        <f t="array" ref="S1041">MAX(IF($C$2:$C$1387=C1041,$R$2:$R$1387))</f>
        <v>28</v>
      </c>
      <c r="T1041" cm="1">
        <f t="array" ref="T1041">MIN(IF($C$2:$C$1387=C1041,$R$2:$R$1387))</f>
        <v>10</v>
      </c>
      <c r="U1041">
        <f t="shared" si="114"/>
        <v>18</v>
      </c>
      <c r="V1041">
        <f t="shared" si="115"/>
        <v>0.5</v>
      </c>
      <c r="W1041" cm="1">
        <f t="array" ref="W1041">_xlfn.IFS(N1041=1,5,N1041=2,4,N1041=4,2,N1041=5,1,N1041=3,3)</f>
        <v>2</v>
      </c>
      <c r="X1041">
        <f t="shared" si="116"/>
        <v>17</v>
      </c>
      <c r="Y1041" cm="1">
        <f t="array" ref="Y1041">MAX(IF($C$2:$C$1387=C1041,$X$2:$X$1387))</f>
        <v>29</v>
      </c>
      <c r="Z1041" cm="1">
        <f t="array" ref="Z1041">MIN(IF($C$2:$C$1387=C1041,$X$2:$X$1387))</f>
        <v>12</v>
      </c>
      <c r="AA1041">
        <f t="shared" si="117"/>
        <v>17</v>
      </c>
      <c r="AB1041">
        <f t="shared" si="118"/>
        <v>0.29411764705882354</v>
      </c>
    </row>
    <row r="1042" spans="1:28" x14ac:dyDescent="0.25">
      <c r="A1042" t="s">
        <v>374</v>
      </c>
      <c r="B1042" t="s">
        <v>375</v>
      </c>
      <c r="C1042">
        <v>2012</v>
      </c>
      <c r="D1042">
        <v>5.515209150610146E-2</v>
      </c>
      <c r="E1042">
        <v>0.48088676820961151</v>
      </c>
      <c r="F1042">
        <v>2.2088619017795075E-2</v>
      </c>
      <c r="G1042">
        <v>2.1972245773362196</v>
      </c>
      <c r="H1042">
        <v>0.44444444444444442</v>
      </c>
      <c r="I1042">
        <v>1</v>
      </c>
      <c r="J1042">
        <v>0</v>
      </c>
      <c r="K1042">
        <v>2</v>
      </c>
      <c r="L1042">
        <v>2</v>
      </c>
      <c r="M1042">
        <v>2</v>
      </c>
      <c r="N1042">
        <v>4</v>
      </c>
      <c r="O1042">
        <v>2</v>
      </c>
      <c r="P1042">
        <v>3</v>
      </c>
      <c r="Q1042">
        <f t="shared" si="112"/>
        <v>5</v>
      </c>
      <c r="R1042">
        <f t="shared" si="113"/>
        <v>20</v>
      </c>
      <c r="S1042">
        <f t="array" ref="S1042">MAX(IF($C$2:$C$1387=C1042,$R$2:$R$1387))</f>
        <v>29</v>
      </c>
      <c r="T1042" cm="1">
        <f t="array" ref="T1042">MIN(IF($C$2:$C$1387=C1042,$R$2:$R$1387))</f>
        <v>11</v>
      </c>
      <c r="U1042">
        <f t="shared" si="114"/>
        <v>18</v>
      </c>
      <c r="V1042">
        <f t="shared" si="115"/>
        <v>0.5</v>
      </c>
      <c r="W1042" cm="1">
        <f t="array" ref="W1042">_xlfn.IFS(N1042=1,5,N1042=2,4,N1042=4,2,N1042=5,1,N1042=3,3)</f>
        <v>2</v>
      </c>
      <c r="X1042">
        <f t="shared" si="116"/>
        <v>18</v>
      </c>
      <c r="Y1042" cm="1">
        <f t="array" ref="Y1042">MAX(IF($C$2:$C$1387=C1042,$X$2:$X$1387))</f>
        <v>30</v>
      </c>
      <c r="Z1042" cm="1">
        <f t="array" ref="Z1042">MIN(IF($C$2:$C$1387=C1042,$X$2:$X$1387))</f>
        <v>12</v>
      </c>
      <c r="AA1042">
        <f t="shared" si="117"/>
        <v>18</v>
      </c>
      <c r="AB1042">
        <f t="shared" si="118"/>
        <v>0.33333333333333331</v>
      </c>
    </row>
    <row r="1043" spans="1:28" x14ac:dyDescent="0.25">
      <c r="A1043" t="s">
        <v>374</v>
      </c>
      <c r="B1043" t="s">
        <v>375</v>
      </c>
      <c r="C1043">
        <v>2013</v>
      </c>
      <c r="D1043">
        <v>5.5297737036794484E-2</v>
      </c>
      <c r="E1043">
        <v>0.48088676820961151</v>
      </c>
      <c r="F1043">
        <v>5.0627610174218129E-2</v>
      </c>
      <c r="G1043">
        <v>2.1972245773362196</v>
      </c>
      <c r="H1043">
        <v>0.33333333333333331</v>
      </c>
      <c r="I1043">
        <v>0.5</v>
      </c>
      <c r="J1043">
        <v>0</v>
      </c>
      <c r="K1043">
        <v>3</v>
      </c>
      <c r="L1043">
        <v>2</v>
      </c>
      <c r="M1043">
        <v>3</v>
      </c>
      <c r="N1043">
        <v>4</v>
      </c>
      <c r="O1043">
        <v>1</v>
      </c>
      <c r="P1043">
        <v>1</v>
      </c>
      <c r="Q1043">
        <f t="shared" si="112"/>
        <v>5</v>
      </c>
      <c r="R1043">
        <f t="shared" si="113"/>
        <v>19</v>
      </c>
      <c r="S1043">
        <f t="array" ref="S1043">MAX(IF($C$2:$C$1387=C1043,$R$2:$R$1387))</f>
        <v>29</v>
      </c>
      <c r="T1043" cm="1">
        <f t="array" ref="T1043">MIN(IF($C$2:$C$1387=C1043,$R$2:$R$1387))</f>
        <v>10</v>
      </c>
      <c r="U1043">
        <f t="shared" si="114"/>
        <v>19</v>
      </c>
      <c r="V1043">
        <f t="shared" si="115"/>
        <v>0.47368421052631576</v>
      </c>
      <c r="W1043" cm="1">
        <f t="array" ref="W1043">_xlfn.IFS(N1043=1,5,N1043=2,4,N1043=4,2,N1043=5,1,N1043=3,3)</f>
        <v>2</v>
      </c>
      <c r="X1043">
        <f t="shared" si="116"/>
        <v>17</v>
      </c>
      <c r="Y1043" cm="1">
        <f t="array" ref="Y1043">MAX(IF($C$2:$C$1387=C1043,$X$2:$X$1387))</f>
        <v>32</v>
      </c>
      <c r="Z1043" cm="1">
        <f t="array" ref="Z1043">MIN(IF($C$2:$C$1387=C1043,$X$2:$X$1387))</f>
        <v>10</v>
      </c>
      <c r="AA1043">
        <f t="shared" si="117"/>
        <v>22</v>
      </c>
      <c r="AB1043">
        <f t="shared" si="118"/>
        <v>0.31818181818181818</v>
      </c>
    </row>
    <row r="1044" spans="1:28" x14ac:dyDescent="0.25">
      <c r="A1044" t="s">
        <v>374</v>
      </c>
      <c r="B1044" t="s">
        <v>375</v>
      </c>
      <c r="C1044">
        <v>2014</v>
      </c>
      <c r="D1044">
        <v>5.5297737036794484E-2</v>
      </c>
      <c r="E1044">
        <v>0.48088676820961151</v>
      </c>
      <c r="F1044">
        <v>5.0627610174218129E-2</v>
      </c>
      <c r="G1044">
        <v>2.1972245773362196</v>
      </c>
      <c r="H1044">
        <v>0.33333333333333331</v>
      </c>
      <c r="I1044">
        <v>0.75</v>
      </c>
      <c r="J1044">
        <v>0</v>
      </c>
      <c r="K1044">
        <v>2</v>
      </c>
      <c r="L1044">
        <v>2</v>
      </c>
      <c r="M1044">
        <v>3</v>
      </c>
      <c r="N1044">
        <v>4</v>
      </c>
      <c r="O1044">
        <v>1</v>
      </c>
      <c r="P1044">
        <v>2</v>
      </c>
      <c r="Q1044">
        <f t="shared" si="112"/>
        <v>5</v>
      </c>
      <c r="R1044">
        <f t="shared" si="113"/>
        <v>19</v>
      </c>
      <c r="S1044">
        <f t="array" ref="S1044">MAX(IF($C$2:$C$1387=C1044,$R$2:$R$1387))</f>
        <v>29</v>
      </c>
      <c r="T1044" cm="1">
        <f t="array" ref="T1044">MIN(IF($C$2:$C$1387=C1044,$R$2:$R$1387))</f>
        <v>11</v>
      </c>
      <c r="U1044">
        <f t="shared" si="114"/>
        <v>18</v>
      </c>
      <c r="V1044">
        <f t="shared" si="115"/>
        <v>0.44444444444444442</v>
      </c>
      <c r="W1044" cm="1">
        <f t="array" ref="W1044">_xlfn.IFS(N1044=1,5,N1044=2,4,N1044=4,2,N1044=5,1,N1044=3,3)</f>
        <v>2</v>
      </c>
      <c r="X1044">
        <f t="shared" si="116"/>
        <v>17</v>
      </c>
      <c r="Y1044" cm="1">
        <f t="array" ref="Y1044">MAX(IF($C$2:$C$1387=C1044,$X$2:$X$1387))</f>
        <v>30</v>
      </c>
      <c r="Z1044" cm="1">
        <f t="array" ref="Z1044">MIN(IF($C$2:$C$1387=C1044,$X$2:$X$1387))</f>
        <v>14</v>
      </c>
      <c r="AA1044">
        <f t="shared" si="117"/>
        <v>16</v>
      </c>
      <c r="AB1044">
        <f t="shared" si="118"/>
        <v>0.1875</v>
      </c>
    </row>
    <row r="1045" spans="1:28" x14ac:dyDescent="0.25">
      <c r="A1045" t="s">
        <v>374</v>
      </c>
      <c r="B1045" t="s">
        <v>375</v>
      </c>
      <c r="C1045">
        <v>2015</v>
      </c>
      <c r="D1045">
        <v>1.8007008326423088E-2</v>
      </c>
      <c r="E1045">
        <v>0.48088676820961151</v>
      </c>
      <c r="F1045">
        <v>1.6467630073265512E-2</v>
      </c>
      <c r="G1045">
        <v>2.1972245773362196</v>
      </c>
      <c r="H1045">
        <v>0.55555555555555558</v>
      </c>
      <c r="I1045">
        <v>0.75</v>
      </c>
      <c r="J1045">
        <v>1</v>
      </c>
      <c r="K1045">
        <v>2</v>
      </c>
      <c r="L1045">
        <v>2</v>
      </c>
      <c r="M1045">
        <v>2</v>
      </c>
      <c r="N1045">
        <v>4</v>
      </c>
      <c r="O1045">
        <v>1</v>
      </c>
      <c r="P1045">
        <v>2</v>
      </c>
      <c r="Q1045">
        <f t="shared" si="112"/>
        <v>1</v>
      </c>
      <c r="R1045">
        <f t="shared" si="113"/>
        <v>14</v>
      </c>
      <c r="S1045">
        <f t="array" ref="S1045">MAX(IF($C$2:$C$1387=C1045,$R$2:$R$1387))</f>
        <v>29</v>
      </c>
      <c r="T1045" cm="1">
        <f t="array" ref="T1045">MIN(IF($C$2:$C$1387=C1045,$R$2:$R$1387))</f>
        <v>11</v>
      </c>
      <c r="U1045">
        <f t="shared" si="114"/>
        <v>18</v>
      </c>
      <c r="V1045">
        <f t="shared" si="115"/>
        <v>0.16666666666666666</v>
      </c>
      <c r="W1045" cm="1">
        <f t="array" ref="W1045">_xlfn.IFS(N1045=1,5,N1045=2,4,N1045=4,2,N1045=5,1,N1045=3,3)</f>
        <v>2</v>
      </c>
      <c r="X1045">
        <f t="shared" si="116"/>
        <v>12</v>
      </c>
      <c r="Y1045" cm="1">
        <f t="array" ref="Y1045">MAX(IF($C$2:$C$1387=C1045,$X$2:$X$1387))</f>
        <v>29</v>
      </c>
      <c r="Z1045" cm="1">
        <f t="array" ref="Z1045">MIN(IF($C$2:$C$1387=C1045,$X$2:$X$1387))</f>
        <v>12</v>
      </c>
      <c r="AA1045">
        <f t="shared" si="117"/>
        <v>17</v>
      </c>
      <c r="AB1045">
        <f t="shared" si="118"/>
        <v>0</v>
      </c>
    </row>
    <row r="1046" spans="1:28" x14ac:dyDescent="0.25">
      <c r="A1046" t="s">
        <v>376</v>
      </c>
      <c r="B1046" t="s">
        <v>377</v>
      </c>
      <c r="C1046">
        <v>2010</v>
      </c>
      <c r="D1046">
        <v>1.4459321439111718E-6</v>
      </c>
      <c r="E1046">
        <v>0.80764629816887523</v>
      </c>
      <c r="F1046">
        <v>8.5711941325385871E-2</v>
      </c>
      <c r="G1046">
        <v>1.9459101490553132</v>
      </c>
      <c r="H1046">
        <v>0.14285714285714285</v>
      </c>
      <c r="I1046">
        <v>0.66666666666666663</v>
      </c>
      <c r="J1046">
        <v>1</v>
      </c>
      <c r="K1046">
        <v>1</v>
      </c>
      <c r="L1046">
        <v>4</v>
      </c>
      <c r="M1046">
        <v>4</v>
      </c>
      <c r="N1046">
        <v>1</v>
      </c>
      <c r="O1046">
        <v>1</v>
      </c>
      <c r="P1046">
        <v>1</v>
      </c>
      <c r="Q1046">
        <f t="shared" si="112"/>
        <v>1</v>
      </c>
      <c r="R1046">
        <f t="shared" si="113"/>
        <v>13</v>
      </c>
      <c r="S1046">
        <f t="array" ref="S1046">MAX(IF($C$2:$C$1387=C1046,$R$2:$R$1387))</f>
        <v>29</v>
      </c>
      <c r="T1046" cm="1">
        <f t="array" ref="T1046">MIN(IF($C$2:$C$1387=C1046,$R$2:$R$1387))</f>
        <v>9</v>
      </c>
      <c r="U1046">
        <f t="shared" si="114"/>
        <v>20</v>
      </c>
      <c r="V1046">
        <f t="shared" si="115"/>
        <v>0.2</v>
      </c>
      <c r="W1046" cm="1">
        <f t="array" ref="W1046">_xlfn.IFS(N1046=1,5,N1046=2,4,N1046=4,2,N1046=5,1,N1046=3,3)</f>
        <v>5</v>
      </c>
      <c r="X1046">
        <f t="shared" si="116"/>
        <v>17</v>
      </c>
      <c r="Y1046" cm="1">
        <f t="array" ref="Y1046">MAX(IF($C$2:$C$1387=C1046,$X$2:$X$1387))</f>
        <v>29</v>
      </c>
      <c r="Z1046" cm="1">
        <f t="array" ref="Z1046">MIN(IF($C$2:$C$1387=C1046,$X$2:$X$1387))</f>
        <v>12</v>
      </c>
      <c r="AA1046">
        <f t="shared" si="117"/>
        <v>17</v>
      </c>
      <c r="AB1046">
        <f t="shared" si="118"/>
        <v>0.29411764705882354</v>
      </c>
    </row>
    <row r="1047" spans="1:28" x14ac:dyDescent="0.25">
      <c r="A1047" t="s">
        <v>376</v>
      </c>
      <c r="B1047" t="s">
        <v>377</v>
      </c>
      <c r="C1047">
        <v>2011</v>
      </c>
      <c r="D1047">
        <v>1.4459321439111718E-6</v>
      </c>
      <c r="E1047">
        <v>0.84172959195272423</v>
      </c>
      <c r="F1047">
        <v>2.6956792424812533E-2</v>
      </c>
      <c r="G1047">
        <v>1.9459101490553132</v>
      </c>
      <c r="H1047">
        <v>0.14285714285714285</v>
      </c>
      <c r="I1047">
        <v>0.66666666666666663</v>
      </c>
      <c r="J1047">
        <v>1</v>
      </c>
      <c r="K1047">
        <v>1</v>
      </c>
      <c r="L1047">
        <v>4</v>
      </c>
      <c r="M1047">
        <v>2</v>
      </c>
      <c r="N1047">
        <v>1</v>
      </c>
      <c r="O1047">
        <v>1</v>
      </c>
      <c r="P1047">
        <v>1</v>
      </c>
      <c r="Q1047">
        <f t="shared" si="112"/>
        <v>1</v>
      </c>
      <c r="R1047">
        <f t="shared" si="113"/>
        <v>11</v>
      </c>
      <c r="S1047">
        <f t="array" ref="S1047">MAX(IF($C$2:$C$1387=C1047,$R$2:$R$1387))</f>
        <v>28</v>
      </c>
      <c r="T1047" cm="1">
        <f t="array" ref="T1047">MIN(IF($C$2:$C$1387=C1047,$R$2:$R$1387))</f>
        <v>10</v>
      </c>
      <c r="U1047">
        <f t="shared" si="114"/>
        <v>18</v>
      </c>
      <c r="V1047">
        <f t="shared" si="115"/>
        <v>5.5555555555555552E-2</v>
      </c>
      <c r="W1047" cm="1">
        <f t="array" ref="W1047">_xlfn.IFS(N1047=1,5,N1047=2,4,N1047=4,2,N1047=5,1,N1047=3,3)</f>
        <v>5</v>
      </c>
      <c r="X1047">
        <f t="shared" si="116"/>
        <v>15</v>
      </c>
      <c r="Y1047" cm="1">
        <f t="array" ref="Y1047">MAX(IF($C$2:$C$1387=C1047,$X$2:$X$1387))</f>
        <v>29</v>
      </c>
      <c r="Z1047" cm="1">
        <f t="array" ref="Z1047">MIN(IF($C$2:$C$1387=C1047,$X$2:$X$1387))</f>
        <v>12</v>
      </c>
      <c r="AA1047">
        <f t="shared" si="117"/>
        <v>17</v>
      </c>
      <c r="AB1047">
        <f t="shared" si="118"/>
        <v>0.17647058823529413</v>
      </c>
    </row>
    <row r="1048" spans="1:28" x14ac:dyDescent="0.25">
      <c r="A1048" t="s">
        <v>376</v>
      </c>
      <c r="B1048" t="s">
        <v>377</v>
      </c>
      <c r="C1048">
        <v>2012</v>
      </c>
      <c r="D1048">
        <v>1.4459321439111718E-6</v>
      </c>
      <c r="E1048">
        <v>0.84446866131021303</v>
      </c>
      <c r="F1048">
        <v>2.6661153979488979E-2</v>
      </c>
      <c r="G1048">
        <v>1.9459101490553132</v>
      </c>
      <c r="H1048">
        <v>0.14285714285714285</v>
      </c>
      <c r="I1048">
        <v>0.66666666666666663</v>
      </c>
      <c r="J1048">
        <v>1</v>
      </c>
      <c r="K1048">
        <v>1</v>
      </c>
      <c r="L1048">
        <v>5</v>
      </c>
      <c r="M1048">
        <v>2</v>
      </c>
      <c r="N1048">
        <v>1</v>
      </c>
      <c r="O1048">
        <v>1</v>
      </c>
      <c r="P1048">
        <v>1</v>
      </c>
      <c r="Q1048">
        <f t="shared" si="112"/>
        <v>1</v>
      </c>
      <c r="R1048">
        <f t="shared" si="113"/>
        <v>12</v>
      </c>
      <c r="S1048">
        <f t="array" ref="S1048">MAX(IF($C$2:$C$1387=C1048,$R$2:$R$1387))</f>
        <v>29</v>
      </c>
      <c r="T1048" cm="1">
        <f t="array" ref="T1048">MIN(IF($C$2:$C$1387=C1048,$R$2:$R$1387))</f>
        <v>11</v>
      </c>
      <c r="U1048">
        <f t="shared" si="114"/>
        <v>18</v>
      </c>
      <c r="V1048">
        <f t="shared" si="115"/>
        <v>5.5555555555555552E-2</v>
      </c>
      <c r="W1048" cm="1">
        <f t="array" ref="W1048">_xlfn.IFS(N1048=1,5,N1048=2,4,N1048=4,2,N1048=5,1,N1048=3,3)</f>
        <v>5</v>
      </c>
      <c r="X1048">
        <f t="shared" si="116"/>
        <v>16</v>
      </c>
      <c r="Y1048" cm="1">
        <f t="array" ref="Y1048">MAX(IF($C$2:$C$1387=C1048,$X$2:$X$1387))</f>
        <v>30</v>
      </c>
      <c r="Z1048" cm="1">
        <f t="array" ref="Z1048">MIN(IF($C$2:$C$1387=C1048,$X$2:$X$1387))</f>
        <v>12</v>
      </c>
      <c r="AA1048">
        <f t="shared" si="117"/>
        <v>18</v>
      </c>
      <c r="AB1048">
        <f t="shared" si="118"/>
        <v>0.22222222222222221</v>
      </c>
    </row>
    <row r="1049" spans="1:28" x14ac:dyDescent="0.25">
      <c r="A1049" t="s">
        <v>376</v>
      </c>
      <c r="B1049" t="s">
        <v>377</v>
      </c>
      <c r="C1049">
        <v>2013</v>
      </c>
      <c r="D1049">
        <v>1.4459321439111718E-6</v>
      </c>
      <c r="E1049">
        <v>0.8286621442364458</v>
      </c>
      <c r="F1049">
        <v>0.10857613824841554</v>
      </c>
      <c r="G1049">
        <v>1.9459101490553132</v>
      </c>
      <c r="H1049">
        <v>0.14285714285714285</v>
      </c>
      <c r="I1049">
        <v>0.33333333333333331</v>
      </c>
      <c r="J1049">
        <v>1</v>
      </c>
      <c r="K1049">
        <v>1</v>
      </c>
      <c r="L1049">
        <v>4</v>
      </c>
      <c r="M1049">
        <v>4</v>
      </c>
      <c r="N1049">
        <v>1</v>
      </c>
      <c r="O1049">
        <v>1</v>
      </c>
      <c r="P1049">
        <v>1</v>
      </c>
      <c r="Q1049">
        <f t="shared" si="112"/>
        <v>1</v>
      </c>
      <c r="R1049">
        <f t="shared" si="113"/>
        <v>13</v>
      </c>
      <c r="S1049">
        <f t="array" ref="S1049">MAX(IF($C$2:$C$1387=C1049,$R$2:$R$1387))</f>
        <v>29</v>
      </c>
      <c r="T1049" cm="1">
        <f t="array" ref="T1049">MIN(IF($C$2:$C$1387=C1049,$R$2:$R$1387))</f>
        <v>10</v>
      </c>
      <c r="U1049">
        <f t="shared" si="114"/>
        <v>19</v>
      </c>
      <c r="V1049">
        <f t="shared" si="115"/>
        <v>0.15789473684210525</v>
      </c>
      <c r="W1049" cm="1">
        <f t="array" ref="W1049">_xlfn.IFS(N1049=1,5,N1049=2,4,N1049=4,2,N1049=5,1,N1049=3,3)</f>
        <v>5</v>
      </c>
      <c r="X1049">
        <f t="shared" si="116"/>
        <v>17</v>
      </c>
      <c r="Y1049" cm="1">
        <f t="array" ref="Y1049">MAX(IF($C$2:$C$1387=C1049,$X$2:$X$1387))</f>
        <v>32</v>
      </c>
      <c r="Z1049" cm="1">
        <f t="array" ref="Z1049">MIN(IF($C$2:$C$1387=C1049,$X$2:$X$1387))</f>
        <v>10</v>
      </c>
      <c r="AA1049">
        <f t="shared" si="117"/>
        <v>22</v>
      </c>
      <c r="AB1049">
        <f t="shared" si="118"/>
        <v>0.31818181818181818</v>
      </c>
    </row>
    <row r="1050" spans="1:28" x14ac:dyDescent="0.25">
      <c r="A1050" t="s">
        <v>376</v>
      </c>
      <c r="B1050" t="s">
        <v>377</v>
      </c>
      <c r="C1050">
        <v>2014</v>
      </c>
      <c r="D1050">
        <v>1.4459321439111718E-6</v>
      </c>
      <c r="E1050">
        <v>0.79464672420852867</v>
      </c>
      <c r="F1050">
        <v>0.12769568683666269</v>
      </c>
      <c r="G1050">
        <v>1.9459101490553132</v>
      </c>
      <c r="H1050">
        <v>0.14285714285714285</v>
      </c>
      <c r="I1050">
        <v>0.66666666666666663</v>
      </c>
      <c r="J1050">
        <v>1</v>
      </c>
      <c r="K1050">
        <v>1</v>
      </c>
      <c r="L1050">
        <v>4</v>
      </c>
      <c r="M1050">
        <v>4</v>
      </c>
      <c r="N1050">
        <v>1</v>
      </c>
      <c r="O1050">
        <v>1</v>
      </c>
      <c r="P1050">
        <v>1</v>
      </c>
      <c r="Q1050">
        <f t="shared" si="112"/>
        <v>1</v>
      </c>
      <c r="R1050">
        <f t="shared" si="113"/>
        <v>13</v>
      </c>
      <c r="S1050">
        <f t="array" ref="S1050">MAX(IF($C$2:$C$1387=C1050,$R$2:$R$1387))</f>
        <v>29</v>
      </c>
      <c r="T1050" cm="1">
        <f t="array" ref="T1050">MIN(IF($C$2:$C$1387=C1050,$R$2:$R$1387))</f>
        <v>11</v>
      </c>
      <c r="U1050">
        <f t="shared" si="114"/>
        <v>18</v>
      </c>
      <c r="V1050">
        <f t="shared" si="115"/>
        <v>0.1111111111111111</v>
      </c>
      <c r="W1050" cm="1">
        <f t="array" ref="W1050">_xlfn.IFS(N1050=1,5,N1050=2,4,N1050=4,2,N1050=5,1,N1050=3,3)</f>
        <v>5</v>
      </c>
      <c r="X1050">
        <f t="shared" si="116"/>
        <v>17</v>
      </c>
      <c r="Y1050" cm="1">
        <f t="array" ref="Y1050">MAX(IF($C$2:$C$1387=C1050,$X$2:$X$1387))</f>
        <v>30</v>
      </c>
      <c r="Z1050" cm="1">
        <f t="array" ref="Z1050">MIN(IF($C$2:$C$1387=C1050,$X$2:$X$1387))</f>
        <v>14</v>
      </c>
      <c r="AA1050">
        <f t="shared" si="117"/>
        <v>16</v>
      </c>
      <c r="AB1050">
        <f t="shared" si="118"/>
        <v>0.1875</v>
      </c>
    </row>
    <row r="1051" spans="1:28" x14ac:dyDescent="0.25">
      <c r="A1051" t="s">
        <v>376</v>
      </c>
      <c r="B1051" t="s">
        <v>377</v>
      </c>
      <c r="C1051">
        <v>2015</v>
      </c>
      <c r="D1051">
        <v>1.4459321439111718E-6</v>
      </c>
      <c r="E1051">
        <v>0.7987788459058085</v>
      </c>
      <c r="F1051">
        <v>0.12396790365999569</v>
      </c>
      <c r="G1051">
        <v>1.9459101490553132</v>
      </c>
      <c r="H1051">
        <v>0.7142857142857143</v>
      </c>
      <c r="I1051">
        <v>0.66666666666666663</v>
      </c>
      <c r="J1051">
        <v>0</v>
      </c>
      <c r="K1051">
        <v>1</v>
      </c>
      <c r="L1051">
        <v>4</v>
      </c>
      <c r="M1051">
        <v>4</v>
      </c>
      <c r="N1051">
        <v>1</v>
      </c>
      <c r="O1051">
        <v>3</v>
      </c>
      <c r="P1051">
        <v>1</v>
      </c>
      <c r="Q1051">
        <f t="shared" si="112"/>
        <v>5</v>
      </c>
      <c r="R1051">
        <f t="shared" si="113"/>
        <v>19</v>
      </c>
      <c r="S1051">
        <f t="array" ref="S1051">MAX(IF($C$2:$C$1387=C1051,$R$2:$R$1387))</f>
        <v>29</v>
      </c>
      <c r="T1051" cm="1">
        <f t="array" ref="T1051">MIN(IF($C$2:$C$1387=C1051,$R$2:$R$1387))</f>
        <v>11</v>
      </c>
      <c r="U1051">
        <f t="shared" si="114"/>
        <v>18</v>
      </c>
      <c r="V1051">
        <f t="shared" si="115"/>
        <v>0.44444444444444442</v>
      </c>
      <c r="W1051" cm="1">
        <f t="array" ref="W1051">_xlfn.IFS(N1051=1,5,N1051=2,4,N1051=4,2,N1051=5,1,N1051=3,3)</f>
        <v>5</v>
      </c>
      <c r="X1051">
        <f t="shared" si="116"/>
        <v>23</v>
      </c>
      <c r="Y1051" cm="1">
        <f t="array" ref="Y1051">MAX(IF($C$2:$C$1387=C1051,$X$2:$X$1387))</f>
        <v>29</v>
      </c>
      <c r="Z1051" cm="1">
        <f t="array" ref="Z1051">MIN(IF($C$2:$C$1387=C1051,$X$2:$X$1387))</f>
        <v>12</v>
      </c>
      <c r="AA1051">
        <f t="shared" si="117"/>
        <v>17</v>
      </c>
      <c r="AB1051">
        <f t="shared" si="118"/>
        <v>0.6470588235294118</v>
      </c>
    </row>
    <row r="1052" spans="1:28" x14ac:dyDescent="0.25">
      <c r="A1052" t="s">
        <v>378</v>
      </c>
      <c r="B1052" t="s">
        <v>379</v>
      </c>
      <c r="C1052">
        <v>2010</v>
      </c>
      <c r="D1052">
        <v>5.8302612375064134E-9</v>
      </c>
      <c r="E1052">
        <v>0.5700857948011222</v>
      </c>
      <c r="F1052">
        <v>0.32027795583881452</v>
      </c>
      <c r="G1052">
        <v>2.0794415416798357</v>
      </c>
      <c r="H1052">
        <v>0</v>
      </c>
      <c r="I1052">
        <v>1</v>
      </c>
      <c r="J1052">
        <v>0</v>
      </c>
      <c r="K1052">
        <v>1</v>
      </c>
      <c r="L1052">
        <v>2</v>
      </c>
      <c r="M1052">
        <v>5</v>
      </c>
      <c r="N1052">
        <v>3</v>
      </c>
      <c r="O1052">
        <v>1</v>
      </c>
      <c r="P1052">
        <v>3</v>
      </c>
      <c r="Q1052">
        <f t="shared" si="112"/>
        <v>5</v>
      </c>
      <c r="R1052">
        <f t="shared" si="113"/>
        <v>20</v>
      </c>
      <c r="S1052">
        <f t="array" ref="S1052">MAX(IF($C$2:$C$1387=C1052,$R$2:$R$1387))</f>
        <v>29</v>
      </c>
      <c r="T1052" cm="1">
        <f t="array" ref="T1052">MIN(IF($C$2:$C$1387=C1052,$R$2:$R$1387))</f>
        <v>9</v>
      </c>
      <c r="U1052">
        <f t="shared" si="114"/>
        <v>20</v>
      </c>
      <c r="V1052">
        <f t="shared" si="115"/>
        <v>0.55000000000000004</v>
      </c>
      <c r="W1052" cm="1">
        <f t="array" ref="W1052">_xlfn.IFS(N1052=1,5,N1052=2,4,N1052=4,2,N1052=5,1,N1052=3,3)</f>
        <v>3</v>
      </c>
      <c r="X1052">
        <f t="shared" si="116"/>
        <v>20</v>
      </c>
      <c r="Y1052" cm="1">
        <f t="array" ref="Y1052">MAX(IF($C$2:$C$1387=C1052,$X$2:$X$1387))</f>
        <v>29</v>
      </c>
      <c r="Z1052" cm="1">
        <f t="array" ref="Z1052">MIN(IF($C$2:$C$1387=C1052,$X$2:$X$1387))</f>
        <v>12</v>
      </c>
      <c r="AA1052">
        <f t="shared" si="117"/>
        <v>17</v>
      </c>
      <c r="AB1052">
        <f t="shared" si="118"/>
        <v>0.47058823529411764</v>
      </c>
    </row>
    <row r="1053" spans="1:28" x14ac:dyDescent="0.25">
      <c r="A1053" t="s">
        <v>378</v>
      </c>
      <c r="B1053" t="s">
        <v>379</v>
      </c>
      <c r="C1053">
        <v>2011</v>
      </c>
      <c r="D1053">
        <v>0</v>
      </c>
      <c r="E1053">
        <v>0.56238792015114414</v>
      </c>
      <c r="F1053">
        <v>0.31412614403353717</v>
      </c>
      <c r="G1053">
        <v>2.1972245773362196</v>
      </c>
      <c r="H1053">
        <v>0</v>
      </c>
      <c r="I1053">
        <v>1</v>
      </c>
      <c r="J1053">
        <v>0</v>
      </c>
      <c r="K1053">
        <v>1</v>
      </c>
      <c r="L1053">
        <v>2</v>
      </c>
      <c r="M1053">
        <v>5</v>
      </c>
      <c r="N1053">
        <v>4</v>
      </c>
      <c r="O1053">
        <v>1</v>
      </c>
      <c r="P1053">
        <v>3</v>
      </c>
      <c r="Q1053">
        <f t="shared" si="112"/>
        <v>5</v>
      </c>
      <c r="R1053">
        <f t="shared" si="113"/>
        <v>21</v>
      </c>
      <c r="S1053">
        <f t="array" ref="S1053">MAX(IF($C$2:$C$1387=C1053,$R$2:$R$1387))</f>
        <v>28</v>
      </c>
      <c r="T1053" cm="1">
        <f t="array" ref="T1053">MIN(IF($C$2:$C$1387=C1053,$R$2:$R$1387))</f>
        <v>10</v>
      </c>
      <c r="U1053">
        <f t="shared" si="114"/>
        <v>18</v>
      </c>
      <c r="V1053">
        <f t="shared" si="115"/>
        <v>0.61111111111111116</v>
      </c>
      <c r="W1053" cm="1">
        <f t="array" ref="W1053">_xlfn.IFS(N1053=1,5,N1053=2,4,N1053=4,2,N1053=5,1,N1053=3,3)</f>
        <v>2</v>
      </c>
      <c r="X1053">
        <f t="shared" si="116"/>
        <v>19</v>
      </c>
      <c r="Y1053" cm="1">
        <f t="array" ref="Y1053">MAX(IF($C$2:$C$1387=C1053,$X$2:$X$1387))</f>
        <v>29</v>
      </c>
      <c r="Z1053" cm="1">
        <f t="array" ref="Z1053">MIN(IF($C$2:$C$1387=C1053,$X$2:$X$1387))</f>
        <v>12</v>
      </c>
      <c r="AA1053">
        <f t="shared" si="117"/>
        <v>17</v>
      </c>
      <c r="AB1053">
        <f t="shared" si="118"/>
        <v>0.41176470588235292</v>
      </c>
    </row>
    <row r="1054" spans="1:28" x14ac:dyDescent="0.25">
      <c r="A1054" t="s">
        <v>378</v>
      </c>
      <c r="B1054" t="s">
        <v>379</v>
      </c>
      <c r="C1054">
        <v>2012</v>
      </c>
      <c r="D1054">
        <v>5.8302612375064134E-9</v>
      </c>
      <c r="E1054">
        <v>0.56079439897997019</v>
      </c>
      <c r="F1054">
        <v>0.30794188682447304</v>
      </c>
      <c r="G1054">
        <v>2.1972245773362196</v>
      </c>
      <c r="H1054">
        <v>0</v>
      </c>
      <c r="I1054">
        <v>1</v>
      </c>
      <c r="J1054">
        <v>0</v>
      </c>
      <c r="K1054">
        <v>1</v>
      </c>
      <c r="L1054">
        <v>2</v>
      </c>
      <c r="M1054">
        <v>5</v>
      </c>
      <c r="N1054">
        <v>4</v>
      </c>
      <c r="O1054">
        <v>1</v>
      </c>
      <c r="P1054">
        <v>3</v>
      </c>
      <c r="Q1054">
        <f t="shared" si="112"/>
        <v>5</v>
      </c>
      <c r="R1054">
        <f t="shared" si="113"/>
        <v>21</v>
      </c>
      <c r="S1054">
        <f t="array" ref="S1054">MAX(IF($C$2:$C$1387=C1054,$R$2:$R$1387))</f>
        <v>29</v>
      </c>
      <c r="T1054" cm="1">
        <f t="array" ref="T1054">MIN(IF($C$2:$C$1387=C1054,$R$2:$R$1387))</f>
        <v>11</v>
      </c>
      <c r="U1054">
        <f t="shared" si="114"/>
        <v>18</v>
      </c>
      <c r="V1054">
        <f t="shared" si="115"/>
        <v>0.55555555555555558</v>
      </c>
      <c r="W1054" cm="1">
        <f t="array" ref="W1054">_xlfn.IFS(N1054=1,5,N1054=2,4,N1054=4,2,N1054=5,1,N1054=3,3)</f>
        <v>2</v>
      </c>
      <c r="X1054">
        <f t="shared" si="116"/>
        <v>19</v>
      </c>
      <c r="Y1054" cm="1">
        <f t="array" ref="Y1054">MAX(IF($C$2:$C$1387=C1054,$X$2:$X$1387))</f>
        <v>30</v>
      </c>
      <c r="Z1054" cm="1">
        <f t="array" ref="Z1054">MIN(IF($C$2:$C$1387=C1054,$X$2:$X$1387))</f>
        <v>12</v>
      </c>
      <c r="AA1054">
        <f t="shared" si="117"/>
        <v>18</v>
      </c>
      <c r="AB1054">
        <f t="shared" si="118"/>
        <v>0.3888888888888889</v>
      </c>
    </row>
    <row r="1055" spans="1:28" x14ac:dyDescent="0.25">
      <c r="A1055" t="s">
        <v>378</v>
      </c>
      <c r="B1055" t="s">
        <v>379</v>
      </c>
      <c r="C1055">
        <v>2013</v>
      </c>
      <c r="D1055">
        <v>0</v>
      </c>
      <c r="E1055">
        <v>0.56479063448858569</v>
      </c>
      <c r="F1055">
        <v>0.29203893171523931</v>
      </c>
      <c r="G1055">
        <v>2.1972245773362196</v>
      </c>
      <c r="H1055">
        <v>0.55555555555555558</v>
      </c>
      <c r="I1055">
        <v>1</v>
      </c>
      <c r="J1055">
        <v>0</v>
      </c>
      <c r="K1055">
        <v>1</v>
      </c>
      <c r="L1055">
        <v>2</v>
      </c>
      <c r="M1055">
        <v>5</v>
      </c>
      <c r="N1055">
        <v>4</v>
      </c>
      <c r="O1055">
        <v>2</v>
      </c>
      <c r="P1055">
        <v>3</v>
      </c>
      <c r="Q1055">
        <f t="shared" si="112"/>
        <v>5</v>
      </c>
      <c r="R1055">
        <f t="shared" si="113"/>
        <v>22</v>
      </c>
      <c r="S1055">
        <f t="array" ref="S1055">MAX(IF($C$2:$C$1387=C1055,$R$2:$R$1387))</f>
        <v>29</v>
      </c>
      <c r="T1055" cm="1">
        <f t="array" ref="T1055">MIN(IF($C$2:$C$1387=C1055,$R$2:$R$1387))</f>
        <v>10</v>
      </c>
      <c r="U1055">
        <f t="shared" si="114"/>
        <v>19</v>
      </c>
      <c r="V1055">
        <f t="shared" si="115"/>
        <v>0.63157894736842102</v>
      </c>
      <c r="W1055" cm="1">
        <f t="array" ref="W1055">_xlfn.IFS(N1055=1,5,N1055=2,4,N1055=4,2,N1055=5,1,N1055=3,3)</f>
        <v>2</v>
      </c>
      <c r="X1055">
        <f t="shared" si="116"/>
        <v>20</v>
      </c>
      <c r="Y1055" cm="1">
        <f t="array" ref="Y1055">MAX(IF($C$2:$C$1387=C1055,$X$2:$X$1387))</f>
        <v>32</v>
      </c>
      <c r="Z1055" cm="1">
        <f t="array" ref="Z1055">MIN(IF($C$2:$C$1387=C1055,$X$2:$X$1387))</f>
        <v>10</v>
      </c>
      <c r="AA1055">
        <f t="shared" si="117"/>
        <v>22</v>
      </c>
      <c r="AB1055">
        <f t="shared" si="118"/>
        <v>0.45454545454545453</v>
      </c>
    </row>
    <row r="1056" spans="1:28" x14ac:dyDescent="0.25">
      <c r="A1056" t="s">
        <v>378</v>
      </c>
      <c r="B1056" t="s">
        <v>379</v>
      </c>
      <c r="C1056">
        <v>2014</v>
      </c>
      <c r="D1056">
        <v>3.680720480716523E-9</v>
      </c>
      <c r="E1056">
        <v>0.54936457348276679</v>
      </c>
      <c r="F1056">
        <v>0.28125204153461913</v>
      </c>
      <c r="G1056">
        <v>2.3025850929940459</v>
      </c>
      <c r="H1056">
        <v>0.5</v>
      </c>
      <c r="I1056">
        <v>1</v>
      </c>
      <c r="J1056">
        <v>0</v>
      </c>
      <c r="K1056">
        <v>1</v>
      </c>
      <c r="L1056">
        <v>2</v>
      </c>
      <c r="M1056">
        <v>5</v>
      </c>
      <c r="N1056">
        <v>5</v>
      </c>
      <c r="O1056">
        <v>2</v>
      </c>
      <c r="P1056">
        <v>3</v>
      </c>
      <c r="Q1056">
        <f t="shared" si="112"/>
        <v>5</v>
      </c>
      <c r="R1056">
        <f t="shared" si="113"/>
        <v>23</v>
      </c>
      <c r="S1056">
        <f t="array" ref="S1056">MAX(IF($C$2:$C$1387=C1056,$R$2:$R$1387))</f>
        <v>29</v>
      </c>
      <c r="T1056" cm="1">
        <f t="array" ref="T1056">MIN(IF($C$2:$C$1387=C1056,$R$2:$R$1387))</f>
        <v>11</v>
      </c>
      <c r="U1056">
        <f t="shared" si="114"/>
        <v>18</v>
      </c>
      <c r="V1056">
        <f t="shared" si="115"/>
        <v>0.66666666666666663</v>
      </c>
      <c r="W1056" cm="1">
        <f t="array" ref="W1056">_xlfn.IFS(N1056=1,5,N1056=2,4,N1056=4,2,N1056=5,1,N1056=3,3)</f>
        <v>1</v>
      </c>
      <c r="X1056">
        <f t="shared" si="116"/>
        <v>19</v>
      </c>
      <c r="Y1056" cm="1">
        <f t="array" ref="Y1056">MAX(IF($C$2:$C$1387=C1056,$X$2:$X$1387))</f>
        <v>30</v>
      </c>
      <c r="Z1056" cm="1">
        <f t="array" ref="Z1056">MIN(IF($C$2:$C$1387=C1056,$X$2:$X$1387))</f>
        <v>14</v>
      </c>
      <c r="AA1056">
        <f t="shared" si="117"/>
        <v>16</v>
      </c>
      <c r="AB1056">
        <f t="shared" si="118"/>
        <v>0.3125</v>
      </c>
    </row>
    <row r="1057" spans="1:28" x14ac:dyDescent="0.25">
      <c r="A1057" t="s">
        <v>378</v>
      </c>
      <c r="B1057" t="s">
        <v>379</v>
      </c>
      <c r="C1057">
        <v>2015</v>
      </c>
      <c r="D1057">
        <v>3.6807204942642265E-9</v>
      </c>
      <c r="E1057">
        <v>0.54907195454480973</v>
      </c>
      <c r="F1057">
        <v>0.27758320712204104</v>
      </c>
      <c r="G1057">
        <v>2.3025850929940459</v>
      </c>
      <c r="H1057">
        <v>0.5</v>
      </c>
      <c r="I1057">
        <v>1</v>
      </c>
      <c r="J1057">
        <v>1</v>
      </c>
      <c r="K1057">
        <v>1</v>
      </c>
      <c r="L1057">
        <v>2</v>
      </c>
      <c r="M1057">
        <v>5</v>
      </c>
      <c r="N1057">
        <v>5</v>
      </c>
      <c r="O1057">
        <v>1</v>
      </c>
      <c r="P1057">
        <v>2</v>
      </c>
      <c r="Q1057">
        <f t="shared" si="112"/>
        <v>1</v>
      </c>
      <c r="R1057">
        <f t="shared" si="113"/>
        <v>17</v>
      </c>
      <c r="S1057">
        <f t="array" ref="S1057">MAX(IF($C$2:$C$1387=C1057,$R$2:$R$1387))</f>
        <v>29</v>
      </c>
      <c r="T1057" cm="1">
        <f t="array" ref="T1057">MIN(IF($C$2:$C$1387=C1057,$R$2:$R$1387))</f>
        <v>11</v>
      </c>
      <c r="U1057">
        <f t="shared" si="114"/>
        <v>18</v>
      </c>
      <c r="V1057">
        <f t="shared" si="115"/>
        <v>0.33333333333333331</v>
      </c>
      <c r="W1057" cm="1">
        <f t="array" ref="W1057">_xlfn.IFS(N1057=1,5,N1057=2,4,N1057=4,2,N1057=5,1,N1057=3,3)</f>
        <v>1</v>
      </c>
      <c r="X1057">
        <f t="shared" si="116"/>
        <v>13</v>
      </c>
      <c r="Y1057" cm="1">
        <f t="array" ref="Y1057">MAX(IF($C$2:$C$1387=C1057,$X$2:$X$1387))</f>
        <v>29</v>
      </c>
      <c r="Z1057" cm="1">
        <f t="array" ref="Z1057">MIN(IF($C$2:$C$1387=C1057,$X$2:$X$1387))</f>
        <v>12</v>
      </c>
      <c r="AA1057">
        <f t="shared" si="117"/>
        <v>17</v>
      </c>
      <c r="AB1057">
        <f t="shared" si="118"/>
        <v>5.8823529411764705E-2</v>
      </c>
    </row>
    <row r="1058" spans="1:28" x14ac:dyDescent="0.25">
      <c r="A1058" t="s">
        <v>380</v>
      </c>
      <c r="B1058" t="s">
        <v>381</v>
      </c>
      <c r="C1058">
        <v>2010</v>
      </c>
      <c r="D1058">
        <v>0.20865783369022128</v>
      </c>
      <c r="E1058">
        <v>0.23364214846538187</v>
      </c>
      <c r="F1058">
        <v>0.12345599571734475</v>
      </c>
      <c r="G1058">
        <v>2.0794415416798357</v>
      </c>
      <c r="H1058">
        <v>0.5</v>
      </c>
      <c r="I1058">
        <v>0.66666666666666663</v>
      </c>
      <c r="J1058">
        <v>0</v>
      </c>
      <c r="K1058">
        <v>3</v>
      </c>
      <c r="L1058">
        <v>1</v>
      </c>
      <c r="M1058">
        <v>4</v>
      </c>
      <c r="N1058">
        <v>3</v>
      </c>
      <c r="O1058">
        <v>2</v>
      </c>
      <c r="P1058">
        <v>1</v>
      </c>
      <c r="Q1058">
        <f t="shared" si="112"/>
        <v>5</v>
      </c>
      <c r="R1058">
        <f t="shared" si="113"/>
        <v>19</v>
      </c>
      <c r="S1058">
        <f t="array" ref="S1058">MAX(IF($C$2:$C$1387=C1058,$R$2:$R$1387))</f>
        <v>29</v>
      </c>
      <c r="T1058" cm="1">
        <f t="array" ref="T1058">MIN(IF($C$2:$C$1387=C1058,$R$2:$R$1387))</f>
        <v>9</v>
      </c>
      <c r="U1058">
        <f t="shared" si="114"/>
        <v>20</v>
      </c>
      <c r="V1058">
        <f t="shared" si="115"/>
        <v>0.5</v>
      </c>
      <c r="W1058" cm="1">
        <f t="array" ref="W1058">_xlfn.IFS(N1058=1,5,N1058=2,4,N1058=4,2,N1058=5,1,N1058=3,3)</f>
        <v>3</v>
      </c>
      <c r="X1058">
        <f t="shared" si="116"/>
        <v>19</v>
      </c>
      <c r="Y1058" cm="1">
        <f t="array" ref="Y1058">MAX(IF($C$2:$C$1387=C1058,$X$2:$X$1387))</f>
        <v>29</v>
      </c>
      <c r="Z1058" cm="1">
        <f t="array" ref="Z1058">MIN(IF($C$2:$C$1387=C1058,$X$2:$X$1387))</f>
        <v>12</v>
      </c>
      <c r="AA1058">
        <f t="shared" si="117"/>
        <v>17</v>
      </c>
      <c r="AB1058">
        <f t="shared" si="118"/>
        <v>0.41176470588235292</v>
      </c>
    </row>
    <row r="1059" spans="1:28" x14ac:dyDescent="0.25">
      <c r="A1059" t="s">
        <v>380</v>
      </c>
      <c r="B1059" t="s">
        <v>381</v>
      </c>
      <c r="C1059">
        <v>2011</v>
      </c>
      <c r="D1059">
        <v>0.20865783369022128</v>
      </c>
      <c r="E1059">
        <v>0.23364214846538187</v>
      </c>
      <c r="F1059">
        <v>0.12345599571734475</v>
      </c>
      <c r="G1059">
        <v>2.0794415416798357</v>
      </c>
      <c r="H1059">
        <v>0.5</v>
      </c>
      <c r="I1059">
        <v>0.66666666666666663</v>
      </c>
      <c r="J1059">
        <v>0</v>
      </c>
      <c r="K1059">
        <v>3</v>
      </c>
      <c r="L1059">
        <v>1</v>
      </c>
      <c r="M1059">
        <v>4</v>
      </c>
      <c r="N1059">
        <v>3</v>
      </c>
      <c r="O1059">
        <v>2</v>
      </c>
      <c r="P1059">
        <v>1</v>
      </c>
      <c r="Q1059">
        <f t="shared" si="112"/>
        <v>5</v>
      </c>
      <c r="R1059">
        <f t="shared" si="113"/>
        <v>19</v>
      </c>
      <c r="S1059">
        <f t="array" ref="S1059">MAX(IF($C$2:$C$1387=C1059,$R$2:$R$1387))</f>
        <v>28</v>
      </c>
      <c r="T1059" cm="1">
        <f t="array" ref="T1059">MIN(IF($C$2:$C$1387=C1059,$R$2:$R$1387))</f>
        <v>10</v>
      </c>
      <c r="U1059">
        <f t="shared" si="114"/>
        <v>18</v>
      </c>
      <c r="V1059">
        <f t="shared" si="115"/>
        <v>0.5</v>
      </c>
      <c r="W1059" cm="1">
        <f t="array" ref="W1059">_xlfn.IFS(N1059=1,5,N1059=2,4,N1059=4,2,N1059=5,1,N1059=3,3)</f>
        <v>3</v>
      </c>
      <c r="X1059">
        <f t="shared" si="116"/>
        <v>19</v>
      </c>
      <c r="Y1059" cm="1">
        <f t="array" ref="Y1059">MAX(IF($C$2:$C$1387=C1059,$X$2:$X$1387))</f>
        <v>29</v>
      </c>
      <c r="Z1059" cm="1">
        <f t="array" ref="Z1059">MIN(IF($C$2:$C$1387=C1059,$X$2:$X$1387))</f>
        <v>12</v>
      </c>
      <c r="AA1059">
        <f t="shared" si="117"/>
        <v>17</v>
      </c>
      <c r="AB1059">
        <f t="shared" si="118"/>
        <v>0.41176470588235292</v>
      </c>
    </row>
    <row r="1060" spans="1:28" x14ac:dyDescent="0.25">
      <c r="A1060" t="s">
        <v>380</v>
      </c>
      <c r="B1060" t="s">
        <v>381</v>
      </c>
      <c r="C1060">
        <v>2012</v>
      </c>
      <c r="D1060">
        <v>0.23334985724482513</v>
      </c>
      <c r="E1060">
        <v>0.28547460742326908</v>
      </c>
      <c r="F1060">
        <v>0.12284032833690221</v>
      </c>
      <c r="G1060">
        <v>2.0794415416798357</v>
      </c>
      <c r="H1060">
        <v>0.625</v>
      </c>
      <c r="I1060">
        <v>0.66666666666666663</v>
      </c>
      <c r="J1060">
        <v>0</v>
      </c>
      <c r="K1060">
        <v>3</v>
      </c>
      <c r="L1060">
        <v>1</v>
      </c>
      <c r="M1060">
        <v>4</v>
      </c>
      <c r="N1060">
        <v>3</v>
      </c>
      <c r="O1060">
        <v>3</v>
      </c>
      <c r="P1060">
        <v>1</v>
      </c>
      <c r="Q1060">
        <f t="shared" si="112"/>
        <v>5</v>
      </c>
      <c r="R1060">
        <f t="shared" si="113"/>
        <v>20</v>
      </c>
      <c r="S1060">
        <f t="array" ref="S1060">MAX(IF($C$2:$C$1387=C1060,$R$2:$R$1387))</f>
        <v>29</v>
      </c>
      <c r="T1060" cm="1">
        <f t="array" ref="T1060">MIN(IF($C$2:$C$1387=C1060,$R$2:$R$1387))</f>
        <v>11</v>
      </c>
      <c r="U1060">
        <f t="shared" si="114"/>
        <v>18</v>
      </c>
      <c r="V1060">
        <f t="shared" si="115"/>
        <v>0.5</v>
      </c>
      <c r="W1060" cm="1">
        <f t="array" ref="W1060">_xlfn.IFS(N1060=1,5,N1060=2,4,N1060=4,2,N1060=5,1,N1060=3,3)</f>
        <v>3</v>
      </c>
      <c r="X1060">
        <f t="shared" si="116"/>
        <v>20</v>
      </c>
      <c r="Y1060" cm="1">
        <f t="array" ref="Y1060">MAX(IF($C$2:$C$1387=C1060,$X$2:$X$1387))</f>
        <v>30</v>
      </c>
      <c r="Z1060" cm="1">
        <f t="array" ref="Z1060">MIN(IF($C$2:$C$1387=C1060,$X$2:$X$1387))</f>
        <v>12</v>
      </c>
      <c r="AA1060">
        <f t="shared" si="117"/>
        <v>18</v>
      </c>
      <c r="AB1060">
        <f t="shared" si="118"/>
        <v>0.44444444444444442</v>
      </c>
    </row>
    <row r="1061" spans="1:28" x14ac:dyDescent="0.25">
      <c r="A1061" t="s">
        <v>380</v>
      </c>
      <c r="B1061" t="s">
        <v>381</v>
      </c>
      <c r="C1061">
        <v>2013</v>
      </c>
      <c r="D1061">
        <v>0.23342123483226268</v>
      </c>
      <c r="E1061">
        <v>0.2856972876516774</v>
      </c>
      <c r="F1061">
        <v>0.12215667380442541</v>
      </c>
      <c r="G1061">
        <v>2.0794415416798357</v>
      </c>
      <c r="H1061">
        <v>0.5</v>
      </c>
      <c r="I1061">
        <v>1</v>
      </c>
      <c r="J1061">
        <v>0</v>
      </c>
      <c r="K1061">
        <v>3</v>
      </c>
      <c r="L1061">
        <v>1</v>
      </c>
      <c r="M1061">
        <v>4</v>
      </c>
      <c r="N1061">
        <v>3</v>
      </c>
      <c r="O1061">
        <v>2</v>
      </c>
      <c r="P1061">
        <v>3</v>
      </c>
      <c r="Q1061">
        <f t="shared" si="112"/>
        <v>5</v>
      </c>
      <c r="R1061">
        <f t="shared" si="113"/>
        <v>21</v>
      </c>
      <c r="S1061">
        <f t="array" ref="S1061">MAX(IF($C$2:$C$1387=C1061,$R$2:$R$1387))</f>
        <v>29</v>
      </c>
      <c r="T1061" cm="1">
        <f t="array" ref="T1061">MIN(IF($C$2:$C$1387=C1061,$R$2:$R$1387))</f>
        <v>10</v>
      </c>
      <c r="U1061">
        <f t="shared" si="114"/>
        <v>19</v>
      </c>
      <c r="V1061">
        <f t="shared" si="115"/>
        <v>0.57894736842105265</v>
      </c>
      <c r="W1061" cm="1">
        <f t="array" ref="W1061">_xlfn.IFS(N1061=1,5,N1061=2,4,N1061=4,2,N1061=5,1,N1061=3,3)</f>
        <v>3</v>
      </c>
      <c r="X1061">
        <f t="shared" si="116"/>
        <v>21</v>
      </c>
      <c r="Y1061" cm="1">
        <f t="array" ref="Y1061">MAX(IF($C$2:$C$1387=C1061,$X$2:$X$1387))</f>
        <v>32</v>
      </c>
      <c r="Z1061" cm="1">
        <f t="array" ref="Z1061">MIN(IF($C$2:$C$1387=C1061,$X$2:$X$1387))</f>
        <v>10</v>
      </c>
      <c r="AA1061">
        <f t="shared" si="117"/>
        <v>22</v>
      </c>
      <c r="AB1061">
        <f t="shared" si="118"/>
        <v>0.5</v>
      </c>
    </row>
    <row r="1062" spans="1:28" x14ac:dyDescent="0.25">
      <c r="A1062" t="s">
        <v>380</v>
      </c>
      <c r="B1062" t="s">
        <v>381</v>
      </c>
      <c r="C1062">
        <v>2014</v>
      </c>
      <c r="D1062">
        <v>0</v>
      </c>
      <c r="E1062">
        <v>0.32898051391862954</v>
      </c>
      <c r="F1062">
        <v>0</v>
      </c>
      <c r="G1062">
        <v>2.0794415416798357</v>
      </c>
      <c r="H1062">
        <v>0.5</v>
      </c>
      <c r="I1062">
        <v>1</v>
      </c>
      <c r="J1062">
        <v>0</v>
      </c>
      <c r="K1062">
        <v>1</v>
      </c>
      <c r="L1062">
        <v>1</v>
      </c>
      <c r="M1062">
        <v>1</v>
      </c>
      <c r="N1062">
        <v>3</v>
      </c>
      <c r="O1062">
        <v>2</v>
      </c>
      <c r="P1062">
        <v>3</v>
      </c>
      <c r="Q1062">
        <f t="shared" si="112"/>
        <v>5</v>
      </c>
      <c r="R1062">
        <f t="shared" si="113"/>
        <v>16</v>
      </c>
      <c r="S1062">
        <f t="array" ref="S1062">MAX(IF($C$2:$C$1387=C1062,$R$2:$R$1387))</f>
        <v>29</v>
      </c>
      <c r="T1062" cm="1">
        <f t="array" ref="T1062">MIN(IF($C$2:$C$1387=C1062,$R$2:$R$1387))</f>
        <v>11</v>
      </c>
      <c r="U1062">
        <f t="shared" si="114"/>
        <v>18</v>
      </c>
      <c r="V1062">
        <f t="shared" si="115"/>
        <v>0.27777777777777779</v>
      </c>
      <c r="W1062" cm="1">
        <f t="array" ref="W1062">_xlfn.IFS(N1062=1,5,N1062=2,4,N1062=4,2,N1062=5,1,N1062=3,3)</f>
        <v>3</v>
      </c>
      <c r="X1062">
        <f t="shared" si="116"/>
        <v>16</v>
      </c>
      <c r="Y1062" cm="1">
        <f t="array" ref="Y1062">MAX(IF($C$2:$C$1387=C1062,$X$2:$X$1387))</f>
        <v>30</v>
      </c>
      <c r="Z1062" cm="1">
        <f t="array" ref="Z1062">MIN(IF($C$2:$C$1387=C1062,$X$2:$X$1387))</f>
        <v>14</v>
      </c>
      <c r="AA1062">
        <f t="shared" si="117"/>
        <v>16</v>
      </c>
      <c r="AB1062">
        <f t="shared" si="118"/>
        <v>0.125</v>
      </c>
    </row>
    <row r="1063" spans="1:28" x14ac:dyDescent="0.25">
      <c r="A1063" t="s">
        <v>380</v>
      </c>
      <c r="B1063" t="s">
        <v>381</v>
      </c>
      <c r="C1063">
        <v>2015</v>
      </c>
      <c r="D1063">
        <v>0.23342123483226268</v>
      </c>
      <c r="E1063">
        <v>0.32427587437544608</v>
      </c>
      <c r="F1063">
        <v>9.6552194860813706E-2</v>
      </c>
      <c r="G1063">
        <v>2.0794415416798357</v>
      </c>
      <c r="H1063">
        <v>0.5</v>
      </c>
      <c r="I1063">
        <v>1</v>
      </c>
      <c r="J1063">
        <v>0</v>
      </c>
      <c r="K1063">
        <v>3</v>
      </c>
      <c r="L1063">
        <v>1</v>
      </c>
      <c r="M1063">
        <v>4</v>
      </c>
      <c r="N1063">
        <v>3</v>
      </c>
      <c r="O1063">
        <v>1</v>
      </c>
      <c r="P1063">
        <v>2</v>
      </c>
      <c r="Q1063">
        <f t="shared" si="112"/>
        <v>5</v>
      </c>
      <c r="R1063">
        <f t="shared" si="113"/>
        <v>19</v>
      </c>
      <c r="S1063">
        <f t="array" ref="S1063">MAX(IF($C$2:$C$1387=C1063,$R$2:$R$1387))</f>
        <v>29</v>
      </c>
      <c r="T1063" cm="1">
        <f t="array" ref="T1063">MIN(IF($C$2:$C$1387=C1063,$R$2:$R$1387))</f>
        <v>11</v>
      </c>
      <c r="U1063">
        <f t="shared" si="114"/>
        <v>18</v>
      </c>
      <c r="V1063">
        <f t="shared" si="115"/>
        <v>0.44444444444444442</v>
      </c>
      <c r="W1063" cm="1">
        <f t="array" ref="W1063">_xlfn.IFS(N1063=1,5,N1063=2,4,N1063=4,2,N1063=5,1,N1063=3,3)</f>
        <v>3</v>
      </c>
      <c r="X1063">
        <f t="shared" si="116"/>
        <v>19</v>
      </c>
      <c r="Y1063" cm="1">
        <f t="array" ref="Y1063">MAX(IF($C$2:$C$1387=C1063,$X$2:$X$1387))</f>
        <v>29</v>
      </c>
      <c r="Z1063" cm="1">
        <f t="array" ref="Z1063">MIN(IF($C$2:$C$1387=C1063,$X$2:$X$1387))</f>
        <v>12</v>
      </c>
      <c r="AA1063">
        <f t="shared" si="117"/>
        <v>17</v>
      </c>
      <c r="AB1063">
        <f t="shared" si="118"/>
        <v>0.41176470588235292</v>
      </c>
    </row>
    <row r="1064" spans="1:28" x14ac:dyDescent="0.25">
      <c r="A1064" t="s">
        <v>382</v>
      </c>
      <c r="B1064" t="s">
        <v>383</v>
      </c>
      <c r="C1064">
        <v>2010</v>
      </c>
      <c r="D1064">
        <v>0.38970730769230771</v>
      </c>
      <c r="E1064">
        <v>0.27188800000000002</v>
      </c>
      <c r="F1064">
        <v>0</v>
      </c>
      <c r="G1064">
        <v>1.9459101490553132</v>
      </c>
      <c r="H1064">
        <v>0.2857142857142857</v>
      </c>
      <c r="I1064">
        <v>0.66666666666666663</v>
      </c>
      <c r="J1064">
        <v>0</v>
      </c>
      <c r="K1064">
        <v>4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f t="shared" si="112"/>
        <v>5</v>
      </c>
      <c r="R1064">
        <f t="shared" si="113"/>
        <v>14</v>
      </c>
      <c r="S1064">
        <f t="array" ref="S1064">MAX(IF($C$2:$C$1387=C1064,$R$2:$R$1387))</f>
        <v>29</v>
      </c>
      <c r="T1064" cm="1">
        <f t="array" ref="T1064">MIN(IF($C$2:$C$1387=C1064,$R$2:$R$1387))</f>
        <v>9</v>
      </c>
      <c r="U1064">
        <f t="shared" si="114"/>
        <v>20</v>
      </c>
      <c r="V1064">
        <f t="shared" si="115"/>
        <v>0.25</v>
      </c>
      <c r="W1064" cm="1">
        <f t="array" ref="W1064">_xlfn.IFS(N1064=1,5,N1064=2,4,N1064=4,2,N1064=5,1,N1064=3,3)</f>
        <v>5</v>
      </c>
      <c r="X1064">
        <f t="shared" si="116"/>
        <v>18</v>
      </c>
      <c r="Y1064" cm="1">
        <f t="array" ref="Y1064">MAX(IF($C$2:$C$1387=C1064,$X$2:$X$1387))</f>
        <v>29</v>
      </c>
      <c r="Z1064" cm="1">
        <f t="array" ref="Z1064">MIN(IF($C$2:$C$1387=C1064,$X$2:$X$1387))</f>
        <v>12</v>
      </c>
      <c r="AA1064">
        <f t="shared" si="117"/>
        <v>17</v>
      </c>
      <c r="AB1064">
        <f t="shared" si="118"/>
        <v>0.35294117647058826</v>
      </c>
    </row>
    <row r="1065" spans="1:28" x14ac:dyDescent="0.25">
      <c r="A1065" t="s">
        <v>382</v>
      </c>
      <c r="B1065" t="s">
        <v>383</v>
      </c>
      <c r="C1065">
        <v>2011</v>
      </c>
      <c r="D1065">
        <v>0.32685476923076923</v>
      </c>
      <c r="E1065">
        <v>0.31056861538461539</v>
      </c>
      <c r="F1065">
        <v>4.7802307692307693E-3</v>
      </c>
      <c r="G1065">
        <v>1.9459101490553132</v>
      </c>
      <c r="H1065">
        <v>0.2857142857142857</v>
      </c>
      <c r="I1065">
        <v>0.66666666666666663</v>
      </c>
      <c r="J1065">
        <v>0</v>
      </c>
      <c r="K1065">
        <v>4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f t="shared" si="112"/>
        <v>5</v>
      </c>
      <c r="R1065">
        <f t="shared" si="113"/>
        <v>14</v>
      </c>
      <c r="S1065">
        <f t="array" ref="S1065">MAX(IF($C$2:$C$1387=C1065,$R$2:$R$1387))</f>
        <v>28</v>
      </c>
      <c r="T1065" cm="1">
        <f t="array" ref="T1065">MIN(IF($C$2:$C$1387=C1065,$R$2:$R$1387))</f>
        <v>10</v>
      </c>
      <c r="U1065">
        <f t="shared" si="114"/>
        <v>18</v>
      </c>
      <c r="V1065">
        <f t="shared" si="115"/>
        <v>0.22222222222222221</v>
      </c>
      <c r="W1065" cm="1">
        <f t="array" ref="W1065">_xlfn.IFS(N1065=1,5,N1065=2,4,N1065=4,2,N1065=5,1,N1065=3,3)</f>
        <v>5</v>
      </c>
      <c r="X1065">
        <f t="shared" si="116"/>
        <v>18</v>
      </c>
      <c r="Y1065" cm="1">
        <f t="array" ref="Y1065">MAX(IF($C$2:$C$1387=C1065,$X$2:$X$1387))</f>
        <v>29</v>
      </c>
      <c r="Z1065" cm="1">
        <f t="array" ref="Z1065">MIN(IF($C$2:$C$1387=C1065,$X$2:$X$1387))</f>
        <v>12</v>
      </c>
      <c r="AA1065">
        <f t="shared" si="117"/>
        <v>17</v>
      </c>
      <c r="AB1065">
        <f t="shared" si="118"/>
        <v>0.35294117647058826</v>
      </c>
    </row>
    <row r="1066" spans="1:28" x14ac:dyDescent="0.25">
      <c r="A1066" t="s">
        <v>382</v>
      </c>
      <c r="B1066" t="s">
        <v>383</v>
      </c>
      <c r="C1066">
        <v>2012</v>
      </c>
      <c r="D1066">
        <v>0.32685476923076923</v>
      </c>
      <c r="E1066">
        <v>0.31056861538461539</v>
      </c>
      <c r="F1066">
        <v>4.7802307692307693E-3</v>
      </c>
      <c r="G1066">
        <v>1.9459101490553132</v>
      </c>
      <c r="H1066">
        <v>0.2857142857142857</v>
      </c>
      <c r="I1066">
        <v>0.66666666666666663</v>
      </c>
      <c r="J1066">
        <v>0</v>
      </c>
      <c r="K1066">
        <v>4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f t="shared" si="112"/>
        <v>5</v>
      </c>
      <c r="R1066">
        <f t="shared" si="113"/>
        <v>14</v>
      </c>
      <c r="S1066">
        <f t="array" ref="S1066">MAX(IF($C$2:$C$1387=C1066,$R$2:$R$1387))</f>
        <v>29</v>
      </c>
      <c r="T1066" cm="1">
        <f t="array" ref="T1066">MIN(IF($C$2:$C$1387=C1066,$R$2:$R$1387))</f>
        <v>11</v>
      </c>
      <c r="U1066">
        <f t="shared" si="114"/>
        <v>18</v>
      </c>
      <c r="V1066">
        <f t="shared" si="115"/>
        <v>0.16666666666666666</v>
      </c>
      <c r="W1066" cm="1">
        <f t="array" ref="W1066">_xlfn.IFS(N1066=1,5,N1066=2,4,N1066=4,2,N1066=5,1,N1066=3,3)</f>
        <v>5</v>
      </c>
      <c r="X1066">
        <f t="shared" si="116"/>
        <v>18</v>
      </c>
      <c r="Y1066" cm="1">
        <f t="array" ref="Y1066">MAX(IF($C$2:$C$1387=C1066,$X$2:$X$1387))</f>
        <v>30</v>
      </c>
      <c r="Z1066" cm="1">
        <f t="array" ref="Z1066">MIN(IF($C$2:$C$1387=C1066,$X$2:$X$1387))</f>
        <v>12</v>
      </c>
      <c r="AA1066">
        <f t="shared" si="117"/>
        <v>18</v>
      </c>
      <c r="AB1066">
        <f t="shared" si="118"/>
        <v>0.33333333333333331</v>
      </c>
    </row>
    <row r="1067" spans="1:28" x14ac:dyDescent="0.25">
      <c r="A1067" t="s">
        <v>382</v>
      </c>
      <c r="B1067" t="s">
        <v>383</v>
      </c>
      <c r="C1067">
        <v>2013</v>
      </c>
      <c r="D1067">
        <v>0.32685476923076923</v>
      </c>
      <c r="E1067">
        <v>0.31056861538461539</v>
      </c>
      <c r="F1067">
        <v>4.7802307692307693E-3</v>
      </c>
      <c r="G1067">
        <v>1.9459101490553132</v>
      </c>
      <c r="H1067">
        <v>0.2857142857142857</v>
      </c>
      <c r="I1067">
        <v>0.66666666666666663</v>
      </c>
      <c r="J1067">
        <v>0</v>
      </c>
      <c r="K1067">
        <v>4</v>
      </c>
      <c r="L1067">
        <v>1</v>
      </c>
      <c r="M1067">
        <v>2</v>
      </c>
      <c r="N1067">
        <v>1</v>
      </c>
      <c r="O1067">
        <v>1</v>
      </c>
      <c r="P1067">
        <v>1</v>
      </c>
      <c r="Q1067">
        <f t="shared" si="112"/>
        <v>5</v>
      </c>
      <c r="R1067">
        <f t="shared" si="113"/>
        <v>15</v>
      </c>
      <c r="S1067">
        <f t="array" ref="S1067">MAX(IF($C$2:$C$1387=C1067,$R$2:$R$1387))</f>
        <v>29</v>
      </c>
      <c r="T1067" cm="1">
        <f t="array" ref="T1067">MIN(IF($C$2:$C$1387=C1067,$R$2:$R$1387))</f>
        <v>10</v>
      </c>
      <c r="U1067">
        <f t="shared" si="114"/>
        <v>19</v>
      </c>
      <c r="V1067">
        <f t="shared" si="115"/>
        <v>0.26315789473684209</v>
      </c>
      <c r="W1067" cm="1">
        <f t="array" ref="W1067">_xlfn.IFS(N1067=1,5,N1067=2,4,N1067=4,2,N1067=5,1,N1067=3,3)</f>
        <v>5</v>
      </c>
      <c r="X1067">
        <f t="shared" si="116"/>
        <v>19</v>
      </c>
      <c r="Y1067" cm="1">
        <f t="array" ref="Y1067">MAX(IF($C$2:$C$1387=C1067,$X$2:$X$1387))</f>
        <v>32</v>
      </c>
      <c r="Z1067" cm="1">
        <f t="array" ref="Z1067">MIN(IF($C$2:$C$1387=C1067,$X$2:$X$1387))</f>
        <v>10</v>
      </c>
      <c r="AA1067">
        <f t="shared" si="117"/>
        <v>22</v>
      </c>
      <c r="AB1067">
        <f t="shared" si="118"/>
        <v>0.40909090909090912</v>
      </c>
    </row>
    <row r="1068" spans="1:28" x14ac:dyDescent="0.25">
      <c r="A1068" t="s">
        <v>382</v>
      </c>
      <c r="B1068" t="s">
        <v>383</v>
      </c>
      <c r="C1068">
        <v>2014</v>
      </c>
      <c r="D1068">
        <v>0.32685476923076923</v>
      </c>
      <c r="E1068">
        <v>0.31056861538461539</v>
      </c>
      <c r="F1068">
        <v>4.7802307692307693E-3</v>
      </c>
      <c r="G1068">
        <v>1.9459101490553132</v>
      </c>
      <c r="H1068">
        <v>0.2857142857142857</v>
      </c>
      <c r="I1068">
        <v>1</v>
      </c>
      <c r="J1068">
        <v>0</v>
      </c>
      <c r="K1068">
        <v>4</v>
      </c>
      <c r="L1068">
        <v>1</v>
      </c>
      <c r="M1068">
        <v>2</v>
      </c>
      <c r="N1068">
        <v>1</v>
      </c>
      <c r="O1068">
        <v>1</v>
      </c>
      <c r="P1068">
        <v>3</v>
      </c>
      <c r="Q1068">
        <f t="shared" si="112"/>
        <v>5</v>
      </c>
      <c r="R1068">
        <f t="shared" si="113"/>
        <v>17</v>
      </c>
      <c r="S1068">
        <f t="array" ref="S1068">MAX(IF($C$2:$C$1387=C1068,$R$2:$R$1387))</f>
        <v>29</v>
      </c>
      <c r="T1068" cm="1">
        <f t="array" ref="T1068">MIN(IF($C$2:$C$1387=C1068,$R$2:$R$1387))</f>
        <v>11</v>
      </c>
      <c r="U1068">
        <f t="shared" si="114"/>
        <v>18</v>
      </c>
      <c r="V1068">
        <f t="shared" si="115"/>
        <v>0.33333333333333331</v>
      </c>
      <c r="W1068" cm="1">
        <f t="array" ref="W1068">_xlfn.IFS(N1068=1,5,N1068=2,4,N1068=4,2,N1068=5,1,N1068=3,3)</f>
        <v>5</v>
      </c>
      <c r="X1068">
        <f t="shared" si="116"/>
        <v>21</v>
      </c>
      <c r="Y1068" cm="1">
        <f t="array" ref="Y1068">MAX(IF($C$2:$C$1387=C1068,$X$2:$X$1387))</f>
        <v>30</v>
      </c>
      <c r="Z1068" cm="1">
        <f t="array" ref="Z1068">MIN(IF($C$2:$C$1387=C1068,$X$2:$X$1387))</f>
        <v>14</v>
      </c>
      <c r="AA1068">
        <f t="shared" si="117"/>
        <v>16</v>
      </c>
      <c r="AB1068">
        <f t="shared" si="118"/>
        <v>0.4375</v>
      </c>
    </row>
    <row r="1069" spans="1:28" x14ac:dyDescent="0.25">
      <c r="A1069" t="s">
        <v>382</v>
      </c>
      <c r="B1069" t="s">
        <v>383</v>
      </c>
      <c r="C1069">
        <v>2015</v>
      </c>
      <c r="D1069">
        <v>0.32808553846153848</v>
      </c>
      <c r="E1069">
        <v>0.31056861538461539</v>
      </c>
      <c r="F1069">
        <v>4.0879230769230767E-3</v>
      </c>
      <c r="G1069">
        <v>2.0794415416798357</v>
      </c>
      <c r="H1069">
        <v>0.375</v>
      </c>
      <c r="I1069">
        <v>1</v>
      </c>
      <c r="J1069">
        <v>0</v>
      </c>
      <c r="K1069">
        <v>4</v>
      </c>
      <c r="L1069">
        <v>1</v>
      </c>
      <c r="M1069">
        <v>1</v>
      </c>
      <c r="N1069">
        <v>3</v>
      </c>
      <c r="O1069">
        <v>1</v>
      </c>
      <c r="P1069">
        <v>2</v>
      </c>
      <c r="Q1069">
        <f t="shared" si="112"/>
        <v>5</v>
      </c>
      <c r="R1069">
        <f t="shared" si="113"/>
        <v>17</v>
      </c>
      <c r="S1069">
        <f t="array" ref="S1069">MAX(IF($C$2:$C$1387=C1069,$R$2:$R$1387))</f>
        <v>29</v>
      </c>
      <c r="T1069" cm="1">
        <f t="array" ref="T1069">MIN(IF($C$2:$C$1387=C1069,$R$2:$R$1387))</f>
        <v>11</v>
      </c>
      <c r="U1069">
        <f t="shared" si="114"/>
        <v>18</v>
      </c>
      <c r="V1069">
        <f t="shared" si="115"/>
        <v>0.33333333333333331</v>
      </c>
      <c r="W1069" cm="1">
        <f t="array" ref="W1069">_xlfn.IFS(N1069=1,5,N1069=2,4,N1069=4,2,N1069=5,1,N1069=3,3)</f>
        <v>3</v>
      </c>
      <c r="X1069">
        <f t="shared" si="116"/>
        <v>17</v>
      </c>
      <c r="Y1069" cm="1">
        <f t="array" ref="Y1069">MAX(IF($C$2:$C$1387=C1069,$X$2:$X$1387))</f>
        <v>29</v>
      </c>
      <c r="Z1069" cm="1">
        <f t="array" ref="Z1069">MIN(IF($C$2:$C$1387=C1069,$X$2:$X$1387))</f>
        <v>12</v>
      </c>
      <c r="AA1069">
        <f t="shared" si="117"/>
        <v>17</v>
      </c>
      <c r="AB1069">
        <f t="shared" si="118"/>
        <v>0.29411764705882354</v>
      </c>
    </row>
    <row r="1070" spans="1:28" x14ac:dyDescent="0.25">
      <c r="A1070" t="s">
        <v>384</v>
      </c>
      <c r="B1070" t="s">
        <v>385</v>
      </c>
      <c r="C1070">
        <v>2010</v>
      </c>
      <c r="D1070">
        <v>0.51882002339181288</v>
      </c>
      <c r="E1070">
        <v>0.61890685380116961</v>
      </c>
      <c r="F1070">
        <v>0.15096299415204678</v>
      </c>
      <c r="G1070">
        <v>1.9459101490553132</v>
      </c>
      <c r="H1070">
        <v>0.5714285714285714</v>
      </c>
      <c r="I1070">
        <v>1</v>
      </c>
      <c r="J1070">
        <v>0</v>
      </c>
      <c r="K1070">
        <v>5</v>
      </c>
      <c r="L1070">
        <v>3</v>
      </c>
      <c r="M1070">
        <v>4</v>
      </c>
      <c r="N1070">
        <v>1</v>
      </c>
      <c r="O1070">
        <v>2</v>
      </c>
      <c r="P1070">
        <v>3</v>
      </c>
      <c r="Q1070">
        <f t="shared" si="112"/>
        <v>5</v>
      </c>
      <c r="R1070">
        <f t="shared" si="113"/>
        <v>23</v>
      </c>
      <c r="S1070">
        <f t="array" ref="S1070">MAX(IF($C$2:$C$1387=C1070,$R$2:$R$1387))</f>
        <v>29</v>
      </c>
      <c r="T1070" cm="1">
        <f t="array" ref="T1070">MIN(IF($C$2:$C$1387=C1070,$R$2:$R$1387))</f>
        <v>9</v>
      </c>
      <c r="U1070">
        <f t="shared" si="114"/>
        <v>20</v>
      </c>
      <c r="V1070">
        <f t="shared" si="115"/>
        <v>0.7</v>
      </c>
      <c r="W1070" cm="1">
        <f t="array" ref="W1070">_xlfn.IFS(N1070=1,5,N1070=2,4,N1070=4,2,N1070=5,1,N1070=3,3)</f>
        <v>5</v>
      </c>
      <c r="X1070">
        <f t="shared" si="116"/>
        <v>27</v>
      </c>
      <c r="Y1070" cm="1">
        <f t="array" ref="Y1070">MAX(IF($C$2:$C$1387=C1070,$X$2:$X$1387))</f>
        <v>29</v>
      </c>
      <c r="Z1070" cm="1">
        <f t="array" ref="Z1070">MIN(IF($C$2:$C$1387=C1070,$X$2:$X$1387))</f>
        <v>12</v>
      </c>
      <c r="AA1070">
        <f t="shared" si="117"/>
        <v>17</v>
      </c>
      <c r="AB1070">
        <f t="shared" si="118"/>
        <v>0.88235294117647056</v>
      </c>
    </row>
    <row r="1071" spans="1:28" x14ac:dyDescent="0.25">
      <c r="A1071" t="s">
        <v>384</v>
      </c>
      <c r="B1071" t="s">
        <v>385</v>
      </c>
      <c r="C1071">
        <v>2011</v>
      </c>
      <c r="D1071">
        <v>9.4756718859546618E-3</v>
      </c>
      <c r="E1071">
        <v>0.6410522084599205</v>
      </c>
      <c r="F1071">
        <v>0.38659172703902783</v>
      </c>
      <c r="G1071">
        <v>1.9459101490553132</v>
      </c>
      <c r="H1071">
        <v>0.5714285714285714</v>
      </c>
      <c r="I1071">
        <v>1</v>
      </c>
      <c r="J1071">
        <v>0</v>
      </c>
      <c r="K1071">
        <v>2</v>
      </c>
      <c r="L1071">
        <v>3</v>
      </c>
      <c r="M1071">
        <v>5</v>
      </c>
      <c r="N1071">
        <v>1</v>
      </c>
      <c r="O1071">
        <v>2</v>
      </c>
      <c r="P1071">
        <v>3</v>
      </c>
      <c r="Q1071">
        <f t="shared" si="112"/>
        <v>5</v>
      </c>
      <c r="R1071">
        <f t="shared" si="113"/>
        <v>21</v>
      </c>
      <c r="S1071">
        <f t="array" ref="S1071">MAX(IF($C$2:$C$1387=C1071,$R$2:$R$1387))</f>
        <v>28</v>
      </c>
      <c r="T1071" cm="1">
        <f t="array" ref="T1071">MIN(IF($C$2:$C$1387=C1071,$R$2:$R$1387))</f>
        <v>10</v>
      </c>
      <c r="U1071">
        <f t="shared" si="114"/>
        <v>18</v>
      </c>
      <c r="V1071">
        <f t="shared" si="115"/>
        <v>0.61111111111111116</v>
      </c>
      <c r="W1071" cm="1">
        <f t="array" ref="W1071">_xlfn.IFS(N1071=1,5,N1071=2,4,N1071=4,2,N1071=5,1,N1071=3,3)</f>
        <v>5</v>
      </c>
      <c r="X1071">
        <f t="shared" si="116"/>
        <v>25</v>
      </c>
      <c r="Y1071" cm="1">
        <f t="array" ref="Y1071">MAX(IF($C$2:$C$1387=C1071,$X$2:$X$1387))</f>
        <v>29</v>
      </c>
      <c r="Z1071" cm="1">
        <f t="array" ref="Z1071">MIN(IF($C$2:$C$1387=C1071,$X$2:$X$1387))</f>
        <v>12</v>
      </c>
      <c r="AA1071">
        <f t="shared" si="117"/>
        <v>17</v>
      </c>
      <c r="AB1071">
        <f t="shared" si="118"/>
        <v>0.76470588235294112</v>
      </c>
    </row>
    <row r="1072" spans="1:28" x14ac:dyDescent="0.25">
      <c r="A1072" t="s">
        <v>384</v>
      </c>
      <c r="B1072" t="s">
        <v>385</v>
      </c>
      <c r="C1072">
        <v>2012</v>
      </c>
      <c r="D1072">
        <v>0.9388440173229069</v>
      </c>
      <c r="E1072">
        <v>0.73482482745956201</v>
      </c>
      <c r="F1072">
        <v>0.12100065802561709</v>
      </c>
      <c r="G1072">
        <v>1.9459101490553132</v>
      </c>
      <c r="H1072">
        <v>0.5714285714285714</v>
      </c>
      <c r="I1072">
        <v>1</v>
      </c>
      <c r="J1072">
        <v>0</v>
      </c>
      <c r="K1072">
        <v>5</v>
      </c>
      <c r="L1072">
        <v>4</v>
      </c>
      <c r="M1072">
        <v>4</v>
      </c>
      <c r="N1072">
        <v>1</v>
      </c>
      <c r="O1072">
        <v>2</v>
      </c>
      <c r="P1072">
        <v>3</v>
      </c>
      <c r="Q1072">
        <f t="shared" si="112"/>
        <v>5</v>
      </c>
      <c r="R1072">
        <f t="shared" si="113"/>
        <v>24</v>
      </c>
      <c r="S1072">
        <f t="array" ref="S1072">MAX(IF($C$2:$C$1387=C1072,$R$2:$R$1387))</f>
        <v>29</v>
      </c>
      <c r="T1072" cm="1">
        <f t="array" ref="T1072">MIN(IF($C$2:$C$1387=C1072,$R$2:$R$1387))</f>
        <v>11</v>
      </c>
      <c r="U1072">
        <f t="shared" si="114"/>
        <v>18</v>
      </c>
      <c r="V1072">
        <f t="shared" si="115"/>
        <v>0.72222222222222221</v>
      </c>
      <c r="W1072" cm="1">
        <f t="array" ref="W1072">_xlfn.IFS(N1072=1,5,N1072=2,4,N1072=4,2,N1072=5,1,N1072=3,3)</f>
        <v>5</v>
      </c>
      <c r="X1072">
        <f t="shared" si="116"/>
        <v>28</v>
      </c>
      <c r="Y1072" cm="1">
        <f t="array" ref="Y1072">MAX(IF($C$2:$C$1387=C1072,$X$2:$X$1387))</f>
        <v>30</v>
      </c>
      <c r="Z1072" cm="1">
        <f t="array" ref="Z1072">MIN(IF($C$2:$C$1387=C1072,$X$2:$X$1387))</f>
        <v>12</v>
      </c>
      <c r="AA1072">
        <f t="shared" si="117"/>
        <v>18</v>
      </c>
      <c r="AB1072">
        <f t="shared" si="118"/>
        <v>0.88888888888888884</v>
      </c>
    </row>
    <row r="1073" spans="1:28" x14ac:dyDescent="0.25">
      <c r="A1073" t="s">
        <v>384</v>
      </c>
      <c r="B1073" t="s">
        <v>385</v>
      </c>
      <c r="C1073">
        <v>2013</v>
      </c>
      <c r="D1073">
        <v>0</v>
      </c>
      <c r="E1073">
        <v>0.33415356734747048</v>
      </c>
      <c r="F1073">
        <v>1.4280041110677953E-2</v>
      </c>
      <c r="G1073">
        <v>1.9459101490553132</v>
      </c>
      <c r="H1073">
        <v>0.5714285714285714</v>
      </c>
      <c r="I1073">
        <v>1</v>
      </c>
      <c r="J1073">
        <v>0</v>
      </c>
      <c r="K1073">
        <v>1</v>
      </c>
      <c r="L1073">
        <v>1</v>
      </c>
      <c r="M1073">
        <v>2</v>
      </c>
      <c r="N1073">
        <v>1</v>
      </c>
      <c r="O1073">
        <v>2</v>
      </c>
      <c r="P1073">
        <v>3</v>
      </c>
      <c r="Q1073">
        <f t="shared" si="112"/>
        <v>5</v>
      </c>
      <c r="R1073">
        <f t="shared" si="113"/>
        <v>15</v>
      </c>
      <c r="S1073">
        <f t="array" ref="S1073">MAX(IF($C$2:$C$1387=C1073,$R$2:$R$1387))</f>
        <v>29</v>
      </c>
      <c r="T1073" cm="1">
        <f t="array" ref="T1073">MIN(IF($C$2:$C$1387=C1073,$R$2:$R$1387))</f>
        <v>10</v>
      </c>
      <c r="U1073">
        <f t="shared" si="114"/>
        <v>19</v>
      </c>
      <c r="V1073">
        <f t="shared" si="115"/>
        <v>0.26315789473684209</v>
      </c>
      <c r="W1073" cm="1">
        <f t="array" ref="W1073">_xlfn.IFS(N1073=1,5,N1073=2,4,N1073=4,2,N1073=5,1,N1073=3,3)</f>
        <v>5</v>
      </c>
      <c r="X1073">
        <f t="shared" si="116"/>
        <v>19</v>
      </c>
      <c r="Y1073" cm="1">
        <f t="array" ref="Y1073">MAX(IF($C$2:$C$1387=C1073,$X$2:$X$1387))</f>
        <v>32</v>
      </c>
      <c r="Z1073" cm="1">
        <f t="array" ref="Z1073">MIN(IF($C$2:$C$1387=C1073,$X$2:$X$1387))</f>
        <v>10</v>
      </c>
      <c r="AA1073">
        <f t="shared" si="117"/>
        <v>22</v>
      </c>
      <c r="AB1073">
        <f t="shared" si="118"/>
        <v>0.40909090909090912</v>
      </c>
    </row>
    <row r="1074" spans="1:28" x14ac:dyDescent="0.25">
      <c r="A1074" t="s">
        <v>384</v>
      </c>
      <c r="B1074" t="s">
        <v>385</v>
      </c>
      <c r="C1074">
        <v>2014</v>
      </c>
      <c r="D1074">
        <v>0.49743154047227472</v>
      </c>
      <c r="E1074">
        <v>0.33415356734747048</v>
      </c>
      <c r="F1074">
        <v>1.4280041110677953E-2</v>
      </c>
      <c r="G1074">
        <v>1.9459101490553132</v>
      </c>
      <c r="H1074">
        <v>0.5714285714285714</v>
      </c>
      <c r="I1074">
        <v>1</v>
      </c>
      <c r="J1074">
        <v>0</v>
      </c>
      <c r="K1074">
        <v>4</v>
      </c>
      <c r="L1074">
        <v>1</v>
      </c>
      <c r="M1074">
        <v>2</v>
      </c>
      <c r="N1074">
        <v>1</v>
      </c>
      <c r="O1074">
        <v>2</v>
      </c>
      <c r="P1074">
        <v>3</v>
      </c>
      <c r="Q1074">
        <f t="shared" si="112"/>
        <v>5</v>
      </c>
      <c r="R1074">
        <f t="shared" si="113"/>
        <v>18</v>
      </c>
      <c r="S1074">
        <f t="array" ref="S1074">MAX(IF($C$2:$C$1387=C1074,$R$2:$R$1387))</f>
        <v>29</v>
      </c>
      <c r="T1074" cm="1">
        <f t="array" ref="T1074">MIN(IF($C$2:$C$1387=C1074,$R$2:$R$1387))</f>
        <v>11</v>
      </c>
      <c r="U1074">
        <f t="shared" si="114"/>
        <v>18</v>
      </c>
      <c r="V1074">
        <f t="shared" si="115"/>
        <v>0.3888888888888889</v>
      </c>
      <c r="W1074" cm="1">
        <f t="array" ref="W1074">_xlfn.IFS(N1074=1,5,N1074=2,4,N1074=4,2,N1074=5,1,N1074=3,3)</f>
        <v>5</v>
      </c>
      <c r="X1074">
        <f t="shared" si="116"/>
        <v>22</v>
      </c>
      <c r="Y1074" cm="1">
        <f t="array" ref="Y1074">MAX(IF($C$2:$C$1387=C1074,$X$2:$X$1387))</f>
        <v>30</v>
      </c>
      <c r="Z1074" cm="1">
        <f t="array" ref="Z1074">MIN(IF($C$2:$C$1387=C1074,$X$2:$X$1387))</f>
        <v>14</v>
      </c>
      <c r="AA1074">
        <f t="shared" si="117"/>
        <v>16</v>
      </c>
      <c r="AB1074">
        <f t="shared" si="118"/>
        <v>0.5</v>
      </c>
    </row>
    <row r="1075" spans="1:28" x14ac:dyDescent="0.25">
      <c r="A1075" t="s">
        <v>384</v>
      </c>
      <c r="B1075" t="s">
        <v>385</v>
      </c>
      <c r="C1075">
        <v>2015</v>
      </c>
      <c r="D1075">
        <v>0.31880083518254404</v>
      </c>
      <c r="E1075">
        <v>0.17715494780373162</v>
      </c>
      <c r="F1075">
        <v>0.20467299266473093</v>
      </c>
      <c r="G1075">
        <v>1.9459101490553132</v>
      </c>
      <c r="H1075">
        <v>0.42857142857142855</v>
      </c>
      <c r="I1075">
        <v>0.66666666666666663</v>
      </c>
      <c r="J1075">
        <v>0</v>
      </c>
      <c r="K1075">
        <v>4</v>
      </c>
      <c r="L1075">
        <v>1</v>
      </c>
      <c r="M1075">
        <v>5</v>
      </c>
      <c r="N1075">
        <v>1</v>
      </c>
      <c r="O1075">
        <v>1</v>
      </c>
      <c r="P1075">
        <v>1</v>
      </c>
      <c r="Q1075">
        <f t="shared" si="112"/>
        <v>5</v>
      </c>
      <c r="R1075">
        <f t="shared" si="113"/>
        <v>18</v>
      </c>
      <c r="S1075">
        <f t="array" ref="S1075">MAX(IF($C$2:$C$1387=C1075,$R$2:$R$1387))</f>
        <v>29</v>
      </c>
      <c r="T1075" cm="1">
        <f t="array" ref="T1075">MIN(IF($C$2:$C$1387=C1075,$R$2:$R$1387))</f>
        <v>11</v>
      </c>
      <c r="U1075">
        <f t="shared" si="114"/>
        <v>18</v>
      </c>
      <c r="V1075">
        <f t="shared" si="115"/>
        <v>0.3888888888888889</v>
      </c>
      <c r="W1075" cm="1">
        <f t="array" ref="W1075">_xlfn.IFS(N1075=1,5,N1075=2,4,N1075=4,2,N1075=5,1,N1075=3,3)</f>
        <v>5</v>
      </c>
      <c r="X1075">
        <f t="shared" si="116"/>
        <v>22</v>
      </c>
      <c r="Y1075" cm="1">
        <f t="array" ref="Y1075">MAX(IF($C$2:$C$1387=C1075,$X$2:$X$1387))</f>
        <v>29</v>
      </c>
      <c r="Z1075" cm="1">
        <f t="array" ref="Z1075">MIN(IF($C$2:$C$1387=C1075,$X$2:$X$1387))</f>
        <v>12</v>
      </c>
      <c r="AA1075">
        <f t="shared" si="117"/>
        <v>17</v>
      </c>
      <c r="AB1075">
        <f t="shared" si="118"/>
        <v>0.58823529411764708</v>
      </c>
    </row>
    <row r="1076" spans="1:28" x14ac:dyDescent="0.25">
      <c r="A1076" t="s">
        <v>386</v>
      </c>
      <c r="B1076" t="s">
        <v>387</v>
      </c>
      <c r="C1076">
        <v>2010</v>
      </c>
      <c r="D1076">
        <v>8.0021861640108827E-2</v>
      </c>
      <c r="E1076">
        <v>0.46519947532063738</v>
      </c>
      <c r="F1076">
        <v>0</v>
      </c>
      <c r="G1076">
        <v>1.9459101490553132</v>
      </c>
      <c r="H1076">
        <v>0.8571428571428571</v>
      </c>
      <c r="I1076">
        <v>1</v>
      </c>
      <c r="J1076">
        <v>0</v>
      </c>
      <c r="K1076">
        <v>3</v>
      </c>
      <c r="L1076">
        <v>1</v>
      </c>
      <c r="M1076">
        <v>1</v>
      </c>
      <c r="N1076">
        <v>1</v>
      </c>
      <c r="O1076">
        <v>5</v>
      </c>
      <c r="P1076">
        <v>3</v>
      </c>
      <c r="Q1076">
        <f t="shared" si="112"/>
        <v>5</v>
      </c>
      <c r="R1076">
        <f t="shared" si="113"/>
        <v>19</v>
      </c>
      <c r="S1076">
        <f t="array" ref="S1076">MAX(IF($C$2:$C$1387=C1076,$R$2:$R$1387))</f>
        <v>29</v>
      </c>
      <c r="T1076" cm="1">
        <f t="array" ref="T1076">MIN(IF($C$2:$C$1387=C1076,$R$2:$R$1387))</f>
        <v>9</v>
      </c>
      <c r="U1076">
        <f t="shared" si="114"/>
        <v>20</v>
      </c>
      <c r="V1076">
        <f t="shared" si="115"/>
        <v>0.5</v>
      </c>
      <c r="W1076" cm="1">
        <f t="array" ref="W1076">_xlfn.IFS(N1076=1,5,N1076=2,4,N1076=4,2,N1076=5,1,N1076=3,3)</f>
        <v>5</v>
      </c>
      <c r="X1076">
        <f t="shared" si="116"/>
        <v>23</v>
      </c>
      <c r="Y1076" cm="1">
        <f t="array" ref="Y1076">MAX(IF($C$2:$C$1387=C1076,$X$2:$X$1387))</f>
        <v>29</v>
      </c>
      <c r="Z1076" cm="1">
        <f t="array" ref="Z1076">MIN(IF($C$2:$C$1387=C1076,$X$2:$X$1387))</f>
        <v>12</v>
      </c>
      <c r="AA1076">
        <f t="shared" si="117"/>
        <v>17</v>
      </c>
      <c r="AB1076">
        <f t="shared" si="118"/>
        <v>0.6470588235294118</v>
      </c>
    </row>
    <row r="1077" spans="1:28" x14ac:dyDescent="0.25">
      <c r="A1077" t="s">
        <v>386</v>
      </c>
      <c r="B1077" t="s">
        <v>387</v>
      </c>
      <c r="C1077">
        <v>2011</v>
      </c>
      <c r="D1077">
        <v>8.0070443062572869E-2</v>
      </c>
      <c r="E1077">
        <v>0.50654382044306256</v>
      </c>
      <c r="F1077">
        <v>1.0623105324523902E-2</v>
      </c>
      <c r="G1077">
        <v>1.9459101490553132</v>
      </c>
      <c r="H1077">
        <v>0.8571428571428571</v>
      </c>
      <c r="I1077">
        <v>1</v>
      </c>
      <c r="J1077">
        <v>0</v>
      </c>
      <c r="K1077">
        <v>3</v>
      </c>
      <c r="L1077">
        <v>2</v>
      </c>
      <c r="M1077">
        <v>2</v>
      </c>
      <c r="N1077">
        <v>1</v>
      </c>
      <c r="O1077">
        <v>5</v>
      </c>
      <c r="P1077">
        <v>3</v>
      </c>
      <c r="Q1077">
        <f t="shared" si="112"/>
        <v>5</v>
      </c>
      <c r="R1077">
        <f t="shared" si="113"/>
        <v>21</v>
      </c>
      <c r="S1077">
        <f t="array" ref="S1077">MAX(IF($C$2:$C$1387=C1077,$R$2:$R$1387))</f>
        <v>28</v>
      </c>
      <c r="T1077" cm="1">
        <f t="array" ref="T1077">MIN(IF($C$2:$C$1387=C1077,$R$2:$R$1387))</f>
        <v>10</v>
      </c>
      <c r="U1077">
        <f t="shared" si="114"/>
        <v>18</v>
      </c>
      <c r="V1077">
        <f t="shared" si="115"/>
        <v>0.61111111111111116</v>
      </c>
      <c r="W1077" cm="1">
        <f t="array" ref="W1077">_xlfn.IFS(N1077=1,5,N1077=2,4,N1077=4,2,N1077=5,1,N1077=3,3)</f>
        <v>5</v>
      </c>
      <c r="X1077">
        <f t="shared" si="116"/>
        <v>25</v>
      </c>
      <c r="Y1077" cm="1">
        <f t="array" ref="Y1077">MAX(IF($C$2:$C$1387=C1077,$X$2:$X$1387))</f>
        <v>29</v>
      </c>
      <c r="Z1077" cm="1">
        <f t="array" ref="Z1077">MIN(IF($C$2:$C$1387=C1077,$X$2:$X$1387))</f>
        <v>12</v>
      </c>
      <c r="AA1077">
        <f t="shared" si="117"/>
        <v>17</v>
      </c>
      <c r="AB1077">
        <f t="shared" si="118"/>
        <v>0.76470588235294112</v>
      </c>
    </row>
    <row r="1078" spans="1:28" x14ac:dyDescent="0.25">
      <c r="A1078" t="s">
        <v>386</v>
      </c>
      <c r="B1078" t="s">
        <v>387</v>
      </c>
      <c r="C1078">
        <v>2012</v>
      </c>
      <c r="D1078">
        <v>8.0109308200544113E-2</v>
      </c>
      <c r="E1078">
        <v>0.5113106296152351</v>
      </c>
      <c r="F1078">
        <v>5.7707928488146135E-3</v>
      </c>
      <c r="G1078">
        <v>1.9459101490553132</v>
      </c>
      <c r="H1078">
        <v>0.8571428571428571</v>
      </c>
      <c r="I1078">
        <v>1</v>
      </c>
      <c r="J1078">
        <v>0</v>
      </c>
      <c r="K1078">
        <v>3</v>
      </c>
      <c r="L1078">
        <v>2</v>
      </c>
      <c r="M1078">
        <v>2</v>
      </c>
      <c r="N1078">
        <v>1</v>
      </c>
      <c r="O1078">
        <v>5</v>
      </c>
      <c r="P1078">
        <v>3</v>
      </c>
      <c r="Q1078">
        <f t="shared" si="112"/>
        <v>5</v>
      </c>
      <c r="R1078">
        <f t="shared" si="113"/>
        <v>21</v>
      </c>
      <c r="S1078">
        <f t="array" ref="S1078">MAX(IF($C$2:$C$1387=C1078,$R$2:$R$1387))</f>
        <v>29</v>
      </c>
      <c r="T1078" cm="1">
        <f t="array" ref="T1078">MIN(IF($C$2:$C$1387=C1078,$R$2:$R$1387))</f>
        <v>11</v>
      </c>
      <c r="U1078">
        <f t="shared" si="114"/>
        <v>18</v>
      </c>
      <c r="V1078">
        <f t="shared" si="115"/>
        <v>0.55555555555555558</v>
      </c>
      <c r="W1078" cm="1">
        <f t="array" ref="W1078">_xlfn.IFS(N1078=1,5,N1078=2,4,N1078=4,2,N1078=5,1,N1078=3,3)</f>
        <v>5</v>
      </c>
      <c r="X1078">
        <f t="shared" si="116"/>
        <v>25</v>
      </c>
      <c r="Y1078" cm="1">
        <f t="array" ref="Y1078">MAX(IF($C$2:$C$1387=C1078,$X$2:$X$1387))</f>
        <v>30</v>
      </c>
      <c r="Z1078" cm="1">
        <f t="array" ref="Z1078">MIN(IF($C$2:$C$1387=C1078,$X$2:$X$1387))</f>
        <v>12</v>
      </c>
      <c r="AA1078">
        <f t="shared" si="117"/>
        <v>18</v>
      </c>
      <c r="AB1078">
        <f t="shared" si="118"/>
        <v>0.72222222222222221</v>
      </c>
    </row>
    <row r="1079" spans="1:28" x14ac:dyDescent="0.25">
      <c r="A1079" t="s">
        <v>386</v>
      </c>
      <c r="B1079" t="s">
        <v>387</v>
      </c>
      <c r="C1079">
        <v>2013</v>
      </c>
      <c r="D1079">
        <v>8.8903905946366116E-2</v>
      </c>
      <c r="E1079">
        <v>0.510105421686747</v>
      </c>
      <c r="F1079">
        <v>2.0661678973960358E-3</v>
      </c>
      <c r="G1079">
        <v>1.9459101490553132</v>
      </c>
      <c r="H1079">
        <v>0.8571428571428571</v>
      </c>
      <c r="I1079">
        <v>1</v>
      </c>
      <c r="J1079">
        <v>0</v>
      </c>
      <c r="K1079">
        <v>3</v>
      </c>
      <c r="L1079">
        <v>2</v>
      </c>
      <c r="M1079">
        <v>1</v>
      </c>
      <c r="N1079">
        <v>1</v>
      </c>
      <c r="O1079">
        <v>5</v>
      </c>
      <c r="P1079">
        <v>3</v>
      </c>
      <c r="Q1079">
        <f t="shared" si="112"/>
        <v>5</v>
      </c>
      <c r="R1079">
        <f t="shared" si="113"/>
        <v>20</v>
      </c>
      <c r="S1079">
        <f t="array" ref="S1079">MAX(IF($C$2:$C$1387=C1079,$R$2:$R$1387))</f>
        <v>29</v>
      </c>
      <c r="T1079" cm="1">
        <f t="array" ref="T1079">MIN(IF($C$2:$C$1387=C1079,$R$2:$R$1387))</f>
        <v>10</v>
      </c>
      <c r="U1079">
        <f t="shared" si="114"/>
        <v>19</v>
      </c>
      <c r="V1079">
        <f t="shared" si="115"/>
        <v>0.52631578947368418</v>
      </c>
      <c r="W1079" cm="1">
        <f t="array" ref="W1079">_xlfn.IFS(N1079=1,5,N1079=2,4,N1079=4,2,N1079=5,1,N1079=3,3)</f>
        <v>5</v>
      </c>
      <c r="X1079">
        <f t="shared" si="116"/>
        <v>24</v>
      </c>
      <c r="Y1079" cm="1">
        <f t="array" ref="Y1079">MAX(IF($C$2:$C$1387=C1079,$X$2:$X$1387))</f>
        <v>32</v>
      </c>
      <c r="Z1079" cm="1">
        <f t="array" ref="Z1079">MIN(IF($C$2:$C$1387=C1079,$X$2:$X$1387))</f>
        <v>10</v>
      </c>
      <c r="AA1079">
        <f t="shared" si="117"/>
        <v>22</v>
      </c>
      <c r="AB1079">
        <f t="shared" si="118"/>
        <v>0.63636363636363635</v>
      </c>
    </row>
    <row r="1080" spans="1:28" x14ac:dyDescent="0.25">
      <c r="A1080" t="s">
        <v>386</v>
      </c>
      <c r="B1080" t="s">
        <v>387</v>
      </c>
      <c r="C1080">
        <v>2014</v>
      </c>
      <c r="D1080">
        <v>8.986076564321803E-2</v>
      </c>
      <c r="E1080">
        <v>0.51174786241741155</v>
      </c>
      <c r="F1080">
        <v>1.7873105324523902E-3</v>
      </c>
      <c r="G1080">
        <v>1.9459101490553132</v>
      </c>
      <c r="H1080">
        <v>0.8571428571428571</v>
      </c>
      <c r="I1080">
        <v>1</v>
      </c>
      <c r="J1080">
        <v>0</v>
      </c>
      <c r="K1080">
        <v>3</v>
      </c>
      <c r="L1080">
        <v>2</v>
      </c>
      <c r="M1080">
        <v>1</v>
      </c>
      <c r="N1080">
        <v>1</v>
      </c>
      <c r="O1080">
        <v>5</v>
      </c>
      <c r="P1080">
        <v>3</v>
      </c>
      <c r="Q1080">
        <f t="shared" si="112"/>
        <v>5</v>
      </c>
      <c r="R1080">
        <f t="shared" si="113"/>
        <v>20</v>
      </c>
      <c r="S1080">
        <f t="array" ref="S1080">MAX(IF($C$2:$C$1387=C1080,$R$2:$R$1387))</f>
        <v>29</v>
      </c>
      <c r="T1080" cm="1">
        <f t="array" ref="T1080">MIN(IF($C$2:$C$1387=C1080,$R$2:$R$1387))</f>
        <v>11</v>
      </c>
      <c r="U1080">
        <f t="shared" si="114"/>
        <v>18</v>
      </c>
      <c r="V1080">
        <f t="shared" si="115"/>
        <v>0.5</v>
      </c>
      <c r="W1080" cm="1">
        <f t="array" ref="W1080">_xlfn.IFS(N1080=1,5,N1080=2,4,N1080=4,2,N1080=5,1,N1080=3,3)</f>
        <v>5</v>
      </c>
      <c r="X1080">
        <f t="shared" si="116"/>
        <v>24</v>
      </c>
      <c r="Y1080" cm="1">
        <f t="array" ref="Y1080">MAX(IF($C$2:$C$1387=C1080,$X$2:$X$1387))</f>
        <v>30</v>
      </c>
      <c r="Z1080" cm="1">
        <f t="array" ref="Z1080">MIN(IF($C$2:$C$1387=C1080,$X$2:$X$1387))</f>
        <v>14</v>
      </c>
      <c r="AA1080">
        <f t="shared" si="117"/>
        <v>16</v>
      </c>
      <c r="AB1080">
        <f t="shared" si="118"/>
        <v>0.625</v>
      </c>
    </row>
    <row r="1081" spans="1:28" x14ac:dyDescent="0.25">
      <c r="A1081" t="s">
        <v>386</v>
      </c>
      <c r="B1081" t="s">
        <v>387</v>
      </c>
      <c r="C1081">
        <v>2015</v>
      </c>
      <c r="D1081">
        <v>0.14528332685581033</v>
      </c>
      <c r="E1081">
        <v>0.49088272444617176</v>
      </c>
      <c r="F1081">
        <v>1.7260979401476876E-3</v>
      </c>
      <c r="G1081">
        <v>1.9459101490553132</v>
      </c>
      <c r="H1081">
        <v>0.8571428571428571</v>
      </c>
      <c r="I1081">
        <v>1</v>
      </c>
      <c r="J1081">
        <v>0</v>
      </c>
      <c r="K1081">
        <v>3</v>
      </c>
      <c r="L1081">
        <v>2</v>
      </c>
      <c r="M1081">
        <v>1</v>
      </c>
      <c r="N1081">
        <v>1</v>
      </c>
      <c r="O1081">
        <v>4</v>
      </c>
      <c r="P1081">
        <v>2</v>
      </c>
      <c r="Q1081">
        <f t="shared" si="112"/>
        <v>5</v>
      </c>
      <c r="R1081">
        <f t="shared" si="113"/>
        <v>18</v>
      </c>
      <c r="S1081">
        <f t="array" ref="S1081">MAX(IF($C$2:$C$1387=C1081,$R$2:$R$1387))</f>
        <v>29</v>
      </c>
      <c r="T1081" cm="1">
        <f t="array" ref="T1081">MIN(IF($C$2:$C$1387=C1081,$R$2:$R$1387))</f>
        <v>11</v>
      </c>
      <c r="U1081">
        <f t="shared" si="114"/>
        <v>18</v>
      </c>
      <c r="V1081">
        <f t="shared" si="115"/>
        <v>0.3888888888888889</v>
      </c>
      <c r="W1081" cm="1">
        <f t="array" ref="W1081">_xlfn.IFS(N1081=1,5,N1081=2,4,N1081=4,2,N1081=5,1,N1081=3,3)</f>
        <v>5</v>
      </c>
      <c r="X1081">
        <f t="shared" si="116"/>
        <v>22</v>
      </c>
      <c r="Y1081" cm="1">
        <f t="array" ref="Y1081">MAX(IF($C$2:$C$1387=C1081,$X$2:$X$1387))</f>
        <v>29</v>
      </c>
      <c r="Z1081" cm="1">
        <f t="array" ref="Z1081">MIN(IF($C$2:$C$1387=C1081,$X$2:$X$1387))</f>
        <v>12</v>
      </c>
      <c r="AA1081">
        <f t="shared" si="117"/>
        <v>17</v>
      </c>
      <c r="AB1081">
        <f t="shared" si="118"/>
        <v>0.58823529411764708</v>
      </c>
    </row>
    <row r="1082" spans="1:28" x14ac:dyDescent="0.25">
      <c r="A1082" t="s">
        <v>388</v>
      </c>
      <c r="B1082" t="s">
        <v>389</v>
      </c>
      <c r="C1082">
        <v>2010</v>
      </c>
      <c r="D1082">
        <v>0.51436886111111113</v>
      </c>
      <c r="E1082">
        <v>0.53037919444444448</v>
      </c>
      <c r="F1082">
        <v>6.3872222222222227E-4</v>
      </c>
      <c r="G1082">
        <v>1.9459101490553132</v>
      </c>
      <c r="H1082">
        <v>0.5714285714285714</v>
      </c>
      <c r="I1082">
        <v>1</v>
      </c>
      <c r="J1082">
        <v>0</v>
      </c>
      <c r="K1082">
        <v>5</v>
      </c>
      <c r="L1082">
        <v>2</v>
      </c>
      <c r="M1082">
        <v>2</v>
      </c>
      <c r="N1082">
        <v>1</v>
      </c>
      <c r="O1082">
        <v>2</v>
      </c>
      <c r="P1082">
        <v>3</v>
      </c>
      <c r="Q1082">
        <f t="shared" si="112"/>
        <v>5</v>
      </c>
      <c r="R1082">
        <f t="shared" si="113"/>
        <v>20</v>
      </c>
      <c r="S1082">
        <f t="array" ref="S1082">MAX(IF($C$2:$C$1387=C1082,$R$2:$R$1387))</f>
        <v>29</v>
      </c>
      <c r="T1082" cm="1">
        <f t="array" ref="T1082">MIN(IF($C$2:$C$1387=C1082,$R$2:$R$1387))</f>
        <v>9</v>
      </c>
      <c r="U1082">
        <f t="shared" si="114"/>
        <v>20</v>
      </c>
      <c r="V1082">
        <f t="shared" si="115"/>
        <v>0.55000000000000004</v>
      </c>
      <c r="W1082" cm="1">
        <f t="array" ref="W1082">_xlfn.IFS(N1082=1,5,N1082=2,4,N1082=4,2,N1082=5,1,N1082=3,3)</f>
        <v>5</v>
      </c>
      <c r="X1082">
        <f t="shared" si="116"/>
        <v>24</v>
      </c>
      <c r="Y1082" cm="1">
        <f t="array" ref="Y1082">MAX(IF($C$2:$C$1387=C1082,$X$2:$X$1387))</f>
        <v>29</v>
      </c>
      <c r="Z1082" cm="1">
        <f t="array" ref="Z1082">MIN(IF($C$2:$C$1387=C1082,$X$2:$X$1387))</f>
        <v>12</v>
      </c>
      <c r="AA1082">
        <f t="shared" si="117"/>
        <v>17</v>
      </c>
      <c r="AB1082">
        <f t="shared" si="118"/>
        <v>0.70588235294117652</v>
      </c>
    </row>
    <row r="1083" spans="1:28" x14ac:dyDescent="0.25">
      <c r="A1083" t="s">
        <v>388</v>
      </c>
      <c r="B1083" t="s">
        <v>389</v>
      </c>
      <c r="C1083">
        <v>2011</v>
      </c>
      <c r="D1083">
        <v>0.51436886111111113</v>
      </c>
      <c r="E1083">
        <v>0.55594233333333332</v>
      </c>
      <c r="F1083">
        <v>6.3872222222222227E-4</v>
      </c>
      <c r="G1083">
        <v>1.9459101490553132</v>
      </c>
      <c r="H1083">
        <v>0.5714285714285714</v>
      </c>
      <c r="I1083">
        <v>1</v>
      </c>
      <c r="J1083">
        <v>1</v>
      </c>
      <c r="K1083">
        <v>4</v>
      </c>
      <c r="L1083">
        <v>2</v>
      </c>
      <c r="M1083">
        <v>1</v>
      </c>
      <c r="N1083">
        <v>1</v>
      </c>
      <c r="O1083">
        <v>2</v>
      </c>
      <c r="P1083">
        <v>3</v>
      </c>
      <c r="Q1083">
        <f t="shared" si="112"/>
        <v>1</v>
      </c>
      <c r="R1083">
        <f t="shared" si="113"/>
        <v>14</v>
      </c>
      <c r="S1083">
        <f t="array" ref="S1083">MAX(IF($C$2:$C$1387=C1083,$R$2:$R$1387))</f>
        <v>28</v>
      </c>
      <c r="T1083" cm="1">
        <f t="array" ref="T1083">MIN(IF($C$2:$C$1387=C1083,$R$2:$R$1387))</f>
        <v>10</v>
      </c>
      <c r="U1083">
        <f t="shared" si="114"/>
        <v>18</v>
      </c>
      <c r="V1083">
        <f t="shared" si="115"/>
        <v>0.22222222222222221</v>
      </c>
      <c r="W1083" cm="1">
        <f t="array" ref="W1083">_xlfn.IFS(N1083=1,5,N1083=2,4,N1083=4,2,N1083=5,1,N1083=3,3)</f>
        <v>5</v>
      </c>
      <c r="X1083">
        <f t="shared" si="116"/>
        <v>18</v>
      </c>
      <c r="Y1083" cm="1">
        <f t="array" ref="Y1083">MAX(IF($C$2:$C$1387=C1083,$X$2:$X$1387))</f>
        <v>29</v>
      </c>
      <c r="Z1083" cm="1">
        <f t="array" ref="Z1083">MIN(IF($C$2:$C$1387=C1083,$X$2:$X$1387))</f>
        <v>12</v>
      </c>
      <c r="AA1083">
        <f t="shared" si="117"/>
        <v>17</v>
      </c>
      <c r="AB1083">
        <f t="shared" si="118"/>
        <v>0.35294117647058826</v>
      </c>
    </row>
    <row r="1084" spans="1:28" x14ac:dyDescent="0.25">
      <c r="A1084" t="s">
        <v>388</v>
      </c>
      <c r="B1084" t="s">
        <v>389</v>
      </c>
      <c r="C1084">
        <v>2012</v>
      </c>
      <c r="D1084">
        <v>0.45001480555555556</v>
      </c>
      <c r="E1084">
        <v>0.53039736111111113</v>
      </c>
      <c r="F1084">
        <v>5.6163888888888886E-4</v>
      </c>
      <c r="G1084">
        <v>1.9459101490553132</v>
      </c>
      <c r="H1084">
        <v>0.5714285714285714</v>
      </c>
      <c r="I1084">
        <v>1</v>
      </c>
      <c r="J1084">
        <v>0</v>
      </c>
      <c r="K1084">
        <v>4</v>
      </c>
      <c r="L1084">
        <v>2</v>
      </c>
      <c r="M1084">
        <v>1</v>
      </c>
      <c r="N1084">
        <v>1</v>
      </c>
      <c r="O1084">
        <v>2</v>
      </c>
      <c r="P1084">
        <v>3</v>
      </c>
      <c r="Q1084">
        <f t="shared" si="112"/>
        <v>5</v>
      </c>
      <c r="R1084">
        <f t="shared" si="113"/>
        <v>18</v>
      </c>
      <c r="S1084">
        <f t="array" ref="S1084">MAX(IF($C$2:$C$1387=C1084,$R$2:$R$1387))</f>
        <v>29</v>
      </c>
      <c r="T1084" cm="1">
        <f t="array" ref="T1084">MIN(IF($C$2:$C$1387=C1084,$R$2:$R$1387))</f>
        <v>11</v>
      </c>
      <c r="U1084">
        <f t="shared" si="114"/>
        <v>18</v>
      </c>
      <c r="V1084">
        <f t="shared" si="115"/>
        <v>0.3888888888888889</v>
      </c>
      <c r="W1084" cm="1">
        <f t="array" ref="W1084">_xlfn.IFS(N1084=1,5,N1084=2,4,N1084=4,2,N1084=5,1,N1084=3,3)</f>
        <v>5</v>
      </c>
      <c r="X1084">
        <f t="shared" si="116"/>
        <v>22</v>
      </c>
      <c r="Y1084" cm="1">
        <f t="array" ref="Y1084">MAX(IF($C$2:$C$1387=C1084,$X$2:$X$1387))</f>
        <v>30</v>
      </c>
      <c r="Z1084" cm="1">
        <f t="array" ref="Z1084">MIN(IF($C$2:$C$1387=C1084,$X$2:$X$1387))</f>
        <v>12</v>
      </c>
      <c r="AA1084">
        <f t="shared" si="117"/>
        <v>18</v>
      </c>
      <c r="AB1084">
        <f t="shared" si="118"/>
        <v>0.55555555555555558</v>
      </c>
    </row>
    <row r="1085" spans="1:28" x14ac:dyDescent="0.25">
      <c r="A1085" t="s">
        <v>388</v>
      </c>
      <c r="B1085" t="s">
        <v>389</v>
      </c>
      <c r="C1085">
        <v>2013</v>
      </c>
      <c r="D1085">
        <v>0.26828200000000002</v>
      </c>
      <c r="E1085">
        <v>0.68823361111111114</v>
      </c>
      <c r="F1085">
        <v>5.4272222222222222E-4</v>
      </c>
      <c r="G1085">
        <v>1.9459101490553132</v>
      </c>
      <c r="H1085">
        <v>0.5714285714285714</v>
      </c>
      <c r="I1085">
        <v>1</v>
      </c>
      <c r="J1085">
        <v>0</v>
      </c>
      <c r="K1085">
        <v>3</v>
      </c>
      <c r="L1085">
        <v>3</v>
      </c>
      <c r="M1085">
        <v>1</v>
      </c>
      <c r="N1085">
        <v>1</v>
      </c>
      <c r="O1085">
        <v>2</v>
      </c>
      <c r="P1085">
        <v>3</v>
      </c>
      <c r="Q1085">
        <f t="shared" si="112"/>
        <v>5</v>
      </c>
      <c r="R1085">
        <f t="shared" si="113"/>
        <v>18</v>
      </c>
      <c r="S1085">
        <f t="array" ref="S1085">MAX(IF($C$2:$C$1387=C1085,$R$2:$R$1387))</f>
        <v>29</v>
      </c>
      <c r="T1085" cm="1">
        <f t="array" ref="T1085">MIN(IF($C$2:$C$1387=C1085,$R$2:$R$1387))</f>
        <v>10</v>
      </c>
      <c r="U1085">
        <f t="shared" si="114"/>
        <v>19</v>
      </c>
      <c r="V1085">
        <f t="shared" si="115"/>
        <v>0.42105263157894735</v>
      </c>
      <c r="W1085" cm="1">
        <f t="array" ref="W1085">_xlfn.IFS(N1085=1,5,N1085=2,4,N1085=4,2,N1085=5,1,N1085=3,3)</f>
        <v>5</v>
      </c>
      <c r="X1085">
        <f t="shared" si="116"/>
        <v>22</v>
      </c>
      <c r="Y1085" cm="1">
        <f t="array" ref="Y1085">MAX(IF($C$2:$C$1387=C1085,$X$2:$X$1387))</f>
        <v>32</v>
      </c>
      <c r="Z1085" cm="1">
        <f t="array" ref="Z1085">MIN(IF($C$2:$C$1387=C1085,$X$2:$X$1387))</f>
        <v>10</v>
      </c>
      <c r="AA1085">
        <f t="shared" si="117"/>
        <v>22</v>
      </c>
      <c r="AB1085">
        <f t="shared" si="118"/>
        <v>0.54545454545454541</v>
      </c>
    </row>
    <row r="1086" spans="1:28" x14ac:dyDescent="0.25">
      <c r="A1086" t="s">
        <v>388</v>
      </c>
      <c r="B1086" t="s">
        <v>389</v>
      </c>
      <c r="C1086">
        <v>2014</v>
      </c>
      <c r="D1086">
        <v>0.8071072777777778</v>
      </c>
      <c r="E1086">
        <v>0.70629119444444444</v>
      </c>
      <c r="F1086">
        <v>5.4272222222222222E-4</v>
      </c>
      <c r="G1086">
        <v>1.9459101490553132</v>
      </c>
      <c r="H1086">
        <v>0.5714285714285714</v>
      </c>
      <c r="I1086">
        <v>1</v>
      </c>
      <c r="J1086">
        <v>0</v>
      </c>
      <c r="K1086">
        <v>5</v>
      </c>
      <c r="L1086">
        <v>3</v>
      </c>
      <c r="M1086">
        <v>1</v>
      </c>
      <c r="N1086">
        <v>1</v>
      </c>
      <c r="O1086">
        <v>2</v>
      </c>
      <c r="P1086">
        <v>3</v>
      </c>
      <c r="Q1086">
        <f t="shared" si="112"/>
        <v>5</v>
      </c>
      <c r="R1086">
        <f t="shared" si="113"/>
        <v>20</v>
      </c>
      <c r="S1086">
        <f t="array" ref="S1086">MAX(IF($C$2:$C$1387=C1086,$R$2:$R$1387))</f>
        <v>29</v>
      </c>
      <c r="T1086" cm="1">
        <f t="array" ref="T1086">MIN(IF($C$2:$C$1387=C1086,$R$2:$R$1387))</f>
        <v>11</v>
      </c>
      <c r="U1086">
        <f t="shared" si="114"/>
        <v>18</v>
      </c>
      <c r="V1086">
        <f t="shared" si="115"/>
        <v>0.5</v>
      </c>
      <c r="W1086" cm="1">
        <f t="array" ref="W1086">_xlfn.IFS(N1086=1,5,N1086=2,4,N1086=4,2,N1086=5,1,N1086=3,3)</f>
        <v>5</v>
      </c>
      <c r="X1086">
        <f t="shared" si="116"/>
        <v>24</v>
      </c>
      <c r="Y1086" cm="1">
        <f t="array" ref="Y1086">MAX(IF($C$2:$C$1387=C1086,$X$2:$X$1387))</f>
        <v>30</v>
      </c>
      <c r="Z1086" cm="1">
        <f t="array" ref="Z1086">MIN(IF($C$2:$C$1387=C1086,$X$2:$X$1387))</f>
        <v>14</v>
      </c>
      <c r="AA1086">
        <f t="shared" si="117"/>
        <v>16</v>
      </c>
      <c r="AB1086">
        <f t="shared" si="118"/>
        <v>0.625</v>
      </c>
    </row>
    <row r="1087" spans="1:28" x14ac:dyDescent="0.25">
      <c r="A1087" t="s">
        <v>388</v>
      </c>
      <c r="B1087" t="s">
        <v>389</v>
      </c>
      <c r="C1087">
        <v>2015</v>
      </c>
      <c r="D1087">
        <v>0.74698963888888892</v>
      </c>
      <c r="E1087">
        <v>0.71070652777777776</v>
      </c>
      <c r="F1087">
        <v>5.4272222222222222E-4</v>
      </c>
      <c r="G1087">
        <v>1.9459101490553132</v>
      </c>
      <c r="H1087">
        <v>0.7142857142857143</v>
      </c>
      <c r="I1087">
        <v>1</v>
      </c>
      <c r="J1087">
        <v>0</v>
      </c>
      <c r="K1087">
        <v>5</v>
      </c>
      <c r="L1087">
        <v>3</v>
      </c>
      <c r="M1087">
        <v>1</v>
      </c>
      <c r="N1087">
        <v>1</v>
      </c>
      <c r="O1087">
        <v>3</v>
      </c>
      <c r="P1087">
        <v>2</v>
      </c>
      <c r="Q1087">
        <f t="shared" si="112"/>
        <v>5</v>
      </c>
      <c r="R1087">
        <f t="shared" si="113"/>
        <v>20</v>
      </c>
      <c r="S1087">
        <f t="array" ref="S1087">MAX(IF($C$2:$C$1387=C1087,$R$2:$R$1387))</f>
        <v>29</v>
      </c>
      <c r="T1087" cm="1">
        <f t="array" ref="T1087">MIN(IF($C$2:$C$1387=C1087,$R$2:$R$1387))</f>
        <v>11</v>
      </c>
      <c r="U1087">
        <f t="shared" si="114"/>
        <v>18</v>
      </c>
      <c r="V1087">
        <f t="shared" si="115"/>
        <v>0.5</v>
      </c>
      <c r="W1087" cm="1">
        <f t="array" ref="W1087">_xlfn.IFS(N1087=1,5,N1087=2,4,N1087=4,2,N1087=5,1,N1087=3,3)</f>
        <v>5</v>
      </c>
      <c r="X1087">
        <f t="shared" si="116"/>
        <v>24</v>
      </c>
      <c r="Y1087" cm="1">
        <f t="array" ref="Y1087">MAX(IF($C$2:$C$1387=C1087,$X$2:$X$1387))</f>
        <v>29</v>
      </c>
      <c r="Z1087" cm="1">
        <f t="array" ref="Z1087">MIN(IF($C$2:$C$1387=C1087,$X$2:$X$1387))</f>
        <v>12</v>
      </c>
      <c r="AA1087">
        <f t="shared" si="117"/>
        <v>17</v>
      </c>
      <c r="AB1087">
        <f t="shared" si="118"/>
        <v>0.70588235294117652</v>
      </c>
    </row>
    <row r="1088" spans="1:28" x14ac:dyDescent="0.25">
      <c r="A1088" t="s">
        <v>390</v>
      </c>
      <c r="B1088" t="s">
        <v>391</v>
      </c>
      <c r="C1088">
        <v>2010</v>
      </c>
      <c r="D1088">
        <v>6.3718355190989423E-2</v>
      </c>
      <c r="E1088">
        <v>0.81898132048449901</v>
      </c>
      <c r="F1088">
        <v>0</v>
      </c>
      <c r="G1088">
        <v>2.3025850929940459</v>
      </c>
      <c r="H1088">
        <v>0.8</v>
      </c>
      <c r="I1088">
        <v>1</v>
      </c>
      <c r="J1088">
        <v>0</v>
      </c>
      <c r="K1088">
        <v>2</v>
      </c>
      <c r="L1088">
        <v>4</v>
      </c>
      <c r="M1088">
        <v>1</v>
      </c>
      <c r="N1088">
        <v>5</v>
      </c>
      <c r="O1088">
        <v>5</v>
      </c>
      <c r="P1088">
        <v>3</v>
      </c>
      <c r="Q1088">
        <f t="shared" si="112"/>
        <v>5</v>
      </c>
      <c r="R1088">
        <f t="shared" si="113"/>
        <v>25</v>
      </c>
      <c r="S1088">
        <f t="array" ref="S1088">MAX(IF($C$2:$C$1387=C1088,$R$2:$R$1387))</f>
        <v>29</v>
      </c>
      <c r="T1088" cm="1">
        <f t="array" ref="T1088">MIN(IF($C$2:$C$1387=C1088,$R$2:$R$1387))</f>
        <v>9</v>
      </c>
      <c r="U1088">
        <f t="shared" si="114"/>
        <v>20</v>
      </c>
      <c r="V1088">
        <f t="shared" si="115"/>
        <v>0.8</v>
      </c>
      <c r="W1088" cm="1">
        <f t="array" ref="W1088">_xlfn.IFS(N1088=1,5,N1088=2,4,N1088=4,2,N1088=5,1,N1088=3,3)</f>
        <v>1</v>
      </c>
      <c r="X1088">
        <f t="shared" si="116"/>
        <v>21</v>
      </c>
      <c r="Y1088" cm="1">
        <f t="array" ref="Y1088">MAX(IF($C$2:$C$1387=C1088,$X$2:$X$1387))</f>
        <v>29</v>
      </c>
      <c r="Z1088" cm="1">
        <f t="array" ref="Z1088">MIN(IF($C$2:$C$1387=C1088,$X$2:$X$1387))</f>
        <v>12</v>
      </c>
      <c r="AA1088">
        <f t="shared" si="117"/>
        <v>17</v>
      </c>
      <c r="AB1088">
        <f t="shared" si="118"/>
        <v>0.52941176470588236</v>
      </c>
    </row>
    <row r="1089" spans="1:28" x14ac:dyDescent="0.25">
      <c r="A1089" t="s">
        <v>390</v>
      </c>
      <c r="B1089" t="s">
        <v>391</v>
      </c>
      <c r="C1089">
        <v>2011</v>
      </c>
      <c r="D1089">
        <v>6.3327078390044284E-2</v>
      </c>
      <c r="E1089">
        <v>0.79940383880002097</v>
      </c>
      <c r="F1089">
        <v>2.2551142064876163E-2</v>
      </c>
      <c r="G1089">
        <v>2.3025850929940459</v>
      </c>
      <c r="H1089">
        <v>0.8</v>
      </c>
      <c r="I1089">
        <v>1</v>
      </c>
      <c r="J1089">
        <v>0</v>
      </c>
      <c r="K1089">
        <v>2</v>
      </c>
      <c r="L1089">
        <v>4</v>
      </c>
      <c r="M1089">
        <v>2</v>
      </c>
      <c r="N1089">
        <v>5</v>
      </c>
      <c r="O1089">
        <v>5</v>
      </c>
      <c r="P1089">
        <v>3</v>
      </c>
      <c r="Q1089">
        <f t="shared" si="112"/>
        <v>5</v>
      </c>
      <c r="R1089">
        <f t="shared" si="113"/>
        <v>26</v>
      </c>
      <c r="S1089">
        <f t="array" ref="S1089">MAX(IF($C$2:$C$1387=C1089,$R$2:$R$1387))</f>
        <v>28</v>
      </c>
      <c r="T1089" cm="1">
        <f t="array" ref="T1089">MIN(IF($C$2:$C$1387=C1089,$R$2:$R$1387))</f>
        <v>10</v>
      </c>
      <c r="U1089">
        <f t="shared" si="114"/>
        <v>18</v>
      </c>
      <c r="V1089">
        <f t="shared" si="115"/>
        <v>0.88888888888888884</v>
      </c>
      <c r="W1089" cm="1">
        <f t="array" ref="W1089">_xlfn.IFS(N1089=1,5,N1089=2,4,N1089=4,2,N1089=5,1,N1089=3,3)</f>
        <v>1</v>
      </c>
      <c r="X1089">
        <f t="shared" si="116"/>
        <v>22</v>
      </c>
      <c r="Y1089" cm="1">
        <f t="array" ref="Y1089">MAX(IF($C$2:$C$1387=C1089,$X$2:$X$1387))</f>
        <v>29</v>
      </c>
      <c r="Z1089" cm="1">
        <f t="array" ref="Z1089">MIN(IF($C$2:$C$1387=C1089,$X$2:$X$1387))</f>
        <v>12</v>
      </c>
      <c r="AA1089">
        <f t="shared" si="117"/>
        <v>17</v>
      </c>
      <c r="AB1089">
        <f t="shared" si="118"/>
        <v>0.58823529411764708</v>
      </c>
    </row>
    <row r="1090" spans="1:28" x14ac:dyDescent="0.25">
      <c r="A1090" t="s">
        <v>390</v>
      </c>
      <c r="B1090" t="s">
        <v>391</v>
      </c>
      <c r="C1090">
        <v>2012</v>
      </c>
      <c r="D1090">
        <v>6.3775953214814218E-2</v>
      </c>
      <c r="E1090">
        <v>0.81898121221753695</v>
      </c>
      <c r="F1090">
        <v>2.8605971919014581E-2</v>
      </c>
      <c r="G1090">
        <v>2.3978952727983707</v>
      </c>
      <c r="H1090">
        <v>0.18181818181818182</v>
      </c>
      <c r="I1090">
        <v>1</v>
      </c>
      <c r="J1090">
        <v>0</v>
      </c>
      <c r="K1090">
        <v>2</v>
      </c>
      <c r="L1090">
        <v>4</v>
      </c>
      <c r="M1090">
        <v>3</v>
      </c>
      <c r="N1090">
        <v>5</v>
      </c>
      <c r="O1090">
        <v>1</v>
      </c>
      <c r="P1090">
        <v>3</v>
      </c>
      <c r="Q1090">
        <f t="shared" si="112"/>
        <v>5</v>
      </c>
      <c r="R1090">
        <f t="shared" si="113"/>
        <v>23</v>
      </c>
      <c r="S1090">
        <f t="array" ref="S1090">MAX(IF($C$2:$C$1387=C1090,$R$2:$R$1387))</f>
        <v>29</v>
      </c>
      <c r="T1090" cm="1">
        <f t="array" ref="T1090">MIN(IF($C$2:$C$1387=C1090,$R$2:$R$1387))</f>
        <v>11</v>
      </c>
      <c r="U1090">
        <f t="shared" si="114"/>
        <v>18</v>
      </c>
      <c r="V1090">
        <f t="shared" si="115"/>
        <v>0.66666666666666663</v>
      </c>
      <c r="W1090" cm="1">
        <f t="array" ref="W1090">_xlfn.IFS(N1090=1,5,N1090=2,4,N1090=4,2,N1090=5,1,N1090=3,3)</f>
        <v>1</v>
      </c>
      <c r="X1090">
        <f t="shared" si="116"/>
        <v>19</v>
      </c>
      <c r="Y1090" cm="1">
        <f t="array" ref="Y1090">MAX(IF($C$2:$C$1387=C1090,$X$2:$X$1387))</f>
        <v>30</v>
      </c>
      <c r="Z1090" cm="1">
        <f t="array" ref="Z1090">MIN(IF($C$2:$C$1387=C1090,$X$2:$X$1387))</f>
        <v>12</v>
      </c>
      <c r="AA1090">
        <f t="shared" si="117"/>
        <v>18</v>
      </c>
      <c r="AB1090">
        <f t="shared" si="118"/>
        <v>0.3888888888888889</v>
      </c>
    </row>
    <row r="1091" spans="1:28" x14ac:dyDescent="0.25">
      <c r="A1091" t="s">
        <v>390</v>
      </c>
      <c r="B1091" t="s">
        <v>391</v>
      </c>
      <c r="C1091">
        <v>2013</v>
      </c>
      <c r="D1091">
        <v>6.3575442801048196E-2</v>
      </c>
      <c r="E1091">
        <v>0.81898121221753695</v>
      </c>
      <c r="F1091">
        <v>2.3044406344097525E-2</v>
      </c>
      <c r="G1091">
        <v>2.3978952727983707</v>
      </c>
      <c r="H1091">
        <v>0.72727272727272729</v>
      </c>
      <c r="I1091">
        <v>1</v>
      </c>
      <c r="J1091">
        <v>0</v>
      </c>
      <c r="K1091">
        <v>3</v>
      </c>
      <c r="L1091">
        <v>4</v>
      </c>
      <c r="M1091">
        <v>2</v>
      </c>
      <c r="N1091">
        <v>5</v>
      </c>
      <c r="O1091">
        <v>4</v>
      </c>
      <c r="P1091">
        <v>3</v>
      </c>
      <c r="Q1091">
        <f t="shared" ref="Q1091:Q1154" si="119">IF(J1091=0,5,1)</f>
        <v>5</v>
      </c>
      <c r="R1091">
        <f t="shared" ref="R1091:R1154" si="120">SUM(K1091:Q1091)</f>
        <v>26</v>
      </c>
      <c r="S1091">
        <f t="array" ref="S1091">MAX(IF($C$2:$C$1387=C1091,$R$2:$R$1387))</f>
        <v>29</v>
      </c>
      <c r="T1091" cm="1">
        <f t="array" ref="T1091">MIN(IF($C$2:$C$1387=C1091,$R$2:$R$1387))</f>
        <v>10</v>
      </c>
      <c r="U1091">
        <f t="shared" ref="U1091:U1154" si="121">S1091-T1091</f>
        <v>19</v>
      </c>
      <c r="V1091">
        <f t="shared" ref="V1091:V1154" si="122">(R1091-T1091)/U1091</f>
        <v>0.84210526315789469</v>
      </c>
      <c r="W1091" cm="1">
        <f t="array" ref="W1091">_xlfn.IFS(N1091=1,5,N1091=2,4,N1091=4,2,N1091=5,1,N1091=3,3)</f>
        <v>1</v>
      </c>
      <c r="X1091">
        <f t="shared" ref="X1091:X1154" si="123">SUM(K1091:M1091,O1091:Q1091,W1091)</f>
        <v>22</v>
      </c>
      <c r="Y1091" cm="1">
        <f t="array" ref="Y1091">MAX(IF($C$2:$C$1387=C1091,$X$2:$X$1387))</f>
        <v>32</v>
      </c>
      <c r="Z1091" cm="1">
        <f t="array" ref="Z1091">MIN(IF($C$2:$C$1387=C1091,$X$2:$X$1387))</f>
        <v>10</v>
      </c>
      <c r="AA1091">
        <f t="shared" ref="AA1091:AA1154" si="124">Y1091-Z1091</f>
        <v>22</v>
      </c>
      <c r="AB1091">
        <f t="shared" ref="AB1091:AB1154" si="125">(X1091-Z1091)/AA1091</f>
        <v>0.54545454545454541</v>
      </c>
    </row>
    <row r="1092" spans="1:28" x14ac:dyDescent="0.25">
      <c r="A1092" t="s">
        <v>390</v>
      </c>
      <c r="B1092" t="s">
        <v>391</v>
      </c>
      <c r="C1092">
        <v>2014</v>
      </c>
      <c r="D1092">
        <v>6.2987011862161435E-2</v>
      </c>
      <c r="E1092">
        <v>0.78293221145663672</v>
      </c>
      <c r="F1092">
        <v>2.4677072132213883E-2</v>
      </c>
      <c r="G1092">
        <v>2.3025850929940459</v>
      </c>
      <c r="H1092">
        <v>0.8</v>
      </c>
      <c r="I1092">
        <v>1</v>
      </c>
      <c r="J1092">
        <v>0</v>
      </c>
      <c r="K1092">
        <v>3</v>
      </c>
      <c r="L1092">
        <v>4</v>
      </c>
      <c r="M1092">
        <v>2</v>
      </c>
      <c r="N1092">
        <v>5</v>
      </c>
      <c r="O1092">
        <v>5</v>
      </c>
      <c r="P1092">
        <v>3</v>
      </c>
      <c r="Q1092">
        <f t="shared" si="119"/>
        <v>5</v>
      </c>
      <c r="R1092">
        <f t="shared" si="120"/>
        <v>27</v>
      </c>
      <c r="S1092">
        <f t="array" ref="S1092">MAX(IF($C$2:$C$1387=C1092,$R$2:$R$1387))</f>
        <v>29</v>
      </c>
      <c r="T1092" cm="1">
        <f t="array" ref="T1092">MIN(IF($C$2:$C$1387=C1092,$R$2:$R$1387))</f>
        <v>11</v>
      </c>
      <c r="U1092">
        <f t="shared" si="121"/>
        <v>18</v>
      </c>
      <c r="V1092">
        <f t="shared" si="122"/>
        <v>0.88888888888888884</v>
      </c>
      <c r="W1092" cm="1">
        <f t="array" ref="W1092">_xlfn.IFS(N1092=1,5,N1092=2,4,N1092=4,2,N1092=5,1,N1092=3,3)</f>
        <v>1</v>
      </c>
      <c r="X1092">
        <f t="shared" si="123"/>
        <v>23</v>
      </c>
      <c r="Y1092" cm="1">
        <f t="array" ref="Y1092">MAX(IF($C$2:$C$1387=C1092,$X$2:$X$1387))</f>
        <v>30</v>
      </c>
      <c r="Z1092" cm="1">
        <f t="array" ref="Z1092">MIN(IF($C$2:$C$1387=C1092,$X$2:$X$1387))</f>
        <v>14</v>
      </c>
      <c r="AA1092">
        <f t="shared" si="124"/>
        <v>16</v>
      </c>
      <c r="AB1092">
        <f t="shared" si="125"/>
        <v>0.5625</v>
      </c>
    </row>
    <row r="1093" spans="1:28" x14ac:dyDescent="0.25">
      <c r="A1093" t="s">
        <v>390</v>
      </c>
      <c r="B1093" t="s">
        <v>391</v>
      </c>
      <c r="C1093">
        <v>2015</v>
      </c>
      <c r="D1093">
        <v>6.2970447016963707E-2</v>
      </c>
      <c r="E1093">
        <v>0.78293221145663672</v>
      </c>
      <c r="F1093">
        <v>2.1073622833415687E-2</v>
      </c>
      <c r="G1093">
        <v>2.3978952727983707</v>
      </c>
      <c r="H1093">
        <v>0.72727272727272729</v>
      </c>
      <c r="I1093">
        <v>1</v>
      </c>
      <c r="J1093">
        <v>0</v>
      </c>
      <c r="K1093">
        <v>3</v>
      </c>
      <c r="L1093">
        <v>4</v>
      </c>
      <c r="M1093">
        <v>2</v>
      </c>
      <c r="N1093">
        <v>5</v>
      </c>
      <c r="O1093">
        <v>4</v>
      </c>
      <c r="P1093">
        <v>2</v>
      </c>
      <c r="Q1093">
        <f t="shared" si="119"/>
        <v>5</v>
      </c>
      <c r="R1093">
        <f t="shared" si="120"/>
        <v>25</v>
      </c>
      <c r="S1093">
        <f t="array" ref="S1093">MAX(IF($C$2:$C$1387=C1093,$R$2:$R$1387))</f>
        <v>29</v>
      </c>
      <c r="T1093" cm="1">
        <f t="array" ref="T1093">MIN(IF($C$2:$C$1387=C1093,$R$2:$R$1387))</f>
        <v>11</v>
      </c>
      <c r="U1093">
        <f t="shared" si="121"/>
        <v>18</v>
      </c>
      <c r="V1093">
        <f t="shared" si="122"/>
        <v>0.77777777777777779</v>
      </c>
      <c r="W1093" cm="1">
        <f t="array" ref="W1093">_xlfn.IFS(N1093=1,5,N1093=2,4,N1093=4,2,N1093=5,1,N1093=3,3)</f>
        <v>1</v>
      </c>
      <c r="X1093">
        <f t="shared" si="123"/>
        <v>21</v>
      </c>
      <c r="Y1093" cm="1">
        <f t="array" ref="Y1093">MAX(IF($C$2:$C$1387=C1093,$X$2:$X$1387))</f>
        <v>29</v>
      </c>
      <c r="Z1093" cm="1">
        <f t="array" ref="Z1093">MIN(IF($C$2:$C$1387=C1093,$X$2:$X$1387))</f>
        <v>12</v>
      </c>
      <c r="AA1093">
        <f t="shared" si="124"/>
        <v>17</v>
      </c>
      <c r="AB1093">
        <f t="shared" si="125"/>
        <v>0.52941176470588236</v>
      </c>
    </row>
    <row r="1094" spans="1:28" x14ac:dyDescent="0.25">
      <c r="A1094" t="s">
        <v>392</v>
      </c>
      <c r="B1094" t="s">
        <v>393</v>
      </c>
      <c r="C1094">
        <v>2010</v>
      </c>
      <c r="D1094">
        <v>9.7399997711181643E-2</v>
      </c>
      <c r="E1094">
        <v>0.74132760824261368</v>
      </c>
      <c r="F1094">
        <v>0.56620000000000004</v>
      </c>
      <c r="G1094">
        <v>1.9459101490553132</v>
      </c>
      <c r="H1094">
        <v>0.7142857142857143</v>
      </c>
      <c r="I1094">
        <v>1</v>
      </c>
      <c r="J1094">
        <v>0</v>
      </c>
      <c r="K1094">
        <v>3</v>
      </c>
      <c r="L1094">
        <v>4</v>
      </c>
      <c r="M1094">
        <v>5</v>
      </c>
      <c r="N1094">
        <v>1</v>
      </c>
      <c r="O1094">
        <v>4</v>
      </c>
      <c r="P1094">
        <v>3</v>
      </c>
      <c r="Q1094">
        <f t="shared" si="119"/>
        <v>5</v>
      </c>
      <c r="R1094">
        <f t="shared" si="120"/>
        <v>25</v>
      </c>
      <c r="S1094">
        <f t="array" ref="S1094">MAX(IF($C$2:$C$1387=C1094,$R$2:$R$1387))</f>
        <v>29</v>
      </c>
      <c r="T1094" cm="1">
        <f t="array" ref="T1094">MIN(IF($C$2:$C$1387=C1094,$R$2:$R$1387))</f>
        <v>9</v>
      </c>
      <c r="U1094">
        <f t="shared" si="121"/>
        <v>20</v>
      </c>
      <c r="V1094">
        <f t="shared" si="122"/>
        <v>0.8</v>
      </c>
      <c r="W1094" cm="1">
        <f t="array" ref="W1094">_xlfn.IFS(N1094=1,5,N1094=2,4,N1094=4,2,N1094=5,1,N1094=3,3)</f>
        <v>5</v>
      </c>
      <c r="X1094">
        <f t="shared" si="123"/>
        <v>29</v>
      </c>
      <c r="Y1094" cm="1">
        <f t="array" ref="Y1094">MAX(IF($C$2:$C$1387=C1094,$X$2:$X$1387))</f>
        <v>29</v>
      </c>
      <c r="Z1094" cm="1">
        <f t="array" ref="Z1094">MIN(IF($C$2:$C$1387=C1094,$X$2:$X$1387))</f>
        <v>12</v>
      </c>
      <c r="AA1094">
        <f t="shared" si="124"/>
        <v>17</v>
      </c>
      <c r="AB1094">
        <f t="shared" si="125"/>
        <v>1</v>
      </c>
    </row>
    <row r="1095" spans="1:28" x14ac:dyDescent="0.25">
      <c r="A1095" t="s">
        <v>392</v>
      </c>
      <c r="B1095" t="s">
        <v>393</v>
      </c>
      <c r="C1095">
        <v>2011</v>
      </c>
      <c r="D1095">
        <v>9.921143023731531E-2</v>
      </c>
      <c r="E1095">
        <v>0.75973140478037871</v>
      </c>
      <c r="F1095">
        <v>1.4260029069656517E-2</v>
      </c>
      <c r="G1095">
        <v>1.9459101490553132</v>
      </c>
      <c r="H1095">
        <v>0.7142857142857143</v>
      </c>
      <c r="I1095">
        <v>1</v>
      </c>
      <c r="J1095">
        <v>0</v>
      </c>
      <c r="K1095">
        <v>3</v>
      </c>
      <c r="L1095">
        <v>4</v>
      </c>
      <c r="M1095">
        <v>2</v>
      </c>
      <c r="N1095">
        <v>1</v>
      </c>
      <c r="O1095">
        <v>4</v>
      </c>
      <c r="P1095">
        <v>3</v>
      </c>
      <c r="Q1095">
        <f t="shared" si="119"/>
        <v>5</v>
      </c>
      <c r="R1095">
        <f t="shared" si="120"/>
        <v>22</v>
      </c>
      <c r="S1095">
        <f t="array" ref="S1095">MAX(IF($C$2:$C$1387=C1095,$R$2:$R$1387))</f>
        <v>28</v>
      </c>
      <c r="T1095" cm="1">
        <f t="array" ref="T1095">MIN(IF($C$2:$C$1387=C1095,$R$2:$R$1387))</f>
        <v>10</v>
      </c>
      <c r="U1095">
        <f t="shared" si="121"/>
        <v>18</v>
      </c>
      <c r="V1095">
        <f t="shared" si="122"/>
        <v>0.66666666666666663</v>
      </c>
      <c r="W1095" cm="1">
        <f t="array" ref="W1095">_xlfn.IFS(N1095=1,5,N1095=2,4,N1095=4,2,N1095=5,1,N1095=3,3)</f>
        <v>5</v>
      </c>
      <c r="X1095">
        <f t="shared" si="123"/>
        <v>26</v>
      </c>
      <c r="Y1095" cm="1">
        <f t="array" ref="Y1095">MAX(IF($C$2:$C$1387=C1095,$X$2:$X$1387))</f>
        <v>29</v>
      </c>
      <c r="Z1095" cm="1">
        <f t="array" ref="Z1095">MIN(IF($C$2:$C$1387=C1095,$X$2:$X$1387))</f>
        <v>12</v>
      </c>
      <c r="AA1095">
        <f t="shared" si="124"/>
        <v>17</v>
      </c>
      <c r="AB1095">
        <f t="shared" si="125"/>
        <v>0.82352941176470584</v>
      </c>
    </row>
    <row r="1096" spans="1:28" x14ac:dyDescent="0.25">
      <c r="A1096" t="s">
        <v>392</v>
      </c>
      <c r="B1096" t="s">
        <v>393</v>
      </c>
      <c r="C1096">
        <v>2012</v>
      </c>
      <c r="D1096">
        <v>9.921143023731531E-2</v>
      </c>
      <c r="E1096">
        <v>0.7601020402592259</v>
      </c>
      <c r="F1096">
        <v>0.4774266643975138</v>
      </c>
      <c r="G1096">
        <v>1.9459101490553132</v>
      </c>
      <c r="H1096">
        <v>0.7142857142857143</v>
      </c>
      <c r="I1096">
        <v>1</v>
      </c>
      <c r="J1096">
        <v>0</v>
      </c>
      <c r="K1096">
        <v>3</v>
      </c>
      <c r="L1096">
        <v>4</v>
      </c>
      <c r="M1096">
        <v>5</v>
      </c>
      <c r="N1096">
        <v>1</v>
      </c>
      <c r="O1096">
        <v>4</v>
      </c>
      <c r="P1096">
        <v>3</v>
      </c>
      <c r="Q1096">
        <f t="shared" si="119"/>
        <v>5</v>
      </c>
      <c r="R1096">
        <f t="shared" si="120"/>
        <v>25</v>
      </c>
      <c r="S1096">
        <f t="array" ref="S1096">MAX(IF($C$2:$C$1387=C1096,$R$2:$R$1387))</f>
        <v>29</v>
      </c>
      <c r="T1096" cm="1">
        <f t="array" ref="T1096">MIN(IF($C$2:$C$1387=C1096,$R$2:$R$1387))</f>
        <v>11</v>
      </c>
      <c r="U1096">
        <f t="shared" si="121"/>
        <v>18</v>
      </c>
      <c r="V1096">
        <f t="shared" si="122"/>
        <v>0.77777777777777779</v>
      </c>
      <c r="W1096" cm="1">
        <f t="array" ref="W1096">_xlfn.IFS(N1096=1,5,N1096=2,4,N1096=4,2,N1096=5,1,N1096=3,3)</f>
        <v>5</v>
      </c>
      <c r="X1096">
        <f t="shared" si="123"/>
        <v>29</v>
      </c>
      <c r="Y1096" cm="1">
        <f t="array" ref="Y1096">MAX(IF($C$2:$C$1387=C1096,$X$2:$X$1387))</f>
        <v>30</v>
      </c>
      <c r="Z1096" cm="1">
        <f t="array" ref="Z1096">MIN(IF($C$2:$C$1387=C1096,$X$2:$X$1387))</f>
        <v>12</v>
      </c>
      <c r="AA1096">
        <f t="shared" si="124"/>
        <v>18</v>
      </c>
      <c r="AB1096">
        <f t="shared" si="125"/>
        <v>0.94444444444444442</v>
      </c>
    </row>
    <row r="1097" spans="1:28" x14ac:dyDescent="0.25">
      <c r="A1097" t="s">
        <v>392</v>
      </c>
      <c r="B1097" t="s">
        <v>393</v>
      </c>
      <c r="C1097">
        <v>2013</v>
      </c>
      <c r="D1097">
        <v>0.17530993573714426</v>
      </c>
      <c r="E1097">
        <v>0.76064506365026663</v>
      </c>
      <c r="F1097">
        <v>0.47658227770075323</v>
      </c>
      <c r="G1097">
        <v>1.9459101490553132</v>
      </c>
      <c r="H1097">
        <v>0.5714285714285714</v>
      </c>
      <c r="I1097">
        <v>1</v>
      </c>
      <c r="J1097">
        <v>0</v>
      </c>
      <c r="K1097">
        <v>3</v>
      </c>
      <c r="L1097">
        <v>4</v>
      </c>
      <c r="M1097">
        <v>5</v>
      </c>
      <c r="N1097">
        <v>1</v>
      </c>
      <c r="O1097">
        <v>2</v>
      </c>
      <c r="P1097">
        <v>3</v>
      </c>
      <c r="Q1097">
        <f t="shared" si="119"/>
        <v>5</v>
      </c>
      <c r="R1097">
        <f t="shared" si="120"/>
        <v>23</v>
      </c>
      <c r="S1097">
        <f t="array" ref="S1097">MAX(IF($C$2:$C$1387=C1097,$R$2:$R$1387))</f>
        <v>29</v>
      </c>
      <c r="T1097" cm="1">
        <f t="array" ref="T1097">MIN(IF($C$2:$C$1387=C1097,$R$2:$R$1387))</f>
        <v>10</v>
      </c>
      <c r="U1097">
        <f t="shared" si="121"/>
        <v>19</v>
      </c>
      <c r="V1097">
        <f t="shared" si="122"/>
        <v>0.68421052631578949</v>
      </c>
      <c r="W1097" cm="1">
        <f t="array" ref="W1097">_xlfn.IFS(N1097=1,5,N1097=2,4,N1097=4,2,N1097=5,1,N1097=3,3)</f>
        <v>5</v>
      </c>
      <c r="X1097">
        <f t="shared" si="123"/>
        <v>27</v>
      </c>
      <c r="Y1097" cm="1">
        <f t="array" ref="Y1097">MAX(IF($C$2:$C$1387=C1097,$X$2:$X$1387))</f>
        <v>32</v>
      </c>
      <c r="Z1097" cm="1">
        <f t="array" ref="Z1097">MIN(IF($C$2:$C$1387=C1097,$X$2:$X$1387))</f>
        <v>10</v>
      </c>
      <c r="AA1097">
        <f t="shared" si="124"/>
        <v>22</v>
      </c>
      <c r="AB1097">
        <f t="shared" si="125"/>
        <v>0.77272727272727271</v>
      </c>
    </row>
    <row r="1098" spans="1:28" x14ac:dyDescent="0.25">
      <c r="A1098" t="s">
        <v>392</v>
      </c>
      <c r="B1098" t="s">
        <v>393</v>
      </c>
      <c r="C1098">
        <v>2014</v>
      </c>
      <c r="D1098">
        <v>9.9837668293956114E-2</v>
      </c>
      <c r="E1098">
        <v>0.75308262638047552</v>
      </c>
      <c r="F1098">
        <v>8.2818522698113572E-2</v>
      </c>
      <c r="G1098">
        <v>1.9459101490553132</v>
      </c>
      <c r="H1098">
        <v>0.5714285714285714</v>
      </c>
      <c r="I1098">
        <v>1</v>
      </c>
      <c r="J1098">
        <v>0</v>
      </c>
      <c r="K1098">
        <v>3</v>
      </c>
      <c r="L1098">
        <v>4</v>
      </c>
      <c r="M1098">
        <v>4</v>
      </c>
      <c r="N1098">
        <v>1</v>
      </c>
      <c r="O1098">
        <v>2</v>
      </c>
      <c r="P1098">
        <v>3</v>
      </c>
      <c r="Q1098">
        <f t="shared" si="119"/>
        <v>5</v>
      </c>
      <c r="R1098">
        <f t="shared" si="120"/>
        <v>22</v>
      </c>
      <c r="S1098">
        <f t="array" ref="S1098">MAX(IF($C$2:$C$1387=C1098,$R$2:$R$1387))</f>
        <v>29</v>
      </c>
      <c r="T1098" cm="1">
        <f t="array" ref="T1098">MIN(IF($C$2:$C$1387=C1098,$R$2:$R$1387))</f>
        <v>11</v>
      </c>
      <c r="U1098">
        <f t="shared" si="121"/>
        <v>18</v>
      </c>
      <c r="V1098">
        <f t="shared" si="122"/>
        <v>0.61111111111111116</v>
      </c>
      <c r="W1098" cm="1">
        <f t="array" ref="W1098">_xlfn.IFS(N1098=1,5,N1098=2,4,N1098=4,2,N1098=5,1,N1098=3,3)</f>
        <v>5</v>
      </c>
      <c r="X1098">
        <f t="shared" si="123"/>
        <v>26</v>
      </c>
      <c r="Y1098" cm="1">
        <f t="array" ref="Y1098">MAX(IF($C$2:$C$1387=C1098,$X$2:$X$1387))</f>
        <v>30</v>
      </c>
      <c r="Z1098" cm="1">
        <f t="array" ref="Z1098">MIN(IF($C$2:$C$1387=C1098,$X$2:$X$1387))</f>
        <v>14</v>
      </c>
      <c r="AA1098">
        <f t="shared" si="124"/>
        <v>16</v>
      </c>
      <c r="AB1098">
        <f t="shared" si="125"/>
        <v>0.75</v>
      </c>
    </row>
    <row r="1099" spans="1:28" x14ac:dyDescent="0.25">
      <c r="A1099" t="s">
        <v>392</v>
      </c>
      <c r="B1099" t="s">
        <v>393</v>
      </c>
      <c r="C1099">
        <v>2015</v>
      </c>
      <c r="D1099">
        <v>2.9262004207169116E-2</v>
      </c>
      <c r="E1099">
        <v>0.80401325986804117</v>
      </c>
      <c r="F1099">
        <v>0.54988242222716255</v>
      </c>
      <c r="G1099">
        <v>1.9459101490553132</v>
      </c>
      <c r="H1099">
        <v>0.7142857142857143</v>
      </c>
      <c r="I1099">
        <v>1</v>
      </c>
      <c r="J1099">
        <v>0</v>
      </c>
      <c r="K1099">
        <v>2</v>
      </c>
      <c r="L1099">
        <v>4</v>
      </c>
      <c r="M1099">
        <v>5</v>
      </c>
      <c r="N1099">
        <v>1</v>
      </c>
      <c r="O1099">
        <v>3</v>
      </c>
      <c r="P1099">
        <v>2</v>
      </c>
      <c r="Q1099">
        <f t="shared" si="119"/>
        <v>5</v>
      </c>
      <c r="R1099">
        <f t="shared" si="120"/>
        <v>22</v>
      </c>
      <c r="S1099">
        <f t="array" ref="S1099">MAX(IF($C$2:$C$1387=C1099,$R$2:$R$1387))</f>
        <v>29</v>
      </c>
      <c r="T1099" cm="1">
        <f t="array" ref="T1099">MIN(IF($C$2:$C$1387=C1099,$R$2:$R$1387))</f>
        <v>11</v>
      </c>
      <c r="U1099">
        <f t="shared" si="121"/>
        <v>18</v>
      </c>
      <c r="V1099">
        <f t="shared" si="122"/>
        <v>0.61111111111111116</v>
      </c>
      <c r="W1099" cm="1">
        <f t="array" ref="W1099">_xlfn.IFS(N1099=1,5,N1099=2,4,N1099=4,2,N1099=5,1,N1099=3,3)</f>
        <v>5</v>
      </c>
      <c r="X1099">
        <f t="shared" si="123"/>
        <v>26</v>
      </c>
      <c r="Y1099" cm="1">
        <f t="array" ref="Y1099">MAX(IF($C$2:$C$1387=C1099,$X$2:$X$1387))</f>
        <v>29</v>
      </c>
      <c r="Z1099" cm="1">
        <f t="array" ref="Z1099">MIN(IF($C$2:$C$1387=C1099,$X$2:$X$1387))</f>
        <v>12</v>
      </c>
      <c r="AA1099">
        <f t="shared" si="124"/>
        <v>17</v>
      </c>
      <c r="AB1099">
        <f t="shared" si="125"/>
        <v>0.82352941176470584</v>
      </c>
    </row>
    <row r="1100" spans="1:28" x14ac:dyDescent="0.25">
      <c r="A1100" t="s">
        <v>394</v>
      </c>
      <c r="B1100" s="1" t="s">
        <v>395</v>
      </c>
      <c r="C1100">
        <v>2010</v>
      </c>
      <c r="D1100">
        <v>2.2716189980040042E-4</v>
      </c>
      <c r="E1100">
        <v>0.68746584999439664</v>
      </c>
      <c r="F1100">
        <v>0.11613489327933947</v>
      </c>
      <c r="G1100">
        <v>1.9459101490553132</v>
      </c>
      <c r="H1100">
        <v>0.8571428571428571</v>
      </c>
      <c r="I1100" s="1">
        <v>1</v>
      </c>
      <c r="J1100">
        <v>0</v>
      </c>
      <c r="K1100">
        <v>1</v>
      </c>
      <c r="L1100">
        <v>3</v>
      </c>
      <c r="M1100">
        <v>4</v>
      </c>
      <c r="N1100">
        <v>1</v>
      </c>
      <c r="O1100">
        <v>5</v>
      </c>
      <c r="P1100">
        <v>3</v>
      </c>
      <c r="Q1100">
        <f t="shared" si="119"/>
        <v>5</v>
      </c>
      <c r="R1100">
        <f t="shared" si="120"/>
        <v>22</v>
      </c>
      <c r="S1100">
        <f t="array" ref="S1100">MAX(IF($C$2:$C$1387=C1100,$R$2:$R$1387))</f>
        <v>29</v>
      </c>
      <c r="T1100" cm="1">
        <f t="array" ref="T1100">MIN(IF($C$2:$C$1387=C1100,$R$2:$R$1387))</f>
        <v>9</v>
      </c>
      <c r="U1100">
        <f t="shared" si="121"/>
        <v>20</v>
      </c>
      <c r="V1100">
        <f t="shared" si="122"/>
        <v>0.65</v>
      </c>
      <c r="W1100" cm="1">
        <f t="array" ref="W1100">_xlfn.IFS(N1100=1,5,N1100=2,4,N1100=4,2,N1100=5,1,N1100=3,3)</f>
        <v>5</v>
      </c>
      <c r="X1100">
        <f t="shared" si="123"/>
        <v>26</v>
      </c>
      <c r="Y1100" cm="1">
        <f t="array" ref="Y1100">MAX(IF($C$2:$C$1387=C1100,$X$2:$X$1387))</f>
        <v>29</v>
      </c>
      <c r="Z1100" cm="1">
        <f t="array" ref="Z1100">MIN(IF($C$2:$C$1387=C1100,$X$2:$X$1387))</f>
        <v>12</v>
      </c>
      <c r="AA1100">
        <f t="shared" si="124"/>
        <v>17</v>
      </c>
      <c r="AB1100">
        <f t="shared" si="125"/>
        <v>0.82352941176470584</v>
      </c>
    </row>
    <row r="1101" spans="1:28" x14ac:dyDescent="0.25">
      <c r="A1101" t="s">
        <v>394</v>
      </c>
      <c r="B1101" t="s">
        <v>395</v>
      </c>
      <c r="C1101">
        <v>2011</v>
      </c>
      <c r="D1101">
        <v>2.690732703135743E-4</v>
      </c>
      <c r="E1101">
        <v>0.68210710077810521</v>
      </c>
      <c r="F1101">
        <v>9.7976971841010896E-2</v>
      </c>
      <c r="G1101">
        <v>2.0794415416798357</v>
      </c>
      <c r="H1101">
        <v>0.875</v>
      </c>
      <c r="I1101">
        <v>1</v>
      </c>
      <c r="J1101">
        <v>0</v>
      </c>
      <c r="K1101">
        <v>1</v>
      </c>
      <c r="L1101">
        <v>3</v>
      </c>
      <c r="M1101">
        <v>4</v>
      </c>
      <c r="N1101">
        <v>3</v>
      </c>
      <c r="O1101">
        <v>5</v>
      </c>
      <c r="P1101">
        <v>3</v>
      </c>
      <c r="Q1101">
        <f t="shared" si="119"/>
        <v>5</v>
      </c>
      <c r="R1101">
        <f t="shared" si="120"/>
        <v>24</v>
      </c>
      <c r="S1101">
        <f t="array" ref="S1101">MAX(IF($C$2:$C$1387=C1101,$R$2:$R$1387))</f>
        <v>28</v>
      </c>
      <c r="T1101" cm="1">
        <f t="array" ref="T1101">MIN(IF($C$2:$C$1387=C1101,$R$2:$R$1387))</f>
        <v>10</v>
      </c>
      <c r="U1101">
        <f t="shared" si="121"/>
        <v>18</v>
      </c>
      <c r="V1101">
        <f t="shared" si="122"/>
        <v>0.77777777777777779</v>
      </c>
      <c r="W1101" cm="1">
        <f t="array" ref="W1101">_xlfn.IFS(N1101=1,5,N1101=2,4,N1101=4,2,N1101=5,1,N1101=3,3)</f>
        <v>3</v>
      </c>
      <c r="X1101">
        <f t="shared" si="123"/>
        <v>24</v>
      </c>
      <c r="Y1101" cm="1">
        <f t="array" ref="Y1101">MAX(IF($C$2:$C$1387=C1101,$X$2:$X$1387))</f>
        <v>29</v>
      </c>
      <c r="Z1101" cm="1">
        <f t="array" ref="Z1101">MIN(IF($C$2:$C$1387=C1101,$X$2:$X$1387))</f>
        <v>12</v>
      </c>
      <c r="AA1101">
        <f t="shared" si="124"/>
        <v>17</v>
      </c>
      <c r="AB1101">
        <f t="shared" si="125"/>
        <v>0.70588235294117652</v>
      </c>
    </row>
    <row r="1102" spans="1:28" x14ac:dyDescent="0.25">
      <c r="A1102" t="s">
        <v>394</v>
      </c>
      <c r="B1102" t="s">
        <v>395</v>
      </c>
      <c r="C1102">
        <v>2012</v>
      </c>
      <c r="D1102">
        <v>6.8553675328097508E-4</v>
      </c>
      <c r="E1102">
        <v>0.69119028292257412</v>
      </c>
      <c r="F1102">
        <v>8.7267878398720619E-2</v>
      </c>
      <c r="G1102">
        <v>2.0794415416798357</v>
      </c>
      <c r="H1102">
        <v>0.5</v>
      </c>
      <c r="I1102">
        <v>1</v>
      </c>
      <c r="J1102">
        <v>0</v>
      </c>
      <c r="K1102">
        <v>2</v>
      </c>
      <c r="L1102">
        <v>3</v>
      </c>
      <c r="M1102">
        <v>4</v>
      </c>
      <c r="N1102">
        <v>3</v>
      </c>
      <c r="O1102">
        <v>2</v>
      </c>
      <c r="P1102">
        <v>3</v>
      </c>
      <c r="Q1102">
        <f t="shared" si="119"/>
        <v>5</v>
      </c>
      <c r="R1102">
        <f t="shared" si="120"/>
        <v>22</v>
      </c>
      <c r="S1102">
        <f t="array" ref="S1102">MAX(IF($C$2:$C$1387=C1102,$R$2:$R$1387))</f>
        <v>29</v>
      </c>
      <c r="T1102" cm="1">
        <f t="array" ref="T1102">MIN(IF($C$2:$C$1387=C1102,$R$2:$R$1387))</f>
        <v>11</v>
      </c>
      <c r="U1102">
        <f t="shared" si="121"/>
        <v>18</v>
      </c>
      <c r="V1102">
        <f t="shared" si="122"/>
        <v>0.61111111111111116</v>
      </c>
      <c r="W1102" cm="1">
        <f t="array" ref="W1102">_xlfn.IFS(N1102=1,5,N1102=2,4,N1102=4,2,N1102=5,1,N1102=3,3)</f>
        <v>3</v>
      </c>
      <c r="X1102">
        <f t="shared" si="123"/>
        <v>22</v>
      </c>
      <c r="Y1102" cm="1">
        <f t="array" ref="Y1102">MAX(IF($C$2:$C$1387=C1102,$X$2:$X$1387))</f>
        <v>30</v>
      </c>
      <c r="Z1102" cm="1">
        <f t="array" ref="Z1102">MIN(IF($C$2:$C$1387=C1102,$X$2:$X$1387))</f>
        <v>12</v>
      </c>
      <c r="AA1102">
        <f t="shared" si="124"/>
        <v>18</v>
      </c>
      <c r="AB1102">
        <f t="shared" si="125"/>
        <v>0.55555555555555558</v>
      </c>
    </row>
    <row r="1103" spans="1:28" x14ac:dyDescent="0.25">
      <c r="A1103" t="s">
        <v>394</v>
      </c>
      <c r="B1103" t="s">
        <v>395</v>
      </c>
      <c r="C1103">
        <v>2013</v>
      </c>
      <c r="D1103">
        <v>6.8553675328097508E-4</v>
      </c>
      <c r="E1103">
        <v>0.67162876596569554</v>
      </c>
      <c r="F1103">
        <v>6.631586559284712E-2</v>
      </c>
      <c r="G1103">
        <v>1.9459101490553132</v>
      </c>
      <c r="H1103">
        <v>0.7142857142857143</v>
      </c>
      <c r="I1103">
        <v>1</v>
      </c>
      <c r="J1103">
        <v>0</v>
      </c>
      <c r="K1103">
        <v>2</v>
      </c>
      <c r="L1103">
        <v>3</v>
      </c>
      <c r="M1103">
        <v>3</v>
      </c>
      <c r="N1103">
        <v>1</v>
      </c>
      <c r="O1103">
        <v>4</v>
      </c>
      <c r="P1103">
        <v>3</v>
      </c>
      <c r="Q1103">
        <f t="shared" si="119"/>
        <v>5</v>
      </c>
      <c r="R1103">
        <f t="shared" si="120"/>
        <v>21</v>
      </c>
      <c r="S1103">
        <f t="array" ref="S1103">MAX(IF($C$2:$C$1387=C1103,$R$2:$R$1387))</f>
        <v>29</v>
      </c>
      <c r="T1103" cm="1">
        <f t="array" ref="T1103">MIN(IF($C$2:$C$1387=C1103,$R$2:$R$1387))</f>
        <v>10</v>
      </c>
      <c r="U1103">
        <f t="shared" si="121"/>
        <v>19</v>
      </c>
      <c r="V1103">
        <f t="shared" si="122"/>
        <v>0.57894736842105265</v>
      </c>
      <c r="W1103" cm="1">
        <f t="array" ref="W1103">_xlfn.IFS(N1103=1,5,N1103=2,4,N1103=4,2,N1103=5,1,N1103=3,3)</f>
        <v>5</v>
      </c>
      <c r="X1103">
        <f t="shared" si="123"/>
        <v>25</v>
      </c>
      <c r="Y1103" cm="1">
        <f t="array" ref="Y1103">MAX(IF($C$2:$C$1387=C1103,$X$2:$X$1387))</f>
        <v>32</v>
      </c>
      <c r="Z1103" cm="1">
        <f t="array" ref="Z1103">MIN(IF($C$2:$C$1387=C1103,$X$2:$X$1387))</f>
        <v>10</v>
      </c>
      <c r="AA1103">
        <f t="shared" si="124"/>
        <v>22</v>
      </c>
      <c r="AB1103">
        <f t="shared" si="125"/>
        <v>0.68181818181818177</v>
      </c>
    </row>
    <row r="1104" spans="1:28" x14ac:dyDescent="0.25">
      <c r="A1104" t="s">
        <v>394</v>
      </c>
      <c r="B1104" t="s">
        <v>395</v>
      </c>
      <c r="C1104">
        <v>2014</v>
      </c>
      <c r="D1104">
        <v>7.0041585771790128E-4</v>
      </c>
      <c r="E1104">
        <v>0.66987795348330059</v>
      </c>
      <c r="F1104">
        <v>8.750359673008018E-2</v>
      </c>
      <c r="G1104">
        <v>1.9459101490553132</v>
      </c>
      <c r="H1104">
        <v>0.7142857142857143</v>
      </c>
      <c r="I1104">
        <v>1</v>
      </c>
      <c r="J1104">
        <v>0</v>
      </c>
      <c r="K1104">
        <v>2</v>
      </c>
      <c r="L1104">
        <v>3</v>
      </c>
      <c r="M1104">
        <v>4</v>
      </c>
      <c r="N1104">
        <v>1</v>
      </c>
      <c r="O1104">
        <v>4</v>
      </c>
      <c r="P1104">
        <v>3</v>
      </c>
      <c r="Q1104">
        <f t="shared" si="119"/>
        <v>5</v>
      </c>
      <c r="R1104">
        <f t="shared" si="120"/>
        <v>22</v>
      </c>
      <c r="S1104">
        <f t="array" ref="S1104">MAX(IF($C$2:$C$1387=C1104,$R$2:$R$1387))</f>
        <v>29</v>
      </c>
      <c r="T1104" cm="1">
        <f t="array" ref="T1104">MIN(IF($C$2:$C$1387=C1104,$R$2:$R$1387))</f>
        <v>11</v>
      </c>
      <c r="U1104">
        <f t="shared" si="121"/>
        <v>18</v>
      </c>
      <c r="V1104">
        <f t="shared" si="122"/>
        <v>0.61111111111111116</v>
      </c>
      <c r="W1104" cm="1">
        <f t="array" ref="W1104">_xlfn.IFS(N1104=1,5,N1104=2,4,N1104=4,2,N1104=5,1,N1104=3,3)</f>
        <v>5</v>
      </c>
      <c r="X1104">
        <f t="shared" si="123"/>
        <v>26</v>
      </c>
      <c r="Y1104" cm="1">
        <f t="array" ref="Y1104">MAX(IF($C$2:$C$1387=C1104,$X$2:$X$1387))</f>
        <v>30</v>
      </c>
      <c r="Z1104" cm="1">
        <f t="array" ref="Z1104">MIN(IF($C$2:$C$1387=C1104,$X$2:$X$1387))</f>
        <v>14</v>
      </c>
      <c r="AA1104">
        <f t="shared" si="124"/>
        <v>16</v>
      </c>
      <c r="AB1104">
        <f t="shared" si="125"/>
        <v>0.75</v>
      </c>
    </row>
    <row r="1105" spans="1:28" x14ac:dyDescent="0.25">
      <c r="A1105" t="s">
        <v>394</v>
      </c>
      <c r="B1105" t="s">
        <v>395</v>
      </c>
      <c r="C1105">
        <v>2015</v>
      </c>
      <c r="D1105">
        <v>7.0041585771790128E-4</v>
      </c>
      <c r="E1105">
        <v>0.66987795348330059</v>
      </c>
      <c r="F1105">
        <v>8.750359673008018E-2</v>
      </c>
      <c r="G1105">
        <v>1.9459101490553132</v>
      </c>
      <c r="H1105">
        <v>0.7142857142857143</v>
      </c>
      <c r="I1105">
        <v>1</v>
      </c>
      <c r="J1105">
        <v>0</v>
      </c>
      <c r="K1105">
        <v>2</v>
      </c>
      <c r="L1105">
        <v>3</v>
      </c>
      <c r="M1105">
        <v>4</v>
      </c>
      <c r="N1105">
        <v>1</v>
      </c>
      <c r="O1105">
        <v>3</v>
      </c>
      <c r="P1105">
        <v>2</v>
      </c>
      <c r="Q1105">
        <f t="shared" si="119"/>
        <v>5</v>
      </c>
      <c r="R1105">
        <f t="shared" si="120"/>
        <v>20</v>
      </c>
      <c r="S1105">
        <f t="array" ref="S1105">MAX(IF($C$2:$C$1387=C1105,$R$2:$R$1387))</f>
        <v>29</v>
      </c>
      <c r="T1105" cm="1">
        <f t="array" ref="T1105">MIN(IF($C$2:$C$1387=C1105,$R$2:$R$1387))</f>
        <v>11</v>
      </c>
      <c r="U1105">
        <f t="shared" si="121"/>
        <v>18</v>
      </c>
      <c r="V1105">
        <f t="shared" si="122"/>
        <v>0.5</v>
      </c>
      <c r="W1105" cm="1">
        <f t="array" ref="W1105">_xlfn.IFS(N1105=1,5,N1105=2,4,N1105=4,2,N1105=5,1,N1105=3,3)</f>
        <v>5</v>
      </c>
      <c r="X1105">
        <f t="shared" si="123"/>
        <v>24</v>
      </c>
      <c r="Y1105" cm="1">
        <f t="array" ref="Y1105">MAX(IF($C$2:$C$1387=C1105,$X$2:$X$1387))</f>
        <v>29</v>
      </c>
      <c r="Z1105" cm="1">
        <f t="array" ref="Z1105">MIN(IF($C$2:$C$1387=C1105,$X$2:$X$1387))</f>
        <v>12</v>
      </c>
      <c r="AA1105">
        <f t="shared" si="124"/>
        <v>17</v>
      </c>
      <c r="AB1105">
        <f t="shared" si="125"/>
        <v>0.70588235294117652</v>
      </c>
    </row>
    <row r="1106" spans="1:28" x14ac:dyDescent="0.25">
      <c r="A1106" t="s">
        <v>396</v>
      </c>
      <c r="B1106" t="s">
        <v>397</v>
      </c>
      <c r="C1106">
        <v>2010</v>
      </c>
      <c r="D1106">
        <v>0.78032501937132204</v>
      </c>
      <c r="E1106">
        <v>0.92290094149112811</v>
      </c>
      <c r="F1106">
        <v>1.107919953807998E-2</v>
      </c>
      <c r="G1106">
        <v>1.9459101490553132</v>
      </c>
      <c r="H1106">
        <v>0.42857142857142855</v>
      </c>
      <c r="I1106">
        <v>0.66666666666666663</v>
      </c>
      <c r="J1106">
        <v>1</v>
      </c>
      <c r="K1106">
        <v>5</v>
      </c>
      <c r="L1106">
        <v>5</v>
      </c>
      <c r="M1106">
        <v>2</v>
      </c>
      <c r="N1106">
        <v>1</v>
      </c>
      <c r="O1106">
        <v>2</v>
      </c>
      <c r="P1106">
        <v>1</v>
      </c>
      <c r="Q1106">
        <f t="shared" si="119"/>
        <v>1</v>
      </c>
      <c r="R1106">
        <f t="shared" si="120"/>
        <v>17</v>
      </c>
      <c r="S1106">
        <f t="array" ref="S1106">MAX(IF($C$2:$C$1387=C1106,$R$2:$R$1387))</f>
        <v>29</v>
      </c>
      <c r="T1106" cm="1">
        <f t="array" ref="T1106">MIN(IF($C$2:$C$1387=C1106,$R$2:$R$1387))</f>
        <v>9</v>
      </c>
      <c r="U1106">
        <f t="shared" si="121"/>
        <v>20</v>
      </c>
      <c r="V1106">
        <f t="shared" si="122"/>
        <v>0.4</v>
      </c>
      <c r="W1106" cm="1">
        <f t="array" ref="W1106">_xlfn.IFS(N1106=1,5,N1106=2,4,N1106=4,2,N1106=5,1,N1106=3,3)</f>
        <v>5</v>
      </c>
      <c r="X1106">
        <f t="shared" si="123"/>
        <v>21</v>
      </c>
      <c r="Y1106" cm="1">
        <f t="array" ref="Y1106">MAX(IF($C$2:$C$1387=C1106,$X$2:$X$1387))</f>
        <v>29</v>
      </c>
      <c r="Z1106" cm="1">
        <f t="array" ref="Z1106">MIN(IF($C$2:$C$1387=C1106,$X$2:$X$1387))</f>
        <v>12</v>
      </c>
      <c r="AA1106">
        <f t="shared" si="124"/>
        <v>17</v>
      </c>
      <c r="AB1106">
        <f t="shared" si="125"/>
        <v>0.52941176470588236</v>
      </c>
    </row>
    <row r="1107" spans="1:28" x14ac:dyDescent="0.25">
      <c r="A1107" t="s">
        <v>396</v>
      </c>
      <c r="B1107" t="s">
        <v>397</v>
      </c>
      <c r="C1107">
        <v>2011</v>
      </c>
      <c r="D1107">
        <v>0.78107444271922499</v>
      </c>
      <c r="E1107">
        <v>0.92130037665628539</v>
      </c>
      <c r="F1107">
        <v>4.5297480681032861E-3</v>
      </c>
      <c r="G1107">
        <v>1.9459101490553132</v>
      </c>
      <c r="H1107">
        <v>0.42857142857142855</v>
      </c>
      <c r="I1107">
        <v>0.66666666666666663</v>
      </c>
      <c r="J1107">
        <v>1</v>
      </c>
      <c r="K1107">
        <v>5</v>
      </c>
      <c r="L1107">
        <v>5</v>
      </c>
      <c r="M1107">
        <v>1</v>
      </c>
      <c r="N1107">
        <v>1</v>
      </c>
      <c r="O1107">
        <v>2</v>
      </c>
      <c r="P1107">
        <v>1</v>
      </c>
      <c r="Q1107">
        <f t="shared" si="119"/>
        <v>1</v>
      </c>
      <c r="R1107">
        <f t="shared" si="120"/>
        <v>16</v>
      </c>
      <c r="S1107">
        <f t="array" ref="S1107">MAX(IF($C$2:$C$1387=C1107,$R$2:$R$1387))</f>
        <v>28</v>
      </c>
      <c r="T1107" cm="1">
        <f t="array" ref="T1107">MIN(IF($C$2:$C$1387=C1107,$R$2:$R$1387))</f>
        <v>10</v>
      </c>
      <c r="U1107">
        <f t="shared" si="121"/>
        <v>18</v>
      </c>
      <c r="V1107">
        <f t="shared" si="122"/>
        <v>0.33333333333333331</v>
      </c>
      <c r="W1107" cm="1">
        <f t="array" ref="W1107">_xlfn.IFS(N1107=1,5,N1107=2,4,N1107=4,2,N1107=5,1,N1107=3,3)</f>
        <v>5</v>
      </c>
      <c r="X1107">
        <f t="shared" si="123"/>
        <v>20</v>
      </c>
      <c r="Y1107" cm="1">
        <f t="array" ref="Y1107">MAX(IF($C$2:$C$1387=C1107,$X$2:$X$1387))</f>
        <v>29</v>
      </c>
      <c r="Z1107" cm="1">
        <f t="array" ref="Z1107">MIN(IF($C$2:$C$1387=C1107,$X$2:$X$1387))</f>
        <v>12</v>
      </c>
      <c r="AA1107">
        <f t="shared" si="124"/>
        <v>17</v>
      </c>
      <c r="AB1107">
        <f t="shared" si="125"/>
        <v>0.47058823529411764</v>
      </c>
    </row>
    <row r="1108" spans="1:28" x14ac:dyDescent="0.25">
      <c r="A1108" t="s">
        <v>396</v>
      </c>
      <c r="B1108" t="s">
        <v>397</v>
      </c>
      <c r="C1108">
        <v>2012</v>
      </c>
      <c r="D1108">
        <v>0.78107504106121939</v>
      </c>
      <c r="E1108">
        <v>0.92243932064249967</v>
      </c>
      <c r="F1108">
        <v>4.5297480681032861E-3</v>
      </c>
      <c r="G1108">
        <v>1.9459101490553132</v>
      </c>
      <c r="H1108">
        <v>0.5714285714285714</v>
      </c>
      <c r="I1108">
        <v>0.66666666666666663</v>
      </c>
      <c r="J1108">
        <v>1</v>
      </c>
      <c r="K1108">
        <v>5</v>
      </c>
      <c r="L1108">
        <v>5</v>
      </c>
      <c r="M1108">
        <v>1</v>
      </c>
      <c r="N1108">
        <v>1</v>
      </c>
      <c r="O1108">
        <v>2</v>
      </c>
      <c r="P1108">
        <v>1</v>
      </c>
      <c r="Q1108">
        <f t="shared" si="119"/>
        <v>1</v>
      </c>
      <c r="R1108">
        <f t="shared" si="120"/>
        <v>16</v>
      </c>
      <c r="S1108">
        <f t="array" ref="S1108">MAX(IF($C$2:$C$1387=C1108,$R$2:$R$1387))</f>
        <v>29</v>
      </c>
      <c r="T1108" cm="1">
        <f t="array" ref="T1108">MIN(IF($C$2:$C$1387=C1108,$R$2:$R$1387))</f>
        <v>11</v>
      </c>
      <c r="U1108">
        <f t="shared" si="121"/>
        <v>18</v>
      </c>
      <c r="V1108">
        <f t="shared" si="122"/>
        <v>0.27777777777777779</v>
      </c>
      <c r="W1108" cm="1">
        <f t="array" ref="W1108">_xlfn.IFS(N1108=1,5,N1108=2,4,N1108=4,2,N1108=5,1,N1108=3,3)</f>
        <v>5</v>
      </c>
      <c r="X1108">
        <f t="shared" si="123"/>
        <v>20</v>
      </c>
      <c r="Y1108" cm="1">
        <f t="array" ref="Y1108">MAX(IF($C$2:$C$1387=C1108,$X$2:$X$1387))</f>
        <v>30</v>
      </c>
      <c r="Z1108" cm="1">
        <f t="array" ref="Z1108">MIN(IF($C$2:$C$1387=C1108,$X$2:$X$1387))</f>
        <v>12</v>
      </c>
      <c r="AA1108">
        <f t="shared" si="124"/>
        <v>18</v>
      </c>
      <c r="AB1108">
        <f t="shared" si="125"/>
        <v>0.44444444444444442</v>
      </c>
    </row>
    <row r="1109" spans="1:28" x14ac:dyDescent="0.25">
      <c r="A1109" t="s">
        <v>396</v>
      </c>
      <c r="B1109" t="s">
        <v>397</v>
      </c>
      <c r="C1109">
        <v>2013</v>
      </c>
      <c r="D1109">
        <v>0.78439135156481388</v>
      </c>
      <c r="E1109">
        <v>0.9282088333228623</v>
      </c>
      <c r="F1109">
        <v>4.4118746952195465E-3</v>
      </c>
      <c r="G1109">
        <v>1.9459101490553132</v>
      </c>
      <c r="H1109">
        <v>0.42857142857142855</v>
      </c>
      <c r="I1109">
        <v>0.66666666666666663</v>
      </c>
      <c r="J1109">
        <v>0</v>
      </c>
      <c r="K1109">
        <v>5</v>
      </c>
      <c r="L1109">
        <v>5</v>
      </c>
      <c r="M1109">
        <v>1</v>
      </c>
      <c r="N1109">
        <v>1</v>
      </c>
      <c r="O1109">
        <v>1</v>
      </c>
      <c r="P1109">
        <v>1</v>
      </c>
      <c r="Q1109">
        <f t="shared" si="119"/>
        <v>5</v>
      </c>
      <c r="R1109">
        <f t="shared" si="120"/>
        <v>19</v>
      </c>
      <c r="S1109">
        <f t="array" ref="S1109">MAX(IF($C$2:$C$1387=C1109,$R$2:$R$1387))</f>
        <v>29</v>
      </c>
      <c r="T1109" cm="1">
        <f t="array" ref="T1109">MIN(IF($C$2:$C$1387=C1109,$R$2:$R$1387))</f>
        <v>10</v>
      </c>
      <c r="U1109">
        <f t="shared" si="121"/>
        <v>19</v>
      </c>
      <c r="V1109">
        <f t="shared" si="122"/>
        <v>0.47368421052631576</v>
      </c>
      <c r="W1109" cm="1">
        <f t="array" ref="W1109">_xlfn.IFS(N1109=1,5,N1109=2,4,N1109=4,2,N1109=5,1,N1109=3,3)</f>
        <v>5</v>
      </c>
      <c r="X1109">
        <f t="shared" si="123"/>
        <v>23</v>
      </c>
      <c r="Y1109" cm="1">
        <f t="array" ref="Y1109">MAX(IF($C$2:$C$1387=C1109,$X$2:$X$1387))</f>
        <v>32</v>
      </c>
      <c r="Z1109" cm="1">
        <f t="array" ref="Z1109">MIN(IF($C$2:$C$1387=C1109,$X$2:$X$1387))</f>
        <v>10</v>
      </c>
      <c r="AA1109">
        <f t="shared" si="124"/>
        <v>22</v>
      </c>
      <c r="AB1109">
        <f t="shared" si="125"/>
        <v>0.59090909090909094</v>
      </c>
    </row>
    <row r="1110" spans="1:28" x14ac:dyDescent="0.25">
      <c r="A1110" t="s">
        <v>396</v>
      </c>
      <c r="B1110" t="s">
        <v>397</v>
      </c>
      <c r="C1110">
        <v>2014</v>
      </c>
      <c r="D1110">
        <v>0.78498969355914761</v>
      </c>
      <c r="E1110">
        <v>0.92985427380728003</v>
      </c>
      <c r="F1110">
        <v>3.433645368683378E-2</v>
      </c>
      <c r="G1110">
        <v>1.9459101490553132</v>
      </c>
      <c r="H1110">
        <v>0.42857142857142855</v>
      </c>
      <c r="I1110">
        <v>1</v>
      </c>
      <c r="J1110">
        <v>0</v>
      </c>
      <c r="K1110">
        <v>5</v>
      </c>
      <c r="L1110">
        <v>5</v>
      </c>
      <c r="M1110">
        <v>3</v>
      </c>
      <c r="N1110">
        <v>1</v>
      </c>
      <c r="O1110">
        <v>1</v>
      </c>
      <c r="P1110">
        <v>3</v>
      </c>
      <c r="Q1110">
        <f t="shared" si="119"/>
        <v>5</v>
      </c>
      <c r="R1110">
        <f t="shared" si="120"/>
        <v>23</v>
      </c>
      <c r="S1110">
        <f t="array" ref="S1110">MAX(IF($C$2:$C$1387=C1110,$R$2:$R$1387))</f>
        <v>29</v>
      </c>
      <c r="T1110" cm="1">
        <f t="array" ref="T1110">MIN(IF($C$2:$C$1387=C1110,$R$2:$R$1387))</f>
        <v>11</v>
      </c>
      <c r="U1110">
        <f t="shared" si="121"/>
        <v>18</v>
      </c>
      <c r="V1110">
        <f t="shared" si="122"/>
        <v>0.66666666666666663</v>
      </c>
      <c r="W1110" cm="1">
        <f t="array" ref="W1110">_xlfn.IFS(N1110=1,5,N1110=2,4,N1110=4,2,N1110=5,1,N1110=3,3)</f>
        <v>5</v>
      </c>
      <c r="X1110">
        <f t="shared" si="123"/>
        <v>27</v>
      </c>
      <c r="Y1110" cm="1">
        <f t="array" ref="Y1110">MAX(IF($C$2:$C$1387=C1110,$X$2:$X$1387))</f>
        <v>30</v>
      </c>
      <c r="Z1110" cm="1">
        <f t="array" ref="Z1110">MIN(IF($C$2:$C$1387=C1110,$X$2:$X$1387))</f>
        <v>14</v>
      </c>
      <c r="AA1110">
        <f t="shared" si="124"/>
        <v>16</v>
      </c>
      <c r="AB1110">
        <f t="shared" si="125"/>
        <v>0.8125</v>
      </c>
    </row>
    <row r="1111" spans="1:28" x14ac:dyDescent="0.25">
      <c r="A1111" t="s">
        <v>396</v>
      </c>
      <c r="B1111" t="s">
        <v>397</v>
      </c>
      <c r="C1111">
        <v>2015</v>
      </c>
      <c r="D1111">
        <v>0.78498969355914761</v>
      </c>
      <c r="E1111">
        <v>0.92850800432002922</v>
      </c>
      <c r="F1111">
        <v>3.7268329459068918E-2</v>
      </c>
      <c r="G1111">
        <v>1.9459101490553132</v>
      </c>
      <c r="H1111">
        <v>0.7142857142857143</v>
      </c>
      <c r="I1111">
        <v>1</v>
      </c>
      <c r="J1111">
        <v>0</v>
      </c>
      <c r="K1111">
        <v>5</v>
      </c>
      <c r="L1111">
        <v>5</v>
      </c>
      <c r="M1111">
        <v>3</v>
      </c>
      <c r="N1111">
        <v>1</v>
      </c>
      <c r="O1111">
        <v>3</v>
      </c>
      <c r="P1111">
        <v>2</v>
      </c>
      <c r="Q1111">
        <f t="shared" si="119"/>
        <v>5</v>
      </c>
      <c r="R1111">
        <f t="shared" si="120"/>
        <v>24</v>
      </c>
      <c r="S1111">
        <f t="array" ref="S1111">MAX(IF($C$2:$C$1387=C1111,$R$2:$R$1387))</f>
        <v>29</v>
      </c>
      <c r="T1111" cm="1">
        <f t="array" ref="T1111">MIN(IF($C$2:$C$1387=C1111,$R$2:$R$1387))</f>
        <v>11</v>
      </c>
      <c r="U1111">
        <f t="shared" si="121"/>
        <v>18</v>
      </c>
      <c r="V1111">
        <f t="shared" si="122"/>
        <v>0.72222222222222221</v>
      </c>
      <c r="W1111" cm="1">
        <f t="array" ref="W1111">_xlfn.IFS(N1111=1,5,N1111=2,4,N1111=4,2,N1111=5,1,N1111=3,3)</f>
        <v>5</v>
      </c>
      <c r="X1111">
        <f t="shared" si="123"/>
        <v>28</v>
      </c>
      <c r="Y1111" cm="1">
        <f t="array" ref="Y1111">MAX(IF($C$2:$C$1387=C1111,$X$2:$X$1387))</f>
        <v>29</v>
      </c>
      <c r="Z1111" cm="1">
        <f t="array" ref="Z1111">MIN(IF($C$2:$C$1387=C1111,$X$2:$X$1387))</f>
        <v>12</v>
      </c>
      <c r="AA1111">
        <f t="shared" si="124"/>
        <v>17</v>
      </c>
      <c r="AB1111">
        <f t="shared" si="125"/>
        <v>0.94117647058823528</v>
      </c>
    </row>
    <row r="1112" spans="1:28" x14ac:dyDescent="0.25">
      <c r="A1112" t="s">
        <v>398</v>
      </c>
      <c r="B1112" t="s">
        <v>399</v>
      </c>
      <c r="C1112">
        <v>2010</v>
      </c>
      <c r="D1112">
        <v>0.11612544013536884</v>
      </c>
      <c r="E1112">
        <v>0.84959884953072962</v>
      </c>
      <c r="F1112">
        <v>2.3622879159253315E-2</v>
      </c>
      <c r="G1112">
        <v>2.1972245773362196</v>
      </c>
      <c r="H1112">
        <v>0.77777777777777779</v>
      </c>
      <c r="I1112">
        <v>0.66666666666666663</v>
      </c>
      <c r="J1112">
        <v>0</v>
      </c>
      <c r="K1112">
        <v>3</v>
      </c>
      <c r="L1112">
        <v>5</v>
      </c>
      <c r="M1112">
        <v>3</v>
      </c>
      <c r="N1112">
        <v>4</v>
      </c>
      <c r="O1112">
        <v>4</v>
      </c>
      <c r="P1112">
        <v>1</v>
      </c>
      <c r="Q1112">
        <f t="shared" si="119"/>
        <v>5</v>
      </c>
      <c r="R1112">
        <f t="shared" si="120"/>
        <v>25</v>
      </c>
      <c r="S1112">
        <f t="array" ref="S1112">MAX(IF($C$2:$C$1387=C1112,$R$2:$R$1387))</f>
        <v>29</v>
      </c>
      <c r="T1112" cm="1">
        <f t="array" ref="T1112">MIN(IF($C$2:$C$1387=C1112,$R$2:$R$1387))</f>
        <v>9</v>
      </c>
      <c r="U1112">
        <f t="shared" si="121"/>
        <v>20</v>
      </c>
      <c r="V1112">
        <f t="shared" si="122"/>
        <v>0.8</v>
      </c>
      <c r="W1112" cm="1">
        <f t="array" ref="W1112">_xlfn.IFS(N1112=1,5,N1112=2,4,N1112=4,2,N1112=5,1,N1112=3,3)</f>
        <v>2</v>
      </c>
      <c r="X1112">
        <f t="shared" si="123"/>
        <v>23</v>
      </c>
      <c r="Y1112" cm="1">
        <f t="array" ref="Y1112">MAX(IF($C$2:$C$1387=C1112,$X$2:$X$1387))</f>
        <v>29</v>
      </c>
      <c r="Z1112" cm="1">
        <f t="array" ref="Z1112">MIN(IF($C$2:$C$1387=C1112,$X$2:$X$1387))</f>
        <v>12</v>
      </c>
      <c r="AA1112">
        <f t="shared" si="124"/>
        <v>17</v>
      </c>
      <c r="AB1112">
        <f t="shared" si="125"/>
        <v>0.6470588235294118</v>
      </c>
    </row>
    <row r="1113" spans="1:28" x14ac:dyDescent="0.25">
      <c r="A1113" t="s">
        <v>398</v>
      </c>
      <c r="B1113" t="s">
        <v>399</v>
      </c>
      <c r="C1113">
        <v>2011</v>
      </c>
      <c r="D1113">
        <v>0.12569550719769076</v>
      </c>
      <c r="E1113">
        <v>0.86254318407093589</v>
      </c>
      <c r="F1113">
        <v>4.2596186945035438E-3</v>
      </c>
      <c r="G1113">
        <v>2.1972245773362196</v>
      </c>
      <c r="H1113">
        <v>0.66666666666666663</v>
      </c>
      <c r="I1113">
        <v>0.66666666666666663</v>
      </c>
      <c r="J1113">
        <v>0</v>
      </c>
      <c r="K1113">
        <v>3</v>
      </c>
      <c r="L1113">
        <v>5</v>
      </c>
      <c r="M1113">
        <v>1</v>
      </c>
      <c r="N1113">
        <v>4</v>
      </c>
      <c r="O1113">
        <v>3</v>
      </c>
      <c r="P1113">
        <v>1</v>
      </c>
      <c r="Q1113">
        <f t="shared" si="119"/>
        <v>5</v>
      </c>
      <c r="R1113">
        <f t="shared" si="120"/>
        <v>22</v>
      </c>
      <c r="S1113">
        <f t="array" ref="S1113">MAX(IF($C$2:$C$1387=C1113,$R$2:$R$1387))</f>
        <v>28</v>
      </c>
      <c r="T1113" cm="1">
        <f t="array" ref="T1113">MIN(IF($C$2:$C$1387=C1113,$R$2:$R$1387))</f>
        <v>10</v>
      </c>
      <c r="U1113">
        <f t="shared" si="121"/>
        <v>18</v>
      </c>
      <c r="V1113">
        <f t="shared" si="122"/>
        <v>0.66666666666666663</v>
      </c>
      <c r="W1113" cm="1">
        <f t="array" ref="W1113">_xlfn.IFS(N1113=1,5,N1113=2,4,N1113=4,2,N1113=5,1,N1113=3,3)</f>
        <v>2</v>
      </c>
      <c r="X1113">
        <f t="shared" si="123"/>
        <v>20</v>
      </c>
      <c r="Y1113" cm="1">
        <f t="array" ref="Y1113">MAX(IF($C$2:$C$1387=C1113,$X$2:$X$1387))</f>
        <v>29</v>
      </c>
      <c r="Z1113" cm="1">
        <f t="array" ref="Z1113">MIN(IF($C$2:$C$1387=C1113,$X$2:$X$1387))</f>
        <v>12</v>
      </c>
      <c r="AA1113">
        <f t="shared" si="124"/>
        <v>17</v>
      </c>
      <c r="AB1113">
        <f t="shared" si="125"/>
        <v>0.47058823529411764</v>
      </c>
    </row>
    <row r="1114" spans="1:28" x14ac:dyDescent="0.25">
      <c r="A1114" t="s">
        <v>398</v>
      </c>
      <c r="B1114" t="s">
        <v>399</v>
      </c>
      <c r="C1114">
        <v>2012</v>
      </c>
      <c r="D1114">
        <v>0.1443170177381293</v>
      </c>
      <c r="E1114">
        <v>0.85718659665974062</v>
      </c>
      <c r="F1114">
        <v>2.8570228808181851E-2</v>
      </c>
      <c r="G1114">
        <v>2.1972245773362196</v>
      </c>
      <c r="H1114">
        <v>0.66666666666666663</v>
      </c>
      <c r="I1114">
        <v>0.66666666666666663</v>
      </c>
      <c r="J1114">
        <v>0</v>
      </c>
      <c r="K1114">
        <v>3</v>
      </c>
      <c r="L1114">
        <v>5</v>
      </c>
      <c r="M1114">
        <v>3</v>
      </c>
      <c r="N1114">
        <v>4</v>
      </c>
      <c r="O1114">
        <v>3</v>
      </c>
      <c r="P1114">
        <v>1</v>
      </c>
      <c r="Q1114">
        <f t="shared" si="119"/>
        <v>5</v>
      </c>
      <c r="R1114">
        <f t="shared" si="120"/>
        <v>24</v>
      </c>
      <c r="S1114">
        <f t="array" ref="S1114">MAX(IF($C$2:$C$1387=C1114,$R$2:$R$1387))</f>
        <v>29</v>
      </c>
      <c r="T1114" cm="1">
        <f t="array" ref="T1114">MIN(IF($C$2:$C$1387=C1114,$R$2:$R$1387))</f>
        <v>11</v>
      </c>
      <c r="U1114">
        <f t="shared" si="121"/>
        <v>18</v>
      </c>
      <c r="V1114">
        <f t="shared" si="122"/>
        <v>0.72222222222222221</v>
      </c>
      <c r="W1114" cm="1">
        <f t="array" ref="W1114">_xlfn.IFS(N1114=1,5,N1114=2,4,N1114=4,2,N1114=5,1,N1114=3,3)</f>
        <v>2</v>
      </c>
      <c r="X1114">
        <f t="shared" si="123"/>
        <v>22</v>
      </c>
      <c r="Y1114" cm="1">
        <f t="array" ref="Y1114">MAX(IF($C$2:$C$1387=C1114,$X$2:$X$1387))</f>
        <v>30</v>
      </c>
      <c r="Z1114" cm="1">
        <f t="array" ref="Z1114">MIN(IF($C$2:$C$1387=C1114,$X$2:$X$1387))</f>
        <v>12</v>
      </c>
      <c r="AA1114">
        <f t="shared" si="124"/>
        <v>18</v>
      </c>
      <c r="AB1114">
        <f t="shared" si="125"/>
        <v>0.55555555555555558</v>
      </c>
    </row>
    <row r="1115" spans="1:28" x14ac:dyDescent="0.25">
      <c r="A1115" t="s">
        <v>398</v>
      </c>
      <c r="B1115" t="s">
        <v>399</v>
      </c>
      <c r="C1115">
        <v>2013</v>
      </c>
      <c r="D1115">
        <v>0.73432101991133014</v>
      </c>
      <c r="E1115">
        <v>0.88369840203385053</v>
      </c>
      <c r="F1115">
        <v>4.6961147814979329E-2</v>
      </c>
      <c r="G1115">
        <v>2.1972245773362196</v>
      </c>
      <c r="H1115">
        <v>0.66666666666666663</v>
      </c>
      <c r="I1115">
        <v>0.66666666666666663</v>
      </c>
      <c r="J1115">
        <v>0</v>
      </c>
      <c r="K1115">
        <v>5</v>
      </c>
      <c r="L1115">
        <v>5</v>
      </c>
      <c r="M1115">
        <v>3</v>
      </c>
      <c r="N1115">
        <v>4</v>
      </c>
      <c r="O1115">
        <v>4</v>
      </c>
      <c r="P1115">
        <v>1</v>
      </c>
      <c r="Q1115">
        <f t="shared" si="119"/>
        <v>5</v>
      </c>
      <c r="R1115">
        <f t="shared" si="120"/>
        <v>27</v>
      </c>
      <c r="S1115">
        <f t="array" ref="S1115">MAX(IF($C$2:$C$1387=C1115,$R$2:$R$1387))</f>
        <v>29</v>
      </c>
      <c r="T1115" cm="1">
        <f t="array" ref="T1115">MIN(IF($C$2:$C$1387=C1115,$R$2:$R$1387))</f>
        <v>10</v>
      </c>
      <c r="U1115">
        <f t="shared" si="121"/>
        <v>19</v>
      </c>
      <c r="V1115">
        <f t="shared" si="122"/>
        <v>0.89473684210526316</v>
      </c>
      <c r="W1115" cm="1">
        <f t="array" ref="W1115">_xlfn.IFS(N1115=1,5,N1115=2,4,N1115=4,2,N1115=5,1,N1115=3,3)</f>
        <v>2</v>
      </c>
      <c r="X1115">
        <f t="shared" si="123"/>
        <v>25</v>
      </c>
      <c r="Y1115" cm="1">
        <f t="array" ref="Y1115">MAX(IF($C$2:$C$1387=C1115,$X$2:$X$1387))</f>
        <v>32</v>
      </c>
      <c r="Z1115" cm="1">
        <f t="array" ref="Z1115">MIN(IF($C$2:$C$1387=C1115,$X$2:$X$1387))</f>
        <v>10</v>
      </c>
      <c r="AA1115">
        <f t="shared" si="124"/>
        <v>22</v>
      </c>
      <c r="AB1115">
        <f t="shared" si="125"/>
        <v>0.68181818181818177</v>
      </c>
    </row>
    <row r="1116" spans="1:28" x14ac:dyDescent="0.25">
      <c r="A1116" t="s">
        <v>398</v>
      </c>
      <c r="B1116" t="s">
        <v>399</v>
      </c>
      <c r="C1116">
        <v>2014</v>
      </c>
      <c r="D1116">
        <v>0.1443170177381293</v>
      </c>
      <c r="E1116">
        <v>0.88369840203385053</v>
      </c>
      <c r="F1116">
        <v>4.7997980250415767E-2</v>
      </c>
      <c r="G1116">
        <v>2.1972245773362196</v>
      </c>
      <c r="H1116">
        <v>0.66666666666666663</v>
      </c>
      <c r="I1116">
        <v>0.66666666666666663</v>
      </c>
      <c r="J1116">
        <v>0</v>
      </c>
      <c r="K1116">
        <v>3</v>
      </c>
      <c r="L1116">
        <v>5</v>
      </c>
      <c r="M1116">
        <v>3</v>
      </c>
      <c r="N1116">
        <v>4</v>
      </c>
      <c r="O1116">
        <v>4</v>
      </c>
      <c r="P1116">
        <v>1</v>
      </c>
      <c r="Q1116">
        <f t="shared" si="119"/>
        <v>5</v>
      </c>
      <c r="R1116">
        <f t="shared" si="120"/>
        <v>25</v>
      </c>
      <c r="S1116">
        <f t="array" ref="S1116">MAX(IF($C$2:$C$1387=C1116,$R$2:$R$1387))</f>
        <v>29</v>
      </c>
      <c r="T1116" cm="1">
        <f t="array" ref="T1116">MIN(IF($C$2:$C$1387=C1116,$R$2:$R$1387))</f>
        <v>11</v>
      </c>
      <c r="U1116">
        <f t="shared" si="121"/>
        <v>18</v>
      </c>
      <c r="V1116">
        <f t="shared" si="122"/>
        <v>0.77777777777777779</v>
      </c>
      <c r="W1116" cm="1">
        <f t="array" ref="W1116">_xlfn.IFS(N1116=1,5,N1116=2,4,N1116=4,2,N1116=5,1,N1116=3,3)</f>
        <v>2</v>
      </c>
      <c r="X1116">
        <f t="shared" si="123"/>
        <v>23</v>
      </c>
      <c r="Y1116" cm="1">
        <f t="array" ref="Y1116">MAX(IF($C$2:$C$1387=C1116,$X$2:$X$1387))</f>
        <v>30</v>
      </c>
      <c r="Z1116" cm="1">
        <f t="array" ref="Z1116">MIN(IF($C$2:$C$1387=C1116,$X$2:$X$1387))</f>
        <v>14</v>
      </c>
      <c r="AA1116">
        <f t="shared" si="124"/>
        <v>16</v>
      </c>
      <c r="AB1116">
        <f t="shared" si="125"/>
        <v>0.5625</v>
      </c>
    </row>
    <row r="1117" spans="1:28" x14ac:dyDescent="0.25">
      <c r="A1117" t="s">
        <v>398</v>
      </c>
      <c r="B1117" t="s">
        <v>399</v>
      </c>
      <c r="C1117">
        <v>2015</v>
      </c>
      <c r="D1117">
        <v>0.1443170177381293</v>
      </c>
      <c r="E1117">
        <v>0.88369840203385053</v>
      </c>
      <c r="F1117">
        <v>4.6857464571435678E-2</v>
      </c>
      <c r="G1117">
        <v>2.1972245773362196</v>
      </c>
      <c r="H1117">
        <v>0.66666666666666663</v>
      </c>
      <c r="I1117">
        <v>0.66666666666666663</v>
      </c>
      <c r="J1117">
        <v>0</v>
      </c>
      <c r="K1117">
        <v>3</v>
      </c>
      <c r="L1117">
        <v>5</v>
      </c>
      <c r="M1117">
        <v>3</v>
      </c>
      <c r="N1117">
        <v>4</v>
      </c>
      <c r="O1117">
        <v>2</v>
      </c>
      <c r="P1117">
        <v>1</v>
      </c>
      <c r="Q1117">
        <f t="shared" si="119"/>
        <v>5</v>
      </c>
      <c r="R1117">
        <f t="shared" si="120"/>
        <v>23</v>
      </c>
      <c r="S1117">
        <f t="array" ref="S1117">MAX(IF($C$2:$C$1387=C1117,$R$2:$R$1387))</f>
        <v>29</v>
      </c>
      <c r="T1117" cm="1">
        <f t="array" ref="T1117">MIN(IF($C$2:$C$1387=C1117,$R$2:$R$1387))</f>
        <v>11</v>
      </c>
      <c r="U1117">
        <f t="shared" si="121"/>
        <v>18</v>
      </c>
      <c r="V1117">
        <f t="shared" si="122"/>
        <v>0.66666666666666663</v>
      </c>
      <c r="W1117" cm="1">
        <f t="array" ref="W1117">_xlfn.IFS(N1117=1,5,N1117=2,4,N1117=4,2,N1117=5,1,N1117=3,3)</f>
        <v>2</v>
      </c>
      <c r="X1117">
        <f t="shared" si="123"/>
        <v>21</v>
      </c>
      <c r="Y1117" cm="1">
        <f t="array" ref="Y1117">MAX(IF($C$2:$C$1387=C1117,$X$2:$X$1387))</f>
        <v>29</v>
      </c>
      <c r="Z1117" cm="1">
        <f t="array" ref="Z1117">MIN(IF($C$2:$C$1387=C1117,$X$2:$X$1387))</f>
        <v>12</v>
      </c>
      <c r="AA1117">
        <f t="shared" si="124"/>
        <v>17</v>
      </c>
      <c r="AB1117">
        <f t="shared" si="125"/>
        <v>0.52941176470588236</v>
      </c>
    </row>
    <row r="1118" spans="1:28" x14ac:dyDescent="0.25">
      <c r="A1118" t="s">
        <v>400</v>
      </c>
      <c r="B1118" t="s">
        <v>401</v>
      </c>
      <c r="C1118">
        <v>2010</v>
      </c>
      <c r="D1118">
        <v>0.59890156618935086</v>
      </c>
      <c r="E1118">
        <v>0.51752066658898954</v>
      </c>
      <c r="F1118">
        <v>0</v>
      </c>
      <c r="G1118">
        <v>1.9459101490553132</v>
      </c>
      <c r="H1118">
        <v>0.7142857142857143</v>
      </c>
      <c r="I1118">
        <v>1</v>
      </c>
      <c r="J1118">
        <v>0</v>
      </c>
      <c r="K1118">
        <v>5</v>
      </c>
      <c r="L1118">
        <v>2</v>
      </c>
      <c r="M1118">
        <v>1</v>
      </c>
      <c r="N1118">
        <v>1</v>
      </c>
      <c r="O1118">
        <v>4</v>
      </c>
      <c r="P1118">
        <v>3</v>
      </c>
      <c r="Q1118">
        <f t="shared" si="119"/>
        <v>5</v>
      </c>
      <c r="R1118">
        <f t="shared" si="120"/>
        <v>21</v>
      </c>
      <c r="S1118">
        <f t="array" ref="S1118">MAX(IF($C$2:$C$1387=C1118,$R$2:$R$1387))</f>
        <v>29</v>
      </c>
      <c r="T1118" cm="1">
        <f t="array" ref="T1118">MIN(IF($C$2:$C$1387=C1118,$R$2:$R$1387))</f>
        <v>9</v>
      </c>
      <c r="U1118">
        <f t="shared" si="121"/>
        <v>20</v>
      </c>
      <c r="V1118">
        <f t="shared" si="122"/>
        <v>0.6</v>
      </c>
      <c r="W1118" cm="1">
        <f t="array" ref="W1118">_xlfn.IFS(N1118=1,5,N1118=2,4,N1118=4,2,N1118=5,1,N1118=3,3)</f>
        <v>5</v>
      </c>
      <c r="X1118">
        <f t="shared" si="123"/>
        <v>25</v>
      </c>
      <c r="Y1118" cm="1">
        <f t="array" ref="Y1118">MAX(IF($C$2:$C$1387=C1118,$X$2:$X$1387))</f>
        <v>29</v>
      </c>
      <c r="Z1118" cm="1">
        <f t="array" ref="Z1118">MIN(IF($C$2:$C$1387=C1118,$X$2:$X$1387))</f>
        <v>12</v>
      </c>
      <c r="AA1118">
        <f t="shared" si="124"/>
        <v>17</v>
      </c>
      <c r="AB1118">
        <f t="shared" si="125"/>
        <v>0.76470588235294112</v>
      </c>
    </row>
    <row r="1119" spans="1:28" x14ac:dyDescent="0.25">
      <c r="A1119" t="s">
        <v>400</v>
      </c>
      <c r="B1119" t="s">
        <v>401</v>
      </c>
      <c r="C1119">
        <v>2011</v>
      </c>
      <c r="D1119">
        <v>0.70178438232268459</v>
      </c>
      <c r="E1119">
        <v>0.52135721804458868</v>
      </c>
      <c r="F1119">
        <v>4.4265986294971801E-4</v>
      </c>
      <c r="G1119">
        <v>2.0794415416798357</v>
      </c>
      <c r="H1119">
        <v>0.625</v>
      </c>
      <c r="I1119">
        <v>1</v>
      </c>
      <c r="J1119">
        <v>0</v>
      </c>
      <c r="K1119">
        <v>5</v>
      </c>
      <c r="L1119">
        <v>2</v>
      </c>
      <c r="M1119">
        <v>1</v>
      </c>
      <c r="N1119">
        <v>3</v>
      </c>
      <c r="O1119">
        <v>3</v>
      </c>
      <c r="P1119">
        <v>3</v>
      </c>
      <c r="Q1119">
        <f t="shared" si="119"/>
        <v>5</v>
      </c>
      <c r="R1119">
        <f t="shared" si="120"/>
        <v>22</v>
      </c>
      <c r="S1119">
        <f t="array" ref="S1119">MAX(IF($C$2:$C$1387=C1119,$R$2:$R$1387))</f>
        <v>28</v>
      </c>
      <c r="T1119" cm="1">
        <f t="array" ref="T1119">MIN(IF($C$2:$C$1387=C1119,$R$2:$R$1387))</f>
        <v>10</v>
      </c>
      <c r="U1119">
        <f t="shared" si="121"/>
        <v>18</v>
      </c>
      <c r="V1119">
        <f t="shared" si="122"/>
        <v>0.66666666666666663</v>
      </c>
      <c r="W1119" cm="1">
        <f t="array" ref="W1119">_xlfn.IFS(N1119=1,5,N1119=2,4,N1119=4,2,N1119=5,1,N1119=3,3)</f>
        <v>3</v>
      </c>
      <c r="X1119">
        <f t="shared" si="123"/>
        <v>22</v>
      </c>
      <c r="Y1119" cm="1">
        <f t="array" ref="Y1119">MAX(IF($C$2:$C$1387=C1119,$X$2:$X$1387))</f>
        <v>29</v>
      </c>
      <c r="Z1119" cm="1">
        <f t="array" ref="Z1119">MIN(IF($C$2:$C$1387=C1119,$X$2:$X$1387))</f>
        <v>12</v>
      </c>
      <c r="AA1119">
        <f t="shared" si="124"/>
        <v>17</v>
      </c>
      <c r="AB1119">
        <f t="shared" si="125"/>
        <v>0.58823529411764708</v>
      </c>
    </row>
    <row r="1120" spans="1:28" x14ac:dyDescent="0.25">
      <c r="A1120" t="s">
        <v>400</v>
      </c>
      <c r="B1120" t="s">
        <v>401</v>
      </c>
      <c r="C1120">
        <v>2012</v>
      </c>
      <c r="D1120">
        <v>0.44287342517156181</v>
      </c>
      <c r="E1120">
        <v>0.52135522632417042</v>
      </c>
      <c r="F1120">
        <v>1.5368114746996734E-3</v>
      </c>
      <c r="G1120">
        <v>2.0794415416798357</v>
      </c>
      <c r="H1120">
        <v>0.625</v>
      </c>
      <c r="I1120">
        <v>0.66666666666666663</v>
      </c>
      <c r="J1120">
        <v>0</v>
      </c>
      <c r="K1120">
        <v>4</v>
      </c>
      <c r="L1120">
        <v>2</v>
      </c>
      <c r="M1120">
        <v>1</v>
      </c>
      <c r="N1120">
        <v>3</v>
      </c>
      <c r="O1120">
        <v>3</v>
      </c>
      <c r="P1120">
        <v>1</v>
      </c>
      <c r="Q1120">
        <f t="shared" si="119"/>
        <v>5</v>
      </c>
      <c r="R1120">
        <f t="shared" si="120"/>
        <v>19</v>
      </c>
      <c r="S1120">
        <f t="array" ref="S1120">MAX(IF($C$2:$C$1387=C1120,$R$2:$R$1387))</f>
        <v>29</v>
      </c>
      <c r="T1120" cm="1">
        <f t="array" ref="T1120">MIN(IF($C$2:$C$1387=C1120,$R$2:$R$1387))</f>
        <v>11</v>
      </c>
      <c r="U1120">
        <f t="shared" si="121"/>
        <v>18</v>
      </c>
      <c r="V1120">
        <f t="shared" si="122"/>
        <v>0.44444444444444442</v>
      </c>
      <c r="W1120" cm="1">
        <f t="array" ref="W1120">_xlfn.IFS(N1120=1,5,N1120=2,4,N1120=4,2,N1120=5,1,N1120=3,3)</f>
        <v>3</v>
      </c>
      <c r="X1120">
        <f t="shared" si="123"/>
        <v>19</v>
      </c>
      <c r="Y1120" cm="1">
        <f t="array" ref="Y1120">MAX(IF($C$2:$C$1387=C1120,$X$2:$X$1387))</f>
        <v>30</v>
      </c>
      <c r="Z1120" cm="1">
        <f t="array" ref="Z1120">MIN(IF($C$2:$C$1387=C1120,$X$2:$X$1387))</f>
        <v>12</v>
      </c>
      <c r="AA1120">
        <f t="shared" si="124"/>
        <v>18</v>
      </c>
      <c r="AB1120">
        <f t="shared" si="125"/>
        <v>0.3888888888888889</v>
      </c>
    </row>
    <row r="1121" spans="1:28" x14ac:dyDescent="0.25">
      <c r="A1121" t="s">
        <v>400</v>
      </c>
      <c r="B1121" t="s">
        <v>401</v>
      </c>
      <c r="C1121">
        <v>2013</v>
      </c>
      <c r="D1121">
        <v>0.60753706840663357</v>
      </c>
      <c r="E1121">
        <v>0.52135522632417042</v>
      </c>
      <c r="F1121">
        <v>4.6033638166143341E-4</v>
      </c>
      <c r="G1121">
        <v>2.0794415416798357</v>
      </c>
      <c r="H1121">
        <v>0.625</v>
      </c>
      <c r="I1121">
        <v>0.66666666666666663</v>
      </c>
      <c r="J1121">
        <v>0</v>
      </c>
      <c r="K1121">
        <v>5</v>
      </c>
      <c r="L1121">
        <v>2</v>
      </c>
      <c r="M1121">
        <v>1</v>
      </c>
      <c r="N1121">
        <v>3</v>
      </c>
      <c r="O1121">
        <v>3</v>
      </c>
      <c r="P1121">
        <v>1</v>
      </c>
      <c r="Q1121">
        <f t="shared" si="119"/>
        <v>5</v>
      </c>
      <c r="R1121">
        <f t="shared" si="120"/>
        <v>20</v>
      </c>
      <c r="S1121">
        <f t="array" ref="S1121">MAX(IF($C$2:$C$1387=C1121,$R$2:$R$1387))</f>
        <v>29</v>
      </c>
      <c r="T1121" cm="1">
        <f t="array" ref="T1121">MIN(IF($C$2:$C$1387=C1121,$R$2:$R$1387))</f>
        <v>10</v>
      </c>
      <c r="U1121">
        <f t="shared" si="121"/>
        <v>19</v>
      </c>
      <c r="V1121">
        <f t="shared" si="122"/>
        <v>0.52631578947368418</v>
      </c>
      <c r="W1121" cm="1">
        <f t="array" ref="W1121">_xlfn.IFS(N1121=1,5,N1121=2,4,N1121=4,2,N1121=5,1,N1121=3,3)</f>
        <v>3</v>
      </c>
      <c r="X1121">
        <f t="shared" si="123"/>
        <v>20</v>
      </c>
      <c r="Y1121" cm="1">
        <f t="array" ref="Y1121">MAX(IF($C$2:$C$1387=C1121,$X$2:$X$1387))</f>
        <v>32</v>
      </c>
      <c r="Z1121" cm="1">
        <f t="array" ref="Z1121">MIN(IF($C$2:$C$1387=C1121,$X$2:$X$1387))</f>
        <v>10</v>
      </c>
      <c r="AA1121">
        <f t="shared" si="124"/>
        <v>22</v>
      </c>
      <c r="AB1121">
        <f t="shared" si="125"/>
        <v>0.45454545454545453</v>
      </c>
    </row>
    <row r="1122" spans="1:28" x14ac:dyDescent="0.25">
      <c r="A1122" t="s">
        <v>400</v>
      </c>
      <c r="B1122" t="s">
        <v>401</v>
      </c>
      <c r="C1122">
        <v>2014</v>
      </c>
      <c r="D1122">
        <v>0.46549800634920635</v>
      </c>
      <c r="E1122">
        <v>0.44588109206349208</v>
      </c>
      <c r="F1122">
        <v>5.3712457142857141E-2</v>
      </c>
      <c r="G1122">
        <v>2.0794415416798357</v>
      </c>
      <c r="H1122">
        <v>0.625</v>
      </c>
      <c r="I1122">
        <v>0.33333333333333331</v>
      </c>
      <c r="J1122">
        <v>0</v>
      </c>
      <c r="K1122">
        <v>4</v>
      </c>
      <c r="L1122">
        <v>2</v>
      </c>
      <c r="M1122">
        <v>3</v>
      </c>
      <c r="N1122">
        <v>3</v>
      </c>
      <c r="O1122">
        <v>3</v>
      </c>
      <c r="P1122">
        <v>1</v>
      </c>
      <c r="Q1122">
        <f t="shared" si="119"/>
        <v>5</v>
      </c>
      <c r="R1122">
        <f t="shared" si="120"/>
        <v>21</v>
      </c>
      <c r="S1122">
        <f t="array" ref="S1122">MAX(IF($C$2:$C$1387=C1122,$R$2:$R$1387))</f>
        <v>29</v>
      </c>
      <c r="T1122" cm="1">
        <f t="array" ref="T1122">MIN(IF($C$2:$C$1387=C1122,$R$2:$R$1387))</f>
        <v>11</v>
      </c>
      <c r="U1122">
        <f t="shared" si="121"/>
        <v>18</v>
      </c>
      <c r="V1122">
        <f t="shared" si="122"/>
        <v>0.55555555555555558</v>
      </c>
      <c r="W1122" cm="1">
        <f t="array" ref="W1122">_xlfn.IFS(N1122=1,5,N1122=2,4,N1122=4,2,N1122=5,1,N1122=3,3)</f>
        <v>3</v>
      </c>
      <c r="X1122">
        <f t="shared" si="123"/>
        <v>21</v>
      </c>
      <c r="Y1122" cm="1">
        <f t="array" ref="Y1122">MAX(IF($C$2:$C$1387=C1122,$X$2:$X$1387))</f>
        <v>30</v>
      </c>
      <c r="Z1122" cm="1">
        <f t="array" ref="Z1122">MIN(IF($C$2:$C$1387=C1122,$X$2:$X$1387))</f>
        <v>14</v>
      </c>
      <c r="AA1122">
        <f t="shared" si="124"/>
        <v>16</v>
      </c>
      <c r="AB1122">
        <f t="shared" si="125"/>
        <v>0.4375</v>
      </c>
    </row>
    <row r="1123" spans="1:28" x14ac:dyDescent="0.25">
      <c r="A1123" t="s">
        <v>400</v>
      </c>
      <c r="B1123" t="s">
        <v>401</v>
      </c>
      <c r="C1123">
        <v>2015</v>
      </c>
      <c r="D1123">
        <v>0.58718636627539322</v>
      </c>
      <c r="E1123">
        <v>0.42674850645865137</v>
      </c>
      <c r="F1123">
        <v>1.6695098475636779E-3</v>
      </c>
      <c r="G1123">
        <v>2.0794415416798357</v>
      </c>
      <c r="H1123">
        <v>0.625</v>
      </c>
      <c r="I1123">
        <v>0.66666666666666663</v>
      </c>
      <c r="J1123">
        <v>0</v>
      </c>
      <c r="K1123">
        <v>5</v>
      </c>
      <c r="L1123">
        <v>1</v>
      </c>
      <c r="M1123">
        <v>1</v>
      </c>
      <c r="N1123">
        <v>3</v>
      </c>
      <c r="O1123">
        <v>2</v>
      </c>
      <c r="P1123">
        <v>1</v>
      </c>
      <c r="Q1123">
        <f t="shared" si="119"/>
        <v>5</v>
      </c>
      <c r="R1123">
        <f t="shared" si="120"/>
        <v>18</v>
      </c>
      <c r="S1123">
        <f t="array" ref="S1123">MAX(IF($C$2:$C$1387=C1123,$R$2:$R$1387))</f>
        <v>29</v>
      </c>
      <c r="T1123" cm="1">
        <f t="array" ref="T1123">MIN(IF($C$2:$C$1387=C1123,$R$2:$R$1387))</f>
        <v>11</v>
      </c>
      <c r="U1123">
        <f t="shared" si="121"/>
        <v>18</v>
      </c>
      <c r="V1123">
        <f t="shared" si="122"/>
        <v>0.3888888888888889</v>
      </c>
      <c r="W1123" cm="1">
        <f t="array" ref="W1123">_xlfn.IFS(N1123=1,5,N1123=2,4,N1123=4,2,N1123=5,1,N1123=3,3)</f>
        <v>3</v>
      </c>
      <c r="X1123">
        <f t="shared" si="123"/>
        <v>18</v>
      </c>
      <c r="Y1123" cm="1">
        <f t="array" ref="Y1123">MAX(IF($C$2:$C$1387=C1123,$X$2:$X$1387))</f>
        <v>29</v>
      </c>
      <c r="Z1123" cm="1">
        <f t="array" ref="Z1123">MIN(IF($C$2:$C$1387=C1123,$X$2:$X$1387))</f>
        <v>12</v>
      </c>
      <c r="AA1123">
        <f t="shared" si="124"/>
        <v>17</v>
      </c>
      <c r="AB1123">
        <f t="shared" si="125"/>
        <v>0.35294117647058826</v>
      </c>
    </row>
    <row r="1124" spans="1:28" x14ac:dyDescent="0.25">
      <c r="A1124" t="s">
        <v>402</v>
      </c>
      <c r="B1124" t="s">
        <v>403</v>
      </c>
      <c r="C1124">
        <v>2010</v>
      </c>
      <c r="D1124">
        <v>0.3665758653846154</v>
      </c>
      <c r="E1124">
        <v>0.47646509615384613</v>
      </c>
      <c r="F1124">
        <v>2.9325000000000002E-3</v>
      </c>
      <c r="G1124">
        <v>1.9459101490553132</v>
      </c>
      <c r="H1124">
        <v>0.7142857142857143</v>
      </c>
      <c r="I1124">
        <v>1</v>
      </c>
      <c r="J1124">
        <v>1</v>
      </c>
      <c r="K1124">
        <v>4</v>
      </c>
      <c r="L1124">
        <v>2</v>
      </c>
      <c r="M1124">
        <v>2</v>
      </c>
      <c r="N1124">
        <v>1</v>
      </c>
      <c r="O1124">
        <v>4</v>
      </c>
      <c r="P1124">
        <v>3</v>
      </c>
      <c r="Q1124">
        <f t="shared" si="119"/>
        <v>1</v>
      </c>
      <c r="R1124">
        <f t="shared" si="120"/>
        <v>17</v>
      </c>
      <c r="S1124">
        <f t="array" ref="S1124">MAX(IF($C$2:$C$1387=C1124,$R$2:$R$1387))</f>
        <v>29</v>
      </c>
      <c r="T1124" cm="1">
        <f t="array" ref="T1124">MIN(IF($C$2:$C$1387=C1124,$R$2:$R$1387))</f>
        <v>9</v>
      </c>
      <c r="U1124">
        <f t="shared" si="121"/>
        <v>20</v>
      </c>
      <c r="V1124">
        <f t="shared" si="122"/>
        <v>0.4</v>
      </c>
      <c r="W1124" cm="1">
        <f t="array" ref="W1124">_xlfn.IFS(N1124=1,5,N1124=2,4,N1124=4,2,N1124=5,1,N1124=3,3)</f>
        <v>5</v>
      </c>
      <c r="X1124">
        <f t="shared" si="123"/>
        <v>21</v>
      </c>
      <c r="Y1124" cm="1">
        <f t="array" ref="Y1124">MAX(IF($C$2:$C$1387=C1124,$X$2:$X$1387))</f>
        <v>29</v>
      </c>
      <c r="Z1124" cm="1">
        <f t="array" ref="Z1124">MIN(IF($C$2:$C$1387=C1124,$X$2:$X$1387))</f>
        <v>12</v>
      </c>
      <c r="AA1124">
        <f t="shared" si="124"/>
        <v>17</v>
      </c>
      <c r="AB1124">
        <f t="shared" si="125"/>
        <v>0.52941176470588236</v>
      </c>
    </row>
    <row r="1125" spans="1:28" x14ac:dyDescent="0.25">
      <c r="A1125" t="s">
        <v>402</v>
      </c>
      <c r="B1125" t="s">
        <v>403</v>
      </c>
      <c r="C1125">
        <v>2011</v>
      </c>
      <c r="D1125">
        <v>0.3665758653846154</v>
      </c>
      <c r="E1125">
        <v>0.47646509615384613</v>
      </c>
      <c r="F1125">
        <v>2.9325000000000002E-3</v>
      </c>
      <c r="G1125">
        <v>1.9459101490553132</v>
      </c>
      <c r="H1125">
        <v>0.7142857142857143</v>
      </c>
      <c r="I1125">
        <v>1</v>
      </c>
      <c r="J1125">
        <v>1</v>
      </c>
      <c r="K1125">
        <v>4</v>
      </c>
      <c r="L1125">
        <v>2</v>
      </c>
      <c r="M1125">
        <v>1</v>
      </c>
      <c r="N1125">
        <v>1</v>
      </c>
      <c r="O1125">
        <v>4</v>
      </c>
      <c r="P1125">
        <v>3</v>
      </c>
      <c r="Q1125">
        <f t="shared" si="119"/>
        <v>1</v>
      </c>
      <c r="R1125">
        <f t="shared" si="120"/>
        <v>16</v>
      </c>
      <c r="S1125">
        <f t="array" ref="S1125">MAX(IF($C$2:$C$1387=C1125,$R$2:$R$1387))</f>
        <v>28</v>
      </c>
      <c r="T1125" cm="1">
        <f t="array" ref="T1125">MIN(IF($C$2:$C$1387=C1125,$R$2:$R$1387))</f>
        <v>10</v>
      </c>
      <c r="U1125">
        <f t="shared" si="121"/>
        <v>18</v>
      </c>
      <c r="V1125">
        <f t="shared" si="122"/>
        <v>0.33333333333333331</v>
      </c>
      <c r="W1125" cm="1">
        <f t="array" ref="W1125">_xlfn.IFS(N1125=1,5,N1125=2,4,N1125=4,2,N1125=5,1,N1125=3,3)</f>
        <v>5</v>
      </c>
      <c r="X1125">
        <f t="shared" si="123"/>
        <v>20</v>
      </c>
      <c r="Y1125" cm="1">
        <f t="array" ref="Y1125">MAX(IF($C$2:$C$1387=C1125,$X$2:$X$1387))</f>
        <v>29</v>
      </c>
      <c r="Z1125" cm="1">
        <f t="array" ref="Z1125">MIN(IF($C$2:$C$1387=C1125,$X$2:$X$1387))</f>
        <v>12</v>
      </c>
      <c r="AA1125">
        <f t="shared" si="124"/>
        <v>17</v>
      </c>
      <c r="AB1125">
        <f t="shared" si="125"/>
        <v>0.47058823529411764</v>
      </c>
    </row>
    <row r="1126" spans="1:28" x14ac:dyDescent="0.25">
      <c r="A1126" t="s">
        <v>402</v>
      </c>
      <c r="B1126" t="s">
        <v>403</v>
      </c>
      <c r="C1126">
        <v>2012</v>
      </c>
      <c r="D1126">
        <v>0.34991666666666665</v>
      </c>
      <c r="E1126">
        <v>0.44062499999999999</v>
      </c>
      <c r="F1126">
        <v>1.61E-2</v>
      </c>
      <c r="G1126">
        <v>1.9459101490553132</v>
      </c>
      <c r="H1126">
        <v>0.5714285714285714</v>
      </c>
      <c r="I1126">
        <v>1</v>
      </c>
      <c r="J1126">
        <v>0</v>
      </c>
      <c r="K1126">
        <v>4</v>
      </c>
      <c r="L1126">
        <v>1</v>
      </c>
      <c r="M1126">
        <v>2</v>
      </c>
      <c r="N1126">
        <v>1</v>
      </c>
      <c r="O1126">
        <v>2</v>
      </c>
      <c r="P1126">
        <v>3</v>
      </c>
      <c r="Q1126">
        <f t="shared" si="119"/>
        <v>5</v>
      </c>
      <c r="R1126">
        <f t="shared" si="120"/>
        <v>18</v>
      </c>
      <c r="S1126">
        <f t="array" ref="S1126">MAX(IF($C$2:$C$1387=C1126,$R$2:$R$1387))</f>
        <v>29</v>
      </c>
      <c r="T1126" cm="1">
        <f t="array" ref="T1126">MIN(IF($C$2:$C$1387=C1126,$R$2:$R$1387))</f>
        <v>11</v>
      </c>
      <c r="U1126">
        <f t="shared" si="121"/>
        <v>18</v>
      </c>
      <c r="V1126">
        <f t="shared" si="122"/>
        <v>0.3888888888888889</v>
      </c>
      <c r="W1126" cm="1">
        <f t="array" ref="W1126">_xlfn.IFS(N1126=1,5,N1126=2,4,N1126=4,2,N1126=5,1,N1126=3,3)</f>
        <v>5</v>
      </c>
      <c r="X1126">
        <f t="shared" si="123"/>
        <v>22</v>
      </c>
      <c r="Y1126" cm="1">
        <f t="array" ref="Y1126">MAX(IF($C$2:$C$1387=C1126,$X$2:$X$1387))</f>
        <v>30</v>
      </c>
      <c r="Z1126" cm="1">
        <f t="array" ref="Z1126">MIN(IF($C$2:$C$1387=C1126,$X$2:$X$1387))</f>
        <v>12</v>
      </c>
      <c r="AA1126">
        <f t="shared" si="124"/>
        <v>18</v>
      </c>
      <c r="AB1126">
        <f t="shared" si="125"/>
        <v>0.55555555555555558</v>
      </c>
    </row>
    <row r="1127" spans="1:28" x14ac:dyDescent="0.25">
      <c r="A1127" t="s">
        <v>402</v>
      </c>
      <c r="B1127" t="s">
        <v>403</v>
      </c>
      <c r="C1127">
        <v>2013</v>
      </c>
      <c r="D1127">
        <v>0.34991666666666665</v>
      </c>
      <c r="E1127">
        <v>0.44584166666666669</v>
      </c>
      <c r="F1127">
        <v>1.0133333333333333E-2</v>
      </c>
      <c r="G1127">
        <v>1.9459101490553132</v>
      </c>
      <c r="H1127">
        <v>0.42857142857142855</v>
      </c>
      <c r="I1127">
        <v>1</v>
      </c>
      <c r="J1127">
        <v>0</v>
      </c>
      <c r="K1127">
        <v>4</v>
      </c>
      <c r="L1127">
        <v>2</v>
      </c>
      <c r="M1127">
        <v>2</v>
      </c>
      <c r="N1127">
        <v>1</v>
      </c>
      <c r="O1127">
        <v>1</v>
      </c>
      <c r="P1127">
        <v>3</v>
      </c>
      <c r="Q1127">
        <f t="shared" si="119"/>
        <v>5</v>
      </c>
      <c r="R1127">
        <f t="shared" si="120"/>
        <v>18</v>
      </c>
      <c r="S1127">
        <f t="array" ref="S1127">MAX(IF($C$2:$C$1387=C1127,$R$2:$R$1387))</f>
        <v>29</v>
      </c>
      <c r="T1127" cm="1">
        <f t="array" ref="T1127">MIN(IF($C$2:$C$1387=C1127,$R$2:$R$1387))</f>
        <v>10</v>
      </c>
      <c r="U1127">
        <f t="shared" si="121"/>
        <v>19</v>
      </c>
      <c r="V1127">
        <f t="shared" si="122"/>
        <v>0.42105263157894735</v>
      </c>
      <c r="W1127" cm="1">
        <f t="array" ref="W1127">_xlfn.IFS(N1127=1,5,N1127=2,4,N1127=4,2,N1127=5,1,N1127=3,3)</f>
        <v>5</v>
      </c>
      <c r="X1127">
        <f t="shared" si="123"/>
        <v>22</v>
      </c>
      <c r="Y1127" cm="1">
        <f t="array" ref="Y1127">MAX(IF($C$2:$C$1387=C1127,$X$2:$X$1387))</f>
        <v>32</v>
      </c>
      <c r="Z1127" cm="1">
        <f t="array" ref="Z1127">MIN(IF($C$2:$C$1387=C1127,$X$2:$X$1387))</f>
        <v>10</v>
      </c>
      <c r="AA1127">
        <f t="shared" si="124"/>
        <v>22</v>
      </c>
      <c r="AB1127">
        <f t="shared" si="125"/>
        <v>0.54545454545454541</v>
      </c>
    </row>
    <row r="1128" spans="1:28" x14ac:dyDescent="0.25">
      <c r="A1128" t="s">
        <v>402</v>
      </c>
      <c r="B1128" t="s">
        <v>403</v>
      </c>
      <c r="C1128">
        <v>2014</v>
      </c>
      <c r="D1128">
        <v>0.34991666666666665</v>
      </c>
      <c r="E1128">
        <v>0.44109166666666666</v>
      </c>
      <c r="F1128">
        <v>3.4666666666666665E-2</v>
      </c>
      <c r="G1128">
        <v>1.9459101490553132</v>
      </c>
      <c r="H1128">
        <v>0.42857142857142855</v>
      </c>
      <c r="I1128">
        <v>1</v>
      </c>
      <c r="J1128">
        <v>0</v>
      </c>
      <c r="K1128">
        <v>4</v>
      </c>
      <c r="L1128">
        <v>1</v>
      </c>
      <c r="M1128">
        <v>3</v>
      </c>
      <c r="N1128">
        <v>1</v>
      </c>
      <c r="O1128">
        <v>1</v>
      </c>
      <c r="P1128">
        <v>3</v>
      </c>
      <c r="Q1128">
        <f t="shared" si="119"/>
        <v>5</v>
      </c>
      <c r="R1128">
        <f t="shared" si="120"/>
        <v>18</v>
      </c>
      <c r="S1128">
        <f t="array" ref="S1128">MAX(IF($C$2:$C$1387=C1128,$R$2:$R$1387))</f>
        <v>29</v>
      </c>
      <c r="T1128" cm="1">
        <f t="array" ref="T1128">MIN(IF($C$2:$C$1387=C1128,$R$2:$R$1387))</f>
        <v>11</v>
      </c>
      <c r="U1128">
        <f t="shared" si="121"/>
        <v>18</v>
      </c>
      <c r="V1128">
        <f t="shared" si="122"/>
        <v>0.3888888888888889</v>
      </c>
      <c r="W1128" cm="1">
        <f t="array" ref="W1128">_xlfn.IFS(N1128=1,5,N1128=2,4,N1128=4,2,N1128=5,1,N1128=3,3)</f>
        <v>5</v>
      </c>
      <c r="X1128">
        <f t="shared" si="123"/>
        <v>22</v>
      </c>
      <c r="Y1128" cm="1">
        <f t="array" ref="Y1128">MAX(IF($C$2:$C$1387=C1128,$X$2:$X$1387))</f>
        <v>30</v>
      </c>
      <c r="Z1128" cm="1">
        <f t="array" ref="Z1128">MIN(IF($C$2:$C$1387=C1128,$X$2:$X$1387))</f>
        <v>14</v>
      </c>
      <c r="AA1128">
        <f t="shared" si="124"/>
        <v>16</v>
      </c>
      <c r="AB1128">
        <f t="shared" si="125"/>
        <v>0.5</v>
      </c>
    </row>
    <row r="1129" spans="1:28" x14ac:dyDescent="0.25">
      <c r="A1129" t="s">
        <v>402</v>
      </c>
      <c r="B1129" t="s">
        <v>403</v>
      </c>
      <c r="C1129">
        <v>2015</v>
      </c>
      <c r="D1129">
        <v>0.34991666666666665</v>
      </c>
      <c r="E1129">
        <v>0.44062499999999999</v>
      </c>
      <c r="F1129">
        <v>2.8514500000000002E-2</v>
      </c>
      <c r="G1129">
        <v>1.9459101490553132</v>
      </c>
      <c r="H1129">
        <v>0.5714285714285714</v>
      </c>
      <c r="I1129">
        <v>1</v>
      </c>
      <c r="J1129">
        <v>0</v>
      </c>
      <c r="K1129">
        <v>4</v>
      </c>
      <c r="L1129">
        <v>2</v>
      </c>
      <c r="M1129">
        <v>2</v>
      </c>
      <c r="N1129">
        <v>1</v>
      </c>
      <c r="O1129">
        <v>1</v>
      </c>
      <c r="P1129">
        <v>2</v>
      </c>
      <c r="Q1129">
        <f t="shared" si="119"/>
        <v>5</v>
      </c>
      <c r="R1129">
        <f t="shared" si="120"/>
        <v>17</v>
      </c>
      <c r="S1129">
        <f t="array" ref="S1129">MAX(IF($C$2:$C$1387=C1129,$R$2:$R$1387))</f>
        <v>29</v>
      </c>
      <c r="T1129" cm="1">
        <f t="array" ref="T1129">MIN(IF($C$2:$C$1387=C1129,$R$2:$R$1387))</f>
        <v>11</v>
      </c>
      <c r="U1129">
        <f t="shared" si="121"/>
        <v>18</v>
      </c>
      <c r="V1129">
        <f t="shared" si="122"/>
        <v>0.33333333333333331</v>
      </c>
      <c r="W1129" cm="1">
        <f t="array" ref="W1129">_xlfn.IFS(N1129=1,5,N1129=2,4,N1129=4,2,N1129=5,1,N1129=3,3)</f>
        <v>5</v>
      </c>
      <c r="X1129">
        <f t="shared" si="123"/>
        <v>21</v>
      </c>
      <c r="Y1129" cm="1">
        <f t="array" ref="Y1129">MAX(IF($C$2:$C$1387=C1129,$X$2:$X$1387))</f>
        <v>29</v>
      </c>
      <c r="Z1129" cm="1">
        <f t="array" ref="Z1129">MIN(IF($C$2:$C$1387=C1129,$X$2:$X$1387))</f>
        <v>12</v>
      </c>
      <c r="AA1129">
        <f t="shared" si="124"/>
        <v>17</v>
      </c>
      <c r="AB1129">
        <f t="shared" si="125"/>
        <v>0.52941176470588236</v>
      </c>
    </row>
    <row r="1130" spans="1:28" x14ac:dyDescent="0.25">
      <c r="A1130" t="s">
        <v>404</v>
      </c>
      <c r="B1130" t="s">
        <v>405</v>
      </c>
      <c r="C1130">
        <v>2010</v>
      </c>
      <c r="D1130">
        <v>0.67826209370528889</v>
      </c>
      <c r="E1130">
        <v>0.69096166907743417</v>
      </c>
      <c r="F1130">
        <v>0</v>
      </c>
      <c r="G1130">
        <v>1.9459101490553132</v>
      </c>
      <c r="H1130">
        <v>0.42857142857142855</v>
      </c>
      <c r="I1130">
        <v>1</v>
      </c>
      <c r="J1130">
        <v>0</v>
      </c>
      <c r="K1130">
        <v>5</v>
      </c>
      <c r="L1130">
        <v>3</v>
      </c>
      <c r="M1130">
        <v>1</v>
      </c>
      <c r="N1130">
        <v>1</v>
      </c>
      <c r="O1130">
        <v>2</v>
      </c>
      <c r="P1130">
        <v>3</v>
      </c>
      <c r="Q1130">
        <f t="shared" si="119"/>
        <v>5</v>
      </c>
      <c r="R1130">
        <f t="shared" si="120"/>
        <v>20</v>
      </c>
      <c r="S1130">
        <f t="array" ref="S1130">MAX(IF($C$2:$C$1387=C1130,$R$2:$R$1387))</f>
        <v>29</v>
      </c>
      <c r="T1130" cm="1">
        <f t="array" ref="T1130">MIN(IF($C$2:$C$1387=C1130,$R$2:$R$1387))</f>
        <v>9</v>
      </c>
      <c r="U1130">
        <f t="shared" si="121"/>
        <v>20</v>
      </c>
      <c r="V1130">
        <f t="shared" si="122"/>
        <v>0.55000000000000004</v>
      </c>
      <c r="W1130" cm="1">
        <f t="array" ref="W1130">_xlfn.IFS(N1130=1,5,N1130=2,4,N1130=4,2,N1130=5,1,N1130=3,3)</f>
        <v>5</v>
      </c>
      <c r="X1130">
        <f t="shared" si="123"/>
        <v>24</v>
      </c>
      <c r="Y1130" cm="1">
        <f t="array" ref="Y1130">MAX(IF($C$2:$C$1387=C1130,$X$2:$X$1387))</f>
        <v>29</v>
      </c>
      <c r="Z1130" cm="1">
        <f t="array" ref="Z1130">MIN(IF($C$2:$C$1387=C1130,$X$2:$X$1387))</f>
        <v>12</v>
      </c>
      <c r="AA1130">
        <f t="shared" si="124"/>
        <v>17</v>
      </c>
      <c r="AB1130">
        <f t="shared" si="125"/>
        <v>0.70588235294117652</v>
      </c>
    </row>
    <row r="1131" spans="1:28" x14ac:dyDescent="0.25">
      <c r="A1131" t="s">
        <v>404</v>
      </c>
      <c r="B1131" t="s">
        <v>405</v>
      </c>
      <c r="C1131">
        <v>2011</v>
      </c>
      <c r="D1131">
        <v>0.66926701410224887</v>
      </c>
      <c r="E1131">
        <v>0.70862303083540312</v>
      </c>
      <c r="F1131">
        <v>2.849774784263816E-3</v>
      </c>
      <c r="G1131">
        <v>1.9459101490553132</v>
      </c>
      <c r="H1131">
        <v>0.42857142857142855</v>
      </c>
      <c r="I1131">
        <v>0.66666666666666663</v>
      </c>
      <c r="J1131">
        <v>0</v>
      </c>
      <c r="K1131">
        <v>5</v>
      </c>
      <c r="L1131">
        <v>3</v>
      </c>
      <c r="M1131">
        <v>1</v>
      </c>
      <c r="N1131">
        <v>1</v>
      </c>
      <c r="O1131">
        <v>2</v>
      </c>
      <c r="P1131">
        <v>1</v>
      </c>
      <c r="Q1131">
        <f t="shared" si="119"/>
        <v>5</v>
      </c>
      <c r="R1131">
        <f t="shared" si="120"/>
        <v>18</v>
      </c>
      <c r="S1131">
        <f t="array" ref="S1131">MAX(IF($C$2:$C$1387=C1131,$R$2:$R$1387))</f>
        <v>28</v>
      </c>
      <c r="T1131" cm="1">
        <f t="array" ref="T1131">MIN(IF($C$2:$C$1387=C1131,$R$2:$R$1387))</f>
        <v>10</v>
      </c>
      <c r="U1131">
        <f t="shared" si="121"/>
        <v>18</v>
      </c>
      <c r="V1131">
        <f t="shared" si="122"/>
        <v>0.44444444444444442</v>
      </c>
      <c r="W1131" cm="1">
        <f t="array" ref="W1131">_xlfn.IFS(N1131=1,5,N1131=2,4,N1131=4,2,N1131=5,1,N1131=3,3)</f>
        <v>5</v>
      </c>
      <c r="X1131">
        <f t="shared" si="123"/>
        <v>22</v>
      </c>
      <c r="Y1131" cm="1">
        <f t="array" ref="Y1131">MAX(IF($C$2:$C$1387=C1131,$X$2:$X$1387))</f>
        <v>29</v>
      </c>
      <c r="Z1131" cm="1">
        <f t="array" ref="Z1131">MIN(IF($C$2:$C$1387=C1131,$X$2:$X$1387))</f>
        <v>12</v>
      </c>
      <c r="AA1131">
        <f t="shared" si="124"/>
        <v>17</v>
      </c>
      <c r="AB1131">
        <f t="shared" si="125"/>
        <v>0.58823529411764708</v>
      </c>
    </row>
    <row r="1132" spans="1:28" x14ac:dyDescent="0.25">
      <c r="A1132" t="s">
        <v>404</v>
      </c>
      <c r="B1132" t="s">
        <v>405</v>
      </c>
      <c r="C1132">
        <v>2012</v>
      </c>
      <c r="D1132">
        <v>0.6721656266998316</v>
      </c>
      <c r="E1132">
        <v>0.63267283420860287</v>
      </c>
      <c r="F1132">
        <v>9.6603185512337611E-2</v>
      </c>
      <c r="G1132">
        <v>1.9459101490553132</v>
      </c>
      <c r="H1132">
        <v>0.42857142857142855</v>
      </c>
      <c r="I1132">
        <v>0.66666666666666663</v>
      </c>
      <c r="J1132">
        <v>0</v>
      </c>
      <c r="K1132">
        <v>5</v>
      </c>
      <c r="L1132">
        <v>3</v>
      </c>
      <c r="M1132">
        <v>4</v>
      </c>
      <c r="N1132">
        <v>1</v>
      </c>
      <c r="O1132">
        <v>2</v>
      </c>
      <c r="P1132">
        <v>1</v>
      </c>
      <c r="Q1132">
        <f t="shared" si="119"/>
        <v>5</v>
      </c>
      <c r="R1132">
        <f t="shared" si="120"/>
        <v>21</v>
      </c>
      <c r="S1132">
        <f t="array" ref="S1132">MAX(IF($C$2:$C$1387=C1132,$R$2:$R$1387))</f>
        <v>29</v>
      </c>
      <c r="T1132" cm="1">
        <f t="array" ref="T1132">MIN(IF($C$2:$C$1387=C1132,$R$2:$R$1387))</f>
        <v>11</v>
      </c>
      <c r="U1132">
        <f t="shared" si="121"/>
        <v>18</v>
      </c>
      <c r="V1132">
        <f t="shared" si="122"/>
        <v>0.55555555555555558</v>
      </c>
      <c r="W1132" cm="1">
        <f t="array" ref="W1132">_xlfn.IFS(N1132=1,5,N1132=2,4,N1132=4,2,N1132=5,1,N1132=3,3)</f>
        <v>5</v>
      </c>
      <c r="X1132">
        <f t="shared" si="123"/>
        <v>25</v>
      </c>
      <c r="Y1132" cm="1">
        <f t="array" ref="Y1132">MAX(IF($C$2:$C$1387=C1132,$X$2:$X$1387))</f>
        <v>30</v>
      </c>
      <c r="Z1132" cm="1">
        <f t="array" ref="Z1132">MIN(IF($C$2:$C$1387=C1132,$X$2:$X$1387))</f>
        <v>12</v>
      </c>
      <c r="AA1132">
        <f t="shared" si="124"/>
        <v>18</v>
      </c>
      <c r="AB1132">
        <f t="shared" si="125"/>
        <v>0.72222222222222221</v>
      </c>
    </row>
    <row r="1133" spans="1:28" x14ac:dyDescent="0.25">
      <c r="A1133" t="s">
        <v>404</v>
      </c>
      <c r="B1133" t="s">
        <v>405</v>
      </c>
      <c r="C1133">
        <v>2013</v>
      </c>
      <c r="D1133">
        <v>0.67286653600683</v>
      </c>
      <c r="E1133">
        <v>0.63590557460207808</v>
      </c>
      <c r="F1133">
        <v>9.6603185512337611E-2</v>
      </c>
      <c r="G1133">
        <v>1.9459101490553132</v>
      </c>
      <c r="H1133">
        <v>0.42857142857142855</v>
      </c>
      <c r="I1133">
        <v>0.66666666666666663</v>
      </c>
      <c r="J1133">
        <v>0</v>
      </c>
      <c r="K1133">
        <v>5</v>
      </c>
      <c r="L1133">
        <v>3</v>
      </c>
      <c r="M1133">
        <v>4</v>
      </c>
      <c r="N1133">
        <v>1</v>
      </c>
      <c r="O1133">
        <v>1</v>
      </c>
      <c r="P1133">
        <v>1</v>
      </c>
      <c r="Q1133">
        <f t="shared" si="119"/>
        <v>5</v>
      </c>
      <c r="R1133">
        <f t="shared" si="120"/>
        <v>20</v>
      </c>
      <c r="S1133">
        <f t="array" ref="S1133">MAX(IF($C$2:$C$1387=C1133,$R$2:$R$1387))</f>
        <v>29</v>
      </c>
      <c r="T1133" cm="1">
        <f t="array" ref="T1133">MIN(IF($C$2:$C$1387=C1133,$R$2:$R$1387))</f>
        <v>10</v>
      </c>
      <c r="U1133">
        <f t="shared" si="121"/>
        <v>19</v>
      </c>
      <c r="V1133">
        <f t="shared" si="122"/>
        <v>0.52631578947368418</v>
      </c>
      <c r="W1133" cm="1">
        <f t="array" ref="W1133">_xlfn.IFS(N1133=1,5,N1133=2,4,N1133=4,2,N1133=5,1,N1133=3,3)</f>
        <v>5</v>
      </c>
      <c r="X1133">
        <f t="shared" si="123"/>
        <v>24</v>
      </c>
      <c r="Y1133" cm="1">
        <f t="array" ref="Y1133">MAX(IF($C$2:$C$1387=C1133,$X$2:$X$1387))</f>
        <v>32</v>
      </c>
      <c r="Z1133" cm="1">
        <f t="array" ref="Z1133">MIN(IF($C$2:$C$1387=C1133,$X$2:$X$1387))</f>
        <v>10</v>
      </c>
      <c r="AA1133">
        <f t="shared" si="124"/>
        <v>22</v>
      </c>
      <c r="AB1133">
        <f t="shared" si="125"/>
        <v>0.63636363636363635</v>
      </c>
    </row>
    <row r="1134" spans="1:28" x14ac:dyDescent="0.25">
      <c r="A1134" t="s">
        <v>404</v>
      </c>
      <c r="B1134" t="s">
        <v>405</v>
      </c>
      <c r="C1134">
        <v>2014</v>
      </c>
      <c r="D1134">
        <v>0.67286653600683</v>
      </c>
      <c r="E1134">
        <v>0.63590557460207808</v>
      </c>
      <c r="F1134">
        <v>0.11666220055142427</v>
      </c>
      <c r="G1134">
        <v>1.9459101490553132</v>
      </c>
      <c r="H1134">
        <v>0.5714285714285714</v>
      </c>
      <c r="I1134">
        <v>1</v>
      </c>
      <c r="J1134">
        <v>0</v>
      </c>
      <c r="K1134">
        <v>5</v>
      </c>
      <c r="L1134">
        <v>3</v>
      </c>
      <c r="M1134">
        <v>4</v>
      </c>
      <c r="N1134">
        <v>1</v>
      </c>
      <c r="O1134">
        <v>2</v>
      </c>
      <c r="P1134">
        <v>3</v>
      </c>
      <c r="Q1134">
        <f t="shared" si="119"/>
        <v>5</v>
      </c>
      <c r="R1134">
        <f t="shared" si="120"/>
        <v>23</v>
      </c>
      <c r="S1134">
        <f t="array" ref="S1134">MAX(IF($C$2:$C$1387=C1134,$R$2:$R$1387))</f>
        <v>29</v>
      </c>
      <c r="T1134" cm="1">
        <f t="array" ref="T1134">MIN(IF($C$2:$C$1387=C1134,$R$2:$R$1387))</f>
        <v>11</v>
      </c>
      <c r="U1134">
        <f t="shared" si="121"/>
        <v>18</v>
      </c>
      <c r="V1134">
        <f t="shared" si="122"/>
        <v>0.66666666666666663</v>
      </c>
      <c r="W1134" cm="1">
        <f t="array" ref="W1134">_xlfn.IFS(N1134=1,5,N1134=2,4,N1134=4,2,N1134=5,1,N1134=3,3)</f>
        <v>5</v>
      </c>
      <c r="X1134">
        <f t="shared" si="123"/>
        <v>27</v>
      </c>
      <c r="Y1134" cm="1">
        <f t="array" ref="Y1134">MAX(IF($C$2:$C$1387=C1134,$X$2:$X$1387))</f>
        <v>30</v>
      </c>
      <c r="Z1134" cm="1">
        <f t="array" ref="Z1134">MIN(IF($C$2:$C$1387=C1134,$X$2:$X$1387))</f>
        <v>14</v>
      </c>
      <c r="AA1134">
        <f t="shared" si="124"/>
        <v>16</v>
      </c>
      <c r="AB1134">
        <f t="shared" si="125"/>
        <v>0.8125</v>
      </c>
    </row>
    <row r="1135" spans="1:28" x14ac:dyDescent="0.25">
      <c r="A1135" t="s">
        <v>404</v>
      </c>
      <c r="B1135" t="s">
        <v>405</v>
      </c>
      <c r="C1135">
        <v>2015</v>
      </c>
      <c r="D1135">
        <v>0.66960686538357106</v>
      </c>
      <c r="E1135">
        <v>0.62722558318414134</v>
      </c>
      <c r="F1135">
        <v>9.9124389173424449E-2</v>
      </c>
      <c r="G1135">
        <v>1.9459101490553132</v>
      </c>
      <c r="H1135">
        <v>0.5714285714285714</v>
      </c>
      <c r="I1135">
        <v>1</v>
      </c>
      <c r="J1135">
        <v>0</v>
      </c>
      <c r="K1135">
        <v>5</v>
      </c>
      <c r="L1135">
        <v>3</v>
      </c>
      <c r="M1135">
        <v>4</v>
      </c>
      <c r="N1135">
        <v>1</v>
      </c>
      <c r="O1135">
        <v>1</v>
      </c>
      <c r="P1135">
        <v>2</v>
      </c>
      <c r="Q1135">
        <f t="shared" si="119"/>
        <v>5</v>
      </c>
      <c r="R1135">
        <f t="shared" si="120"/>
        <v>21</v>
      </c>
      <c r="S1135">
        <f t="array" ref="S1135">MAX(IF($C$2:$C$1387=C1135,$R$2:$R$1387))</f>
        <v>29</v>
      </c>
      <c r="T1135" cm="1">
        <f t="array" ref="T1135">MIN(IF($C$2:$C$1387=C1135,$R$2:$R$1387))</f>
        <v>11</v>
      </c>
      <c r="U1135">
        <f t="shared" si="121"/>
        <v>18</v>
      </c>
      <c r="V1135">
        <f t="shared" si="122"/>
        <v>0.55555555555555558</v>
      </c>
      <c r="W1135" cm="1">
        <f t="array" ref="W1135">_xlfn.IFS(N1135=1,5,N1135=2,4,N1135=4,2,N1135=5,1,N1135=3,3)</f>
        <v>5</v>
      </c>
      <c r="X1135">
        <f t="shared" si="123"/>
        <v>25</v>
      </c>
      <c r="Y1135" cm="1">
        <f t="array" ref="Y1135">MAX(IF($C$2:$C$1387=C1135,$X$2:$X$1387))</f>
        <v>29</v>
      </c>
      <c r="Z1135" cm="1">
        <f t="array" ref="Z1135">MIN(IF($C$2:$C$1387=C1135,$X$2:$X$1387))</f>
        <v>12</v>
      </c>
      <c r="AA1135">
        <f t="shared" si="124"/>
        <v>17</v>
      </c>
      <c r="AB1135">
        <f t="shared" si="125"/>
        <v>0.76470588235294112</v>
      </c>
    </row>
    <row r="1136" spans="1:28" x14ac:dyDescent="0.25">
      <c r="A1136" t="s">
        <v>406</v>
      </c>
      <c r="B1136" t="s">
        <v>407</v>
      </c>
      <c r="C1136">
        <v>2010</v>
      </c>
      <c r="D1136">
        <v>0.93110564102564097</v>
      </c>
      <c r="E1136">
        <v>0.95660564102564105</v>
      </c>
      <c r="F1136">
        <v>0</v>
      </c>
      <c r="G1136">
        <v>1.9459101490553132</v>
      </c>
      <c r="H1136">
        <v>0.7142857142857143</v>
      </c>
      <c r="I1136">
        <v>1</v>
      </c>
      <c r="J1136">
        <v>0</v>
      </c>
      <c r="K1136">
        <v>5</v>
      </c>
      <c r="L1136">
        <v>5</v>
      </c>
      <c r="M1136">
        <v>1</v>
      </c>
      <c r="N1136">
        <v>1</v>
      </c>
      <c r="O1136">
        <v>4</v>
      </c>
      <c r="P1136">
        <v>3</v>
      </c>
      <c r="Q1136">
        <f t="shared" si="119"/>
        <v>5</v>
      </c>
      <c r="R1136">
        <f t="shared" si="120"/>
        <v>24</v>
      </c>
      <c r="S1136">
        <f t="array" ref="S1136">MAX(IF($C$2:$C$1387=C1136,$R$2:$R$1387))</f>
        <v>29</v>
      </c>
      <c r="T1136" cm="1">
        <f t="array" ref="T1136">MIN(IF($C$2:$C$1387=C1136,$R$2:$R$1387))</f>
        <v>9</v>
      </c>
      <c r="U1136">
        <f t="shared" si="121"/>
        <v>20</v>
      </c>
      <c r="V1136">
        <f t="shared" si="122"/>
        <v>0.75</v>
      </c>
      <c r="W1136" cm="1">
        <f t="array" ref="W1136">_xlfn.IFS(N1136=1,5,N1136=2,4,N1136=4,2,N1136=5,1,N1136=3,3)</f>
        <v>5</v>
      </c>
      <c r="X1136">
        <f t="shared" si="123"/>
        <v>28</v>
      </c>
      <c r="Y1136" cm="1">
        <f t="array" ref="Y1136">MAX(IF($C$2:$C$1387=C1136,$X$2:$X$1387))</f>
        <v>29</v>
      </c>
      <c r="Z1136" cm="1">
        <f t="array" ref="Z1136">MIN(IF($C$2:$C$1387=C1136,$X$2:$X$1387))</f>
        <v>12</v>
      </c>
      <c r="AA1136">
        <f t="shared" si="124"/>
        <v>17</v>
      </c>
      <c r="AB1136">
        <f t="shared" si="125"/>
        <v>0.94117647058823528</v>
      </c>
    </row>
    <row r="1137" spans="1:28" x14ac:dyDescent="0.25">
      <c r="A1137" t="s">
        <v>406</v>
      </c>
      <c r="B1137" t="s">
        <v>407</v>
      </c>
      <c r="C1137">
        <v>2011</v>
      </c>
      <c r="D1137">
        <v>0.93093897435897432</v>
      </c>
      <c r="E1137">
        <v>0.95647743589743595</v>
      </c>
      <c r="F1137">
        <v>0</v>
      </c>
      <c r="G1137">
        <v>1.9459101490553132</v>
      </c>
      <c r="H1137">
        <v>0.2857142857142857</v>
      </c>
      <c r="I1137">
        <v>0.66666666666666663</v>
      </c>
      <c r="J1137">
        <v>0</v>
      </c>
      <c r="K1137">
        <v>5</v>
      </c>
      <c r="L1137">
        <v>5</v>
      </c>
      <c r="M1137">
        <v>1</v>
      </c>
      <c r="N1137">
        <v>1</v>
      </c>
      <c r="O1137">
        <v>1</v>
      </c>
      <c r="P1137">
        <v>1</v>
      </c>
      <c r="Q1137">
        <f t="shared" si="119"/>
        <v>5</v>
      </c>
      <c r="R1137">
        <f t="shared" si="120"/>
        <v>19</v>
      </c>
      <c r="S1137">
        <f t="array" ref="S1137">MAX(IF($C$2:$C$1387=C1137,$R$2:$R$1387))</f>
        <v>28</v>
      </c>
      <c r="T1137" cm="1">
        <f t="array" ref="T1137">MIN(IF($C$2:$C$1387=C1137,$R$2:$R$1387))</f>
        <v>10</v>
      </c>
      <c r="U1137">
        <f t="shared" si="121"/>
        <v>18</v>
      </c>
      <c r="V1137">
        <f t="shared" si="122"/>
        <v>0.5</v>
      </c>
      <c r="W1137" cm="1">
        <f t="array" ref="W1137">_xlfn.IFS(N1137=1,5,N1137=2,4,N1137=4,2,N1137=5,1,N1137=3,3)</f>
        <v>5</v>
      </c>
      <c r="X1137">
        <f t="shared" si="123"/>
        <v>23</v>
      </c>
      <c r="Y1137" cm="1">
        <f t="array" ref="Y1137">MAX(IF($C$2:$C$1387=C1137,$X$2:$X$1387))</f>
        <v>29</v>
      </c>
      <c r="Z1137" cm="1">
        <f t="array" ref="Z1137">MIN(IF($C$2:$C$1387=C1137,$X$2:$X$1387))</f>
        <v>12</v>
      </c>
      <c r="AA1137">
        <f t="shared" si="124"/>
        <v>17</v>
      </c>
      <c r="AB1137">
        <f t="shared" si="125"/>
        <v>0.6470588235294118</v>
      </c>
    </row>
    <row r="1138" spans="1:28" x14ac:dyDescent="0.25">
      <c r="A1138" t="s">
        <v>406</v>
      </c>
      <c r="B1138" t="s">
        <v>407</v>
      </c>
      <c r="C1138">
        <v>2012</v>
      </c>
      <c r="D1138">
        <v>0.93093897435897432</v>
      </c>
      <c r="E1138">
        <v>0.95647743589743595</v>
      </c>
      <c r="F1138">
        <v>0</v>
      </c>
      <c r="G1138">
        <v>1.9459101490553132</v>
      </c>
      <c r="H1138">
        <v>0.42857142857142855</v>
      </c>
      <c r="I1138">
        <v>0.66666666666666663</v>
      </c>
      <c r="J1138">
        <v>0</v>
      </c>
      <c r="K1138">
        <v>5</v>
      </c>
      <c r="L1138">
        <v>5</v>
      </c>
      <c r="M1138">
        <v>1</v>
      </c>
      <c r="N1138">
        <v>1</v>
      </c>
      <c r="O1138">
        <v>2</v>
      </c>
      <c r="P1138">
        <v>1</v>
      </c>
      <c r="Q1138">
        <f t="shared" si="119"/>
        <v>5</v>
      </c>
      <c r="R1138">
        <f t="shared" si="120"/>
        <v>20</v>
      </c>
      <c r="S1138">
        <f t="array" ref="S1138">MAX(IF($C$2:$C$1387=C1138,$R$2:$R$1387))</f>
        <v>29</v>
      </c>
      <c r="T1138" cm="1">
        <f t="array" ref="T1138">MIN(IF($C$2:$C$1387=C1138,$R$2:$R$1387))</f>
        <v>11</v>
      </c>
      <c r="U1138">
        <f t="shared" si="121"/>
        <v>18</v>
      </c>
      <c r="V1138">
        <f t="shared" si="122"/>
        <v>0.5</v>
      </c>
      <c r="W1138" cm="1">
        <f t="array" ref="W1138">_xlfn.IFS(N1138=1,5,N1138=2,4,N1138=4,2,N1138=5,1,N1138=3,3)</f>
        <v>5</v>
      </c>
      <c r="X1138">
        <f t="shared" si="123"/>
        <v>24</v>
      </c>
      <c r="Y1138" cm="1">
        <f t="array" ref="Y1138">MAX(IF($C$2:$C$1387=C1138,$X$2:$X$1387))</f>
        <v>30</v>
      </c>
      <c r="Z1138" cm="1">
        <f t="array" ref="Z1138">MIN(IF($C$2:$C$1387=C1138,$X$2:$X$1387))</f>
        <v>12</v>
      </c>
      <c r="AA1138">
        <f t="shared" si="124"/>
        <v>18</v>
      </c>
      <c r="AB1138">
        <f t="shared" si="125"/>
        <v>0.66666666666666663</v>
      </c>
    </row>
    <row r="1139" spans="1:28" x14ac:dyDescent="0.25">
      <c r="A1139" t="s">
        <v>406</v>
      </c>
      <c r="B1139" t="s">
        <v>407</v>
      </c>
      <c r="C1139">
        <v>2013</v>
      </c>
      <c r="D1139">
        <v>0.7434138461538462</v>
      </c>
      <c r="E1139">
        <v>0.95647743589743595</v>
      </c>
      <c r="F1139">
        <v>0</v>
      </c>
      <c r="G1139">
        <v>1.9459101490553132</v>
      </c>
      <c r="H1139">
        <v>0.2857142857142857</v>
      </c>
      <c r="I1139">
        <v>0.66666666666666663</v>
      </c>
      <c r="J1139">
        <v>1</v>
      </c>
      <c r="K1139">
        <v>5</v>
      </c>
      <c r="L1139">
        <v>5</v>
      </c>
      <c r="M1139">
        <v>1</v>
      </c>
      <c r="N1139">
        <v>1</v>
      </c>
      <c r="O1139">
        <v>1</v>
      </c>
      <c r="P1139">
        <v>1</v>
      </c>
      <c r="Q1139">
        <f t="shared" si="119"/>
        <v>1</v>
      </c>
      <c r="R1139">
        <f t="shared" si="120"/>
        <v>15</v>
      </c>
      <c r="S1139">
        <f t="array" ref="S1139">MAX(IF($C$2:$C$1387=C1139,$R$2:$R$1387))</f>
        <v>29</v>
      </c>
      <c r="T1139" cm="1">
        <f t="array" ref="T1139">MIN(IF($C$2:$C$1387=C1139,$R$2:$R$1387))</f>
        <v>10</v>
      </c>
      <c r="U1139">
        <f t="shared" si="121"/>
        <v>19</v>
      </c>
      <c r="V1139">
        <f t="shared" si="122"/>
        <v>0.26315789473684209</v>
      </c>
      <c r="W1139" cm="1">
        <f t="array" ref="W1139">_xlfn.IFS(N1139=1,5,N1139=2,4,N1139=4,2,N1139=5,1,N1139=3,3)</f>
        <v>5</v>
      </c>
      <c r="X1139">
        <f t="shared" si="123"/>
        <v>19</v>
      </c>
      <c r="Y1139" cm="1">
        <f t="array" ref="Y1139">MAX(IF($C$2:$C$1387=C1139,$X$2:$X$1387))</f>
        <v>32</v>
      </c>
      <c r="Z1139" cm="1">
        <f t="array" ref="Z1139">MIN(IF($C$2:$C$1387=C1139,$X$2:$X$1387))</f>
        <v>10</v>
      </c>
      <c r="AA1139">
        <f t="shared" si="124"/>
        <v>22</v>
      </c>
      <c r="AB1139">
        <f t="shared" si="125"/>
        <v>0.40909090909090912</v>
      </c>
    </row>
    <row r="1140" spans="1:28" x14ac:dyDescent="0.25">
      <c r="A1140" t="s">
        <v>406</v>
      </c>
      <c r="B1140" t="s">
        <v>407</v>
      </c>
      <c r="C1140">
        <v>2014</v>
      </c>
      <c r="D1140">
        <v>0.74461897435897439</v>
      </c>
      <c r="E1140">
        <v>0.95647743589743595</v>
      </c>
      <c r="F1140">
        <v>0</v>
      </c>
      <c r="G1140">
        <v>1.9459101490553132</v>
      </c>
      <c r="H1140">
        <v>0.7142857142857143</v>
      </c>
      <c r="I1140">
        <v>0.66666666666666663</v>
      </c>
      <c r="J1140">
        <v>0</v>
      </c>
      <c r="K1140">
        <v>5</v>
      </c>
      <c r="L1140">
        <v>5</v>
      </c>
      <c r="M1140">
        <v>1</v>
      </c>
      <c r="N1140">
        <v>1</v>
      </c>
      <c r="O1140">
        <v>4</v>
      </c>
      <c r="P1140">
        <v>1</v>
      </c>
      <c r="Q1140">
        <f t="shared" si="119"/>
        <v>5</v>
      </c>
      <c r="R1140">
        <f t="shared" si="120"/>
        <v>22</v>
      </c>
      <c r="S1140">
        <f t="array" ref="S1140">MAX(IF($C$2:$C$1387=C1140,$R$2:$R$1387))</f>
        <v>29</v>
      </c>
      <c r="T1140" cm="1">
        <f t="array" ref="T1140">MIN(IF($C$2:$C$1387=C1140,$R$2:$R$1387))</f>
        <v>11</v>
      </c>
      <c r="U1140">
        <f t="shared" si="121"/>
        <v>18</v>
      </c>
      <c r="V1140">
        <f t="shared" si="122"/>
        <v>0.61111111111111116</v>
      </c>
      <c r="W1140" cm="1">
        <f t="array" ref="W1140">_xlfn.IFS(N1140=1,5,N1140=2,4,N1140=4,2,N1140=5,1,N1140=3,3)</f>
        <v>5</v>
      </c>
      <c r="X1140">
        <f t="shared" si="123"/>
        <v>26</v>
      </c>
      <c r="Y1140" cm="1">
        <f t="array" ref="Y1140">MAX(IF($C$2:$C$1387=C1140,$X$2:$X$1387))</f>
        <v>30</v>
      </c>
      <c r="Z1140" cm="1">
        <f t="array" ref="Z1140">MIN(IF($C$2:$C$1387=C1140,$X$2:$X$1387))</f>
        <v>14</v>
      </c>
      <c r="AA1140">
        <f t="shared" si="124"/>
        <v>16</v>
      </c>
      <c r="AB1140">
        <f t="shared" si="125"/>
        <v>0.75</v>
      </c>
    </row>
    <row r="1141" spans="1:28" x14ac:dyDescent="0.25">
      <c r="A1141" t="s">
        <v>406</v>
      </c>
      <c r="B1141" t="s">
        <v>407</v>
      </c>
      <c r="C1141">
        <v>2015</v>
      </c>
      <c r="D1141">
        <v>0.74458051282051285</v>
      </c>
      <c r="E1141">
        <v>0.95647743589743595</v>
      </c>
      <c r="F1141">
        <v>0</v>
      </c>
      <c r="G1141">
        <v>1.9459101490553132</v>
      </c>
      <c r="H1141">
        <v>0.7142857142857143</v>
      </c>
      <c r="I1141">
        <v>1</v>
      </c>
      <c r="J1141">
        <v>0</v>
      </c>
      <c r="K1141">
        <v>5</v>
      </c>
      <c r="L1141">
        <v>5</v>
      </c>
      <c r="M1141">
        <v>1</v>
      </c>
      <c r="N1141">
        <v>1</v>
      </c>
      <c r="O1141">
        <v>3</v>
      </c>
      <c r="P1141">
        <v>2</v>
      </c>
      <c r="Q1141">
        <f t="shared" si="119"/>
        <v>5</v>
      </c>
      <c r="R1141">
        <f t="shared" si="120"/>
        <v>22</v>
      </c>
      <c r="S1141">
        <f t="array" ref="S1141">MAX(IF($C$2:$C$1387=C1141,$R$2:$R$1387))</f>
        <v>29</v>
      </c>
      <c r="T1141" cm="1">
        <f t="array" ref="T1141">MIN(IF($C$2:$C$1387=C1141,$R$2:$R$1387))</f>
        <v>11</v>
      </c>
      <c r="U1141">
        <f t="shared" si="121"/>
        <v>18</v>
      </c>
      <c r="V1141">
        <f t="shared" si="122"/>
        <v>0.61111111111111116</v>
      </c>
      <c r="W1141" cm="1">
        <f t="array" ref="W1141">_xlfn.IFS(N1141=1,5,N1141=2,4,N1141=4,2,N1141=5,1,N1141=3,3)</f>
        <v>5</v>
      </c>
      <c r="X1141">
        <f t="shared" si="123"/>
        <v>26</v>
      </c>
      <c r="Y1141" cm="1">
        <f t="array" ref="Y1141">MAX(IF($C$2:$C$1387=C1141,$X$2:$X$1387))</f>
        <v>29</v>
      </c>
      <c r="Z1141" cm="1">
        <f t="array" ref="Z1141">MIN(IF($C$2:$C$1387=C1141,$X$2:$X$1387))</f>
        <v>12</v>
      </c>
      <c r="AA1141">
        <f t="shared" si="124"/>
        <v>17</v>
      </c>
      <c r="AB1141">
        <f t="shared" si="125"/>
        <v>0.82352941176470584</v>
      </c>
    </row>
    <row r="1142" spans="1:28" x14ac:dyDescent="0.25">
      <c r="A1142" t="s">
        <v>408</v>
      </c>
      <c r="B1142" t="s">
        <v>409</v>
      </c>
      <c r="C1142">
        <v>2010</v>
      </c>
      <c r="D1142">
        <v>4.92405079221825E-2</v>
      </c>
      <c r="E1142">
        <v>0.46858257965378952</v>
      </c>
      <c r="F1142">
        <v>0.49549727765773838</v>
      </c>
      <c r="G1142">
        <v>2.0794415416798357</v>
      </c>
      <c r="H1142">
        <v>0.375</v>
      </c>
      <c r="I1142">
        <v>0.66666666666666663</v>
      </c>
      <c r="J1142">
        <v>1</v>
      </c>
      <c r="K1142">
        <v>2</v>
      </c>
      <c r="L1142">
        <v>2</v>
      </c>
      <c r="M1142">
        <v>5</v>
      </c>
      <c r="N1142">
        <v>3</v>
      </c>
      <c r="O1142">
        <v>2</v>
      </c>
      <c r="P1142">
        <v>1</v>
      </c>
      <c r="Q1142">
        <f t="shared" si="119"/>
        <v>1</v>
      </c>
      <c r="R1142">
        <f t="shared" si="120"/>
        <v>16</v>
      </c>
      <c r="S1142">
        <f t="array" ref="S1142">MAX(IF($C$2:$C$1387=C1142,$R$2:$R$1387))</f>
        <v>29</v>
      </c>
      <c r="T1142" cm="1">
        <f t="array" ref="T1142">MIN(IF($C$2:$C$1387=C1142,$R$2:$R$1387))</f>
        <v>9</v>
      </c>
      <c r="U1142">
        <f t="shared" si="121"/>
        <v>20</v>
      </c>
      <c r="V1142">
        <f t="shared" si="122"/>
        <v>0.35</v>
      </c>
      <c r="W1142" cm="1">
        <f t="array" ref="W1142">_xlfn.IFS(N1142=1,5,N1142=2,4,N1142=4,2,N1142=5,1,N1142=3,3)</f>
        <v>3</v>
      </c>
      <c r="X1142">
        <f t="shared" si="123"/>
        <v>16</v>
      </c>
      <c r="Y1142" cm="1">
        <f t="array" ref="Y1142">MAX(IF($C$2:$C$1387=C1142,$X$2:$X$1387))</f>
        <v>29</v>
      </c>
      <c r="Z1142" cm="1">
        <f t="array" ref="Z1142">MIN(IF($C$2:$C$1387=C1142,$X$2:$X$1387))</f>
        <v>12</v>
      </c>
      <c r="AA1142">
        <f t="shared" si="124"/>
        <v>17</v>
      </c>
      <c r="AB1142">
        <f t="shared" si="125"/>
        <v>0.23529411764705882</v>
      </c>
    </row>
    <row r="1143" spans="1:28" x14ac:dyDescent="0.25">
      <c r="A1143" t="s">
        <v>408</v>
      </c>
      <c r="B1143" t="s">
        <v>409</v>
      </c>
      <c r="C1143">
        <v>2011</v>
      </c>
      <c r="D1143">
        <v>4.92405079221825E-2</v>
      </c>
      <c r="E1143">
        <v>0.46858257965378952</v>
      </c>
      <c r="F1143">
        <v>0.49549727765773838</v>
      </c>
      <c r="G1143">
        <v>1.9459101490553132</v>
      </c>
      <c r="H1143">
        <v>0.42857142857142855</v>
      </c>
      <c r="I1143">
        <v>0.66666666666666663</v>
      </c>
      <c r="J1143">
        <v>0</v>
      </c>
      <c r="K1143">
        <v>2</v>
      </c>
      <c r="L1143">
        <v>2</v>
      </c>
      <c r="M1143">
        <v>5</v>
      </c>
      <c r="N1143">
        <v>1</v>
      </c>
      <c r="O1143">
        <v>2</v>
      </c>
      <c r="P1143">
        <v>1</v>
      </c>
      <c r="Q1143">
        <f t="shared" si="119"/>
        <v>5</v>
      </c>
      <c r="R1143">
        <f t="shared" si="120"/>
        <v>18</v>
      </c>
      <c r="S1143">
        <f t="array" ref="S1143">MAX(IF($C$2:$C$1387=C1143,$R$2:$R$1387))</f>
        <v>28</v>
      </c>
      <c r="T1143" cm="1">
        <f t="array" ref="T1143">MIN(IF($C$2:$C$1387=C1143,$R$2:$R$1387))</f>
        <v>10</v>
      </c>
      <c r="U1143">
        <f t="shared" si="121"/>
        <v>18</v>
      </c>
      <c r="V1143">
        <f t="shared" si="122"/>
        <v>0.44444444444444442</v>
      </c>
      <c r="W1143" cm="1">
        <f t="array" ref="W1143">_xlfn.IFS(N1143=1,5,N1143=2,4,N1143=4,2,N1143=5,1,N1143=3,3)</f>
        <v>5</v>
      </c>
      <c r="X1143">
        <f t="shared" si="123"/>
        <v>22</v>
      </c>
      <c r="Y1143" cm="1">
        <f t="array" ref="Y1143">MAX(IF($C$2:$C$1387=C1143,$X$2:$X$1387))</f>
        <v>29</v>
      </c>
      <c r="Z1143" cm="1">
        <f t="array" ref="Z1143">MIN(IF($C$2:$C$1387=C1143,$X$2:$X$1387))</f>
        <v>12</v>
      </c>
      <c r="AA1143">
        <f t="shared" si="124"/>
        <v>17</v>
      </c>
      <c r="AB1143">
        <f t="shared" si="125"/>
        <v>0.58823529411764708</v>
      </c>
    </row>
    <row r="1144" spans="1:28" x14ac:dyDescent="0.25">
      <c r="A1144" t="s">
        <v>408</v>
      </c>
      <c r="B1144" t="s">
        <v>409</v>
      </c>
      <c r="C1144">
        <v>2012</v>
      </c>
      <c r="D1144">
        <v>6.4171403632726567E-4</v>
      </c>
      <c r="E1144">
        <v>0.65285188148305484</v>
      </c>
      <c r="F1144">
        <v>0.13335182180563826</v>
      </c>
      <c r="G1144">
        <v>1.9459101490553132</v>
      </c>
      <c r="H1144">
        <v>0.42857142857142855</v>
      </c>
      <c r="I1144">
        <v>0.66666666666666663</v>
      </c>
      <c r="J1144">
        <v>0</v>
      </c>
      <c r="K1144">
        <v>2</v>
      </c>
      <c r="L1144">
        <v>3</v>
      </c>
      <c r="M1144">
        <v>4</v>
      </c>
      <c r="N1144">
        <v>1</v>
      </c>
      <c r="O1144">
        <v>2</v>
      </c>
      <c r="P1144">
        <v>1</v>
      </c>
      <c r="Q1144">
        <f t="shared" si="119"/>
        <v>5</v>
      </c>
      <c r="R1144">
        <f t="shared" si="120"/>
        <v>18</v>
      </c>
      <c r="S1144">
        <f t="array" ref="S1144">MAX(IF($C$2:$C$1387=C1144,$R$2:$R$1387))</f>
        <v>29</v>
      </c>
      <c r="T1144" cm="1">
        <f t="array" ref="T1144">MIN(IF($C$2:$C$1387=C1144,$R$2:$R$1387))</f>
        <v>11</v>
      </c>
      <c r="U1144">
        <f t="shared" si="121"/>
        <v>18</v>
      </c>
      <c r="V1144">
        <f t="shared" si="122"/>
        <v>0.3888888888888889</v>
      </c>
      <c r="W1144" cm="1">
        <f t="array" ref="W1144">_xlfn.IFS(N1144=1,5,N1144=2,4,N1144=4,2,N1144=5,1,N1144=3,3)</f>
        <v>5</v>
      </c>
      <c r="X1144">
        <f t="shared" si="123"/>
        <v>22</v>
      </c>
      <c r="Y1144" cm="1">
        <f t="array" ref="Y1144">MAX(IF($C$2:$C$1387=C1144,$X$2:$X$1387))</f>
        <v>30</v>
      </c>
      <c r="Z1144" cm="1">
        <f t="array" ref="Z1144">MIN(IF($C$2:$C$1387=C1144,$X$2:$X$1387))</f>
        <v>12</v>
      </c>
      <c r="AA1144">
        <f t="shared" si="124"/>
        <v>18</v>
      </c>
      <c r="AB1144">
        <f t="shared" si="125"/>
        <v>0.55555555555555558</v>
      </c>
    </row>
    <row r="1145" spans="1:28" x14ac:dyDescent="0.25">
      <c r="A1145" t="s">
        <v>408</v>
      </c>
      <c r="B1145" t="s">
        <v>409</v>
      </c>
      <c r="C1145">
        <v>2013</v>
      </c>
      <c r="D1145">
        <v>1.998611477582699E-3</v>
      </c>
      <c r="E1145">
        <v>0.659754656209249</v>
      </c>
      <c r="F1145">
        <v>6.0468762539026354E-2</v>
      </c>
      <c r="G1145">
        <v>1.9459101490553132</v>
      </c>
      <c r="H1145">
        <v>0.42857142857142855</v>
      </c>
      <c r="I1145">
        <v>0.66666666666666663</v>
      </c>
      <c r="J1145">
        <v>0</v>
      </c>
      <c r="K1145">
        <v>2</v>
      </c>
      <c r="L1145">
        <v>3</v>
      </c>
      <c r="M1145">
        <v>3</v>
      </c>
      <c r="N1145">
        <v>1</v>
      </c>
      <c r="O1145">
        <v>1</v>
      </c>
      <c r="P1145">
        <v>1</v>
      </c>
      <c r="Q1145">
        <f t="shared" si="119"/>
        <v>5</v>
      </c>
      <c r="R1145">
        <f t="shared" si="120"/>
        <v>16</v>
      </c>
      <c r="S1145">
        <f t="array" ref="S1145">MAX(IF($C$2:$C$1387=C1145,$R$2:$R$1387))</f>
        <v>29</v>
      </c>
      <c r="T1145" cm="1">
        <f t="array" ref="T1145">MIN(IF($C$2:$C$1387=C1145,$R$2:$R$1387))</f>
        <v>10</v>
      </c>
      <c r="U1145">
        <f t="shared" si="121"/>
        <v>19</v>
      </c>
      <c r="V1145">
        <f t="shared" si="122"/>
        <v>0.31578947368421051</v>
      </c>
      <c r="W1145" cm="1">
        <f t="array" ref="W1145">_xlfn.IFS(N1145=1,5,N1145=2,4,N1145=4,2,N1145=5,1,N1145=3,3)</f>
        <v>5</v>
      </c>
      <c r="X1145">
        <f t="shared" si="123"/>
        <v>20</v>
      </c>
      <c r="Y1145" cm="1">
        <f t="array" ref="Y1145">MAX(IF($C$2:$C$1387=C1145,$X$2:$X$1387))</f>
        <v>32</v>
      </c>
      <c r="Z1145" cm="1">
        <f t="array" ref="Z1145">MIN(IF($C$2:$C$1387=C1145,$X$2:$X$1387))</f>
        <v>10</v>
      </c>
      <c r="AA1145">
        <f t="shared" si="124"/>
        <v>22</v>
      </c>
      <c r="AB1145">
        <f t="shared" si="125"/>
        <v>0.45454545454545453</v>
      </c>
    </row>
    <row r="1146" spans="1:28" x14ac:dyDescent="0.25">
      <c r="A1146" t="s">
        <v>408</v>
      </c>
      <c r="B1146" t="s">
        <v>409</v>
      </c>
      <c r="C1146">
        <v>2014</v>
      </c>
      <c r="D1146">
        <v>2.8148660573370696E-3</v>
      </c>
      <c r="E1146">
        <v>0.66213336880491103</v>
      </c>
      <c r="F1146">
        <v>0.14194894943665984</v>
      </c>
      <c r="G1146">
        <v>1.9459101490553132</v>
      </c>
      <c r="H1146">
        <v>0.42857142857142855</v>
      </c>
      <c r="I1146">
        <v>0.66666666666666663</v>
      </c>
      <c r="J1146">
        <v>0</v>
      </c>
      <c r="K1146">
        <v>2</v>
      </c>
      <c r="L1146">
        <v>3</v>
      </c>
      <c r="M1146">
        <v>4</v>
      </c>
      <c r="N1146">
        <v>1</v>
      </c>
      <c r="O1146">
        <v>1</v>
      </c>
      <c r="P1146">
        <v>1</v>
      </c>
      <c r="Q1146">
        <f t="shared" si="119"/>
        <v>5</v>
      </c>
      <c r="R1146">
        <f t="shared" si="120"/>
        <v>17</v>
      </c>
      <c r="S1146">
        <f t="array" ref="S1146">MAX(IF($C$2:$C$1387=C1146,$R$2:$R$1387))</f>
        <v>29</v>
      </c>
      <c r="T1146" cm="1">
        <f t="array" ref="T1146">MIN(IF($C$2:$C$1387=C1146,$R$2:$R$1387))</f>
        <v>11</v>
      </c>
      <c r="U1146">
        <f t="shared" si="121"/>
        <v>18</v>
      </c>
      <c r="V1146">
        <f t="shared" si="122"/>
        <v>0.33333333333333331</v>
      </c>
      <c r="W1146" cm="1">
        <f t="array" ref="W1146">_xlfn.IFS(N1146=1,5,N1146=2,4,N1146=4,2,N1146=5,1,N1146=3,3)</f>
        <v>5</v>
      </c>
      <c r="X1146">
        <f t="shared" si="123"/>
        <v>21</v>
      </c>
      <c r="Y1146" cm="1">
        <f t="array" ref="Y1146">MAX(IF($C$2:$C$1387=C1146,$X$2:$X$1387))</f>
        <v>30</v>
      </c>
      <c r="Z1146" cm="1">
        <f t="array" ref="Z1146">MIN(IF($C$2:$C$1387=C1146,$X$2:$X$1387))</f>
        <v>14</v>
      </c>
      <c r="AA1146">
        <f t="shared" si="124"/>
        <v>16</v>
      </c>
      <c r="AB1146">
        <f t="shared" si="125"/>
        <v>0.4375</v>
      </c>
    </row>
    <row r="1147" spans="1:28" x14ac:dyDescent="0.25">
      <c r="A1147" t="s">
        <v>408</v>
      </c>
      <c r="B1147" t="s">
        <v>409</v>
      </c>
      <c r="C1147">
        <v>2015</v>
      </c>
      <c r="D1147">
        <v>4.5501236038899707E-3</v>
      </c>
      <c r="E1147">
        <v>0.64007881105878095</v>
      </c>
      <c r="F1147">
        <v>0.11878311400955339</v>
      </c>
      <c r="G1147">
        <v>2.1972245773362196</v>
      </c>
      <c r="H1147">
        <v>0.55555555555555558</v>
      </c>
      <c r="I1147">
        <v>1</v>
      </c>
      <c r="J1147">
        <v>0</v>
      </c>
      <c r="K1147">
        <v>2</v>
      </c>
      <c r="L1147">
        <v>3</v>
      </c>
      <c r="M1147">
        <v>4</v>
      </c>
      <c r="N1147">
        <v>4</v>
      </c>
      <c r="O1147">
        <v>1</v>
      </c>
      <c r="P1147">
        <v>2</v>
      </c>
      <c r="Q1147">
        <f t="shared" si="119"/>
        <v>5</v>
      </c>
      <c r="R1147">
        <f t="shared" si="120"/>
        <v>21</v>
      </c>
      <c r="S1147">
        <f t="array" ref="S1147">MAX(IF($C$2:$C$1387=C1147,$R$2:$R$1387))</f>
        <v>29</v>
      </c>
      <c r="T1147" cm="1">
        <f t="array" ref="T1147">MIN(IF($C$2:$C$1387=C1147,$R$2:$R$1387))</f>
        <v>11</v>
      </c>
      <c r="U1147">
        <f t="shared" si="121"/>
        <v>18</v>
      </c>
      <c r="V1147">
        <f t="shared" si="122"/>
        <v>0.55555555555555558</v>
      </c>
      <c r="W1147" cm="1">
        <f t="array" ref="W1147">_xlfn.IFS(N1147=1,5,N1147=2,4,N1147=4,2,N1147=5,1,N1147=3,3)</f>
        <v>2</v>
      </c>
      <c r="X1147">
        <f t="shared" si="123"/>
        <v>19</v>
      </c>
      <c r="Y1147" cm="1">
        <f t="array" ref="Y1147">MAX(IF($C$2:$C$1387=C1147,$X$2:$X$1387))</f>
        <v>29</v>
      </c>
      <c r="Z1147" cm="1">
        <f t="array" ref="Z1147">MIN(IF($C$2:$C$1387=C1147,$X$2:$X$1387))</f>
        <v>12</v>
      </c>
      <c r="AA1147">
        <f t="shared" si="124"/>
        <v>17</v>
      </c>
      <c r="AB1147">
        <f t="shared" si="125"/>
        <v>0.41176470588235292</v>
      </c>
    </row>
    <row r="1148" spans="1:28" x14ac:dyDescent="0.25">
      <c r="A1148" t="s">
        <v>410</v>
      </c>
      <c r="B1148" t="s">
        <v>411</v>
      </c>
      <c r="C1148">
        <v>2010</v>
      </c>
      <c r="D1148">
        <v>0.45950659962287871</v>
      </c>
      <c r="E1148">
        <v>0.561599675256652</v>
      </c>
      <c r="F1148">
        <v>0.112510632725749</v>
      </c>
      <c r="G1148">
        <v>1.9459101490553132</v>
      </c>
      <c r="H1148">
        <v>0.8571428571428571</v>
      </c>
      <c r="I1148">
        <v>0.66666666666666663</v>
      </c>
      <c r="J1148">
        <v>0</v>
      </c>
      <c r="K1148">
        <v>4</v>
      </c>
      <c r="L1148">
        <v>2</v>
      </c>
      <c r="M1148">
        <v>4</v>
      </c>
      <c r="N1148">
        <v>1</v>
      </c>
      <c r="O1148">
        <v>5</v>
      </c>
      <c r="P1148">
        <v>1</v>
      </c>
      <c r="Q1148">
        <f t="shared" si="119"/>
        <v>5</v>
      </c>
      <c r="R1148">
        <f t="shared" si="120"/>
        <v>22</v>
      </c>
      <c r="S1148">
        <f t="array" ref="S1148">MAX(IF($C$2:$C$1387=C1148,$R$2:$R$1387))</f>
        <v>29</v>
      </c>
      <c r="T1148" cm="1">
        <f t="array" ref="T1148">MIN(IF($C$2:$C$1387=C1148,$R$2:$R$1387))</f>
        <v>9</v>
      </c>
      <c r="U1148">
        <f t="shared" si="121"/>
        <v>20</v>
      </c>
      <c r="V1148">
        <f t="shared" si="122"/>
        <v>0.65</v>
      </c>
      <c r="W1148" cm="1">
        <f t="array" ref="W1148">_xlfn.IFS(N1148=1,5,N1148=2,4,N1148=4,2,N1148=5,1,N1148=3,3)</f>
        <v>5</v>
      </c>
      <c r="X1148">
        <f t="shared" si="123"/>
        <v>26</v>
      </c>
      <c r="Y1148" cm="1">
        <f t="array" ref="Y1148">MAX(IF($C$2:$C$1387=C1148,$X$2:$X$1387))</f>
        <v>29</v>
      </c>
      <c r="Z1148" cm="1">
        <f t="array" ref="Z1148">MIN(IF($C$2:$C$1387=C1148,$X$2:$X$1387))</f>
        <v>12</v>
      </c>
      <c r="AA1148">
        <f t="shared" si="124"/>
        <v>17</v>
      </c>
      <c r="AB1148">
        <f t="shared" si="125"/>
        <v>0.82352941176470584</v>
      </c>
    </row>
    <row r="1149" spans="1:28" x14ac:dyDescent="0.25">
      <c r="A1149" t="s">
        <v>410</v>
      </c>
      <c r="B1149" t="s">
        <v>411</v>
      </c>
      <c r="C1149">
        <v>2011</v>
      </c>
      <c r="D1149">
        <v>0.45950659962287871</v>
      </c>
      <c r="E1149">
        <v>0.57721653048397237</v>
      </c>
      <c r="F1149">
        <v>0.1633591556672952</v>
      </c>
      <c r="G1149">
        <v>1.9459101490553132</v>
      </c>
      <c r="H1149">
        <v>0.8571428571428571</v>
      </c>
      <c r="I1149">
        <v>0.66666666666666663</v>
      </c>
      <c r="J1149">
        <v>0</v>
      </c>
      <c r="K1149">
        <v>4</v>
      </c>
      <c r="L1149">
        <v>2</v>
      </c>
      <c r="M1149">
        <v>4</v>
      </c>
      <c r="N1149">
        <v>1</v>
      </c>
      <c r="O1149">
        <v>5</v>
      </c>
      <c r="P1149">
        <v>1</v>
      </c>
      <c r="Q1149">
        <f t="shared" si="119"/>
        <v>5</v>
      </c>
      <c r="R1149">
        <f t="shared" si="120"/>
        <v>22</v>
      </c>
      <c r="S1149">
        <f t="array" ref="S1149">MAX(IF($C$2:$C$1387=C1149,$R$2:$R$1387))</f>
        <v>28</v>
      </c>
      <c r="T1149" cm="1">
        <f t="array" ref="T1149">MIN(IF($C$2:$C$1387=C1149,$R$2:$R$1387))</f>
        <v>10</v>
      </c>
      <c r="U1149">
        <f t="shared" si="121"/>
        <v>18</v>
      </c>
      <c r="V1149">
        <f t="shared" si="122"/>
        <v>0.66666666666666663</v>
      </c>
      <c r="W1149" cm="1">
        <f t="array" ref="W1149">_xlfn.IFS(N1149=1,5,N1149=2,4,N1149=4,2,N1149=5,1,N1149=3,3)</f>
        <v>5</v>
      </c>
      <c r="X1149">
        <f t="shared" si="123"/>
        <v>26</v>
      </c>
      <c r="Y1149" cm="1">
        <f t="array" ref="Y1149">MAX(IF($C$2:$C$1387=C1149,$X$2:$X$1387))</f>
        <v>29</v>
      </c>
      <c r="Z1149" cm="1">
        <f t="array" ref="Z1149">MIN(IF($C$2:$C$1387=C1149,$X$2:$X$1387))</f>
        <v>12</v>
      </c>
      <c r="AA1149">
        <f t="shared" si="124"/>
        <v>17</v>
      </c>
      <c r="AB1149">
        <f t="shared" si="125"/>
        <v>0.82352941176470584</v>
      </c>
    </row>
    <row r="1150" spans="1:28" x14ac:dyDescent="0.25">
      <c r="A1150" t="s">
        <v>410</v>
      </c>
      <c r="B1150" t="s">
        <v>411</v>
      </c>
      <c r="C1150">
        <v>2012</v>
      </c>
      <c r="D1150">
        <v>0.38403729310706053</v>
      </c>
      <c r="E1150">
        <v>0.57721653048397237</v>
      </c>
      <c r="F1150">
        <v>0.14973297716320971</v>
      </c>
      <c r="G1150">
        <v>1.9459101490553132</v>
      </c>
      <c r="H1150">
        <v>0.8571428571428571</v>
      </c>
      <c r="I1150">
        <v>0.66666666666666663</v>
      </c>
      <c r="J1150">
        <v>1</v>
      </c>
      <c r="K1150">
        <v>4</v>
      </c>
      <c r="L1150">
        <v>2</v>
      </c>
      <c r="M1150">
        <v>5</v>
      </c>
      <c r="N1150">
        <v>1</v>
      </c>
      <c r="O1150">
        <v>5</v>
      </c>
      <c r="P1150">
        <v>1</v>
      </c>
      <c r="Q1150">
        <f t="shared" si="119"/>
        <v>1</v>
      </c>
      <c r="R1150">
        <f t="shared" si="120"/>
        <v>19</v>
      </c>
      <c r="S1150">
        <f t="array" ref="S1150">MAX(IF($C$2:$C$1387=C1150,$R$2:$R$1387))</f>
        <v>29</v>
      </c>
      <c r="T1150" cm="1">
        <f t="array" ref="T1150">MIN(IF($C$2:$C$1387=C1150,$R$2:$R$1387))</f>
        <v>11</v>
      </c>
      <c r="U1150">
        <f t="shared" si="121"/>
        <v>18</v>
      </c>
      <c r="V1150">
        <f t="shared" si="122"/>
        <v>0.44444444444444442</v>
      </c>
      <c r="W1150" cm="1">
        <f t="array" ref="W1150">_xlfn.IFS(N1150=1,5,N1150=2,4,N1150=4,2,N1150=5,1,N1150=3,3)</f>
        <v>5</v>
      </c>
      <c r="X1150">
        <f t="shared" si="123"/>
        <v>23</v>
      </c>
      <c r="Y1150" cm="1">
        <f t="array" ref="Y1150">MAX(IF($C$2:$C$1387=C1150,$X$2:$X$1387))</f>
        <v>30</v>
      </c>
      <c r="Z1150" cm="1">
        <f t="array" ref="Z1150">MIN(IF($C$2:$C$1387=C1150,$X$2:$X$1387))</f>
        <v>12</v>
      </c>
      <c r="AA1150">
        <f t="shared" si="124"/>
        <v>18</v>
      </c>
      <c r="AB1150">
        <f t="shared" si="125"/>
        <v>0.61111111111111116</v>
      </c>
    </row>
    <row r="1151" spans="1:28" x14ac:dyDescent="0.25">
      <c r="A1151" t="s">
        <v>410</v>
      </c>
      <c r="B1151" t="s">
        <v>411</v>
      </c>
      <c r="C1151">
        <v>2013</v>
      </c>
      <c r="D1151">
        <v>0.38401110412738321</v>
      </c>
      <c r="E1151">
        <v>0.57721653048397237</v>
      </c>
      <c r="F1151">
        <v>0.1597326628954536</v>
      </c>
      <c r="G1151">
        <v>1.9459101490553132</v>
      </c>
      <c r="H1151">
        <v>0.7142857142857143</v>
      </c>
      <c r="I1151">
        <v>0.66666666666666663</v>
      </c>
      <c r="J1151">
        <v>0</v>
      </c>
      <c r="K1151">
        <v>4</v>
      </c>
      <c r="L1151">
        <v>2</v>
      </c>
      <c r="M1151">
        <v>5</v>
      </c>
      <c r="N1151">
        <v>1</v>
      </c>
      <c r="O1151">
        <v>4</v>
      </c>
      <c r="P1151">
        <v>1</v>
      </c>
      <c r="Q1151">
        <f t="shared" si="119"/>
        <v>5</v>
      </c>
      <c r="R1151">
        <f t="shared" si="120"/>
        <v>22</v>
      </c>
      <c r="S1151">
        <f t="array" ref="S1151">MAX(IF($C$2:$C$1387=C1151,$R$2:$R$1387))</f>
        <v>29</v>
      </c>
      <c r="T1151" cm="1">
        <f t="array" ref="T1151">MIN(IF($C$2:$C$1387=C1151,$R$2:$R$1387))</f>
        <v>10</v>
      </c>
      <c r="U1151">
        <f t="shared" si="121"/>
        <v>19</v>
      </c>
      <c r="V1151">
        <f t="shared" si="122"/>
        <v>0.63157894736842102</v>
      </c>
      <c r="W1151" cm="1">
        <f t="array" ref="W1151">_xlfn.IFS(N1151=1,5,N1151=2,4,N1151=4,2,N1151=5,1,N1151=3,3)</f>
        <v>5</v>
      </c>
      <c r="X1151">
        <f t="shared" si="123"/>
        <v>26</v>
      </c>
      <c r="Y1151" cm="1">
        <f t="array" ref="Y1151">MAX(IF($C$2:$C$1387=C1151,$X$2:$X$1387))</f>
        <v>32</v>
      </c>
      <c r="Z1151" cm="1">
        <f t="array" ref="Z1151">MIN(IF($C$2:$C$1387=C1151,$X$2:$X$1387))</f>
        <v>10</v>
      </c>
      <c r="AA1151">
        <f t="shared" si="124"/>
        <v>22</v>
      </c>
      <c r="AB1151">
        <f t="shared" si="125"/>
        <v>0.72727272727272729</v>
      </c>
    </row>
    <row r="1152" spans="1:28" x14ac:dyDescent="0.25">
      <c r="A1152" t="s">
        <v>410</v>
      </c>
      <c r="B1152" t="s">
        <v>411</v>
      </c>
      <c r="C1152">
        <v>2014</v>
      </c>
      <c r="D1152">
        <v>0.38403729310706053</v>
      </c>
      <c r="E1152">
        <v>0.58069123192960403</v>
      </c>
      <c r="F1152">
        <v>0.15838110203226483</v>
      </c>
      <c r="G1152">
        <v>1.9459101490553132</v>
      </c>
      <c r="H1152">
        <v>0.7142857142857143</v>
      </c>
      <c r="I1152">
        <v>0.66666666666666663</v>
      </c>
      <c r="J1152">
        <v>0</v>
      </c>
      <c r="K1152">
        <v>4</v>
      </c>
      <c r="L1152">
        <v>2</v>
      </c>
      <c r="M1152">
        <v>5</v>
      </c>
      <c r="N1152">
        <v>1</v>
      </c>
      <c r="O1152">
        <v>4</v>
      </c>
      <c r="P1152">
        <v>1</v>
      </c>
      <c r="Q1152">
        <f t="shared" si="119"/>
        <v>5</v>
      </c>
      <c r="R1152">
        <f t="shared" si="120"/>
        <v>22</v>
      </c>
      <c r="S1152">
        <f t="array" ref="S1152">MAX(IF($C$2:$C$1387=C1152,$R$2:$R$1387))</f>
        <v>29</v>
      </c>
      <c r="T1152" cm="1">
        <f t="array" ref="T1152">MIN(IF($C$2:$C$1387=C1152,$R$2:$R$1387))</f>
        <v>11</v>
      </c>
      <c r="U1152">
        <f t="shared" si="121"/>
        <v>18</v>
      </c>
      <c r="V1152">
        <f t="shared" si="122"/>
        <v>0.61111111111111116</v>
      </c>
      <c r="W1152" cm="1">
        <f t="array" ref="W1152">_xlfn.IFS(N1152=1,5,N1152=2,4,N1152=4,2,N1152=5,1,N1152=3,3)</f>
        <v>5</v>
      </c>
      <c r="X1152">
        <f t="shared" si="123"/>
        <v>26</v>
      </c>
      <c r="Y1152" cm="1">
        <f t="array" ref="Y1152">MAX(IF($C$2:$C$1387=C1152,$X$2:$X$1387))</f>
        <v>30</v>
      </c>
      <c r="Z1152" cm="1">
        <f t="array" ref="Z1152">MIN(IF($C$2:$C$1387=C1152,$X$2:$X$1387))</f>
        <v>14</v>
      </c>
      <c r="AA1152">
        <f t="shared" si="124"/>
        <v>16</v>
      </c>
      <c r="AB1152">
        <f t="shared" si="125"/>
        <v>0.75</v>
      </c>
    </row>
    <row r="1153" spans="1:28" x14ac:dyDescent="0.25">
      <c r="A1153" t="s">
        <v>410</v>
      </c>
      <c r="B1153" t="s">
        <v>411</v>
      </c>
      <c r="C1153">
        <v>2015</v>
      </c>
      <c r="D1153">
        <v>0.38592289964382986</v>
      </c>
      <c r="E1153">
        <v>0.59378572176827993</v>
      </c>
      <c r="F1153">
        <v>0.15838110203226483</v>
      </c>
      <c r="G1153">
        <v>1.9459101490553132</v>
      </c>
      <c r="H1153">
        <v>0.7142857142857143</v>
      </c>
      <c r="I1153">
        <v>1</v>
      </c>
      <c r="J1153">
        <v>0</v>
      </c>
      <c r="K1153">
        <v>4</v>
      </c>
      <c r="L1153">
        <v>3</v>
      </c>
      <c r="M1153">
        <v>5</v>
      </c>
      <c r="N1153">
        <v>1</v>
      </c>
      <c r="O1153">
        <v>3</v>
      </c>
      <c r="P1153">
        <v>2</v>
      </c>
      <c r="Q1153">
        <f t="shared" si="119"/>
        <v>5</v>
      </c>
      <c r="R1153">
        <f t="shared" si="120"/>
        <v>23</v>
      </c>
      <c r="S1153">
        <f t="array" ref="S1153">MAX(IF($C$2:$C$1387=C1153,$R$2:$R$1387))</f>
        <v>29</v>
      </c>
      <c r="T1153" cm="1">
        <f t="array" ref="T1153">MIN(IF($C$2:$C$1387=C1153,$R$2:$R$1387))</f>
        <v>11</v>
      </c>
      <c r="U1153">
        <f t="shared" si="121"/>
        <v>18</v>
      </c>
      <c r="V1153">
        <f t="shared" si="122"/>
        <v>0.66666666666666663</v>
      </c>
      <c r="W1153" cm="1">
        <f t="array" ref="W1153">_xlfn.IFS(N1153=1,5,N1153=2,4,N1153=4,2,N1153=5,1,N1153=3,3)</f>
        <v>5</v>
      </c>
      <c r="X1153">
        <f t="shared" si="123"/>
        <v>27</v>
      </c>
      <c r="Y1153" cm="1">
        <f t="array" ref="Y1153">MAX(IF($C$2:$C$1387=C1153,$X$2:$X$1387))</f>
        <v>29</v>
      </c>
      <c r="Z1153" cm="1">
        <f t="array" ref="Z1153">MIN(IF($C$2:$C$1387=C1153,$X$2:$X$1387))</f>
        <v>12</v>
      </c>
      <c r="AA1153">
        <f t="shared" si="124"/>
        <v>17</v>
      </c>
      <c r="AB1153">
        <f t="shared" si="125"/>
        <v>0.88235294117647056</v>
      </c>
    </row>
    <row r="1154" spans="1:28" x14ac:dyDescent="0.25">
      <c r="A1154" t="s">
        <v>412</v>
      </c>
      <c r="B1154" t="s">
        <v>413</v>
      </c>
      <c r="C1154">
        <v>2010</v>
      </c>
      <c r="D1154">
        <v>1.9999999552965163E-4</v>
      </c>
      <c r="E1154">
        <v>0.47873017007435231</v>
      </c>
      <c r="F1154">
        <v>8.7900000000000006E-2</v>
      </c>
      <c r="G1154">
        <v>2.1972245773362196</v>
      </c>
      <c r="H1154">
        <v>0.77777777777777779</v>
      </c>
      <c r="I1154">
        <v>1</v>
      </c>
      <c r="J1154">
        <v>0</v>
      </c>
      <c r="K1154">
        <v>1</v>
      </c>
      <c r="L1154">
        <v>2</v>
      </c>
      <c r="M1154">
        <v>4</v>
      </c>
      <c r="N1154">
        <v>4</v>
      </c>
      <c r="O1154">
        <v>4</v>
      </c>
      <c r="P1154">
        <v>3</v>
      </c>
      <c r="Q1154">
        <f t="shared" si="119"/>
        <v>5</v>
      </c>
      <c r="R1154">
        <f t="shared" si="120"/>
        <v>23</v>
      </c>
      <c r="S1154">
        <f t="array" ref="S1154">MAX(IF($C$2:$C$1387=C1154,$R$2:$R$1387))</f>
        <v>29</v>
      </c>
      <c r="T1154" cm="1">
        <f t="array" ref="T1154">MIN(IF($C$2:$C$1387=C1154,$R$2:$R$1387))</f>
        <v>9</v>
      </c>
      <c r="U1154">
        <f t="shared" si="121"/>
        <v>20</v>
      </c>
      <c r="V1154">
        <f t="shared" si="122"/>
        <v>0.7</v>
      </c>
      <c r="W1154" cm="1">
        <f t="array" ref="W1154">_xlfn.IFS(N1154=1,5,N1154=2,4,N1154=4,2,N1154=5,1,N1154=3,3)</f>
        <v>2</v>
      </c>
      <c r="X1154">
        <f t="shared" si="123"/>
        <v>21</v>
      </c>
      <c r="Y1154" cm="1">
        <f t="array" ref="Y1154">MAX(IF($C$2:$C$1387=C1154,$X$2:$X$1387))</f>
        <v>29</v>
      </c>
      <c r="Z1154" cm="1">
        <f t="array" ref="Z1154">MIN(IF($C$2:$C$1387=C1154,$X$2:$X$1387))</f>
        <v>12</v>
      </c>
      <c r="AA1154">
        <f t="shared" si="124"/>
        <v>17</v>
      </c>
      <c r="AB1154">
        <f t="shared" si="125"/>
        <v>0.52941176470588236</v>
      </c>
    </row>
    <row r="1155" spans="1:28" x14ac:dyDescent="0.25">
      <c r="A1155" t="s">
        <v>412</v>
      </c>
      <c r="B1155" t="s">
        <v>413</v>
      </c>
      <c r="C1155">
        <v>2011</v>
      </c>
      <c r="D1155">
        <v>8.0482454561508473E-6</v>
      </c>
      <c r="E1155">
        <v>0.44594515931399448</v>
      </c>
      <c r="F1155">
        <v>6.838974626603847E-2</v>
      </c>
      <c r="G1155">
        <v>2.0794415416798357</v>
      </c>
      <c r="H1155">
        <v>0.75</v>
      </c>
      <c r="I1155">
        <v>1</v>
      </c>
      <c r="J1155">
        <v>1</v>
      </c>
      <c r="K1155">
        <v>1</v>
      </c>
      <c r="L1155">
        <v>1</v>
      </c>
      <c r="M1155">
        <v>3</v>
      </c>
      <c r="N1155">
        <v>3</v>
      </c>
      <c r="O1155">
        <v>4</v>
      </c>
      <c r="P1155">
        <v>3</v>
      </c>
      <c r="Q1155">
        <f t="shared" ref="Q1155:Q1218" si="126">IF(J1155=0,5,1)</f>
        <v>1</v>
      </c>
      <c r="R1155">
        <f t="shared" ref="R1155:R1218" si="127">SUM(K1155:Q1155)</f>
        <v>16</v>
      </c>
      <c r="S1155">
        <f t="array" ref="S1155">MAX(IF($C$2:$C$1387=C1155,$R$2:$R$1387))</f>
        <v>28</v>
      </c>
      <c r="T1155" cm="1">
        <f t="array" ref="T1155">MIN(IF($C$2:$C$1387=C1155,$R$2:$R$1387))</f>
        <v>10</v>
      </c>
      <c r="U1155">
        <f t="shared" ref="U1155:U1218" si="128">S1155-T1155</f>
        <v>18</v>
      </c>
      <c r="V1155">
        <f t="shared" ref="V1155:V1218" si="129">(R1155-T1155)/U1155</f>
        <v>0.33333333333333331</v>
      </c>
      <c r="W1155" cm="1">
        <f t="array" ref="W1155">_xlfn.IFS(N1155=1,5,N1155=2,4,N1155=4,2,N1155=5,1,N1155=3,3)</f>
        <v>3</v>
      </c>
      <c r="X1155">
        <f t="shared" ref="X1155:X1218" si="130">SUM(K1155:M1155,O1155:Q1155,W1155)</f>
        <v>16</v>
      </c>
      <c r="Y1155" cm="1">
        <f t="array" ref="Y1155">MAX(IF($C$2:$C$1387=C1155,$X$2:$X$1387))</f>
        <v>29</v>
      </c>
      <c r="Z1155" cm="1">
        <f t="array" ref="Z1155">MIN(IF($C$2:$C$1387=C1155,$X$2:$X$1387))</f>
        <v>12</v>
      </c>
      <c r="AA1155">
        <f t="shared" ref="AA1155:AA1218" si="131">Y1155-Z1155</f>
        <v>17</v>
      </c>
      <c r="AB1155">
        <f t="shared" ref="AB1155:AB1218" si="132">(X1155-Z1155)/AA1155</f>
        <v>0.23529411764705882</v>
      </c>
    </row>
    <row r="1156" spans="1:28" x14ac:dyDescent="0.25">
      <c r="A1156" t="s">
        <v>412</v>
      </c>
      <c r="B1156" t="s">
        <v>413</v>
      </c>
      <c r="C1156">
        <v>2012</v>
      </c>
      <c r="D1156">
        <v>4.0241227280754236E-6</v>
      </c>
      <c r="E1156">
        <v>0.40378782770480021</v>
      </c>
      <c r="F1156">
        <v>1.6659758345430577E-2</v>
      </c>
      <c r="G1156">
        <v>2.1972245773362196</v>
      </c>
      <c r="H1156">
        <v>0.77777777777777779</v>
      </c>
      <c r="I1156">
        <v>1</v>
      </c>
      <c r="J1156">
        <v>0</v>
      </c>
      <c r="K1156">
        <v>1</v>
      </c>
      <c r="L1156">
        <v>1</v>
      </c>
      <c r="M1156">
        <v>2</v>
      </c>
      <c r="N1156">
        <v>4</v>
      </c>
      <c r="O1156">
        <v>5</v>
      </c>
      <c r="P1156">
        <v>3</v>
      </c>
      <c r="Q1156">
        <f t="shared" si="126"/>
        <v>5</v>
      </c>
      <c r="R1156">
        <f t="shared" si="127"/>
        <v>21</v>
      </c>
      <c r="S1156">
        <f t="array" ref="S1156">MAX(IF($C$2:$C$1387=C1156,$R$2:$R$1387))</f>
        <v>29</v>
      </c>
      <c r="T1156" cm="1">
        <f t="array" ref="T1156">MIN(IF($C$2:$C$1387=C1156,$R$2:$R$1387))</f>
        <v>11</v>
      </c>
      <c r="U1156">
        <f t="shared" si="128"/>
        <v>18</v>
      </c>
      <c r="V1156">
        <f t="shared" si="129"/>
        <v>0.55555555555555558</v>
      </c>
      <c r="W1156" cm="1">
        <f t="array" ref="W1156">_xlfn.IFS(N1156=1,5,N1156=2,4,N1156=4,2,N1156=5,1,N1156=3,3)</f>
        <v>2</v>
      </c>
      <c r="X1156">
        <f t="shared" si="130"/>
        <v>19</v>
      </c>
      <c r="Y1156" cm="1">
        <f t="array" ref="Y1156">MAX(IF($C$2:$C$1387=C1156,$X$2:$X$1387))</f>
        <v>30</v>
      </c>
      <c r="Z1156" cm="1">
        <f t="array" ref="Z1156">MIN(IF($C$2:$C$1387=C1156,$X$2:$X$1387))</f>
        <v>12</v>
      </c>
      <c r="AA1156">
        <f t="shared" si="131"/>
        <v>18</v>
      </c>
      <c r="AB1156">
        <f t="shared" si="132"/>
        <v>0.3888888888888889</v>
      </c>
    </row>
    <row r="1157" spans="1:28" x14ac:dyDescent="0.25">
      <c r="A1157" t="s">
        <v>412</v>
      </c>
      <c r="B1157" t="s">
        <v>413</v>
      </c>
      <c r="C1157">
        <v>2013</v>
      </c>
      <c r="D1157">
        <v>4.0241227280754236E-6</v>
      </c>
      <c r="E1157">
        <v>0.39615362789443442</v>
      </c>
      <c r="F1157">
        <v>1.4244282336196694E-2</v>
      </c>
      <c r="G1157">
        <v>2.1972245773362196</v>
      </c>
      <c r="H1157">
        <v>0.77777777777777779</v>
      </c>
      <c r="I1157">
        <v>1</v>
      </c>
      <c r="J1157">
        <v>0</v>
      </c>
      <c r="K1157">
        <v>1</v>
      </c>
      <c r="L1157">
        <v>1</v>
      </c>
      <c r="M1157">
        <v>2</v>
      </c>
      <c r="N1157">
        <v>4</v>
      </c>
      <c r="O1157">
        <v>5</v>
      </c>
      <c r="P1157">
        <v>3</v>
      </c>
      <c r="Q1157">
        <f t="shared" si="126"/>
        <v>5</v>
      </c>
      <c r="R1157">
        <f t="shared" si="127"/>
        <v>21</v>
      </c>
      <c r="S1157">
        <f t="array" ref="S1157">MAX(IF($C$2:$C$1387=C1157,$R$2:$R$1387))</f>
        <v>29</v>
      </c>
      <c r="T1157" cm="1">
        <f t="array" ref="T1157">MIN(IF($C$2:$C$1387=C1157,$R$2:$R$1387))</f>
        <v>10</v>
      </c>
      <c r="U1157">
        <f t="shared" si="128"/>
        <v>19</v>
      </c>
      <c r="V1157">
        <f t="shared" si="129"/>
        <v>0.57894736842105265</v>
      </c>
      <c r="W1157" cm="1">
        <f t="array" ref="W1157">_xlfn.IFS(N1157=1,5,N1157=2,4,N1157=4,2,N1157=5,1,N1157=3,3)</f>
        <v>2</v>
      </c>
      <c r="X1157">
        <f t="shared" si="130"/>
        <v>19</v>
      </c>
      <c r="Y1157" cm="1">
        <f t="array" ref="Y1157">MAX(IF($C$2:$C$1387=C1157,$X$2:$X$1387))</f>
        <v>32</v>
      </c>
      <c r="Z1157" cm="1">
        <f t="array" ref="Z1157">MIN(IF($C$2:$C$1387=C1157,$X$2:$X$1387))</f>
        <v>10</v>
      </c>
      <c r="AA1157">
        <f t="shared" si="131"/>
        <v>22</v>
      </c>
      <c r="AB1157">
        <f t="shared" si="132"/>
        <v>0.40909090909090912</v>
      </c>
    </row>
    <row r="1158" spans="1:28" x14ac:dyDescent="0.25">
      <c r="A1158" t="s">
        <v>412</v>
      </c>
      <c r="B1158" t="s">
        <v>413</v>
      </c>
      <c r="C1158">
        <v>2014</v>
      </c>
      <c r="D1158">
        <v>4.0241227280754236E-6</v>
      </c>
      <c r="E1158">
        <v>0.39281726432352099</v>
      </c>
      <c r="F1158">
        <v>1.0959866531409316E-2</v>
      </c>
      <c r="G1158">
        <v>2.1972245773362196</v>
      </c>
      <c r="H1158">
        <v>0.77777777777777779</v>
      </c>
      <c r="I1158">
        <v>1</v>
      </c>
      <c r="J1158">
        <v>0</v>
      </c>
      <c r="K1158">
        <v>1</v>
      </c>
      <c r="L1158">
        <v>1</v>
      </c>
      <c r="M1158">
        <v>2</v>
      </c>
      <c r="N1158">
        <v>4</v>
      </c>
      <c r="O1158">
        <v>5</v>
      </c>
      <c r="P1158">
        <v>3</v>
      </c>
      <c r="Q1158">
        <f t="shared" si="126"/>
        <v>5</v>
      </c>
      <c r="R1158">
        <f t="shared" si="127"/>
        <v>21</v>
      </c>
      <c r="S1158">
        <f t="array" ref="S1158">MAX(IF($C$2:$C$1387=C1158,$R$2:$R$1387))</f>
        <v>29</v>
      </c>
      <c r="T1158" cm="1">
        <f t="array" ref="T1158">MIN(IF($C$2:$C$1387=C1158,$R$2:$R$1387))</f>
        <v>11</v>
      </c>
      <c r="U1158">
        <f t="shared" si="128"/>
        <v>18</v>
      </c>
      <c r="V1158">
        <f t="shared" si="129"/>
        <v>0.55555555555555558</v>
      </c>
      <c r="W1158" cm="1">
        <f t="array" ref="W1158">_xlfn.IFS(N1158=1,5,N1158=2,4,N1158=4,2,N1158=5,1,N1158=3,3)</f>
        <v>2</v>
      </c>
      <c r="X1158">
        <f t="shared" si="130"/>
        <v>19</v>
      </c>
      <c r="Y1158" cm="1">
        <f t="array" ref="Y1158">MAX(IF($C$2:$C$1387=C1158,$X$2:$X$1387))</f>
        <v>30</v>
      </c>
      <c r="Z1158" cm="1">
        <f t="array" ref="Z1158">MIN(IF($C$2:$C$1387=C1158,$X$2:$X$1387))</f>
        <v>14</v>
      </c>
      <c r="AA1158">
        <f t="shared" si="131"/>
        <v>16</v>
      </c>
      <c r="AB1158">
        <f t="shared" si="132"/>
        <v>0.3125</v>
      </c>
    </row>
    <row r="1159" spans="1:28" x14ac:dyDescent="0.25">
      <c r="A1159" t="s">
        <v>412</v>
      </c>
      <c r="B1159" t="s">
        <v>413</v>
      </c>
      <c r="C1159">
        <v>2015</v>
      </c>
      <c r="D1159">
        <v>4.0241227280754236E-6</v>
      </c>
      <c r="E1159">
        <v>0.44847453994619324</v>
      </c>
      <c r="F1159">
        <v>6.0613882702470881E-2</v>
      </c>
      <c r="G1159">
        <v>2.1972245773362196</v>
      </c>
      <c r="H1159">
        <v>0.1111111111111111</v>
      </c>
      <c r="I1159">
        <v>1</v>
      </c>
      <c r="J1159">
        <v>0</v>
      </c>
      <c r="K1159">
        <v>1</v>
      </c>
      <c r="L1159">
        <v>2</v>
      </c>
      <c r="M1159">
        <v>3</v>
      </c>
      <c r="N1159">
        <v>4</v>
      </c>
      <c r="O1159">
        <v>1</v>
      </c>
      <c r="P1159">
        <v>2</v>
      </c>
      <c r="Q1159">
        <f t="shared" si="126"/>
        <v>5</v>
      </c>
      <c r="R1159">
        <f t="shared" si="127"/>
        <v>18</v>
      </c>
      <c r="S1159">
        <f t="array" ref="S1159">MAX(IF($C$2:$C$1387=C1159,$R$2:$R$1387))</f>
        <v>29</v>
      </c>
      <c r="T1159" cm="1">
        <f t="array" ref="T1159">MIN(IF($C$2:$C$1387=C1159,$R$2:$R$1387))</f>
        <v>11</v>
      </c>
      <c r="U1159">
        <f t="shared" si="128"/>
        <v>18</v>
      </c>
      <c r="V1159">
        <f t="shared" si="129"/>
        <v>0.3888888888888889</v>
      </c>
      <c r="W1159" cm="1">
        <f t="array" ref="W1159">_xlfn.IFS(N1159=1,5,N1159=2,4,N1159=4,2,N1159=5,1,N1159=3,3)</f>
        <v>2</v>
      </c>
      <c r="X1159">
        <f t="shared" si="130"/>
        <v>16</v>
      </c>
      <c r="Y1159" cm="1">
        <f t="array" ref="Y1159">MAX(IF($C$2:$C$1387=C1159,$X$2:$X$1387))</f>
        <v>29</v>
      </c>
      <c r="Z1159" cm="1">
        <f t="array" ref="Z1159">MIN(IF($C$2:$C$1387=C1159,$X$2:$X$1387))</f>
        <v>12</v>
      </c>
      <c r="AA1159">
        <f t="shared" si="131"/>
        <v>17</v>
      </c>
      <c r="AB1159">
        <f t="shared" si="132"/>
        <v>0.23529411764705882</v>
      </c>
    </row>
    <row r="1160" spans="1:28" x14ac:dyDescent="0.25">
      <c r="A1160" t="s">
        <v>414</v>
      </c>
      <c r="B1160" t="s">
        <v>415</v>
      </c>
      <c r="C1160">
        <v>2010</v>
      </c>
      <c r="D1160">
        <v>0.36969233960845183</v>
      </c>
      <c r="E1160">
        <v>0.44914758047532127</v>
      </c>
      <c r="F1160">
        <v>0.18155094030130189</v>
      </c>
      <c r="G1160">
        <v>1.9459101490553132</v>
      </c>
      <c r="H1160">
        <v>0.5714285714285714</v>
      </c>
      <c r="I1160">
        <v>1</v>
      </c>
      <c r="J1160">
        <v>0</v>
      </c>
      <c r="K1160">
        <v>4</v>
      </c>
      <c r="L1160">
        <v>1</v>
      </c>
      <c r="M1160">
        <v>5</v>
      </c>
      <c r="N1160">
        <v>1</v>
      </c>
      <c r="O1160">
        <v>2</v>
      </c>
      <c r="P1160">
        <v>3</v>
      </c>
      <c r="Q1160">
        <f t="shared" si="126"/>
        <v>5</v>
      </c>
      <c r="R1160">
        <f t="shared" si="127"/>
        <v>21</v>
      </c>
      <c r="S1160">
        <f t="array" ref="S1160">MAX(IF($C$2:$C$1387=C1160,$R$2:$R$1387))</f>
        <v>29</v>
      </c>
      <c r="T1160" cm="1">
        <f t="array" ref="T1160">MIN(IF($C$2:$C$1387=C1160,$R$2:$R$1387))</f>
        <v>9</v>
      </c>
      <c r="U1160">
        <f t="shared" si="128"/>
        <v>20</v>
      </c>
      <c r="V1160">
        <f t="shared" si="129"/>
        <v>0.6</v>
      </c>
      <c r="W1160" cm="1">
        <f t="array" ref="W1160">_xlfn.IFS(N1160=1,5,N1160=2,4,N1160=4,2,N1160=5,1,N1160=3,3)</f>
        <v>5</v>
      </c>
      <c r="X1160">
        <f t="shared" si="130"/>
        <v>25</v>
      </c>
      <c r="Y1160" cm="1">
        <f t="array" ref="Y1160">MAX(IF($C$2:$C$1387=C1160,$X$2:$X$1387))</f>
        <v>29</v>
      </c>
      <c r="Z1160" cm="1">
        <f t="array" ref="Z1160">MIN(IF($C$2:$C$1387=C1160,$X$2:$X$1387))</f>
        <v>12</v>
      </c>
      <c r="AA1160">
        <f t="shared" si="131"/>
        <v>17</v>
      </c>
      <c r="AB1160">
        <f t="shared" si="132"/>
        <v>0.76470588235294112</v>
      </c>
    </row>
    <row r="1161" spans="1:28" x14ac:dyDescent="0.25">
      <c r="A1161" t="s">
        <v>414</v>
      </c>
      <c r="B1161" t="s">
        <v>415</v>
      </c>
      <c r="C1161">
        <v>2011</v>
      </c>
      <c r="D1161">
        <v>0.36969233960845183</v>
      </c>
      <c r="E1161">
        <v>0.44914758047532127</v>
      </c>
      <c r="F1161">
        <v>0.18155094030130189</v>
      </c>
      <c r="G1161">
        <v>1.9459101490553132</v>
      </c>
      <c r="H1161">
        <v>0.5714285714285714</v>
      </c>
      <c r="I1161">
        <v>1</v>
      </c>
      <c r="J1161">
        <v>0</v>
      </c>
      <c r="K1161">
        <v>4</v>
      </c>
      <c r="L1161">
        <v>1</v>
      </c>
      <c r="M1161">
        <v>5</v>
      </c>
      <c r="N1161">
        <v>1</v>
      </c>
      <c r="O1161">
        <v>2</v>
      </c>
      <c r="P1161">
        <v>3</v>
      </c>
      <c r="Q1161">
        <f t="shared" si="126"/>
        <v>5</v>
      </c>
      <c r="R1161">
        <f t="shared" si="127"/>
        <v>21</v>
      </c>
      <c r="S1161">
        <f t="array" ref="S1161">MAX(IF($C$2:$C$1387=C1161,$R$2:$R$1387))</f>
        <v>28</v>
      </c>
      <c r="T1161" cm="1">
        <f t="array" ref="T1161">MIN(IF($C$2:$C$1387=C1161,$R$2:$R$1387))</f>
        <v>10</v>
      </c>
      <c r="U1161">
        <f t="shared" si="128"/>
        <v>18</v>
      </c>
      <c r="V1161">
        <f t="shared" si="129"/>
        <v>0.61111111111111116</v>
      </c>
      <c r="W1161" cm="1">
        <f t="array" ref="W1161">_xlfn.IFS(N1161=1,5,N1161=2,4,N1161=4,2,N1161=5,1,N1161=3,3)</f>
        <v>5</v>
      </c>
      <c r="X1161">
        <f t="shared" si="130"/>
        <v>25</v>
      </c>
      <c r="Y1161" cm="1">
        <f t="array" ref="Y1161">MAX(IF($C$2:$C$1387=C1161,$X$2:$X$1387))</f>
        <v>29</v>
      </c>
      <c r="Z1161" cm="1">
        <f t="array" ref="Z1161">MIN(IF($C$2:$C$1387=C1161,$X$2:$X$1387))</f>
        <v>12</v>
      </c>
      <c r="AA1161">
        <f t="shared" si="131"/>
        <v>17</v>
      </c>
      <c r="AB1161">
        <f t="shared" si="132"/>
        <v>0.76470588235294112</v>
      </c>
    </row>
    <row r="1162" spans="1:28" x14ac:dyDescent="0.25">
      <c r="A1162" t="s">
        <v>414</v>
      </c>
      <c r="B1162" t="s">
        <v>415</v>
      </c>
      <c r="C1162">
        <v>2012</v>
      </c>
      <c r="D1162">
        <v>0.36969233960845183</v>
      </c>
      <c r="E1162">
        <v>0.44914758047532127</v>
      </c>
      <c r="F1162">
        <v>0.18155094030130189</v>
      </c>
      <c r="G1162">
        <v>1.9459101490553132</v>
      </c>
      <c r="H1162">
        <v>0.5714285714285714</v>
      </c>
      <c r="I1162">
        <v>1</v>
      </c>
      <c r="J1162">
        <v>0</v>
      </c>
      <c r="K1162">
        <v>4</v>
      </c>
      <c r="L1162">
        <v>1</v>
      </c>
      <c r="M1162">
        <v>5</v>
      </c>
      <c r="N1162">
        <v>1</v>
      </c>
      <c r="O1162">
        <v>2</v>
      </c>
      <c r="P1162">
        <v>3</v>
      </c>
      <c r="Q1162">
        <f t="shared" si="126"/>
        <v>5</v>
      </c>
      <c r="R1162">
        <f t="shared" si="127"/>
        <v>21</v>
      </c>
      <c r="S1162">
        <f t="array" ref="S1162">MAX(IF($C$2:$C$1387=C1162,$R$2:$R$1387))</f>
        <v>29</v>
      </c>
      <c r="T1162" cm="1">
        <f t="array" ref="T1162">MIN(IF($C$2:$C$1387=C1162,$R$2:$R$1387))</f>
        <v>11</v>
      </c>
      <c r="U1162">
        <f t="shared" si="128"/>
        <v>18</v>
      </c>
      <c r="V1162">
        <f t="shared" si="129"/>
        <v>0.55555555555555558</v>
      </c>
      <c r="W1162" cm="1">
        <f t="array" ref="W1162">_xlfn.IFS(N1162=1,5,N1162=2,4,N1162=4,2,N1162=5,1,N1162=3,3)</f>
        <v>5</v>
      </c>
      <c r="X1162">
        <f t="shared" si="130"/>
        <v>25</v>
      </c>
      <c r="Y1162" cm="1">
        <f t="array" ref="Y1162">MAX(IF($C$2:$C$1387=C1162,$X$2:$X$1387))</f>
        <v>30</v>
      </c>
      <c r="Z1162" cm="1">
        <f t="array" ref="Z1162">MIN(IF($C$2:$C$1387=C1162,$X$2:$X$1387))</f>
        <v>12</v>
      </c>
      <c r="AA1162">
        <f t="shared" si="131"/>
        <v>18</v>
      </c>
      <c r="AB1162">
        <f t="shared" si="132"/>
        <v>0.72222222222222221</v>
      </c>
    </row>
    <row r="1163" spans="1:28" x14ac:dyDescent="0.25">
      <c r="A1163" t="s">
        <v>414</v>
      </c>
      <c r="B1163" t="s">
        <v>415</v>
      </c>
      <c r="C1163">
        <v>2013</v>
      </c>
      <c r="D1163">
        <v>0.36969233960845183</v>
      </c>
      <c r="E1163">
        <v>0.44914758047532127</v>
      </c>
      <c r="F1163">
        <v>0.18155094030130189</v>
      </c>
      <c r="G1163">
        <v>1.9459101490553132</v>
      </c>
      <c r="H1163">
        <v>0.5714285714285714</v>
      </c>
      <c r="I1163">
        <v>1</v>
      </c>
      <c r="J1163">
        <v>0</v>
      </c>
      <c r="K1163">
        <v>4</v>
      </c>
      <c r="L1163">
        <v>2</v>
      </c>
      <c r="M1163">
        <v>5</v>
      </c>
      <c r="N1163">
        <v>1</v>
      </c>
      <c r="O1163">
        <v>2</v>
      </c>
      <c r="P1163">
        <v>3</v>
      </c>
      <c r="Q1163">
        <f t="shared" si="126"/>
        <v>5</v>
      </c>
      <c r="R1163">
        <f t="shared" si="127"/>
        <v>22</v>
      </c>
      <c r="S1163">
        <f t="array" ref="S1163">MAX(IF($C$2:$C$1387=C1163,$R$2:$R$1387))</f>
        <v>29</v>
      </c>
      <c r="T1163" cm="1">
        <f t="array" ref="T1163">MIN(IF($C$2:$C$1387=C1163,$R$2:$R$1387))</f>
        <v>10</v>
      </c>
      <c r="U1163">
        <f t="shared" si="128"/>
        <v>19</v>
      </c>
      <c r="V1163">
        <f t="shared" si="129"/>
        <v>0.63157894736842102</v>
      </c>
      <c r="W1163" cm="1">
        <f t="array" ref="W1163">_xlfn.IFS(N1163=1,5,N1163=2,4,N1163=4,2,N1163=5,1,N1163=3,3)</f>
        <v>5</v>
      </c>
      <c r="X1163">
        <f t="shared" si="130"/>
        <v>26</v>
      </c>
      <c r="Y1163" cm="1">
        <f t="array" ref="Y1163">MAX(IF($C$2:$C$1387=C1163,$X$2:$X$1387))</f>
        <v>32</v>
      </c>
      <c r="Z1163" cm="1">
        <f t="array" ref="Z1163">MIN(IF($C$2:$C$1387=C1163,$X$2:$X$1387))</f>
        <v>10</v>
      </c>
      <c r="AA1163">
        <f t="shared" si="131"/>
        <v>22</v>
      </c>
      <c r="AB1163">
        <f t="shared" si="132"/>
        <v>0.72727272727272729</v>
      </c>
    </row>
    <row r="1164" spans="1:28" x14ac:dyDescent="0.25">
      <c r="A1164" t="s">
        <v>414</v>
      </c>
      <c r="B1164" t="s">
        <v>415</v>
      </c>
      <c r="C1164">
        <v>2014</v>
      </c>
      <c r="D1164">
        <v>0.36969233960845183</v>
      </c>
      <c r="E1164">
        <v>0.44577615679727339</v>
      </c>
      <c r="F1164">
        <v>0.18155094030130189</v>
      </c>
      <c r="G1164">
        <v>1.9459101490553132</v>
      </c>
      <c r="H1164">
        <v>0.5714285714285714</v>
      </c>
      <c r="I1164">
        <v>1</v>
      </c>
      <c r="J1164">
        <v>0</v>
      </c>
      <c r="K1164">
        <v>4</v>
      </c>
      <c r="L1164">
        <v>2</v>
      </c>
      <c r="M1164">
        <v>5</v>
      </c>
      <c r="N1164">
        <v>1</v>
      </c>
      <c r="O1164">
        <v>2</v>
      </c>
      <c r="P1164">
        <v>3</v>
      </c>
      <c r="Q1164">
        <f t="shared" si="126"/>
        <v>5</v>
      </c>
      <c r="R1164">
        <f t="shared" si="127"/>
        <v>22</v>
      </c>
      <c r="S1164">
        <f t="array" ref="S1164">MAX(IF($C$2:$C$1387=C1164,$R$2:$R$1387))</f>
        <v>29</v>
      </c>
      <c r="T1164" cm="1">
        <f t="array" ref="T1164">MIN(IF($C$2:$C$1387=C1164,$R$2:$R$1387))</f>
        <v>11</v>
      </c>
      <c r="U1164">
        <f t="shared" si="128"/>
        <v>18</v>
      </c>
      <c r="V1164">
        <f t="shared" si="129"/>
        <v>0.61111111111111116</v>
      </c>
      <c r="W1164" cm="1">
        <f t="array" ref="W1164">_xlfn.IFS(N1164=1,5,N1164=2,4,N1164=4,2,N1164=5,1,N1164=3,3)</f>
        <v>5</v>
      </c>
      <c r="X1164">
        <f t="shared" si="130"/>
        <v>26</v>
      </c>
      <c r="Y1164" cm="1">
        <f t="array" ref="Y1164">MAX(IF($C$2:$C$1387=C1164,$X$2:$X$1387))</f>
        <v>30</v>
      </c>
      <c r="Z1164" cm="1">
        <f t="array" ref="Z1164">MIN(IF($C$2:$C$1387=C1164,$X$2:$X$1387))</f>
        <v>14</v>
      </c>
      <c r="AA1164">
        <f t="shared" si="131"/>
        <v>16</v>
      </c>
      <c r="AB1164">
        <f t="shared" si="132"/>
        <v>0.75</v>
      </c>
    </row>
    <row r="1165" spans="1:28" x14ac:dyDescent="0.25">
      <c r="A1165" t="s">
        <v>414</v>
      </c>
      <c r="B1165" t="s">
        <v>415</v>
      </c>
      <c r="C1165">
        <v>2015</v>
      </c>
      <c r="D1165">
        <v>0.36744472382308657</v>
      </c>
      <c r="E1165">
        <v>0.34063066750367876</v>
      </c>
      <c r="F1165">
        <v>0.16761572243203715</v>
      </c>
      <c r="G1165">
        <v>1.9459101490553132</v>
      </c>
      <c r="H1165">
        <v>0.5714285714285714</v>
      </c>
      <c r="I1165">
        <v>1</v>
      </c>
      <c r="J1165">
        <v>0</v>
      </c>
      <c r="K1165">
        <v>4</v>
      </c>
      <c r="L1165">
        <v>1</v>
      </c>
      <c r="M1165">
        <v>5</v>
      </c>
      <c r="N1165">
        <v>1</v>
      </c>
      <c r="O1165">
        <v>1</v>
      </c>
      <c r="P1165">
        <v>2</v>
      </c>
      <c r="Q1165">
        <f t="shared" si="126"/>
        <v>5</v>
      </c>
      <c r="R1165">
        <f t="shared" si="127"/>
        <v>19</v>
      </c>
      <c r="S1165">
        <f t="array" ref="S1165">MAX(IF($C$2:$C$1387=C1165,$R$2:$R$1387))</f>
        <v>29</v>
      </c>
      <c r="T1165" cm="1">
        <f t="array" ref="T1165">MIN(IF($C$2:$C$1387=C1165,$R$2:$R$1387))</f>
        <v>11</v>
      </c>
      <c r="U1165">
        <f t="shared" si="128"/>
        <v>18</v>
      </c>
      <c r="V1165">
        <f t="shared" si="129"/>
        <v>0.44444444444444442</v>
      </c>
      <c r="W1165" cm="1">
        <f t="array" ref="W1165">_xlfn.IFS(N1165=1,5,N1165=2,4,N1165=4,2,N1165=5,1,N1165=3,3)</f>
        <v>5</v>
      </c>
      <c r="X1165">
        <f t="shared" si="130"/>
        <v>23</v>
      </c>
      <c r="Y1165" cm="1">
        <f t="array" ref="Y1165">MAX(IF($C$2:$C$1387=C1165,$X$2:$X$1387))</f>
        <v>29</v>
      </c>
      <c r="Z1165" cm="1">
        <f t="array" ref="Z1165">MIN(IF($C$2:$C$1387=C1165,$X$2:$X$1387))</f>
        <v>12</v>
      </c>
      <c r="AA1165">
        <f t="shared" si="131"/>
        <v>17</v>
      </c>
      <c r="AB1165">
        <f t="shared" si="132"/>
        <v>0.6470588235294118</v>
      </c>
    </row>
    <row r="1166" spans="1:28" x14ac:dyDescent="0.25">
      <c r="A1166" t="s">
        <v>416</v>
      </c>
      <c r="B1166" t="s">
        <v>417</v>
      </c>
      <c r="C1166">
        <v>2010</v>
      </c>
      <c r="D1166">
        <v>0.58137499999999998</v>
      </c>
      <c r="E1166">
        <v>0.54262500000000002</v>
      </c>
      <c r="F1166">
        <v>0.21504999999999999</v>
      </c>
      <c r="G1166">
        <v>1.9459101490553132</v>
      </c>
      <c r="H1166">
        <v>0.5714285714285714</v>
      </c>
      <c r="I1166">
        <v>0.66666666666666663</v>
      </c>
      <c r="J1166">
        <v>1</v>
      </c>
      <c r="K1166">
        <v>5</v>
      </c>
      <c r="L1166">
        <v>2</v>
      </c>
      <c r="M1166">
        <v>5</v>
      </c>
      <c r="N1166">
        <v>1</v>
      </c>
      <c r="O1166">
        <v>2</v>
      </c>
      <c r="P1166">
        <v>1</v>
      </c>
      <c r="Q1166">
        <f t="shared" si="126"/>
        <v>1</v>
      </c>
      <c r="R1166">
        <f t="shared" si="127"/>
        <v>17</v>
      </c>
      <c r="S1166">
        <f t="array" ref="S1166">MAX(IF($C$2:$C$1387=C1166,$R$2:$R$1387))</f>
        <v>29</v>
      </c>
      <c r="T1166" cm="1">
        <f t="array" ref="T1166">MIN(IF($C$2:$C$1387=C1166,$R$2:$R$1387))</f>
        <v>9</v>
      </c>
      <c r="U1166">
        <f t="shared" si="128"/>
        <v>20</v>
      </c>
      <c r="V1166">
        <f t="shared" si="129"/>
        <v>0.4</v>
      </c>
      <c r="W1166" cm="1">
        <f t="array" ref="W1166">_xlfn.IFS(N1166=1,5,N1166=2,4,N1166=4,2,N1166=5,1,N1166=3,3)</f>
        <v>5</v>
      </c>
      <c r="X1166">
        <f t="shared" si="130"/>
        <v>21</v>
      </c>
      <c r="Y1166" cm="1">
        <f t="array" ref="Y1166">MAX(IF($C$2:$C$1387=C1166,$X$2:$X$1387))</f>
        <v>29</v>
      </c>
      <c r="Z1166" cm="1">
        <f t="array" ref="Z1166">MIN(IF($C$2:$C$1387=C1166,$X$2:$X$1387))</f>
        <v>12</v>
      </c>
      <c r="AA1166">
        <f t="shared" si="131"/>
        <v>17</v>
      </c>
      <c r="AB1166">
        <f t="shared" si="132"/>
        <v>0.52941176470588236</v>
      </c>
    </row>
    <row r="1167" spans="1:28" x14ac:dyDescent="0.25">
      <c r="A1167" t="s">
        <v>416</v>
      </c>
      <c r="B1167" t="s">
        <v>417</v>
      </c>
      <c r="C1167">
        <v>2011</v>
      </c>
      <c r="D1167">
        <v>0.58137499999999998</v>
      </c>
      <c r="E1167">
        <v>0.54262500000000002</v>
      </c>
      <c r="F1167">
        <v>0.21504999999999999</v>
      </c>
      <c r="G1167">
        <v>1.9459101490553132</v>
      </c>
      <c r="H1167">
        <v>0.5714285714285714</v>
      </c>
      <c r="I1167">
        <v>0.66666666666666663</v>
      </c>
      <c r="J1167">
        <v>1</v>
      </c>
      <c r="K1167">
        <v>5</v>
      </c>
      <c r="L1167">
        <v>2</v>
      </c>
      <c r="M1167">
        <v>5</v>
      </c>
      <c r="N1167">
        <v>1</v>
      </c>
      <c r="O1167">
        <v>2</v>
      </c>
      <c r="P1167">
        <v>1</v>
      </c>
      <c r="Q1167">
        <f t="shared" si="126"/>
        <v>1</v>
      </c>
      <c r="R1167">
        <f t="shared" si="127"/>
        <v>17</v>
      </c>
      <c r="S1167">
        <f t="array" ref="S1167">MAX(IF($C$2:$C$1387=C1167,$R$2:$R$1387))</f>
        <v>28</v>
      </c>
      <c r="T1167" cm="1">
        <f t="array" ref="T1167">MIN(IF($C$2:$C$1387=C1167,$R$2:$R$1387))</f>
        <v>10</v>
      </c>
      <c r="U1167">
        <f t="shared" si="128"/>
        <v>18</v>
      </c>
      <c r="V1167">
        <f t="shared" si="129"/>
        <v>0.3888888888888889</v>
      </c>
      <c r="W1167" cm="1">
        <f t="array" ref="W1167">_xlfn.IFS(N1167=1,5,N1167=2,4,N1167=4,2,N1167=5,1,N1167=3,3)</f>
        <v>5</v>
      </c>
      <c r="X1167">
        <f t="shared" si="130"/>
        <v>21</v>
      </c>
      <c r="Y1167" cm="1">
        <f t="array" ref="Y1167">MAX(IF($C$2:$C$1387=C1167,$X$2:$X$1387))</f>
        <v>29</v>
      </c>
      <c r="Z1167" cm="1">
        <f t="array" ref="Z1167">MIN(IF($C$2:$C$1387=C1167,$X$2:$X$1387))</f>
        <v>12</v>
      </c>
      <c r="AA1167">
        <f t="shared" si="131"/>
        <v>17</v>
      </c>
      <c r="AB1167">
        <f t="shared" si="132"/>
        <v>0.52941176470588236</v>
      </c>
    </row>
    <row r="1168" spans="1:28" x14ac:dyDescent="0.25">
      <c r="A1168" t="s">
        <v>416</v>
      </c>
      <c r="B1168" t="s">
        <v>417</v>
      </c>
      <c r="C1168">
        <v>2012</v>
      </c>
      <c r="D1168">
        <v>0.58137499999999998</v>
      </c>
      <c r="E1168">
        <v>0.54262500000000002</v>
      </c>
      <c r="F1168">
        <v>0.21504999999999999</v>
      </c>
      <c r="G1168">
        <v>1.9459101490553132</v>
      </c>
      <c r="H1168">
        <v>0.5714285714285714</v>
      </c>
      <c r="I1168">
        <v>0.66666666666666663</v>
      </c>
      <c r="J1168">
        <v>1</v>
      </c>
      <c r="K1168">
        <v>5</v>
      </c>
      <c r="L1168">
        <v>2</v>
      </c>
      <c r="M1168">
        <v>5</v>
      </c>
      <c r="N1168">
        <v>1</v>
      </c>
      <c r="O1168">
        <v>2</v>
      </c>
      <c r="P1168">
        <v>1</v>
      </c>
      <c r="Q1168">
        <f t="shared" si="126"/>
        <v>1</v>
      </c>
      <c r="R1168">
        <f t="shared" si="127"/>
        <v>17</v>
      </c>
      <c r="S1168">
        <f t="array" ref="S1168">MAX(IF($C$2:$C$1387=C1168,$R$2:$R$1387))</f>
        <v>29</v>
      </c>
      <c r="T1168" cm="1">
        <f t="array" ref="T1168">MIN(IF($C$2:$C$1387=C1168,$R$2:$R$1387))</f>
        <v>11</v>
      </c>
      <c r="U1168">
        <f t="shared" si="128"/>
        <v>18</v>
      </c>
      <c r="V1168">
        <f t="shared" si="129"/>
        <v>0.33333333333333331</v>
      </c>
      <c r="W1168" cm="1">
        <f t="array" ref="W1168">_xlfn.IFS(N1168=1,5,N1168=2,4,N1168=4,2,N1168=5,1,N1168=3,3)</f>
        <v>5</v>
      </c>
      <c r="X1168">
        <f t="shared" si="130"/>
        <v>21</v>
      </c>
      <c r="Y1168" cm="1">
        <f t="array" ref="Y1168">MAX(IF($C$2:$C$1387=C1168,$X$2:$X$1387))</f>
        <v>30</v>
      </c>
      <c r="Z1168" cm="1">
        <f t="array" ref="Z1168">MIN(IF($C$2:$C$1387=C1168,$X$2:$X$1387))</f>
        <v>12</v>
      </c>
      <c r="AA1168">
        <f t="shared" si="131"/>
        <v>18</v>
      </c>
      <c r="AB1168">
        <f t="shared" si="132"/>
        <v>0.5</v>
      </c>
    </row>
    <row r="1169" spans="1:28" x14ac:dyDescent="0.25">
      <c r="A1169" t="s">
        <v>416</v>
      </c>
      <c r="B1169" t="s">
        <v>417</v>
      </c>
      <c r="C1169">
        <v>2013</v>
      </c>
      <c r="D1169">
        <v>0.58137499999999998</v>
      </c>
      <c r="E1169">
        <v>0.54262500000000002</v>
      </c>
      <c r="F1169">
        <v>0.21504999999999999</v>
      </c>
      <c r="G1169">
        <v>1.9459101490553132</v>
      </c>
      <c r="H1169">
        <v>0.5714285714285714</v>
      </c>
      <c r="I1169">
        <v>0.66666666666666663</v>
      </c>
      <c r="J1169">
        <v>1</v>
      </c>
      <c r="K1169">
        <v>5</v>
      </c>
      <c r="L1169">
        <v>2</v>
      </c>
      <c r="M1169">
        <v>5</v>
      </c>
      <c r="N1169">
        <v>1</v>
      </c>
      <c r="O1169">
        <v>2</v>
      </c>
      <c r="P1169">
        <v>1</v>
      </c>
      <c r="Q1169">
        <f t="shared" si="126"/>
        <v>1</v>
      </c>
      <c r="R1169">
        <f t="shared" si="127"/>
        <v>17</v>
      </c>
      <c r="S1169">
        <f t="array" ref="S1169">MAX(IF($C$2:$C$1387=C1169,$R$2:$R$1387))</f>
        <v>29</v>
      </c>
      <c r="T1169" cm="1">
        <f t="array" ref="T1169">MIN(IF($C$2:$C$1387=C1169,$R$2:$R$1387))</f>
        <v>10</v>
      </c>
      <c r="U1169">
        <f t="shared" si="128"/>
        <v>19</v>
      </c>
      <c r="V1169">
        <f t="shared" si="129"/>
        <v>0.36842105263157893</v>
      </c>
      <c r="W1169" cm="1">
        <f t="array" ref="W1169">_xlfn.IFS(N1169=1,5,N1169=2,4,N1169=4,2,N1169=5,1,N1169=3,3)</f>
        <v>5</v>
      </c>
      <c r="X1169">
        <f t="shared" si="130"/>
        <v>21</v>
      </c>
      <c r="Y1169" cm="1">
        <f t="array" ref="Y1169">MAX(IF($C$2:$C$1387=C1169,$X$2:$X$1387))</f>
        <v>32</v>
      </c>
      <c r="Z1169" cm="1">
        <f t="array" ref="Z1169">MIN(IF($C$2:$C$1387=C1169,$X$2:$X$1387))</f>
        <v>10</v>
      </c>
      <c r="AA1169">
        <f t="shared" si="131"/>
        <v>22</v>
      </c>
      <c r="AB1169">
        <f t="shared" si="132"/>
        <v>0.5</v>
      </c>
    </row>
    <row r="1170" spans="1:28" x14ac:dyDescent="0.25">
      <c r="A1170" t="s">
        <v>416</v>
      </c>
      <c r="B1170" t="s">
        <v>417</v>
      </c>
      <c r="C1170">
        <v>2014</v>
      </c>
      <c r="D1170">
        <v>0.58137499999999998</v>
      </c>
      <c r="E1170">
        <v>0.54262500000000002</v>
      </c>
      <c r="F1170">
        <v>0.21504999999999999</v>
      </c>
      <c r="G1170">
        <v>1.9459101490553132</v>
      </c>
      <c r="H1170">
        <v>0.5714285714285714</v>
      </c>
      <c r="I1170">
        <v>0.66666666666666663</v>
      </c>
      <c r="J1170">
        <v>1</v>
      </c>
      <c r="K1170">
        <v>5</v>
      </c>
      <c r="L1170">
        <v>2</v>
      </c>
      <c r="M1170">
        <v>5</v>
      </c>
      <c r="N1170">
        <v>1</v>
      </c>
      <c r="O1170">
        <v>2</v>
      </c>
      <c r="P1170">
        <v>1</v>
      </c>
      <c r="Q1170">
        <f t="shared" si="126"/>
        <v>1</v>
      </c>
      <c r="R1170">
        <f t="shared" si="127"/>
        <v>17</v>
      </c>
      <c r="S1170">
        <f t="array" ref="S1170">MAX(IF($C$2:$C$1387=C1170,$R$2:$R$1387))</f>
        <v>29</v>
      </c>
      <c r="T1170" cm="1">
        <f t="array" ref="T1170">MIN(IF($C$2:$C$1387=C1170,$R$2:$R$1387))</f>
        <v>11</v>
      </c>
      <c r="U1170">
        <f t="shared" si="128"/>
        <v>18</v>
      </c>
      <c r="V1170">
        <f t="shared" si="129"/>
        <v>0.33333333333333331</v>
      </c>
      <c r="W1170" cm="1">
        <f t="array" ref="W1170">_xlfn.IFS(N1170=1,5,N1170=2,4,N1170=4,2,N1170=5,1,N1170=3,3)</f>
        <v>5</v>
      </c>
      <c r="X1170">
        <f t="shared" si="130"/>
        <v>21</v>
      </c>
      <c r="Y1170" cm="1">
        <f t="array" ref="Y1170">MAX(IF($C$2:$C$1387=C1170,$X$2:$X$1387))</f>
        <v>30</v>
      </c>
      <c r="Z1170" cm="1">
        <f t="array" ref="Z1170">MIN(IF($C$2:$C$1387=C1170,$X$2:$X$1387))</f>
        <v>14</v>
      </c>
      <c r="AA1170">
        <f t="shared" si="131"/>
        <v>16</v>
      </c>
      <c r="AB1170">
        <f t="shared" si="132"/>
        <v>0.4375</v>
      </c>
    </row>
    <row r="1171" spans="1:28" x14ac:dyDescent="0.25">
      <c r="A1171" t="s">
        <v>416</v>
      </c>
      <c r="B1171" t="s">
        <v>417</v>
      </c>
      <c r="C1171">
        <v>2015</v>
      </c>
      <c r="D1171">
        <v>0.58137499999999998</v>
      </c>
      <c r="E1171">
        <v>0.54262500000000002</v>
      </c>
      <c r="F1171">
        <v>0.21504999999999999</v>
      </c>
      <c r="G1171">
        <v>1.9459101490553132</v>
      </c>
      <c r="H1171">
        <v>0.5714285714285714</v>
      </c>
      <c r="I1171">
        <v>0.66666666666666663</v>
      </c>
      <c r="J1171">
        <v>1</v>
      </c>
      <c r="K1171">
        <v>5</v>
      </c>
      <c r="L1171">
        <v>2</v>
      </c>
      <c r="M1171">
        <v>5</v>
      </c>
      <c r="N1171">
        <v>1</v>
      </c>
      <c r="O1171">
        <v>1</v>
      </c>
      <c r="P1171">
        <v>1</v>
      </c>
      <c r="Q1171">
        <f t="shared" si="126"/>
        <v>1</v>
      </c>
      <c r="R1171">
        <f t="shared" si="127"/>
        <v>16</v>
      </c>
      <c r="S1171">
        <f t="array" ref="S1171">MAX(IF($C$2:$C$1387=C1171,$R$2:$R$1387))</f>
        <v>29</v>
      </c>
      <c r="T1171" cm="1">
        <f t="array" ref="T1171">MIN(IF($C$2:$C$1387=C1171,$R$2:$R$1387))</f>
        <v>11</v>
      </c>
      <c r="U1171">
        <f t="shared" si="128"/>
        <v>18</v>
      </c>
      <c r="V1171">
        <f t="shared" si="129"/>
        <v>0.27777777777777779</v>
      </c>
      <c r="W1171" cm="1">
        <f t="array" ref="W1171">_xlfn.IFS(N1171=1,5,N1171=2,4,N1171=4,2,N1171=5,1,N1171=3,3)</f>
        <v>5</v>
      </c>
      <c r="X1171">
        <f t="shared" si="130"/>
        <v>20</v>
      </c>
      <c r="Y1171" cm="1">
        <f t="array" ref="Y1171">MAX(IF($C$2:$C$1387=C1171,$X$2:$X$1387))</f>
        <v>29</v>
      </c>
      <c r="Z1171" cm="1">
        <f t="array" ref="Z1171">MIN(IF($C$2:$C$1387=C1171,$X$2:$X$1387))</f>
        <v>12</v>
      </c>
      <c r="AA1171">
        <f t="shared" si="131"/>
        <v>17</v>
      </c>
      <c r="AB1171">
        <f t="shared" si="132"/>
        <v>0.47058823529411764</v>
      </c>
    </row>
    <row r="1172" spans="1:28" x14ac:dyDescent="0.25">
      <c r="A1172" t="s">
        <v>418</v>
      </c>
      <c r="B1172" t="s">
        <v>419</v>
      </c>
      <c r="C1172">
        <v>2010</v>
      </c>
      <c r="D1172">
        <v>0.22294537142857143</v>
      </c>
      <c r="E1172">
        <v>0.40724373333333336</v>
      </c>
      <c r="F1172">
        <v>0</v>
      </c>
      <c r="G1172">
        <v>1.9459101490553132</v>
      </c>
      <c r="H1172">
        <v>0.42857142857142855</v>
      </c>
      <c r="I1172">
        <v>1</v>
      </c>
      <c r="J1172">
        <v>0</v>
      </c>
      <c r="K1172">
        <v>3</v>
      </c>
      <c r="L1172">
        <v>1</v>
      </c>
      <c r="M1172">
        <v>1</v>
      </c>
      <c r="N1172">
        <v>1</v>
      </c>
      <c r="O1172">
        <v>2</v>
      </c>
      <c r="P1172">
        <v>3</v>
      </c>
      <c r="Q1172">
        <f t="shared" si="126"/>
        <v>5</v>
      </c>
      <c r="R1172">
        <f t="shared" si="127"/>
        <v>16</v>
      </c>
      <c r="S1172">
        <f t="array" ref="S1172">MAX(IF($C$2:$C$1387=C1172,$R$2:$R$1387))</f>
        <v>29</v>
      </c>
      <c r="T1172" cm="1">
        <f t="array" ref="T1172">MIN(IF($C$2:$C$1387=C1172,$R$2:$R$1387))</f>
        <v>9</v>
      </c>
      <c r="U1172">
        <f t="shared" si="128"/>
        <v>20</v>
      </c>
      <c r="V1172">
        <f t="shared" si="129"/>
        <v>0.35</v>
      </c>
      <c r="W1172" cm="1">
        <f t="array" ref="W1172">_xlfn.IFS(N1172=1,5,N1172=2,4,N1172=4,2,N1172=5,1,N1172=3,3)</f>
        <v>5</v>
      </c>
      <c r="X1172">
        <f t="shared" si="130"/>
        <v>20</v>
      </c>
      <c r="Y1172" cm="1">
        <f t="array" ref="Y1172">MAX(IF($C$2:$C$1387=C1172,$X$2:$X$1387))</f>
        <v>29</v>
      </c>
      <c r="Z1172" cm="1">
        <f t="array" ref="Z1172">MIN(IF($C$2:$C$1387=C1172,$X$2:$X$1387))</f>
        <v>12</v>
      </c>
      <c r="AA1172">
        <f t="shared" si="131"/>
        <v>17</v>
      </c>
      <c r="AB1172">
        <f t="shared" si="132"/>
        <v>0.47058823529411764</v>
      </c>
    </row>
    <row r="1173" spans="1:28" x14ac:dyDescent="0.25">
      <c r="A1173" t="s">
        <v>418</v>
      </c>
      <c r="B1173" t="s">
        <v>419</v>
      </c>
      <c r="C1173">
        <v>2011</v>
      </c>
      <c r="D1173">
        <v>0.22294537142857143</v>
      </c>
      <c r="E1173">
        <v>0.40103933968253969</v>
      </c>
      <c r="F1173">
        <v>5.3387885714285717E-2</v>
      </c>
      <c r="G1173">
        <v>1.9459101490553132</v>
      </c>
      <c r="H1173">
        <v>0.42857142857142855</v>
      </c>
      <c r="I1173">
        <v>1</v>
      </c>
      <c r="J1173">
        <v>0</v>
      </c>
      <c r="K1173">
        <v>3</v>
      </c>
      <c r="L1173">
        <v>1</v>
      </c>
      <c r="M1173">
        <v>3</v>
      </c>
      <c r="N1173">
        <v>1</v>
      </c>
      <c r="O1173">
        <v>2</v>
      </c>
      <c r="P1173">
        <v>3</v>
      </c>
      <c r="Q1173">
        <f t="shared" si="126"/>
        <v>5</v>
      </c>
      <c r="R1173">
        <f t="shared" si="127"/>
        <v>18</v>
      </c>
      <c r="S1173">
        <f t="array" ref="S1173">MAX(IF($C$2:$C$1387=C1173,$R$2:$R$1387))</f>
        <v>28</v>
      </c>
      <c r="T1173" cm="1">
        <f t="array" ref="T1173">MIN(IF($C$2:$C$1387=C1173,$R$2:$R$1387))</f>
        <v>10</v>
      </c>
      <c r="U1173">
        <f t="shared" si="128"/>
        <v>18</v>
      </c>
      <c r="V1173">
        <f t="shared" si="129"/>
        <v>0.44444444444444442</v>
      </c>
      <c r="W1173" cm="1">
        <f t="array" ref="W1173">_xlfn.IFS(N1173=1,5,N1173=2,4,N1173=4,2,N1173=5,1,N1173=3,3)</f>
        <v>5</v>
      </c>
      <c r="X1173">
        <f t="shared" si="130"/>
        <v>22</v>
      </c>
      <c r="Y1173" cm="1">
        <f t="array" ref="Y1173">MAX(IF($C$2:$C$1387=C1173,$X$2:$X$1387))</f>
        <v>29</v>
      </c>
      <c r="Z1173" cm="1">
        <f t="array" ref="Z1173">MIN(IF($C$2:$C$1387=C1173,$X$2:$X$1387))</f>
        <v>12</v>
      </c>
      <c r="AA1173">
        <f t="shared" si="131"/>
        <v>17</v>
      </c>
      <c r="AB1173">
        <f t="shared" si="132"/>
        <v>0.58823529411764708</v>
      </c>
    </row>
    <row r="1174" spans="1:28" x14ac:dyDescent="0.25">
      <c r="A1174" t="s">
        <v>418</v>
      </c>
      <c r="B1174" t="s">
        <v>419</v>
      </c>
      <c r="C1174">
        <v>2012</v>
      </c>
      <c r="D1174">
        <v>0.31706925714285716</v>
      </c>
      <c r="E1174">
        <v>0.40606303492063495</v>
      </c>
      <c r="F1174">
        <v>1.3040152380952382E-2</v>
      </c>
      <c r="G1174">
        <v>1.9459101490553132</v>
      </c>
      <c r="H1174">
        <v>0.5714285714285714</v>
      </c>
      <c r="I1174">
        <v>1</v>
      </c>
      <c r="J1174">
        <v>0</v>
      </c>
      <c r="K1174">
        <v>4</v>
      </c>
      <c r="L1174">
        <v>1</v>
      </c>
      <c r="M1174">
        <v>2</v>
      </c>
      <c r="N1174">
        <v>1</v>
      </c>
      <c r="O1174">
        <v>2</v>
      </c>
      <c r="P1174">
        <v>3</v>
      </c>
      <c r="Q1174">
        <f t="shared" si="126"/>
        <v>5</v>
      </c>
      <c r="R1174">
        <f t="shared" si="127"/>
        <v>18</v>
      </c>
      <c r="S1174">
        <f t="array" ref="S1174">MAX(IF($C$2:$C$1387=C1174,$R$2:$R$1387))</f>
        <v>29</v>
      </c>
      <c r="T1174" cm="1">
        <f t="array" ref="T1174">MIN(IF($C$2:$C$1387=C1174,$R$2:$R$1387))</f>
        <v>11</v>
      </c>
      <c r="U1174">
        <f t="shared" si="128"/>
        <v>18</v>
      </c>
      <c r="V1174">
        <f t="shared" si="129"/>
        <v>0.3888888888888889</v>
      </c>
      <c r="W1174" cm="1">
        <f t="array" ref="W1174">_xlfn.IFS(N1174=1,5,N1174=2,4,N1174=4,2,N1174=5,1,N1174=3,3)</f>
        <v>5</v>
      </c>
      <c r="X1174">
        <f t="shared" si="130"/>
        <v>22</v>
      </c>
      <c r="Y1174" cm="1">
        <f t="array" ref="Y1174">MAX(IF($C$2:$C$1387=C1174,$X$2:$X$1387))</f>
        <v>30</v>
      </c>
      <c r="Z1174" cm="1">
        <f t="array" ref="Z1174">MIN(IF($C$2:$C$1387=C1174,$X$2:$X$1387))</f>
        <v>12</v>
      </c>
      <c r="AA1174">
        <f t="shared" si="131"/>
        <v>18</v>
      </c>
      <c r="AB1174">
        <f t="shared" si="132"/>
        <v>0.55555555555555558</v>
      </c>
    </row>
    <row r="1175" spans="1:28" x14ac:dyDescent="0.25">
      <c r="A1175" t="s">
        <v>418</v>
      </c>
      <c r="B1175" t="s">
        <v>419</v>
      </c>
      <c r="C1175">
        <v>2013</v>
      </c>
      <c r="D1175">
        <v>0.35155799365079365</v>
      </c>
      <c r="E1175">
        <v>0.44505315555555558</v>
      </c>
      <c r="F1175">
        <v>3.4342450793650794E-2</v>
      </c>
      <c r="G1175">
        <v>1.9459101490553132</v>
      </c>
      <c r="H1175">
        <v>0.5714285714285714</v>
      </c>
      <c r="I1175">
        <v>1</v>
      </c>
      <c r="J1175">
        <v>0</v>
      </c>
      <c r="K1175">
        <v>4</v>
      </c>
      <c r="L1175">
        <v>1</v>
      </c>
      <c r="M1175">
        <v>3</v>
      </c>
      <c r="N1175">
        <v>1</v>
      </c>
      <c r="O1175">
        <v>2</v>
      </c>
      <c r="P1175">
        <v>3</v>
      </c>
      <c r="Q1175">
        <f t="shared" si="126"/>
        <v>5</v>
      </c>
      <c r="R1175">
        <f t="shared" si="127"/>
        <v>19</v>
      </c>
      <c r="S1175">
        <f t="array" ref="S1175">MAX(IF($C$2:$C$1387=C1175,$R$2:$R$1387))</f>
        <v>29</v>
      </c>
      <c r="T1175" cm="1">
        <f t="array" ref="T1175">MIN(IF($C$2:$C$1387=C1175,$R$2:$R$1387))</f>
        <v>10</v>
      </c>
      <c r="U1175">
        <f t="shared" si="128"/>
        <v>19</v>
      </c>
      <c r="V1175">
        <f t="shared" si="129"/>
        <v>0.47368421052631576</v>
      </c>
      <c r="W1175" cm="1">
        <f t="array" ref="W1175">_xlfn.IFS(N1175=1,5,N1175=2,4,N1175=4,2,N1175=5,1,N1175=3,3)</f>
        <v>5</v>
      </c>
      <c r="X1175">
        <f t="shared" si="130"/>
        <v>23</v>
      </c>
      <c r="Y1175" cm="1">
        <f t="array" ref="Y1175">MAX(IF($C$2:$C$1387=C1175,$X$2:$X$1387))</f>
        <v>32</v>
      </c>
      <c r="Z1175" cm="1">
        <f t="array" ref="Z1175">MIN(IF($C$2:$C$1387=C1175,$X$2:$X$1387))</f>
        <v>10</v>
      </c>
      <c r="AA1175">
        <f t="shared" si="131"/>
        <v>22</v>
      </c>
      <c r="AB1175">
        <f t="shared" si="132"/>
        <v>0.59090909090909094</v>
      </c>
    </row>
    <row r="1176" spans="1:28" x14ac:dyDescent="0.25">
      <c r="A1176" t="s">
        <v>418</v>
      </c>
      <c r="B1176" t="s">
        <v>419</v>
      </c>
      <c r="C1176">
        <v>2014</v>
      </c>
      <c r="D1176">
        <v>0.37877678730158731</v>
      </c>
      <c r="E1176">
        <v>0.44588109206349208</v>
      </c>
      <c r="F1176">
        <v>5.3712457142857141E-2</v>
      </c>
      <c r="G1176">
        <v>1.9459101490553132</v>
      </c>
      <c r="H1176">
        <v>0.5714285714285714</v>
      </c>
      <c r="I1176">
        <v>1</v>
      </c>
      <c r="J1176">
        <v>0</v>
      </c>
      <c r="K1176">
        <v>4</v>
      </c>
      <c r="L1176">
        <v>2</v>
      </c>
      <c r="M1176">
        <v>3</v>
      </c>
      <c r="N1176">
        <v>1</v>
      </c>
      <c r="O1176">
        <v>2</v>
      </c>
      <c r="P1176">
        <v>3</v>
      </c>
      <c r="Q1176">
        <f t="shared" si="126"/>
        <v>5</v>
      </c>
      <c r="R1176">
        <f t="shared" si="127"/>
        <v>20</v>
      </c>
      <c r="S1176">
        <f t="array" ref="S1176">MAX(IF($C$2:$C$1387=C1176,$R$2:$R$1387))</f>
        <v>29</v>
      </c>
      <c r="T1176" cm="1">
        <f t="array" ref="T1176">MIN(IF($C$2:$C$1387=C1176,$R$2:$R$1387))</f>
        <v>11</v>
      </c>
      <c r="U1176">
        <f t="shared" si="128"/>
        <v>18</v>
      </c>
      <c r="V1176">
        <f t="shared" si="129"/>
        <v>0.5</v>
      </c>
      <c r="W1176" cm="1">
        <f t="array" ref="W1176">_xlfn.IFS(N1176=1,5,N1176=2,4,N1176=4,2,N1176=5,1,N1176=3,3)</f>
        <v>5</v>
      </c>
      <c r="X1176">
        <f t="shared" si="130"/>
        <v>24</v>
      </c>
      <c r="Y1176" cm="1">
        <f t="array" ref="Y1176">MAX(IF($C$2:$C$1387=C1176,$X$2:$X$1387))</f>
        <v>30</v>
      </c>
      <c r="Z1176" cm="1">
        <f t="array" ref="Z1176">MIN(IF($C$2:$C$1387=C1176,$X$2:$X$1387))</f>
        <v>14</v>
      </c>
      <c r="AA1176">
        <f t="shared" si="131"/>
        <v>16</v>
      </c>
      <c r="AB1176">
        <f t="shared" si="132"/>
        <v>0.625</v>
      </c>
    </row>
    <row r="1177" spans="1:28" x14ac:dyDescent="0.25">
      <c r="A1177" t="s">
        <v>418</v>
      </c>
      <c r="B1177" t="s">
        <v>419</v>
      </c>
      <c r="C1177">
        <v>2015</v>
      </c>
      <c r="D1177">
        <v>0.33318501587301586</v>
      </c>
      <c r="E1177">
        <v>0.42243205079365082</v>
      </c>
      <c r="F1177">
        <v>2.0914692063492064E-2</v>
      </c>
      <c r="G1177">
        <v>1.9459101490553132</v>
      </c>
      <c r="H1177">
        <v>0.7142857142857143</v>
      </c>
      <c r="I1177">
        <v>1</v>
      </c>
      <c r="J1177">
        <v>0</v>
      </c>
      <c r="K1177">
        <v>4</v>
      </c>
      <c r="L1177">
        <v>1</v>
      </c>
      <c r="M1177">
        <v>2</v>
      </c>
      <c r="N1177">
        <v>1</v>
      </c>
      <c r="O1177">
        <v>3</v>
      </c>
      <c r="P1177">
        <v>2</v>
      </c>
      <c r="Q1177">
        <f t="shared" si="126"/>
        <v>5</v>
      </c>
      <c r="R1177">
        <f t="shared" si="127"/>
        <v>18</v>
      </c>
      <c r="S1177">
        <f t="array" ref="S1177">MAX(IF($C$2:$C$1387=C1177,$R$2:$R$1387))</f>
        <v>29</v>
      </c>
      <c r="T1177" cm="1">
        <f t="array" ref="T1177">MIN(IF($C$2:$C$1387=C1177,$R$2:$R$1387))</f>
        <v>11</v>
      </c>
      <c r="U1177">
        <f t="shared" si="128"/>
        <v>18</v>
      </c>
      <c r="V1177">
        <f t="shared" si="129"/>
        <v>0.3888888888888889</v>
      </c>
      <c r="W1177" cm="1">
        <f t="array" ref="W1177">_xlfn.IFS(N1177=1,5,N1177=2,4,N1177=4,2,N1177=5,1,N1177=3,3)</f>
        <v>5</v>
      </c>
      <c r="X1177">
        <f t="shared" si="130"/>
        <v>22</v>
      </c>
      <c r="Y1177" cm="1">
        <f t="array" ref="Y1177">MAX(IF($C$2:$C$1387=C1177,$X$2:$X$1387))</f>
        <v>29</v>
      </c>
      <c r="Z1177" cm="1">
        <f t="array" ref="Z1177">MIN(IF($C$2:$C$1387=C1177,$X$2:$X$1387))</f>
        <v>12</v>
      </c>
      <c r="AA1177">
        <f t="shared" si="131"/>
        <v>17</v>
      </c>
      <c r="AB1177">
        <f t="shared" si="132"/>
        <v>0.58823529411764708</v>
      </c>
    </row>
    <row r="1178" spans="1:28" x14ac:dyDescent="0.25">
      <c r="A1178" t="s">
        <v>420</v>
      </c>
      <c r="B1178" t="s">
        <v>421</v>
      </c>
      <c r="C1178">
        <v>2010</v>
      </c>
      <c r="D1178">
        <v>0.21303833333333333</v>
      </c>
      <c r="E1178">
        <v>0.59121166666666669</v>
      </c>
      <c r="F1178">
        <v>0</v>
      </c>
      <c r="G1178">
        <v>1.9459101490553132</v>
      </c>
      <c r="H1178">
        <v>0.5714285714285714</v>
      </c>
      <c r="I1178">
        <v>1</v>
      </c>
      <c r="J1178">
        <v>1</v>
      </c>
      <c r="K1178">
        <v>3</v>
      </c>
      <c r="L1178">
        <v>3</v>
      </c>
      <c r="M1178">
        <v>1</v>
      </c>
      <c r="N1178">
        <v>1</v>
      </c>
      <c r="O1178">
        <v>2</v>
      </c>
      <c r="P1178">
        <v>3</v>
      </c>
      <c r="Q1178">
        <f t="shared" si="126"/>
        <v>1</v>
      </c>
      <c r="R1178">
        <f t="shared" si="127"/>
        <v>14</v>
      </c>
      <c r="S1178">
        <f t="array" ref="S1178">MAX(IF($C$2:$C$1387=C1178,$R$2:$R$1387))</f>
        <v>29</v>
      </c>
      <c r="T1178" cm="1">
        <f t="array" ref="T1178">MIN(IF($C$2:$C$1387=C1178,$R$2:$R$1387))</f>
        <v>9</v>
      </c>
      <c r="U1178">
        <f t="shared" si="128"/>
        <v>20</v>
      </c>
      <c r="V1178">
        <f t="shared" si="129"/>
        <v>0.25</v>
      </c>
      <c r="W1178" cm="1">
        <f t="array" ref="W1178">_xlfn.IFS(N1178=1,5,N1178=2,4,N1178=4,2,N1178=5,1,N1178=3,3)</f>
        <v>5</v>
      </c>
      <c r="X1178">
        <f t="shared" si="130"/>
        <v>18</v>
      </c>
      <c r="Y1178" cm="1">
        <f t="array" ref="Y1178">MAX(IF($C$2:$C$1387=C1178,$X$2:$X$1387))</f>
        <v>29</v>
      </c>
      <c r="Z1178" cm="1">
        <f t="array" ref="Z1178">MIN(IF($C$2:$C$1387=C1178,$X$2:$X$1387))</f>
        <v>12</v>
      </c>
      <c r="AA1178">
        <f t="shared" si="131"/>
        <v>17</v>
      </c>
      <c r="AB1178">
        <f t="shared" si="132"/>
        <v>0.35294117647058826</v>
      </c>
    </row>
    <row r="1179" spans="1:28" x14ac:dyDescent="0.25">
      <c r="A1179" t="s">
        <v>420</v>
      </c>
      <c r="B1179" t="s">
        <v>421</v>
      </c>
      <c r="C1179">
        <v>2011</v>
      </c>
      <c r="D1179">
        <v>0.21303833333333333</v>
      </c>
      <c r="E1179">
        <v>0.59121166666666669</v>
      </c>
      <c r="F1179">
        <v>0</v>
      </c>
      <c r="G1179">
        <v>1.9459101490553132</v>
      </c>
      <c r="H1179">
        <v>0.5714285714285714</v>
      </c>
      <c r="I1179">
        <v>1</v>
      </c>
      <c r="J1179">
        <v>1</v>
      </c>
      <c r="K1179">
        <v>3</v>
      </c>
      <c r="L1179">
        <v>2</v>
      </c>
      <c r="M1179">
        <v>1</v>
      </c>
      <c r="N1179">
        <v>1</v>
      </c>
      <c r="O1179">
        <v>2</v>
      </c>
      <c r="P1179">
        <v>3</v>
      </c>
      <c r="Q1179">
        <f t="shared" si="126"/>
        <v>1</v>
      </c>
      <c r="R1179">
        <f t="shared" si="127"/>
        <v>13</v>
      </c>
      <c r="S1179">
        <f t="array" ref="S1179">MAX(IF($C$2:$C$1387=C1179,$R$2:$R$1387))</f>
        <v>28</v>
      </c>
      <c r="T1179" cm="1">
        <f t="array" ref="T1179">MIN(IF($C$2:$C$1387=C1179,$R$2:$R$1387))</f>
        <v>10</v>
      </c>
      <c r="U1179">
        <f t="shared" si="128"/>
        <v>18</v>
      </c>
      <c r="V1179">
        <f t="shared" si="129"/>
        <v>0.16666666666666666</v>
      </c>
      <c r="W1179" cm="1">
        <f t="array" ref="W1179">_xlfn.IFS(N1179=1,5,N1179=2,4,N1179=4,2,N1179=5,1,N1179=3,3)</f>
        <v>5</v>
      </c>
      <c r="X1179">
        <f t="shared" si="130"/>
        <v>17</v>
      </c>
      <c r="Y1179" cm="1">
        <f t="array" ref="Y1179">MAX(IF($C$2:$C$1387=C1179,$X$2:$X$1387))</f>
        <v>29</v>
      </c>
      <c r="Z1179" cm="1">
        <f t="array" ref="Z1179">MIN(IF($C$2:$C$1387=C1179,$X$2:$X$1387))</f>
        <v>12</v>
      </c>
      <c r="AA1179">
        <f t="shared" si="131"/>
        <v>17</v>
      </c>
      <c r="AB1179">
        <f t="shared" si="132"/>
        <v>0.29411764705882354</v>
      </c>
    </row>
    <row r="1180" spans="1:28" x14ac:dyDescent="0.25">
      <c r="A1180" t="s">
        <v>420</v>
      </c>
      <c r="B1180" t="s">
        <v>421</v>
      </c>
      <c r="C1180">
        <v>2012</v>
      </c>
      <c r="D1180">
        <v>0.21303833333333333</v>
      </c>
      <c r="E1180">
        <v>0.59121166666666669</v>
      </c>
      <c r="F1180">
        <v>0</v>
      </c>
      <c r="G1180">
        <v>1.9459101490553132</v>
      </c>
      <c r="H1180">
        <v>0.7142857142857143</v>
      </c>
      <c r="I1180">
        <v>1</v>
      </c>
      <c r="J1180">
        <v>0</v>
      </c>
      <c r="K1180">
        <v>3</v>
      </c>
      <c r="L1180">
        <v>3</v>
      </c>
      <c r="M1180">
        <v>1</v>
      </c>
      <c r="N1180">
        <v>1</v>
      </c>
      <c r="O1180">
        <v>4</v>
      </c>
      <c r="P1180">
        <v>3</v>
      </c>
      <c r="Q1180">
        <f t="shared" si="126"/>
        <v>5</v>
      </c>
      <c r="R1180">
        <f t="shared" si="127"/>
        <v>20</v>
      </c>
      <c r="S1180">
        <f t="array" ref="S1180">MAX(IF($C$2:$C$1387=C1180,$R$2:$R$1387))</f>
        <v>29</v>
      </c>
      <c r="T1180" cm="1">
        <f t="array" ref="T1180">MIN(IF($C$2:$C$1387=C1180,$R$2:$R$1387))</f>
        <v>11</v>
      </c>
      <c r="U1180">
        <f t="shared" si="128"/>
        <v>18</v>
      </c>
      <c r="V1180">
        <f t="shared" si="129"/>
        <v>0.5</v>
      </c>
      <c r="W1180" cm="1">
        <f t="array" ref="W1180">_xlfn.IFS(N1180=1,5,N1180=2,4,N1180=4,2,N1180=5,1,N1180=3,3)</f>
        <v>5</v>
      </c>
      <c r="X1180">
        <f t="shared" si="130"/>
        <v>24</v>
      </c>
      <c r="Y1180" cm="1">
        <f t="array" ref="Y1180">MAX(IF($C$2:$C$1387=C1180,$X$2:$X$1387))</f>
        <v>30</v>
      </c>
      <c r="Z1180" cm="1">
        <f t="array" ref="Z1180">MIN(IF($C$2:$C$1387=C1180,$X$2:$X$1387))</f>
        <v>12</v>
      </c>
      <c r="AA1180">
        <f t="shared" si="131"/>
        <v>18</v>
      </c>
      <c r="AB1180">
        <f t="shared" si="132"/>
        <v>0.66666666666666663</v>
      </c>
    </row>
    <row r="1181" spans="1:28" x14ac:dyDescent="0.25">
      <c r="A1181" t="s">
        <v>420</v>
      </c>
      <c r="B1181" t="s">
        <v>421</v>
      </c>
      <c r="C1181">
        <v>2013</v>
      </c>
      <c r="D1181">
        <v>0.27524583333333336</v>
      </c>
      <c r="E1181">
        <v>0.59146166666666666</v>
      </c>
      <c r="F1181">
        <v>0</v>
      </c>
      <c r="G1181">
        <v>1.9459101490553132</v>
      </c>
      <c r="H1181">
        <v>0.7142857142857143</v>
      </c>
      <c r="I1181">
        <v>1</v>
      </c>
      <c r="J1181">
        <v>0</v>
      </c>
      <c r="K1181">
        <v>4</v>
      </c>
      <c r="L1181">
        <v>3</v>
      </c>
      <c r="M1181">
        <v>1</v>
      </c>
      <c r="N1181">
        <v>1</v>
      </c>
      <c r="O1181">
        <v>4</v>
      </c>
      <c r="P1181">
        <v>3</v>
      </c>
      <c r="Q1181">
        <f t="shared" si="126"/>
        <v>5</v>
      </c>
      <c r="R1181">
        <f t="shared" si="127"/>
        <v>21</v>
      </c>
      <c r="S1181">
        <f t="array" ref="S1181">MAX(IF($C$2:$C$1387=C1181,$R$2:$R$1387))</f>
        <v>29</v>
      </c>
      <c r="T1181" cm="1">
        <f t="array" ref="T1181">MIN(IF($C$2:$C$1387=C1181,$R$2:$R$1387))</f>
        <v>10</v>
      </c>
      <c r="U1181">
        <f t="shared" si="128"/>
        <v>19</v>
      </c>
      <c r="V1181">
        <f t="shared" si="129"/>
        <v>0.57894736842105265</v>
      </c>
      <c r="W1181" cm="1">
        <f t="array" ref="W1181">_xlfn.IFS(N1181=1,5,N1181=2,4,N1181=4,2,N1181=5,1,N1181=3,3)</f>
        <v>5</v>
      </c>
      <c r="X1181">
        <f t="shared" si="130"/>
        <v>25</v>
      </c>
      <c r="Y1181" cm="1">
        <f t="array" ref="Y1181">MAX(IF($C$2:$C$1387=C1181,$X$2:$X$1387))</f>
        <v>32</v>
      </c>
      <c r="Z1181" cm="1">
        <f t="array" ref="Z1181">MIN(IF($C$2:$C$1387=C1181,$X$2:$X$1387))</f>
        <v>10</v>
      </c>
      <c r="AA1181">
        <f t="shared" si="131"/>
        <v>22</v>
      </c>
      <c r="AB1181">
        <f t="shared" si="132"/>
        <v>0.68181818181818177</v>
      </c>
    </row>
    <row r="1182" spans="1:28" x14ac:dyDescent="0.25">
      <c r="A1182" t="s">
        <v>420</v>
      </c>
      <c r="B1182" t="s">
        <v>421</v>
      </c>
      <c r="C1182">
        <v>2014</v>
      </c>
      <c r="D1182">
        <v>0.27524583333333336</v>
      </c>
      <c r="E1182">
        <v>0.59146166666666666</v>
      </c>
      <c r="F1182">
        <v>0</v>
      </c>
      <c r="G1182">
        <v>1.9459101490553132</v>
      </c>
      <c r="H1182">
        <v>0.7142857142857143</v>
      </c>
      <c r="I1182">
        <v>0.66666666666666663</v>
      </c>
      <c r="J1182">
        <v>0</v>
      </c>
      <c r="K1182">
        <v>3</v>
      </c>
      <c r="L1182">
        <v>3</v>
      </c>
      <c r="M1182">
        <v>1</v>
      </c>
      <c r="N1182">
        <v>1</v>
      </c>
      <c r="O1182">
        <v>4</v>
      </c>
      <c r="P1182">
        <v>1</v>
      </c>
      <c r="Q1182">
        <f t="shared" si="126"/>
        <v>5</v>
      </c>
      <c r="R1182">
        <f t="shared" si="127"/>
        <v>18</v>
      </c>
      <c r="S1182">
        <f t="array" ref="S1182">MAX(IF($C$2:$C$1387=C1182,$R$2:$R$1387))</f>
        <v>29</v>
      </c>
      <c r="T1182" cm="1">
        <f t="array" ref="T1182">MIN(IF($C$2:$C$1387=C1182,$R$2:$R$1387))</f>
        <v>11</v>
      </c>
      <c r="U1182">
        <f t="shared" si="128"/>
        <v>18</v>
      </c>
      <c r="V1182">
        <f t="shared" si="129"/>
        <v>0.3888888888888889</v>
      </c>
      <c r="W1182" cm="1">
        <f t="array" ref="W1182">_xlfn.IFS(N1182=1,5,N1182=2,4,N1182=4,2,N1182=5,1,N1182=3,3)</f>
        <v>5</v>
      </c>
      <c r="X1182">
        <f t="shared" si="130"/>
        <v>22</v>
      </c>
      <c r="Y1182" cm="1">
        <f t="array" ref="Y1182">MAX(IF($C$2:$C$1387=C1182,$X$2:$X$1387))</f>
        <v>30</v>
      </c>
      <c r="Z1182" cm="1">
        <f t="array" ref="Z1182">MIN(IF($C$2:$C$1387=C1182,$X$2:$X$1387))</f>
        <v>14</v>
      </c>
      <c r="AA1182">
        <f t="shared" si="131"/>
        <v>16</v>
      </c>
      <c r="AB1182">
        <f t="shared" si="132"/>
        <v>0.5</v>
      </c>
    </row>
    <row r="1183" spans="1:28" x14ac:dyDescent="0.25">
      <c r="A1183" t="s">
        <v>420</v>
      </c>
      <c r="B1183" t="s">
        <v>421</v>
      </c>
      <c r="C1183">
        <v>2015</v>
      </c>
      <c r="D1183">
        <v>0.27524583333333336</v>
      </c>
      <c r="E1183">
        <v>0.59146166666666666</v>
      </c>
      <c r="F1183">
        <v>0</v>
      </c>
      <c r="G1183">
        <v>1.9459101490553132</v>
      </c>
      <c r="H1183">
        <v>0.7142857142857143</v>
      </c>
      <c r="I1183">
        <v>0.66666666666666663</v>
      </c>
      <c r="J1183">
        <v>0</v>
      </c>
      <c r="K1183">
        <v>3</v>
      </c>
      <c r="L1183">
        <v>3</v>
      </c>
      <c r="M1183">
        <v>1</v>
      </c>
      <c r="N1183">
        <v>1</v>
      </c>
      <c r="O1183">
        <v>3</v>
      </c>
      <c r="P1183">
        <v>1</v>
      </c>
      <c r="Q1183">
        <f t="shared" si="126"/>
        <v>5</v>
      </c>
      <c r="R1183">
        <f t="shared" si="127"/>
        <v>17</v>
      </c>
      <c r="S1183">
        <f t="array" ref="S1183">MAX(IF($C$2:$C$1387=C1183,$R$2:$R$1387))</f>
        <v>29</v>
      </c>
      <c r="T1183" cm="1">
        <f t="array" ref="T1183">MIN(IF($C$2:$C$1387=C1183,$R$2:$R$1387))</f>
        <v>11</v>
      </c>
      <c r="U1183">
        <f t="shared" si="128"/>
        <v>18</v>
      </c>
      <c r="V1183">
        <f t="shared" si="129"/>
        <v>0.33333333333333331</v>
      </c>
      <c r="W1183" cm="1">
        <f t="array" ref="W1183">_xlfn.IFS(N1183=1,5,N1183=2,4,N1183=4,2,N1183=5,1,N1183=3,3)</f>
        <v>5</v>
      </c>
      <c r="X1183">
        <f t="shared" si="130"/>
        <v>21</v>
      </c>
      <c r="Y1183" cm="1">
        <f t="array" ref="Y1183">MAX(IF($C$2:$C$1387=C1183,$X$2:$X$1387))</f>
        <v>29</v>
      </c>
      <c r="Z1183" cm="1">
        <f t="array" ref="Z1183">MIN(IF($C$2:$C$1387=C1183,$X$2:$X$1387))</f>
        <v>12</v>
      </c>
      <c r="AA1183">
        <f t="shared" si="131"/>
        <v>17</v>
      </c>
      <c r="AB1183">
        <f t="shared" si="132"/>
        <v>0.52941176470588236</v>
      </c>
    </row>
    <row r="1184" spans="1:28" x14ac:dyDescent="0.25">
      <c r="A1184" t="s">
        <v>422</v>
      </c>
      <c r="B1184" t="s">
        <v>423</v>
      </c>
      <c r="C1184">
        <v>2010</v>
      </c>
      <c r="D1184">
        <v>7.5953133438535388E-3</v>
      </c>
      <c r="E1184">
        <v>0.82153246883405318</v>
      </c>
      <c r="F1184">
        <v>6.2800000000000009E-2</v>
      </c>
      <c r="G1184">
        <v>2.3978952727983707</v>
      </c>
      <c r="H1184">
        <v>0.45454545454545453</v>
      </c>
      <c r="I1184">
        <v>1</v>
      </c>
      <c r="J1184">
        <v>1</v>
      </c>
      <c r="K1184">
        <v>2</v>
      </c>
      <c r="L1184">
        <v>4</v>
      </c>
      <c r="M1184">
        <v>3</v>
      </c>
      <c r="N1184">
        <v>5</v>
      </c>
      <c r="O1184">
        <v>2</v>
      </c>
      <c r="P1184">
        <v>3</v>
      </c>
      <c r="Q1184">
        <f t="shared" si="126"/>
        <v>1</v>
      </c>
      <c r="R1184">
        <f t="shared" si="127"/>
        <v>20</v>
      </c>
      <c r="S1184">
        <f t="array" ref="S1184">MAX(IF($C$2:$C$1387=C1184,$R$2:$R$1387))</f>
        <v>29</v>
      </c>
      <c r="T1184" cm="1">
        <f t="array" ref="T1184">MIN(IF($C$2:$C$1387=C1184,$R$2:$R$1387))</f>
        <v>9</v>
      </c>
      <c r="U1184">
        <f t="shared" si="128"/>
        <v>20</v>
      </c>
      <c r="V1184">
        <f t="shared" si="129"/>
        <v>0.55000000000000004</v>
      </c>
      <c r="W1184" cm="1">
        <f t="array" ref="W1184">_xlfn.IFS(N1184=1,5,N1184=2,4,N1184=4,2,N1184=5,1,N1184=3,3)</f>
        <v>1</v>
      </c>
      <c r="X1184">
        <f t="shared" si="130"/>
        <v>16</v>
      </c>
      <c r="Y1184" cm="1">
        <f t="array" ref="Y1184">MAX(IF($C$2:$C$1387=C1184,$X$2:$X$1387))</f>
        <v>29</v>
      </c>
      <c r="Z1184" cm="1">
        <f t="array" ref="Z1184">MIN(IF($C$2:$C$1387=C1184,$X$2:$X$1387))</f>
        <v>12</v>
      </c>
      <c r="AA1184">
        <f t="shared" si="131"/>
        <v>17</v>
      </c>
      <c r="AB1184">
        <f t="shared" si="132"/>
        <v>0.23529411764705882</v>
      </c>
    </row>
    <row r="1185" spans="1:28" x14ac:dyDescent="0.25">
      <c r="A1185" t="s">
        <v>422</v>
      </c>
      <c r="B1185" t="s">
        <v>423</v>
      </c>
      <c r="C1185">
        <v>2011</v>
      </c>
      <c r="D1185">
        <v>7.856060163159935E-3</v>
      </c>
      <c r="E1185">
        <v>0.82455986526786373</v>
      </c>
      <c r="F1185">
        <v>0.18912883170648617</v>
      </c>
      <c r="G1185">
        <v>2.3978952727983707</v>
      </c>
      <c r="H1185">
        <v>0.45454545454545453</v>
      </c>
      <c r="I1185">
        <v>1</v>
      </c>
      <c r="J1185">
        <v>1</v>
      </c>
      <c r="K1185">
        <v>2</v>
      </c>
      <c r="L1185">
        <v>4</v>
      </c>
      <c r="M1185">
        <v>5</v>
      </c>
      <c r="N1185">
        <v>5</v>
      </c>
      <c r="O1185">
        <v>2</v>
      </c>
      <c r="P1185">
        <v>3</v>
      </c>
      <c r="Q1185">
        <f t="shared" si="126"/>
        <v>1</v>
      </c>
      <c r="R1185">
        <f t="shared" si="127"/>
        <v>22</v>
      </c>
      <c r="S1185">
        <f t="array" ref="S1185">MAX(IF($C$2:$C$1387=C1185,$R$2:$R$1387))</f>
        <v>28</v>
      </c>
      <c r="T1185" cm="1">
        <f t="array" ref="T1185">MIN(IF($C$2:$C$1387=C1185,$R$2:$R$1387))</f>
        <v>10</v>
      </c>
      <c r="U1185">
        <f t="shared" si="128"/>
        <v>18</v>
      </c>
      <c r="V1185">
        <f t="shared" si="129"/>
        <v>0.66666666666666663</v>
      </c>
      <c r="W1185" cm="1">
        <f t="array" ref="W1185">_xlfn.IFS(N1185=1,5,N1185=2,4,N1185=4,2,N1185=5,1,N1185=3,3)</f>
        <v>1</v>
      </c>
      <c r="X1185">
        <f t="shared" si="130"/>
        <v>18</v>
      </c>
      <c r="Y1185" cm="1">
        <f t="array" ref="Y1185">MAX(IF($C$2:$C$1387=C1185,$X$2:$X$1387))</f>
        <v>29</v>
      </c>
      <c r="Z1185" cm="1">
        <f t="array" ref="Z1185">MIN(IF($C$2:$C$1387=C1185,$X$2:$X$1387))</f>
        <v>12</v>
      </c>
      <c r="AA1185">
        <f t="shared" si="131"/>
        <v>17</v>
      </c>
      <c r="AB1185">
        <f t="shared" si="132"/>
        <v>0.35294117647058826</v>
      </c>
    </row>
    <row r="1186" spans="1:28" x14ac:dyDescent="0.25">
      <c r="A1186" t="s">
        <v>422</v>
      </c>
      <c r="B1186" t="s">
        <v>423</v>
      </c>
      <c r="C1186">
        <v>2012</v>
      </c>
      <c r="D1186">
        <v>7.8865794263312996E-3</v>
      </c>
      <c r="E1186">
        <v>0.82230127334040304</v>
      </c>
      <c r="F1186">
        <v>1.9818195017595228E-2</v>
      </c>
      <c r="G1186">
        <v>2.3978952727983707</v>
      </c>
      <c r="H1186">
        <v>0.36363636363636365</v>
      </c>
      <c r="I1186">
        <v>1</v>
      </c>
      <c r="J1186">
        <v>0</v>
      </c>
      <c r="K1186">
        <v>2</v>
      </c>
      <c r="L1186">
        <v>4</v>
      </c>
      <c r="M1186">
        <v>2</v>
      </c>
      <c r="N1186">
        <v>5</v>
      </c>
      <c r="O1186">
        <v>1</v>
      </c>
      <c r="P1186">
        <v>3</v>
      </c>
      <c r="Q1186">
        <f t="shared" si="126"/>
        <v>5</v>
      </c>
      <c r="R1186">
        <f t="shared" si="127"/>
        <v>22</v>
      </c>
      <c r="S1186">
        <f t="array" ref="S1186">MAX(IF($C$2:$C$1387=C1186,$R$2:$R$1387))</f>
        <v>29</v>
      </c>
      <c r="T1186" cm="1">
        <f t="array" ref="T1186">MIN(IF($C$2:$C$1387=C1186,$R$2:$R$1387))</f>
        <v>11</v>
      </c>
      <c r="U1186">
        <f t="shared" si="128"/>
        <v>18</v>
      </c>
      <c r="V1186">
        <f t="shared" si="129"/>
        <v>0.61111111111111116</v>
      </c>
      <c r="W1186" cm="1">
        <f t="array" ref="W1186">_xlfn.IFS(N1186=1,5,N1186=2,4,N1186=4,2,N1186=5,1,N1186=3,3)</f>
        <v>1</v>
      </c>
      <c r="X1186">
        <f t="shared" si="130"/>
        <v>18</v>
      </c>
      <c r="Y1186" cm="1">
        <f t="array" ref="Y1186">MAX(IF($C$2:$C$1387=C1186,$X$2:$X$1387))</f>
        <v>30</v>
      </c>
      <c r="Z1186" cm="1">
        <f t="array" ref="Z1186">MIN(IF($C$2:$C$1387=C1186,$X$2:$X$1387))</f>
        <v>12</v>
      </c>
      <c r="AA1186">
        <f t="shared" si="131"/>
        <v>18</v>
      </c>
      <c r="AB1186">
        <f t="shared" si="132"/>
        <v>0.33333333333333331</v>
      </c>
    </row>
    <row r="1187" spans="1:28" x14ac:dyDescent="0.25">
      <c r="A1187" t="s">
        <v>422</v>
      </c>
      <c r="B1187" t="s">
        <v>423</v>
      </c>
      <c r="C1187">
        <v>2013</v>
      </c>
      <c r="D1187">
        <v>7.8875138980770507E-3</v>
      </c>
      <c r="E1187">
        <v>0.82367853284198034</v>
      </c>
      <c r="F1187">
        <v>2.1125228967479391E-2</v>
      </c>
      <c r="G1187">
        <v>2.3978952727983707</v>
      </c>
      <c r="H1187">
        <v>0.36363636363636365</v>
      </c>
      <c r="I1187">
        <v>1</v>
      </c>
      <c r="J1187">
        <v>1</v>
      </c>
      <c r="K1187">
        <v>2</v>
      </c>
      <c r="L1187">
        <v>4</v>
      </c>
      <c r="M1187">
        <v>2</v>
      </c>
      <c r="N1187">
        <v>5</v>
      </c>
      <c r="O1187">
        <v>1</v>
      </c>
      <c r="P1187">
        <v>3</v>
      </c>
      <c r="Q1187">
        <f t="shared" si="126"/>
        <v>1</v>
      </c>
      <c r="R1187">
        <f t="shared" si="127"/>
        <v>18</v>
      </c>
      <c r="S1187">
        <f t="array" ref="S1187">MAX(IF($C$2:$C$1387=C1187,$R$2:$R$1387))</f>
        <v>29</v>
      </c>
      <c r="T1187" cm="1">
        <f t="array" ref="T1187">MIN(IF($C$2:$C$1387=C1187,$R$2:$R$1387))</f>
        <v>10</v>
      </c>
      <c r="U1187">
        <f t="shared" si="128"/>
        <v>19</v>
      </c>
      <c r="V1187">
        <f t="shared" si="129"/>
        <v>0.42105263157894735</v>
      </c>
      <c r="W1187" cm="1">
        <f t="array" ref="W1187">_xlfn.IFS(N1187=1,5,N1187=2,4,N1187=4,2,N1187=5,1,N1187=3,3)</f>
        <v>1</v>
      </c>
      <c r="X1187">
        <f t="shared" si="130"/>
        <v>14</v>
      </c>
      <c r="Y1187" cm="1">
        <f t="array" ref="Y1187">MAX(IF($C$2:$C$1387=C1187,$X$2:$X$1387))</f>
        <v>32</v>
      </c>
      <c r="Z1187" cm="1">
        <f t="array" ref="Z1187">MIN(IF($C$2:$C$1387=C1187,$X$2:$X$1387))</f>
        <v>10</v>
      </c>
      <c r="AA1187">
        <f t="shared" si="131"/>
        <v>22</v>
      </c>
      <c r="AB1187">
        <f t="shared" si="132"/>
        <v>0.18181818181818182</v>
      </c>
    </row>
    <row r="1188" spans="1:28" x14ac:dyDescent="0.25">
      <c r="A1188" t="s">
        <v>422</v>
      </c>
      <c r="B1188" t="s">
        <v>423</v>
      </c>
      <c r="C1188">
        <v>2014</v>
      </c>
      <c r="D1188">
        <v>7.883876485224867E-3</v>
      </c>
      <c r="E1188">
        <v>0.81741863935287984</v>
      </c>
      <c r="F1188">
        <v>1.650370554025218E-2</v>
      </c>
      <c r="G1188">
        <v>2.4849066497880004</v>
      </c>
      <c r="H1188">
        <v>0.66666666666666663</v>
      </c>
      <c r="I1188">
        <v>0.66666666666666663</v>
      </c>
      <c r="J1188">
        <v>1</v>
      </c>
      <c r="K1188">
        <v>2</v>
      </c>
      <c r="L1188">
        <v>4</v>
      </c>
      <c r="M1188">
        <v>2</v>
      </c>
      <c r="N1188">
        <v>5</v>
      </c>
      <c r="O1188">
        <v>4</v>
      </c>
      <c r="P1188">
        <v>1</v>
      </c>
      <c r="Q1188">
        <f t="shared" si="126"/>
        <v>1</v>
      </c>
      <c r="R1188">
        <f t="shared" si="127"/>
        <v>19</v>
      </c>
      <c r="S1188">
        <f t="array" ref="S1188">MAX(IF($C$2:$C$1387=C1188,$R$2:$R$1387))</f>
        <v>29</v>
      </c>
      <c r="T1188" cm="1">
        <f t="array" ref="T1188">MIN(IF($C$2:$C$1387=C1188,$R$2:$R$1387))</f>
        <v>11</v>
      </c>
      <c r="U1188">
        <f t="shared" si="128"/>
        <v>18</v>
      </c>
      <c r="V1188">
        <f t="shared" si="129"/>
        <v>0.44444444444444442</v>
      </c>
      <c r="W1188" cm="1">
        <f t="array" ref="W1188">_xlfn.IFS(N1188=1,5,N1188=2,4,N1188=4,2,N1188=5,1,N1188=3,3)</f>
        <v>1</v>
      </c>
      <c r="X1188">
        <f t="shared" si="130"/>
        <v>15</v>
      </c>
      <c r="Y1188" cm="1">
        <f t="array" ref="Y1188">MAX(IF($C$2:$C$1387=C1188,$X$2:$X$1387))</f>
        <v>30</v>
      </c>
      <c r="Z1188" cm="1">
        <f t="array" ref="Z1188">MIN(IF($C$2:$C$1387=C1188,$X$2:$X$1387))</f>
        <v>14</v>
      </c>
      <c r="AA1188">
        <f t="shared" si="131"/>
        <v>16</v>
      </c>
      <c r="AB1188">
        <f t="shared" si="132"/>
        <v>6.25E-2</v>
      </c>
    </row>
    <row r="1189" spans="1:28" x14ac:dyDescent="0.25">
      <c r="A1189" t="s">
        <v>422</v>
      </c>
      <c r="B1189" t="s">
        <v>423</v>
      </c>
      <c r="C1189">
        <v>2015</v>
      </c>
      <c r="D1189">
        <v>7.8571973168213675E-3</v>
      </c>
      <c r="E1189">
        <v>0.81741863935287984</v>
      </c>
      <c r="F1189">
        <v>2.3932316734601361E-2</v>
      </c>
      <c r="G1189">
        <v>2.4849066497880004</v>
      </c>
      <c r="H1189">
        <v>0.66666666666666663</v>
      </c>
      <c r="I1189">
        <v>0.66666666666666663</v>
      </c>
      <c r="J1189">
        <v>1</v>
      </c>
      <c r="K1189">
        <v>2</v>
      </c>
      <c r="L1189">
        <v>4</v>
      </c>
      <c r="M1189">
        <v>2</v>
      </c>
      <c r="N1189">
        <v>5</v>
      </c>
      <c r="O1189">
        <v>2</v>
      </c>
      <c r="P1189">
        <v>1</v>
      </c>
      <c r="Q1189">
        <f t="shared" si="126"/>
        <v>1</v>
      </c>
      <c r="R1189">
        <f t="shared" si="127"/>
        <v>17</v>
      </c>
      <c r="S1189">
        <f t="array" ref="S1189">MAX(IF($C$2:$C$1387=C1189,$R$2:$R$1387))</f>
        <v>29</v>
      </c>
      <c r="T1189" cm="1">
        <f t="array" ref="T1189">MIN(IF($C$2:$C$1387=C1189,$R$2:$R$1387))</f>
        <v>11</v>
      </c>
      <c r="U1189">
        <f t="shared" si="128"/>
        <v>18</v>
      </c>
      <c r="V1189">
        <f t="shared" si="129"/>
        <v>0.33333333333333331</v>
      </c>
      <c r="W1189" cm="1">
        <f t="array" ref="W1189">_xlfn.IFS(N1189=1,5,N1189=2,4,N1189=4,2,N1189=5,1,N1189=3,3)</f>
        <v>1</v>
      </c>
      <c r="X1189">
        <f t="shared" si="130"/>
        <v>13</v>
      </c>
      <c r="Y1189" cm="1">
        <f t="array" ref="Y1189">MAX(IF($C$2:$C$1387=C1189,$X$2:$X$1387))</f>
        <v>29</v>
      </c>
      <c r="Z1189" cm="1">
        <f t="array" ref="Z1189">MIN(IF($C$2:$C$1387=C1189,$X$2:$X$1387))</f>
        <v>12</v>
      </c>
      <c r="AA1189">
        <f t="shared" si="131"/>
        <v>17</v>
      </c>
      <c r="AB1189">
        <f t="shared" si="132"/>
        <v>5.8823529411764705E-2</v>
      </c>
    </row>
    <row r="1190" spans="1:28" x14ac:dyDescent="0.25">
      <c r="A1190" t="s">
        <v>424</v>
      </c>
      <c r="B1190" t="s">
        <v>425</v>
      </c>
      <c r="C1190">
        <v>2010</v>
      </c>
      <c r="D1190">
        <v>0.25599266666666665</v>
      </c>
      <c r="E1190">
        <v>0.46986933333333336</v>
      </c>
      <c r="F1190">
        <v>0.20005483333333332</v>
      </c>
      <c r="G1190">
        <v>2.1972245773362196</v>
      </c>
      <c r="H1190">
        <v>0.22222222222222221</v>
      </c>
      <c r="I1190">
        <v>0.66666666666666663</v>
      </c>
      <c r="J1190">
        <v>0</v>
      </c>
      <c r="K1190">
        <v>3</v>
      </c>
      <c r="L1190">
        <v>2</v>
      </c>
      <c r="M1190">
        <v>5</v>
      </c>
      <c r="N1190">
        <v>4</v>
      </c>
      <c r="O1190">
        <v>1</v>
      </c>
      <c r="P1190">
        <v>1</v>
      </c>
      <c r="Q1190">
        <f t="shared" si="126"/>
        <v>5</v>
      </c>
      <c r="R1190">
        <f t="shared" si="127"/>
        <v>21</v>
      </c>
      <c r="S1190">
        <f t="array" ref="S1190">MAX(IF($C$2:$C$1387=C1190,$R$2:$R$1387))</f>
        <v>29</v>
      </c>
      <c r="T1190" cm="1">
        <f t="array" ref="T1190">MIN(IF($C$2:$C$1387=C1190,$R$2:$R$1387))</f>
        <v>9</v>
      </c>
      <c r="U1190">
        <f t="shared" si="128"/>
        <v>20</v>
      </c>
      <c r="V1190">
        <f t="shared" si="129"/>
        <v>0.6</v>
      </c>
      <c r="W1190" cm="1">
        <f t="array" ref="W1190">_xlfn.IFS(N1190=1,5,N1190=2,4,N1190=4,2,N1190=5,1,N1190=3,3)</f>
        <v>2</v>
      </c>
      <c r="X1190">
        <f t="shared" si="130"/>
        <v>19</v>
      </c>
      <c r="Y1190" cm="1">
        <f t="array" ref="Y1190">MAX(IF($C$2:$C$1387=C1190,$X$2:$X$1387))</f>
        <v>29</v>
      </c>
      <c r="Z1190" cm="1">
        <f t="array" ref="Z1190">MIN(IF($C$2:$C$1387=C1190,$X$2:$X$1387))</f>
        <v>12</v>
      </c>
      <c r="AA1190">
        <f t="shared" si="131"/>
        <v>17</v>
      </c>
      <c r="AB1190">
        <f t="shared" si="132"/>
        <v>0.41176470588235292</v>
      </c>
    </row>
    <row r="1191" spans="1:28" x14ac:dyDescent="0.25">
      <c r="A1191" t="s">
        <v>424</v>
      </c>
      <c r="B1191" t="s">
        <v>425</v>
      </c>
      <c r="C1191">
        <v>2011</v>
      </c>
      <c r="D1191">
        <v>0.26540933333333333</v>
      </c>
      <c r="E1191">
        <v>0.50799933333333336</v>
      </c>
      <c r="F1191">
        <v>0.21189483333333334</v>
      </c>
      <c r="G1191">
        <v>2.0794415416798357</v>
      </c>
      <c r="H1191">
        <v>0.25</v>
      </c>
      <c r="I1191">
        <v>0.66666666666666663</v>
      </c>
      <c r="J1191">
        <v>0</v>
      </c>
      <c r="K1191">
        <v>3</v>
      </c>
      <c r="L1191">
        <v>2</v>
      </c>
      <c r="M1191">
        <v>5</v>
      </c>
      <c r="N1191">
        <v>3</v>
      </c>
      <c r="O1191">
        <v>1</v>
      </c>
      <c r="P1191">
        <v>1</v>
      </c>
      <c r="Q1191">
        <f t="shared" si="126"/>
        <v>5</v>
      </c>
      <c r="R1191">
        <f t="shared" si="127"/>
        <v>20</v>
      </c>
      <c r="S1191">
        <f t="array" ref="S1191">MAX(IF($C$2:$C$1387=C1191,$R$2:$R$1387))</f>
        <v>28</v>
      </c>
      <c r="T1191" cm="1">
        <f t="array" ref="T1191">MIN(IF($C$2:$C$1387=C1191,$R$2:$R$1387))</f>
        <v>10</v>
      </c>
      <c r="U1191">
        <f t="shared" si="128"/>
        <v>18</v>
      </c>
      <c r="V1191">
        <f t="shared" si="129"/>
        <v>0.55555555555555558</v>
      </c>
      <c r="W1191" cm="1">
        <f t="array" ref="W1191">_xlfn.IFS(N1191=1,5,N1191=2,4,N1191=4,2,N1191=5,1,N1191=3,3)</f>
        <v>3</v>
      </c>
      <c r="X1191">
        <f t="shared" si="130"/>
        <v>20</v>
      </c>
      <c r="Y1191" cm="1">
        <f t="array" ref="Y1191">MAX(IF($C$2:$C$1387=C1191,$X$2:$X$1387))</f>
        <v>29</v>
      </c>
      <c r="Z1191" cm="1">
        <f t="array" ref="Z1191">MIN(IF($C$2:$C$1387=C1191,$X$2:$X$1387))</f>
        <v>12</v>
      </c>
      <c r="AA1191">
        <f t="shared" si="131"/>
        <v>17</v>
      </c>
      <c r="AB1191">
        <f t="shared" si="132"/>
        <v>0.47058823529411764</v>
      </c>
    </row>
    <row r="1192" spans="1:28" x14ac:dyDescent="0.25">
      <c r="A1192" t="s">
        <v>424</v>
      </c>
      <c r="B1192" t="s">
        <v>425</v>
      </c>
      <c r="C1192">
        <v>2012</v>
      </c>
      <c r="D1192">
        <v>0.26835100000000001</v>
      </c>
      <c r="E1192">
        <v>0.50396583333333334</v>
      </c>
      <c r="F1192">
        <v>5.8591666666666667E-2</v>
      </c>
      <c r="G1192">
        <v>2.0794415416798357</v>
      </c>
      <c r="H1192">
        <v>0.75</v>
      </c>
      <c r="I1192">
        <v>1</v>
      </c>
      <c r="J1192">
        <v>0</v>
      </c>
      <c r="K1192">
        <v>3</v>
      </c>
      <c r="L1192">
        <v>2</v>
      </c>
      <c r="M1192">
        <v>3</v>
      </c>
      <c r="N1192">
        <v>3</v>
      </c>
      <c r="O1192">
        <v>4</v>
      </c>
      <c r="P1192">
        <v>3</v>
      </c>
      <c r="Q1192">
        <f t="shared" si="126"/>
        <v>5</v>
      </c>
      <c r="R1192">
        <f t="shared" si="127"/>
        <v>23</v>
      </c>
      <c r="S1192">
        <f t="array" ref="S1192">MAX(IF($C$2:$C$1387=C1192,$R$2:$R$1387))</f>
        <v>29</v>
      </c>
      <c r="T1192" cm="1">
        <f t="array" ref="T1192">MIN(IF($C$2:$C$1387=C1192,$R$2:$R$1387))</f>
        <v>11</v>
      </c>
      <c r="U1192">
        <f t="shared" si="128"/>
        <v>18</v>
      </c>
      <c r="V1192">
        <f t="shared" si="129"/>
        <v>0.66666666666666663</v>
      </c>
      <c r="W1192" cm="1">
        <f t="array" ref="W1192">_xlfn.IFS(N1192=1,5,N1192=2,4,N1192=4,2,N1192=5,1,N1192=3,3)</f>
        <v>3</v>
      </c>
      <c r="X1192">
        <f t="shared" si="130"/>
        <v>23</v>
      </c>
      <c r="Y1192" cm="1">
        <f t="array" ref="Y1192">MAX(IF($C$2:$C$1387=C1192,$X$2:$X$1387))</f>
        <v>30</v>
      </c>
      <c r="Z1192" cm="1">
        <f t="array" ref="Z1192">MIN(IF($C$2:$C$1387=C1192,$X$2:$X$1387))</f>
        <v>12</v>
      </c>
      <c r="AA1192">
        <f t="shared" si="131"/>
        <v>18</v>
      </c>
      <c r="AB1192">
        <f t="shared" si="132"/>
        <v>0.61111111111111116</v>
      </c>
    </row>
    <row r="1193" spans="1:28" x14ac:dyDescent="0.25">
      <c r="A1193" t="s">
        <v>424</v>
      </c>
      <c r="B1193" t="s">
        <v>425</v>
      </c>
      <c r="C1193">
        <v>2013</v>
      </c>
      <c r="D1193">
        <v>0.26834909090909093</v>
      </c>
      <c r="E1193">
        <v>0.50940803030303028</v>
      </c>
      <c r="F1193">
        <v>8.542075757575758E-2</v>
      </c>
      <c r="G1193">
        <v>2.0794415416798357</v>
      </c>
      <c r="H1193">
        <v>0.75</v>
      </c>
      <c r="I1193">
        <v>1</v>
      </c>
      <c r="J1193">
        <v>0</v>
      </c>
      <c r="K1193">
        <v>4</v>
      </c>
      <c r="L1193">
        <v>2</v>
      </c>
      <c r="M1193">
        <v>4</v>
      </c>
      <c r="N1193">
        <v>3</v>
      </c>
      <c r="O1193">
        <v>5</v>
      </c>
      <c r="P1193">
        <v>3</v>
      </c>
      <c r="Q1193">
        <f t="shared" si="126"/>
        <v>5</v>
      </c>
      <c r="R1193">
        <f t="shared" si="127"/>
        <v>26</v>
      </c>
      <c r="S1193">
        <f t="array" ref="S1193">MAX(IF($C$2:$C$1387=C1193,$R$2:$R$1387))</f>
        <v>29</v>
      </c>
      <c r="T1193" cm="1">
        <f t="array" ref="T1193">MIN(IF($C$2:$C$1387=C1193,$R$2:$R$1387))</f>
        <v>10</v>
      </c>
      <c r="U1193">
        <f t="shared" si="128"/>
        <v>19</v>
      </c>
      <c r="V1193">
        <f t="shared" si="129"/>
        <v>0.84210526315789469</v>
      </c>
      <c r="W1193" cm="1">
        <f t="array" ref="W1193">_xlfn.IFS(N1193=1,5,N1193=2,4,N1193=4,2,N1193=5,1,N1193=3,3)</f>
        <v>3</v>
      </c>
      <c r="X1193">
        <f t="shared" si="130"/>
        <v>26</v>
      </c>
      <c r="Y1193" cm="1">
        <f t="array" ref="Y1193">MAX(IF($C$2:$C$1387=C1193,$X$2:$X$1387))</f>
        <v>32</v>
      </c>
      <c r="Z1193" cm="1">
        <f t="array" ref="Z1193">MIN(IF($C$2:$C$1387=C1193,$X$2:$X$1387))</f>
        <v>10</v>
      </c>
      <c r="AA1193">
        <f t="shared" si="131"/>
        <v>22</v>
      </c>
      <c r="AB1193">
        <f t="shared" si="132"/>
        <v>0.72727272727272729</v>
      </c>
    </row>
    <row r="1194" spans="1:28" x14ac:dyDescent="0.25">
      <c r="A1194" t="s">
        <v>424</v>
      </c>
      <c r="B1194" t="s">
        <v>425</v>
      </c>
      <c r="C1194">
        <v>2014</v>
      </c>
      <c r="D1194">
        <v>0.33964944903581268</v>
      </c>
      <c r="E1194">
        <v>0.53993953168044073</v>
      </c>
      <c r="F1194">
        <v>0.28079545454545457</v>
      </c>
      <c r="G1194">
        <v>2.0794415416798357</v>
      </c>
      <c r="H1194">
        <v>0.75</v>
      </c>
      <c r="I1194">
        <v>1</v>
      </c>
      <c r="J1194">
        <v>0</v>
      </c>
      <c r="K1194">
        <v>4</v>
      </c>
      <c r="L1194">
        <v>2</v>
      </c>
      <c r="M1194">
        <v>5</v>
      </c>
      <c r="N1194">
        <v>3</v>
      </c>
      <c r="O1194">
        <v>5</v>
      </c>
      <c r="P1194">
        <v>3</v>
      </c>
      <c r="Q1194">
        <f t="shared" si="126"/>
        <v>5</v>
      </c>
      <c r="R1194">
        <f t="shared" si="127"/>
        <v>27</v>
      </c>
      <c r="S1194">
        <f t="array" ref="S1194">MAX(IF($C$2:$C$1387=C1194,$R$2:$R$1387))</f>
        <v>29</v>
      </c>
      <c r="T1194" cm="1">
        <f t="array" ref="T1194">MIN(IF($C$2:$C$1387=C1194,$R$2:$R$1387))</f>
        <v>11</v>
      </c>
      <c r="U1194">
        <f t="shared" si="128"/>
        <v>18</v>
      </c>
      <c r="V1194">
        <f t="shared" si="129"/>
        <v>0.88888888888888884</v>
      </c>
      <c r="W1194" cm="1">
        <f t="array" ref="W1194">_xlfn.IFS(N1194=1,5,N1194=2,4,N1194=4,2,N1194=5,1,N1194=3,3)</f>
        <v>3</v>
      </c>
      <c r="X1194">
        <f t="shared" si="130"/>
        <v>27</v>
      </c>
      <c r="Y1194" cm="1">
        <f t="array" ref="Y1194">MAX(IF($C$2:$C$1387=C1194,$X$2:$X$1387))</f>
        <v>30</v>
      </c>
      <c r="Z1194" cm="1">
        <f t="array" ref="Z1194">MIN(IF($C$2:$C$1387=C1194,$X$2:$X$1387))</f>
        <v>14</v>
      </c>
      <c r="AA1194">
        <f t="shared" si="131"/>
        <v>16</v>
      </c>
      <c r="AB1194">
        <f t="shared" si="132"/>
        <v>0.8125</v>
      </c>
    </row>
    <row r="1195" spans="1:28" x14ac:dyDescent="0.25">
      <c r="A1195" t="s">
        <v>424</v>
      </c>
      <c r="B1195" t="s">
        <v>425</v>
      </c>
      <c r="C1195">
        <v>2015</v>
      </c>
      <c r="D1195">
        <v>0.3380502128725269</v>
      </c>
      <c r="E1195">
        <v>0.53491960931630356</v>
      </c>
      <c r="F1195">
        <v>5.5355121462559477E-2</v>
      </c>
      <c r="G1195">
        <v>2.0794415416798357</v>
      </c>
      <c r="H1195">
        <v>0.75</v>
      </c>
      <c r="I1195">
        <v>1</v>
      </c>
      <c r="J1195">
        <v>0</v>
      </c>
      <c r="K1195">
        <v>4</v>
      </c>
      <c r="L1195">
        <v>2</v>
      </c>
      <c r="M1195">
        <v>3</v>
      </c>
      <c r="N1195">
        <v>3</v>
      </c>
      <c r="O1195">
        <v>4</v>
      </c>
      <c r="P1195">
        <v>2</v>
      </c>
      <c r="Q1195">
        <f t="shared" si="126"/>
        <v>5</v>
      </c>
      <c r="R1195">
        <f t="shared" si="127"/>
        <v>23</v>
      </c>
      <c r="S1195">
        <f t="array" ref="S1195">MAX(IF($C$2:$C$1387=C1195,$R$2:$R$1387))</f>
        <v>29</v>
      </c>
      <c r="T1195" cm="1">
        <f t="array" ref="T1195">MIN(IF($C$2:$C$1387=C1195,$R$2:$R$1387))</f>
        <v>11</v>
      </c>
      <c r="U1195">
        <f t="shared" si="128"/>
        <v>18</v>
      </c>
      <c r="V1195">
        <f t="shared" si="129"/>
        <v>0.66666666666666663</v>
      </c>
      <c r="W1195" cm="1">
        <f t="array" ref="W1195">_xlfn.IFS(N1195=1,5,N1195=2,4,N1195=4,2,N1195=5,1,N1195=3,3)</f>
        <v>3</v>
      </c>
      <c r="X1195">
        <f t="shared" si="130"/>
        <v>23</v>
      </c>
      <c r="Y1195" cm="1">
        <f t="array" ref="Y1195">MAX(IF($C$2:$C$1387=C1195,$X$2:$X$1387))</f>
        <v>29</v>
      </c>
      <c r="Z1195" cm="1">
        <f t="array" ref="Z1195">MIN(IF($C$2:$C$1387=C1195,$X$2:$X$1387))</f>
        <v>12</v>
      </c>
      <c r="AA1195">
        <f t="shared" si="131"/>
        <v>17</v>
      </c>
      <c r="AB1195">
        <f t="shared" si="132"/>
        <v>0.6470588235294118</v>
      </c>
    </row>
    <row r="1196" spans="1:28" x14ac:dyDescent="0.25">
      <c r="A1196" t="s">
        <v>426</v>
      </c>
      <c r="B1196" t="s">
        <v>427</v>
      </c>
      <c r="C1196">
        <v>2010</v>
      </c>
      <c r="D1196">
        <v>0.23169692242515907</v>
      </c>
      <c r="E1196">
        <v>0.2318464855148494</v>
      </c>
      <c r="F1196">
        <v>5.3450740193768836E-4</v>
      </c>
      <c r="G1196">
        <v>2.4849066497880004</v>
      </c>
      <c r="H1196">
        <v>0.66666666666666663</v>
      </c>
      <c r="I1196">
        <v>1</v>
      </c>
      <c r="J1196">
        <v>1</v>
      </c>
      <c r="K1196">
        <v>3</v>
      </c>
      <c r="L1196">
        <v>1</v>
      </c>
      <c r="M1196">
        <v>2</v>
      </c>
      <c r="N1196">
        <v>5</v>
      </c>
      <c r="O1196">
        <v>3</v>
      </c>
      <c r="P1196">
        <v>3</v>
      </c>
      <c r="Q1196">
        <f t="shared" si="126"/>
        <v>1</v>
      </c>
      <c r="R1196">
        <f t="shared" si="127"/>
        <v>18</v>
      </c>
      <c r="S1196">
        <f t="array" ref="S1196">MAX(IF($C$2:$C$1387=C1196,$R$2:$R$1387))</f>
        <v>29</v>
      </c>
      <c r="T1196" cm="1">
        <f t="array" ref="T1196">MIN(IF($C$2:$C$1387=C1196,$R$2:$R$1387))</f>
        <v>9</v>
      </c>
      <c r="U1196">
        <f t="shared" si="128"/>
        <v>20</v>
      </c>
      <c r="V1196">
        <f t="shared" si="129"/>
        <v>0.45</v>
      </c>
      <c r="W1196" cm="1">
        <f t="array" ref="W1196">_xlfn.IFS(N1196=1,5,N1196=2,4,N1196=4,2,N1196=5,1,N1196=3,3)</f>
        <v>1</v>
      </c>
      <c r="X1196">
        <f t="shared" si="130"/>
        <v>14</v>
      </c>
      <c r="Y1196" cm="1">
        <f t="array" ref="Y1196">MAX(IF($C$2:$C$1387=C1196,$X$2:$X$1387))</f>
        <v>29</v>
      </c>
      <c r="Z1196" cm="1">
        <f t="array" ref="Z1196">MIN(IF($C$2:$C$1387=C1196,$X$2:$X$1387))</f>
        <v>12</v>
      </c>
      <c r="AA1196">
        <f t="shared" si="131"/>
        <v>17</v>
      </c>
      <c r="AB1196">
        <f t="shared" si="132"/>
        <v>0.11764705882352941</v>
      </c>
    </row>
    <row r="1197" spans="1:28" x14ac:dyDescent="0.25">
      <c r="A1197" t="s">
        <v>426</v>
      </c>
      <c r="B1197" t="s">
        <v>427</v>
      </c>
      <c r="C1197">
        <v>2011</v>
      </c>
      <c r="D1197">
        <v>0.18148468339344892</v>
      </c>
      <c r="E1197">
        <v>0.30241579528762436</v>
      </c>
      <c r="F1197">
        <v>3.9157180809996479E-2</v>
      </c>
      <c r="G1197">
        <v>2.4849066497880004</v>
      </c>
      <c r="H1197">
        <v>0.66666666666666663</v>
      </c>
      <c r="I1197">
        <v>1</v>
      </c>
      <c r="J1197">
        <v>1</v>
      </c>
      <c r="K1197">
        <v>3</v>
      </c>
      <c r="L1197">
        <v>1</v>
      </c>
      <c r="M1197">
        <v>3</v>
      </c>
      <c r="N1197">
        <v>5</v>
      </c>
      <c r="O1197">
        <v>3</v>
      </c>
      <c r="P1197">
        <v>3</v>
      </c>
      <c r="Q1197">
        <f t="shared" si="126"/>
        <v>1</v>
      </c>
      <c r="R1197">
        <f t="shared" si="127"/>
        <v>19</v>
      </c>
      <c r="S1197">
        <f t="array" ref="S1197">MAX(IF($C$2:$C$1387=C1197,$R$2:$R$1387))</f>
        <v>28</v>
      </c>
      <c r="T1197" cm="1">
        <f t="array" ref="T1197">MIN(IF($C$2:$C$1387=C1197,$R$2:$R$1387))</f>
        <v>10</v>
      </c>
      <c r="U1197">
        <f t="shared" si="128"/>
        <v>18</v>
      </c>
      <c r="V1197">
        <f t="shared" si="129"/>
        <v>0.5</v>
      </c>
      <c r="W1197" cm="1">
        <f t="array" ref="W1197">_xlfn.IFS(N1197=1,5,N1197=2,4,N1197=4,2,N1197=5,1,N1197=3,3)</f>
        <v>1</v>
      </c>
      <c r="X1197">
        <f t="shared" si="130"/>
        <v>15</v>
      </c>
      <c r="Y1197" cm="1">
        <f t="array" ref="Y1197">MAX(IF($C$2:$C$1387=C1197,$X$2:$X$1387))</f>
        <v>29</v>
      </c>
      <c r="Z1197" cm="1">
        <f t="array" ref="Z1197">MIN(IF($C$2:$C$1387=C1197,$X$2:$X$1387))</f>
        <v>12</v>
      </c>
      <c r="AA1197">
        <f t="shared" si="131"/>
        <v>17</v>
      </c>
      <c r="AB1197">
        <f t="shared" si="132"/>
        <v>0.17647058823529413</v>
      </c>
    </row>
    <row r="1198" spans="1:28" x14ac:dyDescent="0.25">
      <c r="A1198" t="s">
        <v>426</v>
      </c>
      <c r="B1198" t="s">
        <v>427</v>
      </c>
      <c r="C1198">
        <v>2012</v>
      </c>
      <c r="D1198">
        <v>0.18148468339344892</v>
      </c>
      <c r="E1198">
        <v>0.30241579528762436</v>
      </c>
      <c r="F1198">
        <v>3.9157180809996479E-2</v>
      </c>
      <c r="G1198">
        <v>2.4849066497880004</v>
      </c>
      <c r="H1198">
        <v>0.66666666666666663</v>
      </c>
      <c r="I1198">
        <v>1</v>
      </c>
      <c r="J1198">
        <v>1</v>
      </c>
      <c r="K1198">
        <v>3</v>
      </c>
      <c r="L1198">
        <v>1</v>
      </c>
      <c r="M1198">
        <v>3</v>
      </c>
      <c r="N1198">
        <v>5</v>
      </c>
      <c r="O1198">
        <v>3</v>
      </c>
      <c r="P1198">
        <v>3</v>
      </c>
      <c r="Q1198">
        <f t="shared" si="126"/>
        <v>1</v>
      </c>
      <c r="R1198">
        <f t="shared" si="127"/>
        <v>19</v>
      </c>
      <c r="S1198">
        <f t="array" ref="S1198">MAX(IF($C$2:$C$1387=C1198,$R$2:$R$1387))</f>
        <v>29</v>
      </c>
      <c r="T1198" cm="1">
        <f t="array" ref="T1198">MIN(IF($C$2:$C$1387=C1198,$R$2:$R$1387))</f>
        <v>11</v>
      </c>
      <c r="U1198">
        <f t="shared" si="128"/>
        <v>18</v>
      </c>
      <c r="V1198">
        <f t="shared" si="129"/>
        <v>0.44444444444444442</v>
      </c>
      <c r="W1198" cm="1">
        <f t="array" ref="W1198">_xlfn.IFS(N1198=1,5,N1198=2,4,N1198=4,2,N1198=5,1,N1198=3,3)</f>
        <v>1</v>
      </c>
      <c r="X1198">
        <f t="shared" si="130"/>
        <v>15</v>
      </c>
      <c r="Y1198" cm="1">
        <f t="array" ref="Y1198">MAX(IF($C$2:$C$1387=C1198,$X$2:$X$1387))</f>
        <v>30</v>
      </c>
      <c r="Z1198" cm="1">
        <f t="array" ref="Z1198">MIN(IF($C$2:$C$1387=C1198,$X$2:$X$1387))</f>
        <v>12</v>
      </c>
      <c r="AA1198">
        <f t="shared" si="131"/>
        <v>18</v>
      </c>
      <c r="AB1198">
        <f t="shared" si="132"/>
        <v>0.16666666666666666</v>
      </c>
    </row>
    <row r="1199" spans="1:28" x14ac:dyDescent="0.25">
      <c r="A1199" t="s">
        <v>426</v>
      </c>
      <c r="B1199" t="s">
        <v>427</v>
      </c>
      <c r="C1199">
        <v>2013</v>
      </c>
      <c r="D1199">
        <v>0.18148468339344892</v>
      </c>
      <c r="E1199">
        <v>0.30241579528762436</v>
      </c>
      <c r="F1199">
        <v>3.9157180809996479E-2</v>
      </c>
      <c r="G1199">
        <v>2.3025850929940459</v>
      </c>
      <c r="H1199">
        <v>0.4</v>
      </c>
      <c r="I1199">
        <v>0.6</v>
      </c>
      <c r="J1199">
        <v>0</v>
      </c>
      <c r="K1199">
        <v>3</v>
      </c>
      <c r="L1199">
        <v>1</v>
      </c>
      <c r="M1199">
        <v>3</v>
      </c>
      <c r="N1199">
        <v>5</v>
      </c>
      <c r="O1199">
        <v>1</v>
      </c>
      <c r="P1199">
        <v>1</v>
      </c>
      <c r="Q1199">
        <f t="shared" si="126"/>
        <v>5</v>
      </c>
      <c r="R1199">
        <f t="shared" si="127"/>
        <v>19</v>
      </c>
      <c r="S1199">
        <f t="array" ref="S1199">MAX(IF($C$2:$C$1387=C1199,$R$2:$R$1387))</f>
        <v>29</v>
      </c>
      <c r="T1199" cm="1">
        <f t="array" ref="T1199">MIN(IF($C$2:$C$1387=C1199,$R$2:$R$1387))</f>
        <v>10</v>
      </c>
      <c r="U1199">
        <f t="shared" si="128"/>
        <v>19</v>
      </c>
      <c r="V1199">
        <f t="shared" si="129"/>
        <v>0.47368421052631576</v>
      </c>
      <c r="W1199" cm="1">
        <f t="array" ref="W1199">_xlfn.IFS(N1199=1,5,N1199=2,4,N1199=4,2,N1199=5,1,N1199=3,3)</f>
        <v>1</v>
      </c>
      <c r="X1199">
        <f t="shared" si="130"/>
        <v>15</v>
      </c>
      <c r="Y1199" cm="1">
        <f t="array" ref="Y1199">MAX(IF($C$2:$C$1387=C1199,$X$2:$X$1387))</f>
        <v>32</v>
      </c>
      <c r="Z1199" cm="1">
        <f t="array" ref="Z1199">MIN(IF($C$2:$C$1387=C1199,$X$2:$X$1387))</f>
        <v>10</v>
      </c>
      <c r="AA1199">
        <f t="shared" si="131"/>
        <v>22</v>
      </c>
      <c r="AB1199">
        <f t="shared" si="132"/>
        <v>0.22727272727272727</v>
      </c>
    </row>
    <row r="1200" spans="1:28" x14ac:dyDescent="0.25">
      <c r="A1200" t="s">
        <v>426</v>
      </c>
      <c r="B1200" t="s">
        <v>427</v>
      </c>
      <c r="C1200">
        <v>2014</v>
      </c>
      <c r="D1200">
        <v>0.18148468339344892</v>
      </c>
      <c r="E1200">
        <v>0.30241579528762436</v>
      </c>
      <c r="F1200">
        <v>3.9157180809996479E-2</v>
      </c>
      <c r="G1200">
        <v>2.3025850929940459</v>
      </c>
      <c r="H1200">
        <v>0.4</v>
      </c>
      <c r="I1200">
        <v>0.6</v>
      </c>
      <c r="J1200">
        <v>0</v>
      </c>
      <c r="K1200">
        <v>3</v>
      </c>
      <c r="L1200">
        <v>1</v>
      </c>
      <c r="M1200">
        <v>3</v>
      </c>
      <c r="N1200">
        <v>5</v>
      </c>
      <c r="O1200">
        <v>1</v>
      </c>
      <c r="P1200">
        <v>1</v>
      </c>
      <c r="Q1200">
        <f t="shared" si="126"/>
        <v>5</v>
      </c>
      <c r="R1200">
        <f t="shared" si="127"/>
        <v>19</v>
      </c>
      <c r="S1200">
        <f t="array" ref="S1200">MAX(IF($C$2:$C$1387=C1200,$R$2:$R$1387))</f>
        <v>29</v>
      </c>
      <c r="T1200" cm="1">
        <f t="array" ref="T1200">MIN(IF($C$2:$C$1387=C1200,$R$2:$R$1387))</f>
        <v>11</v>
      </c>
      <c r="U1200">
        <f t="shared" si="128"/>
        <v>18</v>
      </c>
      <c r="V1200">
        <f t="shared" si="129"/>
        <v>0.44444444444444442</v>
      </c>
      <c r="W1200" cm="1">
        <f t="array" ref="W1200">_xlfn.IFS(N1200=1,5,N1200=2,4,N1200=4,2,N1200=5,1,N1200=3,3)</f>
        <v>1</v>
      </c>
      <c r="X1200">
        <f t="shared" si="130"/>
        <v>15</v>
      </c>
      <c r="Y1200" cm="1">
        <f t="array" ref="Y1200">MAX(IF($C$2:$C$1387=C1200,$X$2:$X$1387))</f>
        <v>30</v>
      </c>
      <c r="Z1200" cm="1">
        <f t="array" ref="Z1200">MIN(IF($C$2:$C$1387=C1200,$X$2:$X$1387))</f>
        <v>14</v>
      </c>
      <c r="AA1200">
        <f t="shared" si="131"/>
        <v>16</v>
      </c>
      <c r="AB1200">
        <f t="shared" si="132"/>
        <v>6.25E-2</v>
      </c>
    </row>
    <row r="1201" spans="1:28" x14ac:dyDescent="0.25">
      <c r="A1201" t="s">
        <v>426</v>
      </c>
      <c r="B1201" t="s">
        <v>427</v>
      </c>
      <c r="C1201">
        <v>2015</v>
      </c>
      <c r="D1201">
        <v>0.18148468339344892</v>
      </c>
      <c r="E1201">
        <v>0.30241579528762436</v>
      </c>
      <c r="F1201">
        <v>3.9157180809996479E-2</v>
      </c>
      <c r="G1201">
        <v>2.3025850929940459</v>
      </c>
      <c r="H1201">
        <v>0.4</v>
      </c>
      <c r="I1201">
        <v>0.6</v>
      </c>
      <c r="J1201">
        <v>0</v>
      </c>
      <c r="K1201">
        <v>3</v>
      </c>
      <c r="L1201">
        <v>1</v>
      </c>
      <c r="M1201">
        <v>3</v>
      </c>
      <c r="N1201">
        <v>5</v>
      </c>
      <c r="O1201">
        <v>1</v>
      </c>
      <c r="P1201">
        <v>1</v>
      </c>
      <c r="Q1201">
        <f t="shared" si="126"/>
        <v>5</v>
      </c>
      <c r="R1201">
        <f t="shared" si="127"/>
        <v>19</v>
      </c>
      <c r="S1201">
        <f t="array" ref="S1201">MAX(IF($C$2:$C$1387=C1201,$R$2:$R$1387))</f>
        <v>29</v>
      </c>
      <c r="T1201" cm="1">
        <f t="array" ref="T1201">MIN(IF($C$2:$C$1387=C1201,$R$2:$R$1387))</f>
        <v>11</v>
      </c>
      <c r="U1201">
        <f t="shared" si="128"/>
        <v>18</v>
      </c>
      <c r="V1201">
        <f t="shared" si="129"/>
        <v>0.44444444444444442</v>
      </c>
      <c r="W1201" cm="1">
        <f t="array" ref="W1201">_xlfn.IFS(N1201=1,5,N1201=2,4,N1201=4,2,N1201=5,1,N1201=3,3)</f>
        <v>1</v>
      </c>
      <c r="X1201">
        <f t="shared" si="130"/>
        <v>15</v>
      </c>
      <c r="Y1201" cm="1">
        <f t="array" ref="Y1201">MAX(IF($C$2:$C$1387=C1201,$X$2:$X$1387))</f>
        <v>29</v>
      </c>
      <c r="Z1201" cm="1">
        <f t="array" ref="Z1201">MIN(IF($C$2:$C$1387=C1201,$X$2:$X$1387))</f>
        <v>12</v>
      </c>
      <c r="AA1201">
        <f t="shared" si="131"/>
        <v>17</v>
      </c>
      <c r="AB1201">
        <f t="shared" si="132"/>
        <v>0.17647058823529413</v>
      </c>
    </row>
    <row r="1202" spans="1:28" x14ac:dyDescent="0.25">
      <c r="A1202" t="s">
        <v>428</v>
      </c>
      <c r="B1202" t="s">
        <v>429</v>
      </c>
      <c r="C1202">
        <v>2010</v>
      </c>
      <c r="D1202">
        <v>0.1293623085893269</v>
      </c>
      <c r="E1202">
        <v>0.38409424876944154</v>
      </c>
      <c r="F1202">
        <v>0.19566049233325045</v>
      </c>
      <c r="G1202">
        <v>2.1972245773362196</v>
      </c>
      <c r="H1202">
        <v>0.55555555555555558</v>
      </c>
      <c r="I1202">
        <v>1</v>
      </c>
      <c r="J1202">
        <v>0</v>
      </c>
      <c r="K1202">
        <v>3</v>
      </c>
      <c r="L1202">
        <v>1</v>
      </c>
      <c r="M1202">
        <v>5</v>
      </c>
      <c r="N1202">
        <v>4</v>
      </c>
      <c r="O1202">
        <v>2</v>
      </c>
      <c r="P1202">
        <v>3</v>
      </c>
      <c r="Q1202">
        <f t="shared" si="126"/>
        <v>5</v>
      </c>
      <c r="R1202">
        <f t="shared" si="127"/>
        <v>23</v>
      </c>
      <c r="S1202">
        <f t="array" ref="S1202">MAX(IF($C$2:$C$1387=C1202,$R$2:$R$1387))</f>
        <v>29</v>
      </c>
      <c r="T1202" cm="1">
        <f t="array" ref="T1202">MIN(IF($C$2:$C$1387=C1202,$R$2:$R$1387))</f>
        <v>9</v>
      </c>
      <c r="U1202">
        <f t="shared" si="128"/>
        <v>20</v>
      </c>
      <c r="V1202">
        <f t="shared" si="129"/>
        <v>0.7</v>
      </c>
      <c r="W1202" cm="1">
        <f t="array" ref="W1202">_xlfn.IFS(N1202=1,5,N1202=2,4,N1202=4,2,N1202=5,1,N1202=3,3)</f>
        <v>2</v>
      </c>
      <c r="X1202">
        <f t="shared" si="130"/>
        <v>21</v>
      </c>
      <c r="Y1202" cm="1">
        <f t="array" ref="Y1202">MAX(IF($C$2:$C$1387=C1202,$X$2:$X$1387))</f>
        <v>29</v>
      </c>
      <c r="Z1202" cm="1">
        <f t="array" ref="Z1202">MIN(IF($C$2:$C$1387=C1202,$X$2:$X$1387))</f>
        <v>12</v>
      </c>
      <c r="AA1202">
        <f t="shared" si="131"/>
        <v>17</v>
      </c>
      <c r="AB1202">
        <f t="shared" si="132"/>
        <v>0.52941176470588236</v>
      </c>
    </row>
    <row r="1203" spans="1:28" x14ac:dyDescent="0.25">
      <c r="A1203" t="s">
        <v>428</v>
      </c>
      <c r="B1203" t="s">
        <v>429</v>
      </c>
      <c r="C1203">
        <v>2011</v>
      </c>
      <c r="D1203">
        <v>0.1293623085893269</v>
      </c>
      <c r="E1203">
        <v>0.38409424876944154</v>
      </c>
      <c r="F1203">
        <v>0.19566049233325045</v>
      </c>
      <c r="G1203">
        <v>2.1972245773362196</v>
      </c>
      <c r="H1203">
        <v>0.55555555555555558</v>
      </c>
      <c r="I1203">
        <v>1</v>
      </c>
      <c r="J1203">
        <v>0</v>
      </c>
      <c r="K1203">
        <v>3</v>
      </c>
      <c r="L1203">
        <v>1</v>
      </c>
      <c r="M1203">
        <v>5</v>
      </c>
      <c r="N1203">
        <v>4</v>
      </c>
      <c r="O1203">
        <v>2</v>
      </c>
      <c r="P1203">
        <v>3</v>
      </c>
      <c r="Q1203">
        <f t="shared" si="126"/>
        <v>5</v>
      </c>
      <c r="R1203">
        <f t="shared" si="127"/>
        <v>23</v>
      </c>
      <c r="S1203">
        <f t="array" ref="S1203">MAX(IF($C$2:$C$1387=C1203,$R$2:$R$1387))</f>
        <v>28</v>
      </c>
      <c r="T1203" cm="1">
        <f t="array" ref="T1203">MIN(IF($C$2:$C$1387=C1203,$R$2:$R$1387))</f>
        <v>10</v>
      </c>
      <c r="U1203">
        <f t="shared" si="128"/>
        <v>18</v>
      </c>
      <c r="V1203">
        <f t="shared" si="129"/>
        <v>0.72222222222222221</v>
      </c>
      <c r="W1203" cm="1">
        <f t="array" ref="W1203">_xlfn.IFS(N1203=1,5,N1203=2,4,N1203=4,2,N1203=5,1,N1203=3,3)</f>
        <v>2</v>
      </c>
      <c r="X1203">
        <f t="shared" si="130"/>
        <v>21</v>
      </c>
      <c r="Y1203" cm="1">
        <f t="array" ref="Y1203">MAX(IF($C$2:$C$1387=C1203,$X$2:$X$1387))</f>
        <v>29</v>
      </c>
      <c r="Z1203" cm="1">
        <f t="array" ref="Z1203">MIN(IF($C$2:$C$1387=C1203,$X$2:$X$1387))</f>
        <v>12</v>
      </c>
      <c r="AA1203">
        <f t="shared" si="131"/>
        <v>17</v>
      </c>
      <c r="AB1203">
        <f t="shared" si="132"/>
        <v>0.52941176470588236</v>
      </c>
    </row>
    <row r="1204" spans="1:28" x14ac:dyDescent="0.25">
      <c r="A1204" t="s">
        <v>428</v>
      </c>
      <c r="B1204" t="s">
        <v>429</v>
      </c>
      <c r="C1204">
        <v>2012</v>
      </c>
      <c r="D1204">
        <v>0.11861356942908743</v>
      </c>
      <c r="E1204">
        <v>0.38525971080650323</v>
      </c>
      <c r="F1204">
        <v>0.16115830817509613</v>
      </c>
      <c r="G1204">
        <v>2.1972245773362196</v>
      </c>
      <c r="H1204">
        <v>0.77777777777777779</v>
      </c>
      <c r="I1204">
        <v>1</v>
      </c>
      <c r="J1204">
        <v>0</v>
      </c>
      <c r="K1204">
        <v>3</v>
      </c>
      <c r="L1204">
        <v>1</v>
      </c>
      <c r="M1204">
        <v>5</v>
      </c>
      <c r="N1204">
        <v>4</v>
      </c>
      <c r="O1204">
        <v>5</v>
      </c>
      <c r="P1204">
        <v>3</v>
      </c>
      <c r="Q1204">
        <f t="shared" si="126"/>
        <v>5</v>
      </c>
      <c r="R1204">
        <f t="shared" si="127"/>
        <v>26</v>
      </c>
      <c r="S1204">
        <f t="array" ref="S1204">MAX(IF($C$2:$C$1387=C1204,$R$2:$R$1387))</f>
        <v>29</v>
      </c>
      <c r="T1204" cm="1">
        <f t="array" ref="T1204">MIN(IF($C$2:$C$1387=C1204,$R$2:$R$1387))</f>
        <v>11</v>
      </c>
      <c r="U1204">
        <f t="shared" si="128"/>
        <v>18</v>
      </c>
      <c r="V1204">
        <f t="shared" si="129"/>
        <v>0.83333333333333337</v>
      </c>
      <c r="W1204" cm="1">
        <f t="array" ref="W1204">_xlfn.IFS(N1204=1,5,N1204=2,4,N1204=4,2,N1204=5,1,N1204=3,3)</f>
        <v>2</v>
      </c>
      <c r="X1204">
        <f t="shared" si="130"/>
        <v>24</v>
      </c>
      <c r="Y1204" cm="1">
        <f t="array" ref="Y1204">MAX(IF($C$2:$C$1387=C1204,$X$2:$X$1387))</f>
        <v>30</v>
      </c>
      <c r="Z1204" cm="1">
        <f t="array" ref="Z1204">MIN(IF($C$2:$C$1387=C1204,$X$2:$X$1387))</f>
        <v>12</v>
      </c>
      <c r="AA1204">
        <f t="shared" si="131"/>
        <v>18</v>
      </c>
      <c r="AB1204">
        <f t="shared" si="132"/>
        <v>0.66666666666666663</v>
      </c>
    </row>
    <row r="1205" spans="1:28" x14ac:dyDescent="0.25">
      <c r="A1205" t="s">
        <v>428</v>
      </c>
      <c r="B1205" t="s">
        <v>429</v>
      </c>
      <c r="C1205">
        <v>2013</v>
      </c>
      <c r="D1205">
        <v>0.1293623085893269</v>
      </c>
      <c r="E1205">
        <v>0.41381644283068486</v>
      </c>
      <c r="F1205">
        <v>0.19803128635558037</v>
      </c>
      <c r="G1205">
        <v>2.1972245773362196</v>
      </c>
      <c r="H1205">
        <v>0.66666666666666663</v>
      </c>
      <c r="I1205">
        <v>0.5</v>
      </c>
      <c r="J1205">
        <v>0</v>
      </c>
      <c r="K1205">
        <v>3</v>
      </c>
      <c r="L1205">
        <v>1</v>
      </c>
      <c r="M1205">
        <v>5</v>
      </c>
      <c r="N1205">
        <v>4</v>
      </c>
      <c r="O1205">
        <v>4</v>
      </c>
      <c r="P1205">
        <v>1</v>
      </c>
      <c r="Q1205">
        <f t="shared" si="126"/>
        <v>5</v>
      </c>
      <c r="R1205">
        <f t="shared" si="127"/>
        <v>23</v>
      </c>
      <c r="S1205">
        <f t="array" ref="S1205">MAX(IF($C$2:$C$1387=C1205,$R$2:$R$1387))</f>
        <v>29</v>
      </c>
      <c r="T1205" cm="1">
        <f t="array" ref="T1205">MIN(IF($C$2:$C$1387=C1205,$R$2:$R$1387))</f>
        <v>10</v>
      </c>
      <c r="U1205">
        <f t="shared" si="128"/>
        <v>19</v>
      </c>
      <c r="V1205">
        <f t="shared" si="129"/>
        <v>0.68421052631578949</v>
      </c>
      <c r="W1205" cm="1">
        <f t="array" ref="W1205">_xlfn.IFS(N1205=1,5,N1205=2,4,N1205=4,2,N1205=5,1,N1205=3,3)</f>
        <v>2</v>
      </c>
      <c r="X1205">
        <f t="shared" si="130"/>
        <v>21</v>
      </c>
      <c r="Y1205" cm="1">
        <f t="array" ref="Y1205">MAX(IF($C$2:$C$1387=C1205,$X$2:$X$1387))</f>
        <v>32</v>
      </c>
      <c r="Z1205" cm="1">
        <f t="array" ref="Z1205">MIN(IF($C$2:$C$1387=C1205,$X$2:$X$1387))</f>
        <v>10</v>
      </c>
      <c r="AA1205">
        <f t="shared" si="131"/>
        <v>22</v>
      </c>
      <c r="AB1205">
        <f t="shared" si="132"/>
        <v>0.5</v>
      </c>
    </row>
    <row r="1206" spans="1:28" x14ac:dyDescent="0.25">
      <c r="A1206" t="s">
        <v>428</v>
      </c>
      <c r="B1206" t="s">
        <v>429</v>
      </c>
      <c r="C1206">
        <v>2014</v>
      </c>
      <c r="D1206">
        <v>0.1293623085893269</v>
      </c>
      <c r="E1206">
        <v>0.37920250917399456</v>
      </c>
      <c r="F1206">
        <v>0.1496823922991716</v>
      </c>
      <c r="G1206">
        <v>2.1972245773362196</v>
      </c>
      <c r="H1206">
        <v>0.55555555555555558</v>
      </c>
      <c r="I1206">
        <v>0.66666666666666663</v>
      </c>
      <c r="J1206">
        <v>0</v>
      </c>
      <c r="K1206">
        <v>3</v>
      </c>
      <c r="L1206">
        <v>1</v>
      </c>
      <c r="M1206">
        <v>5</v>
      </c>
      <c r="N1206">
        <v>4</v>
      </c>
      <c r="O1206">
        <v>2</v>
      </c>
      <c r="P1206">
        <v>1</v>
      </c>
      <c r="Q1206">
        <f t="shared" si="126"/>
        <v>5</v>
      </c>
      <c r="R1206">
        <f t="shared" si="127"/>
        <v>21</v>
      </c>
      <c r="S1206">
        <f t="array" ref="S1206">MAX(IF($C$2:$C$1387=C1206,$R$2:$R$1387))</f>
        <v>29</v>
      </c>
      <c r="T1206" cm="1">
        <f t="array" ref="T1206">MIN(IF($C$2:$C$1387=C1206,$R$2:$R$1387))</f>
        <v>11</v>
      </c>
      <c r="U1206">
        <f t="shared" si="128"/>
        <v>18</v>
      </c>
      <c r="V1206">
        <f t="shared" si="129"/>
        <v>0.55555555555555558</v>
      </c>
      <c r="W1206" cm="1">
        <f t="array" ref="W1206">_xlfn.IFS(N1206=1,5,N1206=2,4,N1206=4,2,N1206=5,1,N1206=3,3)</f>
        <v>2</v>
      </c>
      <c r="X1206">
        <f t="shared" si="130"/>
        <v>19</v>
      </c>
      <c r="Y1206" cm="1">
        <f t="array" ref="Y1206">MAX(IF($C$2:$C$1387=C1206,$X$2:$X$1387))</f>
        <v>30</v>
      </c>
      <c r="Z1206" cm="1">
        <f t="array" ref="Z1206">MIN(IF($C$2:$C$1387=C1206,$X$2:$X$1387))</f>
        <v>14</v>
      </c>
      <c r="AA1206">
        <f t="shared" si="131"/>
        <v>16</v>
      </c>
      <c r="AB1206">
        <f t="shared" si="132"/>
        <v>0.3125</v>
      </c>
    </row>
    <row r="1207" spans="1:28" x14ac:dyDescent="0.25">
      <c r="A1207" t="s">
        <v>428</v>
      </c>
      <c r="B1207" t="s">
        <v>429</v>
      </c>
      <c r="C1207">
        <v>2015</v>
      </c>
      <c r="D1207">
        <v>0.1293623085893269</v>
      </c>
      <c r="E1207">
        <v>0.3795813210334385</v>
      </c>
      <c r="F1207">
        <v>0.14667557316483529</v>
      </c>
      <c r="G1207">
        <v>2.1972245773362196</v>
      </c>
      <c r="H1207">
        <v>0.66666666666666663</v>
      </c>
      <c r="I1207">
        <v>1</v>
      </c>
      <c r="J1207">
        <v>0</v>
      </c>
      <c r="K1207">
        <v>3</v>
      </c>
      <c r="L1207">
        <v>1</v>
      </c>
      <c r="M1207">
        <v>4</v>
      </c>
      <c r="N1207">
        <v>4</v>
      </c>
      <c r="O1207">
        <v>2</v>
      </c>
      <c r="P1207">
        <v>2</v>
      </c>
      <c r="Q1207">
        <f t="shared" si="126"/>
        <v>5</v>
      </c>
      <c r="R1207">
        <f t="shared" si="127"/>
        <v>21</v>
      </c>
      <c r="S1207">
        <f t="array" ref="S1207">MAX(IF($C$2:$C$1387=C1207,$R$2:$R$1387))</f>
        <v>29</v>
      </c>
      <c r="T1207" cm="1">
        <f t="array" ref="T1207">MIN(IF($C$2:$C$1387=C1207,$R$2:$R$1387))</f>
        <v>11</v>
      </c>
      <c r="U1207">
        <f t="shared" si="128"/>
        <v>18</v>
      </c>
      <c r="V1207">
        <f t="shared" si="129"/>
        <v>0.55555555555555558</v>
      </c>
      <c r="W1207" cm="1">
        <f t="array" ref="W1207">_xlfn.IFS(N1207=1,5,N1207=2,4,N1207=4,2,N1207=5,1,N1207=3,3)</f>
        <v>2</v>
      </c>
      <c r="X1207">
        <f t="shared" si="130"/>
        <v>19</v>
      </c>
      <c r="Y1207" cm="1">
        <f t="array" ref="Y1207">MAX(IF($C$2:$C$1387=C1207,$X$2:$X$1387))</f>
        <v>29</v>
      </c>
      <c r="Z1207" cm="1">
        <f t="array" ref="Z1207">MIN(IF($C$2:$C$1387=C1207,$X$2:$X$1387))</f>
        <v>12</v>
      </c>
      <c r="AA1207">
        <f t="shared" si="131"/>
        <v>17</v>
      </c>
      <c r="AB1207">
        <f t="shared" si="132"/>
        <v>0.41176470588235292</v>
      </c>
    </row>
    <row r="1208" spans="1:28" x14ac:dyDescent="0.25">
      <c r="A1208" t="s">
        <v>430</v>
      </c>
      <c r="B1208" t="s">
        <v>431</v>
      </c>
      <c r="C1208">
        <v>2010</v>
      </c>
      <c r="D1208">
        <v>9.9999997764825814E-5</v>
      </c>
      <c r="E1208">
        <v>0.92655592547966015</v>
      </c>
      <c r="F1208">
        <v>0.17749999999999999</v>
      </c>
      <c r="G1208">
        <v>2.0794415416798357</v>
      </c>
      <c r="H1208">
        <v>0.25</v>
      </c>
      <c r="I1208">
        <v>1</v>
      </c>
      <c r="J1208">
        <v>0</v>
      </c>
      <c r="K1208">
        <v>1</v>
      </c>
      <c r="L1208">
        <v>5</v>
      </c>
      <c r="M1208">
        <v>5</v>
      </c>
      <c r="N1208">
        <v>3</v>
      </c>
      <c r="O1208">
        <v>1</v>
      </c>
      <c r="P1208">
        <v>3</v>
      </c>
      <c r="Q1208">
        <f t="shared" si="126"/>
        <v>5</v>
      </c>
      <c r="R1208">
        <f t="shared" si="127"/>
        <v>23</v>
      </c>
      <c r="S1208">
        <f t="array" ref="S1208">MAX(IF($C$2:$C$1387=C1208,$R$2:$R$1387))</f>
        <v>29</v>
      </c>
      <c r="T1208" cm="1">
        <f t="array" ref="T1208">MIN(IF($C$2:$C$1387=C1208,$R$2:$R$1387))</f>
        <v>9</v>
      </c>
      <c r="U1208">
        <f t="shared" si="128"/>
        <v>20</v>
      </c>
      <c r="V1208">
        <f t="shared" si="129"/>
        <v>0.7</v>
      </c>
      <c r="W1208" cm="1">
        <f t="array" ref="W1208">_xlfn.IFS(N1208=1,5,N1208=2,4,N1208=4,2,N1208=5,1,N1208=3,3)</f>
        <v>3</v>
      </c>
      <c r="X1208">
        <f t="shared" si="130"/>
        <v>23</v>
      </c>
      <c r="Y1208" cm="1">
        <f t="array" ref="Y1208">MAX(IF($C$2:$C$1387=C1208,$X$2:$X$1387))</f>
        <v>29</v>
      </c>
      <c r="Z1208" cm="1">
        <f t="array" ref="Z1208">MIN(IF($C$2:$C$1387=C1208,$X$2:$X$1387))</f>
        <v>12</v>
      </c>
      <c r="AA1208">
        <f t="shared" si="131"/>
        <v>17</v>
      </c>
      <c r="AB1208">
        <f t="shared" si="132"/>
        <v>0.6470588235294118</v>
      </c>
    </row>
    <row r="1209" spans="1:28" x14ac:dyDescent="0.25">
      <c r="A1209" t="s">
        <v>430</v>
      </c>
      <c r="B1209" t="s">
        <v>431</v>
      </c>
      <c r="C1209">
        <v>2011</v>
      </c>
      <c r="D1209">
        <v>0</v>
      </c>
      <c r="E1209">
        <v>0.92970942169896897</v>
      </c>
      <c r="F1209">
        <v>0.17472093310603554</v>
      </c>
      <c r="G1209">
        <v>1.9459101490553132</v>
      </c>
      <c r="H1209">
        <v>0.8571428571428571</v>
      </c>
      <c r="I1209">
        <v>1</v>
      </c>
      <c r="J1209">
        <v>0</v>
      </c>
      <c r="K1209">
        <v>1</v>
      </c>
      <c r="L1209">
        <v>5</v>
      </c>
      <c r="M1209">
        <v>5</v>
      </c>
      <c r="N1209">
        <v>1</v>
      </c>
      <c r="O1209">
        <v>5</v>
      </c>
      <c r="P1209">
        <v>3</v>
      </c>
      <c r="Q1209">
        <f t="shared" si="126"/>
        <v>5</v>
      </c>
      <c r="R1209">
        <f t="shared" si="127"/>
        <v>25</v>
      </c>
      <c r="S1209">
        <f t="array" ref="S1209">MAX(IF($C$2:$C$1387=C1209,$R$2:$R$1387))</f>
        <v>28</v>
      </c>
      <c r="T1209" cm="1">
        <f t="array" ref="T1209">MIN(IF($C$2:$C$1387=C1209,$R$2:$R$1387))</f>
        <v>10</v>
      </c>
      <c r="U1209">
        <f t="shared" si="128"/>
        <v>18</v>
      </c>
      <c r="V1209">
        <f t="shared" si="129"/>
        <v>0.83333333333333337</v>
      </c>
      <c r="W1209" cm="1">
        <f t="array" ref="W1209">_xlfn.IFS(N1209=1,5,N1209=2,4,N1209=4,2,N1209=5,1,N1209=3,3)</f>
        <v>5</v>
      </c>
      <c r="X1209">
        <f t="shared" si="130"/>
        <v>29</v>
      </c>
      <c r="Y1209" cm="1">
        <f t="array" ref="Y1209">MAX(IF($C$2:$C$1387=C1209,$X$2:$X$1387))</f>
        <v>29</v>
      </c>
      <c r="Z1209" cm="1">
        <f t="array" ref="Z1209">MIN(IF($C$2:$C$1387=C1209,$X$2:$X$1387))</f>
        <v>12</v>
      </c>
      <c r="AA1209">
        <f t="shared" si="131"/>
        <v>17</v>
      </c>
      <c r="AB1209">
        <f t="shared" si="132"/>
        <v>1</v>
      </c>
    </row>
    <row r="1210" spans="1:28" x14ac:dyDescent="0.25">
      <c r="A1210" t="s">
        <v>430</v>
      </c>
      <c r="B1210" t="s">
        <v>431</v>
      </c>
      <c r="C1210">
        <v>2012</v>
      </c>
      <c r="D1210">
        <v>0</v>
      </c>
      <c r="E1210">
        <v>0.92970942169896897</v>
      </c>
      <c r="F1210">
        <v>0.17472093310603554</v>
      </c>
      <c r="G1210">
        <v>1.9459101490553132</v>
      </c>
      <c r="H1210">
        <v>0.8571428571428571</v>
      </c>
      <c r="I1210">
        <v>0.75</v>
      </c>
      <c r="J1210">
        <v>0</v>
      </c>
      <c r="K1210">
        <v>1</v>
      </c>
      <c r="L1210">
        <v>5</v>
      </c>
      <c r="M1210">
        <v>5</v>
      </c>
      <c r="N1210">
        <v>1</v>
      </c>
      <c r="O1210">
        <v>5</v>
      </c>
      <c r="P1210">
        <v>3</v>
      </c>
      <c r="Q1210">
        <f t="shared" si="126"/>
        <v>5</v>
      </c>
      <c r="R1210">
        <f t="shared" si="127"/>
        <v>25</v>
      </c>
      <c r="S1210">
        <f t="array" ref="S1210">MAX(IF($C$2:$C$1387=C1210,$R$2:$R$1387))</f>
        <v>29</v>
      </c>
      <c r="T1210" cm="1">
        <f t="array" ref="T1210">MIN(IF($C$2:$C$1387=C1210,$R$2:$R$1387))</f>
        <v>11</v>
      </c>
      <c r="U1210">
        <f t="shared" si="128"/>
        <v>18</v>
      </c>
      <c r="V1210">
        <f t="shared" si="129"/>
        <v>0.77777777777777779</v>
      </c>
      <c r="W1210" cm="1">
        <f t="array" ref="W1210">_xlfn.IFS(N1210=1,5,N1210=2,4,N1210=4,2,N1210=5,1,N1210=3,3)</f>
        <v>5</v>
      </c>
      <c r="X1210">
        <f t="shared" si="130"/>
        <v>29</v>
      </c>
      <c r="Y1210" cm="1">
        <f t="array" ref="Y1210">MAX(IF($C$2:$C$1387=C1210,$X$2:$X$1387))</f>
        <v>30</v>
      </c>
      <c r="Z1210" cm="1">
        <f t="array" ref="Z1210">MIN(IF($C$2:$C$1387=C1210,$X$2:$X$1387))</f>
        <v>12</v>
      </c>
      <c r="AA1210">
        <f t="shared" si="131"/>
        <v>18</v>
      </c>
      <c r="AB1210">
        <f t="shared" si="132"/>
        <v>0.94444444444444442</v>
      </c>
    </row>
    <row r="1211" spans="1:28" x14ac:dyDescent="0.25">
      <c r="A1211" t="s">
        <v>430</v>
      </c>
      <c r="B1211" t="s">
        <v>431</v>
      </c>
      <c r="C1211">
        <v>2013</v>
      </c>
      <c r="D1211">
        <v>6.0627835184927626E-5</v>
      </c>
      <c r="E1211">
        <v>0.91469772719584019</v>
      </c>
      <c r="F1211">
        <v>0.14342181319181665</v>
      </c>
      <c r="G1211">
        <v>2.0794415416798357</v>
      </c>
      <c r="H1211">
        <v>0.75</v>
      </c>
      <c r="I1211">
        <v>1</v>
      </c>
      <c r="J1211">
        <v>0</v>
      </c>
      <c r="K1211">
        <v>1</v>
      </c>
      <c r="L1211">
        <v>5</v>
      </c>
      <c r="M1211">
        <v>5</v>
      </c>
      <c r="N1211">
        <v>3</v>
      </c>
      <c r="O1211">
        <v>5</v>
      </c>
      <c r="P1211">
        <v>3</v>
      </c>
      <c r="Q1211">
        <f t="shared" si="126"/>
        <v>5</v>
      </c>
      <c r="R1211">
        <f t="shared" si="127"/>
        <v>27</v>
      </c>
      <c r="S1211">
        <f t="array" ref="S1211">MAX(IF($C$2:$C$1387=C1211,$R$2:$R$1387))</f>
        <v>29</v>
      </c>
      <c r="T1211" cm="1">
        <f t="array" ref="T1211">MIN(IF($C$2:$C$1387=C1211,$R$2:$R$1387))</f>
        <v>10</v>
      </c>
      <c r="U1211">
        <f t="shared" si="128"/>
        <v>19</v>
      </c>
      <c r="V1211">
        <f t="shared" si="129"/>
        <v>0.89473684210526316</v>
      </c>
      <c r="W1211" cm="1">
        <f t="array" ref="W1211">_xlfn.IFS(N1211=1,5,N1211=2,4,N1211=4,2,N1211=5,1,N1211=3,3)</f>
        <v>3</v>
      </c>
      <c r="X1211">
        <f t="shared" si="130"/>
        <v>27</v>
      </c>
      <c r="Y1211" cm="1">
        <f t="array" ref="Y1211">MAX(IF($C$2:$C$1387=C1211,$X$2:$X$1387))</f>
        <v>32</v>
      </c>
      <c r="Z1211" cm="1">
        <f t="array" ref="Z1211">MIN(IF($C$2:$C$1387=C1211,$X$2:$X$1387))</f>
        <v>10</v>
      </c>
      <c r="AA1211">
        <f t="shared" si="131"/>
        <v>22</v>
      </c>
      <c r="AB1211">
        <f t="shared" si="132"/>
        <v>0.77272727272727271</v>
      </c>
    </row>
    <row r="1212" spans="1:28" x14ac:dyDescent="0.25">
      <c r="A1212" t="s">
        <v>430</v>
      </c>
      <c r="B1212" t="s">
        <v>431</v>
      </c>
      <c r="C1212">
        <v>2014</v>
      </c>
      <c r="D1212">
        <v>6.0627835184927626E-5</v>
      </c>
      <c r="E1212">
        <v>0.91469772719584019</v>
      </c>
      <c r="F1212">
        <v>0.14342181319181665</v>
      </c>
      <c r="G1212">
        <v>2.0794415416798357</v>
      </c>
      <c r="H1212">
        <v>0.75</v>
      </c>
      <c r="I1212">
        <v>1</v>
      </c>
      <c r="J1212">
        <v>0</v>
      </c>
      <c r="K1212">
        <v>1</v>
      </c>
      <c r="L1212">
        <v>5</v>
      </c>
      <c r="M1212">
        <v>4</v>
      </c>
      <c r="N1212">
        <v>3</v>
      </c>
      <c r="O1212">
        <v>5</v>
      </c>
      <c r="P1212">
        <v>3</v>
      </c>
      <c r="Q1212">
        <f t="shared" si="126"/>
        <v>5</v>
      </c>
      <c r="R1212">
        <f t="shared" si="127"/>
        <v>26</v>
      </c>
      <c r="S1212">
        <f t="array" ref="S1212">MAX(IF($C$2:$C$1387=C1212,$R$2:$R$1387))</f>
        <v>29</v>
      </c>
      <c r="T1212" cm="1">
        <f t="array" ref="T1212">MIN(IF($C$2:$C$1387=C1212,$R$2:$R$1387))</f>
        <v>11</v>
      </c>
      <c r="U1212">
        <f t="shared" si="128"/>
        <v>18</v>
      </c>
      <c r="V1212">
        <f t="shared" si="129"/>
        <v>0.83333333333333337</v>
      </c>
      <c r="W1212" cm="1">
        <f t="array" ref="W1212">_xlfn.IFS(N1212=1,5,N1212=2,4,N1212=4,2,N1212=5,1,N1212=3,3)</f>
        <v>3</v>
      </c>
      <c r="X1212">
        <f t="shared" si="130"/>
        <v>26</v>
      </c>
      <c r="Y1212" cm="1">
        <f t="array" ref="Y1212">MAX(IF($C$2:$C$1387=C1212,$X$2:$X$1387))</f>
        <v>30</v>
      </c>
      <c r="Z1212" cm="1">
        <f t="array" ref="Z1212">MIN(IF($C$2:$C$1387=C1212,$X$2:$X$1387))</f>
        <v>14</v>
      </c>
      <c r="AA1212">
        <f t="shared" si="131"/>
        <v>16</v>
      </c>
      <c r="AB1212">
        <f t="shared" si="132"/>
        <v>0.75</v>
      </c>
    </row>
    <row r="1213" spans="1:28" x14ac:dyDescent="0.25">
      <c r="A1213" t="s">
        <v>430</v>
      </c>
      <c r="B1213" t="s">
        <v>431</v>
      </c>
      <c r="C1213">
        <v>2015</v>
      </c>
      <c r="D1213">
        <v>6.0627835184927626E-5</v>
      </c>
      <c r="E1213">
        <v>0.92361717305257629</v>
      </c>
      <c r="F1213">
        <v>6.2549131281937981E-2</v>
      </c>
      <c r="G1213">
        <v>2.0794415416798357</v>
      </c>
      <c r="H1213">
        <v>0.75</v>
      </c>
      <c r="I1213">
        <v>1</v>
      </c>
      <c r="J1213">
        <v>0</v>
      </c>
      <c r="K1213">
        <v>1</v>
      </c>
      <c r="L1213">
        <v>5</v>
      </c>
      <c r="M1213">
        <v>3</v>
      </c>
      <c r="N1213">
        <v>3</v>
      </c>
      <c r="O1213">
        <v>4</v>
      </c>
      <c r="P1213">
        <v>2</v>
      </c>
      <c r="Q1213">
        <f t="shared" si="126"/>
        <v>5</v>
      </c>
      <c r="R1213">
        <f t="shared" si="127"/>
        <v>23</v>
      </c>
      <c r="S1213">
        <f t="array" ref="S1213">MAX(IF($C$2:$C$1387=C1213,$R$2:$R$1387))</f>
        <v>29</v>
      </c>
      <c r="T1213" cm="1">
        <f t="array" ref="T1213">MIN(IF($C$2:$C$1387=C1213,$R$2:$R$1387))</f>
        <v>11</v>
      </c>
      <c r="U1213">
        <f t="shared" si="128"/>
        <v>18</v>
      </c>
      <c r="V1213">
        <f t="shared" si="129"/>
        <v>0.66666666666666663</v>
      </c>
      <c r="W1213" cm="1">
        <f t="array" ref="W1213">_xlfn.IFS(N1213=1,5,N1213=2,4,N1213=4,2,N1213=5,1,N1213=3,3)</f>
        <v>3</v>
      </c>
      <c r="X1213">
        <f t="shared" si="130"/>
        <v>23</v>
      </c>
      <c r="Y1213" cm="1">
        <f t="array" ref="Y1213">MAX(IF($C$2:$C$1387=C1213,$X$2:$X$1387))</f>
        <v>29</v>
      </c>
      <c r="Z1213" cm="1">
        <f t="array" ref="Z1213">MIN(IF($C$2:$C$1387=C1213,$X$2:$X$1387))</f>
        <v>12</v>
      </c>
      <c r="AA1213">
        <f t="shared" si="131"/>
        <v>17</v>
      </c>
      <c r="AB1213">
        <f t="shared" si="132"/>
        <v>0.6470588235294118</v>
      </c>
    </row>
    <row r="1214" spans="1:28" x14ac:dyDescent="0.25">
      <c r="A1214" t="s">
        <v>432</v>
      </c>
      <c r="B1214" t="s">
        <v>433</v>
      </c>
      <c r="C1214">
        <v>2010</v>
      </c>
      <c r="D1214">
        <v>3.6494665798712002E-2</v>
      </c>
      <c r="E1214">
        <v>0.94426890350938009</v>
      </c>
      <c r="F1214">
        <v>1.5389613570320875E-5</v>
      </c>
      <c r="G1214">
        <v>2.0794415416798357</v>
      </c>
      <c r="H1214">
        <v>0.5</v>
      </c>
      <c r="I1214">
        <v>0.8</v>
      </c>
      <c r="J1214">
        <v>0</v>
      </c>
      <c r="K1214">
        <v>2</v>
      </c>
      <c r="L1214">
        <v>5</v>
      </c>
      <c r="M1214">
        <v>1</v>
      </c>
      <c r="N1214">
        <v>3</v>
      </c>
      <c r="O1214">
        <v>2</v>
      </c>
      <c r="P1214">
        <v>3</v>
      </c>
      <c r="Q1214">
        <f t="shared" si="126"/>
        <v>5</v>
      </c>
      <c r="R1214">
        <f t="shared" si="127"/>
        <v>21</v>
      </c>
      <c r="S1214">
        <f t="array" ref="S1214">MAX(IF($C$2:$C$1387=C1214,$R$2:$R$1387))</f>
        <v>29</v>
      </c>
      <c r="T1214" cm="1">
        <f t="array" ref="T1214">MIN(IF($C$2:$C$1387=C1214,$R$2:$R$1387))</f>
        <v>9</v>
      </c>
      <c r="U1214">
        <f t="shared" si="128"/>
        <v>20</v>
      </c>
      <c r="V1214">
        <f t="shared" si="129"/>
        <v>0.6</v>
      </c>
      <c r="W1214" cm="1">
        <f t="array" ref="W1214">_xlfn.IFS(N1214=1,5,N1214=2,4,N1214=4,2,N1214=5,1,N1214=3,3)</f>
        <v>3</v>
      </c>
      <c r="X1214">
        <f t="shared" si="130"/>
        <v>21</v>
      </c>
      <c r="Y1214" cm="1">
        <f t="array" ref="Y1214">MAX(IF($C$2:$C$1387=C1214,$X$2:$X$1387))</f>
        <v>29</v>
      </c>
      <c r="Z1214" cm="1">
        <f t="array" ref="Z1214">MIN(IF($C$2:$C$1387=C1214,$X$2:$X$1387))</f>
        <v>12</v>
      </c>
      <c r="AA1214">
        <f t="shared" si="131"/>
        <v>17</v>
      </c>
      <c r="AB1214">
        <f t="shared" si="132"/>
        <v>0.52941176470588236</v>
      </c>
    </row>
    <row r="1215" spans="1:28" x14ac:dyDescent="0.25">
      <c r="A1215" t="s">
        <v>432</v>
      </c>
      <c r="B1215" t="s">
        <v>433</v>
      </c>
      <c r="C1215">
        <v>2011</v>
      </c>
      <c r="D1215">
        <v>3.5814682720259082E-2</v>
      </c>
      <c r="E1215">
        <v>0.94397154581649267</v>
      </c>
      <c r="F1215">
        <v>1.5349640834393683E-5</v>
      </c>
      <c r="G1215">
        <v>2.0794415416798357</v>
      </c>
      <c r="H1215">
        <v>0.625</v>
      </c>
      <c r="I1215">
        <v>1</v>
      </c>
      <c r="J1215">
        <v>0</v>
      </c>
      <c r="K1215">
        <v>2</v>
      </c>
      <c r="L1215">
        <v>5</v>
      </c>
      <c r="M1215">
        <v>1</v>
      </c>
      <c r="N1215">
        <v>3</v>
      </c>
      <c r="O1215">
        <v>3</v>
      </c>
      <c r="P1215">
        <v>3</v>
      </c>
      <c r="Q1215">
        <f t="shared" si="126"/>
        <v>5</v>
      </c>
      <c r="R1215">
        <f t="shared" si="127"/>
        <v>22</v>
      </c>
      <c r="S1215">
        <f t="array" ref="S1215">MAX(IF($C$2:$C$1387=C1215,$R$2:$R$1387))</f>
        <v>28</v>
      </c>
      <c r="T1215" cm="1">
        <f t="array" ref="T1215">MIN(IF($C$2:$C$1387=C1215,$R$2:$R$1387))</f>
        <v>10</v>
      </c>
      <c r="U1215">
        <f t="shared" si="128"/>
        <v>18</v>
      </c>
      <c r="V1215">
        <f t="shared" si="129"/>
        <v>0.66666666666666663</v>
      </c>
      <c r="W1215" cm="1">
        <f t="array" ref="W1215">_xlfn.IFS(N1215=1,5,N1215=2,4,N1215=4,2,N1215=5,1,N1215=3,3)</f>
        <v>3</v>
      </c>
      <c r="X1215">
        <f t="shared" si="130"/>
        <v>22</v>
      </c>
      <c r="Y1215" cm="1">
        <f t="array" ref="Y1215">MAX(IF($C$2:$C$1387=C1215,$X$2:$X$1387))</f>
        <v>29</v>
      </c>
      <c r="Z1215" cm="1">
        <f t="array" ref="Z1215">MIN(IF($C$2:$C$1387=C1215,$X$2:$X$1387))</f>
        <v>12</v>
      </c>
      <c r="AA1215">
        <f t="shared" si="131"/>
        <v>17</v>
      </c>
      <c r="AB1215">
        <f t="shared" si="132"/>
        <v>0.58823529411764708</v>
      </c>
    </row>
    <row r="1216" spans="1:28" x14ac:dyDescent="0.25">
      <c r="A1216" t="s">
        <v>432</v>
      </c>
      <c r="B1216" t="s">
        <v>433</v>
      </c>
      <c r="C1216">
        <v>2012</v>
      </c>
      <c r="D1216">
        <v>3.5729487576359985E-2</v>
      </c>
      <c r="E1216">
        <v>0.94462670259038273</v>
      </c>
      <c r="F1216">
        <v>6.6034950764620954E-3</v>
      </c>
      <c r="G1216">
        <v>2.0794415416798357</v>
      </c>
      <c r="H1216">
        <v>0.625</v>
      </c>
      <c r="I1216">
        <v>0.8</v>
      </c>
      <c r="J1216">
        <v>0</v>
      </c>
      <c r="K1216">
        <v>2</v>
      </c>
      <c r="L1216">
        <v>5</v>
      </c>
      <c r="M1216">
        <v>2</v>
      </c>
      <c r="N1216">
        <v>3</v>
      </c>
      <c r="O1216">
        <v>3</v>
      </c>
      <c r="P1216">
        <v>3</v>
      </c>
      <c r="Q1216">
        <f t="shared" si="126"/>
        <v>5</v>
      </c>
      <c r="R1216">
        <f t="shared" si="127"/>
        <v>23</v>
      </c>
      <c r="S1216">
        <f t="array" ref="S1216">MAX(IF($C$2:$C$1387=C1216,$R$2:$R$1387))</f>
        <v>29</v>
      </c>
      <c r="T1216" cm="1">
        <f t="array" ref="T1216">MIN(IF($C$2:$C$1387=C1216,$R$2:$R$1387))</f>
        <v>11</v>
      </c>
      <c r="U1216">
        <f t="shared" si="128"/>
        <v>18</v>
      </c>
      <c r="V1216">
        <f t="shared" si="129"/>
        <v>0.66666666666666663</v>
      </c>
      <c r="W1216" cm="1">
        <f t="array" ref="W1216">_xlfn.IFS(N1216=1,5,N1216=2,4,N1216=4,2,N1216=5,1,N1216=3,3)</f>
        <v>3</v>
      </c>
      <c r="X1216">
        <f t="shared" si="130"/>
        <v>23</v>
      </c>
      <c r="Y1216" cm="1">
        <f t="array" ref="Y1216">MAX(IF($C$2:$C$1387=C1216,$X$2:$X$1387))</f>
        <v>30</v>
      </c>
      <c r="Z1216" cm="1">
        <f t="array" ref="Z1216">MIN(IF($C$2:$C$1387=C1216,$X$2:$X$1387))</f>
        <v>12</v>
      </c>
      <c r="AA1216">
        <f t="shared" si="131"/>
        <v>18</v>
      </c>
      <c r="AB1216">
        <f t="shared" si="132"/>
        <v>0.61111111111111116</v>
      </c>
    </row>
    <row r="1217" spans="1:28" x14ac:dyDescent="0.25">
      <c r="A1217" t="s">
        <v>432</v>
      </c>
      <c r="B1217" t="s">
        <v>433</v>
      </c>
      <c r="C1217">
        <v>2013</v>
      </c>
      <c r="D1217">
        <v>0</v>
      </c>
      <c r="E1217">
        <v>0.93930511512429016</v>
      </c>
      <c r="F1217">
        <v>6.6045345662261827E-3</v>
      </c>
      <c r="G1217">
        <v>2.0794415416798357</v>
      </c>
      <c r="H1217">
        <v>0.625</v>
      </c>
      <c r="I1217">
        <v>0.8</v>
      </c>
      <c r="J1217">
        <v>0</v>
      </c>
      <c r="K1217">
        <v>1</v>
      </c>
      <c r="L1217">
        <v>5</v>
      </c>
      <c r="M1217">
        <v>2</v>
      </c>
      <c r="N1217">
        <v>3</v>
      </c>
      <c r="O1217">
        <v>3</v>
      </c>
      <c r="P1217">
        <v>3</v>
      </c>
      <c r="Q1217">
        <f t="shared" si="126"/>
        <v>5</v>
      </c>
      <c r="R1217">
        <f t="shared" si="127"/>
        <v>22</v>
      </c>
      <c r="S1217">
        <f t="array" ref="S1217">MAX(IF($C$2:$C$1387=C1217,$R$2:$R$1387))</f>
        <v>29</v>
      </c>
      <c r="T1217" cm="1">
        <f t="array" ref="T1217">MIN(IF($C$2:$C$1387=C1217,$R$2:$R$1387))</f>
        <v>10</v>
      </c>
      <c r="U1217">
        <f t="shared" si="128"/>
        <v>19</v>
      </c>
      <c r="V1217">
        <f t="shared" si="129"/>
        <v>0.63157894736842102</v>
      </c>
      <c r="W1217" cm="1">
        <f t="array" ref="W1217">_xlfn.IFS(N1217=1,5,N1217=2,4,N1217=4,2,N1217=5,1,N1217=3,3)</f>
        <v>3</v>
      </c>
      <c r="X1217">
        <f t="shared" si="130"/>
        <v>22</v>
      </c>
      <c r="Y1217" cm="1">
        <f t="array" ref="Y1217">MAX(IF($C$2:$C$1387=C1217,$X$2:$X$1387))</f>
        <v>32</v>
      </c>
      <c r="Z1217" cm="1">
        <f t="array" ref="Z1217">MIN(IF($C$2:$C$1387=C1217,$X$2:$X$1387))</f>
        <v>10</v>
      </c>
      <c r="AA1217">
        <f t="shared" si="131"/>
        <v>22</v>
      </c>
      <c r="AB1217">
        <f t="shared" si="132"/>
        <v>0.54545454545454541</v>
      </c>
    </row>
    <row r="1218" spans="1:28" x14ac:dyDescent="0.25">
      <c r="A1218" t="s">
        <v>432</v>
      </c>
      <c r="B1218" t="s">
        <v>433</v>
      </c>
      <c r="C1218">
        <v>2014</v>
      </c>
      <c r="D1218">
        <v>0</v>
      </c>
      <c r="E1218">
        <v>0.93930511512429016</v>
      </c>
      <c r="F1218">
        <v>6.6566206272870793E-3</v>
      </c>
      <c r="G1218">
        <v>2.0794415416798357</v>
      </c>
      <c r="H1218">
        <v>0.625</v>
      </c>
      <c r="I1218">
        <v>0.8</v>
      </c>
      <c r="J1218">
        <v>0</v>
      </c>
      <c r="K1218">
        <v>1</v>
      </c>
      <c r="L1218">
        <v>5</v>
      </c>
      <c r="M1218">
        <v>2</v>
      </c>
      <c r="N1218">
        <v>3</v>
      </c>
      <c r="O1218">
        <v>3</v>
      </c>
      <c r="P1218">
        <v>3</v>
      </c>
      <c r="Q1218">
        <f t="shared" si="126"/>
        <v>5</v>
      </c>
      <c r="R1218">
        <f t="shared" si="127"/>
        <v>22</v>
      </c>
      <c r="S1218">
        <f t="array" ref="S1218">MAX(IF($C$2:$C$1387=C1218,$R$2:$R$1387))</f>
        <v>29</v>
      </c>
      <c r="T1218" cm="1">
        <f t="array" ref="T1218">MIN(IF($C$2:$C$1387=C1218,$R$2:$R$1387))</f>
        <v>11</v>
      </c>
      <c r="U1218">
        <f t="shared" si="128"/>
        <v>18</v>
      </c>
      <c r="V1218">
        <f t="shared" si="129"/>
        <v>0.61111111111111116</v>
      </c>
      <c r="W1218" cm="1">
        <f t="array" ref="W1218">_xlfn.IFS(N1218=1,5,N1218=2,4,N1218=4,2,N1218=5,1,N1218=3,3)</f>
        <v>3</v>
      </c>
      <c r="X1218">
        <f t="shared" si="130"/>
        <v>22</v>
      </c>
      <c r="Y1218" cm="1">
        <f t="array" ref="Y1218">MAX(IF($C$2:$C$1387=C1218,$X$2:$X$1387))</f>
        <v>30</v>
      </c>
      <c r="Z1218" cm="1">
        <f t="array" ref="Z1218">MIN(IF($C$2:$C$1387=C1218,$X$2:$X$1387))</f>
        <v>14</v>
      </c>
      <c r="AA1218">
        <f t="shared" si="131"/>
        <v>16</v>
      </c>
      <c r="AB1218">
        <f t="shared" si="132"/>
        <v>0.5</v>
      </c>
    </row>
    <row r="1219" spans="1:28" x14ac:dyDescent="0.25">
      <c r="A1219" t="s">
        <v>432</v>
      </c>
      <c r="B1219" t="s">
        <v>433</v>
      </c>
      <c r="C1219">
        <v>2015</v>
      </c>
      <c r="D1219">
        <v>1.4404912237519838E-2</v>
      </c>
      <c r="E1219">
        <v>0.76718120941058798</v>
      </c>
      <c r="F1219">
        <v>6.5905495138905926E-3</v>
      </c>
      <c r="G1219">
        <v>2.0794415416798357</v>
      </c>
      <c r="H1219">
        <v>0.75</v>
      </c>
      <c r="I1219">
        <v>0.8</v>
      </c>
      <c r="J1219">
        <v>0</v>
      </c>
      <c r="K1219">
        <v>2</v>
      </c>
      <c r="L1219">
        <v>4</v>
      </c>
      <c r="M1219">
        <v>2</v>
      </c>
      <c r="N1219">
        <v>3</v>
      </c>
      <c r="O1219">
        <v>4</v>
      </c>
      <c r="P1219">
        <v>2</v>
      </c>
      <c r="Q1219">
        <f t="shared" ref="Q1219:Q1282" si="133">IF(J1219=0,5,1)</f>
        <v>5</v>
      </c>
      <c r="R1219">
        <f t="shared" ref="R1219:R1282" si="134">SUM(K1219:Q1219)</f>
        <v>22</v>
      </c>
      <c r="S1219">
        <f t="array" ref="S1219">MAX(IF($C$2:$C$1387=C1219,$R$2:$R$1387))</f>
        <v>29</v>
      </c>
      <c r="T1219" cm="1">
        <f t="array" ref="T1219">MIN(IF($C$2:$C$1387=C1219,$R$2:$R$1387))</f>
        <v>11</v>
      </c>
      <c r="U1219">
        <f t="shared" ref="U1219:U1282" si="135">S1219-T1219</f>
        <v>18</v>
      </c>
      <c r="V1219">
        <f t="shared" ref="V1219:V1282" si="136">(R1219-T1219)/U1219</f>
        <v>0.61111111111111116</v>
      </c>
      <c r="W1219" cm="1">
        <f t="array" ref="W1219">_xlfn.IFS(N1219=1,5,N1219=2,4,N1219=4,2,N1219=5,1,N1219=3,3)</f>
        <v>3</v>
      </c>
      <c r="X1219">
        <f t="shared" ref="X1219:X1282" si="137">SUM(K1219:M1219,O1219:Q1219,W1219)</f>
        <v>22</v>
      </c>
      <c r="Y1219" cm="1">
        <f t="array" ref="Y1219">MAX(IF($C$2:$C$1387=C1219,$X$2:$X$1387))</f>
        <v>29</v>
      </c>
      <c r="Z1219" cm="1">
        <f t="array" ref="Z1219">MIN(IF($C$2:$C$1387=C1219,$X$2:$X$1387))</f>
        <v>12</v>
      </c>
      <c r="AA1219">
        <f t="shared" ref="AA1219:AA1282" si="138">Y1219-Z1219</f>
        <v>17</v>
      </c>
      <c r="AB1219">
        <f t="shared" ref="AB1219:AB1282" si="139">(X1219-Z1219)/AA1219</f>
        <v>0.58823529411764708</v>
      </c>
    </row>
    <row r="1220" spans="1:28" x14ac:dyDescent="0.25">
      <c r="A1220" t="s">
        <v>434</v>
      </c>
      <c r="B1220" t="s">
        <v>435</v>
      </c>
      <c r="C1220">
        <v>2010</v>
      </c>
      <c r="D1220">
        <v>0.64319999694824226</v>
      </c>
      <c r="E1220">
        <v>0.74813301354566886</v>
      </c>
      <c r="F1220">
        <v>0.12209999999999997</v>
      </c>
      <c r="G1220">
        <v>2.0794415416798357</v>
      </c>
      <c r="H1220">
        <v>0.375</v>
      </c>
      <c r="I1220">
        <v>1</v>
      </c>
      <c r="J1220">
        <v>0</v>
      </c>
      <c r="K1220">
        <v>5</v>
      </c>
      <c r="L1220">
        <v>4</v>
      </c>
      <c r="M1220">
        <v>4</v>
      </c>
      <c r="N1220">
        <v>3</v>
      </c>
      <c r="O1220">
        <v>2</v>
      </c>
      <c r="P1220">
        <v>3</v>
      </c>
      <c r="Q1220">
        <f t="shared" si="133"/>
        <v>5</v>
      </c>
      <c r="R1220">
        <f t="shared" si="134"/>
        <v>26</v>
      </c>
      <c r="S1220">
        <f t="array" ref="S1220">MAX(IF($C$2:$C$1387=C1220,$R$2:$R$1387))</f>
        <v>29</v>
      </c>
      <c r="T1220" cm="1">
        <f t="array" ref="T1220">MIN(IF($C$2:$C$1387=C1220,$R$2:$R$1387))</f>
        <v>9</v>
      </c>
      <c r="U1220">
        <f t="shared" si="135"/>
        <v>20</v>
      </c>
      <c r="V1220">
        <f t="shared" si="136"/>
        <v>0.85</v>
      </c>
      <c r="W1220" cm="1">
        <f t="array" ref="W1220">_xlfn.IFS(N1220=1,5,N1220=2,4,N1220=4,2,N1220=5,1,N1220=3,3)</f>
        <v>3</v>
      </c>
      <c r="X1220">
        <f t="shared" si="137"/>
        <v>26</v>
      </c>
      <c r="Y1220" cm="1">
        <f t="array" ref="Y1220">MAX(IF($C$2:$C$1387=C1220,$X$2:$X$1387))</f>
        <v>29</v>
      </c>
      <c r="Z1220" cm="1">
        <f t="array" ref="Z1220">MIN(IF($C$2:$C$1387=C1220,$X$2:$X$1387))</f>
        <v>12</v>
      </c>
      <c r="AA1220">
        <f t="shared" si="138"/>
        <v>17</v>
      </c>
      <c r="AB1220">
        <f t="shared" si="139"/>
        <v>0.82352941176470584</v>
      </c>
    </row>
    <row r="1221" spans="1:28" x14ac:dyDescent="0.25">
      <c r="A1221" t="s">
        <v>434</v>
      </c>
      <c r="B1221" t="s">
        <v>435</v>
      </c>
      <c r="C1221">
        <v>2011</v>
      </c>
      <c r="D1221">
        <v>0.6442769342276683</v>
      </c>
      <c r="E1221">
        <v>0.75182457227232524</v>
      </c>
      <c r="F1221">
        <v>0.14881775071133563</v>
      </c>
      <c r="G1221">
        <v>1.9459101490553132</v>
      </c>
      <c r="H1221">
        <v>0.2857142857142857</v>
      </c>
      <c r="I1221">
        <v>1</v>
      </c>
      <c r="J1221">
        <v>0</v>
      </c>
      <c r="K1221">
        <v>5</v>
      </c>
      <c r="L1221">
        <v>4</v>
      </c>
      <c r="M1221">
        <v>4</v>
      </c>
      <c r="N1221">
        <v>1</v>
      </c>
      <c r="O1221">
        <v>1</v>
      </c>
      <c r="P1221">
        <v>3</v>
      </c>
      <c r="Q1221">
        <f t="shared" si="133"/>
        <v>5</v>
      </c>
      <c r="R1221">
        <f t="shared" si="134"/>
        <v>23</v>
      </c>
      <c r="S1221">
        <f t="array" ref="S1221">MAX(IF($C$2:$C$1387=C1221,$R$2:$R$1387))</f>
        <v>28</v>
      </c>
      <c r="T1221" cm="1">
        <f t="array" ref="T1221">MIN(IF($C$2:$C$1387=C1221,$R$2:$R$1387))</f>
        <v>10</v>
      </c>
      <c r="U1221">
        <f t="shared" si="135"/>
        <v>18</v>
      </c>
      <c r="V1221">
        <f t="shared" si="136"/>
        <v>0.72222222222222221</v>
      </c>
      <c r="W1221" cm="1">
        <f t="array" ref="W1221">_xlfn.IFS(N1221=1,5,N1221=2,4,N1221=4,2,N1221=5,1,N1221=3,3)</f>
        <v>5</v>
      </c>
      <c r="X1221">
        <f t="shared" si="137"/>
        <v>27</v>
      </c>
      <c r="Y1221" cm="1">
        <f t="array" ref="Y1221">MAX(IF($C$2:$C$1387=C1221,$X$2:$X$1387))</f>
        <v>29</v>
      </c>
      <c r="Z1221" cm="1">
        <f t="array" ref="Z1221">MIN(IF($C$2:$C$1387=C1221,$X$2:$X$1387))</f>
        <v>12</v>
      </c>
      <c r="AA1221">
        <f t="shared" si="138"/>
        <v>17</v>
      </c>
      <c r="AB1221">
        <f t="shared" si="139"/>
        <v>0.88235294117647056</v>
      </c>
    </row>
    <row r="1222" spans="1:28" x14ac:dyDescent="0.25">
      <c r="A1222" t="s">
        <v>434</v>
      </c>
      <c r="B1222" t="s">
        <v>435</v>
      </c>
      <c r="C1222">
        <v>2012</v>
      </c>
      <c r="D1222">
        <v>0.6588832653597585</v>
      </c>
      <c r="E1222">
        <v>0.74389150123899839</v>
      </c>
      <c r="F1222">
        <v>0.31769168030135786</v>
      </c>
      <c r="G1222">
        <v>1.9459101490553132</v>
      </c>
      <c r="H1222">
        <v>0.2857142857142857</v>
      </c>
      <c r="I1222">
        <v>1</v>
      </c>
      <c r="J1222">
        <v>0</v>
      </c>
      <c r="K1222">
        <v>5</v>
      </c>
      <c r="L1222">
        <v>4</v>
      </c>
      <c r="M1222">
        <v>5</v>
      </c>
      <c r="N1222">
        <v>1</v>
      </c>
      <c r="O1222">
        <v>1</v>
      </c>
      <c r="P1222">
        <v>3</v>
      </c>
      <c r="Q1222">
        <f t="shared" si="133"/>
        <v>5</v>
      </c>
      <c r="R1222">
        <f t="shared" si="134"/>
        <v>24</v>
      </c>
      <c r="S1222">
        <f t="array" ref="S1222">MAX(IF($C$2:$C$1387=C1222,$R$2:$R$1387))</f>
        <v>29</v>
      </c>
      <c r="T1222" cm="1">
        <f t="array" ref="T1222">MIN(IF($C$2:$C$1387=C1222,$R$2:$R$1387))</f>
        <v>11</v>
      </c>
      <c r="U1222">
        <f t="shared" si="135"/>
        <v>18</v>
      </c>
      <c r="V1222">
        <f t="shared" si="136"/>
        <v>0.72222222222222221</v>
      </c>
      <c r="W1222" cm="1">
        <f t="array" ref="W1222">_xlfn.IFS(N1222=1,5,N1222=2,4,N1222=4,2,N1222=5,1,N1222=3,3)</f>
        <v>5</v>
      </c>
      <c r="X1222">
        <f t="shared" si="137"/>
        <v>28</v>
      </c>
      <c r="Y1222" cm="1">
        <f t="array" ref="Y1222">MAX(IF($C$2:$C$1387=C1222,$X$2:$X$1387))</f>
        <v>30</v>
      </c>
      <c r="Z1222" cm="1">
        <f t="array" ref="Z1222">MIN(IF($C$2:$C$1387=C1222,$X$2:$X$1387))</f>
        <v>12</v>
      </c>
      <c r="AA1222">
        <f t="shared" si="138"/>
        <v>18</v>
      </c>
      <c r="AB1222">
        <f t="shared" si="139"/>
        <v>0.88888888888888884</v>
      </c>
    </row>
    <row r="1223" spans="1:28" x14ac:dyDescent="0.25">
      <c r="A1223" t="s">
        <v>434</v>
      </c>
      <c r="B1223" t="s">
        <v>435</v>
      </c>
      <c r="C1223">
        <v>2013</v>
      </c>
      <c r="D1223">
        <v>0.65779911688643555</v>
      </c>
      <c r="E1223">
        <v>0.7448500091486433</v>
      </c>
      <c r="F1223">
        <v>0.10464675947402557</v>
      </c>
      <c r="G1223">
        <v>1.9459101490553132</v>
      </c>
      <c r="H1223">
        <v>0.42857142857142855</v>
      </c>
      <c r="I1223">
        <v>1</v>
      </c>
      <c r="J1223">
        <v>0</v>
      </c>
      <c r="K1223">
        <v>5</v>
      </c>
      <c r="L1223">
        <v>4</v>
      </c>
      <c r="M1223">
        <v>4</v>
      </c>
      <c r="N1223">
        <v>1</v>
      </c>
      <c r="O1223">
        <v>1</v>
      </c>
      <c r="P1223">
        <v>3</v>
      </c>
      <c r="Q1223">
        <f t="shared" si="133"/>
        <v>5</v>
      </c>
      <c r="R1223">
        <f t="shared" si="134"/>
        <v>23</v>
      </c>
      <c r="S1223">
        <f t="array" ref="S1223">MAX(IF($C$2:$C$1387=C1223,$R$2:$R$1387))</f>
        <v>29</v>
      </c>
      <c r="T1223" cm="1">
        <f t="array" ref="T1223">MIN(IF($C$2:$C$1387=C1223,$R$2:$R$1387))</f>
        <v>10</v>
      </c>
      <c r="U1223">
        <f t="shared" si="135"/>
        <v>19</v>
      </c>
      <c r="V1223">
        <f t="shared" si="136"/>
        <v>0.68421052631578949</v>
      </c>
      <c r="W1223" cm="1">
        <f t="array" ref="W1223">_xlfn.IFS(N1223=1,5,N1223=2,4,N1223=4,2,N1223=5,1,N1223=3,3)</f>
        <v>5</v>
      </c>
      <c r="X1223">
        <f t="shared" si="137"/>
        <v>27</v>
      </c>
      <c r="Y1223" cm="1">
        <f t="array" ref="Y1223">MAX(IF($C$2:$C$1387=C1223,$X$2:$X$1387))</f>
        <v>32</v>
      </c>
      <c r="Z1223" cm="1">
        <f t="array" ref="Z1223">MIN(IF($C$2:$C$1387=C1223,$X$2:$X$1387))</f>
        <v>10</v>
      </c>
      <c r="AA1223">
        <f t="shared" si="138"/>
        <v>22</v>
      </c>
      <c r="AB1223">
        <f t="shared" si="139"/>
        <v>0.77272727272727271</v>
      </c>
    </row>
    <row r="1224" spans="1:28" x14ac:dyDescent="0.25">
      <c r="A1224" t="s">
        <v>434</v>
      </c>
      <c r="B1224" t="s">
        <v>435</v>
      </c>
      <c r="C1224">
        <v>2014</v>
      </c>
      <c r="D1224">
        <v>0.64267354668283638</v>
      </c>
      <c r="E1224">
        <v>0.77187642196538619</v>
      </c>
      <c r="F1224">
        <v>0.1491138788861493</v>
      </c>
      <c r="G1224">
        <v>1.9459101490553132</v>
      </c>
      <c r="H1224">
        <v>0.42857142857142855</v>
      </c>
      <c r="I1224">
        <v>1</v>
      </c>
      <c r="J1224">
        <v>0</v>
      </c>
      <c r="K1224">
        <v>5</v>
      </c>
      <c r="L1224">
        <v>4</v>
      </c>
      <c r="M1224">
        <v>5</v>
      </c>
      <c r="N1224">
        <v>1</v>
      </c>
      <c r="O1224">
        <v>1</v>
      </c>
      <c r="P1224">
        <v>3</v>
      </c>
      <c r="Q1224">
        <f t="shared" si="133"/>
        <v>5</v>
      </c>
      <c r="R1224">
        <f t="shared" si="134"/>
        <v>24</v>
      </c>
      <c r="S1224">
        <f t="array" ref="S1224">MAX(IF($C$2:$C$1387=C1224,$R$2:$R$1387))</f>
        <v>29</v>
      </c>
      <c r="T1224" cm="1">
        <f t="array" ref="T1224">MIN(IF($C$2:$C$1387=C1224,$R$2:$R$1387))</f>
        <v>11</v>
      </c>
      <c r="U1224">
        <f t="shared" si="135"/>
        <v>18</v>
      </c>
      <c r="V1224">
        <f t="shared" si="136"/>
        <v>0.72222222222222221</v>
      </c>
      <c r="W1224" cm="1">
        <f t="array" ref="W1224">_xlfn.IFS(N1224=1,5,N1224=2,4,N1224=4,2,N1224=5,1,N1224=3,3)</f>
        <v>5</v>
      </c>
      <c r="X1224">
        <f t="shared" si="137"/>
        <v>28</v>
      </c>
      <c r="Y1224" cm="1">
        <f t="array" ref="Y1224">MAX(IF($C$2:$C$1387=C1224,$X$2:$X$1387))</f>
        <v>30</v>
      </c>
      <c r="Z1224" cm="1">
        <f t="array" ref="Z1224">MIN(IF($C$2:$C$1387=C1224,$X$2:$X$1387))</f>
        <v>14</v>
      </c>
      <c r="AA1224">
        <f t="shared" si="138"/>
        <v>16</v>
      </c>
      <c r="AB1224">
        <f t="shared" si="139"/>
        <v>0.875</v>
      </c>
    </row>
    <row r="1225" spans="1:28" x14ac:dyDescent="0.25">
      <c r="A1225" t="s">
        <v>434</v>
      </c>
      <c r="B1225" t="s">
        <v>435</v>
      </c>
      <c r="C1225">
        <v>2015</v>
      </c>
      <c r="D1225">
        <v>0.64257340392106976</v>
      </c>
      <c r="E1225">
        <v>0.80507211422135949</v>
      </c>
      <c r="F1225">
        <v>0.17094836082025042</v>
      </c>
      <c r="G1225">
        <v>1.9459101490553132</v>
      </c>
      <c r="H1225">
        <v>0.7142857142857143</v>
      </c>
      <c r="I1225">
        <v>1</v>
      </c>
      <c r="J1225">
        <v>0</v>
      </c>
      <c r="K1225">
        <v>5</v>
      </c>
      <c r="L1225">
        <v>4</v>
      </c>
      <c r="M1225">
        <v>5</v>
      </c>
      <c r="N1225">
        <v>1</v>
      </c>
      <c r="O1225">
        <v>3</v>
      </c>
      <c r="P1225">
        <v>2</v>
      </c>
      <c r="Q1225">
        <f t="shared" si="133"/>
        <v>5</v>
      </c>
      <c r="R1225">
        <f t="shared" si="134"/>
        <v>25</v>
      </c>
      <c r="S1225">
        <f t="array" ref="S1225">MAX(IF($C$2:$C$1387=C1225,$R$2:$R$1387))</f>
        <v>29</v>
      </c>
      <c r="T1225" cm="1">
        <f t="array" ref="T1225">MIN(IF($C$2:$C$1387=C1225,$R$2:$R$1387))</f>
        <v>11</v>
      </c>
      <c r="U1225">
        <f t="shared" si="135"/>
        <v>18</v>
      </c>
      <c r="V1225">
        <f t="shared" si="136"/>
        <v>0.77777777777777779</v>
      </c>
      <c r="W1225" cm="1">
        <f t="array" ref="W1225">_xlfn.IFS(N1225=1,5,N1225=2,4,N1225=4,2,N1225=5,1,N1225=3,3)</f>
        <v>5</v>
      </c>
      <c r="X1225">
        <f t="shared" si="137"/>
        <v>29</v>
      </c>
      <c r="Y1225" cm="1">
        <f t="array" ref="Y1225">MAX(IF($C$2:$C$1387=C1225,$X$2:$X$1387))</f>
        <v>29</v>
      </c>
      <c r="Z1225" cm="1">
        <f t="array" ref="Z1225">MIN(IF($C$2:$C$1387=C1225,$X$2:$X$1387))</f>
        <v>12</v>
      </c>
      <c r="AA1225">
        <f t="shared" si="138"/>
        <v>17</v>
      </c>
      <c r="AB1225">
        <f t="shared" si="139"/>
        <v>1</v>
      </c>
    </row>
    <row r="1226" spans="1:28" x14ac:dyDescent="0.25">
      <c r="A1226" t="s">
        <v>436</v>
      </c>
      <c r="B1226" t="s">
        <v>437</v>
      </c>
      <c r="C1226">
        <v>2010</v>
      </c>
      <c r="D1226">
        <v>0.71303908831908835</v>
      </c>
      <c r="E1226">
        <v>0.75130450142450145</v>
      </c>
      <c r="F1226">
        <v>4.7724330484330488E-2</v>
      </c>
      <c r="G1226">
        <v>2.0794415416798357</v>
      </c>
      <c r="H1226">
        <v>0.375</v>
      </c>
      <c r="I1226">
        <v>1</v>
      </c>
      <c r="J1226">
        <v>0</v>
      </c>
      <c r="K1226">
        <v>5</v>
      </c>
      <c r="L1226">
        <v>4</v>
      </c>
      <c r="M1226">
        <v>3</v>
      </c>
      <c r="N1226">
        <v>3</v>
      </c>
      <c r="O1226">
        <v>2</v>
      </c>
      <c r="P1226">
        <v>3</v>
      </c>
      <c r="Q1226">
        <f t="shared" si="133"/>
        <v>5</v>
      </c>
      <c r="R1226">
        <f t="shared" si="134"/>
        <v>25</v>
      </c>
      <c r="S1226">
        <f t="array" ref="S1226">MAX(IF($C$2:$C$1387=C1226,$R$2:$R$1387))</f>
        <v>29</v>
      </c>
      <c r="T1226" cm="1">
        <f t="array" ref="T1226">MIN(IF($C$2:$C$1387=C1226,$R$2:$R$1387))</f>
        <v>9</v>
      </c>
      <c r="U1226">
        <f t="shared" si="135"/>
        <v>20</v>
      </c>
      <c r="V1226">
        <f t="shared" si="136"/>
        <v>0.8</v>
      </c>
      <c r="W1226" cm="1">
        <f t="array" ref="W1226">_xlfn.IFS(N1226=1,5,N1226=2,4,N1226=4,2,N1226=5,1,N1226=3,3)</f>
        <v>3</v>
      </c>
      <c r="X1226">
        <f t="shared" si="137"/>
        <v>25</v>
      </c>
      <c r="Y1226" cm="1">
        <f t="array" ref="Y1226">MAX(IF($C$2:$C$1387=C1226,$X$2:$X$1387))</f>
        <v>29</v>
      </c>
      <c r="Z1226" cm="1">
        <f t="array" ref="Z1226">MIN(IF($C$2:$C$1387=C1226,$X$2:$X$1387))</f>
        <v>12</v>
      </c>
      <c r="AA1226">
        <f t="shared" si="138"/>
        <v>17</v>
      </c>
      <c r="AB1226">
        <f t="shared" si="139"/>
        <v>0.76470588235294112</v>
      </c>
    </row>
    <row r="1227" spans="1:28" x14ac:dyDescent="0.25">
      <c r="A1227" t="s">
        <v>436</v>
      </c>
      <c r="B1227" t="s">
        <v>437</v>
      </c>
      <c r="C1227">
        <v>2011</v>
      </c>
      <c r="D1227">
        <v>0.71303908831908835</v>
      </c>
      <c r="E1227">
        <v>0.75130450142450145</v>
      </c>
      <c r="F1227">
        <v>4.7724330484330488E-2</v>
      </c>
      <c r="G1227">
        <v>2.0794415416798357</v>
      </c>
      <c r="H1227">
        <v>0.375</v>
      </c>
      <c r="I1227">
        <v>1</v>
      </c>
      <c r="J1227">
        <v>0</v>
      </c>
      <c r="K1227">
        <v>5</v>
      </c>
      <c r="L1227">
        <v>4</v>
      </c>
      <c r="M1227">
        <v>3</v>
      </c>
      <c r="N1227">
        <v>3</v>
      </c>
      <c r="O1227">
        <v>1</v>
      </c>
      <c r="P1227">
        <v>3</v>
      </c>
      <c r="Q1227">
        <f t="shared" si="133"/>
        <v>5</v>
      </c>
      <c r="R1227">
        <f t="shared" si="134"/>
        <v>24</v>
      </c>
      <c r="S1227">
        <f t="array" ref="S1227">MAX(IF($C$2:$C$1387=C1227,$R$2:$R$1387))</f>
        <v>28</v>
      </c>
      <c r="T1227" cm="1">
        <f t="array" ref="T1227">MIN(IF($C$2:$C$1387=C1227,$R$2:$R$1387))</f>
        <v>10</v>
      </c>
      <c r="U1227">
        <f t="shared" si="135"/>
        <v>18</v>
      </c>
      <c r="V1227">
        <f t="shared" si="136"/>
        <v>0.77777777777777779</v>
      </c>
      <c r="W1227" cm="1">
        <f t="array" ref="W1227">_xlfn.IFS(N1227=1,5,N1227=2,4,N1227=4,2,N1227=5,1,N1227=3,3)</f>
        <v>3</v>
      </c>
      <c r="X1227">
        <f t="shared" si="137"/>
        <v>24</v>
      </c>
      <c r="Y1227" cm="1">
        <f t="array" ref="Y1227">MAX(IF($C$2:$C$1387=C1227,$X$2:$X$1387))</f>
        <v>29</v>
      </c>
      <c r="Z1227" cm="1">
        <f t="array" ref="Z1227">MIN(IF($C$2:$C$1387=C1227,$X$2:$X$1387))</f>
        <v>12</v>
      </c>
      <c r="AA1227">
        <f t="shared" si="138"/>
        <v>17</v>
      </c>
      <c r="AB1227">
        <f t="shared" si="139"/>
        <v>0.70588235294117652</v>
      </c>
    </row>
    <row r="1228" spans="1:28" x14ac:dyDescent="0.25">
      <c r="A1228" t="s">
        <v>436</v>
      </c>
      <c r="B1228" t="s">
        <v>437</v>
      </c>
      <c r="C1228">
        <v>2012</v>
      </c>
      <c r="D1228">
        <v>0.71303908831908835</v>
      </c>
      <c r="E1228">
        <v>0.75130450142450145</v>
      </c>
      <c r="F1228">
        <v>4.7724330484330488E-2</v>
      </c>
      <c r="G1228">
        <v>2.0794415416798357</v>
      </c>
      <c r="H1228">
        <v>0.375</v>
      </c>
      <c r="I1228">
        <v>1</v>
      </c>
      <c r="J1228">
        <v>0</v>
      </c>
      <c r="K1228">
        <v>5</v>
      </c>
      <c r="L1228">
        <v>4</v>
      </c>
      <c r="M1228">
        <v>3</v>
      </c>
      <c r="N1228">
        <v>3</v>
      </c>
      <c r="O1228">
        <v>1</v>
      </c>
      <c r="P1228">
        <v>3</v>
      </c>
      <c r="Q1228">
        <f t="shared" si="133"/>
        <v>5</v>
      </c>
      <c r="R1228">
        <f t="shared" si="134"/>
        <v>24</v>
      </c>
      <c r="S1228">
        <f t="array" ref="S1228">MAX(IF($C$2:$C$1387=C1228,$R$2:$R$1387))</f>
        <v>29</v>
      </c>
      <c r="T1228" cm="1">
        <f t="array" ref="T1228">MIN(IF($C$2:$C$1387=C1228,$R$2:$R$1387))</f>
        <v>11</v>
      </c>
      <c r="U1228">
        <f t="shared" si="135"/>
        <v>18</v>
      </c>
      <c r="V1228">
        <f t="shared" si="136"/>
        <v>0.72222222222222221</v>
      </c>
      <c r="W1228" cm="1">
        <f t="array" ref="W1228">_xlfn.IFS(N1228=1,5,N1228=2,4,N1228=4,2,N1228=5,1,N1228=3,3)</f>
        <v>3</v>
      </c>
      <c r="X1228">
        <f t="shared" si="137"/>
        <v>24</v>
      </c>
      <c r="Y1228" cm="1">
        <f t="array" ref="Y1228">MAX(IF($C$2:$C$1387=C1228,$X$2:$X$1387))</f>
        <v>30</v>
      </c>
      <c r="Z1228" cm="1">
        <f t="array" ref="Z1228">MIN(IF($C$2:$C$1387=C1228,$X$2:$X$1387))</f>
        <v>12</v>
      </c>
      <c r="AA1228">
        <f t="shared" si="138"/>
        <v>18</v>
      </c>
      <c r="AB1228">
        <f t="shared" si="139"/>
        <v>0.66666666666666663</v>
      </c>
    </row>
    <row r="1229" spans="1:28" x14ac:dyDescent="0.25">
      <c r="A1229" t="s">
        <v>436</v>
      </c>
      <c r="B1229" t="s">
        <v>437</v>
      </c>
      <c r="C1229">
        <v>2013</v>
      </c>
      <c r="D1229">
        <v>0</v>
      </c>
      <c r="E1229">
        <v>0.75130450142450145</v>
      </c>
      <c r="F1229">
        <v>6.4596011396011399E-2</v>
      </c>
      <c r="G1229">
        <v>1.9459101490553132</v>
      </c>
      <c r="H1229">
        <v>0.42857142857142855</v>
      </c>
      <c r="I1229">
        <v>1</v>
      </c>
      <c r="J1229">
        <v>0</v>
      </c>
      <c r="K1229">
        <v>1</v>
      </c>
      <c r="L1229">
        <v>4</v>
      </c>
      <c r="M1229">
        <v>3</v>
      </c>
      <c r="N1229">
        <v>1</v>
      </c>
      <c r="O1229">
        <v>1</v>
      </c>
      <c r="P1229">
        <v>3</v>
      </c>
      <c r="Q1229">
        <f t="shared" si="133"/>
        <v>5</v>
      </c>
      <c r="R1229">
        <f t="shared" si="134"/>
        <v>18</v>
      </c>
      <c r="S1229">
        <f t="array" ref="S1229">MAX(IF($C$2:$C$1387=C1229,$R$2:$R$1387))</f>
        <v>29</v>
      </c>
      <c r="T1229" cm="1">
        <f t="array" ref="T1229">MIN(IF($C$2:$C$1387=C1229,$R$2:$R$1387))</f>
        <v>10</v>
      </c>
      <c r="U1229">
        <f t="shared" si="135"/>
        <v>19</v>
      </c>
      <c r="V1229">
        <f t="shared" si="136"/>
        <v>0.42105263157894735</v>
      </c>
      <c r="W1229" cm="1">
        <f t="array" ref="W1229">_xlfn.IFS(N1229=1,5,N1229=2,4,N1229=4,2,N1229=5,1,N1229=3,3)</f>
        <v>5</v>
      </c>
      <c r="X1229">
        <f t="shared" si="137"/>
        <v>22</v>
      </c>
      <c r="Y1229" cm="1">
        <f t="array" ref="Y1229">MAX(IF($C$2:$C$1387=C1229,$X$2:$X$1387))</f>
        <v>32</v>
      </c>
      <c r="Z1229" cm="1">
        <f t="array" ref="Z1229">MIN(IF($C$2:$C$1387=C1229,$X$2:$X$1387))</f>
        <v>10</v>
      </c>
      <c r="AA1229">
        <f t="shared" si="138"/>
        <v>22</v>
      </c>
      <c r="AB1229">
        <f t="shared" si="139"/>
        <v>0.54545454545454541</v>
      </c>
    </row>
    <row r="1230" spans="1:28" x14ac:dyDescent="0.25">
      <c r="A1230" t="s">
        <v>436</v>
      </c>
      <c r="B1230" t="s">
        <v>437</v>
      </c>
      <c r="C1230">
        <v>2014</v>
      </c>
      <c r="D1230">
        <v>0.71303908831908835</v>
      </c>
      <c r="E1230">
        <v>0.75130450142450145</v>
      </c>
      <c r="F1230">
        <v>6.6430199430199427E-2</v>
      </c>
      <c r="G1230">
        <v>1.9459101490553132</v>
      </c>
      <c r="H1230">
        <v>0.42857142857142855</v>
      </c>
      <c r="I1230">
        <v>1</v>
      </c>
      <c r="J1230">
        <v>0</v>
      </c>
      <c r="K1230">
        <v>5</v>
      </c>
      <c r="L1230">
        <v>4</v>
      </c>
      <c r="M1230">
        <v>3</v>
      </c>
      <c r="N1230">
        <v>1</v>
      </c>
      <c r="O1230">
        <v>1</v>
      </c>
      <c r="P1230">
        <v>3</v>
      </c>
      <c r="Q1230">
        <f t="shared" si="133"/>
        <v>5</v>
      </c>
      <c r="R1230">
        <f t="shared" si="134"/>
        <v>22</v>
      </c>
      <c r="S1230">
        <f t="array" ref="S1230">MAX(IF($C$2:$C$1387=C1230,$R$2:$R$1387))</f>
        <v>29</v>
      </c>
      <c r="T1230" cm="1">
        <f t="array" ref="T1230">MIN(IF($C$2:$C$1387=C1230,$R$2:$R$1387))</f>
        <v>11</v>
      </c>
      <c r="U1230">
        <f t="shared" si="135"/>
        <v>18</v>
      </c>
      <c r="V1230">
        <f t="shared" si="136"/>
        <v>0.61111111111111116</v>
      </c>
      <c r="W1230" cm="1">
        <f t="array" ref="W1230">_xlfn.IFS(N1230=1,5,N1230=2,4,N1230=4,2,N1230=5,1,N1230=3,3)</f>
        <v>5</v>
      </c>
      <c r="X1230">
        <f t="shared" si="137"/>
        <v>26</v>
      </c>
      <c r="Y1230" cm="1">
        <f t="array" ref="Y1230">MAX(IF($C$2:$C$1387=C1230,$X$2:$X$1387))</f>
        <v>30</v>
      </c>
      <c r="Z1230" cm="1">
        <f t="array" ref="Z1230">MIN(IF($C$2:$C$1387=C1230,$X$2:$X$1387))</f>
        <v>14</v>
      </c>
      <c r="AA1230">
        <f t="shared" si="138"/>
        <v>16</v>
      </c>
      <c r="AB1230">
        <f t="shared" si="139"/>
        <v>0.75</v>
      </c>
    </row>
    <row r="1231" spans="1:28" x14ac:dyDescent="0.25">
      <c r="A1231" t="s">
        <v>436</v>
      </c>
      <c r="B1231" t="s">
        <v>437</v>
      </c>
      <c r="C1231">
        <v>2015</v>
      </c>
      <c r="D1231">
        <v>0.71303908831908835</v>
      </c>
      <c r="E1231">
        <v>0.75130450142450145</v>
      </c>
      <c r="F1231">
        <v>6.6430199430199427E-2</v>
      </c>
      <c r="G1231">
        <v>1.9459101490553132</v>
      </c>
      <c r="H1231">
        <v>0.42857142857142855</v>
      </c>
      <c r="I1231">
        <v>1</v>
      </c>
      <c r="J1231">
        <v>0</v>
      </c>
      <c r="K1231">
        <v>5</v>
      </c>
      <c r="L1231">
        <v>4</v>
      </c>
      <c r="M1231">
        <v>3</v>
      </c>
      <c r="N1231">
        <v>1</v>
      </c>
      <c r="O1231">
        <v>1</v>
      </c>
      <c r="P1231">
        <v>2</v>
      </c>
      <c r="Q1231">
        <f t="shared" si="133"/>
        <v>5</v>
      </c>
      <c r="R1231">
        <f t="shared" si="134"/>
        <v>21</v>
      </c>
      <c r="S1231">
        <f t="array" ref="S1231">MAX(IF($C$2:$C$1387=C1231,$R$2:$R$1387))</f>
        <v>29</v>
      </c>
      <c r="T1231" cm="1">
        <f t="array" ref="T1231">MIN(IF($C$2:$C$1387=C1231,$R$2:$R$1387))</f>
        <v>11</v>
      </c>
      <c r="U1231">
        <f t="shared" si="135"/>
        <v>18</v>
      </c>
      <c r="V1231">
        <f t="shared" si="136"/>
        <v>0.55555555555555558</v>
      </c>
      <c r="W1231" cm="1">
        <f t="array" ref="W1231">_xlfn.IFS(N1231=1,5,N1231=2,4,N1231=4,2,N1231=5,1,N1231=3,3)</f>
        <v>5</v>
      </c>
      <c r="X1231">
        <f t="shared" si="137"/>
        <v>25</v>
      </c>
      <c r="Y1231" cm="1">
        <f t="array" ref="Y1231">MAX(IF($C$2:$C$1387=C1231,$X$2:$X$1387))</f>
        <v>29</v>
      </c>
      <c r="Z1231" cm="1">
        <f t="array" ref="Z1231">MIN(IF($C$2:$C$1387=C1231,$X$2:$X$1387))</f>
        <v>12</v>
      </c>
      <c r="AA1231">
        <f t="shared" si="138"/>
        <v>17</v>
      </c>
      <c r="AB1231">
        <f t="shared" si="139"/>
        <v>0.76470588235294112</v>
      </c>
    </row>
    <row r="1232" spans="1:28" x14ac:dyDescent="0.25">
      <c r="A1232" t="s">
        <v>438</v>
      </c>
      <c r="B1232" t="s">
        <v>439</v>
      </c>
      <c r="C1232">
        <v>2010</v>
      </c>
      <c r="D1232">
        <v>0.69329931158335822</v>
      </c>
      <c r="E1232">
        <v>0.73596748727925776</v>
      </c>
      <c r="F1232">
        <v>0.10252211164322059</v>
      </c>
      <c r="G1232">
        <v>1.9459101490553132</v>
      </c>
      <c r="H1232">
        <v>0.42857142857142855</v>
      </c>
      <c r="I1232">
        <v>0.66666666666666663</v>
      </c>
      <c r="J1232">
        <v>0</v>
      </c>
      <c r="K1232">
        <v>5</v>
      </c>
      <c r="L1232">
        <v>4</v>
      </c>
      <c r="M1232">
        <v>4</v>
      </c>
      <c r="N1232">
        <v>1</v>
      </c>
      <c r="O1232">
        <v>2</v>
      </c>
      <c r="P1232">
        <v>1</v>
      </c>
      <c r="Q1232">
        <f t="shared" si="133"/>
        <v>5</v>
      </c>
      <c r="R1232">
        <f t="shared" si="134"/>
        <v>22</v>
      </c>
      <c r="S1232">
        <f t="array" ref="S1232">MAX(IF($C$2:$C$1387=C1232,$R$2:$R$1387))</f>
        <v>29</v>
      </c>
      <c r="T1232" cm="1">
        <f t="array" ref="T1232">MIN(IF($C$2:$C$1387=C1232,$R$2:$R$1387))</f>
        <v>9</v>
      </c>
      <c r="U1232">
        <f t="shared" si="135"/>
        <v>20</v>
      </c>
      <c r="V1232">
        <f t="shared" si="136"/>
        <v>0.65</v>
      </c>
      <c r="W1232" cm="1">
        <f t="array" ref="W1232">_xlfn.IFS(N1232=1,5,N1232=2,4,N1232=4,2,N1232=5,1,N1232=3,3)</f>
        <v>5</v>
      </c>
      <c r="X1232">
        <f t="shared" si="137"/>
        <v>26</v>
      </c>
      <c r="Y1232" cm="1">
        <f t="array" ref="Y1232">MAX(IF($C$2:$C$1387=C1232,$X$2:$X$1387))</f>
        <v>29</v>
      </c>
      <c r="Z1232" cm="1">
        <f t="array" ref="Z1232">MIN(IF($C$2:$C$1387=C1232,$X$2:$X$1387))</f>
        <v>12</v>
      </c>
      <c r="AA1232">
        <f t="shared" si="138"/>
        <v>17</v>
      </c>
      <c r="AB1232">
        <f t="shared" si="139"/>
        <v>0.82352941176470584</v>
      </c>
    </row>
    <row r="1233" spans="1:28" x14ac:dyDescent="0.25">
      <c r="A1233" t="s">
        <v>438</v>
      </c>
      <c r="B1233" t="s">
        <v>439</v>
      </c>
      <c r="C1233">
        <v>2011</v>
      </c>
      <c r="D1233">
        <v>0.69329931158335822</v>
      </c>
      <c r="E1233">
        <v>0.73596748727925776</v>
      </c>
      <c r="F1233">
        <v>0.10252211164322059</v>
      </c>
      <c r="G1233">
        <v>1.9459101490553132</v>
      </c>
      <c r="H1233">
        <v>0.42857142857142855</v>
      </c>
      <c r="I1233">
        <v>0.66666666666666663</v>
      </c>
      <c r="J1233">
        <v>0</v>
      </c>
      <c r="K1233">
        <v>5</v>
      </c>
      <c r="L1233">
        <v>4</v>
      </c>
      <c r="M1233">
        <v>4</v>
      </c>
      <c r="N1233">
        <v>1</v>
      </c>
      <c r="O1233">
        <v>2</v>
      </c>
      <c r="P1233">
        <v>1</v>
      </c>
      <c r="Q1233">
        <f t="shared" si="133"/>
        <v>5</v>
      </c>
      <c r="R1233">
        <f t="shared" si="134"/>
        <v>22</v>
      </c>
      <c r="S1233">
        <f t="array" ref="S1233">MAX(IF($C$2:$C$1387=C1233,$R$2:$R$1387))</f>
        <v>28</v>
      </c>
      <c r="T1233" cm="1">
        <f t="array" ref="T1233">MIN(IF($C$2:$C$1387=C1233,$R$2:$R$1387))</f>
        <v>10</v>
      </c>
      <c r="U1233">
        <f t="shared" si="135"/>
        <v>18</v>
      </c>
      <c r="V1233">
        <f t="shared" si="136"/>
        <v>0.66666666666666663</v>
      </c>
      <c r="W1233" cm="1">
        <f t="array" ref="W1233">_xlfn.IFS(N1233=1,5,N1233=2,4,N1233=4,2,N1233=5,1,N1233=3,3)</f>
        <v>5</v>
      </c>
      <c r="X1233">
        <f t="shared" si="137"/>
        <v>26</v>
      </c>
      <c r="Y1233" cm="1">
        <f t="array" ref="Y1233">MAX(IF($C$2:$C$1387=C1233,$X$2:$X$1387))</f>
        <v>29</v>
      </c>
      <c r="Z1233" cm="1">
        <f t="array" ref="Z1233">MIN(IF($C$2:$C$1387=C1233,$X$2:$X$1387))</f>
        <v>12</v>
      </c>
      <c r="AA1233">
        <f t="shared" si="138"/>
        <v>17</v>
      </c>
      <c r="AB1233">
        <f t="shared" si="139"/>
        <v>0.82352941176470584</v>
      </c>
    </row>
    <row r="1234" spans="1:28" x14ac:dyDescent="0.25">
      <c r="A1234" t="s">
        <v>438</v>
      </c>
      <c r="B1234" t="s">
        <v>439</v>
      </c>
      <c r="C1234">
        <v>2012</v>
      </c>
      <c r="D1234">
        <v>0.69329931158335822</v>
      </c>
      <c r="E1234">
        <v>0.73596748727925776</v>
      </c>
      <c r="F1234">
        <v>0.10252211164322059</v>
      </c>
      <c r="G1234">
        <v>1.9459101490553132</v>
      </c>
      <c r="H1234">
        <v>0.42857142857142855</v>
      </c>
      <c r="I1234">
        <v>0.66666666666666663</v>
      </c>
      <c r="J1234">
        <v>0</v>
      </c>
      <c r="K1234">
        <v>5</v>
      </c>
      <c r="L1234">
        <v>4</v>
      </c>
      <c r="M1234">
        <v>4</v>
      </c>
      <c r="N1234">
        <v>1</v>
      </c>
      <c r="O1234">
        <v>2</v>
      </c>
      <c r="P1234">
        <v>1</v>
      </c>
      <c r="Q1234">
        <f t="shared" si="133"/>
        <v>5</v>
      </c>
      <c r="R1234">
        <f t="shared" si="134"/>
        <v>22</v>
      </c>
      <c r="S1234">
        <f t="array" ref="S1234">MAX(IF($C$2:$C$1387=C1234,$R$2:$R$1387))</f>
        <v>29</v>
      </c>
      <c r="T1234" cm="1">
        <f t="array" ref="T1234">MIN(IF($C$2:$C$1387=C1234,$R$2:$R$1387))</f>
        <v>11</v>
      </c>
      <c r="U1234">
        <f t="shared" si="135"/>
        <v>18</v>
      </c>
      <c r="V1234">
        <f t="shared" si="136"/>
        <v>0.61111111111111116</v>
      </c>
      <c r="W1234" cm="1">
        <f t="array" ref="W1234">_xlfn.IFS(N1234=1,5,N1234=2,4,N1234=4,2,N1234=5,1,N1234=3,3)</f>
        <v>5</v>
      </c>
      <c r="X1234">
        <f t="shared" si="137"/>
        <v>26</v>
      </c>
      <c r="Y1234" cm="1">
        <f t="array" ref="Y1234">MAX(IF($C$2:$C$1387=C1234,$X$2:$X$1387))</f>
        <v>30</v>
      </c>
      <c r="Z1234" cm="1">
        <f t="array" ref="Z1234">MIN(IF($C$2:$C$1387=C1234,$X$2:$X$1387))</f>
        <v>12</v>
      </c>
      <c r="AA1234">
        <f t="shared" si="138"/>
        <v>18</v>
      </c>
      <c r="AB1234">
        <f t="shared" si="139"/>
        <v>0.77777777777777779</v>
      </c>
    </row>
    <row r="1235" spans="1:28" x14ac:dyDescent="0.25">
      <c r="A1235" t="s">
        <v>438</v>
      </c>
      <c r="B1235" t="s">
        <v>439</v>
      </c>
      <c r="C1235">
        <v>2013</v>
      </c>
      <c r="D1235">
        <v>0.69329931158335822</v>
      </c>
      <c r="E1235">
        <v>0.73596748727925776</v>
      </c>
      <c r="F1235">
        <v>0.10252211164322059</v>
      </c>
      <c r="G1235">
        <v>1.9459101490553132</v>
      </c>
      <c r="H1235">
        <v>0.42857142857142855</v>
      </c>
      <c r="I1235">
        <v>0.66666666666666663</v>
      </c>
      <c r="J1235">
        <v>0</v>
      </c>
      <c r="K1235">
        <v>5</v>
      </c>
      <c r="L1235">
        <v>4</v>
      </c>
      <c r="M1235">
        <v>4</v>
      </c>
      <c r="N1235">
        <v>1</v>
      </c>
      <c r="O1235">
        <v>1</v>
      </c>
      <c r="P1235">
        <v>1</v>
      </c>
      <c r="Q1235">
        <f t="shared" si="133"/>
        <v>5</v>
      </c>
      <c r="R1235">
        <f t="shared" si="134"/>
        <v>21</v>
      </c>
      <c r="S1235">
        <f t="array" ref="S1235">MAX(IF($C$2:$C$1387=C1235,$R$2:$R$1387))</f>
        <v>29</v>
      </c>
      <c r="T1235" cm="1">
        <f t="array" ref="T1235">MIN(IF($C$2:$C$1387=C1235,$R$2:$R$1387))</f>
        <v>10</v>
      </c>
      <c r="U1235">
        <f t="shared" si="135"/>
        <v>19</v>
      </c>
      <c r="V1235">
        <f t="shared" si="136"/>
        <v>0.57894736842105265</v>
      </c>
      <c r="W1235" cm="1">
        <f t="array" ref="W1235">_xlfn.IFS(N1235=1,5,N1235=2,4,N1235=4,2,N1235=5,1,N1235=3,3)</f>
        <v>5</v>
      </c>
      <c r="X1235">
        <f t="shared" si="137"/>
        <v>25</v>
      </c>
      <c r="Y1235" cm="1">
        <f t="array" ref="Y1235">MAX(IF($C$2:$C$1387=C1235,$X$2:$X$1387))</f>
        <v>32</v>
      </c>
      <c r="Z1235" cm="1">
        <f t="array" ref="Z1235">MIN(IF($C$2:$C$1387=C1235,$X$2:$X$1387))</f>
        <v>10</v>
      </c>
      <c r="AA1235">
        <f t="shared" si="138"/>
        <v>22</v>
      </c>
      <c r="AB1235">
        <f t="shared" si="139"/>
        <v>0.68181818181818177</v>
      </c>
    </row>
    <row r="1236" spans="1:28" x14ac:dyDescent="0.25">
      <c r="A1236" t="s">
        <v>438</v>
      </c>
      <c r="B1236" t="s">
        <v>439</v>
      </c>
      <c r="C1236">
        <v>2014</v>
      </c>
      <c r="D1236">
        <v>0.69329931158335822</v>
      </c>
      <c r="E1236">
        <v>0.73596748727925776</v>
      </c>
      <c r="F1236">
        <v>0.10252211164322059</v>
      </c>
      <c r="G1236">
        <v>1.9459101490553132</v>
      </c>
      <c r="H1236">
        <v>0.42857142857142855</v>
      </c>
      <c r="I1236">
        <v>0.66666666666666663</v>
      </c>
      <c r="J1236">
        <v>0</v>
      </c>
      <c r="K1236">
        <v>5</v>
      </c>
      <c r="L1236">
        <v>4</v>
      </c>
      <c r="M1236">
        <v>4</v>
      </c>
      <c r="N1236">
        <v>1</v>
      </c>
      <c r="O1236">
        <v>1</v>
      </c>
      <c r="P1236">
        <v>1</v>
      </c>
      <c r="Q1236">
        <f t="shared" si="133"/>
        <v>5</v>
      </c>
      <c r="R1236">
        <f t="shared" si="134"/>
        <v>21</v>
      </c>
      <c r="S1236">
        <f t="array" ref="S1236">MAX(IF($C$2:$C$1387=C1236,$R$2:$R$1387))</f>
        <v>29</v>
      </c>
      <c r="T1236" cm="1">
        <f t="array" ref="T1236">MIN(IF($C$2:$C$1387=C1236,$R$2:$R$1387))</f>
        <v>11</v>
      </c>
      <c r="U1236">
        <f t="shared" si="135"/>
        <v>18</v>
      </c>
      <c r="V1236">
        <f t="shared" si="136"/>
        <v>0.55555555555555558</v>
      </c>
      <c r="W1236" cm="1">
        <f t="array" ref="W1236">_xlfn.IFS(N1236=1,5,N1236=2,4,N1236=4,2,N1236=5,1,N1236=3,3)</f>
        <v>5</v>
      </c>
      <c r="X1236">
        <f t="shared" si="137"/>
        <v>25</v>
      </c>
      <c r="Y1236" cm="1">
        <f t="array" ref="Y1236">MAX(IF($C$2:$C$1387=C1236,$X$2:$X$1387))</f>
        <v>30</v>
      </c>
      <c r="Z1236" cm="1">
        <f t="array" ref="Z1236">MIN(IF($C$2:$C$1387=C1236,$X$2:$X$1387))</f>
        <v>14</v>
      </c>
      <c r="AA1236">
        <f t="shared" si="138"/>
        <v>16</v>
      </c>
      <c r="AB1236">
        <f t="shared" si="139"/>
        <v>0.6875</v>
      </c>
    </row>
    <row r="1237" spans="1:28" x14ac:dyDescent="0.25">
      <c r="A1237" t="s">
        <v>438</v>
      </c>
      <c r="B1237" t="s">
        <v>439</v>
      </c>
      <c r="C1237">
        <v>2015</v>
      </c>
      <c r="D1237">
        <v>0.69329931158335822</v>
      </c>
      <c r="E1237">
        <v>0.73596748727925776</v>
      </c>
      <c r="F1237">
        <v>0.10252211164322059</v>
      </c>
      <c r="G1237">
        <v>1.9459101490553132</v>
      </c>
      <c r="H1237">
        <v>0.42857142857142855</v>
      </c>
      <c r="I1237">
        <v>0.66666666666666663</v>
      </c>
      <c r="J1237">
        <v>0</v>
      </c>
      <c r="K1237">
        <v>5</v>
      </c>
      <c r="L1237">
        <v>4</v>
      </c>
      <c r="M1237">
        <v>4</v>
      </c>
      <c r="N1237">
        <v>1</v>
      </c>
      <c r="O1237">
        <v>1</v>
      </c>
      <c r="P1237">
        <v>1</v>
      </c>
      <c r="Q1237">
        <f t="shared" si="133"/>
        <v>5</v>
      </c>
      <c r="R1237">
        <f t="shared" si="134"/>
        <v>21</v>
      </c>
      <c r="S1237">
        <f t="array" ref="S1237">MAX(IF($C$2:$C$1387=C1237,$R$2:$R$1387))</f>
        <v>29</v>
      </c>
      <c r="T1237" cm="1">
        <f t="array" ref="T1237">MIN(IF($C$2:$C$1387=C1237,$R$2:$R$1387))</f>
        <v>11</v>
      </c>
      <c r="U1237">
        <f t="shared" si="135"/>
        <v>18</v>
      </c>
      <c r="V1237">
        <f t="shared" si="136"/>
        <v>0.55555555555555558</v>
      </c>
      <c r="W1237" cm="1">
        <f t="array" ref="W1237">_xlfn.IFS(N1237=1,5,N1237=2,4,N1237=4,2,N1237=5,1,N1237=3,3)</f>
        <v>5</v>
      </c>
      <c r="X1237">
        <f t="shared" si="137"/>
        <v>25</v>
      </c>
      <c r="Y1237" cm="1">
        <f t="array" ref="Y1237">MAX(IF($C$2:$C$1387=C1237,$X$2:$X$1387))</f>
        <v>29</v>
      </c>
      <c r="Z1237" cm="1">
        <f t="array" ref="Z1237">MIN(IF($C$2:$C$1387=C1237,$X$2:$X$1387))</f>
        <v>12</v>
      </c>
      <c r="AA1237">
        <f t="shared" si="138"/>
        <v>17</v>
      </c>
      <c r="AB1237">
        <f t="shared" si="139"/>
        <v>0.76470588235294112</v>
      </c>
    </row>
    <row r="1238" spans="1:28" x14ac:dyDescent="0.25">
      <c r="A1238" t="s">
        <v>440</v>
      </c>
      <c r="B1238" t="s">
        <v>441</v>
      </c>
      <c r="C1238">
        <v>2010</v>
      </c>
      <c r="D1238">
        <v>8.7821036466010391E-4</v>
      </c>
      <c r="E1238">
        <v>0.66311104470976556</v>
      </c>
      <c r="F1238">
        <v>0.12369038356773289</v>
      </c>
      <c r="G1238">
        <v>2.5649493574615367</v>
      </c>
      <c r="H1238">
        <v>1</v>
      </c>
      <c r="I1238">
        <v>1</v>
      </c>
      <c r="J1238">
        <v>0</v>
      </c>
      <c r="K1238">
        <v>2</v>
      </c>
      <c r="L1238">
        <v>3</v>
      </c>
      <c r="M1238">
        <v>4</v>
      </c>
      <c r="N1238">
        <v>5</v>
      </c>
      <c r="O1238">
        <v>5</v>
      </c>
      <c r="P1238">
        <v>3</v>
      </c>
      <c r="Q1238">
        <f t="shared" si="133"/>
        <v>5</v>
      </c>
      <c r="R1238">
        <f t="shared" si="134"/>
        <v>27</v>
      </c>
      <c r="S1238">
        <f t="array" ref="S1238">MAX(IF($C$2:$C$1387=C1238,$R$2:$R$1387))</f>
        <v>29</v>
      </c>
      <c r="T1238" cm="1">
        <f t="array" ref="T1238">MIN(IF($C$2:$C$1387=C1238,$R$2:$R$1387))</f>
        <v>9</v>
      </c>
      <c r="U1238">
        <f t="shared" si="135"/>
        <v>20</v>
      </c>
      <c r="V1238">
        <f t="shared" si="136"/>
        <v>0.9</v>
      </c>
      <c r="W1238" cm="1">
        <f t="array" ref="W1238">_xlfn.IFS(N1238=1,5,N1238=2,4,N1238=4,2,N1238=5,1,N1238=3,3)</f>
        <v>1</v>
      </c>
      <c r="X1238">
        <f t="shared" si="137"/>
        <v>23</v>
      </c>
      <c r="Y1238" cm="1">
        <f t="array" ref="Y1238">MAX(IF($C$2:$C$1387=C1238,$X$2:$X$1387))</f>
        <v>29</v>
      </c>
      <c r="Z1238" cm="1">
        <f t="array" ref="Z1238">MIN(IF($C$2:$C$1387=C1238,$X$2:$X$1387))</f>
        <v>12</v>
      </c>
      <c r="AA1238">
        <f t="shared" si="138"/>
        <v>17</v>
      </c>
      <c r="AB1238">
        <f t="shared" si="139"/>
        <v>0.6470588235294118</v>
      </c>
    </row>
    <row r="1239" spans="1:28" x14ac:dyDescent="0.25">
      <c r="A1239" t="s">
        <v>440</v>
      </c>
      <c r="B1239" t="s">
        <v>441</v>
      </c>
      <c r="C1239">
        <v>2011</v>
      </c>
      <c r="D1239">
        <v>8.7821036466010391E-4</v>
      </c>
      <c r="E1239">
        <v>0.66311104470976556</v>
      </c>
      <c r="F1239">
        <v>0.12369038356773289</v>
      </c>
      <c r="G1239">
        <v>2.5649493574615367</v>
      </c>
      <c r="H1239">
        <v>1</v>
      </c>
      <c r="I1239">
        <v>1</v>
      </c>
      <c r="J1239">
        <v>0</v>
      </c>
      <c r="K1239">
        <v>1</v>
      </c>
      <c r="L1239">
        <v>3</v>
      </c>
      <c r="M1239">
        <v>4</v>
      </c>
      <c r="N1239">
        <v>5</v>
      </c>
      <c r="O1239">
        <v>5</v>
      </c>
      <c r="P1239">
        <v>3</v>
      </c>
      <c r="Q1239">
        <f t="shared" si="133"/>
        <v>5</v>
      </c>
      <c r="R1239">
        <f t="shared" si="134"/>
        <v>26</v>
      </c>
      <c r="S1239">
        <f t="array" ref="S1239">MAX(IF($C$2:$C$1387=C1239,$R$2:$R$1387))</f>
        <v>28</v>
      </c>
      <c r="T1239" cm="1">
        <f t="array" ref="T1239">MIN(IF($C$2:$C$1387=C1239,$R$2:$R$1387))</f>
        <v>10</v>
      </c>
      <c r="U1239">
        <f t="shared" si="135"/>
        <v>18</v>
      </c>
      <c r="V1239">
        <f t="shared" si="136"/>
        <v>0.88888888888888884</v>
      </c>
      <c r="W1239" cm="1">
        <f t="array" ref="W1239">_xlfn.IFS(N1239=1,5,N1239=2,4,N1239=4,2,N1239=5,1,N1239=3,3)</f>
        <v>1</v>
      </c>
      <c r="X1239">
        <f t="shared" si="137"/>
        <v>22</v>
      </c>
      <c r="Y1239" cm="1">
        <f t="array" ref="Y1239">MAX(IF($C$2:$C$1387=C1239,$X$2:$X$1387))</f>
        <v>29</v>
      </c>
      <c r="Z1239" cm="1">
        <f t="array" ref="Z1239">MIN(IF($C$2:$C$1387=C1239,$X$2:$X$1387))</f>
        <v>12</v>
      </c>
      <c r="AA1239">
        <f t="shared" si="138"/>
        <v>17</v>
      </c>
      <c r="AB1239">
        <f t="shared" si="139"/>
        <v>0.58823529411764708</v>
      </c>
    </row>
    <row r="1240" spans="1:28" x14ac:dyDescent="0.25">
      <c r="A1240" t="s">
        <v>440</v>
      </c>
      <c r="B1240" t="s">
        <v>441</v>
      </c>
      <c r="C1240">
        <v>2012</v>
      </c>
      <c r="D1240">
        <v>7.603537185826285E-5</v>
      </c>
      <c r="E1240">
        <v>0.67075780697850484</v>
      </c>
      <c r="F1240">
        <v>0.1080845976287263</v>
      </c>
      <c r="G1240">
        <v>2.6390573296152584</v>
      </c>
      <c r="H1240">
        <v>0.8571428571428571</v>
      </c>
      <c r="I1240">
        <v>1</v>
      </c>
      <c r="J1240">
        <v>0</v>
      </c>
      <c r="K1240">
        <v>1</v>
      </c>
      <c r="L1240">
        <v>3</v>
      </c>
      <c r="M1240">
        <v>4</v>
      </c>
      <c r="N1240">
        <v>5</v>
      </c>
      <c r="O1240">
        <v>5</v>
      </c>
      <c r="P1240">
        <v>3</v>
      </c>
      <c r="Q1240">
        <f t="shared" si="133"/>
        <v>5</v>
      </c>
      <c r="R1240">
        <f t="shared" si="134"/>
        <v>26</v>
      </c>
      <c r="S1240">
        <f t="array" ref="S1240">MAX(IF($C$2:$C$1387=C1240,$R$2:$R$1387))</f>
        <v>29</v>
      </c>
      <c r="T1240" cm="1">
        <f t="array" ref="T1240">MIN(IF($C$2:$C$1387=C1240,$R$2:$R$1387))</f>
        <v>11</v>
      </c>
      <c r="U1240">
        <f t="shared" si="135"/>
        <v>18</v>
      </c>
      <c r="V1240">
        <f t="shared" si="136"/>
        <v>0.83333333333333337</v>
      </c>
      <c r="W1240" cm="1">
        <f t="array" ref="W1240">_xlfn.IFS(N1240=1,5,N1240=2,4,N1240=4,2,N1240=5,1,N1240=3,3)</f>
        <v>1</v>
      </c>
      <c r="X1240">
        <f t="shared" si="137"/>
        <v>22</v>
      </c>
      <c r="Y1240" cm="1">
        <f t="array" ref="Y1240">MAX(IF($C$2:$C$1387=C1240,$X$2:$X$1387))</f>
        <v>30</v>
      </c>
      <c r="Z1240" cm="1">
        <f t="array" ref="Z1240">MIN(IF($C$2:$C$1387=C1240,$X$2:$X$1387))</f>
        <v>12</v>
      </c>
      <c r="AA1240">
        <f t="shared" si="138"/>
        <v>18</v>
      </c>
      <c r="AB1240">
        <f t="shared" si="139"/>
        <v>0.55555555555555558</v>
      </c>
    </row>
    <row r="1241" spans="1:28" x14ac:dyDescent="0.25">
      <c r="A1241" t="s">
        <v>440</v>
      </c>
      <c r="B1241" t="s">
        <v>441</v>
      </c>
      <c r="C1241">
        <v>2013</v>
      </c>
      <c r="D1241">
        <v>4.9957690720725539E-5</v>
      </c>
      <c r="E1241">
        <v>0.58852111525640849</v>
      </c>
      <c r="F1241">
        <v>0.10373237827170624</v>
      </c>
      <c r="G1241">
        <v>2.6390573296152584</v>
      </c>
      <c r="H1241">
        <v>0.7857142857142857</v>
      </c>
      <c r="I1241">
        <v>1</v>
      </c>
      <c r="J1241">
        <v>0</v>
      </c>
      <c r="K1241">
        <v>1</v>
      </c>
      <c r="L1241">
        <v>3</v>
      </c>
      <c r="M1241">
        <v>4</v>
      </c>
      <c r="N1241">
        <v>5</v>
      </c>
      <c r="O1241">
        <v>5</v>
      </c>
      <c r="P1241">
        <v>3</v>
      </c>
      <c r="Q1241">
        <f t="shared" si="133"/>
        <v>5</v>
      </c>
      <c r="R1241">
        <f t="shared" si="134"/>
        <v>26</v>
      </c>
      <c r="S1241">
        <f t="array" ref="S1241">MAX(IF($C$2:$C$1387=C1241,$R$2:$R$1387))</f>
        <v>29</v>
      </c>
      <c r="T1241" cm="1">
        <f t="array" ref="T1241">MIN(IF($C$2:$C$1387=C1241,$R$2:$R$1387))</f>
        <v>10</v>
      </c>
      <c r="U1241">
        <f t="shared" si="135"/>
        <v>19</v>
      </c>
      <c r="V1241">
        <f t="shared" si="136"/>
        <v>0.84210526315789469</v>
      </c>
      <c r="W1241" cm="1">
        <f t="array" ref="W1241">_xlfn.IFS(N1241=1,5,N1241=2,4,N1241=4,2,N1241=5,1,N1241=3,3)</f>
        <v>1</v>
      </c>
      <c r="X1241">
        <f t="shared" si="137"/>
        <v>22</v>
      </c>
      <c r="Y1241" cm="1">
        <f t="array" ref="Y1241">MAX(IF($C$2:$C$1387=C1241,$X$2:$X$1387))</f>
        <v>32</v>
      </c>
      <c r="Z1241" cm="1">
        <f t="array" ref="Z1241">MIN(IF($C$2:$C$1387=C1241,$X$2:$X$1387))</f>
        <v>10</v>
      </c>
      <c r="AA1241">
        <f t="shared" si="138"/>
        <v>22</v>
      </c>
      <c r="AB1241">
        <f t="shared" si="139"/>
        <v>0.54545454545454541</v>
      </c>
    </row>
    <row r="1242" spans="1:28" x14ac:dyDescent="0.25">
      <c r="A1242" t="s">
        <v>440</v>
      </c>
      <c r="B1242" t="s">
        <v>441</v>
      </c>
      <c r="C1242">
        <v>2014</v>
      </c>
      <c r="D1242">
        <v>3.9030825530262595E-5</v>
      </c>
      <c r="E1242">
        <v>0.58773274114454244</v>
      </c>
      <c r="F1242">
        <v>0.11359256382832514</v>
      </c>
      <c r="G1242">
        <v>2.6390573296152584</v>
      </c>
      <c r="H1242">
        <v>0.5714285714285714</v>
      </c>
      <c r="I1242">
        <v>0.42857142857142855</v>
      </c>
      <c r="J1242">
        <v>0</v>
      </c>
      <c r="K1242">
        <v>1</v>
      </c>
      <c r="L1242">
        <v>2</v>
      </c>
      <c r="M1242">
        <v>4</v>
      </c>
      <c r="N1242">
        <v>5</v>
      </c>
      <c r="O1242">
        <v>2</v>
      </c>
      <c r="P1242">
        <v>1</v>
      </c>
      <c r="Q1242">
        <f t="shared" si="133"/>
        <v>5</v>
      </c>
      <c r="R1242">
        <f t="shared" si="134"/>
        <v>20</v>
      </c>
      <c r="S1242">
        <f t="array" ref="S1242">MAX(IF($C$2:$C$1387=C1242,$R$2:$R$1387))</f>
        <v>29</v>
      </c>
      <c r="T1242" cm="1">
        <f t="array" ref="T1242">MIN(IF($C$2:$C$1387=C1242,$R$2:$R$1387))</f>
        <v>11</v>
      </c>
      <c r="U1242">
        <f t="shared" si="135"/>
        <v>18</v>
      </c>
      <c r="V1242">
        <f t="shared" si="136"/>
        <v>0.5</v>
      </c>
      <c r="W1242" cm="1">
        <f t="array" ref="W1242">_xlfn.IFS(N1242=1,5,N1242=2,4,N1242=4,2,N1242=5,1,N1242=3,3)</f>
        <v>1</v>
      </c>
      <c r="X1242">
        <f t="shared" si="137"/>
        <v>16</v>
      </c>
      <c r="Y1242" cm="1">
        <f t="array" ref="Y1242">MAX(IF($C$2:$C$1387=C1242,$X$2:$X$1387))</f>
        <v>30</v>
      </c>
      <c r="Z1242" cm="1">
        <f t="array" ref="Z1242">MIN(IF($C$2:$C$1387=C1242,$X$2:$X$1387))</f>
        <v>14</v>
      </c>
      <c r="AA1242">
        <f t="shared" si="138"/>
        <v>16</v>
      </c>
      <c r="AB1242">
        <f t="shared" si="139"/>
        <v>0.125</v>
      </c>
    </row>
    <row r="1243" spans="1:28" x14ac:dyDescent="0.25">
      <c r="A1243" t="s">
        <v>440</v>
      </c>
      <c r="B1243" t="s">
        <v>441</v>
      </c>
      <c r="C1243">
        <v>2015</v>
      </c>
      <c r="D1243">
        <v>2.2935379662406063E-5</v>
      </c>
      <c r="E1243">
        <v>0.58583591303139282</v>
      </c>
      <c r="F1243">
        <v>0.12977204406951368</v>
      </c>
      <c r="G1243">
        <v>2.9444389791664403</v>
      </c>
      <c r="H1243">
        <v>0.94736842105263153</v>
      </c>
      <c r="I1243">
        <v>0.55555555555555558</v>
      </c>
      <c r="J1243">
        <v>0</v>
      </c>
      <c r="K1243">
        <v>1</v>
      </c>
      <c r="L1243">
        <v>2</v>
      </c>
      <c r="M1243">
        <v>4</v>
      </c>
      <c r="N1243">
        <v>5</v>
      </c>
      <c r="O1243">
        <v>5</v>
      </c>
      <c r="P1243">
        <v>1</v>
      </c>
      <c r="Q1243">
        <f t="shared" si="133"/>
        <v>5</v>
      </c>
      <c r="R1243">
        <f t="shared" si="134"/>
        <v>23</v>
      </c>
      <c r="S1243">
        <f t="array" ref="S1243">MAX(IF($C$2:$C$1387=C1243,$R$2:$R$1387))</f>
        <v>29</v>
      </c>
      <c r="T1243" cm="1">
        <f t="array" ref="T1243">MIN(IF($C$2:$C$1387=C1243,$R$2:$R$1387))</f>
        <v>11</v>
      </c>
      <c r="U1243">
        <f t="shared" si="135"/>
        <v>18</v>
      </c>
      <c r="V1243">
        <f t="shared" si="136"/>
        <v>0.66666666666666663</v>
      </c>
      <c r="W1243" cm="1">
        <f t="array" ref="W1243">_xlfn.IFS(N1243=1,5,N1243=2,4,N1243=4,2,N1243=5,1,N1243=3,3)</f>
        <v>1</v>
      </c>
      <c r="X1243">
        <f t="shared" si="137"/>
        <v>19</v>
      </c>
      <c r="Y1243" cm="1">
        <f t="array" ref="Y1243">MAX(IF($C$2:$C$1387=C1243,$X$2:$X$1387))</f>
        <v>29</v>
      </c>
      <c r="Z1243" cm="1">
        <f t="array" ref="Z1243">MIN(IF($C$2:$C$1387=C1243,$X$2:$X$1387))</f>
        <v>12</v>
      </c>
      <c r="AA1243">
        <f t="shared" si="138"/>
        <v>17</v>
      </c>
      <c r="AB1243">
        <f t="shared" si="139"/>
        <v>0.41176470588235292</v>
      </c>
    </row>
    <row r="1244" spans="1:28" x14ac:dyDescent="0.25">
      <c r="A1244" t="s">
        <v>442</v>
      </c>
      <c r="B1244" t="s">
        <v>443</v>
      </c>
      <c r="C1244">
        <v>2010</v>
      </c>
      <c r="D1244">
        <v>0.40166061705989109</v>
      </c>
      <c r="E1244">
        <v>0.49940415607985483</v>
      </c>
      <c r="F1244">
        <v>7.7295825771324864E-3</v>
      </c>
      <c r="G1244">
        <v>1.9459101490553132</v>
      </c>
      <c r="H1244">
        <v>0.8571428571428571</v>
      </c>
      <c r="I1244">
        <v>1</v>
      </c>
      <c r="J1244">
        <v>0</v>
      </c>
      <c r="K1244">
        <v>4</v>
      </c>
      <c r="L1244">
        <v>2</v>
      </c>
      <c r="M1244">
        <v>2</v>
      </c>
      <c r="N1244">
        <v>1</v>
      </c>
      <c r="O1244">
        <v>5</v>
      </c>
      <c r="P1244">
        <v>3</v>
      </c>
      <c r="Q1244">
        <f t="shared" si="133"/>
        <v>5</v>
      </c>
      <c r="R1244">
        <f t="shared" si="134"/>
        <v>22</v>
      </c>
      <c r="S1244">
        <f t="array" ref="S1244">MAX(IF($C$2:$C$1387=C1244,$R$2:$R$1387))</f>
        <v>29</v>
      </c>
      <c r="T1244" cm="1">
        <f t="array" ref="T1244">MIN(IF($C$2:$C$1387=C1244,$R$2:$R$1387))</f>
        <v>9</v>
      </c>
      <c r="U1244">
        <f t="shared" si="135"/>
        <v>20</v>
      </c>
      <c r="V1244">
        <f t="shared" si="136"/>
        <v>0.65</v>
      </c>
      <c r="W1244" cm="1">
        <f t="array" ref="W1244">_xlfn.IFS(N1244=1,5,N1244=2,4,N1244=4,2,N1244=5,1,N1244=3,3)</f>
        <v>5</v>
      </c>
      <c r="X1244">
        <f t="shared" si="137"/>
        <v>26</v>
      </c>
      <c r="Y1244" cm="1">
        <f t="array" ref="Y1244">MAX(IF($C$2:$C$1387=C1244,$X$2:$X$1387))</f>
        <v>29</v>
      </c>
      <c r="Z1244" cm="1">
        <f t="array" ref="Z1244">MIN(IF($C$2:$C$1387=C1244,$X$2:$X$1387))</f>
        <v>12</v>
      </c>
      <c r="AA1244">
        <f t="shared" si="138"/>
        <v>17</v>
      </c>
      <c r="AB1244">
        <f t="shared" si="139"/>
        <v>0.82352941176470584</v>
      </c>
    </row>
    <row r="1245" spans="1:28" x14ac:dyDescent="0.25">
      <c r="A1245" t="s">
        <v>442</v>
      </c>
      <c r="B1245" t="s">
        <v>443</v>
      </c>
      <c r="C1245">
        <v>2011</v>
      </c>
      <c r="D1245">
        <v>0.40166061705989109</v>
      </c>
      <c r="E1245">
        <v>0.49940415607985483</v>
      </c>
      <c r="F1245">
        <v>7.7295825771324864E-3</v>
      </c>
      <c r="G1245">
        <v>1.9459101490553132</v>
      </c>
      <c r="H1245">
        <v>0.8571428571428571</v>
      </c>
      <c r="I1245">
        <v>1</v>
      </c>
      <c r="J1245">
        <v>0</v>
      </c>
      <c r="K1245">
        <v>4</v>
      </c>
      <c r="L1245">
        <v>2</v>
      </c>
      <c r="M1245">
        <v>2</v>
      </c>
      <c r="N1245">
        <v>1</v>
      </c>
      <c r="O1245">
        <v>5</v>
      </c>
      <c r="P1245">
        <v>3</v>
      </c>
      <c r="Q1245">
        <f t="shared" si="133"/>
        <v>5</v>
      </c>
      <c r="R1245">
        <f t="shared" si="134"/>
        <v>22</v>
      </c>
      <c r="S1245">
        <f t="array" ref="S1245">MAX(IF($C$2:$C$1387=C1245,$R$2:$R$1387))</f>
        <v>28</v>
      </c>
      <c r="T1245" cm="1">
        <f t="array" ref="T1245">MIN(IF($C$2:$C$1387=C1245,$R$2:$R$1387))</f>
        <v>10</v>
      </c>
      <c r="U1245">
        <f t="shared" si="135"/>
        <v>18</v>
      </c>
      <c r="V1245">
        <f t="shared" si="136"/>
        <v>0.66666666666666663</v>
      </c>
      <c r="W1245" cm="1">
        <f t="array" ref="W1245">_xlfn.IFS(N1245=1,5,N1245=2,4,N1245=4,2,N1245=5,1,N1245=3,3)</f>
        <v>5</v>
      </c>
      <c r="X1245">
        <f t="shared" si="137"/>
        <v>26</v>
      </c>
      <c r="Y1245" cm="1">
        <f t="array" ref="Y1245">MAX(IF($C$2:$C$1387=C1245,$X$2:$X$1387))</f>
        <v>29</v>
      </c>
      <c r="Z1245" cm="1">
        <f t="array" ref="Z1245">MIN(IF($C$2:$C$1387=C1245,$X$2:$X$1387))</f>
        <v>12</v>
      </c>
      <c r="AA1245">
        <f t="shared" si="138"/>
        <v>17</v>
      </c>
      <c r="AB1245">
        <f t="shared" si="139"/>
        <v>0.82352941176470584</v>
      </c>
    </row>
    <row r="1246" spans="1:28" x14ac:dyDescent="0.25">
      <c r="A1246" t="s">
        <v>442</v>
      </c>
      <c r="B1246" t="s">
        <v>443</v>
      </c>
      <c r="C1246">
        <v>2012</v>
      </c>
      <c r="D1246">
        <v>0.36729582577132486</v>
      </c>
      <c r="E1246">
        <v>0.50906533575317603</v>
      </c>
      <c r="F1246">
        <v>9.2236297640653359E-3</v>
      </c>
      <c r="G1246">
        <v>1.9459101490553132</v>
      </c>
      <c r="H1246">
        <v>0.8571428571428571</v>
      </c>
      <c r="I1246">
        <v>1</v>
      </c>
      <c r="J1246">
        <v>0</v>
      </c>
      <c r="K1246">
        <v>4</v>
      </c>
      <c r="L1246">
        <v>2</v>
      </c>
      <c r="M1246">
        <v>2</v>
      </c>
      <c r="N1246">
        <v>1</v>
      </c>
      <c r="O1246">
        <v>5</v>
      </c>
      <c r="P1246">
        <v>3</v>
      </c>
      <c r="Q1246">
        <f t="shared" si="133"/>
        <v>5</v>
      </c>
      <c r="R1246">
        <f t="shared" si="134"/>
        <v>22</v>
      </c>
      <c r="S1246">
        <f t="array" ref="S1246">MAX(IF($C$2:$C$1387=C1246,$R$2:$R$1387))</f>
        <v>29</v>
      </c>
      <c r="T1246" cm="1">
        <f t="array" ref="T1246">MIN(IF($C$2:$C$1387=C1246,$R$2:$R$1387))</f>
        <v>11</v>
      </c>
      <c r="U1246">
        <f t="shared" si="135"/>
        <v>18</v>
      </c>
      <c r="V1246">
        <f t="shared" si="136"/>
        <v>0.61111111111111116</v>
      </c>
      <c r="W1246" cm="1">
        <f t="array" ref="W1246">_xlfn.IFS(N1246=1,5,N1246=2,4,N1246=4,2,N1246=5,1,N1246=3,3)</f>
        <v>5</v>
      </c>
      <c r="X1246">
        <f t="shared" si="137"/>
        <v>26</v>
      </c>
      <c r="Y1246" cm="1">
        <f t="array" ref="Y1246">MAX(IF($C$2:$C$1387=C1246,$X$2:$X$1387))</f>
        <v>30</v>
      </c>
      <c r="Z1246" cm="1">
        <f t="array" ref="Z1246">MIN(IF($C$2:$C$1387=C1246,$X$2:$X$1387))</f>
        <v>12</v>
      </c>
      <c r="AA1246">
        <f t="shared" si="138"/>
        <v>18</v>
      </c>
      <c r="AB1246">
        <f t="shared" si="139"/>
        <v>0.77777777777777779</v>
      </c>
    </row>
    <row r="1247" spans="1:28" x14ac:dyDescent="0.25">
      <c r="A1247" t="s">
        <v>442</v>
      </c>
      <c r="B1247" t="s">
        <v>443</v>
      </c>
      <c r="C1247">
        <v>2013</v>
      </c>
      <c r="D1247">
        <v>0.36486388384754992</v>
      </c>
      <c r="E1247">
        <v>0.50358295825771326</v>
      </c>
      <c r="F1247">
        <v>1.4500907441016334E-3</v>
      </c>
      <c r="G1247">
        <v>1.9459101490553132</v>
      </c>
      <c r="H1247">
        <v>0.7142857142857143</v>
      </c>
      <c r="I1247">
        <v>1</v>
      </c>
      <c r="J1247">
        <v>0</v>
      </c>
      <c r="K1247">
        <v>4</v>
      </c>
      <c r="L1247">
        <v>2</v>
      </c>
      <c r="M1247">
        <v>1</v>
      </c>
      <c r="N1247">
        <v>1</v>
      </c>
      <c r="O1247">
        <v>4</v>
      </c>
      <c r="P1247">
        <v>3</v>
      </c>
      <c r="Q1247">
        <f t="shared" si="133"/>
        <v>5</v>
      </c>
      <c r="R1247">
        <f t="shared" si="134"/>
        <v>20</v>
      </c>
      <c r="S1247">
        <f t="array" ref="S1247">MAX(IF($C$2:$C$1387=C1247,$R$2:$R$1387))</f>
        <v>29</v>
      </c>
      <c r="T1247" cm="1">
        <f t="array" ref="T1247">MIN(IF($C$2:$C$1387=C1247,$R$2:$R$1387))</f>
        <v>10</v>
      </c>
      <c r="U1247">
        <f t="shared" si="135"/>
        <v>19</v>
      </c>
      <c r="V1247">
        <f t="shared" si="136"/>
        <v>0.52631578947368418</v>
      </c>
      <c r="W1247" cm="1">
        <f t="array" ref="W1247">_xlfn.IFS(N1247=1,5,N1247=2,4,N1247=4,2,N1247=5,1,N1247=3,3)</f>
        <v>5</v>
      </c>
      <c r="X1247">
        <f t="shared" si="137"/>
        <v>24</v>
      </c>
      <c r="Y1247" cm="1">
        <f t="array" ref="Y1247">MAX(IF($C$2:$C$1387=C1247,$X$2:$X$1387))</f>
        <v>32</v>
      </c>
      <c r="Z1247" cm="1">
        <f t="array" ref="Z1247">MIN(IF($C$2:$C$1387=C1247,$X$2:$X$1387))</f>
        <v>10</v>
      </c>
      <c r="AA1247">
        <f t="shared" si="138"/>
        <v>22</v>
      </c>
      <c r="AB1247">
        <f t="shared" si="139"/>
        <v>0.63636363636363635</v>
      </c>
    </row>
    <row r="1248" spans="1:28" x14ac:dyDescent="0.25">
      <c r="A1248" t="s">
        <v>442</v>
      </c>
      <c r="B1248" t="s">
        <v>443</v>
      </c>
      <c r="C1248">
        <v>2014</v>
      </c>
      <c r="D1248">
        <v>0.36475499092558983</v>
      </c>
      <c r="E1248">
        <v>0.49995319419237749</v>
      </c>
      <c r="F1248">
        <v>3.176043557168784E-4</v>
      </c>
      <c r="G1248">
        <v>1.9459101490553132</v>
      </c>
      <c r="H1248">
        <v>0.7142857142857143</v>
      </c>
      <c r="I1248">
        <v>0.66666666666666663</v>
      </c>
      <c r="J1248">
        <v>0</v>
      </c>
      <c r="K1248">
        <v>4</v>
      </c>
      <c r="L1248">
        <v>2</v>
      </c>
      <c r="M1248">
        <v>1</v>
      </c>
      <c r="N1248">
        <v>1</v>
      </c>
      <c r="O1248">
        <v>4</v>
      </c>
      <c r="P1248">
        <v>1</v>
      </c>
      <c r="Q1248">
        <f t="shared" si="133"/>
        <v>5</v>
      </c>
      <c r="R1248">
        <f t="shared" si="134"/>
        <v>18</v>
      </c>
      <c r="S1248">
        <f t="array" ref="S1248">MAX(IF($C$2:$C$1387=C1248,$R$2:$R$1387))</f>
        <v>29</v>
      </c>
      <c r="T1248" cm="1">
        <f t="array" ref="T1248">MIN(IF($C$2:$C$1387=C1248,$R$2:$R$1387))</f>
        <v>11</v>
      </c>
      <c r="U1248">
        <f t="shared" si="135"/>
        <v>18</v>
      </c>
      <c r="V1248">
        <f t="shared" si="136"/>
        <v>0.3888888888888889</v>
      </c>
      <c r="W1248" cm="1">
        <f t="array" ref="W1248">_xlfn.IFS(N1248=1,5,N1248=2,4,N1248=4,2,N1248=5,1,N1248=3,3)</f>
        <v>5</v>
      </c>
      <c r="X1248">
        <f t="shared" si="137"/>
        <v>22</v>
      </c>
      <c r="Y1248" cm="1">
        <f t="array" ref="Y1248">MAX(IF($C$2:$C$1387=C1248,$X$2:$X$1387))</f>
        <v>30</v>
      </c>
      <c r="Z1248" cm="1">
        <f t="array" ref="Z1248">MIN(IF($C$2:$C$1387=C1248,$X$2:$X$1387))</f>
        <v>14</v>
      </c>
      <c r="AA1248">
        <f t="shared" si="138"/>
        <v>16</v>
      </c>
      <c r="AB1248">
        <f t="shared" si="139"/>
        <v>0.5</v>
      </c>
    </row>
    <row r="1249" spans="1:28" x14ac:dyDescent="0.25">
      <c r="A1249" t="s">
        <v>442</v>
      </c>
      <c r="B1249" t="s">
        <v>443</v>
      </c>
      <c r="C1249">
        <v>2015</v>
      </c>
      <c r="D1249">
        <v>0.42448577132486387</v>
      </c>
      <c r="E1249">
        <v>0.4273956442831216</v>
      </c>
      <c r="F1249">
        <v>2.2686025408348456E-4</v>
      </c>
      <c r="G1249">
        <v>1.9459101490553132</v>
      </c>
      <c r="H1249">
        <v>0.7142857142857143</v>
      </c>
      <c r="I1249">
        <v>1</v>
      </c>
      <c r="J1249">
        <v>0</v>
      </c>
      <c r="K1249">
        <v>4</v>
      </c>
      <c r="L1249">
        <v>1</v>
      </c>
      <c r="M1249">
        <v>1</v>
      </c>
      <c r="N1249">
        <v>1</v>
      </c>
      <c r="O1249">
        <v>3</v>
      </c>
      <c r="P1249">
        <v>2</v>
      </c>
      <c r="Q1249">
        <f t="shared" si="133"/>
        <v>5</v>
      </c>
      <c r="R1249">
        <f t="shared" si="134"/>
        <v>17</v>
      </c>
      <c r="S1249">
        <f t="array" ref="S1249">MAX(IF($C$2:$C$1387=C1249,$R$2:$R$1387))</f>
        <v>29</v>
      </c>
      <c r="T1249" cm="1">
        <f t="array" ref="T1249">MIN(IF($C$2:$C$1387=C1249,$R$2:$R$1387))</f>
        <v>11</v>
      </c>
      <c r="U1249">
        <f t="shared" si="135"/>
        <v>18</v>
      </c>
      <c r="V1249">
        <f t="shared" si="136"/>
        <v>0.33333333333333331</v>
      </c>
      <c r="W1249" cm="1">
        <f t="array" ref="W1249">_xlfn.IFS(N1249=1,5,N1249=2,4,N1249=4,2,N1249=5,1,N1249=3,3)</f>
        <v>5</v>
      </c>
      <c r="X1249">
        <f t="shared" si="137"/>
        <v>21</v>
      </c>
      <c r="Y1249" cm="1">
        <f t="array" ref="Y1249">MAX(IF($C$2:$C$1387=C1249,$X$2:$X$1387))</f>
        <v>29</v>
      </c>
      <c r="Z1249" cm="1">
        <f t="array" ref="Z1249">MIN(IF($C$2:$C$1387=C1249,$X$2:$X$1387))</f>
        <v>12</v>
      </c>
      <c r="AA1249">
        <f t="shared" si="138"/>
        <v>17</v>
      </c>
      <c r="AB1249">
        <f t="shared" si="139"/>
        <v>0.52941176470588236</v>
      </c>
    </row>
    <row r="1250" spans="1:28" x14ac:dyDescent="0.25">
      <c r="A1250" t="s">
        <v>444</v>
      </c>
      <c r="B1250" t="s">
        <v>445</v>
      </c>
      <c r="C1250">
        <v>2010</v>
      </c>
      <c r="D1250">
        <v>0.32994125000000002</v>
      </c>
      <c r="E1250">
        <v>0.52605807692307693</v>
      </c>
      <c r="F1250">
        <v>2.9325000000000002E-3</v>
      </c>
      <c r="G1250">
        <v>1.9459101490553132</v>
      </c>
      <c r="H1250">
        <v>0.8571428571428571</v>
      </c>
      <c r="I1250">
        <v>1</v>
      </c>
      <c r="J1250">
        <v>1</v>
      </c>
      <c r="K1250">
        <v>4</v>
      </c>
      <c r="L1250">
        <v>2</v>
      </c>
      <c r="M1250">
        <v>2</v>
      </c>
      <c r="N1250">
        <v>1</v>
      </c>
      <c r="O1250">
        <v>5</v>
      </c>
      <c r="P1250">
        <v>3</v>
      </c>
      <c r="Q1250">
        <f t="shared" si="133"/>
        <v>1</v>
      </c>
      <c r="R1250">
        <f t="shared" si="134"/>
        <v>18</v>
      </c>
      <c r="S1250">
        <f t="array" ref="S1250">MAX(IF($C$2:$C$1387=C1250,$R$2:$R$1387))</f>
        <v>29</v>
      </c>
      <c r="T1250" cm="1">
        <f t="array" ref="T1250">MIN(IF($C$2:$C$1387=C1250,$R$2:$R$1387))</f>
        <v>9</v>
      </c>
      <c r="U1250">
        <f t="shared" si="135"/>
        <v>20</v>
      </c>
      <c r="V1250">
        <f t="shared" si="136"/>
        <v>0.45</v>
      </c>
      <c r="W1250" cm="1">
        <f t="array" ref="W1250">_xlfn.IFS(N1250=1,5,N1250=2,4,N1250=4,2,N1250=5,1,N1250=3,3)</f>
        <v>5</v>
      </c>
      <c r="X1250">
        <f t="shared" si="137"/>
        <v>22</v>
      </c>
      <c r="Y1250" cm="1">
        <f t="array" ref="Y1250">MAX(IF($C$2:$C$1387=C1250,$X$2:$X$1387))</f>
        <v>29</v>
      </c>
      <c r="Z1250" cm="1">
        <f t="array" ref="Z1250">MIN(IF($C$2:$C$1387=C1250,$X$2:$X$1387))</f>
        <v>12</v>
      </c>
      <c r="AA1250">
        <f t="shared" si="138"/>
        <v>17</v>
      </c>
      <c r="AB1250">
        <f t="shared" si="139"/>
        <v>0.58823529411764708</v>
      </c>
    </row>
    <row r="1251" spans="1:28" x14ac:dyDescent="0.25">
      <c r="A1251" t="s">
        <v>444</v>
      </c>
      <c r="B1251" t="s">
        <v>445</v>
      </c>
      <c r="C1251">
        <v>2011</v>
      </c>
      <c r="D1251">
        <v>0.3665758653846154</v>
      </c>
      <c r="E1251">
        <v>0.47646509615384613</v>
      </c>
      <c r="F1251">
        <v>2.9325000000000002E-3</v>
      </c>
      <c r="G1251">
        <v>1.9459101490553132</v>
      </c>
      <c r="H1251">
        <v>0.14285714285714285</v>
      </c>
      <c r="I1251">
        <v>1</v>
      </c>
      <c r="J1251">
        <v>1</v>
      </c>
      <c r="K1251">
        <v>4</v>
      </c>
      <c r="L1251">
        <v>2</v>
      </c>
      <c r="M1251">
        <v>1</v>
      </c>
      <c r="N1251">
        <v>1</v>
      </c>
      <c r="O1251">
        <v>1</v>
      </c>
      <c r="P1251">
        <v>3</v>
      </c>
      <c r="Q1251">
        <f t="shared" si="133"/>
        <v>1</v>
      </c>
      <c r="R1251">
        <f t="shared" si="134"/>
        <v>13</v>
      </c>
      <c r="S1251">
        <f t="array" ref="S1251">MAX(IF($C$2:$C$1387=C1251,$R$2:$R$1387))</f>
        <v>28</v>
      </c>
      <c r="T1251" cm="1">
        <f t="array" ref="T1251">MIN(IF($C$2:$C$1387=C1251,$R$2:$R$1387))</f>
        <v>10</v>
      </c>
      <c r="U1251">
        <f t="shared" si="135"/>
        <v>18</v>
      </c>
      <c r="V1251">
        <f t="shared" si="136"/>
        <v>0.16666666666666666</v>
      </c>
      <c r="W1251" cm="1">
        <f t="array" ref="W1251">_xlfn.IFS(N1251=1,5,N1251=2,4,N1251=4,2,N1251=5,1,N1251=3,3)</f>
        <v>5</v>
      </c>
      <c r="X1251">
        <f t="shared" si="137"/>
        <v>17</v>
      </c>
      <c r="Y1251" cm="1">
        <f t="array" ref="Y1251">MAX(IF($C$2:$C$1387=C1251,$X$2:$X$1387))</f>
        <v>29</v>
      </c>
      <c r="Z1251" cm="1">
        <f t="array" ref="Z1251">MIN(IF($C$2:$C$1387=C1251,$X$2:$X$1387))</f>
        <v>12</v>
      </c>
      <c r="AA1251">
        <f t="shared" si="138"/>
        <v>17</v>
      </c>
      <c r="AB1251">
        <f t="shared" si="139"/>
        <v>0.29411764705882354</v>
      </c>
    </row>
    <row r="1252" spans="1:28" x14ac:dyDescent="0.25">
      <c r="A1252" t="s">
        <v>444</v>
      </c>
      <c r="B1252" t="s">
        <v>445</v>
      </c>
      <c r="C1252">
        <v>2012</v>
      </c>
      <c r="D1252">
        <v>0.3744172435897436</v>
      </c>
      <c r="E1252">
        <v>0.47646509615384613</v>
      </c>
      <c r="F1252">
        <v>2.9325000000000002E-3</v>
      </c>
      <c r="G1252">
        <v>1.9459101490553132</v>
      </c>
      <c r="H1252">
        <v>0.5714285714285714</v>
      </c>
      <c r="I1252">
        <v>1</v>
      </c>
      <c r="J1252">
        <v>1</v>
      </c>
      <c r="K1252">
        <v>4</v>
      </c>
      <c r="L1252">
        <v>2</v>
      </c>
      <c r="M1252">
        <v>1</v>
      </c>
      <c r="N1252">
        <v>1</v>
      </c>
      <c r="O1252">
        <v>2</v>
      </c>
      <c r="P1252">
        <v>3</v>
      </c>
      <c r="Q1252">
        <f t="shared" si="133"/>
        <v>1</v>
      </c>
      <c r="R1252">
        <f t="shared" si="134"/>
        <v>14</v>
      </c>
      <c r="S1252">
        <f t="array" ref="S1252">MAX(IF($C$2:$C$1387=C1252,$R$2:$R$1387))</f>
        <v>29</v>
      </c>
      <c r="T1252" cm="1">
        <f t="array" ref="T1252">MIN(IF($C$2:$C$1387=C1252,$R$2:$R$1387))</f>
        <v>11</v>
      </c>
      <c r="U1252">
        <f t="shared" si="135"/>
        <v>18</v>
      </c>
      <c r="V1252">
        <f t="shared" si="136"/>
        <v>0.16666666666666666</v>
      </c>
      <c r="W1252" cm="1">
        <f t="array" ref="W1252">_xlfn.IFS(N1252=1,5,N1252=2,4,N1252=4,2,N1252=5,1,N1252=3,3)</f>
        <v>5</v>
      </c>
      <c r="X1252">
        <f t="shared" si="137"/>
        <v>18</v>
      </c>
      <c r="Y1252" cm="1">
        <f t="array" ref="Y1252">MAX(IF($C$2:$C$1387=C1252,$X$2:$X$1387))</f>
        <v>30</v>
      </c>
      <c r="Z1252" cm="1">
        <f t="array" ref="Z1252">MIN(IF($C$2:$C$1387=C1252,$X$2:$X$1387))</f>
        <v>12</v>
      </c>
      <c r="AA1252">
        <f t="shared" si="138"/>
        <v>18</v>
      </c>
      <c r="AB1252">
        <f t="shared" si="139"/>
        <v>0.33333333333333331</v>
      </c>
    </row>
    <row r="1253" spans="1:28" x14ac:dyDescent="0.25">
      <c r="A1253" t="s">
        <v>444</v>
      </c>
      <c r="B1253" t="s">
        <v>445</v>
      </c>
      <c r="C1253">
        <v>2013</v>
      </c>
      <c r="D1253">
        <v>0.37477461538461537</v>
      </c>
      <c r="E1253">
        <v>0.47646509615384613</v>
      </c>
      <c r="F1253">
        <v>2.8559935897435897E-3</v>
      </c>
      <c r="G1253">
        <v>1.9459101490553132</v>
      </c>
      <c r="H1253">
        <v>0.5714285714285714</v>
      </c>
      <c r="I1253">
        <v>1</v>
      </c>
      <c r="J1253">
        <v>1</v>
      </c>
      <c r="K1253">
        <v>4</v>
      </c>
      <c r="L1253">
        <v>2</v>
      </c>
      <c r="M1253">
        <v>1</v>
      </c>
      <c r="N1253">
        <v>1</v>
      </c>
      <c r="O1253">
        <v>2</v>
      </c>
      <c r="P1253">
        <v>3</v>
      </c>
      <c r="Q1253">
        <f t="shared" si="133"/>
        <v>1</v>
      </c>
      <c r="R1253">
        <f t="shared" si="134"/>
        <v>14</v>
      </c>
      <c r="S1253">
        <f t="array" ref="S1253">MAX(IF($C$2:$C$1387=C1253,$R$2:$R$1387))</f>
        <v>29</v>
      </c>
      <c r="T1253" cm="1">
        <f t="array" ref="T1253">MIN(IF($C$2:$C$1387=C1253,$R$2:$R$1387))</f>
        <v>10</v>
      </c>
      <c r="U1253">
        <f t="shared" si="135"/>
        <v>19</v>
      </c>
      <c r="V1253">
        <f t="shared" si="136"/>
        <v>0.21052631578947367</v>
      </c>
      <c r="W1253" cm="1">
        <f t="array" ref="W1253">_xlfn.IFS(N1253=1,5,N1253=2,4,N1253=4,2,N1253=5,1,N1253=3,3)</f>
        <v>5</v>
      </c>
      <c r="X1253">
        <f t="shared" si="137"/>
        <v>18</v>
      </c>
      <c r="Y1253" cm="1">
        <f t="array" ref="Y1253">MAX(IF($C$2:$C$1387=C1253,$X$2:$X$1387))</f>
        <v>32</v>
      </c>
      <c r="Z1253" cm="1">
        <f t="array" ref="Z1253">MIN(IF($C$2:$C$1387=C1253,$X$2:$X$1387))</f>
        <v>10</v>
      </c>
      <c r="AA1253">
        <f t="shared" si="138"/>
        <v>22</v>
      </c>
      <c r="AB1253">
        <f t="shared" si="139"/>
        <v>0.36363636363636365</v>
      </c>
    </row>
    <row r="1254" spans="1:28" x14ac:dyDescent="0.25">
      <c r="A1254" t="s">
        <v>444</v>
      </c>
      <c r="B1254" t="s">
        <v>445</v>
      </c>
      <c r="C1254">
        <v>2014</v>
      </c>
      <c r="D1254">
        <v>0.37477461538461537</v>
      </c>
      <c r="E1254">
        <v>0.47646509615384613</v>
      </c>
      <c r="F1254">
        <v>2.1692596153846153E-2</v>
      </c>
      <c r="G1254">
        <v>1.9459101490553132</v>
      </c>
      <c r="H1254">
        <v>0.5714285714285714</v>
      </c>
      <c r="I1254">
        <v>1</v>
      </c>
      <c r="J1254">
        <v>0</v>
      </c>
      <c r="K1254">
        <v>4</v>
      </c>
      <c r="L1254">
        <v>2</v>
      </c>
      <c r="M1254">
        <v>2</v>
      </c>
      <c r="N1254">
        <v>1</v>
      </c>
      <c r="O1254">
        <v>2</v>
      </c>
      <c r="P1254">
        <v>3</v>
      </c>
      <c r="Q1254">
        <f t="shared" si="133"/>
        <v>5</v>
      </c>
      <c r="R1254">
        <f t="shared" si="134"/>
        <v>19</v>
      </c>
      <c r="S1254">
        <f t="array" ref="S1254">MAX(IF($C$2:$C$1387=C1254,$R$2:$R$1387))</f>
        <v>29</v>
      </c>
      <c r="T1254" cm="1">
        <f t="array" ref="T1254">MIN(IF($C$2:$C$1387=C1254,$R$2:$R$1387))</f>
        <v>11</v>
      </c>
      <c r="U1254">
        <f t="shared" si="135"/>
        <v>18</v>
      </c>
      <c r="V1254">
        <f t="shared" si="136"/>
        <v>0.44444444444444442</v>
      </c>
      <c r="W1254" cm="1">
        <f t="array" ref="W1254">_xlfn.IFS(N1254=1,5,N1254=2,4,N1254=4,2,N1254=5,1,N1254=3,3)</f>
        <v>5</v>
      </c>
      <c r="X1254">
        <f t="shared" si="137"/>
        <v>23</v>
      </c>
      <c r="Y1254" cm="1">
        <f t="array" ref="Y1254">MAX(IF($C$2:$C$1387=C1254,$X$2:$X$1387))</f>
        <v>30</v>
      </c>
      <c r="Z1254" cm="1">
        <f t="array" ref="Z1254">MIN(IF($C$2:$C$1387=C1254,$X$2:$X$1387))</f>
        <v>14</v>
      </c>
      <c r="AA1254">
        <f t="shared" si="138"/>
        <v>16</v>
      </c>
      <c r="AB1254">
        <f t="shared" si="139"/>
        <v>0.5625</v>
      </c>
    </row>
    <row r="1255" spans="1:28" x14ac:dyDescent="0.25">
      <c r="A1255" t="s">
        <v>444</v>
      </c>
      <c r="B1255" t="s">
        <v>445</v>
      </c>
      <c r="C1255">
        <v>2015</v>
      </c>
      <c r="D1255">
        <v>0.54338035256410255</v>
      </c>
      <c r="E1255">
        <v>0.47820490384615383</v>
      </c>
      <c r="F1255">
        <v>2.1692596153846153E-2</v>
      </c>
      <c r="G1255">
        <v>2.0794415416798357</v>
      </c>
      <c r="H1255">
        <v>0.375</v>
      </c>
      <c r="I1255">
        <v>1</v>
      </c>
      <c r="J1255">
        <v>0</v>
      </c>
      <c r="K1255">
        <v>4</v>
      </c>
      <c r="L1255">
        <v>2</v>
      </c>
      <c r="M1255">
        <v>2</v>
      </c>
      <c r="N1255">
        <v>3</v>
      </c>
      <c r="O1255">
        <v>1</v>
      </c>
      <c r="P1255">
        <v>2</v>
      </c>
      <c r="Q1255">
        <f t="shared" si="133"/>
        <v>5</v>
      </c>
      <c r="R1255">
        <f t="shared" si="134"/>
        <v>19</v>
      </c>
      <c r="S1255">
        <f t="array" ref="S1255">MAX(IF($C$2:$C$1387=C1255,$R$2:$R$1387))</f>
        <v>29</v>
      </c>
      <c r="T1255" cm="1">
        <f t="array" ref="T1255">MIN(IF($C$2:$C$1387=C1255,$R$2:$R$1387))</f>
        <v>11</v>
      </c>
      <c r="U1255">
        <f t="shared" si="135"/>
        <v>18</v>
      </c>
      <c r="V1255">
        <f t="shared" si="136"/>
        <v>0.44444444444444442</v>
      </c>
      <c r="W1255" cm="1">
        <f t="array" ref="W1255">_xlfn.IFS(N1255=1,5,N1255=2,4,N1255=4,2,N1255=5,1,N1255=3,3)</f>
        <v>3</v>
      </c>
      <c r="X1255">
        <f t="shared" si="137"/>
        <v>19</v>
      </c>
      <c r="Y1255" cm="1">
        <f t="array" ref="Y1255">MAX(IF($C$2:$C$1387=C1255,$X$2:$X$1387))</f>
        <v>29</v>
      </c>
      <c r="Z1255" cm="1">
        <f t="array" ref="Z1255">MIN(IF($C$2:$C$1387=C1255,$X$2:$X$1387))</f>
        <v>12</v>
      </c>
      <c r="AA1255">
        <f t="shared" si="138"/>
        <v>17</v>
      </c>
      <c r="AB1255">
        <f t="shared" si="139"/>
        <v>0.41176470588235292</v>
      </c>
    </row>
    <row r="1256" spans="1:28" x14ac:dyDescent="0.25">
      <c r="A1256" t="s">
        <v>446</v>
      </c>
      <c r="B1256" t="s">
        <v>447</v>
      </c>
      <c r="C1256">
        <v>2010</v>
      </c>
      <c r="D1256">
        <v>9.9288964167548371E-2</v>
      </c>
      <c r="E1256">
        <v>0.53390145924082633</v>
      </c>
      <c r="F1256">
        <v>0.30795934653105977</v>
      </c>
      <c r="G1256">
        <v>2.1972245773362196</v>
      </c>
      <c r="H1256">
        <v>0.44444444444444442</v>
      </c>
      <c r="I1256">
        <v>0.66666666666666663</v>
      </c>
      <c r="J1256">
        <v>0</v>
      </c>
      <c r="K1256">
        <v>3</v>
      </c>
      <c r="L1256">
        <v>2</v>
      </c>
      <c r="M1256">
        <v>5</v>
      </c>
      <c r="N1256">
        <v>4</v>
      </c>
      <c r="O1256">
        <v>2</v>
      </c>
      <c r="P1256">
        <v>1</v>
      </c>
      <c r="Q1256">
        <f t="shared" si="133"/>
        <v>5</v>
      </c>
      <c r="R1256">
        <f t="shared" si="134"/>
        <v>22</v>
      </c>
      <c r="S1256">
        <f t="array" ref="S1256">MAX(IF($C$2:$C$1387=C1256,$R$2:$R$1387))</f>
        <v>29</v>
      </c>
      <c r="T1256" cm="1">
        <f t="array" ref="T1256">MIN(IF($C$2:$C$1387=C1256,$R$2:$R$1387))</f>
        <v>9</v>
      </c>
      <c r="U1256">
        <f t="shared" si="135"/>
        <v>20</v>
      </c>
      <c r="V1256">
        <f t="shared" si="136"/>
        <v>0.65</v>
      </c>
      <c r="W1256" cm="1">
        <f t="array" ref="W1256">_xlfn.IFS(N1256=1,5,N1256=2,4,N1256=4,2,N1256=5,1,N1256=3,3)</f>
        <v>2</v>
      </c>
      <c r="X1256">
        <f t="shared" si="137"/>
        <v>20</v>
      </c>
      <c r="Y1256" cm="1">
        <f t="array" ref="Y1256">MAX(IF($C$2:$C$1387=C1256,$X$2:$X$1387))</f>
        <v>29</v>
      </c>
      <c r="Z1256" cm="1">
        <f t="array" ref="Z1256">MIN(IF($C$2:$C$1387=C1256,$X$2:$X$1387))</f>
        <v>12</v>
      </c>
      <c r="AA1256">
        <f t="shared" si="138"/>
        <v>17</v>
      </c>
      <c r="AB1256">
        <f t="shared" si="139"/>
        <v>0.47058823529411764</v>
      </c>
    </row>
    <row r="1257" spans="1:28" x14ac:dyDescent="0.25">
      <c r="A1257" t="s">
        <v>446</v>
      </c>
      <c r="B1257" t="s">
        <v>447</v>
      </c>
      <c r="C1257">
        <v>2011</v>
      </c>
      <c r="D1257">
        <v>9.9288964167548371E-2</v>
      </c>
      <c r="E1257">
        <v>0.53390145924082633</v>
      </c>
      <c r="F1257">
        <v>0.30795934653105977</v>
      </c>
      <c r="G1257">
        <v>2.1972245773362196</v>
      </c>
      <c r="H1257">
        <v>0.44444444444444442</v>
      </c>
      <c r="I1257">
        <v>0.66666666666666663</v>
      </c>
      <c r="J1257">
        <v>0</v>
      </c>
      <c r="K1257">
        <v>3</v>
      </c>
      <c r="L1257">
        <v>2</v>
      </c>
      <c r="M1257">
        <v>5</v>
      </c>
      <c r="N1257">
        <v>4</v>
      </c>
      <c r="O1257">
        <v>2</v>
      </c>
      <c r="P1257">
        <v>1</v>
      </c>
      <c r="Q1257">
        <f t="shared" si="133"/>
        <v>5</v>
      </c>
      <c r="R1257">
        <f t="shared" si="134"/>
        <v>22</v>
      </c>
      <c r="S1257">
        <f t="array" ref="S1257">MAX(IF($C$2:$C$1387=C1257,$R$2:$R$1387))</f>
        <v>28</v>
      </c>
      <c r="T1257" cm="1">
        <f t="array" ref="T1257">MIN(IF($C$2:$C$1387=C1257,$R$2:$R$1387))</f>
        <v>10</v>
      </c>
      <c r="U1257">
        <f t="shared" si="135"/>
        <v>18</v>
      </c>
      <c r="V1257">
        <f t="shared" si="136"/>
        <v>0.66666666666666663</v>
      </c>
      <c r="W1257" cm="1">
        <f t="array" ref="W1257">_xlfn.IFS(N1257=1,5,N1257=2,4,N1257=4,2,N1257=5,1,N1257=3,3)</f>
        <v>2</v>
      </c>
      <c r="X1257">
        <f t="shared" si="137"/>
        <v>20</v>
      </c>
      <c r="Y1257" cm="1">
        <f t="array" ref="Y1257">MAX(IF($C$2:$C$1387=C1257,$X$2:$X$1387))</f>
        <v>29</v>
      </c>
      <c r="Z1257" cm="1">
        <f t="array" ref="Z1257">MIN(IF($C$2:$C$1387=C1257,$X$2:$X$1387))</f>
        <v>12</v>
      </c>
      <c r="AA1257">
        <f t="shared" si="138"/>
        <v>17</v>
      </c>
      <c r="AB1257">
        <f t="shared" si="139"/>
        <v>0.47058823529411764</v>
      </c>
    </row>
    <row r="1258" spans="1:28" x14ac:dyDescent="0.25">
      <c r="A1258" t="s">
        <v>446</v>
      </c>
      <c r="B1258" t="s">
        <v>447</v>
      </c>
      <c r="C1258">
        <v>2012</v>
      </c>
      <c r="D1258">
        <v>0.42858977740818299</v>
      </c>
      <c r="E1258">
        <v>0.52880867724922265</v>
      </c>
      <c r="F1258">
        <v>0.30118792506876629</v>
      </c>
      <c r="G1258">
        <v>2.0794415416798357</v>
      </c>
      <c r="H1258">
        <v>0.5</v>
      </c>
      <c r="I1258">
        <v>0.75</v>
      </c>
      <c r="J1258">
        <v>0</v>
      </c>
      <c r="K1258">
        <v>4</v>
      </c>
      <c r="L1258">
        <v>2</v>
      </c>
      <c r="M1258">
        <v>5</v>
      </c>
      <c r="N1258">
        <v>3</v>
      </c>
      <c r="O1258">
        <v>2</v>
      </c>
      <c r="P1258">
        <v>3</v>
      </c>
      <c r="Q1258">
        <f t="shared" si="133"/>
        <v>5</v>
      </c>
      <c r="R1258">
        <f t="shared" si="134"/>
        <v>24</v>
      </c>
      <c r="S1258">
        <f t="array" ref="S1258">MAX(IF($C$2:$C$1387=C1258,$R$2:$R$1387))</f>
        <v>29</v>
      </c>
      <c r="T1258" cm="1">
        <f t="array" ref="T1258">MIN(IF($C$2:$C$1387=C1258,$R$2:$R$1387))</f>
        <v>11</v>
      </c>
      <c r="U1258">
        <f t="shared" si="135"/>
        <v>18</v>
      </c>
      <c r="V1258">
        <f t="shared" si="136"/>
        <v>0.72222222222222221</v>
      </c>
      <c r="W1258" cm="1">
        <f t="array" ref="W1258">_xlfn.IFS(N1258=1,5,N1258=2,4,N1258=4,2,N1258=5,1,N1258=3,3)</f>
        <v>3</v>
      </c>
      <c r="X1258">
        <f t="shared" si="137"/>
        <v>24</v>
      </c>
      <c r="Y1258" cm="1">
        <f t="array" ref="Y1258">MAX(IF($C$2:$C$1387=C1258,$X$2:$X$1387))</f>
        <v>30</v>
      </c>
      <c r="Z1258" cm="1">
        <f t="array" ref="Z1258">MIN(IF($C$2:$C$1387=C1258,$X$2:$X$1387))</f>
        <v>12</v>
      </c>
      <c r="AA1258">
        <f t="shared" si="138"/>
        <v>18</v>
      </c>
      <c r="AB1258">
        <f t="shared" si="139"/>
        <v>0.66666666666666663</v>
      </c>
    </row>
    <row r="1259" spans="1:28" x14ac:dyDescent="0.25">
      <c r="A1259" t="s">
        <v>446</v>
      </c>
      <c r="B1259" t="s">
        <v>447</v>
      </c>
      <c r="C1259">
        <v>2013</v>
      </c>
      <c r="D1259">
        <v>0.45487671285945741</v>
      </c>
      <c r="E1259">
        <v>0.54676975379649606</v>
      </c>
      <c r="F1259">
        <v>0.24236828827906118</v>
      </c>
      <c r="G1259">
        <v>2.1972245773362196</v>
      </c>
      <c r="H1259">
        <v>0.44444444444444442</v>
      </c>
      <c r="I1259">
        <v>0.75</v>
      </c>
      <c r="J1259">
        <v>0</v>
      </c>
      <c r="K1259">
        <v>4</v>
      </c>
      <c r="L1259">
        <v>2</v>
      </c>
      <c r="M1259">
        <v>5</v>
      </c>
      <c r="N1259">
        <v>4</v>
      </c>
      <c r="O1259">
        <v>2</v>
      </c>
      <c r="P1259">
        <v>3</v>
      </c>
      <c r="Q1259">
        <f t="shared" si="133"/>
        <v>5</v>
      </c>
      <c r="R1259">
        <f t="shared" si="134"/>
        <v>25</v>
      </c>
      <c r="S1259">
        <f t="array" ref="S1259">MAX(IF($C$2:$C$1387=C1259,$R$2:$R$1387))</f>
        <v>29</v>
      </c>
      <c r="T1259" cm="1">
        <f t="array" ref="T1259">MIN(IF($C$2:$C$1387=C1259,$R$2:$R$1387))</f>
        <v>10</v>
      </c>
      <c r="U1259">
        <f t="shared" si="135"/>
        <v>19</v>
      </c>
      <c r="V1259">
        <f t="shared" si="136"/>
        <v>0.78947368421052633</v>
      </c>
      <c r="W1259" cm="1">
        <f t="array" ref="W1259">_xlfn.IFS(N1259=1,5,N1259=2,4,N1259=4,2,N1259=5,1,N1259=3,3)</f>
        <v>2</v>
      </c>
      <c r="X1259">
        <f t="shared" si="137"/>
        <v>23</v>
      </c>
      <c r="Y1259" cm="1">
        <f t="array" ref="Y1259">MAX(IF($C$2:$C$1387=C1259,$X$2:$X$1387))</f>
        <v>32</v>
      </c>
      <c r="Z1259" cm="1">
        <f t="array" ref="Z1259">MIN(IF($C$2:$C$1387=C1259,$X$2:$X$1387))</f>
        <v>10</v>
      </c>
      <c r="AA1259">
        <f t="shared" si="138"/>
        <v>22</v>
      </c>
      <c r="AB1259">
        <f t="shared" si="139"/>
        <v>0.59090909090909094</v>
      </c>
    </row>
    <row r="1260" spans="1:28" x14ac:dyDescent="0.25">
      <c r="A1260" t="s">
        <v>446</v>
      </c>
      <c r="B1260" t="s">
        <v>447</v>
      </c>
      <c r="C1260">
        <v>2014</v>
      </c>
      <c r="D1260">
        <v>0.44722839514434909</v>
      </c>
      <c r="E1260">
        <v>0.54103351551016488</v>
      </c>
      <c r="F1260">
        <v>0.25948173170216887</v>
      </c>
      <c r="G1260">
        <v>2.1972245773362196</v>
      </c>
      <c r="H1260">
        <v>0.55555555555555558</v>
      </c>
      <c r="I1260">
        <v>0.66666666666666663</v>
      </c>
      <c r="J1260">
        <v>0</v>
      </c>
      <c r="K1260">
        <v>4</v>
      </c>
      <c r="L1260">
        <v>2</v>
      </c>
      <c r="M1260">
        <v>5</v>
      </c>
      <c r="N1260">
        <v>4</v>
      </c>
      <c r="O1260">
        <v>2</v>
      </c>
      <c r="P1260">
        <v>1</v>
      </c>
      <c r="Q1260">
        <f t="shared" si="133"/>
        <v>5</v>
      </c>
      <c r="R1260">
        <f t="shared" si="134"/>
        <v>23</v>
      </c>
      <c r="S1260">
        <f t="array" ref="S1260">MAX(IF($C$2:$C$1387=C1260,$R$2:$R$1387))</f>
        <v>29</v>
      </c>
      <c r="T1260" cm="1">
        <f t="array" ref="T1260">MIN(IF($C$2:$C$1387=C1260,$R$2:$R$1387))</f>
        <v>11</v>
      </c>
      <c r="U1260">
        <f t="shared" si="135"/>
        <v>18</v>
      </c>
      <c r="V1260">
        <f t="shared" si="136"/>
        <v>0.66666666666666663</v>
      </c>
      <c r="W1260" cm="1">
        <f t="array" ref="W1260">_xlfn.IFS(N1260=1,5,N1260=2,4,N1260=4,2,N1260=5,1,N1260=3,3)</f>
        <v>2</v>
      </c>
      <c r="X1260">
        <f t="shared" si="137"/>
        <v>21</v>
      </c>
      <c r="Y1260" cm="1">
        <f t="array" ref="Y1260">MAX(IF($C$2:$C$1387=C1260,$X$2:$X$1387))</f>
        <v>30</v>
      </c>
      <c r="Z1260" cm="1">
        <f t="array" ref="Z1260">MIN(IF($C$2:$C$1387=C1260,$X$2:$X$1387))</f>
        <v>14</v>
      </c>
      <c r="AA1260">
        <f t="shared" si="138"/>
        <v>16</v>
      </c>
      <c r="AB1260">
        <f t="shared" si="139"/>
        <v>0.4375</v>
      </c>
    </row>
    <row r="1261" spans="1:28" x14ac:dyDescent="0.25">
      <c r="A1261" t="s">
        <v>446</v>
      </c>
      <c r="B1261" t="s">
        <v>447</v>
      </c>
      <c r="C1261">
        <v>2015</v>
      </c>
      <c r="D1261">
        <v>0.44726996208845299</v>
      </c>
      <c r="E1261">
        <v>0.54065941301323017</v>
      </c>
      <c r="F1261">
        <v>0.26166806982814311</v>
      </c>
      <c r="G1261">
        <v>2.1972245773362196</v>
      </c>
      <c r="H1261">
        <v>0.55555555555555558</v>
      </c>
      <c r="I1261">
        <v>0.66666666666666663</v>
      </c>
      <c r="J1261">
        <v>0</v>
      </c>
      <c r="K1261">
        <v>4</v>
      </c>
      <c r="L1261">
        <v>2</v>
      </c>
      <c r="M1261">
        <v>5</v>
      </c>
      <c r="N1261">
        <v>4</v>
      </c>
      <c r="O1261">
        <v>1</v>
      </c>
      <c r="P1261">
        <v>1</v>
      </c>
      <c r="Q1261">
        <f t="shared" si="133"/>
        <v>5</v>
      </c>
      <c r="R1261">
        <f t="shared" si="134"/>
        <v>22</v>
      </c>
      <c r="S1261">
        <f t="array" ref="S1261">MAX(IF($C$2:$C$1387=C1261,$R$2:$R$1387))</f>
        <v>29</v>
      </c>
      <c r="T1261" cm="1">
        <f t="array" ref="T1261">MIN(IF($C$2:$C$1387=C1261,$R$2:$R$1387))</f>
        <v>11</v>
      </c>
      <c r="U1261">
        <f t="shared" si="135"/>
        <v>18</v>
      </c>
      <c r="V1261">
        <f t="shared" si="136"/>
        <v>0.61111111111111116</v>
      </c>
      <c r="W1261" cm="1">
        <f t="array" ref="W1261">_xlfn.IFS(N1261=1,5,N1261=2,4,N1261=4,2,N1261=5,1,N1261=3,3)</f>
        <v>2</v>
      </c>
      <c r="X1261">
        <f t="shared" si="137"/>
        <v>20</v>
      </c>
      <c r="Y1261" cm="1">
        <f t="array" ref="Y1261">MAX(IF($C$2:$C$1387=C1261,$X$2:$X$1387))</f>
        <v>29</v>
      </c>
      <c r="Z1261" cm="1">
        <f t="array" ref="Z1261">MIN(IF($C$2:$C$1387=C1261,$X$2:$X$1387))</f>
        <v>12</v>
      </c>
      <c r="AA1261">
        <f t="shared" si="138"/>
        <v>17</v>
      </c>
      <c r="AB1261">
        <f t="shared" si="139"/>
        <v>0.47058823529411764</v>
      </c>
    </row>
    <row r="1262" spans="1:28" x14ac:dyDescent="0.25">
      <c r="A1262" t="s">
        <v>448</v>
      </c>
      <c r="B1262" t="s">
        <v>449</v>
      </c>
      <c r="C1262">
        <v>2010</v>
      </c>
      <c r="D1262">
        <v>5.1032435687084939E-2</v>
      </c>
      <c r="E1262">
        <v>0.46982158686903136</v>
      </c>
      <c r="F1262">
        <v>5.841551173844152E-2</v>
      </c>
      <c r="G1262">
        <v>1.9459101490553132</v>
      </c>
      <c r="H1262">
        <v>0.8571428571428571</v>
      </c>
      <c r="I1262">
        <v>1</v>
      </c>
      <c r="J1262">
        <v>0</v>
      </c>
      <c r="K1262">
        <v>2</v>
      </c>
      <c r="L1262">
        <v>2</v>
      </c>
      <c r="M1262">
        <v>3</v>
      </c>
      <c r="N1262">
        <v>1</v>
      </c>
      <c r="O1262">
        <v>5</v>
      </c>
      <c r="P1262">
        <v>3</v>
      </c>
      <c r="Q1262">
        <f t="shared" si="133"/>
        <v>5</v>
      </c>
      <c r="R1262">
        <f t="shared" si="134"/>
        <v>21</v>
      </c>
      <c r="S1262">
        <f t="array" ref="S1262">MAX(IF($C$2:$C$1387=C1262,$R$2:$R$1387))</f>
        <v>29</v>
      </c>
      <c r="T1262" cm="1">
        <f t="array" ref="T1262">MIN(IF($C$2:$C$1387=C1262,$R$2:$R$1387))</f>
        <v>9</v>
      </c>
      <c r="U1262">
        <f t="shared" si="135"/>
        <v>20</v>
      </c>
      <c r="V1262">
        <f t="shared" si="136"/>
        <v>0.6</v>
      </c>
      <c r="W1262" cm="1">
        <f t="array" ref="W1262">_xlfn.IFS(N1262=1,5,N1262=2,4,N1262=4,2,N1262=5,1,N1262=3,3)</f>
        <v>5</v>
      </c>
      <c r="X1262">
        <f t="shared" si="137"/>
        <v>25</v>
      </c>
      <c r="Y1262" cm="1">
        <f t="array" ref="Y1262">MAX(IF($C$2:$C$1387=C1262,$X$2:$X$1387))</f>
        <v>29</v>
      </c>
      <c r="Z1262" cm="1">
        <f t="array" ref="Z1262">MIN(IF($C$2:$C$1387=C1262,$X$2:$X$1387))</f>
        <v>12</v>
      </c>
      <c r="AA1262">
        <f t="shared" si="138"/>
        <v>17</v>
      </c>
      <c r="AB1262">
        <f t="shared" si="139"/>
        <v>0.76470588235294112</v>
      </c>
    </row>
    <row r="1263" spans="1:28" x14ac:dyDescent="0.25">
      <c r="A1263" t="s">
        <v>448</v>
      </c>
      <c r="B1263" t="s">
        <v>449</v>
      </c>
      <c r="C1263">
        <v>2011</v>
      </c>
      <c r="D1263">
        <v>5.1032435687084939E-2</v>
      </c>
      <c r="E1263">
        <v>0.46982158686903136</v>
      </c>
      <c r="F1263">
        <v>5.841551173844152E-2</v>
      </c>
      <c r="G1263">
        <v>1.9459101490553132</v>
      </c>
      <c r="H1263">
        <v>0.8571428571428571</v>
      </c>
      <c r="I1263">
        <v>1</v>
      </c>
      <c r="J1263">
        <v>0</v>
      </c>
      <c r="K1263">
        <v>2</v>
      </c>
      <c r="L1263">
        <v>2</v>
      </c>
      <c r="M1263">
        <v>3</v>
      </c>
      <c r="N1263">
        <v>1</v>
      </c>
      <c r="O1263">
        <v>5</v>
      </c>
      <c r="P1263">
        <v>3</v>
      </c>
      <c r="Q1263">
        <f t="shared" si="133"/>
        <v>5</v>
      </c>
      <c r="R1263">
        <f t="shared" si="134"/>
        <v>21</v>
      </c>
      <c r="S1263">
        <f t="array" ref="S1263">MAX(IF($C$2:$C$1387=C1263,$R$2:$R$1387))</f>
        <v>28</v>
      </c>
      <c r="T1263" cm="1">
        <f t="array" ref="T1263">MIN(IF($C$2:$C$1387=C1263,$R$2:$R$1387))</f>
        <v>10</v>
      </c>
      <c r="U1263">
        <f t="shared" si="135"/>
        <v>18</v>
      </c>
      <c r="V1263">
        <f t="shared" si="136"/>
        <v>0.61111111111111116</v>
      </c>
      <c r="W1263" cm="1">
        <f t="array" ref="W1263">_xlfn.IFS(N1263=1,5,N1263=2,4,N1263=4,2,N1263=5,1,N1263=3,3)</f>
        <v>5</v>
      </c>
      <c r="X1263">
        <f t="shared" si="137"/>
        <v>25</v>
      </c>
      <c r="Y1263" cm="1">
        <f t="array" ref="Y1263">MAX(IF($C$2:$C$1387=C1263,$X$2:$X$1387))</f>
        <v>29</v>
      </c>
      <c r="Z1263" cm="1">
        <f t="array" ref="Z1263">MIN(IF($C$2:$C$1387=C1263,$X$2:$X$1387))</f>
        <v>12</v>
      </c>
      <c r="AA1263">
        <f t="shared" si="138"/>
        <v>17</v>
      </c>
      <c r="AB1263">
        <f t="shared" si="139"/>
        <v>0.76470588235294112</v>
      </c>
    </row>
    <row r="1264" spans="1:28" x14ac:dyDescent="0.25">
      <c r="A1264" t="s">
        <v>448</v>
      </c>
      <c r="B1264" t="s">
        <v>449</v>
      </c>
      <c r="C1264">
        <v>2012</v>
      </c>
      <c r="D1264">
        <v>5.1032435687084939E-2</v>
      </c>
      <c r="E1264">
        <v>0.46982158686903136</v>
      </c>
      <c r="F1264">
        <v>5.841551173844152E-2</v>
      </c>
      <c r="G1264">
        <v>1.9459101490553132</v>
      </c>
      <c r="H1264">
        <v>0.8571428571428571</v>
      </c>
      <c r="I1264">
        <v>1</v>
      </c>
      <c r="J1264">
        <v>0</v>
      </c>
      <c r="K1264">
        <v>2</v>
      </c>
      <c r="L1264">
        <v>2</v>
      </c>
      <c r="M1264">
        <v>3</v>
      </c>
      <c r="N1264">
        <v>1</v>
      </c>
      <c r="O1264">
        <v>5</v>
      </c>
      <c r="P1264">
        <v>3</v>
      </c>
      <c r="Q1264">
        <f t="shared" si="133"/>
        <v>5</v>
      </c>
      <c r="R1264">
        <f t="shared" si="134"/>
        <v>21</v>
      </c>
      <c r="S1264">
        <f t="array" ref="S1264">MAX(IF($C$2:$C$1387=C1264,$R$2:$R$1387))</f>
        <v>29</v>
      </c>
      <c r="T1264" cm="1">
        <f t="array" ref="T1264">MIN(IF($C$2:$C$1387=C1264,$R$2:$R$1387))</f>
        <v>11</v>
      </c>
      <c r="U1264">
        <f t="shared" si="135"/>
        <v>18</v>
      </c>
      <c r="V1264">
        <f t="shared" si="136"/>
        <v>0.55555555555555558</v>
      </c>
      <c r="W1264" cm="1">
        <f t="array" ref="W1264">_xlfn.IFS(N1264=1,5,N1264=2,4,N1264=4,2,N1264=5,1,N1264=3,3)</f>
        <v>5</v>
      </c>
      <c r="X1264">
        <f t="shared" si="137"/>
        <v>25</v>
      </c>
      <c r="Y1264" cm="1">
        <f t="array" ref="Y1264">MAX(IF($C$2:$C$1387=C1264,$X$2:$X$1387))</f>
        <v>30</v>
      </c>
      <c r="Z1264" cm="1">
        <f t="array" ref="Z1264">MIN(IF($C$2:$C$1387=C1264,$X$2:$X$1387))</f>
        <v>12</v>
      </c>
      <c r="AA1264">
        <f t="shared" si="138"/>
        <v>18</v>
      </c>
      <c r="AB1264">
        <f t="shared" si="139"/>
        <v>0.72222222222222221</v>
      </c>
    </row>
    <row r="1265" spans="1:28" x14ac:dyDescent="0.25">
      <c r="A1265" t="s">
        <v>448</v>
      </c>
      <c r="B1265" t="s">
        <v>449</v>
      </c>
      <c r="C1265">
        <v>2013</v>
      </c>
      <c r="D1265">
        <v>5.0960618848196269E-2</v>
      </c>
      <c r="E1265">
        <v>0.46982158686903136</v>
      </c>
      <c r="F1265">
        <v>5.7563553292551813E-2</v>
      </c>
      <c r="G1265">
        <v>1.9459101490553132</v>
      </c>
      <c r="H1265">
        <v>0.5714285714285714</v>
      </c>
      <c r="I1265">
        <v>0.66666666666666663</v>
      </c>
      <c r="J1265">
        <v>0</v>
      </c>
      <c r="K1265">
        <v>2</v>
      </c>
      <c r="L1265">
        <v>2</v>
      </c>
      <c r="M1265">
        <v>3</v>
      </c>
      <c r="N1265">
        <v>1</v>
      </c>
      <c r="O1265">
        <v>2</v>
      </c>
      <c r="P1265">
        <v>1</v>
      </c>
      <c r="Q1265">
        <f t="shared" si="133"/>
        <v>5</v>
      </c>
      <c r="R1265">
        <f t="shared" si="134"/>
        <v>16</v>
      </c>
      <c r="S1265">
        <f t="array" ref="S1265">MAX(IF($C$2:$C$1387=C1265,$R$2:$R$1387))</f>
        <v>29</v>
      </c>
      <c r="T1265" cm="1">
        <f t="array" ref="T1265">MIN(IF($C$2:$C$1387=C1265,$R$2:$R$1387))</f>
        <v>10</v>
      </c>
      <c r="U1265">
        <f t="shared" si="135"/>
        <v>19</v>
      </c>
      <c r="V1265">
        <f t="shared" si="136"/>
        <v>0.31578947368421051</v>
      </c>
      <c r="W1265" cm="1">
        <f t="array" ref="W1265">_xlfn.IFS(N1265=1,5,N1265=2,4,N1265=4,2,N1265=5,1,N1265=3,3)</f>
        <v>5</v>
      </c>
      <c r="X1265">
        <f t="shared" si="137"/>
        <v>20</v>
      </c>
      <c r="Y1265" cm="1">
        <f t="array" ref="Y1265">MAX(IF($C$2:$C$1387=C1265,$X$2:$X$1387))</f>
        <v>32</v>
      </c>
      <c r="Z1265" cm="1">
        <f t="array" ref="Z1265">MIN(IF($C$2:$C$1387=C1265,$X$2:$X$1387))</f>
        <v>10</v>
      </c>
      <c r="AA1265">
        <f t="shared" si="138"/>
        <v>22</v>
      </c>
      <c r="AB1265">
        <f t="shared" si="139"/>
        <v>0.45454545454545453</v>
      </c>
    </row>
    <row r="1266" spans="1:28" x14ac:dyDescent="0.25">
      <c r="A1266" t="s">
        <v>448</v>
      </c>
      <c r="B1266" t="s">
        <v>449</v>
      </c>
      <c r="C1266">
        <v>2014</v>
      </c>
      <c r="D1266">
        <v>5.0663505264505054E-2</v>
      </c>
      <c r="E1266">
        <v>0.45968110035703424</v>
      </c>
      <c r="F1266">
        <v>5.3406079297396547E-2</v>
      </c>
      <c r="G1266">
        <v>1.9459101490553132</v>
      </c>
      <c r="H1266">
        <v>0.5714285714285714</v>
      </c>
      <c r="I1266">
        <v>0.66666666666666663</v>
      </c>
      <c r="J1266">
        <v>0</v>
      </c>
      <c r="K1266">
        <v>2</v>
      </c>
      <c r="L1266">
        <v>2</v>
      </c>
      <c r="M1266">
        <v>3</v>
      </c>
      <c r="N1266">
        <v>1</v>
      </c>
      <c r="O1266">
        <v>2</v>
      </c>
      <c r="P1266">
        <v>1</v>
      </c>
      <c r="Q1266">
        <f t="shared" si="133"/>
        <v>5</v>
      </c>
      <c r="R1266">
        <f t="shared" si="134"/>
        <v>16</v>
      </c>
      <c r="S1266">
        <f t="array" ref="S1266">MAX(IF($C$2:$C$1387=C1266,$R$2:$R$1387))</f>
        <v>29</v>
      </c>
      <c r="T1266" cm="1">
        <f t="array" ref="T1266">MIN(IF($C$2:$C$1387=C1266,$R$2:$R$1387))</f>
        <v>11</v>
      </c>
      <c r="U1266">
        <f t="shared" si="135"/>
        <v>18</v>
      </c>
      <c r="V1266">
        <f t="shared" si="136"/>
        <v>0.27777777777777779</v>
      </c>
      <c r="W1266" cm="1">
        <f t="array" ref="W1266">_xlfn.IFS(N1266=1,5,N1266=2,4,N1266=4,2,N1266=5,1,N1266=3,3)</f>
        <v>5</v>
      </c>
      <c r="X1266">
        <f t="shared" si="137"/>
        <v>20</v>
      </c>
      <c r="Y1266" cm="1">
        <f t="array" ref="Y1266">MAX(IF($C$2:$C$1387=C1266,$X$2:$X$1387))</f>
        <v>30</v>
      </c>
      <c r="Z1266" cm="1">
        <f t="array" ref="Z1266">MIN(IF($C$2:$C$1387=C1266,$X$2:$X$1387))</f>
        <v>14</v>
      </c>
      <c r="AA1266">
        <f t="shared" si="138"/>
        <v>16</v>
      </c>
      <c r="AB1266">
        <f t="shared" si="139"/>
        <v>0.375</v>
      </c>
    </row>
    <row r="1267" spans="1:28" x14ac:dyDescent="0.25">
      <c r="A1267" t="s">
        <v>448</v>
      </c>
      <c r="B1267" t="s">
        <v>449</v>
      </c>
      <c r="C1267">
        <v>2015</v>
      </c>
      <c r="D1267">
        <v>4.8526186486968992E-2</v>
      </c>
      <c r="E1267">
        <v>0.42384470864851825</v>
      </c>
      <c r="F1267">
        <v>4.4865668096304753E-2</v>
      </c>
      <c r="G1267">
        <v>1.9459101490553132</v>
      </c>
      <c r="H1267">
        <v>0.8571428571428571</v>
      </c>
      <c r="I1267">
        <v>0.66666666666666663</v>
      </c>
      <c r="J1267">
        <v>0</v>
      </c>
      <c r="K1267">
        <v>2</v>
      </c>
      <c r="L1267">
        <v>1</v>
      </c>
      <c r="M1267">
        <v>3</v>
      </c>
      <c r="N1267">
        <v>1</v>
      </c>
      <c r="O1267">
        <v>4</v>
      </c>
      <c r="P1267">
        <v>1</v>
      </c>
      <c r="Q1267">
        <f t="shared" si="133"/>
        <v>5</v>
      </c>
      <c r="R1267">
        <f t="shared" si="134"/>
        <v>17</v>
      </c>
      <c r="S1267">
        <f t="array" ref="S1267">MAX(IF($C$2:$C$1387=C1267,$R$2:$R$1387))</f>
        <v>29</v>
      </c>
      <c r="T1267" cm="1">
        <f t="array" ref="T1267">MIN(IF($C$2:$C$1387=C1267,$R$2:$R$1387))</f>
        <v>11</v>
      </c>
      <c r="U1267">
        <f t="shared" si="135"/>
        <v>18</v>
      </c>
      <c r="V1267">
        <f t="shared" si="136"/>
        <v>0.33333333333333331</v>
      </c>
      <c r="W1267" cm="1">
        <f t="array" ref="W1267">_xlfn.IFS(N1267=1,5,N1267=2,4,N1267=4,2,N1267=5,1,N1267=3,3)</f>
        <v>5</v>
      </c>
      <c r="X1267">
        <f t="shared" si="137"/>
        <v>21</v>
      </c>
      <c r="Y1267" cm="1">
        <f t="array" ref="Y1267">MAX(IF($C$2:$C$1387=C1267,$X$2:$X$1387))</f>
        <v>29</v>
      </c>
      <c r="Z1267" cm="1">
        <f t="array" ref="Z1267">MIN(IF($C$2:$C$1387=C1267,$X$2:$X$1387))</f>
        <v>12</v>
      </c>
      <c r="AA1267">
        <f t="shared" si="138"/>
        <v>17</v>
      </c>
      <c r="AB1267">
        <f t="shared" si="139"/>
        <v>0.52941176470588236</v>
      </c>
    </row>
    <row r="1268" spans="1:28" x14ac:dyDescent="0.25">
      <c r="A1268" t="s">
        <v>450</v>
      </c>
      <c r="B1268" t="s">
        <v>451</v>
      </c>
      <c r="C1268">
        <v>2010</v>
      </c>
      <c r="D1268">
        <v>0.38356345755693583</v>
      </c>
      <c r="E1268">
        <v>0.36169430641821948</v>
      </c>
      <c r="F1268">
        <v>0.10101573498964804</v>
      </c>
      <c r="G1268">
        <v>2.0794415416798357</v>
      </c>
      <c r="H1268">
        <v>0.75</v>
      </c>
      <c r="I1268">
        <v>1</v>
      </c>
      <c r="J1268">
        <v>0</v>
      </c>
      <c r="K1268">
        <v>4</v>
      </c>
      <c r="L1268">
        <v>1</v>
      </c>
      <c r="M1268">
        <v>4</v>
      </c>
      <c r="N1268">
        <v>3</v>
      </c>
      <c r="O1268">
        <v>4</v>
      </c>
      <c r="P1268">
        <v>3</v>
      </c>
      <c r="Q1268">
        <f t="shared" si="133"/>
        <v>5</v>
      </c>
      <c r="R1268">
        <f t="shared" si="134"/>
        <v>24</v>
      </c>
      <c r="S1268">
        <f t="array" ref="S1268">MAX(IF($C$2:$C$1387=C1268,$R$2:$R$1387))</f>
        <v>29</v>
      </c>
      <c r="T1268" cm="1">
        <f t="array" ref="T1268">MIN(IF($C$2:$C$1387=C1268,$R$2:$R$1387))</f>
        <v>9</v>
      </c>
      <c r="U1268">
        <f t="shared" si="135"/>
        <v>20</v>
      </c>
      <c r="V1268">
        <f t="shared" si="136"/>
        <v>0.75</v>
      </c>
      <c r="W1268" cm="1">
        <f t="array" ref="W1268">_xlfn.IFS(N1268=1,5,N1268=2,4,N1268=4,2,N1268=5,1,N1268=3,3)</f>
        <v>3</v>
      </c>
      <c r="X1268">
        <f t="shared" si="137"/>
        <v>24</v>
      </c>
      <c r="Y1268" cm="1">
        <f t="array" ref="Y1268">MAX(IF($C$2:$C$1387=C1268,$X$2:$X$1387))</f>
        <v>29</v>
      </c>
      <c r="Z1268" cm="1">
        <f t="array" ref="Z1268">MIN(IF($C$2:$C$1387=C1268,$X$2:$X$1387))</f>
        <v>12</v>
      </c>
      <c r="AA1268">
        <f t="shared" si="138"/>
        <v>17</v>
      </c>
      <c r="AB1268">
        <f t="shared" si="139"/>
        <v>0.70588235294117652</v>
      </c>
    </row>
    <row r="1269" spans="1:28" x14ac:dyDescent="0.25">
      <c r="A1269" t="s">
        <v>450</v>
      </c>
      <c r="B1269" t="s">
        <v>451</v>
      </c>
      <c r="C1269">
        <v>2011</v>
      </c>
      <c r="D1269">
        <v>0.38625362318840578</v>
      </c>
      <c r="E1269">
        <v>0.36836469979296066</v>
      </c>
      <c r="F1269">
        <v>0.44417587991718427</v>
      </c>
      <c r="G1269">
        <v>2.0794415416798357</v>
      </c>
      <c r="H1269">
        <v>0.75</v>
      </c>
      <c r="I1269">
        <v>1</v>
      </c>
      <c r="J1269">
        <v>0</v>
      </c>
      <c r="K1269">
        <v>4</v>
      </c>
      <c r="L1269">
        <v>1</v>
      </c>
      <c r="M1269">
        <v>5</v>
      </c>
      <c r="N1269">
        <v>3</v>
      </c>
      <c r="O1269">
        <v>4</v>
      </c>
      <c r="P1269">
        <v>3</v>
      </c>
      <c r="Q1269">
        <f t="shared" si="133"/>
        <v>5</v>
      </c>
      <c r="R1269">
        <f t="shared" si="134"/>
        <v>25</v>
      </c>
      <c r="S1269">
        <f t="array" ref="S1269">MAX(IF($C$2:$C$1387=C1269,$R$2:$R$1387))</f>
        <v>28</v>
      </c>
      <c r="T1269" cm="1">
        <f t="array" ref="T1269">MIN(IF($C$2:$C$1387=C1269,$R$2:$R$1387))</f>
        <v>10</v>
      </c>
      <c r="U1269">
        <f t="shared" si="135"/>
        <v>18</v>
      </c>
      <c r="V1269">
        <f t="shared" si="136"/>
        <v>0.83333333333333337</v>
      </c>
      <c r="W1269" cm="1">
        <f t="array" ref="W1269">_xlfn.IFS(N1269=1,5,N1269=2,4,N1269=4,2,N1269=5,1,N1269=3,3)</f>
        <v>3</v>
      </c>
      <c r="X1269">
        <f t="shared" si="137"/>
        <v>25</v>
      </c>
      <c r="Y1269" cm="1">
        <f t="array" ref="Y1269">MAX(IF($C$2:$C$1387=C1269,$X$2:$X$1387))</f>
        <v>29</v>
      </c>
      <c r="Z1269" cm="1">
        <f t="array" ref="Z1269">MIN(IF($C$2:$C$1387=C1269,$X$2:$X$1387))</f>
        <v>12</v>
      </c>
      <c r="AA1269">
        <f t="shared" si="138"/>
        <v>17</v>
      </c>
      <c r="AB1269">
        <f t="shared" si="139"/>
        <v>0.76470588235294112</v>
      </c>
    </row>
    <row r="1270" spans="1:28" x14ac:dyDescent="0.25">
      <c r="A1270" t="s">
        <v>450</v>
      </c>
      <c r="B1270" t="s">
        <v>451</v>
      </c>
      <c r="C1270">
        <v>2012</v>
      </c>
      <c r="D1270">
        <v>0.38898250517598343</v>
      </c>
      <c r="E1270">
        <v>0.38054068322981366</v>
      </c>
      <c r="F1270">
        <v>0.12604824016563146</v>
      </c>
      <c r="G1270">
        <v>2.0794415416798357</v>
      </c>
      <c r="H1270">
        <v>0.75</v>
      </c>
      <c r="I1270">
        <v>1</v>
      </c>
      <c r="J1270">
        <v>0</v>
      </c>
      <c r="K1270">
        <v>4</v>
      </c>
      <c r="L1270">
        <v>1</v>
      </c>
      <c r="M1270">
        <v>4</v>
      </c>
      <c r="N1270">
        <v>3</v>
      </c>
      <c r="O1270">
        <v>4</v>
      </c>
      <c r="P1270">
        <v>3</v>
      </c>
      <c r="Q1270">
        <f t="shared" si="133"/>
        <v>5</v>
      </c>
      <c r="R1270">
        <f t="shared" si="134"/>
        <v>24</v>
      </c>
      <c r="S1270">
        <f t="array" ref="S1270">MAX(IF($C$2:$C$1387=C1270,$R$2:$R$1387))</f>
        <v>29</v>
      </c>
      <c r="T1270" cm="1">
        <f t="array" ref="T1270">MIN(IF($C$2:$C$1387=C1270,$R$2:$R$1387))</f>
        <v>11</v>
      </c>
      <c r="U1270">
        <f t="shared" si="135"/>
        <v>18</v>
      </c>
      <c r="V1270">
        <f t="shared" si="136"/>
        <v>0.72222222222222221</v>
      </c>
      <c r="W1270" cm="1">
        <f t="array" ref="W1270">_xlfn.IFS(N1270=1,5,N1270=2,4,N1270=4,2,N1270=5,1,N1270=3,3)</f>
        <v>3</v>
      </c>
      <c r="X1270">
        <f t="shared" si="137"/>
        <v>24</v>
      </c>
      <c r="Y1270" cm="1">
        <f t="array" ref="Y1270">MAX(IF($C$2:$C$1387=C1270,$X$2:$X$1387))</f>
        <v>30</v>
      </c>
      <c r="Z1270" cm="1">
        <f t="array" ref="Z1270">MIN(IF($C$2:$C$1387=C1270,$X$2:$X$1387))</f>
        <v>12</v>
      </c>
      <c r="AA1270">
        <f t="shared" si="138"/>
        <v>18</v>
      </c>
      <c r="AB1270">
        <f t="shared" si="139"/>
        <v>0.66666666666666663</v>
      </c>
    </row>
    <row r="1271" spans="1:28" x14ac:dyDescent="0.25">
      <c r="A1271" t="s">
        <v>450</v>
      </c>
      <c r="B1271" t="s">
        <v>451</v>
      </c>
      <c r="C1271">
        <v>2013</v>
      </c>
      <c r="D1271">
        <v>0.37060610766045549</v>
      </c>
      <c r="E1271">
        <v>0.38054068322981366</v>
      </c>
      <c r="F1271">
        <v>2.3599378881987579E-3</v>
      </c>
      <c r="G1271">
        <v>2.0794415416798357</v>
      </c>
      <c r="H1271">
        <v>0.75</v>
      </c>
      <c r="I1271">
        <v>1</v>
      </c>
      <c r="J1271">
        <v>0</v>
      </c>
      <c r="K1271">
        <v>4</v>
      </c>
      <c r="L1271">
        <v>1</v>
      </c>
      <c r="M1271">
        <v>1</v>
      </c>
      <c r="N1271">
        <v>3</v>
      </c>
      <c r="O1271">
        <v>5</v>
      </c>
      <c r="P1271">
        <v>3</v>
      </c>
      <c r="Q1271">
        <f t="shared" si="133"/>
        <v>5</v>
      </c>
      <c r="R1271">
        <f t="shared" si="134"/>
        <v>22</v>
      </c>
      <c r="S1271">
        <f t="array" ref="S1271">MAX(IF($C$2:$C$1387=C1271,$R$2:$R$1387))</f>
        <v>29</v>
      </c>
      <c r="T1271" cm="1">
        <f t="array" ref="T1271">MIN(IF($C$2:$C$1387=C1271,$R$2:$R$1387))</f>
        <v>10</v>
      </c>
      <c r="U1271">
        <f t="shared" si="135"/>
        <v>19</v>
      </c>
      <c r="V1271">
        <f t="shared" si="136"/>
        <v>0.63157894736842102</v>
      </c>
      <c r="W1271" cm="1">
        <f t="array" ref="W1271">_xlfn.IFS(N1271=1,5,N1271=2,4,N1271=4,2,N1271=5,1,N1271=3,3)</f>
        <v>3</v>
      </c>
      <c r="X1271">
        <f t="shared" si="137"/>
        <v>22</v>
      </c>
      <c r="Y1271" cm="1">
        <f t="array" ref="Y1271">MAX(IF($C$2:$C$1387=C1271,$X$2:$X$1387))</f>
        <v>32</v>
      </c>
      <c r="Z1271" cm="1">
        <f t="array" ref="Z1271">MIN(IF($C$2:$C$1387=C1271,$X$2:$X$1387))</f>
        <v>10</v>
      </c>
      <c r="AA1271">
        <f t="shared" si="138"/>
        <v>22</v>
      </c>
      <c r="AB1271">
        <f t="shared" si="139"/>
        <v>0.54545454545454541</v>
      </c>
    </row>
    <row r="1272" spans="1:28" x14ac:dyDescent="0.25">
      <c r="A1272" t="s">
        <v>450</v>
      </c>
      <c r="B1272" t="s">
        <v>451</v>
      </c>
      <c r="C1272">
        <v>2014</v>
      </c>
      <c r="D1272">
        <v>0.37126086956521737</v>
      </c>
      <c r="E1272">
        <v>0.38054068322981366</v>
      </c>
      <c r="F1272">
        <v>2.2771221532091098E-3</v>
      </c>
      <c r="G1272">
        <v>2.0794415416798357</v>
      </c>
      <c r="H1272">
        <v>0.75</v>
      </c>
      <c r="I1272">
        <v>1</v>
      </c>
      <c r="J1272">
        <v>0</v>
      </c>
      <c r="K1272">
        <v>4</v>
      </c>
      <c r="L1272">
        <v>1</v>
      </c>
      <c r="M1272">
        <v>1</v>
      </c>
      <c r="N1272">
        <v>3</v>
      </c>
      <c r="O1272">
        <v>5</v>
      </c>
      <c r="P1272">
        <v>3</v>
      </c>
      <c r="Q1272">
        <f t="shared" si="133"/>
        <v>5</v>
      </c>
      <c r="R1272">
        <f t="shared" si="134"/>
        <v>22</v>
      </c>
      <c r="S1272">
        <f t="array" ref="S1272">MAX(IF($C$2:$C$1387=C1272,$R$2:$R$1387))</f>
        <v>29</v>
      </c>
      <c r="T1272" cm="1">
        <f t="array" ref="T1272">MIN(IF($C$2:$C$1387=C1272,$R$2:$R$1387))</f>
        <v>11</v>
      </c>
      <c r="U1272">
        <f t="shared" si="135"/>
        <v>18</v>
      </c>
      <c r="V1272">
        <f t="shared" si="136"/>
        <v>0.61111111111111116</v>
      </c>
      <c r="W1272" cm="1">
        <f t="array" ref="W1272">_xlfn.IFS(N1272=1,5,N1272=2,4,N1272=4,2,N1272=5,1,N1272=3,3)</f>
        <v>3</v>
      </c>
      <c r="X1272">
        <f t="shared" si="137"/>
        <v>22</v>
      </c>
      <c r="Y1272" cm="1">
        <f t="array" ref="Y1272">MAX(IF($C$2:$C$1387=C1272,$X$2:$X$1387))</f>
        <v>30</v>
      </c>
      <c r="Z1272" cm="1">
        <f t="array" ref="Z1272">MIN(IF($C$2:$C$1387=C1272,$X$2:$X$1387))</f>
        <v>14</v>
      </c>
      <c r="AA1272">
        <f t="shared" si="138"/>
        <v>16</v>
      </c>
      <c r="AB1272">
        <f t="shared" si="139"/>
        <v>0.5</v>
      </c>
    </row>
    <row r="1273" spans="1:28" x14ac:dyDescent="0.25">
      <c r="A1273" t="s">
        <v>450</v>
      </c>
      <c r="B1273" t="s">
        <v>451</v>
      </c>
      <c r="C1273">
        <v>2015</v>
      </c>
      <c r="D1273">
        <v>0.37076915113871634</v>
      </c>
      <c r="E1273">
        <v>0.38054068322981366</v>
      </c>
      <c r="F1273">
        <v>6.6759834368530025E-3</v>
      </c>
      <c r="G1273">
        <v>2.1972245773362196</v>
      </c>
      <c r="H1273">
        <v>0.77777777777777779</v>
      </c>
      <c r="I1273">
        <v>1</v>
      </c>
      <c r="J1273">
        <v>0</v>
      </c>
      <c r="K1273">
        <v>4</v>
      </c>
      <c r="L1273">
        <v>1</v>
      </c>
      <c r="M1273">
        <v>2</v>
      </c>
      <c r="N1273">
        <v>4</v>
      </c>
      <c r="O1273">
        <v>4</v>
      </c>
      <c r="P1273">
        <v>2</v>
      </c>
      <c r="Q1273">
        <f t="shared" si="133"/>
        <v>5</v>
      </c>
      <c r="R1273">
        <f t="shared" si="134"/>
        <v>22</v>
      </c>
      <c r="S1273">
        <f t="array" ref="S1273">MAX(IF($C$2:$C$1387=C1273,$R$2:$R$1387))</f>
        <v>29</v>
      </c>
      <c r="T1273" cm="1">
        <f t="array" ref="T1273">MIN(IF($C$2:$C$1387=C1273,$R$2:$R$1387))</f>
        <v>11</v>
      </c>
      <c r="U1273">
        <f t="shared" si="135"/>
        <v>18</v>
      </c>
      <c r="V1273">
        <f t="shared" si="136"/>
        <v>0.61111111111111116</v>
      </c>
      <c r="W1273" cm="1">
        <f t="array" ref="W1273">_xlfn.IFS(N1273=1,5,N1273=2,4,N1273=4,2,N1273=5,1,N1273=3,3)</f>
        <v>2</v>
      </c>
      <c r="X1273">
        <f t="shared" si="137"/>
        <v>20</v>
      </c>
      <c r="Y1273" cm="1">
        <f t="array" ref="Y1273">MAX(IF($C$2:$C$1387=C1273,$X$2:$X$1387))</f>
        <v>29</v>
      </c>
      <c r="Z1273" cm="1">
        <f t="array" ref="Z1273">MIN(IF($C$2:$C$1387=C1273,$X$2:$X$1387))</f>
        <v>12</v>
      </c>
      <c r="AA1273">
        <f t="shared" si="138"/>
        <v>17</v>
      </c>
      <c r="AB1273">
        <f t="shared" si="139"/>
        <v>0.47058823529411764</v>
      </c>
    </row>
    <row r="1274" spans="1:28" x14ac:dyDescent="0.25">
      <c r="A1274" t="s">
        <v>452</v>
      </c>
      <c r="B1274" t="s">
        <v>453</v>
      </c>
      <c r="C1274">
        <v>2010</v>
      </c>
      <c r="D1274">
        <v>0.19733217592592592</v>
      </c>
      <c r="E1274">
        <v>0.58003530092592592</v>
      </c>
      <c r="F1274">
        <v>0.24198680555555555</v>
      </c>
      <c r="G1274">
        <v>1.9459101490553132</v>
      </c>
      <c r="H1274">
        <v>0.5714285714285714</v>
      </c>
      <c r="I1274">
        <v>0.66666666666666663</v>
      </c>
      <c r="J1274">
        <v>0</v>
      </c>
      <c r="K1274">
        <v>3</v>
      </c>
      <c r="L1274">
        <v>2</v>
      </c>
      <c r="M1274">
        <v>5</v>
      </c>
      <c r="N1274">
        <v>1</v>
      </c>
      <c r="O1274">
        <v>2</v>
      </c>
      <c r="P1274">
        <v>1</v>
      </c>
      <c r="Q1274">
        <f t="shared" si="133"/>
        <v>5</v>
      </c>
      <c r="R1274">
        <f t="shared" si="134"/>
        <v>19</v>
      </c>
      <c r="S1274">
        <f t="array" ref="S1274">MAX(IF($C$2:$C$1387=C1274,$R$2:$R$1387))</f>
        <v>29</v>
      </c>
      <c r="T1274" cm="1">
        <f t="array" ref="T1274">MIN(IF($C$2:$C$1387=C1274,$R$2:$R$1387))</f>
        <v>9</v>
      </c>
      <c r="U1274">
        <f t="shared" si="135"/>
        <v>20</v>
      </c>
      <c r="V1274">
        <f t="shared" si="136"/>
        <v>0.5</v>
      </c>
      <c r="W1274" cm="1">
        <f t="array" ref="W1274">_xlfn.IFS(N1274=1,5,N1274=2,4,N1274=4,2,N1274=5,1,N1274=3,3)</f>
        <v>5</v>
      </c>
      <c r="X1274">
        <f t="shared" si="137"/>
        <v>23</v>
      </c>
      <c r="Y1274" cm="1">
        <f t="array" ref="Y1274">MAX(IF($C$2:$C$1387=C1274,$X$2:$X$1387))</f>
        <v>29</v>
      </c>
      <c r="Z1274" cm="1">
        <f t="array" ref="Z1274">MIN(IF($C$2:$C$1387=C1274,$X$2:$X$1387))</f>
        <v>12</v>
      </c>
      <c r="AA1274">
        <f t="shared" si="138"/>
        <v>17</v>
      </c>
      <c r="AB1274">
        <f t="shared" si="139"/>
        <v>0.6470588235294118</v>
      </c>
    </row>
    <row r="1275" spans="1:28" x14ac:dyDescent="0.25">
      <c r="A1275" t="s">
        <v>452</v>
      </c>
      <c r="B1275" t="s">
        <v>453</v>
      </c>
      <c r="C1275">
        <v>2011</v>
      </c>
      <c r="D1275">
        <v>0.19733217592592592</v>
      </c>
      <c r="E1275">
        <v>0.58003530092592592</v>
      </c>
      <c r="F1275">
        <v>0.24198680555555555</v>
      </c>
      <c r="G1275">
        <v>1.9459101490553132</v>
      </c>
      <c r="H1275">
        <v>0.5714285714285714</v>
      </c>
      <c r="I1275">
        <v>0.66666666666666663</v>
      </c>
      <c r="J1275">
        <v>0</v>
      </c>
      <c r="K1275">
        <v>3</v>
      </c>
      <c r="L1275">
        <v>2</v>
      </c>
      <c r="M1275">
        <v>5</v>
      </c>
      <c r="N1275">
        <v>1</v>
      </c>
      <c r="O1275">
        <v>2</v>
      </c>
      <c r="P1275">
        <v>1</v>
      </c>
      <c r="Q1275">
        <f t="shared" si="133"/>
        <v>5</v>
      </c>
      <c r="R1275">
        <f t="shared" si="134"/>
        <v>19</v>
      </c>
      <c r="S1275">
        <f t="array" ref="S1275">MAX(IF($C$2:$C$1387=C1275,$R$2:$R$1387))</f>
        <v>28</v>
      </c>
      <c r="T1275" cm="1">
        <f t="array" ref="T1275">MIN(IF($C$2:$C$1387=C1275,$R$2:$R$1387))</f>
        <v>10</v>
      </c>
      <c r="U1275">
        <f t="shared" si="135"/>
        <v>18</v>
      </c>
      <c r="V1275">
        <f t="shared" si="136"/>
        <v>0.5</v>
      </c>
      <c r="W1275" cm="1">
        <f t="array" ref="W1275">_xlfn.IFS(N1275=1,5,N1275=2,4,N1275=4,2,N1275=5,1,N1275=3,3)</f>
        <v>5</v>
      </c>
      <c r="X1275">
        <f t="shared" si="137"/>
        <v>23</v>
      </c>
      <c r="Y1275" cm="1">
        <f t="array" ref="Y1275">MAX(IF($C$2:$C$1387=C1275,$X$2:$X$1387))</f>
        <v>29</v>
      </c>
      <c r="Z1275" cm="1">
        <f t="array" ref="Z1275">MIN(IF($C$2:$C$1387=C1275,$X$2:$X$1387))</f>
        <v>12</v>
      </c>
      <c r="AA1275">
        <f t="shared" si="138"/>
        <v>17</v>
      </c>
      <c r="AB1275">
        <f t="shared" si="139"/>
        <v>0.6470588235294118</v>
      </c>
    </row>
    <row r="1276" spans="1:28" x14ac:dyDescent="0.25">
      <c r="A1276" t="s">
        <v>452</v>
      </c>
      <c r="B1276" t="s">
        <v>453</v>
      </c>
      <c r="C1276">
        <v>2012</v>
      </c>
      <c r="D1276">
        <v>0.20604895833333334</v>
      </c>
      <c r="E1276">
        <v>0.58037743055555557</v>
      </c>
      <c r="F1276">
        <v>0.23551655092592594</v>
      </c>
      <c r="G1276">
        <v>1.9459101490553132</v>
      </c>
      <c r="H1276">
        <v>0.5714285714285714</v>
      </c>
      <c r="I1276">
        <v>0.66666666666666663</v>
      </c>
      <c r="J1276">
        <v>0</v>
      </c>
      <c r="K1276">
        <v>3</v>
      </c>
      <c r="L1276">
        <v>2</v>
      </c>
      <c r="M1276">
        <v>5</v>
      </c>
      <c r="N1276">
        <v>1</v>
      </c>
      <c r="O1276">
        <v>2</v>
      </c>
      <c r="P1276">
        <v>1</v>
      </c>
      <c r="Q1276">
        <f t="shared" si="133"/>
        <v>5</v>
      </c>
      <c r="R1276">
        <f t="shared" si="134"/>
        <v>19</v>
      </c>
      <c r="S1276">
        <f t="array" ref="S1276">MAX(IF($C$2:$C$1387=C1276,$R$2:$R$1387))</f>
        <v>29</v>
      </c>
      <c r="T1276" cm="1">
        <f t="array" ref="T1276">MIN(IF($C$2:$C$1387=C1276,$R$2:$R$1387))</f>
        <v>11</v>
      </c>
      <c r="U1276">
        <f t="shared" si="135"/>
        <v>18</v>
      </c>
      <c r="V1276">
        <f t="shared" si="136"/>
        <v>0.44444444444444442</v>
      </c>
      <c r="W1276" cm="1">
        <f t="array" ref="W1276">_xlfn.IFS(N1276=1,5,N1276=2,4,N1276=4,2,N1276=5,1,N1276=3,3)</f>
        <v>5</v>
      </c>
      <c r="X1276">
        <f t="shared" si="137"/>
        <v>23</v>
      </c>
      <c r="Y1276" cm="1">
        <f t="array" ref="Y1276">MAX(IF($C$2:$C$1387=C1276,$X$2:$X$1387))</f>
        <v>30</v>
      </c>
      <c r="Z1276" cm="1">
        <f t="array" ref="Z1276">MIN(IF($C$2:$C$1387=C1276,$X$2:$X$1387))</f>
        <v>12</v>
      </c>
      <c r="AA1276">
        <f t="shared" si="138"/>
        <v>18</v>
      </c>
      <c r="AB1276">
        <f t="shared" si="139"/>
        <v>0.61111111111111116</v>
      </c>
    </row>
    <row r="1277" spans="1:28" x14ac:dyDescent="0.25">
      <c r="A1277" t="s">
        <v>452</v>
      </c>
      <c r="B1277" t="s">
        <v>453</v>
      </c>
      <c r="C1277">
        <v>2013</v>
      </c>
      <c r="D1277">
        <v>0</v>
      </c>
      <c r="E1277">
        <v>0.58089826388888888</v>
      </c>
      <c r="F1277">
        <v>0.21275949074074074</v>
      </c>
      <c r="G1277">
        <v>1.9459101490553132</v>
      </c>
      <c r="H1277">
        <v>0.5714285714285714</v>
      </c>
      <c r="I1277">
        <v>0.66666666666666663</v>
      </c>
      <c r="J1277">
        <v>0</v>
      </c>
      <c r="K1277">
        <v>1</v>
      </c>
      <c r="L1277">
        <v>2</v>
      </c>
      <c r="M1277">
        <v>5</v>
      </c>
      <c r="N1277">
        <v>1</v>
      </c>
      <c r="O1277">
        <v>2</v>
      </c>
      <c r="P1277">
        <v>1</v>
      </c>
      <c r="Q1277">
        <f t="shared" si="133"/>
        <v>5</v>
      </c>
      <c r="R1277">
        <f t="shared" si="134"/>
        <v>17</v>
      </c>
      <c r="S1277">
        <f t="array" ref="S1277">MAX(IF($C$2:$C$1387=C1277,$R$2:$R$1387))</f>
        <v>29</v>
      </c>
      <c r="T1277" cm="1">
        <f t="array" ref="T1277">MIN(IF($C$2:$C$1387=C1277,$R$2:$R$1387))</f>
        <v>10</v>
      </c>
      <c r="U1277">
        <f t="shared" si="135"/>
        <v>19</v>
      </c>
      <c r="V1277">
        <f t="shared" si="136"/>
        <v>0.36842105263157893</v>
      </c>
      <c r="W1277" cm="1">
        <f t="array" ref="W1277">_xlfn.IFS(N1277=1,5,N1277=2,4,N1277=4,2,N1277=5,1,N1277=3,3)</f>
        <v>5</v>
      </c>
      <c r="X1277">
        <f t="shared" si="137"/>
        <v>21</v>
      </c>
      <c r="Y1277" cm="1">
        <f t="array" ref="Y1277">MAX(IF($C$2:$C$1387=C1277,$X$2:$X$1387))</f>
        <v>32</v>
      </c>
      <c r="Z1277" cm="1">
        <f t="array" ref="Z1277">MIN(IF($C$2:$C$1387=C1277,$X$2:$X$1387))</f>
        <v>10</v>
      </c>
      <c r="AA1277">
        <f t="shared" si="138"/>
        <v>22</v>
      </c>
      <c r="AB1277">
        <f t="shared" si="139"/>
        <v>0.5</v>
      </c>
    </row>
    <row r="1278" spans="1:28" x14ac:dyDescent="0.25">
      <c r="A1278" t="s">
        <v>452</v>
      </c>
      <c r="B1278" t="s">
        <v>453</v>
      </c>
      <c r="C1278">
        <v>2014</v>
      </c>
      <c r="D1278">
        <v>0.14072164351851851</v>
      </c>
      <c r="E1278">
        <v>0.58095613425925929</v>
      </c>
      <c r="F1278">
        <v>0.19509305555555556</v>
      </c>
      <c r="G1278">
        <v>1.9459101490553132</v>
      </c>
      <c r="H1278">
        <v>0.5714285714285714</v>
      </c>
      <c r="I1278">
        <v>0.66666666666666663</v>
      </c>
      <c r="J1278">
        <v>0</v>
      </c>
      <c r="K1278">
        <v>3</v>
      </c>
      <c r="L1278">
        <v>2</v>
      </c>
      <c r="M1278">
        <v>5</v>
      </c>
      <c r="N1278">
        <v>1</v>
      </c>
      <c r="O1278">
        <v>2</v>
      </c>
      <c r="P1278">
        <v>1</v>
      </c>
      <c r="Q1278">
        <f t="shared" si="133"/>
        <v>5</v>
      </c>
      <c r="R1278">
        <f t="shared" si="134"/>
        <v>19</v>
      </c>
      <c r="S1278">
        <f t="array" ref="S1278">MAX(IF($C$2:$C$1387=C1278,$R$2:$R$1387))</f>
        <v>29</v>
      </c>
      <c r="T1278" cm="1">
        <f t="array" ref="T1278">MIN(IF($C$2:$C$1387=C1278,$R$2:$R$1387))</f>
        <v>11</v>
      </c>
      <c r="U1278">
        <f t="shared" si="135"/>
        <v>18</v>
      </c>
      <c r="V1278">
        <f t="shared" si="136"/>
        <v>0.44444444444444442</v>
      </c>
      <c r="W1278" cm="1">
        <f t="array" ref="W1278">_xlfn.IFS(N1278=1,5,N1278=2,4,N1278=4,2,N1278=5,1,N1278=3,3)</f>
        <v>5</v>
      </c>
      <c r="X1278">
        <f t="shared" si="137"/>
        <v>23</v>
      </c>
      <c r="Y1278" cm="1">
        <f t="array" ref="Y1278">MAX(IF($C$2:$C$1387=C1278,$X$2:$X$1387))</f>
        <v>30</v>
      </c>
      <c r="Z1278" cm="1">
        <f t="array" ref="Z1278">MIN(IF($C$2:$C$1387=C1278,$X$2:$X$1387))</f>
        <v>14</v>
      </c>
      <c r="AA1278">
        <f t="shared" si="138"/>
        <v>16</v>
      </c>
      <c r="AB1278">
        <f t="shared" si="139"/>
        <v>0.5625</v>
      </c>
    </row>
    <row r="1279" spans="1:28" x14ac:dyDescent="0.25">
      <c r="A1279" t="s">
        <v>452</v>
      </c>
      <c r="B1279" t="s">
        <v>453</v>
      </c>
      <c r="C1279">
        <v>2015</v>
      </c>
      <c r="D1279">
        <v>0.18677939814814815</v>
      </c>
      <c r="E1279">
        <v>0.58095613425925929</v>
      </c>
      <c r="F1279">
        <v>0.1982349537037037</v>
      </c>
      <c r="G1279">
        <v>1.9459101490553132</v>
      </c>
      <c r="H1279">
        <v>0.7142857142857143</v>
      </c>
      <c r="I1279">
        <v>0.66666666666666663</v>
      </c>
      <c r="J1279">
        <v>0</v>
      </c>
      <c r="K1279">
        <v>3</v>
      </c>
      <c r="L1279">
        <v>2</v>
      </c>
      <c r="M1279">
        <v>5</v>
      </c>
      <c r="N1279">
        <v>1</v>
      </c>
      <c r="O1279">
        <v>3</v>
      </c>
      <c r="P1279">
        <v>1</v>
      </c>
      <c r="Q1279">
        <f t="shared" si="133"/>
        <v>5</v>
      </c>
      <c r="R1279">
        <f t="shared" si="134"/>
        <v>20</v>
      </c>
      <c r="S1279">
        <f t="array" ref="S1279">MAX(IF($C$2:$C$1387=C1279,$R$2:$R$1387))</f>
        <v>29</v>
      </c>
      <c r="T1279" cm="1">
        <f t="array" ref="T1279">MIN(IF($C$2:$C$1387=C1279,$R$2:$R$1387))</f>
        <v>11</v>
      </c>
      <c r="U1279">
        <f t="shared" si="135"/>
        <v>18</v>
      </c>
      <c r="V1279">
        <f t="shared" si="136"/>
        <v>0.5</v>
      </c>
      <c r="W1279" cm="1">
        <f t="array" ref="W1279">_xlfn.IFS(N1279=1,5,N1279=2,4,N1279=4,2,N1279=5,1,N1279=3,3)</f>
        <v>5</v>
      </c>
      <c r="X1279">
        <f t="shared" si="137"/>
        <v>24</v>
      </c>
      <c r="Y1279" cm="1">
        <f t="array" ref="Y1279">MAX(IF($C$2:$C$1387=C1279,$X$2:$X$1387))</f>
        <v>29</v>
      </c>
      <c r="Z1279" cm="1">
        <f t="array" ref="Z1279">MIN(IF($C$2:$C$1387=C1279,$X$2:$X$1387))</f>
        <v>12</v>
      </c>
      <c r="AA1279">
        <f t="shared" si="138"/>
        <v>17</v>
      </c>
      <c r="AB1279">
        <f t="shared" si="139"/>
        <v>0.70588235294117652</v>
      </c>
    </row>
    <row r="1280" spans="1:28" x14ac:dyDescent="0.25">
      <c r="A1280" t="s">
        <v>454</v>
      </c>
      <c r="B1280" t="s">
        <v>455</v>
      </c>
      <c r="C1280">
        <v>2010</v>
      </c>
      <c r="D1280">
        <v>0.54882193453405903</v>
      </c>
      <c r="E1280">
        <v>0.54095592586089425</v>
      </c>
      <c r="F1280">
        <v>0</v>
      </c>
      <c r="G1280">
        <v>1.9459101490553132</v>
      </c>
      <c r="H1280">
        <v>0.5714285714285714</v>
      </c>
      <c r="I1280">
        <v>0.75</v>
      </c>
      <c r="J1280">
        <v>0</v>
      </c>
      <c r="K1280">
        <v>5</v>
      </c>
      <c r="L1280">
        <v>2</v>
      </c>
      <c r="M1280">
        <v>1</v>
      </c>
      <c r="N1280">
        <v>1</v>
      </c>
      <c r="O1280">
        <v>2</v>
      </c>
      <c r="P1280">
        <v>3</v>
      </c>
      <c r="Q1280">
        <f t="shared" si="133"/>
        <v>5</v>
      </c>
      <c r="R1280">
        <f t="shared" si="134"/>
        <v>19</v>
      </c>
      <c r="S1280">
        <f t="array" ref="S1280">MAX(IF($C$2:$C$1387=C1280,$R$2:$R$1387))</f>
        <v>29</v>
      </c>
      <c r="T1280" cm="1">
        <f t="array" ref="T1280">MIN(IF($C$2:$C$1387=C1280,$R$2:$R$1387))</f>
        <v>9</v>
      </c>
      <c r="U1280">
        <f t="shared" si="135"/>
        <v>20</v>
      </c>
      <c r="V1280">
        <f t="shared" si="136"/>
        <v>0.5</v>
      </c>
      <c r="W1280" cm="1">
        <f t="array" ref="W1280">_xlfn.IFS(N1280=1,5,N1280=2,4,N1280=4,2,N1280=5,1,N1280=3,3)</f>
        <v>5</v>
      </c>
      <c r="X1280">
        <f t="shared" si="137"/>
        <v>23</v>
      </c>
      <c r="Y1280" cm="1">
        <f t="array" ref="Y1280">MAX(IF($C$2:$C$1387=C1280,$X$2:$X$1387))</f>
        <v>29</v>
      </c>
      <c r="Z1280" cm="1">
        <f t="array" ref="Z1280">MIN(IF($C$2:$C$1387=C1280,$X$2:$X$1387))</f>
        <v>12</v>
      </c>
      <c r="AA1280">
        <f t="shared" si="138"/>
        <v>17</v>
      </c>
      <c r="AB1280">
        <f t="shared" si="139"/>
        <v>0.6470588235294118</v>
      </c>
    </row>
    <row r="1281" spans="1:28" x14ac:dyDescent="0.25">
      <c r="A1281" t="s">
        <v>454</v>
      </c>
      <c r="B1281" t="s">
        <v>455</v>
      </c>
      <c r="C1281">
        <v>2011</v>
      </c>
      <c r="D1281">
        <v>0.54929332959433441</v>
      </c>
      <c r="E1281">
        <v>0.45386007844842124</v>
      </c>
      <c r="F1281">
        <v>1.1086329496130336E-3</v>
      </c>
      <c r="G1281">
        <v>1.9459101490553132</v>
      </c>
      <c r="H1281">
        <v>0.5714285714285714</v>
      </c>
      <c r="I1281">
        <v>0.75</v>
      </c>
      <c r="J1281">
        <v>0</v>
      </c>
      <c r="K1281">
        <v>5</v>
      </c>
      <c r="L1281">
        <v>1</v>
      </c>
      <c r="M1281">
        <v>1</v>
      </c>
      <c r="N1281">
        <v>1</v>
      </c>
      <c r="O1281">
        <v>2</v>
      </c>
      <c r="P1281">
        <v>3</v>
      </c>
      <c r="Q1281">
        <f t="shared" si="133"/>
        <v>5</v>
      </c>
      <c r="R1281">
        <f t="shared" si="134"/>
        <v>18</v>
      </c>
      <c r="S1281">
        <f t="array" ref="S1281">MAX(IF($C$2:$C$1387=C1281,$R$2:$R$1387))</f>
        <v>28</v>
      </c>
      <c r="T1281" cm="1">
        <f t="array" ref="T1281">MIN(IF($C$2:$C$1387=C1281,$R$2:$R$1387))</f>
        <v>10</v>
      </c>
      <c r="U1281">
        <f t="shared" si="135"/>
        <v>18</v>
      </c>
      <c r="V1281">
        <f t="shared" si="136"/>
        <v>0.44444444444444442</v>
      </c>
      <c r="W1281" cm="1">
        <f t="array" ref="W1281">_xlfn.IFS(N1281=1,5,N1281=2,4,N1281=4,2,N1281=5,1,N1281=3,3)</f>
        <v>5</v>
      </c>
      <c r="X1281">
        <f t="shared" si="137"/>
        <v>22</v>
      </c>
      <c r="Y1281" cm="1">
        <f t="array" ref="Y1281">MAX(IF($C$2:$C$1387=C1281,$X$2:$X$1387))</f>
        <v>29</v>
      </c>
      <c r="Z1281" cm="1">
        <f t="array" ref="Z1281">MIN(IF($C$2:$C$1387=C1281,$X$2:$X$1387))</f>
        <v>12</v>
      </c>
      <c r="AA1281">
        <f t="shared" si="138"/>
        <v>17</v>
      </c>
      <c r="AB1281">
        <f t="shared" si="139"/>
        <v>0.58823529411764708</v>
      </c>
    </row>
    <row r="1282" spans="1:28" x14ac:dyDescent="0.25">
      <c r="A1282" t="s">
        <v>454</v>
      </c>
      <c r="B1282" t="s">
        <v>455</v>
      </c>
      <c r="C1282">
        <v>2012</v>
      </c>
      <c r="D1282">
        <v>0.57412272142657128</v>
      </c>
      <c r="E1282">
        <v>0.55184037081346038</v>
      </c>
      <c r="F1282">
        <v>1.1022651555313964E-3</v>
      </c>
      <c r="G1282">
        <v>1.9459101490553132</v>
      </c>
      <c r="H1282">
        <v>0.7142857142857143</v>
      </c>
      <c r="I1282">
        <v>1</v>
      </c>
      <c r="J1282">
        <v>1</v>
      </c>
      <c r="K1282">
        <v>5</v>
      </c>
      <c r="L1282">
        <v>2</v>
      </c>
      <c r="M1282">
        <v>1</v>
      </c>
      <c r="N1282">
        <v>1</v>
      </c>
      <c r="O1282">
        <v>4</v>
      </c>
      <c r="P1282">
        <v>3</v>
      </c>
      <c r="Q1282">
        <f t="shared" si="133"/>
        <v>1</v>
      </c>
      <c r="R1282">
        <f t="shared" si="134"/>
        <v>17</v>
      </c>
      <c r="S1282">
        <f t="array" ref="S1282">MAX(IF($C$2:$C$1387=C1282,$R$2:$R$1387))</f>
        <v>29</v>
      </c>
      <c r="T1282" cm="1">
        <f t="array" ref="T1282">MIN(IF($C$2:$C$1387=C1282,$R$2:$R$1387))</f>
        <v>11</v>
      </c>
      <c r="U1282">
        <f t="shared" si="135"/>
        <v>18</v>
      </c>
      <c r="V1282">
        <f t="shared" si="136"/>
        <v>0.33333333333333331</v>
      </c>
      <c r="W1282" cm="1">
        <f t="array" ref="W1282">_xlfn.IFS(N1282=1,5,N1282=2,4,N1282=4,2,N1282=5,1,N1282=3,3)</f>
        <v>5</v>
      </c>
      <c r="X1282">
        <f t="shared" si="137"/>
        <v>21</v>
      </c>
      <c r="Y1282" cm="1">
        <f t="array" ref="Y1282">MAX(IF($C$2:$C$1387=C1282,$X$2:$X$1387))</f>
        <v>30</v>
      </c>
      <c r="Z1282" cm="1">
        <f t="array" ref="Z1282">MIN(IF($C$2:$C$1387=C1282,$X$2:$X$1387))</f>
        <v>12</v>
      </c>
      <c r="AA1282">
        <f t="shared" si="138"/>
        <v>18</v>
      </c>
      <c r="AB1282">
        <f t="shared" si="139"/>
        <v>0.5</v>
      </c>
    </row>
    <row r="1283" spans="1:28" x14ac:dyDescent="0.25">
      <c r="A1283" t="s">
        <v>454</v>
      </c>
      <c r="B1283" t="s">
        <v>455</v>
      </c>
      <c r="C1283">
        <v>2013</v>
      </c>
      <c r="D1283">
        <v>0.56823870139690424</v>
      </c>
      <c r="E1283">
        <v>0.55184037081346038</v>
      </c>
      <c r="F1283">
        <v>3.8206764489823099E-4</v>
      </c>
      <c r="G1283">
        <v>1.9459101490553132</v>
      </c>
      <c r="H1283">
        <v>0.7142857142857143</v>
      </c>
      <c r="I1283">
        <v>1</v>
      </c>
      <c r="J1283">
        <v>0</v>
      </c>
      <c r="K1283">
        <v>5</v>
      </c>
      <c r="L1283">
        <v>2</v>
      </c>
      <c r="M1283">
        <v>1</v>
      </c>
      <c r="N1283">
        <v>1</v>
      </c>
      <c r="O1283">
        <v>4</v>
      </c>
      <c r="P1283">
        <v>3</v>
      </c>
      <c r="Q1283">
        <f t="shared" ref="Q1283:Q1346" si="140">IF(J1283=0,5,1)</f>
        <v>5</v>
      </c>
      <c r="R1283">
        <f t="shared" ref="R1283:R1346" si="141">SUM(K1283:Q1283)</f>
        <v>21</v>
      </c>
      <c r="S1283">
        <f t="array" ref="S1283">MAX(IF($C$2:$C$1387=C1283,$R$2:$R$1387))</f>
        <v>29</v>
      </c>
      <c r="T1283" cm="1">
        <f t="array" ref="T1283">MIN(IF($C$2:$C$1387=C1283,$R$2:$R$1387))</f>
        <v>10</v>
      </c>
      <c r="U1283">
        <f t="shared" ref="U1283:U1346" si="142">S1283-T1283</f>
        <v>19</v>
      </c>
      <c r="V1283">
        <f t="shared" ref="V1283:V1346" si="143">(R1283-T1283)/U1283</f>
        <v>0.57894736842105265</v>
      </c>
      <c r="W1283" cm="1">
        <f t="array" ref="W1283">_xlfn.IFS(N1283=1,5,N1283=2,4,N1283=4,2,N1283=5,1,N1283=3,3)</f>
        <v>5</v>
      </c>
      <c r="X1283">
        <f t="shared" ref="X1283:X1346" si="144">SUM(K1283:M1283,O1283:Q1283,W1283)</f>
        <v>25</v>
      </c>
      <c r="Y1283" cm="1">
        <f t="array" ref="Y1283">MAX(IF($C$2:$C$1387=C1283,$X$2:$X$1387))</f>
        <v>32</v>
      </c>
      <c r="Z1283" cm="1">
        <f t="array" ref="Z1283">MIN(IF($C$2:$C$1387=C1283,$X$2:$X$1387))</f>
        <v>10</v>
      </c>
      <c r="AA1283">
        <f t="shared" ref="AA1283:AA1346" si="145">Y1283-Z1283</f>
        <v>22</v>
      </c>
      <c r="AB1283">
        <f t="shared" ref="AB1283:AB1346" si="146">(X1283-Z1283)/AA1283</f>
        <v>0.68181818181818177</v>
      </c>
    </row>
    <row r="1284" spans="1:28" x14ac:dyDescent="0.25">
      <c r="A1284" t="s">
        <v>454</v>
      </c>
      <c r="B1284" t="s">
        <v>455</v>
      </c>
      <c r="C1284">
        <v>2014</v>
      </c>
      <c r="D1284">
        <v>0.45347564198412466</v>
      </c>
      <c r="E1284">
        <v>0.51254011598835036</v>
      </c>
      <c r="F1284">
        <v>3.0578147180021754E-2</v>
      </c>
      <c r="G1284">
        <v>1.9459101490553132</v>
      </c>
      <c r="H1284">
        <v>0.7142857142857143</v>
      </c>
      <c r="I1284">
        <v>0.66666666666666663</v>
      </c>
      <c r="J1284">
        <v>0</v>
      </c>
      <c r="K1284">
        <v>4</v>
      </c>
      <c r="L1284">
        <v>2</v>
      </c>
      <c r="M1284">
        <v>2</v>
      </c>
      <c r="N1284">
        <v>1</v>
      </c>
      <c r="O1284">
        <v>4</v>
      </c>
      <c r="P1284">
        <v>1</v>
      </c>
      <c r="Q1284">
        <f t="shared" si="140"/>
        <v>5</v>
      </c>
      <c r="R1284">
        <f t="shared" si="141"/>
        <v>19</v>
      </c>
      <c r="S1284">
        <f t="array" ref="S1284">MAX(IF($C$2:$C$1387=C1284,$R$2:$R$1387))</f>
        <v>29</v>
      </c>
      <c r="T1284" cm="1">
        <f t="array" ref="T1284">MIN(IF($C$2:$C$1387=C1284,$R$2:$R$1387))</f>
        <v>11</v>
      </c>
      <c r="U1284">
        <f t="shared" si="142"/>
        <v>18</v>
      </c>
      <c r="V1284">
        <f t="shared" si="143"/>
        <v>0.44444444444444442</v>
      </c>
      <c r="W1284" cm="1">
        <f t="array" ref="W1284">_xlfn.IFS(N1284=1,5,N1284=2,4,N1284=4,2,N1284=5,1,N1284=3,3)</f>
        <v>5</v>
      </c>
      <c r="X1284">
        <f t="shared" si="144"/>
        <v>23</v>
      </c>
      <c r="Y1284" cm="1">
        <f t="array" ref="Y1284">MAX(IF($C$2:$C$1387=C1284,$X$2:$X$1387))</f>
        <v>30</v>
      </c>
      <c r="Z1284" cm="1">
        <f t="array" ref="Z1284">MIN(IF($C$2:$C$1387=C1284,$X$2:$X$1387))</f>
        <v>14</v>
      </c>
      <c r="AA1284">
        <f t="shared" si="145"/>
        <v>16</v>
      </c>
      <c r="AB1284">
        <f t="shared" si="146"/>
        <v>0.5625</v>
      </c>
    </row>
    <row r="1285" spans="1:28" x14ac:dyDescent="0.25">
      <c r="A1285" t="s">
        <v>454</v>
      </c>
      <c r="B1285" t="s">
        <v>455</v>
      </c>
      <c r="C1285">
        <v>2015</v>
      </c>
      <c r="D1285">
        <v>0.40701621636449975</v>
      </c>
      <c r="E1285">
        <v>0.45059393497924422</v>
      </c>
      <c r="F1285">
        <v>2.5598532208181476E-2</v>
      </c>
      <c r="G1285">
        <v>1.9459101490553132</v>
      </c>
      <c r="H1285">
        <v>0.5714285714285714</v>
      </c>
      <c r="I1285">
        <v>0.66666666666666663</v>
      </c>
      <c r="J1285">
        <v>0</v>
      </c>
      <c r="K1285">
        <v>4</v>
      </c>
      <c r="L1285">
        <v>2</v>
      </c>
      <c r="M1285">
        <v>2</v>
      </c>
      <c r="N1285">
        <v>1</v>
      </c>
      <c r="O1285">
        <v>1</v>
      </c>
      <c r="P1285">
        <v>1</v>
      </c>
      <c r="Q1285">
        <f t="shared" si="140"/>
        <v>5</v>
      </c>
      <c r="R1285">
        <f t="shared" si="141"/>
        <v>16</v>
      </c>
      <c r="S1285">
        <f t="array" ref="S1285">MAX(IF($C$2:$C$1387=C1285,$R$2:$R$1387))</f>
        <v>29</v>
      </c>
      <c r="T1285" cm="1">
        <f t="array" ref="T1285">MIN(IF($C$2:$C$1387=C1285,$R$2:$R$1387))</f>
        <v>11</v>
      </c>
      <c r="U1285">
        <f t="shared" si="142"/>
        <v>18</v>
      </c>
      <c r="V1285">
        <f t="shared" si="143"/>
        <v>0.27777777777777779</v>
      </c>
      <c r="W1285" cm="1">
        <f t="array" ref="W1285">_xlfn.IFS(N1285=1,5,N1285=2,4,N1285=4,2,N1285=5,1,N1285=3,3)</f>
        <v>5</v>
      </c>
      <c r="X1285">
        <f t="shared" si="144"/>
        <v>20</v>
      </c>
      <c r="Y1285" cm="1">
        <f t="array" ref="Y1285">MAX(IF($C$2:$C$1387=C1285,$X$2:$X$1387))</f>
        <v>29</v>
      </c>
      <c r="Z1285" cm="1">
        <f t="array" ref="Z1285">MIN(IF($C$2:$C$1387=C1285,$X$2:$X$1387))</f>
        <v>12</v>
      </c>
      <c r="AA1285">
        <f t="shared" si="145"/>
        <v>17</v>
      </c>
      <c r="AB1285">
        <f t="shared" si="146"/>
        <v>0.47058823529411764</v>
      </c>
    </row>
    <row r="1286" spans="1:28" x14ac:dyDescent="0.25">
      <c r="A1286" t="s">
        <v>456</v>
      </c>
      <c r="B1286" t="s">
        <v>457</v>
      </c>
      <c r="C1286">
        <v>2010</v>
      </c>
      <c r="D1286">
        <v>0</v>
      </c>
      <c r="E1286">
        <v>0.62284282828282833</v>
      </c>
      <c r="F1286">
        <v>6.7005101010101015E-2</v>
      </c>
      <c r="G1286">
        <v>1.9459101490553132</v>
      </c>
      <c r="H1286">
        <v>0.7142857142857143</v>
      </c>
      <c r="I1286">
        <v>1</v>
      </c>
      <c r="J1286">
        <v>0</v>
      </c>
      <c r="K1286">
        <v>1</v>
      </c>
      <c r="L1286">
        <v>3</v>
      </c>
      <c r="M1286">
        <v>3</v>
      </c>
      <c r="N1286">
        <v>1</v>
      </c>
      <c r="O1286">
        <v>4</v>
      </c>
      <c r="P1286">
        <v>3</v>
      </c>
      <c r="Q1286">
        <f t="shared" si="140"/>
        <v>5</v>
      </c>
      <c r="R1286">
        <f t="shared" si="141"/>
        <v>20</v>
      </c>
      <c r="S1286">
        <f t="array" ref="S1286">MAX(IF($C$2:$C$1387=C1286,$R$2:$R$1387))</f>
        <v>29</v>
      </c>
      <c r="T1286" cm="1">
        <f t="array" ref="T1286">MIN(IF($C$2:$C$1387=C1286,$R$2:$R$1387))</f>
        <v>9</v>
      </c>
      <c r="U1286">
        <f t="shared" si="142"/>
        <v>20</v>
      </c>
      <c r="V1286">
        <f t="shared" si="143"/>
        <v>0.55000000000000004</v>
      </c>
      <c r="W1286" cm="1">
        <f t="array" ref="W1286">_xlfn.IFS(N1286=1,5,N1286=2,4,N1286=4,2,N1286=5,1,N1286=3,3)</f>
        <v>5</v>
      </c>
      <c r="X1286">
        <f t="shared" si="144"/>
        <v>24</v>
      </c>
      <c r="Y1286" cm="1">
        <f t="array" ref="Y1286">MAX(IF($C$2:$C$1387=C1286,$X$2:$X$1387))</f>
        <v>29</v>
      </c>
      <c r="Z1286" cm="1">
        <f t="array" ref="Z1286">MIN(IF($C$2:$C$1387=C1286,$X$2:$X$1387))</f>
        <v>12</v>
      </c>
      <c r="AA1286">
        <f t="shared" si="145"/>
        <v>17</v>
      </c>
      <c r="AB1286">
        <f t="shared" si="146"/>
        <v>0.70588235294117652</v>
      </c>
    </row>
    <row r="1287" spans="1:28" x14ac:dyDescent="0.25">
      <c r="A1287" t="s">
        <v>456</v>
      </c>
      <c r="B1287" t="s">
        <v>457</v>
      </c>
      <c r="C1287">
        <v>2011</v>
      </c>
      <c r="D1287">
        <v>0</v>
      </c>
      <c r="E1287">
        <v>0.62284282828282833</v>
      </c>
      <c r="F1287">
        <v>6.7005101010101015E-2</v>
      </c>
      <c r="G1287">
        <v>1.9459101490553132</v>
      </c>
      <c r="H1287">
        <v>0.7142857142857143</v>
      </c>
      <c r="I1287">
        <v>1</v>
      </c>
      <c r="J1287">
        <v>0</v>
      </c>
      <c r="K1287">
        <v>1</v>
      </c>
      <c r="L1287">
        <v>3</v>
      </c>
      <c r="M1287">
        <v>3</v>
      </c>
      <c r="N1287">
        <v>1</v>
      </c>
      <c r="O1287">
        <v>4</v>
      </c>
      <c r="P1287">
        <v>3</v>
      </c>
      <c r="Q1287">
        <f t="shared" si="140"/>
        <v>5</v>
      </c>
      <c r="R1287">
        <f t="shared" si="141"/>
        <v>20</v>
      </c>
      <c r="S1287">
        <f t="array" ref="S1287">MAX(IF($C$2:$C$1387=C1287,$R$2:$R$1387))</f>
        <v>28</v>
      </c>
      <c r="T1287" cm="1">
        <f t="array" ref="T1287">MIN(IF($C$2:$C$1387=C1287,$R$2:$R$1387))</f>
        <v>10</v>
      </c>
      <c r="U1287">
        <f t="shared" si="142"/>
        <v>18</v>
      </c>
      <c r="V1287">
        <f t="shared" si="143"/>
        <v>0.55555555555555558</v>
      </c>
      <c r="W1287" cm="1">
        <f t="array" ref="W1287">_xlfn.IFS(N1287=1,5,N1287=2,4,N1287=4,2,N1287=5,1,N1287=3,3)</f>
        <v>5</v>
      </c>
      <c r="X1287">
        <f t="shared" si="144"/>
        <v>24</v>
      </c>
      <c r="Y1287" cm="1">
        <f t="array" ref="Y1287">MAX(IF($C$2:$C$1387=C1287,$X$2:$X$1387))</f>
        <v>29</v>
      </c>
      <c r="Z1287" cm="1">
        <f t="array" ref="Z1287">MIN(IF($C$2:$C$1387=C1287,$X$2:$X$1387))</f>
        <v>12</v>
      </c>
      <c r="AA1287">
        <f t="shared" si="145"/>
        <v>17</v>
      </c>
      <c r="AB1287">
        <f t="shared" si="146"/>
        <v>0.70588235294117652</v>
      </c>
    </row>
    <row r="1288" spans="1:28" x14ac:dyDescent="0.25">
      <c r="A1288" t="s">
        <v>456</v>
      </c>
      <c r="B1288" t="s">
        <v>457</v>
      </c>
      <c r="C1288">
        <v>2012</v>
      </c>
      <c r="D1288">
        <v>0</v>
      </c>
      <c r="E1288">
        <v>0.62284282828282833</v>
      </c>
      <c r="F1288">
        <v>6.7005101010101015E-2</v>
      </c>
      <c r="G1288">
        <v>1.9459101490553132</v>
      </c>
      <c r="H1288">
        <v>0.7142857142857143</v>
      </c>
      <c r="I1288">
        <v>0.66666666666666663</v>
      </c>
      <c r="J1288">
        <v>0</v>
      </c>
      <c r="K1288">
        <v>1</v>
      </c>
      <c r="L1288">
        <v>3</v>
      </c>
      <c r="M1288">
        <v>3</v>
      </c>
      <c r="N1288">
        <v>1</v>
      </c>
      <c r="O1288">
        <v>4</v>
      </c>
      <c r="P1288">
        <v>1</v>
      </c>
      <c r="Q1288">
        <f t="shared" si="140"/>
        <v>5</v>
      </c>
      <c r="R1288">
        <f t="shared" si="141"/>
        <v>18</v>
      </c>
      <c r="S1288">
        <f t="array" ref="S1288">MAX(IF($C$2:$C$1387=C1288,$R$2:$R$1387))</f>
        <v>29</v>
      </c>
      <c r="T1288" cm="1">
        <f t="array" ref="T1288">MIN(IF($C$2:$C$1387=C1288,$R$2:$R$1387))</f>
        <v>11</v>
      </c>
      <c r="U1288">
        <f t="shared" si="142"/>
        <v>18</v>
      </c>
      <c r="V1288">
        <f t="shared" si="143"/>
        <v>0.3888888888888889</v>
      </c>
      <c r="W1288" cm="1">
        <f t="array" ref="W1288">_xlfn.IFS(N1288=1,5,N1288=2,4,N1288=4,2,N1288=5,1,N1288=3,3)</f>
        <v>5</v>
      </c>
      <c r="X1288">
        <f t="shared" si="144"/>
        <v>22</v>
      </c>
      <c r="Y1288" cm="1">
        <f t="array" ref="Y1288">MAX(IF($C$2:$C$1387=C1288,$X$2:$X$1387))</f>
        <v>30</v>
      </c>
      <c r="Z1288" cm="1">
        <f t="array" ref="Z1288">MIN(IF($C$2:$C$1387=C1288,$X$2:$X$1387))</f>
        <v>12</v>
      </c>
      <c r="AA1288">
        <f t="shared" si="145"/>
        <v>18</v>
      </c>
      <c r="AB1288">
        <f t="shared" si="146"/>
        <v>0.55555555555555558</v>
      </c>
    </row>
    <row r="1289" spans="1:28" x14ac:dyDescent="0.25">
      <c r="A1289" t="s">
        <v>456</v>
      </c>
      <c r="B1289" t="s">
        <v>457</v>
      </c>
      <c r="C1289">
        <v>2013</v>
      </c>
      <c r="D1289">
        <v>0</v>
      </c>
      <c r="E1289">
        <v>0.62284282828282833</v>
      </c>
      <c r="F1289">
        <v>6.7005101010101015E-2</v>
      </c>
      <c r="G1289">
        <v>1.9459101490553132</v>
      </c>
      <c r="H1289">
        <v>0.7142857142857143</v>
      </c>
      <c r="I1289">
        <v>1</v>
      </c>
      <c r="J1289">
        <v>0</v>
      </c>
      <c r="K1289">
        <v>1</v>
      </c>
      <c r="L1289">
        <v>3</v>
      </c>
      <c r="M1289">
        <v>3</v>
      </c>
      <c r="N1289">
        <v>1</v>
      </c>
      <c r="O1289">
        <v>4</v>
      </c>
      <c r="P1289">
        <v>3</v>
      </c>
      <c r="Q1289">
        <f t="shared" si="140"/>
        <v>5</v>
      </c>
      <c r="R1289">
        <f t="shared" si="141"/>
        <v>20</v>
      </c>
      <c r="S1289">
        <f t="array" ref="S1289">MAX(IF($C$2:$C$1387=C1289,$R$2:$R$1387))</f>
        <v>29</v>
      </c>
      <c r="T1289" cm="1">
        <f t="array" ref="T1289">MIN(IF($C$2:$C$1387=C1289,$R$2:$R$1387))</f>
        <v>10</v>
      </c>
      <c r="U1289">
        <f t="shared" si="142"/>
        <v>19</v>
      </c>
      <c r="V1289">
        <f t="shared" si="143"/>
        <v>0.52631578947368418</v>
      </c>
      <c r="W1289" cm="1">
        <f t="array" ref="W1289">_xlfn.IFS(N1289=1,5,N1289=2,4,N1289=4,2,N1289=5,1,N1289=3,3)</f>
        <v>5</v>
      </c>
      <c r="X1289">
        <f t="shared" si="144"/>
        <v>24</v>
      </c>
      <c r="Y1289" cm="1">
        <f t="array" ref="Y1289">MAX(IF($C$2:$C$1387=C1289,$X$2:$X$1387))</f>
        <v>32</v>
      </c>
      <c r="Z1289" cm="1">
        <f t="array" ref="Z1289">MIN(IF($C$2:$C$1387=C1289,$X$2:$X$1387))</f>
        <v>10</v>
      </c>
      <c r="AA1289">
        <f t="shared" si="145"/>
        <v>22</v>
      </c>
      <c r="AB1289">
        <f t="shared" si="146"/>
        <v>0.63636363636363635</v>
      </c>
    </row>
    <row r="1290" spans="1:28" x14ac:dyDescent="0.25">
      <c r="A1290" t="s">
        <v>456</v>
      </c>
      <c r="B1290" t="s">
        <v>457</v>
      </c>
      <c r="C1290">
        <v>2014</v>
      </c>
      <c r="D1290">
        <v>0</v>
      </c>
      <c r="E1290">
        <v>0.62284282828282833</v>
      </c>
      <c r="F1290">
        <v>6.7005101010101015E-2</v>
      </c>
      <c r="G1290">
        <v>1.9459101490553132</v>
      </c>
      <c r="H1290">
        <v>0.7142857142857143</v>
      </c>
      <c r="I1290">
        <v>1</v>
      </c>
      <c r="J1290">
        <v>0</v>
      </c>
      <c r="K1290">
        <v>1</v>
      </c>
      <c r="L1290">
        <v>3</v>
      </c>
      <c r="M1290">
        <v>3</v>
      </c>
      <c r="N1290">
        <v>1</v>
      </c>
      <c r="O1290">
        <v>4</v>
      </c>
      <c r="P1290">
        <v>3</v>
      </c>
      <c r="Q1290">
        <f t="shared" si="140"/>
        <v>5</v>
      </c>
      <c r="R1290">
        <f t="shared" si="141"/>
        <v>20</v>
      </c>
      <c r="S1290">
        <f t="array" ref="S1290">MAX(IF($C$2:$C$1387=C1290,$R$2:$R$1387))</f>
        <v>29</v>
      </c>
      <c r="T1290" cm="1">
        <f t="array" ref="T1290">MIN(IF($C$2:$C$1387=C1290,$R$2:$R$1387))</f>
        <v>11</v>
      </c>
      <c r="U1290">
        <f t="shared" si="142"/>
        <v>18</v>
      </c>
      <c r="V1290">
        <f t="shared" si="143"/>
        <v>0.5</v>
      </c>
      <c r="W1290" cm="1">
        <f t="array" ref="W1290">_xlfn.IFS(N1290=1,5,N1290=2,4,N1290=4,2,N1290=5,1,N1290=3,3)</f>
        <v>5</v>
      </c>
      <c r="X1290">
        <f t="shared" si="144"/>
        <v>24</v>
      </c>
      <c r="Y1290" cm="1">
        <f t="array" ref="Y1290">MAX(IF($C$2:$C$1387=C1290,$X$2:$X$1387))</f>
        <v>30</v>
      </c>
      <c r="Z1290" cm="1">
        <f t="array" ref="Z1290">MIN(IF($C$2:$C$1387=C1290,$X$2:$X$1387))</f>
        <v>14</v>
      </c>
      <c r="AA1290">
        <f t="shared" si="145"/>
        <v>16</v>
      </c>
      <c r="AB1290">
        <f t="shared" si="146"/>
        <v>0.625</v>
      </c>
    </row>
    <row r="1291" spans="1:28" x14ac:dyDescent="0.25">
      <c r="A1291" t="s">
        <v>456</v>
      </c>
      <c r="B1291" t="s">
        <v>457</v>
      </c>
      <c r="C1291">
        <v>2015</v>
      </c>
      <c r="D1291">
        <v>0</v>
      </c>
      <c r="E1291">
        <v>0.62284282828282833</v>
      </c>
      <c r="F1291">
        <v>6.7005101010101015E-2</v>
      </c>
      <c r="G1291">
        <v>1.9459101490553132</v>
      </c>
      <c r="H1291">
        <v>0.7142857142857143</v>
      </c>
      <c r="I1291">
        <v>1</v>
      </c>
      <c r="J1291">
        <v>0</v>
      </c>
      <c r="K1291">
        <v>1</v>
      </c>
      <c r="L1291">
        <v>3</v>
      </c>
      <c r="M1291">
        <v>3</v>
      </c>
      <c r="N1291">
        <v>1</v>
      </c>
      <c r="O1291">
        <v>3</v>
      </c>
      <c r="P1291">
        <v>2</v>
      </c>
      <c r="Q1291">
        <f t="shared" si="140"/>
        <v>5</v>
      </c>
      <c r="R1291">
        <f t="shared" si="141"/>
        <v>18</v>
      </c>
      <c r="S1291">
        <f t="array" ref="S1291">MAX(IF($C$2:$C$1387=C1291,$R$2:$R$1387))</f>
        <v>29</v>
      </c>
      <c r="T1291" cm="1">
        <f t="array" ref="T1291">MIN(IF($C$2:$C$1387=C1291,$R$2:$R$1387))</f>
        <v>11</v>
      </c>
      <c r="U1291">
        <f t="shared" si="142"/>
        <v>18</v>
      </c>
      <c r="V1291">
        <f t="shared" si="143"/>
        <v>0.3888888888888889</v>
      </c>
      <c r="W1291" cm="1">
        <f t="array" ref="W1291">_xlfn.IFS(N1291=1,5,N1291=2,4,N1291=4,2,N1291=5,1,N1291=3,3)</f>
        <v>5</v>
      </c>
      <c r="X1291">
        <f t="shared" si="144"/>
        <v>22</v>
      </c>
      <c r="Y1291" cm="1">
        <f t="array" ref="Y1291">MAX(IF($C$2:$C$1387=C1291,$X$2:$X$1387))</f>
        <v>29</v>
      </c>
      <c r="Z1291" cm="1">
        <f t="array" ref="Z1291">MIN(IF($C$2:$C$1387=C1291,$X$2:$X$1387))</f>
        <v>12</v>
      </c>
      <c r="AA1291">
        <f t="shared" si="145"/>
        <v>17</v>
      </c>
      <c r="AB1291">
        <f t="shared" si="146"/>
        <v>0.58823529411764708</v>
      </c>
    </row>
    <row r="1292" spans="1:28" x14ac:dyDescent="0.25">
      <c r="A1292" t="s">
        <v>458</v>
      </c>
      <c r="B1292" t="s">
        <v>459</v>
      </c>
      <c r="C1292">
        <v>2010</v>
      </c>
      <c r="D1292">
        <v>0.86244710144927539</v>
      </c>
      <c r="E1292">
        <v>0.74076246376811594</v>
      </c>
      <c r="F1292">
        <v>5.7128550724637683E-2</v>
      </c>
      <c r="G1292">
        <v>2.1972245773362196</v>
      </c>
      <c r="H1292">
        <v>0.77777777777777779</v>
      </c>
      <c r="I1292">
        <v>1</v>
      </c>
      <c r="J1292">
        <v>0</v>
      </c>
      <c r="K1292">
        <v>5</v>
      </c>
      <c r="L1292">
        <v>4</v>
      </c>
      <c r="M1292">
        <v>3</v>
      </c>
      <c r="N1292">
        <v>4</v>
      </c>
      <c r="O1292">
        <v>4</v>
      </c>
      <c r="P1292">
        <v>3</v>
      </c>
      <c r="Q1292">
        <f t="shared" si="140"/>
        <v>5</v>
      </c>
      <c r="R1292">
        <f t="shared" si="141"/>
        <v>28</v>
      </c>
      <c r="S1292">
        <f t="array" ref="S1292">MAX(IF($C$2:$C$1387=C1292,$R$2:$R$1387))</f>
        <v>29</v>
      </c>
      <c r="T1292" cm="1">
        <f t="array" ref="T1292">MIN(IF($C$2:$C$1387=C1292,$R$2:$R$1387))</f>
        <v>9</v>
      </c>
      <c r="U1292">
        <f t="shared" si="142"/>
        <v>20</v>
      </c>
      <c r="V1292">
        <f t="shared" si="143"/>
        <v>0.95</v>
      </c>
      <c r="W1292" cm="1">
        <f t="array" ref="W1292">_xlfn.IFS(N1292=1,5,N1292=2,4,N1292=4,2,N1292=5,1,N1292=3,3)</f>
        <v>2</v>
      </c>
      <c r="X1292">
        <f t="shared" si="144"/>
        <v>26</v>
      </c>
      <c r="Y1292" cm="1">
        <f t="array" ref="Y1292">MAX(IF($C$2:$C$1387=C1292,$X$2:$X$1387))</f>
        <v>29</v>
      </c>
      <c r="Z1292" cm="1">
        <f t="array" ref="Z1292">MIN(IF($C$2:$C$1387=C1292,$X$2:$X$1387))</f>
        <v>12</v>
      </c>
      <c r="AA1292">
        <f t="shared" si="145"/>
        <v>17</v>
      </c>
      <c r="AB1292">
        <f t="shared" si="146"/>
        <v>0.82352941176470584</v>
      </c>
    </row>
    <row r="1293" spans="1:28" x14ac:dyDescent="0.25">
      <c r="A1293" t="s">
        <v>458</v>
      </c>
      <c r="B1293" t="s">
        <v>459</v>
      </c>
      <c r="C1293">
        <v>2011</v>
      </c>
      <c r="D1293">
        <v>0.86244710144927539</v>
      </c>
      <c r="E1293">
        <v>0.74076246376811594</v>
      </c>
      <c r="F1293">
        <v>5.7128550724637683E-2</v>
      </c>
      <c r="G1293">
        <v>2.1972245773362196</v>
      </c>
      <c r="H1293">
        <v>0.77777777777777779</v>
      </c>
      <c r="I1293">
        <v>1</v>
      </c>
      <c r="J1293">
        <v>0</v>
      </c>
      <c r="K1293">
        <v>5</v>
      </c>
      <c r="L1293">
        <v>4</v>
      </c>
      <c r="M1293">
        <v>3</v>
      </c>
      <c r="N1293">
        <v>4</v>
      </c>
      <c r="O1293">
        <v>4</v>
      </c>
      <c r="P1293">
        <v>3</v>
      </c>
      <c r="Q1293">
        <f t="shared" si="140"/>
        <v>5</v>
      </c>
      <c r="R1293">
        <f t="shared" si="141"/>
        <v>28</v>
      </c>
      <c r="S1293">
        <f t="array" ref="S1293">MAX(IF($C$2:$C$1387=C1293,$R$2:$R$1387))</f>
        <v>28</v>
      </c>
      <c r="T1293" cm="1">
        <f t="array" ref="T1293">MIN(IF($C$2:$C$1387=C1293,$R$2:$R$1387))</f>
        <v>10</v>
      </c>
      <c r="U1293">
        <f t="shared" si="142"/>
        <v>18</v>
      </c>
      <c r="V1293">
        <f t="shared" si="143"/>
        <v>1</v>
      </c>
      <c r="W1293" cm="1">
        <f t="array" ref="W1293">_xlfn.IFS(N1293=1,5,N1293=2,4,N1293=4,2,N1293=5,1,N1293=3,3)</f>
        <v>2</v>
      </c>
      <c r="X1293">
        <f t="shared" si="144"/>
        <v>26</v>
      </c>
      <c r="Y1293" cm="1">
        <f t="array" ref="Y1293">MAX(IF($C$2:$C$1387=C1293,$X$2:$X$1387))</f>
        <v>29</v>
      </c>
      <c r="Z1293" cm="1">
        <f t="array" ref="Z1293">MIN(IF($C$2:$C$1387=C1293,$X$2:$X$1387))</f>
        <v>12</v>
      </c>
      <c r="AA1293">
        <f t="shared" si="145"/>
        <v>17</v>
      </c>
      <c r="AB1293">
        <f t="shared" si="146"/>
        <v>0.82352941176470584</v>
      </c>
    </row>
    <row r="1294" spans="1:28" x14ac:dyDescent="0.25">
      <c r="A1294" t="s">
        <v>458</v>
      </c>
      <c r="B1294" t="s">
        <v>459</v>
      </c>
      <c r="C1294">
        <v>2012</v>
      </c>
      <c r="D1294">
        <v>0.86244710144927539</v>
      </c>
      <c r="E1294">
        <v>0.74076246376811594</v>
      </c>
      <c r="F1294">
        <v>5.7128550724637683E-2</v>
      </c>
      <c r="G1294">
        <v>2.1972245773362196</v>
      </c>
      <c r="H1294">
        <v>0.77777777777777779</v>
      </c>
      <c r="I1294">
        <v>1</v>
      </c>
      <c r="J1294">
        <v>0</v>
      </c>
      <c r="K1294">
        <v>5</v>
      </c>
      <c r="L1294">
        <v>4</v>
      </c>
      <c r="M1294">
        <v>3</v>
      </c>
      <c r="N1294">
        <v>4</v>
      </c>
      <c r="O1294">
        <v>5</v>
      </c>
      <c r="P1294">
        <v>3</v>
      </c>
      <c r="Q1294">
        <f t="shared" si="140"/>
        <v>5</v>
      </c>
      <c r="R1294">
        <f t="shared" si="141"/>
        <v>29</v>
      </c>
      <c r="S1294">
        <f t="array" ref="S1294">MAX(IF($C$2:$C$1387=C1294,$R$2:$R$1387))</f>
        <v>29</v>
      </c>
      <c r="T1294" cm="1">
        <f t="array" ref="T1294">MIN(IF($C$2:$C$1387=C1294,$R$2:$R$1387))</f>
        <v>11</v>
      </c>
      <c r="U1294">
        <f t="shared" si="142"/>
        <v>18</v>
      </c>
      <c r="V1294">
        <f t="shared" si="143"/>
        <v>1</v>
      </c>
      <c r="W1294" cm="1">
        <f t="array" ref="W1294">_xlfn.IFS(N1294=1,5,N1294=2,4,N1294=4,2,N1294=5,1,N1294=3,3)</f>
        <v>2</v>
      </c>
      <c r="X1294">
        <f t="shared" si="144"/>
        <v>27</v>
      </c>
      <c r="Y1294" cm="1">
        <f t="array" ref="Y1294">MAX(IF($C$2:$C$1387=C1294,$X$2:$X$1387))</f>
        <v>30</v>
      </c>
      <c r="Z1294" cm="1">
        <f t="array" ref="Z1294">MIN(IF($C$2:$C$1387=C1294,$X$2:$X$1387))</f>
        <v>12</v>
      </c>
      <c r="AA1294">
        <f t="shared" si="145"/>
        <v>18</v>
      </c>
      <c r="AB1294">
        <f t="shared" si="146"/>
        <v>0.83333333333333337</v>
      </c>
    </row>
    <row r="1295" spans="1:28" x14ac:dyDescent="0.25">
      <c r="A1295" t="s">
        <v>458</v>
      </c>
      <c r="B1295" t="s">
        <v>459</v>
      </c>
      <c r="C1295">
        <v>2013</v>
      </c>
      <c r="D1295">
        <v>0.86244710144927539</v>
      </c>
      <c r="E1295">
        <v>0.74076246376811594</v>
      </c>
      <c r="F1295">
        <v>5.7128550724637683E-2</v>
      </c>
      <c r="G1295">
        <v>2.1972245773362196</v>
      </c>
      <c r="H1295">
        <v>0.77777777777777779</v>
      </c>
      <c r="I1295">
        <v>1</v>
      </c>
      <c r="J1295">
        <v>0</v>
      </c>
      <c r="K1295">
        <v>5</v>
      </c>
      <c r="L1295">
        <v>4</v>
      </c>
      <c r="M1295">
        <v>3</v>
      </c>
      <c r="N1295">
        <v>4</v>
      </c>
      <c r="O1295">
        <v>5</v>
      </c>
      <c r="P1295">
        <v>3</v>
      </c>
      <c r="Q1295">
        <f t="shared" si="140"/>
        <v>5</v>
      </c>
      <c r="R1295">
        <f t="shared" si="141"/>
        <v>29</v>
      </c>
      <c r="S1295">
        <f t="array" ref="S1295">MAX(IF($C$2:$C$1387=C1295,$R$2:$R$1387))</f>
        <v>29</v>
      </c>
      <c r="T1295" cm="1">
        <f t="array" ref="T1295">MIN(IF($C$2:$C$1387=C1295,$R$2:$R$1387))</f>
        <v>10</v>
      </c>
      <c r="U1295">
        <f t="shared" si="142"/>
        <v>19</v>
      </c>
      <c r="V1295">
        <f t="shared" si="143"/>
        <v>1</v>
      </c>
      <c r="W1295" cm="1">
        <f t="array" ref="W1295">_xlfn.IFS(N1295=1,5,N1295=2,4,N1295=4,2,N1295=5,1,N1295=3,3)</f>
        <v>2</v>
      </c>
      <c r="X1295">
        <f t="shared" si="144"/>
        <v>27</v>
      </c>
      <c r="Y1295" cm="1">
        <f t="array" ref="Y1295">MAX(IF($C$2:$C$1387=C1295,$X$2:$X$1387))</f>
        <v>32</v>
      </c>
      <c r="Z1295" cm="1">
        <f t="array" ref="Z1295">MIN(IF($C$2:$C$1387=C1295,$X$2:$X$1387))</f>
        <v>10</v>
      </c>
      <c r="AA1295">
        <f t="shared" si="145"/>
        <v>22</v>
      </c>
      <c r="AB1295">
        <f t="shared" si="146"/>
        <v>0.77272727272727271</v>
      </c>
    </row>
    <row r="1296" spans="1:28" x14ac:dyDescent="0.25">
      <c r="A1296" t="s">
        <v>458</v>
      </c>
      <c r="B1296" t="s">
        <v>459</v>
      </c>
      <c r="C1296">
        <v>2014</v>
      </c>
      <c r="D1296">
        <v>0.86244710144927539</v>
      </c>
      <c r="E1296">
        <v>0.74076246376811594</v>
      </c>
      <c r="F1296">
        <v>5.7128550724637683E-2</v>
      </c>
      <c r="G1296">
        <v>2.1972245773362196</v>
      </c>
      <c r="H1296">
        <v>0.77777777777777779</v>
      </c>
      <c r="I1296">
        <v>1</v>
      </c>
      <c r="J1296">
        <v>0</v>
      </c>
      <c r="K1296">
        <v>5</v>
      </c>
      <c r="L1296">
        <v>4</v>
      </c>
      <c r="M1296">
        <v>3</v>
      </c>
      <c r="N1296">
        <v>4</v>
      </c>
      <c r="O1296">
        <v>5</v>
      </c>
      <c r="P1296">
        <v>3</v>
      </c>
      <c r="Q1296">
        <f t="shared" si="140"/>
        <v>5</v>
      </c>
      <c r="R1296">
        <f t="shared" si="141"/>
        <v>29</v>
      </c>
      <c r="S1296">
        <f t="array" ref="S1296">MAX(IF($C$2:$C$1387=C1296,$R$2:$R$1387))</f>
        <v>29</v>
      </c>
      <c r="T1296" cm="1">
        <f t="array" ref="T1296">MIN(IF($C$2:$C$1387=C1296,$R$2:$R$1387))</f>
        <v>11</v>
      </c>
      <c r="U1296">
        <f t="shared" si="142"/>
        <v>18</v>
      </c>
      <c r="V1296">
        <f t="shared" si="143"/>
        <v>1</v>
      </c>
      <c r="W1296" cm="1">
        <f t="array" ref="W1296">_xlfn.IFS(N1296=1,5,N1296=2,4,N1296=4,2,N1296=5,1,N1296=3,3)</f>
        <v>2</v>
      </c>
      <c r="X1296">
        <f t="shared" si="144"/>
        <v>27</v>
      </c>
      <c r="Y1296" cm="1">
        <f t="array" ref="Y1296">MAX(IF($C$2:$C$1387=C1296,$X$2:$X$1387))</f>
        <v>30</v>
      </c>
      <c r="Z1296" cm="1">
        <f t="array" ref="Z1296">MIN(IF($C$2:$C$1387=C1296,$X$2:$X$1387))</f>
        <v>14</v>
      </c>
      <c r="AA1296">
        <f t="shared" si="145"/>
        <v>16</v>
      </c>
      <c r="AB1296">
        <f t="shared" si="146"/>
        <v>0.8125</v>
      </c>
    </row>
    <row r="1297" spans="1:28" x14ac:dyDescent="0.25">
      <c r="A1297" t="s">
        <v>458</v>
      </c>
      <c r="B1297" t="s">
        <v>459</v>
      </c>
      <c r="C1297">
        <v>2015</v>
      </c>
      <c r="D1297">
        <v>0.86244710144927539</v>
      </c>
      <c r="E1297">
        <v>0.74076246376811594</v>
      </c>
      <c r="F1297">
        <v>5.7128550724637683E-2</v>
      </c>
      <c r="G1297">
        <v>2.1972245773362196</v>
      </c>
      <c r="H1297">
        <v>0.77777777777777779</v>
      </c>
      <c r="I1297">
        <v>1</v>
      </c>
      <c r="J1297">
        <v>0</v>
      </c>
      <c r="K1297">
        <v>5</v>
      </c>
      <c r="L1297">
        <v>4</v>
      </c>
      <c r="M1297">
        <v>3</v>
      </c>
      <c r="N1297">
        <v>4</v>
      </c>
      <c r="O1297">
        <v>4</v>
      </c>
      <c r="P1297">
        <v>2</v>
      </c>
      <c r="Q1297">
        <f t="shared" si="140"/>
        <v>5</v>
      </c>
      <c r="R1297">
        <f t="shared" si="141"/>
        <v>27</v>
      </c>
      <c r="S1297">
        <f t="array" ref="S1297">MAX(IF($C$2:$C$1387=C1297,$R$2:$R$1387))</f>
        <v>29</v>
      </c>
      <c r="T1297" cm="1">
        <f t="array" ref="T1297">MIN(IF($C$2:$C$1387=C1297,$R$2:$R$1387))</f>
        <v>11</v>
      </c>
      <c r="U1297">
        <f t="shared" si="142"/>
        <v>18</v>
      </c>
      <c r="V1297">
        <f t="shared" si="143"/>
        <v>0.88888888888888884</v>
      </c>
      <c r="W1297" cm="1">
        <f t="array" ref="W1297">_xlfn.IFS(N1297=1,5,N1297=2,4,N1297=4,2,N1297=5,1,N1297=3,3)</f>
        <v>2</v>
      </c>
      <c r="X1297">
        <f t="shared" si="144"/>
        <v>25</v>
      </c>
      <c r="Y1297" cm="1">
        <f t="array" ref="Y1297">MAX(IF($C$2:$C$1387=C1297,$X$2:$X$1387))</f>
        <v>29</v>
      </c>
      <c r="Z1297" cm="1">
        <f t="array" ref="Z1297">MIN(IF($C$2:$C$1387=C1297,$X$2:$X$1387))</f>
        <v>12</v>
      </c>
      <c r="AA1297">
        <f t="shared" si="145"/>
        <v>17</v>
      </c>
      <c r="AB1297">
        <f t="shared" si="146"/>
        <v>0.76470588235294112</v>
      </c>
    </row>
    <row r="1298" spans="1:28" x14ac:dyDescent="0.25">
      <c r="A1298" t="s">
        <v>460</v>
      </c>
      <c r="B1298" s="1" t="s">
        <v>461</v>
      </c>
      <c r="C1298">
        <v>2010</v>
      </c>
      <c r="D1298">
        <v>0.42219021919508221</v>
      </c>
      <c r="E1298">
        <v>0.81209997258257693</v>
      </c>
      <c r="F1298">
        <v>9.9196525202383867E-2</v>
      </c>
      <c r="G1298">
        <v>1.9459101490553132</v>
      </c>
      <c r="H1298">
        <v>0.5714285714285714</v>
      </c>
      <c r="I1298" s="1">
        <v>0.66666666666666663</v>
      </c>
      <c r="J1298">
        <v>0</v>
      </c>
      <c r="K1298">
        <v>4</v>
      </c>
      <c r="L1298">
        <v>4</v>
      </c>
      <c r="M1298">
        <v>4</v>
      </c>
      <c r="N1298">
        <v>1</v>
      </c>
      <c r="O1298">
        <v>2</v>
      </c>
      <c r="P1298">
        <v>1</v>
      </c>
      <c r="Q1298">
        <f t="shared" si="140"/>
        <v>5</v>
      </c>
      <c r="R1298">
        <f t="shared" si="141"/>
        <v>21</v>
      </c>
      <c r="S1298">
        <f t="array" ref="S1298">MAX(IF($C$2:$C$1387=C1298,$R$2:$R$1387))</f>
        <v>29</v>
      </c>
      <c r="T1298" cm="1">
        <f t="array" ref="T1298">MIN(IF($C$2:$C$1387=C1298,$R$2:$R$1387))</f>
        <v>9</v>
      </c>
      <c r="U1298">
        <f t="shared" si="142"/>
        <v>20</v>
      </c>
      <c r="V1298">
        <f t="shared" si="143"/>
        <v>0.6</v>
      </c>
      <c r="W1298" cm="1">
        <f t="array" ref="W1298">_xlfn.IFS(N1298=1,5,N1298=2,4,N1298=4,2,N1298=5,1,N1298=3,3)</f>
        <v>5</v>
      </c>
      <c r="X1298">
        <f t="shared" si="144"/>
        <v>25</v>
      </c>
      <c r="Y1298" cm="1">
        <f t="array" ref="Y1298">MAX(IF($C$2:$C$1387=C1298,$X$2:$X$1387))</f>
        <v>29</v>
      </c>
      <c r="Z1298" cm="1">
        <f t="array" ref="Z1298">MIN(IF($C$2:$C$1387=C1298,$X$2:$X$1387))</f>
        <v>12</v>
      </c>
      <c r="AA1298">
        <f t="shared" si="145"/>
        <v>17</v>
      </c>
      <c r="AB1298">
        <f t="shared" si="146"/>
        <v>0.76470588235294112</v>
      </c>
    </row>
    <row r="1299" spans="1:28" x14ac:dyDescent="0.25">
      <c r="A1299" t="s">
        <v>460</v>
      </c>
      <c r="B1299" t="s">
        <v>461</v>
      </c>
      <c r="C1299">
        <v>2011</v>
      </c>
      <c r="D1299">
        <v>0.42790591494826763</v>
      </c>
      <c r="E1299">
        <v>0.80418978628840243</v>
      </c>
      <c r="F1299">
        <v>7.2491493383742917E-2</v>
      </c>
      <c r="G1299">
        <v>1.9459101490553132</v>
      </c>
      <c r="H1299">
        <v>0.5714285714285714</v>
      </c>
      <c r="I1299">
        <v>0.66666666666666663</v>
      </c>
      <c r="J1299">
        <v>0</v>
      </c>
      <c r="K1299">
        <v>4</v>
      </c>
      <c r="L1299">
        <v>4</v>
      </c>
      <c r="M1299">
        <v>3</v>
      </c>
      <c r="N1299">
        <v>1</v>
      </c>
      <c r="O1299">
        <v>2</v>
      </c>
      <c r="P1299">
        <v>1</v>
      </c>
      <c r="Q1299">
        <f t="shared" si="140"/>
        <v>5</v>
      </c>
      <c r="R1299">
        <f t="shared" si="141"/>
        <v>20</v>
      </c>
      <c r="S1299">
        <f t="array" ref="S1299">MAX(IF($C$2:$C$1387=C1299,$R$2:$R$1387))</f>
        <v>28</v>
      </c>
      <c r="T1299" cm="1">
        <f t="array" ref="T1299">MIN(IF($C$2:$C$1387=C1299,$R$2:$R$1387))</f>
        <v>10</v>
      </c>
      <c r="U1299">
        <f t="shared" si="142"/>
        <v>18</v>
      </c>
      <c r="V1299">
        <f t="shared" si="143"/>
        <v>0.55555555555555558</v>
      </c>
      <c r="W1299" cm="1">
        <f t="array" ref="W1299">_xlfn.IFS(N1299=1,5,N1299=2,4,N1299=4,2,N1299=5,1,N1299=3,3)</f>
        <v>5</v>
      </c>
      <c r="X1299">
        <f t="shared" si="144"/>
        <v>24</v>
      </c>
      <c r="Y1299" cm="1">
        <f t="array" ref="Y1299">MAX(IF($C$2:$C$1387=C1299,$X$2:$X$1387))</f>
        <v>29</v>
      </c>
      <c r="Z1299" cm="1">
        <f t="array" ref="Z1299">MIN(IF($C$2:$C$1387=C1299,$X$2:$X$1387))</f>
        <v>12</v>
      </c>
      <c r="AA1299">
        <f t="shared" si="145"/>
        <v>17</v>
      </c>
      <c r="AB1299">
        <f t="shared" si="146"/>
        <v>0.70588235294117652</v>
      </c>
    </row>
    <row r="1300" spans="1:28" x14ac:dyDescent="0.25">
      <c r="A1300" t="s">
        <v>460</v>
      </c>
      <c r="B1300" t="s">
        <v>461</v>
      </c>
      <c r="C1300">
        <v>2012</v>
      </c>
      <c r="D1300">
        <v>0.45526659836361277</v>
      </c>
      <c r="E1300">
        <v>0.83213697167347289</v>
      </c>
      <c r="F1300">
        <v>7.267752781425417E-2</v>
      </c>
      <c r="G1300">
        <v>2.0794415416798357</v>
      </c>
      <c r="H1300">
        <v>0.5</v>
      </c>
      <c r="I1300">
        <v>0.66666666666666663</v>
      </c>
      <c r="J1300">
        <v>0</v>
      </c>
      <c r="K1300">
        <v>4</v>
      </c>
      <c r="L1300">
        <v>4</v>
      </c>
      <c r="M1300">
        <v>3</v>
      </c>
      <c r="N1300">
        <v>3</v>
      </c>
      <c r="O1300">
        <v>2</v>
      </c>
      <c r="P1300">
        <v>1</v>
      </c>
      <c r="Q1300">
        <f t="shared" si="140"/>
        <v>5</v>
      </c>
      <c r="R1300">
        <f t="shared" si="141"/>
        <v>22</v>
      </c>
      <c r="S1300">
        <f t="array" ref="S1300">MAX(IF($C$2:$C$1387=C1300,$R$2:$R$1387))</f>
        <v>29</v>
      </c>
      <c r="T1300" cm="1">
        <f t="array" ref="T1300">MIN(IF($C$2:$C$1387=C1300,$R$2:$R$1387))</f>
        <v>11</v>
      </c>
      <c r="U1300">
        <f t="shared" si="142"/>
        <v>18</v>
      </c>
      <c r="V1300">
        <f t="shared" si="143"/>
        <v>0.61111111111111116</v>
      </c>
      <c r="W1300" cm="1">
        <f t="array" ref="W1300">_xlfn.IFS(N1300=1,5,N1300=2,4,N1300=4,2,N1300=5,1,N1300=3,3)</f>
        <v>3</v>
      </c>
      <c r="X1300">
        <f t="shared" si="144"/>
        <v>22</v>
      </c>
      <c r="Y1300" cm="1">
        <f t="array" ref="Y1300">MAX(IF($C$2:$C$1387=C1300,$X$2:$X$1387))</f>
        <v>30</v>
      </c>
      <c r="Z1300" cm="1">
        <f t="array" ref="Z1300">MIN(IF($C$2:$C$1387=C1300,$X$2:$X$1387))</f>
        <v>12</v>
      </c>
      <c r="AA1300">
        <f t="shared" si="145"/>
        <v>18</v>
      </c>
      <c r="AB1300">
        <f t="shared" si="146"/>
        <v>0.55555555555555558</v>
      </c>
    </row>
    <row r="1301" spans="1:28" x14ac:dyDescent="0.25">
      <c r="A1301" t="s">
        <v>460</v>
      </c>
      <c r="B1301" t="s">
        <v>461</v>
      </c>
      <c r="C1301">
        <v>2013</v>
      </c>
      <c r="D1301">
        <v>0.63409474884197459</v>
      </c>
      <c r="E1301">
        <v>0.77494786360553547</v>
      </c>
      <c r="F1301">
        <v>1.206199223654021E-2</v>
      </c>
      <c r="G1301">
        <v>1.9459101490553132</v>
      </c>
      <c r="H1301">
        <v>0.42857142857142855</v>
      </c>
      <c r="I1301">
        <v>0.66666666666666663</v>
      </c>
      <c r="J1301">
        <v>0</v>
      </c>
      <c r="K1301">
        <v>5</v>
      </c>
      <c r="L1301">
        <v>4</v>
      </c>
      <c r="M1301">
        <v>2</v>
      </c>
      <c r="N1301">
        <v>1</v>
      </c>
      <c r="O1301">
        <v>1</v>
      </c>
      <c r="P1301">
        <v>1</v>
      </c>
      <c r="Q1301">
        <f t="shared" si="140"/>
        <v>5</v>
      </c>
      <c r="R1301">
        <f t="shared" si="141"/>
        <v>19</v>
      </c>
      <c r="S1301">
        <f t="array" ref="S1301">MAX(IF($C$2:$C$1387=C1301,$R$2:$R$1387))</f>
        <v>29</v>
      </c>
      <c r="T1301" cm="1">
        <f t="array" ref="T1301">MIN(IF($C$2:$C$1387=C1301,$R$2:$R$1387))</f>
        <v>10</v>
      </c>
      <c r="U1301">
        <f t="shared" si="142"/>
        <v>19</v>
      </c>
      <c r="V1301">
        <f t="shared" si="143"/>
        <v>0.47368421052631576</v>
      </c>
      <c r="W1301" cm="1">
        <f t="array" ref="W1301">_xlfn.IFS(N1301=1,5,N1301=2,4,N1301=4,2,N1301=5,1,N1301=3,3)</f>
        <v>5</v>
      </c>
      <c r="X1301">
        <f t="shared" si="144"/>
        <v>23</v>
      </c>
      <c r="Y1301" cm="1">
        <f t="array" ref="Y1301">MAX(IF($C$2:$C$1387=C1301,$X$2:$X$1387))</f>
        <v>32</v>
      </c>
      <c r="Z1301" cm="1">
        <f t="array" ref="Z1301">MIN(IF($C$2:$C$1387=C1301,$X$2:$X$1387))</f>
        <v>10</v>
      </c>
      <c r="AA1301">
        <f t="shared" si="145"/>
        <v>22</v>
      </c>
      <c r="AB1301">
        <f t="shared" si="146"/>
        <v>0.59090909090909094</v>
      </c>
    </row>
    <row r="1302" spans="1:28" x14ac:dyDescent="0.25">
      <c r="A1302" t="s">
        <v>460</v>
      </c>
      <c r="B1302" t="s">
        <v>461</v>
      </c>
      <c r="C1302">
        <v>2014</v>
      </c>
      <c r="D1302">
        <v>0.6196757240364219</v>
      </c>
      <c r="E1302">
        <v>0.75687302847082927</v>
      </c>
      <c r="F1302">
        <v>0.13979918902148661</v>
      </c>
      <c r="G1302">
        <v>1.9459101490553132</v>
      </c>
      <c r="H1302">
        <v>0.42857142857142855</v>
      </c>
      <c r="I1302">
        <v>0.66666666666666663</v>
      </c>
      <c r="J1302">
        <v>0</v>
      </c>
      <c r="K1302">
        <v>5</v>
      </c>
      <c r="L1302">
        <v>4</v>
      </c>
      <c r="M1302">
        <v>4</v>
      </c>
      <c r="N1302">
        <v>1</v>
      </c>
      <c r="O1302">
        <v>1</v>
      </c>
      <c r="P1302">
        <v>1</v>
      </c>
      <c r="Q1302">
        <f t="shared" si="140"/>
        <v>5</v>
      </c>
      <c r="R1302">
        <f t="shared" si="141"/>
        <v>21</v>
      </c>
      <c r="S1302">
        <f t="array" ref="S1302">MAX(IF($C$2:$C$1387=C1302,$R$2:$R$1387))</f>
        <v>29</v>
      </c>
      <c r="T1302" cm="1">
        <f t="array" ref="T1302">MIN(IF($C$2:$C$1387=C1302,$R$2:$R$1387))</f>
        <v>11</v>
      </c>
      <c r="U1302">
        <f t="shared" si="142"/>
        <v>18</v>
      </c>
      <c r="V1302">
        <f t="shared" si="143"/>
        <v>0.55555555555555558</v>
      </c>
      <c r="W1302" cm="1">
        <f t="array" ref="W1302">_xlfn.IFS(N1302=1,5,N1302=2,4,N1302=4,2,N1302=5,1,N1302=3,3)</f>
        <v>5</v>
      </c>
      <c r="X1302">
        <f t="shared" si="144"/>
        <v>25</v>
      </c>
      <c r="Y1302" cm="1">
        <f t="array" ref="Y1302">MAX(IF($C$2:$C$1387=C1302,$X$2:$X$1387))</f>
        <v>30</v>
      </c>
      <c r="Z1302" cm="1">
        <f t="array" ref="Z1302">MIN(IF($C$2:$C$1387=C1302,$X$2:$X$1387))</f>
        <v>14</v>
      </c>
      <c r="AA1302">
        <f t="shared" si="145"/>
        <v>16</v>
      </c>
      <c r="AB1302">
        <f t="shared" si="146"/>
        <v>0.6875</v>
      </c>
    </row>
    <row r="1303" spans="1:28" x14ac:dyDescent="0.25">
      <c r="A1303" t="s">
        <v>460</v>
      </c>
      <c r="B1303" t="s">
        <v>461</v>
      </c>
      <c r="C1303">
        <v>2015</v>
      </c>
      <c r="D1303">
        <v>0.62328276021299012</v>
      </c>
      <c r="E1303">
        <v>0.75687302847082927</v>
      </c>
      <c r="F1303">
        <v>0.14047048297955236</v>
      </c>
      <c r="G1303">
        <v>1.9459101490553132</v>
      </c>
      <c r="H1303">
        <v>0.7142857142857143</v>
      </c>
      <c r="I1303">
        <v>1</v>
      </c>
      <c r="J1303">
        <v>0</v>
      </c>
      <c r="K1303">
        <v>5</v>
      </c>
      <c r="L1303">
        <v>4</v>
      </c>
      <c r="M1303">
        <v>4</v>
      </c>
      <c r="N1303">
        <v>1</v>
      </c>
      <c r="O1303">
        <v>3</v>
      </c>
      <c r="P1303">
        <v>2</v>
      </c>
      <c r="Q1303">
        <f t="shared" si="140"/>
        <v>5</v>
      </c>
      <c r="R1303">
        <f t="shared" si="141"/>
        <v>24</v>
      </c>
      <c r="S1303">
        <f t="array" ref="S1303">MAX(IF($C$2:$C$1387=C1303,$R$2:$R$1387))</f>
        <v>29</v>
      </c>
      <c r="T1303" cm="1">
        <f t="array" ref="T1303">MIN(IF($C$2:$C$1387=C1303,$R$2:$R$1387))</f>
        <v>11</v>
      </c>
      <c r="U1303">
        <f t="shared" si="142"/>
        <v>18</v>
      </c>
      <c r="V1303">
        <f t="shared" si="143"/>
        <v>0.72222222222222221</v>
      </c>
      <c r="W1303" cm="1">
        <f t="array" ref="W1303">_xlfn.IFS(N1303=1,5,N1303=2,4,N1303=4,2,N1303=5,1,N1303=3,3)</f>
        <v>5</v>
      </c>
      <c r="X1303">
        <f t="shared" si="144"/>
        <v>28</v>
      </c>
      <c r="Y1303" cm="1">
        <f t="array" ref="Y1303">MAX(IF($C$2:$C$1387=C1303,$X$2:$X$1387))</f>
        <v>29</v>
      </c>
      <c r="Z1303" cm="1">
        <f t="array" ref="Z1303">MIN(IF($C$2:$C$1387=C1303,$X$2:$X$1387))</f>
        <v>12</v>
      </c>
      <c r="AA1303">
        <f t="shared" si="145"/>
        <v>17</v>
      </c>
      <c r="AB1303">
        <f t="shared" si="146"/>
        <v>0.94117647058823528</v>
      </c>
    </row>
    <row r="1304" spans="1:28" x14ac:dyDescent="0.25">
      <c r="A1304" t="s">
        <v>462</v>
      </c>
      <c r="B1304" t="s">
        <v>463</v>
      </c>
      <c r="C1304">
        <v>2010</v>
      </c>
      <c r="D1304">
        <v>9.0870013333333333E-2</v>
      </c>
      <c r="E1304">
        <v>0.48054341666666667</v>
      </c>
      <c r="F1304">
        <v>8.3797849999999993E-2</v>
      </c>
      <c r="G1304">
        <v>1.9459101490553132</v>
      </c>
      <c r="H1304">
        <v>0.7142857142857143</v>
      </c>
      <c r="I1304">
        <v>1</v>
      </c>
      <c r="J1304">
        <v>0</v>
      </c>
      <c r="K1304">
        <v>3</v>
      </c>
      <c r="L1304">
        <v>2</v>
      </c>
      <c r="M1304">
        <v>3</v>
      </c>
      <c r="N1304">
        <v>1</v>
      </c>
      <c r="O1304">
        <v>4</v>
      </c>
      <c r="P1304">
        <v>3</v>
      </c>
      <c r="Q1304">
        <f t="shared" si="140"/>
        <v>5</v>
      </c>
      <c r="R1304">
        <f t="shared" si="141"/>
        <v>21</v>
      </c>
      <c r="S1304">
        <f t="array" ref="S1304">MAX(IF($C$2:$C$1387=C1304,$R$2:$R$1387))</f>
        <v>29</v>
      </c>
      <c r="T1304" cm="1">
        <f t="array" ref="T1304">MIN(IF($C$2:$C$1387=C1304,$R$2:$R$1387))</f>
        <v>9</v>
      </c>
      <c r="U1304">
        <f t="shared" si="142"/>
        <v>20</v>
      </c>
      <c r="V1304">
        <f t="shared" si="143"/>
        <v>0.6</v>
      </c>
      <c r="W1304" cm="1">
        <f t="array" ref="W1304">_xlfn.IFS(N1304=1,5,N1304=2,4,N1304=4,2,N1304=5,1,N1304=3,3)</f>
        <v>5</v>
      </c>
      <c r="X1304">
        <f t="shared" si="144"/>
        <v>25</v>
      </c>
      <c r="Y1304" cm="1">
        <f t="array" ref="Y1304">MAX(IF($C$2:$C$1387=C1304,$X$2:$X$1387))</f>
        <v>29</v>
      </c>
      <c r="Z1304" cm="1">
        <f t="array" ref="Z1304">MIN(IF($C$2:$C$1387=C1304,$X$2:$X$1387))</f>
        <v>12</v>
      </c>
      <c r="AA1304">
        <f t="shared" si="145"/>
        <v>17</v>
      </c>
      <c r="AB1304">
        <f t="shared" si="146"/>
        <v>0.76470588235294112</v>
      </c>
    </row>
    <row r="1305" spans="1:28" x14ac:dyDescent="0.25">
      <c r="A1305" t="s">
        <v>462</v>
      </c>
      <c r="B1305" t="s">
        <v>463</v>
      </c>
      <c r="C1305">
        <v>2011</v>
      </c>
      <c r="D1305">
        <v>8.6813779999999993E-2</v>
      </c>
      <c r="E1305">
        <v>0.48482674999999997</v>
      </c>
      <c r="F1305">
        <v>7.0682216666666672E-2</v>
      </c>
      <c r="G1305">
        <v>1.9459101490553132</v>
      </c>
      <c r="H1305">
        <v>0.42857142857142855</v>
      </c>
      <c r="I1305">
        <v>0.66666666666666663</v>
      </c>
      <c r="J1305">
        <v>1</v>
      </c>
      <c r="K1305">
        <v>3</v>
      </c>
      <c r="L1305">
        <v>2</v>
      </c>
      <c r="M1305">
        <v>3</v>
      </c>
      <c r="N1305">
        <v>1</v>
      </c>
      <c r="O1305">
        <v>2</v>
      </c>
      <c r="P1305">
        <v>1</v>
      </c>
      <c r="Q1305">
        <f t="shared" si="140"/>
        <v>1</v>
      </c>
      <c r="R1305">
        <f t="shared" si="141"/>
        <v>13</v>
      </c>
      <c r="S1305">
        <f t="array" ref="S1305">MAX(IF($C$2:$C$1387=C1305,$R$2:$R$1387))</f>
        <v>28</v>
      </c>
      <c r="T1305" cm="1">
        <f t="array" ref="T1305">MIN(IF($C$2:$C$1387=C1305,$R$2:$R$1387))</f>
        <v>10</v>
      </c>
      <c r="U1305">
        <f t="shared" si="142"/>
        <v>18</v>
      </c>
      <c r="V1305">
        <f t="shared" si="143"/>
        <v>0.16666666666666666</v>
      </c>
      <c r="W1305" cm="1">
        <f t="array" ref="W1305">_xlfn.IFS(N1305=1,5,N1305=2,4,N1305=4,2,N1305=5,1,N1305=3,3)</f>
        <v>5</v>
      </c>
      <c r="X1305">
        <f t="shared" si="144"/>
        <v>17</v>
      </c>
      <c r="Y1305" cm="1">
        <f t="array" ref="Y1305">MAX(IF($C$2:$C$1387=C1305,$X$2:$X$1387))</f>
        <v>29</v>
      </c>
      <c r="Z1305" cm="1">
        <f t="array" ref="Z1305">MIN(IF($C$2:$C$1387=C1305,$X$2:$X$1387))</f>
        <v>12</v>
      </c>
      <c r="AA1305">
        <f t="shared" si="145"/>
        <v>17</v>
      </c>
      <c r="AB1305">
        <f t="shared" si="146"/>
        <v>0.29411764705882354</v>
      </c>
    </row>
    <row r="1306" spans="1:28" x14ac:dyDescent="0.25">
      <c r="A1306" t="s">
        <v>462</v>
      </c>
      <c r="B1306" t="s">
        <v>463</v>
      </c>
      <c r="C1306">
        <v>2012</v>
      </c>
      <c r="D1306">
        <v>8.6813779999999993E-2</v>
      </c>
      <c r="E1306">
        <v>0.48482674999999997</v>
      </c>
      <c r="F1306">
        <v>2.2135296666666665E-2</v>
      </c>
      <c r="G1306">
        <v>1.9459101490553132</v>
      </c>
      <c r="H1306">
        <v>0.5714285714285714</v>
      </c>
      <c r="I1306">
        <v>1</v>
      </c>
      <c r="J1306">
        <v>0</v>
      </c>
      <c r="K1306">
        <v>3</v>
      </c>
      <c r="L1306">
        <v>2</v>
      </c>
      <c r="M1306">
        <v>2</v>
      </c>
      <c r="N1306">
        <v>1</v>
      </c>
      <c r="O1306">
        <v>2</v>
      </c>
      <c r="P1306">
        <v>3</v>
      </c>
      <c r="Q1306">
        <f t="shared" si="140"/>
        <v>5</v>
      </c>
      <c r="R1306">
        <f t="shared" si="141"/>
        <v>18</v>
      </c>
      <c r="S1306">
        <f t="array" ref="S1306">MAX(IF($C$2:$C$1387=C1306,$R$2:$R$1387))</f>
        <v>29</v>
      </c>
      <c r="T1306" cm="1">
        <f t="array" ref="T1306">MIN(IF($C$2:$C$1387=C1306,$R$2:$R$1387))</f>
        <v>11</v>
      </c>
      <c r="U1306">
        <f t="shared" si="142"/>
        <v>18</v>
      </c>
      <c r="V1306">
        <f t="shared" si="143"/>
        <v>0.3888888888888889</v>
      </c>
      <c r="W1306" cm="1">
        <f t="array" ref="W1306">_xlfn.IFS(N1306=1,5,N1306=2,4,N1306=4,2,N1306=5,1,N1306=3,3)</f>
        <v>5</v>
      </c>
      <c r="X1306">
        <f t="shared" si="144"/>
        <v>22</v>
      </c>
      <c r="Y1306" cm="1">
        <f t="array" ref="Y1306">MAX(IF($C$2:$C$1387=C1306,$X$2:$X$1387))</f>
        <v>30</v>
      </c>
      <c r="Z1306" cm="1">
        <f t="array" ref="Z1306">MIN(IF($C$2:$C$1387=C1306,$X$2:$X$1387))</f>
        <v>12</v>
      </c>
      <c r="AA1306">
        <f t="shared" si="145"/>
        <v>18</v>
      </c>
      <c r="AB1306">
        <f t="shared" si="146"/>
        <v>0.55555555555555558</v>
      </c>
    </row>
    <row r="1307" spans="1:28" x14ac:dyDescent="0.25">
      <c r="A1307" t="s">
        <v>462</v>
      </c>
      <c r="B1307" t="s">
        <v>463</v>
      </c>
      <c r="C1307">
        <v>2013</v>
      </c>
      <c r="D1307">
        <v>8.6813779999999993E-2</v>
      </c>
      <c r="E1307">
        <v>0.50906467</v>
      </c>
      <c r="F1307">
        <v>9.3484046666666668E-2</v>
      </c>
      <c r="G1307">
        <v>1.9459101490553132</v>
      </c>
      <c r="H1307">
        <v>0.5714285714285714</v>
      </c>
      <c r="I1307">
        <v>1</v>
      </c>
      <c r="J1307">
        <v>0</v>
      </c>
      <c r="K1307">
        <v>3</v>
      </c>
      <c r="L1307">
        <v>2</v>
      </c>
      <c r="M1307">
        <v>4</v>
      </c>
      <c r="N1307">
        <v>1</v>
      </c>
      <c r="O1307">
        <v>2</v>
      </c>
      <c r="P1307">
        <v>3</v>
      </c>
      <c r="Q1307">
        <f t="shared" si="140"/>
        <v>5</v>
      </c>
      <c r="R1307">
        <f t="shared" si="141"/>
        <v>20</v>
      </c>
      <c r="S1307">
        <f t="array" ref="S1307">MAX(IF($C$2:$C$1387=C1307,$R$2:$R$1387))</f>
        <v>29</v>
      </c>
      <c r="T1307" cm="1">
        <f t="array" ref="T1307">MIN(IF($C$2:$C$1387=C1307,$R$2:$R$1387))</f>
        <v>10</v>
      </c>
      <c r="U1307">
        <f t="shared" si="142"/>
        <v>19</v>
      </c>
      <c r="V1307">
        <f t="shared" si="143"/>
        <v>0.52631578947368418</v>
      </c>
      <c r="W1307" cm="1">
        <f t="array" ref="W1307">_xlfn.IFS(N1307=1,5,N1307=2,4,N1307=4,2,N1307=5,1,N1307=3,3)</f>
        <v>5</v>
      </c>
      <c r="X1307">
        <f t="shared" si="144"/>
        <v>24</v>
      </c>
      <c r="Y1307" cm="1">
        <f t="array" ref="Y1307">MAX(IF($C$2:$C$1387=C1307,$X$2:$X$1387))</f>
        <v>32</v>
      </c>
      <c r="Z1307" cm="1">
        <f t="array" ref="Z1307">MIN(IF($C$2:$C$1387=C1307,$X$2:$X$1387))</f>
        <v>10</v>
      </c>
      <c r="AA1307">
        <f t="shared" si="145"/>
        <v>22</v>
      </c>
      <c r="AB1307">
        <f t="shared" si="146"/>
        <v>0.63636363636363635</v>
      </c>
    </row>
    <row r="1308" spans="1:28" x14ac:dyDescent="0.25">
      <c r="A1308" t="s">
        <v>462</v>
      </c>
      <c r="B1308" t="s">
        <v>463</v>
      </c>
      <c r="C1308">
        <v>2014</v>
      </c>
      <c r="D1308">
        <v>8.6807113333333338E-2</v>
      </c>
      <c r="E1308">
        <v>0.49414300333333333</v>
      </c>
      <c r="F1308">
        <v>0</v>
      </c>
      <c r="G1308">
        <v>1.9459101490553132</v>
      </c>
      <c r="H1308">
        <v>0.5714285714285714</v>
      </c>
      <c r="I1308">
        <v>1</v>
      </c>
      <c r="J1308">
        <v>0</v>
      </c>
      <c r="K1308">
        <v>3</v>
      </c>
      <c r="L1308">
        <v>2</v>
      </c>
      <c r="M1308">
        <v>1</v>
      </c>
      <c r="N1308">
        <v>1</v>
      </c>
      <c r="O1308">
        <v>2</v>
      </c>
      <c r="P1308">
        <v>3</v>
      </c>
      <c r="Q1308">
        <f t="shared" si="140"/>
        <v>5</v>
      </c>
      <c r="R1308">
        <f t="shared" si="141"/>
        <v>17</v>
      </c>
      <c r="S1308">
        <f t="array" ref="S1308">MAX(IF($C$2:$C$1387=C1308,$R$2:$R$1387))</f>
        <v>29</v>
      </c>
      <c r="T1308" cm="1">
        <f t="array" ref="T1308">MIN(IF($C$2:$C$1387=C1308,$R$2:$R$1387))</f>
        <v>11</v>
      </c>
      <c r="U1308">
        <f t="shared" si="142"/>
        <v>18</v>
      </c>
      <c r="V1308">
        <f t="shared" si="143"/>
        <v>0.33333333333333331</v>
      </c>
      <c r="W1308" cm="1">
        <f t="array" ref="W1308">_xlfn.IFS(N1308=1,5,N1308=2,4,N1308=4,2,N1308=5,1,N1308=3,3)</f>
        <v>5</v>
      </c>
      <c r="X1308">
        <f t="shared" si="144"/>
        <v>21</v>
      </c>
      <c r="Y1308" cm="1">
        <f t="array" ref="Y1308">MAX(IF($C$2:$C$1387=C1308,$X$2:$X$1387))</f>
        <v>30</v>
      </c>
      <c r="Z1308" cm="1">
        <f t="array" ref="Z1308">MIN(IF($C$2:$C$1387=C1308,$X$2:$X$1387))</f>
        <v>14</v>
      </c>
      <c r="AA1308">
        <f t="shared" si="145"/>
        <v>16</v>
      </c>
      <c r="AB1308">
        <f t="shared" si="146"/>
        <v>0.4375</v>
      </c>
    </row>
    <row r="1309" spans="1:28" x14ac:dyDescent="0.25">
      <c r="A1309" t="s">
        <v>462</v>
      </c>
      <c r="B1309" t="s">
        <v>463</v>
      </c>
      <c r="C1309">
        <v>2015</v>
      </c>
      <c r="D1309">
        <v>8.6813779999999993E-2</v>
      </c>
      <c r="E1309">
        <v>0.50156767000000002</v>
      </c>
      <c r="F1309">
        <v>9.7094293333333331E-2</v>
      </c>
      <c r="G1309">
        <v>1.9459101490553132</v>
      </c>
      <c r="H1309">
        <v>0.42857142857142855</v>
      </c>
      <c r="I1309">
        <v>1</v>
      </c>
      <c r="J1309">
        <v>0</v>
      </c>
      <c r="K1309">
        <v>3</v>
      </c>
      <c r="L1309">
        <v>2</v>
      </c>
      <c r="M1309">
        <v>4</v>
      </c>
      <c r="N1309">
        <v>1</v>
      </c>
      <c r="O1309">
        <v>1</v>
      </c>
      <c r="P1309">
        <v>2</v>
      </c>
      <c r="Q1309">
        <f t="shared" si="140"/>
        <v>5</v>
      </c>
      <c r="R1309">
        <f t="shared" si="141"/>
        <v>18</v>
      </c>
      <c r="S1309">
        <f t="array" ref="S1309">MAX(IF($C$2:$C$1387=C1309,$R$2:$R$1387))</f>
        <v>29</v>
      </c>
      <c r="T1309" cm="1">
        <f t="array" ref="T1309">MIN(IF($C$2:$C$1387=C1309,$R$2:$R$1387))</f>
        <v>11</v>
      </c>
      <c r="U1309">
        <f t="shared" si="142"/>
        <v>18</v>
      </c>
      <c r="V1309">
        <f t="shared" si="143"/>
        <v>0.3888888888888889</v>
      </c>
      <c r="W1309" cm="1">
        <f t="array" ref="W1309">_xlfn.IFS(N1309=1,5,N1309=2,4,N1309=4,2,N1309=5,1,N1309=3,3)</f>
        <v>5</v>
      </c>
      <c r="X1309">
        <f t="shared" si="144"/>
        <v>22</v>
      </c>
      <c r="Y1309" cm="1">
        <f t="array" ref="Y1309">MAX(IF($C$2:$C$1387=C1309,$X$2:$X$1387))</f>
        <v>29</v>
      </c>
      <c r="Z1309" cm="1">
        <f t="array" ref="Z1309">MIN(IF($C$2:$C$1387=C1309,$X$2:$X$1387))</f>
        <v>12</v>
      </c>
      <c r="AA1309">
        <f t="shared" si="145"/>
        <v>17</v>
      </c>
      <c r="AB1309">
        <f t="shared" si="146"/>
        <v>0.58823529411764708</v>
      </c>
    </row>
    <row r="1310" spans="1:28" x14ac:dyDescent="0.25">
      <c r="A1310" t="s">
        <v>464</v>
      </c>
      <c r="B1310" t="s">
        <v>465</v>
      </c>
      <c r="C1310">
        <v>2010</v>
      </c>
      <c r="D1310">
        <v>0.20953134199134199</v>
      </c>
      <c r="E1310">
        <v>0.68477619047619043</v>
      </c>
      <c r="F1310">
        <v>0.1033</v>
      </c>
      <c r="G1310">
        <v>1.9459101490553132</v>
      </c>
      <c r="H1310">
        <v>0.42857142857142855</v>
      </c>
      <c r="I1310">
        <v>0.66666666666666663</v>
      </c>
      <c r="J1310">
        <v>1</v>
      </c>
      <c r="K1310">
        <v>3</v>
      </c>
      <c r="L1310">
        <v>3</v>
      </c>
      <c r="M1310">
        <v>4</v>
      </c>
      <c r="N1310">
        <v>1</v>
      </c>
      <c r="O1310">
        <v>2</v>
      </c>
      <c r="P1310">
        <v>1</v>
      </c>
      <c r="Q1310">
        <f t="shared" si="140"/>
        <v>1</v>
      </c>
      <c r="R1310">
        <f t="shared" si="141"/>
        <v>15</v>
      </c>
      <c r="S1310">
        <f t="array" ref="S1310">MAX(IF($C$2:$C$1387=C1310,$R$2:$R$1387))</f>
        <v>29</v>
      </c>
      <c r="T1310" cm="1">
        <f t="array" ref="T1310">MIN(IF($C$2:$C$1387=C1310,$R$2:$R$1387))</f>
        <v>9</v>
      </c>
      <c r="U1310">
        <f t="shared" si="142"/>
        <v>20</v>
      </c>
      <c r="V1310">
        <f t="shared" si="143"/>
        <v>0.3</v>
      </c>
      <c r="W1310" cm="1">
        <f t="array" ref="W1310">_xlfn.IFS(N1310=1,5,N1310=2,4,N1310=4,2,N1310=5,1,N1310=3,3)</f>
        <v>5</v>
      </c>
      <c r="X1310">
        <f t="shared" si="144"/>
        <v>19</v>
      </c>
      <c r="Y1310" cm="1">
        <f t="array" ref="Y1310">MAX(IF($C$2:$C$1387=C1310,$X$2:$X$1387))</f>
        <v>29</v>
      </c>
      <c r="Z1310" cm="1">
        <f t="array" ref="Z1310">MIN(IF($C$2:$C$1387=C1310,$X$2:$X$1387))</f>
        <v>12</v>
      </c>
      <c r="AA1310">
        <f t="shared" si="145"/>
        <v>17</v>
      </c>
      <c r="AB1310">
        <f t="shared" si="146"/>
        <v>0.41176470588235292</v>
      </c>
    </row>
    <row r="1311" spans="1:28" x14ac:dyDescent="0.25">
      <c r="A1311" t="s">
        <v>464</v>
      </c>
      <c r="B1311" t="s">
        <v>465</v>
      </c>
      <c r="C1311">
        <v>2011</v>
      </c>
      <c r="D1311">
        <v>0.40949797979797981</v>
      </c>
      <c r="E1311">
        <v>0.40935344877344876</v>
      </c>
      <c r="F1311">
        <v>0.17115829725829726</v>
      </c>
      <c r="G1311">
        <v>1.9459101490553132</v>
      </c>
      <c r="H1311">
        <v>0.2857142857142857</v>
      </c>
      <c r="I1311">
        <v>0.66666666666666663</v>
      </c>
      <c r="J1311">
        <v>1</v>
      </c>
      <c r="K1311">
        <v>4</v>
      </c>
      <c r="L1311">
        <v>1</v>
      </c>
      <c r="M1311">
        <v>4</v>
      </c>
      <c r="N1311">
        <v>1</v>
      </c>
      <c r="O1311">
        <v>1</v>
      </c>
      <c r="P1311">
        <v>1</v>
      </c>
      <c r="Q1311">
        <f t="shared" si="140"/>
        <v>1</v>
      </c>
      <c r="R1311">
        <f t="shared" si="141"/>
        <v>13</v>
      </c>
      <c r="S1311">
        <f t="array" ref="S1311">MAX(IF($C$2:$C$1387=C1311,$R$2:$R$1387))</f>
        <v>28</v>
      </c>
      <c r="T1311" cm="1">
        <f t="array" ref="T1311">MIN(IF($C$2:$C$1387=C1311,$R$2:$R$1387))</f>
        <v>10</v>
      </c>
      <c r="U1311">
        <f t="shared" si="142"/>
        <v>18</v>
      </c>
      <c r="V1311">
        <f t="shared" si="143"/>
        <v>0.16666666666666666</v>
      </c>
      <c r="W1311" cm="1">
        <f t="array" ref="W1311">_xlfn.IFS(N1311=1,5,N1311=2,4,N1311=4,2,N1311=5,1,N1311=3,3)</f>
        <v>5</v>
      </c>
      <c r="X1311">
        <f t="shared" si="144"/>
        <v>17</v>
      </c>
      <c r="Y1311" cm="1">
        <f t="array" ref="Y1311">MAX(IF($C$2:$C$1387=C1311,$X$2:$X$1387))</f>
        <v>29</v>
      </c>
      <c r="Z1311" cm="1">
        <f t="array" ref="Z1311">MIN(IF($C$2:$C$1387=C1311,$X$2:$X$1387))</f>
        <v>12</v>
      </c>
      <c r="AA1311">
        <f t="shared" si="145"/>
        <v>17</v>
      </c>
      <c r="AB1311">
        <f t="shared" si="146"/>
        <v>0.29411764705882354</v>
      </c>
    </row>
    <row r="1312" spans="1:28" x14ac:dyDescent="0.25">
      <c r="A1312" t="s">
        <v>464</v>
      </c>
      <c r="B1312" t="s">
        <v>465</v>
      </c>
      <c r="C1312">
        <v>2012</v>
      </c>
      <c r="D1312">
        <v>0.20945665223665225</v>
      </c>
      <c r="E1312">
        <v>0.70706756132756132</v>
      </c>
      <c r="F1312">
        <v>0.17676782106782107</v>
      </c>
      <c r="G1312">
        <v>1.9459101490553132</v>
      </c>
      <c r="H1312">
        <v>0.5714285714285714</v>
      </c>
      <c r="I1312">
        <v>0.66666666666666663</v>
      </c>
      <c r="J1312">
        <v>1</v>
      </c>
      <c r="K1312">
        <v>3</v>
      </c>
      <c r="L1312">
        <v>3</v>
      </c>
      <c r="M1312">
        <v>5</v>
      </c>
      <c r="N1312">
        <v>1</v>
      </c>
      <c r="O1312">
        <v>2</v>
      </c>
      <c r="P1312">
        <v>1</v>
      </c>
      <c r="Q1312">
        <f t="shared" si="140"/>
        <v>1</v>
      </c>
      <c r="R1312">
        <f t="shared" si="141"/>
        <v>16</v>
      </c>
      <c r="S1312">
        <f t="array" ref="S1312">MAX(IF($C$2:$C$1387=C1312,$R$2:$R$1387))</f>
        <v>29</v>
      </c>
      <c r="T1312" cm="1">
        <f t="array" ref="T1312">MIN(IF($C$2:$C$1387=C1312,$R$2:$R$1387))</f>
        <v>11</v>
      </c>
      <c r="U1312">
        <f t="shared" si="142"/>
        <v>18</v>
      </c>
      <c r="V1312">
        <f t="shared" si="143"/>
        <v>0.27777777777777779</v>
      </c>
      <c r="W1312" cm="1">
        <f t="array" ref="W1312">_xlfn.IFS(N1312=1,5,N1312=2,4,N1312=4,2,N1312=5,1,N1312=3,3)</f>
        <v>5</v>
      </c>
      <c r="X1312">
        <f t="shared" si="144"/>
        <v>20</v>
      </c>
      <c r="Y1312" cm="1">
        <f t="array" ref="Y1312">MAX(IF($C$2:$C$1387=C1312,$X$2:$X$1387))</f>
        <v>30</v>
      </c>
      <c r="Z1312" cm="1">
        <f t="array" ref="Z1312">MIN(IF($C$2:$C$1387=C1312,$X$2:$X$1387))</f>
        <v>12</v>
      </c>
      <c r="AA1312">
        <f t="shared" si="145"/>
        <v>18</v>
      </c>
      <c r="AB1312">
        <f t="shared" si="146"/>
        <v>0.44444444444444442</v>
      </c>
    </row>
    <row r="1313" spans="1:28" x14ac:dyDescent="0.25">
      <c r="A1313" t="s">
        <v>464</v>
      </c>
      <c r="B1313" t="s">
        <v>465</v>
      </c>
      <c r="C1313">
        <v>2013</v>
      </c>
      <c r="D1313">
        <v>0.20860791200413842</v>
      </c>
      <c r="E1313">
        <v>0.65575082359988024</v>
      </c>
      <c r="F1313">
        <v>0.15919466906259358</v>
      </c>
      <c r="G1313">
        <v>1.9459101490553132</v>
      </c>
      <c r="H1313">
        <v>0.5714285714285714</v>
      </c>
      <c r="I1313">
        <v>0.66666666666666663</v>
      </c>
      <c r="J1313">
        <v>1</v>
      </c>
      <c r="K1313">
        <v>3</v>
      </c>
      <c r="L1313">
        <v>3</v>
      </c>
      <c r="M1313">
        <v>5</v>
      </c>
      <c r="N1313">
        <v>1</v>
      </c>
      <c r="O1313">
        <v>2</v>
      </c>
      <c r="P1313">
        <v>1</v>
      </c>
      <c r="Q1313">
        <f t="shared" si="140"/>
        <v>1</v>
      </c>
      <c r="R1313">
        <f t="shared" si="141"/>
        <v>16</v>
      </c>
      <c r="S1313">
        <f t="array" ref="S1313">MAX(IF($C$2:$C$1387=C1313,$R$2:$R$1387))</f>
        <v>29</v>
      </c>
      <c r="T1313" cm="1">
        <f t="array" ref="T1313">MIN(IF($C$2:$C$1387=C1313,$R$2:$R$1387))</f>
        <v>10</v>
      </c>
      <c r="U1313">
        <f t="shared" si="142"/>
        <v>19</v>
      </c>
      <c r="V1313">
        <f t="shared" si="143"/>
        <v>0.31578947368421051</v>
      </c>
      <c r="W1313" cm="1">
        <f t="array" ref="W1313">_xlfn.IFS(N1313=1,5,N1313=2,4,N1313=4,2,N1313=5,1,N1313=3,3)</f>
        <v>5</v>
      </c>
      <c r="X1313">
        <f t="shared" si="144"/>
        <v>20</v>
      </c>
      <c r="Y1313" cm="1">
        <f t="array" ref="Y1313">MAX(IF($C$2:$C$1387=C1313,$X$2:$X$1387))</f>
        <v>32</v>
      </c>
      <c r="Z1313" cm="1">
        <f t="array" ref="Z1313">MIN(IF($C$2:$C$1387=C1313,$X$2:$X$1387))</f>
        <v>10</v>
      </c>
      <c r="AA1313">
        <f t="shared" si="145"/>
        <v>22</v>
      </c>
      <c r="AB1313">
        <f t="shared" si="146"/>
        <v>0.45454545454545453</v>
      </c>
    </row>
    <row r="1314" spans="1:28" x14ac:dyDescent="0.25">
      <c r="A1314" t="s">
        <v>464</v>
      </c>
      <c r="B1314" t="s">
        <v>465</v>
      </c>
      <c r="C1314">
        <v>2014</v>
      </c>
      <c r="D1314">
        <v>0.20860791200413842</v>
      </c>
      <c r="E1314">
        <v>0.65575082359988024</v>
      </c>
      <c r="F1314">
        <v>0.15919466906259358</v>
      </c>
      <c r="G1314">
        <v>1.9459101490553132</v>
      </c>
      <c r="H1314">
        <v>0.5714285714285714</v>
      </c>
      <c r="I1314">
        <v>0.66666666666666663</v>
      </c>
      <c r="J1314">
        <v>1</v>
      </c>
      <c r="K1314">
        <v>3</v>
      </c>
      <c r="L1314">
        <v>3</v>
      </c>
      <c r="M1314">
        <v>5</v>
      </c>
      <c r="N1314">
        <v>1</v>
      </c>
      <c r="O1314">
        <v>2</v>
      </c>
      <c r="P1314">
        <v>1</v>
      </c>
      <c r="Q1314">
        <f t="shared" si="140"/>
        <v>1</v>
      </c>
      <c r="R1314">
        <f t="shared" si="141"/>
        <v>16</v>
      </c>
      <c r="S1314">
        <f t="array" ref="S1314">MAX(IF($C$2:$C$1387=C1314,$R$2:$R$1387))</f>
        <v>29</v>
      </c>
      <c r="T1314" cm="1">
        <f t="array" ref="T1314">MIN(IF($C$2:$C$1387=C1314,$R$2:$R$1387))</f>
        <v>11</v>
      </c>
      <c r="U1314">
        <f t="shared" si="142"/>
        <v>18</v>
      </c>
      <c r="V1314">
        <f t="shared" si="143"/>
        <v>0.27777777777777779</v>
      </c>
      <c r="W1314" cm="1">
        <f t="array" ref="W1314">_xlfn.IFS(N1314=1,5,N1314=2,4,N1314=4,2,N1314=5,1,N1314=3,3)</f>
        <v>5</v>
      </c>
      <c r="X1314">
        <f t="shared" si="144"/>
        <v>20</v>
      </c>
      <c r="Y1314" cm="1">
        <f t="array" ref="Y1314">MAX(IF($C$2:$C$1387=C1314,$X$2:$X$1387))</f>
        <v>30</v>
      </c>
      <c r="Z1314" cm="1">
        <f t="array" ref="Z1314">MIN(IF($C$2:$C$1387=C1314,$X$2:$X$1387))</f>
        <v>14</v>
      </c>
      <c r="AA1314">
        <f t="shared" si="145"/>
        <v>16</v>
      </c>
      <c r="AB1314">
        <f t="shared" si="146"/>
        <v>0.375</v>
      </c>
    </row>
    <row r="1315" spans="1:28" x14ac:dyDescent="0.25">
      <c r="A1315" t="s">
        <v>464</v>
      </c>
      <c r="B1315" t="s">
        <v>465</v>
      </c>
      <c r="C1315">
        <v>2015</v>
      </c>
      <c r="D1315">
        <v>0.40817640011979633</v>
      </c>
      <c r="E1315">
        <v>0.65336850989681183</v>
      </c>
      <c r="F1315">
        <v>0.15416049987748101</v>
      </c>
      <c r="G1315">
        <v>1.9459101490553132</v>
      </c>
      <c r="H1315">
        <v>0.8571428571428571</v>
      </c>
      <c r="I1315">
        <v>1</v>
      </c>
      <c r="J1315">
        <v>0</v>
      </c>
      <c r="K1315">
        <v>4</v>
      </c>
      <c r="L1315">
        <v>3</v>
      </c>
      <c r="M1315">
        <v>5</v>
      </c>
      <c r="N1315">
        <v>1</v>
      </c>
      <c r="O1315">
        <v>4</v>
      </c>
      <c r="P1315">
        <v>2</v>
      </c>
      <c r="Q1315">
        <f t="shared" si="140"/>
        <v>5</v>
      </c>
      <c r="R1315">
        <f t="shared" si="141"/>
        <v>24</v>
      </c>
      <c r="S1315">
        <f t="array" ref="S1315">MAX(IF($C$2:$C$1387=C1315,$R$2:$R$1387))</f>
        <v>29</v>
      </c>
      <c r="T1315" cm="1">
        <f t="array" ref="T1315">MIN(IF($C$2:$C$1387=C1315,$R$2:$R$1387))</f>
        <v>11</v>
      </c>
      <c r="U1315">
        <f t="shared" si="142"/>
        <v>18</v>
      </c>
      <c r="V1315">
        <f t="shared" si="143"/>
        <v>0.72222222222222221</v>
      </c>
      <c r="W1315" cm="1">
        <f t="array" ref="W1315">_xlfn.IFS(N1315=1,5,N1315=2,4,N1315=4,2,N1315=5,1,N1315=3,3)</f>
        <v>5</v>
      </c>
      <c r="X1315">
        <f t="shared" si="144"/>
        <v>28</v>
      </c>
      <c r="Y1315" cm="1">
        <f t="array" ref="Y1315">MAX(IF($C$2:$C$1387=C1315,$X$2:$X$1387))</f>
        <v>29</v>
      </c>
      <c r="Z1315" cm="1">
        <f t="array" ref="Z1315">MIN(IF($C$2:$C$1387=C1315,$X$2:$X$1387))</f>
        <v>12</v>
      </c>
      <c r="AA1315">
        <f t="shared" si="145"/>
        <v>17</v>
      </c>
      <c r="AB1315">
        <f t="shared" si="146"/>
        <v>0.94117647058823528</v>
      </c>
    </row>
    <row r="1316" spans="1:28" x14ac:dyDescent="0.25">
      <c r="A1316" t="s">
        <v>466</v>
      </c>
      <c r="B1316" t="s">
        <v>467</v>
      </c>
      <c r="C1316">
        <v>2010</v>
      </c>
      <c r="D1316">
        <v>7.8626628809958063E-2</v>
      </c>
      <c r="E1316">
        <v>0.83010009464177148</v>
      </c>
      <c r="F1316">
        <v>0.17035606616149271</v>
      </c>
      <c r="G1316">
        <v>1.9459101490553132</v>
      </c>
      <c r="H1316">
        <v>0.7142857142857143</v>
      </c>
      <c r="I1316">
        <v>0.66666666666666663</v>
      </c>
      <c r="J1316">
        <v>0</v>
      </c>
      <c r="K1316">
        <v>3</v>
      </c>
      <c r="L1316">
        <v>5</v>
      </c>
      <c r="M1316">
        <v>5</v>
      </c>
      <c r="N1316">
        <v>1</v>
      </c>
      <c r="O1316">
        <v>4</v>
      </c>
      <c r="P1316">
        <v>1</v>
      </c>
      <c r="Q1316">
        <f t="shared" si="140"/>
        <v>5</v>
      </c>
      <c r="R1316">
        <f t="shared" si="141"/>
        <v>24</v>
      </c>
      <c r="S1316">
        <f t="array" ref="S1316">MAX(IF($C$2:$C$1387=C1316,$R$2:$R$1387))</f>
        <v>29</v>
      </c>
      <c r="T1316" cm="1">
        <f t="array" ref="T1316">MIN(IF($C$2:$C$1387=C1316,$R$2:$R$1387))</f>
        <v>9</v>
      </c>
      <c r="U1316">
        <f t="shared" si="142"/>
        <v>20</v>
      </c>
      <c r="V1316">
        <f t="shared" si="143"/>
        <v>0.75</v>
      </c>
      <c r="W1316" cm="1">
        <f t="array" ref="W1316">_xlfn.IFS(N1316=1,5,N1316=2,4,N1316=4,2,N1316=5,1,N1316=3,3)</f>
        <v>5</v>
      </c>
      <c r="X1316">
        <f t="shared" si="144"/>
        <v>28</v>
      </c>
      <c r="Y1316" cm="1">
        <f t="array" ref="Y1316">MAX(IF($C$2:$C$1387=C1316,$X$2:$X$1387))</f>
        <v>29</v>
      </c>
      <c r="Z1316" cm="1">
        <f t="array" ref="Z1316">MIN(IF($C$2:$C$1387=C1316,$X$2:$X$1387))</f>
        <v>12</v>
      </c>
      <c r="AA1316">
        <f t="shared" si="145"/>
        <v>17</v>
      </c>
      <c r="AB1316">
        <f t="shared" si="146"/>
        <v>0.94117647058823528</v>
      </c>
    </row>
    <row r="1317" spans="1:28" x14ac:dyDescent="0.25">
      <c r="A1317" t="s">
        <v>466</v>
      </c>
      <c r="B1317" t="s">
        <v>467</v>
      </c>
      <c r="C1317">
        <v>2011</v>
      </c>
      <c r="D1317">
        <v>6.3178083222082239E-4</v>
      </c>
      <c r="E1317">
        <v>0.8524488401682242</v>
      </c>
      <c r="F1317">
        <v>0.220495647105278</v>
      </c>
      <c r="G1317">
        <v>1.9459101490553132</v>
      </c>
      <c r="H1317">
        <v>0.8571428571428571</v>
      </c>
      <c r="I1317">
        <v>1</v>
      </c>
      <c r="J1317">
        <v>0</v>
      </c>
      <c r="K1317">
        <v>1</v>
      </c>
      <c r="L1317">
        <v>5</v>
      </c>
      <c r="M1317">
        <v>5</v>
      </c>
      <c r="N1317">
        <v>1</v>
      </c>
      <c r="O1317">
        <v>5</v>
      </c>
      <c r="P1317">
        <v>3</v>
      </c>
      <c r="Q1317">
        <f t="shared" si="140"/>
        <v>5</v>
      </c>
      <c r="R1317">
        <f t="shared" si="141"/>
        <v>25</v>
      </c>
      <c r="S1317">
        <f t="array" ref="S1317">MAX(IF($C$2:$C$1387=C1317,$R$2:$R$1387))</f>
        <v>28</v>
      </c>
      <c r="T1317" cm="1">
        <f t="array" ref="T1317">MIN(IF($C$2:$C$1387=C1317,$R$2:$R$1387))</f>
        <v>10</v>
      </c>
      <c r="U1317">
        <f t="shared" si="142"/>
        <v>18</v>
      </c>
      <c r="V1317">
        <f t="shared" si="143"/>
        <v>0.83333333333333337</v>
      </c>
      <c r="W1317" cm="1">
        <f t="array" ref="W1317">_xlfn.IFS(N1317=1,5,N1317=2,4,N1317=4,2,N1317=5,1,N1317=3,3)</f>
        <v>5</v>
      </c>
      <c r="X1317">
        <f t="shared" si="144"/>
        <v>29</v>
      </c>
      <c r="Y1317" cm="1">
        <f t="array" ref="Y1317">MAX(IF($C$2:$C$1387=C1317,$X$2:$X$1387))</f>
        <v>29</v>
      </c>
      <c r="Z1317" cm="1">
        <f t="array" ref="Z1317">MIN(IF($C$2:$C$1387=C1317,$X$2:$X$1387))</f>
        <v>12</v>
      </c>
      <c r="AA1317">
        <f t="shared" si="145"/>
        <v>17</v>
      </c>
      <c r="AB1317">
        <f t="shared" si="146"/>
        <v>1</v>
      </c>
    </row>
    <row r="1318" spans="1:28" x14ac:dyDescent="0.25">
      <c r="A1318" t="s">
        <v>466</v>
      </c>
      <c r="B1318" t="s">
        <v>467</v>
      </c>
      <c r="C1318">
        <v>2012</v>
      </c>
      <c r="D1318">
        <v>6.3178083222082239E-4</v>
      </c>
      <c r="E1318">
        <v>0.77433775454562548</v>
      </c>
      <c r="F1318">
        <v>0.28029450012221951</v>
      </c>
      <c r="G1318">
        <v>1.9459101490553132</v>
      </c>
      <c r="H1318">
        <v>0.2857142857142857</v>
      </c>
      <c r="I1318">
        <v>1</v>
      </c>
      <c r="J1318">
        <v>0</v>
      </c>
      <c r="K1318">
        <v>1</v>
      </c>
      <c r="L1318">
        <v>4</v>
      </c>
      <c r="M1318">
        <v>5</v>
      </c>
      <c r="N1318">
        <v>1</v>
      </c>
      <c r="O1318">
        <v>1</v>
      </c>
      <c r="P1318">
        <v>3</v>
      </c>
      <c r="Q1318">
        <f t="shared" si="140"/>
        <v>5</v>
      </c>
      <c r="R1318">
        <f t="shared" si="141"/>
        <v>20</v>
      </c>
      <c r="S1318">
        <f t="array" ref="S1318">MAX(IF($C$2:$C$1387=C1318,$R$2:$R$1387))</f>
        <v>29</v>
      </c>
      <c r="T1318" cm="1">
        <f t="array" ref="T1318">MIN(IF($C$2:$C$1387=C1318,$R$2:$R$1387))</f>
        <v>11</v>
      </c>
      <c r="U1318">
        <f t="shared" si="142"/>
        <v>18</v>
      </c>
      <c r="V1318">
        <f t="shared" si="143"/>
        <v>0.5</v>
      </c>
      <c r="W1318" cm="1">
        <f t="array" ref="W1318">_xlfn.IFS(N1318=1,5,N1318=2,4,N1318=4,2,N1318=5,1,N1318=3,3)</f>
        <v>5</v>
      </c>
      <c r="X1318">
        <f t="shared" si="144"/>
        <v>24</v>
      </c>
      <c r="Y1318" cm="1">
        <f t="array" ref="Y1318">MAX(IF($C$2:$C$1387=C1318,$X$2:$X$1387))</f>
        <v>30</v>
      </c>
      <c r="Z1318" cm="1">
        <f t="array" ref="Z1318">MIN(IF($C$2:$C$1387=C1318,$X$2:$X$1387))</f>
        <v>12</v>
      </c>
      <c r="AA1318">
        <f t="shared" si="145"/>
        <v>18</v>
      </c>
      <c r="AB1318">
        <f t="shared" si="146"/>
        <v>0.66666666666666663</v>
      </c>
    </row>
    <row r="1319" spans="1:28" x14ac:dyDescent="0.25">
      <c r="A1319" t="s">
        <v>466</v>
      </c>
      <c r="B1319" t="s">
        <v>467</v>
      </c>
      <c r="C1319">
        <v>2013</v>
      </c>
      <c r="D1319">
        <v>6.3178083222082239E-4</v>
      </c>
      <c r="E1319">
        <v>0.75275441651154196</v>
      </c>
      <c r="F1319">
        <v>0.27965770515640964</v>
      </c>
      <c r="G1319">
        <v>1.9459101490553132</v>
      </c>
      <c r="H1319">
        <v>0.2857142857142857</v>
      </c>
      <c r="I1319">
        <v>1</v>
      </c>
      <c r="J1319">
        <v>0</v>
      </c>
      <c r="K1319">
        <v>2</v>
      </c>
      <c r="L1319">
        <v>4</v>
      </c>
      <c r="M1319">
        <v>5</v>
      </c>
      <c r="N1319">
        <v>1</v>
      </c>
      <c r="O1319">
        <v>1</v>
      </c>
      <c r="P1319">
        <v>3</v>
      </c>
      <c r="Q1319">
        <f t="shared" si="140"/>
        <v>5</v>
      </c>
      <c r="R1319">
        <f t="shared" si="141"/>
        <v>21</v>
      </c>
      <c r="S1319">
        <f t="array" ref="S1319">MAX(IF($C$2:$C$1387=C1319,$R$2:$R$1387))</f>
        <v>29</v>
      </c>
      <c r="T1319" cm="1">
        <f t="array" ref="T1319">MIN(IF($C$2:$C$1387=C1319,$R$2:$R$1387))</f>
        <v>10</v>
      </c>
      <c r="U1319">
        <f t="shared" si="142"/>
        <v>19</v>
      </c>
      <c r="V1319">
        <f t="shared" si="143"/>
        <v>0.57894736842105265</v>
      </c>
      <c r="W1319" cm="1">
        <f t="array" ref="W1319">_xlfn.IFS(N1319=1,5,N1319=2,4,N1319=4,2,N1319=5,1,N1319=3,3)</f>
        <v>5</v>
      </c>
      <c r="X1319">
        <f t="shared" si="144"/>
        <v>25</v>
      </c>
      <c r="Y1319" cm="1">
        <f t="array" ref="Y1319">MAX(IF($C$2:$C$1387=C1319,$X$2:$X$1387))</f>
        <v>32</v>
      </c>
      <c r="Z1319" cm="1">
        <f t="array" ref="Z1319">MIN(IF($C$2:$C$1387=C1319,$X$2:$X$1387))</f>
        <v>10</v>
      </c>
      <c r="AA1319">
        <f t="shared" si="145"/>
        <v>22</v>
      </c>
      <c r="AB1319">
        <f t="shared" si="146"/>
        <v>0.68181818181818177</v>
      </c>
    </row>
    <row r="1320" spans="1:28" x14ac:dyDescent="0.25">
      <c r="A1320" t="s">
        <v>466</v>
      </c>
      <c r="B1320" t="s">
        <v>467</v>
      </c>
      <c r="C1320">
        <v>2014</v>
      </c>
      <c r="D1320">
        <v>2.256360115074366E-5</v>
      </c>
      <c r="E1320">
        <v>0.74408724592444953</v>
      </c>
      <c r="F1320">
        <v>0.36452527562065573</v>
      </c>
      <c r="G1320">
        <v>1.9459101490553132</v>
      </c>
      <c r="H1320">
        <v>0.2857142857142857</v>
      </c>
      <c r="I1320">
        <v>0.75</v>
      </c>
      <c r="J1320">
        <v>0</v>
      </c>
      <c r="K1320">
        <v>1</v>
      </c>
      <c r="L1320">
        <v>4</v>
      </c>
      <c r="M1320">
        <v>5</v>
      </c>
      <c r="N1320">
        <v>1</v>
      </c>
      <c r="O1320">
        <v>1</v>
      </c>
      <c r="P1320">
        <v>2</v>
      </c>
      <c r="Q1320">
        <f t="shared" si="140"/>
        <v>5</v>
      </c>
      <c r="R1320">
        <f t="shared" si="141"/>
        <v>19</v>
      </c>
      <c r="S1320">
        <f t="array" ref="S1320">MAX(IF($C$2:$C$1387=C1320,$R$2:$R$1387))</f>
        <v>29</v>
      </c>
      <c r="T1320" cm="1">
        <f t="array" ref="T1320">MIN(IF($C$2:$C$1387=C1320,$R$2:$R$1387))</f>
        <v>11</v>
      </c>
      <c r="U1320">
        <f t="shared" si="142"/>
        <v>18</v>
      </c>
      <c r="V1320">
        <f t="shared" si="143"/>
        <v>0.44444444444444442</v>
      </c>
      <c r="W1320" cm="1">
        <f t="array" ref="W1320">_xlfn.IFS(N1320=1,5,N1320=2,4,N1320=4,2,N1320=5,1,N1320=3,3)</f>
        <v>5</v>
      </c>
      <c r="X1320">
        <f t="shared" si="144"/>
        <v>23</v>
      </c>
      <c r="Y1320" cm="1">
        <f t="array" ref="Y1320">MAX(IF($C$2:$C$1387=C1320,$X$2:$X$1387))</f>
        <v>30</v>
      </c>
      <c r="Z1320" cm="1">
        <f t="array" ref="Z1320">MIN(IF($C$2:$C$1387=C1320,$X$2:$X$1387))</f>
        <v>14</v>
      </c>
      <c r="AA1320">
        <f t="shared" si="145"/>
        <v>16</v>
      </c>
      <c r="AB1320">
        <f t="shared" si="146"/>
        <v>0.5625</v>
      </c>
    </row>
    <row r="1321" spans="1:28" x14ac:dyDescent="0.25">
      <c r="A1321" t="s">
        <v>466</v>
      </c>
      <c r="B1321" t="s">
        <v>467</v>
      </c>
      <c r="C1321">
        <v>2015</v>
      </c>
      <c r="D1321">
        <v>2.256360115074366E-5</v>
      </c>
      <c r="E1321">
        <v>0.58349413409046746</v>
      </c>
      <c r="F1321">
        <v>0.35968663670721845</v>
      </c>
      <c r="G1321">
        <v>1.9459101490553132</v>
      </c>
      <c r="H1321">
        <v>0.8571428571428571</v>
      </c>
      <c r="I1321">
        <v>1</v>
      </c>
      <c r="J1321">
        <v>0</v>
      </c>
      <c r="K1321">
        <v>1</v>
      </c>
      <c r="L1321">
        <v>2</v>
      </c>
      <c r="M1321">
        <v>5</v>
      </c>
      <c r="N1321">
        <v>1</v>
      </c>
      <c r="O1321">
        <v>4</v>
      </c>
      <c r="P1321">
        <v>2</v>
      </c>
      <c r="Q1321">
        <f t="shared" si="140"/>
        <v>5</v>
      </c>
      <c r="R1321">
        <f t="shared" si="141"/>
        <v>20</v>
      </c>
      <c r="S1321">
        <f t="array" ref="S1321">MAX(IF($C$2:$C$1387=C1321,$R$2:$R$1387))</f>
        <v>29</v>
      </c>
      <c r="T1321" cm="1">
        <f t="array" ref="T1321">MIN(IF($C$2:$C$1387=C1321,$R$2:$R$1387))</f>
        <v>11</v>
      </c>
      <c r="U1321">
        <f t="shared" si="142"/>
        <v>18</v>
      </c>
      <c r="V1321">
        <f t="shared" si="143"/>
        <v>0.5</v>
      </c>
      <c r="W1321" cm="1">
        <f t="array" ref="W1321">_xlfn.IFS(N1321=1,5,N1321=2,4,N1321=4,2,N1321=5,1,N1321=3,3)</f>
        <v>5</v>
      </c>
      <c r="X1321">
        <f t="shared" si="144"/>
        <v>24</v>
      </c>
      <c r="Y1321" cm="1">
        <f t="array" ref="Y1321">MAX(IF($C$2:$C$1387=C1321,$X$2:$X$1387))</f>
        <v>29</v>
      </c>
      <c r="Z1321" cm="1">
        <f t="array" ref="Z1321">MIN(IF($C$2:$C$1387=C1321,$X$2:$X$1387))</f>
        <v>12</v>
      </c>
      <c r="AA1321">
        <f t="shared" si="145"/>
        <v>17</v>
      </c>
      <c r="AB1321">
        <f t="shared" si="146"/>
        <v>0.70588235294117652</v>
      </c>
    </row>
    <row r="1322" spans="1:28" x14ac:dyDescent="0.25">
      <c r="A1322" t="s">
        <v>468</v>
      </c>
      <c r="B1322" t="s">
        <v>469</v>
      </c>
      <c r="C1322">
        <v>2010</v>
      </c>
      <c r="D1322">
        <v>0.48567112589354938</v>
      </c>
      <c r="E1322">
        <v>0.49319280964309142</v>
      </c>
      <c r="F1322">
        <v>1.1315807410815462E-5</v>
      </c>
      <c r="G1322">
        <v>1.9459101490553132</v>
      </c>
      <c r="H1322">
        <v>0.42857142857142855</v>
      </c>
      <c r="I1322">
        <v>0.66666666666666663</v>
      </c>
      <c r="J1322">
        <v>1</v>
      </c>
      <c r="K1322">
        <v>4</v>
      </c>
      <c r="L1322">
        <v>2</v>
      </c>
      <c r="M1322">
        <v>1</v>
      </c>
      <c r="N1322">
        <v>1</v>
      </c>
      <c r="O1322">
        <v>2</v>
      </c>
      <c r="P1322">
        <v>1</v>
      </c>
      <c r="Q1322">
        <f t="shared" si="140"/>
        <v>1</v>
      </c>
      <c r="R1322">
        <f t="shared" si="141"/>
        <v>12</v>
      </c>
      <c r="S1322">
        <f t="array" ref="S1322">MAX(IF($C$2:$C$1387=C1322,$R$2:$R$1387))</f>
        <v>29</v>
      </c>
      <c r="T1322" cm="1">
        <f t="array" ref="T1322">MIN(IF($C$2:$C$1387=C1322,$R$2:$R$1387))</f>
        <v>9</v>
      </c>
      <c r="U1322">
        <f t="shared" si="142"/>
        <v>20</v>
      </c>
      <c r="V1322">
        <f t="shared" si="143"/>
        <v>0.15</v>
      </c>
      <c r="W1322" cm="1">
        <f t="array" ref="W1322">_xlfn.IFS(N1322=1,5,N1322=2,4,N1322=4,2,N1322=5,1,N1322=3,3)</f>
        <v>5</v>
      </c>
      <c r="X1322">
        <f t="shared" si="144"/>
        <v>16</v>
      </c>
      <c r="Y1322" cm="1">
        <f t="array" ref="Y1322">MAX(IF($C$2:$C$1387=C1322,$X$2:$X$1387))</f>
        <v>29</v>
      </c>
      <c r="Z1322" cm="1">
        <f t="array" ref="Z1322">MIN(IF($C$2:$C$1387=C1322,$X$2:$X$1387))</f>
        <v>12</v>
      </c>
      <c r="AA1322">
        <f t="shared" si="145"/>
        <v>17</v>
      </c>
      <c r="AB1322">
        <f t="shared" si="146"/>
        <v>0.23529411764705882</v>
      </c>
    </row>
    <row r="1323" spans="1:28" x14ac:dyDescent="0.25">
      <c r="A1323" t="s">
        <v>468</v>
      </c>
      <c r="B1323" t="s">
        <v>469</v>
      </c>
      <c r="C1323">
        <v>2011</v>
      </c>
      <c r="D1323">
        <v>0.48567112589354938</v>
      </c>
      <c r="E1323">
        <v>0.49319280964309142</v>
      </c>
      <c r="F1323">
        <v>1.1315807410815462E-5</v>
      </c>
      <c r="G1323">
        <v>1.9459101490553132</v>
      </c>
      <c r="H1323">
        <v>0.42857142857142855</v>
      </c>
      <c r="I1323">
        <v>0.66666666666666663</v>
      </c>
      <c r="J1323">
        <v>1</v>
      </c>
      <c r="K1323">
        <v>4</v>
      </c>
      <c r="L1323">
        <v>2</v>
      </c>
      <c r="M1323">
        <v>1</v>
      </c>
      <c r="N1323">
        <v>1</v>
      </c>
      <c r="O1323">
        <v>2</v>
      </c>
      <c r="P1323">
        <v>1</v>
      </c>
      <c r="Q1323">
        <f t="shared" si="140"/>
        <v>1</v>
      </c>
      <c r="R1323">
        <f t="shared" si="141"/>
        <v>12</v>
      </c>
      <c r="S1323">
        <f t="array" ref="S1323">MAX(IF($C$2:$C$1387=C1323,$R$2:$R$1387))</f>
        <v>28</v>
      </c>
      <c r="T1323" cm="1">
        <f t="array" ref="T1323">MIN(IF($C$2:$C$1387=C1323,$R$2:$R$1387))</f>
        <v>10</v>
      </c>
      <c r="U1323">
        <f t="shared" si="142"/>
        <v>18</v>
      </c>
      <c r="V1323">
        <f t="shared" si="143"/>
        <v>0.1111111111111111</v>
      </c>
      <c r="W1323" cm="1">
        <f t="array" ref="W1323">_xlfn.IFS(N1323=1,5,N1323=2,4,N1323=4,2,N1323=5,1,N1323=3,3)</f>
        <v>5</v>
      </c>
      <c r="X1323">
        <f t="shared" si="144"/>
        <v>16</v>
      </c>
      <c r="Y1323" cm="1">
        <f t="array" ref="Y1323">MAX(IF($C$2:$C$1387=C1323,$X$2:$X$1387))</f>
        <v>29</v>
      </c>
      <c r="Z1323" cm="1">
        <f t="array" ref="Z1323">MIN(IF($C$2:$C$1387=C1323,$X$2:$X$1387))</f>
        <v>12</v>
      </c>
      <c r="AA1323">
        <f t="shared" si="145"/>
        <v>17</v>
      </c>
      <c r="AB1323">
        <f t="shared" si="146"/>
        <v>0.23529411764705882</v>
      </c>
    </row>
    <row r="1324" spans="1:28" x14ac:dyDescent="0.25">
      <c r="A1324" t="s">
        <v>468</v>
      </c>
      <c r="B1324" t="s">
        <v>469</v>
      </c>
      <c r="C1324">
        <v>2012</v>
      </c>
      <c r="D1324">
        <v>0.48899930454378926</v>
      </c>
      <c r="E1324">
        <v>0.49485689896821139</v>
      </c>
      <c r="F1324">
        <v>1.1315807410815462E-5</v>
      </c>
      <c r="G1324">
        <v>1.9459101490553132</v>
      </c>
      <c r="H1324">
        <v>0.42857142857142855</v>
      </c>
      <c r="I1324">
        <v>0.66666666666666663</v>
      </c>
      <c r="J1324">
        <v>1</v>
      </c>
      <c r="K1324">
        <v>4</v>
      </c>
      <c r="L1324">
        <v>2</v>
      </c>
      <c r="M1324">
        <v>1</v>
      </c>
      <c r="N1324">
        <v>1</v>
      </c>
      <c r="O1324">
        <v>2</v>
      </c>
      <c r="P1324">
        <v>1</v>
      </c>
      <c r="Q1324">
        <f t="shared" si="140"/>
        <v>1</v>
      </c>
      <c r="R1324">
        <f t="shared" si="141"/>
        <v>12</v>
      </c>
      <c r="S1324">
        <f t="array" ref="S1324">MAX(IF($C$2:$C$1387=C1324,$R$2:$R$1387))</f>
        <v>29</v>
      </c>
      <c r="T1324" cm="1">
        <f t="array" ref="T1324">MIN(IF($C$2:$C$1387=C1324,$R$2:$R$1387))</f>
        <v>11</v>
      </c>
      <c r="U1324">
        <f t="shared" si="142"/>
        <v>18</v>
      </c>
      <c r="V1324">
        <f t="shared" si="143"/>
        <v>5.5555555555555552E-2</v>
      </c>
      <c r="W1324" cm="1">
        <f t="array" ref="W1324">_xlfn.IFS(N1324=1,5,N1324=2,4,N1324=4,2,N1324=5,1,N1324=3,3)</f>
        <v>5</v>
      </c>
      <c r="X1324">
        <f t="shared" si="144"/>
        <v>16</v>
      </c>
      <c r="Y1324" cm="1">
        <f t="array" ref="Y1324">MAX(IF($C$2:$C$1387=C1324,$X$2:$X$1387))</f>
        <v>30</v>
      </c>
      <c r="Z1324" cm="1">
        <f t="array" ref="Z1324">MIN(IF($C$2:$C$1387=C1324,$X$2:$X$1387))</f>
        <v>12</v>
      </c>
      <c r="AA1324">
        <f t="shared" si="145"/>
        <v>18</v>
      </c>
      <c r="AB1324">
        <f t="shared" si="146"/>
        <v>0.22222222222222221</v>
      </c>
    </row>
    <row r="1325" spans="1:28" x14ac:dyDescent="0.25">
      <c r="A1325" t="s">
        <v>468</v>
      </c>
      <c r="B1325" t="s">
        <v>469</v>
      </c>
      <c r="C1325">
        <v>2013</v>
      </c>
      <c r="D1325">
        <v>0.48899930454378926</v>
      </c>
      <c r="E1325">
        <v>0.49485689896821139</v>
      </c>
      <c r="F1325">
        <v>1.1315807410815462E-5</v>
      </c>
      <c r="G1325">
        <v>1.9459101490553132</v>
      </c>
      <c r="H1325">
        <v>0.5714285714285714</v>
      </c>
      <c r="I1325">
        <v>0.66666666666666663</v>
      </c>
      <c r="J1325">
        <v>1</v>
      </c>
      <c r="K1325">
        <v>4</v>
      </c>
      <c r="L1325">
        <v>2</v>
      </c>
      <c r="M1325">
        <v>1</v>
      </c>
      <c r="N1325">
        <v>1</v>
      </c>
      <c r="O1325">
        <v>2</v>
      </c>
      <c r="P1325">
        <v>1</v>
      </c>
      <c r="Q1325">
        <f t="shared" si="140"/>
        <v>1</v>
      </c>
      <c r="R1325">
        <f t="shared" si="141"/>
        <v>12</v>
      </c>
      <c r="S1325">
        <f t="array" ref="S1325">MAX(IF($C$2:$C$1387=C1325,$R$2:$R$1387))</f>
        <v>29</v>
      </c>
      <c r="T1325" cm="1">
        <f t="array" ref="T1325">MIN(IF($C$2:$C$1387=C1325,$R$2:$R$1387))</f>
        <v>10</v>
      </c>
      <c r="U1325">
        <f t="shared" si="142"/>
        <v>19</v>
      </c>
      <c r="V1325">
        <f t="shared" si="143"/>
        <v>0.10526315789473684</v>
      </c>
      <c r="W1325" cm="1">
        <f t="array" ref="W1325">_xlfn.IFS(N1325=1,5,N1325=2,4,N1325=4,2,N1325=5,1,N1325=3,3)</f>
        <v>5</v>
      </c>
      <c r="X1325">
        <f t="shared" si="144"/>
        <v>16</v>
      </c>
      <c r="Y1325" cm="1">
        <f t="array" ref="Y1325">MAX(IF($C$2:$C$1387=C1325,$X$2:$X$1387))</f>
        <v>32</v>
      </c>
      <c r="Z1325" cm="1">
        <f t="array" ref="Z1325">MIN(IF($C$2:$C$1387=C1325,$X$2:$X$1387))</f>
        <v>10</v>
      </c>
      <c r="AA1325">
        <f t="shared" si="145"/>
        <v>22</v>
      </c>
      <c r="AB1325">
        <f t="shared" si="146"/>
        <v>0.27272727272727271</v>
      </c>
    </row>
    <row r="1326" spans="1:28" x14ac:dyDescent="0.25">
      <c r="A1326" t="s">
        <v>468</v>
      </c>
      <c r="B1326" t="s">
        <v>469</v>
      </c>
      <c r="C1326">
        <v>2014</v>
      </c>
      <c r="D1326">
        <v>0.48899930454378926</v>
      </c>
      <c r="E1326">
        <v>0.49485689896821139</v>
      </c>
      <c r="F1326">
        <v>1.1315807410815462E-5</v>
      </c>
      <c r="G1326">
        <v>1.9459101490553132</v>
      </c>
      <c r="H1326">
        <v>0.5714285714285714</v>
      </c>
      <c r="I1326">
        <v>0.66666666666666663</v>
      </c>
      <c r="J1326">
        <v>1</v>
      </c>
      <c r="K1326">
        <v>4</v>
      </c>
      <c r="L1326">
        <v>2</v>
      </c>
      <c r="M1326">
        <v>1</v>
      </c>
      <c r="N1326">
        <v>1</v>
      </c>
      <c r="O1326">
        <v>2</v>
      </c>
      <c r="P1326">
        <v>1</v>
      </c>
      <c r="Q1326">
        <f t="shared" si="140"/>
        <v>1</v>
      </c>
      <c r="R1326">
        <f t="shared" si="141"/>
        <v>12</v>
      </c>
      <c r="S1326">
        <f t="array" ref="S1326">MAX(IF($C$2:$C$1387=C1326,$R$2:$R$1387))</f>
        <v>29</v>
      </c>
      <c r="T1326" cm="1">
        <f t="array" ref="T1326">MIN(IF($C$2:$C$1387=C1326,$R$2:$R$1387))</f>
        <v>11</v>
      </c>
      <c r="U1326">
        <f t="shared" si="142"/>
        <v>18</v>
      </c>
      <c r="V1326">
        <f t="shared" si="143"/>
        <v>5.5555555555555552E-2</v>
      </c>
      <c r="W1326" cm="1">
        <f t="array" ref="W1326">_xlfn.IFS(N1326=1,5,N1326=2,4,N1326=4,2,N1326=5,1,N1326=3,3)</f>
        <v>5</v>
      </c>
      <c r="X1326">
        <f t="shared" si="144"/>
        <v>16</v>
      </c>
      <c r="Y1326" cm="1">
        <f t="array" ref="Y1326">MAX(IF($C$2:$C$1387=C1326,$X$2:$X$1387))</f>
        <v>30</v>
      </c>
      <c r="Z1326" cm="1">
        <f t="array" ref="Z1326">MIN(IF($C$2:$C$1387=C1326,$X$2:$X$1387))</f>
        <v>14</v>
      </c>
      <c r="AA1326">
        <f t="shared" si="145"/>
        <v>16</v>
      </c>
      <c r="AB1326">
        <f t="shared" si="146"/>
        <v>0.125</v>
      </c>
    </row>
    <row r="1327" spans="1:28" x14ac:dyDescent="0.25">
      <c r="A1327" t="s">
        <v>468</v>
      </c>
      <c r="B1327" t="s">
        <v>469</v>
      </c>
      <c r="C1327">
        <v>2015</v>
      </c>
      <c r="D1327">
        <v>0.4923607649805315</v>
      </c>
      <c r="E1327">
        <v>0.50097429101807123</v>
      </c>
      <c r="F1327">
        <v>1.1315807410815462E-5</v>
      </c>
      <c r="G1327">
        <v>1.9459101490553132</v>
      </c>
      <c r="H1327">
        <v>0.7142857142857143</v>
      </c>
      <c r="I1327">
        <v>0.66666666666666663</v>
      </c>
      <c r="J1327">
        <v>1</v>
      </c>
      <c r="K1327">
        <v>4</v>
      </c>
      <c r="L1327">
        <v>2</v>
      </c>
      <c r="M1327">
        <v>1</v>
      </c>
      <c r="N1327">
        <v>1</v>
      </c>
      <c r="O1327">
        <v>3</v>
      </c>
      <c r="P1327">
        <v>1</v>
      </c>
      <c r="Q1327">
        <f t="shared" si="140"/>
        <v>1</v>
      </c>
      <c r="R1327">
        <f t="shared" si="141"/>
        <v>13</v>
      </c>
      <c r="S1327">
        <f t="array" ref="S1327">MAX(IF($C$2:$C$1387=C1327,$R$2:$R$1387))</f>
        <v>29</v>
      </c>
      <c r="T1327" cm="1">
        <f t="array" ref="T1327">MIN(IF($C$2:$C$1387=C1327,$R$2:$R$1387))</f>
        <v>11</v>
      </c>
      <c r="U1327">
        <f t="shared" si="142"/>
        <v>18</v>
      </c>
      <c r="V1327">
        <f t="shared" si="143"/>
        <v>0.1111111111111111</v>
      </c>
      <c r="W1327" cm="1">
        <f t="array" ref="W1327">_xlfn.IFS(N1327=1,5,N1327=2,4,N1327=4,2,N1327=5,1,N1327=3,3)</f>
        <v>5</v>
      </c>
      <c r="X1327">
        <f t="shared" si="144"/>
        <v>17</v>
      </c>
      <c r="Y1327" cm="1">
        <f t="array" ref="Y1327">MAX(IF($C$2:$C$1387=C1327,$X$2:$X$1387))</f>
        <v>29</v>
      </c>
      <c r="Z1327" cm="1">
        <f t="array" ref="Z1327">MIN(IF($C$2:$C$1387=C1327,$X$2:$X$1387))</f>
        <v>12</v>
      </c>
      <c r="AA1327">
        <f t="shared" si="145"/>
        <v>17</v>
      </c>
      <c r="AB1327">
        <f t="shared" si="146"/>
        <v>0.29411764705882354</v>
      </c>
    </row>
    <row r="1328" spans="1:28" x14ac:dyDescent="0.25">
      <c r="A1328" t="s">
        <v>470</v>
      </c>
      <c r="B1328" t="s">
        <v>471</v>
      </c>
      <c r="C1328">
        <v>2010</v>
      </c>
      <c r="D1328">
        <v>0.34690001525878905</v>
      </c>
      <c r="E1328">
        <v>0.61464292332430703</v>
      </c>
      <c r="F1328">
        <v>0.16970000000000002</v>
      </c>
      <c r="G1328">
        <v>2.0794415416798357</v>
      </c>
      <c r="H1328">
        <v>0.125</v>
      </c>
      <c r="I1328">
        <v>1</v>
      </c>
      <c r="J1328">
        <v>1</v>
      </c>
      <c r="K1328">
        <v>4</v>
      </c>
      <c r="L1328">
        <v>3</v>
      </c>
      <c r="M1328">
        <v>5</v>
      </c>
      <c r="N1328">
        <v>3</v>
      </c>
      <c r="O1328">
        <v>1</v>
      </c>
      <c r="P1328">
        <v>3</v>
      </c>
      <c r="Q1328">
        <f t="shared" si="140"/>
        <v>1</v>
      </c>
      <c r="R1328">
        <f t="shared" si="141"/>
        <v>20</v>
      </c>
      <c r="S1328">
        <f t="array" ref="S1328">MAX(IF($C$2:$C$1387=C1328,$R$2:$R$1387))</f>
        <v>29</v>
      </c>
      <c r="T1328" cm="1">
        <f t="array" ref="T1328">MIN(IF($C$2:$C$1387=C1328,$R$2:$R$1387))</f>
        <v>9</v>
      </c>
      <c r="U1328">
        <f t="shared" si="142"/>
        <v>20</v>
      </c>
      <c r="V1328">
        <f t="shared" si="143"/>
        <v>0.55000000000000004</v>
      </c>
      <c r="W1328" cm="1">
        <f t="array" ref="W1328">_xlfn.IFS(N1328=1,5,N1328=2,4,N1328=4,2,N1328=5,1,N1328=3,3)</f>
        <v>3</v>
      </c>
      <c r="X1328">
        <f t="shared" si="144"/>
        <v>20</v>
      </c>
      <c r="Y1328" cm="1">
        <f t="array" ref="Y1328">MAX(IF($C$2:$C$1387=C1328,$X$2:$X$1387))</f>
        <v>29</v>
      </c>
      <c r="Z1328" cm="1">
        <f t="array" ref="Z1328">MIN(IF($C$2:$C$1387=C1328,$X$2:$X$1387))</f>
        <v>12</v>
      </c>
      <c r="AA1328">
        <f t="shared" si="145"/>
        <v>17</v>
      </c>
      <c r="AB1328">
        <f t="shared" si="146"/>
        <v>0.47058823529411764</v>
      </c>
    </row>
    <row r="1329" spans="1:28" x14ac:dyDescent="0.25">
      <c r="A1329" t="s">
        <v>470</v>
      </c>
      <c r="B1329" t="s">
        <v>471</v>
      </c>
      <c r="C1329">
        <v>2011</v>
      </c>
      <c r="D1329">
        <v>0.3523801325849279</v>
      </c>
      <c r="E1329">
        <v>0.67789513954892433</v>
      </c>
      <c r="F1329">
        <v>6.3680959297981343E-2</v>
      </c>
      <c r="G1329">
        <v>2.0794415416798357</v>
      </c>
      <c r="H1329">
        <v>0.125</v>
      </c>
      <c r="I1329">
        <v>1</v>
      </c>
      <c r="J1329">
        <v>1</v>
      </c>
      <c r="K1329">
        <v>4</v>
      </c>
      <c r="L1329">
        <v>3</v>
      </c>
      <c r="M1329">
        <v>3</v>
      </c>
      <c r="N1329">
        <v>3</v>
      </c>
      <c r="O1329">
        <v>1</v>
      </c>
      <c r="P1329">
        <v>3</v>
      </c>
      <c r="Q1329">
        <f t="shared" si="140"/>
        <v>1</v>
      </c>
      <c r="R1329">
        <f t="shared" si="141"/>
        <v>18</v>
      </c>
      <c r="S1329">
        <f t="array" ref="S1329">MAX(IF($C$2:$C$1387=C1329,$R$2:$R$1387))</f>
        <v>28</v>
      </c>
      <c r="T1329" cm="1">
        <f t="array" ref="T1329">MIN(IF($C$2:$C$1387=C1329,$R$2:$R$1387))</f>
        <v>10</v>
      </c>
      <c r="U1329">
        <f t="shared" si="142"/>
        <v>18</v>
      </c>
      <c r="V1329">
        <f t="shared" si="143"/>
        <v>0.44444444444444442</v>
      </c>
      <c r="W1329" cm="1">
        <f t="array" ref="W1329">_xlfn.IFS(N1329=1,5,N1329=2,4,N1329=4,2,N1329=5,1,N1329=3,3)</f>
        <v>3</v>
      </c>
      <c r="X1329">
        <f t="shared" si="144"/>
        <v>18</v>
      </c>
      <c r="Y1329" cm="1">
        <f t="array" ref="Y1329">MAX(IF($C$2:$C$1387=C1329,$X$2:$X$1387))</f>
        <v>29</v>
      </c>
      <c r="Z1329" cm="1">
        <f t="array" ref="Z1329">MIN(IF($C$2:$C$1387=C1329,$X$2:$X$1387))</f>
        <v>12</v>
      </c>
      <c r="AA1329">
        <f t="shared" si="145"/>
        <v>17</v>
      </c>
      <c r="AB1329">
        <f t="shared" si="146"/>
        <v>0.35294117647058826</v>
      </c>
    </row>
    <row r="1330" spans="1:28" x14ac:dyDescent="0.25">
      <c r="A1330" t="s">
        <v>470</v>
      </c>
      <c r="B1330" t="s">
        <v>471</v>
      </c>
      <c r="C1330">
        <v>2012</v>
      </c>
      <c r="D1330">
        <v>0.35726872657496905</v>
      </c>
      <c r="E1330">
        <v>0.69248165749092883</v>
      </c>
      <c r="F1330">
        <v>4.2785909414247203E-2</v>
      </c>
      <c r="G1330">
        <v>2.0794415416798357</v>
      </c>
      <c r="H1330">
        <v>0.125</v>
      </c>
      <c r="I1330">
        <v>1</v>
      </c>
      <c r="J1330">
        <v>1</v>
      </c>
      <c r="K1330">
        <v>4</v>
      </c>
      <c r="L1330">
        <v>3</v>
      </c>
      <c r="M1330">
        <v>3</v>
      </c>
      <c r="N1330">
        <v>3</v>
      </c>
      <c r="O1330">
        <v>1</v>
      </c>
      <c r="P1330">
        <v>3</v>
      </c>
      <c r="Q1330">
        <f t="shared" si="140"/>
        <v>1</v>
      </c>
      <c r="R1330">
        <f t="shared" si="141"/>
        <v>18</v>
      </c>
      <c r="S1330">
        <f t="array" ref="S1330">MAX(IF($C$2:$C$1387=C1330,$R$2:$R$1387))</f>
        <v>29</v>
      </c>
      <c r="T1330" cm="1">
        <f t="array" ref="T1330">MIN(IF($C$2:$C$1387=C1330,$R$2:$R$1387))</f>
        <v>11</v>
      </c>
      <c r="U1330">
        <f t="shared" si="142"/>
        <v>18</v>
      </c>
      <c r="V1330">
        <f t="shared" si="143"/>
        <v>0.3888888888888889</v>
      </c>
      <c r="W1330" cm="1">
        <f t="array" ref="W1330">_xlfn.IFS(N1330=1,5,N1330=2,4,N1330=4,2,N1330=5,1,N1330=3,3)</f>
        <v>3</v>
      </c>
      <c r="X1330">
        <f t="shared" si="144"/>
        <v>18</v>
      </c>
      <c r="Y1330" cm="1">
        <f t="array" ref="Y1330">MAX(IF($C$2:$C$1387=C1330,$X$2:$X$1387))</f>
        <v>30</v>
      </c>
      <c r="Z1330" cm="1">
        <f t="array" ref="Z1330">MIN(IF($C$2:$C$1387=C1330,$X$2:$X$1387))</f>
        <v>12</v>
      </c>
      <c r="AA1330">
        <f t="shared" si="145"/>
        <v>18</v>
      </c>
      <c r="AB1330">
        <f t="shared" si="146"/>
        <v>0.33333333333333331</v>
      </c>
    </row>
    <row r="1331" spans="1:28" x14ac:dyDescent="0.25">
      <c r="A1331" t="s">
        <v>470</v>
      </c>
      <c r="B1331" t="s">
        <v>471</v>
      </c>
      <c r="C1331">
        <v>2013</v>
      </c>
      <c r="D1331">
        <v>0.35072790201388016</v>
      </c>
      <c r="E1331">
        <v>0.61464292332430703</v>
      </c>
      <c r="F1331">
        <v>0.1475816580886968</v>
      </c>
      <c r="G1331">
        <v>2.0794415416798357</v>
      </c>
      <c r="H1331">
        <v>0.5</v>
      </c>
      <c r="I1331">
        <v>1</v>
      </c>
      <c r="J1331">
        <v>0</v>
      </c>
      <c r="K1331">
        <v>4</v>
      </c>
      <c r="L1331">
        <v>3</v>
      </c>
      <c r="M1331">
        <v>5</v>
      </c>
      <c r="N1331">
        <v>3</v>
      </c>
      <c r="O1331">
        <v>2</v>
      </c>
      <c r="P1331">
        <v>3</v>
      </c>
      <c r="Q1331">
        <f t="shared" si="140"/>
        <v>5</v>
      </c>
      <c r="R1331">
        <f t="shared" si="141"/>
        <v>25</v>
      </c>
      <c r="S1331">
        <f t="array" ref="S1331">MAX(IF($C$2:$C$1387=C1331,$R$2:$R$1387))</f>
        <v>29</v>
      </c>
      <c r="T1331" cm="1">
        <f t="array" ref="T1331">MIN(IF($C$2:$C$1387=C1331,$R$2:$R$1387))</f>
        <v>10</v>
      </c>
      <c r="U1331">
        <f t="shared" si="142"/>
        <v>19</v>
      </c>
      <c r="V1331">
        <f t="shared" si="143"/>
        <v>0.78947368421052633</v>
      </c>
      <c r="W1331" cm="1">
        <f t="array" ref="W1331">_xlfn.IFS(N1331=1,5,N1331=2,4,N1331=4,2,N1331=5,1,N1331=3,3)</f>
        <v>3</v>
      </c>
      <c r="X1331">
        <f t="shared" si="144"/>
        <v>25</v>
      </c>
      <c r="Y1331" cm="1">
        <f t="array" ref="Y1331">MAX(IF($C$2:$C$1387=C1331,$X$2:$X$1387))</f>
        <v>32</v>
      </c>
      <c r="Z1331" cm="1">
        <f t="array" ref="Z1331">MIN(IF($C$2:$C$1387=C1331,$X$2:$X$1387))</f>
        <v>10</v>
      </c>
      <c r="AA1331">
        <f t="shared" si="145"/>
        <v>22</v>
      </c>
      <c r="AB1331">
        <f t="shared" si="146"/>
        <v>0.68181818181818177</v>
      </c>
    </row>
    <row r="1332" spans="1:28" x14ac:dyDescent="0.25">
      <c r="A1332" t="s">
        <v>470</v>
      </c>
      <c r="B1332" t="s">
        <v>471</v>
      </c>
      <c r="C1332">
        <v>2014</v>
      </c>
      <c r="D1332">
        <v>0.36340416419654581</v>
      </c>
      <c r="E1332">
        <v>0.58701747191431397</v>
      </c>
      <c r="F1332">
        <v>3.8167228581602104E-2</v>
      </c>
      <c r="G1332">
        <v>2.0794415416798357</v>
      </c>
      <c r="H1332">
        <v>0.5</v>
      </c>
      <c r="I1332">
        <v>0.75</v>
      </c>
      <c r="J1332">
        <v>0</v>
      </c>
      <c r="K1332">
        <v>4</v>
      </c>
      <c r="L1332">
        <v>2</v>
      </c>
      <c r="M1332">
        <v>3</v>
      </c>
      <c r="N1332">
        <v>3</v>
      </c>
      <c r="O1332">
        <v>2</v>
      </c>
      <c r="P1332">
        <v>2</v>
      </c>
      <c r="Q1332">
        <f t="shared" si="140"/>
        <v>5</v>
      </c>
      <c r="R1332">
        <f t="shared" si="141"/>
        <v>21</v>
      </c>
      <c r="S1332">
        <f t="array" ref="S1332">MAX(IF($C$2:$C$1387=C1332,$R$2:$R$1387))</f>
        <v>29</v>
      </c>
      <c r="T1332" cm="1">
        <f t="array" ref="T1332">MIN(IF($C$2:$C$1387=C1332,$R$2:$R$1387))</f>
        <v>11</v>
      </c>
      <c r="U1332">
        <f t="shared" si="142"/>
        <v>18</v>
      </c>
      <c r="V1332">
        <f t="shared" si="143"/>
        <v>0.55555555555555558</v>
      </c>
      <c r="W1332" cm="1">
        <f t="array" ref="W1332">_xlfn.IFS(N1332=1,5,N1332=2,4,N1332=4,2,N1332=5,1,N1332=3,3)</f>
        <v>3</v>
      </c>
      <c r="X1332">
        <f t="shared" si="144"/>
        <v>21</v>
      </c>
      <c r="Y1332" cm="1">
        <f t="array" ref="Y1332">MAX(IF($C$2:$C$1387=C1332,$X$2:$X$1387))</f>
        <v>30</v>
      </c>
      <c r="Z1332" cm="1">
        <f t="array" ref="Z1332">MIN(IF($C$2:$C$1387=C1332,$X$2:$X$1387))</f>
        <v>14</v>
      </c>
      <c r="AA1332">
        <f t="shared" si="145"/>
        <v>16</v>
      </c>
      <c r="AB1332">
        <f t="shared" si="146"/>
        <v>0.4375</v>
      </c>
    </row>
    <row r="1333" spans="1:28" x14ac:dyDescent="0.25">
      <c r="A1333" t="s">
        <v>470</v>
      </c>
      <c r="B1333" t="s">
        <v>471</v>
      </c>
      <c r="C1333">
        <v>2015</v>
      </c>
      <c r="D1333">
        <v>0.36460137932220749</v>
      </c>
      <c r="E1333">
        <v>0.53398570298465631</v>
      </c>
      <c r="F1333">
        <v>3.479040985954937E-2</v>
      </c>
      <c r="G1333">
        <v>2.0794415416798357</v>
      </c>
      <c r="H1333">
        <v>0.5</v>
      </c>
      <c r="I1333">
        <v>1</v>
      </c>
      <c r="J1333">
        <v>0</v>
      </c>
      <c r="K1333">
        <v>4</v>
      </c>
      <c r="L1333">
        <v>2</v>
      </c>
      <c r="M1333">
        <v>3</v>
      </c>
      <c r="N1333">
        <v>3</v>
      </c>
      <c r="O1333">
        <v>1</v>
      </c>
      <c r="P1333">
        <v>2</v>
      </c>
      <c r="Q1333">
        <f t="shared" si="140"/>
        <v>5</v>
      </c>
      <c r="R1333">
        <f t="shared" si="141"/>
        <v>20</v>
      </c>
      <c r="S1333">
        <f t="array" ref="S1333">MAX(IF($C$2:$C$1387=C1333,$R$2:$R$1387))</f>
        <v>29</v>
      </c>
      <c r="T1333" cm="1">
        <f t="array" ref="T1333">MIN(IF($C$2:$C$1387=C1333,$R$2:$R$1387))</f>
        <v>11</v>
      </c>
      <c r="U1333">
        <f t="shared" si="142"/>
        <v>18</v>
      </c>
      <c r="V1333">
        <f t="shared" si="143"/>
        <v>0.5</v>
      </c>
      <c r="W1333" cm="1">
        <f t="array" ref="W1333">_xlfn.IFS(N1333=1,5,N1333=2,4,N1333=4,2,N1333=5,1,N1333=3,3)</f>
        <v>3</v>
      </c>
      <c r="X1333">
        <f t="shared" si="144"/>
        <v>20</v>
      </c>
      <c r="Y1333" cm="1">
        <f t="array" ref="Y1333">MAX(IF($C$2:$C$1387=C1333,$X$2:$X$1387))</f>
        <v>29</v>
      </c>
      <c r="Z1333" cm="1">
        <f t="array" ref="Z1333">MIN(IF($C$2:$C$1387=C1333,$X$2:$X$1387))</f>
        <v>12</v>
      </c>
      <c r="AA1333">
        <f t="shared" si="145"/>
        <v>17</v>
      </c>
      <c r="AB1333">
        <f t="shared" si="146"/>
        <v>0.47058823529411764</v>
      </c>
    </row>
    <row r="1334" spans="1:28" x14ac:dyDescent="0.25">
      <c r="A1334" t="s">
        <v>472</v>
      </c>
      <c r="B1334" t="s">
        <v>473</v>
      </c>
      <c r="C1334">
        <v>2010</v>
      </c>
      <c r="D1334">
        <v>0.1255439879427282</v>
      </c>
      <c r="E1334">
        <v>0.29644562874920699</v>
      </c>
      <c r="F1334">
        <v>8.6460114439980015E-2</v>
      </c>
      <c r="G1334">
        <v>2.3025850929940459</v>
      </c>
      <c r="H1334">
        <v>0.4</v>
      </c>
      <c r="I1334">
        <v>1</v>
      </c>
      <c r="J1334">
        <v>0</v>
      </c>
      <c r="K1334">
        <v>3</v>
      </c>
      <c r="L1334">
        <v>1</v>
      </c>
      <c r="M1334">
        <v>4</v>
      </c>
      <c r="N1334">
        <v>5</v>
      </c>
      <c r="O1334">
        <v>2</v>
      </c>
      <c r="P1334">
        <v>3</v>
      </c>
      <c r="Q1334">
        <f t="shared" si="140"/>
        <v>5</v>
      </c>
      <c r="R1334">
        <f t="shared" si="141"/>
        <v>23</v>
      </c>
      <c r="S1334">
        <f t="array" ref="S1334">MAX(IF($C$2:$C$1387=C1334,$R$2:$R$1387))</f>
        <v>29</v>
      </c>
      <c r="T1334" cm="1">
        <f t="array" ref="T1334">MIN(IF($C$2:$C$1387=C1334,$R$2:$R$1387))</f>
        <v>9</v>
      </c>
      <c r="U1334">
        <f t="shared" si="142"/>
        <v>20</v>
      </c>
      <c r="V1334">
        <f t="shared" si="143"/>
        <v>0.7</v>
      </c>
      <c r="W1334" cm="1">
        <f t="array" ref="W1334">_xlfn.IFS(N1334=1,5,N1334=2,4,N1334=4,2,N1334=5,1,N1334=3,3)</f>
        <v>1</v>
      </c>
      <c r="X1334">
        <f t="shared" si="144"/>
        <v>19</v>
      </c>
      <c r="Y1334" cm="1">
        <f t="array" ref="Y1334">MAX(IF($C$2:$C$1387=C1334,$X$2:$X$1387))</f>
        <v>29</v>
      </c>
      <c r="Z1334" cm="1">
        <f t="array" ref="Z1334">MIN(IF($C$2:$C$1387=C1334,$X$2:$X$1387))</f>
        <v>12</v>
      </c>
      <c r="AA1334">
        <f t="shared" si="145"/>
        <v>17</v>
      </c>
      <c r="AB1334">
        <f t="shared" si="146"/>
        <v>0.41176470588235292</v>
      </c>
    </row>
    <row r="1335" spans="1:28" x14ac:dyDescent="0.25">
      <c r="A1335" t="s">
        <v>472</v>
      </c>
      <c r="B1335" t="s">
        <v>473</v>
      </c>
      <c r="C1335">
        <v>2011</v>
      </c>
      <c r="D1335">
        <v>0.1255439879427282</v>
      </c>
      <c r="E1335">
        <v>0.29644562874920699</v>
      </c>
      <c r="F1335">
        <v>8.6460114439980015E-2</v>
      </c>
      <c r="G1335">
        <v>2.3025850929940459</v>
      </c>
      <c r="H1335">
        <v>0.4</v>
      </c>
      <c r="I1335">
        <v>1</v>
      </c>
      <c r="J1335">
        <v>0</v>
      </c>
      <c r="K1335">
        <v>3</v>
      </c>
      <c r="L1335">
        <v>1</v>
      </c>
      <c r="M1335">
        <v>4</v>
      </c>
      <c r="N1335">
        <v>5</v>
      </c>
      <c r="O1335">
        <v>2</v>
      </c>
      <c r="P1335">
        <v>3</v>
      </c>
      <c r="Q1335">
        <f t="shared" si="140"/>
        <v>5</v>
      </c>
      <c r="R1335">
        <f t="shared" si="141"/>
        <v>23</v>
      </c>
      <c r="S1335">
        <f t="array" ref="S1335">MAX(IF($C$2:$C$1387=C1335,$R$2:$R$1387))</f>
        <v>28</v>
      </c>
      <c r="T1335" cm="1">
        <f t="array" ref="T1335">MIN(IF($C$2:$C$1387=C1335,$R$2:$R$1387))</f>
        <v>10</v>
      </c>
      <c r="U1335">
        <f t="shared" si="142"/>
        <v>18</v>
      </c>
      <c r="V1335">
        <f t="shared" si="143"/>
        <v>0.72222222222222221</v>
      </c>
      <c r="W1335" cm="1">
        <f t="array" ref="W1335">_xlfn.IFS(N1335=1,5,N1335=2,4,N1335=4,2,N1335=5,1,N1335=3,3)</f>
        <v>1</v>
      </c>
      <c r="X1335">
        <f t="shared" si="144"/>
        <v>19</v>
      </c>
      <c r="Y1335" cm="1">
        <f t="array" ref="Y1335">MAX(IF($C$2:$C$1387=C1335,$X$2:$X$1387))</f>
        <v>29</v>
      </c>
      <c r="Z1335" cm="1">
        <f t="array" ref="Z1335">MIN(IF($C$2:$C$1387=C1335,$X$2:$X$1387))</f>
        <v>12</v>
      </c>
      <c r="AA1335">
        <f t="shared" si="145"/>
        <v>17</v>
      </c>
      <c r="AB1335">
        <f t="shared" si="146"/>
        <v>0.41176470588235292</v>
      </c>
    </row>
    <row r="1336" spans="1:28" x14ac:dyDescent="0.25">
      <c r="A1336" t="s">
        <v>472</v>
      </c>
      <c r="B1336" t="s">
        <v>473</v>
      </c>
      <c r="C1336">
        <v>2012</v>
      </c>
      <c r="D1336">
        <v>0.1255439879427282</v>
      </c>
      <c r="E1336">
        <v>0.29644562874920699</v>
      </c>
      <c r="F1336">
        <v>8.6460114439980015E-2</v>
      </c>
      <c r="G1336">
        <v>2.3025850929940459</v>
      </c>
      <c r="H1336">
        <v>0.4</v>
      </c>
      <c r="I1336">
        <v>1</v>
      </c>
      <c r="J1336">
        <v>0</v>
      </c>
      <c r="K1336">
        <v>3</v>
      </c>
      <c r="L1336">
        <v>1</v>
      </c>
      <c r="M1336">
        <v>4</v>
      </c>
      <c r="N1336">
        <v>5</v>
      </c>
      <c r="O1336">
        <v>2</v>
      </c>
      <c r="P1336">
        <v>3</v>
      </c>
      <c r="Q1336">
        <f t="shared" si="140"/>
        <v>5</v>
      </c>
      <c r="R1336">
        <f t="shared" si="141"/>
        <v>23</v>
      </c>
      <c r="S1336">
        <f t="array" ref="S1336">MAX(IF($C$2:$C$1387=C1336,$R$2:$R$1387))</f>
        <v>29</v>
      </c>
      <c r="T1336" cm="1">
        <f t="array" ref="T1336">MIN(IF($C$2:$C$1387=C1336,$R$2:$R$1387))</f>
        <v>11</v>
      </c>
      <c r="U1336">
        <f t="shared" si="142"/>
        <v>18</v>
      </c>
      <c r="V1336">
        <f t="shared" si="143"/>
        <v>0.66666666666666663</v>
      </c>
      <c r="W1336" cm="1">
        <f t="array" ref="W1336">_xlfn.IFS(N1336=1,5,N1336=2,4,N1336=4,2,N1336=5,1,N1336=3,3)</f>
        <v>1</v>
      </c>
      <c r="X1336">
        <f t="shared" si="144"/>
        <v>19</v>
      </c>
      <c r="Y1336" cm="1">
        <f t="array" ref="Y1336">MAX(IF($C$2:$C$1387=C1336,$X$2:$X$1387))</f>
        <v>30</v>
      </c>
      <c r="Z1336" cm="1">
        <f t="array" ref="Z1336">MIN(IF($C$2:$C$1387=C1336,$X$2:$X$1387))</f>
        <v>12</v>
      </c>
      <c r="AA1336">
        <f t="shared" si="145"/>
        <v>18</v>
      </c>
      <c r="AB1336">
        <f t="shared" si="146"/>
        <v>0.3888888888888889</v>
      </c>
    </row>
    <row r="1337" spans="1:28" x14ac:dyDescent="0.25">
      <c r="A1337" t="s">
        <v>472</v>
      </c>
      <c r="B1337" t="s">
        <v>473</v>
      </c>
      <c r="C1337">
        <v>2013</v>
      </c>
      <c r="D1337">
        <v>0.1255439879427282</v>
      </c>
      <c r="E1337">
        <v>0.29644562874920699</v>
      </c>
      <c r="F1337">
        <v>8.6460114439980015E-2</v>
      </c>
      <c r="G1337">
        <v>2.3025850929940459</v>
      </c>
      <c r="H1337">
        <v>0.4</v>
      </c>
      <c r="I1337">
        <v>1</v>
      </c>
      <c r="J1337">
        <v>0</v>
      </c>
      <c r="K1337">
        <v>3</v>
      </c>
      <c r="L1337">
        <v>1</v>
      </c>
      <c r="M1337">
        <v>4</v>
      </c>
      <c r="N1337">
        <v>5</v>
      </c>
      <c r="O1337">
        <v>1</v>
      </c>
      <c r="P1337">
        <v>3</v>
      </c>
      <c r="Q1337">
        <f t="shared" si="140"/>
        <v>5</v>
      </c>
      <c r="R1337">
        <f t="shared" si="141"/>
        <v>22</v>
      </c>
      <c r="S1337">
        <f t="array" ref="S1337">MAX(IF($C$2:$C$1387=C1337,$R$2:$R$1387))</f>
        <v>29</v>
      </c>
      <c r="T1337" cm="1">
        <f t="array" ref="T1337">MIN(IF($C$2:$C$1387=C1337,$R$2:$R$1387))</f>
        <v>10</v>
      </c>
      <c r="U1337">
        <f t="shared" si="142"/>
        <v>19</v>
      </c>
      <c r="V1337">
        <f t="shared" si="143"/>
        <v>0.63157894736842102</v>
      </c>
      <c r="W1337" cm="1">
        <f t="array" ref="W1337">_xlfn.IFS(N1337=1,5,N1337=2,4,N1337=4,2,N1337=5,1,N1337=3,3)</f>
        <v>1</v>
      </c>
      <c r="X1337">
        <f t="shared" si="144"/>
        <v>18</v>
      </c>
      <c r="Y1337" cm="1">
        <f t="array" ref="Y1337">MAX(IF($C$2:$C$1387=C1337,$X$2:$X$1387))</f>
        <v>32</v>
      </c>
      <c r="Z1337" cm="1">
        <f t="array" ref="Z1337">MIN(IF($C$2:$C$1387=C1337,$X$2:$X$1387))</f>
        <v>10</v>
      </c>
      <c r="AA1337">
        <f t="shared" si="145"/>
        <v>22</v>
      </c>
      <c r="AB1337">
        <f t="shared" si="146"/>
        <v>0.36363636363636365</v>
      </c>
    </row>
    <row r="1338" spans="1:28" x14ac:dyDescent="0.25">
      <c r="A1338" t="s">
        <v>472</v>
      </c>
      <c r="B1338" t="s">
        <v>473</v>
      </c>
      <c r="C1338">
        <v>2014</v>
      </c>
      <c r="D1338">
        <v>0.1255439879427282</v>
      </c>
      <c r="E1338">
        <v>0.29644562874920699</v>
      </c>
      <c r="F1338">
        <v>8.6460114439980015E-2</v>
      </c>
      <c r="G1338">
        <v>2.3025850929940459</v>
      </c>
      <c r="H1338">
        <v>0.4</v>
      </c>
      <c r="I1338">
        <v>1</v>
      </c>
      <c r="J1338">
        <v>0</v>
      </c>
      <c r="K1338">
        <v>3</v>
      </c>
      <c r="L1338">
        <v>1</v>
      </c>
      <c r="M1338">
        <v>4</v>
      </c>
      <c r="N1338">
        <v>5</v>
      </c>
      <c r="O1338">
        <v>1</v>
      </c>
      <c r="P1338">
        <v>3</v>
      </c>
      <c r="Q1338">
        <f t="shared" si="140"/>
        <v>5</v>
      </c>
      <c r="R1338">
        <f t="shared" si="141"/>
        <v>22</v>
      </c>
      <c r="S1338">
        <f t="array" ref="S1338">MAX(IF($C$2:$C$1387=C1338,$R$2:$R$1387))</f>
        <v>29</v>
      </c>
      <c r="T1338" cm="1">
        <f t="array" ref="T1338">MIN(IF($C$2:$C$1387=C1338,$R$2:$R$1387))</f>
        <v>11</v>
      </c>
      <c r="U1338">
        <f t="shared" si="142"/>
        <v>18</v>
      </c>
      <c r="V1338">
        <f t="shared" si="143"/>
        <v>0.61111111111111116</v>
      </c>
      <c r="W1338" cm="1">
        <f t="array" ref="W1338">_xlfn.IFS(N1338=1,5,N1338=2,4,N1338=4,2,N1338=5,1,N1338=3,3)</f>
        <v>1</v>
      </c>
      <c r="X1338">
        <f t="shared" si="144"/>
        <v>18</v>
      </c>
      <c r="Y1338" cm="1">
        <f t="array" ref="Y1338">MAX(IF($C$2:$C$1387=C1338,$X$2:$X$1387))</f>
        <v>30</v>
      </c>
      <c r="Z1338" cm="1">
        <f t="array" ref="Z1338">MIN(IF($C$2:$C$1387=C1338,$X$2:$X$1387))</f>
        <v>14</v>
      </c>
      <c r="AA1338">
        <f t="shared" si="145"/>
        <v>16</v>
      </c>
      <c r="AB1338">
        <f t="shared" si="146"/>
        <v>0.25</v>
      </c>
    </row>
    <row r="1339" spans="1:28" x14ac:dyDescent="0.25">
      <c r="A1339" t="s">
        <v>472</v>
      </c>
      <c r="B1339" t="s">
        <v>473</v>
      </c>
      <c r="C1339">
        <v>2015</v>
      </c>
      <c r="D1339">
        <v>0.1255439879427282</v>
      </c>
      <c r="E1339">
        <v>0.29644562874920699</v>
      </c>
      <c r="F1339">
        <v>8.6460114439980015E-2</v>
      </c>
      <c r="G1339">
        <v>2.3025850929940459</v>
      </c>
      <c r="H1339">
        <v>0.4</v>
      </c>
      <c r="I1339">
        <v>1</v>
      </c>
      <c r="J1339">
        <v>0</v>
      </c>
      <c r="K1339">
        <v>3</v>
      </c>
      <c r="L1339">
        <v>1</v>
      </c>
      <c r="M1339">
        <v>4</v>
      </c>
      <c r="N1339">
        <v>5</v>
      </c>
      <c r="O1339">
        <v>1</v>
      </c>
      <c r="P1339">
        <v>2</v>
      </c>
      <c r="Q1339">
        <f t="shared" si="140"/>
        <v>5</v>
      </c>
      <c r="R1339">
        <f t="shared" si="141"/>
        <v>21</v>
      </c>
      <c r="S1339">
        <f t="array" ref="S1339">MAX(IF($C$2:$C$1387=C1339,$R$2:$R$1387))</f>
        <v>29</v>
      </c>
      <c r="T1339" cm="1">
        <f t="array" ref="T1339">MIN(IF($C$2:$C$1387=C1339,$R$2:$R$1387))</f>
        <v>11</v>
      </c>
      <c r="U1339">
        <f t="shared" si="142"/>
        <v>18</v>
      </c>
      <c r="V1339">
        <f t="shared" si="143"/>
        <v>0.55555555555555558</v>
      </c>
      <c r="W1339" cm="1">
        <f t="array" ref="W1339">_xlfn.IFS(N1339=1,5,N1339=2,4,N1339=4,2,N1339=5,1,N1339=3,3)</f>
        <v>1</v>
      </c>
      <c r="X1339">
        <f t="shared" si="144"/>
        <v>17</v>
      </c>
      <c r="Y1339" cm="1">
        <f t="array" ref="Y1339">MAX(IF($C$2:$C$1387=C1339,$X$2:$X$1387))</f>
        <v>29</v>
      </c>
      <c r="Z1339" cm="1">
        <f t="array" ref="Z1339">MIN(IF($C$2:$C$1387=C1339,$X$2:$X$1387))</f>
        <v>12</v>
      </c>
      <c r="AA1339">
        <f t="shared" si="145"/>
        <v>17</v>
      </c>
      <c r="AB1339">
        <f t="shared" si="146"/>
        <v>0.29411764705882354</v>
      </c>
    </row>
    <row r="1340" spans="1:28" x14ac:dyDescent="0.25">
      <c r="A1340" t="s">
        <v>474</v>
      </c>
      <c r="B1340" t="s">
        <v>475</v>
      </c>
      <c r="C1340">
        <v>2010</v>
      </c>
      <c r="D1340">
        <v>1.899999976158142E-2</v>
      </c>
      <c r="E1340">
        <v>0.67422649999999995</v>
      </c>
      <c r="F1340">
        <v>3.6600000000000001E-2</v>
      </c>
      <c r="G1340">
        <v>1.9459101490553132</v>
      </c>
      <c r="H1340">
        <v>0.8571428571428571</v>
      </c>
      <c r="I1340">
        <v>1</v>
      </c>
      <c r="J1340">
        <v>0</v>
      </c>
      <c r="K1340">
        <v>2</v>
      </c>
      <c r="L1340">
        <v>3</v>
      </c>
      <c r="M1340">
        <v>3</v>
      </c>
      <c r="N1340">
        <v>1</v>
      </c>
      <c r="O1340">
        <v>5</v>
      </c>
      <c r="P1340">
        <v>3</v>
      </c>
      <c r="Q1340">
        <f t="shared" si="140"/>
        <v>5</v>
      </c>
      <c r="R1340">
        <f t="shared" si="141"/>
        <v>22</v>
      </c>
      <c r="S1340">
        <f t="array" ref="S1340">MAX(IF($C$2:$C$1387=C1340,$R$2:$R$1387))</f>
        <v>29</v>
      </c>
      <c r="T1340" cm="1">
        <f t="array" ref="T1340">MIN(IF($C$2:$C$1387=C1340,$R$2:$R$1387))</f>
        <v>9</v>
      </c>
      <c r="U1340">
        <f t="shared" si="142"/>
        <v>20</v>
      </c>
      <c r="V1340">
        <f t="shared" si="143"/>
        <v>0.65</v>
      </c>
      <c r="W1340" cm="1">
        <f t="array" ref="W1340">_xlfn.IFS(N1340=1,5,N1340=2,4,N1340=4,2,N1340=5,1,N1340=3,3)</f>
        <v>5</v>
      </c>
      <c r="X1340">
        <f t="shared" si="144"/>
        <v>26</v>
      </c>
      <c r="Y1340" cm="1">
        <f t="array" ref="Y1340">MAX(IF($C$2:$C$1387=C1340,$X$2:$X$1387))</f>
        <v>29</v>
      </c>
      <c r="Z1340" cm="1">
        <f t="array" ref="Z1340">MIN(IF($C$2:$C$1387=C1340,$X$2:$X$1387))</f>
        <v>12</v>
      </c>
      <c r="AA1340">
        <f t="shared" si="145"/>
        <v>17</v>
      </c>
      <c r="AB1340">
        <f t="shared" si="146"/>
        <v>0.82352941176470584</v>
      </c>
    </row>
    <row r="1341" spans="1:28" x14ac:dyDescent="0.25">
      <c r="A1341" t="s">
        <v>474</v>
      </c>
      <c r="B1341" t="s">
        <v>475</v>
      </c>
      <c r="C1341">
        <v>2011</v>
      </c>
      <c r="D1341">
        <v>1.90291E-2</v>
      </c>
      <c r="E1341">
        <v>0.68813113333333331</v>
      </c>
      <c r="F1341">
        <v>3.1024300000000001E-2</v>
      </c>
      <c r="G1341">
        <v>1.9459101490553132</v>
      </c>
      <c r="H1341">
        <v>0.8571428571428571</v>
      </c>
      <c r="I1341">
        <v>1</v>
      </c>
      <c r="J1341">
        <v>0</v>
      </c>
      <c r="K1341">
        <v>2</v>
      </c>
      <c r="L1341">
        <v>3</v>
      </c>
      <c r="M1341">
        <v>2</v>
      </c>
      <c r="N1341">
        <v>1</v>
      </c>
      <c r="O1341">
        <v>5</v>
      </c>
      <c r="P1341">
        <v>3</v>
      </c>
      <c r="Q1341">
        <f t="shared" si="140"/>
        <v>5</v>
      </c>
      <c r="R1341">
        <f t="shared" si="141"/>
        <v>21</v>
      </c>
      <c r="S1341">
        <f t="array" ref="S1341">MAX(IF($C$2:$C$1387=C1341,$R$2:$R$1387))</f>
        <v>28</v>
      </c>
      <c r="T1341" cm="1">
        <f t="array" ref="T1341">MIN(IF($C$2:$C$1387=C1341,$R$2:$R$1387))</f>
        <v>10</v>
      </c>
      <c r="U1341">
        <f t="shared" si="142"/>
        <v>18</v>
      </c>
      <c r="V1341">
        <f t="shared" si="143"/>
        <v>0.61111111111111116</v>
      </c>
      <c r="W1341" cm="1">
        <f t="array" ref="W1341">_xlfn.IFS(N1341=1,5,N1341=2,4,N1341=4,2,N1341=5,1,N1341=3,3)</f>
        <v>5</v>
      </c>
      <c r="X1341">
        <f t="shared" si="144"/>
        <v>25</v>
      </c>
      <c r="Y1341" cm="1">
        <f t="array" ref="Y1341">MAX(IF($C$2:$C$1387=C1341,$X$2:$X$1387))</f>
        <v>29</v>
      </c>
      <c r="Z1341" cm="1">
        <f t="array" ref="Z1341">MIN(IF($C$2:$C$1387=C1341,$X$2:$X$1387))</f>
        <v>12</v>
      </c>
      <c r="AA1341">
        <f t="shared" si="145"/>
        <v>17</v>
      </c>
      <c r="AB1341">
        <f t="shared" si="146"/>
        <v>0.76470588235294112</v>
      </c>
    </row>
    <row r="1342" spans="1:28" x14ac:dyDescent="0.25">
      <c r="A1342" t="s">
        <v>474</v>
      </c>
      <c r="B1342" t="s">
        <v>475</v>
      </c>
      <c r="C1342">
        <v>2012</v>
      </c>
      <c r="D1342">
        <v>1.9019999999999999E-2</v>
      </c>
      <c r="E1342">
        <v>0.68960216666666663</v>
      </c>
      <c r="F1342">
        <v>7.346486666666667E-2</v>
      </c>
      <c r="G1342">
        <v>1.9459101490553132</v>
      </c>
      <c r="H1342">
        <v>0.7142857142857143</v>
      </c>
      <c r="I1342">
        <v>1</v>
      </c>
      <c r="J1342">
        <v>0</v>
      </c>
      <c r="K1342">
        <v>2</v>
      </c>
      <c r="L1342">
        <v>3</v>
      </c>
      <c r="M1342">
        <v>3</v>
      </c>
      <c r="N1342">
        <v>1</v>
      </c>
      <c r="O1342">
        <v>4</v>
      </c>
      <c r="P1342">
        <v>3</v>
      </c>
      <c r="Q1342">
        <f t="shared" si="140"/>
        <v>5</v>
      </c>
      <c r="R1342">
        <f t="shared" si="141"/>
        <v>21</v>
      </c>
      <c r="S1342">
        <f t="array" ref="S1342">MAX(IF($C$2:$C$1387=C1342,$R$2:$R$1387))</f>
        <v>29</v>
      </c>
      <c r="T1342" cm="1">
        <f t="array" ref="T1342">MIN(IF($C$2:$C$1387=C1342,$R$2:$R$1387))</f>
        <v>11</v>
      </c>
      <c r="U1342">
        <f t="shared" si="142"/>
        <v>18</v>
      </c>
      <c r="V1342">
        <f t="shared" si="143"/>
        <v>0.55555555555555558</v>
      </c>
      <c r="W1342" cm="1">
        <f t="array" ref="W1342">_xlfn.IFS(N1342=1,5,N1342=2,4,N1342=4,2,N1342=5,1,N1342=3,3)</f>
        <v>5</v>
      </c>
      <c r="X1342">
        <f t="shared" si="144"/>
        <v>25</v>
      </c>
      <c r="Y1342" cm="1">
        <f t="array" ref="Y1342">MAX(IF($C$2:$C$1387=C1342,$X$2:$X$1387))</f>
        <v>30</v>
      </c>
      <c r="Z1342" cm="1">
        <f t="array" ref="Z1342">MIN(IF($C$2:$C$1387=C1342,$X$2:$X$1387))</f>
        <v>12</v>
      </c>
      <c r="AA1342">
        <f t="shared" si="145"/>
        <v>18</v>
      </c>
      <c r="AB1342">
        <f t="shared" si="146"/>
        <v>0.72222222222222221</v>
      </c>
    </row>
    <row r="1343" spans="1:28" x14ac:dyDescent="0.25">
      <c r="A1343" t="s">
        <v>474</v>
      </c>
      <c r="B1343" t="s">
        <v>475</v>
      </c>
      <c r="C1343">
        <v>2013</v>
      </c>
      <c r="D1343">
        <v>1.9019999999999999E-2</v>
      </c>
      <c r="E1343">
        <v>0.69187603333333336</v>
      </c>
      <c r="F1343">
        <v>5.1554999999999997E-2</v>
      </c>
      <c r="G1343">
        <v>1.9459101490553132</v>
      </c>
      <c r="H1343">
        <v>0.14285714285714285</v>
      </c>
      <c r="I1343">
        <v>1</v>
      </c>
      <c r="J1343">
        <v>0</v>
      </c>
      <c r="K1343">
        <v>2</v>
      </c>
      <c r="L1343">
        <v>3</v>
      </c>
      <c r="M1343">
        <v>3</v>
      </c>
      <c r="N1343">
        <v>1</v>
      </c>
      <c r="O1343">
        <v>1</v>
      </c>
      <c r="P1343">
        <v>3</v>
      </c>
      <c r="Q1343">
        <f t="shared" si="140"/>
        <v>5</v>
      </c>
      <c r="R1343">
        <f t="shared" si="141"/>
        <v>18</v>
      </c>
      <c r="S1343">
        <f t="array" ref="S1343">MAX(IF($C$2:$C$1387=C1343,$R$2:$R$1387))</f>
        <v>29</v>
      </c>
      <c r="T1343" cm="1">
        <f t="array" ref="T1343">MIN(IF($C$2:$C$1387=C1343,$R$2:$R$1387))</f>
        <v>10</v>
      </c>
      <c r="U1343">
        <f t="shared" si="142"/>
        <v>19</v>
      </c>
      <c r="V1343">
        <f t="shared" si="143"/>
        <v>0.42105263157894735</v>
      </c>
      <c r="W1343" cm="1">
        <f t="array" ref="W1343">_xlfn.IFS(N1343=1,5,N1343=2,4,N1343=4,2,N1343=5,1,N1343=3,3)</f>
        <v>5</v>
      </c>
      <c r="X1343">
        <f t="shared" si="144"/>
        <v>22</v>
      </c>
      <c r="Y1343" cm="1">
        <f t="array" ref="Y1343">MAX(IF($C$2:$C$1387=C1343,$X$2:$X$1387))</f>
        <v>32</v>
      </c>
      <c r="Z1343" cm="1">
        <f t="array" ref="Z1343">MIN(IF($C$2:$C$1387=C1343,$X$2:$X$1387))</f>
        <v>10</v>
      </c>
      <c r="AA1343">
        <f t="shared" si="145"/>
        <v>22</v>
      </c>
      <c r="AB1343">
        <f t="shared" si="146"/>
        <v>0.54545454545454541</v>
      </c>
    </row>
    <row r="1344" spans="1:28" x14ac:dyDescent="0.25">
      <c r="A1344" t="s">
        <v>474</v>
      </c>
      <c r="B1344" t="s">
        <v>475</v>
      </c>
      <c r="C1344">
        <v>2014</v>
      </c>
      <c r="D1344">
        <v>1.9003333333333334E-2</v>
      </c>
      <c r="E1344">
        <v>0.69504443333333332</v>
      </c>
      <c r="F1344">
        <v>5.6425933333333331E-2</v>
      </c>
      <c r="G1344">
        <v>1.9459101490553132</v>
      </c>
      <c r="H1344">
        <v>0.14285714285714285</v>
      </c>
      <c r="I1344">
        <v>1</v>
      </c>
      <c r="J1344">
        <v>0</v>
      </c>
      <c r="K1344">
        <v>2</v>
      </c>
      <c r="L1344">
        <v>3</v>
      </c>
      <c r="M1344">
        <v>3</v>
      </c>
      <c r="N1344">
        <v>1</v>
      </c>
      <c r="O1344">
        <v>1</v>
      </c>
      <c r="P1344">
        <v>3</v>
      </c>
      <c r="Q1344">
        <f t="shared" si="140"/>
        <v>5</v>
      </c>
      <c r="R1344">
        <f t="shared" si="141"/>
        <v>18</v>
      </c>
      <c r="S1344">
        <f t="array" ref="S1344">MAX(IF($C$2:$C$1387=C1344,$R$2:$R$1387))</f>
        <v>29</v>
      </c>
      <c r="T1344" cm="1">
        <f t="array" ref="T1344">MIN(IF($C$2:$C$1387=C1344,$R$2:$R$1387))</f>
        <v>11</v>
      </c>
      <c r="U1344">
        <f t="shared" si="142"/>
        <v>18</v>
      </c>
      <c r="V1344">
        <f t="shared" si="143"/>
        <v>0.3888888888888889</v>
      </c>
      <c r="W1344" cm="1">
        <f t="array" ref="W1344">_xlfn.IFS(N1344=1,5,N1344=2,4,N1344=4,2,N1344=5,1,N1344=3,3)</f>
        <v>5</v>
      </c>
      <c r="X1344">
        <f t="shared" si="144"/>
        <v>22</v>
      </c>
      <c r="Y1344" cm="1">
        <f t="array" ref="Y1344">MAX(IF($C$2:$C$1387=C1344,$X$2:$X$1387))</f>
        <v>30</v>
      </c>
      <c r="Z1344" cm="1">
        <f t="array" ref="Z1344">MIN(IF($C$2:$C$1387=C1344,$X$2:$X$1387))</f>
        <v>14</v>
      </c>
      <c r="AA1344">
        <f t="shared" si="145"/>
        <v>16</v>
      </c>
      <c r="AB1344">
        <f t="shared" si="146"/>
        <v>0.5</v>
      </c>
    </row>
    <row r="1345" spans="1:28" x14ac:dyDescent="0.25">
      <c r="A1345" t="s">
        <v>474</v>
      </c>
      <c r="B1345" t="s">
        <v>475</v>
      </c>
      <c r="C1345">
        <v>2015</v>
      </c>
      <c r="D1345">
        <v>1.9003333333333334E-2</v>
      </c>
      <c r="E1345">
        <v>0.69504443333333332</v>
      </c>
      <c r="F1345">
        <v>4.8442600000000002E-2</v>
      </c>
      <c r="G1345">
        <v>1.9459101490553132</v>
      </c>
      <c r="H1345">
        <v>0.8571428571428571</v>
      </c>
      <c r="I1345">
        <v>1</v>
      </c>
      <c r="J1345">
        <v>0</v>
      </c>
      <c r="K1345">
        <v>2</v>
      </c>
      <c r="L1345">
        <v>3</v>
      </c>
      <c r="M1345">
        <v>3</v>
      </c>
      <c r="N1345">
        <v>1</v>
      </c>
      <c r="O1345">
        <v>4</v>
      </c>
      <c r="P1345">
        <v>2</v>
      </c>
      <c r="Q1345">
        <f t="shared" si="140"/>
        <v>5</v>
      </c>
      <c r="R1345">
        <f t="shared" si="141"/>
        <v>20</v>
      </c>
      <c r="S1345">
        <f t="array" ref="S1345">MAX(IF($C$2:$C$1387=C1345,$R$2:$R$1387))</f>
        <v>29</v>
      </c>
      <c r="T1345" cm="1">
        <f t="array" ref="T1345">MIN(IF($C$2:$C$1387=C1345,$R$2:$R$1387))</f>
        <v>11</v>
      </c>
      <c r="U1345">
        <f t="shared" si="142"/>
        <v>18</v>
      </c>
      <c r="V1345">
        <f t="shared" si="143"/>
        <v>0.5</v>
      </c>
      <c r="W1345" cm="1">
        <f t="array" ref="W1345">_xlfn.IFS(N1345=1,5,N1345=2,4,N1345=4,2,N1345=5,1,N1345=3,3)</f>
        <v>5</v>
      </c>
      <c r="X1345">
        <f t="shared" si="144"/>
        <v>24</v>
      </c>
      <c r="Y1345" cm="1">
        <f t="array" ref="Y1345">MAX(IF($C$2:$C$1387=C1345,$X$2:$X$1387))</f>
        <v>29</v>
      </c>
      <c r="Z1345" cm="1">
        <f t="array" ref="Z1345">MIN(IF($C$2:$C$1387=C1345,$X$2:$X$1387))</f>
        <v>12</v>
      </c>
      <c r="AA1345">
        <f t="shared" si="145"/>
        <v>17</v>
      </c>
      <c r="AB1345">
        <f t="shared" si="146"/>
        <v>0.70588235294117652</v>
      </c>
    </row>
    <row r="1346" spans="1:28" x14ac:dyDescent="0.25">
      <c r="A1346" t="s">
        <v>476</v>
      </c>
      <c r="B1346" t="s">
        <v>477</v>
      </c>
      <c r="C1346">
        <v>2010</v>
      </c>
      <c r="D1346">
        <v>3.4267576955323989E-3</v>
      </c>
      <c r="E1346">
        <v>0.82946133995361448</v>
      </c>
      <c r="F1346">
        <v>0.11925968270560437</v>
      </c>
      <c r="G1346">
        <v>1.9459101490553132</v>
      </c>
      <c r="H1346">
        <v>0.8571428571428571</v>
      </c>
      <c r="I1346">
        <v>1</v>
      </c>
      <c r="J1346">
        <v>0</v>
      </c>
      <c r="K1346">
        <v>2</v>
      </c>
      <c r="L1346">
        <v>5</v>
      </c>
      <c r="M1346">
        <v>4</v>
      </c>
      <c r="N1346">
        <v>1</v>
      </c>
      <c r="O1346">
        <v>5</v>
      </c>
      <c r="P1346">
        <v>3</v>
      </c>
      <c r="Q1346">
        <f t="shared" si="140"/>
        <v>5</v>
      </c>
      <c r="R1346">
        <f t="shared" si="141"/>
        <v>25</v>
      </c>
      <c r="S1346">
        <f t="array" ref="S1346">MAX(IF($C$2:$C$1387=C1346,$R$2:$R$1387))</f>
        <v>29</v>
      </c>
      <c r="T1346" cm="1">
        <f t="array" ref="T1346">MIN(IF($C$2:$C$1387=C1346,$R$2:$R$1387))</f>
        <v>9</v>
      </c>
      <c r="U1346">
        <f t="shared" si="142"/>
        <v>20</v>
      </c>
      <c r="V1346">
        <f t="shared" si="143"/>
        <v>0.8</v>
      </c>
      <c r="W1346" cm="1">
        <f t="array" ref="W1346">_xlfn.IFS(N1346=1,5,N1346=2,4,N1346=4,2,N1346=5,1,N1346=3,3)</f>
        <v>5</v>
      </c>
      <c r="X1346">
        <f t="shared" si="144"/>
        <v>29</v>
      </c>
      <c r="Y1346" cm="1">
        <f t="array" ref="Y1346">MAX(IF($C$2:$C$1387=C1346,$X$2:$X$1387))</f>
        <v>29</v>
      </c>
      <c r="Z1346" cm="1">
        <f t="array" ref="Z1346">MIN(IF($C$2:$C$1387=C1346,$X$2:$X$1387))</f>
        <v>12</v>
      </c>
      <c r="AA1346">
        <f t="shared" si="145"/>
        <v>17</v>
      </c>
      <c r="AB1346">
        <f t="shared" si="146"/>
        <v>1</v>
      </c>
    </row>
    <row r="1347" spans="1:28" x14ac:dyDescent="0.25">
      <c r="A1347" t="s">
        <v>476</v>
      </c>
      <c r="B1347" t="s">
        <v>477</v>
      </c>
      <c r="C1347">
        <v>2011</v>
      </c>
      <c r="D1347">
        <v>3.4267576955323989E-3</v>
      </c>
      <c r="E1347">
        <v>0.82946133995361448</v>
      </c>
      <c r="F1347">
        <v>0.11925968270560437</v>
      </c>
      <c r="G1347">
        <v>1.9459101490553132</v>
      </c>
      <c r="H1347">
        <v>0.8571428571428571</v>
      </c>
      <c r="I1347">
        <v>1</v>
      </c>
      <c r="J1347">
        <v>0</v>
      </c>
      <c r="K1347">
        <v>2</v>
      </c>
      <c r="L1347">
        <v>4</v>
      </c>
      <c r="M1347">
        <v>4</v>
      </c>
      <c r="N1347">
        <v>1</v>
      </c>
      <c r="O1347">
        <v>5</v>
      </c>
      <c r="P1347">
        <v>3</v>
      </c>
      <c r="Q1347">
        <f t="shared" ref="Q1347:Q1387" si="147">IF(J1347=0,5,1)</f>
        <v>5</v>
      </c>
      <c r="R1347">
        <f t="shared" ref="R1347:R1387" si="148">SUM(K1347:Q1347)</f>
        <v>24</v>
      </c>
      <c r="S1347">
        <f t="array" ref="S1347">MAX(IF($C$2:$C$1387=C1347,$R$2:$R$1387))</f>
        <v>28</v>
      </c>
      <c r="T1347" cm="1">
        <f t="array" ref="T1347">MIN(IF($C$2:$C$1387=C1347,$R$2:$R$1387))</f>
        <v>10</v>
      </c>
      <c r="U1347">
        <f t="shared" ref="U1347:U1387" si="149">S1347-T1347</f>
        <v>18</v>
      </c>
      <c r="V1347">
        <f t="shared" ref="V1347:V1387" si="150">(R1347-T1347)/U1347</f>
        <v>0.77777777777777779</v>
      </c>
      <c r="W1347" cm="1">
        <f t="array" ref="W1347">_xlfn.IFS(N1347=1,5,N1347=2,4,N1347=4,2,N1347=5,1,N1347=3,3)</f>
        <v>5</v>
      </c>
      <c r="X1347">
        <f t="shared" ref="X1347:X1387" si="151">SUM(K1347:M1347,O1347:Q1347,W1347)</f>
        <v>28</v>
      </c>
      <c r="Y1347" cm="1">
        <f t="array" ref="Y1347">MAX(IF($C$2:$C$1387=C1347,$X$2:$X$1387))</f>
        <v>29</v>
      </c>
      <c r="Z1347" cm="1">
        <f t="array" ref="Z1347">MIN(IF($C$2:$C$1387=C1347,$X$2:$X$1387))</f>
        <v>12</v>
      </c>
      <c r="AA1347">
        <f t="shared" ref="AA1347:AA1387" si="152">Y1347-Z1347</f>
        <v>17</v>
      </c>
      <c r="AB1347">
        <f t="shared" ref="AB1347:AB1387" si="153">(X1347-Z1347)/AA1347</f>
        <v>0.94117647058823528</v>
      </c>
    </row>
    <row r="1348" spans="1:28" x14ac:dyDescent="0.25">
      <c r="A1348" t="s">
        <v>476</v>
      </c>
      <c r="B1348" t="s">
        <v>477</v>
      </c>
      <c r="C1348">
        <v>2012</v>
      </c>
      <c r="D1348">
        <v>3.4267576955323989E-3</v>
      </c>
      <c r="E1348">
        <v>0.82946133995361448</v>
      </c>
      <c r="F1348">
        <v>0.11925968270560437</v>
      </c>
      <c r="G1348">
        <v>1.9459101490553132</v>
      </c>
      <c r="H1348">
        <v>0.8571428571428571</v>
      </c>
      <c r="I1348">
        <v>1</v>
      </c>
      <c r="J1348">
        <v>0</v>
      </c>
      <c r="K1348">
        <v>2</v>
      </c>
      <c r="L1348">
        <v>4</v>
      </c>
      <c r="M1348">
        <v>4</v>
      </c>
      <c r="N1348">
        <v>1</v>
      </c>
      <c r="O1348">
        <v>5</v>
      </c>
      <c r="P1348">
        <v>3</v>
      </c>
      <c r="Q1348">
        <f t="shared" si="147"/>
        <v>5</v>
      </c>
      <c r="R1348">
        <f t="shared" si="148"/>
        <v>24</v>
      </c>
      <c r="S1348">
        <f t="array" ref="S1348">MAX(IF($C$2:$C$1387=C1348,$R$2:$R$1387))</f>
        <v>29</v>
      </c>
      <c r="T1348" cm="1">
        <f t="array" ref="T1348">MIN(IF($C$2:$C$1387=C1348,$R$2:$R$1387))</f>
        <v>11</v>
      </c>
      <c r="U1348">
        <f t="shared" si="149"/>
        <v>18</v>
      </c>
      <c r="V1348">
        <f t="shared" si="150"/>
        <v>0.72222222222222221</v>
      </c>
      <c r="W1348" cm="1">
        <f t="array" ref="W1348">_xlfn.IFS(N1348=1,5,N1348=2,4,N1348=4,2,N1348=5,1,N1348=3,3)</f>
        <v>5</v>
      </c>
      <c r="X1348">
        <f t="shared" si="151"/>
        <v>28</v>
      </c>
      <c r="Y1348" cm="1">
        <f t="array" ref="Y1348">MAX(IF($C$2:$C$1387=C1348,$X$2:$X$1387))</f>
        <v>30</v>
      </c>
      <c r="Z1348" cm="1">
        <f t="array" ref="Z1348">MIN(IF($C$2:$C$1387=C1348,$X$2:$X$1387))</f>
        <v>12</v>
      </c>
      <c r="AA1348">
        <f t="shared" si="152"/>
        <v>18</v>
      </c>
      <c r="AB1348">
        <f t="shared" si="153"/>
        <v>0.88888888888888884</v>
      </c>
    </row>
    <row r="1349" spans="1:28" x14ac:dyDescent="0.25">
      <c r="A1349" t="s">
        <v>476</v>
      </c>
      <c r="B1349" t="s">
        <v>477</v>
      </c>
      <c r="C1349">
        <v>2013</v>
      </c>
      <c r="D1349">
        <v>7.2017334683522249E-4</v>
      </c>
      <c r="E1349">
        <v>0.83593734687877697</v>
      </c>
      <c r="F1349">
        <v>8.1123487842855429E-3</v>
      </c>
      <c r="G1349">
        <v>2.0794415416798357</v>
      </c>
      <c r="H1349">
        <v>0.875</v>
      </c>
      <c r="I1349">
        <v>1</v>
      </c>
      <c r="J1349">
        <v>0</v>
      </c>
      <c r="K1349">
        <v>2</v>
      </c>
      <c r="L1349">
        <v>4</v>
      </c>
      <c r="M1349">
        <v>2</v>
      </c>
      <c r="N1349">
        <v>3</v>
      </c>
      <c r="O1349">
        <v>5</v>
      </c>
      <c r="P1349">
        <v>3</v>
      </c>
      <c r="Q1349">
        <f t="shared" si="147"/>
        <v>5</v>
      </c>
      <c r="R1349">
        <f t="shared" si="148"/>
        <v>24</v>
      </c>
      <c r="S1349">
        <f t="array" ref="S1349">MAX(IF($C$2:$C$1387=C1349,$R$2:$R$1387))</f>
        <v>29</v>
      </c>
      <c r="T1349" cm="1">
        <f t="array" ref="T1349">MIN(IF($C$2:$C$1387=C1349,$R$2:$R$1387))</f>
        <v>10</v>
      </c>
      <c r="U1349">
        <f t="shared" si="149"/>
        <v>19</v>
      </c>
      <c r="V1349">
        <f t="shared" si="150"/>
        <v>0.73684210526315785</v>
      </c>
      <c r="W1349" cm="1">
        <f t="array" ref="W1349">_xlfn.IFS(N1349=1,5,N1349=2,4,N1349=4,2,N1349=5,1,N1349=3,3)</f>
        <v>3</v>
      </c>
      <c r="X1349">
        <f t="shared" si="151"/>
        <v>24</v>
      </c>
      <c r="Y1349" cm="1">
        <f t="array" ref="Y1349">MAX(IF($C$2:$C$1387=C1349,$X$2:$X$1387))</f>
        <v>32</v>
      </c>
      <c r="Z1349" cm="1">
        <f t="array" ref="Z1349">MIN(IF($C$2:$C$1387=C1349,$X$2:$X$1387))</f>
        <v>10</v>
      </c>
      <c r="AA1349">
        <f t="shared" si="152"/>
        <v>22</v>
      </c>
      <c r="AB1349">
        <f t="shared" si="153"/>
        <v>0.63636363636363635</v>
      </c>
    </row>
    <row r="1350" spans="1:28" x14ac:dyDescent="0.25">
      <c r="A1350" t="s">
        <v>476</v>
      </c>
      <c r="B1350" t="s">
        <v>477</v>
      </c>
      <c r="C1350">
        <v>2014</v>
      </c>
      <c r="D1350">
        <v>6.92951796077919E-4</v>
      </c>
      <c r="E1350">
        <v>0.84373468787769901</v>
      </c>
      <c r="F1350">
        <v>5.3314986008122914E-2</v>
      </c>
      <c r="G1350">
        <v>2.0794415416798357</v>
      </c>
      <c r="H1350">
        <v>0.875</v>
      </c>
      <c r="I1350">
        <v>1</v>
      </c>
      <c r="J1350">
        <v>0</v>
      </c>
      <c r="K1350">
        <v>2</v>
      </c>
      <c r="L1350">
        <v>4</v>
      </c>
      <c r="M1350">
        <v>3</v>
      </c>
      <c r="N1350">
        <v>3</v>
      </c>
      <c r="O1350">
        <v>5</v>
      </c>
      <c r="P1350">
        <v>3</v>
      </c>
      <c r="Q1350">
        <f t="shared" si="147"/>
        <v>5</v>
      </c>
      <c r="R1350">
        <f t="shared" si="148"/>
        <v>25</v>
      </c>
      <c r="S1350">
        <f t="array" ref="S1350">MAX(IF($C$2:$C$1387=C1350,$R$2:$R$1387))</f>
        <v>29</v>
      </c>
      <c r="T1350" cm="1">
        <f t="array" ref="T1350">MIN(IF($C$2:$C$1387=C1350,$R$2:$R$1387))</f>
        <v>11</v>
      </c>
      <c r="U1350">
        <f t="shared" si="149"/>
        <v>18</v>
      </c>
      <c r="V1350">
        <f t="shared" si="150"/>
        <v>0.77777777777777779</v>
      </c>
      <c r="W1350" cm="1">
        <f t="array" ref="W1350">_xlfn.IFS(N1350=1,5,N1350=2,4,N1350=4,2,N1350=5,1,N1350=3,3)</f>
        <v>3</v>
      </c>
      <c r="X1350">
        <f t="shared" si="151"/>
        <v>25</v>
      </c>
      <c r="Y1350" cm="1">
        <f t="array" ref="Y1350">MAX(IF($C$2:$C$1387=C1350,$X$2:$X$1387))</f>
        <v>30</v>
      </c>
      <c r="Z1350" cm="1">
        <f t="array" ref="Z1350">MIN(IF($C$2:$C$1387=C1350,$X$2:$X$1387))</f>
        <v>14</v>
      </c>
      <c r="AA1350">
        <f t="shared" si="152"/>
        <v>16</v>
      </c>
      <c r="AB1350">
        <f t="shared" si="153"/>
        <v>0.6875</v>
      </c>
    </row>
    <row r="1351" spans="1:28" x14ac:dyDescent="0.25">
      <c r="A1351" t="s">
        <v>476</v>
      </c>
      <c r="B1351" t="s">
        <v>477</v>
      </c>
      <c r="C1351">
        <v>2015</v>
      </c>
      <c r="D1351">
        <v>6.92951796077919E-4</v>
      </c>
      <c r="E1351">
        <v>0.84373468787769901</v>
      </c>
      <c r="F1351">
        <v>5.3314986008122914E-2</v>
      </c>
      <c r="G1351">
        <v>2.0794415416798357</v>
      </c>
      <c r="H1351">
        <v>0.875</v>
      </c>
      <c r="I1351">
        <v>1</v>
      </c>
      <c r="J1351">
        <v>0</v>
      </c>
      <c r="K1351">
        <v>2</v>
      </c>
      <c r="L1351">
        <v>5</v>
      </c>
      <c r="M1351">
        <v>3</v>
      </c>
      <c r="N1351">
        <v>3</v>
      </c>
      <c r="O1351">
        <v>5</v>
      </c>
      <c r="P1351">
        <v>2</v>
      </c>
      <c r="Q1351">
        <f t="shared" si="147"/>
        <v>5</v>
      </c>
      <c r="R1351">
        <f t="shared" si="148"/>
        <v>25</v>
      </c>
      <c r="S1351">
        <f t="array" ref="S1351">MAX(IF($C$2:$C$1387=C1351,$R$2:$R$1387))</f>
        <v>29</v>
      </c>
      <c r="T1351" cm="1">
        <f t="array" ref="T1351">MIN(IF($C$2:$C$1387=C1351,$R$2:$R$1387))</f>
        <v>11</v>
      </c>
      <c r="U1351">
        <f t="shared" si="149"/>
        <v>18</v>
      </c>
      <c r="V1351">
        <f t="shared" si="150"/>
        <v>0.77777777777777779</v>
      </c>
      <c r="W1351" cm="1">
        <f t="array" ref="W1351">_xlfn.IFS(N1351=1,5,N1351=2,4,N1351=4,2,N1351=5,1,N1351=3,3)</f>
        <v>3</v>
      </c>
      <c r="X1351">
        <f t="shared" si="151"/>
        <v>25</v>
      </c>
      <c r="Y1351" cm="1">
        <f t="array" ref="Y1351">MAX(IF($C$2:$C$1387=C1351,$X$2:$X$1387))</f>
        <v>29</v>
      </c>
      <c r="Z1351" cm="1">
        <f t="array" ref="Z1351">MIN(IF($C$2:$C$1387=C1351,$X$2:$X$1387))</f>
        <v>12</v>
      </c>
      <c r="AA1351">
        <f t="shared" si="152"/>
        <v>17</v>
      </c>
      <c r="AB1351">
        <f t="shared" si="153"/>
        <v>0.76470588235294112</v>
      </c>
    </row>
    <row r="1352" spans="1:28" x14ac:dyDescent="0.25">
      <c r="A1352" t="s">
        <v>478</v>
      </c>
      <c r="B1352" t="s">
        <v>479</v>
      </c>
      <c r="C1352">
        <v>2010</v>
      </c>
      <c r="D1352">
        <v>6.0034740706552438E-2</v>
      </c>
      <c r="E1352">
        <v>0.85644400156034362</v>
      </c>
      <c r="F1352">
        <v>1.01E-2</v>
      </c>
      <c r="G1352">
        <v>2.3025850929940459</v>
      </c>
      <c r="H1352">
        <v>0.7</v>
      </c>
      <c r="I1352">
        <v>0.66666666666666663</v>
      </c>
      <c r="J1352">
        <v>0</v>
      </c>
      <c r="K1352">
        <v>2</v>
      </c>
      <c r="L1352">
        <v>5</v>
      </c>
      <c r="M1352">
        <v>2</v>
      </c>
      <c r="N1352">
        <v>5</v>
      </c>
      <c r="O1352">
        <v>4</v>
      </c>
      <c r="P1352">
        <v>1</v>
      </c>
      <c r="Q1352">
        <f t="shared" si="147"/>
        <v>5</v>
      </c>
      <c r="R1352">
        <f t="shared" si="148"/>
        <v>24</v>
      </c>
      <c r="S1352">
        <f t="array" ref="S1352">MAX(IF($C$2:$C$1387=C1352,$R$2:$R$1387))</f>
        <v>29</v>
      </c>
      <c r="T1352" cm="1">
        <f t="array" ref="T1352">MIN(IF($C$2:$C$1387=C1352,$R$2:$R$1387))</f>
        <v>9</v>
      </c>
      <c r="U1352">
        <f t="shared" si="149"/>
        <v>20</v>
      </c>
      <c r="V1352">
        <f t="shared" si="150"/>
        <v>0.75</v>
      </c>
      <c r="W1352" cm="1">
        <f t="array" ref="W1352">_xlfn.IFS(N1352=1,5,N1352=2,4,N1352=4,2,N1352=5,1,N1352=3,3)</f>
        <v>1</v>
      </c>
      <c r="X1352">
        <f t="shared" si="151"/>
        <v>20</v>
      </c>
      <c r="Y1352" cm="1">
        <f t="array" ref="Y1352">MAX(IF($C$2:$C$1387=C1352,$X$2:$X$1387))</f>
        <v>29</v>
      </c>
      <c r="Z1352" cm="1">
        <f t="array" ref="Z1352">MIN(IF($C$2:$C$1387=C1352,$X$2:$X$1387))</f>
        <v>12</v>
      </c>
      <c r="AA1352">
        <f t="shared" si="152"/>
        <v>17</v>
      </c>
      <c r="AB1352">
        <f t="shared" si="153"/>
        <v>0.47058823529411764</v>
      </c>
    </row>
    <row r="1353" spans="1:28" x14ac:dyDescent="0.25">
      <c r="A1353" t="s">
        <v>478</v>
      </c>
      <c r="B1353" t="s">
        <v>479</v>
      </c>
      <c r="C1353">
        <v>2011</v>
      </c>
      <c r="D1353">
        <v>6.0036202310698714E-2</v>
      </c>
      <c r="E1353">
        <v>0.85644400156034362</v>
      </c>
      <c r="F1353">
        <v>4.9028699084613565E-4</v>
      </c>
      <c r="G1353">
        <v>2.1972245773362196</v>
      </c>
      <c r="H1353">
        <v>0.33333333333333331</v>
      </c>
      <c r="I1353">
        <v>0.66666666666666663</v>
      </c>
      <c r="J1353">
        <v>0</v>
      </c>
      <c r="K1353">
        <v>2</v>
      </c>
      <c r="L1353">
        <v>5</v>
      </c>
      <c r="M1353">
        <v>1</v>
      </c>
      <c r="N1353">
        <v>4</v>
      </c>
      <c r="O1353">
        <v>1</v>
      </c>
      <c r="P1353">
        <v>1</v>
      </c>
      <c r="Q1353">
        <f t="shared" si="147"/>
        <v>5</v>
      </c>
      <c r="R1353">
        <f t="shared" si="148"/>
        <v>19</v>
      </c>
      <c r="S1353">
        <f t="array" ref="S1353">MAX(IF($C$2:$C$1387=C1353,$R$2:$R$1387))</f>
        <v>28</v>
      </c>
      <c r="T1353" cm="1">
        <f t="array" ref="T1353">MIN(IF($C$2:$C$1387=C1353,$R$2:$R$1387))</f>
        <v>10</v>
      </c>
      <c r="U1353">
        <f t="shared" si="149"/>
        <v>18</v>
      </c>
      <c r="V1353">
        <f t="shared" si="150"/>
        <v>0.5</v>
      </c>
      <c r="W1353" cm="1">
        <f t="array" ref="W1353">_xlfn.IFS(N1353=1,5,N1353=2,4,N1353=4,2,N1353=5,1,N1353=3,3)</f>
        <v>2</v>
      </c>
      <c r="X1353">
        <f t="shared" si="151"/>
        <v>17</v>
      </c>
      <c r="Y1353" cm="1">
        <f t="array" ref="Y1353">MAX(IF($C$2:$C$1387=C1353,$X$2:$X$1387))</f>
        <v>29</v>
      </c>
      <c r="Z1353" cm="1">
        <f t="array" ref="Z1353">MIN(IF($C$2:$C$1387=C1353,$X$2:$X$1387))</f>
        <v>12</v>
      </c>
      <c r="AA1353">
        <f t="shared" si="152"/>
        <v>17</v>
      </c>
      <c r="AB1353">
        <f t="shared" si="153"/>
        <v>0.29411764705882354</v>
      </c>
    </row>
    <row r="1354" spans="1:28" x14ac:dyDescent="0.25">
      <c r="A1354" t="s">
        <v>478</v>
      </c>
      <c r="B1354" t="s">
        <v>479</v>
      </c>
      <c r="C1354">
        <v>2012</v>
      </c>
      <c r="D1354">
        <v>6.0036202310698714E-2</v>
      </c>
      <c r="E1354">
        <v>0.85644400156034362</v>
      </c>
      <c r="F1354">
        <v>4.9028699084613565E-4</v>
      </c>
      <c r="G1354">
        <v>2.1972245773362196</v>
      </c>
      <c r="H1354">
        <v>0.33333333333333331</v>
      </c>
      <c r="I1354">
        <v>0.66666666666666663</v>
      </c>
      <c r="J1354">
        <v>0</v>
      </c>
      <c r="K1354">
        <v>2</v>
      </c>
      <c r="L1354">
        <v>5</v>
      </c>
      <c r="M1354">
        <v>1</v>
      </c>
      <c r="N1354">
        <v>4</v>
      </c>
      <c r="O1354">
        <v>1</v>
      </c>
      <c r="P1354">
        <v>1</v>
      </c>
      <c r="Q1354">
        <f t="shared" si="147"/>
        <v>5</v>
      </c>
      <c r="R1354">
        <f t="shared" si="148"/>
        <v>19</v>
      </c>
      <c r="S1354">
        <f t="array" ref="S1354">MAX(IF($C$2:$C$1387=C1354,$R$2:$R$1387))</f>
        <v>29</v>
      </c>
      <c r="T1354" cm="1">
        <f t="array" ref="T1354">MIN(IF($C$2:$C$1387=C1354,$R$2:$R$1387))</f>
        <v>11</v>
      </c>
      <c r="U1354">
        <f t="shared" si="149"/>
        <v>18</v>
      </c>
      <c r="V1354">
        <f t="shared" si="150"/>
        <v>0.44444444444444442</v>
      </c>
      <c r="W1354" cm="1">
        <f t="array" ref="W1354">_xlfn.IFS(N1354=1,5,N1354=2,4,N1354=4,2,N1354=5,1,N1354=3,3)</f>
        <v>2</v>
      </c>
      <c r="X1354">
        <f t="shared" si="151"/>
        <v>17</v>
      </c>
      <c r="Y1354" cm="1">
        <f t="array" ref="Y1354">MAX(IF($C$2:$C$1387=C1354,$X$2:$X$1387))</f>
        <v>30</v>
      </c>
      <c r="Z1354" cm="1">
        <f t="array" ref="Z1354">MIN(IF($C$2:$C$1387=C1354,$X$2:$X$1387))</f>
        <v>12</v>
      </c>
      <c r="AA1354">
        <f t="shared" si="152"/>
        <v>18</v>
      </c>
      <c r="AB1354">
        <f t="shared" si="153"/>
        <v>0.27777777777777779</v>
      </c>
    </row>
    <row r="1355" spans="1:28" x14ac:dyDescent="0.25">
      <c r="A1355" t="s">
        <v>478</v>
      </c>
      <c r="B1355" t="s">
        <v>479</v>
      </c>
      <c r="C1355">
        <v>2013</v>
      </c>
      <c r="D1355">
        <v>6.0324787929358401E-2</v>
      </c>
      <c r="E1355">
        <v>0.85644400156034362</v>
      </c>
      <c r="F1355">
        <v>1.4080119942484252E-4</v>
      </c>
      <c r="G1355">
        <v>2.0794415416798357</v>
      </c>
      <c r="H1355">
        <v>0.25</v>
      </c>
      <c r="I1355">
        <v>0.75</v>
      </c>
      <c r="J1355">
        <v>0</v>
      </c>
      <c r="K1355">
        <v>3</v>
      </c>
      <c r="L1355">
        <v>5</v>
      </c>
      <c r="M1355">
        <v>1</v>
      </c>
      <c r="N1355">
        <v>3</v>
      </c>
      <c r="O1355">
        <v>1</v>
      </c>
      <c r="P1355">
        <v>3</v>
      </c>
      <c r="Q1355">
        <f t="shared" si="147"/>
        <v>5</v>
      </c>
      <c r="R1355">
        <f t="shared" si="148"/>
        <v>21</v>
      </c>
      <c r="S1355">
        <f t="array" ref="S1355">MAX(IF($C$2:$C$1387=C1355,$R$2:$R$1387))</f>
        <v>29</v>
      </c>
      <c r="T1355" cm="1">
        <f t="array" ref="T1355">MIN(IF($C$2:$C$1387=C1355,$R$2:$R$1387))</f>
        <v>10</v>
      </c>
      <c r="U1355">
        <f t="shared" si="149"/>
        <v>19</v>
      </c>
      <c r="V1355">
        <f t="shared" si="150"/>
        <v>0.57894736842105265</v>
      </c>
      <c r="W1355" cm="1">
        <f t="array" ref="W1355">_xlfn.IFS(N1355=1,5,N1355=2,4,N1355=4,2,N1355=5,1,N1355=3,3)</f>
        <v>3</v>
      </c>
      <c r="X1355">
        <f t="shared" si="151"/>
        <v>21</v>
      </c>
      <c r="Y1355" cm="1">
        <f t="array" ref="Y1355">MAX(IF($C$2:$C$1387=C1355,$X$2:$X$1387))</f>
        <v>32</v>
      </c>
      <c r="Z1355" cm="1">
        <f t="array" ref="Z1355">MIN(IF($C$2:$C$1387=C1355,$X$2:$X$1387))</f>
        <v>10</v>
      </c>
      <c r="AA1355">
        <f t="shared" si="152"/>
        <v>22</v>
      </c>
      <c r="AB1355">
        <f t="shared" si="153"/>
        <v>0.5</v>
      </c>
    </row>
    <row r="1356" spans="1:28" x14ac:dyDescent="0.25">
      <c r="A1356" t="s">
        <v>478</v>
      </c>
      <c r="B1356" t="s">
        <v>479</v>
      </c>
      <c r="C1356">
        <v>2014</v>
      </c>
      <c r="D1356">
        <v>6.0324787929358401E-2</v>
      </c>
      <c r="E1356">
        <v>0.85644400156034362</v>
      </c>
      <c r="F1356">
        <v>1.4080119942484252E-4</v>
      </c>
      <c r="G1356">
        <v>2.0794415416798357</v>
      </c>
      <c r="H1356">
        <v>0.25</v>
      </c>
      <c r="I1356">
        <v>0.75</v>
      </c>
      <c r="J1356">
        <v>0</v>
      </c>
      <c r="K1356">
        <v>2</v>
      </c>
      <c r="L1356">
        <v>5</v>
      </c>
      <c r="M1356">
        <v>1</v>
      </c>
      <c r="N1356">
        <v>3</v>
      </c>
      <c r="O1356">
        <v>1</v>
      </c>
      <c r="P1356">
        <v>2</v>
      </c>
      <c r="Q1356">
        <f t="shared" si="147"/>
        <v>5</v>
      </c>
      <c r="R1356">
        <f t="shared" si="148"/>
        <v>19</v>
      </c>
      <c r="S1356">
        <f t="array" ref="S1356">MAX(IF($C$2:$C$1387=C1356,$R$2:$R$1387))</f>
        <v>29</v>
      </c>
      <c r="T1356" cm="1">
        <f t="array" ref="T1356">MIN(IF($C$2:$C$1387=C1356,$R$2:$R$1387))</f>
        <v>11</v>
      </c>
      <c r="U1356">
        <f t="shared" si="149"/>
        <v>18</v>
      </c>
      <c r="V1356">
        <f t="shared" si="150"/>
        <v>0.44444444444444442</v>
      </c>
      <c r="W1356" cm="1">
        <f t="array" ref="W1356">_xlfn.IFS(N1356=1,5,N1356=2,4,N1356=4,2,N1356=5,1,N1356=3,3)</f>
        <v>3</v>
      </c>
      <c r="X1356">
        <f t="shared" si="151"/>
        <v>19</v>
      </c>
      <c r="Y1356" cm="1">
        <f t="array" ref="Y1356">MAX(IF($C$2:$C$1387=C1356,$X$2:$X$1387))</f>
        <v>30</v>
      </c>
      <c r="Z1356" cm="1">
        <f t="array" ref="Z1356">MIN(IF($C$2:$C$1387=C1356,$X$2:$X$1387))</f>
        <v>14</v>
      </c>
      <c r="AA1356">
        <f t="shared" si="152"/>
        <v>16</v>
      </c>
      <c r="AB1356">
        <f t="shared" si="153"/>
        <v>0.3125</v>
      </c>
    </row>
    <row r="1357" spans="1:28" x14ac:dyDescent="0.25">
      <c r="A1357" t="s">
        <v>478</v>
      </c>
      <c r="B1357" t="s">
        <v>479</v>
      </c>
      <c r="C1357">
        <v>2015</v>
      </c>
      <c r="D1357">
        <v>6.0324787929358401E-2</v>
      </c>
      <c r="E1357">
        <v>0.85644400156034362</v>
      </c>
      <c r="F1357">
        <v>1.4080119942484252E-4</v>
      </c>
      <c r="G1357">
        <v>2.0794415416798357</v>
      </c>
      <c r="H1357">
        <v>0.25</v>
      </c>
      <c r="I1357">
        <v>0.75</v>
      </c>
      <c r="J1357">
        <v>0</v>
      </c>
      <c r="K1357">
        <v>3</v>
      </c>
      <c r="L1357">
        <v>5</v>
      </c>
      <c r="M1357">
        <v>1</v>
      </c>
      <c r="N1357">
        <v>3</v>
      </c>
      <c r="O1357">
        <v>1</v>
      </c>
      <c r="P1357">
        <v>2</v>
      </c>
      <c r="Q1357">
        <f t="shared" si="147"/>
        <v>5</v>
      </c>
      <c r="R1357">
        <f t="shared" si="148"/>
        <v>20</v>
      </c>
      <c r="S1357">
        <f t="array" ref="S1357">MAX(IF($C$2:$C$1387=C1357,$R$2:$R$1387))</f>
        <v>29</v>
      </c>
      <c r="T1357" cm="1">
        <f t="array" ref="T1357">MIN(IF($C$2:$C$1387=C1357,$R$2:$R$1387))</f>
        <v>11</v>
      </c>
      <c r="U1357">
        <f t="shared" si="149"/>
        <v>18</v>
      </c>
      <c r="V1357">
        <f t="shared" si="150"/>
        <v>0.5</v>
      </c>
      <c r="W1357" cm="1">
        <f t="array" ref="W1357">_xlfn.IFS(N1357=1,5,N1357=2,4,N1357=4,2,N1357=5,1,N1357=3,3)</f>
        <v>3</v>
      </c>
      <c r="X1357">
        <f t="shared" si="151"/>
        <v>20</v>
      </c>
      <c r="Y1357" cm="1">
        <f t="array" ref="Y1357">MAX(IF($C$2:$C$1387=C1357,$X$2:$X$1387))</f>
        <v>29</v>
      </c>
      <c r="Z1357" cm="1">
        <f t="array" ref="Z1357">MIN(IF($C$2:$C$1387=C1357,$X$2:$X$1387))</f>
        <v>12</v>
      </c>
      <c r="AA1357">
        <f t="shared" si="152"/>
        <v>17</v>
      </c>
      <c r="AB1357">
        <f t="shared" si="153"/>
        <v>0.47058823529411764</v>
      </c>
    </row>
    <row r="1358" spans="1:28" x14ac:dyDescent="0.25">
      <c r="A1358" t="s">
        <v>480</v>
      </c>
      <c r="B1358" t="s">
        <v>481</v>
      </c>
      <c r="C1358">
        <v>2010</v>
      </c>
      <c r="D1358">
        <v>6.6000002622604373E-3</v>
      </c>
      <c r="E1358">
        <v>0.77670522222222227</v>
      </c>
      <c r="F1358">
        <v>0.1249</v>
      </c>
      <c r="G1358">
        <v>1.9459101490553132</v>
      </c>
      <c r="H1358">
        <v>0.7142857142857143</v>
      </c>
      <c r="I1358">
        <v>1</v>
      </c>
      <c r="J1358">
        <v>0</v>
      </c>
      <c r="K1358">
        <v>2</v>
      </c>
      <c r="L1358">
        <v>4</v>
      </c>
      <c r="M1358">
        <v>4</v>
      </c>
      <c r="N1358">
        <v>1</v>
      </c>
      <c r="O1358">
        <v>4</v>
      </c>
      <c r="P1358">
        <v>3</v>
      </c>
      <c r="Q1358">
        <f t="shared" si="147"/>
        <v>5</v>
      </c>
      <c r="R1358">
        <f t="shared" si="148"/>
        <v>23</v>
      </c>
      <c r="S1358">
        <f t="array" ref="S1358">MAX(IF($C$2:$C$1387=C1358,$R$2:$R$1387))</f>
        <v>29</v>
      </c>
      <c r="T1358" cm="1">
        <f t="array" ref="T1358">MIN(IF($C$2:$C$1387=C1358,$R$2:$R$1387))</f>
        <v>9</v>
      </c>
      <c r="U1358">
        <f t="shared" si="149"/>
        <v>20</v>
      </c>
      <c r="V1358">
        <f t="shared" si="150"/>
        <v>0.7</v>
      </c>
      <c r="W1358" cm="1">
        <f t="array" ref="W1358">_xlfn.IFS(N1358=1,5,N1358=2,4,N1358=4,2,N1358=5,1,N1358=3,3)</f>
        <v>5</v>
      </c>
      <c r="X1358">
        <f t="shared" si="151"/>
        <v>27</v>
      </c>
      <c r="Y1358" cm="1">
        <f t="array" ref="Y1358">MAX(IF($C$2:$C$1387=C1358,$X$2:$X$1387))</f>
        <v>29</v>
      </c>
      <c r="Z1358" cm="1">
        <f t="array" ref="Z1358">MIN(IF($C$2:$C$1387=C1358,$X$2:$X$1387))</f>
        <v>12</v>
      </c>
      <c r="AA1358">
        <f t="shared" si="152"/>
        <v>17</v>
      </c>
      <c r="AB1358">
        <f t="shared" si="153"/>
        <v>0.88235294117647056</v>
      </c>
    </row>
    <row r="1359" spans="1:28" x14ac:dyDescent="0.25">
      <c r="A1359" t="s">
        <v>480</v>
      </c>
      <c r="B1359" t="s">
        <v>481</v>
      </c>
      <c r="C1359">
        <v>2011</v>
      </c>
      <c r="D1359">
        <v>6.6777777777777781E-3</v>
      </c>
      <c r="E1359">
        <v>0.85000044444444445</v>
      </c>
      <c r="F1359">
        <v>0.23713544444444445</v>
      </c>
      <c r="G1359">
        <v>2.0794415416798357</v>
      </c>
      <c r="H1359">
        <v>0.625</v>
      </c>
      <c r="I1359">
        <v>1</v>
      </c>
      <c r="J1359">
        <v>0</v>
      </c>
      <c r="K1359">
        <v>2</v>
      </c>
      <c r="L1359">
        <v>5</v>
      </c>
      <c r="M1359">
        <v>5</v>
      </c>
      <c r="N1359">
        <v>3</v>
      </c>
      <c r="O1359">
        <v>3</v>
      </c>
      <c r="P1359">
        <v>3</v>
      </c>
      <c r="Q1359">
        <f t="shared" si="147"/>
        <v>5</v>
      </c>
      <c r="R1359">
        <f t="shared" si="148"/>
        <v>26</v>
      </c>
      <c r="S1359">
        <f t="array" ref="S1359">MAX(IF($C$2:$C$1387=C1359,$R$2:$R$1387))</f>
        <v>28</v>
      </c>
      <c r="T1359" cm="1">
        <f t="array" ref="T1359">MIN(IF($C$2:$C$1387=C1359,$R$2:$R$1387))</f>
        <v>10</v>
      </c>
      <c r="U1359">
        <f t="shared" si="149"/>
        <v>18</v>
      </c>
      <c r="V1359">
        <f t="shared" si="150"/>
        <v>0.88888888888888884</v>
      </c>
      <c r="W1359" cm="1">
        <f t="array" ref="W1359">_xlfn.IFS(N1359=1,5,N1359=2,4,N1359=4,2,N1359=5,1,N1359=3,3)</f>
        <v>3</v>
      </c>
      <c r="X1359">
        <f t="shared" si="151"/>
        <v>26</v>
      </c>
      <c r="Y1359" cm="1">
        <f t="array" ref="Y1359">MAX(IF($C$2:$C$1387=C1359,$X$2:$X$1387))</f>
        <v>29</v>
      </c>
      <c r="Z1359" cm="1">
        <f t="array" ref="Z1359">MIN(IF($C$2:$C$1387=C1359,$X$2:$X$1387))</f>
        <v>12</v>
      </c>
      <c r="AA1359">
        <f t="shared" si="152"/>
        <v>17</v>
      </c>
      <c r="AB1359">
        <f t="shared" si="153"/>
        <v>0.82352941176470584</v>
      </c>
    </row>
    <row r="1360" spans="1:28" x14ac:dyDescent="0.25">
      <c r="A1360" t="s">
        <v>480</v>
      </c>
      <c r="B1360" t="s">
        <v>481</v>
      </c>
      <c r="C1360">
        <v>2012</v>
      </c>
      <c r="D1360">
        <v>6.678333333333333E-3</v>
      </c>
      <c r="E1360">
        <v>0.86957099999999998</v>
      </c>
      <c r="F1360">
        <v>0.12702111111111111</v>
      </c>
      <c r="G1360">
        <v>2.0794415416798357</v>
      </c>
      <c r="H1360">
        <v>0.625</v>
      </c>
      <c r="I1360">
        <v>1</v>
      </c>
      <c r="J1360">
        <v>0</v>
      </c>
      <c r="K1360">
        <v>2</v>
      </c>
      <c r="L1360">
        <v>5</v>
      </c>
      <c r="M1360">
        <v>4</v>
      </c>
      <c r="N1360">
        <v>3</v>
      </c>
      <c r="O1360">
        <v>3</v>
      </c>
      <c r="P1360">
        <v>3</v>
      </c>
      <c r="Q1360">
        <f t="shared" si="147"/>
        <v>5</v>
      </c>
      <c r="R1360">
        <f t="shared" si="148"/>
        <v>25</v>
      </c>
      <c r="S1360">
        <f t="array" ref="S1360">MAX(IF($C$2:$C$1387=C1360,$R$2:$R$1387))</f>
        <v>29</v>
      </c>
      <c r="T1360" cm="1">
        <f t="array" ref="T1360">MIN(IF($C$2:$C$1387=C1360,$R$2:$R$1387))</f>
        <v>11</v>
      </c>
      <c r="U1360">
        <f t="shared" si="149"/>
        <v>18</v>
      </c>
      <c r="V1360">
        <f t="shared" si="150"/>
        <v>0.77777777777777779</v>
      </c>
      <c r="W1360" cm="1">
        <f t="array" ref="W1360">_xlfn.IFS(N1360=1,5,N1360=2,4,N1360=4,2,N1360=5,1,N1360=3,3)</f>
        <v>3</v>
      </c>
      <c r="X1360">
        <f t="shared" si="151"/>
        <v>25</v>
      </c>
      <c r="Y1360" cm="1">
        <f t="array" ref="Y1360">MAX(IF($C$2:$C$1387=C1360,$X$2:$X$1387))</f>
        <v>30</v>
      </c>
      <c r="Z1360" cm="1">
        <f t="array" ref="Z1360">MIN(IF($C$2:$C$1387=C1360,$X$2:$X$1387))</f>
        <v>12</v>
      </c>
      <c r="AA1360">
        <f t="shared" si="152"/>
        <v>18</v>
      </c>
      <c r="AB1360">
        <f t="shared" si="153"/>
        <v>0.72222222222222221</v>
      </c>
    </row>
    <row r="1361" spans="1:28" x14ac:dyDescent="0.25">
      <c r="A1361" t="s">
        <v>480</v>
      </c>
      <c r="B1361" t="s">
        <v>481</v>
      </c>
      <c r="C1361">
        <v>2013</v>
      </c>
      <c r="D1361">
        <v>6.678333333333333E-3</v>
      </c>
      <c r="E1361">
        <v>0.76861333333333337</v>
      </c>
      <c r="F1361">
        <v>0.22925922222222223</v>
      </c>
      <c r="G1361">
        <v>2.0794415416798357</v>
      </c>
      <c r="H1361">
        <v>0.875</v>
      </c>
      <c r="I1361">
        <v>1</v>
      </c>
      <c r="J1361">
        <v>0</v>
      </c>
      <c r="K1361">
        <v>2</v>
      </c>
      <c r="L1361">
        <v>4</v>
      </c>
      <c r="M1361">
        <v>5</v>
      </c>
      <c r="N1361">
        <v>3</v>
      </c>
      <c r="O1361">
        <v>5</v>
      </c>
      <c r="P1361">
        <v>3</v>
      </c>
      <c r="Q1361">
        <f t="shared" si="147"/>
        <v>5</v>
      </c>
      <c r="R1361">
        <f t="shared" si="148"/>
        <v>27</v>
      </c>
      <c r="S1361">
        <f t="array" ref="S1361">MAX(IF($C$2:$C$1387=C1361,$R$2:$R$1387))</f>
        <v>29</v>
      </c>
      <c r="T1361" cm="1">
        <f t="array" ref="T1361">MIN(IF($C$2:$C$1387=C1361,$R$2:$R$1387))</f>
        <v>10</v>
      </c>
      <c r="U1361">
        <f t="shared" si="149"/>
        <v>19</v>
      </c>
      <c r="V1361">
        <f t="shared" si="150"/>
        <v>0.89473684210526316</v>
      </c>
      <c r="W1361" cm="1">
        <f t="array" ref="W1361">_xlfn.IFS(N1361=1,5,N1361=2,4,N1361=4,2,N1361=5,1,N1361=3,3)</f>
        <v>3</v>
      </c>
      <c r="X1361">
        <f t="shared" si="151"/>
        <v>27</v>
      </c>
      <c r="Y1361" cm="1">
        <f t="array" ref="Y1361">MAX(IF($C$2:$C$1387=C1361,$X$2:$X$1387))</f>
        <v>32</v>
      </c>
      <c r="Z1361" cm="1">
        <f t="array" ref="Z1361">MIN(IF($C$2:$C$1387=C1361,$X$2:$X$1387))</f>
        <v>10</v>
      </c>
      <c r="AA1361">
        <f t="shared" si="152"/>
        <v>22</v>
      </c>
      <c r="AB1361">
        <f t="shared" si="153"/>
        <v>0.77272727272727271</v>
      </c>
    </row>
    <row r="1362" spans="1:28" x14ac:dyDescent="0.25">
      <c r="A1362" t="s">
        <v>480</v>
      </c>
      <c r="B1362" t="s">
        <v>481</v>
      </c>
      <c r="C1362">
        <v>2014</v>
      </c>
      <c r="D1362">
        <v>6.678333333333333E-3</v>
      </c>
      <c r="E1362">
        <v>0.7918911111111111</v>
      </c>
      <c r="F1362">
        <v>0.15425377777777777</v>
      </c>
      <c r="G1362">
        <v>2.0794415416798357</v>
      </c>
      <c r="H1362">
        <v>0.875</v>
      </c>
      <c r="I1362">
        <v>1</v>
      </c>
      <c r="J1362">
        <v>0</v>
      </c>
      <c r="K1362">
        <v>2</v>
      </c>
      <c r="L1362">
        <v>4</v>
      </c>
      <c r="M1362">
        <v>5</v>
      </c>
      <c r="N1362">
        <v>3</v>
      </c>
      <c r="O1362">
        <v>5</v>
      </c>
      <c r="P1362">
        <v>3</v>
      </c>
      <c r="Q1362">
        <f t="shared" si="147"/>
        <v>5</v>
      </c>
      <c r="R1362">
        <f t="shared" si="148"/>
        <v>27</v>
      </c>
      <c r="S1362">
        <f t="array" ref="S1362">MAX(IF($C$2:$C$1387=C1362,$R$2:$R$1387))</f>
        <v>29</v>
      </c>
      <c r="T1362" cm="1">
        <f t="array" ref="T1362">MIN(IF($C$2:$C$1387=C1362,$R$2:$R$1387))</f>
        <v>11</v>
      </c>
      <c r="U1362">
        <f t="shared" si="149"/>
        <v>18</v>
      </c>
      <c r="V1362">
        <f t="shared" si="150"/>
        <v>0.88888888888888884</v>
      </c>
      <c r="W1362" cm="1">
        <f t="array" ref="W1362">_xlfn.IFS(N1362=1,5,N1362=2,4,N1362=4,2,N1362=5,1,N1362=3,3)</f>
        <v>3</v>
      </c>
      <c r="X1362">
        <f t="shared" si="151"/>
        <v>27</v>
      </c>
      <c r="Y1362" cm="1">
        <f t="array" ref="Y1362">MAX(IF($C$2:$C$1387=C1362,$X$2:$X$1387))</f>
        <v>30</v>
      </c>
      <c r="Z1362" cm="1">
        <f t="array" ref="Z1362">MIN(IF($C$2:$C$1387=C1362,$X$2:$X$1387))</f>
        <v>14</v>
      </c>
      <c r="AA1362">
        <f t="shared" si="152"/>
        <v>16</v>
      </c>
      <c r="AB1362">
        <f t="shared" si="153"/>
        <v>0.8125</v>
      </c>
    </row>
    <row r="1363" spans="1:28" x14ac:dyDescent="0.25">
      <c r="A1363" t="s">
        <v>480</v>
      </c>
      <c r="B1363" t="s">
        <v>481</v>
      </c>
      <c r="C1363">
        <v>2015</v>
      </c>
      <c r="D1363">
        <v>5.678333333333333E-3</v>
      </c>
      <c r="E1363">
        <v>0.55226611111111112</v>
      </c>
      <c r="F1363">
        <v>0.14475377777777779</v>
      </c>
      <c r="G1363">
        <v>2.0794415416798357</v>
      </c>
      <c r="H1363">
        <v>0.875</v>
      </c>
      <c r="I1363">
        <v>1</v>
      </c>
      <c r="J1363">
        <v>0</v>
      </c>
      <c r="K1363">
        <v>2</v>
      </c>
      <c r="L1363">
        <v>2</v>
      </c>
      <c r="M1363">
        <v>4</v>
      </c>
      <c r="N1363">
        <v>3</v>
      </c>
      <c r="O1363">
        <v>5</v>
      </c>
      <c r="P1363">
        <v>2</v>
      </c>
      <c r="Q1363">
        <f t="shared" si="147"/>
        <v>5</v>
      </c>
      <c r="R1363">
        <f t="shared" si="148"/>
        <v>23</v>
      </c>
      <c r="S1363">
        <f t="array" ref="S1363">MAX(IF($C$2:$C$1387=C1363,$R$2:$R$1387))</f>
        <v>29</v>
      </c>
      <c r="T1363" cm="1">
        <f t="array" ref="T1363">MIN(IF($C$2:$C$1387=C1363,$R$2:$R$1387))</f>
        <v>11</v>
      </c>
      <c r="U1363">
        <f t="shared" si="149"/>
        <v>18</v>
      </c>
      <c r="V1363">
        <f t="shared" si="150"/>
        <v>0.66666666666666663</v>
      </c>
      <c r="W1363" cm="1">
        <f t="array" ref="W1363">_xlfn.IFS(N1363=1,5,N1363=2,4,N1363=4,2,N1363=5,1,N1363=3,3)</f>
        <v>3</v>
      </c>
      <c r="X1363">
        <f t="shared" si="151"/>
        <v>23</v>
      </c>
      <c r="Y1363" cm="1">
        <f t="array" ref="Y1363">MAX(IF($C$2:$C$1387=C1363,$X$2:$X$1387))</f>
        <v>29</v>
      </c>
      <c r="Z1363" cm="1">
        <f t="array" ref="Z1363">MIN(IF($C$2:$C$1387=C1363,$X$2:$X$1387))</f>
        <v>12</v>
      </c>
      <c r="AA1363">
        <f t="shared" si="152"/>
        <v>17</v>
      </c>
      <c r="AB1363">
        <f t="shared" si="153"/>
        <v>0.6470588235294118</v>
      </c>
    </row>
    <row r="1364" spans="1:28" x14ac:dyDescent="0.25">
      <c r="A1364" t="s">
        <v>482</v>
      </c>
      <c r="B1364" t="s">
        <v>483</v>
      </c>
      <c r="C1364">
        <v>2010</v>
      </c>
      <c r="D1364">
        <v>1.8612863379780501E-4</v>
      </c>
      <c r="E1364">
        <v>0.71688567385799584</v>
      </c>
      <c r="F1364">
        <v>6.988633959116422E-2</v>
      </c>
      <c r="G1364">
        <v>2.3978952727983707</v>
      </c>
      <c r="H1364">
        <v>0.90909090909090906</v>
      </c>
      <c r="I1364">
        <v>1</v>
      </c>
      <c r="J1364">
        <v>0</v>
      </c>
      <c r="K1364">
        <v>1</v>
      </c>
      <c r="L1364">
        <v>3</v>
      </c>
      <c r="M1364">
        <v>3</v>
      </c>
      <c r="N1364">
        <v>5</v>
      </c>
      <c r="O1364">
        <v>5</v>
      </c>
      <c r="P1364">
        <v>3</v>
      </c>
      <c r="Q1364">
        <f t="shared" si="147"/>
        <v>5</v>
      </c>
      <c r="R1364">
        <f t="shared" si="148"/>
        <v>25</v>
      </c>
      <c r="S1364">
        <f t="array" ref="S1364">MAX(IF($C$2:$C$1387=C1364,$R$2:$R$1387))</f>
        <v>29</v>
      </c>
      <c r="T1364" cm="1">
        <f t="array" ref="T1364">MIN(IF($C$2:$C$1387=C1364,$R$2:$R$1387))</f>
        <v>9</v>
      </c>
      <c r="U1364">
        <f t="shared" si="149"/>
        <v>20</v>
      </c>
      <c r="V1364">
        <f t="shared" si="150"/>
        <v>0.8</v>
      </c>
      <c r="W1364" cm="1">
        <f t="array" ref="W1364">_xlfn.IFS(N1364=1,5,N1364=2,4,N1364=4,2,N1364=5,1,N1364=3,3)</f>
        <v>1</v>
      </c>
      <c r="X1364">
        <f t="shared" si="151"/>
        <v>21</v>
      </c>
      <c r="Y1364" cm="1">
        <f t="array" ref="Y1364">MAX(IF($C$2:$C$1387=C1364,$X$2:$X$1387))</f>
        <v>29</v>
      </c>
      <c r="Z1364" cm="1">
        <f t="array" ref="Z1364">MIN(IF($C$2:$C$1387=C1364,$X$2:$X$1387))</f>
        <v>12</v>
      </c>
      <c r="AA1364">
        <f t="shared" si="152"/>
        <v>17</v>
      </c>
      <c r="AB1364">
        <f t="shared" si="153"/>
        <v>0.52941176470588236</v>
      </c>
    </row>
    <row r="1365" spans="1:28" x14ac:dyDescent="0.25">
      <c r="A1365" t="s">
        <v>482</v>
      </c>
      <c r="B1365" t="s">
        <v>483</v>
      </c>
      <c r="C1365">
        <v>2011</v>
      </c>
      <c r="D1365">
        <v>1.4310257560198834E-4</v>
      </c>
      <c r="E1365">
        <v>0.72148983741691664</v>
      </c>
      <c r="F1365">
        <v>4.8509654769388122E-2</v>
      </c>
      <c r="G1365">
        <v>2.1972245773362196</v>
      </c>
      <c r="H1365">
        <v>0.88888888888888884</v>
      </c>
      <c r="I1365">
        <v>1</v>
      </c>
      <c r="J1365">
        <v>0</v>
      </c>
      <c r="K1365">
        <v>1</v>
      </c>
      <c r="L1365">
        <v>3</v>
      </c>
      <c r="M1365">
        <v>3</v>
      </c>
      <c r="N1365">
        <v>4</v>
      </c>
      <c r="O1365">
        <v>5</v>
      </c>
      <c r="P1365">
        <v>3</v>
      </c>
      <c r="Q1365">
        <f t="shared" si="147"/>
        <v>5</v>
      </c>
      <c r="R1365">
        <f t="shared" si="148"/>
        <v>24</v>
      </c>
      <c r="S1365">
        <f t="array" ref="S1365">MAX(IF($C$2:$C$1387=C1365,$R$2:$R$1387))</f>
        <v>28</v>
      </c>
      <c r="T1365" cm="1">
        <f t="array" ref="T1365">MIN(IF($C$2:$C$1387=C1365,$R$2:$R$1387))</f>
        <v>10</v>
      </c>
      <c r="U1365">
        <f t="shared" si="149"/>
        <v>18</v>
      </c>
      <c r="V1365">
        <f t="shared" si="150"/>
        <v>0.77777777777777779</v>
      </c>
      <c r="W1365" cm="1">
        <f t="array" ref="W1365">_xlfn.IFS(N1365=1,5,N1365=2,4,N1365=4,2,N1365=5,1,N1365=3,3)</f>
        <v>2</v>
      </c>
      <c r="X1365">
        <f t="shared" si="151"/>
        <v>22</v>
      </c>
      <c r="Y1365" cm="1">
        <f t="array" ref="Y1365">MAX(IF($C$2:$C$1387=C1365,$X$2:$X$1387))</f>
        <v>29</v>
      </c>
      <c r="Z1365" cm="1">
        <f t="array" ref="Z1365">MIN(IF($C$2:$C$1387=C1365,$X$2:$X$1387))</f>
        <v>12</v>
      </c>
      <c r="AA1365">
        <f t="shared" si="152"/>
        <v>17</v>
      </c>
      <c r="AB1365">
        <f t="shared" si="153"/>
        <v>0.58823529411764708</v>
      </c>
    </row>
    <row r="1366" spans="1:28" x14ac:dyDescent="0.25">
      <c r="A1366" t="s">
        <v>482</v>
      </c>
      <c r="B1366" t="s">
        <v>483</v>
      </c>
      <c r="C1366">
        <v>2012</v>
      </c>
      <c r="D1366">
        <v>1.4310257560198834E-4</v>
      </c>
      <c r="E1366">
        <v>0.71237717230828201</v>
      </c>
      <c r="F1366">
        <v>3.4775567803392998E-2</v>
      </c>
      <c r="G1366">
        <v>2.1972245773362196</v>
      </c>
      <c r="H1366">
        <v>0.77777777777777779</v>
      </c>
      <c r="I1366">
        <v>1</v>
      </c>
      <c r="J1366">
        <v>0</v>
      </c>
      <c r="K1366">
        <v>1</v>
      </c>
      <c r="L1366">
        <v>3</v>
      </c>
      <c r="M1366">
        <v>3</v>
      </c>
      <c r="N1366">
        <v>4</v>
      </c>
      <c r="O1366">
        <v>5</v>
      </c>
      <c r="P1366">
        <v>3</v>
      </c>
      <c r="Q1366">
        <f t="shared" si="147"/>
        <v>5</v>
      </c>
      <c r="R1366">
        <f t="shared" si="148"/>
        <v>24</v>
      </c>
      <c r="S1366">
        <f t="array" ref="S1366">MAX(IF($C$2:$C$1387=C1366,$R$2:$R$1387))</f>
        <v>29</v>
      </c>
      <c r="T1366" cm="1">
        <f t="array" ref="T1366">MIN(IF($C$2:$C$1387=C1366,$R$2:$R$1387))</f>
        <v>11</v>
      </c>
      <c r="U1366">
        <f t="shared" si="149"/>
        <v>18</v>
      </c>
      <c r="V1366">
        <f t="shared" si="150"/>
        <v>0.72222222222222221</v>
      </c>
      <c r="W1366" cm="1">
        <f t="array" ref="W1366">_xlfn.IFS(N1366=1,5,N1366=2,4,N1366=4,2,N1366=5,1,N1366=3,3)</f>
        <v>2</v>
      </c>
      <c r="X1366">
        <f t="shared" si="151"/>
        <v>22</v>
      </c>
      <c r="Y1366" cm="1">
        <f t="array" ref="Y1366">MAX(IF($C$2:$C$1387=C1366,$X$2:$X$1387))</f>
        <v>30</v>
      </c>
      <c r="Z1366" cm="1">
        <f t="array" ref="Z1366">MIN(IF($C$2:$C$1387=C1366,$X$2:$X$1387))</f>
        <v>12</v>
      </c>
      <c r="AA1366">
        <f t="shared" si="152"/>
        <v>18</v>
      </c>
      <c r="AB1366">
        <f t="shared" si="153"/>
        <v>0.55555555555555558</v>
      </c>
    </row>
    <row r="1367" spans="1:28" x14ac:dyDescent="0.25">
      <c r="A1367" t="s">
        <v>482</v>
      </c>
      <c r="B1367" t="s">
        <v>483</v>
      </c>
      <c r="C1367">
        <v>2013</v>
      </c>
      <c r="D1367">
        <v>1.4310257560198834E-4</v>
      </c>
      <c r="E1367">
        <v>0.75268071765698807</v>
      </c>
      <c r="F1367">
        <v>6.3855450906611641E-2</v>
      </c>
      <c r="G1367">
        <v>2.1972245773362196</v>
      </c>
      <c r="H1367">
        <v>0.77777777777777779</v>
      </c>
      <c r="I1367">
        <v>1</v>
      </c>
      <c r="J1367">
        <v>0</v>
      </c>
      <c r="K1367">
        <v>1</v>
      </c>
      <c r="L1367">
        <v>4</v>
      </c>
      <c r="M1367">
        <v>3</v>
      </c>
      <c r="N1367">
        <v>4</v>
      </c>
      <c r="O1367">
        <v>5</v>
      </c>
      <c r="P1367">
        <v>3</v>
      </c>
      <c r="Q1367">
        <f t="shared" si="147"/>
        <v>5</v>
      </c>
      <c r="R1367">
        <f t="shared" si="148"/>
        <v>25</v>
      </c>
      <c r="S1367">
        <f t="array" ref="S1367">MAX(IF($C$2:$C$1387=C1367,$R$2:$R$1387))</f>
        <v>29</v>
      </c>
      <c r="T1367" cm="1">
        <f t="array" ref="T1367">MIN(IF($C$2:$C$1387=C1367,$R$2:$R$1387))</f>
        <v>10</v>
      </c>
      <c r="U1367">
        <f t="shared" si="149"/>
        <v>19</v>
      </c>
      <c r="V1367">
        <f t="shared" si="150"/>
        <v>0.78947368421052633</v>
      </c>
      <c r="W1367" cm="1">
        <f t="array" ref="W1367">_xlfn.IFS(N1367=1,5,N1367=2,4,N1367=4,2,N1367=5,1,N1367=3,3)</f>
        <v>2</v>
      </c>
      <c r="X1367">
        <f t="shared" si="151"/>
        <v>23</v>
      </c>
      <c r="Y1367" cm="1">
        <f t="array" ref="Y1367">MAX(IF($C$2:$C$1387=C1367,$X$2:$X$1387))</f>
        <v>32</v>
      </c>
      <c r="Z1367" cm="1">
        <f t="array" ref="Z1367">MIN(IF($C$2:$C$1387=C1367,$X$2:$X$1387))</f>
        <v>10</v>
      </c>
      <c r="AA1367">
        <f t="shared" si="152"/>
        <v>22</v>
      </c>
      <c r="AB1367">
        <f t="shared" si="153"/>
        <v>0.59090909090909094</v>
      </c>
    </row>
    <row r="1368" spans="1:28" x14ac:dyDescent="0.25">
      <c r="A1368" t="s">
        <v>482</v>
      </c>
      <c r="B1368" t="s">
        <v>483</v>
      </c>
      <c r="C1368">
        <v>2014</v>
      </c>
      <c r="D1368">
        <v>1.5356074190664036E-4</v>
      </c>
      <c r="E1368">
        <v>0.60964071093996341</v>
      </c>
      <c r="F1368">
        <v>5.9131845792343811E-2</v>
      </c>
      <c r="G1368">
        <v>2.1972245773362196</v>
      </c>
      <c r="H1368">
        <v>0.77777777777777779</v>
      </c>
      <c r="I1368">
        <v>1</v>
      </c>
      <c r="J1368">
        <v>0</v>
      </c>
      <c r="K1368">
        <v>1</v>
      </c>
      <c r="L1368">
        <v>3</v>
      </c>
      <c r="M1368">
        <v>3</v>
      </c>
      <c r="N1368">
        <v>4</v>
      </c>
      <c r="O1368">
        <v>5</v>
      </c>
      <c r="P1368">
        <v>3</v>
      </c>
      <c r="Q1368">
        <f t="shared" si="147"/>
        <v>5</v>
      </c>
      <c r="R1368">
        <f t="shared" si="148"/>
        <v>24</v>
      </c>
      <c r="S1368">
        <f t="array" ref="S1368">MAX(IF($C$2:$C$1387=C1368,$R$2:$R$1387))</f>
        <v>29</v>
      </c>
      <c r="T1368" cm="1">
        <f t="array" ref="T1368">MIN(IF($C$2:$C$1387=C1368,$R$2:$R$1387))</f>
        <v>11</v>
      </c>
      <c r="U1368">
        <f t="shared" si="149"/>
        <v>18</v>
      </c>
      <c r="V1368">
        <f t="shared" si="150"/>
        <v>0.72222222222222221</v>
      </c>
      <c r="W1368" cm="1">
        <f t="array" ref="W1368">_xlfn.IFS(N1368=1,5,N1368=2,4,N1368=4,2,N1368=5,1,N1368=3,3)</f>
        <v>2</v>
      </c>
      <c r="X1368">
        <f t="shared" si="151"/>
        <v>22</v>
      </c>
      <c r="Y1368" cm="1">
        <f t="array" ref="Y1368">MAX(IF($C$2:$C$1387=C1368,$X$2:$X$1387))</f>
        <v>30</v>
      </c>
      <c r="Z1368" cm="1">
        <f t="array" ref="Z1368">MIN(IF($C$2:$C$1387=C1368,$X$2:$X$1387))</f>
        <v>14</v>
      </c>
      <c r="AA1368">
        <f t="shared" si="152"/>
        <v>16</v>
      </c>
      <c r="AB1368">
        <f t="shared" si="153"/>
        <v>0.5</v>
      </c>
    </row>
    <row r="1369" spans="1:28" x14ac:dyDescent="0.25">
      <c r="A1369" t="s">
        <v>482</v>
      </c>
      <c r="B1369" t="s">
        <v>483</v>
      </c>
      <c r="C1369">
        <v>2015</v>
      </c>
      <c r="D1369">
        <v>1.5356074190664036E-4</v>
      </c>
      <c r="E1369">
        <v>0.60964071093996341</v>
      </c>
      <c r="F1369">
        <v>5.9131845792343811E-2</v>
      </c>
      <c r="G1369">
        <v>2.1972245773362196</v>
      </c>
      <c r="H1369">
        <v>0.77777777777777779</v>
      </c>
      <c r="I1369">
        <v>1</v>
      </c>
      <c r="J1369">
        <v>0</v>
      </c>
      <c r="K1369">
        <v>1</v>
      </c>
      <c r="L1369">
        <v>3</v>
      </c>
      <c r="M1369">
        <v>3</v>
      </c>
      <c r="N1369">
        <v>4</v>
      </c>
      <c r="O1369">
        <v>4</v>
      </c>
      <c r="P1369">
        <v>2</v>
      </c>
      <c r="Q1369">
        <f t="shared" si="147"/>
        <v>5</v>
      </c>
      <c r="R1369">
        <f t="shared" si="148"/>
        <v>22</v>
      </c>
      <c r="S1369">
        <f t="array" ref="S1369">MAX(IF($C$2:$C$1387=C1369,$R$2:$R$1387))</f>
        <v>29</v>
      </c>
      <c r="T1369" cm="1">
        <f t="array" ref="T1369">MIN(IF($C$2:$C$1387=C1369,$R$2:$R$1387))</f>
        <v>11</v>
      </c>
      <c r="U1369">
        <f t="shared" si="149"/>
        <v>18</v>
      </c>
      <c r="V1369">
        <f t="shared" si="150"/>
        <v>0.61111111111111116</v>
      </c>
      <c r="W1369" cm="1">
        <f t="array" ref="W1369">_xlfn.IFS(N1369=1,5,N1369=2,4,N1369=4,2,N1369=5,1,N1369=3,3)</f>
        <v>2</v>
      </c>
      <c r="X1369">
        <f t="shared" si="151"/>
        <v>20</v>
      </c>
      <c r="Y1369" cm="1">
        <f t="array" ref="Y1369">MAX(IF($C$2:$C$1387=C1369,$X$2:$X$1387))</f>
        <v>29</v>
      </c>
      <c r="Z1369" cm="1">
        <f t="array" ref="Z1369">MIN(IF($C$2:$C$1387=C1369,$X$2:$X$1387))</f>
        <v>12</v>
      </c>
      <c r="AA1369">
        <f t="shared" si="152"/>
        <v>17</v>
      </c>
      <c r="AB1369">
        <f t="shared" si="153"/>
        <v>0.47058823529411764</v>
      </c>
    </row>
    <row r="1370" spans="1:28" x14ac:dyDescent="0.25">
      <c r="A1370" t="s">
        <v>484</v>
      </c>
      <c r="B1370" t="s">
        <v>485</v>
      </c>
      <c r="C1370">
        <v>2010</v>
      </c>
      <c r="D1370">
        <v>0</v>
      </c>
      <c r="E1370">
        <v>0.50407953241714143</v>
      </c>
      <c r="F1370">
        <v>0</v>
      </c>
      <c r="G1370">
        <v>1.9459101490553132</v>
      </c>
      <c r="H1370">
        <v>0.42857142857142855</v>
      </c>
      <c r="I1370">
        <v>0.66666666666666663</v>
      </c>
      <c r="J1370">
        <v>1</v>
      </c>
      <c r="K1370">
        <v>1</v>
      </c>
      <c r="L1370">
        <v>2</v>
      </c>
      <c r="M1370">
        <v>1</v>
      </c>
      <c r="N1370">
        <v>1</v>
      </c>
      <c r="O1370">
        <v>2</v>
      </c>
      <c r="P1370">
        <v>1</v>
      </c>
      <c r="Q1370">
        <f t="shared" si="147"/>
        <v>1</v>
      </c>
      <c r="R1370">
        <f t="shared" si="148"/>
        <v>9</v>
      </c>
      <c r="S1370">
        <f t="array" ref="S1370">MAX(IF($C$2:$C$1387=C1370,$R$2:$R$1387))</f>
        <v>29</v>
      </c>
      <c r="T1370" cm="1">
        <f t="array" ref="T1370">MIN(IF($C$2:$C$1387=C1370,$R$2:$R$1387))</f>
        <v>9</v>
      </c>
      <c r="U1370">
        <f t="shared" si="149"/>
        <v>20</v>
      </c>
      <c r="V1370">
        <f t="shared" si="150"/>
        <v>0</v>
      </c>
      <c r="W1370" cm="1">
        <f t="array" ref="W1370">_xlfn.IFS(N1370=1,5,N1370=2,4,N1370=4,2,N1370=5,1,N1370=3,3)</f>
        <v>5</v>
      </c>
      <c r="X1370">
        <f t="shared" si="151"/>
        <v>13</v>
      </c>
      <c r="Y1370" cm="1">
        <f t="array" ref="Y1370">MAX(IF($C$2:$C$1387=C1370,$X$2:$X$1387))</f>
        <v>29</v>
      </c>
      <c r="Z1370" cm="1">
        <f t="array" ref="Z1370">MIN(IF($C$2:$C$1387=C1370,$X$2:$X$1387))</f>
        <v>12</v>
      </c>
      <c r="AA1370">
        <f t="shared" si="152"/>
        <v>17</v>
      </c>
      <c r="AB1370">
        <f t="shared" si="153"/>
        <v>5.8823529411764705E-2</v>
      </c>
    </row>
    <row r="1371" spans="1:28" x14ac:dyDescent="0.25">
      <c r="A1371" t="s">
        <v>484</v>
      </c>
      <c r="B1371" t="s">
        <v>485</v>
      </c>
      <c r="C1371">
        <v>2011</v>
      </c>
      <c r="D1371">
        <v>7.7377112834823084E-5</v>
      </c>
      <c r="E1371">
        <v>0.87635629768804224</v>
      </c>
      <c r="F1371">
        <v>0.10619657022430218</v>
      </c>
      <c r="G1371">
        <v>1.9459101490553132</v>
      </c>
      <c r="H1371">
        <v>0.42857142857142855</v>
      </c>
      <c r="I1371">
        <v>0.66666666666666663</v>
      </c>
      <c r="J1371">
        <v>1</v>
      </c>
      <c r="K1371">
        <v>1</v>
      </c>
      <c r="L1371">
        <v>5</v>
      </c>
      <c r="M1371">
        <v>4</v>
      </c>
      <c r="N1371">
        <v>1</v>
      </c>
      <c r="O1371">
        <v>2</v>
      </c>
      <c r="P1371">
        <v>1</v>
      </c>
      <c r="Q1371">
        <f t="shared" si="147"/>
        <v>1</v>
      </c>
      <c r="R1371">
        <f t="shared" si="148"/>
        <v>15</v>
      </c>
      <c r="S1371">
        <f t="array" ref="S1371">MAX(IF($C$2:$C$1387=C1371,$R$2:$R$1387))</f>
        <v>28</v>
      </c>
      <c r="T1371" cm="1">
        <f t="array" ref="T1371">MIN(IF($C$2:$C$1387=C1371,$R$2:$R$1387))</f>
        <v>10</v>
      </c>
      <c r="U1371">
        <f t="shared" si="149"/>
        <v>18</v>
      </c>
      <c r="V1371">
        <f t="shared" si="150"/>
        <v>0.27777777777777779</v>
      </c>
      <c r="W1371" cm="1">
        <f t="array" ref="W1371">_xlfn.IFS(N1371=1,5,N1371=2,4,N1371=4,2,N1371=5,1,N1371=3,3)</f>
        <v>5</v>
      </c>
      <c r="X1371">
        <f t="shared" si="151"/>
        <v>19</v>
      </c>
      <c r="Y1371" cm="1">
        <f t="array" ref="Y1371">MAX(IF($C$2:$C$1387=C1371,$X$2:$X$1387))</f>
        <v>29</v>
      </c>
      <c r="Z1371" cm="1">
        <f t="array" ref="Z1371">MIN(IF($C$2:$C$1387=C1371,$X$2:$X$1387))</f>
        <v>12</v>
      </c>
      <c r="AA1371">
        <f t="shared" si="152"/>
        <v>17</v>
      </c>
      <c r="AB1371">
        <f t="shared" si="153"/>
        <v>0.41176470588235292</v>
      </c>
    </row>
    <row r="1372" spans="1:28" x14ac:dyDescent="0.25">
      <c r="A1372" t="s">
        <v>484</v>
      </c>
      <c r="B1372" t="s">
        <v>485</v>
      </c>
      <c r="C1372">
        <v>2012</v>
      </c>
      <c r="D1372">
        <v>9.2149107103289306E-5</v>
      </c>
      <c r="E1372">
        <v>0.87635629768804224</v>
      </c>
      <c r="F1372">
        <v>0.15048371246946243</v>
      </c>
      <c r="G1372">
        <v>1.9459101490553132</v>
      </c>
      <c r="H1372">
        <v>0.42857142857142855</v>
      </c>
      <c r="I1372">
        <v>0.66666666666666663</v>
      </c>
      <c r="J1372">
        <v>1</v>
      </c>
      <c r="K1372">
        <v>1</v>
      </c>
      <c r="L1372">
        <v>5</v>
      </c>
      <c r="M1372">
        <v>5</v>
      </c>
      <c r="N1372">
        <v>1</v>
      </c>
      <c r="O1372">
        <v>2</v>
      </c>
      <c r="P1372">
        <v>1</v>
      </c>
      <c r="Q1372">
        <f t="shared" si="147"/>
        <v>1</v>
      </c>
      <c r="R1372">
        <f t="shared" si="148"/>
        <v>16</v>
      </c>
      <c r="S1372">
        <f t="array" ref="S1372">MAX(IF($C$2:$C$1387=C1372,$R$2:$R$1387))</f>
        <v>29</v>
      </c>
      <c r="T1372" cm="1">
        <f t="array" ref="T1372">MIN(IF($C$2:$C$1387=C1372,$R$2:$R$1387))</f>
        <v>11</v>
      </c>
      <c r="U1372">
        <f t="shared" si="149"/>
        <v>18</v>
      </c>
      <c r="V1372">
        <f t="shared" si="150"/>
        <v>0.27777777777777779</v>
      </c>
      <c r="W1372" cm="1">
        <f t="array" ref="W1372">_xlfn.IFS(N1372=1,5,N1372=2,4,N1372=4,2,N1372=5,1,N1372=3,3)</f>
        <v>5</v>
      </c>
      <c r="X1372">
        <f t="shared" si="151"/>
        <v>20</v>
      </c>
      <c r="Y1372" cm="1">
        <f t="array" ref="Y1372">MAX(IF($C$2:$C$1387=C1372,$X$2:$X$1387))</f>
        <v>30</v>
      </c>
      <c r="Z1372" cm="1">
        <f t="array" ref="Z1372">MIN(IF($C$2:$C$1387=C1372,$X$2:$X$1387))</f>
        <v>12</v>
      </c>
      <c r="AA1372">
        <f t="shared" si="152"/>
        <v>18</v>
      </c>
      <c r="AB1372">
        <f t="shared" si="153"/>
        <v>0.44444444444444442</v>
      </c>
    </row>
    <row r="1373" spans="1:28" x14ac:dyDescent="0.25">
      <c r="A1373" t="s">
        <v>484</v>
      </c>
      <c r="B1373" t="s">
        <v>485</v>
      </c>
      <c r="C1373">
        <v>2013</v>
      </c>
      <c r="D1373">
        <v>9.2149107103289306E-5</v>
      </c>
      <c r="E1373">
        <v>0.87819857640180954</v>
      </c>
      <c r="F1373">
        <v>0.13504979217210922</v>
      </c>
      <c r="G1373">
        <v>1.9459101490553132</v>
      </c>
      <c r="H1373">
        <v>0.42857142857142855</v>
      </c>
      <c r="I1373">
        <v>1</v>
      </c>
      <c r="J1373">
        <v>0</v>
      </c>
      <c r="K1373">
        <v>1</v>
      </c>
      <c r="L1373">
        <v>5</v>
      </c>
      <c r="M1373">
        <v>4</v>
      </c>
      <c r="N1373">
        <v>1</v>
      </c>
      <c r="O1373">
        <v>1</v>
      </c>
      <c r="P1373">
        <v>3</v>
      </c>
      <c r="Q1373">
        <f t="shared" si="147"/>
        <v>5</v>
      </c>
      <c r="R1373">
        <f t="shared" si="148"/>
        <v>20</v>
      </c>
      <c r="S1373">
        <f t="array" ref="S1373">MAX(IF($C$2:$C$1387=C1373,$R$2:$R$1387))</f>
        <v>29</v>
      </c>
      <c r="T1373" cm="1">
        <f t="array" ref="T1373">MIN(IF($C$2:$C$1387=C1373,$R$2:$R$1387))</f>
        <v>10</v>
      </c>
      <c r="U1373">
        <f t="shared" si="149"/>
        <v>19</v>
      </c>
      <c r="V1373">
        <f t="shared" si="150"/>
        <v>0.52631578947368418</v>
      </c>
      <c r="W1373" cm="1">
        <f t="array" ref="W1373">_xlfn.IFS(N1373=1,5,N1373=2,4,N1373=4,2,N1373=5,1,N1373=3,3)</f>
        <v>5</v>
      </c>
      <c r="X1373">
        <f t="shared" si="151"/>
        <v>24</v>
      </c>
      <c r="Y1373" cm="1">
        <f t="array" ref="Y1373">MAX(IF($C$2:$C$1387=C1373,$X$2:$X$1387))</f>
        <v>32</v>
      </c>
      <c r="Z1373" cm="1">
        <f t="array" ref="Z1373">MIN(IF($C$2:$C$1387=C1373,$X$2:$X$1387))</f>
        <v>10</v>
      </c>
      <c r="AA1373">
        <f t="shared" si="152"/>
        <v>22</v>
      </c>
      <c r="AB1373">
        <f t="shared" si="153"/>
        <v>0.63636363636363635</v>
      </c>
    </row>
    <row r="1374" spans="1:28" x14ac:dyDescent="0.25">
      <c r="A1374" t="s">
        <v>484</v>
      </c>
      <c r="B1374" t="s">
        <v>485</v>
      </c>
      <c r="C1374">
        <v>2014</v>
      </c>
      <c r="D1374">
        <v>1.259136654312121E-4</v>
      </c>
      <c r="E1374">
        <v>0.87701048600564568</v>
      </c>
      <c r="F1374">
        <v>0.1559978869013913</v>
      </c>
      <c r="G1374">
        <v>1.9459101490553132</v>
      </c>
      <c r="H1374">
        <v>0.42857142857142855</v>
      </c>
      <c r="I1374">
        <v>1</v>
      </c>
      <c r="J1374">
        <v>0</v>
      </c>
      <c r="K1374">
        <v>1</v>
      </c>
      <c r="L1374">
        <v>5</v>
      </c>
      <c r="M1374">
        <v>5</v>
      </c>
      <c r="N1374">
        <v>1</v>
      </c>
      <c r="O1374">
        <v>1</v>
      </c>
      <c r="P1374">
        <v>3</v>
      </c>
      <c r="Q1374">
        <f t="shared" si="147"/>
        <v>5</v>
      </c>
      <c r="R1374">
        <f t="shared" si="148"/>
        <v>21</v>
      </c>
      <c r="S1374">
        <f t="array" ref="S1374">MAX(IF($C$2:$C$1387=C1374,$R$2:$R$1387))</f>
        <v>29</v>
      </c>
      <c r="T1374" cm="1">
        <f t="array" ref="T1374">MIN(IF($C$2:$C$1387=C1374,$R$2:$R$1387))</f>
        <v>11</v>
      </c>
      <c r="U1374">
        <f t="shared" si="149"/>
        <v>18</v>
      </c>
      <c r="V1374">
        <f t="shared" si="150"/>
        <v>0.55555555555555558</v>
      </c>
      <c r="W1374" cm="1">
        <f t="array" ref="W1374">_xlfn.IFS(N1374=1,5,N1374=2,4,N1374=4,2,N1374=5,1,N1374=3,3)</f>
        <v>5</v>
      </c>
      <c r="X1374">
        <f t="shared" si="151"/>
        <v>25</v>
      </c>
      <c r="Y1374" cm="1">
        <f t="array" ref="Y1374">MAX(IF($C$2:$C$1387=C1374,$X$2:$X$1387))</f>
        <v>30</v>
      </c>
      <c r="Z1374" cm="1">
        <f t="array" ref="Z1374">MIN(IF($C$2:$C$1387=C1374,$X$2:$X$1387))</f>
        <v>14</v>
      </c>
      <c r="AA1374">
        <f t="shared" si="152"/>
        <v>16</v>
      </c>
      <c r="AB1374">
        <f t="shared" si="153"/>
        <v>0.6875</v>
      </c>
    </row>
    <row r="1375" spans="1:28" x14ac:dyDescent="0.25">
      <c r="A1375" t="s">
        <v>484</v>
      </c>
      <c r="B1375" t="s">
        <v>485</v>
      </c>
      <c r="C1375">
        <v>2015</v>
      </c>
      <c r="D1375">
        <v>1.259136654312121E-4</v>
      </c>
      <c r="E1375">
        <v>0.84016913230009094</v>
      </c>
      <c r="F1375">
        <v>0.1564832524273552</v>
      </c>
      <c r="G1375">
        <v>1.9459101490553132</v>
      </c>
      <c r="H1375">
        <v>0.5714285714285714</v>
      </c>
      <c r="I1375">
        <v>1</v>
      </c>
      <c r="J1375">
        <v>0</v>
      </c>
      <c r="K1375">
        <v>1</v>
      </c>
      <c r="L1375">
        <v>4</v>
      </c>
      <c r="M1375">
        <v>5</v>
      </c>
      <c r="N1375">
        <v>1</v>
      </c>
      <c r="O1375">
        <v>1</v>
      </c>
      <c r="P1375">
        <v>2</v>
      </c>
      <c r="Q1375">
        <f t="shared" si="147"/>
        <v>5</v>
      </c>
      <c r="R1375">
        <f t="shared" si="148"/>
        <v>19</v>
      </c>
      <c r="S1375">
        <f t="array" ref="S1375">MAX(IF($C$2:$C$1387=C1375,$R$2:$R$1387))</f>
        <v>29</v>
      </c>
      <c r="T1375" cm="1">
        <f t="array" ref="T1375">MIN(IF($C$2:$C$1387=C1375,$R$2:$R$1387))</f>
        <v>11</v>
      </c>
      <c r="U1375">
        <f t="shared" si="149"/>
        <v>18</v>
      </c>
      <c r="V1375">
        <f t="shared" si="150"/>
        <v>0.44444444444444442</v>
      </c>
      <c r="W1375" cm="1">
        <f t="array" ref="W1375">_xlfn.IFS(N1375=1,5,N1375=2,4,N1375=4,2,N1375=5,1,N1375=3,3)</f>
        <v>5</v>
      </c>
      <c r="X1375">
        <f t="shared" si="151"/>
        <v>23</v>
      </c>
      <c r="Y1375" cm="1">
        <f t="array" ref="Y1375">MAX(IF($C$2:$C$1387=C1375,$X$2:$X$1387))</f>
        <v>29</v>
      </c>
      <c r="Z1375" cm="1">
        <f t="array" ref="Z1375">MIN(IF($C$2:$C$1387=C1375,$X$2:$X$1387))</f>
        <v>12</v>
      </c>
      <c r="AA1375">
        <f t="shared" si="152"/>
        <v>17</v>
      </c>
      <c r="AB1375">
        <f t="shared" si="153"/>
        <v>0.6470588235294118</v>
      </c>
    </row>
    <row r="1376" spans="1:28" x14ac:dyDescent="0.25">
      <c r="A1376" t="s">
        <v>486</v>
      </c>
      <c r="B1376" t="s">
        <v>487</v>
      </c>
      <c r="C1376">
        <v>2010</v>
      </c>
      <c r="D1376">
        <v>0.12446506386175808</v>
      </c>
      <c r="E1376">
        <v>0.55557062359128473</v>
      </c>
      <c r="F1376">
        <v>0.10660612321562735</v>
      </c>
      <c r="G1376">
        <v>2.0794415416798357</v>
      </c>
      <c r="H1376">
        <v>0.875</v>
      </c>
      <c r="I1376">
        <v>1</v>
      </c>
      <c r="J1376">
        <v>1</v>
      </c>
      <c r="K1376">
        <v>3</v>
      </c>
      <c r="L1376">
        <v>2</v>
      </c>
      <c r="M1376">
        <v>4</v>
      </c>
      <c r="N1376">
        <v>3</v>
      </c>
      <c r="O1376">
        <v>5</v>
      </c>
      <c r="P1376">
        <v>3</v>
      </c>
      <c r="Q1376">
        <f t="shared" si="147"/>
        <v>1</v>
      </c>
      <c r="R1376">
        <f t="shared" si="148"/>
        <v>21</v>
      </c>
      <c r="S1376">
        <f t="array" ref="S1376">MAX(IF($C$2:$C$1387=C1376,$R$2:$R$1387))</f>
        <v>29</v>
      </c>
      <c r="T1376" cm="1">
        <f t="array" ref="T1376">MIN(IF($C$2:$C$1387=C1376,$R$2:$R$1387))</f>
        <v>9</v>
      </c>
      <c r="U1376">
        <f t="shared" si="149"/>
        <v>20</v>
      </c>
      <c r="V1376">
        <f t="shared" si="150"/>
        <v>0.6</v>
      </c>
      <c r="W1376" cm="1">
        <f t="array" ref="W1376">_xlfn.IFS(N1376=1,5,N1376=2,4,N1376=4,2,N1376=5,1,N1376=3,3)</f>
        <v>3</v>
      </c>
      <c r="X1376">
        <f t="shared" si="151"/>
        <v>21</v>
      </c>
      <c r="Y1376" cm="1">
        <f t="array" ref="Y1376">MAX(IF($C$2:$C$1387=C1376,$X$2:$X$1387))</f>
        <v>29</v>
      </c>
      <c r="Z1376" cm="1">
        <f t="array" ref="Z1376">MIN(IF($C$2:$C$1387=C1376,$X$2:$X$1387))</f>
        <v>12</v>
      </c>
      <c r="AA1376">
        <f t="shared" si="152"/>
        <v>17</v>
      </c>
      <c r="AB1376">
        <f t="shared" si="153"/>
        <v>0.52941176470588236</v>
      </c>
    </row>
    <row r="1377" spans="1:28" x14ac:dyDescent="0.25">
      <c r="A1377" t="s">
        <v>486</v>
      </c>
      <c r="B1377" t="s">
        <v>487</v>
      </c>
      <c r="C1377">
        <v>2011</v>
      </c>
      <c r="D1377">
        <v>0.26197238918106686</v>
      </c>
      <c r="E1377">
        <v>0.52659785875281739</v>
      </c>
      <c r="F1377">
        <v>0</v>
      </c>
      <c r="G1377">
        <v>2.0794415416798357</v>
      </c>
      <c r="H1377">
        <v>0.75</v>
      </c>
      <c r="I1377">
        <v>1</v>
      </c>
      <c r="J1377">
        <v>1</v>
      </c>
      <c r="K1377">
        <v>3</v>
      </c>
      <c r="L1377">
        <v>2</v>
      </c>
      <c r="M1377">
        <v>1</v>
      </c>
      <c r="N1377">
        <v>3</v>
      </c>
      <c r="O1377">
        <v>4</v>
      </c>
      <c r="P1377">
        <v>3</v>
      </c>
      <c r="Q1377">
        <f t="shared" si="147"/>
        <v>1</v>
      </c>
      <c r="R1377">
        <f t="shared" si="148"/>
        <v>17</v>
      </c>
      <c r="S1377">
        <f t="array" ref="S1377">MAX(IF($C$2:$C$1387=C1377,$R$2:$R$1387))</f>
        <v>28</v>
      </c>
      <c r="T1377" cm="1">
        <f t="array" ref="T1377">MIN(IF($C$2:$C$1387=C1377,$R$2:$R$1387))</f>
        <v>10</v>
      </c>
      <c r="U1377">
        <f t="shared" si="149"/>
        <v>18</v>
      </c>
      <c r="V1377">
        <f t="shared" si="150"/>
        <v>0.3888888888888889</v>
      </c>
      <c r="W1377" cm="1">
        <f t="array" ref="W1377">_xlfn.IFS(N1377=1,5,N1377=2,4,N1377=4,2,N1377=5,1,N1377=3,3)</f>
        <v>3</v>
      </c>
      <c r="X1377">
        <f t="shared" si="151"/>
        <v>17</v>
      </c>
      <c r="Y1377" cm="1">
        <f t="array" ref="Y1377">MAX(IF($C$2:$C$1387=C1377,$X$2:$X$1387))</f>
        <v>29</v>
      </c>
      <c r="Z1377" cm="1">
        <f t="array" ref="Z1377">MIN(IF($C$2:$C$1387=C1377,$X$2:$X$1387))</f>
        <v>12</v>
      </c>
      <c r="AA1377">
        <f t="shared" si="152"/>
        <v>17</v>
      </c>
      <c r="AB1377">
        <f t="shared" si="153"/>
        <v>0.29411764705882354</v>
      </c>
    </row>
    <row r="1378" spans="1:28" x14ac:dyDescent="0.25">
      <c r="A1378" t="s">
        <v>486</v>
      </c>
      <c r="B1378" t="s">
        <v>487</v>
      </c>
      <c r="C1378">
        <v>2012</v>
      </c>
      <c r="D1378">
        <v>0.37607757325319308</v>
      </c>
      <c r="E1378">
        <v>0.61337866265965435</v>
      </c>
      <c r="F1378">
        <v>0.15617430503380916</v>
      </c>
      <c r="G1378">
        <v>2.0794415416798357</v>
      </c>
      <c r="H1378">
        <v>0.375</v>
      </c>
      <c r="I1378">
        <v>1</v>
      </c>
      <c r="J1378">
        <v>1</v>
      </c>
      <c r="K1378">
        <v>4</v>
      </c>
      <c r="L1378">
        <v>3</v>
      </c>
      <c r="M1378">
        <v>5</v>
      </c>
      <c r="N1378">
        <v>3</v>
      </c>
      <c r="O1378">
        <v>1</v>
      </c>
      <c r="P1378">
        <v>3</v>
      </c>
      <c r="Q1378">
        <f t="shared" si="147"/>
        <v>1</v>
      </c>
      <c r="R1378">
        <f t="shared" si="148"/>
        <v>20</v>
      </c>
      <c r="S1378">
        <f t="array" ref="S1378">MAX(IF($C$2:$C$1387=C1378,$R$2:$R$1387))</f>
        <v>29</v>
      </c>
      <c r="T1378" cm="1">
        <f t="array" ref="T1378">MIN(IF($C$2:$C$1387=C1378,$R$2:$R$1387))</f>
        <v>11</v>
      </c>
      <c r="U1378">
        <f t="shared" si="149"/>
        <v>18</v>
      </c>
      <c r="V1378">
        <f t="shared" si="150"/>
        <v>0.5</v>
      </c>
      <c r="W1378" cm="1">
        <f t="array" ref="W1378">_xlfn.IFS(N1378=1,5,N1378=2,4,N1378=4,2,N1378=5,1,N1378=3,3)</f>
        <v>3</v>
      </c>
      <c r="X1378">
        <f t="shared" si="151"/>
        <v>20</v>
      </c>
      <c r="Y1378" cm="1">
        <f t="array" ref="Y1378">MAX(IF($C$2:$C$1387=C1378,$X$2:$X$1387))</f>
        <v>30</v>
      </c>
      <c r="Z1378" cm="1">
        <f t="array" ref="Z1378">MIN(IF($C$2:$C$1387=C1378,$X$2:$X$1387))</f>
        <v>12</v>
      </c>
      <c r="AA1378">
        <f t="shared" si="152"/>
        <v>18</v>
      </c>
      <c r="AB1378">
        <f t="shared" si="153"/>
        <v>0.44444444444444442</v>
      </c>
    </row>
    <row r="1379" spans="1:28" x14ac:dyDescent="0.25">
      <c r="A1379" t="s">
        <v>486</v>
      </c>
      <c r="B1379" t="s">
        <v>487</v>
      </c>
      <c r="C1379">
        <v>2013</v>
      </c>
      <c r="D1379">
        <v>0.47440570999248688</v>
      </c>
      <c r="E1379">
        <v>0.6395822689706987</v>
      </c>
      <c r="F1379">
        <v>3.97137490608565E-2</v>
      </c>
      <c r="G1379">
        <v>2.0794415416798357</v>
      </c>
      <c r="H1379">
        <v>0.5</v>
      </c>
      <c r="I1379">
        <v>1</v>
      </c>
      <c r="J1379">
        <v>1</v>
      </c>
      <c r="K1379">
        <v>4</v>
      </c>
      <c r="L1379">
        <v>3</v>
      </c>
      <c r="M1379">
        <v>3</v>
      </c>
      <c r="N1379">
        <v>3</v>
      </c>
      <c r="O1379">
        <v>2</v>
      </c>
      <c r="P1379">
        <v>3</v>
      </c>
      <c r="Q1379">
        <f t="shared" si="147"/>
        <v>1</v>
      </c>
      <c r="R1379">
        <f t="shared" si="148"/>
        <v>19</v>
      </c>
      <c r="S1379">
        <f t="array" ref="S1379">MAX(IF($C$2:$C$1387=C1379,$R$2:$R$1387))</f>
        <v>29</v>
      </c>
      <c r="T1379" cm="1">
        <f t="array" ref="T1379">MIN(IF($C$2:$C$1387=C1379,$R$2:$R$1387))</f>
        <v>10</v>
      </c>
      <c r="U1379">
        <f t="shared" si="149"/>
        <v>19</v>
      </c>
      <c r="V1379">
        <f t="shared" si="150"/>
        <v>0.47368421052631576</v>
      </c>
      <c r="W1379" cm="1">
        <f t="array" ref="W1379">_xlfn.IFS(N1379=1,5,N1379=2,4,N1379=4,2,N1379=5,1,N1379=3,3)</f>
        <v>3</v>
      </c>
      <c r="X1379">
        <f t="shared" si="151"/>
        <v>19</v>
      </c>
      <c r="Y1379" cm="1">
        <f t="array" ref="Y1379">MAX(IF($C$2:$C$1387=C1379,$X$2:$X$1387))</f>
        <v>32</v>
      </c>
      <c r="Z1379" cm="1">
        <f t="array" ref="Z1379">MIN(IF($C$2:$C$1387=C1379,$X$2:$X$1387))</f>
        <v>10</v>
      </c>
      <c r="AA1379">
        <f t="shared" si="152"/>
        <v>22</v>
      </c>
      <c r="AB1379">
        <f t="shared" si="153"/>
        <v>0.40909090909090912</v>
      </c>
    </row>
    <row r="1380" spans="1:28" x14ac:dyDescent="0.25">
      <c r="A1380" t="s">
        <v>486</v>
      </c>
      <c r="B1380" t="s">
        <v>487</v>
      </c>
      <c r="C1380">
        <v>2014</v>
      </c>
      <c r="D1380">
        <v>0.2131166497893052</v>
      </c>
      <c r="E1380">
        <v>0.63965635514323982</v>
      </c>
      <c r="F1380">
        <v>0.12682700160062718</v>
      </c>
      <c r="G1380">
        <v>2.0794415416798357</v>
      </c>
      <c r="H1380">
        <v>0.5</v>
      </c>
      <c r="I1380">
        <v>1</v>
      </c>
      <c r="J1380">
        <v>0</v>
      </c>
      <c r="K1380">
        <v>3</v>
      </c>
      <c r="L1380">
        <v>3</v>
      </c>
      <c r="M1380">
        <v>4</v>
      </c>
      <c r="N1380">
        <v>3</v>
      </c>
      <c r="O1380">
        <v>2</v>
      </c>
      <c r="P1380">
        <v>3</v>
      </c>
      <c r="Q1380">
        <f t="shared" si="147"/>
        <v>5</v>
      </c>
      <c r="R1380">
        <f t="shared" si="148"/>
        <v>23</v>
      </c>
      <c r="S1380">
        <f t="array" ref="S1380">MAX(IF($C$2:$C$1387=C1380,$R$2:$R$1387))</f>
        <v>29</v>
      </c>
      <c r="T1380" cm="1">
        <f t="array" ref="T1380">MIN(IF($C$2:$C$1387=C1380,$R$2:$R$1387))</f>
        <v>11</v>
      </c>
      <c r="U1380">
        <f t="shared" si="149"/>
        <v>18</v>
      </c>
      <c r="V1380">
        <f t="shared" si="150"/>
        <v>0.66666666666666663</v>
      </c>
      <c r="W1380" cm="1">
        <f t="array" ref="W1380">_xlfn.IFS(N1380=1,5,N1380=2,4,N1380=4,2,N1380=5,1,N1380=3,3)</f>
        <v>3</v>
      </c>
      <c r="X1380">
        <f t="shared" si="151"/>
        <v>23</v>
      </c>
      <c r="Y1380" cm="1">
        <f t="array" ref="Y1380">MAX(IF($C$2:$C$1387=C1380,$X$2:$X$1387))</f>
        <v>30</v>
      </c>
      <c r="Z1380" cm="1">
        <f t="array" ref="Z1380">MIN(IF($C$2:$C$1387=C1380,$X$2:$X$1387))</f>
        <v>14</v>
      </c>
      <c r="AA1380">
        <f t="shared" si="152"/>
        <v>16</v>
      </c>
      <c r="AB1380">
        <f t="shared" si="153"/>
        <v>0.5625</v>
      </c>
    </row>
    <row r="1381" spans="1:28" x14ac:dyDescent="0.25">
      <c r="A1381" t="s">
        <v>486</v>
      </c>
      <c r="B1381" t="s">
        <v>487</v>
      </c>
      <c r="C1381">
        <v>2015</v>
      </c>
      <c r="D1381">
        <v>0.22576242119361056</v>
      </c>
      <c r="E1381">
        <v>0.60580178355600567</v>
      </c>
      <c r="F1381">
        <v>0.13272204618952732</v>
      </c>
      <c r="G1381">
        <v>1.9459101490553132</v>
      </c>
      <c r="H1381">
        <v>1</v>
      </c>
      <c r="I1381">
        <v>1</v>
      </c>
      <c r="J1381">
        <v>0</v>
      </c>
      <c r="K1381">
        <v>3</v>
      </c>
      <c r="L1381">
        <v>3</v>
      </c>
      <c r="M1381">
        <v>4</v>
      </c>
      <c r="N1381">
        <v>1</v>
      </c>
      <c r="O1381">
        <v>5</v>
      </c>
      <c r="P1381">
        <v>2</v>
      </c>
      <c r="Q1381">
        <f t="shared" si="147"/>
        <v>5</v>
      </c>
      <c r="R1381">
        <f t="shared" si="148"/>
        <v>23</v>
      </c>
      <c r="S1381">
        <f t="array" ref="S1381">MAX(IF($C$2:$C$1387=C1381,$R$2:$R$1387))</f>
        <v>29</v>
      </c>
      <c r="T1381" cm="1">
        <f t="array" ref="T1381">MIN(IF($C$2:$C$1387=C1381,$R$2:$R$1387))</f>
        <v>11</v>
      </c>
      <c r="U1381">
        <f t="shared" si="149"/>
        <v>18</v>
      </c>
      <c r="V1381">
        <f t="shared" si="150"/>
        <v>0.66666666666666663</v>
      </c>
      <c r="W1381" cm="1">
        <f t="array" ref="W1381">_xlfn.IFS(N1381=1,5,N1381=2,4,N1381=4,2,N1381=5,1,N1381=3,3)</f>
        <v>5</v>
      </c>
      <c r="X1381">
        <f t="shared" si="151"/>
        <v>27</v>
      </c>
      <c r="Y1381" cm="1">
        <f t="array" ref="Y1381">MAX(IF($C$2:$C$1387=C1381,$X$2:$X$1387))</f>
        <v>29</v>
      </c>
      <c r="Z1381" cm="1">
        <f t="array" ref="Z1381">MIN(IF($C$2:$C$1387=C1381,$X$2:$X$1387))</f>
        <v>12</v>
      </c>
      <c r="AA1381">
        <f t="shared" si="152"/>
        <v>17</v>
      </c>
      <c r="AB1381">
        <f t="shared" si="153"/>
        <v>0.88235294117647056</v>
      </c>
    </row>
    <row r="1382" spans="1:28" x14ac:dyDescent="0.25">
      <c r="A1382" t="s">
        <v>488</v>
      </c>
      <c r="B1382" t="s">
        <v>489</v>
      </c>
      <c r="C1382">
        <v>2010</v>
      </c>
      <c r="D1382">
        <v>0.83958435321744807</v>
      </c>
      <c r="E1382">
        <v>0.75084441062167084</v>
      </c>
      <c r="F1382">
        <v>6.9212282833778935E-2</v>
      </c>
      <c r="G1382">
        <v>1.9459101490553132</v>
      </c>
      <c r="H1382">
        <v>0.2857142857142857</v>
      </c>
      <c r="I1382">
        <v>0.66666666666666663</v>
      </c>
      <c r="J1382">
        <v>1</v>
      </c>
      <c r="K1382">
        <v>5</v>
      </c>
      <c r="L1382">
        <v>4</v>
      </c>
      <c r="M1382">
        <v>3</v>
      </c>
      <c r="N1382">
        <v>1</v>
      </c>
      <c r="O1382">
        <v>1</v>
      </c>
      <c r="P1382">
        <v>1</v>
      </c>
      <c r="Q1382">
        <f t="shared" si="147"/>
        <v>1</v>
      </c>
      <c r="R1382">
        <f t="shared" si="148"/>
        <v>16</v>
      </c>
      <c r="S1382">
        <f t="array" ref="S1382">MAX(IF($C$2:$C$1387=C1382,$R$2:$R$1387))</f>
        <v>29</v>
      </c>
      <c r="T1382" cm="1">
        <f t="array" ref="T1382">MIN(IF($C$2:$C$1387=C1382,$R$2:$R$1387))</f>
        <v>9</v>
      </c>
      <c r="U1382">
        <f t="shared" si="149"/>
        <v>20</v>
      </c>
      <c r="V1382">
        <f t="shared" si="150"/>
        <v>0.35</v>
      </c>
      <c r="W1382" cm="1">
        <f t="array" ref="W1382">_xlfn.IFS(N1382=1,5,N1382=2,4,N1382=4,2,N1382=5,1,N1382=3,3)</f>
        <v>5</v>
      </c>
      <c r="X1382">
        <f t="shared" si="151"/>
        <v>20</v>
      </c>
      <c r="Y1382" cm="1">
        <f t="array" ref="Y1382">MAX(IF($C$2:$C$1387=C1382,$X$2:$X$1387))</f>
        <v>29</v>
      </c>
      <c r="Z1382" cm="1">
        <f t="array" ref="Z1382">MIN(IF($C$2:$C$1387=C1382,$X$2:$X$1387))</f>
        <v>12</v>
      </c>
      <c r="AA1382">
        <f t="shared" si="152"/>
        <v>17</v>
      </c>
      <c r="AB1382">
        <f t="shared" si="153"/>
        <v>0.47058823529411764</v>
      </c>
    </row>
    <row r="1383" spans="1:28" x14ac:dyDescent="0.25">
      <c r="A1383" t="s">
        <v>488</v>
      </c>
      <c r="B1383" t="s">
        <v>489</v>
      </c>
      <c r="C1383">
        <v>2011</v>
      </c>
      <c r="D1383">
        <v>0.85434152562811838</v>
      </c>
      <c r="E1383">
        <v>0.79892385044950232</v>
      </c>
      <c r="F1383">
        <v>6.6074036346966125E-2</v>
      </c>
      <c r="G1383">
        <v>1.9459101490553132</v>
      </c>
      <c r="H1383">
        <v>0</v>
      </c>
      <c r="I1383">
        <v>0.66666666666666663</v>
      </c>
      <c r="J1383">
        <v>1</v>
      </c>
      <c r="K1383">
        <v>5</v>
      </c>
      <c r="L1383">
        <v>4</v>
      </c>
      <c r="M1383">
        <v>3</v>
      </c>
      <c r="N1383">
        <v>1</v>
      </c>
      <c r="O1383">
        <v>1</v>
      </c>
      <c r="P1383">
        <v>1</v>
      </c>
      <c r="Q1383">
        <f t="shared" si="147"/>
        <v>1</v>
      </c>
      <c r="R1383">
        <f t="shared" si="148"/>
        <v>16</v>
      </c>
      <c r="S1383">
        <f t="array" ref="S1383">MAX(IF($C$2:$C$1387=C1383,$R$2:$R$1387))</f>
        <v>28</v>
      </c>
      <c r="T1383" cm="1">
        <f t="array" ref="T1383">MIN(IF($C$2:$C$1387=C1383,$R$2:$R$1387))</f>
        <v>10</v>
      </c>
      <c r="U1383">
        <f t="shared" si="149"/>
        <v>18</v>
      </c>
      <c r="V1383">
        <f t="shared" si="150"/>
        <v>0.33333333333333331</v>
      </c>
      <c r="W1383" cm="1">
        <f t="array" ref="W1383">_xlfn.IFS(N1383=1,5,N1383=2,4,N1383=4,2,N1383=5,1,N1383=3,3)</f>
        <v>5</v>
      </c>
      <c r="X1383">
        <f t="shared" si="151"/>
        <v>20</v>
      </c>
      <c r="Y1383" cm="1">
        <f t="array" ref="Y1383">MAX(IF($C$2:$C$1387=C1383,$X$2:$X$1387))</f>
        <v>29</v>
      </c>
      <c r="Z1383" cm="1">
        <f t="array" ref="Z1383">MIN(IF($C$2:$C$1387=C1383,$X$2:$X$1387))</f>
        <v>12</v>
      </c>
      <c r="AA1383">
        <f t="shared" si="152"/>
        <v>17</v>
      </c>
      <c r="AB1383">
        <f t="shared" si="153"/>
        <v>0.47058823529411764</v>
      </c>
    </row>
    <row r="1384" spans="1:28" x14ac:dyDescent="0.25">
      <c r="A1384" t="s">
        <v>488</v>
      </c>
      <c r="B1384" t="s">
        <v>489</v>
      </c>
      <c r="C1384">
        <v>2012</v>
      </c>
      <c r="D1384">
        <v>0.85434152562811838</v>
      </c>
      <c r="E1384">
        <v>0.80653395767558822</v>
      </c>
      <c r="F1384">
        <v>7.3616836059206311E-2</v>
      </c>
      <c r="G1384">
        <v>1.9459101490553132</v>
      </c>
      <c r="H1384">
        <v>0.42857142857142855</v>
      </c>
      <c r="I1384">
        <v>1</v>
      </c>
      <c r="J1384">
        <v>0</v>
      </c>
      <c r="K1384">
        <v>5</v>
      </c>
      <c r="L1384">
        <v>4</v>
      </c>
      <c r="M1384">
        <v>3</v>
      </c>
      <c r="N1384">
        <v>1</v>
      </c>
      <c r="O1384">
        <v>2</v>
      </c>
      <c r="P1384">
        <v>3</v>
      </c>
      <c r="Q1384">
        <f t="shared" si="147"/>
        <v>5</v>
      </c>
      <c r="R1384">
        <f t="shared" si="148"/>
        <v>23</v>
      </c>
      <c r="S1384">
        <f t="array" ref="S1384">MAX(IF($C$2:$C$1387=C1384,$R$2:$R$1387))</f>
        <v>29</v>
      </c>
      <c r="T1384" cm="1">
        <f t="array" ref="T1384">MIN(IF($C$2:$C$1387=C1384,$R$2:$R$1387))</f>
        <v>11</v>
      </c>
      <c r="U1384">
        <f t="shared" si="149"/>
        <v>18</v>
      </c>
      <c r="V1384">
        <f t="shared" si="150"/>
        <v>0.66666666666666663</v>
      </c>
      <c r="W1384" cm="1">
        <f t="array" ref="W1384">_xlfn.IFS(N1384=1,5,N1384=2,4,N1384=4,2,N1384=5,1,N1384=3,3)</f>
        <v>5</v>
      </c>
      <c r="X1384">
        <f t="shared" si="151"/>
        <v>27</v>
      </c>
      <c r="Y1384" cm="1">
        <f t="array" ref="Y1384">MAX(IF($C$2:$C$1387=C1384,$X$2:$X$1387))</f>
        <v>30</v>
      </c>
      <c r="Z1384" cm="1">
        <f t="array" ref="Z1384">MIN(IF($C$2:$C$1387=C1384,$X$2:$X$1387))</f>
        <v>12</v>
      </c>
      <c r="AA1384">
        <f t="shared" si="152"/>
        <v>18</v>
      </c>
      <c r="AB1384">
        <f t="shared" si="153"/>
        <v>0.83333333333333337</v>
      </c>
    </row>
    <row r="1385" spans="1:28" x14ac:dyDescent="0.25">
      <c r="A1385" t="s">
        <v>488</v>
      </c>
      <c r="B1385" t="s">
        <v>489</v>
      </c>
      <c r="C1385">
        <v>2013</v>
      </c>
      <c r="D1385">
        <v>0.85434152562811838</v>
      </c>
      <c r="E1385">
        <v>0.75881796159564507</v>
      </c>
      <c r="F1385">
        <v>7.229762561470901E-2</v>
      </c>
      <c r="G1385">
        <v>1.9459101490553132</v>
      </c>
      <c r="H1385">
        <v>0.42857142857142855</v>
      </c>
      <c r="I1385">
        <v>1</v>
      </c>
      <c r="J1385">
        <v>0</v>
      </c>
      <c r="K1385">
        <v>5</v>
      </c>
      <c r="L1385">
        <v>4</v>
      </c>
      <c r="M1385">
        <v>4</v>
      </c>
      <c r="N1385">
        <v>1</v>
      </c>
      <c r="O1385">
        <v>1</v>
      </c>
      <c r="P1385">
        <v>3</v>
      </c>
      <c r="Q1385">
        <f t="shared" si="147"/>
        <v>5</v>
      </c>
      <c r="R1385">
        <f t="shared" si="148"/>
        <v>23</v>
      </c>
      <c r="S1385">
        <f t="array" ref="S1385">MAX(IF($C$2:$C$1387=C1385,$R$2:$R$1387))</f>
        <v>29</v>
      </c>
      <c r="T1385" cm="1">
        <f t="array" ref="T1385">MIN(IF($C$2:$C$1387=C1385,$R$2:$R$1387))</f>
        <v>10</v>
      </c>
      <c r="U1385">
        <f t="shared" si="149"/>
        <v>19</v>
      </c>
      <c r="V1385">
        <f t="shared" si="150"/>
        <v>0.68421052631578949</v>
      </c>
      <c r="W1385" cm="1">
        <f t="array" ref="W1385">_xlfn.IFS(N1385=1,5,N1385=2,4,N1385=4,2,N1385=5,1,N1385=3,3)</f>
        <v>5</v>
      </c>
      <c r="X1385">
        <f t="shared" si="151"/>
        <v>27</v>
      </c>
      <c r="Y1385" cm="1">
        <f t="array" ref="Y1385">MAX(IF($C$2:$C$1387=C1385,$X$2:$X$1387))</f>
        <v>32</v>
      </c>
      <c r="Z1385" cm="1">
        <f t="array" ref="Z1385">MIN(IF($C$2:$C$1387=C1385,$X$2:$X$1387))</f>
        <v>10</v>
      </c>
      <c r="AA1385">
        <f t="shared" si="152"/>
        <v>22</v>
      </c>
      <c r="AB1385">
        <f t="shared" si="153"/>
        <v>0.77272727272727271</v>
      </c>
    </row>
    <row r="1386" spans="1:28" x14ac:dyDescent="0.25">
      <c r="A1386" t="s">
        <v>488</v>
      </c>
      <c r="B1386" t="s">
        <v>489</v>
      </c>
      <c r="C1386">
        <v>2014</v>
      </c>
      <c r="D1386">
        <v>0.84973197054239546</v>
      </c>
      <c r="E1386">
        <v>0.75831318889555921</v>
      </c>
      <c r="F1386">
        <v>7.229762561470901E-2</v>
      </c>
      <c r="G1386">
        <v>1.9459101490553132</v>
      </c>
      <c r="H1386">
        <v>0.42857142857142855</v>
      </c>
      <c r="I1386">
        <v>1</v>
      </c>
      <c r="J1386">
        <v>0</v>
      </c>
      <c r="K1386">
        <v>5</v>
      </c>
      <c r="L1386">
        <v>4</v>
      </c>
      <c r="M1386">
        <v>3</v>
      </c>
      <c r="N1386">
        <v>1</v>
      </c>
      <c r="O1386">
        <v>1</v>
      </c>
      <c r="P1386">
        <v>3</v>
      </c>
      <c r="Q1386">
        <f t="shared" si="147"/>
        <v>5</v>
      </c>
      <c r="R1386">
        <f t="shared" si="148"/>
        <v>22</v>
      </c>
      <c r="S1386">
        <f t="array" ref="S1386">MAX(IF($C$2:$C$1387=C1386,$R$2:$R$1387))</f>
        <v>29</v>
      </c>
      <c r="T1386" cm="1">
        <f t="array" ref="T1386">MIN(IF($C$2:$C$1387=C1386,$R$2:$R$1387))</f>
        <v>11</v>
      </c>
      <c r="U1386">
        <f t="shared" si="149"/>
        <v>18</v>
      </c>
      <c r="V1386">
        <f t="shared" si="150"/>
        <v>0.61111111111111116</v>
      </c>
      <c r="W1386" cm="1">
        <f t="array" ref="W1386">_xlfn.IFS(N1386=1,5,N1386=2,4,N1386=4,2,N1386=5,1,N1386=3,3)</f>
        <v>5</v>
      </c>
      <c r="X1386">
        <f t="shared" si="151"/>
        <v>26</v>
      </c>
      <c r="Y1386" cm="1">
        <f t="array" ref="Y1386">MAX(IF($C$2:$C$1387=C1386,$X$2:$X$1387))</f>
        <v>30</v>
      </c>
      <c r="Z1386" cm="1">
        <f t="array" ref="Z1386">MIN(IF($C$2:$C$1387=C1386,$X$2:$X$1387))</f>
        <v>14</v>
      </c>
      <c r="AA1386">
        <f t="shared" si="152"/>
        <v>16</v>
      </c>
      <c r="AB1386">
        <f t="shared" si="153"/>
        <v>0.75</v>
      </c>
    </row>
    <row r="1387" spans="1:28" x14ac:dyDescent="0.25">
      <c r="A1387" t="s">
        <v>488</v>
      </c>
      <c r="B1387" t="s">
        <v>489</v>
      </c>
      <c r="C1387">
        <v>2015</v>
      </c>
      <c r="D1387">
        <v>0.85147254285044527</v>
      </c>
      <c r="E1387">
        <v>0.76015569843332842</v>
      </c>
      <c r="F1387">
        <v>7.229762561470901E-2</v>
      </c>
      <c r="G1387">
        <v>1.9459101490553132</v>
      </c>
      <c r="H1387">
        <v>0.5714285714285714</v>
      </c>
      <c r="I1387">
        <v>1</v>
      </c>
      <c r="J1387">
        <v>1</v>
      </c>
      <c r="K1387">
        <v>5</v>
      </c>
      <c r="L1387">
        <v>4</v>
      </c>
      <c r="M1387">
        <v>3</v>
      </c>
      <c r="N1387">
        <v>1</v>
      </c>
      <c r="O1387">
        <v>1</v>
      </c>
      <c r="P1387">
        <v>2</v>
      </c>
      <c r="Q1387">
        <f t="shared" si="147"/>
        <v>1</v>
      </c>
      <c r="R1387">
        <f t="shared" si="148"/>
        <v>17</v>
      </c>
      <c r="S1387">
        <f t="array" ref="S1387">MAX(IF($C$2:$C$1387=C1387,$R$2:$R$1387))</f>
        <v>29</v>
      </c>
      <c r="T1387" cm="1">
        <f t="array" ref="T1387">MIN(IF($C$2:$C$1387=C1387,$R$2:$R$1387))</f>
        <v>11</v>
      </c>
      <c r="U1387">
        <f t="shared" si="149"/>
        <v>18</v>
      </c>
      <c r="V1387">
        <f t="shared" si="150"/>
        <v>0.33333333333333331</v>
      </c>
      <c r="W1387" cm="1">
        <f t="array" ref="W1387">_xlfn.IFS(N1387=1,5,N1387=2,4,N1387=4,2,N1387=5,1,N1387=3,3)</f>
        <v>5</v>
      </c>
      <c r="X1387">
        <f t="shared" si="151"/>
        <v>21</v>
      </c>
      <c r="Y1387" cm="1">
        <f t="array" ref="Y1387">MAX(IF($C$2:$C$1387=C1387,$X$2:$X$1387))</f>
        <v>29</v>
      </c>
      <c r="Z1387" cm="1">
        <f t="array" ref="Z1387">MIN(IF($C$2:$C$1387=C1387,$X$2:$X$1387))</f>
        <v>12</v>
      </c>
      <c r="AA1387">
        <f t="shared" si="152"/>
        <v>17</v>
      </c>
      <c r="AB1387">
        <f t="shared" si="153"/>
        <v>0.52941176470588236</v>
      </c>
    </row>
  </sheetData>
  <autoFilter ref="A1:X1387" xr:uid="{E288B91C-B4C7-4DD3-8964-5E4FB372CB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Additive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2025-11-29T05:29:00Z</dcterms:created>
  <dcterms:modified xsi:type="dcterms:W3CDTF">2025-11-29T05:29:19Z</dcterms:modified>
</cp:coreProperties>
</file>