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MLS\Downloads\Financial modeling\Finals\Outliers detection\"/>
    </mc:Choice>
  </mc:AlternateContent>
  <bookViews>
    <workbookView xWindow="-120" yWindow="-120" windowWidth="20736" windowHeight="11160" activeTab="1"/>
  </bookViews>
  <sheets>
    <sheet name="Cross Sectional Data" sheetId="2" r:id="rId1"/>
    <sheet name="Sheet1" sheetId="1" r:id="rId2"/>
  </sheets>
  <definedNames>
    <definedName name="_xlnm._FilterDatabase" localSheetId="0" hidden="1">'Cross Sectional Data'!$M$1:$R$286</definedName>
    <definedName name="_xlnm._FilterDatabase" localSheetId="1" hidden="1">Sheet1!$A$1:$I$286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J2" i="2"/>
  <c r="J3" i="2"/>
  <c r="H3" i="2"/>
  <c r="I3" i="2"/>
  <c r="E3" i="2"/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K2" i="1"/>
  <c r="J2" i="1"/>
  <c r="F2" i="1"/>
  <c r="D288" i="2"/>
  <c r="C288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" i="2"/>
  <c r="Q3" i="2"/>
  <c r="N3" i="2"/>
  <c r="M3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" i="2"/>
  <c r="G3" i="2"/>
  <c r="F3" i="2"/>
  <c r="I2" i="2"/>
  <c r="H2" i="2"/>
  <c r="G2" i="2"/>
  <c r="E2" i="2"/>
  <c r="O3" i="2" l="1"/>
  <c r="P3" i="2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D287" i="2"/>
  <c r="C287" i="2"/>
  <c r="R2" i="2"/>
  <c r="N2" i="2"/>
  <c r="M2" i="2"/>
  <c r="F2" i="2"/>
  <c r="O2" i="2" l="1"/>
  <c r="P2" i="2" s="1"/>
  <c r="Q2" i="2"/>
  <c r="R135" i="2" l="1"/>
  <c r="R12" i="2"/>
  <c r="R225" i="2"/>
  <c r="R104" i="2"/>
  <c r="R127" i="2"/>
  <c r="R269" i="2"/>
  <c r="R267" i="2"/>
  <c r="R14" i="2"/>
  <c r="R190" i="2"/>
  <c r="R259" i="2"/>
  <c r="R112" i="2"/>
  <c r="R73" i="2"/>
  <c r="R276" i="2"/>
  <c r="R132" i="2"/>
  <c r="R86" i="2"/>
  <c r="R155" i="2"/>
  <c r="R11" i="2"/>
  <c r="R178" i="2"/>
  <c r="R34" i="2"/>
  <c r="R201" i="2"/>
  <c r="R57" i="2"/>
  <c r="R224" i="2"/>
  <c r="R80" i="2"/>
  <c r="R247" i="2"/>
  <c r="R103" i="2"/>
  <c r="R246" i="2"/>
  <c r="R102" i="2"/>
  <c r="R245" i="2"/>
  <c r="R101" i="2"/>
  <c r="R244" i="2"/>
  <c r="R100" i="2"/>
  <c r="R243" i="2"/>
  <c r="R99" i="2"/>
  <c r="R98" i="2"/>
  <c r="R202" i="2"/>
  <c r="R248" i="2"/>
  <c r="R271" i="2"/>
  <c r="R126" i="2"/>
  <c r="R123" i="2"/>
  <c r="R229" i="2"/>
  <c r="R167" i="2"/>
  <c r="R69" i="2"/>
  <c r="R258" i="2"/>
  <c r="R113" i="2"/>
  <c r="R194" i="2"/>
  <c r="R264" i="2"/>
  <c r="R120" i="2"/>
  <c r="R143" i="2"/>
  <c r="R230" i="2"/>
  <c r="R166" i="2"/>
  <c r="R22" i="2"/>
  <c r="R189" i="2"/>
  <c r="R45" i="2"/>
  <c r="R212" i="2"/>
  <c r="R68" i="2"/>
  <c r="R235" i="2"/>
  <c r="R91" i="2"/>
  <c r="R234" i="2"/>
  <c r="R90" i="2"/>
  <c r="R233" i="2"/>
  <c r="R89" i="2"/>
  <c r="R232" i="2"/>
  <c r="R88" i="2"/>
  <c r="R231" i="2"/>
  <c r="R87" i="2"/>
  <c r="R58" i="2"/>
  <c r="R125" i="2"/>
  <c r="R144" i="2"/>
  <c r="R23" i="2"/>
  <c r="R92" i="2"/>
  <c r="R114" i="2"/>
  <c r="R257" i="2"/>
  <c r="R217" i="2"/>
  <c r="R170" i="2"/>
  <c r="R193" i="2"/>
  <c r="R49" i="2"/>
  <c r="R252" i="2"/>
  <c r="R108" i="2"/>
  <c r="R275" i="2"/>
  <c r="R131" i="2"/>
  <c r="R50" i="2"/>
  <c r="R154" i="2"/>
  <c r="R10" i="2"/>
  <c r="R177" i="2"/>
  <c r="R33" i="2"/>
  <c r="R200" i="2"/>
  <c r="R56" i="2"/>
  <c r="R223" i="2"/>
  <c r="R79" i="2"/>
  <c r="R222" i="2"/>
  <c r="R78" i="2"/>
  <c r="R221" i="2"/>
  <c r="R77" i="2"/>
  <c r="R220" i="2"/>
  <c r="R76" i="2"/>
  <c r="R219" i="2"/>
  <c r="R75" i="2"/>
  <c r="R81" i="2"/>
  <c r="R124" i="2"/>
  <c r="R213" i="2"/>
  <c r="R111" i="2"/>
  <c r="R254" i="2"/>
  <c r="R146" i="2"/>
  <c r="R181" i="2"/>
  <c r="R37" i="2"/>
  <c r="R240" i="2"/>
  <c r="R96" i="2"/>
  <c r="R263" i="2"/>
  <c r="R119" i="2"/>
  <c r="R286" i="2"/>
  <c r="R142" i="2"/>
  <c r="R206" i="2"/>
  <c r="R165" i="2"/>
  <c r="R21" i="2"/>
  <c r="R188" i="2"/>
  <c r="R44" i="2"/>
  <c r="R211" i="2"/>
  <c r="R67" i="2"/>
  <c r="R210" i="2"/>
  <c r="R66" i="2"/>
  <c r="R209" i="2"/>
  <c r="R65" i="2"/>
  <c r="R208" i="2"/>
  <c r="R64" i="2"/>
  <c r="R207" i="2"/>
  <c r="R63" i="2"/>
  <c r="R97" i="2"/>
  <c r="R268" i="2"/>
  <c r="R85" i="2"/>
  <c r="R236" i="2"/>
  <c r="R255" i="2"/>
  <c r="R205" i="2"/>
  <c r="R169" i="2"/>
  <c r="R228" i="2"/>
  <c r="R251" i="2"/>
  <c r="R130" i="2"/>
  <c r="R153" i="2"/>
  <c r="R9" i="2"/>
  <c r="R176" i="2"/>
  <c r="R32" i="2"/>
  <c r="R199" i="2"/>
  <c r="R55" i="2"/>
  <c r="R198" i="2"/>
  <c r="R54" i="2"/>
  <c r="R197" i="2"/>
  <c r="R53" i="2"/>
  <c r="R196" i="2"/>
  <c r="R52" i="2"/>
  <c r="R195" i="2"/>
  <c r="R51" i="2"/>
  <c r="R156" i="2"/>
  <c r="R270" i="2"/>
  <c r="R242" i="2"/>
  <c r="R46" i="2"/>
  <c r="R115" i="2"/>
  <c r="R256" i="2"/>
  <c r="R61" i="2"/>
  <c r="R122" i="2"/>
  <c r="R25" i="2"/>
  <c r="R84" i="2"/>
  <c r="R107" i="2"/>
  <c r="R274" i="2"/>
  <c r="R74" i="2"/>
  <c r="R110" i="2"/>
  <c r="R157" i="2"/>
  <c r="R13" i="2"/>
  <c r="R216" i="2"/>
  <c r="R72" i="2"/>
  <c r="R239" i="2"/>
  <c r="R95" i="2"/>
  <c r="R262" i="2"/>
  <c r="R118" i="2"/>
  <c r="R285" i="2"/>
  <c r="R141" i="2"/>
  <c r="R278" i="2"/>
  <c r="R164" i="2"/>
  <c r="R20" i="2"/>
  <c r="R187" i="2"/>
  <c r="R43" i="2"/>
  <c r="R186" i="2"/>
  <c r="R42" i="2"/>
  <c r="R185" i="2"/>
  <c r="R41" i="2"/>
  <c r="R184" i="2"/>
  <c r="R40" i="2"/>
  <c r="R183" i="2"/>
  <c r="R39" i="2"/>
  <c r="R241" i="2"/>
  <c r="R35" i="2"/>
  <c r="R26" i="2"/>
  <c r="R145" i="2"/>
  <c r="R218" i="2"/>
  <c r="R204" i="2"/>
  <c r="R60" i="2"/>
  <c r="R227" i="2"/>
  <c r="R83" i="2"/>
  <c r="R250" i="2"/>
  <c r="R106" i="2"/>
  <c r="R273" i="2"/>
  <c r="R129" i="2"/>
  <c r="R62" i="2"/>
  <c r="R152" i="2"/>
  <c r="R8" i="2"/>
  <c r="R175" i="2"/>
  <c r="R31" i="2"/>
  <c r="R174" i="2"/>
  <c r="R30" i="2"/>
  <c r="R173" i="2"/>
  <c r="R29" i="2"/>
  <c r="R172" i="2"/>
  <c r="R28" i="2"/>
  <c r="R171" i="2"/>
  <c r="R27" i="2"/>
  <c r="R277" i="2"/>
  <c r="R133" i="2"/>
  <c r="R182" i="2"/>
  <c r="R192" i="2"/>
  <c r="R48" i="2"/>
  <c r="R215" i="2"/>
  <c r="R71" i="2"/>
  <c r="R238" i="2"/>
  <c r="R94" i="2"/>
  <c r="R261" i="2"/>
  <c r="R117" i="2"/>
  <c r="R284" i="2"/>
  <c r="R140" i="2"/>
  <c r="R266" i="2"/>
  <c r="R163" i="2"/>
  <c r="R19" i="2"/>
  <c r="R162" i="2"/>
  <c r="R18" i="2"/>
  <c r="R161" i="2"/>
  <c r="R17" i="2"/>
  <c r="R160" i="2"/>
  <c r="R16" i="2"/>
  <c r="R159" i="2"/>
  <c r="R15" i="2"/>
  <c r="R179" i="2"/>
  <c r="R265" i="2"/>
  <c r="R121" i="2"/>
  <c r="R158" i="2"/>
  <c r="R180" i="2"/>
  <c r="R36" i="2"/>
  <c r="R203" i="2"/>
  <c r="R59" i="2"/>
  <c r="R226" i="2"/>
  <c r="R82" i="2"/>
  <c r="R249" i="2"/>
  <c r="R105" i="2"/>
  <c r="R272" i="2"/>
  <c r="R128" i="2"/>
  <c r="R38" i="2"/>
  <c r="R151" i="2"/>
  <c r="R7" i="2"/>
  <c r="R150" i="2"/>
  <c r="R6" i="2"/>
  <c r="R149" i="2"/>
  <c r="R5" i="2"/>
  <c r="R148" i="2"/>
  <c r="R4" i="2"/>
  <c r="R147" i="2"/>
  <c r="R3" i="2"/>
  <c r="R253" i="2"/>
  <c r="R109" i="2"/>
  <c r="R134" i="2"/>
  <c r="R168" i="2"/>
  <c r="R24" i="2"/>
  <c r="R191" i="2"/>
  <c r="R47" i="2"/>
  <c r="R214" i="2"/>
  <c r="R70" i="2"/>
  <c r="R237" i="2"/>
  <c r="R93" i="2"/>
  <c r="R260" i="2"/>
  <c r="R116" i="2"/>
  <c r="R283" i="2"/>
  <c r="R139" i="2"/>
  <c r="R282" i="2"/>
  <c r="R138" i="2"/>
  <c r="R281" i="2"/>
  <c r="R137" i="2"/>
  <c r="R280" i="2"/>
  <c r="R136" i="2"/>
  <c r="R279" i="2"/>
  <c r="J124" i="2" l="1"/>
  <c r="J106" i="2"/>
  <c r="J279" i="2"/>
  <c r="J175" i="2"/>
  <c r="J31" i="2"/>
  <c r="J267" i="2"/>
  <c r="J135" i="2"/>
  <c r="J280" i="2"/>
  <c r="J285" i="2"/>
  <c r="J222" i="2"/>
  <c r="J227" i="2"/>
  <c r="J78" i="2"/>
  <c r="J215" i="2"/>
  <c r="J85" i="2"/>
  <c r="J66" i="2"/>
  <c r="J123" i="2"/>
  <c r="J163" i="2"/>
  <c r="J204" i="2"/>
  <c r="J245" i="2"/>
  <c r="J278" i="2"/>
  <c r="J94" i="2"/>
  <c r="J216" i="2"/>
  <c r="J19" i="2"/>
  <c r="J210" i="2"/>
  <c r="J164" i="2"/>
  <c r="J71" i="2"/>
  <c r="J152" i="2"/>
  <c r="J233" i="2"/>
  <c r="J266" i="2"/>
  <c r="J268" i="2"/>
  <c r="J273" i="2"/>
  <c r="J72" i="2"/>
  <c r="J129" i="2"/>
  <c r="J83" i="2"/>
  <c r="J250" i="2"/>
  <c r="J20" i="2"/>
  <c r="J101" i="2"/>
  <c r="J134" i="2"/>
  <c r="J136" i="2"/>
  <c r="J141" i="2"/>
  <c r="J60" i="2"/>
  <c r="J277" i="2"/>
  <c r="J238" i="2"/>
  <c r="J8" i="2"/>
  <c r="J89" i="2"/>
  <c r="J122" i="2"/>
  <c r="J48" i="2"/>
  <c r="J203" i="2"/>
  <c r="J59" i="2"/>
  <c r="J226" i="2"/>
  <c r="J82" i="2"/>
  <c r="J261" i="2"/>
  <c r="J117" i="2"/>
  <c r="J284" i="2"/>
  <c r="J140" i="2"/>
  <c r="J109" i="2"/>
  <c r="J151" i="2"/>
  <c r="J7" i="2"/>
  <c r="J198" i="2"/>
  <c r="J54" i="2"/>
  <c r="J221" i="2"/>
  <c r="J77" i="2"/>
  <c r="J256" i="2"/>
  <c r="J112" i="2"/>
  <c r="J255" i="2"/>
  <c r="J111" i="2"/>
  <c r="J254" i="2"/>
  <c r="J110" i="2"/>
  <c r="J180" i="2"/>
  <c r="J191" i="2"/>
  <c r="J70" i="2"/>
  <c r="J249" i="2"/>
  <c r="J105" i="2"/>
  <c r="J272" i="2"/>
  <c r="J128" i="2"/>
  <c r="J283" i="2"/>
  <c r="J139" i="2"/>
  <c r="J229" i="2"/>
  <c r="J186" i="2"/>
  <c r="J42" i="2"/>
  <c r="J209" i="2"/>
  <c r="J65" i="2"/>
  <c r="J244" i="2"/>
  <c r="J100" i="2"/>
  <c r="J243" i="2"/>
  <c r="J99" i="2"/>
  <c r="J242" i="2"/>
  <c r="J98" i="2"/>
  <c r="J192" i="2"/>
  <c r="J36" i="2"/>
  <c r="J47" i="2"/>
  <c r="J193" i="2"/>
  <c r="J24" i="2"/>
  <c r="J179" i="2"/>
  <c r="J35" i="2"/>
  <c r="J202" i="2"/>
  <c r="J58" i="2"/>
  <c r="J237" i="2"/>
  <c r="J93" i="2"/>
  <c r="J260" i="2"/>
  <c r="J116" i="2"/>
  <c r="J271" i="2"/>
  <c r="J127" i="2"/>
  <c r="J181" i="2"/>
  <c r="J174" i="2"/>
  <c r="J30" i="2"/>
  <c r="J197" i="2"/>
  <c r="J53" i="2"/>
  <c r="J232" i="2"/>
  <c r="J88" i="2"/>
  <c r="J231" i="2"/>
  <c r="J87" i="2"/>
  <c r="J230" i="2"/>
  <c r="J86" i="2"/>
  <c r="J217" i="2"/>
  <c r="J214" i="2"/>
  <c r="J168" i="2"/>
  <c r="J133" i="2"/>
  <c r="J156" i="2"/>
  <c r="J12" i="2"/>
  <c r="J167" i="2"/>
  <c r="J23" i="2"/>
  <c r="J190" i="2"/>
  <c r="J46" i="2"/>
  <c r="J225" i="2"/>
  <c r="J81" i="2"/>
  <c r="J248" i="2"/>
  <c r="J104" i="2"/>
  <c r="J259" i="2"/>
  <c r="J115" i="2"/>
  <c r="J121" i="2"/>
  <c r="J162" i="2"/>
  <c r="J18" i="2"/>
  <c r="J185" i="2"/>
  <c r="J41" i="2"/>
  <c r="J220" i="2"/>
  <c r="J76" i="2"/>
  <c r="J219" i="2"/>
  <c r="J75" i="2"/>
  <c r="J218" i="2"/>
  <c r="J74" i="2"/>
  <c r="J144" i="2"/>
  <c r="J213" i="2"/>
  <c r="J103" i="2"/>
  <c r="J173" i="2"/>
  <c r="J63" i="2"/>
  <c r="J276" i="2"/>
  <c r="J132" i="2"/>
  <c r="J25" i="2"/>
  <c r="J143" i="2"/>
  <c r="J253" i="2"/>
  <c r="J166" i="2"/>
  <c r="J22" i="2"/>
  <c r="J201" i="2"/>
  <c r="J57" i="2"/>
  <c r="J224" i="2"/>
  <c r="J80" i="2"/>
  <c r="J235" i="2"/>
  <c r="J91" i="2"/>
  <c r="J282" i="2"/>
  <c r="J138" i="2"/>
  <c r="J205" i="2"/>
  <c r="J161" i="2"/>
  <c r="J17" i="2"/>
  <c r="J196" i="2"/>
  <c r="J52" i="2"/>
  <c r="J195" i="2"/>
  <c r="J51" i="2"/>
  <c r="J194" i="2"/>
  <c r="J50" i="2"/>
  <c r="J61" i="2"/>
  <c r="J178" i="2"/>
  <c r="J247" i="2"/>
  <c r="J64" i="2"/>
  <c r="J264" i="2"/>
  <c r="J97" i="2"/>
  <c r="J10" i="2"/>
  <c r="J212" i="2"/>
  <c r="J68" i="2"/>
  <c r="J223" i="2"/>
  <c r="J79" i="2"/>
  <c r="J270" i="2"/>
  <c r="J126" i="2"/>
  <c r="J13" i="2"/>
  <c r="J149" i="2"/>
  <c r="J5" i="2"/>
  <c r="J184" i="2"/>
  <c r="J40" i="2"/>
  <c r="J183" i="2"/>
  <c r="J39" i="2"/>
  <c r="J182" i="2"/>
  <c r="J38" i="2"/>
  <c r="J169" i="2"/>
  <c r="J34" i="2"/>
  <c r="J92" i="2"/>
  <c r="J6" i="2"/>
  <c r="J206" i="2"/>
  <c r="J120" i="2"/>
  <c r="J154" i="2"/>
  <c r="J252" i="2"/>
  <c r="J119" i="2"/>
  <c r="J286" i="2"/>
  <c r="J142" i="2"/>
  <c r="J265" i="2"/>
  <c r="J177" i="2"/>
  <c r="J33" i="2"/>
  <c r="J200" i="2"/>
  <c r="J56" i="2"/>
  <c r="J211" i="2"/>
  <c r="J67" i="2"/>
  <c r="J258" i="2"/>
  <c r="J114" i="2"/>
  <c r="J281" i="2"/>
  <c r="J137" i="2"/>
  <c r="J241" i="2"/>
  <c r="J172" i="2"/>
  <c r="J28" i="2"/>
  <c r="J171" i="2"/>
  <c r="J27" i="2"/>
  <c r="J170" i="2"/>
  <c r="J26" i="2"/>
  <c r="J155" i="2"/>
  <c r="J69" i="2"/>
  <c r="J73" i="2"/>
  <c r="J208" i="2"/>
  <c r="J62" i="2"/>
  <c r="J131" i="2"/>
  <c r="J189" i="2"/>
  <c r="J263" i="2"/>
  <c r="J240" i="2"/>
  <c r="J96" i="2"/>
  <c r="J251" i="2"/>
  <c r="J107" i="2"/>
  <c r="J274" i="2"/>
  <c r="J130" i="2"/>
  <c r="J145" i="2"/>
  <c r="J165" i="2"/>
  <c r="J21" i="2"/>
  <c r="J188" i="2"/>
  <c r="J44" i="2"/>
  <c r="J199" i="2"/>
  <c r="J55" i="2"/>
  <c r="J246" i="2"/>
  <c r="J102" i="2"/>
  <c r="J269" i="2"/>
  <c r="J125" i="2"/>
  <c r="J157" i="2"/>
  <c r="J160" i="2"/>
  <c r="J16" i="2"/>
  <c r="J159" i="2"/>
  <c r="J15" i="2"/>
  <c r="J158" i="2"/>
  <c r="J14" i="2"/>
  <c r="J11" i="2"/>
  <c r="J236" i="2"/>
  <c r="J150" i="2"/>
  <c r="J29" i="2"/>
  <c r="J207" i="2"/>
  <c r="J275" i="2"/>
  <c r="J45" i="2"/>
  <c r="J108" i="2"/>
  <c r="J228" i="2"/>
  <c r="J84" i="2"/>
  <c r="J239" i="2"/>
  <c r="J95" i="2"/>
  <c r="J262" i="2"/>
  <c r="J118" i="2"/>
  <c r="J37" i="2"/>
  <c r="J153" i="2"/>
  <c r="J9" i="2"/>
  <c r="J176" i="2"/>
  <c r="J32" i="2"/>
  <c r="J187" i="2"/>
  <c r="J43" i="2"/>
  <c r="J234" i="2"/>
  <c r="J90" i="2"/>
  <c r="J257" i="2"/>
  <c r="J113" i="2"/>
  <c r="J49" i="2"/>
  <c r="J148" i="2"/>
  <c r="J4" i="2"/>
  <c r="J147" i="2"/>
  <c r="J146" i="2"/>
</calcChain>
</file>

<file path=xl/comments1.xml><?xml version="1.0" encoding="utf-8"?>
<comments xmlns="http://schemas.openxmlformats.org/spreadsheetml/2006/main">
  <authors>
    <author>PMLS</author>
  </authors>
  <commentList>
    <comment ref="E1" authorId="0" shapeId="0">
      <text>
        <r>
          <rPr>
            <b/>
            <sz val="9"/>
            <color indexed="81"/>
            <rFont val="Tahoma"/>
            <charset val="1"/>
          </rPr>
          <t>PMLS:
quartile(cash,1)</t>
        </r>
      </text>
    </comment>
    <comment ref="F1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quartile(cash,3)</t>
        </r>
      </text>
    </comment>
    <comment ref="G1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q3-q1</t>
        </r>
      </text>
    </comment>
    <comment ref="H1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q1-1.5*range</t>
        </r>
      </text>
    </comment>
    <comment ref="I1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q3+1.5*range</t>
        </r>
      </text>
    </comment>
    <comment ref="J1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if(or(cash&lt;lowerlimit lock,cash&gt;upperlimite lock),"out",cash)</t>
        </r>
      </text>
    </comment>
  </commentList>
</comments>
</file>

<file path=xl/comments2.xml><?xml version="1.0" encoding="utf-8"?>
<comments xmlns="http://schemas.openxmlformats.org/spreadsheetml/2006/main">
  <authors>
    <author>PMLS</author>
  </authors>
  <commentList>
    <comment ref="E1" authorId="0" shapeId="0">
      <text>
        <r>
          <rPr>
            <b/>
            <sz val="9"/>
            <color indexed="81"/>
            <rFont val="Tahoma"/>
            <charset val="1"/>
          </rPr>
          <t>PMLS:</t>
        </r>
        <r>
          <rPr>
            <sz val="9"/>
            <color indexed="81"/>
            <rFont val="Tahoma"/>
            <charset val="1"/>
          </rPr>
          <t xml:space="preserve">
if(cash="out",median lock,cash)</t>
        </r>
      </text>
    </comment>
  </commentList>
</comments>
</file>

<file path=xl/sharedStrings.xml><?xml version="1.0" encoding="utf-8"?>
<sst xmlns="http://schemas.openxmlformats.org/spreadsheetml/2006/main" count="894" uniqueCount="312">
  <si>
    <t>Company</t>
  </si>
  <si>
    <t>year</t>
  </si>
  <si>
    <t>Cash</t>
  </si>
  <si>
    <t>Size</t>
  </si>
  <si>
    <t>Cash Without Outliers</t>
  </si>
  <si>
    <t>(Colony) Thal Textile Mills Ltd.</t>
  </si>
  <si>
    <t>Companies</t>
  </si>
  <si>
    <t>Years</t>
  </si>
  <si>
    <t>cash</t>
  </si>
  <si>
    <t>Al0Qadir Textile Mills Ltd.</t>
  </si>
  <si>
    <t>Ali Asghar Textile Mills Ltd.</t>
  </si>
  <si>
    <t>Apollo Textile Mills Ltd.</t>
  </si>
  <si>
    <t>Artistic Denim Mills Ltd.</t>
  </si>
  <si>
    <t>Ashfaq Textile Mills Ltd.</t>
  </si>
  <si>
    <t>Azgard Nine Ltd.(Legler0Nafees Denim Mills Ltd.)</t>
  </si>
  <si>
    <t>Babri Cotton Mills Ltd.</t>
  </si>
  <si>
    <t>Bhanero Textile Mills Ltd.</t>
  </si>
  <si>
    <t>Blessed Textiles Ltd.</t>
  </si>
  <si>
    <t>Brothers Textile Mills Ltd.</t>
  </si>
  <si>
    <t>Chakwal Spinning Mills Ltd.</t>
  </si>
  <si>
    <t>Chenab Ltd.</t>
  </si>
  <si>
    <t>D.M. Textile Mills Ltd.</t>
  </si>
  <si>
    <t>Data Textiles Ltd.</t>
  </si>
  <si>
    <t>Dawood Lawrencepur Ltd. (Dawod Coton Mills)</t>
  </si>
  <si>
    <t>Dewan Farooque Spinning Mills Ltd.</t>
  </si>
  <si>
    <t>Dewan Khalid Textile Mills Ltd.</t>
  </si>
  <si>
    <t>Dewan Mushtaq Textile Mills Ltd.</t>
  </si>
  <si>
    <t>Dewan Textile Mills Ltd.</t>
  </si>
  <si>
    <t>Din Textile Mills Ltd.</t>
  </si>
  <si>
    <t>Elahi Cotton Mills Ltd.</t>
  </si>
  <si>
    <t>Ellcot Spinning Mills Ltd.</t>
  </si>
  <si>
    <t>Faisal Spinning Mills Ltd.</t>
  </si>
  <si>
    <t>Fateh Textile Mills Ltd.</t>
  </si>
  <si>
    <t>Fatima Enterprises Ltd.</t>
  </si>
  <si>
    <t>Fazal Cloth Mills Ltd.</t>
  </si>
  <si>
    <t>Fazal Textile Mills Ltd.</t>
  </si>
  <si>
    <t>Gadoon Textile Mills Ltd.</t>
  </si>
  <si>
    <t>Ghazi Fabrics International Ltd.</t>
  </si>
  <si>
    <t>Glamour Textile Mills Ltd.</t>
  </si>
  <si>
    <t>Globe Textile Mills Ltd.</t>
  </si>
  <si>
    <t>Gulistan Spinning Mills Ltd.</t>
  </si>
  <si>
    <t>Gulistan Textile Mills Ltd.</t>
  </si>
  <si>
    <t>Gulshan Spinning Mills Ltd.</t>
  </si>
  <si>
    <t>Haji Mohammad Ismail Mills Ltd.</t>
  </si>
  <si>
    <t>Hajra Textile Mills Ltd.</t>
  </si>
  <si>
    <t>Husein Industries Ltd.</t>
  </si>
  <si>
    <t>ICC Textiles Ltd.</t>
  </si>
  <si>
    <t>Ideal Spinning Mills Ltd.</t>
  </si>
  <si>
    <t>Idrees Textile Mills Ltd.</t>
  </si>
  <si>
    <t>Indus Dyeing &amp; Manufacturing Co. Ltd.</t>
  </si>
  <si>
    <t>Ishaq Textile Mills Ltd.</t>
  </si>
  <si>
    <t>Island Textile Mills Ltd.</t>
  </si>
  <si>
    <t>J.A. Textile Mills Ltd.</t>
  </si>
  <si>
    <t>J.K. Spinning Mills Ltd.</t>
  </si>
  <si>
    <t>Janana De Malucho Textile Mills Ltd.</t>
  </si>
  <si>
    <t>Jubilee Spinning &amp; Weaving Mills Ltd.</t>
  </si>
  <si>
    <t>Khalid Siraj Textile Mills Ltd.</t>
  </si>
  <si>
    <t>Khurshid Spinning Mills Ltd.</t>
  </si>
  <si>
    <t>Kohat Textile Mills Ltd.</t>
  </si>
  <si>
    <t>Kohinoor Mills Ltd.</t>
  </si>
  <si>
    <t>Kohinoor Spinning Mills Ltd.</t>
  </si>
  <si>
    <t>Kohinoor Textile Mills Ltd.</t>
  </si>
  <si>
    <t>Landmark Spinning Industries Ltd.</t>
  </si>
  <si>
    <t>Mahmood Textile Mills Ltd.</t>
  </si>
  <si>
    <t>Maqbool Textile Mills Ltd.</t>
  </si>
  <si>
    <t>Masood Textile Mills Ltd.</t>
  </si>
  <si>
    <t>Mian Textile Industries Ltd.</t>
  </si>
  <si>
    <t>Mohammad Farooq Textile Mills Ltd.</t>
  </si>
  <si>
    <t>Mubarak Textile Mills Ltd.</t>
  </si>
  <si>
    <t>Mukhtar Textile Mills Ltd.</t>
  </si>
  <si>
    <t>N.P. Spinning Mills Ltd.</t>
  </si>
  <si>
    <t>Nagina Cotton Mills Ltd.</t>
  </si>
  <si>
    <t>Nishat (Chunian) Ltd.</t>
  </si>
  <si>
    <t>Nishat Mills Ltd.</t>
  </si>
  <si>
    <t>Olympia Spinning &amp; Weaving Mills Ltd.</t>
  </si>
  <si>
    <t>Olympia Textile Mills Ltd.</t>
  </si>
  <si>
    <t>Paramount Spinning Mills Ltd.</t>
  </si>
  <si>
    <t>Premium Textile Mills Ltd.</t>
  </si>
  <si>
    <t>Prosperity Weaving Mills Ltd.</t>
  </si>
  <si>
    <t>Quality Textile Mills Ltd.</t>
  </si>
  <si>
    <t>Quetta Textile Mills Ltd.</t>
  </si>
  <si>
    <t>Ravi Textile Mills Ltd.</t>
  </si>
  <si>
    <t>Reliance Cotton Spinning Mills Ltd.</t>
  </si>
  <si>
    <t>Reliance Weaving Mills Ltd.</t>
  </si>
  <si>
    <t>Ruby Textile Mills Ltd.</t>
  </si>
  <si>
    <t>Safa Textiles Ltd.</t>
  </si>
  <si>
    <t>Saif Textile Mills Ltd.</t>
  </si>
  <si>
    <t>Sajjad Textile Mills Ltd.</t>
  </si>
  <si>
    <t>Salfi Textile Mills Ltd.</t>
  </si>
  <si>
    <t>Sally Textile Mills Ltd.</t>
  </si>
  <si>
    <t>Salman Noman Enterprises Ltd.</t>
  </si>
  <si>
    <t>Samin Textiles Ltd.</t>
  </si>
  <si>
    <t>Sana Industries Ltd.</t>
  </si>
  <si>
    <t>Sapphire Fibres Ltd.</t>
  </si>
  <si>
    <t>Sapphire Textile Mills Ltd.</t>
  </si>
  <si>
    <t>Sargodha Spinning Mills Ltd.</t>
  </si>
  <si>
    <t>Saritow Spinning Mills Ltd.</t>
  </si>
  <si>
    <t>Service Fabrics Ltd.</t>
  </si>
  <si>
    <t>Service Industries Textiles Ltd.</t>
  </si>
  <si>
    <t>Shadab Textile Mills Ltd.</t>
  </si>
  <si>
    <t>Shadman Cotton Mills Ltd.</t>
  </si>
  <si>
    <t>Shahzad Textile Mills Ltd.</t>
  </si>
  <si>
    <t>Shams Textile Mills Ltd.</t>
  </si>
  <si>
    <t>Sind Fine Textile Mills Ltd.</t>
  </si>
  <si>
    <t>Sunrays Textile Mills Ltd.</t>
  </si>
  <si>
    <t>Suraj Cotton Mills Ltd.</t>
  </si>
  <si>
    <t>Taha Spinning Mills Ltd.</t>
  </si>
  <si>
    <t>Tata Textile Mills Ltd.</t>
  </si>
  <si>
    <t>The Crescent Textile Mills Ltd.</t>
  </si>
  <si>
    <t>Towellers Ltd.</t>
  </si>
  <si>
    <t>Yousaf Weaving Mills Ltd.</t>
  </si>
  <si>
    <t>Zahidjee Textile Mills Ltd.</t>
  </si>
  <si>
    <t>Zephyr Textiles Ltd.</t>
  </si>
  <si>
    <t>Gul Ahmed Textile Mills Ltd.</t>
  </si>
  <si>
    <t>Moonlite (Pak) Ltd.</t>
  </si>
  <si>
    <t>Al0Abid Silk Mills Ltd.</t>
  </si>
  <si>
    <t>Bannu Woollen Mills Ltd.</t>
  </si>
  <si>
    <t>Crescent Jute Products Ltd.</t>
  </si>
  <si>
    <t>Ibrahim Fibres Ltd.</t>
  </si>
  <si>
    <t>Pakistan Synthetics Ltd.</t>
  </si>
  <si>
    <t>Suhail Jute Mills Ltd.</t>
  </si>
  <si>
    <t>Rupali Polyester Ltd.</t>
  </si>
  <si>
    <t>The National Silk &amp; Rayon Mills Ltd.</t>
  </si>
  <si>
    <t>Tri0Star Polyester Ltd.</t>
  </si>
  <si>
    <t>Abdullah Shah Ghazi Sugar Mills Ltd.(Al0Asif Sugar Mills Ltd</t>
  </si>
  <si>
    <t>Adam Sugar Mills Ltd.</t>
  </si>
  <si>
    <t>Al0Abbas Sugar Mills Ltd.</t>
  </si>
  <si>
    <t>Al0Noor Sugar Mills Ltd.</t>
  </si>
  <si>
    <t>Baba Farid Sugar Mills Ltd.</t>
  </si>
  <si>
    <t>Chashma Sugar Mills Ltd.</t>
  </si>
  <si>
    <t>Dewan Sugar Mills Ltd.</t>
  </si>
  <si>
    <t>Faran Sugar Mills Ltd.</t>
  </si>
  <si>
    <t>Habib 0 ADM Ltd.( Habib Arkady LTD.)</t>
  </si>
  <si>
    <t>Husein Sugar Mills Ltd.</t>
  </si>
  <si>
    <t>JDW Sugar Mills Ltd.</t>
  </si>
  <si>
    <t>Habib Sugar Mills Ltd.</t>
  </si>
  <si>
    <t>Mehran Sugar Mills Ltd.</t>
  </si>
  <si>
    <t>Haseeb Waqas Sugar Mills Ltd.</t>
  </si>
  <si>
    <t>Mirpurkhas Sugar Mills Ltd.</t>
  </si>
  <si>
    <t>Mirza Sugar Mills Ltd.</t>
  </si>
  <si>
    <t>Noon Sugar Mills Ltd.</t>
  </si>
  <si>
    <t>Pangrio Sugar Mills Ltd.</t>
  </si>
  <si>
    <t>Sakrand Sugar Mills Ltd.</t>
  </si>
  <si>
    <t>Sanghar Sugar Mills Ltd.</t>
  </si>
  <si>
    <t>Shahmurad Sugar Mills Ltd.</t>
  </si>
  <si>
    <t>Shahtaj Sugar Mills Ltd.</t>
  </si>
  <si>
    <t>Shakarganj Mills Ltd.</t>
  </si>
  <si>
    <t>Tandlianwala Sugar Mills Ltd.</t>
  </si>
  <si>
    <t>The Premier Sugar Mills &amp; Distillery Co. Ltd.</t>
  </si>
  <si>
    <t>The Thal Industries Corporation Ltd.</t>
  </si>
  <si>
    <t>Ismail Industries Ltd.</t>
  </si>
  <si>
    <t>Sindh Abadgar'S Sugar Mills Ltd.</t>
  </si>
  <si>
    <t>Mitchell'S Fruit Farms Ltd.</t>
  </si>
  <si>
    <t>National Foods Ltd.</t>
  </si>
  <si>
    <t>Noon Pakistan Ltd.</t>
  </si>
  <si>
    <t>Quice Food Industries Ltd.</t>
  </si>
  <si>
    <t>Clover Pakistan Ltd.</t>
  </si>
  <si>
    <t>S.S. Oil Mills Ltd.</t>
  </si>
  <si>
    <t>Shezan International Ltd.</t>
  </si>
  <si>
    <t>Bawany Air Products Ltd.</t>
  </si>
  <si>
    <t>Berger Paints Pakistan Ltd.</t>
  </si>
  <si>
    <t>Buxly Paints Ltd.</t>
  </si>
  <si>
    <t>Dawood Hercules Chemicals Ltd.</t>
  </si>
  <si>
    <t>Rafhan Maize Products Co. Ltd.</t>
  </si>
  <si>
    <t>Dewan Salman Fibre Ltd.</t>
  </si>
  <si>
    <t>Dynea Pakistan Ltd.</t>
  </si>
  <si>
    <t>Engro Corporation Ltd. (Engro Chemical Pakistan Ltd.)</t>
  </si>
  <si>
    <t>Abbott Laboratories (Pakistan) Ltd.</t>
  </si>
  <si>
    <t>Ferozsons Laboratories Ltd.</t>
  </si>
  <si>
    <t>Gatron (Industries) Ltd.</t>
  </si>
  <si>
    <t>Highnoon Laboratories Ltd.</t>
  </si>
  <si>
    <t>Biafo Industries Ltd.</t>
  </si>
  <si>
    <t>Ittehad Chemicals Ltd.</t>
  </si>
  <si>
    <t>Leiner Pak Gelatine Ltd.</t>
  </si>
  <si>
    <t>Colgate0Palmolive (Pakistan) Ltd.</t>
  </si>
  <si>
    <t>Mandviwala  Mauser Plastic Industries Ltd.</t>
  </si>
  <si>
    <t>Nimir Industrial Chemicals Ltd.</t>
  </si>
  <si>
    <t>Otsuka Pakistan Ltd.</t>
  </si>
  <si>
    <t>Pakistan Gum &amp; Chemicals Ltd.</t>
  </si>
  <si>
    <t>Pakistan PVC Ltd.</t>
  </si>
  <si>
    <t>Fauji Fertilizer Bin Qasim Ltd.</t>
  </si>
  <si>
    <t>Sanofi aventis(Aventis Pharma)</t>
  </si>
  <si>
    <t>Fauji Fertilizer Co. Ltd.</t>
  </si>
  <si>
    <t>Shaffi Chemical Industries Ltd.</t>
  </si>
  <si>
    <t>Sitara Chemical Industries Ltd.</t>
  </si>
  <si>
    <t>United Distributors Pakistan Ltd.</t>
  </si>
  <si>
    <t>Glaxosmithkline (Pakistan) Ltd.</t>
  </si>
  <si>
    <t>Wah Nobel Chemicals Ltd.</t>
  </si>
  <si>
    <t>Wyeth Pakistan Ltd.</t>
  </si>
  <si>
    <t>ICI Pakistan Ltd.</t>
  </si>
  <si>
    <t>Al0Khair Gadoon Ltd.</t>
  </si>
  <si>
    <t>Crescent Steel &amp; Allied Products Ltd.</t>
  </si>
  <si>
    <t>Dadex Eternit Ltd.</t>
  </si>
  <si>
    <t>Diamond Industries Ltd.</t>
  </si>
  <si>
    <t>Eco Pack Ltd.( Plastobag Ltd.)</t>
  </si>
  <si>
    <t>Emco Industries Ltd.</t>
  </si>
  <si>
    <t>Gillette Pakistan Ltd.</t>
  </si>
  <si>
    <t>Grays Of Cambridge (Pakistan) Ltd.</t>
  </si>
  <si>
    <t>Huffaz Seamless Pipe Industries Ltd.</t>
  </si>
  <si>
    <t>Leather Up Ltd.</t>
  </si>
  <si>
    <t>Pak Leather Crafts Ltd.</t>
  </si>
  <si>
    <t>Pakistan Engineering Co. Ltd.</t>
  </si>
  <si>
    <t>Service Industries Ltd.</t>
  </si>
  <si>
    <t>Shield Corporation Ltd.(Transpak Corp.)</t>
  </si>
  <si>
    <t>Siddiqsons Tin Plate</t>
  </si>
  <si>
    <t>Bata Pakistan Ltd.</t>
  </si>
  <si>
    <t>Thal  Ltd. (Thal Jute Mills Ltd.)</t>
  </si>
  <si>
    <t>Treet Corporation Ltd.</t>
  </si>
  <si>
    <t>Bestway Cement Ltd.</t>
  </si>
  <si>
    <t>Cherat Cement Co. Ltd.</t>
  </si>
  <si>
    <t>D.G. Khan Cement Co. Ltd.</t>
  </si>
  <si>
    <t>Dadabhoy Cement Industries Ltd.</t>
  </si>
  <si>
    <t>Dandot Cement Co. Ltd.</t>
  </si>
  <si>
    <t>Dewan Cement Ltd. (Pakland Cement Ltd.)</t>
  </si>
  <si>
    <t>Fauji Cement Co. Ltd.</t>
  </si>
  <si>
    <t>International Industries Ltd.</t>
  </si>
  <si>
    <t>Fecto Cement Ltd.</t>
  </si>
  <si>
    <t>KSB Pumps Co. Ltd.</t>
  </si>
  <si>
    <t>Gharibwal Cement Ltd.</t>
  </si>
  <si>
    <t>Kohat Cement Co. Ltd.</t>
  </si>
  <si>
    <t>Lafarge Pak. Cement Ltd. (Pakistan Cement Ltd.)</t>
  </si>
  <si>
    <t>Lucky Cement Ltd.</t>
  </si>
  <si>
    <t>Maple Leaf Cement Factory Ltd.</t>
  </si>
  <si>
    <t>Pioneer Cement Ltd.</t>
  </si>
  <si>
    <t>Balochistan Glass Ltd.</t>
  </si>
  <si>
    <t>Frontier Ceramics Ltd.</t>
  </si>
  <si>
    <t>Shabbir Tiles And Ceramics Ltd.</t>
  </si>
  <si>
    <t>United Brands Ltd.(Udl Industries Ltd.)</t>
  </si>
  <si>
    <t>Tariq Glass Industries Ltd.</t>
  </si>
  <si>
    <t>ZIL Ltd. (Zulfeqar Industries Ltd.)</t>
  </si>
  <si>
    <t>Atlas Battery Ltd.</t>
  </si>
  <si>
    <t>Attock Cement Pakistan Ltd.</t>
  </si>
  <si>
    <t>Baluchistan Wheels Ltd.</t>
  </si>
  <si>
    <t>Bela Automotives Ltd.</t>
  </si>
  <si>
    <t>Bolan Castings Ltd.</t>
  </si>
  <si>
    <t>Dewan Automotive Engineering Ltd. (Allied Motors Ltd.)</t>
  </si>
  <si>
    <t>Dewan Farooque Motors Ltd.</t>
  </si>
  <si>
    <t>General Tyre &amp; Rubber Co. Ltd.</t>
  </si>
  <si>
    <t>Ghandhara Industries Ltd.</t>
  </si>
  <si>
    <t>Ghani Automobiles Industries Ltd.</t>
  </si>
  <si>
    <t>Honda Atlas Cars (Pakistan) Ltd.</t>
  </si>
  <si>
    <t>Sazgar Engineering Works Ltd.</t>
  </si>
  <si>
    <t>Altern Energy Ltd.</t>
  </si>
  <si>
    <t>Japan Power Generation Ltd.</t>
  </si>
  <si>
    <t>Karachi Electric Supply Co. Ltd.</t>
  </si>
  <si>
    <t>Kohinoor Power Co. Ltd.</t>
  </si>
  <si>
    <t>Kot Addu Power Co. Ltd.</t>
  </si>
  <si>
    <t>Oil &amp; Gas Development Co. Ltd. (OGDC)</t>
  </si>
  <si>
    <t>S.G. Power Ltd.</t>
  </si>
  <si>
    <t>Sitara Energy Ltd.</t>
  </si>
  <si>
    <t>Southern Electric Power Co. Ltd.</t>
  </si>
  <si>
    <t>Agriauto Industries Ltd.</t>
  </si>
  <si>
    <t>Sui Northern Gas Pipelines Ltd.</t>
  </si>
  <si>
    <t>Al0Ghazi Tractors Ltd.</t>
  </si>
  <si>
    <t>Sui Southern Gas Co. Ltd.</t>
  </si>
  <si>
    <t>The Hub Power Co. Ltd.</t>
  </si>
  <si>
    <t>Atlas Honda Ltd.</t>
  </si>
  <si>
    <t>TRG Pakistan Ltd.</t>
  </si>
  <si>
    <t>Telecard Ltd.</t>
  </si>
  <si>
    <t>Worldcall Telecom Ltd.</t>
  </si>
  <si>
    <t>Pakistan Petroleum Ltd.</t>
  </si>
  <si>
    <t>Pakistan State Oil Co. Ltd.</t>
  </si>
  <si>
    <t>Shell Pakistan Ltd.</t>
  </si>
  <si>
    <t>Exide Pakistan Ltd.</t>
  </si>
  <si>
    <t>Century Paper &amp; Board Mills Ltd.</t>
  </si>
  <si>
    <t>Merit Packaging Ltd.</t>
  </si>
  <si>
    <t>Pakistan Paper Products Ltd.</t>
  </si>
  <si>
    <t>Security Papers Ltd.</t>
  </si>
  <si>
    <t>Johnson &amp; Philips (Pakistan) Ltd.</t>
  </si>
  <si>
    <t>Indus Motor Co. Ltd.</t>
  </si>
  <si>
    <t>Pak Elektron Ltd.</t>
  </si>
  <si>
    <t>Millat Tractors Ltd.</t>
  </si>
  <si>
    <t>Pakistan Telephone Cables Ltd.</t>
  </si>
  <si>
    <t>Pak Suzuki Motor Co. Ltd.</t>
  </si>
  <si>
    <t>Siemens (Pakistan) Engineering Co. Ltd.</t>
  </si>
  <si>
    <t>Singer Pakistan Ltd.</t>
  </si>
  <si>
    <t>Dreamworld Ltd.</t>
  </si>
  <si>
    <t>Haydari Construction Co. Ltd.</t>
  </si>
  <si>
    <t>Javedan Corporation Ltd. (formerly Javedan Cement Ltd.)</t>
  </si>
  <si>
    <t>Kohinoor Energy Ltd.</t>
  </si>
  <si>
    <t>Pakistan Hotels Developers Ltd.</t>
  </si>
  <si>
    <t>Pakistan Services Ltd.</t>
  </si>
  <si>
    <t>Shifa International Hospitals Ltd.</t>
  </si>
  <si>
    <t>Netsol Technologies Ltd.</t>
  </si>
  <si>
    <t>Pak Datacom Ltd.</t>
  </si>
  <si>
    <t>Pakistan National Shipping Corporation.</t>
  </si>
  <si>
    <t>Attock Petroleum Ltd.</t>
  </si>
  <si>
    <t>Attock Refinery Ltd.</t>
  </si>
  <si>
    <t>National Refinery Ltd.</t>
  </si>
  <si>
    <t>Pakistan Oilfields Ltd.</t>
  </si>
  <si>
    <t>Pakistan Refinery Ltd.</t>
  </si>
  <si>
    <t>Ados Pakistan Ltd.</t>
  </si>
  <si>
    <t>Gammon Pakistan Ltd.</t>
  </si>
  <si>
    <t>q1 CASH</t>
  </si>
  <si>
    <t>Q3 CASH</t>
  </si>
  <si>
    <t>RANGE</t>
  </si>
  <si>
    <t>lower limit</t>
  </si>
  <si>
    <t>upper limit</t>
  </si>
  <si>
    <t>q1</t>
  </si>
  <si>
    <t>range</t>
  </si>
  <si>
    <t>q3</t>
  </si>
  <si>
    <t>l.l</t>
  </si>
  <si>
    <t>u.L</t>
  </si>
  <si>
    <t>size</t>
  </si>
  <si>
    <t>median</t>
  </si>
  <si>
    <t>out</t>
  </si>
  <si>
    <t>cash corrected</t>
  </si>
  <si>
    <t>size correcetd</t>
  </si>
  <si>
    <t>replace outliers with median</t>
  </si>
  <si>
    <t>to recheck</t>
  </si>
  <si>
    <t>data - filter - select "out"</t>
  </si>
  <si>
    <t>size 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</si>
</sst>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"/>
    <numFmt numFmtId="165" formatCode="0.0000"/>
  </numFmts>
  <fonts count="3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2" borderId="0" xfId="0" applyFill="1"/>
    <xf numFmtId="165" fontId="0" fillId="0" borderId="0" xfId="0" applyNumberFormat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E288"/>
  <sheetViews>
    <sheetView workbookViewId="0">
      <selection activeCell="J1" sqref="J1"/>
    </sheetView>
  </sheetViews>
  <sheetFormatPr defaultRowHeight="13.8"/>
  <cols>
    <col min="1" max="1" width="41.09765625" customWidth="1"/>
    <col min="8" max="8" width="10.8984375" customWidth="1"/>
    <col min="9" max="9" width="9.59765625" customWidth="1"/>
  </cols>
  <sheetData>
    <row r="1" spans="1:31">
      <c r="A1" t="s">
        <v>0</v>
      </c>
      <c r="B1" t="s">
        <v>1</v>
      </c>
      <c r="C1" t="s">
        <v>2</v>
      </c>
      <c r="D1" t="s">
        <v>3</v>
      </c>
      <c r="E1" s="2" t="s">
        <v>293</v>
      </c>
      <c r="F1" s="2" t="s">
        <v>294</v>
      </c>
      <c r="G1" s="2" t="s">
        <v>295</v>
      </c>
      <c r="H1" s="2" t="s">
        <v>296</v>
      </c>
      <c r="I1" s="2" t="s">
        <v>297</v>
      </c>
      <c r="J1" s="2" t="s">
        <v>8</v>
      </c>
      <c r="K1" s="2" t="s">
        <v>8</v>
      </c>
      <c r="M1" s="2" t="s">
        <v>298</v>
      </c>
      <c r="N1" s="2" t="s">
        <v>300</v>
      </c>
      <c r="O1" s="2" t="s">
        <v>299</v>
      </c>
      <c r="P1" s="2" t="s">
        <v>301</v>
      </c>
      <c r="Q1" s="2" t="s">
        <v>302</v>
      </c>
      <c r="R1" s="2" t="s">
        <v>303</v>
      </c>
      <c r="S1" s="2" t="s">
        <v>303</v>
      </c>
      <c r="AC1" s="7" t="s">
        <v>4</v>
      </c>
      <c r="AD1" s="7"/>
      <c r="AE1" s="7"/>
    </row>
    <row r="2" spans="1:31">
      <c r="A2" t="s">
        <v>5</v>
      </c>
      <c r="B2">
        <v>2009</v>
      </c>
      <c r="C2">
        <v>8.666031391362447E-3</v>
      </c>
      <c r="D2">
        <v>13.031333026054657</v>
      </c>
      <c r="E2" s="1">
        <f>QUARTILE(C2:C286,1)</f>
        <v>3.5380671771362174E-3</v>
      </c>
      <c r="F2" s="1">
        <f>QUARTILE(C2:C286,3)</f>
        <v>3.2685835588532927E-2</v>
      </c>
      <c r="G2" s="1">
        <f>F2-E2</f>
        <v>2.9147768411396709E-2</v>
      </c>
      <c r="H2" s="1">
        <f>E2-1.5*G2</f>
        <v>-4.0183585439958848E-2</v>
      </c>
      <c r="I2" s="1">
        <f>F2+1.5*G2</f>
        <v>7.6407488205627982E-2</v>
      </c>
      <c r="J2" s="1">
        <f>IF(OR(C2&lt;$H$2,C2&gt;$I$2),"out",C2)</f>
        <v>8.666031391362447E-3</v>
      </c>
      <c r="K2" s="1">
        <f>IF(OR(C2&lt;$H$3,C2&gt;$I$3),"out",C2)</f>
        <v>8.666031391362447E-3</v>
      </c>
      <c r="M2" s="3">
        <f>QUARTILE(D2:D286,1)</f>
        <v>13.50558423989076</v>
      </c>
      <c r="N2" s="3">
        <f>QUARTILE(D2:D286,3)</f>
        <v>15.760109419085801</v>
      </c>
      <c r="O2" s="1">
        <f>N2-M2</f>
        <v>2.2545251791950403</v>
      </c>
      <c r="P2">
        <f>M2-1.5*O2</f>
        <v>10.123796471098199</v>
      </c>
      <c r="Q2">
        <f>N2+1.5*O2</f>
        <v>19.14189718787836</v>
      </c>
      <c r="R2">
        <f>IF(OR(D2&lt;$P$2,D2&gt;$Q$2),"out",D2)</f>
        <v>13.031333026054657</v>
      </c>
      <c r="S2">
        <f>IF(OR(D2&lt;$P$3,D2&gt;$Q$3),"out",D2)</f>
        <v>13.031333026054657</v>
      </c>
      <c r="AC2" t="s">
        <v>6</v>
      </c>
      <c r="AD2" t="s">
        <v>7</v>
      </c>
      <c r="AE2" t="s">
        <v>8</v>
      </c>
    </row>
    <row r="3" spans="1:31">
      <c r="A3" t="s">
        <v>9</v>
      </c>
      <c r="B3">
        <v>2009</v>
      </c>
      <c r="C3">
        <v>1.2530050517707121E-2</v>
      </c>
      <c r="D3">
        <v>13.268382226190615</v>
      </c>
      <c r="E3">
        <f>QUARTILE(C2:C286,1)</f>
        <v>3.5380671771362174E-3</v>
      </c>
      <c r="F3">
        <f>QUARTILE(C2:C286,3)</f>
        <v>3.2685835588532927E-2</v>
      </c>
      <c r="G3">
        <f>F3-E3</f>
        <v>2.9147768411396709E-2</v>
      </c>
      <c r="H3">
        <f>E3-1.5*G3</f>
        <v>-4.0183585439958848E-2</v>
      </c>
      <c r="I3">
        <f>F3+1.5*G3</f>
        <v>7.6407488205627982E-2</v>
      </c>
      <c r="J3" s="1">
        <f>IF(OR(C3&lt;$H$2,C3&gt;$I$2),"out",C3)</f>
        <v>1.2530050517707121E-2</v>
      </c>
      <c r="K3" s="1">
        <f t="shared" ref="K3:K66" si="0">IF(OR(C3&lt;$H$3,C3&gt;$I$3),"out",C3)</f>
        <v>1.2530050517707121E-2</v>
      </c>
      <c r="M3">
        <f>QUARTILE(D2:D286,1)</f>
        <v>13.50558423989076</v>
      </c>
      <c r="N3">
        <f>QUARTILE(D2:D286,3)</f>
        <v>15.760109419085801</v>
      </c>
      <c r="O3">
        <f>N3-M3</f>
        <v>2.2545251791950403</v>
      </c>
      <c r="P3">
        <f>M3-1.5*O3</f>
        <v>10.123796471098199</v>
      </c>
      <c r="Q3">
        <f>N3+1.5*O3</f>
        <v>19.14189718787836</v>
      </c>
      <c r="R3">
        <f t="shared" ref="R3:R66" si="1">IF(OR(D3&lt;$P$2,D3&gt;$Q$2),"out",D3)</f>
        <v>13.268382226190615</v>
      </c>
      <c r="S3">
        <f t="shared" ref="S3:S66" si="2">IF(OR(D3&lt;$P$3,D3&gt;$Q$3),"out",D3)</f>
        <v>13.268382226190615</v>
      </c>
      <c r="AC3" t="s">
        <v>5</v>
      </c>
      <c r="AD3">
        <v>2009</v>
      </c>
      <c r="AE3">
        <v>8.666031391362447E-3</v>
      </c>
    </row>
    <row r="4" spans="1:31">
      <c r="A4" t="s">
        <v>10</v>
      </c>
      <c r="B4">
        <v>2009</v>
      </c>
      <c r="C4">
        <v>5.2190785507691775E-4</v>
      </c>
      <c r="D4">
        <v>13.910648904824345</v>
      </c>
      <c r="J4" s="1">
        <f t="shared" ref="J3:J66" si="3">IF(OR(C4&lt;$H$2,C4&gt;$I$2),"out",C4)</f>
        <v>5.2190785507691775E-4</v>
      </c>
      <c r="K4" s="1">
        <f t="shared" si="0"/>
        <v>5.2190785507691775E-4</v>
      </c>
      <c r="R4">
        <f t="shared" si="1"/>
        <v>13.910648904824345</v>
      </c>
      <c r="S4">
        <f t="shared" si="2"/>
        <v>13.910648904824345</v>
      </c>
      <c r="AC4" t="s">
        <v>9</v>
      </c>
      <c r="AD4">
        <v>2009</v>
      </c>
      <c r="AE4">
        <v>1.2530050517707121E-2</v>
      </c>
    </row>
    <row r="5" spans="1:31">
      <c r="A5" t="s">
        <v>11</v>
      </c>
      <c r="B5">
        <v>2009</v>
      </c>
      <c r="C5">
        <v>3.909915646623287E-3</v>
      </c>
      <c r="D5">
        <v>14.947923771023088</v>
      </c>
      <c r="J5" s="1">
        <f t="shared" si="3"/>
        <v>3.909915646623287E-3</v>
      </c>
      <c r="K5" s="1">
        <f t="shared" si="0"/>
        <v>3.909915646623287E-3</v>
      </c>
      <c r="R5">
        <f t="shared" si="1"/>
        <v>14.947923771023088</v>
      </c>
      <c r="S5">
        <f t="shared" si="2"/>
        <v>14.947923771023088</v>
      </c>
      <c r="AC5" t="s">
        <v>10</v>
      </c>
      <c r="AD5">
        <v>2009</v>
      </c>
      <c r="AE5">
        <v>5.2190785507691775E-4</v>
      </c>
    </row>
    <row r="6" spans="1:31">
      <c r="A6" t="s">
        <v>12</v>
      </c>
      <c r="B6">
        <v>2009</v>
      </c>
      <c r="C6">
        <v>1.6082009002141545E-3</v>
      </c>
      <c r="D6">
        <v>15.352760929957736</v>
      </c>
      <c r="J6" s="1">
        <f t="shared" si="3"/>
        <v>1.6082009002141545E-3</v>
      </c>
      <c r="K6" s="1">
        <f t="shared" si="0"/>
        <v>1.6082009002141545E-3</v>
      </c>
      <c r="R6">
        <f t="shared" si="1"/>
        <v>15.352760929957736</v>
      </c>
      <c r="S6">
        <f t="shared" si="2"/>
        <v>15.352760929957736</v>
      </c>
      <c r="AC6" t="s">
        <v>11</v>
      </c>
      <c r="AD6">
        <v>2009</v>
      </c>
      <c r="AE6">
        <v>3.909915646623287E-3</v>
      </c>
    </row>
    <row r="7" spans="1:31">
      <c r="A7" t="s">
        <v>13</v>
      </c>
      <c r="B7">
        <v>2009</v>
      </c>
      <c r="C7">
        <v>6.3370381759873477E-3</v>
      </c>
      <c r="D7">
        <v>13.210945520095335</v>
      </c>
      <c r="J7" s="1">
        <f t="shared" si="3"/>
        <v>6.3370381759873477E-3</v>
      </c>
      <c r="K7" s="1">
        <f t="shared" si="0"/>
        <v>6.3370381759873477E-3</v>
      </c>
      <c r="R7">
        <f t="shared" si="1"/>
        <v>13.210945520095335</v>
      </c>
      <c r="S7">
        <f t="shared" si="2"/>
        <v>13.210945520095335</v>
      </c>
      <c r="AC7" t="s">
        <v>12</v>
      </c>
      <c r="AD7">
        <v>2009</v>
      </c>
      <c r="AE7">
        <v>1.6082009002141545E-3</v>
      </c>
    </row>
    <row r="8" spans="1:31">
      <c r="A8" t="s">
        <v>14</v>
      </c>
      <c r="B8">
        <v>2009</v>
      </c>
      <c r="C8">
        <v>7.4846284529053106E-3</v>
      </c>
      <c r="D8">
        <v>17.884453342864791</v>
      </c>
      <c r="J8" s="1">
        <f t="shared" si="3"/>
        <v>7.4846284529053106E-3</v>
      </c>
      <c r="K8" s="1">
        <f t="shared" si="0"/>
        <v>7.4846284529053106E-3</v>
      </c>
      <c r="R8">
        <f t="shared" si="1"/>
        <v>17.884453342864791</v>
      </c>
      <c r="S8">
        <f t="shared" si="2"/>
        <v>17.884453342864791</v>
      </c>
      <c r="AC8" t="s">
        <v>13</v>
      </c>
      <c r="AD8">
        <v>2009</v>
      </c>
      <c r="AE8">
        <v>6.3370381759873477E-3</v>
      </c>
    </row>
    <row r="9" spans="1:31">
      <c r="A9" t="s">
        <v>15</v>
      </c>
      <c r="B9">
        <v>2009</v>
      </c>
      <c r="C9">
        <v>3.9275542108730235E-4</v>
      </c>
      <c r="D9">
        <v>14.126457639098863</v>
      </c>
      <c r="J9" s="1">
        <f t="shared" si="3"/>
        <v>3.9275542108730235E-4</v>
      </c>
      <c r="K9" s="1">
        <f t="shared" si="0"/>
        <v>3.9275542108730235E-4</v>
      </c>
      <c r="R9">
        <f t="shared" si="1"/>
        <v>14.126457639098863</v>
      </c>
      <c r="S9">
        <f t="shared" si="2"/>
        <v>14.126457639098863</v>
      </c>
      <c r="AC9" t="s">
        <v>14</v>
      </c>
      <c r="AD9">
        <v>2009</v>
      </c>
      <c r="AE9">
        <v>7.4846284529053106E-3</v>
      </c>
    </row>
    <row r="10" spans="1:31">
      <c r="A10" t="s">
        <v>16</v>
      </c>
      <c r="B10">
        <v>2009</v>
      </c>
      <c r="C10">
        <v>7.2321779270202863E-3</v>
      </c>
      <c r="D10">
        <v>14.95783633674716</v>
      </c>
      <c r="J10" s="1">
        <f t="shared" si="3"/>
        <v>7.2321779270202863E-3</v>
      </c>
      <c r="K10" s="1">
        <f t="shared" si="0"/>
        <v>7.2321779270202863E-3</v>
      </c>
      <c r="R10">
        <f t="shared" si="1"/>
        <v>14.95783633674716</v>
      </c>
      <c r="S10">
        <f t="shared" si="2"/>
        <v>14.95783633674716</v>
      </c>
      <c r="AC10" t="s">
        <v>15</v>
      </c>
      <c r="AD10">
        <v>2009</v>
      </c>
      <c r="AE10">
        <v>3.9275542108730235E-4</v>
      </c>
    </row>
    <row r="11" spans="1:31">
      <c r="A11" t="s">
        <v>17</v>
      </c>
      <c r="B11">
        <v>2009</v>
      </c>
      <c r="C11">
        <v>5.2132979186694595E-3</v>
      </c>
      <c r="D11">
        <v>14.714445953481384</v>
      </c>
      <c r="J11" s="1">
        <f t="shared" si="3"/>
        <v>5.2132979186694595E-3</v>
      </c>
      <c r="K11" s="1">
        <f t="shared" si="0"/>
        <v>5.2132979186694595E-3</v>
      </c>
      <c r="R11">
        <f t="shared" si="1"/>
        <v>14.714445953481384</v>
      </c>
      <c r="S11">
        <f t="shared" si="2"/>
        <v>14.714445953481384</v>
      </c>
      <c r="AC11" t="s">
        <v>16</v>
      </c>
      <c r="AD11">
        <v>2009</v>
      </c>
      <c r="AE11">
        <v>7.2321779270202863E-3</v>
      </c>
    </row>
    <row r="12" spans="1:31">
      <c r="A12" t="s">
        <v>18</v>
      </c>
      <c r="B12">
        <v>2009</v>
      </c>
      <c r="C12">
        <v>1.998800719568259E-4</v>
      </c>
      <c r="D12">
        <v>12.924512258752458</v>
      </c>
      <c r="J12" s="1">
        <f t="shared" si="3"/>
        <v>1.998800719568259E-4</v>
      </c>
      <c r="K12" s="1">
        <f t="shared" si="0"/>
        <v>1.998800719568259E-4</v>
      </c>
      <c r="R12">
        <f t="shared" si="1"/>
        <v>12.924512258752458</v>
      </c>
      <c r="S12">
        <f t="shared" si="2"/>
        <v>12.924512258752458</v>
      </c>
      <c r="AC12" t="s">
        <v>17</v>
      </c>
      <c r="AD12">
        <v>2009</v>
      </c>
      <c r="AE12">
        <v>5.2132979186694595E-3</v>
      </c>
    </row>
    <row r="13" spans="1:31">
      <c r="A13" t="s">
        <v>19</v>
      </c>
      <c r="B13">
        <v>2009</v>
      </c>
      <c r="C13">
        <v>2.8635292642856448E-2</v>
      </c>
      <c r="D13">
        <v>13.940170338958785</v>
      </c>
      <c r="J13" s="1">
        <f t="shared" si="3"/>
        <v>2.8635292642856448E-2</v>
      </c>
      <c r="K13" s="1">
        <f t="shared" si="0"/>
        <v>2.8635292642856448E-2</v>
      </c>
      <c r="R13">
        <f t="shared" si="1"/>
        <v>13.940170338958785</v>
      </c>
      <c r="S13">
        <f t="shared" si="2"/>
        <v>13.940170338958785</v>
      </c>
      <c r="AC13" t="s">
        <v>18</v>
      </c>
      <c r="AD13">
        <v>2009</v>
      </c>
      <c r="AE13">
        <v>1.998800719568259E-4</v>
      </c>
    </row>
    <row r="14" spans="1:31">
      <c r="A14" t="s">
        <v>20</v>
      </c>
      <c r="B14">
        <v>2009</v>
      </c>
      <c r="C14">
        <v>3.7395100021208579E-3</v>
      </c>
      <c r="D14">
        <v>16.64526244750493</v>
      </c>
      <c r="J14" s="1">
        <f t="shared" si="3"/>
        <v>3.7395100021208579E-3</v>
      </c>
      <c r="K14" s="1">
        <f t="shared" si="0"/>
        <v>3.7395100021208579E-3</v>
      </c>
      <c r="R14">
        <f t="shared" si="1"/>
        <v>16.64526244750493</v>
      </c>
      <c r="S14">
        <f t="shared" si="2"/>
        <v>16.64526244750493</v>
      </c>
      <c r="AC14" t="s">
        <v>19</v>
      </c>
      <c r="AD14">
        <v>2009</v>
      </c>
      <c r="AE14">
        <v>2.8635292642856448E-2</v>
      </c>
    </row>
    <row r="15" spans="1:31">
      <c r="A15" t="s">
        <v>21</v>
      </c>
      <c r="B15">
        <v>2009</v>
      </c>
      <c r="C15">
        <v>5.199900937480445E-4</v>
      </c>
      <c r="D15">
        <v>13.941823333954559</v>
      </c>
      <c r="J15" s="1">
        <f t="shared" si="3"/>
        <v>5.199900937480445E-4</v>
      </c>
      <c r="K15" s="1">
        <f t="shared" si="0"/>
        <v>5.199900937480445E-4</v>
      </c>
      <c r="R15">
        <f t="shared" si="1"/>
        <v>13.941823333954559</v>
      </c>
      <c r="S15">
        <f t="shared" si="2"/>
        <v>13.941823333954559</v>
      </c>
      <c r="AC15" t="s">
        <v>20</v>
      </c>
      <c r="AD15">
        <v>2009</v>
      </c>
      <c r="AE15">
        <v>3.7395100021208579E-3</v>
      </c>
    </row>
    <row r="16" spans="1:31">
      <c r="A16" t="s">
        <v>22</v>
      </c>
      <c r="B16">
        <v>2009</v>
      </c>
      <c r="C16">
        <v>5.4524936377978147E-3</v>
      </c>
      <c r="D16">
        <v>12.064981319916548</v>
      </c>
      <c r="J16" s="1">
        <f t="shared" si="3"/>
        <v>5.4524936377978147E-3</v>
      </c>
      <c r="K16" s="1">
        <f t="shared" si="0"/>
        <v>5.4524936377978147E-3</v>
      </c>
      <c r="R16">
        <f t="shared" si="1"/>
        <v>12.064981319916548</v>
      </c>
      <c r="S16">
        <f t="shared" si="2"/>
        <v>12.064981319916548</v>
      </c>
      <c r="AC16" t="s">
        <v>21</v>
      </c>
      <c r="AD16">
        <v>2009</v>
      </c>
      <c r="AE16">
        <v>5.199900937480445E-4</v>
      </c>
    </row>
    <row r="17" spans="1:31">
      <c r="A17" t="s">
        <v>23</v>
      </c>
      <c r="B17">
        <v>2009</v>
      </c>
      <c r="C17">
        <v>5.0829186502665824E-3</v>
      </c>
      <c r="D17">
        <v>15.369843077080608</v>
      </c>
      <c r="J17" s="1">
        <f t="shared" si="3"/>
        <v>5.0829186502665824E-3</v>
      </c>
      <c r="K17" s="1">
        <f t="shared" si="0"/>
        <v>5.0829186502665824E-3</v>
      </c>
      <c r="R17">
        <f t="shared" si="1"/>
        <v>15.369843077080608</v>
      </c>
      <c r="S17">
        <f t="shared" si="2"/>
        <v>15.369843077080608</v>
      </c>
      <c r="AC17" t="s">
        <v>22</v>
      </c>
      <c r="AD17">
        <v>2009</v>
      </c>
      <c r="AE17">
        <v>5.4524936377978147E-3</v>
      </c>
    </row>
    <row r="18" spans="1:31">
      <c r="A18" t="s">
        <v>24</v>
      </c>
      <c r="B18">
        <v>2009</v>
      </c>
      <c r="C18">
        <v>3.6381214915127227E-3</v>
      </c>
      <c r="D18">
        <v>14.39968403649652</v>
      </c>
      <c r="J18" s="1">
        <f t="shared" si="3"/>
        <v>3.6381214915127227E-3</v>
      </c>
      <c r="K18" s="1">
        <f t="shared" si="0"/>
        <v>3.6381214915127227E-3</v>
      </c>
      <c r="R18">
        <f t="shared" si="1"/>
        <v>14.39968403649652</v>
      </c>
      <c r="S18">
        <f t="shared" si="2"/>
        <v>14.39968403649652</v>
      </c>
      <c r="AC18" t="s">
        <v>23</v>
      </c>
      <c r="AD18">
        <v>2009</v>
      </c>
      <c r="AE18">
        <v>5.0829186502665824E-3</v>
      </c>
    </row>
    <row r="19" spans="1:31">
      <c r="A19" t="s">
        <v>25</v>
      </c>
      <c r="B19">
        <v>2009</v>
      </c>
      <c r="C19">
        <v>2.5041344928446291E-3</v>
      </c>
      <c r="D19">
        <v>13.729171318675846</v>
      </c>
      <c r="J19" s="1">
        <f t="shared" si="3"/>
        <v>2.5041344928446291E-3</v>
      </c>
      <c r="K19" s="1">
        <f t="shared" si="0"/>
        <v>2.5041344928446291E-3</v>
      </c>
      <c r="R19">
        <f t="shared" si="1"/>
        <v>13.729171318675846</v>
      </c>
      <c r="S19">
        <f t="shared" si="2"/>
        <v>13.729171318675846</v>
      </c>
      <c r="AC19" t="s">
        <v>24</v>
      </c>
      <c r="AD19">
        <v>2009</v>
      </c>
      <c r="AE19">
        <v>3.6381214915127227E-3</v>
      </c>
    </row>
    <row r="20" spans="1:31">
      <c r="A20" t="s">
        <v>26</v>
      </c>
      <c r="B20">
        <v>2009</v>
      </c>
      <c r="C20">
        <v>8.3055009958866149E-3</v>
      </c>
      <c r="D20">
        <v>13.492516284165836</v>
      </c>
      <c r="J20" s="1">
        <f t="shared" si="3"/>
        <v>8.3055009958866149E-3</v>
      </c>
      <c r="K20" s="1">
        <f t="shared" si="0"/>
        <v>8.3055009958866149E-3</v>
      </c>
      <c r="R20">
        <f t="shared" si="1"/>
        <v>13.492516284165836</v>
      </c>
      <c r="S20">
        <f t="shared" si="2"/>
        <v>13.492516284165836</v>
      </c>
      <c r="AC20" t="s">
        <v>25</v>
      </c>
      <c r="AD20">
        <v>2009</v>
      </c>
      <c r="AE20">
        <v>2.5041344928446291E-3</v>
      </c>
    </row>
    <row r="21" spans="1:31">
      <c r="A21" t="s">
        <v>27</v>
      </c>
      <c r="B21">
        <v>2009</v>
      </c>
      <c r="C21">
        <v>1.6818360932793471E-3</v>
      </c>
      <c r="D21">
        <v>15.176615051633085</v>
      </c>
      <c r="J21" s="1">
        <f t="shared" si="3"/>
        <v>1.6818360932793471E-3</v>
      </c>
      <c r="K21" s="1">
        <f t="shared" si="0"/>
        <v>1.6818360932793471E-3</v>
      </c>
      <c r="R21">
        <f t="shared" si="1"/>
        <v>15.176615051633085</v>
      </c>
      <c r="S21">
        <f t="shared" si="2"/>
        <v>15.176615051633085</v>
      </c>
      <c r="AC21" t="s">
        <v>26</v>
      </c>
      <c r="AD21">
        <v>2009</v>
      </c>
      <c r="AE21">
        <v>8.3055009958866149E-3</v>
      </c>
    </row>
    <row r="22" spans="1:31">
      <c r="A22" t="s">
        <v>28</v>
      </c>
      <c r="B22">
        <v>2009</v>
      </c>
      <c r="C22">
        <v>4.5479892917161101E-3</v>
      </c>
      <c r="D22">
        <v>14.968261854799604</v>
      </c>
      <c r="J22" s="1">
        <f t="shared" si="3"/>
        <v>4.5479892917161101E-3</v>
      </c>
      <c r="K22" s="1">
        <f t="shared" si="0"/>
        <v>4.5479892917161101E-3</v>
      </c>
      <c r="R22">
        <f t="shared" si="1"/>
        <v>14.968261854799604</v>
      </c>
      <c r="S22">
        <f t="shared" si="2"/>
        <v>14.968261854799604</v>
      </c>
      <c r="AC22" t="s">
        <v>27</v>
      </c>
      <c r="AD22">
        <v>2009</v>
      </c>
      <c r="AE22">
        <v>1.6818360932793471E-3</v>
      </c>
    </row>
    <row r="23" spans="1:31">
      <c r="A23" t="s">
        <v>29</v>
      </c>
      <c r="B23">
        <v>2009</v>
      </c>
      <c r="C23">
        <v>1.1768330252618607E-2</v>
      </c>
      <c r="D23">
        <v>10.793228949176747</v>
      </c>
      <c r="J23" s="1">
        <f t="shared" si="3"/>
        <v>1.1768330252618607E-2</v>
      </c>
      <c r="K23" s="1">
        <f t="shared" si="0"/>
        <v>1.1768330252618607E-2</v>
      </c>
      <c r="R23">
        <f t="shared" si="1"/>
        <v>10.793228949176747</v>
      </c>
      <c r="S23">
        <f t="shared" si="2"/>
        <v>10.793228949176747</v>
      </c>
      <c r="AC23" t="s">
        <v>28</v>
      </c>
      <c r="AD23">
        <v>2009</v>
      </c>
      <c r="AE23">
        <v>4.5479892917161101E-3</v>
      </c>
    </row>
    <row r="24" spans="1:31">
      <c r="A24" t="s">
        <v>30</v>
      </c>
      <c r="B24">
        <v>2009</v>
      </c>
      <c r="C24">
        <v>8.9478988650804076E-3</v>
      </c>
      <c r="D24">
        <v>14.417463078339292</v>
      </c>
      <c r="J24" s="1">
        <f t="shared" si="3"/>
        <v>8.9478988650804076E-3</v>
      </c>
      <c r="K24" s="1">
        <f t="shared" si="0"/>
        <v>8.9478988650804076E-3</v>
      </c>
      <c r="R24">
        <f t="shared" si="1"/>
        <v>14.417463078339292</v>
      </c>
      <c r="S24">
        <f t="shared" si="2"/>
        <v>14.417463078339292</v>
      </c>
      <c r="AC24" t="s">
        <v>29</v>
      </c>
      <c r="AD24">
        <v>2009</v>
      </c>
      <c r="AE24">
        <v>1.1768330252618607E-2</v>
      </c>
    </row>
    <row r="25" spans="1:31">
      <c r="A25" t="s">
        <v>31</v>
      </c>
      <c r="B25">
        <v>2009</v>
      </c>
      <c r="C25">
        <v>4.7074822723218619E-3</v>
      </c>
      <c r="D25">
        <v>14.856149394856882</v>
      </c>
      <c r="J25" s="1">
        <f t="shared" si="3"/>
        <v>4.7074822723218619E-3</v>
      </c>
      <c r="K25" s="1">
        <f t="shared" si="0"/>
        <v>4.7074822723218619E-3</v>
      </c>
      <c r="R25">
        <f t="shared" si="1"/>
        <v>14.856149394856882</v>
      </c>
      <c r="S25">
        <f t="shared" si="2"/>
        <v>14.856149394856882</v>
      </c>
      <c r="AC25" t="s">
        <v>30</v>
      </c>
      <c r="AD25">
        <v>2009</v>
      </c>
      <c r="AE25">
        <v>8.9478988650804076E-3</v>
      </c>
    </row>
    <row r="26" spans="1:31">
      <c r="A26" t="s">
        <v>32</v>
      </c>
      <c r="B26">
        <v>2009</v>
      </c>
      <c r="C26">
        <v>1.144019770491234E-3</v>
      </c>
      <c r="D26">
        <v>16.079312098236493</v>
      </c>
      <c r="J26" s="1">
        <f t="shared" si="3"/>
        <v>1.144019770491234E-3</v>
      </c>
      <c r="K26" s="1">
        <f t="shared" si="0"/>
        <v>1.144019770491234E-3</v>
      </c>
      <c r="R26">
        <f t="shared" si="1"/>
        <v>16.079312098236493</v>
      </c>
      <c r="S26">
        <f t="shared" si="2"/>
        <v>16.079312098236493</v>
      </c>
      <c r="AC26" t="s">
        <v>31</v>
      </c>
      <c r="AD26">
        <v>2009</v>
      </c>
      <c r="AE26">
        <v>4.7074822723218619E-3</v>
      </c>
    </row>
    <row r="27" spans="1:31">
      <c r="A27" t="s">
        <v>33</v>
      </c>
      <c r="B27">
        <v>2009</v>
      </c>
      <c r="C27">
        <v>1.9010213185004603E-2</v>
      </c>
      <c r="D27">
        <v>16.023860463143006</v>
      </c>
      <c r="J27" s="1">
        <f t="shared" si="3"/>
        <v>1.9010213185004603E-2</v>
      </c>
      <c r="K27" s="1">
        <f t="shared" si="0"/>
        <v>1.9010213185004603E-2</v>
      </c>
      <c r="R27">
        <f t="shared" si="1"/>
        <v>16.023860463143006</v>
      </c>
      <c r="S27">
        <f t="shared" si="2"/>
        <v>16.023860463143006</v>
      </c>
      <c r="AC27" t="s">
        <v>32</v>
      </c>
      <c r="AD27">
        <v>2009</v>
      </c>
      <c r="AE27">
        <v>1.144019770491234E-3</v>
      </c>
    </row>
    <row r="28" spans="1:31">
      <c r="A28" t="s">
        <v>34</v>
      </c>
      <c r="B28">
        <v>2009</v>
      </c>
      <c r="C28">
        <v>7.8985991313990141E-3</v>
      </c>
      <c r="D28">
        <v>16.097811919950306</v>
      </c>
      <c r="J28" s="1">
        <f t="shared" si="3"/>
        <v>7.8985991313990141E-3</v>
      </c>
      <c r="K28" s="1">
        <f t="shared" si="0"/>
        <v>7.8985991313990141E-3</v>
      </c>
      <c r="R28">
        <f t="shared" si="1"/>
        <v>16.097811919950306</v>
      </c>
      <c r="S28">
        <f t="shared" si="2"/>
        <v>16.097811919950306</v>
      </c>
      <c r="AC28" t="s">
        <v>33</v>
      </c>
      <c r="AD28">
        <v>2009</v>
      </c>
      <c r="AE28">
        <v>1.9010213185004603E-2</v>
      </c>
    </row>
    <row r="29" spans="1:31">
      <c r="A29" t="s">
        <v>35</v>
      </c>
      <c r="B29">
        <v>2009</v>
      </c>
      <c r="C29">
        <v>1.2523985513807781E-3</v>
      </c>
      <c r="D29">
        <v>14.874157776514181</v>
      </c>
      <c r="J29" s="1">
        <f t="shared" si="3"/>
        <v>1.2523985513807781E-3</v>
      </c>
      <c r="K29" s="1">
        <f t="shared" si="0"/>
        <v>1.2523985513807781E-3</v>
      </c>
      <c r="R29">
        <f t="shared" si="1"/>
        <v>14.874157776514181</v>
      </c>
      <c r="S29">
        <f t="shared" si="2"/>
        <v>14.874157776514181</v>
      </c>
      <c r="AC29" t="s">
        <v>34</v>
      </c>
      <c r="AD29">
        <v>2009</v>
      </c>
      <c r="AE29">
        <v>7.8985991313990141E-3</v>
      </c>
    </row>
    <row r="30" spans="1:31">
      <c r="A30" t="s">
        <v>36</v>
      </c>
      <c r="B30">
        <v>2009</v>
      </c>
      <c r="C30">
        <v>1.9674630964164136E-2</v>
      </c>
      <c r="D30">
        <v>15.614530605287797</v>
      </c>
      <c r="J30" s="1">
        <f t="shared" si="3"/>
        <v>1.9674630964164136E-2</v>
      </c>
      <c r="K30" s="1">
        <f t="shared" si="0"/>
        <v>1.9674630964164136E-2</v>
      </c>
      <c r="R30">
        <f t="shared" si="1"/>
        <v>15.614530605287797</v>
      </c>
      <c r="S30">
        <f t="shared" si="2"/>
        <v>15.614530605287797</v>
      </c>
      <c r="AC30" t="s">
        <v>35</v>
      </c>
      <c r="AD30">
        <v>2009</v>
      </c>
      <c r="AE30">
        <v>1.2523985513807781E-3</v>
      </c>
    </row>
    <row r="31" spans="1:31">
      <c r="A31" t="s">
        <v>37</v>
      </c>
      <c r="B31">
        <v>2009</v>
      </c>
      <c r="C31">
        <v>2.9962202255283781E-3</v>
      </c>
      <c r="D31">
        <v>14.749066583176603</v>
      </c>
      <c r="J31" s="1">
        <f t="shared" si="3"/>
        <v>2.9962202255283781E-3</v>
      </c>
      <c r="K31" s="1">
        <f t="shared" si="0"/>
        <v>2.9962202255283781E-3</v>
      </c>
      <c r="R31">
        <f t="shared" si="1"/>
        <v>14.749066583176603</v>
      </c>
      <c r="S31">
        <f t="shared" si="2"/>
        <v>14.749066583176603</v>
      </c>
      <c r="AC31" t="s">
        <v>36</v>
      </c>
      <c r="AD31">
        <v>2009</v>
      </c>
      <c r="AE31">
        <v>1.9674630964164136E-2</v>
      </c>
    </row>
    <row r="32" spans="1:31">
      <c r="A32" t="s">
        <v>38</v>
      </c>
      <c r="B32">
        <v>2009</v>
      </c>
      <c r="C32">
        <v>2.1242852178308532E-3</v>
      </c>
      <c r="D32">
        <v>13.581464034678403</v>
      </c>
      <c r="J32" s="1">
        <f t="shared" si="3"/>
        <v>2.1242852178308532E-3</v>
      </c>
      <c r="K32" s="1">
        <f t="shared" si="0"/>
        <v>2.1242852178308532E-3</v>
      </c>
      <c r="R32">
        <f t="shared" si="1"/>
        <v>13.581464034678403</v>
      </c>
      <c r="S32">
        <f t="shared" si="2"/>
        <v>13.581464034678403</v>
      </c>
      <c r="AC32" t="s">
        <v>37</v>
      </c>
      <c r="AD32">
        <v>2009</v>
      </c>
      <c r="AE32">
        <v>2.9962202255283781E-3</v>
      </c>
    </row>
    <row r="33" spans="1:31">
      <c r="A33" t="s">
        <v>39</v>
      </c>
      <c r="B33">
        <v>2009</v>
      </c>
      <c r="C33">
        <v>1.2822331856380154E-2</v>
      </c>
      <c r="D33">
        <v>13.108990355822229</v>
      </c>
      <c r="J33" s="1">
        <f t="shared" si="3"/>
        <v>1.2822331856380154E-2</v>
      </c>
      <c r="K33" s="1">
        <f t="shared" si="0"/>
        <v>1.2822331856380154E-2</v>
      </c>
      <c r="R33">
        <f t="shared" si="1"/>
        <v>13.108990355822229</v>
      </c>
      <c r="S33">
        <f t="shared" si="2"/>
        <v>13.108990355822229</v>
      </c>
      <c r="AC33" t="s">
        <v>38</v>
      </c>
      <c r="AD33">
        <v>2009</v>
      </c>
      <c r="AE33">
        <v>2.1242852178308532E-3</v>
      </c>
    </row>
    <row r="34" spans="1:31">
      <c r="A34" t="s">
        <v>40</v>
      </c>
      <c r="B34">
        <v>2009</v>
      </c>
      <c r="C34">
        <v>3.5010826217614421E-2</v>
      </c>
      <c r="D34">
        <v>14.333586832119291</v>
      </c>
      <c r="J34" s="1">
        <f t="shared" si="3"/>
        <v>3.5010826217614421E-2</v>
      </c>
      <c r="K34" s="1">
        <f t="shared" si="0"/>
        <v>3.5010826217614421E-2</v>
      </c>
      <c r="R34">
        <f t="shared" si="1"/>
        <v>14.333586832119291</v>
      </c>
      <c r="S34">
        <f t="shared" si="2"/>
        <v>14.333586832119291</v>
      </c>
      <c r="AC34" t="s">
        <v>39</v>
      </c>
      <c r="AD34">
        <v>2009</v>
      </c>
      <c r="AE34">
        <v>1.2822331856380154E-2</v>
      </c>
    </row>
    <row r="35" spans="1:31">
      <c r="A35" t="s">
        <v>41</v>
      </c>
      <c r="B35">
        <v>2009</v>
      </c>
      <c r="C35">
        <v>6.1235823404030103E-3</v>
      </c>
      <c r="D35">
        <v>16.043058046830662</v>
      </c>
      <c r="J35" s="1">
        <f t="shared" si="3"/>
        <v>6.1235823404030103E-3</v>
      </c>
      <c r="K35" s="1">
        <f t="shared" si="0"/>
        <v>6.1235823404030103E-3</v>
      </c>
      <c r="R35">
        <f t="shared" si="1"/>
        <v>16.043058046830662</v>
      </c>
      <c r="S35">
        <f t="shared" si="2"/>
        <v>16.043058046830662</v>
      </c>
      <c r="AC35" t="s">
        <v>40</v>
      </c>
      <c r="AD35">
        <v>2009</v>
      </c>
      <c r="AE35">
        <v>3.5010826217614421E-2</v>
      </c>
    </row>
    <row r="36" spans="1:31">
      <c r="A36" t="s">
        <v>42</v>
      </c>
      <c r="B36">
        <v>2009</v>
      </c>
      <c r="C36">
        <v>3.7535724250393865E-2</v>
      </c>
      <c r="D36">
        <v>15.271832954603907</v>
      </c>
      <c r="J36" s="1">
        <f t="shared" si="3"/>
        <v>3.7535724250393865E-2</v>
      </c>
      <c r="K36" s="1">
        <f t="shared" si="0"/>
        <v>3.7535724250393865E-2</v>
      </c>
      <c r="R36">
        <f t="shared" si="1"/>
        <v>15.271832954603907</v>
      </c>
      <c r="S36">
        <f t="shared" si="2"/>
        <v>15.271832954603907</v>
      </c>
      <c r="AC36" t="s">
        <v>41</v>
      </c>
      <c r="AD36">
        <v>2009</v>
      </c>
      <c r="AE36">
        <v>6.1235823404030103E-3</v>
      </c>
    </row>
    <row r="37" spans="1:31">
      <c r="A37" t="s">
        <v>43</v>
      </c>
      <c r="B37">
        <v>2009</v>
      </c>
      <c r="C37">
        <v>2.6088764569496153E-3</v>
      </c>
      <c r="D37">
        <v>12.44862266724941</v>
      </c>
      <c r="J37" s="1">
        <f t="shared" si="3"/>
        <v>2.6088764569496153E-3</v>
      </c>
      <c r="K37" s="1">
        <f t="shared" si="0"/>
        <v>2.6088764569496153E-3</v>
      </c>
      <c r="R37">
        <f t="shared" si="1"/>
        <v>12.44862266724941</v>
      </c>
      <c r="S37">
        <f t="shared" si="2"/>
        <v>12.44862266724941</v>
      </c>
      <c r="AC37" t="s">
        <v>42</v>
      </c>
      <c r="AD37">
        <v>2009</v>
      </c>
      <c r="AE37">
        <v>3.7535724250393865E-2</v>
      </c>
    </row>
    <row r="38" spans="1:31">
      <c r="A38" t="s">
        <v>44</v>
      </c>
      <c r="B38">
        <v>2009</v>
      </c>
      <c r="C38">
        <v>1.578474836967491E-3</v>
      </c>
      <c r="D38">
        <v>13.484802675484888</v>
      </c>
      <c r="J38" s="1">
        <f t="shared" si="3"/>
        <v>1.578474836967491E-3</v>
      </c>
      <c r="K38" s="1">
        <f t="shared" si="0"/>
        <v>1.578474836967491E-3</v>
      </c>
      <c r="R38">
        <f t="shared" si="1"/>
        <v>13.484802675484888</v>
      </c>
      <c r="S38">
        <f t="shared" si="2"/>
        <v>13.484802675484888</v>
      </c>
      <c r="AC38" t="s">
        <v>43</v>
      </c>
      <c r="AD38">
        <v>2009</v>
      </c>
      <c r="AE38">
        <v>2.6088764569496153E-3</v>
      </c>
    </row>
    <row r="39" spans="1:31">
      <c r="A39" t="s">
        <v>45</v>
      </c>
      <c r="B39">
        <v>2009</v>
      </c>
      <c r="C39">
        <v>6.4429747401843307E-4</v>
      </c>
      <c r="D39">
        <v>14.522074332169042</v>
      </c>
      <c r="J39" s="1">
        <f t="shared" si="3"/>
        <v>6.4429747401843307E-4</v>
      </c>
      <c r="K39" s="1">
        <f t="shared" si="0"/>
        <v>6.4429747401843307E-4</v>
      </c>
      <c r="R39">
        <f t="shared" si="1"/>
        <v>14.522074332169042</v>
      </c>
      <c r="S39">
        <f t="shared" si="2"/>
        <v>14.522074332169042</v>
      </c>
      <c r="AC39" t="s">
        <v>44</v>
      </c>
      <c r="AD39">
        <v>2009</v>
      </c>
      <c r="AE39">
        <v>1.578474836967491E-3</v>
      </c>
    </row>
    <row r="40" spans="1:31">
      <c r="A40" t="s">
        <v>46</v>
      </c>
      <c r="B40">
        <v>2009</v>
      </c>
      <c r="C40">
        <v>4.0568591376739117E-3</v>
      </c>
      <c r="D40">
        <v>14.19242391658301</v>
      </c>
      <c r="J40" s="1">
        <f t="shared" si="3"/>
        <v>4.0568591376739117E-3</v>
      </c>
      <c r="K40" s="1">
        <f t="shared" si="0"/>
        <v>4.0568591376739117E-3</v>
      </c>
      <c r="R40">
        <f t="shared" si="1"/>
        <v>14.19242391658301</v>
      </c>
      <c r="S40">
        <f t="shared" si="2"/>
        <v>14.19242391658301</v>
      </c>
      <c r="AC40" t="s">
        <v>45</v>
      </c>
      <c r="AD40">
        <v>2009</v>
      </c>
      <c r="AE40">
        <v>6.4429747401843307E-4</v>
      </c>
    </row>
    <row r="41" spans="1:31">
      <c r="A41" t="s">
        <v>47</v>
      </c>
      <c r="B41">
        <v>2009</v>
      </c>
      <c r="C41">
        <v>4.4026321228684247E-3</v>
      </c>
      <c r="D41">
        <v>13.514728386008782</v>
      </c>
      <c r="J41" s="1">
        <f t="shared" si="3"/>
        <v>4.4026321228684247E-3</v>
      </c>
      <c r="K41" s="1">
        <f t="shared" si="0"/>
        <v>4.4026321228684247E-3</v>
      </c>
      <c r="R41">
        <f t="shared" si="1"/>
        <v>13.514728386008782</v>
      </c>
      <c r="S41">
        <f t="shared" si="2"/>
        <v>13.514728386008782</v>
      </c>
      <c r="AC41" t="s">
        <v>46</v>
      </c>
      <c r="AD41">
        <v>2009</v>
      </c>
      <c r="AE41">
        <v>4.0568591376739117E-3</v>
      </c>
    </row>
    <row r="42" spans="1:31">
      <c r="A42" t="s">
        <v>48</v>
      </c>
      <c r="B42">
        <v>2009</v>
      </c>
      <c r="C42">
        <v>1.6869508887443256E-2</v>
      </c>
      <c r="D42">
        <v>14.416900389934099</v>
      </c>
      <c r="J42" s="1">
        <f t="shared" si="3"/>
        <v>1.6869508887443256E-2</v>
      </c>
      <c r="K42" s="1">
        <f t="shared" si="0"/>
        <v>1.6869508887443256E-2</v>
      </c>
      <c r="R42">
        <f t="shared" si="1"/>
        <v>14.416900389934099</v>
      </c>
      <c r="S42">
        <f t="shared" si="2"/>
        <v>14.416900389934099</v>
      </c>
      <c r="AC42" t="s">
        <v>47</v>
      </c>
      <c r="AD42">
        <v>2009</v>
      </c>
      <c r="AE42">
        <v>4.4026321228684247E-3</v>
      </c>
    </row>
    <row r="43" spans="1:31">
      <c r="A43" t="s">
        <v>49</v>
      </c>
      <c r="B43">
        <v>2009</v>
      </c>
      <c r="C43">
        <v>9.3798086347410478E-3</v>
      </c>
      <c r="D43">
        <v>15.780060473581276</v>
      </c>
      <c r="J43" s="1">
        <f t="shared" si="3"/>
        <v>9.3798086347410478E-3</v>
      </c>
      <c r="K43" s="1">
        <f t="shared" si="0"/>
        <v>9.3798086347410478E-3</v>
      </c>
      <c r="R43">
        <f t="shared" si="1"/>
        <v>15.780060473581276</v>
      </c>
      <c r="S43">
        <f t="shared" si="2"/>
        <v>15.780060473581276</v>
      </c>
      <c r="AC43" t="s">
        <v>48</v>
      </c>
      <c r="AD43">
        <v>2009</v>
      </c>
      <c r="AE43">
        <v>1.6869508887443256E-2</v>
      </c>
    </row>
    <row r="44" spans="1:31">
      <c r="A44" t="s">
        <v>50</v>
      </c>
      <c r="B44">
        <v>2009</v>
      </c>
      <c r="C44">
        <v>4.846197139756734E-3</v>
      </c>
      <c r="D44">
        <v>14.496471790540296</v>
      </c>
      <c r="J44" s="1">
        <f t="shared" si="3"/>
        <v>4.846197139756734E-3</v>
      </c>
      <c r="K44" s="1">
        <f t="shared" si="0"/>
        <v>4.846197139756734E-3</v>
      </c>
      <c r="R44">
        <f t="shared" si="1"/>
        <v>14.496471790540296</v>
      </c>
      <c r="S44">
        <f t="shared" si="2"/>
        <v>14.496471790540296</v>
      </c>
      <c r="AC44" t="s">
        <v>49</v>
      </c>
      <c r="AD44">
        <v>2009</v>
      </c>
      <c r="AE44">
        <v>9.3798086347410478E-3</v>
      </c>
    </row>
    <row r="45" spans="1:31">
      <c r="A45" t="s">
        <v>51</v>
      </c>
      <c r="B45">
        <v>2009</v>
      </c>
      <c r="C45">
        <v>8.3630802210097124E-3</v>
      </c>
      <c r="D45">
        <v>14.059494629150326</v>
      </c>
      <c r="J45" s="1">
        <f t="shared" si="3"/>
        <v>8.3630802210097124E-3</v>
      </c>
      <c r="K45" s="1">
        <f t="shared" si="0"/>
        <v>8.3630802210097124E-3</v>
      </c>
      <c r="R45">
        <f t="shared" si="1"/>
        <v>14.059494629150326</v>
      </c>
      <c r="S45">
        <f t="shared" si="2"/>
        <v>14.059494629150326</v>
      </c>
      <c r="AC45" t="s">
        <v>50</v>
      </c>
      <c r="AD45">
        <v>2009</v>
      </c>
      <c r="AE45">
        <v>4.846197139756734E-3</v>
      </c>
    </row>
    <row r="46" spans="1:31">
      <c r="A46" t="s">
        <v>52</v>
      </c>
      <c r="B46">
        <v>2009</v>
      </c>
      <c r="C46">
        <v>2.7347896609608138E-2</v>
      </c>
      <c r="D46">
        <v>12.774968101001971</v>
      </c>
      <c r="J46" s="1">
        <f t="shared" si="3"/>
        <v>2.7347896609608138E-2</v>
      </c>
      <c r="K46" s="1">
        <f t="shared" si="0"/>
        <v>2.7347896609608138E-2</v>
      </c>
      <c r="R46">
        <f t="shared" si="1"/>
        <v>12.774968101001971</v>
      </c>
      <c r="S46">
        <f t="shared" si="2"/>
        <v>12.774968101001971</v>
      </c>
      <c r="AC46" t="s">
        <v>51</v>
      </c>
      <c r="AD46">
        <v>2009</v>
      </c>
      <c r="AE46">
        <v>8.3630802210097124E-3</v>
      </c>
    </row>
    <row r="47" spans="1:31">
      <c r="A47" t="s">
        <v>53</v>
      </c>
      <c r="B47">
        <v>2009</v>
      </c>
      <c r="C47">
        <v>3.9024448817183968E-3</v>
      </c>
      <c r="D47">
        <v>14.102565934082923</v>
      </c>
      <c r="J47" s="1">
        <f t="shared" si="3"/>
        <v>3.9024448817183968E-3</v>
      </c>
      <c r="K47" s="1">
        <f t="shared" si="0"/>
        <v>3.9024448817183968E-3</v>
      </c>
      <c r="R47">
        <f t="shared" si="1"/>
        <v>14.102565934082923</v>
      </c>
      <c r="S47">
        <f t="shared" si="2"/>
        <v>14.102565934082923</v>
      </c>
      <c r="AC47" t="s">
        <v>52</v>
      </c>
      <c r="AD47">
        <v>2009</v>
      </c>
      <c r="AE47">
        <v>2.7347896609608138E-2</v>
      </c>
    </row>
    <row r="48" spans="1:31">
      <c r="A48" t="s">
        <v>54</v>
      </c>
      <c r="B48">
        <v>2009</v>
      </c>
      <c r="C48">
        <v>1.6067990307618311E-3</v>
      </c>
      <c r="D48">
        <v>14.497203892959057</v>
      </c>
      <c r="J48" s="1">
        <f t="shared" si="3"/>
        <v>1.6067990307618311E-3</v>
      </c>
      <c r="K48" s="1">
        <f t="shared" si="0"/>
        <v>1.6067990307618311E-3</v>
      </c>
      <c r="R48">
        <f t="shared" si="1"/>
        <v>14.497203892959057</v>
      </c>
      <c r="S48">
        <f t="shared" si="2"/>
        <v>14.497203892959057</v>
      </c>
      <c r="AC48" t="s">
        <v>53</v>
      </c>
      <c r="AD48">
        <v>2009</v>
      </c>
      <c r="AE48">
        <v>3.9024448817183968E-3</v>
      </c>
    </row>
    <row r="49" spans="1:31">
      <c r="A49" t="s">
        <v>55</v>
      </c>
      <c r="B49">
        <v>2009</v>
      </c>
      <c r="C49">
        <v>8.5426456678727464E-3</v>
      </c>
      <c r="D49">
        <v>13.745622285725689</v>
      </c>
      <c r="J49" s="1">
        <f t="shared" si="3"/>
        <v>8.5426456678727464E-3</v>
      </c>
      <c r="K49" s="1">
        <f t="shared" si="0"/>
        <v>8.5426456678727464E-3</v>
      </c>
      <c r="R49">
        <f t="shared" si="1"/>
        <v>13.745622285725689</v>
      </c>
      <c r="S49">
        <f t="shared" si="2"/>
        <v>13.745622285725689</v>
      </c>
      <c r="AC49" t="s">
        <v>54</v>
      </c>
      <c r="AD49">
        <v>2009</v>
      </c>
      <c r="AE49">
        <v>1.6067990307618311E-3</v>
      </c>
    </row>
    <row r="50" spans="1:31">
      <c r="A50" t="s">
        <v>56</v>
      </c>
      <c r="B50">
        <v>2009</v>
      </c>
      <c r="C50">
        <v>3.0471269422456758E-3</v>
      </c>
      <c r="D50">
        <v>13.209934597652472</v>
      </c>
      <c r="J50" s="1">
        <f t="shared" si="3"/>
        <v>3.0471269422456758E-3</v>
      </c>
      <c r="K50" s="1">
        <f t="shared" si="0"/>
        <v>3.0471269422456758E-3</v>
      </c>
      <c r="R50">
        <f t="shared" si="1"/>
        <v>13.209934597652472</v>
      </c>
      <c r="S50">
        <f t="shared" si="2"/>
        <v>13.209934597652472</v>
      </c>
      <c r="AC50" t="s">
        <v>55</v>
      </c>
      <c r="AD50">
        <v>2009</v>
      </c>
      <c r="AE50">
        <v>8.5426456678727464E-3</v>
      </c>
    </row>
    <row r="51" spans="1:31">
      <c r="A51" t="s">
        <v>57</v>
      </c>
      <c r="B51">
        <v>2009</v>
      </c>
      <c r="C51">
        <v>1.3958203190250309E-3</v>
      </c>
      <c r="D51">
        <v>12.987731951393444</v>
      </c>
      <c r="J51" s="1">
        <f t="shared" si="3"/>
        <v>1.3958203190250309E-3</v>
      </c>
      <c r="K51" s="1">
        <f t="shared" si="0"/>
        <v>1.3958203190250309E-3</v>
      </c>
      <c r="R51">
        <f t="shared" si="1"/>
        <v>12.987731951393444</v>
      </c>
      <c r="S51">
        <f t="shared" si="2"/>
        <v>12.987731951393444</v>
      </c>
      <c r="AC51" t="s">
        <v>56</v>
      </c>
      <c r="AD51">
        <v>2009</v>
      </c>
      <c r="AE51">
        <v>3.0471269422456758E-3</v>
      </c>
    </row>
    <row r="52" spans="1:31">
      <c r="A52" t="s">
        <v>58</v>
      </c>
      <c r="B52">
        <v>2009</v>
      </c>
      <c r="C52">
        <v>6.5098000183012872E-4</v>
      </c>
      <c r="D52">
        <v>14.03529968949791</v>
      </c>
      <c r="J52" s="1">
        <f t="shared" si="3"/>
        <v>6.5098000183012872E-4</v>
      </c>
      <c r="K52" s="1">
        <f t="shared" si="0"/>
        <v>6.5098000183012872E-4</v>
      </c>
      <c r="R52">
        <f t="shared" si="1"/>
        <v>14.03529968949791</v>
      </c>
      <c r="S52">
        <f t="shared" si="2"/>
        <v>14.03529968949791</v>
      </c>
      <c r="AC52" t="s">
        <v>57</v>
      </c>
      <c r="AD52">
        <v>2009</v>
      </c>
      <c r="AE52">
        <v>1.3958203190250309E-3</v>
      </c>
    </row>
    <row r="53" spans="1:31">
      <c r="A53" t="s">
        <v>59</v>
      </c>
      <c r="B53">
        <v>2009</v>
      </c>
      <c r="C53">
        <v>3.1095743230490233E-2</v>
      </c>
      <c r="D53">
        <v>16.017608905829082</v>
      </c>
      <c r="J53" s="1">
        <f t="shared" si="3"/>
        <v>3.1095743230490233E-2</v>
      </c>
      <c r="K53" s="1">
        <f t="shared" si="0"/>
        <v>3.1095743230490233E-2</v>
      </c>
      <c r="R53">
        <f t="shared" si="1"/>
        <v>16.017608905829082</v>
      </c>
      <c r="S53">
        <f t="shared" si="2"/>
        <v>16.017608905829082</v>
      </c>
      <c r="AC53" t="s">
        <v>58</v>
      </c>
      <c r="AD53">
        <v>2009</v>
      </c>
      <c r="AE53">
        <v>6.5098000183012872E-4</v>
      </c>
    </row>
    <row r="54" spans="1:31">
      <c r="A54" t="s">
        <v>60</v>
      </c>
      <c r="B54">
        <v>2009</v>
      </c>
      <c r="C54">
        <v>5.2330863717627745E-4</v>
      </c>
      <c r="D54">
        <v>14.76837079934741</v>
      </c>
      <c r="J54" s="1">
        <f t="shared" si="3"/>
        <v>5.2330863717627745E-4</v>
      </c>
      <c r="K54" s="1">
        <f t="shared" si="0"/>
        <v>5.2330863717627745E-4</v>
      </c>
      <c r="R54">
        <f t="shared" si="1"/>
        <v>14.76837079934741</v>
      </c>
      <c r="S54">
        <f t="shared" si="2"/>
        <v>14.76837079934741</v>
      </c>
      <c r="AC54" t="s">
        <v>59</v>
      </c>
      <c r="AD54">
        <v>2009</v>
      </c>
      <c r="AE54">
        <v>3.1095743230490233E-2</v>
      </c>
    </row>
    <row r="55" spans="1:31">
      <c r="A55" t="s">
        <v>61</v>
      </c>
      <c r="B55">
        <v>2009</v>
      </c>
      <c r="C55">
        <v>6.0484926450067302E-3</v>
      </c>
      <c r="D55">
        <v>16.401433726904546</v>
      </c>
      <c r="J55" s="1">
        <f t="shared" si="3"/>
        <v>6.0484926450067302E-3</v>
      </c>
      <c r="K55" s="1">
        <f t="shared" si="0"/>
        <v>6.0484926450067302E-3</v>
      </c>
      <c r="R55">
        <f t="shared" si="1"/>
        <v>16.401433726904546</v>
      </c>
      <c r="S55">
        <f t="shared" si="2"/>
        <v>16.401433726904546</v>
      </c>
      <c r="AC55" t="s">
        <v>60</v>
      </c>
      <c r="AD55">
        <v>2009</v>
      </c>
      <c r="AE55">
        <v>5.2330863717627745E-4</v>
      </c>
    </row>
    <row r="56" spans="1:31">
      <c r="A56" t="s">
        <v>62</v>
      </c>
      <c r="B56">
        <v>2009</v>
      </c>
      <c r="C56">
        <v>3.1511995289785967E-4</v>
      </c>
      <c r="D56">
        <v>12.393290529061629</v>
      </c>
      <c r="J56" s="1">
        <f t="shared" si="3"/>
        <v>3.1511995289785967E-4</v>
      </c>
      <c r="K56" s="1">
        <f t="shared" si="0"/>
        <v>3.1511995289785967E-4</v>
      </c>
      <c r="R56">
        <f t="shared" si="1"/>
        <v>12.393290529061629</v>
      </c>
      <c r="S56">
        <f t="shared" si="2"/>
        <v>12.393290529061629</v>
      </c>
      <c r="AC56" t="s">
        <v>61</v>
      </c>
      <c r="AD56">
        <v>2009</v>
      </c>
      <c r="AE56">
        <v>6.0484926450067302E-3</v>
      </c>
    </row>
    <row r="57" spans="1:31">
      <c r="A57" t="s">
        <v>63</v>
      </c>
      <c r="B57">
        <v>2009</v>
      </c>
      <c r="C57">
        <v>2.0881017805899783E-3</v>
      </c>
      <c r="D57">
        <v>15.301280728774248</v>
      </c>
      <c r="J57" s="1">
        <f t="shared" si="3"/>
        <v>2.0881017805899783E-3</v>
      </c>
      <c r="K57" s="1">
        <f t="shared" si="0"/>
        <v>2.0881017805899783E-3</v>
      </c>
      <c r="R57">
        <f t="shared" si="1"/>
        <v>15.301280728774248</v>
      </c>
      <c r="S57">
        <f t="shared" si="2"/>
        <v>15.301280728774248</v>
      </c>
      <c r="AC57" t="s">
        <v>62</v>
      </c>
      <c r="AD57">
        <v>2009</v>
      </c>
      <c r="AE57">
        <v>3.1511995289785967E-4</v>
      </c>
    </row>
    <row r="58" spans="1:31">
      <c r="A58" t="s">
        <v>64</v>
      </c>
      <c r="B58">
        <v>2009</v>
      </c>
      <c r="C58">
        <v>6.1357125390632886E-3</v>
      </c>
      <c r="D58">
        <v>14.106128067800963</v>
      </c>
      <c r="J58" s="1">
        <f t="shared" si="3"/>
        <v>6.1357125390632886E-3</v>
      </c>
      <c r="K58" s="1">
        <f t="shared" si="0"/>
        <v>6.1357125390632886E-3</v>
      </c>
      <c r="R58">
        <f t="shared" si="1"/>
        <v>14.106128067800963</v>
      </c>
      <c r="S58">
        <f t="shared" si="2"/>
        <v>14.106128067800963</v>
      </c>
      <c r="AC58" t="s">
        <v>63</v>
      </c>
      <c r="AD58">
        <v>2009</v>
      </c>
      <c r="AE58">
        <v>2.0881017805899783E-3</v>
      </c>
    </row>
    <row r="59" spans="1:31">
      <c r="A59" t="s">
        <v>65</v>
      </c>
      <c r="B59">
        <v>2009</v>
      </c>
      <c r="C59">
        <v>3.3364654767708828E-2</v>
      </c>
      <c r="D59">
        <v>16.079535575535871</v>
      </c>
      <c r="J59" s="1">
        <f t="shared" si="3"/>
        <v>3.3364654767708828E-2</v>
      </c>
      <c r="K59" s="1">
        <f t="shared" si="0"/>
        <v>3.3364654767708828E-2</v>
      </c>
      <c r="R59">
        <f t="shared" si="1"/>
        <v>16.079535575535871</v>
      </c>
      <c r="S59">
        <f t="shared" si="2"/>
        <v>16.079535575535871</v>
      </c>
      <c r="AC59" t="s">
        <v>64</v>
      </c>
      <c r="AD59">
        <v>2009</v>
      </c>
      <c r="AE59">
        <v>6.1357125390632886E-3</v>
      </c>
    </row>
    <row r="60" spans="1:31">
      <c r="A60" t="s">
        <v>66</v>
      </c>
      <c r="B60">
        <v>2009</v>
      </c>
      <c r="C60">
        <v>5.1825708909656481E-4</v>
      </c>
      <c r="D60">
        <v>13.702766181915363</v>
      </c>
      <c r="J60" s="1">
        <f t="shared" si="3"/>
        <v>5.1825708909656481E-4</v>
      </c>
      <c r="K60" s="1">
        <f t="shared" si="0"/>
        <v>5.1825708909656481E-4</v>
      </c>
      <c r="R60">
        <f t="shared" si="1"/>
        <v>13.702766181915363</v>
      </c>
      <c r="S60">
        <f t="shared" si="2"/>
        <v>13.702766181915363</v>
      </c>
      <c r="AC60" t="s">
        <v>65</v>
      </c>
      <c r="AD60">
        <v>2009</v>
      </c>
      <c r="AE60">
        <v>3.3364654767708828E-2</v>
      </c>
    </row>
    <row r="61" spans="1:31">
      <c r="A61" t="s">
        <v>67</v>
      </c>
      <c r="B61">
        <v>2009</v>
      </c>
      <c r="C61">
        <v>3.8418684325550725E-3</v>
      </c>
      <c r="D61">
        <v>14.498094644970328</v>
      </c>
      <c r="J61" s="1">
        <f t="shared" si="3"/>
        <v>3.8418684325550725E-3</v>
      </c>
      <c r="K61" s="1">
        <f t="shared" si="0"/>
        <v>3.8418684325550725E-3</v>
      </c>
      <c r="R61">
        <f t="shared" si="1"/>
        <v>14.498094644970328</v>
      </c>
      <c r="S61">
        <f t="shared" si="2"/>
        <v>14.498094644970328</v>
      </c>
      <c r="AC61" t="s">
        <v>66</v>
      </c>
      <c r="AD61">
        <v>2009</v>
      </c>
      <c r="AE61">
        <v>5.1825708909656481E-4</v>
      </c>
    </row>
    <row r="62" spans="1:31">
      <c r="A62" t="s">
        <v>68</v>
      </c>
      <c r="B62">
        <v>2009</v>
      </c>
      <c r="C62">
        <v>6.9772753225990636E-3</v>
      </c>
      <c r="D62">
        <v>11.38019375251627</v>
      </c>
      <c r="J62" s="1">
        <f t="shared" si="3"/>
        <v>6.9772753225990636E-3</v>
      </c>
      <c r="K62" s="1">
        <f t="shared" si="0"/>
        <v>6.9772753225990636E-3</v>
      </c>
      <c r="R62">
        <f t="shared" si="1"/>
        <v>11.38019375251627</v>
      </c>
      <c r="S62">
        <f t="shared" si="2"/>
        <v>11.38019375251627</v>
      </c>
      <c r="AC62" t="s">
        <v>67</v>
      </c>
      <c r="AD62">
        <v>2009</v>
      </c>
      <c r="AE62">
        <v>3.8418684325550725E-3</v>
      </c>
    </row>
    <row r="63" spans="1:31">
      <c r="A63" t="s">
        <v>69</v>
      </c>
      <c r="B63">
        <v>2009</v>
      </c>
      <c r="C63">
        <v>4.9043047534973823E-4</v>
      </c>
      <c r="D63">
        <v>11.309106485525438</v>
      </c>
      <c r="J63" s="1">
        <f t="shared" si="3"/>
        <v>4.9043047534973823E-4</v>
      </c>
      <c r="K63" s="1">
        <f t="shared" si="0"/>
        <v>4.9043047534973823E-4</v>
      </c>
      <c r="R63">
        <f t="shared" si="1"/>
        <v>11.309106485525438</v>
      </c>
      <c r="S63">
        <f t="shared" si="2"/>
        <v>11.309106485525438</v>
      </c>
      <c r="AC63" t="s">
        <v>68</v>
      </c>
      <c r="AD63">
        <v>2009</v>
      </c>
      <c r="AE63">
        <v>6.9772753225990636E-3</v>
      </c>
    </row>
    <row r="64" spans="1:31">
      <c r="A64" t="s">
        <v>70</v>
      </c>
      <c r="B64">
        <v>2009</v>
      </c>
      <c r="C64">
        <v>4.3556304315510677E-2</v>
      </c>
      <c r="D64">
        <v>13.346509625849709</v>
      </c>
      <c r="J64" s="1">
        <f t="shared" si="3"/>
        <v>4.3556304315510677E-2</v>
      </c>
      <c r="K64" s="1">
        <f t="shared" si="0"/>
        <v>4.3556304315510677E-2</v>
      </c>
      <c r="R64">
        <f t="shared" si="1"/>
        <v>13.346509625849709</v>
      </c>
      <c r="S64">
        <f t="shared" si="2"/>
        <v>13.346509625849709</v>
      </c>
      <c r="AC64" t="s">
        <v>69</v>
      </c>
      <c r="AD64">
        <v>2009</v>
      </c>
      <c r="AE64">
        <v>4.9043047534973823E-4</v>
      </c>
    </row>
    <row r="65" spans="1:31">
      <c r="A65" t="s">
        <v>71</v>
      </c>
      <c r="B65">
        <v>2009</v>
      </c>
      <c r="C65">
        <v>3.7879668686605617E-3</v>
      </c>
      <c r="D65">
        <v>14.070259747360437</v>
      </c>
      <c r="J65" s="1">
        <f t="shared" si="3"/>
        <v>3.7879668686605617E-3</v>
      </c>
      <c r="K65" s="1">
        <f t="shared" si="0"/>
        <v>3.7879668686605617E-3</v>
      </c>
      <c r="R65">
        <f t="shared" si="1"/>
        <v>14.070259747360437</v>
      </c>
      <c r="S65">
        <f t="shared" si="2"/>
        <v>14.070259747360437</v>
      </c>
      <c r="AC65" t="s">
        <v>70</v>
      </c>
      <c r="AD65">
        <v>2009</v>
      </c>
      <c r="AE65">
        <v>4.3556304315510677E-2</v>
      </c>
    </row>
    <row r="66" spans="1:31">
      <c r="A66" t="s">
        <v>72</v>
      </c>
      <c r="B66">
        <v>2009</v>
      </c>
      <c r="C66">
        <v>1.7253890757666355E-3</v>
      </c>
      <c r="D66">
        <v>16.801669402128816</v>
      </c>
      <c r="J66" s="1">
        <f t="shared" si="3"/>
        <v>1.7253890757666355E-3</v>
      </c>
      <c r="K66" s="1">
        <f t="shared" si="0"/>
        <v>1.7253890757666355E-3</v>
      </c>
      <c r="R66">
        <f t="shared" si="1"/>
        <v>16.801669402128816</v>
      </c>
      <c r="S66">
        <f t="shared" si="2"/>
        <v>16.801669402128816</v>
      </c>
      <c r="AC66" t="s">
        <v>71</v>
      </c>
      <c r="AD66">
        <v>2009</v>
      </c>
      <c r="AE66">
        <v>3.7879668686605617E-3</v>
      </c>
    </row>
    <row r="67" spans="1:31">
      <c r="A67" t="s">
        <v>73</v>
      </c>
      <c r="B67">
        <v>2009</v>
      </c>
      <c r="C67">
        <v>3.5380671771362174E-3</v>
      </c>
      <c r="D67">
        <v>17.265900752880569</v>
      </c>
      <c r="J67" s="1">
        <f t="shared" ref="J67:J130" si="4">IF(OR(C67&lt;$H$2,C67&gt;$I$2),"out",C67)</f>
        <v>3.5380671771362174E-3</v>
      </c>
      <c r="K67" s="1">
        <f t="shared" ref="K67:K130" si="5">IF(OR(C67&lt;$H$3,C67&gt;$I$3),"out",C67)</f>
        <v>3.5380671771362174E-3</v>
      </c>
      <c r="R67">
        <f t="shared" ref="R67:R130" si="6">IF(OR(D67&lt;$P$2,D67&gt;$Q$2),"out",D67)</f>
        <v>17.265900752880569</v>
      </c>
      <c r="S67">
        <f t="shared" ref="S67:S130" si="7">IF(OR(D67&lt;$P$3,D67&gt;$Q$3),"out",D67)</f>
        <v>17.265900752880569</v>
      </c>
      <c r="AC67" t="s">
        <v>72</v>
      </c>
      <c r="AD67">
        <v>2009</v>
      </c>
      <c r="AE67">
        <v>1.7253890757666355E-3</v>
      </c>
    </row>
    <row r="68" spans="1:31">
      <c r="A68" t="s">
        <v>74</v>
      </c>
      <c r="B68">
        <v>2009</v>
      </c>
      <c r="C68">
        <v>6.1420351017666091E-4</v>
      </c>
      <c r="D68">
        <v>14.837090962986984</v>
      </c>
      <c r="J68" s="1">
        <f t="shared" si="4"/>
        <v>6.1420351017666091E-4</v>
      </c>
      <c r="K68" s="1">
        <f t="shared" si="5"/>
        <v>6.1420351017666091E-4</v>
      </c>
      <c r="R68">
        <f t="shared" si="6"/>
        <v>14.837090962986984</v>
      </c>
      <c r="S68">
        <f t="shared" si="7"/>
        <v>14.837090962986984</v>
      </c>
      <c r="AC68" t="s">
        <v>73</v>
      </c>
      <c r="AD68">
        <v>2009</v>
      </c>
      <c r="AE68">
        <v>3.5380671771362174E-3</v>
      </c>
    </row>
    <row r="69" spans="1:31">
      <c r="A69" t="s">
        <v>75</v>
      </c>
      <c r="B69">
        <v>2009</v>
      </c>
      <c r="C69">
        <v>3.5098568001328363E-3</v>
      </c>
      <c r="D69">
        <v>12.070544975955775</v>
      </c>
      <c r="J69" s="1">
        <f t="shared" si="4"/>
        <v>3.5098568001328363E-3</v>
      </c>
      <c r="K69" s="1">
        <f t="shared" si="5"/>
        <v>3.5098568001328363E-3</v>
      </c>
      <c r="R69">
        <f t="shared" si="6"/>
        <v>12.070544975955775</v>
      </c>
      <c r="S69">
        <f t="shared" si="7"/>
        <v>12.070544975955775</v>
      </c>
      <c r="AC69" t="s">
        <v>74</v>
      </c>
      <c r="AD69">
        <v>2009</v>
      </c>
      <c r="AE69">
        <v>6.1420351017666091E-4</v>
      </c>
    </row>
    <row r="70" spans="1:31">
      <c r="A70" t="s">
        <v>76</v>
      </c>
      <c r="B70">
        <v>2009</v>
      </c>
      <c r="C70">
        <v>2.0381957082697043E-2</v>
      </c>
      <c r="D70">
        <v>14.897552310497723</v>
      </c>
      <c r="J70" s="1">
        <f t="shared" si="4"/>
        <v>2.0381957082697043E-2</v>
      </c>
      <c r="K70" s="1">
        <f t="shared" si="5"/>
        <v>2.0381957082697043E-2</v>
      </c>
      <c r="R70">
        <f t="shared" si="6"/>
        <v>14.897552310497723</v>
      </c>
      <c r="S70">
        <f t="shared" si="7"/>
        <v>14.897552310497723</v>
      </c>
      <c r="AC70" t="s">
        <v>75</v>
      </c>
      <c r="AD70">
        <v>2009</v>
      </c>
      <c r="AE70">
        <v>3.5098568001328363E-3</v>
      </c>
    </row>
    <row r="71" spans="1:31">
      <c r="A71" t="s">
        <v>77</v>
      </c>
      <c r="B71">
        <v>2009</v>
      </c>
      <c r="C71">
        <v>1.5758248591340345E-3</v>
      </c>
      <c r="D71">
        <v>14.158238898579265</v>
      </c>
      <c r="J71" s="1">
        <f t="shared" si="4"/>
        <v>1.5758248591340345E-3</v>
      </c>
      <c r="K71" s="1">
        <f t="shared" si="5"/>
        <v>1.5758248591340345E-3</v>
      </c>
      <c r="R71">
        <f t="shared" si="6"/>
        <v>14.158238898579265</v>
      </c>
      <c r="S71">
        <f t="shared" si="7"/>
        <v>14.158238898579265</v>
      </c>
      <c r="AC71" t="s">
        <v>76</v>
      </c>
      <c r="AD71">
        <v>2009</v>
      </c>
      <c r="AE71">
        <v>2.0381957082697043E-2</v>
      </c>
    </row>
    <row r="72" spans="1:31">
      <c r="A72" t="s">
        <v>78</v>
      </c>
      <c r="B72">
        <v>2009</v>
      </c>
      <c r="C72">
        <v>4.0929034158783979E-3</v>
      </c>
      <c r="D72">
        <v>14.252345771896591</v>
      </c>
      <c r="J72" s="1">
        <f t="shared" si="4"/>
        <v>4.0929034158783979E-3</v>
      </c>
      <c r="K72" s="1">
        <f t="shared" si="5"/>
        <v>4.0929034158783979E-3</v>
      </c>
      <c r="R72">
        <f t="shared" si="6"/>
        <v>14.252345771896591</v>
      </c>
      <c r="S72">
        <f t="shared" si="7"/>
        <v>14.252345771896591</v>
      </c>
      <c r="AC72" t="s">
        <v>77</v>
      </c>
      <c r="AD72">
        <v>2009</v>
      </c>
      <c r="AE72">
        <v>1.5758248591340345E-3</v>
      </c>
    </row>
    <row r="73" spans="1:31">
      <c r="A73" t="s">
        <v>79</v>
      </c>
      <c r="B73">
        <v>2009</v>
      </c>
      <c r="C73">
        <v>2.0315740466415543E-3</v>
      </c>
      <c r="D73">
        <v>13.759024858977412</v>
      </c>
      <c r="J73" s="1">
        <f t="shared" si="4"/>
        <v>2.0315740466415543E-3</v>
      </c>
      <c r="K73" s="1">
        <f t="shared" si="5"/>
        <v>2.0315740466415543E-3</v>
      </c>
      <c r="R73">
        <f t="shared" si="6"/>
        <v>13.759024858977412</v>
      </c>
      <c r="S73">
        <f t="shared" si="7"/>
        <v>13.759024858977412</v>
      </c>
      <c r="AC73" t="s">
        <v>78</v>
      </c>
      <c r="AD73">
        <v>2009</v>
      </c>
      <c r="AE73">
        <v>4.0929034158783979E-3</v>
      </c>
    </row>
    <row r="74" spans="1:31">
      <c r="A74" t="s">
        <v>80</v>
      </c>
      <c r="B74">
        <v>2009</v>
      </c>
      <c r="C74">
        <v>3.4930250584433697E-4</v>
      </c>
      <c r="D74">
        <v>16.002914402715774</v>
      </c>
      <c r="J74" s="1">
        <f t="shared" si="4"/>
        <v>3.4930250584433697E-4</v>
      </c>
      <c r="K74" s="1">
        <f t="shared" si="5"/>
        <v>3.4930250584433697E-4</v>
      </c>
      <c r="R74">
        <f t="shared" si="6"/>
        <v>16.002914402715774</v>
      </c>
      <c r="S74">
        <f t="shared" si="7"/>
        <v>16.002914402715774</v>
      </c>
      <c r="AC74" t="s">
        <v>79</v>
      </c>
      <c r="AD74">
        <v>2009</v>
      </c>
      <c r="AE74">
        <v>2.0315740466415543E-3</v>
      </c>
    </row>
    <row r="75" spans="1:31">
      <c r="A75" t="s">
        <v>81</v>
      </c>
      <c r="B75">
        <v>2009</v>
      </c>
      <c r="C75">
        <v>4.7114225109433604E-3</v>
      </c>
      <c r="D75">
        <v>12.987741104271681</v>
      </c>
      <c r="J75" s="1">
        <f t="shared" si="4"/>
        <v>4.7114225109433604E-3</v>
      </c>
      <c r="K75" s="1">
        <f t="shared" si="5"/>
        <v>4.7114225109433604E-3</v>
      </c>
      <c r="R75">
        <f t="shared" si="6"/>
        <v>12.987741104271681</v>
      </c>
      <c r="S75">
        <f t="shared" si="7"/>
        <v>12.987741104271681</v>
      </c>
      <c r="AC75" t="s">
        <v>80</v>
      </c>
      <c r="AD75">
        <v>2009</v>
      </c>
      <c r="AE75">
        <v>3.4930250584433697E-4</v>
      </c>
    </row>
    <row r="76" spans="1:31">
      <c r="A76" t="s">
        <v>82</v>
      </c>
      <c r="B76">
        <v>2009</v>
      </c>
      <c r="C76">
        <v>5.9166215194868602E-3</v>
      </c>
      <c r="D76">
        <v>14.21771034069547</v>
      </c>
      <c r="J76" s="1">
        <f t="shared" si="4"/>
        <v>5.9166215194868602E-3</v>
      </c>
      <c r="K76" s="1">
        <f t="shared" si="5"/>
        <v>5.9166215194868602E-3</v>
      </c>
      <c r="R76">
        <f t="shared" si="6"/>
        <v>14.21771034069547</v>
      </c>
      <c r="S76">
        <f t="shared" si="7"/>
        <v>14.21771034069547</v>
      </c>
      <c r="AC76" t="s">
        <v>81</v>
      </c>
      <c r="AD76">
        <v>2009</v>
      </c>
      <c r="AE76">
        <v>4.7114225109433604E-3</v>
      </c>
    </row>
    <row r="77" spans="1:31">
      <c r="A77" t="s">
        <v>83</v>
      </c>
      <c r="B77">
        <v>2009</v>
      </c>
      <c r="C77">
        <v>4.4182778530460383E-3</v>
      </c>
      <c r="D77">
        <v>15.232993702863354</v>
      </c>
      <c r="J77" s="1">
        <f t="shared" si="4"/>
        <v>4.4182778530460383E-3</v>
      </c>
      <c r="K77" s="1">
        <f t="shared" si="5"/>
        <v>4.4182778530460383E-3</v>
      </c>
      <c r="R77">
        <f t="shared" si="6"/>
        <v>15.232993702863354</v>
      </c>
      <c r="S77">
        <f t="shared" si="7"/>
        <v>15.232993702863354</v>
      </c>
      <c r="AC77" t="s">
        <v>82</v>
      </c>
      <c r="AD77">
        <v>2009</v>
      </c>
      <c r="AE77">
        <v>5.9166215194868602E-3</v>
      </c>
    </row>
    <row r="78" spans="1:31">
      <c r="A78" t="s">
        <v>84</v>
      </c>
      <c r="B78">
        <v>2009</v>
      </c>
      <c r="C78">
        <v>6.486592336029961E-4</v>
      </c>
      <c r="D78">
        <v>14.201266714388561</v>
      </c>
      <c r="J78" s="1">
        <f t="shared" si="4"/>
        <v>6.486592336029961E-4</v>
      </c>
      <c r="K78" s="1">
        <f t="shared" si="5"/>
        <v>6.486592336029961E-4</v>
      </c>
      <c r="R78">
        <f t="shared" si="6"/>
        <v>14.201266714388561</v>
      </c>
      <c r="S78">
        <f t="shared" si="7"/>
        <v>14.201266714388561</v>
      </c>
      <c r="AC78" t="s">
        <v>83</v>
      </c>
      <c r="AD78">
        <v>2009</v>
      </c>
      <c r="AE78">
        <v>4.4182778530460383E-3</v>
      </c>
    </row>
    <row r="79" spans="1:31">
      <c r="A79" t="s">
        <v>85</v>
      </c>
      <c r="B79">
        <v>2009</v>
      </c>
      <c r="C79">
        <v>3.1589372117370756E-2</v>
      </c>
      <c r="D79">
        <v>12.082236954455269</v>
      </c>
      <c r="J79" s="1">
        <f t="shared" si="4"/>
        <v>3.1589372117370756E-2</v>
      </c>
      <c r="K79" s="1">
        <f t="shared" si="5"/>
        <v>3.1589372117370756E-2</v>
      </c>
      <c r="R79">
        <f t="shared" si="6"/>
        <v>12.082236954455269</v>
      </c>
      <c r="S79">
        <f t="shared" si="7"/>
        <v>12.082236954455269</v>
      </c>
      <c r="AC79" t="s">
        <v>84</v>
      </c>
      <c r="AD79">
        <v>2009</v>
      </c>
      <c r="AE79">
        <v>6.486592336029961E-4</v>
      </c>
    </row>
    <row r="80" spans="1:31">
      <c r="A80" t="s">
        <v>86</v>
      </c>
      <c r="B80">
        <v>2009</v>
      </c>
      <c r="C80">
        <v>8.0143989200809937E-4</v>
      </c>
      <c r="D80">
        <v>15.201879916271805</v>
      </c>
      <c r="J80" s="1">
        <f t="shared" si="4"/>
        <v>8.0143989200809937E-4</v>
      </c>
      <c r="K80" s="1">
        <f t="shared" si="5"/>
        <v>8.0143989200809937E-4</v>
      </c>
      <c r="R80">
        <f t="shared" si="6"/>
        <v>15.201879916271805</v>
      </c>
      <c r="S80">
        <f t="shared" si="7"/>
        <v>15.201879916271805</v>
      </c>
      <c r="AC80" t="s">
        <v>85</v>
      </c>
      <c r="AD80">
        <v>2009</v>
      </c>
      <c r="AE80">
        <v>3.1589372117370756E-2</v>
      </c>
    </row>
    <row r="81" spans="1:31">
      <c r="A81" t="s">
        <v>87</v>
      </c>
      <c r="B81">
        <v>2009</v>
      </c>
      <c r="C81">
        <v>4.4659095501758074E-3</v>
      </c>
      <c r="D81">
        <v>12.888886621950327</v>
      </c>
      <c r="J81" s="1">
        <f t="shared" si="4"/>
        <v>4.4659095501758074E-3</v>
      </c>
      <c r="K81" s="1">
        <f t="shared" si="5"/>
        <v>4.4659095501758074E-3</v>
      </c>
      <c r="R81">
        <f t="shared" si="6"/>
        <v>12.888886621950327</v>
      </c>
      <c r="S81">
        <f t="shared" si="7"/>
        <v>12.888886621950327</v>
      </c>
      <c r="AC81" t="s">
        <v>86</v>
      </c>
      <c r="AD81">
        <v>2009</v>
      </c>
      <c r="AE81">
        <v>8.0143989200809937E-4</v>
      </c>
    </row>
    <row r="82" spans="1:31">
      <c r="A82" t="s">
        <v>88</v>
      </c>
      <c r="B82">
        <v>2009</v>
      </c>
      <c r="C82">
        <v>6.9281834177716351E-3</v>
      </c>
      <c r="D82">
        <v>14.955564808932893</v>
      </c>
      <c r="J82" s="1">
        <f t="shared" si="4"/>
        <v>6.9281834177716351E-3</v>
      </c>
      <c r="K82" s="1">
        <f t="shared" si="5"/>
        <v>6.9281834177716351E-3</v>
      </c>
      <c r="R82">
        <f t="shared" si="6"/>
        <v>14.955564808932893</v>
      </c>
      <c r="S82">
        <f t="shared" si="7"/>
        <v>14.955564808932893</v>
      </c>
      <c r="AC82" t="s">
        <v>87</v>
      </c>
      <c r="AD82">
        <v>2009</v>
      </c>
      <c r="AE82">
        <v>4.4659095501758074E-3</v>
      </c>
    </row>
    <row r="83" spans="1:31">
      <c r="A83" t="s">
        <v>89</v>
      </c>
      <c r="B83">
        <v>2009</v>
      </c>
      <c r="C83">
        <v>2.359770758897916E-3</v>
      </c>
      <c r="D83">
        <v>13.729366441159426</v>
      </c>
      <c r="J83" s="1">
        <f t="shared" si="4"/>
        <v>2.359770758897916E-3</v>
      </c>
      <c r="K83" s="1">
        <f t="shared" si="5"/>
        <v>2.359770758897916E-3</v>
      </c>
      <c r="R83">
        <f t="shared" si="6"/>
        <v>13.729366441159426</v>
      </c>
      <c r="S83">
        <f t="shared" si="7"/>
        <v>13.729366441159426</v>
      </c>
      <c r="AC83" t="s">
        <v>88</v>
      </c>
      <c r="AD83">
        <v>2009</v>
      </c>
      <c r="AE83">
        <v>6.9281834177716351E-3</v>
      </c>
    </row>
    <row r="84" spans="1:31">
      <c r="A84" t="s">
        <v>90</v>
      </c>
      <c r="B84">
        <v>2009</v>
      </c>
      <c r="C84">
        <v>8.4368010934005467E-3</v>
      </c>
      <c r="D84">
        <v>13.711713264282505</v>
      </c>
      <c r="J84" s="1">
        <f t="shared" si="4"/>
        <v>8.4368010934005467E-3</v>
      </c>
      <c r="K84" s="1">
        <f t="shared" si="5"/>
        <v>8.4368010934005467E-3</v>
      </c>
      <c r="R84">
        <f t="shared" si="6"/>
        <v>13.711713264282505</v>
      </c>
      <c r="S84">
        <f t="shared" si="7"/>
        <v>13.711713264282505</v>
      </c>
      <c r="AC84" t="s">
        <v>89</v>
      </c>
      <c r="AD84">
        <v>2009</v>
      </c>
      <c r="AE84">
        <v>2.359770758897916E-3</v>
      </c>
    </row>
    <row r="85" spans="1:31">
      <c r="A85" t="s">
        <v>91</v>
      </c>
      <c r="B85">
        <v>2009</v>
      </c>
      <c r="C85">
        <v>3.6511236647830412E-3</v>
      </c>
      <c r="D85">
        <v>14.656769937654399</v>
      </c>
      <c r="J85" s="1">
        <f t="shared" si="4"/>
        <v>3.6511236647830412E-3</v>
      </c>
      <c r="K85" s="1">
        <f t="shared" si="5"/>
        <v>3.6511236647830412E-3</v>
      </c>
      <c r="R85">
        <f t="shared" si="6"/>
        <v>14.656769937654399</v>
      </c>
      <c r="S85">
        <f t="shared" si="7"/>
        <v>14.656769937654399</v>
      </c>
      <c r="AC85" t="s">
        <v>90</v>
      </c>
      <c r="AD85">
        <v>2009</v>
      </c>
      <c r="AE85">
        <v>8.4368010934005467E-3</v>
      </c>
    </row>
    <row r="86" spans="1:31">
      <c r="A86" t="s">
        <v>92</v>
      </c>
      <c r="B86">
        <v>2009</v>
      </c>
      <c r="C86">
        <v>5.4015262062531398E-2</v>
      </c>
      <c r="D86">
        <v>12.837947963608627</v>
      </c>
      <c r="J86" s="1">
        <f t="shared" si="4"/>
        <v>5.4015262062531398E-2</v>
      </c>
      <c r="K86" s="1">
        <f t="shared" si="5"/>
        <v>5.4015262062531398E-2</v>
      </c>
      <c r="R86">
        <f t="shared" si="6"/>
        <v>12.837947963608627</v>
      </c>
      <c r="S86">
        <f t="shared" si="7"/>
        <v>12.837947963608627</v>
      </c>
      <c r="AC86" t="s">
        <v>91</v>
      </c>
      <c r="AD86">
        <v>2009</v>
      </c>
      <c r="AE86">
        <v>3.6511236647830412E-3</v>
      </c>
    </row>
    <row r="87" spans="1:31">
      <c r="A87" t="s">
        <v>93</v>
      </c>
      <c r="B87">
        <v>2009</v>
      </c>
      <c r="C87">
        <v>4.805859109980817E-3</v>
      </c>
      <c r="D87">
        <v>16.928167009573134</v>
      </c>
      <c r="J87" s="1">
        <f t="shared" si="4"/>
        <v>4.805859109980817E-3</v>
      </c>
      <c r="K87" s="1">
        <f t="shared" si="5"/>
        <v>4.805859109980817E-3</v>
      </c>
      <c r="R87">
        <f t="shared" si="6"/>
        <v>16.928167009573134</v>
      </c>
      <c r="S87">
        <f t="shared" si="7"/>
        <v>16.928167009573134</v>
      </c>
      <c r="AC87" t="s">
        <v>92</v>
      </c>
      <c r="AD87">
        <v>2009</v>
      </c>
      <c r="AE87">
        <v>5.4015262062531398E-2</v>
      </c>
    </row>
    <row r="88" spans="1:31">
      <c r="A88" t="s">
        <v>94</v>
      </c>
      <c r="B88">
        <v>2009</v>
      </c>
      <c r="C88">
        <v>7.4336090652615166E-3</v>
      </c>
      <c r="D88">
        <v>16.300895676601129</v>
      </c>
      <c r="J88" s="1">
        <f t="shared" si="4"/>
        <v>7.4336090652615166E-3</v>
      </c>
      <c r="K88" s="1">
        <f t="shared" si="5"/>
        <v>7.4336090652615166E-3</v>
      </c>
      <c r="R88">
        <f t="shared" si="6"/>
        <v>16.300895676601129</v>
      </c>
      <c r="S88">
        <f t="shared" si="7"/>
        <v>16.300895676601129</v>
      </c>
      <c r="AC88" t="s">
        <v>93</v>
      </c>
      <c r="AD88">
        <v>2009</v>
      </c>
      <c r="AE88">
        <v>4.805859109980817E-3</v>
      </c>
    </row>
    <row r="89" spans="1:31">
      <c r="A89" t="s">
        <v>95</v>
      </c>
      <c r="B89">
        <v>2009</v>
      </c>
      <c r="C89">
        <v>2.0363282931003734E-3</v>
      </c>
      <c r="D89">
        <v>14.016243251504505</v>
      </c>
      <c r="J89" s="1">
        <f t="shared" si="4"/>
        <v>2.0363282931003734E-3</v>
      </c>
      <c r="K89" s="1">
        <f t="shared" si="5"/>
        <v>2.0363282931003734E-3</v>
      </c>
      <c r="R89">
        <f t="shared" si="6"/>
        <v>14.016243251504505</v>
      </c>
      <c r="S89">
        <f t="shared" si="7"/>
        <v>14.016243251504505</v>
      </c>
      <c r="AC89" t="s">
        <v>94</v>
      </c>
      <c r="AD89">
        <v>2009</v>
      </c>
      <c r="AE89">
        <v>7.4336090652615166E-3</v>
      </c>
    </row>
    <row r="90" spans="1:31">
      <c r="A90" t="s">
        <v>96</v>
      </c>
      <c r="B90">
        <v>2009</v>
      </c>
      <c r="C90">
        <v>6.1713460196571399E-3</v>
      </c>
      <c r="D90">
        <v>13.25405457791344</v>
      </c>
      <c r="J90" s="1">
        <f t="shared" si="4"/>
        <v>6.1713460196571399E-3</v>
      </c>
      <c r="K90" s="1">
        <f t="shared" si="5"/>
        <v>6.1713460196571399E-3</v>
      </c>
      <c r="R90">
        <f t="shared" si="6"/>
        <v>13.25405457791344</v>
      </c>
      <c r="S90">
        <f t="shared" si="7"/>
        <v>13.25405457791344</v>
      </c>
      <c r="AC90" t="s">
        <v>95</v>
      </c>
      <c r="AD90">
        <v>2009</v>
      </c>
      <c r="AE90">
        <v>2.0363282931003734E-3</v>
      </c>
    </row>
    <row r="91" spans="1:31">
      <c r="A91" t="s">
        <v>97</v>
      </c>
      <c r="B91">
        <v>2009</v>
      </c>
      <c r="C91">
        <v>1</v>
      </c>
      <c r="D91">
        <v>3.6635616461296463</v>
      </c>
      <c r="J91" s="1" t="str">
        <f t="shared" si="4"/>
        <v>out</v>
      </c>
      <c r="K91" s="1" t="str">
        <f t="shared" si="5"/>
        <v>out</v>
      </c>
      <c r="R91" t="str">
        <f t="shared" si="6"/>
        <v>out</v>
      </c>
      <c r="S91" t="str">
        <f t="shared" si="7"/>
        <v>out</v>
      </c>
      <c r="AC91" t="s">
        <v>96</v>
      </c>
      <c r="AD91">
        <v>2009</v>
      </c>
      <c r="AE91">
        <v>6.1713460196571399E-3</v>
      </c>
    </row>
    <row r="92" spans="1:31">
      <c r="A92" t="s">
        <v>98</v>
      </c>
      <c r="B92">
        <v>2009</v>
      </c>
      <c r="C92">
        <v>6.6340204480031762E-3</v>
      </c>
      <c r="D92">
        <v>12.108117972132941</v>
      </c>
      <c r="J92" s="1">
        <f t="shared" si="4"/>
        <v>6.6340204480031762E-3</v>
      </c>
      <c r="K92" s="1">
        <f t="shared" si="5"/>
        <v>6.6340204480031762E-3</v>
      </c>
      <c r="R92">
        <f t="shared" si="6"/>
        <v>12.108117972132941</v>
      </c>
      <c r="S92">
        <f t="shared" si="7"/>
        <v>12.108117972132941</v>
      </c>
      <c r="AC92" t="s">
        <v>98</v>
      </c>
      <c r="AD92">
        <v>2009</v>
      </c>
      <c r="AE92">
        <v>6.6340204480031762E-3</v>
      </c>
    </row>
    <row r="93" spans="1:31">
      <c r="A93" t="s">
        <v>99</v>
      </c>
      <c r="B93">
        <v>2009</v>
      </c>
      <c r="C93">
        <v>4.533855207236006E-3</v>
      </c>
      <c r="D93">
        <v>12.99558399570653</v>
      </c>
      <c r="J93" s="1">
        <f t="shared" si="4"/>
        <v>4.533855207236006E-3</v>
      </c>
      <c r="K93" s="1">
        <f t="shared" si="5"/>
        <v>4.533855207236006E-3</v>
      </c>
      <c r="R93">
        <f t="shared" si="6"/>
        <v>12.99558399570653</v>
      </c>
      <c r="S93">
        <f t="shared" si="7"/>
        <v>12.99558399570653</v>
      </c>
      <c r="AC93" t="s">
        <v>99</v>
      </c>
      <c r="AD93">
        <v>2009</v>
      </c>
      <c r="AE93">
        <v>4.533855207236006E-3</v>
      </c>
    </row>
    <row r="94" spans="1:31">
      <c r="A94" t="s">
        <v>100</v>
      </c>
      <c r="B94">
        <v>2009</v>
      </c>
      <c r="C94">
        <v>5.3059278910844044E-3</v>
      </c>
      <c r="D94">
        <v>14.808761960604119</v>
      </c>
      <c r="J94" s="1">
        <f t="shared" si="4"/>
        <v>5.3059278910844044E-3</v>
      </c>
      <c r="K94" s="1">
        <f t="shared" si="5"/>
        <v>5.3059278910844044E-3</v>
      </c>
      <c r="R94">
        <f t="shared" si="6"/>
        <v>14.808761960604119</v>
      </c>
      <c r="S94">
        <f t="shared" si="7"/>
        <v>14.808761960604119</v>
      </c>
      <c r="AC94" t="s">
        <v>100</v>
      </c>
      <c r="AD94">
        <v>2009</v>
      </c>
      <c r="AE94">
        <v>5.3059278910844044E-3</v>
      </c>
    </row>
    <row r="95" spans="1:31">
      <c r="A95" t="s">
        <v>101</v>
      </c>
      <c r="B95">
        <v>2009</v>
      </c>
      <c r="C95">
        <v>3.163115648020859E-3</v>
      </c>
      <c r="D95">
        <v>14.331471175056318</v>
      </c>
      <c r="J95" s="1">
        <f t="shared" si="4"/>
        <v>3.163115648020859E-3</v>
      </c>
      <c r="K95" s="1">
        <f t="shared" si="5"/>
        <v>3.163115648020859E-3</v>
      </c>
      <c r="R95">
        <f t="shared" si="6"/>
        <v>14.331471175056318</v>
      </c>
      <c r="S95">
        <f t="shared" si="7"/>
        <v>14.331471175056318</v>
      </c>
      <c r="AC95" t="s">
        <v>101</v>
      </c>
      <c r="AD95">
        <v>2009</v>
      </c>
      <c r="AE95">
        <v>3.163115648020859E-3</v>
      </c>
    </row>
    <row r="96" spans="1:31">
      <c r="A96" t="s">
        <v>102</v>
      </c>
      <c r="B96">
        <v>2009</v>
      </c>
      <c r="C96">
        <v>8.7641979640263237E-3</v>
      </c>
      <c r="D96">
        <v>14.307748903598005</v>
      </c>
      <c r="J96" s="1">
        <f t="shared" si="4"/>
        <v>8.7641979640263237E-3</v>
      </c>
      <c r="K96" s="1">
        <f t="shared" si="5"/>
        <v>8.7641979640263237E-3</v>
      </c>
      <c r="R96">
        <f t="shared" si="6"/>
        <v>14.307748903598005</v>
      </c>
      <c r="S96">
        <f t="shared" si="7"/>
        <v>14.307748903598005</v>
      </c>
      <c r="AC96" t="s">
        <v>102</v>
      </c>
      <c r="AD96">
        <v>2009</v>
      </c>
      <c r="AE96">
        <v>8.7641979640263237E-3</v>
      </c>
    </row>
    <row r="97" spans="1:31">
      <c r="A97" t="s">
        <v>103</v>
      </c>
      <c r="B97">
        <v>2009</v>
      </c>
      <c r="C97">
        <v>6.2125748502994009E-2</v>
      </c>
      <c r="D97">
        <v>7.8905825346565361</v>
      </c>
      <c r="J97" s="1">
        <f t="shared" si="4"/>
        <v>6.2125748502994009E-2</v>
      </c>
      <c r="K97" s="1">
        <f t="shared" si="5"/>
        <v>6.2125748502994009E-2</v>
      </c>
      <c r="R97" t="str">
        <f t="shared" si="6"/>
        <v>out</v>
      </c>
      <c r="S97" t="str">
        <f t="shared" si="7"/>
        <v>out</v>
      </c>
      <c r="AC97" t="s">
        <v>103</v>
      </c>
      <c r="AD97">
        <v>2009</v>
      </c>
      <c r="AE97">
        <v>6.2125748502994009E-2</v>
      </c>
    </row>
    <row r="98" spans="1:31">
      <c r="A98" t="s">
        <v>104</v>
      </c>
      <c r="B98">
        <v>2009</v>
      </c>
      <c r="C98">
        <v>1.9978034939590557E-2</v>
      </c>
      <c r="D98">
        <v>14.408415767404785</v>
      </c>
      <c r="J98" s="1">
        <f t="shared" si="4"/>
        <v>1.9978034939590557E-2</v>
      </c>
      <c r="K98" s="1">
        <f t="shared" si="5"/>
        <v>1.9978034939590557E-2</v>
      </c>
      <c r="R98">
        <f t="shared" si="6"/>
        <v>14.408415767404785</v>
      </c>
      <c r="S98">
        <f t="shared" si="7"/>
        <v>14.408415767404785</v>
      </c>
      <c r="AC98" t="s">
        <v>104</v>
      </c>
      <c r="AD98">
        <v>2009</v>
      </c>
      <c r="AE98">
        <v>1.9978034939590557E-2</v>
      </c>
    </row>
    <row r="99" spans="1:31">
      <c r="A99" t="s">
        <v>105</v>
      </c>
      <c r="B99">
        <v>2009</v>
      </c>
      <c r="C99">
        <v>4.0421351475336048E-3</v>
      </c>
      <c r="D99">
        <v>15.024607312407619</v>
      </c>
      <c r="J99" s="1">
        <f t="shared" si="4"/>
        <v>4.0421351475336048E-3</v>
      </c>
      <c r="K99" s="1">
        <f t="shared" si="5"/>
        <v>4.0421351475336048E-3</v>
      </c>
      <c r="R99">
        <f t="shared" si="6"/>
        <v>15.024607312407619</v>
      </c>
      <c r="S99">
        <f t="shared" si="7"/>
        <v>15.024607312407619</v>
      </c>
      <c r="AC99" t="s">
        <v>105</v>
      </c>
      <c r="AD99">
        <v>2009</v>
      </c>
      <c r="AE99">
        <v>4.0421351475336048E-3</v>
      </c>
    </row>
    <row r="100" spans="1:31">
      <c r="A100" t="s">
        <v>106</v>
      </c>
      <c r="B100">
        <v>2009</v>
      </c>
      <c r="C100">
        <v>1.1610226042057898E-2</v>
      </c>
      <c r="D100">
        <v>12.521762560825977</v>
      </c>
      <c r="J100" s="1">
        <f t="shared" si="4"/>
        <v>1.1610226042057898E-2</v>
      </c>
      <c r="K100" s="1">
        <f t="shared" si="5"/>
        <v>1.1610226042057898E-2</v>
      </c>
      <c r="R100">
        <f t="shared" si="6"/>
        <v>12.521762560825977</v>
      </c>
      <c r="S100">
        <f t="shared" si="7"/>
        <v>12.521762560825977</v>
      </c>
      <c r="AC100" t="s">
        <v>106</v>
      </c>
      <c r="AD100">
        <v>2009</v>
      </c>
      <c r="AE100">
        <v>1.1610226042057898E-2</v>
      </c>
    </row>
    <row r="101" spans="1:31">
      <c r="A101" t="s">
        <v>107</v>
      </c>
      <c r="B101">
        <v>2009</v>
      </c>
      <c r="C101">
        <v>1.0849271935187733E-2</v>
      </c>
      <c r="D101">
        <v>15.146057244976932</v>
      </c>
      <c r="J101" s="1">
        <f t="shared" si="4"/>
        <v>1.0849271935187733E-2</v>
      </c>
      <c r="K101" s="1">
        <f t="shared" si="5"/>
        <v>1.0849271935187733E-2</v>
      </c>
      <c r="R101">
        <f t="shared" si="6"/>
        <v>15.146057244976932</v>
      </c>
      <c r="S101">
        <f t="shared" si="7"/>
        <v>15.146057244976932</v>
      </c>
      <c r="AC101" t="s">
        <v>107</v>
      </c>
      <c r="AD101">
        <v>2009</v>
      </c>
      <c r="AE101">
        <v>1.0849271935187733E-2</v>
      </c>
    </row>
    <row r="102" spans="1:31">
      <c r="A102" t="s">
        <v>108</v>
      </c>
      <c r="B102">
        <v>2009</v>
      </c>
      <c r="C102">
        <v>1.7502880472458505E-3</v>
      </c>
      <c r="D102">
        <v>16.196530975175257</v>
      </c>
      <c r="J102" s="1">
        <f t="shared" si="4"/>
        <v>1.7502880472458505E-3</v>
      </c>
      <c r="K102" s="1">
        <f t="shared" si="5"/>
        <v>1.7502880472458505E-3</v>
      </c>
      <c r="R102">
        <f t="shared" si="6"/>
        <v>16.196530975175257</v>
      </c>
      <c r="S102">
        <f t="shared" si="7"/>
        <v>16.196530975175257</v>
      </c>
      <c r="AC102" t="s">
        <v>108</v>
      </c>
      <c r="AD102">
        <v>2009</v>
      </c>
      <c r="AE102">
        <v>1.7502880472458505E-3</v>
      </c>
    </row>
    <row r="103" spans="1:31">
      <c r="A103" t="s">
        <v>109</v>
      </c>
      <c r="B103">
        <v>2009</v>
      </c>
      <c r="C103">
        <v>1.3881365966719992E-2</v>
      </c>
      <c r="D103">
        <v>15.110731302359738</v>
      </c>
      <c r="J103" s="1">
        <f t="shared" si="4"/>
        <v>1.3881365966719992E-2</v>
      </c>
      <c r="K103" s="1">
        <f t="shared" si="5"/>
        <v>1.3881365966719992E-2</v>
      </c>
      <c r="R103">
        <f t="shared" si="6"/>
        <v>15.110731302359738</v>
      </c>
      <c r="S103">
        <f t="shared" si="7"/>
        <v>15.110731302359738</v>
      </c>
      <c r="AC103" t="s">
        <v>109</v>
      </c>
      <c r="AD103">
        <v>2009</v>
      </c>
      <c r="AE103">
        <v>1.3881365966719992E-2</v>
      </c>
    </row>
    <row r="104" spans="1:31">
      <c r="A104" t="s">
        <v>110</v>
      </c>
      <c r="B104">
        <v>2009</v>
      </c>
      <c r="C104">
        <v>5.1643748076968593E-3</v>
      </c>
      <c r="D104">
        <v>14.052580682806431</v>
      </c>
      <c r="J104" s="1">
        <f t="shared" si="4"/>
        <v>5.1643748076968593E-3</v>
      </c>
      <c r="K104" s="1">
        <f t="shared" si="5"/>
        <v>5.1643748076968593E-3</v>
      </c>
      <c r="R104">
        <f t="shared" si="6"/>
        <v>14.052580682806431</v>
      </c>
      <c r="S104">
        <f t="shared" si="7"/>
        <v>14.052580682806431</v>
      </c>
      <c r="AC104" t="s">
        <v>110</v>
      </c>
      <c r="AD104">
        <v>2009</v>
      </c>
      <c r="AE104">
        <v>5.1643748076968593E-3</v>
      </c>
    </row>
    <row r="105" spans="1:31">
      <c r="A105" t="s">
        <v>111</v>
      </c>
      <c r="B105">
        <v>2009</v>
      </c>
      <c r="C105">
        <v>2.7717074806322389E-3</v>
      </c>
      <c r="D105">
        <v>14.816136555901938</v>
      </c>
      <c r="J105" s="1">
        <f t="shared" si="4"/>
        <v>2.7717074806322389E-3</v>
      </c>
      <c r="K105" s="1">
        <f t="shared" si="5"/>
        <v>2.7717074806322389E-3</v>
      </c>
      <c r="R105">
        <f t="shared" si="6"/>
        <v>14.816136555901938</v>
      </c>
      <c r="S105">
        <f t="shared" si="7"/>
        <v>14.816136555901938</v>
      </c>
      <c r="AC105" t="s">
        <v>111</v>
      </c>
      <c r="AD105">
        <v>2009</v>
      </c>
      <c r="AE105">
        <v>2.7717074806322389E-3</v>
      </c>
    </row>
    <row r="106" spans="1:31">
      <c r="A106" t="s">
        <v>112</v>
      </c>
      <c r="B106">
        <v>2009</v>
      </c>
      <c r="C106">
        <v>8.6906174442722122E-3</v>
      </c>
      <c r="D106">
        <v>15.017938269248489</v>
      </c>
      <c r="J106" s="1">
        <f t="shared" si="4"/>
        <v>8.6906174442722122E-3</v>
      </c>
      <c r="K106" s="1">
        <f t="shared" si="5"/>
        <v>8.6906174442722122E-3</v>
      </c>
      <c r="R106">
        <f t="shared" si="6"/>
        <v>15.017938269248489</v>
      </c>
      <c r="S106">
        <f t="shared" si="7"/>
        <v>15.017938269248489</v>
      </c>
      <c r="AC106" t="s">
        <v>112</v>
      </c>
      <c r="AD106">
        <v>2009</v>
      </c>
      <c r="AE106">
        <v>8.6906174442722122E-3</v>
      </c>
    </row>
    <row r="107" spans="1:31">
      <c r="A107" t="s">
        <v>113</v>
      </c>
      <c r="B107">
        <v>2009</v>
      </c>
      <c r="C107">
        <v>1.1777515855643487E-2</v>
      </c>
      <c r="D107">
        <v>16.440771366037318</v>
      </c>
      <c r="J107" s="1">
        <f t="shared" si="4"/>
        <v>1.1777515855643487E-2</v>
      </c>
      <c r="K107" s="1">
        <f t="shared" si="5"/>
        <v>1.1777515855643487E-2</v>
      </c>
      <c r="R107">
        <f t="shared" si="6"/>
        <v>16.440771366037318</v>
      </c>
      <c r="S107">
        <f t="shared" si="7"/>
        <v>16.440771366037318</v>
      </c>
      <c r="AC107" t="s">
        <v>113</v>
      </c>
      <c r="AD107">
        <v>2009</v>
      </c>
      <c r="AE107">
        <v>1.1777515855643487E-2</v>
      </c>
    </row>
    <row r="108" spans="1:31">
      <c r="A108" t="s">
        <v>114</v>
      </c>
      <c r="B108">
        <v>2009</v>
      </c>
      <c r="C108">
        <v>1.5714115082564423E-3</v>
      </c>
      <c r="D108">
        <v>12.498413847362677</v>
      </c>
      <c r="J108" s="1">
        <f t="shared" si="4"/>
        <v>1.5714115082564423E-3</v>
      </c>
      <c r="K108" s="1">
        <f t="shared" si="5"/>
        <v>1.5714115082564423E-3</v>
      </c>
      <c r="R108">
        <f t="shared" si="6"/>
        <v>12.498413847362677</v>
      </c>
      <c r="S108">
        <f t="shared" si="7"/>
        <v>12.498413847362677</v>
      </c>
      <c r="AC108" t="s">
        <v>114</v>
      </c>
      <c r="AD108">
        <v>2009</v>
      </c>
      <c r="AE108">
        <v>1.5714115082564423E-3</v>
      </c>
    </row>
    <row r="109" spans="1:31">
      <c r="A109" t="s">
        <v>115</v>
      </c>
      <c r="B109">
        <v>2009</v>
      </c>
      <c r="C109">
        <v>4.7166205877145415E-3</v>
      </c>
      <c r="D109">
        <v>15.860880576627567</v>
      </c>
      <c r="J109" s="1">
        <f t="shared" si="4"/>
        <v>4.7166205877145415E-3</v>
      </c>
      <c r="K109" s="1">
        <f t="shared" si="5"/>
        <v>4.7166205877145415E-3</v>
      </c>
      <c r="R109">
        <f t="shared" si="6"/>
        <v>15.860880576627567</v>
      </c>
      <c r="S109">
        <f t="shared" si="7"/>
        <v>15.860880576627567</v>
      </c>
      <c r="AC109" t="s">
        <v>115</v>
      </c>
      <c r="AD109">
        <v>2009</v>
      </c>
      <c r="AE109">
        <v>4.7166205877145415E-3</v>
      </c>
    </row>
    <row r="110" spans="1:31">
      <c r="A110" t="s">
        <v>116</v>
      </c>
      <c r="B110">
        <v>2009</v>
      </c>
      <c r="C110">
        <v>9.5396644282748171E-4</v>
      </c>
      <c r="D110">
        <v>13.594757896194434</v>
      </c>
      <c r="J110" s="1">
        <f t="shared" si="4"/>
        <v>9.5396644282748171E-4</v>
      </c>
      <c r="K110" s="1">
        <f t="shared" si="5"/>
        <v>9.5396644282748171E-4</v>
      </c>
      <c r="R110">
        <f t="shared" si="6"/>
        <v>13.594757896194434</v>
      </c>
      <c r="S110">
        <f t="shared" si="7"/>
        <v>13.594757896194434</v>
      </c>
      <c r="AC110" t="s">
        <v>116</v>
      </c>
      <c r="AD110">
        <v>2009</v>
      </c>
      <c r="AE110">
        <v>9.5396644282748171E-4</v>
      </c>
    </row>
    <row r="111" spans="1:31">
      <c r="A111" t="s">
        <v>117</v>
      </c>
      <c r="B111">
        <v>2009</v>
      </c>
      <c r="C111">
        <v>3.4422584290955294E-2</v>
      </c>
      <c r="D111">
        <v>13.50558423989076</v>
      </c>
      <c r="J111" s="1">
        <f t="shared" si="4"/>
        <v>3.4422584290955294E-2</v>
      </c>
      <c r="K111" s="1">
        <f t="shared" si="5"/>
        <v>3.4422584290955294E-2</v>
      </c>
      <c r="R111">
        <f t="shared" si="6"/>
        <v>13.50558423989076</v>
      </c>
      <c r="S111">
        <f t="shared" si="7"/>
        <v>13.50558423989076</v>
      </c>
      <c r="AC111" t="s">
        <v>117</v>
      </c>
      <c r="AD111">
        <v>2009</v>
      </c>
      <c r="AE111">
        <v>3.4422584290955294E-2</v>
      </c>
    </row>
    <row r="112" spans="1:31">
      <c r="A112" t="s">
        <v>118</v>
      </c>
      <c r="B112">
        <v>2009</v>
      </c>
      <c r="C112">
        <v>6.4019485580405384E-3</v>
      </c>
      <c r="D112">
        <v>17.091849570224245</v>
      </c>
      <c r="J112" s="1">
        <f t="shared" si="4"/>
        <v>6.4019485580405384E-3</v>
      </c>
      <c r="K112" s="1">
        <f t="shared" si="5"/>
        <v>6.4019485580405384E-3</v>
      </c>
      <c r="R112">
        <f t="shared" si="6"/>
        <v>17.091849570224245</v>
      </c>
      <c r="S112">
        <f t="shared" si="7"/>
        <v>17.091849570224245</v>
      </c>
      <c r="AC112" t="s">
        <v>118</v>
      </c>
      <c r="AD112">
        <v>2009</v>
      </c>
      <c r="AE112">
        <v>6.4019485580405384E-3</v>
      </c>
    </row>
    <row r="113" spans="1:31">
      <c r="A113" t="s">
        <v>119</v>
      </c>
      <c r="B113">
        <v>2009</v>
      </c>
      <c r="C113">
        <v>9.2933619830344205E-2</v>
      </c>
      <c r="D113">
        <v>14.079539589783462</v>
      </c>
      <c r="J113" s="1" t="str">
        <f t="shared" si="4"/>
        <v>out</v>
      </c>
      <c r="K113" s="1" t="str">
        <f t="shared" si="5"/>
        <v>out</v>
      </c>
      <c r="R113">
        <f t="shared" si="6"/>
        <v>14.079539589783462</v>
      </c>
      <c r="S113">
        <f t="shared" si="7"/>
        <v>14.079539589783462</v>
      </c>
      <c r="AC113" t="s">
        <v>120</v>
      </c>
      <c r="AD113">
        <v>2009</v>
      </c>
      <c r="AE113">
        <v>2.611711976211871E-3</v>
      </c>
    </row>
    <row r="114" spans="1:31">
      <c r="A114" t="s">
        <v>121</v>
      </c>
      <c r="B114">
        <v>2009</v>
      </c>
      <c r="C114">
        <v>0.19368393060925707</v>
      </c>
      <c r="D114">
        <v>14.817101904307986</v>
      </c>
      <c r="J114" s="1" t="str">
        <f t="shared" si="4"/>
        <v>out</v>
      </c>
      <c r="K114" s="1" t="str">
        <f t="shared" si="5"/>
        <v>out</v>
      </c>
      <c r="R114">
        <f t="shared" si="6"/>
        <v>14.817101904307986</v>
      </c>
      <c r="S114">
        <f t="shared" si="7"/>
        <v>14.817101904307986</v>
      </c>
      <c r="AC114" t="s">
        <v>122</v>
      </c>
      <c r="AD114">
        <v>2009</v>
      </c>
      <c r="AE114">
        <v>8.199347169190541E-3</v>
      </c>
    </row>
    <row r="115" spans="1:31">
      <c r="A115" t="s">
        <v>120</v>
      </c>
      <c r="B115">
        <v>2009</v>
      </c>
      <c r="C115">
        <v>2.611711976211871E-3</v>
      </c>
      <c r="D115">
        <v>13.827040828174498</v>
      </c>
      <c r="J115" s="1">
        <f t="shared" si="4"/>
        <v>2.611711976211871E-3</v>
      </c>
      <c r="K115" s="1">
        <f t="shared" si="5"/>
        <v>2.611711976211871E-3</v>
      </c>
      <c r="R115">
        <f t="shared" si="6"/>
        <v>13.827040828174498</v>
      </c>
      <c r="S115">
        <f t="shared" si="7"/>
        <v>13.827040828174498</v>
      </c>
      <c r="AC115" t="s">
        <v>123</v>
      </c>
      <c r="AD115">
        <v>2009</v>
      </c>
      <c r="AE115">
        <v>4.0590980256913439E-4</v>
      </c>
    </row>
    <row r="116" spans="1:31">
      <c r="A116" t="s">
        <v>122</v>
      </c>
      <c r="B116">
        <v>2009</v>
      </c>
      <c r="C116">
        <v>8.199347169190541E-3</v>
      </c>
      <c r="D116">
        <v>12.350147015140626</v>
      </c>
      <c r="J116" s="1">
        <f t="shared" si="4"/>
        <v>8.199347169190541E-3</v>
      </c>
      <c r="K116" s="1">
        <f t="shared" si="5"/>
        <v>8.199347169190541E-3</v>
      </c>
      <c r="R116">
        <f t="shared" si="6"/>
        <v>12.350147015140626</v>
      </c>
      <c r="S116">
        <f t="shared" si="7"/>
        <v>12.350147015140626</v>
      </c>
      <c r="AC116" t="s">
        <v>124</v>
      </c>
      <c r="AD116">
        <v>2009</v>
      </c>
      <c r="AE116">
        <v>6.5836979284551206E-2</v>
      </c>
    </row>
    <row r="117" spans="1:31">
      <c r="A117" t="s">
        <v>123</v>
      </c>
      <c r="B117">
        <v>2009</v>
      </c>
      <c r="C117">
        <v>4.0590980256913439E-4</v>
      </c>
      <c r="D117">
        <v>12.699728712425509</v>
      </c>
      <c r="J117" s="1">
        <f t="shared" si="4"/>
        <v>4.0590980256913439E-4</v>
      </c>
      <c r="K117" s="1">
        <f t="shared" si="5"/>
        <v>4.0590980256913439E-4</v>
      </c>
      <c r="R117">
        <f t="shared" si="6"/>
        <v>12.699728712425509</v>
      </c>
      <c r="S117">
        <f t="shared" si="7"/>
        <v>12.699728712425509</v>
      </c>
      <c r="AC117" t="s">
        <v>125</v>
      </c>
      <c r="AD117">
        <v>2009</v>
      </c>
      <c r="AE117">
        <v>4.329171665460671E-2</v>
      </c>
    </row>
    <row r="118" spans="1:31">
      <c r="A118" t="s">
        <v>124</v>
      </c>
      <c r="B118">
        <v>2009</v>
      </c>
      <c r="C118">
        <v>6.5836979284551206E-2</v>
      </c>
      <c r="D118">
        <v>13.721355910275484</v>
      </c>
      <c r="J118" s="1">
        <f t="shared" si="4"/>
        <v>6.5836979284551206E-2</v>
      </c>
      <c r="K118" s="1">
        <f t="shared" si="5"/>
        <v>6.5836979284551206E-2</v>
      </c>
      <c r="R118">
        <f t="shared" si="6"/>
        <v>13.721355910275484</v>
      </c>
      <c r="S118">
        <f t="shared" si="7"/>
        <v>13.721355910275484</v>
      </c>
      <c r="AC118" t="s">
        <v>126</v>
      </c>
      <c r="AD118">
        <v>2009</v>
      </c>
      <c r="AE118">
        <v>3.349966176165248E-3</v>
      </c>
    </row>
    <row r="119" spans="1:31">
      <c r="A119" t="s">
        <v>125</v>
      </c>
      <c r="B119">
        <v>2009</v>
      </c>
      <c r="C119">
        <v>4.329171665460671E-2</v>
      </c>
      <c r="D119">
        <v>14.056735255676323</v>
      </c>
      <c r="J119" s="1">
        <f t="shared" si="4"/>
        <v>4.329171665460671E-2</v>
      </c>
      <c r="K119" s="1">
        <f t="shared" si="5"/>
        <v>4.329171665460671E-2</v>
      </c>
      <c r="R119">
        <f t="shared" si="6"/>
        <v>14.056735255676323</v>
      </c>
      <c r="S119">
        <f t="shared" si="7"/>
        <v>14.056735255676323</v>
      </c>
      <c r="AC119" t="s">
        <v>127</v>
      </c>
      <c r="AD119">
        <v>2009</v>
      </c>
      <c r="AE119">
        <v>2.8339962795071529E-2</v>
      </c>
    </row>
    <row r="120" spans="1:31">
      <c r="A120" t="s">
        <v>126</v>
      </c>
      <c r="B120">
        <v>2009</v>
      </c>
      <c r="C120">
        <v>3.349966176165248E-3</v>
      </c>
      <c r="D120">
        <v>15.132608901964536</v>
      </c>
      <c r="J120" s="1">
        <f t="shared" si="4"/>
        <v>3.349966176165248E-3</v>
      </c>
      <c r="K120" s="1">
        <f t="shared" si="5"/>
        <v>3.349966176165248E-3</v>
      </c>
      <c r="R120">
        <f t="shared" si="6"/>
        <v>15.132608901964536</v>
      </c>
      <c r="S120">
        <f t="shared" si="7"/>
        <v>15.132608901964536</v>
      </c>
      <c r="AC120" t="s">
        <v>128</v>
      </c>
      <c r="AD120">
        <v>2009</v>
      </c>
      <c r="AE120">
        <v>6.5159086835480089E-3</v>
      </c>
    </row>
    <row r="121" spans="1:31">
      <c r="A121" t="s">
        <v>127</v>
      </c>
      <c r="B121">
        <v>2009</v>
      </c>
      <c r="C121">
        <v>2.8339962795071529E-2</v>
      </c>
      <c r="D121">
        <v>15.151227684054383</v>
      </c>
      <c r="J121" s="1">
        <f t="shared" si="4"/>
        <v>2.8339962795071529E-2</v>
      </c>
      <c r="K121" s="1">
        <f t="shared" si="5"/>
        <v>2.8339962795071529E-2</v>
      </c>
      <c r="R121">
        <f t="shared" si="6"/>
        <v>15.151227684054383</v>
      </c>
      <c r="S121">
        <f t="shared" si="7"/>
        <v>15.151227684054383</v>
      </c>
      <c r="AC121" t="s">
        <v>129</v>
      </c>
      <c r="AD121">
        <v>2009</v>
      </c>
      <c r="AE121">
        <v>5.9316151609040066E-3</v>
      </c>
    </row>
    <row r="122" spans="1:31">
      <c r="A122" t="s">
        <v>128</v>
      </c>
      <c r="B122">
        <v>2009</v>
      </c>
      <c r="C122">
        <v>6.5159086835480089E-3</v>
      </c>
      <c r="D122">
        <v>14.011286201274476</v>
      </c>
      <c r="J122" s="1">
        <f t="shared" si="4"/>
        <v>6.5159086835480089E-3</v>
      </c>
      <c r="K122" s="1">
        <f t="shared" si="5"/>
        <v>6.5159086835480089E-3</v>
      </c>
      <c r="R122">
        <f t="shared" si="6"/>
        <v>14.011286201274476</v>
      </c>
      <c r="S122">
        <f t="shared" si="7"/>
        <v>14.011286201274476</v>
      </c>
      <c r="AC122" t="s">
        <v>130</v>
      </c>
      <c r="AD122">
        <v>2009</v>
      </c>
      <c r="AE122">
        <v>1.6746126481932786E-3</v>
      </c>
    </row>
    <row r="123" spans="1:31">
      <c r="A123" t="s">
        <v>129</v>
      </c>
      <c r="B123">
        <v>2009</v>
      </c>
      <c r="C123">
        <v>5.9316151609040066E-3</v>
      </c>
      <c r="D123">
        <v>15.078354541842522</v>
      </c>
      <c r="J123" s="1">
        <f t="shared" si="4"/>
        <v>5.9316151609040066E-3</v>
      </c>
      <c r="K123" s="1">
        <f t="shared" si="5"/>
        <v>5.9316151609040066E-3</v>
      </c>
      <c r="R123">
        <f t="shared" si="6"/>
        <v>15.078354541842522</v>
      </c>
      <c r="S123">
        <f t="shared" si="7"/>
        <v>15.078354541842522</v>
      </c>
      <c r="AC123" t="s">
        <v>131</v>
      </c>
      <c r="AD123">
        <v>2009</v>
      </c>
      <c r="AE123">
        <v>5.1021108912833762E-2</v>
      </c>
    </row>
    <row r="124" spans="1:31">
      <c r="A124" t="s">
        <v>130</v>
      </c>
      <c r="B124">
        <v>2009</v>
      </c>
      <c r="C124">
        <v>1.6746126481932786E-3</v>
      </c>
      <c r="D124">
        <v>15.66200833902043</v>
      </c>
      <c r="J124" s="1">
        <f t="shared" si="4"/>
        <v>1.6746126481932786E-3</v>
      </c>
      <c r="K124" s="1">
        <f t="shared" si="5"/>
        <v>1.6746126481932786E-3</v>
      </c>
      <c r="R124">
        <f t="shared" si="6"/>
        <v>15.66200833902043</v>
      </c>
      <c r="S124">
        <f t="shared" si="7"/>
        <v>15.66200833902043</v>
      </c>
      <c r="AC124" t="s">
        <v>132</v>
      </c>
      <c r="AD124">
        <v>2009</v>
      </c>
      <c r="AE124">
        <v>7.6069313830478866E-2</v>
      </c>
    </row>
    <row r="125" spans="1:31">
      <c r="A125" t="s">
        <v>131</v>
      </c>
      <c r="B125">
        <v>2009</v>
      </c>
      <c r="C125">
        <v>5.1021108912833762E-2</v>
      </c>
      <c r="D125">
        <v>14.240108134221609</v>
      </c>
      <c r="J125" s="1">
        <f t="shared" si="4"/>
        <v>5.1021108912833762E-2</v>
      </c>
      <c r="K125" s="1">
        <f t="shared" si="5"/>
        <v>5.1021108912833762E-2</v>
      </c>
      <c r="R125">
        <f t="shared" si="6"/>
        <v>14.240108134221609</v>
      </c>
      <c r="S125">
        <f t="shared" si="7"/>
        <v>14.240108134221609</v>
      </c>
      <c r="AC125" t="s">
        <v>133</v>
      </c>
      <c r="AD125">
        <v>2009</v>
      </c>
      <c r="AE125">
        <v>4.3428279857129992E-2</v>
      </c>
    </row>
    <row r="126" spans="1:31">
      <c r="A126" t="s">
        <v>132</v>
      </c>
      <c r="B126">
        <v>2009</v>
      </c>
      <c r="C126">
        <v>7.6069313830478866E-2</v>
      </c>
      <c r="D126">
        <v>13.436416165838178</v>
      </c>
      <c r="J126" s="1">
        <f t="shared" si="4"/>
        <v>7.6069313830478866E-2</v>
      </c>
      <c r="K126" s="1">
        <f t="shared" si="5"/>
        <v>7.6069313830478866E-2</v>
      </c>
      <c r="R126">
        <f t="shared" si="6"/>
        <v>13.436416165838178</v>
      </c>
      <c r="S126">
        <f t="shared" si="7"/>
        <v>13.436416165838178</v>
      </c>
      <c r="AC126" t="s">
        <v>134</v>
      </c>
      <c r="AD126">
        <v>2009</v>
      </c>
      <c r="AE126">
        <v>5.3339400845597352E-4</v>
      </c>
    </row>
    <row r="127" spans="1:31">
      <c r="A127" t="s">
        <v>135</v>
      </c>
      <c r="B127">
        <v>2009</v>
      </c>
      <c r="C127">
        <v>0.41919433265493394</v>
      </c>
      <c r="D127">
        <v>15.152223054102333</v>
      </c>
      <c r="J127" s="1" t="str">
        <f t="shared" si="4"/>
        <v>out</v>
      </c>
      <c r="K127" s="1" t="str">
        <f t="shared" si="5"/>
        <v>out</v>
      </c>
      <c r="R127">
        <f t="shared" si="6"/>
        <v>15.152223054102333</v>
      </c>
      <c r="S127">
        <f t="shared" si="7"/>
        <v>15.152223054102333</v>
      </c>
      <c r="AC127" t="s">
        <v>136</v>
      </c>
      <c r="AD127">
        <v>2009</v>
      </c>
      <c r="AE127">
        <v>1.1989871643104169E-3</v>
      </c>
    </row>
    <row r="128" spans="1:31">
      <c r="A128" t="s">
        <v>137</v>
      </c>
      <c r="B128">
        <v>2009</v>
      </c>
      <c r="C128">
        <v>0.10735276830845186</v>
      </c>
      <c r="D128">
        <v>14.123818448209711</v>
      </c>
      <c r="J128" s="1" t="str">
        <f t="shared" si="4"/>
        <v>out</v>
      </c>
      <c r="K128" s="1" t="str">
        <f t="shared" si="5"/>
        <v>out</v>
      </c>
      <c r="R128">
        <f t="shared" si="6"/>
        <v>14.123818448209711</v>
      </c>
      <c r="S128">
        <f t="shared" si="7"/>
        <v>14.123818448209711</v>
      </c>
      <c r="AC128" t="s">
        <v>138</v>
      </c>
      <c r="AD128">
        <v>2009</v>
      </c>
      <c r="AE128">
        <v>2.6681186625899089E-2</v>
      </c>
    </row>
    <row r="129" spans="1:31">
      <c r="A129" t="s">
        <v>133</v>
      </c>
      <c r="B129">
        <v>2009</v>
      </c>
      <c r="C129">
        <v>4.3428279857129992E-2</v>
      </c>
      <c r="D129">
        <v>13.40955532976688</v>
      </c>
      <c r="J129" s="1">
        <f t="shared" si="4"/>
        <v>4.3428279857129992E-2</v>
      </c>
      <c r="K129" s="1">
        <f t="shared" si="5"/>
        <v>4.3428279857129992E-2</v>
      </c>
      <c r="R129">
        <f t="shared" si="6"/>
        <v>13.40955532976688</v>
      </c>
      <c r="S129">
        <f t="shared" si="7"/>
        <v>13.40955532976688</v>
      </c>
      <c r="AC129" t="s">
        <v>139</v>
      </c>
      <c r="AD129">
        <v>2009</v>
      </c>
      <c r="AE129">
        <v>7.8684376976597085E-3</v>
      </c>
    </row>
    <row r="130" spans="1:31">
      <c r="A130" t="s">
        <v>134</v>
      </c>
      <c r="B130">
        <v>2009</v>
      </c>
      <c r="C130">
        <v>5.3339400845597352E-4</v>
      </c>
      <c r="D130">
        <v>16.327736205769408</v>
      </c>
      <c r="J130" s="1">
        <f t="shared" si="4"/>
        <v>5.3339400845597352E-4</v>
      </c>
      <c r="K130" s="1">
        <f t="shared" si="5"/>
        <v>5.3339400845597352E-4</v>
      </c>
      <c r="R130">
        <f t="shared" si="6"/>
        <v>16.327736205769408</v>
      </c>
      <c r="S130">
        <f t="shared" si="7"/>
        <v>16.327736205769408</v>
      </c>
      <c r="AC130" t="s">
        <v>140</v>
      </c>
      <c r="AD130">
        <v>2009</v>
      </c>
      <c r="AE130">
        <v>6.108438226338715E-3</v>
      </c>
    </row>
    <row r="131" spans="1:31">
      <c r="A131" t="s">
        <v>136</v>
      </c>
      <c r="B131">
        <v>2009</v>
      </c>
      <c r="C131">
        <v>1.1989871643104169E-3</v>
      </c>
      <c r="D131">
        <v>13.927448991604834</v>
      </c>
      <c r="J131" s="1">
        <f t="shared" ref="J131:J194" si="8">IF(OR(C131&lt;$H$2,C131&gt;$I$2),"out",C131)</f>
        <v>1.1989871643104169E-3</v>
      </c>
      <c r="K131" s="1">
        <f t="shared" ref="K131:K194" si="9">IF(OR(C131&lt;$H$3,C131&gt;$I$3),"out",C131)</f>
        <v>1.1989871643104169E-3</v>
      </c>
      <c r="R131">
        <f t="shared" ref="R131:R194" si="10">IF(OR(D131&lt;$P$2,D131&gt;$Q$2),"out",D131)</f>
        <v>13.927448991604834</v>
      </c>
      <c r="S131">
        <f t="shared" ref="S131:S194" si="11">IF(OR(D131&lt;$P$3,D131&gt;$Q$3),"out",D131)</f>
        <v>13.927448991604834</v>
      </c>
      <c r="AC131" t="s">
        <v>141</v>
      </c>
      <c r="AD131">
        <v>2009</v>
      </c>
      <c r="AE131">
        <v>5.954943626249494E-3</v>
      </c>
    </row>
    <row r="132" spans="1:31">
      <c r="A132" t="s">
        <v>138</v>
      </c>
      <c r="B132">
        <v>2009</v>
      </c>
      <c r="C132">
        <v>2.6681186625899089E-2</v>
      </c>
      <c r="D132">
        <v>14.087927965973632</v>
      </c>
      <c r="J132" s="1">
        <f t="shared" si="8"/>
        <v>2.6681186625899089E-2</v>
      </c>
      <c r="K132" s="1">
        <f t="shared" si="9"/>
        <v>2.6681186625899089E-2</v>
      </c>
      <c r="R132">
        <f t="shared" si="10"/>
        <v>14.087927965973632</v>
      </c>
      <c r="S132">
        <f t="shared" si="11"/>
        <v>14.087927965973632</v>
      </c>
      <c r="AC132" t="s">
        <v>142</v>
      </c>
      <c r="AD132">
        <v>2009</v>
      </c>
      <c r="AE132">
        <v>1.0692173113881517E-3</v>
      </c>
    </row>
    <row r="133" spans="1:31">
      <c r="A133" t="s">
        <v>139</v>
      </c>
      <c r="B133">
        <v>2009</v>
      </c>
      <c r="C133">
        <v>7.8684376976597085E-3</v>
      </c>
      <c r="D133">
        <v>12.664130203757509</v>
      </c>
      <c r="J133" s="1">
        <f t="shared" si="8"/>
        <v>7.8684376976597085E-3</v>
      </c>
      <c r="K133" s="1">
        <f t="shared" si="9"/>
        <v>7.8684376976597085E-3</v>
      </c>
      <c r="R133">
        <f t="shared" si="10"/>
        <v>12.664130203757509</v>
      </c>
      <c r="S133">
        <f t="shared" si="11"/>
        <v>12.664130203757509</v>
      </c>
      <c r="AC133" t="s">
        <v>143</v>
      </c>
      <c r="AD133">
        <v>2009</v>
      </c>
      <c r="AE133">
        <v>2.0483928114226897E-2</v>
      </c>
    </row>
    <row r="134" spans="1:31">
      <c r="A134" t="s">
        <v>140</v>
      </c>
      <c r="B134">
        <v>2009</v>
      </c>
      <c r="C134">
        <v>6.108438226338715E-3</v>
      </c>
      <c r="D134">
        <v>14.284746392531098</v>
      </c>
      <c r="J134" s="1">
        <f t="shared" si="8"/>
        <v>6.108438226338715E-3</v>
      </c>
      <c r="K134" s="1">
        <f t="shared" si="9"/>
        <v>6.108438226338715E-3</v>
      </c>
      <c r="R134">
        <f t="shared" si="10"/>
        <v>14.284746392531098</v>
      </c>
      <c r="S134">
        <f t="shared" si="11"/>
        <v>14.284746392531098</v>
      </c>
      <c r="AC134" t="s">
        <v>144</v>
      </c>
      <c r="AD134">
        <v>2009</v>
      </c>
      <c r="AE134">
        <v>3.1509924613387537E-3</v>
      </c>
    </row>
    <row r="135" spans="1:31">
      <c r="A135" t="s">
        <v>141</v>
      </c>
      <c r="B135">
        <v>2009</v>
      </c>
      <c r="C135">
        <v>5.954943626249494E-3</v>
      </c>
      <c r="D135">
        <v>12.365615902101414</v>
      </c>
      <c r="J135" s="1">
        <f t="shared" si="8"/>
        <v>5.954943626249494E-3</v>
      </c>
      <c r="K135" s="1">
        <f t="shared" si="9"/>
        <v>5.954943626249494E-3</v>
      </c>
      <c r="R135">
        <f t="shared" si="10"/>
        <v>12.365615902101414</v>
      </c>
      <c r="S135">
        <f t="shared" si="11"/>
        <v>12.365615902101414</v>
      </c>
      <c r="AC135" t="s">
        <v>145</v>
      </c>
      <c r="AD135">
        <v>2009</v>
      </c>
      <c r="AE135">
        <v>3.3637755097911136E-2</v>
      </c>
    </row>
    <row r="136" spans="1:31">
      <c r="A136" t="s">
        <v>142</v>
      </c>
      <c r="B136">
        <v>2009</v>
      </c>
      <c r="C136">
        <v>1.0692173113881517E-3</v>
      </c>
      <c r="D136">
        <v>14.32912189801718</v>
      </c>
      <c r="J136" s="1">
        <f t="shared" si="8"/>
        <v>1.0692173113881517E-3</v>
      </c>
      <c r="K136" s="1">
        <f t="shared" si="9"/>
        <v>1.0692173113881517E-3</v>
      </c>
      <c r="R136">
        <f t="shared" si="10"/>
        <v>14.32912189801718</v>
      </c>
      <c r="S136">
        <f t="shared" si="11"/>
        <v>14.32912189801718</v>
      </c>
      <c r="AC136" t="s">
        <v>146</v>
      </c>
      <c r="AD136">
        <v>2009</v>
      </c>
      <c r="AE136">
        <v>2.4090224910578262E-3</v>
      </c>
    </row>
    <row r="137" spans="1:31">
      <c r="A137" t="s">
        <v>143</v>
      </c>
      <c r="B137">
        <v>2009</v>
      </c>
      <c r="C137">
        <v>2.0483928114226897E-2</v>
      </c>
      <c r="D137">
        <v>13.558471489438935</v>
      </c>
      <c r="J137" s="1">
        <f t="shared" si="8"/>
        <v>2.0483928114226897E-2</v>
      </c>
      <c r="K137" s="1">
        <f t="shared" si="9"/>
        <v>2.0483928114226897E-2</v>
      </c>
      <c r="R137">
        <f t="shared" si="10"/>
        <v>13.558471489438935</v>
      </c>
      <c r="S137">
        <f t="shared" si="11"/>
        <v>13.558471489438935</v>
      </c>
      <c r="AC137" t="s">
        <v>147</v>
      </c>
      <c r="AD137">
        <v>2009</v>
      </c>
      <c r="AE137">
        <v>3.0352887984301004E-3</v>
      </c>
    </row>
    <row r="138" spans="1:31">
      <c r="A138" t="s">
        <v>144</v>
      </c>
      <c r="B138">
        <v>2009</v>
      </c>
      <c r="C138">
        <v>3.1509924613387537E-3</v>
      </c>
      <c r="D138">
        <v>14.934129047977203</v>
      </c>
      <c r="J138" s="1">
        <f t="shared" si="8"/>
        <v>3.1509924613387537E-3</v>
      </c>
      <c r="K138" s="1">
        <f t="shared" si="9"/>
        <v>3.1509924613387537E-3</v>
      </c>
      <c r="R138">
        <f t="shared" si="10"/>
        <v>14.934129047977203</v>
      </c>
      <c r="S138">
        <f t="shared" si="11"/>
        <v>14.934129047977203</v>
      </c>
      <c r="AC138" t="s">
        <v>148</v>
      </c>
      <c r="AD138">
        <v>2009</v>
      </c>
      <c r="AE138">
        <v>4.0095973048577198E-2</v>
      </c>
    </row>
    <row r="139" spans="1:31">
      <c r="A139" t="s">
        <v>145</v>
      </c>
      <c r="B139">
        <v>2009</v>
      </c>
      <c r="C139">
        <v>3.3637755097911136E-2</v>
      </c>
      <c r="D139">
        <v>14.02695150008195</v>
      </c>
      <c r="J139" s="1">
        <f t="shared" si="8"/>
        <v>3.3637755097911136E-2</v>
      </c>
      <c r="K139" s="1">
        <f t="shared" si="9"/>
        <v>3.3637755097911136E-2</v>
      </c>
      <c r="R139">
        <f t="shared" si="10"/>
        <v>14.02695150008195</v>
      </c>
      <c r="S139">
        <f t="shared" si="11"/>
        <v>14.02695150008195</v>
      </c>
      <c r="AC139" t="s">
        <v>149</v>
      </c>
      <c r="AD139">
        <v>2009</v>
      </c>
      <c r="AE139">
        <v>8.348082486749302E-3</v>
      </c>
    </row>
    <row r="140" spans="1:31">
      <c r="A140" t="s">
        <v>146</v>
      </c>
      <c r="B140">
        <v>2009</v>
      </c>
      <c r="C140">
        <v>2.4090224910578262E-3</v>
      </c>
      <c r="D140">
        <v>16.135289092975423</v>
      </c>
      <c r="J140" s="1">
        <f t="shared" si="8"/>
        <v>2.4090224910578262E-3</v>
      </c>
      <c r="K140" s="1">
        <f t="shared" si="9"/>
        <v>2.4090224910578262E-3</v>
      </c>
      <c r="R140">
        <f t="shared" si="10"/>
        <v>16.135289092975423</v>
      </c>
      <c r="S140">
        <f t="shared" si="11"/>
        <v>16.135289092975423</v>
      </c>
      <c r="AC140" t="s">
        <v>150</v>
      </c>
      <c r="AD140">
        <v>2009</v>
      </c>
      <c r="AE140">
        <v>9.049993151720016E-3</v>
      </c>
    </row>
    <row r="141" spans="1:31">
      <c r="A141" t="s">
        <v>151</v>
      </c>
      <c r="B141">
        <v>2009</v>
      </c>
      <c r="C141">
        <v>8.05277104529772E-2</v>
      </c>
      <c r="D141">
        <v>13.731771276372333</v>
      </c>
      <c r="J141" s="1" t="str">
        <f t="shared" si="8"/>
        <v>out</v>
      </c>
      <c r="K141" s="1" t="str">
        <f t="shared" si="9"/>
        <v>out</v>
      </c>
      <c r="R141">
        <f t="shared" si="10"/>
        <v>13.731771276372333</v>
      </c>
      <c r="S141">
        <f t="shared" si="11"/>
        <v>13.731771276372333</v>
      </c>
      <c r="AC141" t="s">
        <v>152</v>
      </c>
      <c r="AD141">
        <v>2009</v>
      </c>
      <c r="AE141">
        <v>1.815886326450147E-2</v>
      </c>
    </row>
    <row r="142" spans="1:31">
      <c r="A142" t="s">
        <v>147</v>
      </c>
      <c r="B142">
        <v>2009</v>
      </c>
      <c r="C142">
        <v>3.0352887984301004E-3</v>
      </c>
      <c r="D142">
        <v>15.932643037518396</v>
      </c>
      <c r="J142" s="1">
        <f t="shared" si="8"/>
        <v>3.0352887984301004E-3</v>
      </c>
      <c r="K142" s="1">
        <f t="shared" si="9"/>
        <v>3.0352887984301004E-3</v>
      </c>
      <c r="R142">
        <f t="shared" si="10"/>
        <v>15.932643037518396</v>
      </c>
      <c r="S142">
        <f t="shared" si="11"/>
        <v>15.932643037518396</v>
      </c>
      <c r="AC142" t="s">
        <v>153</v>
      </c>
      <c r="AD142">
        <v>2009</v>
      </c>
      <c r="AE142">
        <v>8.2845640129000555E-3</v>
      </c>
    </row>
    <row r="143" spans="1:31">
      <c r="A143" t="s">
        <v>148</v>
      </c>
      <c r="B143">
        <v>2009</v>
      </c>
      <c r="C143">
        <v>4.0095973048577198E-2</v>
      </c>
      <c r="D143">
        <v>15.429885065338027</v>
      </c>
      <c r="J143" s="1">
        <f t="shared" si="8"/>
        <v>4.0095973048577198E-2</v>
      </c>
      <c r="K143" s="1">
        <f t="shared" si="9"/>
        <v>4.0095973048577198E-2</v>
      </c>
      <c r="R143">
        <f t="shared" si="10"/>
        <v>15.429885065338027</v>
      </c>
      <c r="S143">
        <f t="shared" si="11"/>
        <v>15.429885065338027</v>
      </c>
      <c r="AC143" t="s">
        <v>154</v>
      </c>
      <c r="AD143">
        <v>2009</v>
      </c>
      <c r="AE143">
        <v>1.4535826798042764E-2</v>
      </c>
    </row>
    <row r="144" spans="1:31">
      <c r="A144" t="s">
        <v>149</v>
      </c>
      <c r="B144">
        <v>2009</v>
      </c>
      <c r="C144">
        <v>8.348082486749302E-3</v>
      </c>
      <c r="D144">
        <v>14.905289614924893</v>
      </c>
      <c r="J144" s="1">
        <f t="shared" si="8"/>
        <v>8.348082486749302E-3</v>
      </c>
      <c r="K144" s="1">
        <f t="shared" si="9"/>
        <v>8.348082486749302E-3</v>
      </c>
      <c r="R144">
        <f t="shared" si="10"/>
        <v>14.905289614924893</v>
      </c>
      <c r="S144">
        <f t="shared" si="11"/>
        <v>14.905289614924893</v>
      </c>
      <c r="AC144" t="s">
        <v>155</v>
      </c>
      <c r="AD144">
        <v>2009</v>
      </c>
      <c r="AE144">
        <v>2.5076676761636541E-4</v>
      </c>
    </row>
    <row r="145" spans="1:31">
      <c r="A145" t="s">
        <v>156</v>
      </c>
      <c r="B145">
        <v>2009</v>
      </c>
      <c r="C145">
        <v>0.19378363099310689</v>
      </c>
      <c r="D145">
        <v>13.491824034638206</v>
      </c>
      <c r="J145" s="1" t="str">
        <f t="shared" si="8"/>
        <v>out</v>
      </c>
      <c r="K145" s="1" t="str">
        <f t="shared" si="9"/>
        <v>out</v>
      </c>
      <c r="R145">
        <f t="shared" si="10"/>
        <v>13.491824034638206</v>
      </c>
      <c r="S145">
        <f t="shared" si="11"/>
        <v>13.491824034638206</v>
      </c>
      <c r="AC145" t="s">
        <v>157</v>
      </c>
      <c r="AD145">
        <v>2009</v>
      </c>
      <c r="AE145">
        <v>4.2228664232985364E-3</v>
      </c>
    </row>
    <row r="146" spans="1:31">
      <c r="A146" t="s">
        <v>150</v>
      </c>
      <c r="B146">
        <v>2009</v>
      </c>
      <c r="C146">
        <v>9.049993151720016E-3</v>
      </c>
      <c r="D146">
        <v>15.54735263439715</v>
      </c>
      <c r="J146" s="1">
        <f t="shared" si="8"/>
        <v>9.049993151720016E-3</v>
      </c>
      <c r="K146" s="1">
        <f t="shared" si="9"/>
        <v>9.049993151720016E-3</v>
      </c>
      <c r="R146">
        <f t="shared" si="10"/>
        <v>15.54735263439715</v>
      </c>
      <c r="S146">
        <f t="shared" si="11"/>
        <v>15.54735263439715</v>
      </c>
      <c r="AC146" t="s">
        <v>158</v>
      </c>
      <c r="AD146">
        <v>2009</v>
      </c>
      <c r="AE146">
        <v>5.2307135711042278E-2</v>
      </c>
    </row>
    <row r="147" spans="1:31">
      <c r="A147" t="s">
        <v>152</v>
      </c>
      <c r="B147">
        <v>2009</v>
      </c>
      <c r="C147">
        <v>1.815886326450147E-2</v>
      </c>
      <c r="D147">
        <v>13.497931319365671</v>
      </c>
      <c r="J147" s="1">
        <f t="shared" si="8"/>
        <v>1.815886326450147E-2</v>
      </c>
      <c r="K147" s="1">
        <f t="shared" si="9"/>
        <v>1.815886326450147E-2</v>
      </c>
      <c r="R147">
        <f t="shared" si="10"/>
        <v>13.497931319365671</v>
      </c>
      <c r="S147">
        <f t="shared" si="11"/>
        <v>13.497931319365671</v>
      </c>
      <c r="AC147" t="s">
        <v>159</v>
      </c>
      <c r="AD147">
        <v>2009</v>
      </c>
      <c r="AE147">
        <v>3.2093020987274969E-3</v>
      </c>
    </row>
    <row r="148" spans="1:31">
      <c r="A148" t="s">
        <v>153</v>
      </c>
      <c r="B148">
        <v>2009</v>
      </c>
      <c r="C148">
        <v>8.2845640129000555E-3</v>
      </c>
      <c r="D148">
        <v>14.422740853269024</v>
      </c>
      <c r="J148" s="1">
        <f t="shared" si="8"/>
        <v>8.2845640129000555E-3</v>
      </c>
      <c r="K148" s="1">
        <f t="shared" si="9"/>
        <v>8.2845640129000555E-3</v>
      </c>
      <c r="R148">
        <f t="shared" si="10"/>
        <v>14.422740853269024</v>
      </c>
      <c r="S148">
        <f t="shared" si="11"/>
        <v>14.422740853269024</v>
      </c>
      <c r="AC148" t="s">
        <v>160</v>
      </c>
      <c r="AD148">
        <v>2009</v>
      </c>
      <c r="AE148">
        <v>5.4970288693810161E-2</v>
      </c>
    </row>
    <row r="149" spans="1:31">
      <c r="A149" t="s">
        <v>154</v>
      </c>
      <c r="B149">
        <v>2009</v>
      </c>
      <c r="C149">
        <v>1.4535826798042764E-2</v>
      </c>
      <c r="D149">
        <v>13.522413852810994</v>
      </c>
      <c r="J149" s="1">
        <f t="shared" si="8"/>
        <v>1.4535826798042764E-2</v>
      </c>
      <c r="K149" s="1">
        <f t="shared" si="9"/>
        <v>1.4535826798042764E-2</v>
      </c>
      <c r="R149">
        <f t="shared" si="10"/>
        <v>13.522413852810994</v>
      </c>
      <c r="S149">
        <f t="shared" si="11"/>
        <v>13.522413852810994</v>
      </c>
      <c r="AC149" t="s">
        <v>161</v>
      </c>
      <c r="AD149">
        <v>2009</v>
      </c>
      <c r="AE149">
        <v>5.2635214478137737E-2</v>
      </c>
    </row>
    <row r="150" spans="1:31">
      <c r="A150" t="s">
        <v>155</v>
      </c>
      <c r="B150">
        <v>2009</v>
      </c>
      <c r="C150">
        <v>2.5076676761636541E-4</v>
      </c>
      <c r="D150">
        <v>10.855936620963561</v>
      </c>
      <c r="J150" s="1">
        <f t="shared" si="8"/>
        <v>2.5076676761636541E-4</v>
      </c>
      <c r="K150" s="1">
        <f t="shared" si="9"/>
        <v>2.5076676761636541E-4</v>
      </c>
      <c r="R150">
        <f t="shared" si="10"/>
        <v>10.855936620963561</v>
      </c>
      <c r="S150">
        <f t="shared" si="11"/>
        <v>10.855936620963561</v>
      </c>
      <c r="AC150" t="s">
        <v>162</v>
      </c>
      <c r="AD150">
        <v>2009</v>
      </c>
      <c r="AE150">
        <v>9.3944393916549542E-3</v>
      </c>
    </row>
    <row r="151" spans="1:31">
      <c r="A151" t="s">
        <v>163</v>
      </c>
      <c r="B151">
        <v>2009</v>
      </c>
      <c r="C151">
        <v>0.12836836156770481</v>
      </c>
      <c r="D151">
        <v>15.472959473958143</v>
      </c>
      <c r="J151" s="1" t="str">
        <f t="shared" si="8"/>
        <v>out</v>
      </c>
      <c r="K151" s="1" t="str">
        <f t="shared" si="9"/>
        <v>out</v>
      </c>
      <c r="R151">
        <f t="shared" si="10"/>
        <v>15.472959473958143</v>
      </c>
      <c r="S151">
        <f t="shared" si="11"/>
        <v>15.472959473958143</v>
      </c>
      <c r="AC151" t="s">
        <v>164</v>
      </c>
      <c r="AD151">
        <v>2009</v>
      </c>
      <c r="AE151">
        <v>1.0219391688782993E-3</v>
      </c>
    </row>
    <row r="152" spans="1:31">
      <c r="A152" t="s">
        <v>157</v>
      </c>
      <c r="B152">
        <v>2009</v>
      </c>
      <c r="C152">
        <v>4.2228664232985364E-3</v>
      </c>
      <c r="D152">
        <v>13.531877610065285</v>
      </c>
      <c r="J152" s="1">
        <f t="shared" si="8"/>
        <v>4.2228664232985364E-3</v>
      </c>
      <c r="K152" s="1">
        <f t="shared" si="9"/>
        <v>4.2228664232985364E-3</v>
      </c>
      <c r="R152">
        <f t="shared" si="10"/>
        <v>13.531877610065285</v>
      </c>
      <c r="S152">
        <f t="shared" si="11"/>
        <v>13.531877610065285</v>
      </c>
      <c r="AC152" t="s">
        <v>165</v>
      </c>
      <c r="AD152">
        <v>2009</v>
      </c>
      <c r="AE152">
        <v>4.9873618516189246E-2</v>
      </c>
    </row>
    <row r="153" spans="1:31">
      <c r="A153" t="s">
        <v>158</v>
      </c>
      <c r="B153">
        <v>2009</v>
      </c>
      <c r="C153">
        <v>5.2307135711042278E-2</v>
      </c>
      <c r="D153">
        <v>14.118858034724967</v>
      </c>
      <c r="J153" s="1">
        <f t="shared" si="8"/>
        <v>5.2307135711042278E-2</v>
      </c>
      <c r="K153" s="1">
        <f t="shared" si="9"/>
        <v>5.2307135711042278E-2</v>
      </c>
      <c r="R153">
        <f t="shared" si="10"/>
        <v>14.118858034724967</v>
      </c>
      <c r="S153">
        <f t="shared" si="11"/>
        <v>14.118858034724967</v>
      </c>
      <c r="AC153" t="s">
        <v>166</v>
      </c>
      <c r="AD153">
        <v>2009</v>
      </c>
      <c r="AE153">
        <v>4.220857668573362E-2</v>
      </c>
    </row>
    <row r="154" spans="1:31">
      <c r="A154" t="s">
        <v>167</v>
      </c>
      <c r="B154">
        <v>2009</v>
      </c>
      <c r="C154">
        <v>0.15525676311531941</v>
      </c>
      <c r="D154">
        <v>15.417838454030321</v>
      </c>
      <c r="J154" s="1" t="str">
        <f t="shared" si="8"/>
        <v>out</v>
      </c>
      <c r="K154" s="1" t="str">
        <f t="shared" si="9"/>
        <v>out</v>
      </c>
      <c r="R154">
        <f t="shared" si="10"/>
        <v>15.417838454030321</v>
      </c>
      <c r="S154">
        <f t="shared" si="11"/>
        <v>15.417838454030321</v>
      </c>
      <c r="AC154" t="s">
        <v>168</v>
      </c>
      <c r="AD154">
        <v>2009</v>
      </c>
      <c r="AE154">
        <v>2.6093593310949795E-2</v>
      </c>
    </row>
    <row r="155" spans="1:31">
      <c r="A155" t="s">
        <v>159</v>
      </c>
      <c r="B155">
        <v>2009</v>
      </c>
      <c r="C155">
        <v>3.2093020987274969E-3</v>
      </c>
      <c r="D155">
        <v>12.230906711530174</v>
      </c>
      <c r="J155" s="1">
        <f t="shared" si="8"/>
        <v>3.2093020987274969E-3</v>
      </c>
      <c r="K155" s="1">
        <f t="shared" si="9"/>
        <v>3.2093020987274969E-3</v>
      </c>
      <c r="R155">
        <f t="shared" si="10"/>
        <v>12.230906711530174</v>
      </c>
      <c r="S155">
        <f t="shared" si="11"/>
        <v>12.230906711530174</v>
      </c>
      <c r="AC155" t="s">
        <v>169</v>
      </c>
      <c r="AD155">
        <v>2009</v>
      </c>
      <c r="AE155">
        <v>2.1358697613084763E-2</v>
      </c>
    </row>
    <row r="156" spans="1:31">
      <c r="A156" t="s">
        <v>160</v>
      </c>
      <c r="B156">
        <v>2009</v>
      </c>
      <c r="C156">
        <v>5.4970288693810161E-2</v>
      </c>
      <c r="D156">
        <v>14.996991403982973</v>
      </c>
      <c r="J156" s="1">
        <f t="shared" si="8"/>
        <v>5.4970288693810161E-2</v>
      </c>
      <c r="K156" s="1">
        <f t="shared" si="9"/>
        <v>5.4970288693810161E-2</v>
      </c>
      <c r="R156">
        <f t="shared" si="10"/>
        <v>14.996991403982973</v>
      </c>
      <c r="S156">
        <f t="shared" si="11"/>
        <v>14.996991403982973</v>
      </c>
      <c r="AC156" t="s">
        <v>170</v>
      </c>
      <c r="AD156">
        <v>2009</v>
      </c>
      <c r="AE156">
        <v>1.8428547783242204E-2</v>
      </c>
    </row>
    <row r="157" spans="1:31">
      <c r="A157" t="s">
        <v>171</v>
      </c>
      <c r="B157">
        <v>2009</v>
      </c>
      <c r="C157">
        <v>0.13378224223883764</v>
      </c>
      <c r="D157">
        <v>13.167992359823367</v>
      </c>
      <c r="J157" s="1" t="str">
        <f t="shared" si="8"/>
        <v>out</v>
      </c>
      <c r="K157" s="1" t="str">
        <f t="shared" si="9"/>
        <v>out</v>
      </c>
      <c r="R157">
        <f t="shared" si="10"/>
        <v>13.167992359823367</v>
      </c>
      <c r="S157">
        <f t="shared" si="11"/>
        <v>13.167992359823367</v>
      </c>
      <c r="AC157" t="s">
        <v>172</v>
      </c>
      <c r="AD157">
        <v>2009</v>
      </c>
      <c r="AE157">
        <v>6.7477376588401502E-3</v>
      </c>
    </row>
    <row r="158" spans="1:31">
      <c r="A158" t="s">
        <v>161</v>
      </c>
      <c r="B158">
        <v>2009</v>
      </c>
      <c r="C158">
        <v>5.2635214478137737E-2</v>
      </c>
      <c r="D158">
        <v>11.372075931382099</v>
      </c>
      <c r="J158" s="1">
        <f t="shared" si="8"/>
        <v>5.2635214478137737E-2</v>
      </c>
      <c r="K158" s="1">
        <f t="shared" si="9"/>
        <v>5.2635214478137737E-2</v>
      </c>
      <c r="R158">
        <f t="shared" si="10"/>
        <v>11.372075931382099</v>
      </c>
      <c r="S158">
        <f t="shared" si="11"/>
        <v>11.372075931382099</v>
      </c>
      <c r="AC158" t="s">
        <v>173</v>
      </c>
      <c r="AD158">
        <v>2009</v>
      </c>
      <c r="AE158">
        <v>3.2405538116883964E-3</v>
      </c>
    </row>
    <row r="159" spans="1:31">
      <c r="A159" t="s">
        <v>174</v>
      </c>
      <c r="B159">
        <v>2009</v>
      </c>
      <c r="C159">
        <v>0.26003979271245198</v>
      </c>
      <c r="D159">
        <v>15.18679787457762</v>
      </c>
      <c r="J159" s="1" t="str">
        <f t="shared" si="8"/>
        <v>out</v>
      </c>
      <c r="K159" s="1" t="str">
        <f t="shared" si="9"/>
        <v>out</v>
      </c>
      <c r="R159">
        <f t="shared" si="10"/>
        <v>15.18679787457762</v>
      </c>
      <c r="S159">
        <f t="shared" si="11"/>
        <v>15.18679787457762</v>
      </c>
      <c r="AC159" t="s">
        <v>175</v>
      </c>
      <c r="AD159">
        <v>2009</v>
      </c>
      <c r="AE159">
        <v>4.1380844990863688E-3</v>
      </c>
    </row>
    <row r="160" spans="1:31">
      <c r="A160" t="s">
        <v>162</v>
      </c>
      <c r="B160">
        <v>2009</v>
      </c>
      <c r="C160">
        <v>9.3944393916549542E-3</v>
      </c>
      <c r="D160">
        <v>17.20353515825218</v>
      </c>
      <c r="J160" s="1">
        <f t="shared" si="8"/>
        <v>9.3944393916549542E-3</v>
      </c>
      <c r="K160" s="1">
        <f t="shared" si="9"/>
        <v>9.3944393916549542E-3</v>
      </c>
      <c r="R160">
        <f t="shared" si="10"/>
        <v>17.20353515825218</v>
      </c>
      <c r="S160">
        <f t="shared" si="11"/>
        <v>17.20353515825218</v>
      </c>
      <c r="AC160" t="s">
        <v>176</v>
      </c>
      <c r="AD160">
        <v>2009</v>
      </c>
      <c r="AE160">
        <v>1.6253346804145381E-3</v>
      </c>
    </row>
    <row r="161" spans="1:31">
      <c r="A161" t="s">
        <v>164</v>
      </c>
      <c r="B161">
        <v>2009</v>
      </c>
      <c r="C161">
        <v>1.0219391688782993E-3</v>
      </c>
      <c r="D161">
        <v>16.60170412567167</v>
      </c>
      <c r="J161" s="1">
        <f t="shared" si="8"/>
        <v>1.0219391688782993E-3</v>
      </c>
      <c r="K161" s="1">
        <f t="shared" si="9"/>
        <v>1.0219391688782993E-3</v>
      </c>
      <c r="R161">
        <f t="shared" si="10"/>
        <v>16.60170412567167</v>
      </c>
      <c r="S161">
        <f t="shared" si="11"/>
        <v>16.60170412567167</v>
      </c>
      <c r="AC161" t="s">
        <v>177</v>
      </c>
      <c r="AD161">
        <v>2009</v>
      </c>
      <c r="AE161">
        <v>3.2806780396838708E-3</v>
      </c>
    </row>
    <row r="162" spans="1:31">
      <c r="A162" t="s">
        <v>165</v>
      </c>
      <c r="B162">
        <v>2009</v>
      </c>
      <c r="C162">
        <v>4.9873618516189246E-2</v>
      </c>
      <c r="D162">
        <v>13.120926345368208</v>
      </c>
      <c r="J162" s="1">
        <f t="shared" si="8"/>
        <v>4.9873618516189246E-2</v>
      </c>
      <c r="K162" s="1">
        <f t="shared" si="9"/>
        <v>4.9873618516189246E-2</v>
      </c>
      <c r="R162">
        <f t="shared" si="10"/>
        <v>13.120926345368208</v>
      </c>
      <c r="S162">
        <f t="shared" si="11"/>
        <v>13.120926345368208</v>
      </c>
      <c r="AC162" t="s">
        <v>178</v>
      </c>
      <c r="AD162">
        <v>2009</v>
      </c>
      <c r="AE162">
        <v>2.2900880955472467E-2</v>
      </c>
    </row>
    <row r="163" spans="1:31">
      <c r="A163" t="s">
        <v>166</v>
      </c>
      <c r="B163">
        <v>2009</v>
      </c>
      <c r="C163">
        <v>4.220857668573362E-2</v>
      </c>
      <c r="D163">
        <v>18.355709467856538</v>
      </c>
      <c r="J163" s="1">
        <f t="shared" si="8"/>
        <v>4.220857668573362E-2</v>
      </c>
      <c r="K163" s="1">
        <f t="shared" si="9"/>
        <v>4.220857668573362E-2</v>
      </c>
      <c r="R163">
        <f t="shared" si="10"/>
        <v>18.355709467856538</v>
      </c>
      <c r="S163">
        <f t="shared" si="11"/>
        <v>18.355709467856538</v>
      </c>
      <c r="AC163" t="s">
        <v>179</v>
      </c>
      <c r="AD163">
        <v>2009</v>
      </c>
      <c r="AE163">
        <v>2.3920334884688387E-4</v>
      </c>
    </row>
    <row r="164" spans="1:31">
      <c r="A164" t="s">
        <v>180</v>
      </c>
      <c r="B164">
        <v>2009</v>
      </c>
      <c r="C164">
        <v>0.2663349213814854</v>
      </c>
      <c r="D164">
        <v>17.405265070312989</v>
      </c>
      <c r="J164" s="1" t="str">
        <f t="shared" si="8"/>
        <v>out</v>
      </c>
      <c r="K164" s="1" t="str">
        <f t="shared" si="9"/>
        <v>out</v>
      </c>
      <c r="R164">
        <f t="shared" si="10"/>
        <v>17.405265070312989</v>
      </c>
      <c r="S164">
        <f t="shared" si="11"/>
        <v>17.405265070312989</v>
      </c>
      <c r="AC164" t="s">
        <v>181</v>
      </c>
      <c r="AD164">
        <v>2009</v>
      </c>
      <c r="AE164">
        <v>6.6471014305225244E-4</v>
      </c>
    </row>
    <row r="165" spans="1:31">
      <c r="A165" t="s">
        <v>182</v>
      </c>
      <c r="B165">
        <v>2009</v>
      </c>
      <c r="C165">
        <v>0.19234790630758153</v>
      </c>
      <c r="D165">
        <v>18.066455611060309</v>
      </c>
      <c r="J165" s="1" t="str">
        <f t="shared" si="8"/>
        <v>out</v>
      </c>
      <c r="K165" s="1" t="str">
        <f t="shared" si="9"/>
        <v>out</v>
      </c>
      <c r="R165">
        <f t="shared" si="10"/>
        <v>18.066455611060309</v>
      </c>
      <c r="S165">
        <f t="shared" si="11"/>
        <v>18.066455611060309</v>
      </c>
      <c r="AC165" t="s">
        <v>183</v>
      </c>
      <c r="AD165">
        <v>2009</v>
      </c>
      <c r="AE165">
        <v>1.891175644866214E-3</v>
      </c>
    </row>
    <row r="166" spans="1:31">
      <c r="A166" t="s">
        <v>168</v>
      </c>
      <c r="B166">
        <v>2009</v>
      </c>
      <c r="C166">
        <v>2.6093593310949795E-2</v>
      </c>
      <c r="D166">
        <v>14.376881376360959</v>
      </c>
      <c r="J166" s="1">
        <f t="shared" si="8"/>
        <v>2.6093593310949795E-2</v>
      </c>
      <c r="K166" s="1">
        <f t="shared" si="9"/>
        <v>2.6093593310949795E-2</v>
      </c>
      <c r="R166">
        <f t="shared" si="10"/>
        <v>14.376881376360959</v>
      </c>
      <c r="S166">
        <f t="shared" si="11"/>
        <v>14.376881376360959</v>
      </c>
      <c r="AC166" t="s">
        <v>184</v>
      </c>
      <c r="AD166">
        <v>2009</v>
      </c>
      <c r="AE166">
        <v>2.9086625669618293E-2</v>
      </c>
    </row>
    <row r="167" spans="1:31">
      <c r="A167" t="s">
        <v>169</v>
      </c>
      <c r="B167">
        <v>2009</v>
      </c>
      <c r="C167">
        <v>2.1358697613084763E-2</v>
      </c>
      <c r="D167">
        <v>15.906504611665827</v>
      </c>
      <c r="J167" s="1">
        <f t="shared" si="8"/>
        <v>2.1358697613084763E-2</v>
      </c>
      <c r="K167" s="1">
        <f t="shared" si="9"/>
        <v>2.1358697613084763E-2</v>
      </c>
      <c r="R167">
        <f t="shared" si="10"/>
        <v>15.906504611665827</v>
      </c>
      <c r="S167">
        <f t="shared" si="11"/>
        <v>15.906504611665827</v>
      </c>
      <c r="AC167" t="s">
        <v>185</v>
      </c>
      <c r="AD167">
        <v>2009</v>
      </c>
      <c r="AE167">
        <v>4.1887671570826228E-2</v>
      </c>
    </row>
    <row r="168" spans="1:31">
      <c r="A168" t="s">
        <v>186</v>
      </c>
      <c r="B168">
        <v>2009</v>
      </c>
      <c r="C168">
        <v>0.14227469262502401</v>
      </c>
      <c r="D168">
        <v>16.484882853233316</v>
      </c>
      <c r="J168" s="1" t="str">
        <f t="shared" si="8"/>
        <v>out</v>
      </c>
      <c r="K168" s="1" t="str">
        <f t="shared" si="9"/>
        <v>out</v>
      </c>
      <c r="R168">
        <f t="shared" si="10"/>
        <v>16.484882853233316</v>
      </c>
      <c r="S168">
        <f t="shared" si="11"/>
        <v>16.484882853233316</v>
      </c>
      <c r="AC168" t="s">
        <v>187</v>
      </c>
      <c r="AD168">
        <v>2009</v>
      </c>
      <c r="AE168">
        <v>3.4390763739343341E-2</v>
      </c>
    </row>
    <row r="169" spans="1:31">
      <c r="A169" t="s">
        <v>170</v>
      </c>
      <c r="B169">
        <v>2009</v>
      </c>
      <c r="C169">
        <v>1.8428547783242204E-2</v>
      </c>
      <c r="D169">
        <v>14.372861497351114</v>
      </c>
      <c r="J169" s="1">
        <f t="shared" si="8"/>
        <v>1.8428547783242204E-2</v>
      </c>
      <c r="K169" s="1">
        <f t="shared" si="9"/>
        <v>1.8428547783242204E-2</v>
      </c>
      <c r="R169">
        <f t="shared" si="10"/>
        <v>14.372861497351114</v>
      </c>
      <c r="S169">
        <f t="shared" si="11"/>
        <v>14.372861497351114</v>
      </c>
      <c r="AC169" t="s">
        <v>188</v>
      </c>
      <c r="AD169">
        <v>2009</v>
      </c>
      <c r="AE169">
        <v>2.4545994130665005E-2</v>
      </c>
    </row>
    <row r="170" spans="1:31">
      <c r="A170" t="s">
        <v>189</v>
      </c>
      <c r="B170">
        <v>2009</v>
      </c>
      <c r="C170">
        <v>0.21574150904200406</v>
      </c>
      <c r="D170">
        <v>16.863809332534156</v>
      </c>
      <c r="J170" s="1" t="str">
        <f t="shared" si="8"/>
        <v>out</v>
      </c>
      <c r="K170" s="1" t="str">
        <f t="shared" si="9"/>
        <v>out</v>
      </c>
      <c r="R170">
        <f t="shared" si="10"/>
        <v>16.863809332534156</v>
      </c>
      <c r="S170">
        <f t="shared" si="11"/>
        <v>16.863809332534156</v>
      </c>
      <c r="AC170" t="s">
        <v>190</v>
      </c>
      <c r="AD170">
        <v>2009</v>
      </c>
      <c r="AE170">
        <v>4.4915507595062855E-3</v>
      </c>
    </row>
    <row r="171" spans="1:31">
      <c r="A171" t="s">
        <v>172</v>
      </c>
      <c r="B171">
        <v>2009</v>
      </c>
      <c r="C171">
        <v>6.7477376588401502E-3</v>
      </c>
      <c r="D171">
        <v>15.183221563174436</v>
      </c>
      <c r="J171" s="1">
        <f t="shared" si="8"/>
        <v>6.7477376588401502E-3</v>
      </c>
      <c r="K171" s="1">
        <f t="shared" si="9"/>
        <v>6.7477376588401502E-3</v>
      </c>
      <c r="R171">
        <f t="shared" si="10"/>
        <v>15.183221563174436</v>
      </c>
      <c r="S171">
        <f t="shared" si="11"/>
        <v>15.183221563174436</v>
      </c>
      <c r="AC171" t="s">
        <v>191</v>
      </c>
      <c r="AD171">
        <v>2009</v>
      </c>
      <c r="AE171">
        <v>9.9482112064774755E-4</v>
      </c>
    </row>
    <row r="172" spans="1:31">
      <c r="A172" t="s">
        <v>173</v>
      </c>
      <c r="B172">
        <v>2009</v>
      </c>
      <c r="C172">
        <v>3.2405538116883964E-3</v>
      </c>
      <c r="D172">
        <v>12.858098307550357</v>
      </c>
      <c r="J172" s="1">
        <f t="shared" si="8"/>
        <v>3.2405538116883964E-3</v>
      </c>
      <c r="K172" s="1">
        <f t="shared" si="9"/>
        <v>3.2405538116883964E-3</v>
      </c>
      <c r="R172">
        <f t="shared" si="10"/>
        <v>12.858098307550357</v>
      </c>
      <c r="S172">
        <f t="shared" si="11"/>
        <v>12.858098307550357</v>
      </c>
      <c r="AC172" t="s">
        <v>192</v>
      </c>
      <c r="AD172">
        <v>2009</v>
      </c>
      <c r="AE172">
        <v>5.5180042741811931E-4</v>
      </c>
    </row>
    <row r="173" spans="1:31">
      <c r="A173" t="s">
        <v>175</v>
      </c>
      <c r="B173">
        <v>2009</v>
      </c>
      <c r="C173">
        <v>4.1380844990863688E-3</v>
      </c>
      <c r="D173">
        <v>12.36172077504837</v>
      </c>
      <c r="J173" s="1">
        <f t="shared" si="8"/>
        <v>4.1380844990863688E-3</v>
      </c>
      <c r="K173" s="1">
        <f t="shared" si="9"/>
        <v>4.1380844990863688E-3</v>
      </c>
      <c r="R173">
        <f t="shared" si="10"/>
        <v>12.36172077504837</v>
      </c>
      <c r="S173">
        <f t="shared" si="11"/>
        <v>12.36172077504837</v>
      </c>
      <c r="AC173" t="s">
        <v>193</v>
      </c>
      <c r="AD173">
        <v>2009</v>
      </c>
      <c r="AE173">
        <v>5.1651024862751438E-3</v>
      </c>
    </row>
    <row r="174" spans="1:31">
      <c r="A174" t="s">
        <v>176</v>
      </c>
      <c r="B174">
        <v>2009</v>
      </c>
      <c r="C174">
        <v>1.6253346804145381E-3</v>
      </c>
      <c r="D174">
        <v>14.331163710439938</v>
      </c>
      <c r="J174" s="1">
        <f t="shared" si="8"/>
        <v>1.6253346804145381E-3</v>
      </c>
      <c r="K174" s="1">
        <f t="shared" si="9"/>
        <v>1.6253346804145381E-3</v>
      </c>
      <c r="R174">
        <f t="shared" si="10"/>
        <v>14.331163710439938</v>
      </c>
      <c r="S174">
        <f t="shared" si="11"/>
        <v>14.331163710439938</v>
      </c>
      <c r="AC174" t="s">
        <v>194</v>
      </c>
      <c r="AD174">
        <v>2009</v>
      </c>
      <c r="AE174">
        <v>4.4740940644050496E-4</v>
      </c>
    </row>
    <row r="175" spans="1:31">
      <c r="A175" t="s">
        <v>177</v>
      </c>
      <c r="B175">
        <v>2009</v>
      </c>
      <c r="C175">
        <v>3.2806780396838708E-3</v>
      </c>
      <c r="D175">
        <v>13.605786560309529</v>
      </c>
      <c r="J175" s="1">
        <f t="shared" si="8"/>
        <v>3.2806780396838708E-3</v>
      </c>
      <c r="K175" s="1">
        <f t="shared" si="9"/>
        <v>3.2806780396838708E-3</v>
      </c>
      <c r="R175">
        <f t="shared" si="10"/>
        <v>13.605786560309529</v>
      </c>
      <c r="S175">
        <f t="shared" si="11"/>
        <v>13.605786560309529</v>
      </c>
      <c r="AC175" t="s">
        <v>195</v>
      </c>
      <c r="AD175">
        <v>2009</v>
      </c>
      <c r="AE175">
        <v>2.7367897148961443E-2</v>
      </c>
    </row>
    <row r="176" spans="1:31">
      <c r="A176" t="s">
        <v>178</v>
      </c>
      <c r="B176">
        <v>2009</v>
      </c>
      <c r="C176">
        <v>2.2900880955472467E-2</v>
      </c>
      <c r="D176">
        <v>13.026717741340844</v>
      </c>
      <c r="J176" s="1">
        <f t="shared" si="8"/>
        <v>2.2900880955472467E-2</v>
      </c>
      <c r="K176" s="1">
        <f t="shared" si="9"/>
        <v>2.2900880955472467E-2</v>
      </c>
      <c r="R176">
        <f t="shared" si="10"/>
        <v>13.026717741340844</v>
      </c>
      <c r="S176">
        <f t="shared" si="11"/>
        <v>13.026717741340844</v>
      </c>
      <c r="AC176" t="s">
        <v>196</v>
      </c>
      <c r="AD176">
        <v>2009</v>
      </c>
      <c r="AE176">
        <v>1.2920215150156881E-2</v>
      </c>
    </row>
    <row r="177" spans="1:31">
      <c r="A177" t="s">
        <v>179</v>
      </c>
      <c r="B177">
        <v>2009</v>
      </c>
      <c r="C177">
        <v>2.3920334884688387E-4</v>
      </c>
      <c r="D177">
        <v>12.166837932278892</v>
      </c>
      <c r="J177" s="1">
        <f t="shared" si="8"/>
        <v>2.3920334884688387E-4</v>
      </c>
      <c r="K177" s="1">
        <f t="shared" si="9"/>
        <v>2.3920334884688387E-4</v>
      </c>
      <c r="R177">
        <f t="shared" si="10"/>
        <v>12.166837932278892</v>
      </c>
      <c r="S177">
        <f t="shared" si="11"/>
        <v>12.166837932278892</v>
      </c>
      <c r="AC177" t="s">
        <v>197</v>
      </c>
      <c r="AD177">
        <v>2009</v>
      </c>
      <c r="AE177">
        <v>4.3661774058992131E-2</v>
      </c>
    </row>
    <row r="178" spans="1:31">
      <c r="A178" t="s">
        <v>181</v>
      </c>
      <c r="B178">
        <v>2009</v>
      </c>
      <c r="C178">
        <v>6.6471014305225244E-4</v>
      </c>
      <c r="D178">
        <v>15.050718331793739</v>
      </c>
      <c r="J178" s="1">
        <f t="shared" si="8"/>
        <v>6.6471014305225244E-4</v>
      </c>
      <c r="K178" s="1">
        <f t="shared" si="9"/>
        <v>6.6471014305225244E-4</v>
      </c>
      <c r="R178">
        <f t="shared" si="10"/>
        <v>15.050718331793739</v>
      </c>
      <c r="S178">
        <f t="shared" si="11"/>
        <v>15.050718331793739</v>
      </c>
      <c r="AC178" t="s">
        <v>198</v>
      </c>
      <c r="AD178">
        <v>2009</v>
      </c>
      <c r="AE178">
        <v>4.3625305316501925E-3</v>
      </c>
    </row>
    <row r="179" spans="1:31">
      <c r="A179" t="s">
        <v>183</v>
      </c>
      <c r="B179">
        <v>2009</v>
      </c>
      <c r="C179">
        <v>1.891175644866214E-3</v>
      </c>
      <c r="D179">
        <v>12.688921544909208</v>
      </c>
      <c r="J179" s="1">
        <f t="shared" si="8"/>
        <v>1.891175644866214E-3</v>
      </c>
      <c r="K179" s="1">
        <f t="shared" si="9"/>
        <v>1.891175644866214E-3</v>
      </c>
      <c r="R179">
        <f t="shared" si="10"/>
        <v>12.688921544909208</v>
      </c>
      <c r="S179">
        <f t="shared" si="11"/>
        <v>12.688921544909208</v>
      </c>
      <c r="AC179" t="s">
        <v>199</v>
      </c>
      <c r="AD179">
        <v>2009</v>
      </c>
      <c r="AE179">
        <v>7.5048332030767967E-2</v>
      </c>
    </row>
    <row r="180" spans="1:31">
      <c r="A180" t="s">
        <v>184</v>
      </c>
      <c r="B180">
        <v>2009</v>
      </c>
      <c r="C180">
        <v>2.9086625669618293E-2</v>
      </c>
      <c r="D180">
        <v>16.129372922817911</v>
      </c>
      <c r="J180" s="1">
        <f t="shared" si="8"/>
        <v>2.9086625669618293E-2</v>
      </c>
      <c r="K180" s="1">
        <f t="shared" si="9"/>
        <v>2.9086625669618293E-2</v>
      </c>
      <c r="R180">
        <f t="shared" si="10"/>
        <v>16.129372922817911</v>
      </c>
      <c r="S180">
        <f t="shared" si="11"/>
        <v>16.129372922817911</v>
      </c>
      <c r="AC180" t="s">
        <v>200</v>
      </c>
      <c r="AD180">
        <v>2009</v>
      </c>
      <c r="AE180">
        <v>5.5252624225035265E-3</v>
      </c>
    </row>
    <row r="181" spans="1:31">
      <c r="A181" t="s">
        <v>185</v>
      </c>
      <c r="B181">
        <v>2009</v>
      </c>
      <c r="C181">
        <v>4.1887671570826228E-2</v>
      </c>
      <c r="D181">
        <v>13.477808765749295</v>
      </c>
      <c r="J181" s="1">
        <f t="shared" si="8"/>
        <v>4.1887671570826228E-2</v>
      </c>
      <c r="K181" s="1">
        <f t="shared" si="9"/>
        <v>4.1887671570826228E-2</v>
      </c>
      <c r="R181">
        <f t="shared" si="10"/>
        <v>13.477808765749295</v>
      </c>
      <c r="S181">
        <f t="shared" si="11"/>
        <v>13.477808765749295</v>
      </c>
      <c r="AC181" t="s">
        <v>201</v>
      </c>
      <c r="AD181">
        <v>2009</v>
      </c>
      <c r="AE181">
        <v>4.6943083048877638E-3</v>
      </c>
    </row>
    <row r="182" spans="1:31">
      <c r="A182" t="s">
        <v>187</v>
      </c>
      <c r="B182">
        <v>2009</v>
      </c>
      <c r="C182">
        <v>3.4390763739343341E-2</v>
      </c>
      <c r="D182">
        <v>13.20372951664816</v>
      </c>
      <c r="J182" s="1">
        <f t="shared" si="8"/>
        <v>3.4390763739343341E-2</v>
      </c>
      <c r="K182" s="1">
        <f t="shared" si="9"/>
        <v>3.4390763739343341E-2</v>
      </c>
      <c r="R182">
        <f t="shared" si="10"/>
        <v>13.20372951664816</v>
      </c>
      <c r="S182">
        <f t="shared" si="11"/>
        <v>13.20372951664816</v>
      </c>
      <c r="AC182" t="s">
        <v>202</v>
      </c>
      <c r="AD182">
        <v>2009</v>
      </c>
      <c r="AE182">
        <v>5.708682334949531E-2</v>
      </c>
    </row>
    <row r="183" spans="1:31">
      <c r="A183" t="s">
        <v>188</v>
      </c>
      <c r="B183">
        <v>2009</v>
      </c>
      <c r="C183">
        <v>2.4545994130665005E-2</v>
      </c>
      <c r="D183">
        <v>14.188654933209547</v>
      </c>
      <c r="J183" s="1">
        <f t="shared" si="8"/>
        <v>2.4545994130665005E-2</v>
      </c>
      <c r="K183" s="1">
        <f t="shared" si="9"/>
        <v>2.4545994130665005E-2</v>
      </c>
      <c r="R183">
        <f t="shared" si="10"/>
        <v>14.188654933209547</v>
      </c>
      <c r="S183">
        <f t="shared" si="11"/>
        <v>14.188654933209547</v>
      </c>
      <c r="AC183" t="s">
        <v>203</v>
      </c>
      <c r="AD183">
        <v>2009</v>
      </c>
      <c r="AE183">
        <v>1.0384273966178531E-3</v>
      </c>
    </row>
    <row r="184" spans="1:31">
      <c r="A184" t="s">
        <v>190</v>
      </c>
      <c r="B184">
        <v>2009</v>
      </c>
      <c r="C184">
        <v>4.4915507595062855E-3</v>
      </c>
      <c r="D184">
        <v>12.546010299222964</v>
      </c>
      <c r="J184" s="1">
        <f t="shared" si="8"/>
        <v>4.4915507595062855E-3</v>
      </c>
      <c r="K184" s="1">
        <f t="shared" si="9"/>
        <v>4.4915507595062855E-3</v>
      </c>
      <c r="R184">
        <f t="shared" si="10"/>
        <v>12.546010299222964</v>
      </c>
      <c r="S184">
        <f t="shared" si="11"/>
        <v>12.546010299222964</v>
      </c>
      <c r="AC184" t="s">
        <v>204</v>
      </c>
      <c r="AD184">
        <v>2009</v>
      </c>
      <c r="AE184">
        <v>2.4493997460651461E-2</v>
      </c>
    </row>
    <row r="185" spans="1:31">
      <c r="A185" t="s">
        <v>205</v>
      </c>
      <c r="B185">
        <v>2009</v>
      </c>
      <c r="C185">
        <v>0.1427932810081893</v>
      </c>
      <c r="D185">
        <v>14.988050588259846</v>
      </c>
      <c r="J185" s="1" t="str">
        <f t="shared" si="8"/>
        <v>out</v>
      </c>
      <c r="K185" s="1" t="str">
        <f t="shared" si="9"/>
        <v>out</v>
      </c>
      <c r="R185">
        <f t="shared" si="10"/>
        <v>14.988050588259846</v>
      </c>
      <c r="S185">
        <f t="shared" si="11"/>
        <v>14.988050588259846</v>
      </c>
      <c r="AC185" t="s">
        <v>206</v>
      </c>
      <c r="AD185">
        <v>2009</v>
      </c>
      <c r="AE185">
        <v>5.7842336801767813E-2</v>
      </c>
    </row>
    <row r="186" spans="1:31">
      <c r="A186" t="s">
        <v>191</v>
      </c>
      <c r="B186">
        <v>2009</v>
      </c>
      <c r="C186">
        <v>9.9482112064774755E-4</v>
      </c>
      <c r="D186">
        <v>15.242364399150516</v>
      </c>
      <c r="J186" s="1">
        <f t="shared" si="8"/>
        <v>9.9482112064774755E-4</v>
      </c>
      <c r="K186" s="1">
        <f t="shared" si="9"/>
        <v>9.9482112064774755E-4</v>
      </c>
      <c r="R186">
        <f t="shared" si="10"/>
        <v>15.242364399150516</v>
      </c>
      <c r="S186">
        <f t="shared" si="11"/>
        <v>15.242364399150516</v>
      </c>
      <c r="AC186" t="s">
        <v>207</v>
      </c>
      <c r="AD186">
        <v>2009</v>
      </c>
      <c r="AE186">
        <v>2.2567414750510568E-2</v>
      </c>
    </row>
    <row r="187" spans="1:31">
      <c r="A187" t="s">
        <v>192</v>
      </c>
      <c r="B187">
        <v>2009</v>
      </c>
      <c r="C187">
        <v>5.5180042741811931E-4</v>
      </c>
      <c r="D187">
        <v>14.247560471076914</v>
      </c>
      <c r="J187" s="1">
        <f t="shared" si="8"/>
        <v>5.5180042741811931E-4</v>
      </c>
      <c r="K187" s="1">
        <f t="shared" si="9"/>
        <v>5.5180042741811931E-4</v>
      </c>
      <c r="R187">
        <f t="shared" si="10"/>
        <v>14.247560471076914</v>
      </c>
      <c r="S187">
        <f t="shared" si="11"/>
        <v>14.247560471076914</v>
      </c>
      <c r="AC187" t="s">
        <v>208</v>
      </c>
      <c r="AD187">
        <v>2009</v>
      </c>
      <c r="AE187">
        <v>1.2276759625049673E-2</v>
      </c>
    </row>
    <row r="188" spans="1:31">
      <c r="A188" t="s">
        <v>193</v>
      </c>
      <c r="B188">
        <v>2009</v>
      </c>
      <c r="C188">
        <v>5.1651024862751438E-3</v>
      </c>
      <c r="D188">
        <v>13.430340602900392</v>
      </c>
      <c r="J188" s="1">
        <f t="shared" si="8"/>
        <v>5.1651024862751438E-3</v>
      </c>
      <c r="K188" s="1">
        <f t="shared" si="9"/>
        <v>5.1651024862751438E-3</v>
      </c>
      <c r="R188">
        <f t="shared" si="10"/>
        <v>13.430340602900392</v>
      </c>
      <c r="S188">
        <f t="shared" si="11"/>
        <v>13.430340602900392</v>
      </c>
      <c r="AC188" t="s">
        <v>209</v>
      </c>
      <c r="AD188">
        <v>2009</v>
      </c>
      <c r="AE188">
        <v>1.2794112376699954E-2</v>
      </c>
    </row>
    <row r="189" spans="1:31">
      <c r="A189" t="s">
        <v>194</v>
      </c>
      <c r="B189">
        <v>2009</v>
      </c>
      <c r="C189">
        <v>4.4740940644050496E-4</v>
      </c>
      <c r="D189">
        <v>14.417675579312229</v>
      </c>
      <c r="J189" s="1">
        <f t="shared" si="8"/>
        <v>4.4740940644050496E-4</v>
      </c>
      <c r="K189" s="1">
        <f t="shared" si="9"/>
        <v>4.4740940644050496E-4</v>
      </c>
      <c r="R189">
        <f t="shared" si="10"/>
        <v>14.417675579312229</v>
      </c>
      <c r="S189">
        <f t="shared" si="11"/>
        <v>14.417675579312229</v>
      </c>
      <c r="AC189" t="s">
        <v>210</v>
      </c>
      <c r="AD189">
        <v>2009</v>
      </c>
      <c r="AE189">
        <v>5.9500172472857753E-3</v>
      </c>
    </row>
    <row r="190" spans="1:31">
      <c r="A190" t="s">
        <v>195</v>
      </c>
      <c r="B190">
        <v>2009</v>
      </c>
      <c r="C190">
        <v>2.7367897148961443E-2</v>
      </c>
      <c r="D190">
        <v>14.577164625273049</v>
      </c>
      <c r="J190" s="1">
        <f t="shared" si="8"/>
        <v>2.7367897148961443E-2</v>
      </c>
      <c r="K190" s="1">
        <f t="shared" si="9"/>
        <v>2.7367897148961443E-2</v>
      </c>
      <c r="R190">
        <f t="shared" si="10"/>
        <v>14.577164625273049</v>
      </c>
      <c r="S190">
        <f t="shared" si="11"/>
        <v>14.577164625273049</v>
      </c>
      <c r="AC190" t="s">
        <v>211</v>
      </c>
      <c r="AD190">
        <v>2009</v>
      </c>
      <c r="AE190">
        <v>4.8115794037458469E-4</v>
      </c>
    </row>
    <row r="191" spans="1:31">
      <c r="A191" t="s">
        <v>196</v>
      </c>
      <c r="B191">
        <v>2009</v>
      </c>
      <c r="C191">
        <v>1.2920215150156881E-2</v>
      </c>
      <c r="D191">
        <v>13.344994797601782</v>
      </c>
      <c r="J191" s="1">
        <f t="shared" si="8"/>
        <v>1.2920215150156881E-2</v>
      </c>
      <c r="K191" s="1">
        <f t="shared" si="9"/>
        <v>1.2920215150156881E-2</v>
      </c>
      <c r="R191">
        <f t="shared" si="10"/>
        <v>13.344994797601782</v>
      </c>
      <c r="S191">
        <f t="shared" si="11"/>
        <v>13.344994797601782</v>
      </c>
      <c r="AC191" t="s">
        <v>212</v>
      </c>
      <c r="AD191">
        <v>2009</v>
      </c>
      <c r="AE191">
        <v>1.2511757071957648E-3</v>
      </c>
    </row>
    <row r="192" spans="1:31">
      <c r="A192" t="s">
        <v>197</v>
      </c>
      <c r="B192">
        <v>2009</v>
      </c>
      <c r="C192">
        <v>4.3661774058992131E-2</v>
      </c>
      <c r="D192">
        <v>12.397246570901284</v>
      </c>
      <c r="J192" s="1">
        <f t="shared" si="8"/>
        <v>4.3661774058992131E-2</v>
      </c>
      <c r="K192" s="1">
        <f t="shared" si="9"/>
        <v>4.3661774058992131E-2</v>
      </c>
      <c r="R192">
        <f t="shared" si="10"/>
        <v>12.397246570901284</v>
      </c>
      <c r="S192">
        <f t="shared" si="11"/>
        <v>12.397246570901284</v>
      </c>
      <c r="AC192" t="s">
        <v>213</v>
      </c>
      <c r="AD192">
        <v>2009</v>
      </c>
      <c r="AE192">
        <v>5.6634052460919539E-3</v>
      </c>
    </row>
    <row r="193" spans="1:31">
      <c r="A193" t="s">
        <v>198</v>
      </c>
      <c r="B193">
        <v>2009</v>
      </c>
      <c r="C193">
        <v>4.3625305316501925E-3</v>
      </c>
      <c r="D193">
        <v>14.846431984306376</v>
      </c>
      <c r="J193" s="1">
        <f t="shared" si="8"/>
        <v>4.3625305316501925E-3</v>
      </c>
      <c r="K193" s="1">
        <f t="shared" si="9"/>
        <v>4.3625305316501925E-3</v>
      </c>
      <c r="R193">
        <f t="shared" si="10"/>
        <v>14.846431984306376</v>
      </c>
      <c r="S193">
        <f t="shared" si="11"/>
        <v>14.846431984306376</v>
      </c>
      <c r="AC193" t="s">
        <v>214</v>
      </c>
      <c r="AD193">
        <v>2009</v>
      </c>
      <c r="AE193">
        <v>8.2039956074886067E-3</v>
      </c>
    </row>
    <row r="194" spans="1:31">
      <c r="A194" t="s">
        <v>215</v>
      </c>
      <c r="B194">
        <v>2009</v>
      </c>
      <c r="C194">
        <v>0.11051689529871465</v>
      </c>
      <c r="D194">
        <v>16.229536752327707</v>
      </c>
      <c r="J194" s="1" t="str">
        <f t="shared" si="8"/>
        <v>out</v>
      </c>
      <c r="K194" s="1" t="str">
        <f t="shared" si="9"/>
        <v>out</v>
      </c>
      <c r="R194">
        <f t="shared" si="10"/>
        <v>16.229536752327707</v>
      </c>
      <c r="S194">
        <f t="shared" si="11"/>
        <v>16.229536752327707</v>
      </c>
      <c r="AC194" t="s">
        <v>216</v>
      </c>
      <c r="AD194">
        <v>2009</v>
      </c>
      <c r="AE194">
        <v>7.5009704495706021E-3</v>
      </c>
    </row>
    <row r="195" spans="1:31">
      <c r="A195" t="s">
        <v>217</v>
      </c>
      <c r="B195">
        <v>2009</v>
      </c>
      <c r="C195">
        <v>0.14561237656897991</v>
      </c>
      <c r="D195">
        <v>14.281825517424759</v>
      </c>
      <c r="J195" s="1" t="str">
        <f t="shared" ref="J195:J258" si="12">IF(OR(C195&lt;$H$2,C195&gt;$I$2),"out",C195)</f>
        <v>out</v>
      </c>
      <c r="K195" s="1" t="str">
        <f t="shared" ref="K195:K258" si="13">IF(OR(C195&lt;$H$3,C195&gt;$I$3),"out",C195)</f>
        <v>out</v>
      </c>
      <c r="R195">
        <f t="shared" ref="R195:R258" si="14">IF(OR(D195&lt;$P$2,D195&gt;$Q$2),"out",D195)</f>
        <v>14.281825517424759</v>
      </c>
      <c r="S195">
        <f t="shared" ref="S195:S258" si="15">IF(OR(D195&lt;$P$3,D195&gt;$Q$3),"out",D195)</f>
        <v>14.281825517424759</v>
      </c>
      <c r="AC195" t="s">
        <v>218</v>
      </c>
      <c r="AD195">
        <v>2009</v>
      </c>
      <c r="AE195">
        <v>6.1639044958847157E-3</v>
      </c>
    </row>
    <row r="196" spans="1:31">
      <c r="A196" t="s">
        <v>199</v>
      </c>
      <c r="B196">
        <v>2009</v>
      </c>
      <c r="C196">
        <v>7.5048332030767967E-2</v>
      </c>
      <c r="D196">
        <v>10.791831382359332</v>
      </c>
      <c r="J196" s="1">
        <f t="shared" si="12"/>
        <v>7.5048332030767967E-2</v>
      </c>
      <c r="K196" s="1">
        <f t="shared" si="13"/>
        <v>7.5048332030767967E-2</v>
      </c>
      <c r="R196">
        <f t="shared" si="14"/>
        <v>10.791831382359332</v>
      </c>
      <c r="S196">
        <f t="shared" si="15"/>
        <v>10.791831382359332</v>
      </c>
      <c r="AC196" t="s">
        <v>219</v>
      </c>
      <c r="AD196">
        <v>2009</v>
      </c>
      <c r="AE196">
        <v>3.9850924544695852E-3</v>
      </c>
    </row>
    <row r="197" spans="1:31">
      <c r="A197" t="s">
        <v>200</v>
      </c>
      <c r="B197">
        <v>2009</v>
      </c>
      <c r="C197">
        <v>5.5252624225035265E-3</v>
      </c>
      <c r="D197">
        <v>13.028452617954414</v>
      </c>
      <c r="J197" s="1">
        <f t="shared" si="12"/>
        <v>5.5252624225035265E-3</v>
      </c>
      <c r="K197" s="1">
        <f t="shared" si="13"/>
        <v>5.5252624225035265E-3</v>
      </c>
      <c r="R197">
        <f t="shared" si="14"/>
        <v>13.028452617954414</v>
      </c>
      <c r="S197">
        <f t="shared" si="15"/>
        <v>13.028452617954414</v>
      </c>
      <c r="AC197" t="s">
        <v>220</v>
      </c>
      <c r="AD197">
        <v>2009</v>
      </c>
      <c r="AE197">
        <v>3.6165307137148075E-3</v>
      </c>
    </row>
    <row r="198" spans="1:31">
      <c r="A198" t="s">
        <v>201</v>
      </c>
      <c r="B198">
        <v>2009</v>
      </c>
      <c r="C198">
        <v>4.6943083048877638E-3</v>
      </c>
      <c r="D198">
        <v>15.610253239652524</v>
      </c>
      <c r="J198" s="1">
        <f t="shared" si="12"/>
        <v>4.6943083048877638E-3</v>
      </c>
      <c r="K198" s="1">
        <f t="shared" si="13"/>
        <v>4.6943083048877638E-3</v>
      </c>
      <c r="R198">
        <f t="shared" si="14"/>
        <v>15.610253239652524</v>
      </c>
      <c r="S198">
        <f t="shared" si="15"/>
        <v>15.610253239652524</v>
      </c>
      <c r="AC198" t="s">
        <v>221</v>
      </c>
      <c r="AD198">
        <v>2009</v>
      </c>
      <c r="AE198">
        <v>2.7325513340387863E-2</v>
      </c>
    </row>
    <row r="199" spans="1:31">
      <c r="A199" t="s">
        <v>202</v>
      </c>
      <c r="B199">
        <v>2009</v>
      </c>
      <c r="C199">
        <v>5.708682334949531E-2</v>
      </c>
      <c r="D199">
        <v>15.1106124498613</v>
      </c>
      <c r="J199" s="1">
        <f t="shared" si="12"/>
        <v>5.708682334949531E-2</v>
      </c>
      <c r="K199" s="1">
        <f t="shared" si="13"/>
        <v>5.708682334949531E-2</v>
      </c>
      <c r="R199">
        <f t="shared" si="14"/>
        <v>15.1106124498613</v>
      </c>
      <c r="S199">
        <f t="shared" si="15"/>
        <v>15.1106124498613</v>
      </c>
      <c r="AC199" t="s">
        <v>222</v>
      </c>
      <c r="AD199">
        <v>2009</v>
      </c>
      <c r="AE199">
        <v>3.8943389144189288E-3</v>
      </c>
    </row>
    <row r="200" spans="1:31">
      <c r="A200" t="s">
        <v>203</v>
      </c>
      <c r="B200">
        <v>2009</v>
      </c>
      <c r="C200">
        <v>1.0384273966178531E-3</v>
      </c>
      <c r="D200">
        <v>12.788941683143864</v>
      </c>
      <c r="J200" s="1">
        <f t="shared" si="12"/>
        <v>1.0384273966178531E-3</v>
      </c>
      <c r="K200" s="1">
        <f t="shared" si="13"/>
        <v>1.0384273966178531E-3</v>
      </c>
      <c r="R200">
        <f t="shared" si="14"/>
        <v>12.788941683143864</v>
      </c>
      <c r="S200">
        <f t="shared" si="15"/>
        <v>12.788941683143864</v>
      </c>
      <c r="AC200" t="s">
        <v>223</v>
      </c>
      <c r="AD200">
        <v>2009</v>
      </c>
      <c r="AE200">
        <v>1.5394868093826146E-2</v>
      </c>
    </row>
    <row r="201" spans="1:31">
      <c r="A201" t="s">
        <v>204</v>
      </c>
      <c r="B201">
        <v>2009</v>
      </c>
      <c r="C201">
        <v>2.4493997460651461E-2</v>
      </c>
      <c r="D201">
        <v>15.035597725707316</v>
      </c>
      <c r="J201" s="1">
        <f t="shared" si="12"/>
        <v>2.4493997460651461E-2</v>
      </c>
      <c r="K201" s="1">
        <f t="shared" si="13"/>
        <v>2.4493997460651461E-2</v>
      </c>
      <c r="R201">
        <f t="shared" si="14"/>
        <v>15.035597725707316</v>
      </c>
      <c r="S201">
        <f t="shared" si="15"/>
        <v>15.035597725707316</v>
      </c>
      <c r="AC201" t="s">
        <v>224</v>
      </c>
      <c r="AD201">
        <v>2009</v>
      </c>
      <c r="AE201">
        <v>1.2339887243403597E-2</v>
      </c>
    </row>
    <row r="202" spans="1:31">
      <c r="A202" t="s">
        <v>206</v>
      </c>
      <c r="B202">
        <v>2009</v>
      </c>
      <c r="C202">
        <v>5.7842336801767813E-2</v>
      </c>
      <c r="D202">
        <v>16.152451666016539</v>
      </c>
      <c r="J202" s="1">
        <f t="shared" si="12"/>
        <v>5.7842336801767813E-2</v>
      </c>
      <c r="K202" s="1">
        <f t="shared" si="13"/>
        <v>5.7842336801767813E-2</v>
      </c>
      <c r="R202">
        <f t="shared" si="14"/>
        <v>16.152451666016539</v>
      </c>
      <c r="S202">
        <f t="shared" si="15"/>
        <v>16.152451666016539</v>
      </c>
      <c r="AC202" t="s">
        <v>225</v>
      </c>
      <c r="AD202">
        <v>2009</v>
      </c>
      <c r="AE202">
        <v>8.1313638965640027E-3</v>
      </c>
    </row>
    <row r="203" spans="1:31">
      <c r="A203" t="s">
        <v>207</v>
      </c>
      <c r="B203">
        <v>2009</v>
      </c>
      <c r="C203">
        <v>2.2567414750510568E-2</v>
      </c>
      <c r="D203">
        <v>15.083826239290715</v>
      </c>
      <c r="J203" s="1">
        <f t="shared" si="12"/>
        <v>2.2567414750510568E-2</v>
      </c>
      <c r="K203" s="1">
        <f t="shared" si="13"/>
        <v>2.2567414750510568E-2</v>
      </c>
      <c r="R203">
        <f t="shared" si="14"/>
        <v>15.083826239290715</v>
      </c>
      <c r="S203">
        <f t="shared" si="15"/>
        <v>15.083826239290715</v>
      </c>
      <c r="AC203" t="s">
        <v>226</v>
      </c>
      <c r="AD203">
        <v>2009</v>
      </c>
      <c r="AE203">
        <v>2.5960932886967755E-2</v>
      </c>
    </row>
    <row r="204" spans="1:31">
      <c r="A204" t="s">
        <v>227</v>
      </c>
      <c r="B204">
        <v>2009</v>
      </c>
      <c r="C204">
        <v>0.12030684200495521</v>
      </c>
      <c r="D204">
        <v>12.031147666486438</v>
      </c>
      <c r="J204" s="1" t="str">
        <f t="shared" si="12"/>
        <v>out</v>
      </c>
      <c r="K204" s="1" t="str">
        <f t="shared" si="13"/>
        <v>out</v>
      </c>
      <c r="R204">
        <f t="shared" si="14"/>
        <v>12.031147666486438</v>
      </c>
      <c r="S204">
        <f t="shared" si="15"/>
        <v>12.031147666486438</v>
      </c>
      <c r="AC204" t="s">
        <v>228</v>
      </c>
      <c r="AD204">
        <v>2009</v>
      </c>
      <c r="AE204">
        <v>7.7283640654703875E-3</v>
      </c>
    </row>
    <row r="205" spans="1:31">
      <c r="A205" t="s">
        <v>229</v>
      </c>
      <c r="B205">
        <v>2009</v>
      </c>
      <c r="C205">
        <v>0.17138702239245404</v>
      </c>
      <c r="D205">
        <v>13.496478159450053</v>
      </c>
      <c r="J205" s="1" t="str">
        <f t="shared" si="12"/>
        <v>out</v>
      </c>
      <c r="K205" s="1" t="str">
        <f t="shared" si="13"/>
        <v>out</v>
      </c>
      <c r="R205">
        <f t="shared" si="14"/>
        <v>13.496478159450053</v>
      </c>
      <c r="S205">
        <f t="shared" si="15"/>
        <v>13.496478159450053</v>
      </c>
      <c r="AC205" t="s">
        <v>230</v>
      </c>
      <c r="AD205">
        <v>2009</v>
      </c>
      <c r="AE205">
        <v>2.3557786781319128E-2</v>
      </c>
    </row>
    <row r="206" spans="1:31">
      <c r="A206" t="s">
        <v>231</v>
      </c>
      <c r="B206">
        <v>2009</v>
      </c>
      <c r="C206">
        <v>0.12503239372527625</v>
      </c>
      <c r="D206">
        <v>15.757527567146838</v>
      </c>
      <c r="J206" s="1" t="str">
        <f t="shared" si="12"/>
        <v>out</v>
      </c>
      <c r="K206" s="1" t="str">
        <f t="shared" si="13"/>
        <v>out</v>
      </c>
      <c r="R206">
        <f t="shared" si="14"/>
        <v>15.757527567146838</v>
      </c>
      <c r="S206">
        <f t="shared" si="15"/>
        <v>15.757527567146838</v>
      </c>
      <c r="AC206" t="s">
        <v>232</v>
      </c>
      <c r="AD206">
        <v>2009</v>
      </c>
      <c r="AE206">
        <v>3.1980059369077767E-2</v>
      </c>
    </row>
    <row r="207" spans="1:31">
      <c r="A207" t="s">
        <v>208</v>
      </c>
      <c r="B207">
        <v>2009</v>
      </c>
      <c r="C207">
        <v>1.2276759625049673E-2</v>
      </c>
      <c r="D207">
        <v>17.443724514426371</v>
      </c>
      <c r="J207" s="1">
        <f t="shared" si="12"/>
        <v>1.2276759625049673E-2</v>
      </c>
      <c r="K207" s="1">
        <f t="shared" si="13"/>
        <v>1.2276759625049673E-2</v>
      </c>
      <c r="R207">
        <f t="shared" si="14"/>
        <v>17.443724514426371</v>
      </c>
      <c r="S207">
        <f t="shared" si="15"/>
        <v>17.443724514426371</v>
      </c>
      <c r="AC207" t="s">
        <v>233</v>
      </c>
      <c r="AD207">
        <v>2009</v>
      </c>
      <c r="AE207">
        <v>1.6783832077308079E-3</v>
      </c>
    </row>
    <row r="208" spans="1:31">
      <c r="A208" t="s">
        <v>209</v>
      </c>
      <c r="B208">
        <v>2009</v>
      </c>
      <c r="C208">
        <v>1.2794112376699954E-2</v>
      </c>
      <c r="D208">
        <v>15.372287925960839</v>
      </c>
      <c r="J208" s="1">
        <f t="shared" si="12"/>
        <v>1.2794112376699954E-2</v>
      </c>
      <c r="K208" s="1">
        <f t="shared" si="13"/>
        <v>1.2794112376699954E-2</v>
      </c>
      <c r="R208">
        <f t="shared" si="14"/>
        <v>15.372287925960839</v>
      </c>
      <c r="S208">
        <f t="shared" si="15"/>
        <v>15.372287925960839</v>
      </c>
      <c r="AC208" t="s">
        <v>234</v>
      </c>
      <c r="AD208">
        <v>2009</v>
      </c>
      <c r="AE208">
        <v>1.7553899581187762E-2</v>
      </c>
    </row>
    <row r="209" spans="1:31">
      <c r="A209" t="s">
        <v>210</v>
      </c>
      <c r="B209">
        <v>2009</v>
      </c>
      <c r="C209">
        <v>5.9500172472857753E-3</v>
      </c>
      <c r="D209">
        <v>17.596690485438316</v>
      </c>
      <c r="J209" s="1">
        <f t="shared" si="12"/>
        <v>5.9500172472857753E-3</v>
      </c>
      <c r="K209" s="1">
        <f t="shared" si="13"/>
        <v>5.9500172472857753E-3</v>
      </c>
      <c r="R209">
        <f t="shared" si="14"/>
        <v>17.596690485438316</v>
      </c>
      <c r="S209">
        <f t="shared" si="15"/>
        <v>17.596690485438316</v>
      </c>
      <c r="AC209" t="s">
        <v>235</v>
      </c>
      <c r="AD209">
        <v>2009</v>
      </c>
      <c r="AE209">
        <v>5.0169201544828972E-3</v>
      </c>
    </row>
    <row r="210" spans="1:31">
      <c r="A210" t="s">
        <v>211</v>
      </c>
      <c r="B210">
        <v>2009</v>
      </c>
      <c r="C210">
        <v>4.8115794037458469E-4</v>
      </c>
      <c r="D210">
        <v>15.30927697886278</v>
      </c>
      <c r="J210" s="1">
        <f t="shared" si="12"/>
        <v>4.8115794037458469E-4</v>
      </c>
      <c r="K210" s="1">
        <f t="shared" si="13"/>
        <v>4.8115794037458469E-4</v>
      </c>
      <c r="R210">
        <f t="shared" si="14"/>
        <v>15.30927697886278</v>
      </c>
      <c r="S210">
        <f t="shared" si="15"/>
        <v>15.30927697886278</v>
      </c>
      <c r="AC210" t="s">
        <v>236</v>
      </c>
      <c r="AD210">
        <v>2009</v>
      </c>
      <c r="AE210">
        <v>2.3959970797771006E-2</v>
      </c>
    </row>
    <row r="211" spans="1:31">
      <c r="A211" t="s">
        <v>212</v>
      </c>
      <c r="B211">
        <v>2009</v>
      </c>
      <c r="C211">
        <v>1.2511757071957648E-3</v>
      </c>
      <c r="D211">
        <v>14.943905895573417</v>
      </c>
      <c r="J211" s="1">
        <f t="shared" si="12"/>
        <v>1.2511757071957648E-3</v>
      </c>
      <c r="K211" s="1">
        <f t="shared" si="13"/>
        <v>1.2511757071957648E-3</v>
      </c>
      <c r="R211">
        <f t="shared" si="14"/>
        <v>14.943905895573417</v>
      </c>
      <c r="S211">
        <f t="shared" si="15"/>
        <v>14.943905895573417</v>
      </c>
      <c r="AC211" t="s">
        <v>237</v>
      </c>
      <c r="AD211">
        <v>2009</v>
      </c>
      <c r="AE211">
        <v>3.6884312821289893E-2</v>
      </c>
    </row>
    <row r="212" spans="1:31">
      <c r="A212" t="s">
        <v>213</v>
      </c>
      <c r="B212">
        <v>2009</v>
      </c>
      <c r="C212">
        <v>5.6634052460919539E-3</v>
      </c>
      <c r="D212">
        <v>16.888052194485176</v>
      </c>
      <c r="J212" s="1">
        <f t="shared" si="12"/>
        <v>5.6634052460919539E-3</v>
      </c>
      <c r="K212" s="1">
        <f t="shared" si="13"/>
        <v>5.6634052460919539E-3</v>
      </c>
      <c r="R212">
        <f t="shared" si="14"/>
        <v>16.888052194485176</v>
      </c>
      <c r="S212">
        <f t="shared" si="15"/>
        <v>16.888052194485176</v>
      </c>
      <c r="AC212" t="s">
        <v>238</v>
      </c>
      <c r="AD212">
        <v>2009</v>
      </c>
      <c r="AE212">
        <v>1.1183082818760752E-2</v>
      </c>
    </row>
    <row r="213" spans="1:31">
      <c r="A213" t="s">
        <v>214</v>
      </c>
      <c r="B213">
        <v>2009</v>
      </c>
      <c r="C213">
        <v>8.2039956074886067E-3</v>
      </c>
      <c r="D213">
        <v>16.881072066489086</v>
      </c>
      <c r="J213" s="1">
        <f t="shared" si="12"/>
        <v>8.2039956074886067E-3</v>
      </c>
      <c r="K213" s="1">
        <f t="shared" si="13"/>
        <v>8.2039956074886067E-3</v>
      </c>
      <c r="R213">
        <f t="shared" si="14"/>
        <v>16.881072066489086</v>
      </c>
      <c r="S213">
        <f t="shared" si="15"/>
        <v>16.881072066489086</v>
      </c>
      <c r="AC213" t="s">
        <v>239</v>
      </c>
      <c r="AD213">
        <v>2009</v>
      </c>
      <c r="AE213">
        <v>2.5170499928318348E-2</v>
      </c>
    </row>
    <row r="214" spans="1:31">
      <c r="A214" t="s">
        <v>216</v>
      </c>
      <c r="B214">
        <v>2009</v>
      </c>
      <c r="C214">
        <v>7.5009704495706021E-3</v>
      </c>
      <c r="D214">
        <v>14.772737069884865</v>
      </c>
      <c r="J214" s="1">
        <f t="shared" si="12"/>
        <v>7.5009704495706021E-3</v>
      </c>
      <c r="K214" s="1">
        <f t="shared" si="13"/>
        <v>7.5009704495706021E-3</v>
      </c>
      <c r="R214">
        <f t="shared" si="14"/>
        <v>14.772737069884865</v>
      </c>
      <c r="S214">
        <f t="shared" si="15"/>
        <v>14.772737069884865</v>
      </c>
      <c r="AC214" t="s">
        <v>240</v>
      </c>
      <c r="AD214">
        <v>2009</v>
      </c>
      <c r="AE214">
        <v>2.0606335409624216E-3</v>
      </c>
    </row>
    <row r="215" spans="1:31">
      <c r="A215" t="s">
        <v>218</v>
      </c>
      <c r="B215">
        <v>2009</v>
      </c>
      <c r="C215">
        <v>6.1639044958847157E-3</v>
      </c>
      <c r="D215">
        <v>16.216028388848972</v>
      </c>
      <c r="J215" s="1">
        <f t="shared" si="12"/>
        <v>6.1639044958847157E-3</v>
      </c>
      <c r="K215" s="1">
        <f t="shared" si="13"/>
        <v>6.1639044958847157E-3</v>
      </c>
      <c r="R215">
        <f t="shared" si="14"/>
        <v>16.216028388848972</v>
      </c>
      <c r="S215">
        <f t="shared" si="15"/>
        <v>16.216028388848972</v>
      </c>
      <c r="AC215" t="s">
        <v>241</v>
      </c>
      <c r="AD215">
        <v>2009</v>
      </c>
      <c r="AE215">
        <v>3.2685835588532927E-2</v>
      </c>
    </row>
    <row r="216" spans="1:31">
      <c r="A216" t="s">
        <v>219</v>
      </c>
      <c r="B216">
        <v>2009</v>
      </c>
      <c r="C216">
        <v>3.9850924544695852E-3</v>
      </c>
      <c r="D216">
        <v>15.970163230951105</v>
      </c>
      <c r="J216" s="1">
        <f t="shared" si="12"/>
        <v>3.9850924544695852E-3</v>
      </c>
      <c r="K216" s="1">
        <f t="shared" si="13"/>
        <v>3.9850924544695852E-3</v>
      </c>
      <c r="R216">
        <f t="shared" si="14"/>
        <v>15.970163230951105</v>
      </c>
      <c r="S216">
        <f t="shared" si="15"/>
        <v>15.970163230951105</v>
      </c>
      <c r="AC216" t="s">
        <v>242</v>
      </c>
      <c r="AD216">
        <v>2009</v>
      </c>
      <c r="AE216">
        <v>5.4247589883690849E-2</v>
      </c>
    </row>
    <row r="217" spans="1:31">
      <c r="A217" t="s">
        <v>220</v>
      </c>
      <c r="B217">
        <v>2009</v>
      </c>
      <c r="C217">
        <v>3.6165307137148075E-3</v>
      </c>
      <c r="D217">
        <v>16.796344551227783</v>
      </c>
      <c r="J217" s="1">
        <f t="shared" si="12"/>
        <v>3.6165307137148075E-3</v>
      </c>
      <c r="K217" s="1">
        <f t="shared" si="13"/>
        <v>3.6165307137148075E-3</v>
      </c>
      <c r="R217">
        <f t="shared" si="14"/>
        <v>16.796344551227783</v>
      </c>
      <c r="S217">
        <f t="shared" si="15"/>
        <v>16.796344551227783</v>
      </c>
      <c r="AC217" t="s">
        <v>243</v>
      </c>
      <c r="AD217">
        <v>2009</v>
      </c>
      <c r="AE217">
        <v>3.8642970124252874E-3</v>
      </c>
    </row>
    <row r="218" spans="1:31">
      <c r="A218" t="s">
        <v>221</v>
      </c>
      <c r="B218">
        <v>2009</v>
      </c>
      <c r="C218">
        <v>2.7325513340387863E-2</v>
      </c>
      <c r="D218">
        <v>17.463369091523482</v>
      </c>
      <c r="J218" s="1">
        <f t="shared" si="12"/>
        <v>2.7325513340387863E-2</v>
      </c>
      <c r="K218" s="1">
        <f t="shared" si="13"/>
        <v>2.7325513340387863E-2</v>
      </c>
      <c r="R218">
        <f t="shared" si="14"/>
        <v>17.463369091523482</v>
      </c>
      <c r="S218">
        <f t="shared" si="15"/>
        <v>17.463369091523482</v>
      </c>
      <c r="AC218" t="s">
        <v>244</v>
      </c>
      <c r="AD218">
        <v>2009</v>
      </c>
      <c r="AE218">
        <v>8.5469145489466426E-3</v>
      </c>
    </row>
    <row r="219" spans="1:31">
      <c r="A219" t="s">
        <v>222</v>
      </c>
      <c r="B219">
        <v>2009</v>
      </c>
      <c r="C219">
        <v>3.8943389144189288E-3</v>
      </c>
      <c r="D219">
        <v>17.060476574451712</v>
      </c>
      <c r="J219" s="1">
        <f t="shared" si="12"/>
        <v>3.8943389144189288E-3</v>
      </c>
      <c r="K219" s="1">
        <f t="shared" si="13"/>
        <v>3.8943389144189288E-3</v>
      </c>
      <c r="R219">
        <f t="shared" si="14"/>
        <v>17.060476574451712</v>
      </c>
      <c r="S219">
        <f t="shared" si="15"/>
        <v>17.060476574451712</v>
      </c>
      <c r="AC219" t="s">
        <v>245</v>
      </c>
      <c r="AD219">
        <v>2009</v>
      </c>
      <c r="AE219">
        <v>4.4298278276787362E-3</v>
      </c>
    </row>
    <row r="220" spans="1:31">
      <c r="A220" t="s">
        <v>223</v>
      </c>
      <c r="B220">
        <v>2009</v>
      </c>
      <c r="C220">
        <v>1.5394868093826146E-2</v>
      </c>
      <c r="D220">
        <v>16.152278116507336</v>
      </c>
      <c r="J220" s="1">
        <f t="shared" si="12"/>
        <v>1.5394868093826146E-2</v>
      </c>
      <c r="K220" s="1">
        <f t="shared" si="13"/>
        <v>1.5394868093826146E-2</v>
      </c>
      <c r="R220">
        <f t="shared" si="14"/>
        <v>16.152278116507336</v>
      </c>
      <c r="S220">
        <f t="shared" si="15"/>
        <v>16.152278116507336</v>
      </c>
      <c r="AC220" t="s">
        <v>246</v>
      </c>
      <c r="AD220">
        <v>2009</v>
      </c>
      <c r="AE220">
        <v>6.6770844080214871E-3</v>
      </c>
    </row>
    <row r="221" spans="1:31">
      <c r="A221" t="s">
        <v>224</v>
      </c>
      <c r="B221">
        <v>2009</v>
      </c>
      <c r="C221">
        <v>1.2339887243403597E-2</v>
      </c>
      <c r="D221">
        <v>14.84316912536401</v>
      </c>
      <c r="J221" s="1">
        <f t="shared" si="12"/>
        <v>1.2339887243403597E-2</v>
      </c>
      <c r="K221" s="1">
        <f t="shared" si="13"/>
        <v>1.2339887243403597E-2</v>
      </c>
      <c r="R221">
        <f t="shared" si="14"/>
        <v>14.84316912536401</v>
      </c>
      <c r="S221">
        <f t="shared" si="15"/>
        <v>14.84316912536401</v>
      </c>
      <c r="AC221" t="s">
        <v>247</v>
      </c>
      <c r="AD221">
        <v>2009</v>
      </c>
      <c r="AE221">
        <v>2.2325773961714635E-2</v>
      </c>
    </row>
    <row r="222" spans="1:31">
      <c r="A222" t="s">
        <v>225</v>
      </c>
      <c r="B222">
        <v>2009</v>
      </c>
      <c r="C222">
        <v>8.1313638965640027E-3</v>
      </c>
      <c r="D222">
        <v>13.002935489720246</v>
      </c>
      <c r="J222" s="1">
        <f t="shared" si="12"/>
        <v>8.1313638965640027E-3</v>
      </c>
      <c r="K222" s="1">
        <f t="shared" si="13"/>
        <v>8.1313638965640027E-3</v>
      </c>
      <c r="R222">
        <f t="shared" si="14"/>
        <v>13.002935489720246</v>
      </c>
      <c r="S222">
        <f t="shared" si="15"/>
        <v>13.002935489720246</v>
      </c>
      <c r="AC222" t="s">
        <v>248</v>
      </c>
      <c r="AD222">
        <v>2009</v>
      </c>
      <c r="AE222">
        <v>1.5332132316301891E-4</v>
      </c>
    </row>
    <row r="223" spans="1:31">
      <c r="A223" t="s">
        <v>226</v>
      </c>
      <c r="B223">
        <v>2009</v>
      </c>
      <c r="C223">
        <v>2.5960932886967755E-2</v>
      </c>
      <c r="D223">
        <v>15.555183611349548</v>
      </c>
      <c r="J223" s="1">
        <f t="shared" si="12"/>
        <v>2.5960932886967755E-2</v>
      </c>
      <c r="K223" s="1">
        <f t="shared" si="13"/>
        <v>2.5960932886967755E-2</v>
      </c>
      <c r="R223">
        <f t="shared" si="14"/>
        <v>15.555183611349548</v>
      </c>
      <c r="S223">
        <f t="shared" si="15"/>
        <v>15.555183611349548</v>
      </c>
      <c r="AC223" t="s">
        <v>249</v>
      </c>
      <c r="AD223">
        <v>2009</v>
      </c>
      <c r="AE223">
        <v>7.0655410918580592E-3</v>
      </c>
    </row>
    <row r="224" spans="1:31">
      <c r="A224" t="s">
        <v>228</v>
      </c>
      <c r="B224">
        <v>2009</v>
      </c>
      <c r="C224">
        <v>7.7283640654703875E-3</v>
      </c>
      <c r="D224">
        <v>14.037260338430995</v>
      </c>
      <c r="J224" s="1">
        <f t="shared" si="12"/>
        <v>7.7283640654703875E-3</v>
      </c>
      <c r="K224" s="1">
        <f t="shared" si="13"/>
        <v>7.7283640654703875E-3</v>
      </c>
      <c r="R224">
        <f t="shared" si="14"/>
        <v>14.037260338430995</v>
      </c>
      <c r="S224">
        <f t="shared" si="15"/>
        <v>14.037260338430995</v>
      </c>
      <c r="AC224" t="s">
        <v>250</v>
      </c>
      <c r="AD224">
        <v>2009</v>
      </c>
      <c r="AE224">
        <v>4.8645505421286944E-4</v>
      </c>
    </row>
    <row r="225" spans="1:31">
      <c r="A225" t="s">
        <v>251</v>
      </c>
      <c r="B225">
        <v>2009</v>
      </c>
      <c r="C225">
        <v>0.13499982949354797</v>
      </c>
      <c r="D225">
        <v>14.329226600442512</v>
      </c>
      <c r="J225" s="1" t="str">
        <f t="shared" si="12"/>
        <v>out</v>
      </c>
      <c r="K225" s="1" t="str">
        <f t="shared" si="13"/>
        <v>out</v>
      </c>
      <c r="R225">
        <f t="shared" si="14"/>
        <v>14.329226600442512</v>
      </c>
      <c r="S225">
        <f t="shared" si="15"/>
        <v>14.329226600442512</v>
      </c>
      <c r="AC225" t="s">
        <v>252</v>
      </c>
      <c r="AD225">
        <v>2009</v>
      </c>
      <c r="AE225">
        <v>1.0745458322405315E-2</v>
      </c>
    </row>
    <row r="226" spans="1:31">
      <c r="A226" t="s">
        <v>253</v>
      </c>
      <c r="B226">
        <v>2009</v>
      </c>
      <c r="C226">
        <v>0.47725728460190137</v>
      </c>
      <c r="D226">
        <v>15.814375113852769</v>
      </c>
      <c r="J226" s="1" t="str">
        <f t="shared" si="12"/>
        <v>out</v>
      </c>
      <c r="K226" s="1" t="str">
        <f t="shared" si="13"/>
        <v>out</v>
      </c>
      <c r="R226">
        <f t="shared" si="14"/>
        <v>15.814375113852769</v>
      </c>
      <c r="S226">
        <f t="shared" si="15"/>
        <v>15.814375113852769</v>
      </c>
      <c r="AC226" t="s">
        <v>254</v>
      </c>
      <c r="AD226">
        <v>2009</v>
      </c>
      <c r="AE226">
        <v>1.4690852676173996E-2</v>
      </c>
    </row>
    <row r="227" spans="1:31">
      <c r="A227" t="s">
        <v>230</v>
      </c>
      <c r="B227">
        <v>2009</v>
      </c>
      <c r="C227">
        <v>2.3557786781319128E-2</v>
      </c>
      <c r="D227">
        <v>14.019618883454459</v>
      </c>
      <c r="J227" s="1">
        <f t="shared" si="12"/>
        <v>2.3557786781319128E-2</v>
      </c>
      <c r="K227" s="1">
        <f t="shared" si="13"/>
        <v>2.3557786781319128E-2</v>
      </c>
      <c r="R227">
        <f t="shared" si="14"/>
        <v>14.019618883454459</v>
      </c>
      <c r="S227">
        <f t="shared" si="15"/>
        <v>14.019618883454459</v>
      </c>
      <c r="AC227" t="s">
        <v>255</v>
      </c>
      <c r="AD227">
        <v>2009</v>
      </c>
      <c r="AE227">
        <v>1.1265871942839501E-2</v>
      </c>
    </row>
    <row r="228" spans="1:31">
      <c r="A228" t="s">
        <v>256</v>
      </c>
      <c r="B228">
        <v>2009</v>
      </c>
      <c r="C228">
        <v>8.6228955622219342E-2</v>
      </c>
      <c r="D228">
        <v>15.814372675047144</v>
      </c>
      <c r="J228" s="1" t="str">
        <f t="shared" si="12"/>
        <v>out</v>
      </c>
      <c r="K228" s="1" t="str">
        <f t="shared" si="13"/>
        <v>out</v>
      </c>
      <c r="R228">
        <f t="shared" si="14"/>
        <v>15.814372675047144</v>
      </c>
      <c r="S228">
        <f t="shared" si="15"/>
        <v>15.814372675047144</v>
      </c>
      <c r="AC228" t="s">
        <v>257</v>
      </c>
      <c r="AD228">
        <v>2009</v>
      </c>
      <c r="AE228">
        <v>5.1324550679221717E-2</v>
      </c>
    </row>
    <row r="229" spans="1:31">
      <c r="A229" t="s">
        <v>232</v>
      </c>
      <c r="B229">
        <v>2009</v>
      </c>
      <c r="C229">
        <v>3.1980059369077767E-2</v>
      </c>
      <c r="D229">
        <v>13.76845249284481</v>
      </c>
      <c r="J229" s="1">
        <f t="shared" si="12"/>
        <v>3.1980059369077767E-2</v>
      </c>
      <c r="K229" s="1">
        <f t="shared" si="13"/>
        <v>3.1980059369077767E-2</v>
      </c>
      <c r="R229">
        <f t="shared" si="14"/>
        <v>13.76845249284481</v>
      </c>
      <c r="S229">
        <f t="shared" si="15"/>
        <v>13.76845249284481</v>
      </c>
      <c r="AC229" t="s">
        <v>258</v>
      </c>
      <c r="AD229">
        <v>2009</v>
      </c>
      <c r="AE229">
        <v>9.1282072948029058E-4</v>
      </c>
    </row>
    <row r="230" spans="1:31">
      <c r="A230" t="s">
        <v>233</v>
      </c>
      <c r="B230">
        <v>2009</v>
      </c>
      <c r="C230">
        <v>1.6783832077308079E-3</v>
      </c>
      <c r="D230">
        <v>12.712489565226406</v>
      </c>
      <c r="J230" s="1">
        <f t="shared" si="12"/>
        <v>1.6783832077308079E-3</v>
      </c>
      <c r="K230" s="1">
        <f t="shared" si="13"/>
        <v>1.6783832077308079E-3</v>
      </c>
      <c r="R230">
        <f t="shared" si="14"/>
        <v>12.712489565226406</v>
      </c>
      <c r="S230">
        <f t="shared" si="15"/>
        <v>12.712489565226406</v>
      </c>
      <c r="AC230" t="s">
        <v>259</v>
      </c>
      <c r="AD230">
        <v>2009</v>
      </c>
      <c r="AE230">
        <v>1.4747625085811955E-2</v>
      </c>
    </row>
    <row r="231" spans="1:31">
      <c r="A231" t="s">
        <v>234</v>
      </c>
      <c r="B231">
        <v>2009</v>
      </c>
      <c r="C231">
        <v>1.7553899581187762E-2</v>
      </c>
      <c r="D231">
        <v>13.70421356736713</v>
      </c>
      <c r="J231" s="1">
        <f t="shared" si="12"/>
        <v>1.7553899581187762E-2</v>
      </c>
      <c r="K231" s="1">
        <f t="shared" si="13"/>
        <v>1.7553899581187762E-2</v>
      </c>
      <c r="R231">
        <f t="shared" si="14"/>
        <v>13.70421356736713</v>
      </c>
      <c r="S231">
        <f t="shared" si="15"/>
        <v>13.70421356736713</v>
      </c>
      <c r="AC231" t="s">
        <v>260</v>
      </c>
      <c r="AD231">
        <v>2009</v>
      </c>
      <c r="AE231">
        <v>1.6695822432911154E-2</v>
      </c>
    </row>
    <row r="232" spans="1:31">
      <c r="A232" t="s">
        <v>235</v>
      </c>
      <c r="B232">
        <v>2009</v>
      </c>
      <c r="C232">
        <v>5.0169201544828972E-3</v>
      </c>
      <c r="D232">
        <v>13.991449287789006</v>
      </c>
      <c r="J232" s="1">
        <f t="shared" si="12"/>
        <v>5.0169201544828972E-3</v>
      </c>
      <c r="K232" s="1">
        <f t="shared" si="13"/>
        <v>5.0169201544828972E-3</v>
      </c>
      <c r="R232">
        <f t="shared" si="14"/>
        <v>13.991449287789006</v>
      </c>
      <c r="S232">
        <f t="shared" si="15"/>
        <v>13.991449287789006</v>
      </c>
      <c r="AC232" t="s">
        <v>261</v>
      </c>
      <c r="AD232">
        <v>2009</v>
      </c>
      <c r="AE232">
        <v>1.8792120483288006E-2</v>
      </c>
    </row>
    <row r="233" spans="1:31">
      <c r="A233" t="s">
        <v>236</v>
      </c>
      <c r="B233">
        <v>2009</v>
      </c>
      <c r="C233">
        <v>2.3959970797771006E-2</v>
      </c>
      <c r="D233">
        <v>15.318902608833573</v>
      </c>
      <c r="J233" s="1">
        <f t="shared" si="12"/>
        <v>2.3959970797771006E-2</v>
      </c>
      <c r="K233" s="1">
        <f t="shared" si="13"/>
        <v>2.3959970797771006E-2</v>
      </c>
      <c r="R233">
        <f t="shared" si="14"/>
        <v>15.318902608833573</v>
      </c>
      <c r="S233">
        <f t="shared" si="15"/>
        <v>15.318902608833573</v>
      </c>
      <c r="AC233" t="s">
        <v>262</v>
      </c>
      <c r="AD233">
        <v>2009</v>
      </c>
      <c r="AE233">
        <v>2.5840313168230104E-2</v>
      </c>
    </row>
    <row r="234" spans="1:31">
      <c r="A234" t="s">
        <v>263</v>
      </c>
      <c r="B234">
        <v>2009</v>
      </c>
      <c r="C234">
        <v>0.11523151232920567</v>
      </c>
      <c r="D234">
        <v>14.526785925511664</v>
      </c>
      <c r="J234" s="1" t="str">
        <f t="shared" si="12"/>
        <v>out</v>
      </c>
      <c r="K234" s="1" t="str">
        <f t="shared" si="13"/>
        <v>out</v>
      </c>
      <c r="R234">
        <f t="shared" si="14"/>
        <v>14.526785925511664</v>
      </c>
      <c r="S234">
        <f t="shared" si="15"/>
        <v>14.526785925511664</v>
      </c>
      <c r="AC234" t="s">
        <v>264</v>
      </c>
      <c r="AD234">
        <v>2009</v>
      </c>
      <c r="AE234">
        <v>2.9530868627842505E-2</v>
      </c>
    </row>
    <row r="235" spans="1:31">
      <c r="A235" t="s">
        <v>237</v>
      </c>
      <c r="B235">
        <v>2009</v>
      </c>
      <c r="C235">
        <v>3.6884312821289893E-2</v>
      </c>
      <c r="D235">
        <v>15.193328848475129</v>
      </c>
      <c r="J235" s="1">
        <f t="shared" si="12"/>
        <v>3.6884312821289893E-2</v>
      </c>
      <c r="K235" s="1">
        <f t="shared" si="13"/>
        <v>3.6884312821289893E-2</v>
      </c>
      <c r="R235">
        <f t="shared" si="14"/>
        <v>15.193328848475129</v>
      </c>
      <c r="S235">
        <f t="shared" si="15"/>
        <v>15.193328848475129</v>
      </c>
      <c r="AC235" t="s">
        <v>265</v>
      </c>
      <c r="AD235">
        <v>2009</v>
      </c>
      <c r="AE235">
        <v>5.9343133602464111E-4</v>
      </c>
    </row>
    <row r="236" spans="1:31">
      <c r="A236" t="s">
        <v>238</v>
      </c>
      <c r="B236">
        <v>2009</v>
      </c>
      <c r="C236">
        <v>1.1183082818760752E-2</v>
      </c>
      <c r="D236">
        <v>14.469626327452168</v>
      </c>
      <c r="J236" s="1">
        <f t="shared" si="12"/>
        <v>1.1183082818760752E-2</v>
      </c>
      <c r="K236" s="1">
        <f t="shared" si="13"/>
        <v>1.1183082818760752E-2</v>
      </c>
      <c r="R236">
        <f t="shared" si="14"/>
        <v>14.469626327452168</v>
      </c>
      <c r="S236">
        <f t="shared" si="15"/>
        <v>14.469626327452168</v>
      </c>
      <c r="AC236" t="s">
        <v>266</v>
      </c>
      <c r="AD236">
        <v>2009</v>
      </c>
      <c r="AE236">
        <v>3.51953420933908E-2</v>
      </c>
    </row>
    <row r="237" spans="1:31">
      <c r="A237" t="s">
        <v>239</v>
      </c>
      <c r="B237">
        <v>2009</v>
      </c>
      <c r="C237">
        <v>2.5170499928318348E-2</v>
      </c>
      <c r="D237">
        <v>12.741948866582856</v>
      </c>
      <c r="J237" s="1">
        <f t="shared" si="12"/>
        <v>2.5170499928318348E-2</v>
      </c>
      <c r="K237" s="1">
        <f t="shared" si="13"/>
        <v>2.5170499928318348E-2</v>
      </c>
      <c r="R237">
        <f t="shared" si="14"/>
        <v>12.741948866582856</v>
      </c>
      <c r="S237">
        <f t="shared" si="15"/>
        <v>12.741948866582856</v>
      </c>
      <c r="AC237" t="s">
        <v>267</v>
      </c>
      <c r="AD237">
        <v>2009</v>
      </c>
      <c r="AE237">
        <v>2.0126914309201129E-2</v>
      </c>
    </row>
    <row r="238" spans="1:31">
      <c r="A238" t="s">
        <v>240</v>
      </c>
      <c r="B238">
        <v>2009</v>
      </c>
      <c r="C238">
        <v>2.0606335409624216E-3</v>
      </c>
      <c r="D238">
        <v>16.11228761693534</v>
      </c>
      <c r="J238" s="1">
        <f t="shared" si="12"/>
        <v>2.0606335409624216E-3</v>
      </c>
      <c r="K238" s="1">
        <f t="shared" si="13"/>
        <v>2.0606335409624216E-3</v>
      </c>
      <c r="R238">
        <f t="shared" si="14"/>
        <v>16.11228761693534</v>
      </c>
      <c r="S238">
        <f t="shared" si="15"/>
        <v>16.11228761693534</v>
      </c>
      <c r="AC238" t="s">
        <v>268</v>
      </c>
      <c r="AD238">
        <v>2009</v>
      </c>
      <c r="AE238">
        <v>1.0699029277854571E-2</v>
      </c>
    </row>
    <row r="239" spans="1:31">
      <c r="A239" t="s">
        <v>269</v>
      </c>
      <c r="B239">
        <v>2009</v>
      </c>
      <c r="C239">
        <v>0.47043364579179359</v>
      </c>
      <c r="D239">
        <v>16.844944641580252</v>
      </c>
      <c r="J239" s="1" t="str">
        <f t="shared" si="12"/>
        <v>out</v>
      </c>
      <c r="K239" s="1" t="str">
        <f t="shared" si="13"/>
        <v>out</v>
      </c>
      <c r="R239">
        <f t="shared" si="14"/>
        <v>16.844944641580252</v>
      </c>
      <c r="S239">
        <f t="shared" si="15"/>
        <v>16.844944641580252</v>
      </c>
      <c r="AC239" t="s">
        <v>270</v>
      </c>
      <c r="AD239">
        <v>2009</v>
      </c>
      <c r="AE239">
        <v>5.3743979783058542E-3</v>
      </c>
    </row>
    <row r="240" spans="1:31">
      <c r="A240" t="s">
        <v>271</v>
      </c>
      <c r="B240">
        <v>2009</v>
      </c>
      <c r="C240">
        <v>0.14457359622831462</v>
      </c>
      <c r="D240">
        <v>15.760109419085801</v>
      </c>
      <c r="J240" s="1" t="str">
        <f t="shared" si="12"/>
        <v>out</v>
      </c>
      <c r="K240" s="1" t="str">
        <f t="shared" si="13"/>
        <v>out</v>
      </c>
      <c r="R240">
        <f t="shared" si="14"/>
        <v>15.760109419085801</v>
      </c>
      <c r="S240">
        <f t="shared" si="15"/>
        <v>15.760109419085801</v>
      </c>
      <c r="AC240" t="s">
        <v>272</v>
      </c>
      <c r="AD240">
        <v>2009</v>
      </c>
      <c r="AE240">
        <v>2.2146792245522854E-3</v>
      </c>
    </row>
    <row r="241" spans="1:31">
      <c r="A241" t="s">
        <v>273</v>
      </c>
      <c r="B241">
        <v>2009</v>
      </c>
      <c r="C241">
        <v>0.2008198016576371</v>
      </c>
      <c r="D241">
        <v>16.686571161105174</v>
      </c>
      <c r="J241" s="1" t="str">
        <f t="shared" si="12"/>
        <v>out</v>
      </c>
      <c r="K241" s="1" t="str">
        <f t="shared" si="13"/>
        <v>out</v>
      </c>
      <c r="R241">
        <f t="shared" si="14"/>
        <v>16.686571161105174</v>
      </c>
      <c r="S241">
        <f t="shared" si="15"/>
        <v>16.686571161105174</v>
      </c>
      <c r="AC241" t="s">
        <v>274</v>
      </c>
      <c r="AD241">
        <v>2009</v>
      </c>
      <c r="AE241">
        <v>5.7839403968391212E-2</v>
      </c>
    </row>
    <row r="242" spans="1:31">
      <c r="A242" t="s">
        <v>241</v>
      </c>
      <c r="B242">
        <v>2009</v>
      </c>
      <c r="C242">
        <v>3.2685835588532927E-2</v>
      </c>
      <c r="D242">
        <v>13.315865531066088</v>
      </c>
      <c r="J242" s="1">
        <f t="shared" si="12"/>
        <v>3.2685835588532927E-2</v>
      </c>
      <c r="K242" s="1">
        <f t="shared" si="13"/>
        <v>3.2685835588532927E-2</v>
      </c>
      <c r="R242">
        <f t="shared" si="14"/>
        <v>13.315865531066088</v>
      </c>
      <c r="S242">
        <f t="shared" si="15"/>
        <v>13.315865531066088</v>
      </c>
      <c r="AC242" t="s">
        <v>275</v>
      </c>
      <c r="AD242">
        <v>2009</v>
      </c>
      <c r="AE242">
        <v>7.6157862145541516E-2</v>
      </c>
    </row>
    <row r="243" spans="1:31">
      <c r="A243" t="s">
        <v>242</v>
      </c>
      <c r="B243">
        <v>2009</v>
      </c>
      <c r="C243">
        <v>5.4247589883690849E-2</v>
      </c>
      <c r="D243">
        <v>17.328223941348117</v>
      </c>
      <c r="J243" s="1">
        <f t="shared" si="12"/>
        <v>5.4247589883690849E-2</v>
      </c>
      <c r="K243" s="1">
        <f t="shared" si="13"/>
        <v>5.4247589883690849E-2</v>
      </c>
      <c r="R243">
        <f t="shared" si="14"/>
        <v>17.328223941348117</v>
      </c>
      <c r="S243">
        <f t="shared" si="15"/>
        <v>17.328223941348117</v>
      </c>
      <c r="AC243" t="s">
        <v>276</v>
      </c>
      <c r="AD243">
        <v>2009</v>
      </c>
      <c r="AE243">
        <v>1.4381729390979699E-2</v>
      </c>
    </row>
    <row r="244" spans="1:31">
      <c r="A244" t="s">
        <v>243</v>
      </c>
      <c r="B244">
        <v>2009</v>
      </c>
      <c r="C244">
        <v>3.8642970124252874E-3</v>
      </c>
      <c r="D244">
        <v>15.67642755178988</v>
      </c>
      <c r="J244" s="1">
        <f t="shared" si="12"/>
        <v>3.8642970124252874E-3</v>
      </c>
      <c r="K244" s="1">
        <f t="shared" si="13"/>
        <v>3.8642970124252874E-3</v>
      </c>
      <c r="R244">
        <f t="shared" si="14"/>
        <v>15.67642755178988</v>
      </c>
      <c r="S244">
        <f t="shared" si="15"/>
        <v>15.67642755178988</v>
      </c>
      <c r="AC244" t="s">
        <v>277</v>
      </c>
      <c r="AD244">
        <v>2009</v>
      </c>
      <c r="AE244">
        <v>1.8873622225577534E-4</v>
      </c>
    </row>
    <row r="245" spans="1:31">
      <c r="A245" t="s">
        <v>244</v>
      </c>
      <c r="B245">
        <v>2009</v>
      </c>
      <c r="C245">
        <v>8.5469145489466426E-3</v>
      </c>
      <c r="D245">
        <v>18.697825991021681</v>
      </c>
      <c r="J245" s="1">
        <f t="shared" si="12"/>
        <v>8.5469145489466426E-3</v>
      </c>
      <c r="K245" s="1">
        <f t="shared" si="13"/>
        <v>8.5469145489466426E-3</v>
      </c>
      <c r="R245">
        <f t="shared" si="14"/>
        <v>18.697825991021681</v>
      </c>
      <c r="S245">
        <f t="shared" si="15"/>
        <v>18.697825991021681</v>
      </c>
      <c r="AC245" t="s">
        <v>278</v>
      </c>
      <c r="AD245">
        <v>2009</v>
      </c>
      <c r="AE245">
        <v>1.2254959249944422E-2</v>
      </c>
    </row>
    <row r="246" spans="1:31">
      <c r="A246" t="s">
        <v>279</v>
      </c>
      <c r="B246">
        <v>2009</v>
      </c>
      <c r="C246">
        <v>9.5949087920604623E-2</v>
      </c>
      <c r="D246">
        <v>15.750086430383654</v>
      </c>
      <c r="J246" s="1" t="str">
        <f t="shared" si="12"/>
        <v>out</v>
      </c>
      <c r="K246" s="1" t="str">
        <f t="shared" si="13"/>
        <v>out</v>
      </c>
      <c r="R246">
        <f t="shared" si="14"/>
        <v>15.750086430383654</v>
      </c>
      <c r="S246">
        <f t="shared" si="15"/>
        <v>15.750086430383654</v>
      </c>
      <c r="AC246" t="s">
        <v>280</v>
      </c>
      <c r="AD246">
        <v>2009</v>
      </c>
      <c r="AE246">
        <v>2.6181018292315086E-2</v>
      </c>
    </row>
    <row r="247" spans="1:31">
      <c r="A247" t="s">
        <v>245</v>
      </c>
      <c r="B247">
        <v>2009</v>
      </c>
      <c r="C247">
        <v>4.4298278276787362E-3</v>
      </c>
      <c r="D247">
        <v>12.939086964880705</v>
      </c>
      <c r="J247" s="1">
        <f t="shared" si="12"/>
        <v>4.4298278276787362E-3</v>
      </c>
      <c r="K247" s="1">
        <f t="shared" si="13"/>
        <v>4.4298278276787362E-3</v>
      </c>
      <c r="R247">
        <f t="shared" si="14"/>
        <v>12.939086964880705</v>
      </c>
      <c r="S247">
        <f t="shared" si="15"/>
        <v>12.939086964880705</v>
      </c>
      <c r="AC247" t="s">
        <v>281</v>
      </c>
      <c r="AD247">
        <v>2009</v>
      </c>
      <c r="AE247">
        <v>8.6411775065529939E-3</v>
      </c>
    </row>
    <row r="248" spans="1:31">
      <c r="A248" t="s">
        <v>246</v>
      </c>
      <c r="B248">
        <v>2009</v>
      </c>
      <c r="C248">
        <v>6.6770844080214871E-3</v>
      </c>
      <c r="D248">
        <v>17.909175789493521</v>
      </c>
      <c r="J248" s="1">
        <f t="shared" si="12"/>
        <v>6.6770844080214871E-3</v>
      </c>
      <c r="K248" s="1">
        <f t="shared" si="13"/>
        <v>6.6770844080214871E-3</v>
      </c>
      <c r="R248">
        <f t="shared" si="14"/>
        <v>17.909175789493521</v>
      </c>
      <c r="S248">
        <f t="shared" si="15"/>
        <v>17.909175789493521</v>
      </c>
      <c r="AC248" t="s">
        <v>282</v>
      </c>
      <c r="AD248">
        <v>2009</v>
      </c>
      <c r="AE248">
        <v>4.7006545210697741E-2</v>
      </c>
    </row>
    <row r="249" spans="1:31">
      <c r="A249" t="s">
        <v>247</v>
      </c>
      <c r="B249">
        <v>2009</v>
      </c>
      <c r="C249">
        <v>2.2325773961714635E-2</v>
      </c>
      <c r="D249">
        <v>18.997251388242749</v>
      </c>
      <c r="J249" s="1">
        <f t="shared" si="12"/>
        <v>2.2325773961714635E-2</v>
      </c>
      <c r="K249" s="1">
        <f t="shared" si="13"/>
        <v>2.2325773961714635E-2</v>
      </c>
      <c r="R249">
        <f t="shared" si="14"/>
        <v>18.997251388242749</v>
      </c>
      <c r="S249">
        <f t="shared" si="15"/>
        <v>18.997251388242749</v>
      </c>
    </row>
    <row r="250" spans="1:31">
      <c r="A250" t="s">
        <v>248</v>
      </c>
      <c r="B250">
        <v>2009</v>
      </c>
      <c r="C250">
        <v>1.5332132316301891E-4</v>
      </c>
      <c r="D250">
        <v>12.567164321332942</v>
      </c>
      <c r="J250" s="1">
        <f t="shared" si="12"/>
        <v>1.5332132316301891E-4</v>
      </c>
      <c r="K250" s="1">
        <f t="shared" si="13"/>
        <v>1.5332132316301891E-4</v>
      </c>
      <c r="R250">
        <f t="shared" si="14"/>
        <v>12.567164321332942</v>
      </c>
      <c r="S250">
        <f t="shared" si="15"/>
        <v>12.567164321332942</v>
      </c>
    </row>
    <row r="251" spans="1:31">
      <c r="A251" t="s">
        <v>249</v>
      </c>
      <c r="B251">
        <v>2009</v>
      </c>
      <c r="C251">
        <v>7.0655410918580592E-3</v>
      </c>
      <c r="D251">
        <v>15.064124359129023</v>
      </c>
      <c r="J251" s="1">
        <f t="shared" si="12"/>
        <v>7.0655410918580592E-3</v>
      </c>
      <c r="K251" s="1">
        <f t="shared" si="13"/>
        <v>7.0655410918580592E-3</v>
      </c>
      <c r="R251">
        <f t="shared" si="14"/>
        <v>15.064124359129023</v>
      </c>
      <c r="S251">
        <f t="shared" si="15"/>
        <v>15.064124359129023</v>
      </c>
    </row>
    <row r="252" spans="1:31">
      <c r="A252" t="s">
        <v>250</v>
      </c>
      <c r="B252">
        <v>2009</v>
      </c>
      <c r="C252">
        <v>4.8645505421286944E-4</v>
      </c>
      <c r="D252">
        <v>16.039976475443392</v>
      </c>
      <c r="J252" s="1">
        <f t="shared" si="12"/>
        <v>4.8645505421286944E-4</v>
      </c>
      <c r="K252" s="1">
        <f t="shared" si="13"/>
        <v>4.8645505421286944E-4</v>
      </c>
      <c r="R252">
        <f t="shared" si="14"/>
        <v>16.039976475443392</v>
      </c>
      <c r="S252">
        <f t="shared" si="15"/>
        <v>16.039976475443392</v>
      </c>
    </row>
    <row r="253" spans="1:31">
      <c r="A253" t="s">
        <v>252</v>
      </c>
      <c r="B253">
        <v>2009</v>
      </c>
      <c r="C253">
        <v>1.0745458322405315E-2</v>
      </c>
      <c r="D253">
        <v>18.624045677602162</v>
      </c>
      <c r="J253" s="1">
        <f t="shared" si="12"/>
        <v>1.0745458322405315E-2</v>
      </c>
      <c r="K253" s="1">
        <f t="shared" si="13"/>
        <v>1.0745458322405315E-2</v>
      </c>
      <c r="R253">
        <f t="shared" si="14"/>
        <v>18.624045677602162</v>
      </c>
      <c r="S253">
        <f t="shared" si="15"/>
        <v>18.624045677602162</v>
      </c>
    </row>
    <row r="254" spans="1:31">
      <c r="A254" t="s">
        <v>254</v>
      </c>
      <c r="B254">
        <v>2009</v>
      </c>
      <c r="C254">
        <v>1.4690852676173996E-2</v>
      </c>
      <c r="D254">
        <v>18.426205454595067</v>
      </c>
      <c r="J254" s="1">
        <f t="shared" si="12"/>
        <v>1.4690852676173996E-2</v>
      </c>
      <c r="K254" s="1">
        <f t="shared" si="13"/>
        <v>1.4690852676173996E-2</v>
      </c>
      <c r="R254">
        <f t="shared" si="14"/>
        <v>18.426205454595067</v>
      </c>
      <c r="S254">
        <f t="shared" si="15"/>
        <v>18.426205454595067</v>
      </c>
    </row>
    <row r="255" spans="1:31">
      <c r="A255" t="s">
        <v>255</v>
      </c>
      <c r="B255">
        <v>2009</v>
      </c>
      <c r="C255">
        <v>1.1265871942839501E-2</v>
      </c>
      <c r="D255">
        <v>18.335560733564375</v>
      </c>
      <c r="J255" s="1">
        <f t="shared" si="12"/>
        <v>1.1265871942839501E-2</v>
      </c>
      <c r="K255" s="1">
        <f t="shared" si="13"/>
        <v>1.1265871942839501E-2</v>
      </c>
      <c r="R255">
        <f t="shared" si="14"/>
        <v>18.335560733564375</v>
      </c>
      <c r="S255">
        <f t="shared" si="15"/>
        <v>18.335560733564375</v>
      </c>
    </row>
    <row r="256" spans="1:31">
      <c r="A256" t="s">
        <v>283</v>
      </c>
      <c r="B256">
        <v>2009</v>
      </c>
      <c r="C256">
        <v>7.8168703581417961E-2</v>
      </c>
      <c r="D256">
        <v>14.885951741094233</v>
      </c>
      <c r="J256" s="1" t="str">
        <f t="shared" si="12"/>
        <v>out</v>
      </c>
      <c r="K256" s="1" t="str">
        <f t="shared" si="13"/>
        <v>out</v>
      </c>
      <c r="R256">
        <f t="shared" si="14"/>
        <v>14.885951741094233</v>
      </c>
      <c r="S256">
        <f t="shared" si="15"/>
        <v>14.885951741094233</v>
      </c>
    </row>
    <row r="257" spans="1:19">
      <c r="A257" t="s">
        <v>284</v>
      </c>
      <c r="B257">
        <v>2009</v>
      </c>
      <c r="C257">
        <v>0.12716345577600741</v>
      </c>
      <c r="D257">
        <v>13.816685867017924</v>
      </c>
      <c r="J257" s="1" t="str">
        <f t="shared" si="12"/>
        <v>out</v>
      </c>
      <c r="K257" s="1" t="str">
        <f t="shared" si="13"/>
        <v>out</v>
      </c>
      <c r="R257">
        <f t="shared" si="14"/>
        <v>13.816685867017924</v>
      </c>
      <c r="S257">
        <f t="shared" si="15"/>
        <v>13.816685867017924</v>
      </c>
    </row>
    <row r="258" spans="1:19">
      <c r="A258" t="s">
        <v>285</v>
      </c>
      <c r="B258">
        <v>2009</v>
      </c>
      <c r="C258">
        <v>0.13200492691092056</v>
      </c>
      <c r="D258">
        <v>16.636888194372705</v>
      </c>
      <c r="J258" s="1" t="str">
        <f t="shared" si="12"/>
        <v>out</v>
      </c>
      <c r="K258" s="1" t="str">
        <f t="shared" si="13"/>
        <v>out</v>
      </c>
      <c r="R258">
        <f t="shared" si="14"/>
        <v>16.636888194372705</v>
      </c>
      <c r="S258">
        <f t="shared" si="15"/>
        <v>16.636888194372705</v>
      </c>
    </row>
    <row r="259" spans="1:19">
      <c r="A259" t="s">
        <v>257</v>
      </c>
      <c r="B259">
        <v>2009</v>
      </c>
      <c r="C259">
        <v>5.1324550679221717E-2</v>
      </c>
      <c r="D259">
        <v>15.649131321453462</v>
      </c>
      <c r="J259" s="1">
        <f t="shared" ref="J259:J286" si="16">IF(OR(C259&lt;$H$2,C259&gt;$I$2),"out",C259)</f>
        <v>5.1324550679221717E-2</v>
      </c>
      <c r="K259" s="1">
        <f t="shared" ref="K259:K286" si="17">IF(OR(C259&lt;$H$3,C259&gt;$I$3),"out",C259)</f>
        <v>5.1324550679221717E-2</v>
      </c>
      <c r="R259">
        <f t="shared" ref="R259:R286" si="18">IF(OR(D259&lt;$P$2,D259&gt;$Q$2),"out",D259)</f>
        <v>15.649131321453462</v>
      </c>
      <c r="S259">
        <f t="shared" ref="S259:S286" si="19">IF(OR(D259&lt;$P$3,D259&gt;$Q$3),"out",D259)</f>
        <v>15.649131321453462</v>
      </c>
    </row>
    <row r="260" spans="1:19">
      <c r="A260" t="s">
        <v>258</v>
      </c>
      <c r="B260">
        <v>2009</v>
      </c>
      <c r="C260">
        <v>9.1282072948029058E-4</v>
      </c>
      <c r="D260">
        <v>16.078291159439601</v>
      </c>
      <c r="J260" s="1">
        <f t="shared" si="16"/>
        <v>9.1282072948029058E-4</v>
      </c>
      <c r="K260" s="1">
        <f t="shared" si="17"/>
        <v>9.1282072948029058E-4</v>
      </c>
      <c r="R260">
        <f t="shared" si="18"/>
        <v>16.078291159439601</v>
      </c>
      <c r="S260">
        <f t="shared" si="19"/>
        <v>16.078291159439601</v>
      </c>
    </row>
    <row r="261" spans="1:19">
      <c r="A261" t="s">
        <v>259</v>
      </c>
      <c r="B261">
        <v>2009</v>
      </c>
      <c r="C261">
        <v>1.4747625085811955E-2</v>
      </c>
      <c r="D261">
        <v>16.942967211227913</v>
      </c>
      <c r="J261" s="1">
        <f t="shared" si="16"/>
        <v>1.4747625085811955E-2</v>
      </c>
      <c r="K261" s="1">
        <f t="shared" si="17"/>
        <v>1.4747625085811955E-2</v>
      </c>
      <c r="R261">
        <f t="shared" si="18"/>
        <v>16.942967211227913</v>
      </c>
      <c r="S261">
        <f t="shared" si="19"/>
        <v>16.942967211227913</v>
      </c>
    </row>
    <row r="262" spans="1:19">
      <c r="A262" t="s">
        <v>286</v>
      </c>
      <c r="B262">
        <v>2009</v>
      </c>
      <c r="C262">
        <v>0.40689219694455558</v>
      </c>
      <c r="D262">
        <v>16.720904033890438</v>
      </c>
      <c r="J262" s="1" t="str">
        <f t="shared" si="16"/>
        <v>out</v>
      </c>
      <c r="K262" s="1" t="str">
        <f t="shared" si="17"/>
        <v>out</v>
      </c>
      <c r="R262">
        <f t="shared" si="18"/>
        <v>16.720904033890438</v>
      </c>
      <c r="S262">
        <f t="shared" si="19"/>
        <v>16.720904033890438</v>
      </c>
    </row>
    <row r="263" spans="1:19">
      <c r="A263" t="s">
        <v>287</v>
      </c>
      <c r="B263">
        <v>2009</v>
      </c>
      <c r="C263">
        <v>0.14614771502368898</v>
      </c>
      <c r="D263">
        <v>17.656157919642752</v>
      </c>
      <c r="J263" s="1" t="str">
        <f t="shared" si="16"/>
        <v>out</v>
      </c>
      <c r="K263" s="1" t="str">
        <f t="shared" si="17"/>
        <v>out</v>
      </c>
      <c r="R263">
        <f t="shared" si="18"/>
        <v>17.656157919642752</v>
      </c>
      <c r="S263">
        <f t="shared" si="19"/>
        <v>17.656157919642752</v>
      </c>
    </row>
    <row r="264" spans="1:19">
      <c r="A264" t="s">
        <v>288</v>
      </c>
      <c r="B264">
        <v>2009</v>
      </c>
      <c r="C264">
        <v>0.18420476220693113</v>
      </c>
      <c r="D264">
        <v>17.561351721850961</v>
      </c>
      <c r="J264" s="1" t="str">
        <f t="shared" si="16"/>
        <v>out</v>
      </c>
      <c r="K264" s="1" t="str">
        <f t="shared" si="17"/>
        <v>out</v>
      </c>
      <c r="R264">
        <f t="shared" si="18"/>
        <v>17.561351721850961</v>
      </c>
      <c r="S264">
        <f t="shared" si="19"/>
        <v>17.561351721850961</v>
      </c>
    </row>
    <row r="265" spans="1:19">
      <c r="A265" t="s">
        <v>289</v>
      </c>
      <c r="B265">
        <v>2009</v>
      </c>
      <c r="C265">
        <v>0.11153973218842644</v>
      </c>
      <c r="D265">
        <v>17.413695834623542</v>
      </c>
      <c r="J265" s="1" t="str">
        <f t="shared" si="16"/>
        <v>out</v>
      </c>
      <c r="K265" s="1" t="str">
        <f t="shared" si="17"/>
        <v>out</v>
      </c>
      <c r="R265">
        <f t="shared" si="18"/>
        <v>17.413695834623542</v>
      </c>
      <c r="S265">
        <f t="shared" si="19"/>
        <v>17.413695834623542</v>
      </c>
    </row>
    <row r="266" spans="1:19">
      <c r="A266" t="s">
        <v>260</v>
      </c>
      <c r="B266">
        <v>2009</v>
      </c>
      <c r="C266">
        <v>1.6695822432911154E-2</v>
      </c>
      <c r="D266">
        <v>18.233340185012491</v>
      </c>
      <c r="J266" s="1">
        <f t="shared" si="16"/>
        <v>1.6695822432911154E-2</v>
      </c>
      <c r="K266" s="1">
        <f t="shared" si="17"/>
        <v>1.6695822432911154E-2</v>
      </c>
      <c r="R266">
        <f t="shared" si="18"/>
        <v>18.233340185012491</v>
      </c>
      <c r="S266">
        <f t="shared" si="19"/>
        <v>18.233340185012491</v>
      </c>
    </row>
    <row r="267" spans="1:19">
      <c r="A267" t="s">
        <v>290</v>
      </c>
      <c r="B267">
        <v>2009</v>
      </c>
      <c r="C267">
        <v>0.12005562712629977</v>
      </c>
      <c r="D267">
        <v>17.298805304276684</v>
      </c>
      <c r="J267" s="1" t="str">
        <f t="shared" si="16"/>
        <v>out</v>
      </c>
      <c r="K267" s="1" t="str">
        <f t="shared" si="17"/>
        <v>out</v>
      </c>
      <c r="R267">
        <f t="shared" si="18"/>
        <v>17.298805304276684</v>
      </c>
      <c r="S267">
        <f t="shared" si="19"/>
        <v>17.298805304276684</v>
      </c>
    </row>
    <row r="268" spans="1:19">
      <c r="A268" t="s">
        <v>261</v>
      </c>
      <c r="B268">
        <v>2009</v>
      </c>
      <c r="C268">
        <v>1.8792120483288006E-2</v>
      </c>
      <c r="D268">
        <v>18.848700525602467</v>
      </c>
      <c r="J268" s="1">
        <f t="shared" si="16"/>
        <v>1.8792120483288006E-2</v>
      </c>
      <c r="K268" s="1">
        <f t="shared" si="17"/>
        <v>1.8792120483288006E-2</v>
      </c>
      <c r="R268">
        <f t="shared" si="18"/>
        <v>18.848700525602467</v>
      </c>
      <c r="S268">
        <f t="shared" si="19"/>
        <v>18.848700525602467</v>
      </c>
    </row>
    <row r="269" spans="1:19">
      <c r="A269" t="s">
        <v>262</v>
      </c>
      <c r="B269">
        <v>2009</v>
      </c>
      <c r="C269">
        <v>2.5840313168230104E-2</v>
      </c>
      <c r="D269">
        <v>17.331634544009038</v>
      </c>
      <c r="J269" s="1">
        <f t="shared" si="16"/>
        <v>2.5840313168230104E-2</v>
      </c>
      <c r="K269" s="1">
        <f t="shared" si="17"/>
        <v>2.5840313168230104E-2</v>
      </c>
      <c r="R269">
        <f t="shared" si="18"/>
        <v>17.331634544009038</v>
      </c>
      <c r="S269">
        <f t="shared" si="19"/>
        <v>17.331634544009038</v>
      </c>
    </row>
    <row r="270" spans="1:19">
      <c r="A270" t="s">
        <v>264</v>
      </c>
      <c r="B270">
        <v>2009</v>
      </c>
      <c r="C270">
        <v>2.9530868627842505E-2</v>
      </c>
      <c r="D270">
        <v>16.438521472591074</v>
      </c>
      <c r="J270" s="1">
        <f t="shared" si="16"/>
        <v>2.9530868627842505E-2</v>
      </c>
      <c r="K270" s="1">
        <f t="shared" si="17"/>
        <v>2.9530868627842505E-2</v>
      </c>
      <c r="R270">
        <f t="shared" si="18"/>
        <v>16.438521472591074</v>
      </c>
      <c r="S270">
        <f t="shared" si="19"/>
        <v>16.438521472591074</v>
      </c>
    </row>
    <row r="271" spans="1:19">
      <c r="A271" t="s">
        <v>265</v>
      </c>
      <c r="B271">
        <v>2009</v>
      </c>
      <c r="C271">
        <v>5.9343133602464111E-4</v>
      </c>
      <c r="D271">
        <v>13.797776230261078</v>
      </c>
      <c r="J271" s="1">
        <f t="shared" si="16"/>
        <v>5.9343133602464111E-4</v>
      </c>
      <c r="K271" s="1">
        <f t="shared" si="17"/>
        <v>5.9343133602464111E-4</v>
      </c>
      <c r="R271">
        <f t="shared" si="18"/>
        <v>13.797776230261078</v>
      </c>
      <c r="S271">
        <f t="shared" si="19"/>
        <v>13.797776230261078</v>
      </c>
    </row>
    <row r="272" spans="1:19">
      <c r="A272" t="s">
        <v>266</v>
      </c>
      <c r="B272">
        <v>2009</v>
      </c>
      <c r="C272">
        <v>3.51953420933908E-2</v>
      </c>
      <c r="D272">
        <v>12.772615812246707</v>
      </c>
      <c r="J272" s="1">
        <f t="shared" si="16"/>
        <v>3.51953420933908E-2</v>
      </c>
      <c r="K272" s="1">
        <f t="shared" si="17"/>
        <v>3.51953420933908E-2</v>
      </c>
      <c r="R272">
        <f t="shared" si="18"/>
        <v>12.772615812246707</v>
      </c>
      <c r="S272">
        <f t="shared" si="19"/>
        <v>12.772615812246707</v>
      </c>
    </row>
    <row r="273" spans="1:19">
      <c r="A273" t="s">
        <v>267</v>
      </c>
      <c r="B273">
        <v>2009</v>
      </c>
      <c r="C273">
        <v>2.0126914309201129E-2</v>
      </c>
      <c r="D273">
        <v>15.053166560128428</v>
      </c>
      <c r="J273" s="1">
        <f t="shared" si="16"/>
        <v>2.0126914309201129E-2</v>
      </c>
      <c r="K273" s="1">
        <f t="shared" si="17"/>
        <v>2.0126914309201129E-2</v>
      </c>
      <c r="R273">
        <f t="shared" si="18"/>
        <v>15.053166560128428</v>
      </c>
      <c r="S273">
        <f t="shared" si="19"/>
        <v>15.053166560128428</v>
      </c>
    </row>
    <row r="274" spans="1:19">
      <c r="A274" t="s">
        <v>291</v>
      </c>
      <c r="B274">
        <v>2009</v>
      </c>
      <c r="C274">
        <v>0.41380910958253231</v>
      </c>
      <c r="D274">
        <v>13.212576955205281</v>
      </c>
      <c r="J274" s="1" t="str">
        <f t="shared" si="16"/>
        <v>out</v>
      </c>
      <c r="K274" s="1" t="str">
        <f t="shared" si="17"/>
        <v>out</v>
      </c>
      <c r="R274">
        <f t="shared" si="18"/>
        <v>13.212576955205281</v>
      </c>
      <c r="S274">
        <f t="shared" si="19"/>
        <v>13.212576955205281</v>
      </c>
    </row>
    <row r="275" spans="1:19">
      <c r="A275" t="s">
        <v>268</v>
      </c>
      <c r="B275">
        <v>2009</v>
      </c>
      <c r="C275">
        <v>1.0699029277854571E-2</v>
      </c>
      <c r="D275">
        <v>12.858780570815853</v>
      </c>
      <c r="J275" s="1">
        <f t="shared" si="16"/>
        <v>1.0699029277854571E-2</v>
      </c>
      <c r="K275" s="1">
        <f t="shared" si="17"/>
        <v>1.0699029277854571E-2</v>
      </c>
      <c r="R275">
        <f t="shared" si="18"/>
        <v>12.858780570815853</v>
      </c>
      <c r="S275">
        <f t="shared" si="19"/>
        <v>12.858780570815853</v>
      </c>
    </row>
    <row r="276" spans="1:19">
      <c r="A276" t="s">
        <v>270</v>
      </c>
      <c r="B276">
        <v>2009</v>
      </c>
      <c r="C276">
        <v>5.3743979783058542E-3</v>
      </c>
      <c r="D276">
        <v>16.948184278293542</v>
      </c>
      <c r="J276" s="1">
        <f t="shared" si="16"/>
        <v>5.3743979783058542E-3</v>
      </c>
      <c r="K276" s="1">
        <f t="shared" si="17"/>
        <v>5.3743979783058542E-3</v>
      </c>
      <c r="R276">
        <f t="shared" si="18"/>
        <v>16.948184278293542</v>
      </c>
      <c r="S276">
        <f t="shared" si="19"/>
        <v>16.948184278293542</v>
      </c>
    </row>
    <row r="277" spans="1:19">
      <c r="A277" t="s">
        <v>272</v>
      </c>
      <c r="B277">
        <v>2009</v>
      </c>
      <c r="C277">
        <v>2.2146792245522854E-3</v>
      </c>
      <c r="D277">
        <v>13.271939610385196</v>
      </c>
      <c r="J277" s="1">
        <f t="shared" si="16"/>
        <v>2.2146792245522854E-3</v>
      </c>
      <c r="K277" s="1">
        <f t="shared" si="17"/>
        <v>2.2146792245522854E-3</v>
      </c>
      <c r="R277">
        <f t="shared" si="18"/>
        <v>13.271939610385196</v>
      </c>
      <c r="S277">
        <f t="shared" si="19"/>
        <v>13.271939610385196</v>
      </c>
    </row>
    <row r="278" spans="1:19">
      <c r="A278" t="s">
        <v>274</v>
      </c>
      <c r="B278">
        <v>2009</v>
      </c>
      <c r="C278">
        <v>5.7839403968391212E-2</v>
      </c>
      <c r="D278">
        <v>17.004275362146387</v>
      </c>
      <c r="J278" s="1">
        <f t="shared" si="16"/>
        <v>5.7839403968391212E-2</v>
      </c>
      <c r="K278" s="1">
        <f t="shared" si="17"/>
        <v>5.7839403968391212E-2</v>
      </c>
      <c r="R278">
        <f t="shared" si="18"/>
        <v>17.004275362146387</v>
      </c>
      <c r="S278">
        <f t="shared" si="19"/>
        <v>17.004275362146387</v>
      </c>
    </row>
    <row r="279" spans="1:19">
      <c r="A279" t="s">
        <v>275</v>
      </c>
      <c r="B279">
        <v>2009</v>
      </c>
      <c r="C279">
        <v>7.6157862145541516E-2</v>
      </c>
      <c r="D279">
        <v>14.443201463045604</v>
      </c>
      <c r="J279" s="1">
        <f t="shared" si="16"/>
        <v>7.6157862145541516E-2</v>
      </c>
      <c r="K279" s="1">
        <f t="shared" si="17"/>
        <v>7.6157862145541516E-2</v>
      </c>
      <c r="R279">
        <f t="shared" si="18"/>
        <v>14.443201463045604</v>
      </c>
      <c r="S279">
        <f t="shared" si="19"/>
        <v>14.443201463045604</v>
      </c>
    </row>
    <row r="280" spans="1:19">
      <c r="A280" t="s">
        <v>276</v>
      </c>
      <c r="B280">
        <v>2009</v>
      </c>
      <c r="C280">
        <v>1.4381729390979699E-2</v>
      </c>
      <c r="D280">
        <v>13.081508048995172</v>
      </c>
      <c r="J280" s="1">
        <f t="shared" si="16"/>
        <v>1.4381729390979699E-2</v>
      </c>
      <c r="K280" s="1">
        <f t="shared" si="17"/>
        <v>1.4381729390979699E-2</v>
      </c>
      <c r="R280">
        <f t="shared" si="18"/>
        <v>13.081508048995172</v>
      </c>
      <c r="S280">
        <f t="shared" si="19"/>
        <v>13.081508048995172</v>
      </c>
    </row>
    <row r="281" spans="1:19">
      <c r="A281" t="s">
        <v>292</v>
      </c>
      <c r="B281">
        <v>2009</v>
      </c>
      <c r="C281">
        <v>0.10213013353454077</v>
      </c>
      <c r="D281">
        <v>13.473552501712096</v>
      </c>
      <c r="J281" s="1" t="str">
        <f t="shared" si="16"/>
        <v>out</v>
      </c>
      <c r="K281" s="1" t="str">
        <f t="shared" si="17"/>
        <v>out</v>
      </c>
      <c r="R281">
        <f t="shared" si="18"/>
        <v>13.473552501712096</v>
      </c>
      <c r="S281">
        <f t="shared" si="19"/>
        <v>13.473552501712096</v>
      </c>
    </row>
    <row r="282" spans="1:19">
      <c r="A282" t="s">
        <v>277</v>
      </c>
      <c r="B282">
        <v>2009</v>
      </c>
      <c r="C282">
        <v>1.8873622225577534E-4</v>
      </c>
      <c r="D282">
        <v>10.18459807960487</v>
      </c>
      <c r="J282" s="1">
        <f t="shared" si="16"/>
        <v>1.8873622225577534E-4</v>
      </c>
      <c r="K282" s="1">
        <f t="shared" si="17"/>
        <v>1.8873622225577534E-4</v>
      </c>
      <c r="R282">
        <f t="shared" si="18"/>
        <v>10.18459807960487</v>
      </c>
      <c r="S282">
        <f t="shared" si="19"/>
        <v>10.18459807960487</v>
      </c>
    </row>
    <row r="283" spans="1:19">
      <c r="A283" t="s">
        <v>278</v>
      </c>
      <c r="B283">
        <v>2009</v>
      </c>
      <c r="C283">
        <v>1.2254959249944422E-2</v>
      </c>
      <c r="D283">
        <v>15.583868160397751</v>
      </c>
      <c r="J283" s="1">
        <f t="shared" si="16"/>
        <v>1.2254959249944422E-2</v>
      </c>
      <c r="K283" s="1">
        <f t="shared" si="17"/>
        <v>1.2254959249944422E-2</v>
      </c>
      <c r="R283">
        <f t="shared" si="18"/>
        <v>15.583868160397751</v>
      </c>
      <c r="S283">
        <f t="shared" si="19"/>
        <v>15.583868160397751</v>
      </c>
    </row>
    <row r="284" spans="1:19">
      <c r="A284" t="s">
        <v>280</v>
      </c>
      <c r="B284">
        <v>2009</v>
      </c>
      <c r="C284">
        <v>2.6181018292315086E-2</v>
      </c>
      <c r="D284">
        <v>14.733029734990618</v>
      </c>
      <c r="J284" s="1">
        <f t="shared" si="16"/>
        <v>2.6181018292315086E-2</v>
      </c>
      <c r="K284" s="1">
        <f t="shared" si="17"/>
        <v>2.6181018292315086E-2</v>
      </c>
      <c r="R284">
        <f t="shared" si="18"/>
        <v>14.733029734990618</v>
      </c>
      <c r="S284">
        <f t="shared" si="19"/>
        <v>14.733029734990618</v>
      </c>
    </row>
    <row r="285" spans="1:19">
      <c r="A285" t="s">
        <v>281</v>
      </c>
      <c r="B285">
        <v>2009</v>
      </c>
      <c r="C285">
        <v>8.6411775065529939E-3</v>
      </c>
      <c r="D285">
        <v>16.471221092861434</v>
      </c>
      <c r="J285" s="1">
        <f t="shared" si="16"/>
        <v>8.6411775065529939E-3</v>
      </c>
      <c r="K285" s="1">
        <f t="shared" si="17"/>
        <v>8.6411775065529939E-3</v>
      </c>
      <c r="R285">
        <f t="shared" si="18"/>
        <v>16.471221092861434</v>
      </c>
      <c r="S285">
        <f t="shared" si="19"/>
        <v>16.471221092861434</v>
      </c>
    </row>
    <row r="286" spans="1:19">
      <c r="A286" t="s">
        <v>282</v>
      </c>
      <c r="B286">
        <v>2009</v>
      </c>
      <c r="C286">
        <v>4.7006545210697741E-2</v>
      </c>
      <c r="D286">
        <v>14.859077962420217</v>
      </c>
      <c r="J286" s="1">
        <f t="shared" si="16"/>
        <v>4.7006545210697741E-2</v>
      </c>
      <c r="K286" s="1">
        <f t="shared" si="17"/>
        <v>4.7006545210697741E-2</v>
      </c>
      <c r="R286">
        <f t="shared" si="18"/>
        <v>14.859077962420217</v>
      </c>
      <c r="S286">
        <f t="shared" si="19"/>
        <v>14.859077962420217</v>
      </c>
    </row>
    <row r="287" spans="1:19">
      <c r="B287" s="2" t="s">
        <v>304</v>
      </c>
      <c r="C287" s="4">
        <f>MEDIAN(C2:C286)</f>
        <v>8.3055009958866149E-3</v>
      </c>
      <c r="D287" s="4">
        <f>MEDIAN(D2:D286)</f>
        <v>14.498094644970328</v>
      </c>
      <c r="K287" s="1"/>
    </row>
    <row r="288" spans="1:19">
      <c r="C288">
        <f>MEDIAN(C2:C286)</f>
        <v>8.3055009958866149E-3</v>
      </c>
      <c r="D288">
        <f>MEDIAN(D2:D286)</f>
        <v>14.498094644970328</v>
      </c>
      <c r="K288" s="1"/>
    </row>
  </sheetData>
  <mergeCells count="1">
    <mergeCell ref="AC1:AE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286"/>
  <sheetViews>
    <sheetView tabSelected="1" workbookViewId="0">
      <selection activeCell="F12" sqref="F12"/>
    </sheetView>
  </sheetViews>
  <sheetFormatPr defaultRowHeight="13.8"/>
  <cols>
    <col min="1" max="1" width="15.69921875" customWidth="1"/>
    <col min="5" max="5" width="13.19921875" customWidth="1"/>
    <col min="6" max="6" width="16.59765625" customWidth="1"/>
    <col min="8" max="8" width="9.3984375" bestFit="1" customWidth="1"/>
    <col min="9" max="9" width="10.3984375" bestFit="1" customWidth="1"/>
    <col min="10" max="10" width="13.19921875" customWidth="1"/>
    <col min="11" max="11" width="11.8984375" customWidth="1"/>
  </cols>
  <sheetData>
    <row r="1" spans="1:12">
      <c r="A1" t="s">
        <v>0</v>
      </c>
      <c r="B1" t="s">
        <v>1</v>
      </c>
      <c r="C1" t="s">
        <v>8</v>
      </c>
      <c r="D1" t="s">
        <v>303</v>
      </c>
      <c r="E1" s="5" t="s">
        <v>306</v>
      </c>
      <c r="F1" s="5" t="s">
        <v>307</v>
      </c>
      <c r="G1" s="5"/>
      <c r="H1" s="5" t="s">
        <v>8</v>
      </c>
      <c r="I1" s="5" t="s">
        <v>303</v>
      </c>
      <c r="J1" s="5" t="s">
        <v>306</v>
      </c>
      <c r="K1" s="5" t="s">
        <v>311</v>
      </c>
      <c r="L1" t="s">
        <v>308</v>
      </c>
    </row>
    <row r="2" spans="1:12">
      <c r="A2" t="s">
        <v>5</v>
      </c>
      <c r="B2">
        <v>2009</v>
      </c>
      <c r="C2" s="1">
        <v>8.666031391362447E-3</v>
      </c>
      <c r="D2" s="1">
        <v>13.031333026054657</v>
      </c>
      <c r="E2" s="1">
        <f>IF(C2="out",$H$2,C2)</f>
        <v>8.666031391362447E-3</v>
      </c>
      <c r="F2" s="3">
        <f>IF(D2="out",$I$2,D2)</f>
        <v>13.031333026054657</v>
      </c>
      <c r="G2" s="5" t="s">
        <v>304</v>
      </c>
      <c r="H2" s="6">
        <v>8.3055009958866149E-3</v>
      </c>
      <c r="I2" s="6">
        <v>14.498094644970328</v>
      </c>
      <c r="J2">
        <f>IF(C2="out",$H$2,C2)</f>
        <v>8.666031391362447E-3</v>
      </c>
      <c r="K2">
        <f>IF(D2="out",$H$2,D2)</f>
        <v>13.031333026054657</v>
      </c>
      <c r="L2" t="s">
        <v>309</v>
      </c>
    </row>
    <row r="3" spans="1:12">
      <c r="A3" t="s">
        <v>9</v>
      </c>
      <c r="B3">
        <v>2009</v>
      </c>
      <c r="C3" s="1">
        <v>1.2530050517707121E-2</v>
      </c>
      <c r="D3" s="1">
        <v>13.268382226190615</v>
      </c>
      <c r="E3" s="1">
        <f t="shared" ref="E3:E66" si="0">IF(C3="out",$H$2,C3)</f>
        <v>1.2530050517707121E-2</v>
      </c>
      <c r="F3" s="3">
        <f t="shared" ref="F3:F66" si="1">IF(D3="out",$I$2,D3)</f>
        <v>13.268382226190615</v>
      </c>
      <c r="J3">
        <f t="shared" ref="J3:J66" si="2">IF(C3="out",$H$2,C3)</f>
        <v>1.2530050517707121E-2</v>
      </c>
      <c r="K3">
        <f t="shared" ref="K3:K66" si="3">IF(D3="out",$H$2,D3)</f>
        <v>13.268382226190615</v>
      </c>
      <c r="L3" t="s">
        <v>310</v>
      </c>
    </row>
    <row r="4" spans="1:12">
      <c r="A4" t="s">
        <v>10</v>
      </c>
      <c r="B4">
        <v>2009</v>
      </c>
      <c r="C4" s="1">
        <v>5.2190785507691775E-4</v>
      </c>
      <c r="D4" s="1">
        <v>13.910648904824345</v>
      </c>
      <c r="E4" s="1">
        <f t="shared" si="0"/>
        <v>5.2190785507691775E-4</v>
      </c>
      <c r="F4" s="3">
        <f t="shared" si="1"/>
        <v>13.910648904824345</v>
      </c>
      <c r="J4">
        <f t="shared" si="2"/>
        <v>5.2190785507691775E-4</v>
      </c>
      <c r="K4">
        <f t="shared" si="3"/>
        <v>13.910648904824345</v>
      </c>
    </row>
    <row r="5" spans="1:12">
      <c r="A5" t="s">
        <v>11</v>
      </c>
      <c r="B5">
        <v>2009</v>
      </c>
      <c r="C5" s="1">
        <v>3.909915646623287E-3</v>
      </c>
      <c r="D5" s="1">
        <v>14.947923771023088</v>
      </c>
      <c r="E5" s="1">
        <f t="shared" si="0"/>
        <v>3.909915646623287E-3</v>
      </c>
      <c r="F5" s="3">
        <f t="shared" si="1"/>
        <v>14.947923771023088</v>
      </c>
      <c r="J5">
        <f t="shared" si="2"/>
        <v>3.909915646623287E-3</v>
      </c>
      <c r="K5">
        <f t="shared" si="3"/>
        <v>14.947923771023088</v>
      </c>
    </row>
    <row r="6" spans="1:12">
      <c r="A6" t="s">
        <v>12</v>
      </c>
      <c r="B6">
        <v>2009</v>
      </c>
      <c r="C6" s="1">
        <v>1.6082009002141545E-3</v>
      </c>
      <c r="D6" s="1">
        <v>15.352760929957736</v>
      </c>
      <c r="E6" s="1">
        <f t="shared" si="0"/>
        <v>1.6082009002141545E-3</v>
      </c>
      <c r="F6" s="3">
        <f t="shared" si="1"/>
        <v>15.352760929957736</v>
      </c>
      <c r="J6">
        <f t="shared" si="2"/>
        <v>1.6082009002141545E-3</v>
      </c>
      <c r="K6">
        <f t="shared" si="3"/>
        <v>15.352760929957736</v>
      </c>
    </row>
    <row r="7" spans="1:12">
      <c r="A7" t="s">
        <v>13</v>
      </c>
      <c r="B7">
        <v>2009</v>
      </c>
      <c r="C7" s="1">
        <v>6.3370381759873477E-3</v>
      </c>
      <c r="D7" s="1">
        <v>13.210945520095335</v>
      </c>
      <c r="E7" s="1">
        <f t="shared" si="0"/>
        <v>6.3370381759873477E-3</v>
      </c>
      <c r="F7" s="3">
        <f t="shared" si="1"/>
        <v>13.210945520095335</v>
      </c>
      <c r="J7">
        <f t="shared" si="2"/>
        <v>6.3370381759873477E-3</v>
      </c>
      <c r="K7">
        <f t="shared" si="3"/>
        <v>13.210945520095335</v>
      </c>
    </row>
    <row r="8" spans="1:12">
      <c r="A8" t="s">
        <v>14</v>
      </c>
      <c r="B8">
        <v>2009</v>
      </c>
      <c r="C8" s="1">
        <v>7.4846284529053106E-3</v>
      </c>
      <c r="D8" s="1">
        <v>17.884453342864791</v>
      </c>
      <c r="E8" s="1">
        <f t="shared" si="0"/>
        <v>7.4846284529053106E-3</v>
      </c>
      <c r="F8" s="3">
        <f t="shared" si="1"/>
        <v>17.884453342864791</v>
      </c>
      <c r="J8">
        <f t="shared" si="2"/>
        <v>7.4846284529053106E-3</v>
      </c>
      <c r="K8">
        <f t="shared" si="3"/>
        <v>17.884453342864791</v>
      </c>
    </row>
    <row r="9" spans="1:12">
      <c r="A9" t="s">
        <v>15</v>
      </c>
      <c r="B9">
        <v>2009</v>
      </c>
      <c r="C9" s="1">
        <v>3.9275542108730235E-4</v>
      </c>
      <c r="D9" s="1">
        <v>14.126457639098863</v>
      </c>
      <c r="E9" s="1">
        <f t="shared" si="0"/>
        <v>3.9275542108730235E-4</v>
      </c>
      <c r="F9" s="3">
        <f t="shared" si="1"/>
        <v>14.126457639098863</v>
      </c>
      <c r="J9">
        <f t="shared" si="2"/>
        <v>3.9275542108730235E-4</v>
      </c>
      <c r="K9">
        <f t="shared" si="3"/>
        <v>14.126457639098863</v>
      </c>
    </row>
    <row r="10" spans="1:12">
      <c r="A10" t="s">
        <v>16</v>
      </c>
      <c r="B10">
        <v>2009</v>
      </c>
      <c r="C10" s="1">
        <v>7.2321779270202863E-3</v>
      </c>
      <c r="D10" s="1">
        <v>14.95783633674716</v>
      </c>
      <c r="E10" s="1">
        <f t="shared" si="0"/>
        <v>7.2321779270202863E-3</v>
      </c>
      <c r="F10" s="3">
        <f t="shared" si="1"/>
        <v>14.95783633674716</v>
      </c>
      <c r="J10">
        <f t="shared" si="2"/>
        <v>7.2321779270202863E-3</v>
      </c>
      <c r="K10">
        <f t="shared" si="3"/>
        <v>14.95783633674716</v>
      </c>
    </row>
    <row r="11" spans="1:12">
      <c r="A11" t="s">
        <v>17</v>
      </c>
      <c r="B11">
        <v>2009</v>
      </c>
      <c r="C11" s="1">
        <v>5.2132979186694595E-3</v>
      </c>
      <c r="D11" s="1">
        <v>14.714445953481384</v>
      </c>
      <c r="E11" s="1">
        <f t="shared" si="0"/>
        <v>5.2132979186694595E-3</v>
      </c>
      <c r="F11" s="3">
        <f t="shared" si="1"/>
        <v>14.714445953481384</v>
      </c>
      <c r="J11">
        <f t="shared" si="2"/>
        <v>5.2132979186694595E-3</v>
      </c>
      <c r="K11">
        <f t="shared" si="3"/>
        <v>14.714445953481384</v>
      </c>
    </row>
    <row r="12" spans="1:12">
      <c r="A12" t="s">
        <v>18</v>
      </c>
      <c r="B12">
        <v>2009</v>
      </c>
      <c r="C12" s="1">
        <v>1.998800719568259E-4</v>
      </c>
      <c r="D12" s="1">
        <v>12.924512258752458</v>
      </c>
      <c r="E12" s="1">
        <f t="shared" si="0"/>
        <v>1.998800719568259E-4</v>
      </c>
      <c r="F12" s="3">
        <f t="shared" si="1"/>
        <v>12.924512258752458</v>
      </c>
      <c r="J12">
        <f t="shared" si="2"/>
        <v>1.998800719568259E-4</v>
      </c>
      <c r="K12">
        <f t="shared" si="3"/>
        <v>12.924512258752458</v>
      </c>
    </row>
    <row r="13" spans="1:12">
      <c r="A13" t="s">
        <v>19</v>
      </c>
      <c r="B13">
        <v>2009</v>
      </c>
      <c r="C13" s="1">
        <v>2.8635292642856448E-2</v>
      </c>
      <c r="D13" s="1">
        <v>13.940170338958785</v>
      </c>
      <c r="E13" s="1">
        <f t="shared" si="0"/>
        <v>2.8635292642856448E-2</v>
      </c>
      <c r="F13" s="3">
        <f t="shared" si="1"/>
        <v>13.940170338958785</v>
      </c>
      <c r="J13">
        <f t="shared" si="2"/>
        <v>2.8635292642856448E-2</v>
      </c>
      <c r="K13">
        <f t="shared" si="3"/>
        <v>13.940170338958785</v>
      </c>
    </row>
    <row r="14" spans="1:12">
      <c r="A14" t="s">
        <v>20</v>
      </c>
      <c r="B14">
        <v>2009</v>
      </c>
      <c r="C14" s="1">
        <v>3.7395100021208579E-3</v>
      </c>
      <c r="D14" s="1">
        <v>16.64526244750493</v>
      </c>
      <c r="E14" s="1">
        <f t="shared" si="0"/>
        <v>3.7395100021208579E-3</v>
      </c>
      <c r="F14" s="3">
        <f t="shared" si="1"/>
        <v>16.64526244750493</v>
      </c>
      <c r="J14">
        <f t="shared" si="2"/>
        <v>3.7395100021208579E-3</v>
      </c>
      <c r="K14">
        <f t="shared" si="3"/>
        <v>16.64526244750493</v>
      </c>
    </row>
    <row r="15" spans="1:12">
      <c r="A15" t="s">
        <v>21</v>
      </c>
      <c r="B15">
        <v>2009</v>
      </c>
      <c r="C15" s="1">
        <v>5.199900937480445E-4</v>
      </c>
      <c r="D15" s="1">
        <v>13.941823333954559</v>
      </c>
      <c r="E15" s="1">
        <f t="shared" si="0"/>
        <v>5.199900937480445E-4</v>
      </c>
      <c r="F15" s="3">
        <f t="shared" si="1"/>
        <v>13.941823333954559</v>
      </c>
      <c r="J15">
        <f t="shared" si="2"/>
        <v>5.199900937480445E-4</v>
      </c>
      <c r="K15">
        <f t="shared" si="3"/>
        <v>13.941823333954559</v>
      </c>
    </row>
    <row r="16" spans="1:12">
      <c r="A16" t="s">
        <v>22</v>
      </c>
      <c r="B16">
        <v>2009</v>
      </c>
      <c r="C16" s="1">
        <v>5.4524936377978147E-3</v>
      </c>
      <c r="D16" s="1">
        <v>12.064981319916548</v>
      </c>
      <c r="E16" s="1">
        <f t="shared" si="0"/>
        <v>5.4524936377978147E-3</v>
      </c>
      <c r="F16" s="3">
        <f t="shared" si="1"/>
        <v>12.064981319916548</v>
      </c>
      <c r="J16">
        <f t="shared" si="2"/>
        <v>5.4524936377978147E-3</v>
      </c>
      <c r="K16">
        <f t="shared" si="3"/>
        <v>12.064981319916548</v>
      </c>
    </row>
    <row r="17" spans="1:11">
      <c r="A17" t="s">
        <v>23</v>
      </c>
      <c r="B17">
        <v>2009</v>
      </c>
      <c r="C17" s="1">
        <v>5.0829186502665824E-3</v>
      </c>
      <c r="D17" s="1">
        <v>15.369843077080608</v>
      </c>
      <c r="E17" s="1">
        <f t="shared" si="0"/>
        <v>5.0829186502665824E-3</v>
      </c>
      <c r="F17" s="3">
        <f t="shared" si="1"/>
        <v>15.369843077080608</v>
      </c>
      <c r="J17">
        <f t="shared" si="2"/>
        <v>5.0829186502665824E-3</v>
      </c>
      <c r="K17">
        <f t="shared" si="3"/>
        <v>15.369843077080608</v>
      </c>
    </row>
    <row r="18" spans="1:11">
      <c r="A18" t="s">
        <v>24</v>
      </c>
      <c r="B18">
        <v>2009</v>
      </c>
      <c r="C18" s="1">
        <v>3.6381214915127227E-3</v>
      </c>
      <c r="D18" s="1">
        <v>14.39968403649652</v>
      </c>
      <c r="E18" s="1">
        <f t="shared" si="0"/>
        <v>3.6381214915127227E-3</v>
      </c>
      <c r="F18" s="3">
        <f t="shared" si="1"/>
        <v>14.39968403649652</v>
      </c>
      <c r="J18">
        <f t="shared" si="2"/>
        <v>3.6381214915127227E-3</v>
      </c>
      <c r="K18">
        <f t="shared" si="3"/>
        <v>14.39968403649652</v>
      </c>
    </row>
    <row r="19" spans="1:11">
      <c r="A19" t="s">
        <v>25</v>
      </c>
      <c r="B19">
        <v>2009</v>
      </c>
      <c r="C19" s="1">
        <v>2.5041344928446291E-3</v>
      </c>
      <c r="D19" s="1">
        <v>13.729171318675846</v>
      </c>
      <c r="E19" s="1">
        <f t="shared" si="0"/>
        <v>2.5041344928446291E-3</v>
      </c>
      <c r="F19" s="3">
        <f t="shared" si="1"/>
        <v>13.729171318675846</v>
      </c>
      <c r="J19">
        <f t="shared" si="2"/>
        <v>2.5041344928446291E-3</v>
      </c>
      <c r="K19">
        <f t="shared" si="3"/>
        <v>13.729171318675846</v>
      </c>
    </row>
    <row r="20" spans="1:11">
      <c r="A20" t="s">
        <v>26</v>
      </c>
      <c r="B20">
        <v>2009</v>
      </c>
      <c r="C20" s="1">
        <v>8.3055009958866149E-3</v>
      </c>
      <c r="D20" s="1">
        <v>13.492516284165836</v>
      </c>
      <c r="E20" s="1">
        <f t="shared" si="0"/>
        <v>8.3055009958866149E-3</v>
      </c>
      <c r="F20" s="3">
        <f t="shared" si="1"/>
        <v>13.492516284165836</v>
      </c>
      <c r="J20">
        <f t="shared" si="2"/>
        <v>8.3055009958866149E-3</v>
      </c>
      <c r="K20">
        <f t="shared" si="3"/>
        <v>13.492516284165836</v>
      </c>
    </row>
    <row r="21" spans="1:11">
      <c r="A21" t="s">
        <v>27</v>
      </c>
      <c r="B21">
        <v>2009</v>
      </c>
      <c r="C21" s="1">
        <v>1.6818360932793471E-3</v>
      </c>
      <c r="D21" s="1">
        <v>15.176615051633085</v>
      </c>
      <c r="E21" s="1">
        <f t="shared" si="0"/>
        <v>1.6818360932793471E-3</v>
      </c>
      <c r="F21" s="3">
        <f t="shared" si="1"/>
        <v>15.176615051633085</v>
      </c>
      <c r="J21">
        <f t="shared" si="2"/>
        <v>1.6818360932793471E-3</v>
      </c>
      <c r="K21">
        <f t="shared" si="3"/>
        <v>15.176615051633085</v>
      </c>
    </row>
    <row r="22" spans="1:11">
      <c r="A22" t="s">
        <v>28</v>
      </c>
      <c r="B22">
        <v>2009</v>
      </c>
      <c r="C22" s="1">
        <v>4.5479892917161101E-3</v>
      </c>
      <c r="D22" s="1">
        <v>14.968261854799604</v>
      </c>
      <c r="E22" s="1">
        <f t="shared" si="0"/>
        <v>4.5479892917161101E-3</v>
      </c>
      <c r="F22" s="3">
        <f t="shared" si="1"/>
        <v>14.968261854799604</v>
      </c>
      <c r="J22">
        <f t="shared" si="2"/>
        <v>4.5479892917161101E-3</v>
      </c>
      <c r="K22">
        <f t="shared" si="3"/>
        <v>14.968261854799604</v>
      </c>
    </row>
    <row r="23" spans="1:11">
      <c r="A23" t="s">
        <v>29</v>
      </c>
      <c r="B23">
        <v>2009</v>
      </c>
      <c r="C23" s="1">
        <v>1.1768330252618607E-2</v>
      </c>
      <c r="D23" s="1">
        <v>10.793228949176747</v>
      </c>
      <c r="E23" s="1">
        <f t="shared" si="0"/>
        <v>1.1768330252618607E-2</v>
      </c>
      <c r="F23" s="3">
        <f t="shared" si="1"/>
        <v>10.793228949176747</v>
      </c>
      <c r="J23">
        <f t="shared" si="2"/>
        <v>1.1768330252618607E-2</v>
      </c>
      <c r="K23">
        <f t="shared" si="3"/>
        <v>10.793228949176747</v>
      </c>
    </row>
    <row r="24" spans="1:11">
      <c r="A24" t="s">
        <v>30</v>
      </c>
      <c r="B24">
        <v>2009</v>
      </c>
      <c r="C24" s="1">
        <v>8.9478988650804076E-3</v>
      </c>
      <c r="D24" s="1">
        <v>14.417463078339292</v>
      </c>
      <c r="E24" s="1">
        <f t="shared" si="0"/>
        <v>8.9478988650804076E-3</v>
      </c>
      <c r="F24" s="3">
        <f t="shared" si="1"/>
        <v>14.417463078339292</v>
      </c>
      <c r="J24">
        <f t="shared" si="2"/>
        <v>8.9478988650804076E-3</v>
      </c>
      <c r="K24">
        <f t="shared" si="3"/>
        <v>14.417463078339292</v>
      </c>
    </row>
    <row r="25" spans="1:11">
      <c r="A25" t="s">
        <v>31</v>
      </c>
      <c r="B25">
        <v>2009</v>
      </c>
      <c r="C25" s="1">
        <v>4.7074822723218619E-3</v>
      </c>
      <c r="D25" s="1">
        <v>14.856149394856882</v>
      </c>
      <c r="E25" s="1">
        <f t="shared" si="0"/>
        <v>4.7074822723218619E-3</v>
      </c>
      <c r="F25" s="3">
        <f t="shared" si="1"/>
        <v>14.856149394856882</v>
      </c>
      <c r="J25">
        <f t="shared" si="2"/>
        <v>4.7074822723218619E-3</v>
      </c>
      <c r="K25">
        <f t="shared" si="3"/>
        <v>14.856149394856882</v>
      </c>
    </row>
    <row r="26" spans="1:11">
      <c r="A26" t="s">
        <v>32</v>
      </c>
      <c r="B26">
        <v>2009</v>
      </c>
      <c r="C26" s="1">
        <v>1.144019770491234E-3</v>
      </c>
      <c r="D26" s="1">
        <v>16.079312098236493</v>
      </c>
      <c r="E26" s="1">
        <f t="shared" si="0"/>
        <v>1.144019770491234E-3</v>
      </c>
      <c r="F26" s="3">
        <f t="shared" si="1"/>
        <v>16.079312098236493</v>
      </c>
      <c r="J26">
        <f t="shared" si="2"/>
        <v>1.144019770491234E-3</v>
      </c>
      <c r="K26">
        <f t="shared" si="3"/>
        <v>16.079312098236493</v>
      </c>
    </row>
    <row r="27" spans="1:11">
      <c r="A27" t="s">
        <v>33</v>
      </c>
      <c r="B27">
        <v>2009</v>
      </c>
      <c r="C27" s="1">
        <v>1.9010213185004603E-2</v>
      </c>
      <c r="D27" s="1">
        <v>16.023860463143006</v>
      </c>
      <c r="E27" s="1">
        <f t="shared" si="0"/>
        <v>1.9010213185004603E-2</v>
      </c>
      <c r="F27" s="3">
        <f t="shared" si="1"/>
        <v>16.023860463143006</v>
      </c>
      <c r="J27">
        <f t="shared" si="2"/>
        <v>1.9010213185004603E-2</v>
      </c>
      <c r="K27">
        <f t="shared" si="3"/>
        <v>16.023860463143006</v>
      </c>
    </row>
    <row r="28" spans="1:11">
      <c r="A28" t="s">
        <v>34</v>
      </c>
      <c r="B28">
        <v>2009</v>
      </c>
      <c r="C28" s="1">
        <v>7.8985991313990141E-3</v>
      </c>
      <c r="D28" s="1">
        <v>16.097811919950306</v>
      </c>
      <c r="E28" s="1">
        <f t="shared" si="0"/>
        <v>7.8985991313990141E-3</v>
      </c>
      <c r="F28" s="3">
        <f t="shared" si="1"/>
        <v>16.097811919950306</v>
      </c>
      <c r="J28">
        <f t="shared" si="2"/>
        <v>7.8985991313990141E-3</v>
      </c>
      <c r="K28">
        <f t="shared" si="3"/>
        <v>16.097811919950306</v>
      </c>
    </row>
    <row r="29" spans="1:11">
      <c r="A29" t="s">
        <v>35</v>
      </c>
      <c r="B29">
        <v>2009</v>
      </c>
      <c r="C29" s="1">
        <v>1.2523985513807781E-3</v>
      </c>
      <c r="D29" s="1">
        <v>14.874157776514181</v>
      </c>
      <c r="E29" s="1">
        <f t="shared" si="0"/>
        <v>1.2523985513807781E-3</v>
      </c>
      <c r="F29" s="3">
        <f t="shared" si="1"/>
        <v>14.874157776514181</v>
      </c>
      <c r="J29">
        <f t="shared" si="2"/>
        <v>1.2523985513807781E-3</v>
      </c>
      <c r="K29">
        <f t="shared" si="3"/>
        <v>14.874157776514181</v>
      </c>
    </row>
    <row r="30" spans="1:11">
      <c r="A30" t="s">
        <v>36</v>
      </c>
      <c r="B30">
        <v>2009</v>
      </c>
      <c r="C30" s="1">
        <v>1.9674630964164136E-2</v>
      </c>
      <c r="D30" s="1">
        <v>15.614530605287797</v>
      </c>
      <c r="E30" s="1">
        <f t="shared" si="0"/>
        <v>1.9674630964164136E-2</v>
      </c>
      <c r="F30" s="3">
        <f t="shared" si="1"/>
        <v>15.614530605287797</v>
      </c>
      <c r="J30">
        <f t="shared" si="2"/>
        <v>1.9674630964164136E-2</v>
      </c>
      <c r="K30">
        <f t="shared" si="3"/>
        <v>15.614530605287797</v>
      </c>
    </row>
    <row r="31" spans="1:11">
      <c r="A31" t="s">
        <v>37</v>
      </c>
      <c r="B31">
        <v>2009</v>
      </c>
      <c r="C31" s="1">
        <v>2.9962202255283781E-3</v>
      </c>
      <c r="D31" s="1">
        <v>14.749066583176603</v>
      </c>
      <c r="E31" s="1">
        <f t="shared" si="0"/>
        <v>2.9962202255283781E-3</v>
      </c>
      <c r="F31" s="3">
        <f t="shared" si="1"/>
        <v>14.749066583176603</v>
      </c>
      <c r="J31">
        <f t="shared" si="2"/>
        <v>2.9962202255283781E-3</v>
      </c>
      <c r="K31">
        <f t="shared" si="3"/>
        <v>14.749066583176603</v>
      </c>
    </row>
    <row r="32" spans="1:11">
      <c r="A32" t="s">
        <v>38</v>
      </c>
      <c r="B32">
        <v>2009</v>
      </c>
      <c r="C32" s="1">
        <v>2.1242852178308532E-3</v>
      </c>
      <c r="D32" s="1">
        <v>13.581464034678403</v>
      </c>
      <c r="E32" s="1">
        <f t="shared" si="0"/>
        <v>2.1242852178308532E-3</v>
      </c>
      <c r="F32" s="3">
        <f t="shared" si="1"/>
        <v>13.581464034678403</v>
      </c>
      <c r="J32">
        <f t="shared" si="2"/>
        <v>2.1242852178308532E-3</v>
      </c>
      <c r="K32">
        <f t="shared" si="3"/>
        <v>13.581464034678403</v>
      </c>
    </row>
    <row r="33" spans="1:11">
      <c r="A33" t="s">
        <v>39</v>
      </c>
      <c r="B33">
        <v>2009</v>
      </c>
      <c r="C33" s="1">
        <v>1.2822331856380154E-2</v>
      </c>
      <c r="D33" s="1">
        <v>13.108990355822229</v>
      </c>
      <c r="E33" s="1">
        <f t="shared" si="0"/>
        <v>1.2822331856380154E-2</v>
      </c>
      <c r="F33" s="3">
        <f t="shared" si="1"/>
        <v>13.108990355822229</v>
      </c>
      <c r="J33">
        <f t="shared" si="2"/>
        <v>1.2822331856380154E-2</v>
      </c>
      <c r="K33">
        <f t="shared" si="3"/>
        <v>13.108990355822229</v>
      </c>
    </row>
    <row r="34" spans="1:11">
      <c r="A34" t="s">
        <v>40</v>
      </c>
      <c r="B34">
        <v>2009</v>
      </c>
      <c r="C34" s="1">
        <v>3.5010826217614421E-2</v>
      </c>
      <c r="D34" s="1">
        <v>14.333586832119291</v>
      </c>
      <c r="E34" s="1">
        <f t="shared" si="0"/>
        <v>3.5010826217614421E-2</v>
      </c>
      <c r="F34" s="3">
        <f t="shared" si="1"/>
        <v>14.333586832119291</v>
      </c>
      <c r="J34">
        <f t="shared" si="2"/>
        <v>3.5010826217614421E-2</v>
      </c>
      <c r="K34">
        <f t="shared" si="3"/>
        <v>14.333586832119291</v>
      </c>
    </row>
    <row r="35" spans="1:11">
      <c r="A35" t="s">
        <v>41</v>
      </c>
      <c r="B35">
        <v>2009</v>
      </c>
      <c r="C35" s="1">
        <v>6.1235823404030103E-3</v>
      </c>
      <c r="D35" s="1">
        <v>16.043058046830662</v>
      </c>
      <c r="E35" s="1">
        <f t="shared" si="0"/>
        <v>6.1235823404030103E-3</v>
      </c>
      <c r="F35" s="3">
        <f t="shared" si="1"/>
        <v>16.043058046830662</v>
      </c>
      <c r="J35">
        <f t="shared" si="2"/>
        <v>6.1235823404030103E-3</v>
      </c>
      <c r="K35">
        <f t="shared" si="3"/>
        <v>16.043058046830662</v>
      </c>
    </row>
    <row r="36" spans="1:11">
      <c r="A36" t="s">
        <v>42</v>
      </c>
      <c r="B36">
        <v>2009</v>
      </c>
      <c r="C36" s="1">
        <v>3.7535724250393865E-2</v>
      </c>
      <c r="D36" s="1">
        <v>15.271832954603907</v>
      </c>
      <c r="E36" s="1">
        <f t="shared" si="0"/>
        <v>3.7535724250393865E-2</v>
      </c>
      <c r="F36" s="3">
        <f t="shared" si="1"/>
        <v>15.271832954603907</v>
      </c>
      <c r="J36">
        <f t="shared" si="2"/>
        <v>3.7535724250393865E-2</v>
      </c>
      <c r="K36">
        <f t="shared" si="3"/>
        <v>15.271832954603907</v>
      </c>
    </row>
    <row r="37" spans="1:11">
      <c r="A37" t="s">
        <v>43</v>
      </c>
      <c r="B37">
        <v>2009</v>
      </c>
      <c r="C37" s="1">
        <v>2.6088764569496153E-3</v>
      </c>
      <c r="D37" s="1">
        <v>12.44862266724941</v>
      </c>
      <c r="E37" s="1">
        <f t="shared" si="0"/>
        <v>2.6088764569496153E-3</v>
      </c>
      <c r="F37" s="3">
        <f t="shared" si="1"/>
        <v>12.44862266724941</v>
      </c>
      <c r="J37">
        <f t="shared" si="2"/>
        <v>2.6088764569496153E-3</v>
      </c>
      <c r="K37">
        <f t="shared" si="3"/>
        <v>12.44862266724941</v>
      </c>
    </row>
    <row r="38" spans="1:11">
      <c r="A38" t="s">
        <v>44</v>
      </c>
      <c r="B38">
        <v>2009</v>
      </c>
      <c r="C38" s="1">
        <v>1.578474836967491E-3</v>
      </c>
      <c r="D38" s="1">
        <v>13.484802675484888</v>
      </c>
      <c r="E38" s="1">
        <f t="shared" si="0"/>
        <v>1.578474836967491E-3</v>
      </c>
      <c r="F38" s="3">
        <f t="shared" si="1"/>
        <v>13.484802675484888</v>
      </c>
      <c r="J38">
        <f t="shared" si="2"/>
        <v>1.578474836967491E-3</v>
      </c>
      <c r="K38">
        <f t="shared" si="3"/>
        <v>13.484802675484888</v>
      </c>
    </row>
    <row r="39" spans="1:11">
      <c r="A39" t="s">
        <v>45</v>
      </c>
      <c r="B39">
        <v>2009</v>
      </c>
      <c r="C39" s="1">
        <v>6.4429747401843307E-4</v>
      </c>
      <c r="D39" s="1">
        <v>14.522074332169042</v>
      </c>
      <c r="E39" s="1">
        <f t="shared" si="0"/>
        <v>6.4429747401843307E-4</v>
      </c>
      <c r="F39" s="3">
        <f t="shared" si="1"/>
        <v>14.522074332169042</v>
      </c>
      <c r="J39">
        <f t="shared" si="2"/>
        <v>6.4429747401843307E-4</v>
      </c>
      <c r="K39">
        <f t="shared" si="3"/>
        <v>14.522074332169042</v>
      </c>
    </row>
    <row r="40" spans="1:11">
      <c r="A40" t="s">
        <v>46</v>
      </c>
      <c r="B40">
        <v>2009</v>
      </c>
      <c r="C40" s="1">
        <v>4.0568591376739117E-3</v>
      </c>
      <c r="D40" s="1">
        <v>14.19242391658301</v>
      </c>
      <c r="E40" s="1">
        <f t="shared" si="0"/>
        <v>4.0568591376739117E-3</v>
      </c>
      <c r="F40" s="3">
        <f t="shared" si="1"/>
        <v>14.19242391658301</v>
      </c>
      <c r="J40">
        <f t="shared" si="2"/>
        <v>4.0568591376739117E-3</v>
      </c>
      <c r="K40">
        <f t="shared" si="3"/>
        <v>14.19242391658301</v>
      </c>
    </row>
    <row r="41" spans="1:11">
      <c r="A41" t="s">
        <v>47</v>
      </c>
      <c r="B41">
        <v>2009</v>
      </c>
      <c r="C41" s="1">
        <v>4.4026321228684247E-3</v>
      </c>
      <c r="D41" s="1">
        <v>13.514728386008782</v>
      </c>
      <c r="E41" s="1">
        <f t="shared" si="0"/>
        <v>4.4026321228684247E-3</v>
      </c>
      <c r="F41" s="3">
        <f t="shared" si="1"/>
        <v>13.514728386008782</v>
      </c>
      <c r="J41">
        <f t="shared" si="2"/>
        <v>4.4026321228684247E-3</v>
      </c>
      <c r="K41">
        <f t="shared" si="3"/>
        <v>13.514728386008782</v>
      </c>
    </row>
    <row r="42" spans="1:11">
      <c r="A42" t="s">
        <v>48</v>
      </c>
      <c r="B42">
        <v>2009</v>
      </c>
      <c r="C42" s="1">
        <v>1.6869508887443256E-2</v>
      </c>
      <c r="D42" s="1">
        <v>14.416900389934099</v>
      </c>
      <c r="E42" s="1">
        <f t="shared" si="0"/>
        <v>1.6869508887443256E-2</v>
      </c>
      <c r="F42" s="3">
        <f t="shared" si="1"/>
        <v>14.416900389934099</v>
      </c>
      <c r="J42">
        <f t="shared" si="2"/>
        <v>1.6869508887443256E-2</v>
      </c>
      <c r="K42">
        <f t="shared" si="3"/>
        <v>14.416900389934099</v>
      </c>
    </row>
    <row r="43" spans="1:11">
      <c r="A43" t="s">
        <v>49</v>
      </c>
      <c r="B43">
        <v>2009</v>
      </c>
      <c r="C43" s="1">
        <v>9.3798086347410478E-3</v>
      </c>
      <c r="D43" s="1">
        <v>15.780060473581276</v>
      </c>
      <c r="E43" s="1">
        <f t="shared" si="0"/>
        <v>9.3798086347410478E-3</v>
      </c>
      <c r="F43" s="3">
        <f t="shared" si="1"/>
        <v>15.780060473581276</v>
      </c>
      <c r="J43">
        <f t="shared" si="2"/>
        <v>9.3798086347410478E-3</v>
      </c>
      <c r="K43">
        <f t="shared" si="3"/>
        <v>15.780060473581276</v>
      </c>
    </row>
    <row r="44" spans="1:11">
      <c r="A44" t="s">
        <v>50</v>
      </c>
      <c r="B44">
        <v>2009</v>
      </c>
      <c r="C44" s="1">
        <v>4.846197139756734E-3</v>
      </c>
      <c r="D44" s="1">
        <v>14.496471790540296</v>
      </c>
      <c r="E44" s="1">
        <f t="shared" si="0"/>
        <v>4.846197139756734E-3</v>
      </c>
      <c r="F44" s="3">
        <f t="shared" si="1"/>
        <v>14.496471790540296</v>
      </c>
      <c r="J44">
        <f t="shared" si="2"/>
        <v>4.846197139756734E-3</v>
      </c>
      <c r="K44">
        <f t="shared" si="3"/>
        <v>14.496471790540296</v>
      </c>
    </row>
    <row r="45" spans="1:11">
      <c r="A45" t="s">
        <v>51</v>
      </c>
      <c r="B45">
        <v>2009</v>
      </c>
      <c r="C45" s="1">
        <v>8.3630802210097124E-3</v>
      </c>
      <c r="D45" s="1">
        <v>14.059494629150326</v>
      </c>
      <c r="E45" s="1">
        <f t="shared" si="0"/>
        <v>8.3630802210097124E-3</v>
      </c>
      <c r="F45" s="3">
        <f t="shared" si="1"/>
        <v>14.059494629150326</v>
      </c>
      <c r="J45">
        <f t="shared" si="2"/>
        <v>8.3630802210097124E-3</v>
      </c>
      <c r="K45">
        <f t="shared" si="3"/>
        <v>14.059494629150326</v>
      </c>
    </row>
    <row r="46" spans="1:11">
      <c r="A46" t="s">
        <v>52</v>
      </c>
      <c r="B46">
        <v>2009</v>
      </c>
      <c r="C46" s="1">
        <v>2.7347896609608138E-2</v>
      </c>
      <c r="D46" s="1">
        <v>12.774968101001971</v>
      </c>
      <c r="E46" s="1">
        <f t="shared" si="0"/>
        <v>2.7347896609608138E-2</v>
      </c>
      <c r="F46" s="3">
        <f t="shared" si="1"/>
        <v>12.774968101001971</v>
      </c>
      <c r="J46">
        <f t="shared" si="2"/>
        <v>2.7347896609608138E-2</v>
      </c>
      <c r="K46">
        <f t="shared" si="3"/>
        <v>12.774968101001971</v>
      </c>
    </row>
    <row r="47" spans="1:11">
      <c r="A47" t="s">
        <v>53</v>
      </c>
      <c r="B47">
        <v>2009</v>
      </c>
      <c r="C47" s="1">
        <v>3.9024448817183968E-3</v>
      </c>
      <c r="D47" s="1">
        <v>14.102565934082923</v>
      </c>
      <c r="E47" s="1">
        <f t="shared" si="0"/>
        <v>3.9024448817183968E-3</v>
      </c>
      <c r="F47" s="3">
        <f t="shared" si="1"/>
        <v>14.102565934082923</v>
      </c>
      <c r="J47">
        <f t="shared" si="2"/>
        <v>3.9024448817183968E-3</v>
      </c>
      <c r="K47">
        <f t="shared" si="3"/>
        <v>14.102565934082923</v>
      </c>
    </row>
    <row r="48" spans="1:11">
      <c r="A48" t="s">
        <v>54</v>
      </c>
      <c r="B48">
        <v>2009</v>
      </c>
      <c r="C48" s="1">
        <v>1.6067990307618311E-3</v>
      </c>
      <c r="D48" s="1">
        <v>14.497203892959057</v>
      </c>
      <c r="E48" s="1">
        <f t="shared" si="0"/>
        <v>1.6067990307618311E-3</v>
      </c>
      <c r="F48" s="3">
        <f t="shared" si="1"/>
        <v>14.497203892959057</v>
      </c>
      <c r="J48">
        <f t="shared" si="2"/>
        <v>1.6067990307618311E-3</v>
      </c>
      <c r="K48">
        <f t="shared" si="3"/>
        <v>14.497203892959057</v>
      </c>
    </row>
    <row r="49" spans="1:11">
      <c r="A49" t="s">
        <v>55</v>
      </c>
      <c r="B49">
        <v>2009</v>
      </c>
      <c r="C49" s="1">
        <v>8.5426456678727464E-3</v>
      </c>
      <c r="D49" s="1">
        <v>13.745622285725689</v>
      </c>
      <c r="E49" s="1">
        <f t="shared" si="0"/>
        <v>8.5426456678727464E-3</v>
      </c>
      <c r="F49" s="3">
        <f t="shared" si="1"/>
        <v>13.745622285725689</v>
      </c>
      <c r="J49">
        <f t="shared" si="2"/>
        <v>8.5426456678727464E-3</v>
      </c>
      <c r="K49">
        <f t="shared" si="3"/>
        <v>13.745622285725689</v>
      </c>
    </row>
    <row r="50" spans="1:11">
      <c r="A50" t="s">
        <v>56</v>
      </c>
      <c r="B50">
        <v>2009</v>
      </c>
      <c r="C50" s="1">
        <v>3.0471269422456758E-3</v>
      </c>
      <c r="D50" s="1">
        <v>13.209934597652472</v>
      </c>
      <c r="E50" s="1">
        <f t="shared" si="0"/>
        <v>3.0471269422456758E-3</v>
      </c>
      <c r="F50" s="3">
        <f t="shared" si="1"/>
        <v>13.209934597652472</v>
      </c>
      <c r="J50">
        <f t="shared" si="2"/>
        <v>3.0471269422456758E-3</v>
      </c>
      <c r="K50">
        <f t="shared" si="3"/>
        <v>13.209934597652472</v>
      </c>
    </row>
    <row r="51" spans="1:11">
      <c r="A51" t="s">
        <v>57</v>
      </c>
      <c r="B51">
        <v>2009</v>
      </c>
      <c r="C51" s="1">
        <v>1.3958203190250309E-3</v>
      </c>
      <c r="D51" s="1">
        <v>12.987731951393444</v>
      </c>
      <c r="E51" s="1">
        <f t="shared" si="0"/>
        <v>1.3958203190250309E-3</v>
      </c>
      <c r="F51" s="3">
        <f t="shared" si="1"/>
        <v>12.987731951393444</v>
      </c>
      <c r="J51">
        <f t="shared" si="2"/>
        <v>1.3958203190250309E-3</v>
      </c>
      <c r="K51">
        <f t="shared" si="3"/>
        <v>12.987731951393444</v>
      </c>
    </row>
    <row r="52" spans="1:11">
      <c r="A52" t="s">
        <v>58</v>
      </c>
      <c r="B52">
        <v>2009</v>
      </c>
      <c r="C52" s="1">
        <v>6.5098000183012872E-4</v>
      </c>
      <c r="D52" s="1">
        <v>14.03529968949791</v>
      </c>
      <c r="E52" s="1">
        <f t="shared" si="0"/>
        <v>6.5098000183012872E-4</v>
      </c>
      <c r="F52" s="3">
        <f t="shared" si="1"/>
        <v>14.03529968949791</v>
      </c>
      <c r="J52">
        <f t="shared" si="2"/>
        <v>6.5098000183012872E-4</v>
      </c>
      <c r="K52">
        <f t="shared" si="3"/>
        <v>14.03529968949791</v>
      </c>
    </row>
    <row r="53" spans="1:11">
      <c r="A53" t="s">
        <v>59</v>
      </c>
      <c r="B53">
        <v>2009</v>
      </c>
      <c r="C53" s="1">
        <v>3.1095743230490233E-2</v>
      </c>
      <c r="D53" s="1">
        <v>16.017608905829082</v>
      </c>
      <c r="E53" s="1">
        <f t="shared" si="0"/>
        <v>3.1095743230490233E-2</v>
      </c>
      <c r="F53" s="3">
        <f t="shared" si="1"/>
        <v>16.017608905829082</v>
      </c>
      <c r="J53">
        <f t="shared" si="2"/>
        <v>3.1095743230490233E-2</v>
      </c>
      <c r="K53">
        <f t="shared" si="3"/>
        <v>16.017608905829082</v>
      </c>
    </row>
    <row r="54" spans="1:11">
      <c r="A54" t="s">
        <v>60</v>
      </c>
      <c r="B54">
        <v>2009</v>
      </c>
      <c r="C54" s="1">
        <v>5.2330863717627745E-4</v>
      </c>
      <c r="D54" s="1">
        <v>14.76837079934741</v>
      </c>
      <c r="E54" s="1">
        <f t="shared" si="0"/>
        <v>5.2330863717627745E-4</v>
      </c>
      <c r="F54" s="3">
        <f t="shared" si="1"/>
        <v>14.76837079934741</v>
      </c>
      <c r="J54">
        <f t="shared" si="2"/>
        <v>5.2330863717627745E-4</v>
      </c>
      <c r="K54">
        <f t="shared" si="3"/>
        <v>14.76837079934741</v>
      </c>
    </row>
    <row r="55" spans="1:11">
      <c r="A55" t="s">
        <v>61</v>
      </c>
      <c r="B55">
        <v>2009</v>
      </c>
      <c r="C55" s="1">
        <v>6.0484926450067302E-3</v>
      </c>
      <c r="D55" s="1">
        <v>16.401433726904546</v>
      </c>
      <c r="E55" s="1">
        <f t="shared" si="0"/>
        <v>6.0484926450067302E-3</v>
      </c>
      <c r="F55" s="3">
        <f t="shared" si="1"/>
        <v>16.401433726904546</v>
      </c>
      <c r="J55">
        <f t="shared" si="2"/>
        <v>6.0484926450067302E-3</v>
      </c>
      <c r="K55">
        <f t="shared" si="3"/>
        <v>16.401433726904546</v>
      </c>
    </row>
    <row r="56" spans="1:11">
      <c r="A56" t="s">
        <v>62</v>
      </c>
      <c r="B56">
        <v>2009</v>
      </c>
      <c r="C56" s="1">
        <v>3.1511995289785967E-4</v>
      </c>
      <c r="D56" s="1">
        <v>12.393290529061629</v>
      </c>
      <c r="E56" s="1">
        <f t="shared" si="0"/>
        <v>3.1511995289785967E-4</v>
      </c>
      <c r="F56" s="3">
        <f t="shared" si="1"/>
        <v>12.393290529061629</v>
      </c>
      <c r="J56">
        <f t="shared" si="2"/>
        <v>3.1511995289785967E-4</v>
      </c>
      <c r="K56">
        <f t="shared" si="3"/>
        <v>12.393290529061629</v>
      </c>
    </row>
    <row r="57" spans="1:11">
      <c r="A57" t="s">
        <v>63</v>
      </c>
      <c r="B57">
        <v>2009</v>
      </c>
      <c r="C57" s="1">
        <v>2.0881017805899783E-3</v>
      </c>
      <c r="D57" s="1">
        <v>15.301280728774248</v>
      </c>
      <c r="E57" s="1">
        <f t="shared" si="0"/>
        <v>2.0881017805899783E-3</v>
      </c>
      <c r="F57" s="3">
        <f t="shared" si="1"/>
        <v>15.301280728774248</v>
      </c>
      <c r="J57">
        <f t="shared" si="2"/>
        <v>2.0881017805899783E-3</v>
      </c>
      <c r="K57">
        <f t="shared" si="3"/>
        <v>15.301280728774248</v>
      </c>
    </row>
    <row r="58" spans="1:11">
      <c r="A58" t="s">
        <v>64</v>
      </c>
      <c r="B58">
        <v>2009</v>
      </c>
      <c r="C58" s="1">
        <v>6.1357125390632886E-3</v>
      </c>
      <c r="D58" s="1">
        <v>14.106128067800963</v>
      </c>
      <c r="E58" s="1">
        <f t="shared" si="0"/>
        <v>6.1357125390632886E-3</v>
      </c>
      <c r="F58" s="3">
        <f t="shared" si="1"/>
        <v>14.106128067800963</v>
      </c>
      <c r="J58">
        <f t="shared" si="2"/>
        <v>6.1357125390632886E-3</v>
      </c>
      <c r="K58">
        <f t="shared" si="3"/>
        <v>14.106128067800963</v>
      </c>
    </row>
    <row r="59" spans="1:11">
      <c r="A59" t="s">
        <v>65</v>
      </c>
      <c r="B59">
        <v>2009</v>
      </c>
      <c r="C59" s="1">
        <v>3.3364654767708828E-2</v>
      </c>
      <c r="D59" s="1">
        <v>16.079535575535871</v>
      </c>
      <c r="E59" s="1">
        <f t="shared" si="0"/>
        <v>3.3364654767708828E-2</v>
      </c>
      <c r="F59" s="3">
        <f t="shared" si="1"/>
        <v>16.079535575535871</v>
      </c>
      <c r="J59">
        <f t="shared" si="2"/>
        <v>3.3364654767708828E-2</v>
      </c>
      <c r="K59">
        <f t="shared" si="3"/>
        <v>16.079535575535871</v>
      </c>
    </row>
    <row r="60" spans="1:11">
      <c r="A60" t="s">
        <v>66</v>
      </c>
      <c r="B60">
        <v>2009</v>
      </c>
      <c r="C60" s="1">
        <v>5.1825708909656481E-4</v>
      </c>
      <c r="D60" s="1">
        <v>13.702766181915363</v>
      </c>
      <c r="E60" s="1">
        <f t="shared" si="0"/>
        <v>5.1825708909656481E-4</v>
      </c>
      <c r="F60" s="3">
        <f t="shared" si="1"/>
        <v>13.702766181915363</v>
      </c>
      <c r="J60">
        <f t="shared" si="2"/>
        <v>5.1825708909656481E-4</v>
      </c>
      <c r="K60">
        <f t="shared" si="3"/>
        <v>13.702766181915363</v>
      </c>
    </row>
    <row r="61" spans="1:11">
      <c r="A61" t="s">
        <v>67</v>
      </c>
      <c r="B61">
        <v>2009</v>
      </c>
      <c r="C61" s="1">
        <v>3.8418684325550725E-3</v>
      </c>
      <c r="D61" s="1">
        <v>14.498094644970328</v>
      </c>
      <c r="E61" s="1">
        <f t="shared" si="0"/>
        <v>3.8418684325550725E-3</v>
      </c>
      <c r="F61" s="3">
        <f t="shared" si="1"/>
        <v>14.498094644970328</v>
      </c>
      <c r="J61">
        <f t="shared" si="2"/>
        <v>3.8418684325550725E-3</v>
      </c>
      <c r="K61">
        <f t="shared" si="3"/>
        <v>14.498094644970328</v>
      </c>
    </row>
    <row r="62" spans="1:11">
      <c r="A62" t="s">
        <v>68</v>
      </c>
      <c r="B62">
        <v>2009</v>
      </c>
      <c r="C62" s="1">
        <v>6.9772753225990636E-3</v>
      </c>
      <c r="D62" s="1">
        <v>11.38019375251627</v>
      </c>
      <c r="E62" s="1">
        <f t="shared" si="0"/>
        <v>6.9772753225990636E-3</v>
      </c>
      <c r="F62" s="3">
        <f t="shared" si="1"/>
        <v>11.38019375251627</v>
      </c>
      <c r="J62">
        <f t="shared" si="2"/>
        <v>6.9772753225990636E-3</v>
      </c>
      <c r="K62">
        <f t="shared" si="3"/>
        <v>11.38019375251627</v>
      </c>
    </row>
    <row r="63" spans="1:11">
      <c r="A63" t="s">
        <v>69</v>
      </c>
      <c r="B63">
        <v>2009</v>
      </c>
      <c r="C63" s="1">
        <v>4.9043047534973823E-4</v>
      </c>
      <c r="D63" s="1">
        <v>11.309106485525438</v>
      </c>
      <c r="E63" s="1">
        <f t="shared" si="0"/>
        <v>4.9043047534973823E-4</v>
      </c>
      <c r="F63" s="3">
        <f t="shared" si="1"/>
        <v>11.309106485525438</v>
      </c>
      <c r="J63">
        <f t="shared" si="2"/>
        <v>4.9043047534973823E-4</v>
      </c>
      <c r="K63">
        <f t="shared" si="3"/>
        <v>11.309106485525438</v>
      </c>
    </row>
    <row r="64" spans="1:11">
      <c r="A64" t="s">
        <v>70</v>
      </c>
      <c r="B64">
        <v>2009</v>
      </c>
      <c r="C64" s="1">
        <v>4.3556304315510677E-2</v>
      </c>
      <c r="D64" s="1">
        <v>13.346509625849709</v>
      </c>
      <c r="E64" s="1">
        <f t="shared" si="0"/>
        <v>4.3556304315510677E-2</v>
      </c>
      <c r="F64" s="3">
        <f t="shared" si="1"/>
        <v>13.346509625849709</v>
      </c>
      <c r="J64">
        <f t="shared" si="2"/>
        <v>4.3556304315510677E-2</v>
      </c>
      <c r="K64">
        <f t="shared" si="3"/>
        <v>13.346509625849709</v>
      </c>
    </row>
    <row r="65" spans="1:11">
      <c r="A65" t="s">
        <v>71</v>
      </c>
      <c r="B65">
        <v>2009</v>
      </c>
      <c r="C65" s="1">
        <v>3.7879668686605617E-3</v>
      </c>
      <c r="D65" s="1">
        <v>14.070259747360437</v>
      </c>
      <c r="E65" s="1">
        <f t="shared" si="0"/>
        <v>3.7879668686605617E-3</v>
      </c>
      <c r="F65" s="3">
        <f t="shared" si="1"/>
        <v>14.070259747360437</v>
      </c>
      <c r="J65">
        <f t="shared" si="2"/>
        <v>3.7879668686605617E-3</v>
      </c>
      <c r="K65">
        <f t="shared" si="3"/>
        <v>14.070259747360437</v>
      </c>
    </row>
    <row r="66" spans="1:11">
      <c r="A66" t="s">
        <v>72</v>
      </c>
      <c r="B66">
        <v>2009</v>
      </c>
      <c r="C66" s="1">
        <v>1.7253890757666355E-3</v>
      </c>
      <c r="D66" s="1">
        <v>16.801669402128816</v>
      </c>
      <c r="E66" s="1">
        <f t="shared" si="0"/>
        <v>1.7253890757666355E-3</v>
      </c>
      <c r="F66" s="3">
        <f t="shared" si="1"/>
        <v>16.801669402128816</v>
      </c>
      <c r="J66">
        <f t="shared" si="2"/>
        <v>1.7253890757666355E-3</v>
      </c>
      <c r="K66">
        <f t="shared" si="3"/>
        <v>16.801669402128816</v>
      </c>
    </row>
    <row r="67" spans="1:11">
      <c r="A67" t="s">
        <v>73</v>
      </c>
      <c r="B67">
        <v>2009</v>
      </c>
      <c r="C67" s="1">
        <v>3.5380671771362174E-3</v>
      </c>
      <c r="D67" s="1">
        <v>17.265900752880569</v>
      </c>
      <c r="E67" s="1">
        <f t="shared" ref="E67:E130" si="4">IF(C67="out",$H$2,C67)</f>
        <v>3.5380671771362174E-3</v>
      </c>
      <c r="F67" s="3">
        <f t="shared" ref="F67:F130" si="5">IF(D67="out",$I$2,D67)</f>
        <v>17.265900752880569</v>
      </c>
      <c r="J67">
        <f t="shared" ref="J67:J130" si="6">IF(C67="out",$H$2,C67)</f>
        <v>3.5380671771362174E-3</v>
      </c>
      <c r="K67">
        <f t="shared" ref="K67:K130" si="7">IF(D67="out",$H$2,D67)</f>
        <v>17.265900752880569</v>
      </c>
    </row>
    <row r="68" spans="1:11">
      <c r="A68" t="s">
        <v>74</v>
      </c>
      <c r="B68">
        <v>2009</v>
      </c>
      <c r="C68" s="1">
        <v>6.1420351017666091E-4</v>
      </c>
      <c r="D68" s="1">
        <v>14.837090962986984</v>
      </c>
      <c r="E68" s="1">
        <f t="shared" si="4"/>
        <v>6.1420351017666091E-4</v>
      </c>
      <c r="F68" s="3">
        <f t="shared" si="5"/>
        <v>14.837090962986984</v>
      </c>
      <c r="J68">
        <f t="shared" si="6"/>
        <v>6.1420351017666091E-4</v>
      </c>
      <c r="K68">
        <f t="shared" si="7"/>
        <v>14.837090962986984</v>
      </c>
    </row>
    <row r="69" spans="1:11">
      <c r="A69" t="s">
        <v>75</v>
      </c>
      <c r="B69">
        <v>2009</v>
      </c>
      <c r="C69" s="1">
        <v>3.5098568001328363E-3</v>
      </c>
      <c r="D69" s="1">
        <v>12.070544975955775</v>
      </c>
      <c r="E69" s="1">
        <f t="shared" si="4"/>
        <v>3.5098568001328363E-3</v>
      </c>
      <c r="F69" s="3">
        <f t="shared" si="5"/>
        <v>12.070544975955775</v>
      </c>
      <c r="J69">
        <f t="shared" si="6"/>
        <v>3.5098568001328363E-3</v>
      </c>
      <c r="K69">
        <f t="shared" si="7"/>
        <v>12.070544975955775</v>
      </c>
    </row>
    <row r="70" spans="1:11">
      <c r="A70" t="s">
        <v>76</v>
      </c>
      <c r="B70">
        <v>2009</v>
      </c>
      <c r="C70" s="1">
        <v>2.0381957082697043E-2</v>
      </c>
      <c r="D70" s="1">
        <v>14.897552310497723</v>
      </c>
      <c r="E70" s="1">
        <f t="shared" si="4"/>
        <v>2.0381957082697043E-2</v>
      </c>
      <c r="F70" s="3">
        <f t="shared" si="5"/>
        <v>14.897552310497723</v>
      </c>
      <c r="J70">
        <f t="shared" si="6"/>
        <v>2.0381957082697043E-2</v>
      </c>
      <c r="K70">
        <f t="shared" si="7"/>
        <v>14.897552310497723</v>
      </c>
    </row>
    <row r="71" spans="1:11">
      <c r="A71" t="s">
        <v>77</v>
      </c>
      <c r="B71">
        <v>2009</v>
      </c>
      <c r="C71" s="1">
        <v>1.5758248591340345E-3</v>
      </c>
      <c r="D71" s="1">
        <v>14.158238898579265</v>
      </c>
      <c r="E71" s="1">
        <f t="shared" si="4"/>
        <v>1.5758248591340345E-3</v>
      </c>
      <c r="F71" s="3">
        <f t="shared" si="5"/>
        <v>14.158238898579265</v>
      </c>
      <c r="J71">
        <f t="shared" si="6"/>
        <v>1.5758248591340345E-3</v>
      </c>
      <c r="K71">
        <f t="shared" si="7"/>
        <v>14.158238898579265</v>
      </c>
    </row>
    <row r="72" spans="1:11">
      <c r="A72" t="s">
        <v>78</v>
      </c>
      <c r="B72">
        <v>2009</v>
      </c>
      <c r="C72" s="1">
        <v>4.0929034158783979E-3</v>
      </c>
      <c r="D72" s="1">
        <v>14.252345771896591</v>
      </c>
      <c r="E72" s="1">
        <f t="shared" si="4"/>
        <v>4.0929034158783979E-3</v>
      </c>
      <c r="F72" s="3">
        <f t="shared" si="5"/>
        <v>14.252345771896591</v>
      </c>
      <c r="J72">
        <f t="shared" si="6"/>
        <v>4.0929034158783979E-3</v>
      </c>
      <c r="K72">
        <f t="shared" si="7"/>
        <v>14.252345771896591</v>
      </c>
    </row>
    <row r="73" spans="1:11">
      <c r="A73" t="s">
        <v>79</v>
      </c>
      <c r="B73">
        <v>2009</v>
      </c>
      <c r="C73" s="1">
        <v>2.0315740466415543E-3</v>
      </c>
      <c r="D73" s="1">
        <v>13.759024858977412</v>
      </c>
      <c r="E73" s="1">
        <f t="shared" si="4"/>
        <v>2.0315740466415543E-3</v>
      </c>
      <c r="F73" s="3">
        <f t="shared" si="5"/>
        <v>13.759024858977412</v>
      </c>
      <c r="J73">
        <f t="shared" si="6"/>
        <v>2.0315740466415543E-3</v>
      </c>
      <c r="K73">
        <f t="shared" si="7"/>
        <v>13.759024858977412</v>
      </c>
    </row>
    <row r="74" spans="1:11">
      <c r="A74" t="s">
        <v>80</v>
      </c>
      <c r="B74">
        <v>2009</v>
      </c>
      <c r="C74" s="1">
        <v>3.4930250584433697E-4</v>
      </c>
      <c r="D74" s="1">
        <v>16.002914402715774</v>
      </c>
      <c r="E74" s="1">
        <f t="shared" si="4"/>
        <v>3.4930250584433697E-4</v>
      </c>
      <c r="F74" s="3">
        <f t="shared" si="5"/>
        <v>16.002914402715774</v>
      </c>
      <c r="J74">
        <f t="shared" si="6"/>
        <v>3.4930250584433697E-4</v>
      </c>
      <c r="K74">
        <f t="shared" si="7"/>
        <v>16.002914402715774</v>
      </c>
    </row>
    <row r="75" spans="1:11">
      <c r="A75" t="s">
        <v>81</v>
      </c>
      <c r="B75">
        <v>2009</v>
      </c>
      <c r="C75" s="1">
        <v>4.7114225109433604E-3</v>
      </c>
      <c r="D75" s="1">
        <v>12.987741104271681</v>
      </c>
      <c r="E75" s="1">
        <f t="shared" si="4"/>
        <v>4.7114225109433604E-3</v>
      </c>
      <c r="F75" s="3">
        <f t="shared" si="5"/>
        <v>12.987741104271681</v>
      </c>
      <c r="J75">
        <f t="shared" si="6"/>
        <v>4.7114225109433604E-3</v>
      </c>
      <c r="K75">
        <f t="shared" si="7"/>
        <v>12.987741104271681</v>
      </c>
    </row>
    <row r="76" spans="1:11">
      <c r="A76" t="s">
        <v>82</v>
      </c>
      <c r="B76">
        <v>2009</v>
      </c>
      <c r="C76" s="1">
        <v>5.9166215194868602E-3</v>
      </c>
      <c r="D76" s="1">
        <v>14.21771034069547</v>
      </c>
      <c r="E76" s="1">
        <f t="shared" si="4"/>
        <v>5.9166215194868602E-3</v>
      </c>
      <c r="F76" s="3">
        <f t="shared" si="5"/>
        <v>14.21771034069547</v>
      </c>
      <c r="J76">
        <f t="shared" si="6"/>
        <v>5.9166215194868602E-3</v>
      </c>
      <c r="K76">
        <f t="shared" si="7"/>
        <v>14.21771034069547</v>
      </c>
    </row>
    <row r="77" spans="1:11">
      <c r="A77" t="s">
        <v>83</v>
      </c>
      <c r="B77">
        <v>2009</v>
      </c>
      <c r="C77" s="1">
        <v>4.4182778530460383E-3</v>
      </c>
      <c r="D77" s="1">
        <v>15.232993702863354</v>
      </c>
      <c r="E77" s="1">
        <f t="shared" si="4"/>
        <v>4.4182778530460383E-3</v>
      </c>
      <c r="F77" s="3">
        <f t="shared" si="5"/>
        <v>15.232993702863354</v>
      </c>
      <c r="J77">
        <f t="shared" si="6"/>
        <v>4.4182778530460383E-3</v>
      </c>
      <c r="K77">
        <f t="shared" si="7"/>
        <v>15.232993702863354</v>
      </c>
    </row>
    <row r="78" spans="1:11">
      <c r="A78" t="s">
        <v>84</v>
      </c>
      <c r="B78">
        <v>2009</v>
      </c>
      <c r="C78" s="1">
        <v>6.486592336029961E-4</v>
      </c>
      <c r="D78" s="1">
        <v>14.201266714388561</v>
      </c>
      <c r="E78" s="1">
        <f t="shared" si="4"/>
        <v>6.486592336029961E-4</v>
      </c>
      <c r="F78" s="3">
        <f t="shared" si="5"/>
        <v>14.201266714388561</v>
      </c>
      <c r="J78">
        <f t="shared" si="6"/>
        <v>6.486592336029961E-4</v>
      </c>
      <c r="K78">
        <f t="shared" si="7"/>
        <v>14.201266714388561</v>
      </c>
    </row>
    <row r="79" spans="1:11">
      <c r="A79" t="s">
        <v>85</v>
      </c>
      <c r="B79">
        <v>2009</v>
      </c>
      <c r="C79" s="1">
        <v>3.1589372117370756E-2</v>
      </c>
      <c r="D79" s="1">
        <v>12.082236954455269</v>
      </c>
      <c r="E79" s="1">
        <f t="shared" si="4"/>
        <v>3.1589372117370756E-2</v>
      </c>
      <c r="F79" s="3">
        <f t="shared" si="5"/>
        <v>12.082236954455269</v>
      </c>
      <c r="J79">
        <f t="shared" si="6"/>
        <v>3.1589372117370756E-2</v>
      </c>
      <c r="K79">
        <f t="shared" si="7"/>
        <v>12.082236954455269</v>
      </c>
    </row>
    <row r="80" spans="1:11">
      <c r="A80" t="s">
        <v>86</v>
      </c>
      <c r="B80">
        <v>2009</v>
      </c>
      <c r="C80" s="1">
        <v>8.0143989200809937E-4</v>
      </c>
      <c r="D80" s="1">
        <v>15.201879916271805</v>
      </c>
      <c r="E80" s="1">
        <f t="shared" si="4"/>
        <v>8.0143989200809937E-4</v>
      </c>
      <c r="F80" s="3">
        <f t="shared" si="5"/>
        <v>15.201879916271805</v>
      </c>
      <c r="J80">
        <f t="shared" si="6"/>
        <v>8.0143989200809937E-4</v>
      </c>
      <c r="K80">
        <f t="shared" si="7"/>
        <v>15.201879916271805</v>
      </c>
    </row>
    <row r="81" spans="1:11">
      <c r="A81" t="s">
        <v>87</v>
      </c>
      <c r="B81">
        <v>2009</v>
      </c>
      <c r="C81" s="1">
        <v>4.4659095501758074E-3</v>
      </c>
      <c r="D81" s="1">
        <v>12.888886621950327</v>
      </c>
      <c r="E81" s="1">
        <f t="shared" si="4"/>
        <v>4.4659095501758074E-3</v>
      </c>
      <c r="F81" s="3">
        <f t="shared" si="5"/>
        <v>12.888886621950327</v>
      </c>
      <c r="J81">
        <f t="shared" si="6"/>
        <v>4.4659095501758074E-3</v>
      </c>
      <c r="K81">
        <f t="shared" si="7"/>
        <v>12.888886621950327</v>
      </c>
    </row>
    <row r="82" spans="1:11">
      <c r="A82" t="s">
        <v>88</v>
      </c>
      <c r="B82">
        <v>2009</v>
      </c>
      <c r="C82" s="1">
        <v>6.9281834177716351E-3</v>
      </c>
      <c r="D82" s="1">
        <v>14.955564808932893</v>
      </c>
      <c r="E82" s="1">
        <f t="shared" si="4"/>
        <v>6.9281834177716351E-3</v>
      </c>
      <c r="F82" s="3">
        <f t="shared" si="5"/>
        <v>14.955564808932893</v>
      </c>
      <c r="J82">
        <f t="shared" si="6"/>
        <v>6.9281834177716351E-3</v>
      </c>
      <c r="K82">
        <f t="shared" si="7"/>
        <v>14.955564808932893</v>
      </c>
    </row>
    <row r="83" spans="1:11">
      <c r="A83" t="s">
        <v>89</v>
      </c>
      <c r="B83">
        <v>2009</v>
      </c>
      <c r="C83" s="1">
        <v>2.359770758897916E-3</v>
      </c>
      <c r="D83" s="1">
        <v>13.729366441159426</v>
      </c>
      <c r="E83" s="1">
        <f t="shared" si="4"/>
        <v>2.359770758897916E-3</v>
      </c>
      <c r="F83" s="3">
        <f t="shared" si="5"/>
        <v>13.729366441159426</v>
      </c>
      <c r="J83">
        <f t="shared" si="6"/>
        <v>2.359770758897916E-3</v>
      </c>
      <c r="K83">
        <f t="shared" si="7"/>
        <v>13.729366441159426</v>
      </c>
    </row>
    <row r="84" spans="1:11">
      <c r="A84" t="s">
        <v>90</v>
      </c>
      <c r="B84">
        <v>2009</v>
      </c>
      <c r="C84" s="1">
        <v>8.4368010934005467E-3</v>
      </c>
      <c r="D84" s="1">
        <v>13.711713264282505</v>
      </c>
      <c r="E84" s="1">
        <f t="shared" si="4"/>
        <v>8.4368010934005467E-3</v>
      </c>
      <c r="F84" s="3">
        <f t="shared" si="5"/>
        <v>13.711713264282505</v>
      </c>
      <c r="J84">
        <f t="shared" si="6"/>
        <v>8.4368010934005467E-3</v>
      </c>
      <c r="K84">
        <f t="shared" si="7"/>
        <v>13.711713264282505</v>
      </c>
    </row>
    <row r="85" spans="1:11">
      <c r="A85" t="s">
        <v>91</v>
      </c>
      <c r="B85">
        <v>2009</v>
      </c>
      <c r="C85" s="1">
        <v>3.6511236647830412E-3</v>
      </c>
      <c r="D85" s="1">
        <v>14.656769937654399</v>
      </c>
      <c r="E85" s="1">
        <f t="shared" si="4"/>
        <v>3.6511236647830412E-3</v>
      </c>
      <c r="F85" s="3">
        <f t="shared" si="5"/>
        <v>14.656769937654399</v>
      </c>
      <c r="J85">
        <f t="shared" si="6"/>
        <v>3.6511236647830412E-3</v>
      </c>
      <c r="K85">
        <f t="shared" si="7"/>
        <v>14.656769937654399</v>
      </c>
    </row>
    <row r="86" spans="1:11">
      <c r="A86" t="s">
        <v>92</v>
      </c>
      <c r="B86">
        <v>2009</v>
      </c>
      <c r="C86" s="1">
        <v>5.4015262062531398E-2</v>
      </c>
      <c r="D86" s="1">
        <v>12.837947963608627</v>
      </c>
      <c r="E86" s="1">
        <f t="shared" si="4"/>
        <v>5.4015262062531398E-2</v>
      </c>
      <c r="F86" s="3">
        <f t="shared" si="5"/>
        <v>12.837947963608627</v>
      </c>
      <c r="J86">
        <f t="shared" si="6"/>
        <v>5.4015262062531398E-2</v>
      </c>
      <c r="K86">
        <f t="shared" si="7"/>
        <v>12.837947963608627</v>
      </c>
    </row>
    <row r="87" spans="1:11">
      <c r="A87" t="s">
        <v>93</v>
      </c>
      <c r="B87">
        <v>2009</v>
      </c>
      <c r="C87" s="1">
        <v>4.805859109980817E-3</v>
      </c>
      <c r="D87" s="1">
        <v>16.928167009573134</v>
      </c>
      <c r="E87" s="1">
        <f t="shared" si="4"/>
        <v>4.805859109980817E-3</v>
      </c>
      <c r="F87" s="3">
        <f t="shared" si="5"/>
        <v>16.928167009573134</v>
      </c>
      <c r="J87">
        <f t="shared" si="6"/>
        <v>4.805859109980817E-3</v>
      </c>
      <c r="K87">
        <f t="shared" si="7"/>
        <v>16.928167009573134</v>
      </c>
    </row>
    <row r="88" spans="1:11">
      <c r="A88" t="s">
        <v>94</v>
      </c>
      <c r="B88">
        <v>2009</v>
      </c>
      <c r="C88" s="1">
        <v>7.4336090652615166E-3</v>
      </c>
      <c r="D88" s="1">
        <v>16.300895676601129</v>
      </c>
      <c r="E88" s="1">
        <f t="shared" si="4"/>
        <v>7.4336090652615166E-3</v>
      </c>
      <c r="F88" s="3">
        <f t="shared" si="5"/>
        <v>16.300895676601129</v>
      </c>
      <c r="J88">
        <f t="shared" si="6"/>
        <v>7.4336090652615166E-3</v>
      </c>
      <c r="K88">
        <f t="shared" si="7"/>
        <v>16.300895676601129</v>
      </c>
    </row>
    <row r="89" spans="1:11">
      <c r="A89" t="s">
        <v>95</v>
      </c>
      <c r="B89">
        <v>2009</v>
      </c>
      <c r="C89" s="1">
        <v>2.0363282931003734E-3</v>
      </c>
      <c r="D89" s="1">
        <v>14.016243251504505</v>
      </c>
      <c r="E89" s="1">
        <f t="shared" si="4"/>
        <v>2.0363282931003734E-3</v>
      </c>
      <c r="F89" s="3">
        <f t="shared" si="5"/>
        <v>14.016243251504505</v>
      </c>
      <c r="J89">
        <f t="shared" si="6"/>
        <v>2.0363282931003734E-3</v>
      </c>
      <c r="K89">
        <f t="shared" si="7"/>
        <v>14.016243251504505</v>
      </c>
    </row>
    <row r="90" spans="1:11">
      <c r="A90" t="s">
        <v>96</v>
      </c>
      <c r="B90">
        <v>2009</v>
      </c>
      <c r="C90" s="1">
        <v>6.1713460196571399E-3</v>
      </c>
      <c r="D90" s="1">
        <v>13.25405457791344</v>
      </c>
      <c r="E90" s="1">
        <f t="shared" si="4"/>
        <v>6.1713460196571399E-3</v>
      </c>
      <c r="F90" s="3">
        <f t="shared" si="5"/>
        <v>13.25405457791344</v>
      </c>
      <c r="J90">
        <f t="shared" si="6"/>
        <v>6.1713460196571399E-3</v>
      </c>
      <c r="K90">
        <f t="shared" si="7"/>
        <v>13.25405457791344</v>
      </c>
    </row>
    <row r="91" spans="1:11">
      <c r="A91" t="s">
        <v>97</v>
      </c>
      <c r="B91">
        <v>2009</v>
      </c>
      <c r="C91" s="1" t="s">
        <v>305</v>
      </c>
      <c r="D91" s="1" t="s">
        <v>305</v>
      </c>
      <c r="E91" s="1">
        <f t="shared" si="4"/>
        <v>8.3055009958866149E-3</v>
      </c>
      <c r="F91" s="3">
        <f t="shared" si="5"/>
        <v>14.498094644970328</v>
      </c>
      <c r="J91">
        <f t="shared" si="6"/>
        <v>8.3055009958866149E-3</v>
      </c>
      <c r="K91">
        <f t="shared" si="7"/>
        <v>8.3055009958866149E-3</v>
      </c>
    </row>
    <row r="92" spans="1:11">
      <c r="A92" t="s">
        <v>98</v>
      </c>
      <c r="B92">
        <v>2009</v>
      </c>
      <c r="C92" s="1">
        <v>6.6340204480031762E-3</v>
      </c>
      <c r="D92" s="1">
        <v>12.108117972132941</v>
      </c>
      <c r="E92" s="1">
        <f t="shared" si="4"/>
        <v>6.6340204480031762E-3</v>
      </c>
      <c r="F92" s="3">
        <f t="shared" si="5"/>
        <v>12.108117972132941</v>
      </c>
      <c r="J92">
        <f t="shared" si="6"/>
        <v>6.6340204480031762E-3</v>
      </c>
      <c r="K92">
        <f t="shared" si="7"/>
        <v>12.108117972132941</v>
      </c>
    </row>
    <row r="93" spans="1:11">
      <c r="A93" t="s">
        <v>99</v>
      </c>
      <c r="B93">
        <v>2009</v>
      </c>
      <c r="C93" s="1">
        <v>4.533855207236006E-3</v>
      </c>
      <c r="D93" s="1">
        <v>12.99558399570653</v>
      </c>
      <c r="E93" s="1">
        <f t="shared" si="4"/>
        <v>4.533855207236006E-3</v>
      </c>
      <c r="F93" s="3">
        <f t="shared" si="5"/>
        <v>12.99558399570653</v>
      </c>
      <c r="J93">
        <f t="shared" si="6"/>
        <v>4.533855207236006E-3</v>
      </c>
      <c r="K93">
        <f t="shared" si="7"/>
        <v>12.99558399570653</v>
      </c>
    </row>
    <row r="94" spans="1:11">
      <c r="A94" t="s">
        <v>100</v>
      </c>
      <c r="B94">
        <v>2009</v>
      </c>
      <c r="C94" s="1">
        <v>5.3059278910844044E-3</v>
      </c>
      <c r="D94" s="1">
        <v>14.808761960604119</v>
      </c>
      <c r="E94" s="1">
        <f t="shared" si="4"/>
        <v>5.3059278910844044E-3</v>
      </c>
      <c r="F94" s="3">
        <f t="shared" si="5"/>
        <v>14.808761960604119</v>
      </c>
      <c r="J94">
        <f t="shared" si="6"/>
        <v>5.3059278910844044E-3</v>
      </c>
      <c r="K94">
        <f t="shared" si="7"/>
        <v>14.808761960604119</v>
      </c>
    </row>
    <row r="95" spans="1:11">
      <c r="A95" t="s">
        <v>101</v>
      </c>
      <c r="B95">
        <v>2009</v>
      </c>
      <c r="C95" s="1">
        <v>3.163115648020859E-3</v>
      </c>
      <c r="D95" s="1">
        <v>14.331471175056318</v>
      </c>
      <c r="E95" s="1">
        <f t="shared" si="4"/>
        <v>3.163115648020859E-3</v>
      </c>
      <c r="F95" s="3">
        <f t="shared" si="5"/>
        <v>14.331471175056318</v>
      </c>
      <c r="J95">
        <f t="shared" si="6"/>
        <v>3.163115648020859E-3</v>
      </c>
      <c r="K95">
        <f t="shared" si="7"/>
        <v>14.331471175056318</v>
      </c>
    </row>
    <row r="96" spans="1:11">
      <c r="A96" t="s">
        <v>102</v>
      </c>
      <c r="B96">
        <v>2009</v>
      </c>
      <c r="C96" s="1">
        <v>8.7641979640263237E-3</v>
      </c>
      <c r="D96" s="1">
        <v>14.307748903598005</v>
      </c>
      <c r="E96" s="1">
        <f t="shared" si="4"/>
        <v>8.7641979640263237E-3</v>
      </c>
      <c r="F96" s="3">
        <f t="shared" si="5"/>
        <v>14.307748903598005</v>
      </c>
      <c r="J96">
        <f t="shared" si="6"/>
        <v>8.7641979640263237E-3</v>
      </c>
      <c r="K96">
        <f t="shared" si="7"/>
        <v>14.307748903598005</v>
      </c>
    </row>
    <row r="97" spans="1:11">
      <c r="A97" t="s">
        <v>103</v>
      </c>
      <c r="B97">
        <v>2009</v>
      </c>
      <c r="C97" s="1">
        <v>6.2125748502994009E-2</v>
      </c>
      <c r="D97" s="1" t="s">
        <v>305</v>
      </c>
      <c r="E97" s="1">
        <f t="shared" si="4"/>
        <v>6.2125748502994009E-2</v>
      </c>
      <c r="F97" s="3">
        <f t="shared" si="5"/>
        <v>14.498094644970328</v>
      </c>
      <c r="J97">
        <f t="shared" si="6"/>
        <v>6.2125748502994009E-2</v>
      </c>
      <c r="K97">
        <f t="shared" si="7"/>
        <v>8.3055009958866149E-3</v>
      </c>
    </row>
    <row r="98" spans="1:11">
      <c r="A98" t="s">
        <v>104</v>
      </c>
      <c r="B98">
        <v>2009</v>
      </c>
      <c r="C98" s="1">
        <v>1.9978034939590557E-2</v>
      </c>
      <c r="D98" s="1">
        <v>14.408415767404785</v>
      </c>
      <c r="E98" s="1">
        <f t="shared" si="4"/>
        <v>1.9978034939590557E-2</v>
      </c>
      <c r="F98" s="3">
        <f t="shared" si="5"/>
        <v>14.408415767404785</v>
      </c>
      <c r="J98">
        <f t="shared" si="6"/>
        <v>1.9978034939590557E-2</v>
      </c>
      <c r="K98">
        <f t="shared" si="7"/>
        <v>14.408415767404785</v>
      </c>
    </row>
    <row r="99" spans="1:11">
      <c r="A99" t="s">
        <v>105</v>
      </c>
      <c r="B99">
        <v>2009</v>
      </c>
      <c r="C99" s="1">
        <v>4.0421351475336048E-3</v>
      </c>
      <c r="D99" s="1">
        <v>15.024607312407619</v>
      </c>
      <c r="E99" s="1">
        <f t="shared" si="4"/>
        <v>4.0421351475336048E-3</v>
      </c>
      <c r="F99" s="3">
        <f t="shared" si="5"/>
        <v>15.024607312407619</v>
      </c>
      <c r="J99">
        <f t="shared" si="6"/>
        <v>4.0421351475336048E-3</v>
      </c>
      <c r="K99">
        <f t="shared" si="7"/>
        <v>15.024607312407619</v>
      </c>
    </row>
    <row r="100" spans="1:11">
      <c r="A100" t="s">
        <v>106</v>
      </c>
      <c r="B100">
        <v>2009</v>
      </c>
      <c r="C100" s="1">
        <v>1.1610226042057898E-2</v>
      </c>
      <c r="D100" s="1">
        <v>12.521762560825977</v>
      </c>
      <c r="E100" s="1">
        <f t="shared" si="4"/>
        <v>1.1610226042057898E-2</v>
      </c>
      <c r="F100" s="3">
        <f t="shared" si="5"/>
        <v>12.521762560825977</v>
      </c>
      <c r="J100">
        <f t="shared" si="6"/>
        <v>1.1610226042057898E-2</v>
      </c>
      <c r="K100">
        <f t="shared" si="7"/>
        <v>12.521762560825977</v>
      </c>
    </row>
    <row r="101" spans="1:11">
      <c r="A101" t="s">
        <v>107</v>
      </c>
      <c r="B101">
        <v>2009</v>
      </c>
      <c r="C101" s="1">
        <v>1.0849271935187733E-2</v>
      </c>
      <c r="D101" s="1">
        <v>15.146057244976932</v>
      </c>
      <c r="E101" s="1">
        <f t="shared" si="4"/>
        <v>1.0849271935187733E-2</v>
      </c>
      <c r="F101" s="3">
        <f t="shared" si="5"/>
        <v>15.146057244976932</v>
      </c>
      <c r="J101">
        <f t="shared" si="6"/>
        <v>1.0849271935187733E-2</v>
      </c>
      <c r="K101">
        <f t="shared" si="7"/>
        <v>15.146057244976932</v>
      </c>
    </row>
    <row r="102" spans="1:11">
      <c r="A102" t="s">
        <v>108</v>
      </c>
      <c r="B102">
        <v>2009</v>
      </c>
      <c r="C102" s="1">
        <v>1.7502880472458505E-3</v>
      </c>
      <c r="D102" s="1">
        <v>16.196530975175257</v>
      </c>
      <c r="E102" s="1">
        <f t="shared" si="4"/>
        <v>1.7502880472458505E-3</v>
      </c>
      <c r="F102" s="3">
        <f t="shared" si="5"/>
        <v>16.196530975175257</v>
      </c>
      <c r="J102">
        <f t="shared" si="6"/>
        <v>1.7502880472458505E-3</v>
      </c>
      <c r="K102">
        <f t="shared" si="7"/>
        <v>16.196530975175257</v>
      </c>
    </row>
    <row r="103" spans="1:11">
      <c r="A103" t="s">
        <v>109</v>
      </c>
      <c r="B103">
        <v>2009</v>
      </c>
      <c r="C103" s="1">
        <v>1.3881365966719992E-2</v>
      </c>
      <c r="D103" s="1">
        <v>15.110731302359738</v>
      </c>
      <c r="E103" s="1">
        <f t="shared" si="4"/>
        <v>1.3881365966719992E-2</v>
      </c>
      <c r="F103" s="3">
        <f t="shared" si="5"/>
        <v>15.110731302359738</v>
      </c>
      <c r="J103">
        <f t="shared" si="6"/>
        <v>1.3881365966719992E-2</v>
      </c>
      <c r="K103">
        <f t="shared" si="7"/>
        <v>15.110731302359738</v>
      </c>
    </row>
    <row r="104" spans="1:11">
      <c r="A104" t="s">
        <v>110</v>
      </c>
      <c r="B104">
        <v>2009</v>
      </c>
      <c r="C104" s="1">
        <v>5.1643748076968593E-3</v>
      </c>
      <c r="D104" s="1">
        <v>14.052580682806431</v>
      </c>
      <c r="E104" s="1">
        <f t="shared" si="4"/>
        <v>5.1643748076968593E-3</v>
      </c>
      <c r="F104" s="3">
        <f t="shared" si="5"/>
        <v>14.052580682806431</v>
      </c>
      <c r="J104">
        <f t="shared" si="6"/>
        <v>5.1643748076968593E-3</v>
      </c>
      <c r="K104">
        <f t="shared" si="7"/>
        <v>14.052580682806431</v>
      </c>
    </row>
    <row r="105" spans="1:11">
      <c r="A105" t="s">
        <v>111</v>
      </c>
      <c r="B105">
        <v>2009</v>
      </c>
      <c r="C105" s="1">
        <v>2.7717074806322389E-3</v>
      </c>
      <c r="D105" s="1">
        <v>14.816136555901938</v>
      </c>
      <c r="E105" s="1">
        <f t="shared" si="4"/>
        <v>2.7717074806322389E-3</v>
      </c>
      <c r="F105" s="3">
        <f t="shared" si="5"/>
        <v>14.816136555901938</v>
      </c>
      <c r="J105">
        <f t="shared" si="6"/>
        <v>2.7717074806322389E-3</v>
      </c>
      <c r="K105">
        <f t="shared" si="7"/>
        <v>14.816136555901938</v>
      </c>
    </row>
    <row r="106" spans="1:11">
      <c r="A106" t="s">
        <v>112</v>
      </c>
      <c r="B106">
        <v>2009</v>
      </c>
      <c r="C106" s="1">
        <v>8.6906174442722122E-3</v>
      </c>
      <c r="D106" s="1">
        <v>15.017938269248489</v>
      </c>
      <c r="E106" s="1">
        <f t="shared" si="4"/>
        <v>8.6906174442722122E-3</v>
      </c>
      <c r="F106" s="3">
        <f t="shared" si="5"/>
        <v>15.017938269248489</v>
      </c>
      <c r="J106">
        <f t="shared" si="6"/>
        <v>8.6906174442722122E-3</v>
      </c>
      <c r="K106">
        <f t="shared" si="7"/>
        <v>15.017938269248489</v>
      </c>
    </row>
    <row r="107" spans="1:11">
      <c r="A107" t="s">
        <v>113</v>
      </c>
      <c r="B107">
        <v>2009</v>
      </c>
      <c r="C107" s="1">
        <v>1.1777515855643487E-2</v>
      </c>
      <c r="D107" s="1">
        <v>16.440771366037318</v>
      </c>
      <c r="E107" s="1">
        <f t="shared" si="4"/>
        <v>1.1777515855643487E-2</v>
      </c>
      <c r="F107" s="3">
        <f t="shared" si="5"/>
        <v>16.440771366037318</v>
      </c>
      <c r="J107">
        <f t="shared" si="6"/>
        <v>1.1777515855643487E-2</v>
      </c>
      <c r="K107">
        <f t="shared" si="7"/>
        <v>16.440771366037318</v>
      </c>
    </row>
    <row r="108" spans="1:11">
      <c r="A108" t="s">
        <v>114</v>
      </c>
      <c r="B108">
        <v>2009</v>
      </c>
      <c r="C108" s="1">
        <v>1.5714115082564423E-3</v>
      </c>
      <c r="D108" s="1">
        <v>12.498413847362677</v>
      </c>
      <c r="E108" s="1">
        <f t="shared" si="4"/>
        <v>1.5714115082564423E-3</v>
      </c>
      <c r="F108" s="3">
        <f t="shared" si="5"/>
        <v>12.498413847362677</v>
      </c>
      <c r="J108">
        <f t="shared" si="6"/>
        <v>1.5714115082564423E-3</v>
      </c>
      <c r="K108">
        <f t="shared" si="7"/>
        <v>12.498413847362677</v>
      </c>
    </row>
    <row r="109" spans="1:11">
      <c r="A109" t="s">
        <v>115</v>
      </c>
      <c r="B109">
        <v>2009</v>
      </c>
      <c r="C109" s="1">
        <v>4.7166205877145415E-3</v>
      </c>
      <c r="D109" s="1">
        <v>15.860880576627567</v>
      </c>
      <c r="E109" s="1">
        <f t="shared" si="4"/>
        <v>4.7166205877145415E-3</v>
      </c>
      <c r="F109" s="3">
        <f t="shared" si="5"/>
        <v>15.860880576627567</v>
      </c>
      <c r="J109">
        <f t="shared" si="6"/>
        <v>4.7166205877145415E-3</v>
      </c>
      <c r="K109">
        <f t="shared" si="7"/>
        <v>15.860880576627567</v>
      </c>
    </row>
    <row r="110" spans="1:11">
      <c r="A110" t="s">
        <v>116</v>
      </c>
      <c r="B110">
        <v>2009</v>
      </c>
      <c r="C110" s="1">
        <v>9.5396644282748171E-4</v>
      </c>
      <c r="D110" s="1">
        <v>13.594757896194434</v>
      </c>
      <c r="E110" s="1">
        <f t="shared" si="4"/>
        <v>9.5396644282748171E-4</v>
      </c>
      <c r="F110" s="3">
        <f t="shared" si="5"/>
        <v>13.594757896194434</v>
      </c>
      <c r="J110">
        <f t="shared" si="6"/>
        <v>9.5396644282748171E-4</v>
      </c>
      <c r="K110">
        <f t="shared" si="7"/>
        <v>13.594757896194434</v>
      </c>
    </row>
    <row r="111" spans="1:11">
      <c r="A111" t="s">
        <v>117</v>
      </c>
      <c r="B111">
        <v>2009</v>
      </c>
      <c r="C111" s="1">
        <v>3.4422584290955294E-2</v>
      </c>
      <c r="D111" s="1">
        <v>13.50558423989076</v>
      </c>
      <c r="E111" s="1">
        <f t="shared" si="4"/>
        <v>3.4422584290955294E-2</v>
      </c>
      <c r="F111" s="3">
        <f t="shared" si="5"/>
        <v>13.50558423989076</v>
      </c>
      <c r="J111">
        <f t="shared" si="6"/>
        <v>3.4422584290955294E-2</v>
      </c>
      <c r="K111">
        <f t="shared" si="7"/>
        <v>13.50558423989076</v>
      </c>
    </row>
    <row r="112" spans="1:11">
      <c r="A112" t="s">
        <v>118</v>
      </c>
      <c r="B112">
        <v>2009</v>
      </c>
      <c r="C112" s="1">
        <v>6.4019485580405384E-3</v>
      </c>
      <c r="D112" s="1">
        <v>17.091849570224245</v>
      </c>
      <c r="E112" s="1">
        <f t="shared" si="4"/>
        <v>6.4019485580405384E-3</v>
      </c>
      <c r="F112" s="3">
        <f t="shared" si="5"/>
        <v>17.091849570224245</v>
      </c>
      <c r="J112">
        <f t="shared" si="6"/>
        <v>6.4019485580405384E-3</v>
      </c>
      <c r="K112">
        <f t="shared" si="7"/>
        <v>17.091849570224245</v>
      </c>
    </row>
    <row r="113" spans="1:11">
      <c r="A113" t="s">
        <v>119</v>
      </c>
      <c r="B113">
        <v>2009</v>
      </c>
      <c r="C113" s="1" t="s">
        <v>305</v>
      </c>
      <c r="D113" s="1">
        <v>14.079539589783462</v>
      </c>
      <c r="E113" s="1">
        <f t="shared" si="4"/>
        <v>8.3055009958866149E-3</v>
      </c>
      <c r="F113" s="3">
        <f t="shared" si="5"/>
        <v>14.079539589783462</v>
      </c>
      <c r="J113">
        <f t="shared" si="6"/>
        <v>8.3055009958866149E-3</v>
      </c>
      <c r="K113">
        <f t="shared" si="7"/>
        <v>14.079539589783462</v>
      </c>
    </row>
    <row r="114" spans="1:11">
      <c r="A114" t="s">
        <v>121</v>
      </c>
      <c r="B114">
        <v>2009</v>
      </c>
      <c r="C114" s="1" t="s">
        <v>305</v>
      </c>
      <c r="D114" s="1">
        <v>14.817101904307986</v>
      </c>
      <c r="E114" s="1">
        <f t="shared" si="4"/>
        <v>8.3055009958866149E-3</v>
      </c>
      <c r="F114" s="3">
        <f t="shared" si="5"/>
        <v>14.817101904307986</v>
      </c>
      <c r="J114">
        <f t="shared" si="6"/>
        <v>8.3055009958866149E-3</v>
      </c>
      <c r="K114">
        <f t="shared" si="7"/>
        <v>14.817101904307986</v>
      </c>
    </row>
    <row r="115" spans="1:11">
      <c r="A115" t="s">
        <v>120</v>
      </c>
      <c r="B115">
        <v>2009</v>
      </c>
      <c r="C115" s="1">
        <v>2.611711976211871E-3</v>
      </c>
      <c r="D115" s="1">
        <v>13.827040828174498</v>
      </c>
      <c r="E115" s="1">
        <f t="shared" si="4"/>
        <v>2.611711976211871E-3</v>
      </c>
      <c r="F115" s="3">
        <f t="shared" si="5"/>
        <v>13.827040828174498</v>
      </c>
      <c r="J115">
        <f t="shared" si="6"/>
        <v>2.611711976211871E-3</v>
      </c>
      <c r="K115">
        <f t="shared" si="7"/>
        <v>13.827040828174498</v>
      </c>
    </row>
    <row r="116" spans="1:11">
      <c r="A116" t="s">
        <v>122</v>
      </c>
      <c r="B116">
        <v>2009</v>
      </c>
      <c r="C116" s="1">
        <v>8.199347169190541E-3</v>
      </c>
      <c r="D116" s="1">
        <v>12.350147015140626</v>
      </c>
      <c r="E116" s="1">
        <f t="shared" si="4"/>
        <v>8.199347169190541E-3</v>
      </c>
      <c r="F116" s="3">
        <f t="shared" si="5"/>
        <v>12.350147015140626</v>
      </c>
      <c r="J116">
        <f t="shared" si="6"/>
        <v>8.199347169190541E-3</v>
      </c>
      <c r="K116">
        <f t="shared" si="7"/>
        <v>12.350147015140626</v>
      </c>
    </row>
    <row r="117" spans="1:11">
      <c r="A117" t="s">
        <v>123</v>
      </c>
      <c r="B117">
        <v>2009</v>
      </c>
      <c r="C117" s="1">
        <v>4.0590980256913439E-4</v>
      </c>
      <c r="D117" s="1">
        <v>12.699728712425509</v>
      </c>
      <c r="E117" s="1">
        <f t="shared" si="4"/>
        <v>4.0590980256913439E-4</v>
      </c>
      <c r="F117" s="3">
        <f t="shared" si="5"/>
        <v>12.699728712425509</v>
      </c>
      <c r="J117">
        <f t="shared" si="6"/>
        <v>4.0590980256913439E-4</v>
      </c>
      <c r="K117">
        <f t="shared" si="7"/>
        <v>12.699728712425509</v>
      </c>
    </row>
    <row r="118" spans="1:11">
      <c r="A118" t="s">
        <v>124</v>
      </c>
      <c r="B118">
        <v>2009</v>
      </c>
      <c r="C118" s="1">
        <v>6.5836979284551206E-2</v>
      </c>
      <c r="D118" s="1">
        <v>13.721355910275484</v>
      </c>
      <c r="E118" s="1">
        <f t="shared" si="4"/>
        <v>6.5836979284551206E-2</v>
      </c>
      <c r="F118" s="3">
        <f t="shared" si="5"/>
        <v>13.721355910275484</v>
      </c>
      <c r="J118">
        <f t="shared" si="6"/>
        <v>6.5836979284551206E-2</v>
      </c>
      <c r="K118">
        <f t="shared" si="7"/>
        <v>13.721355910275484</v>
      </c>
    </row>
    <row r="119" spans="1:11">
      <c r="A119" t="s">
        <v>125</v>
      </c>
      <c r="B119">
        <v>2009</v>
      </c>
      <c r="C119" s="1">
        <v>4.329171665460671E-2</v>
      </c>
      <c r="D119" s="1">
        <v>14.056735255676323</v>
      </c>
      <c r="E119" s="1">
        <f t="shared" si="4"/>
        <v>4.329171665460671E-2</v>
      </c>
      <c r="F119" s="3">
        <f t="shared" si="5"/>
        <v>14.056735255676323</v>
      </c>
      <c r="J119">
        <f t="shared" si="6"/>
        <v>4.329171665460671E-2</v>
      </c>
      <c r="K119">
        <f t="shared" si="7"/>
        <v>14.056735255676323</v>
      </c>
    </row>
    <row r="120" spans="1:11">
      <c r="A120" t="s">
        <v>126</v>
      </c>
      <c r="B120">
        <v>2009</v>
      </c>
      <c r="C120" s="1">
        <v>3.349966176165248E-3</v>
      </c>
      <c r="D120" s="1">
        <v>15.132608901964536</v>
      </c>
      <c r="E120" s="1">
        <f t="shared" si="4"/>
        <v>3.349966176165248E-3</v>
      </c>
      <c r="F120" s="3">
        <f t="shared" si="5"/>
        <v>15.132608901964536</v>
      </c>
      <c r="J120">
        <f t="shared" si="6"/>
        <v>3.349966176165248E-3</v>
      </c>
      <c r="K120">
        <f t="shared" si="7"/>
        <v>15.132608901964536</v>
      </c>
    </row>
    <row r="121" spans="1:11">
      <c r="A121" t="s">
        <v>127</v>
      </c>
      <c r="B121">
        <v>2009</v>
      </c>
      <c r="C121" s="1">
        <v>2.8339962795071529E-2</v>
      </c>
      <c r="D121" s="1">
        <v>15.151227684054383</v>
      </c>
      <c r="E121" s="1">
        <f t="shared" si="4"/>
        <v>2.8339962795071529E-2</v>
      </c>
      <c r="F121" s="3">
        <f t="shared" si="5"/>
        <v>15.151227684054383</v>
      </c>
      <c r="J121">
        <f t="shared" si="6"/>
        <v>2.8339962795071529E-2</v>
      </c>
      <c r="K121">
        <f t="shared" si="7"/>
        <v>15.151227684054383</v>
      </c>
    </row>
    <row r="122" spans="1:11">
      <c r="A122" t="s">
        <v>128</v>
      </c>
      <c r="B122">
        <v>2009</v>
      </c>
      <c r="C122" s="1">
        <v>6.5159086835480089E-3</v>
      </c>
      <c r="D122" s="1">
        <v>14.011286201274476</v>
      </c>
      <c r="E122" s="1">
        <f t="shared" si="4"/>
        <v>6.5159086835480089E-3</v>
      </c>
      <c r="F122" s="3">
        <f t="shared" si="5"/>
        <v>14.011286201274476</v>
      </c>
      <c r="J122">
        <f t="shared" si="6"/>
        <v>6.5159086835480089E-3</v>
      </c>
      <c r="K122">
        <f t="shared" si="7"/>
        <v>14.011286201274476</v>
      </c>
    </row>
    <row r="123" spans="1:11">
      <c r="A123" t="s">
        <v>129</v>
      </c>
      <c r="B123">
        <v>2009</v>
      </c>
      <c r="C123" s="1">
        <v>5.9316151609040066E-3</v>
      </c>
      <c r="D123" s="1">
        <v>15.078354541842522</v>
      </c>
      <c r="E123" s="1">
        <f t="shared" si="4"/>
        <v>5.9316151609040066E-3</v>
      </c>
      <c r="F123" s="3">
        <f t="shared" si="5"/>
        <v>15.078354541842522</v>
      </c>
      <c r="J123">
        <f t="shared" si="6"/>
        <v>5.9316151609040066E-3</v>
      </c>
      <c r="K123">
        <f t="shared" si="7"/>
        <v>15.078354541842522</v>
      </c>
    </row>
    <row r="124" spans="1:11">
      <c r="A124" t="s">
        <v>130</v>
      </c>
      <c r="B124">
        <v>2009</v>
      </c>
      <c r="C124" s="1">
        <v>1.6746126481932786E-3</v>
      </c>
      <c r="D124" s="1">
        <v>15.66200833902043</v>
      </c>
      <c r="E124" s="1">
        <f t="shared" si="4"/>
        <v>1.6746126481932786E-3</v>
      </c>
      <c r="F124" s="3">
        <f t="shared" si="5"/>
        <v>15.66200833902043</v>
      </c>
      <c r="J124">
        <f t="shared" si="6"/>
        <v>1.6746126481932786E-3</v>
      </c>
      <c r="K124">
        <f t="shared" si="7"/>
        <v>15.66200833902043</v>
      </c>
    </row>
    <row r="125" spans="1:11">
      <c r="A125" t="s">
        <v>131</v>
      </c>
      <c r="B125">
        <v>2009</v>
      </c>
      <c r="C125" s="1">
        <v>5.1021108912833762E-2</v>
      </c>
      <c r="D125" s="1">
        <v>14.240108134221609</v>
      </c>
      <c r="E125" s="1">
        <f t="shared" si="4"/>
        <v>5.1021108912833762E-2</v>
      </c>
      <c r="F125" s="3">
        <f t="shared" si="5"/>
        <v>14.240108134221609</v>
      </c>
      <c r="J125">
        <f t="shared" si="6"/>
        <v>5.1021108912833762E-2</v>
      </c>
      <c r="K125">
        <f t="shared" si="7"/>
        <v>14.240108134221609</v>
      </c>
    </row>
    <row r="126" spans="1:11">
      <c r="A126" t="s">
        <v>132</v>
      </c>
      <c r="B126">
        <v>2009</v>
      </c>
      <c r="C126" s="1">
        <v>7.6069313830478866E-2</v>
      </c>
      <c r="D126" s="1">
        <v>13.436416165838178</v>
      </c>
      <c r="E126" s="1">
        <f t="shared" si="4"/>
        <v>7.6069313830478866E-2</v>
      </c>
      <c r="F126" s="3">
        <f t="shared" si="5"/>
        <v>13.436416165838178</v>
      </c>
      <c r="J126">
        <f t="shared" si="6"/>
        <v>7.6069313830478866E-2</v>
      </c>
      <c r="K126">
        <f t="shared" si="7"/>
        <v>13.436416165838178</v>
      </c>
    </row>
    <row r="127" spans="1:11">
      <c r="A127" t="s">
        <v>135</v>
      </c>
      <c r="B127">
        <v>2009</v>
      </c>
      <c r="C127" s="1" t="s">
        <v>305</v>
      </c>
      <c r="D127" s="1">
        <v>15.152223054102333</v>
      </c>
      <c r="E127" s="1">
        <f t="shared" si="4"/>
        <v>8.3055009958866149E-3</v>
      </c>
      <c r="F127" s="3">
        <f t="shared" si="5"/>
        <v>15.152223054102333</v>
      </c>
      <c r="J127">
        <f t="shared" si="6"/>
        <v>8.3055009958866149E-3</v>
      </c>
      <c r="K127">
        <f t="shared" si="7"/>
        <v>15.152223054102333</v>
      </c>
    </row>
    <row r="128" spans="1:11">
      <c r="A128" t="s">
        <v>137</v>
      </c>
      <c r="B128">
        <v>2009</v>
      </c>
      <c r="C128" s="1" t="s">
        <v>305</v>
      </c>
      <c r="D128" s="1">
        <v>14.123818448209711</v>
      </c>
      <c r="E128" s="1">
        <f t="shared" si="4"/>
        <v>8.3055009958866149E-3</v>
      </c>
      <c r="F128" s="3">
        <f t="shared" si="5"/>
        <v>14.123818448209711</v>
      </c>
      <c r="J128">
        <f t="shared" si="6"/>
        <v>8.3055009958866149E-3</v>
      </c>
      <c r="K128">
        <f t="shared" si="7"/>
        <v>14.123818448209711</v>
      </c>
    </row>
    <row r="129" spans="1:11">
      <c r="A129" t="s">
        <v>133</v>
      </c>
      <c r="B129">
        <v>2009</v>
      </c>
      <c r="C129" s="1">
        <v>4.3428279857129992E-2</v>
      </c>
      <c r="D129" s="1">
        <v>13.40955532976688</v>
      </c>
      <c r="E129" s="1">
        <f t="shared" si="4"/>
        <v>4.3428279857129992E-2</v>
      </c>
      <c r="F129" s="3">
        <f t="shared" si="5"/>
        <v>13.40955532976688</v>
      </c>
      <c r="J129">
        <f t="shared" si="6"/>
        <v>4.3428279857129992E-2</v>
      </c>
      <c r="K129">
        <f t="shared" si="7"/>
        <v>13.40955532976688</v>
      </c>
    </row>
    <row r="130" spans="1:11">
      <c r="A130" t="s">
        <v>134</v>
      </c>
      <c r="B130">
        <v>2009</v>
      </c>
      <c r="C130" s="1">
        <v>5.3339400845597352E-4</v>
      </c>
      <c r="D130" s="1">
        <v>16.327736205769408</v>
      </c>
      <c r="E130" s="1">
        <f t="shared" si="4"/>
        <v>5.3339400845597352E-4</v>
      </c>
      <c r="F130" s="3">
        <f t="shared" si="5"/>
        <v>16.327736205769408</v>
      </c>
      <c r="J130">
        <f t="shared" si="6"/>
        <v>5.3339400845597352E-4</v>
      </c>
      <c r="K130">
        <f t="shared" si="7"/>
        <v>16.327736205769408</v>
      </c>
    </row>
    <row r="131" spans="1:11">
      <c r="A131" t="s">
        <v>136</v>
      </c>
      <c r="B131">
        <v>2009</v>
      </c>
      <c r="C131" s="1">
        <v>1.1989871643104169E-3</v>
      </c>
      <c r="D131" s="1">
        <v>13.927448991604834</v>
      </c>
      <c r="E131" s="1">
        <f t="shared" ref="E131:E194" si="8">IF(C131="out",$H$2,C131)</f>
        <v>1.1989871643104169E-3</v>
      </c>
      <c r="F131" s="3">
        <f t="shared" ref="F131:F194" si="9">IF(D131="out",$I$2,D131)</f>
        <v>13.927448991604834</v>
      </c>
      <c r="J131">
        <f t="shared" ref="J131:J194" si="10">IF(C131="out",$H$2,C131)</f>
        <v>1.1989871643104169E-3</v>
      </c>
      <c r="K131">
        <f t="shared" ref="K131:K194" si="11">IF(D131="out",$H$2,D131)</f>
        <v>13.927448991604834</v>
      </c>
    </row>
    <row r="132" spans="1:11">
      <c r="A132" t="s">
        <v>138</v>
      </c>
      <c r="B132">
        <v>2009</v>
      </c>
      <c r="C132" s="1">
        <v>2.6681186625899089E-2</v>
      </c>
      <c r="D132" s="1">
        <v>14.087927965973632</v>
      </c>
      <c r="E132" s="1">
        <f t="shared" si="8"/>
        <v>2.6681186625899089E-2</v>
      </c>
      <c r="F132" s="3">
        <f t="shared" si="9"/>
        <v>14.087927965973632</v>
      </c>
      <c r="J132">
        <f t="shared" si="10"/>
        <v>2.6681186625899089E-2</v>
      </c>
      <c r="K132">
        <f t="shared" si="11"/>
        <v>14.087927965973632</v>
      </c>
    </row>
    <row r="133" spans="1:11">
      <c r="A133" t="s">
        <v>139</v>
      </c>
      <c r="B133">
        <v>2009</v>
      </c>
      <c r="C133" s="1">
        <v>7.8684376976597085E-3</v>
      </c>
      <c r="D133" s="1">
        <v>12.664130203757509</v>
      </c>
      <c r="E133" s="1">
        <f t="shared" si="8"/>
        <v>7.8684376976597085E-3</v>
      </c>
      <c r="F133" s="3">
        <f t="shared" si="9"/>
        <v>12.664130203757509</v>
      </c>
      <c r="J133">
        <f t="shared" si="10"/>
        <v>7.8684376976597085E-3</v>
      </c>
      <c r="K133">
        <f t="shared" si="11"/>
        <v>12.664130203757509</v>
      </c>
    </row>
    <row r="134" spans="1:11">
      <c r="A134" t="s">
        <v>140</v>
      </c>
      <c r="B134">
        <v>2009</v>
      </c>
      <c r="C134" s="1">
        <v>6.108438226338715E-3</v>
      </c>
      <c r="D134" s="1">
        <v>14.284746392531098</v>
      </c>
      <c r="E134" s="1">
        <f t="shared" si="8"/>
        <v>6.108438226338715E-3</v>
      </c>
      <c r="F134" s="3">
        <f t="shared" si="9"/>
        <v>14.284746392531098</v>
      </c>
      <c r="J134">
        <f t="shared" si="10"/>
        <v>6.108438226338715E-3</v>
      </c>
      <c r="K134">
        <f t="shared" si="11"/>
        <v>14.284746392531098</v>
      </c>
    </row>
    <row r="135" spans="1:11">
      <c r="A135" t="s">
        <v>141</v>
      </c>
      <c r="B135">
        <v>2009</v>
      </c>
      <c r="C135" s="1">
        <v>5.954943626249494E-3</v>
      </c>
      <c r="D135" s="1">
        <v>12.365615902101414</v>
      </c>
      <c r="E135" s="1">
        <f t="shared" si="8"/>
        <v>5.954943626249494E-3</v>
      </c>
      <c r="F135" s="3">
        <f t="shared" si="9"/>
        <v>12.365615902101414</v>
      </c>
      <c r="J135">
        <f t="shared" si="10"/>
        <v>5.954943626249494E-3</v>
      </c>
      <c r="K135">
        <f t="shared" si="11"/>
        <v>12.365615902101414</v>
      </c>
    </row>
    <row r="136" spans="1:11">
      <c r="A136" t="s">
        <v>142</v>
      </c>
      <c r="B136">
        <v>2009</v>
      </c>
      <c r="C136" s="1">
        <v>1.0692173113881517E-3</v>
      </c>
      <c r="D136" s="1">
        <v>14.32912189801718</v>
      </c>
      <c r="E136" s="1">
        <f t="shared" si="8"/>
        <v>1.0692173113881517E-3</v>
      </c>
      <c r="F136" s="3">
        <f t="shared" si="9"/>
        <v>14.32912189801718</v>
      </c>
      <c r="J136">
        <f t="shared" si="10"/>
        <v>1.0692173113881517E-3</v>
      </c>
      <c r="K136">
        <f t="shared" si="11"/>
        <v>14.32912189801718</v>
      </c>
    </row>
    <row r="137" spans="1:11">
      <c r="A137" t="s">
        <v>143</v>
      </c>
      <c r="B137">
        <v>2009</v>
      </c>
      <c r="C137" s="1">
        <v>2.0483928114226897E-2</v>
      </c>
      <c r="D137" s="1">
        <v>13.558471489438935</v>
      </c>
      <c r="E137" s="1">
        <f t="shared" si="8"/>
        <v>2.0483928114226897E-2</v>
      </c>
      <c r="F137" s="3">
        <f t="shared" si="9"/>
        <v>13.558471489438935</v>
      </c>
      <c r="J137">
        <f t="shared" si="10"/>
        <v>2.0483928114226897E-2</v>
      </c>
      <c r="K137">
        <f t="shared" si="11"/>
        <v>13.558471489438935</v>
      </c>
    </row>
    <row r="138" spans="1:11">
      <c r="A138" t="s">
        <v>144</v>
      </c>
      <c r="B138">
        <v>2009</v>
      </c>
      <c r="C138" s="1">
        <v>3.1509924613387537E-3</v>
      </c>
      <c r="D138" s="1">
        <v>14.934129047977203</v>
      </c>
      <c r="E138" s="1">
        <f t="shared" si="8"/>
        <v>3.1509924613387537E-3</v>
      </c>
      <c r="F138" s="3">
        <f t="shared" si="9"/>
        <v>14.934129047977203</v>
      </c>
      <c r="J138">
        <f t="shared" si="10"/>
        <v>3.1509924613387537E-3</v>
      </c>
      <c r="K138">
        <f t="shared" si="11"/>
        <v>14.934129047977203</v>
      </c>
    </row>
    <row r="139" spans="1:11">
      <c r="A139" t="s">
        <v>145</v>
      </c>
      <c r="B139">
        <v>2009</v>
      </c>
      <c r="C139" s="1">
        <v>3.3637755097911136E-2</v>
      </c>
      <c r="D139" s="1">
        <v>14.02695150008195</v>
      </c>
      <c r="E139" s="1">
        <f t="shared" si="8"/>
        <v>3.3637755097911136E-2</v>
      </c>
      <c r="F139" s="3">
        <f t="shared" si="9"/>
        <v>14.02695150008195</v>
      </c>
      <c r="J139">
        <f t="shared" si="10"/>
        <v>3.3637755097911136E-2</v>
      </c>
      <c r="K139">
        <f t="shared" si="11"/>
        <v>14.02695150008195</v>
      </c>
    </row>
    <row r="140" spans="1:11">
      <c r="A140" t="s">
        <v>146</v>
      </c>
      <c r="B140">
        <v>2009</v>
      </c>
      <c r="C140" s="1">
        <v>2.4090224910578262E-3</v>
      </c>
      <c r="D140" s="1">
        <v>16.135289092975423</v>
      </c>
      <c r="E140" s="1">
        <f t="shared" si="8"/>
        <v>2.4090224910578262E-3</v>
      </c>
      <c r="F140" s="3">
        <f t="shared" si="9"/>
        <v>16.135289092975423</v>
      </c>
      <c r="J140">
        <f t="shared" si="10"/>
        <v>2.4090224910578262E-3</v>
      </c>
      <c r="K140">
        <f t="shared" si="11"/>
        <v>16.135289092975423</v>
      </c>
    </row>
    <row r="141" spans="1:11">
      <c r="A141" t="s">
        <v>151</v>
      </c>
      <c r="B141">
        <v>2009</v>
      </c>
      <c r="C141" s="1" t="s">
        <v>305</v>
      </c>
      <c r="D141" s="1">
        <v>13.731771276372333</v>
      </c>
      <c r="E141" s="1">
        <f t="shared" si="8"/>
        <v>8.3055009958866149E-3</v>
      </c>
      <c r="F141" s="3">
        <f t="shared" si="9"/>
        <v>13.731771276372333</v>
      </c>
      <c r="J141">
        <f t="shared" si="10"/>
        <v>8.3055009958866149E-3</v>
      </c>
      <c r="K141">
        <f t="shared" si="11"/>
        <v>13.731771276372333</v>
      </c>
    </row>
    <row r="142" spans="1:11">
      <c r="A142" t="s">
        <v>147</v>
      </c>
      <c r="B142">
        <v>2009</v>
      </c>
      <c r="C142" s="1">
        <v>3.0352887984301004E-3</v>
      </c>
      <c r="D142" s="1">
        <v>15.932643037518396</v>
      </c>
      <c r="E142" s="1">
        <f t="shared" si="8"/>
        <v>3.0352887984301004E-3</v>
      </c>
      <c r="F142" s="3">
        <f t="shared" si="9"/>
        <v>15.932643037518396</v>
      </c>
      <c r="J142">
        <f t="shared" si="10"/>
        <v>3.0352887984301004E-3</v>
      </c>
      <c r="K142">
        <f t="shared" si="11"/>
        <v>15.932643037518396</v>
      </c>
    </row>
    <row r="143" spans="1:11">
      <c r="A143" t="s">
        <v>148</v>
      </c>
      <c r="B143">
        <v>2009</v>
      </c>
      <c r="C143" s="1">
        <v>4.0095973048577198E-2</v>
      </c>
      <c r="D143" s="1">
        <v>15.429885065338027</v>
      </c>
      <c r="E143" s="1">
        <f t="shared" si="8"/>
        <v>4.0095973048577198E-2</v>
      </c>
      <c r="F143" s="3">
        <f t="shared" si="9"/>
        <v>15.429885065338027</v>
      </c>
      <c r="J143">
        <f t="shared" si="10"/>
        <v>4.0095973048577198E-2</v>
      </c>
      <c r="K143">
        <f t="shared" si="11"/>
        <v>15.429885065338027</v>
      </c>
    </row>
    <row r="144" spans="1:11">
      <c r="A144" t="s">
        <v>149</v>
      </c>
      <c r="B144">
        <v>2009</v>
      </c>
      <c r="C144" s="1">
        <v>8.348082486749302E-3</v>
      </c>
      <c r="D144" s="1">
        <v>14.905289614924893</v>
      </c>
      <c r="E144" s="1">
        <f t="shared" si="8"/>
        <v>8.348082486749302E-3</v>
      </c>
      <c r="F144" s="3">
        <f t="shared" si="9"/>
        <v>14.905289614924893</v>
      </c>
      <c r="J144">
        <f t="shared" si="10"/>
        <v>8.348082486749302E-3</v>
      </c>
      <c r="K144">
        <f t="shared" si="11"/>
        <v>14.905289614924893</v>
      </c>
    </row>
    <row r="145" spans="1:11">
      <c r="A145" t="s">
        <v>156</v>
      </c>
      <c r="B145">
        <v>2009</v>
      </c>
      <c r="C145" s="1" t="s">
        <v>305</v>
      </c>
      <c r="D145" s="1">
        <v>13.491824034638206</v>
      </c>
      <c r="E145" s="1">
        <f t="shared" si="8"/>
        <v>8.3055009958866149E-3</v>
      </c>
      <c r="F145" s="3">
        <f t="shared" si="9"/>
        <v>13.491824034638206</v>
      </c>
      <c r="J145">
        <f t="shared" si="10"/>
        <v>8.3055009958866149E-3</v>
      </c>
      <c r="K145">
        <f t="shared" si="11"/>
        <v>13.491824034638206</v>
      </c>
    </row>
    <row r="146" spans="1:11">
      <c r="A146" t="s">
        <v>150</v>
      </c>
      <c r="B146">
        <v>2009</v>
      </c>
      <c r="C146" s="1">
        <v>9.049993151720016E-3</v>
      </c>
      <c r="D146" s="1">
        <v>15.54735263439715</v>
      </c>
      <c r="E146" s="1">
        <f t="shared" si="8"/>
        <v>9.049993151720016E-3</v>
      </c>
      <c r="F146" s="3">
        <f t="shared" si="9"/>
        <v>15.54735263439715</v>
      </c>
      <c r="J146">
        <f t="shared" si="10"/>
        <v>9.049993151720016E-3</v>
      </c>
      <c r="K146">
        <f t="shared" si="11"/>
        <v>15.54735263439715</v>
      </c>
    </row>
    <row r="147" spans="1:11">
      <c r="A147" t="s">
        <v>152</v>
      </c>
      <c r="B147">
        <v>2009</v>
      </c>
      <c r="C147" s="1">
        <v>1.815886326450147E-2</v>
      </c>
      <c r="D147" s="1">
        <v>13.497931319365671</v>
      </c>
      <c r="E147" s="1">
        <f t="shared" si="8"/>
        <v>1.815886326450147E-2</v>
      </c>
      <c r="F147" s="3">
        <f t="shared" si="9"/>
        <v>13.497931319365671</v>
      </c>
      <c r="J147">
        <f t="shared" si="10"/>
        <v>1.815886326450147E-2</v>
      </c>
      <c r="K147">
        <f t="shared" si="11"/>
        <v>13.497931319365671</v>
      </c>
    </row>
    <row r="148" spans="1:11">
      <c r="A148" t="s">
        <v>153</v>
      </c>
      <c r="B148">
        <v>2009</v>
      </c>
      <c r="C148" s="1">
        <v>8.2845640129000555E-3</v>
      </c>
      <c r="D148" s="1">
        <v>14.422740853269024</v>
      </c>
      <c r="E148" s="1">
        <f t="shared" si="8"/>
        <v>8.2845640129000555E-3</v>
      </c>
      <c r="F148" s="3">
        <f t="shared" si="9"/>
        <v>14.422740853269024</v>
      </c>
      <c r="J148">
        <f t="shared" si="10"/>
        <v>8.2845640129000555E-3</v>
      </c>
      <c r="K148">
        <f t="shared" si="11"/>
        <v>14.422740853269024</v>
      </c>
    </row>
    <row r="149" spans="1:11">
      <c r="A149" t="s">
        <v>154</v>
      </c>
      <c r="B149">
        <v>2009</v>
      </c>
      <c r="C149" s="1">
        <v>1.4535826798042764E-2</v>
      </c>
      <c r="D149" s="1">
        <v>13.522413852810994</v>
      </c>
      <c r="E149" s="1">
        <f t="shared" si="8"/>
        <v>1.4535826798042764E-2</v>
      </c>
      <c r="F149" s="3">
        <f t="shared" si="9"/>
        <v>13.522413852810994</v>
      </c>
      <c r="J149">
        <f t="shared" si="10"/>
        <v>1.4535826798042764E-2</v>
      </c>
      <c r="K149">
        <f t="shared" si="11"/>
        <v>13.522413852810994</v>
      </c>
    </row>
    <row r="150" spans="1:11">
      <c r="A150" t="s">
        <v>155</v>
      </c>
      <c r="B150">
        <v>2009</v>
      </c>
      <c r="C150" s="1">
        <v>2.5076676761636541E-4</v>
      </c>
      <c r="D150" s="1">
        <v>10.855936620963561</v>
      </c>
      <c r="E150" s="1">
        <f t="shared" si="8"/>
        <v>2.5076676761636541E-4</v>
      </c>
      <c r="F150" s="3">
        <f t="shared" si="9"/>
        <v>10.855936620963561</v>
      </c>
      <c r="J150">
        <f t="shared" si="10"/>
        <v>2.5076676761636541E-4</v>
      </c>
      <c r="K150">
        <f t="shared" si="11"/>
        <v>10.855936620963561</v>
      </c>
    </row>
    <row r="151" spans="1:11">
      <c r="A151" t="s">
        <v>163</v>
      </c>
      <c r="B151">
        <v>2009</v>
      </c>
      <c r="C151" s="1" t="s">
        <v>305</v>
      </c>
      <c r="D151" s="1">
        <v>15.472959473958143</v>
      </c>
      <c r="E151" s="1">
        <f t="shared" si="8"/>
        <v>8.3055009958866149E-3</v>
      </c>
      <c r="F151" s="3">
        <f t="shared" si="9"/>
        <v>15.472959473958143</v>
      </c>
      <c r="J151">
        <f t="shared" si="10"/>
        <v>8.3055009958866149E-3</v>
      </c>
      <c r="K151">
        <f t="shared" si="11"/>
        <v>15.472959473958143</v>
      </c>
    </row>
    <row r="152" spans="1:11">
      <c r="A152" t="s">
        <v>157</v>
      </c>
      <c r="B152">
        <v>2009</v>
      </c>
      <c r="C152" s="1">
        <v>4.2228664232985364E-3</v>
      </c>
      <c r="D152" s="1">
        <v>13.531877610065285</v>
      </c>
      <c r="E152" s="1">
        <f t="shared" si="8"/>
        <v>4.2228664232985364E-3</v>
      </c>
      <c r="F152" s="3">
        <f t="shared" si="9"/>
        <v>13.531877610065285</v>
      </c>
      <c r="J152">
        <f t="shared" si="10"/>
        <v>4.2228664232985364E-3</v>
      </c>
      <c r="K152">
        <f t="shared" si="11"/>
        <v>13.531877610065285</v>
      </c>
    </row>
    <row r="153" spans="1:11">
      <c r="A153" t="s">
        <v>158</v>
      </c>
      <c r="B153">
        <v>2009</v>
      </c>
      <c r="C153" s="1">
        <v>5.2307135711042278E-2</v>
      </c>
      <c r="D153" s="1">
        <v>14.118858034724967</v>
      </c>
      <c r="E153" s="1">
        <f t="shared" si="8"/>
        <v>5.2307135711042278E-2</v>
      </c>
      <c r="F153" s="3">
        <f t="shared" si="9"/>
        <v>14.118858034724967</v>
      </c>
      <c r="J153">
        <f t="shared" si="10"/>
        <v>5.2307135711042278E-2</v>
      </c>
      <c r="K153">
        <f t="shared" si="11"/>
        <v>14.118858034724967</v>
      </c>
    </row>
    <row r="154" spans="1:11">
      <c r="A154" t="s">
        <v>167</v>
      </c>
      <c r="B154">
        <v>2009</v>
      </c>
      <c r="C154" s="1" t="s">
        <v>305</v>
      </c>
      <c r="D154" s="1">
        <v>15.417838454030321</v>
      </c>
      <c r="E154" s="1">
        <f t="shared" si="8"/>
        <v>8.3055009958866149E-3</v>
      </c>
      <c r="F154" s="3">
        <f t="shared" si="9"/>
        <v>15.417838454030321</v>
      </c>
      <c r="J154">
        <f t="shared" si="10"/>
        <v>8.3055009958866149E-3</v>
      </c>
      <c r="K154">
        <f t="shared" si="11"/>
        <v>15.417838454030321</v>
      </c>
    </row>
    <row r="155" spans="1:11">
      <c r="A155" t="s">
        <v>159</v>
      </c>
      <c r="B155">
        <v>2009</v>
      </c>
      <c r="C155" s="1">
        <v>3.2093020987274969E-3</v>
      </c>
      <c r="D155" s="1">
        <v>12.230906711530174</v>
      </c>
      <c r="E155" s="1">
        <f t="shared" si="8"/>
        <v>3.2093020987274969E-3</v>
      </c>
      <c r="F155" s="3">
        <f t="shared" si="9"/>
        <v>12.230906711530174</v>
      </c>
      <c r="J155">
        <f t="shared" si="10"/>
        <v>3.2093020987274969E-3</v>
      </c>
      <c r="K155">
        <f t="shared" si="11"/>
        <v>12.230906711530174</v>
      </c>
    </row>
    <row r="156" spans="1:11">
      <c r="A156" t="s">
        <v>160</v>
      </c>
      <c r="B156">
        <v>2009</v>
      </c>
      <c r="C156" s="1">
        <v>5.4970288693810161E-2</v>
      </c>
      <c r="D156" s="1">
        <v>14.996991403982973</v>
      </c>
      <c r="E156" s="1">
        <f t="shared" si="8"/>
        <v>5.4970288693810161E-2</v>
      </c>
      <c r="F156" s="3">
        <f t="shared" si="9"/>
        <v>14.996991403982973</v>
      </c>
      <c r="J156">
        <f t="shared" si="10"/>
        <v>5.4970288693810161E-2</v>
      </c>
      <c r="K156">
        <f t="shared" si="11"/>
        <v>14.996991403982973</v>
      </c>
    </row>
    <row r="157" spans="1:11">
      <c r="A157" t="s">
        <v>171</v>
      </c>
      <c r="B157">
        <v>2009</v>
      </c>
      <c r="C157" s="1" t="s">
        <v>305</v>
      </c>
      <c r="D157" s="1">
        <v>13.167992359823367</v>
      </c>
      <c r="E157" s="1">
        <f t="shared" si="8"/>
        <v>8.3055009958866149E-3</v>
      </c>
      <c r="F157" s="3">
        <f t="shared" si="9"/>
        <v>13.167992359823367</v>
      </c>
      <c r="J157">
        <f t="shared" si="10"/>
        <v>8.3055009958866149E-3</v>
      </c>
      <c r="K157">
        <f t="shared" si="11"/>
        <v>13.167992359823367</v>
      </c>
    </row>
    <row r="158" spans="1:11">
      <c r="A158" t="s">
        <v>161</v>
      </c>
      <c r="B158">
        <v>2009</v>
      </c>
      <c r="C158" s="1">
        <v>5.2635214478137737E-2</v>
      </c>
      <c r="D158" s="1">
        <v>11.372075931382099</v>
      </c>
      <c r="E158" s="1">
        <f t="shared" si="8"/>
        <v>5.2635214478137737E-2</v>
      </c>
      <c r="F158" s="3">
        <f t="shared" si="9"/>
        <v>11.372075931382099</v>
      </c>
      <c r="J158">
        <f t="shared" si="10"/>
        <v>5.2635214478137737E-2</v>
      </c>
      <c r="K158">
        <f t="shared" si="11"/>
        <v>11.372075931382099</v>
      </c>
    </row>
    <row r="159" spans="1:11">
      <c r="A159" t="s">
        <v>174</v>
      </c>
      <c r="B159">
        <v>2009</v>
      </c>
      <c r="C159" s="1" t="s">
        <v>305</v>
      </c>
      <c r="D159" s="1">
        <v>15.18679787457762</v>
      </c>
      <c r="E159" s="1">
        <f t="shared" si="8"/>
        <v>8.3055009958866149E-3</v>
      </c>
      <c r="F159" s="3">
        <f t="shared" si="9"/>
        <v>15.18679787457762</v>
      </c>
      <c r="J159">
        <f t="shared" si="10"/>
        <v>8.3055009958866149E-3</v>
      </c>
      <c r="K159">
        <f t="shared" si="11"/>
        <v>15.18679787457762</v>
      </c>
    </row>
    <row r="160" spans="1:11">
      <c r="A160" t="s">
        <v>162</v>
      </c>
      <c r="B160">
        <v>2009</v>
      </c>
      <c r="C160" s="1">
        <v>9.3944393916549542E-3</v>
      </c>
      <c r="D160" s="1">
        <v>17.20353515825218</v>
      </c>
      <c r="E160" s="1">
        <f t="shared" si="8"/>
        <v>9.3944393916549542E-3</v>
      </c>
      <c r="F160" s="3">
        <f t="shared" si="9"/>
        <v>17.20353515825218</v>
      </c>
      <c r="J160">
        <f t="shared" si="10"/>
        <v>9.3944393916549542E-3</v>
      </c>
      <c r="K160">
        <f t="shared" si="11"/>
        <v>17.20353515825218</v>
      </c>
    </row>
    <row r="161" spans="1:11">
      <c r="A161" t="s">
        <v>164</v>
      </c>
      <c r="B161">
        <v>2009</v>
      </c>
      <c r="C161" s="1">
        <v>1.0219391688782993E-3</v>
      </c>
      <c r="D161" s="1">
        <v>16.60170412567167</v>
      </c>
      <c r="E161" s="1">
        <f t="shared" si="8"/>
        <v>1.0219391688782993E-3</v>
      </c>
      <c r="F161" s="3">
        <f t="shared" si="9"/>
        <v>16.60170412567167</v>
      </c>
      <c r="J161">
        <f t="shared" si="10"/>
        <v>1.0219391688782993E-3</v>
      </c>
      <c r="K161">
        <f t="shared" si="11"/>
        <v>16.60170412567167</v>
      </c>
    </row>
    <row r="162" spans="1:11">
      <c r="A162" t="s">
        <v>165</v>
      </c>
      <c r="B162">
        <v>2009</v>
      </c>
      <c r="C162" s="1">
        <v>4.9873618516189246E-2</v>
      </c>
      <c r="D162" s="1">
        <v>13.120926345368208</v>
      </c>
      <c r="E162" s="1">
        <f t="shared" si="8"/>
        <v>4.9873618516189246E-2</v>
      </c>
      <c r="F162" s="3">
        <f t="shared" si="9"/>
        <v>13.120926345368208</v>
      </c>
      <c r="J162">
        <f t="shared" si="10"/>
        <v>4.9873618516189246E-2</v>
      </c>
      <c r="K162">
        <f t="shared" si="11"/>
        <v>13.120926345368208</v>
      </c>
    </row>
    <row r="163" spans="1:11">
      <c r="A163" t="s">
        <v>166</v>
      </c>
      <c r="B163">
        <v>2009</v>
      </c>
      <c r="C163" s="1">
        <v>4.220857668573362E-2</v>
      </c>
      <c r="D163" s="1">
        <v>18.355709467856538</v>
      </c>
      <c r="E163" s="1">
        <f t="shared" si="8"/>
        <v>4.220857668573362E-2</v>
      </c>
      <c r="F163" s="3">
        <f t="shared" si="9"/>
        <v>18.355709467856538</v>
      </c>
      <c r="J163">
        <f t="shared" si="10"/>
        <v>4.220857668573362E-2</v>
      </c>
      <c r="K163">
        <f t="shared" si="11"/>
        <v>18.355709467856538</v>
      </c>
    </row>
    <row r="164" spans="1:11">
      <c r="A164" t="s">
        <v>180</v>
      </c>
      <c r="B164">
        <v>2009</v>
      </c>
      <c r="C164" s="1" t="s">
        <v>305</v>
      </c>
      <c r="D164" s="1">
        <v>17.405265070312989</v>
      </c>
      <c r="E164" s="1">
        <f t="shared" si="8"/>
        <v>8.3055009958866149E-3</v>
      </c>
      <c r="F164" s="3">
        <f t="shared" si="9"/>
        <v>17.405265070312989</v>
      </c>
      <c r="J164">
        <f t="shared" si="10"/>
        <v>8.3055009958866149E-3</v>
      </c>
      <c r="K164">
        <f t="shared" si="11"/>
        <v>17.405265070312989</v>
      </c>
    </row>
    <row r="165" spans="1:11">
      <c r="A165" t="s">
        <v>182</v>
      </c>
      <c r="B165">
        <v>2009</v>
      </c>
      <c r="C165" s="1" t="s">
        <v>305</v>
      </c>
      <c r="D165" s="1">
        <v>18.066455611060309</v>
      </c>
      <c r="E165" s="1">
        <f t="shared" si="8"/>
        <v>8.3055009958866149E-3</v>
      </c>
      <c r="F165" s="3">
        <f t="shared" si="9"/>
        <v>18.066455611060309</v>
      </c>
      <c r="J165">
        <f t="shared" si="10"/>
        <v>8.3055009958866149E-3</v>
      </c>
      <c r="K165">
        <f t="shared" si="11"/>
        <v>18.066455611060309</v>
      </c>
    </row>
    <row r="166" spans="1:11">
      <c r="A166" t="s">
        <v>168</v>
      </c>
      <c r="B166">
        <v>2009</v>
      </c>
      <c r="C166" s="1">
        <v>2.6093593310949795E-2</v>
      </c>
      <c r="D166" s="1">
        <v>14.376881376360959</v>
      </c>
      <c r="E166" s="1">
        <f t="shared" si="8"/>
        <v>2.6093593310949795E-2</v>
      </c>
      <c r="F166" s="3">
        <f t="shared" si="9"/>
        <v>14.376881376360959</v>
      </c>
      <c r="J166">
        <f t="shared" si="10"/>
        <v>2.6093593310949795E-2</v>
      </c>
      <c r="K166">
        <f t="shared" si="11"/>
        <v>14.376881376360959</v>
      </c>
    </row>
    <row r="167" spans="1:11">
      <c r="A167" t="s">
        <v>169</v>
      </c>
      <c r="B167">
        <v>2009</v>
      </c>
      <c r="C167" s="1">
        <v>2.1358697613084763E-2</v>
      </c>
      <c r="D167" s="1">
        <v>15.906504611665827</v>
      </c>
      <c r="E167" s="1">
        <f t="shared" si="8"/>
        <v>2.1358697613084763E-2</v>
      </c>
      <c r="F167" s="3">
        <f t="shared" si="9"/>
        <v>15.906504611665827</v>
      </c>
      <c r="J167">
        <f t="shared" si="10"/>
        <v>2.1358697613084763E-2</v>
      </c>
      <c r="K167">
        <f t="shared" si="11"/>
        <v>15.906504611665827</v>
      </c>
    </row>
    <row r="168" spans="1:11">
      <c r="A168" t="s">
        <v>186</v>
      </c>
      <c r="B168">
        <v>2009</v>
      </c>
      <c r="C168" s="1" t="s">
        <v>305</v>
      </c>
      <c r="D168" s="1">
        <v>16.484882853233316</v>
      </c>
      <c r="E168" s="1">
        <f t="shared" si="8"/>
        <v>8.3055009958866149E-3</v>
      </c>
      <c r="F168" s="3">
        <f t="shared" si="9"/>
        <v>16.484882853233316</v>
      </c>
      <c r="J168">
        <f t="shared" si="10"/>
        <v>8.3055009958866149E-3</v>
      </c>
      <c r="K168">
        <f t="shared" si="11"/>
        <v>16.484882853233316</v>
      </c>
    </row>
    <row r="169" spans="1:11">
      <c r="A169" t="s">
        <v>170</v>
      </c>
      <c r="B169">
        <v>2009</v>
      </c>
      <c r="C169" s="1">
        <v>1.8428547783242204E-2</v>
      </c>
      <c r="D169" s="1">
        <v>14.372861497351114</v>
      </c>
      <c r="E169" s="1">
        <f t="shared" si="8"/>
        <v>1.8428547783242204E-2</v>
      </c>
      <c r="F169" s="3">
        <f t="shared" si="9"/>
        <v>14.372861497351114</v>
      </c>
      <c r="J169">
        <f t="shared" si="10"/>
        <v>1.8428547783242204E-2</v>
      </c>
      <c r="K169">
        <f t="shared" si="11"/>
        <v>14.372861497351114</v>
      </c>
    </row>
    <row r="170" spans="1:11">
      <c r="A170" t="s">
        <v>189</v>
      </c>
      <c r="B170">
        <v>2009</v>
      </c>
      <c r="C170" s="1" t="s">
        <v>305</v>
      </c>
      <c r="D170" s="1">
        <v>16.863809332534156</v>
      </c>
      <c r="E170" s="1">
        <f t="shared" si="8"/>
        <v>8.3055009958866149E-3</v>
      </c>
      <c r="F170" s="3">
        <f t="shared" si="9"/>
        <v>16.863809332534156</v>
      </c>
      <c r="J170">
        <f t="shared" si="10"/>
        <v>8.3055009958866149E-3</v>
      </c>
      <c r="K170">
        <f t="shared" si="11"/>
        <v>16.863809332534156</v>
      </c>
    </row>
    <row r="171" spans="1:11">
      <c r="A171" t="s">
        <v>172</v>
      </c>
      <c r="B171">
        <v>2009</v>
      </c>
      <c r="C171" s="1">
        <v>6.7477376588401502E-3</v>
      </c>
      <c r="D171" s="1">
        <v>15.183221563174436</v>
      </c>
      <c r="E171" s="1">
        <f t="shared" si="8"/>
        <v>6.7477376588401502E-3</v>
      </c>
      <c r="F171" s="3">
        <f t="shared" si="9"/>
        <v>15.183221563174436</v>
      </c>
      <c r="J171">
        <f t="shared" si="10"/>
        <v>6.7477376588401502E-3</v>
      </c>
      <c r="K171">
        <f t="shared" si="11"/>
        <v>15.183221563174436</v>
      </c>
    </row>
    <row r="172" spans="1:11">
      <c r="A172" t="s">
        <v>173</v>
      </c>
      <c r="B172">
        <v>2009</v>
      </c>
      <c r="C172" s="1">
        <v>3.2405538116883964E-3</v>
      </c>
      <c r="D172" s="1">
        <v>12.858098307550357</v>
      </c>
      <c r="E172" s="1">
        <f t="shared" si="8"/>
        <v>3.2405538116883964E-3</v>
      </c>
      <c r="F172" s="3">
        <f t="shared" si="9"/>
        <v>12.858098307550357</v>
      </c>
      <c r="J172">
        <f t="shared" si="10"/>
        <v>3.2405538116883964E-3</v>
      </c>
      <c r="K172">
        <f t="shared" si="11"/>
        <v>12.858098307550357</v>
      </c>
    </row>
    <row r="173" spans="1:11">
      <c r="A173" t="s">
        <v>175</v>
      </c>
      <c r="B173">
        <v>2009</v>
      </c>
      <c r="C173" s="1">
        <v>4.1380844990863688E-3</v>
      </c>
      <c r="D173" s="1">
        <v>12.36172077504837</v>
      </c>
      <c r="E173" s="1">
        <f t="shared" si="8"/>
        <v>4.1380844990863688E-3</v>
      </c>
      <c r="F173" s="3">
        <f t="shared" si="9"/>
        <v>12.36172077504837</v>
      </c>
      <c r="J173">
        <f t="shared" si="10"/>
        <v>4.1380844990863688E-3</v>
      </c>
      <c r="K173">
        <f t="shared" si="11"/>
        <v>12.36172077504837</v>
      </c>
    </row>
    <row r="174" spans="1:11">
      <c r="A174" t="s">
        <v>176</v>
      </c>
      <c r="B174">
        <v>2009</v>
      </c>
      <c r="C174" s="1">
        <v>1.6253346804145381E-3</v>
      </c>
      <c r="D174" s="1">
        <v>14.331163710439938</v>
      </c>
      <c r="E174" s="1">
        <f t="shared" si="8"/>
        <v>1.6253346804145381E-3</v>
      </c>
      <c r="F174" s="3">
        <f t="shared" si="9"/>
        <v>14.331163710439938</v>
      </c>
      <c r="J174">
        <f t="shared" si="10"/>
        <v>1.6253346804145381E-3</v>
      </c>
      <c r="K174">
        <f t="shared" si="11"/>
        <v>14.331163710439938</v>
      </c>
    </row>
    <row r="175" spans="1:11">
      <c r="A175" t="s">
        <v>177</v>
      </c>
      <c r="B175">
        <v>2009</v>
      </c>
      <c r="C175" s="1">
        <v>3.2806780396838708E-3</v>
      </c>
      <c r="D175" s="1">
        <v>13.605786560309529</v>
      </c>
      <c r="E175" s="1">
        <f t="shared" si="8"/>
        <v>3.2806780396838708E-3</v>
      </c>
      <c r="F175" s="3">
        <f t="shared" si="9"/>
        <v>13.605786560309529</v>
      </c>
      <c r="J175">
        <f t="shared" si="10"/>
        <v>3.2806780396838708E-3</v>
      </c>
      <c r="K175">
        <f t="shared" si="11"/>
        <v>13.605786560309529</v>
      </c>
    </row>
    <row r="176" spans="1:11">
      <c r="A176" t="s">
        <v>178</v>
      </c>
      <c r="B176">
        <v>2009</v>
      </c>
      <c r="C176" s="1">
        <v>2.2900880955472467E-2</v>
      </c>
      <c r="D176" s="1">
        <v>13.026717741340844</v>
      </c>
      <c r="E176" s="1">
        <f t="shared" si="8"/>
        <v>2.2900880955472467E-2</v>
      </c>
      <c r="F176" s="3">
        <f t="shared" si="9"/>
        <v>13.026717741340844</v>
      </c>
      <c r="J176">
        <f t="shared" si="10"/>
        <v>2.2900880955472467E-2</v>
      </c>
      <c r="K176">
        <f t="shared" si="11"/>
        <v>13.026717741340844</v>
      </c>
    </row>
    <row r="177" spans="1:11">
      <c r="A177" t="s">
        <v>179</v>
      </c>
      <c r="B177">
        <v>2009</v>
      </c>
      <c r="C177" s="1">
        <v>2.3920334884688387E-4</v>
      </c>
      <c r="D177" s="1">
        <v>12.166837932278892</v>
      </c>
      <c r="E177" s="1">
        <f t="shared" si="8"/>
        <v>2.3920334884688387E-4</v>
      </c>
      <c r="F177" s="3">
        <f t="shared" si="9"/>
        <v>12.166837932278892</v>
      </c>
      <c r="J177">
        <f t="shared" si="10"/>
        <v>2.3920334884688387E-4</v>
      </c>
      <c r="K177">
        <f t="shared" si="11"/>
        <v>12.166837932278892</v>
      </c>
    </row>
    <row r="178" spans="1:11">
      <c r="A178" t="s">
        <v>181</v>
      </c>
      <c r="B178">
        <v>2009</v>
      </c>
      <c r="C178" s="1">
        <v>6.6471014305225244E-4</v>
      </c>
      <c r="D178" s="1">
        <v>15.050718331793739</v>
      </c>
      <c r="E178" s="1">
        <f t="shared" si="8"/>
        <v>6.6471014305225244E-4</v>
      </c>
      <c r="F178" s="3">
        <f t="shared" si="9"/>
        <v>15.050718331793739</v>
      </c>
      <c r="J178">
        <f t="shared" si="10"/>
        <v>6.6471014305225244E-4</v>
      </c>
      <c r="K178">
        <f t="shared" si="11"/>
        <v>15.050718331793739</v>
      </c>
    </row>
    <row r="179" spans="1:11">
      <c r="A179" t="s">
        <v>183</v>
      </c>
      <c r="B179">
        <v>2009</v>
      </c>
      <c r="C179" s="1">
        <v>1.891175644866214E-3</v>
      </c>
      <c r="D179" s="1">
        <v>12.688921544909208</v>
      </c>
      <c r="E179" s="1">
        <f t="shared" si="8"/>
        <v>1.891175644866214E-3</v>
      </c>
      <c r="F179" s="3">
        <f t="shared" si="9"/>
        <v>12.688921544909208</v>
      </c>
      <c r="J179">
        <f t="shared" si="10"/>
        <v>1.891175644866214E-3</v>
      </c>
      <c r="K179">
        <f t="shared" si="11"/>
        <v>12.688921544909208</v>
      </c>
    </row>
    <row r="180" spans="1:11">
      <c r="A180" t="s">
        <v>184</v>
      </c>
      <c r="B180">
        <v>2009</v>
      </c>
      <c r="C180" s="1">
        <v>2.9086625669618293E-2</v>
      </c>
      <c r="D180" s="1">
        <v>16.129372922817911</v>
      </c>
      <c r="E180" s="1">
        <f t="shared" si="8"/>
        <v>2.9086625669618293E-2</v>
      </c>
      <c r="F180" s="3">
        <f t="shared" si="9"/>
        <v>16.129372922817911</v>
      </c>
      <c r="J180">
        <f t="shared" si="10"/>
        <v>2.9086625669618293E-2</v>
      </c>
      <c r="K180">
        <f t="shared" si="11"/>
        <v>16.129372922817911</v>
      </c>
    </row>
    <row r="181" spans="1:11">
      <c r="A181" t="s">
        <v>185</v>
      </c>
      <c r="B181">
        <v>2009</v>
      </c>
      <c r="C181" s="1">
        <v>4.1887671570826228E-2</v>
      </c>
      <c r="D181" s="1">
        <v>13.477808765749295</v>
      </c>
      <c r="E181" s="1">
        <f t="shared" si="8"/>
        <v>4.1887671570826228E-2</v>
      </c>
      <c r="F181" s="3">
        <f t="shared" si="9"/>
        <v>13.477808765749295</v>
      </c>
      <c r="J181">
        <f t="shared" si="10"/>
        <v>4.1887671570826228E-2</v>
      </c>
      <c r="K181">
        <f t="shared" si="11"/>
        <v>13.477808765749295</v>
      </c>
    </row>
    <row r="182" spans="1:11">
      <c r="A182" t="s">
        <v>187</v>
      </c>
      <c r="B182">
        <v>2009</v>
      </c>
      <c r="C182" s="1">
        <v>3.4390763739343341E-2</v>
      </c>
      <c r="D182" s="1">
        <v>13.20372951664816</v>
      </c>
      <c r="E182" s="1">
        <f t="shared" si="8"/>
        <v>3.4390763739343341E-2</v>
      </c>
      <c r="F182" s="3">
        <f t="shared" si="9"/>
        <v>13.20372951664816</v>
      </c>
      <c r="J182">
        <f t="shared" si="10"/>
        <v>3.4390763739343341E-2</v>
      </c>
      <c r="K182">
        <f t="shared" si="11"/>
        <v>13.20372951664816</v>
      </c>
    </row>
    <row r="183" spans="1:11">
      <c r="A183" t="s">
        <v>188</v>
      </c>
      <c r="B183">
        <v>2009</v>
      </c>
      <c r="C183" s="1">
        <v>2.4545994130665005E-2</v>
      </c>
      <c r="D183" s="1">
        <v>14.188654933209547</v>
      </c>
      <c r="E183" s="1">
        <f t="shared" si="8"/>
        <v>2.4545994130665005E-2</v>
      </c>
      <c r="F183" s="3">
        <f t="shared" si="9"/>
        <v>14.188654933209547</v>
      </c>
      <c r="J183">
        <f t="shared" si="10"/>
        <v>2.4545994130665005E-2</v>
      </c>
      <c r="K183">
        <f t="shared" si="11"/>
        <v>14.188654933209547</v>
      </c>
    </row>
    <row r="184" spans="1:11">
      <c r="A184" t="s">
        <v>190</v>
      </c>
      <c r="B184">
        <v>2009</v>
      </c>
      <c r="C184" s="1">
        <v>4.4915507595062855E-3</v>
      </c>
      <c r="D184" s="1">
        <v>12.546010299222964</v>
      </c>
      <c r="E184" s="1">
        <f t="shared" si="8"/>
        <v>4.4915507595062855E-3</v>
      </c>
      <c r="F184" s="3">
        <f t="shared" si="9"/>
        <v>12.546010299222964</v>
      </c>
      <c r="J184">
        <f t="shared" si="10"/>
        <v>4.4915507595062855E-3</v>
      </c>
      <c r="K184">
        <f t="shared" si="11"/>
        <v>12.546010299222964</v>
      </c>
    </row>
    <row r="185" spans="1:11">
      <c r="A185" t="s">
        <v>205</v>
      </c>
      <c r="B185">
        <v>2009</v>
      </c>
      <c r="C185" s="1" t="s">
        <v>305</v>
      </c>
      <c r="D185" s="1">
        <v>14.988050588259846</v>
      </c>
      <c r="E185" s="1">
        <f t="shared" si="8"/>
        <v>8.3055009958866149E-3</v>
      </c>
      <c r="F185" s="3">
        <f t="shared" si="9"/>
        <v>14.988050588259846</v>
      </c>
      <c r="J185">
        <f t="shared" si="10"/>
        <v>8.3055009958866149E-3</v>
      </c>
      <c r="K185">
        <f t="shared" si="11"/>
        <v>14.988050588259846</v>
      </c>
    </row>
    <row r="186" spans="1:11">
      <c r="A186" t="s">
        <v>191</v>
      </c>
      <c r="B186">
        <v>2009</v>
      </c>
      <c r="C186" s="1">
        <v>9.9482112064774755E-4</v>
      </c>
      <c r="D186" s="1">
        <v>15.242364399150516</v>
      </c>
      <c r="E186" s="1">
        <f t="shared" si="8"/>
        <v>9.9482112064774755E-4</v>
      </c>
      <c r="F186" s="3">
        <f t="shared" si="9"/>
        <v>15.242364399150516</v>
      </c>
      <c r="J186">
        <f t="shared" si="10"/>
        <v>9.9482112064774755E-4</v>
      </c>
      <c r="K186">
        <f t="shared" si="11"/>
        <v>15.242364399150516</v>
      </c>
    </row>
    <row r="187" spans="1:11">
      <c r="A187" t="s">
        <v>192</v>
      </c>
      <c r="B187">
        <v>2009</v>
      </c>
      <c r="C187" s="1">
        <v>5.5180042741811931E-4</v>
      </c>
      <c r="D187" s="1">
        <v>14.247560471076914</v>
      </c>
      <c r="E187" s="1">
        <f t="shared" si="8"/>
        <v>5.5180042741811931E-4</v>
      </c>
      <c r="F187" s="3">
        <f t="shared" si="9"/>
        <v>14.247560471076914</v>
      </c>
      <c r="J187">
        <f t="shared" si="10"/>
        <v>5.5180042741811931E-4</v>
      </c>
      <c r="K187">
        <f t="shared" si="11"/>
        <v>14.247560471076914</v>
      </c>
    </row>
    <row r="188" spans="1:11">
      <c r="A188" t="s">
        <v>193</v>
      </c>
      <c r="B188">
        <v>2009</v>
      </c>
      <c r="C188" s="1">
        <v>5.1651024862751438E-3</v>
      </c>
      <c r="D188" s="1">
        <v>13.430340602900392</v>
      </c>
      <c r="E188" s="1">
        <f t="shared" si="8"/>
        <v>5.1651024862751438E-3</v>
      </c>
      <c r="F188" s="3">
        <f t="shared" si="9"/>
        <v>13.430340602900392</v>
      </c>
      <c r="J188">
        <f t="shared" si="10"/>
        <v>5.1651024862751438E-3</v>
      </c>
      <c r="K188">
        <f t="shared" si="11"/>
        <v>13.430340602900392</v>
      </c>
    </row>
    <row r="189" spans="1:11">
      <c r="A189" t="s">
        <v>194</v>
      </c>
      <c r="B189">
        <v>2009</v>
      </c>
      <c r="C189" s="1">
        <v>4.4740940644050496E-4</v>
      </c>
      <c r="D189" s="1">
        <v>14.417675579312229</v>
      </c>
      <c r="E189" s="1">
        <f t="shared" si="8"/>
        <v>4.4740940644050496E-4</v>
      </c>
      <c r="F189" s="3">
        <f t="shared" si="9"/>
        <v>14.417675579312229</v>
      </c>
      <c r="J189">
        <f t="shared" si="10"/>
        <v>4.4740940644050496E-4</v>
      </c>
      <c r="K189">
        <f t="shared" si="11"/>
        <v>14.417675579312229</v>
      </c>
    </row>
    <row r="190" spans="1:11">
      <c r="A190" t="s">
        <v>195</v>
      </c>
      <c r="B190">
        <v>2009</v>
      </c>
      <c r="C190" s="1">
        <v>2.7367897148961443E-2</v>
      </c>
      <c r="D190" s="1">
        <v>14.577164625273049</v>
      </c>
      <c r="E190" s="1">
        <f t="shared" si="8"/>
        <v>2.7367897148961443E-2</v>
      </c>
      <c r="F190" s="3">
        <f t="shared" si="9"/>
        <v>14.577164625273049</v>
      </c>
      <c r="J190">
        <f t="shared" si="10"/>
        <v>2.7367897148961443E-2</v>
      </c>
      <c r="K190">
        <f t="shared" si="11"/>
        <v>14.577164625273049</v>
      </c>
    </row>
    <row r="191" spans="1:11">
      <c r="A191" t="s">
        <v>196</v>
      </c>
      <c r="B191">
        <v>2009</v>
      </c>
      <c r="C191" s="1">
        <v>1.2920215150156881E-2</v>
      </c>
      <c r="D191" s="1">
        <v>13.344994797601782</v>
      </c>
      <c r="E191" s="1">
        <f t="shared" si="8"/>
        <v>1.2920215150156881E-2</v>
      </c>
      <c r="F191" s="3">
        <f t="shared" si="9"/>
        <v>13.344994797601782</v>
      </c>
      <c r="J191">
        <f t="shared" si="10"/>
        <v>1.2920215150156881E-2</v>
      </c>
      <c r="K191">
        <f t="shared" si="11"/>
        <v>13.344994797601782</v>
      </c>
    </row>
    <row r="192" spans="1:11">
      <c r="A192" t="s">
        <v>197</v>
      </c>
      <c r="B192">
        <v>2009</v>
      </c>
      <c r="C192" s="1">
        <v>4.3661774058992131E-2</v>
      </c>
      <c r="D192" s="1">
        <v>12.397246570901284</v>
      </c>
      <c r="E192" s="1">
        <f t="shared" si="8"/>
        <v>4.3661774058992131E-2</v>
      </c>
      <c r="F192" s="3">
        <f t="shared" si="9"/>
        <v>12.397246570901284</v>
      </c>
      <c r="J192">
        <f t="shared" si="10"/>
        <v>4.3661774058992131E-2</v>
      </c>
      <c r="K192">
        <f t="shared" si="11"/>
        <v>12.397246570901284</v>
      </c>
    </row>
    <row r="193" spans="1:11">
      <c r="A193" t="s">
        <v>198</v>
      </c>
      <c r="B193">
        <v>2009</v>
      </c>
      <c r="C193" s="1">
        <v>4.3625305316501925E-3</v>
      </c>
      <c r="D193" s="1">
        <v>14.846431984306376</v>
      </c>
      <c r="E193" s="1">
        <f t="shared" si="8"/>
        <v>4.3625305316501925E-3</v>
      </c>
      <c r="F193" s="3">
        <f t="shared" si="9"/>
        <v>14.846431984306376</v>
      </c>
      <c r="J193">
        <f t="shared" si="10"/>
        <v>4.3625305316501925E-3</v>
      </c>
      <c r="K193">
        <f t="shared" si="11"/>
        <v>14.846431984306376</v>
      </c>
    </row>
    <row r="194" spans="1:11">
      <c r="A194" t="s">
        <v>215</v>
      </c>
      <c r="B194">
        <v>2009</v>
      </c>
      <c r="C194" s="1" t="s">
        <v>305</v>
      </c>
      <c r="D194" s="1">
        <v>16.229536752327707</v>
      </c>
      <c r="E194" s="1">
        <f t="shared" si="8"/>
        <v>8.3055009958866149E-3</v>
      </c>
      <c r="F194" s="3">
        <f t="shared" si="9"/>
        <v>16.229536752327707</v>
      </c>
      <c r="J194">
        <f t="shared" si="10"/>
        <v>8.3055009958866149E-3</v>
      </c>
      <c r="K194">
        <f t="shared" si="11"/>
        <v>16.229536752327707</v>
      </c>
    </row>
    <row r="195" spans="1:11">
      <c r="A195" t="s">
        <v>217</v>
      </c>
      <c r="B195">
        <v>2009</v>
      </c>
      <c r="C195" s="1" t="s">
        <v>305</v>
      </c>
      <c r="D195" s="1">
        <v>14.281825517424759</v>
      </c>
      <c r="E195" s="1">
        <f t="shared" ref="E195:E258" si="12">IF(C195="out",$H$2,C195)</f>
        <v>8.3055009958866149E-3</v>
      </c>
      <c r="F195" s="3">
        <f t="shared" ref="F195:F258" si="13">IF(D195="out",$I$2,D195)</f>
        <v>14.281825517424759</v>
      </c>
      <c r="J195">
        <f t="shared" ref="J195:J258" si="14">IF(C195="out",$H$2,C195)</f>
        <v>8.3055009958866149E-3</v>
      </c>
      <c r="K195">
        <f t="shared" ref="K195:K258" si="15">IF(D195="out",$H$2,D195)</f>
        <v>14.281825517424759</v>
      </c>
    </row>
    <row r="196" spans="1:11">
      <c r="A196" t="s">
        <v>199</v>
      </c>
      <c r="B196">
        <v>2009</v>
      </c>
      <c r="C196" s="1">
        <v>7.5048332030767967E-2</v>
      </c>
      <c r="D196" s="1">
        <v>10.791831382359332</v>
      </c>
      <c r="E196" s="1">
        <f t="shared" si="12"/>
        <v>7.5048332030767967E-2</v>
      </c>
      <c r="F196" s="3">
        <f t="shared" si="13"/>
        <v>10.791831382359332</v>
      </c>
      <c r="J196">
        <f t="shared" si="14"/>
        <v>7.5048332030767967E-2</v>
      </c>
      <c r="K196">
        <f t="shared" si="15"/>
        <v>10.791831382359332</v>
      </c>
    </row>
    <row r="197" spans="1:11">
      <c r="A197" t="s">
        <v>200</v>
      </c>
      <c r="B197">
        <v>2009</v>
      </c>
      <c r="C197" s="1">
        <v>5.5252624225035265E-3</v>
      </c>
      <c r="D197" s="1">
        <v>13.028452617954414</v>
      </c>
      <c r="E197" s="1">
        <f t="shared" si="12"/>
        <v>5.5252624225035265E-3</v>
      </c>
      <c r="F197" s="3">
        <f t="shared" si="13"/>
        <v>13.028452617954414</v>
      </c>
      <c r="J197">
        <f t="shared" si="14"/>
        <v>5.5252624225035265E-3</v>
      </c>
      <c r="K197">
        <f t="shared" si="15"/>
        <v>13.028452617954414</v>
      </c>
    </row>
    <row r="198" spans="1:11">
      <c r="A198" t="s">
        <v>201</v>
      </c>
      <c r="B198">
        <v>2009</v>
      </c>
      <c r="C198" s="1">
        <v>4.6943083048877638E-3</v>
      </c>
      <c r="D198" s="1">
        <v>15.610253239652524</v>
      </c>
      <c r="E198" s="1">
        <f t="shared" si="12"/>
        <v>4.6943083048877638E-3</v>
      </c>
      <c r="F198" s="3">
        <f t="shared" si="13"/>
        <v>15.610253239652524</v>
      </c>
      <c r="J198">
        <f t="shared" si="14"/>
        <v>4.6943083048877638E-3</v>
      </c>
      <c r="K198">
        <f t="shared" si="15"/>
        <v>15.610253239652524</v>
      </c>
    </row>
    <row r="199" spans="1:11">
      <c r="A199" t="s">
        <v>202</v>
      </c>
      <c r="B199">
        <v>2009</v>
      </c>
      <c r="C199" s="1">
        <v>5.708682334949531E-2</v>
      </c>
      <c r="D199" s="1">
        <v>15.1106124498613</v>
      </c>
      <c r="E199" s="1">
        <f t="shared" si="12"/>
        <v>5.708682334949531E-2</v>
      </c>
      <c r="F199" s="3">
        <f t="shared" si="13"/>
        <v>15.1106124498613</v>
      </c>
      <c r="J199">
        <f t="shared" si="14"/>
        <v>5.708682334949531E-2</v>
      </c>
      <c r="K199">
        <f t="shared" si="15"/>
        <v>15.1106124498613</v>
      </c>
    </row>
    <row r="200" spans="1:11">
      <c r="A200" t="s">
        <v>203</v>
      </c>
      <c r="B200">
        <v>2009</v>
      </c>
      <c r="C200" s="1">
        <v>1.0384273966178531E-3</v>
      </c>
      <c r="D200" s="1">
        <v>12.788941683143864</v>
      </c>
      <c r="E200" s="1">
        <f t="shared" si="12"/>
        <v>1.0384273966178531E-3</v>
      </c>
      <c r="F200" s="3">
        <f t="shared" si="13"/>
        <v>12.788941683143864</v>
      </c>
      <c r="J200">
        <f t="shared" si="14"/>
        <v>1.0384273966178531E-3</v>
      </c>
      <c r="K200">
        <f t="shared" si="15"/>
        <v>12.788941683143864</v>
      </c>
    </row>
    <row r="201" spans="1:11">
      <c r="A201" t="s">
        <v>204</v>
      </c>
      <c r="B201">
        <v>2009</v>
      </c>
      <c r="C201" s="1">
        <v>2.4493997460651461E-2</v>
      </c>
      <c r="D201" s="1">
        <v>15.035597725707316</v>
      </c>
      <c r="E201" s="1">
        <f t="shared" si="12"/>
        <v>2.4493997460651461E-2</v>
      </c>
      <c r="F201" s="3">
        <f t="shared" si="13"/>
        <v>15.035597725707316</v>
      </c>
      <c r="J201">
        <f t="shared" si="14"/>
        <v>2.4493997460651461E-2</v>
      </c>
      <c r="K201">
        <f t="shared" si="15"/>
        <v>15.035597725707316</v>
      </c>
    </row>
    <row r="202" spans="1:11">
      <c r="A202" t="s">
        <v>206</v>
      </c>
      <c r="B202">
        <v>2009</v>
      </c>
      <c r="C202" s="1">
        <v>5.7842336801767813E-2</v>
      </c>
      <c r="D202" s="1">
        <v>16.152451666016539</v>
      </c>
      <c r="E202" s="1">
        <f t="shared" si="12"/>
        <v>5.7842336801767813E-2</v>
      </c>
      <c r="F202" s="3">
        <f t="shared" si="13"/>
        <v>16.152451666016539</v>
      </c>
      <c r="J202">
        <f t="shared" si="14"/>
        <v>5.7842336801767813E-2</v>
      </c>
      <c r="K202">
        <f t="shared" si="15"/>
        <v>16.152451666016539</v>
      </c>
    </row>
    <row r="203" spans="1:11">
      <c r="A203" t="s">
        <v>207</v>
      </c>
      <c r="B203">
        <v>2009</v>
      </c>
      <c r="C203" s="1">
        <v>2.2567414750510568E-2</v>
      </c>
      <c r="D203" s="1">
        <v>15.083826239290715</v>
      </c>
      <c r="E203" s="1">
        <f t="shared" si="12"/>
        <v>2.2567414750510568E-2</v>
      </c>
      <c r="F203" s="3">
        <f t="shared" si="13"/>
        <v>15.083826239290715</v>
      </c>
      <c r="J203">
        <f t="shared" si="14"/>
        <v>2.2567414750510568E-2</v>
      </c>
      <c r="K203">
        <f t="shared" si="15"/>
        <v>15.083826239290715</v>
      </c>
    </row>
    <row r="204" spans="1:11">
      <c r="A204" t="s">
        <v>227</v>
      </c>
      <c r="B204">
        <v>2009</v>
      </c>
      <c r="C204" s="1" t="s">
        <v>305</v>
      </c>
      <c r="D204" s="1">
        <v>12.031147666486438</v>
      </c>
      <c r="E204" s="1">
        <f t="shared" si="12"/>
        <v>8.3055009958866149E-3</v>
      </c>
      <c r="F204" s="3">
        <f t="shared" si="13"/>
        <v>12.031147666486438</v>
      </c>
      <c r="J204">
        <f t="shared" si="14"/>
        <v>8.3055009958866149E-3</v>
      </c>
      <c r="K204">
        <f t="shared" si="15"/>
        <v>12.031147666486438</v>
      </c>
    </row>
    <row r="205" spans="1:11">
      <c r="A205" t="s">
        <v>229</v>
      </c>
      <c r="B205">
        <v>2009</v>
      </c>
      <c r="C205" s="1" t="s">
        <v>305</v>
      </c>
      <c r="D205" s="1">
        <v>13.496478159450053</v>
      </c>
      <c r="E205" s="1">
        <f t="shared" si="12"/>
        <v>8.3055009958866149E-3</v>
      </c>
      <c r="F205" s="3">
        <f t="shared" si="13"/>
        <v>13.496478159450053</v>
      </c>
      <c r="J205">
        <f t="shared" si="14"/>
        <v>8.3055009958866149E-3</v>
      </c>
      <c r="K205">
        <f t="shared" si="15"/>
        <v>13.496478159450053</v>
      </c>
    </row>
    <row r="206" spans="1:11">
      <c r="A206" t="s">
        <v>231</v>
      </c>
      <c r="B206">
        <v>2009</v>
      </c>
      <c r="C206" s="1" t="s">
        <v>305</v>
      </c>
      <c r="D206" s="1">
        <v>15.757527567146838</v>
      </c>
      <c r="E206" s="1">
        <f t="shared" si="12"/>
        <v>8.3055009958866149E-3</v>
      </c>
      <c r="F206" s="3">
        <f t="shared" si="13"/>
        <v>15.757527567146838</v>
      </c>
      <c r="J206">
        <f t="shared" si="14"/>
        <v>8.3055009958866149E-3</v>
      </c>
      <c r="K206">
        <f t="shared" si="15"/>
        <v>15.757527567146838</v>
      </c>
    </row>
    <row r="207" spans="1:11">
      <c r="A207" t="s">
        <v>208</v>
      </c>
      <c r="B207">
        <v>2009</v>
      </c>
      <c r="C207" s="1">
        <v>1.2276759625049673E-2</v>
      </c>
      <c r="D207" s="1">
        <v>17.443724514426371</v>
      </c>
      <c r="E207" s="1">
        <f t="shared" si="12"/>
        <v>1.2276759625049673E-2</v>
      </c>
      <c r="F207" s="3">
        <f t="shared" si="13"/>
        <v>17.443724514426371</v>
      </c>
      <c r="J207">
        <f t="shared" si="14"/>
        <v>1.2276759625049673E-2</v>
      </c>
      <c r="K207">
        <f t="shared" si="15"/>
        <v>17.443724514426371</v>
      </c>
    </row>
    <row r="208" spans="1:11">
      <c r="A208" t="s">
        <v>209</v>
      </c>
      <c r="B208">
        <v>2009</v>
      </c>
      <c r="C208" s="1">
        <v>1.2794112376699954E-2</v>
      </c>
      <c r="D208" s="1">
        <v>15.372287925960839</v>
      </c>
      <c r="E208" s="1">
        <f t="shared" si="12"/>
        <v>1.2794112376699954E-2</v>
      </c>
      <c r="F208" s="3">
        <f t="shared" si="13"/>
        <v>15.372287925960839</v>
      </c>
      <c r="J208">
        <f t="shared" si="14"/>
        <v>1.2794112376699954E-2</v>
      </c>
      <c r="K208">
        <f t="shared" si="15"/>
        <v>15.372287925960839</v>
      </c>
    </row>
    <row r="209" spans="1:11">
      <c r="A209" t="s">
        <v>210</v>
      </c>
      <c r="B209">
        <v>2009</v>
      </c>
      <c r="C209" s="1">
        <v>5.9500172472857753E-3</v>
      </c>
      <c r="D209" s="1">
        <v>17.596690485438316</v>
      </c>
      <c r="E209" s="1">
        <f t="shared" si="12"/>
        <v>5.9500172472857753E-3</v>
      </c>
      <c r="F209" s="3">
        <f t="shared" si="13"/>
        <v>17.596690485438316</v>
      </c>
      <c r="J209">
        <f t="shared" si="14"/>
        <v>5.9500172472857753E-3</v>
      </c>
      <c r="K209">
        <f t="shared" si="15"/>
        <v>17.596690485438316</v>
      </c>
    </row>
    <row r="210" spans="1:11">
      <c r="A210" t="s">
        <v>211</v>
      </c>
      <c r="B210">
        <v>2009</v>
      </c>
      <c r="C210" s="1">
        <v>4.8115794037458469E-4</v>
      </c>
      <c r="D210" s="1">
        <v>15.30927697886278</v>
      </c>
      <c r="E210" s="1">
        <f t="shared" si="12"/>
        <v>4.8115794037458469E-4</v>
      </c>
      <c r="F210" s="3">
        <f t="shared" si="13"/>
        <v>15.30927697886278</v>
      </c>
      <c r="J210">
        <f t="shared" si="14"/>
        <v>4.8115794037458469E-4</v>
      </c>
      <c r="K210">
        <f t="shared" si="15"/>
        <v>15.30927697886278</v>
      </c>
    </row>
    <row r="211" spans="1:11">
      <c r="A211" t="s">
        <v>212</v>
      </c>
      <c r="B211">
        <v>2009</v>
      </c>
      <c r="C211" s="1">
        <v>1.2511757071957648E-3</v>
      </c>
      <c r="D211" s="1">
        <v>14.943905895573417</v>
      </c>
      <c r="E211" s="1">
        <f t="shared" si="12"/>
        <v>1.2511757071957648E-3</v>
      </c>
      <c r="F211" s="3">
        <f t="shared" si="13"/>
        <v>14.943905895573417</v>
      </c>
      <c r="J211">
        <f t="shared" si="14"/>
        <v>1.2511757071957648E-3</v>
      </c>
      <c r="K211">
        <f t="shared" si="15"/>
        <v>14.943905895573417</v>
      </c>
    </row>
    <row r="212" spans="1:11">
      <c r="A212" t="s">
        <v>213</v>
      </c>
      <c r="B212">
        <v>2009</v>
      </c>
      <c r="C212" s="1">
        <v>5.6634052460919539E-3</v>
      </c>
      <c r="D212" s="1">
        <v>16.888052194485176</v>
      </c>
      <c r="E212" s="1">
        <f t="shared" si="12"/>
        <v>5.6634052460919539E-3</v>
      </c>
      <c r="F212" s="3">
        <f t="shared" si="13"/>
        <v>16.888052194485176</v>
      </c>
      <c r="J212">
        <f t="shared" si="14"/>
        <v>5.6634052460919539E-3</v>
      </c>
      <c r="K212">
        <f t="shared" si="15"/>
        <v>16.888052194485176</v>
      </c>
    </row>
    <row r="213" spans="1:11">
      <c r="A213" t="s">
        <v>214</v>
      </c>
      <c r="B213">
        <v>2009</v>
      </c>
      <c r="C213" s="1">
        <v>8.2039956074886067E-3</v>
      </c>
      <c r="D213" s="1">
        <v>16.881072066489086</v>
      </c>
      <c r="E213" s="1">
        <f t="shared" si="12"/>
        <v>8.2039956074886067E-3</v>
      </c>
      <c r="F213" s="3">
        <f t="shared" si="13"/>
        <v>16.881072066489086</v>
      </c>
      <c r="J213">
        <f t="shared" si="14"/>
        <v>8.2039956074886067E-3</v>
      </c>
      <c r="K213">
        <f t="shared" si="15"/>
        <v>16.881072066489086</v>
      </c>
    </row>
    <row r="214" spans="1:11">
      <c r="A214" t="s">
        <v>216</v>
      </c>
      <c r="B214">
        <v>2009</v>
      </c>
      <c r="C214" s="1">
        <v>7.5009704495706021E-3</v>
      </c>
      <c r="D214" s="1">
        <v>14.772737069884865</v>
      </c>
      <c r="E214" s="1">
        <f t="shared" si="12"/>
        <v>7.5009704495706021E-3</v>
      </c>
      <c r="F214" s="3">
        <f t="shared" si="13"/>
        <v>14.772737069884865</v>
      </c>
      <c r="J214">
        <f t="shared" si="14"/>
        <v>7.5009704495706021E-3</v>
      </c>
      <c r="K214">
        <f t="shared" si="15"/>
        <v>14.772737069884865</v>
      </c>
    </row>
    <row r="215" spans="1:11">
      <c r="A215" t="s">
        <v>218</v>
      </c>
      <c r="B215">
        <v>2009</v>
      </c>
      <c r="C215" s="1">
        <v>6.1639044958847157E-3</v>
      </c>
      <c r="D215" s="1">
        <v>16.216028388848972</v>
      </c>
      <c r="E215" s="1">
        <f t="shared" si="12"/>
        <v>6.1639044958847157E-3</v>
      </c>
      <c r="F215" s="3">
        <f t="shared" si="13"/>
        <v>16.216028388848972</v>
      </c>
      <c r="J215">
        <f t="shared" si="14"/>
        <v>6.1639044958847157E-3</v>
      </c>
      <c r="K215">
        <f t="shared" si="15"/>
        <v>16.216028388848972</v>
      </c>
    </row>
    <row r="216" spans="1:11">
      <c r="A216" t="s">
        <v>219</v>
      </c>
      <c r="B216">
        <v>2009</v>
      </c>
      <c r="C216" s="1">
        <v>3.9850924544695852E-3</v>
      </c>
      <c r="D216" s="1">
        <v>15.970163230951105</v>
      </c>
      <c r="E216" s="1">
        <f t="shared" si="12"/>
        <v>3.9850924544695852E-3</v>
      </c>
      <c r="F216" s="3">
        <f t="shared" si="13"/>
        <v>15.970163230951105</v>
      </c>
      <c r="J216">
        <f t="shared" si="14"/>
        <v>3.9850924544695852E-3</v>
      </c>
      <c r="K216">
        <f t="shared" si="15"/>
        <v>15.970163230951105</v>
      </c>
    </row>
    <row r="217" spans="1:11">
      <c r="A217" t="s">
        <v>220</v>
      </c>
      <c r="B217">
        <v>2009</v>
      </c>
      <c r="C217" s="1">
        <v>3.6165307137148075E-3</v>
      </c>
      <c r="D217" s="1">
        <v>16.796344551227783</v>
      </c>
      <c r="E217" s="1">
        <f t="shared" si="12"/>
        <v>3.6165307137148075E-3</v>
      </c>
      <c r="F217" s="3">
        <f t="shared" si="13"/>
        <v>16.796344551227783</v>
      </c>
      <c r="J217">
        <f t="shared" si="14"/>
        <v>3.6165307137148075E-3</v>
      </c>
      <c r="K217">
        <f t="shared" si="15"/>
        <v>16.796344551227783</v>
      </c>
    </row>
    <row r="218" spans="1:11">
      <c r="A218" t="s">
        <v>221</v>
      </c>
      <c r="B218">
        <v>2009</v>
      </c>
      <c r="C218" s="1">
        <v>2.7325513340387863E-2</v>
      </c>
      <c r="D218" s="1">
        <v>17.463369091523482</v>
      </c>
      <c r="E218" s="1">
        <f t="shared" si="12"/>
        <v>2.7325513340387863E-2</v>
      </c>
      <c r="F218" s="3">
        <f t="shared" si="13"/>
        <v>17.463369091523482</v>
      </c>
      <c r="J218">
        <f t="shared" si="14"/>
        <v>2.7325513340387863E-2</v>
      </c>
      <c r="K218">
        <f t="shared" si="15"/>
        <v>17.463369091523482</v>
      </c>
    </row>
    <row r="219" spans="1:11">
      <c r="A219" t="s">
        <v>222</v>
      </c>
      <c r="B219">
        <v>2009</v>
      </c>
      <c r="C219" s="1">
        <v>3.8943389144189288E-3</v>
      </c>
      <c r="D219" s="1">
        <v>17.060476574451712</v>
      </c>
      <c r="E219" s="1">
        <f t="shared" si="12"/>
        <v>3.8943389144189288E-3</v>
      </c>
      <c r="F219" s="3">
        <f t="shared" si="13"/>
        <v>17.060476574451712</v>
      </c>
      <c r="J219">
        <f t="shared" si="14"/>
        <v>3.8943389144189288E-3</v>
      </c>
      <c r="K219">
        <f t="shared" si="15"/>
        <v>17.060476574451712</v>
      </c>
    </row>
    <row r="220" spans="1:11">
      <c r="A220" t="s">
        <v>223</v>
      </c>
      <c r="B220">
        <v>2009</v>
      </c>
      <c r="C220" s="1">
        <v>1.5394868093826146E-2</v>
      </c>
      <c r="D220" s="1">
        <v>16.152278116507336</v>
      </c>
      <c r="E220" s="1">
        <f t="shared" si="12"/>
        <v>1.5394868093826146E-2</v>
      </c>
      <c r="F220" s="3">
        <f t="shared" si="13"/>
        <v>16.152278116507336</v>
      </c>
      <c r="J220">
        <f t="shared" si="14"/>
        <v>1.5394868093826146E-2</v>
      </c>
      <c r="K220">
        <f t="shared" si="15"/>
        <v>16.152278116507336</v>
      </c>
    </row>
    <row r="221" spans="1:11">
      <c r="A221" t="s">
        <v>224</v>
      </c>
      <c r="B221">
        <v>2009</v>
      </c>
      <c r="C221" s="1">
        <v>1.2339887243403597E-2</v>
      </c>
      <c r="D221" s="1">
        <v>14.84316912536401</v>
      </c>
      <c r="E221" s="1">
        <f t="shared" si="12"/>
        <v>1.2339887243403597E-2</v>
      </c>
      <c r="F221" s="3">
        <f t="shared" si="13"/>
        <v>14.84316912536401</v>
      </c>
      <c r="J221">
        <f t="shared" si="14"/>
        <v>1.2339887243403597E-2</v>
      </c>
      <c r="K221">
        <f t="shared" si="15"/>
        <v>14.84316912536401</v>
      </c>
    </row>
    <row r="222" spans="1:11">
      <c r="A222" t="s">
        <v>225</v>
      </c>
      <c r="B222">
        <v>2009</v>
      </c>
      <c r="C222" s="1">
        <v>8.1313638965640027E-3</v>
      </c>
      <c r="D222" s="1">
        <v>13.002935489720246</v>
      </c>
      <c r="E222" s="1">
        <f t="shared" si="12"/>
        <v>8.1313638965640027E-3</v>
      </c>
      <c r="F222" s="3">
        <f t="shared" si="13"/>
        <v>13.002935489720246</v>
      </c>
      <c r="J222">
        <f t="shared" si="14"/>
        <v>8.1313638965640027E-3</v>
      </c>
      <c r="K222">
        <f t="shared" si="15"/>
        <v>13.002935489720246</v>
      </c>
    </row>
    <row r="223" spans="1:11">
      <c r="A223" t="s">
        <v>226</v>
      </c>
      <c r="B223">
        <v>2009</v>
      </c>
      <c r="C223" s="1">
        <v>2.5960932886967755E-2</v>
      </c>
      <c r="D223" s="1">
        <v>15.555183611349548</v>
      </c>
      <c r="E223" s="1">
        <f t="shared" si="12"/>
        <v>2.5960932886967755E-2</v>
      </c>
      <c r="F223" s="3">
        <f t="shared" si="13"/>
        <v>15.555183611349548</v>
      </c>
      <c r="J223">
        <f t="shared" si="14"/>
        <v>2.5960932886967755E-2</v>
      </c>
      <c r="K223">
        <f t="shared" si="15"/>
        <v>15.555183611349548</v>
      </c>
    </row>
    <row r="224" spans="1:11">
      <c r="A224" t="s">
        <v>228</v>
      </c>
      <c r="B224">
        <v>2009</v>
      </c>
      <c r="C224" s="1">
        <v>7.7283640654703875E-3</v>
      </c>
      <c r="D224" s="1">
        <v>14.037260338430995</v>
      </c>
      <c r="E224" s="1">
        <f t="shared" si="12"/>
        <v>7.7283640654703875E-3</v>
      </c>
      <c r="F224" s="3">
        <f t="shared" si="13"/>
        <v>14.037260338430995</v>
      </c>
      <c r="J224">
        <f t="shared" si="14"/>
        <v>7.7283640654703875E-3</v>
      </c>
      <c r="K224">
        <f t="shared" si="15"/>
        <v>14.037260338430995</v>
      </c>
    </row>
    <row r="225" spans="1:11">
      <c r="A225" t="s">
        <v>251</v>
      </c>
      <c r="B225">
        <v>2009</v>
      </c>
      <c r="C225" s="1" t="s">
        <v>305</v>
      </c>
      <c r="D225" s="1">
        <v>14.329226600442512</v>
      </c>
      <c r="E225" s="1">
        <f t="shared" si="12"/>
        <v>8.3055009958866149E-3</v>
      </c>
      <c r="F225" s="3">
        <f t="shared" si="13"/>
        <v>14.329226600442512</v>
      </c>
      <c r="J225">
        <f t="shared" si="14"/>
        <v>8.3055009958866149E-3</v>
      </c>
      <c r="K225">
        <f t="shared" si="15"/>
        <v>14.329226600442512</v>
      </c>
    </row>
    <row r="226" spans="1:11">
      <c r="A226" t="s">
        <v>253</v>
      </c>
      <c r="B226">
        <v>2009</v>
      </c>
      <c r="C226" s="1" t="s">
        <v>305</v>
      </c>
      <c r="D226" s="1">
        <v>15.814375113852769</v>
      </c>
      <c r="E226" s="1">
        <f t="shared" si="12"/>
        <v>8.3055009958866149E-3</v>
      </c>
      <c r="F226" s="3">
        <f t="shared" si="13"/>
        <v>15.814375113852769</v>
      </c>
      <c r="J226">
        <f t="shared" si="14"/>
        <v>8.3055009958866149E-3</v>
      </c>
      <c r="K226">
        <f t="shared" si="15"/>
        <v>15.814375113852769</v>
      </c>
    </row>
    <row r="227" spans="1:11">
      <c r="A227" t="s">
        <v>230</v>
      </c>
      <c r="B227">
        <v>2009</v>
      </c>
      <c r="C227" s="1">
        <v>2.3557786781319128E-2</v>
      </c>
      <c r="D227" s="1">
        <v>14.019618883454459</v>
      </c>
      <c r="E227" s="1">
        <f t="shared" si="12"/>
        <v>2.3557786781319128E-2</v>
      </c>
      <c r="F227" s="3">
        <f t="shared" si="13"/>
        <v>14.019618883454459</v>
      </c>
      <c r="J227">
        <f t="shared" si="14"/>
        <v>2.3557786781319128E-2</v>
      </c>
      <c r="K227">
        <f t="shared" si="15"/>
        <v>14.019618883454459</v>
      </c>
    </row>
    <row r="228" spans="1:11">
      <c r="A228" t="s">
        <v>256</v>
      </c>
      <c r="B228">
        <v>2009</v>
      </c>
      <c r="C228" s="1" t="s">
        <v>305</v>
      </c>
      <c r="D228" s="1">
        <v>15.814372675047144</v>
      </c>
      <c r="E228" s="1">
        <f t="shared" si="12"/>
        <v>8.3055009958866149E-3</v>
      </c>
      <c r="F228" s="3">
        <f t="shared" si="13"/>
        <v>15.814372675047144</v>
      </c>
      <c r="J228">
        <f t="shared" si="14"/>
        <v>8.3055009958866149E-3</v>
      </c>
      <c r="K228">
        <f t="shared" si="15"/>
        <v>15.814372675047144</v>
      </c>
    </row>
    <row r="229" spans="1:11">
      <c r="A229" t="s">
        <v>232</v>
      </c>
      <c r="B229">
        <v>2009</v>
      </c>
      <c r="C229" s="1">
        <v>3.1980059369077767E-2</v>
      </c>
      <c r="D229" s="1">
        <v>13.76845249284481</v>
      </c>
      <c r="E229" s="1">
        <f t="shared" si="12"/>
        <v>3.1980059369077767E-2</v>
      </c>
      <c r="F229" s="3">
        <f t="shared" si="13"/>
        <v>13.76845249284481</v>
      </c>
      <c r="J229">
        <f t="shared" si="14"/>
        <v>3.1980059369077767E-2</v>
      </c>
      <c r="K229">
        <f t="shared" si="15"/>
        <v>13.76845249284481</v>
      </c>
    </row>
    <row r="230" spans="1:11">
      <c r="A230" t="s">
        <v>233</v>
      </c>
      <c r="B230">
        <v>2009</v>
      </c>
      <c r="C230" s="1">
        <v>1.6783832077308079E-3</v>
      </c>
      <c r="D230" s="1">
        <v>12.712489565226406</v>
      </c>
      <c r="E230" s="1">
        <f t="shared" si="12"/>
        <v>1.6783832077308079E-3</v>
      </c>
      <c r="F230" s="3">
        <f t="shared" si="13"/>
        <v>12.712489565226406</v>
      </c>
      <c r="J230">
        <f t="shared" si="14"/>
        <v>1.6783832077308079E-3</v>
      </c>
      <c r="K230">
        <f t="shared" si="15"/>
        <v>12.712489565226406</v>
      </c>
    </row>
    <row r="231" spans="1:11">
      <c r="A231" t="s">
        <v>234</v>
      </c>
      <c r="B231">
        <v>2009</v>
      </c>
      <c r="C231" s="1">
        <v>1.7553899581187762E-2</v>
      </c>
      <c r="D231" s="1">
        <v>13.70421356736713</v>
      </c>
      <c r="E231" s="1">
        <f t="shared" si="12"/>
        <v>1.7553899581187762E-2</v>
      </c>
      <c r="F231" s="3">
        <f t="shared" si="13"/>
        <v>13.70421356736713</v>
      </c>
      <c r="J231">
        <f t="shared" si="14"/>
        <v>1.7553899581187762E-2</v>
      </c>
      <c r="K231">
        <f t="shared" si="15"/>
        <v>13.70421356736713</v>
      </c>
    </row>
    <row r="232" spans="1:11">
      <c r="A232" t="s">
        <v>235</v>
      </c>
      <c r="B232">
        <v>2009</v>
      </c>
      <c r="C232" s="1">
        <v>5.0169201544828972E-3</v>
      </c>
      <c r="D232" s="1">
        <v>13.991449287789006</v>
      </c>
      <c r="E232" s="1">
        <f t="shared" si="12"/>
        <v>5.0169201544828972E-3</v>
      </c>
      <c r="F232" s="3">
        <f t="shared" si="13"/>
        <v>13.991449287789006</v>
      </c>
      <c r="J232">
        <f t="shared" si="14"/>
        <v>5.0169201544828972E-3</v>
      </c>
      <c r="K232">
        <f t="shared" si="15"/>
        <v>13.991449287789006</v>
      </c>
    </row>
    <row r="233" spans="1:11">
      <c r="A233" t="s">
        <v>236</v>
      </c>
      <c r="B233">
        <v>2009</v>
      </c>
      <c r="C233" s="1">
        <v>2.3959970797771006E-2</v>
      </c>
      <c r="D233" s="1">
        <v>15.318902608833573</v>
      </c>
      <c r="E233" s="1">
        <f t="shared" si="12"/>
        <v>2.3959970797771006E-2</v>
      </c>
      <c r="F233" s="3">
        <f t="shared" si="13"/>
        <v>15.318902608833573</v>
      </c>
      <c r="J233">
        <f t="shared" si="14"/>
        <v>2.3959970797771006E-2</v>
      </c>
      <c r="K233">
        <f t="shared" si="15"/>
        <v>15.318902608833573</v>
      </c>
    </row>
    <row r="234" spans="1:11">
      <c r="A234" t="s">
        <v>263</v>
      </c>
      <c r="B234">
        <v>2009</v>
      </c>
      <c r="C234" s="1" t="s">
        <v>305</v>
      </c>
      <c r="D234" s="1">
        <v>14.526785925511664</v>
      </c>
      <c r="E234" s="1">
        <f t="shared" si="12"/>
        <v>8.3055009958866149E-3</v>
      </c>
      <c r="F234" s="3">
        <f t="shared" si="13"/>
        <v>14.526785925511664</v>
      </c>
      <c r="J234">
        <f t="shared" si="14"/>
        <v>8.3055009958866149E-3</v>
      </c>
      <c r="K234">
        <f t="shared" si="15"/>
        <v>14.526785925511664</v>
      </c>
    </row>
    <row r="235" spans="1:11">
      <c r="A235" t="s">
        <v>237</v>
      </c>
      <c r="B235">
        <v>2009</v>
      </c>
      <c r="C235" s="1">
        <v>3.6884312821289893E-2</v>
      </c>
      <c r="D235" s="1">
        <v>15.193328848475129</v>
      </c>
      <c r="E235" s="1">
        <f t="shared" si="12"/>
        <v>3.6884312821289893E-2</v>
      </c>
      <c r="F235" s="3">
        <f t="shared" si="13"/>
        <v>15.193328848475129</v>
      </c>
      <c r="J235">
        <f t="shared" si="14"/>
        <v>3.6884312821289893E-2</v>
      </c>
      <c r="K235">
        <f t="shared" si="15"/>
        <v>15.193328848475129</v>
      </c>
    </row>
    <row r="236" spans="1:11">
      <c r="A236" t="s">
        <v>238</v>
      </c>
      <c r="B236">
        <v>2009</v>
      </c>
      <c r="C236" s="1">
        <v>1.1183082818760752E-2</v>
      </c>
      <c r="D236" s="1">
        <v>14.469626327452168</v>
      </c>
      <c r="E236" s="1">
        <f t="shared" si="12"/>
        <v>1.1183082818760752E-2</v>
      </c>
      <c r="F236" s="3">
        <f t="shared" si="13"/>
        <v>14.469626327452168</v>
      </c>
      <c r="J236">
        <f t="shared" si="14"/>
        <v>1.1183082818760752E-2</v>
      </c>
      <c r="K236">
        <f t="shared" si="15"/>
        <v>14.469626327452168</v>
      </c>
    </row>
    <row r="237" spans="1:11">
      <c r="A237" t="s">
        <v>239</v>
      </c>
      <c r="B237">
        <v>2009</v>
      </c>
      <c r="C237" s="1">
        <v>2.5170499928318348E-2</v>
      </c>
      <c r="D237" s="1">
        <v>12.741948866582856</v>
      </c>
      <c r="E237" s="1">
        <f t="shared" si="12"/>
        <v>2.5170499928318348E-2</v>
      </c>
      <c r="F237" s="3">
        <f t="shared" si="13"/>
        <v>12.741948866582856</v>
      </c>
      <c r="J237">
        <f t="shared" si="14"/>
        <v>2.5170499928318348E-2</v>
      </c>
      <c r="K237">
        <f t="shared" si="15"/>
        <v>12.741948866582856</v>
      </c>
    </row>
    <row r="238" spans="1:11">
      <c r="A238" t="s">
        <v>240</v>
      </c>
      <c r="B238">
        <v>2009</v>
      </c>
      <c r="C238" s="1">
        <v>2.0606335409624216E-3</v>
      </c>
      <c r="D238" s="1">
        <v>16.11228761693534</v>
      </c>
      <c r="E238" s="1">
        <f t="shared" si="12"/>
        <v>2.0606335409624216E-3</v>
      </c>
      <c r="F238" s="3">
        <f t="shared" si="13"/>
        <v>16.11228761693534</v>
      </c>
      <c r="J238">
        <f t="shared" si="14"/>
        <v>2.0606335409624216E-3</v>
      </c>
      <c r="K238">
        <f t="shared" si="15"/>
        <v>16.11228761693534</v>
      </c>
    </row>
    <row r="239" spans="1:11">
      <c r="A239" t="s">
        <v>269</v>
      </c>
      <c r="B239">
        <v>2009</v>
      </c>
      <c r="C239" s="1" t="s">
        <v>305</v>
      </c>
      <c r="D239" s="1">
        <v>16.844944641580252</v>
      </c>
      <c r="E239" s="1">
        <f t="shared" si="12"/>
        <v>8.3055009958866149E-3</v>
      </c>
      <c r="F239" s="3">
        <f t="shared" si="13"/>
        <v>16.844944641580252</v>
      </c>
      <c r="J239">
        <f t="shared" si="14"/>
        <v>8.3055009958866149E-3</v>
      </c>
      <c r="K239">
        <f t="shared" si="15"/>
        <v>16.844944641580252</v>
      </c>
    </row>
    <row r="240" spans="1:11">
      <c r="A240" t="s">
        <v>271</v>
      </c>
      <c r="B240">
        <v>2009</v>
      </c>
      <c r="C240" s="1" t="s">
        <v>305</v>
      </c>
      <c r="D240" s="1">
        <v>15.760109419085801</v>
      </c>
      <c r="E240" s="1">
        <f t="shared" si="12"/>
        <v>8.3055009958866149E-3</v>
      </c>
      <c r="F240" s="3">
        <f t="shared" si="13"/>
        <v>15.760109419085801</v>
      </c>
      <c r="J240">
        <f t="shared" si="14"/>
        <v>8.3055009958866149E-3</v>
      </c>
      <c r="K240">
        <f t="shared" si="15"/>
        <v>15.760109419085801</v>
      </c>
    </row>
    <row r="241" spans="1:11">
      <c r="A241" t="s">
        <v>273</v>
      </c>
      <c r="B241">
        <v>2009</v>
      </c>
      <c r="C241" s="1" t="s">
        <v>305</v>
      </c>
      <c r="D241" s="1">
        <v>16.686571161105174</v>
      </c>
      <c r="E241" s="1">
        <f t="shared" si="12"/>
        <v>8.3055009958866149E-3</v>
      </c>
      <c r="F241" s="3">
        <f t="shared" si="13"/>
        <v>16.686571161105174</v>
      </c>
      <c r="J241">
        <f t="shared" si="14"/>
        <v>8.3055009958866149E-3</v>
      </c>
      <c r="K241">
        <f t="shared" si="15"/>
        <v>16.686571161105174</v>
      </c>
    </row>
    <row r="242" spans="1:11">
      <c r="A242" t="s">
        <v>241</v>
      </c>
      <c r="B242">
        <v>2009</v>
      </c>
      <c r="C242" s="1">
        <v>3.2685835588532927E-2</v>
      </c>
      <c r="D242" s="1">
        <v>13.315865531066088</v>
      </c>
      <c r="E242" s="1">
        <f t="shared" si="12"/>
        <v>3.2685835588532927E-2</v>
      </c>
      <c r="F242" s="3">
        <f t="shared" si="13"/>
        <v>13.315865531066088</v>
      </c>
      <c r="J242">
        <f t="shared" si="14"/>
        <v>3.2685835588532927E-2</v>
      </c>
      <c r="K242">
        <f t="shared" si="15"/>
        <v>13.315865531066088</v>
      </c>
    </row>
    <row r="243" spans="1:11">
      <c r="A243" t="s">
        <v>242</v>
      </c>
      <c r="B243">
        <v>2009</v>
      </c>
      <c r="C243" s="1">
        <v>5.4247589883690849E-2</v>
      </c>
      <c r="D243" s="1">
        <v>17.328223941348117</v>
      </c>
      <c r="E243" s="1">
        <f t="shared" si="12"/>
        <v>5.4247589883690849E-2</v>
      </c>
      <c r="F243" s="3">
        <f t="shared" si="13"/>
        <v>17.328223941348117</v>
      </c>
      <c r="J243">
        <f t="shared" si="14"/>
        <v>5.4247589883690849E-2</v>
      </c>
      <c r="K243">
        <f t="shared" si="15"/>
        <v>17.328223941348117</v>
      </c>
    </row>
    <row r="244" spans="1:11">
      <c r="A244" t="s">
        <v>243</v>
      </c>
      <c r="B244">
        <v>2009</v>
      </c>
      <c r="C244" s="1">
        <v>3.8642970124252874E-3</v>
      </c>
      <c r="D244" s="1">
        <v>15.67642755178988</v>
      </c>
      <c r="E244" s="1">
        <f t="shared" si="12"/>
        <v>3.8642970124252874E-3</v>
      </c>
      <c r="F244" s="3">
        <f t="shared" si="13"/>
        <v>15.67642755178988</v>
      </c>
      <c r="J244">
        <f t="shared" si="14"/>
        <v>3.8642970124252874E-3</v>
      </c>
      <c r="K244">
        <f t="shared" si="15"/>
        <v>15.67642755178988</v>
      </c>
    </row>
    <row r="245" spans="1:11">
      <c r="A245" t="s">
        <v>244</v>
      </c>
      <c r="B245">
        <v>2009</v>
      </c>
      <c r="C245" s="1">
        <v>8.5469145489466426E-3</v>
      </c>
      <c r="D245" s="1">
        <v>18.697825991021681</v>
      </c>
      <c r="E245" s="1">
        <f t="shared" si="12"/>
        <v>8.5469145489466426E-3</v>
      </c>
      <c r="F245" s="3">
        <f t="shared" si="13"/>
        <v>18.697825991021681</v>
      </c>
      <c r="J245">
        <f t="shared" si="14"/>
        <v>8.5469145489466426E-3</v>
      </c>
      <c r="K245">
        <f t="shared" si="15"/>
        <v>18.697825991021681</v>
      </c>
    </row>
    <row r="246" spans="1:11">
      <c r="A246" t="s">
        <v>279</v>
      </c>
      <c r="B246">
        <v>2009</v>
      </c>
      <c r="C246" s="1" t="s">
        <v>305</v>
      </c>
      <c r="D246" s="1">
        <v>15.750086430383654</v>
      </c>
      <c r="E246" s="1">
        <f t="shared" si="12"/>
        <v>8.3055009958866149E-3</v>
      </c>
      <c r="F246" s="3">
        <f t="shared" si="13"/>
        <v>15.750086430383654</v>
      </c>
      <c r="J246">
        <f t="shared" si="14"/>
        <v>8.3055009958866149E-3</v>
      </c>
      <c r="K246">
        <f t="shared" si="15"/>
        <v>15.750086430383654</v>
      </c>
    </row>
    <row r="247" spans="1:11">
      <c r="A247" t="s">
        <v>245</v>
      </c>
      <c r="B247">
        <v>2009</v>
      </c>
      <c r="C247" s="1">
        <v>4.4298278276787362E-3</v>
      </c>
      <c r="D247" s="1">
        <v>12.939086964880705</v>
      </c>
      <c r="E247" s="1">
        <f t="shared" si="12"/>
        <v>4.4298278276787362E-3</v>
      </c>
      <c r="F247" s="3">
        <f t="shared" si="13"/>
        <v>12.939086964880705</v>
      </c>
      <c r="J247">
        <f t="shared" si="14"/>
        <v>4.4298278276787362E-3</v>
      </c>
      <c r="K247">
        <f t="shared" si="15"/>
        <v>12.939086964880705</v>
      </c>
    </row>
    <row r="248" spans="1:11">
      <c r="A248" t="s">
        <v>246</v>
      </c>
      <c r="B248">
        <v>2009</v>
      </c>
      <c r="C248" s="1">
        <v>6.6770844080214871E-3</v>
      </c>
      <c r="D248" s="1">
        <v>17.909175789493521</v>
      </c>
      <c r="E248" s="1">
        <f t="shared" si="12"/>
        <v>6.6770844080214871E-3</v>
      </c>
      <c r="F248" s="3">
        <f t="shared" si="13"/>
        <v>17.909175789493521</v>
      </c>
      <c r="J248">
        <f t="shared" si="14"/>
        <v>6.6770844080214871E-3</v>
      </c>
      <c r="K248">
        <f t="shared" si="15"/>
        <v>17.909175789493521</v>
      </c>
    </row>
    <row r="249" spans="1:11">
      <c r="A249" t="s">
        <v>247</v>
      </c>
      <c r="B249">
        <v>2009</v>
      </c>
      <c r="C249" s="1">
        <v>2.2325773961714635E-2</v>
      </c>
      <c r="D249" s="1">
        <v>18.997251388242749</v>
      </c>
      <c r="E249" s="1">
        <f t="shared" si="12"/>
        <v>2.2325773961714635E-2</v>
      </c>
      <c r="F249" s="3">
        <f t="shared" si="13"/>
        <v>18.997251388242749</v>
      </c>
      <c r="J249">
        <f t="shared" si="14"/>
        <v>2.2325773961714635E-2</v>
      </c>
      <c r="K249">
        <f t="shared" si="15"/>
        <v>18.997251388242749</v>
      </c>
    </row>
    <row r="250" spans="1:11">
      <c r="A250" t="s">
        <v>248</v>
      </c>
      <c r="B250">
        <v>2009</v>
      </c>
      <c r="C250" s="1">
        <v>1.5332132316301891E-4</v>
      </c>
      <c r="D250" s="1">
        <v>12.567164321332942</v>
      </c>
      <c r="E250" s="1">
        <f t="shared" si="12"/>
        <v>1.5332132316301891E-4</v>
      </c>
      <c r="F250" s="3">
        <f t="shared" si="13"/>
        <v>12.567164321332942</v>
      </c>
      <c r="J250">
        <f t="shared" si="14"/>
        <v>1.5332132316301891E-4</v>
      </c>
      <c r="K250">
        <f t="shared" si="15"/>
        <v>12.567164321332942</v>
      </c>
    </row>
    <row r="251" spans="1:11">
      <c r="A251" t="s">
        <v>249</v>
      </c>
      <c r="B251">
        <v>2009</v>
      </c>
      <c r="C251" s="1">
        <v>7.0655410918580592E-3</v>
      </c>
      <c r="D251" s="1">
        <v>15.064124359129023</v>
      </c>
      <c r="E251" s="1">
        <f t="shared" si="12"/>
        <v>7.0655410918580592E-3</v>
      </c>
      <c r="F251" s="3">
        <f t="shared" si="13"/>
        <v>15.064124359129023</v>
      </c>
      <c r="J251">
        <f t="shared" si="14"/>
        <v>7.0655410918580592E-3</v>
      </c>
      <c r="K251">
        <f t="shared" si="15"/>
        <v>15.064124359129023</v>
      </c>
    </row>
    <row r="252" spans="1:11">
      <c r="A252" t="s">
        <v>250</v>
      </c>
      <c r="B252">
        <v>2009</v>
      </c>
      <c r="C252" s="1">
        <v>4.8645505421286944E-4</v>
      </c>
      <c r="D252" s="1">
        <v>16.039976475443392</v>
      </c>
      <c r="E252" s="1">
        <f t="shared" si="12"/>
        <v>4.8645505421286944E-4</v>
      </c>
      <c r="F252" s="3">
        <f t="shared" si="13"/>
        <v>16.039976475443392</v>
      </c>
      <c r="J252">
        <f t="shared" si="14"/>
        <v>4.8645505421286944E-4</v>
      </c>
      <c r="K252">
        <f t="shared" si="15"/>
        <v>16.039976475443392</v>
      </c>
    </row>
    <row r="253" spans="1:11">
      <c r="A253" t="s">
        <v>252</v>
      </c>
      <c r="B253">
        <v>2009</v>
      </c>
      <c r="C253" s="1">
        <v>1.0745458322405315E-2</v>
      </c>
      <c r="D253" s="1">
        <v>18.624045677602162</v>
      </c>
      <c r="E253" s="1">
        <f t="shared" si="12"/>
        <v>1.0745458322405315E-2</v>
      </c>
      <c r="F253" s="3">
        <f t="shared" si="13"/>
        <v>18.624045677602162</v>
      </c>
      <c r="J253">
        <f t="shared" si="14"/>
        <v>1.0745458322405315E-2</v>
      </c>
      <c r="K253">
        <f t="shared" si="15"/>
        <v>18.624045677602162</v>
      </c>
    </row>
    <row r="254" spans="1:11">
      <c r="A254" t="s">
        <v>254</v>
      </c>
      <c r="B254">
        <v>2009</v>
      </c>
      <c r="C254" s="1">
        <v>1.4690852676173996E-2</v>
      </c>
      <c r="D254" s="1">
        <v>18.426205454595067</v>
      </c>
      <c r="E254" s="1">
        <f t="shared" si="12"/>
        <v>1.4690852676173996E-2</v>
      </c>
      <c r="F254" s="3">
        <f t="shared" si="13"/>
        <v>18.426205454595067</v>
      </c>
      <c r="J254">
        <f t="shared" si="14"/>
        <v>1.4690852676173996E-2</v>
      </c>
      <c r="K254">
        <f t="shared" si="15"/>
        <v>18.426205454595067</v>
      </c>
    </row>
    <row r="255" spans="1:11">
      <c r="A255" t="s">
        <v>255</v>
      </c>
      <c r="B255">
        <v>2009</v>
      </c>
      <c r="C255" s="1">
        <v>1.1265871942839501E-2</v>
      </c>
      <c r="D255" s="1">
        <v>18.335560733564375</v>
      </c>
      <c r="E255" s="1">
        <f t="shared" si="12"/>
        <v>1.1265871942839501E-2</v>
      </c>
      <c r="F255" s="3">
        <f t="shared" si="13"/>
        <v>18.335560733564375</v>
      </c>
      <c r="J255">
        <f t="shared" si="14"/>
        <v>1.1265871942839501E-2</v>
      </c>
      <c r="K255">
        <f t="shared" si="15"/>
        <v>18.335560733564375</v>
      </c>
    </row>
    <row r="256" spans="1:11">
      <c r="A256" t="s">
        <v>283</v>
      </c>
      <c r="B256">
        <v>2009</v>
      </c>
      <c r="C256" s="1" t="s">
        <v>305</v>
      </c>
      <c r="D256" s="1">
        <v>14.885951741094233</v>
      </c>
      <c r="E256" s="1">
        <f t="shared" si="12"/>
        <v>8.3055009958866149E-3</v>
      </c>
      <c r="F256" s="3">
        <f t="shared" si="13"/>
        <v>14.885951741094233</v>
      </c>
      <c r="J256">
        <f t="shared" si="14"/>
        <v>8.3055009958866149E-3</v>
      </c>
      <c r="K256">
        <f t="shared" si="15"/>
        <v>14.885951741094233</v>
      </c>
    </row>
    <row r="257" spans="1:11">
      <c r="A257" t="s">
        <v>284</v>
      </c>
      <c r="B257">
        <v>2009</v>
      </c>
      <c r="C257" s="1" t="s">
        <v>305</v>
      </c>
      <c r="D257" s="1">
        <v>13.816685867017924</v>
      </c>
      <c r="E257" s="1">
        <f t="shared" si="12"/>
        <v>8.3055009958866149E-3</v>
      </c>
      <c r="F257" s="3">
        <f t="shared" si="13"/>
        <v>13.816685867017924</v>
      </c>
      <c r="J257">
        <f t="shared" si="14"/>
        <v>8.3055009958866149E-3</v>
      </c>
      <c r="K257">
        <f t="shared" si="15"/>
        <v>13.816685867017924</v>
      </c>
    </row>
    <row r="258" spans="1:11">
      <c r="A258" t="s">
        <v>285</v>
      </c>
      <c r="B258">
        <v>2009</v>
      </c>
      <c r="C258" s="1" t="s">
        <v>305</v>
      </c>
      <c r="D258" s="1">
        <v>16.636888194372705</v>
      </c>
      <c r="E258" s="1">
        <f t="shared" si="12"/>
        <v>8.3055009958866149E-3</v>
      </c>
      <c r="F258" s="3">
        <f t="shared" si="13"/>
        <v>16.636888194372705</v>
      </c>
      <c r="J258">
        <f t="shared" si="14"/>
        <v>8.3055009958866149E-3</v>
      </c>
      <c r="K258">
        <f t="shared" si="15"/>
        <v>16.636888194372705</v>
      </c>
    </row>
    <row r="259" spans="1:11">
      <c r="A259" t="s">
        <v>257</v>
      </c>
      <c r="B259">
        <v>2009</v>
      </c>
      <c r="C259" s="1">
        <v>5.1324550679221717E-2</v>
      </c>
      <c r="D259" s="1">
        <v>15.649131321453462</v>
      </c>
      <c r="E259" s="1">
        <f t="shared" ref="E259:E286" si="16">IF(C259="out",$H$2,C259)</f>
        <v>5.1324550679221717E-2</v>
      </c>
      <c r="F259" s="3">
        <f t="shared" ref="F259:F286" si="17">IF(D259="out",$I$2,D259)</f>
        <v>15.649131321453462</v>
      </c>
      <c r="J259">
        <f t="shared" ref="J259:J286" si="18">IF(C259="out",$H$2,C259)</f>
        <v>5.1324550679221717E-2</v>
      </c>
      <c r="K259">
        <f t="shared" ref="K259:K286" si="19">IF(D259="out",$H$2,D259)</f>
        <v>15.649131321453462</v>
      </c>
    </row>
    <row r="260" spans="1:11">
      <c r="A260" t="s">
        <v>258</v>
      </c>
      <c r="B260">
        <v>2009</v>
      </c>
      <c r="C260" s="1">
        <v>9.1282072948029058E-4</v>
      </c>
      <c r="D260" s="1">
        <v>16.078291159439601</v>
      </c>
      <c r="E260" s="1">
        <f t="shared" si="16"/>
        <v>9.1282072948029058E-4</v>
      </c>
      <c r="F260" s="3">
        <f t="shared" si="17"/>
        <v>16.078291159439601</v>
      </c>
      <c r="J260">
        <f t="shared" si="18"/>
        <v>9.1282072948029058E-4</v>
      </c>
      <c r="K260">
        <f t="shared" si="19"/>
        <v>16.078291159439601</v>
      </c>
    </row>
    <row r="261" spans="1:11">
      <c r="A261" t="s">
        <v>259</v>
      </c>
      <c r="B261">
        <v>2009</v>
      </c>
      <c r="C261" s="1">
        <v>1.4747625085811955E-2</v>
      </c>
      <c r="D261" s="1">
        <v>16.942967211227913</v>
      </c>
      <c r="E261" s="1">
        <f t="shared" si="16"/>
        <v>1.4747625085811955E-2</v>
      </c>
      <c r="F261" s="3">
        <f t="shared" si="17"/>
        <v>16.942967211227913</v>
      </c>
      <c r="J261">
        <f t="shared" si="18"/>
        <v>1.4747625085811955E-2</v>
      </c>
      <c r="K261">
        <f t="shared" si="19"/>
        <v>16.942967211227913</v>
      </c>
    </row>
    <row r="262" spans="1:11">
      <c r="A262" t="s">
        <v>286</v>
      </c>
      <c r="B262">
        <v>2009</v>
      </c>
      <c r="C262" s="1" t="s">
        <v>305</v>
      </c>
      <c r="D262" s="1">
        <v>16.720904033890438</v>
      </c>
      <c r="E262" s="1">
        <f t="shared" si="16"/>
        <v>8.3055009958866149E-3</v>
      </c>
      <c r="F262" s="3">
        <f t="shared" si="17"/>
        <v>16.720904033890438</v>
      </c>
      <c r="J262">
        <f t="shared" si="18"/>
        <v>8.3055009958866149E-3</v>
      </c>
      <c r="K262">
        <f t="shared" si="19"/>
        <v>16.720904033890438</v>
      </c>
    </row>
    <row r="263" spans="1:11">
      <c r="A263" t="s">
        <v>287</v>
      </c>
      <c r="B263">
        <v>2009</v>
      </c>
      <c r="C263" s="1" t="s">
        <v>305</v>
      </c>
      <c r="D263" s="1">
        <v>17.656157919642752</v>
      </c>
      <c r="E263" s="1">
        <f t="shared" si="16"/>
        <v>8.3055009958866149E-3</v>
      </c>
      <c r="F263" s="3">
        <f t="shared" si="17"/>
        <v>17.656157919642752</v>
      </c>
      <c r="J263">
        <f t="shared" si="18"/>
        <v>8.3055009958866149E-3</v>
      </c>
      <c r="K263">
        <f t="shared" si="19"/>
        <v>17.656157919642752</v>
      </c>
    </row>
    <row r="264" spans="1:11">
      <c r="A264" t="s">
        <v>288</v>
      </c>
      <c r="B264">
        <v>2009</v>
      </c>
      <c r="C264" s="1" t="s">
        <v>305</v>
      </c>
      <c r="D264" s="1">
        <v>17.561351721850961</v>
      </c>
      <c r="E264" s="1">
        <f t="shared" si="16"/>
        <v>8.3055009958866149E-3</v>
      </c>
      <c r="F264" s="3">
        <f t="shared" si="17"/>
        <v>17.561351721850961</v>
      </c>
      <c r="J264">
        <f t="shared" si="18"/>
        <v>8.3055009958866149E-3</v>
      </c>
      <c r="K264">
        <f t="shared" si="19"/>
        <v>17.561351721850961</v>
      </c>
    </row>
    <row r="265" spans="1:11">
      <c r="A265" t="s">
        <v>289</v>
      </c>
      <c r="B265">
        <v>2009</v>
      </c>
      <c r="C265" s="1" t="s">
        <v>305</v>
      </c>
      <c r="D265" s="1">
        <v>17.413695834623542</v>
      </c>
      <c r="E265" s="1">
        <f t="shared" si="16"/>
        <v>8.3055009958866149E-3</v>
      </c>
      <c r="F265" s="3">
        <f t="shared" si="17"/>
        <v>17.413695834623542</v>
      </c>
      <c r="J265">
        <f t="shared" si="18"/>
        <v>8.3055009958866149E-3</v>
      </c>
      <c r="K265">
        <f t="shared" si="19"/>
        <v>17.413695834623542</v>
      </c>
    </row>
    <row r="266" spans="1:11">
      <c r="A266" t="s">
        <v>260</v>
      </c>
      <c r="B266">
        <v>2009</v>
      </c>
      <c r="C266" s="1">
        <v>1.6695822432911154E-2</v>
      </c>
      <c r="D266" s="1">
        <v>18.233340185012491</v>
      </c>
      <c r="E266" s="1">
        <f t="shared" si="16"/>
        <v>1.6695822432911154E-2</v>
      </c>
      <c r="F266" s="3">
        <f t="shared" si="17"/>
        <v>18.233340185012491</v>
      </c>
      <c r="J266">
        <f t="shared" si="18"/>
        <v>1.6695822432911154E-2</v>
      </c>
      <c r="K266">
        <f t="shared" si="19"/>
        <v>18.233340185012491</v>
      </c>
    </row>
    <row r="267" spans="1:11">
      <c r="A267" t="s">
        <v>290</v>
      </c>
      <c r="B267">
        <v>2009</v>
      </c>
      <c r="C267" s="1" t="s">
        <v>305</v>
      </c>
      <c r="D267" s="1">
        <v>17.298805304276684</v>
      </c>
      <c r="E267" s="1">
        <f t="shared" si="16"/>
        <v>8.3055009958866149E-3</v>
      </c>
      <c r="F267" s="3">
        <f t="shared" si="17"/>
        <v>17.298805304276684</v>
      </c>
      <c r="J267">
        <f t="shared" si="18"/>
        <v>8.3055009958866149E-3</v>
      </c>
      <c r="K267">
        <f t="shared" si="19"/>
        <v>17.298805304276684</v>
      </c>
    </row>
    <row r="268" spans="1:11">
      <c r="A268" t="s">
        <v>261</v>
      </c>
      <c r="B268">
        <v>2009</v>
      </c>
      <c r="C268" s="1">
        <v>1.8792120483288006E-2</v>
      </c>
      <c r="D268" s="1">
        <v>18.848700525602467</v>
      </c>
      <c r="E268" s="1">
        <f t="shared" si="16"/>
        <v>1.8792120483288006E-2</v>
      </c>
      <c r="F268" s="3">
        <f t="shared" si="17"/>
        <v>18.848700525602467</v>
      </c>
      <c r="J268">
        <f t="shared" si="18"/>
        <v>1.8792120483288006E-2</v>
      </c>
      <c r="K268">
        <f t="shared" si="19"/>
        <v>18.848700525602467</v>
      </c>
    </row>
    <row r="269" spans="1:11">
      <c r="A269" t="s">
        <v>262</v>
      </c>
      <c r="B269">
        <v>2009</v>
      </c>
      <c r="C269" s="1">
        <v>2.5840313168230104E-2</v>
      </c>
      <c r="D269" s="1">
        <v>17.331634544009038</v>
      </c>
      <c r="E269" s="1">
        <f t="shared" si="16"/>
        <v>2.5840313168230104E-2</v>
      </c>
      <c r="F269" s="3">
        <f t="shared" si="17"/>
        <v>17.331634544009038</v>
      </c>
      <c r="J269">
        <f t="shared" si="18"/>
        <v>2.5840313168230104E-2</v>
      </c>
      <c r="K269">
        <f t="shared" si="19"/>
        <v>17.331634544009038</v>
      </c>
    </row>
    <row r="270" spans="1:11">
      <c r="A270" t="s">
        <v>264</v>
      </c>
      <c r="B270">
        <v>2009</v>
      </c>
      <c r="C270" s="1">
        <v>2.9530868627842505E-2</v>
      </c>
      <c r="D270" s="1">
        <v>16.438521472591074</v>
      </c>
      <c r="E270" s="1">
        <f t="shared" si="16"/>
        <v>2.9530868627842505E-2</v>
      </c>
      <c r="F270" s="3">
        <f t="shared" si="17"/>
        <v>16.438521472591074</v>
      </c>
      <c r="J270">
        <f t="shared" si="18"/>
        <v>2.9530868627842505E-2</v>
      </c>
      <c r="K270">
        <f t="shared" si="19"/>
        <v>16.438521472591074</v>
      </c>
    </row>
    <row r="271" spans="1:11">
      <c r="A271" t="s">
        <v>265</v>
      </c>
      <c r="B271">
        <v>2009</v>
      </c>
      <c r="C271" s="1">
        <v>5.9343133602464111E-4</v>
      </c>
      <c r="D271" s="1">
        <v>13.797776230261078</v>
      </c>
      <c r="E271" s="1">
        <f t="shared" si="16"/>
        <v>5.9343133602464111E-4</v>
      </c>
      <c r="F271" s="3">
        <f t="shared" si="17"/>
        <v>13.797776230261078</v>
      </c>
      <c r="J271">
        <f t="shared" si="18"/>
        <v>5.9343133602464111E-4</v>
      </c>
      <c r="K271">
        <f t="shared" si="19"/>
        <v>13.797776230261078</v>
      </c>
    </row>
    <row r="272" spans="1:11">
      <c r="A272" t="s">
        <v>266</v>
      </c>
      <c r="B272">
        <v>2009</v>
      </c>
      <c r="C272" s="1">
        <v>3.51953420933908E-2</v>
      </c>
      <c r="D272" s="1">
        <v>12.772615812246707</v>
      </c>
      <c r="E272" s="1">
        <f t="shared" si="16"/>
        <v>3.51953420933908E-2</v>
      </c>
      <c r="F272" s="3">
        <f t="shared" si="17"/>
        <v>12.772615812246707</v>
      </c>
      <c r="J272">
        <f t="shared" si="18"/>
        <v>3.51953420933908E-2</v>
      </c>
      <c r="K272">
        <f t="shared" si="19"/>
        <v>12.772615812246707</v>
      </c>
    </row>
    <row r="273" spans="1:11">
      <c r="A273" t="s">
        <v>267</v>
      </c>
      <c r="B273">
        <v>2009</v>
      </c>
      <c r="C273" s="1">
        <v>2.0126914309201129E-2</v>
      </c>
      <c r="D273" s="1">
        <v>15.053166560128428</v>
      </c>
      <c r="E273" s="1">
        <f t="shared" si="16"/>
        <v>2.0126914309201129E-2</v>
      </c>
      <c r="F273" s="3">
        <f t="shared" si="17"/>
        <v>15.053166560128428</v>
      </c>
      <c r="J273">
        <f t="shared" si="18"/>
        <v>2.0126914309201129E-2</v>
      </c>
      <c r="K273">
        <f t="shared" si="19"/>
        <v>15.053166560128428</v>
      </c>
    </row>
    <row r="274" spans="1:11">
      <c r="A274" t="s">
        <v>291</v>
      </c>
      <c r="B274">
        <v>2009</v>
      </c>
      <c r="C274" s="1" t="s">
        <v>305</v>
      </c>
      <c r="D274" s="1">
        <v>13.212576955205281</v>
      </c>
      <c r="E274" s="1">
        <f t="shared" si="16"/>
        <v>8.3055009958866149E-3</v>
      </c>
      <c r="F274" s="3">
        <f t="shared" si="17"/>
        <v>13.212576955205281</v>
      </c>
      <c r="J274">
        <f t="shared" si="18"/>
        <v>8.3055009958866149E-3</v>
      </c>
      <c r="K274">
        <f t="shared" si="19"/>
        <v>13.212576955205281</v>
      </c>
    </row>
    <row r="275" spans="1:11">
      <c r="A275" t="s">
        <v>268</v>
      </c>
      <c r="B275">
        <v>2009</v>
      </c>
      <c r="C275" s="1">
        <v>1.0699029277854571E-2</v>
      </c>
      <c r="D275" s="1">
        <v>12.858780570815853</v>
      </c>
      <c r="E275" s="1">
        <f t="shared" si="16"/>
        <v>1.0699029277854571E-2</v>
      </c>
      <c r="F275" s="3">
        <f t="shared" si="17"/>
        <v>12.858780570815853</v>
      </c>
      <c r="J275">
        <f t="shared" si="18"/>
        <v>1.0699029277854571E-2</v>
      </c>
      <c r="K275">
        <f t="shared" si="19"/>
        <v>12.858780570815853</v>
      </c>
    </row>
    <row r="276" spans="1:11">
      <c r="A276" t="s">
        <v>270</v>
      </c>
      <c r="B276">
        <v>2009</v>
      </c>
      <c r="C276" s="1">
        <v>5.3743979783058542E-3</v>
      </c>
      <c r="D276" s="1">
        <v>16.948184278293542</v>
      </c>
      <c r="E276" s="1">
        <f t="shared" si="16"/>
        <v>5.3743979783058542E-3</v>
      </c>
      <c r="F276" s="3">
        <f t="shared" si="17"/>
        <v>16.948184278293542</v>
      </c>
      <c r="J276">
        <f t="shared" si="18"/>
        <v>5.3743979783058542E-3</v>
      </c>
      <c r="K276">
        <f t="shared" si="19"/>
        <v>16.948184278293542</v>
      </c>
    </row>
    <row r="277" spans="1:11">
      <c r="A277" t="s">
        <v>272</v>
      </c>
      <c r="B277">
        <v>2009</v>
      </c>
      <c r="C277" s="1">
        <v>2.2146792245522854E-3</v>
      </c>
      <c r="D277" s="1">
        <v>13.271939610385196</v>
      </c>
      <c r="E277" s="1">
        <f t="shared" si="16"/>
        <v>2.2146792245522854E-3</v>
      </c>
      <c r="F277" s="3">
        <f t="shared" si="17"/>
        <v>13.271939610385196</v>
      </c>
      <c r="J277">
        <f t="shared" si="18"/>
        <v>2.2146792245522854E-3</v>
      </c>
      <c r="K277">
        <f t="shared" si="19"/>
        <v>13.271939610385196</v>
      </c>
    </row>
    <row r="278" spans="1:11">
      <c r="A278" t="s">
        <v>274</v>
      </c>
      <c r="B278">
        <v>2009</v>
      </c>
      <c r="C278" s="1">
        <v>5.7839403968391212E-2</v>
      </c>
      <c r="D278" s="1">
        <v>17.004275362146387</v>
      </c>
      <c r="E278" s="1">
        <f t="shared" si="16"/>
        <v>5.7839403968391212E-2</v>
      </c>
      <c r="F278" s="3">
        <f t="shared" si="17"/>
        <v>17.004275362146387</v>
      </c>
      <c r="J278">
        <f t="shared" si="18"/>
        <v>5.7839403968391212E-2</v>
      </c>
      <c r="K278">
        <f t="shared" si="19"/>
        <v>17.004275362146387</v>
      </c>
    </row>
    <row r="279" spans="1:11">
      <c r="A279" t="s">
        <v>275</v>
      </c>
      <c r="B279">
        <v>2009</v>
      </c>
      <c r="C279" s="1">
        <v>7.6157862145541516E-2</v>
      </c>
      <c r="D279" s="1">
        <v>14.443201463045604</v>
      </c>
      <c r="E279" s="1">
        <f t="shared" si="16"/>
        <v>7.6157862145541516E-2</v>
      </c>
      <c r="F279" s="3">
        <f t="shared" si="17"/>
        <v>14.443201463045604</v>
      </c>
      <c r="J279">
        <f t="shared" si="18"/>
        <v>7.6157862145541516E-2</v>
      </c>
      <c r="K279">
        <f t="shared" si="19"/>
        <v>14.443201463045604</v>
      </c>
    </row>
    <row r="280" spans="1:11">
      <c r="A280" t="s">
        <v>276</v>
      </c>
      <c r="B280">
        <v>2009</v>
      </c>
      <c r="C280" s="1">
        <v>1.4381729390979699E-2</v>
      </c>
      <c r="D280" s="1">
        <v>13.081508048995172</v>
      </c>
      <c r="E280" s="1">
        <f t="shared" si="16"/>
        <v>1.4381729390979699E-2</v>
      </c>
      <c r="F280" s="3">
        <f t="shared" si="17"/>
        <v>13.081508048995172</v>
      </c>
      <c r="J280">
        <f t="shared" si="18"/>
        <v>1.4381729390979699E-2</v>
      </c>
      <c r="K280">
        <f t="shared" si="19"/>
        <v>13.081508048995172</v>
      </c>
    </row>
    <row r="281" spans="1:11">
      <c r="A281" t="s">
        <v>292</v>
      </c>
      <c r="B281">
        <v>2009</v>
      </c>
      <c r="C281" s="1" t="s">
        <v>305</v>
      </c>
      <c r="D281" s="1">
        <v>13.473552501712096</v>
      </c>
      <c r="E281" s="1">
        <f t="shared" si="16"/>
        <v>8.3055009958866149E-3</v>
      </c>
      <c r="F281" s="3">
        <f t="shared" si="17"/>
        <v>13.473552501712096</v>
      </c>
      <c r="J281">
        <f t="shared" si="18"/>
        <v>8.3055009958866149E-3</v>
      </c>
      <c r="K281">
        <f t="shared" si="19"/>
        <v>13.473552501712096</v>
      </c>
    </row>
    <row r="282" spans="1:11">
      <c r="A282" t="s">
        <v>277</v>
      </c>
      <c r="B282">
        <v>2009</v>
      </c>
      <c r="C282" s="1">
        <v>1.8873622225577534E-4</v>
      </c>
      <c r="D282" s="1">
        <v>10.18459807960487</v>
      </c>
      <c r="E282" s="1">
        <f t="shared" si="16"/>
        <v>1.8873622225577534E-4</v>
      </c>
      <c r="F282" s="3">
        <f t="shared" si="17"/>
        <v>10.18459807960487</v>
      </c>
      <c r="J282">
        <f t="shared" si="18"/>
        <v>1.8873622225577534E-4</v>
      </c>
      <c r="K282">
        <f t="shared" si="19"/>
        <v>10.18459807960487</v>
      </c>
    </row>
    <row r="283" spans="1:11">
      <c r="A283" t="s">
        <v>278</v>
      </c>
      <c r="B283">
        <v>2009</v>
      </c>
      <c r="C283" s="1">
        <v>1.2254959249944422E-2</v>
      </c>
      <c r="D283" s="1">
        <v>15.583868160397751</v>
      </c>
      <c r="E283" s="1">
        <f t="shared" si="16"/>
        <v>1.2254959249944422E-2</v>
      </c>
      <c r="F283" s="3">
        <f t="shared" si="17"/>
        <v>15.583868160397751</v>
      </c>
      <c r="J283">
        <f t="shared" si="18"/>
        <v>1.2254959249944422E-2</v>
      </c>
      <c r="K283">
        <f t="shared" si="19"/>
        <v>15.583868160397751</v>
      </c>
    </row>
    <row r="284" spans="1:11">
      <c r="A284" t="s">
        <v>280</v>
      </c>
      <c r="B284">
        <v>2009</v>
      </c>
      <c r="C284" s="1">
        <v>2.6181018292315086E-2</v>
      </c>
      <c r="D284" s="1">
        <v>14.733029734990618</v>
      </c>
      <c r="E284" s="1">
        <f t="shared" si="16"/>
        <v>2.6181018292315086E-2</v>
      </c>
      <c r="F284" s="3">
        <f t="shared" si="17"/>
        <v>14.733029734990618</v>
      </c>
      <c r="J284">
        <f t="shared" si="18"/>
        <v>2.6181018292315086E-2</v>
      </c>
      <c r="K284">
        <f t="shared" si="19"/>
        <v>14.733029734990618</v>
      </c>
    </row>
    <row r="285" spans="1:11">
      <c r="A285" t="s">
        <v>281</v>
      </c>
      <c r="B285">
        <v>2009</v>
      </c>
      <c r="C285" s="1">
        <v>8.6411775065529939E-3</v>
      </c>
      <c r="D285" s="1">
        <v>16.471221092861434</v>
      </c>
      <c r="E285" s="1">
        <f t="shared" si="16"/>
        <v>8.6411775065529939E-3</v>
      </c>
      <c r="F285" s="3">
        <f t="shared" si="17"/>
        <v>16.471221092861434</v>
      </c>
      <c r="J285">
        <f t="shared" si="18"/>
        <v>8.6411775065529939E-3</v>
      </c>
      <c r="K285">
        <f t="shared" si="19"/>
        <v>16.471221092861434</v>
      </c>
    </row>
    <row r="286" spans="1:11">
      <c r="A286" t="s">
        <v>282</v>
      </c>
      <c r="B286">
        <v>2009</v>
      </c>
      <c r="C286" s="1">
        <v>4.7006545210697741E-2</v>
      </c>
      <c r="D286" s="1">
        <v>14.859077962420217</v>
      </c>
      <c r="E286" s="1">
        <f t="shared" si="16"/>
        <v>4.7006545210697741E-2</v>
      </c>
      <c r="F286" s="3">
        <f t="shared" si="17"/>
        <v>14.859077962420217</v>
      </c>
      <c r="J286">
        <f t="shared" si="18"/>
        <v>4.7006545210697741E-2</v>
      </c>
      <c r="K286">
        <f t="shared" si="19"/>
        <v>14.859077962420217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Cross Sectional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Naeemullah Khan</dc:creator>
  <cp:lastModifiedBy>PMLS</cp:lastModifiedBy>
  <dcterms:created xsi:type="dcterms:W3CDTF">2025-11-29T02:30:06Z</dcterms:created>
  <dcterms:modified xsi:type="dcterms:W3CDTF">2026-01-01T15:56:48Z</dcterms:modified>
</cp:coreProperties>
</file>