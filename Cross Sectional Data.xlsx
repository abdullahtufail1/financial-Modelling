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esktop\BUI\Financial Modelling\Aftermids\Outliers\"/>
    </mc:Choice>
  </mc:AlternateContent>
  <xr:revisionPtr revIDLastSave="0" documentId="13_ncr:1_{BF0B8A26-322D-4483-B26A-22AFBF4C9C8F}" xr6:coauthVersionLast="47" xr6:coauthVersionMax="47" xr10:uidLastSave="{00000000-0000-0000-0000-000000000000}"/>
  <bookViews>
    <workbookView xWindow="-108" yWindow="-108" windowWidth="23256" windowHeight="12456" activeTab="1" xr2:uid="{A5BA3098-C450-4D3B-81A9-3ED2D2FBAFD2}"/>
  </bookViews>
  <sheets>
    <sheet name="Cross Sectional Data" sheetId="2" r:id="rId1"/>
    <sheet name="Sheet1" sheetId="1" r:id="rId2"/>
  </sheets>
  <definedNames>
    <definedName name="_xlnm._FilterDatabase" localSheetId="0" hidden="1">'Cross Sectional Data'!$A$1:$K$286</definedName>
    <definedName name="_xlnm._FilterDatabase" localSheetId="1" hidden="1">Sheet1!$C$1:$D$286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F97" i="1"/>
  <c r="F115" i="1"/>
  <c r="F117" i="1"/>
  <c r="F138" i="1"/>
  <c r="F162" i="1"/>
  <c r="F163" i="1"/>
  <c r="F164" i="1"/>
  <c r="F186" i="1"/>
  <c r="F258" i="1"/>
  <c r="F275" i="1"/>
  <c r="F276" i="1"/>
  <c r="F282" i="1"/>
  <c r="E2" i="1"/>
  <c r="F2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E116" i="1"/>
  <c r="F116" i="1" s="1"/>
  <c r="E117" i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E163" i="1"/>
  <c r="E164" i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E276" i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E283" i="1"/>
  <c r="F283" i="1" s="1"/>
  <c r="E284" i="1"/>
  <c r="F284" i="1" s="1"/>
  <c r="E285" i="1"/>
  <c r="F285" i="1" s="1"/>
  <c r="E286" i="1"/>
  <c r="F286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E92" i="1"/>
  <c r="F92" i="1" s="1"/>
  <c r="E93" i="1"/>
  <c r="F93" i="1" s="1"/>
  <c r="E94" i="1"/>
  <c r="F94" i="1" s="1"/>
  <c r="E95" i="1"/>
  <c r="F95" i="1" s="1"/>
  <c r="E96" i="1"/>
  <c r="F96" i="1" s="1"/>
  <c r="E97" i="1"/>
  <c r="E98" i="1"/>
  <c r="F98" i="1" s="1"/>
  <c r="E99" i="1"/>
  <c r="F99" i="1" s="1"/>
  <c r="D288" i="2"/>
  <c r="C288" i="2"/>
  <c r="F6" i="2"/>
  <c r="E6" i="2"/>
  <c r="F2" i="2"/>
  <c r="E2" i="2"/>
  <c r="G2" i="2" l="1"/>
  <c r="G6" i="2"/>
  <c r="H6" i="2" s="1"/>
  <c r="I2" i="2"/>
  <c r="I6" i="2" l="1"/>
  <c r="K3" i="2" s="1"/>
  <c r="H2" i="2"/>
  <c r="K64" i="2" l="1"/>
  <c r="K16" i="2"/>
  <c r="K178" i="2"/>
  <c r="K282" i="2"/>
  <c r="K138" i="2"/>
  <c r="K279" i="2"/>
  <c r="K215" i="2"/>
  <c r="K32" i="2"/>
  <c r="K193" i="2"/>
  <c r="K229" i="2"/>
  <c r="K232" i="2"/>
  <c r="K230" i="2"/>
  <c r="K57" i="2"/>
  <c r="K216" i="2"/>
  <c r="K45" i="2"/>
  <c r="K155" i="2"/>
  <c r="K176" i="2"/>
  <c r="K182" i="2"/>
  <c r="K44" i="2"/>
  <c r="K137" i="2"/>
  <c r="K180" i="2"/>
  <c r="K187" i="2"/>
  <c r="K158" i="2"/>
  <c r="K214" i="2"/>
  <c r="K175" i="2"/>
  <c r="K268" i="2"/>
  <c r="K133" i="2"/>
  <c r="K130" i="2"/>
  <c r="K43" i="2"/>
  <c r="K206" i="2"/>
  <c r="K109" i="2"/>
  <c r="K106" i="2"/>
  <c r="K31" i="2"/>
  <c r="K251" i="2"/>
  <c r="K2" i="2"/>
  <c r="K201" i="2"/>
  <c r="K190" i="2"/>
  <c r="K244" i="2"/>
  <c r="K189" i="2"/>
  <c r="K270" i="2"/>
  <c r="K196" i="2"/>
  <c r="K200" i="2"/>
  <c r="K135" i="2"/>
  <c r="K169" i="2"/>
  <c r="K281" i="2"/>
  <c r="K177" i="2"/>
  <c r="K19" i="2"/>
  <c r="K17" i="2"/>
  <c r="K149" i="2"/>
  <c r="K152" i="2"/>
  <c r="K243" i="2"/>
  <c r="K168" i="2"/>
  <c r="K38" i="2"/>
  <c r="K108" i="2"/>
  <c r="K9" i="2"/>
  <c r="K139" i="2"/>
  <c r="K234" i="2"/>
  <c r="K231" i="2"/>
  <c r="K194" i="2"/>
  <c r="K221" i="2"/>
  <c r="K65" i="2"/>
  <c r="K84" i="2"/>
  <c r="K285" i="2"/>
  <c r="K284" i="2"/>
  <c r="K271" i="2"/>
  <c r="K118" i="2"/>
  <c r="K78" i="2"/>
  <c r="K219" i="2"/>
  <c r="K146" i="2"/>
  <c r="K120" i="2"/>
  <c r="K181" i="2"/>
  <c r="K245" i="2"/>
  <c r="K86" i="2"/>
  <c r="K77" i="2"/>
  <c r="K273" i="2"/>
  <c r="K272" i="2"/>
  <c r="K259" i="2"/>
  <c r="K94" i="2"/>
  <c r="K66" i="2"/>
  <c r="K207" i="2"/>
  <c r="K74" i="2"/>
  <c r="K48" i="2"/>
  <c r="K143" i="2"/>
  <c r="K136" i="2"/>
  <c r="K240" i="2"/>
  <c r="K205" i="2"/>
  <c r="K286" i="2"/>
  <c r="K14" i="2"/>
  <c r="K36" i="2"/>
  <c r="K53" i="2"/>
  <c r="K76" i="2"/>
  <c r="K261" i="2"/>
  <c r="K117" i="2"/>
  <c r="K260" i="2"/>
  <c r="K104" i="2"/>
  <c r="K247" i="2"/>
  <c r="K103" i="2"/>
  <c r="K70" i="2"/>
  <c r="K198" i="2"/>
  <c r="K54" i="2"/>
  <c r="K195" i="2"/>
  <c r="K51" i="2"/>
  <c r="K126" i="2"/>
  <c r="K110" i="2"/>
  <c r="K192" i="2"/>
  <c r="K20" i="2"/>
  <c r="K258" i="2"/>
  <c r="K72" i="2"/>
  <c r="K61" i="2"/>
  <c r="K58" i="2"/>
  <c r="K8" i="2"/>
  <c r="K246" i="2"/>
  <c r="K102" i="2"/>
  <c r="K256" i="2"/>
  <c r="K266" i="2"/>
  <c r="K202" i="2"/>
  <c r="K148" i="2"/>
  <c r="K153" i="2"/>
  <c r="K283" i="2"/>
  <c r="K142" i="2"/>
  <c r="K90" i="2"/>
  <c r="K209" i="2"/>
  <c r="K97" i="2"/>
  <c r="K280" i="2"/>
  <c r="K134" i="2"/>
  <c r="K101" i="2"/>
  <c r="K141" i="2"/>
  <c r="K128" i="2"/>
  <c r="K127" i="2"/>
  <c r="K222" i="2"/>
  <c r="K75" i="2"/>
  <c r="K131" i="2"/>
  <c r="K25" i="2"/>
  <c r="K184" i="2"/>
  <c r="K262" i="2"/>
  <c r="K41" i="2"/>
  <c r="K60" i="2"/>
  <c r="K100" i="2"/>
  <c r="K129" i="2"/>
  <c r="K116" i="2"/>
  <c r="K115" i="2"/>
  <c r="K210" i="2"/>
  <c r="K63" i="2"/>
  <c r="K59" i="2"/>
  <c r="K228" i="2"/>
  <c r="K269" i="2"/>
  <c r="K252" i="2"/>
  <c r="K238" i="2"/>
  <c r="K167" i="2"/>
  <c r="K95" i="2"/>
  <c r="K88" i="2"/>
  <c r="K218" i="2"/>
  <c r="K166" i="2"/>
  <c r="K242" i="2"/>
  <c r="K278" i="2"/>
  <c r="K12" i="2"/>
  <c r="K29" i="2"/>
  <c r="K52" i="2"/>
  <c r="K249" i="2"/>
  <c r="K105" i="2"/>
  <c r="K248" i="2"/>
  <c r="K92" i="2"/>
  <c r="K235" i="2"/>
  <c r="K91" i="2"/>
  <c r="K46" i="2"/>
  <c r="K186" i="2"/>
  <c r="K42" i="2"/>
  <c r="K183" i="2"/>
  <c r="K39" i="2"/>
  <c r="K123" i="2"/>
  <c r="K144" i="2"/>
  <c r="K89" i="2"/>
  <c r="K156" i="2"/>
  <c r="K164" i="2"/>
  <c r="K255" i="2"/>
  <c r="K26" i="2"/>
  <c r="K49" i="2"/>
  <c r="K62" i="2"/>
  <c r="K161" i="2"/>
  <c r="K170" i="2"/>
  <c r="K165" i="2"/>
  <c r="K21" i="2"/>
  <c r="K7" i="2"/>
  <c r="K99" i="2"/>
  <c r="K274" i="2"/>
  <c r="K250" i="2"/>
  <c r="K264" i="2"/>
  <c r="K37" i="2"/>
  <c r="K113" i="2"/>
  <c r="K125" i="2"/>
  <c r="K10" i="2"/>
  <c r="K140" i="2"/>
  <c r="K87" i="2"/>
  <c r="K185" i="2"/>
  <c r="K227" i="2"/>
  <c r="K13" i="2"/>
  <c r="K124" i="2"/>
  <c r="K208" i="2"/>
  <c r="K191" i="2"/>
  <c r="K173" i="2"/>
  <c r="K96" i="2"/>
  <c r="K47" i="2"/>
  <c r="K40" i="2"/>
  <c r="K197" i="2"/>
  <c r="K119" i="2"/>
  <c r="K203" i="2"/>
  <c r="K257" i="2"/>
  <c r="K276" i="2"/>
  <c r="K5" i="2"/>
  <c r="K28" i="2"/>
  <c r="K237" i="2"/>
  <c r="K93" i="2"/>
  <c r="K236" i="2"/>
  <c r="K80" i="2"/>
  <c r="K223" i="2"/>
  <c r="K79" i="2"/>
  <c r="K34" i="2"/>
  <c r="K174" i="2"/>
  <c r="K30" i="2"/>
  <c r="K171" i="2"/>
  <c r="K27" i="2"/>
  <c r="K85" i="2"/>
  <c r="K82" i="2"/>
  <c r="K114" i="2"/>
  <c r="K11" i="2"/>
  <c r="K241" i="2"/>
  <c r="K107" i="2"/>
  <c r="K254" i="2"/>
  <c r="K159" i="2"/>
  <c r="J17" i="2"/>
  <c r="J29" i="2"/>
  <c r="J41" i="2"/>
  <c r="J53" i="2"/>
  <c r="J65" i="2"/>
  <c r="J77" i="2"/>
  <c r="J89" i="2"/>
  <c r="J101" i="2"/>
  <c r="J113" i="2"/>
  <c r="J125" i="2"/>
  <c r="J137" i="2"/>
  <c r="J149" i="2"/>
  <c r="J161" i="2"/>
  <c r="J173" i="2"/>
  <c r="J185" i="2"/>
  <c r="J197" i="2"/>
  <c r="J209" i="2"/>
  <c r="J221" i="2"/>
  <c r="J233" i="2"/>
  <c r="J245" i="2"/>
  <c r="J257" i="2"/>
  <c r="J269" i="2"/>
  <c r="J8" i="2"/>
  <c r="J20" i="2"/>
  <c r="J32" i="2"/>
  <c r="J44" i="2"/>
  <c r="J56" i="2"/>
  <c r="J68" i="2"/>
  <c r="J80" i="2"/>
  <c r="J92" i="2"/>
  <c r="J104" i="2"/>
  <c r="J116" i="2"/>
  <c r="J128" i="2"/>
  <c r="J140" i="2"/>
  <c r="J152" i="2"/>
  <c r="J164" i="2"/>
  <c r="J176" i="2"/>
  <c r="J188" i="2"/>
  <c r="J200" i="2"/>
  <c r="J212" i="2"/>
  <c r="J224" i="2"/>
  <c r="J236" i="2"/>
  <c r="J248" i="2"/>
  <c r="J260" i="2"/>
  <c r="J272" i="2"/>
  <c r="J284" i="2"/>
  <c r="J34" i="2"/>
  <c r="J82" i="2"/>
  <c r="J106" i="2"/>
  <c r="J130" i="2"/>
  <c r="J166" i="2"/>
  <c r="J190" i="2"/>
  <c r="J214" i="2"/>
  <c r="J238" i="2"/>
  <c r="J262" i="2"/>
  <c r="J286" i="2"/>
  <c r="J155" i="2"/>
  <c r="J179" i="2"/>
  <c r="J203" i="2"/>
  <c r="J227" i="2"/>
  <c r="J251" i="2"/>
  <c r="J275" i="2"/>
  <c r="J9" i="2"/>
  <c r="J21" i="2"/>
  <c r="J33" i="2"/>
  <c r="J45" i="2"/>
  <c r="J57" i="2"/>
  <c r="J69" i="2"/>
  <c r="J81" i="2"/>
  <c r="J93" i="2"/>
  <c r="J105" i="2"/>
  <c r="J117" i="2"/>
  <c r="J129" i="2"/>
  <c r="J141" i="2"/>
  <c r="J153" i="2"/>
  <c r="J165" i="2"/>
  <c r="J177" i="2"/>
  <c r="J189" i="2"/>
  <c r="J201" i="2"/>
  <c r="J213" i="2"/>
  <c r="J225" i="2"/>
  <c r="J237" i="2"/>
  <c r="J249" i="2"/>
  <c r="J261" i="2"/>
  <c r="J273" i="2"/>
  <c r="J285" i="2"/>
  <c r="J10" i="2"/>
  <c r="J22" i="2"/>
  <c r="J46" i="2"/>
  <c r="J58" i="2"/>
  <c r="J70" i="2"/>
  <c r="J94" i="2"/>
  <c r="J118" i="2"/>
  <c r="J142" i="2"/>
  <c r="J154" i="2"/>
  <c r="J178" i="2"/>
  <c r="J202" i="2"/>
  <c r="J226" i="2"/>
  <c r="J250" i="2"/>
  <c r="J274" i="2"/>
  <c r="J11" i="2"/>
  <c r="J23" i="2"/>
  <c r="J35" i="2"/>
  <c r="J47" i="2"/>
  <c r="J59" i="2"/>
  <c r="J71" i="2"/>
  <c r="J83" i="2"/>
  <c r="J95" i="2"/>
  <c r="J107" i="2"/>
  <c r="J119" i="2"/>
  <c r="J143" i="2"/>
  <c r="J167" i="2"/>
  <c r="J191" i="2"/>
  <c r="J215" i="2"/>
  <c r="J239" i="2"/>
  <c r="J263" i="2"/>
  <c r="J3" i="2"/>
  <c r="J12" i="2"/>
  <c r="J30" i="2"/>
  <c r="J51" i="2"/>
  <c r="J73" i="2"/>
  <c r="J91" i="2"/>
  <c r="J112" i="2"/>
  <c r="J133" i="2"/>
  <c r="J151" i="2"/>
  <c r="J172" i="2"/>
  <c r="J194" i="2"/>
  <c r="J216" i="2"/>
  <c r="J234" i="2"/>
  <c r="J255" i="2"/>
  <c r="J277" i="2"/>
  <c r="J14" i="2"/>
  <c r="J36" i="2"/>
  <c r="J54" i="2"/>
  <c r="J75" i="2"/>
  <c r="J97" i="2"/>
  <c r="J115" i="2"/>
  <c r="J135" i="2"/>
  <c r="J157" i="2"/>
  <c r="J175" i="2"/>
  <c r="J196" i="2"/>
  <c r="J218" i="2"/>
  <c r="J240" i="2"/>
  <c r="J258" i="2"/>
  <c r="J279" i="2"/>
  <c r="J136" i="2"/>
  <c r="J180" i="2"/>
  <c r="J219" i="2"/>
  <c r="J241" i="2"/>
  <c r="J280" i="2"/>
  <c r="J16" i="2"/>
  <c r="J60" i="2"/>
  <c r="J99" i="2"/>
  <c r="J138" i="2"/>
  <c r="J181" i="2"/>
  <c r="J220" i="2"/>
  <c r="J264" i="2"/>
  <c r="J39" i="2"/>
  <c r="J79" i="2"/>
  <c r="J122" i="2"/>
  <c r="J160" i="2"/>
  <c r="J204" i="2"/>
  <c r="J243" i="2"/>
  <c r="J282" i="2"/>
  <c r="J62" i="2"/>
  <c r="J102" i="2"/>
  <c r="J144" i="2"/>
  <c r="J183" i="2"/>
  <c r="J223" i="2"/>
  <c r="J266" i="2"/>
  <c r="J42" i="2"/>
  <c r="J85" i="2"/>
  <c r="J124" i="2"/>
  <c r="J163" i="2"/>
  <c r="J206" i="2"/>
  <c r="J246" i="2"/>
  <c r="J15" i="2"/>
  <c r="J37" i="2"/>
  <c r="J55" i="2"/>
  <c r="J76" i="2"/>
  <c r="J98" i="2"/>
  <c r="J120" i="2"/>
  <c r="J158" i="2"/>
  <c r="J198" i="2"/>
  <c r="J259" i="2"/>
  <c r="J38" i="2"/>
  <c r="J78" i="2"/>
  <c r="J121" i="2"/>
  <c r="J159" i="2"/>
  <c r="J199" i="2"/>
  <c r="J242" i="2"/>
  <c r="J281" i="2"/>
  <c r="J18" i="2"/>
  <c r="J61" i="2"/>
  <c r="J100" i="2"/>
  <c r="J139" i="2"/>
  <c r="J182" i="2"/>
  <c r="J222" i="2"/>
  <c r="J265" i="2"/>
  <c r="J19" i="2"/>
  <c r="J40" i="2"/>
  <c r="J84" i="2"/>
  <c r="J123" i="2"/>
  <c r="J162" i="2"/>
  <c r="J205" i="2"/>
  <c r="J244" i="2"/>
  <c r="J283" i="2"/>
  <c r="J24" i="2"/>
  <c r="J63" i="2"/>
  <c r="J103" i="2"/>
  <c r="J145" i="2"/>
  <c r="J184" i="2"/>
  <c r="J228" i="2"/>
  <c r="J267" i="2"/>
  <c r="J48" i="2"/>
  <c r="J90" i="2"/>
  <c r="J146" i="2"/>
  <c r="J192" i="2"/>
  <c r="J235" i="2"/>
  <c r="J5" i="2"/>
  <c r="J49" i="2"/>
  <c r="J96" i="2"/>
  <c r="J147" i="2"/>
  <c r="J193" i="2"/>
  <c r="J247" i="2"/>
  <c r="J6" i="2"/>
  <c r="J50" i="2"/>
  <c r="J108" i="2"/>
  <c r="J148" i="2"/>
  <c r="J195" i="2"/>
  <c r="J252" i="2"/>
  <c r="J7" i="2"/>
  <c r="J207" i="2"/>
  <c r="J253" i="2"/>
  <c r="J64" i="2"/>
  <c r="J110" i="2"/>
  <c r="J156" i="2"/>
  <c r="J208" i="2"/>
  <c r="J254" i="2"/>
  <c r="J13" i="2"/>
  <c r="J66" i="2"/>
  <c r="J111" i="2"/>
  <c r="J168" i="2"/>
  <c r="J210" i="2"/>
  <c r="J256" i="2"/>
  <c r="J25" i="2"/>
  <c r="J67" i="2"/>
  <c r="J114" i="2"/>
  <c r="J169" i="2"/>
  <c r="J211" i="2"/>
  <c r="J268" i="2"/>
  <c r="J26" i="2"/>
  <c r="J72" i="2"/>
  <c r="J126" i="2"/>
  <c r="J170" i="2"/>
  <c r="J217" i="2"/>
  <c r="J270" i="2"/>
  <c r="J27" i="2"/>
  <c r="J74" i="2"/>
  <c r="J127" i="2"/>
  <c r="J171" i="2"/>
  <c r="J229" i="2"/>
  <c r="J271" i="2"/>
  <c r="J28" i="2"/>
  <c r="J86" i="2"/>
  <c r="J131" i="2"/>
  <c r="J174" i="2"/>
  <c r="J230" i="2"/>
  <c r="J276" i="2"/>
  <c r="J31" i="2"/>
  <c r="J87" i="2"/>
  <c r="J132" i="2"/>
  <c r="J186" i="2"/>
  <c r="J231" i="2"/>
  <c r="J278" i="2"/>
  <c r="J43" i="2"/>
  <c r="J88" i="2"/>
  <c r="J134" i="2"/>
  <c r="J187" i="2"/>
  <c r="J232" i="2"/>
  <c r="J4" i="2"/>
  <c r="J52" i="2"/>
  <c r="J109" i="2"/>
  <c r="J150" i="2"/>
  <c r="K267" i="2"/>
  <c r="K121" i="2"/>
  <c r="K83" i="2"/>
  <c r="K204" i="2"/>
  <c r="K172" i="2"/>
  <c r="K33" i="2"/>
  <c r="K163" i="2"/>
  <c r="K111" i="2"/>
  <c r="K98" i="2"/>
  <c r="K132" i="2"/>
  <c r="K151" i="2"/>
  <c r="K145" i="2"/>
  <c r="K122" i="2"/>
  <c r="K24" i="2"/>
  <c r="K265" i="2"/>
  <c r="K263" i="2"/>
  <c r="K179" i="2"/>
  <c r="K71" i="2"/>
  <c r="K160" i="2"/>
  <c r="K239" i="2"/>
  <c r="K275" i="2"/>
  <c r="K4" i="2"/>
  <c r="K225" i="2"/>
  <c r="K81" i="2"/>
  <c r="K224" i="2"/>
  <c r="K68" i="2"/>
  <c r="K211" i="2"/>
  <c r="K67" i="2"/>
  <c r="K22" i="2"/>
  <c r="K162" i="2"/>
  <c r="K18" i="2"/>
  <c r="K15" i="2"/>
  <c r="K73" i="2"/>
  <c r="K50" i="2"/>
  <c r="K35" i="2"/>
  <c r="K277" i="2"/>
  <c r="K226" i="2"/>
  <c r="K220" i="2"/>
  <c r="K157" i="2"/>
  <c r="K23" i="2"/>
  <c r="K112" i="2"/>
  <c r="K217" i="2"/>
  <c r="K233" i="2"/>
  <c r="K253" i="2"/>
  <c r="K154" i="2"/>
  <c r="K213" i="2"/>
  <c r="K69" i="2"/>
  <c r="K212" i="2"/>
  <c r="K56" i="2"/>
  <c r="K199" i="2"/>
  <c r="K55" i="2"/>
  <c r="K188" i="2"/>
  <c r="K150" i="2"/>
  <c r="K6" i="2"/>
  <c r="K147" i="2"/>
  <c r="J2" i="2"/>
</calcChain>
</file>

<file path=xl/sharedStrings.xml><?xml version="1.0" encoding="utf-8"?>
<sst xmlns="http://schemas.openxmlformats.org/spreadsheetml/2006/main" count="888" uniqueCount="304">
  <si>
    <t>Company</t>
  </si>
  <si>
    <t>year</t>
  </si>
  <si>
    <t>Cash</t>
  </si>
  <si>
    <t>Size</t>
  </si>
  <si>
    <t>Cash Without Outliers</t>
  </si>
  <si>
    <t>(Colony) Thal Textile Mills Ltd.</t>
  </si>
  <si>
    <t>Companies</t>
  </si>
  <si>
    <t>Years</t>
  </si>
  <si>
    <t>cash</t>
  </si>
  <si>
    <t>Al0Qadir Textile Mills Ltd.</t>
  </si>
  <si>
    <t>Ali Asghar Textile Mills Ltd.</t>
  </si>
  <si>
    <t>Apollo Textile Mills Ltd.</t>
  </si>
  <si>
    <t>Artistic Denim Mills Ltd.</t>
  </si>
  <si>
    <t>Ashfaq Textile Mills Ltd.</t>
  </si>
  <si>
    <t>Azgard Nine Ltd.(Legler0Nafees Denim Mills Ltd.)</t>
  </si>
  <si>
    <t>Babri Cotton Mills Ltd.</t>
  </si>
  <si>
    <t>Bhanero Textile Mills Ltd.</t>
  </si>
  <si>
    <t>Blessed Textiles Ltd.</t>
  </si>
  <si>
    <t>Brothers Textile Mills Ltd.</t>
  </si>
  <si>
    <t>Chakwal Spinning Mills Ltd.</t>
  </si>
  <si>
    <t>Chenab Ltd.</t>
  </si>
  <si>
    <t>D.M. Textile Mills Ltd.</t>
  </si>
  <si>
    <t>Data Textiles Ltd.</t>
  </si>
  <si>
    <t>Dawood Lawrencepur Ltd. (Dawod Coton Mills)</t>
  </si>
  <si>
    <t>Dewan Farooque Spinning Mills Ltd.</t>
  </si>
  <si>
    <t>Dewan Khalid Textile Mills Ltd.</t>
  </si>
  <si>
    <t>Dewan Mushtaq Textile Mills Ltd.</t>
  </si>
  <si>
    <t>Dewan Textile Mills Ltd.</t>
  </si>
  <si>
    <t>Din Textile Mills Ltd.</t>
  </si>
  <si>
    <t>Elahi Cotton Mills Ltd.</t>
  </si>
  <si>
    <t>Ellcot Spinning Mills Ltd.</t>
  </si>
  <si>
    <t>Faisal Spinning Mills Ltd.</t>
  </si>
  <si>
    <t>Fateh Textile Mills Ltd.</t>
  </si>
  <si>
    <t>Fatima Enterprises Ltd.</t>
  </si>
  <si>
    <t>Fazal Cloth Mills Ltd.</t>
  </si>
  <si>
    <t>Fazal Textile Mills Ltd.</t>
  </si>
  <si>
    <t>Gadoon Textile Mills Ltd.</t>
  </si>
  <si>
    <t>Ghazi Fabrics International Ltd.</t>
  </si>
  <si>
    <t>Glamour Textile Mills Ltd.</t>
  </si>
  <si>
    <t>Globe Textile Mills Ltd.</t>
  </si>
  <si>
    <t>Gulistan Spinning Mills Ltd.</t>
  </si>
  <si>
    <t>Gulistan Textile Mills Ltd.</t>
  </si>
  <si>
    <t>Gulshan Spinning Mills Ltd.</t>
  </si>
  <si>
    <t>Haji Mohammad Ismail Mills Ltd.</t>
  </si>
  <si>
    <t>Hajra Textile Mills Ltd.</t>
  </si>
  <si>
    <t>Husein Industries Ltd.</t>
  </si>
  <si>
    <t>ICC Textiles Ltd.</t>
  </si>
  <si>
    <t>Ideal Spinning Mills Ltd.</t>
  </si>
  <si>
    <t>Idrees Textile Mills Ltd.</t>
  </si>
  <si>
    <t>Indus Dyeing &amp; Manufacturing Co. Ltd.</t>
  </si>
  <si>
    <t>Ishaq Textile Mills Ltd.</t>
  </si>
  <si>
    <t>Island Textile Mills Ltd.</t>
  </si>
  <si>
    <t>J.A. Textile Mills Ltd.</t>
  </si>
  <si>
    <t>J.K. Spinning Mills Ltd.</t>
  </si>
  <si>
    <t>Janana De Malucho Textile Mills Ltd.</t>
  </si>
  <si>
    <t>Jubilee Spinning &amp; Weaving Mills Ltd.</t>
  </si>
  <si>
    <t>Khalid Siraj Textile Mills Ltd.</t>
  </si>
  <si>
    <t>Khurshid Spinning Mills Ltd.</t>
  </si>
  <si>
    <t>Kohat Textile Mills Ltd.</t>
  </si>
  <si>
    <t>Kohinoor Mills Ltd.</t>
  </si>
  <si>
    <t>Kohinoor Spinning Mills Ltd.</t>
  </si>
  <si>
    <t>Kohinoor Textile Mills Ltd.</t>
  </si>
  <si>
    <t>Landmark Spinning Industries Ltd.</t>
  </si>
  <si>
    <t>Mahmood Textile Mills Ltd.</t>
  </si>
  <si>
    <t>Maqbool Textile Mills Ltd.</t>
  </si>
  <si>
    <t>Masood Textile Mills Ltd.</t>
  </si>
  <si>
    <t>Mian Textile Industries Ltd.</t>
  </si>
  <si>
    <t>Mohammad Farooq Textile Mills Ltd.</t>
  </si>
  <si>
    <t>Mubarak Textile Mills Ltd.</t>
  </si>
  <si>
    <t>Mukhtar Textile Mills Ltd.</t>
  </si>
  <si>
    <t>N.P. Spinning Mills Ltd.</t>
  </si>
  <si>
    <t>Nagina Cotton Mills Ltd.</t>
  </si>
  <si>
    <t>Nishat (Chunian) Ltd.</t>
  </si>
  <si>
    <t>Nishat Mills Ltd.</t>
  </si>
  <si>
    <t>Olympia Spinning &amp; Weaving Mills Ltd.</t>
  </si>
  <si>
    <t>Olympia Textile Mills Ltd.</t>
  </si>
  <si>
    <t>Paramount Spinning Mills Ltd.</t>
  </si>
  <si>
    <t>Premium Textile Mills Ltd.</t>
  </si>
  <si>
    <t>Prosperity Weaving Mills Ltd.</t>
  </si>
  <si>
    <t>Quality Textile Mills Ltd.</t>
  </si>
  <si>
    <t>Quetta Textile Mills Ltd.</t>
  </si>
  <si>
    <t>Ravi Textile Mills Ltd.</t>
  </si>
  <si>
    <t>Reliance Cotton Spinning Mills Ltd.</t>
  </si>
  <si>
    <t>Reliance Weaving Mills Ltd.</t>
  </si>
  <si>
    <t>Ruby Textile Mills Ltd.</t>
  </si>
  <si>
    <t>Safa Textiles Ltd.</t>
  </si>
  <si>
    <t>Saif Textile Mills Ltd.</t>
  </si>
  <si>
    <t>Sajjad Textile Mills Ltd.</t>
  </si>
  <si>
    <t>Salfi Textile Mills Ltd.</t>
  </si>
  <si>
    <t>Sally Textile Mills Ltd.</t>
  </si>
  <si>
    <t>Salman Noman Enterprises Ltd.</t>
  </si>
  <si>
    <t>Samin Textiles Ltd.</t>
  </si>
  <si>
    <t>Sana Industries Ltd.</t>
  </si>
  <si>
    <t>Sapphire Fibres Ltd.</t>
  </si>
  <si>
    <t>Sapphire Textile Mills Ltd.</t>
  </si>
  <si>
    <t>Sargodha Spinning Mills Ltd.</t>
  </si>
  <si>
    <t>Saritow Spinning Mills Ltd.</t>
  </si>
  <si>
    <t>Service Fabrics Ltd.</t>
  </si>
  <si>
    <t>Service Industries Textiles Ltd.</t>
  </si>
  <si>
    <t>Shadab Textile Mills Ltd.</t>
  </si>
  <si>
    <t>Shadman Cotton Mills Ltd.</t>
  </si>
  <si>
    <t>Shahzad Textile Mills Ltd.</t>
  </si>
  <si>
    <t>Shams Textile Mills Ltd.</t>
  </si>
  <si>
    <t>Sind Fine Textile Mills Ltd.</t>
  </si>
  <si>
    <t>Sunrays Textile Mills Ltd.</t>
  </si>
  <si>
    <t>Suraj Cotton Mills Ltd.</t>
  </si>
  <si>
    <t>Taha Spinning Mills Ltd.</t>
  </si>
  <si>
    <t>Tata Textile Mills Ltd.</t>
  </si>
  <si>
    <t>The Crescent Textile Mills Ltd.</t>
  </si>
  <si>
    <t>Towellers Ltd.</t>
  </si>
  <si>
    <t>Yousaf Weaving Mills Ltd.</t>
  </si>
  <si>
    <t>Zahidjee Textile Mills Ltd.</t>
  </si>
  <si>
    <t>Zephyr Textiles Ltd.</t>
  </si>
  <si>
    <t>Gul Ahmed Textile Mills Ltd.</t>
  </si>
  <si>
    <t>Moonlite (Pak) Ltd.</t>
  </si>
  <si>
    <t>Al0Abid Silk Mills Ltd.</t>
  </si>
  <si>
    <t>Bannu Woollen Mills Ltd.</t>
  </si>
  <si>
    <t>Crescent Jute Products Ltd.</t>
  </si>
  <si>
    <t>Ibrahim Fibres Ltd.</t>
  </si>
  <si>
    <t>Pakistan Synthetics Ltd.</t>
  </si>
  <si>
    <t>Suhail Jute Mills Ltd.</t>
  </si>
  <si>
    <t>Rupali Polyester Ltd.</t>
  </si>
  <si>
    <t>The National Silk &amp; Rayon Mills Ltd.</t>
  </si>
  <si>
    <t>Tri0Star Polyester Ltd.</t>
  </si>
  <si>
    <t>Abdullah Shah Ghazi Sugar Mills Ltd.(Al0Asif Sugar Mills Ltd</t>
  </si>
  <si>
    <t>Adam Sugar Mills Ltd.</t>
  </si>
  <si>
    <t>Al0Abbas Sugar Mills Ltd.</t>
  </si>
  <si>
    <t>Al0Noor Sugar Mills Ltd.</t>
  </si>
  <si>
    <t>Baba Farid Sugar Mills Ltd.</t>
  </si>
  <si>
    <t>Chashma Sugar Mills Ltd.</t>
  </si>
  <si>
    <t>Dewan Sugar Mills Ltd.</t>
  </si>
  <si>
    <t>Faran Sugar Mills Ltd.</t>
  </si>
  <si>
    <t>Habib 0 ADM Ltd.( Habib Arkady LTD.)</t>
  </si>
  <si>
    <t>Husein Sugar Mills Ltd.</t>
  </si>
  <si>
    <t>JDW Sugar Mills Ltd.</t>
  </si>
  <si>
    <t>Habib Sugar Mills Ltd.</t>
  </si>
  <si>
    <t>Mehran Sugar Mills Ltd.</t>
  </si>
  <si>
    <t>Haseeb Waqas Sugar Mills Ltd.</t>
  </si>
  <si>
    <t>Mirpurkhas Sugar Mills Ltd.</t>
  </si>
  <si>
    <t>Mirza Sugar Mills Ltd.</t>
  </si>
  <si>
    <t>Noon Sugar Mills Ltd.</t>
  </si>
  <si>
    <t>Pangrio Sugar Mills Ltd.</t>
  </si>
  <si>
    <t>Sakrand Sugar Mills Ltd.</t>
  </si>
  <si>
    <t>Sanghar Sugar Mills Ltd.</t>
  </si>
  <si>
    <t>Shahmurad Sugar Mills Ltd.</t>
  </si>
  <si>
    <t>Shahtaj Sugar Mills Ltd.</t>
  </si>
  <si>
    <t>Shakarganj Mills Ltd.</t>
  </si>
  <si>
    <t>Tandlianwala Sugar Mills Ltd.</t>
  </si>
  <si>
    <t>The Premier Sugar Mills &amp; Distillery Co. Ltd.</t>
  </si>
  <si>
    <t>The Thal Industries Corporation Ltd.</t>
  </si>
  <si>
    <t>Ismail Industries Ltd.</t>
  </si>
  <si>
    <t>Sindh Abadgar'S Sugar Mills Ltd.</t>
  </si>
  <si>
    <t>Mitchell'S Fruit Farms Ltd.</t>
  </si>
  <si>
    <t>National Foods Ltd.</t>
  </si>
  <si>
    <t>Noon Pakistan Ltd.</t>
  </si>
  <si>
    <t>Quice Food Industries Ltd.</t>
  </si>
  <si>
    <t>Clover Pakistan Ltd.</t>
  </si>
  <si>
    <t>S.S. Oil Mills Ltd.</t>
  </si>
  <si>
    <t>Shezan International Ltd.</t>
  </si>
  <si>
    <t>Bawany Air Products Ltd.</t>
  </si>
  <si>
    <t>Berger Paints Pakistan Ltd.</t>
  </si>
  <si>
    <t>Buxly Paints Ltd.</t>
  </si>
  <si>
    <t>Dawood Hercules Chemicals Ltd.</t>
  </si>
  <si>
    <t>Rafhan Maize Products Co. Ltd.</t>
  </si>
  <si>
    <t>Dewan Salman Fibre Ltd.</t>
  </si>
  <si>
    <t>Dynea Pakistan Ltd.</t>
  </si>
  <si>
    <t>Engro Corporation Ltd. (Engro Chemical Pakistan Ltd.)</t>
  </si>
  <si>
    <t>Abbott Laboratories (Pakistan) Ltd.</t>
  </si>
  <si>
    <t>Ferozsons Laboratories Ltd.</t>
  </si>
  <si>
    <t>Gatron (Industries) Ltd.</t>
  </si>
  <si>
    <t>Highnoon Laboratories Ltd.</t>
  </si>
  <si>
    <t>Biafo Industries Ltd.</t>
  </si>
  <si>
    <t>Ittehad Chemicals Ltd.</t>
  </si>
  <si>
    <t>Leiner Pak Gelatine Ltd.</t>
  </si>
  <si>
    <t>Colgate0Palmolive (Pakistan) Ltd.</t>
  </si>
  <si>
    <t>Mandviwala  Mauser Plastic Industries Ltd.</t>
  </si>
  <si>
    <t>Nimir Industrial Chemicals Ltd.</t>
  </si>
  <si>
    <t>Otsuka Pakistan Ltd.</t>
  </si>
  <si>
    <t>Pakistan Gum &amp; Chemicals Ltd.</t>
  </si>
  <si>
    <t>Pakistan PVC Ltd.</t>
  </si>
  <si>
    <t>Fauji Fertilizer Bin Qasim Ltd.</t>
  </si>
  <si>
    <t>Sanofi aventis(Aventis Pharma)</t>
  </si>
  <si>
    <t>Fauji Fertilizer Co. Ltd.</t>
  </si>
  <si>
    <t>Shaffi Chemical Industries Ltd.</t>
  </si>
  <si>
    <t>Sitara Chemical Industries Ltd.</t>
  </si>
  <si>
    <t>United Distributors Pakistan Ltd.</t>
  </si>
  <si>
    <t>Glaxosmithkline (Pakistan) Ltd.</t>
  </si>
  <si>
    <t>Wah Nobel Chemicals Ltd.</t>
  </si>
  <si>
    <t>Wyeth Pakistan Ltd.</t>
  </si>
  <si>
    <t>ICI Pakistan Ltd.</t>
  </si>
  <si>
    <t>Al0Khair Gadoon Ltd.</t>
  </si>
  <si>
    <t>Crescent Steel &amp; Allied Products Ltd.</t>
  </si>
  <si>
    <t>Dadex Eternit Ltd.</t>
  </si>
  <si>
    <t>Diamond Industries Ltd.</t>
  </si>
  <si>
    <t>Eco Pack Ltd.( Plastobag Ltd.)</t>
  </si>
  <si>
    <t>Emco Industries Ltd.</t>
  </si>
  <si>
    <t>Gillette Pakistan Ltd.</t>
  </si>
  <si>
    <t>Grays Of Cambridge (Pakistan) Ltd.</t>
  </si>
  <si>
    <t>Huffaz Seamless Pipe Industries Ltd.</t>
  </si>
  <si>
    <t>Leather Up Ltd.</t>
  </si>
  <si>
    <t>Pak Leather Crafts Ltd.</t>
  </si>
  <si>
    <t>Pakistan Engineering Co. Ltd.</t>
  </si>
  <si>
    <t>Service Industries Ltd.</t>
  </si>
  <si>
    <t>Shield Corporation Ltd.(Transpak Corp.)</t>
  </si>
  <si>
    <t>Siddiqsons Tin Plate</t>
  </si>
  <si>
    <t>Bata Pakistan Ltd.</t>
  </si>
  <si>
    <t>Thal  Ltd. (Thal Jute Mills Ltd.)</t>
  </si>
  <si>
    <t>Treet Corporation Ltd.</t>
  </si>
  <si>
    <t>Bestway Cement Ltd.</t>
  </si>
  <si>
    <t>Cherat Cement Co. Ltd.</t>
  </si>
  <si>
    <t>D.G. Khan Cement Co. Ltd.</t>
  </si>
  <si>
    <t>Dadabhoy Cement Industries Ltd.</t>
  </si>
  <si>
    <t>Dandot Cement Co. Ltd.</t>
  </si>
  <si>
    <t>Dewan Cement Ltd. (Pakland Cement Ltd.)</t>
  </si>
  <si>
    <t>Fauji Cement Co. Ltd.</t>
  </si>
  <si>
    <t>International Industries Ltd.</t>
  </si>
  <si>
    <t>Fecto Cement Ltd.</t>
  </si>
  <si>
    <t>KSB Pumps Co. Ltd.</t>
  </si>
  <si>
    <t>Gharibwal Cement Ltd.</t>
  </si>
  <si>
    <t>Kohat Cement Co. Ltd.</t>
  </si>
  <si>
    <t>Lafarge Pak. Cement Ltd. (Pakistan Cement Ltd.)</t>
  </si>
  <si>
    <t>Lucky Cement Ltd.</t>
  </si>
  <si>
    <t>Maple Leaf Cement Factory Ltd.</t>
  </si>
  <si>
    <t>Pioneer Cement Ltd.</t>
  </si>
  <si>
    <t>Balochistan Glass Ltd.</t>
  </si>
  <si>
    <t>Frontier Ceramics Ltd.</t>
  </si>
  <si>
    <t>Shabbir Tiles And Ceramics Ltd.</t>
  </si>
  <si>
    <t>United Brands Ltd.(Udl Industries Ltd.)</t>
  </si>
  <si>
    <t>Tariq Glass Industries Ltd.</t>
  </si>
  <si>
    <t>ZIL Ltd. (Zulfeqar Industries Ltd.)</t>
  </si>
  <si>
    <t>Atlas Battery Ltd.</t>
  </si>
  <si>
    <t>Attock Cement Pakistan Ltd.</t>
  </si>
  <si>
    <t>Baluchistan Wheels Ltd.</t>
  </si>
  <si>
    <t>Bela Automotives Ltd.</t>
  </si>
  <si>
    <t>Bolan Castings Ltd.</t>
  </si>
  <si>
    <t>Dewan Automotive Engineering Ltd. (Allied Motors Ltd.)</t>
  </si>
  <si>
    <t>Dewan Farooque Motors Ltd.</t>
  </si>
  <si>
    <t>General Tyre &amp; Rubber Co. Ltd.</t>
  </si>
  <si>
    <t>Ghandhara Industries Ltd.</t>
  </si>
  <si>
    <t>Ghani Automobiles Industries Ltd.</t>
  </si>
  <si>
    <t>Honda Atlas Cars (Pakistan) Ltd.</t>
  </si>
  <si>
    <t>Sazgar Engineering Works Ltd.</t>
  </si>
  <si>
    <t>Altern Energy Ltd.</t>
  </si>
  <si>
    <t>Japan Power Generation Ltd.</t>
  </si>
  <si>
    <t>Karachi Electric Supply Co. Ltd.</t>
  </si>
  <si>
    <t>Kohinoor Power Co. Ltd.</t>
  </si>
  <si>
    <t>Kot Addu Power Co. Ltd.</t>
  </si>
  <si>
    <t>Oil &amp; Gas Development Co. Ltd. (OGDC)</t>
  </si>
  <si>
    <t>S.G. Power Ltd.</t>
  </si>
  <si>
    <t>Sitara Energy Ltd.</t>
  </si>
  <si>
    <t>Southern Electric Power Co. Ltd.</t>
  </si>
  <si>
    <t>Agriauto Industries Ltd.</t>
  </si>
  <si>
    <t>Sui Northern Gas Pipelines Ltd.</t>
  </si>
  <si>
    <t>Al0Ghazi Tractors Ltd.</t>
  </si>
  <si>
    <t>Sui Southern Gas Co. Ltd.</t>
  </si>
  <si>
    <t>The Hub Power Co. Ltd.</t>
  </si>
  <si>
    <t>Atlas Honda Ltd.</t>
  </si>
  <si>
    <t>TRG Pakistan Ltd.</t>
  </si>
  <si>
    <t>Telecard Ltd.</t>
  </si>
  <si>
    <t>Worldcall Telecom Ltd.</t>
  </si>
  <si>
    <t>Pakistan Petroleum Ltd.</t>
  </si>
  <si>
    <t>Pakistan State Oil Co. Ltd.</t>
  </si>
  <si>
    <t>Shell Pakistan Ltd.</t>
  </si>
  <si>
    <t>Exide Pakistan Ltd.</t>
  </si>
  <si>
    <t>Century Paper &amp; Board Mills Ltd.</t>
  </si>
  <si>
    <t>Merit Packaging Ltd.</t>
  </si>
  <si>
    <t>Pakistan Paper Products Ltd.</t>
  </si>
  <si>
    <t>Security Papers Ltd.</t>
  </si>
  <si>
    <t>Johnson &amp; Philips (Pakistan) Ltd.</t>
  </si>
  <si>
    <t>Indus Motor Co. Ltd.</t>
  </si>
  <si>
    <t>Pak Elektron Ltd.</t>
  </si>
  <si>
    <t>Millat Tractors Ltd.</t>
  </si>
  <si>
    <t>Pakistan Telephone Cables Ltd.</t>
  </si>
  <si>
    <t>Pak Suzuki Motor Co. Ltd.</t>
  </si>
  <si>
    <t>Siemens (Pakistan) Engineering Co. Ltd.</t>
  </si>
  <si>
    <t>Singer Pakistan Ltd.</t>
  </si>
  <si>
    <t>Dreamworld Ltd.</t>
  </si>
  <si>
    <t>Haydari Construction Co. Ltd.</t>
  </si>
  <si>
    <t>Javedan Corporation Ltd. (formerly Javedan Cement Ltd.)</t>
  </si>
  <si>
    <t>Kohinoor Energy Ltd.</t>
  </si>
  <si>
    <t>Pakistan Hotels Developers Ltd.</t>
  </si>
  <si>
    <t>Pakistan Services Ltd.</t>
  </si>
  <si>
    <t>Shifa International Hospitals Ltd.</t>
  </si>
  <si>
    <t>Netsol Technologies Ltd.</t>
  </si>
  <si>
    <t>Pak Datacom Ltd.</t>
  </si>
  <si>
    <t>Pakistan National Shipping Corporation.</t>
  </si>
  <si>
    <t>Attock Petroleum Ltd.</t>
  </si>
  <si>
    <t>Attock Refinery Ltd.</t>
  </si>
  <si>
    <t>National Refinery Ltd.</t>
  </si>
  <si>
    <t>Pakistan Oilfields Ltd.</t>
  </si>
  <si>
    <t>Pakistan Refinery Ltd.</t>
  </si>
  <si>
    <t>Ados Pakistan Ltd.</t>
  </si>
  <si>
    <t>Gammon Pakistan Ltd.</t>
  </si>
  <si>
    <t>Q1 Cash</t>
  </si>
  <si>
    <t>Q3 Cash</t>
  </si>
  <si>
    <t>Range</t>
  </si>
  <si>
    <t>Upper limit</t>
  </si>
  <si>
    <t>Lower limit</t>
  </si>
  <si>
    <t>Q1 Size</t>
  </si>
  <si>
    <t>Q3 Size</t>
  </si>
  <si>
    <t>Median</t>
  </si>
  <si>
    <t>OUT</t>
  </si>
  <si>
    <t>Cash corrected</t>
  </si>
  <si>
    <t>Size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</si>
</sst>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A842-2C0F-46E7-9EEE-A2AAC74D263F}">
  <dimension ref="A1:AC288"/>
  <sheetViews>
    <sheetView topLeftCell="A274" workbookViewId="0">
      <selection activeCell="A288" sqref="A288:D288"/>
    </sheetView>
  </sheetViews>
  <sheetFormatPr defaultRowHeight="14.4" x14ac:dyDescent="0.3"/>
  <cols>
    <col min="1" max="1" width="48.21875" bestFit="1" customWidth="1"/>
    <col min="2" max="2" width="5" bestFit="1" customWidth="1"/>
    <col min="3" max="4" width="12" bestFit="1" customWidth="1"/>
    <col min="8" max="8" width="10.21875" bestFit="1" customWidth="1"/>
    <col min="9" max="9" width="10.44140625" bestFit="1" customWidth="1"/>
  </cols>
  <sheetData>
    <row r="1" spans="1:29" x14ac:dyDescent="0.3">
      <c r="A1" s="3" t="s">
        <v>0</v>
      </c>
      <c r="B1" s="3" t="s">
        <v>1</v>
      </c>
      <c r="C1" s="3" t="s">
        <v>2</v>
      </c>
      <c r="D1" s="3" t="s">
        <v>3</v>
      </c>
      <c r="E1" s="2" t="s">
        <v>293</v>
      </c>
      <c r="F1" s="2" t="s">
        <v>294</v>
      </c>
      <c r="G1" s="2" t="s">
        <v>295</v>
      </c>
      <c r="H1" s="2" t="s">
        <v>297</v>
      </c>
      <c r="I1" s="2" t="s">
        <v>296</v>
      </c>
      <c r="J1" s="2" t="s">
        <v>2</v>
      </c>
      <c r="K1" s="2" t="s">
        <v>3</v>
      </c>
      <c r="AA1" s="1" t="s">
        <v>4</v>
      </c>
      <c r="AB1" s="1"/>
      <c r="AC1" s="1"/>
    </row>
    <row r="2" spans="1:29" x14ac:dyDescent="0.3">
      <c r="A2" t="s">
        <v>5</v>
      </c>
      <c r="B2">
        <v>2009</v>
      </c>
      <c r="C2">
        <v>8.666031391362447E-3</v>
      </c>
      <c r="D2">
        <v>13.031333026054657</v>
      </c>
      <c r="E2">
        <f>QUARTILE(C2:C286,1)</f>
        <v>3.5380671771362174E-3</v>
      </c>
      <c r="F2">
        <f>QUARTILE(C2:C286,3)</f>
        <v>3.2685835588532927E-2</v>
      </c>
      <c r="G2">
        <f>F2-E2</f>
        <v>2.9147768411396709E-2</v>
      </c>
      <c r="H2">
        <f>E2-1.5*(G2)</f>
        <v>-4.0183585439958848E-2</v>
      </c>
      <c r="I2">
        <f>F2+1.5*(G2)</f>
        <v>7.6407488205627982E-2</v>
      </c>
      <c r="J2">
        <f>IF(OR(C2&lt;$H$2,C2&gt;$I$2),"OUT",C2)</f>
        <v>8.666031391362447E-3</v>
      </c>
      <c r="K2">
        <f>IF(OR(D2&lt;$H$6,D2&gt;$I$6),"OUT",D2)</f>
        <v>13.031333026054657</v>
      </c>
      <c r="AA2" t="s">
        <v>6</v>
      </c>
      <c r="AB2" t="s">
        <v>7</v>
      </c>
      <c r="AC2" t="s">
        <v>8</v>
      </c>
    </row>
    <row r="3" spans="1:29" x14ac:dyDescent="0.3">
      <c r="A3" t="s">
        <v>9</v>
      </c>
      <c r="B3">
        <v>2009</v>
      </c>
      <c r="C3">
        <v>1.2530050517707121E-2</v>
      </c>
      <c r="D3">
        <v>13.268382226190615</v>
      </c>
      <c r="J3">
        <f t="shared" ref="J3:J66" si="0">IF(OR(C3&lt;$H$2,C3&gt;$I$2),"OUT",C3)</f>
        <v>1.2530050517707121E-2</v>
      </c>
      <c r="K3">
        <f t="shared" ref="K3:K66" si="1">IF(OR(D3&lt;$H$6,D3&gt;$I$6),"OUT",D3)</f>
        <v>13.268382226190615</v>
      </c>
      <c r="AA3" t="s">
        <v>5</v>
      </c>
      <c r="AB3">
        <v>2009</v>
      </c>
      <c r="AC3">
        <v>8.666031391362447E-3</v>
      </c>
    </row>
    <row r="4" spans="1:29" x14ac:dyDescent="0.3">
      <c r="A4" t="s">
        <v>10</v>
      </c>
      <c r="B4">
        <v>2009</v>
      </c>
      <c r="C4">
        <v>5.2190785507691775E-4</v>
      </c>
      <c r="D4">
        <v>13.910648904824345</v>
      </c>
      <c r="J4">
        <f t="shared" si="0"/>
        <v>5.2190785507691775E-4</v>
      </c>
      <c r="K4">
        <f t="shared" si="1"/>
        <v>13.910648904824345</v>
      </c>
      <c r="AA4" t="s">
        <v>9</v>
      </c>
      <c r="AB4">
        <v>2009</v>
      </c>
      <c r="AC4">
        <v>1.2530050517707121E-2</v>
      </c>
    </row>
    <row r="5" spans="1:29" x14ac:dyDescent="0.3">
      <c r="A5" t="s">
        <v>11</v>
      </c>
      <c r="B5">
        <v>2009</v>
      </c>
      <c r="C5">
        <v>3.909915646623287E-3</v>
      </c>
      <c r="D5">
        <v>14.947923771023088</v>
      </c>
      <c r="E5" s="2" t="s">
        <v>298</v>
      </c>
      <c r="F5" s="2" t="s">
        <v>299</v>
      </c>
      <c r="G5" s="2" t="s">
        <v>295</v>
      </c>
      <c r="H5" s="2" t="s">
        <v>297</v>
      </c>
      <c r="I5" s="2" t="s">
        <v>296</v>
      </c>
      <c r="J5">
        <f t="shared" si="0"/>
        <v>3.909915646623287E-3</v>
      </c>
      <c r="K5">
        <f t="shared" si="1"/>
        <v>14.947923771023088</v>
      </c>
      <c r="AA5" t="s">
        <v>10</v>
      </c>
      <c r="AB5">
        <v>2009</v>
      </c>
      <c r="AC5">
        <v>5.2190785507691775E-4</v>
      </c>
    </row>
    <row r="6" spans="1:29" x14ac:dyDescent="0.3">
      <c r="A6" t="s">
        <v>12</v>
      </c>
      <c r="B6">
        <v>2009</v>
      </c>
      <c r="C6">
        <v>1.6082009002141545E-3</v>
      </c>
      <c r="D6">
        <v>15.352760929957736</v>
      </c>
      <c r="E6">
        <f>QUARTILE(D2:D286,1)</f>
        <v>13.50558423989076</v>
      </c>
      <c r="F6">
        <f>QUARTILE(D2:D286,3)</f>
        <v>15.760109419085801</v>
      </c>
      <c r="G6">
        <f>F6-E6</f>
        <v>2.2545251791950403</v>
      </c>
      <c r="H6">
        <f>E6-1.5*G6</f>
        <v>10.123796471098199</v>
      </c>
      <c r="I6">
        <f>F6+1.5*G6</f>
        <v>19.14189718787836</v>
      </c>
      <c r="J6">
        <f t="shared" si="0"/>
        <v>1.6082009002141545E-3</v>
      </c>
      <c r="K6">
        <f t="shared" si="1"/>
        <v>15.352760929957736</v>
      </c>
      <c r="AA6" t="s">
        <v>11</v>
      </c>
      <c r="AB6">
        <v>2009</v>
      </c>
      <c r="AC6">
        <v>3.909915646623287E-3</v>
      </c>
    </row>
    <row r="7" spans="1:29" x14ac:dyDescent="0.3">
      <c r="A7" t="s">
        <v>13</v>
      </c>
      <c r="B7">
        <v>2009</v>
      </c>
      <c r="C7">
        <v>6.3370381759873477E-3</v>
      </c>
      <c r="D7">
        <v>13.210945520095335</v>
      </c>
      <c r="J7">
        <f t="shared" si="0"/>
        <v>6.3370381759873477E-3</v>
      </c>
      <c r="K7">
        <f t="shared" si="1"/>
        <v>13.210945520095335</v>
      </c>
      <c r="AA7" t="s">
        <v>12</v>
      </c>
      <c r="AB7">
        <v>2009</v>
      </c>
      <c r="AC7">
        <v>1.6082009002141545E-3</v>
      </c>
    </row>
    <row r="8" spans="1:29" x14ac:dyDescent="0.3">
      <c r="A8" t="s">
        <v>14</v>
      </c>
      <c r="B8">
        <v>2009</v>
      </c>
      <c r="C8">
        <v>7.4846284529053106E-3</v>
      </c>
      <c r="D8">
        <v>17.884453342864791</v>
      </c>
      <c r="J8">
        <f t="shared" si="0"/>
        <v>7.4846284529053106E-3</v>
      </c>
      <c r="K8">
        <f t="shared" si="1"/>
        <v>17.884453342864791</v>
      </c>
      <c r="AA8" t="s">
        <v>13</v>
      </c>
      <c r="AB8">
        <v>2009</v>
      </c>
      <c r="AC8">
        <v>6.3370381759873477E-3</v>
      </c>
    </row>
    <row r="9" spans="1:29" x14ac:dyDescent="0.3">
      <c r="A9" t="s">
        <v>15</v>
      </c>
      <c r="B9">
        <v>2009</v>
      </c>
      <c r="C9">
        <v>3.9275542108730235E-4</v>
      </c>
      <c r="D9">
        <v>14.126457639098863</v>
      </c>
      <c r="J9">
        <f t="shared" si="0"/>
        <v>3.9275542108730235E-4</v>
      </c>
      <c r="K9">
        <f t="shared" si="1"/>
        <v>14.126457639098863</v>
      </c>
      <c r="AA9" t="s">
        <v>14</v>
      </c>
      <c r="AB9">
        <v>2009</v>
      </c>
      <c r="AC9">
        <v>7.4846284529053106E-3</v>
      </c>
    </row>
    <row r="10" spans="1:29" x14ac:dyDescent="0.3">
      <c r="A10" t="s">
        <v>16</v>
      </c>
      <c r="B10">
        <v>2009</v>
      </c>
      <c r="C10">
        <v>7.2321779270202863E-3</v>
      </c>
      <c r="D10">
        <v>14.95783633674716</v>
      </c>
      <c r="J10">
        <f t="shared" si="0"/>
        <v>7.2321779270202863E-3</v>
      </c>
      <c r="K10">
        <f t="shared" si="1"/>
        <v>14.95783633674716</v>
      </c>
      <c r="AA10" t="s">
        <v>15</v>
      </c>
      <c r="AB10">
        <v>2009</v>
      </c>
      <c r="AC10">
        <v>3.9275542108730235E-4</v>
      </c>
    </row>
    <row r="11" spans="1:29" x14ac:dyDescent="0.3">
      <c r="A11" t="s">
        <v>17</v>
      </c>
      <c r="B11">
        <v>2009</v>
      </c>
      <c r="C11">
        <v>5.2132979186694595E-3</v>
      </c>
      <c r="D11">
        <v>14.714445953481384</v>
      </c>
      <c r="J11">
        <f t="shared" si="0"/>
        <v>5.2132979186694595E-3</v>
      </c>
      <c r="K11">
        <f t="shared" si="1"/>
        <v>14.714445953481384</v>
      </c>
      <c r="AA11" t="s">
        <v>16</v>
      </c>
      <c r="AB11">
        <v>2009</v>
      </c>
      <c r="AC11">
        <v>7.2321779270202863E-3</v>
      </c>
    </row>
    <row r="12" spans="1:29" x14ac:dyDescent="0.3">
      <c r="A12" t="s">
        <v>18</v>
      </c>
      <c r="B12">
        <v>2009</v>
      </c>
      <c r="C12">
        <v>1.998800719568259E-4</v>
      </c>
      <c r="D12">
        <v>12.924512258752458</v>
      </c>
      <c r="J12">
        <f t="shared" si="0"/>
        <v>1.998800719568259E-4</v>
      </c>
      <c r="K12">
        <f t="shared" si="1"/>
        <v>12.924512258752458</v>
      </c>
      <c r="AA12" t="s">
        <v>17</v>
      </c>
      <c r="AB12">
        <v>2009</v>
      </c>
      <c r="AC12">
        <v>5.2132979186694595E-3</v>
      </c>
    </row>
    <row r="13" spans="1:29" x14ac:dyDescent="0.3">
      <c r="A13" t="s">
        <v>19</v>
      </c>
      <c r="B13">
        <v>2009</v>
      </c>
      <c r="C13">
        <v>2.8635292642856448E-2</v>
      </c>
      <c r="D13">
        <v>13.940170338958785</v>
      </c>
      <c r="J13">
        <f t="shared" si="0"/>
        <v>2.8635292642856448E-2</v>
      </c>
      <c r="K13">
        <f t="shared" si="1"/>
        <v>13.940170338958785</v>
      </c>
      <c r="AA13" t="s">
        <v>18</v>
      </c>
      <c r="AB13">
        <v>2009</v>
      </c>
      <c r="AC13">
        <v>1.998800719568259E-4</v>
      </c>
    </row>
    <row r="14" spans="1:29" x14ac:dyDescent="0.3">
      <c r="A14" t="s">
        <v>20</v>
      </c>
      <c r="B14">
        <v>2009</v>
      </c>
      <c r="C14">
        <v>3.7395100021208579E-3</v>
      </c>
      <c r="D14">
        <v>16.64526244750493</v>
      </c>
      <c r="J14">
        <f t="shared" si="0"/>
        <v>3.7395100021208579E-3</v>
      </c>
      <c r="K14">
        <f t="shared" si="1"/>
        <v>16.64526244750493</v>
      </c>
      <c r="AA14" t="s">
        <v>19</v>
      </c>
      <c r="AB14">
        <v>2009</v>
      </c>
      <c r="AC14">
        <v>2.8635292642856448E-2</v>
      </c>
    </row>
    <row r="15" spans="1:29" x14ac:dyDescent="0.3">
      <c r="A15" t="s">
        <v>21</v>
      </c>
      <c r="B15">
        <v>2009</v>
      </c>
      <c r="C15">
        <v>5.199900937480445E-4</v>
      </c>
      <c r="D15">
        <v>13.941823333954559</v>
      </c>
      <c r="J15">
        <f t="shared" si="0"/>
        <v>5.199900937480445E-4</v>
      </c>
      <c r="K15">
        <f t="shared" si="1"/>
        <v>13.941823333954559</v>
      </c>
      <c r="AA15" t="s">
        <v>20</v>
      </c>
      <c r="AB15">
        <v>2009</v>
      </c>
      <c r="AC15">
        <v>3.7395100021208579E-3</v>
      </c>
    </row>
    <row r="16" spans="1:29" x14ac:dyDescent="0.3">
      <c r="A16" t="s">
        <v>22</v>
      </c>
      <c r="B16">
        <v>2009</v>
      </c>
      <c r="C16">
        <v>5.4524936377978147E-3</v>
      </c>
      <c r="D16">
        <v>12.064981319916548</v>
      </c>
      <c r="J16">
        <f t="shared" si="0"/>
        <v>5.4524936377978147E-3</v>
      </c>
      <c r="K16">
        <f t="shared" si="1"/>
        <v>12.064981319916548</v>
      </c>
      <c r="AA16" t="s">
        <v>21</v>
      </c>
      <c r="AB16">
        <v>2009</v>
      </c>
      <c r="AC16">
        <v>5.199900937480445E-4</v>
      </c>
    </row>
    <row r="17" spans="1:29" x14ac:dyDescent="0.3">
      <c r="A17" t="s">
        <v>23</v>
      </c>
      <c r="B17">
        <v>2009</v>
      </c>
      <c r="C17">
        <v>5.0829186502665824E-3</v>
      </c>
      <c r="D17">
        <v>15.369843077080608</v>
      </c>
      <c r="J17">
        <f t="shared" si="0"/>
        <v>5.0829186502665824E-3</v>
      </c>
      <c r="K17">
        <f t="shared" si="1"/>
        <v>15.369843077080608</v>
      </c>
      <c r="AA17" t="s">
        <v>22</v>
      </c>
      <c r="AB17">
        <v>2009</v>
      </c>
      <c r="AC17">
        <v>5.4524936377978147E-3</v>
      </c>
    </row>
    <row r="18" spans="1:29" x14ac:dyDescent="0.3">
      <c r="A18" t="s">
        <v>24</v>
      </c>
      <c r="B18">
        <v>2009</v>
      </c>
      <c r="C18">
        <v>3.6381214915127227E-3</v>
      </c>
      <c r="D18">
        <v>14.39968403649652</v>
      </c>
      <c r="J18">
        <f t="shared" si="0"/>
        <v>3.6381214915127227E-3</v>
      </c>
      <c r="K18">
        <f t="shared" si="1"/>
        <v>14.39968403649652</v>
      </c>
      <c r="AA18" t="s">
        <v>23</v>
      </c>
      <c r="AB18">
        <v>2009</v>
      </c>
      <c r="AC18">
        <v>5.0829186502665824E-3</v>
      </c>
    </row>
    <row r="19" spans="1:29" x14ac:dyDescent="0.3">
      <c r="A19" t="s">
        <v>25</v>
      </c>
      <c r="B19">
        <v>2009</v>
      </c>
      <c r="C19">
        <v>2.5041344928446291E-3</v>
      </c>
      <c r="D19">
        <v>13.729171318675846</v>
      </c>
      <c r="J19">
        <f t="shared" si="0"/>
        <v>2.5041344928446291E-3</v>
      </c>
      <c r="K19">
        <f t="shared" si="1"/>
        <v>13.729171318675846</v>
      </c>
      <c r="AA19" t="s">
        <v>24</v>
      </c>
      <c r="AB19">
        <v>2009</v>
      </c>
      <c r="AC19">
        <v>3.6381214915127227E-3</v>
      </c>
    </row>
    <row r="20" spans="1:29" x14ac:dyDescent="0.3">
      <c r="A20" t="s">
        <v>26</v>
      </c>
      <c r="B20">
        <v>2009</v>
      </c>
      <c r="C20">
        <v>8.3055009958866149E-3</v>
      </c>
      <c r="D20">
        <v>13.492516284165836</v>
      </c>
      <c r="J20">
        <f t="shared" si="0"/>
        <v>8.3055009958866149E-3</v>
      </c>
      <c r="K20">
        <f t="shared" si="1"/>
        <v>13.492516284165836</v>
      </c>
      <c r="AA20" t="s">
        <v>25</v>
      </c>
      <c r="AB20">
        <v>2009</v>
      </c>
      <c r="AC20">
        <v>2.5041344928446291E-3</v>
      </c>
    </row>
    <row r="21" spans="1:29" x14ac:dyDescent="0.3">
      <c r="A21" t="s">
        <v>27</v>
      </c>
      <c r="B21">
        <v>2009</v>
      </c>
      <c r="C21">
        <v>1.6818360932793471E-3</v>
      </c>
      <c r="D21">
        <v>15.176615051633085</v>
      </c>
      <c r="J21">
        <f t="shared" si="0"/>
        <v>1.6818360932793471E-3</v>
      </c>
      <c r="K21">
        <f t="shared" si="1"/>
        <v>15.176615051633085</v>
      </c>
      <c r="AA21" t="s">
        <v>26</v>
      </c>
      <c r="AB21">
        <v>2009</v>
      </c>
      <c r="AC21">
        <v>8.3055009958866149E-3</v>
      </c>
    </row>
    <row r="22" spans="1:29" x14ac:dyDescent="0.3">
      <c r="A22" t="s">
        <v>28</v>
      </c>
      <c r="B22">
        <v>2009</v>
      </c>
      <c r="C22">
        <v>4.5479892917161101E-3</v>
      </c>
      <c r="D22">
        <v>14.968261854799604</v>
      </c>
      <c r="J22">
        <f t="shared" si="0"/>
        <v>4.5479892917161101E-3</v>
      </c>
      <c r="K22">
        <f t="shared" si="1"/>
        <v>14.968261854799604</v>
      </c>
      <c r="AA22" t="s">
        <v>27</v>
      </c>
      <c r="AB22">
        <v>2009</v>
      </c>
      <c r="AC22">
        <v>1.6818360932793471E-3</v>
      </c>
    </row>
    <row r="23" spans="1:29" x14ac:dyDescent="0.3">
      <c r="A23" t="s">
        <v>29</v>
      </c>
      <c r="B23">
        <v>2009</v>
      </c>
      <c r="C23">
        <v>1.1768330252618607E-2</v>
      </c>
      <c r="D23">
        <v>10.793228949176747</v>
      </c>
      <c r="J23">
        <f t="shared" si="0"/>
        <v>1.1768330252618607E-2</v>
      </c>
      <c r="K23">
        <f t="shared" si="1"/>
        <v>10.793228949176747</v>
      </c>
      <c r="AA23" t="s">
        <v>28</v>
      </c>
      <c r="AB23">
        <v>2009</v>
      </c>
      <c r="AC23">
        <v>4.5479892917161101E-3</v>
      </c>
    </row>
    <row r="24" spans="1:29" x14ac:dyDescent="0.3">
      <c r="A24" t="s">
        <v>30</v>
      </c>
      <c r="B24">
        <v>2009</v>
      </c>
      <c r="C24">
        <v>8.9478988650804076E-3</v>
      </c>
      <c r="D24">
        <v>14.417463078339292</v>
      </c>
      <c r="J24">
        <f t="shared" si="0"/>
        <v>8.9478988650804076E-3</v>
      </c>
      <c r="K24">
        <f t="shared" si="1"/>
        <v>14.417463078339292</v>
      </c>
      <c r="AA24" t="s">
        <v>29</v>
      </c>
      <c r="AB24">
        <v>2009</v>
      </c>
      <c r="AC24">
        <v>1.1768330252618607E-2</v>
      </c>
    </row>
    <row r="25" spans="1:29" x14ac:dyDescent="0.3">
      <c r="A25" t="s">
        <v>31</v>
      </c>
      <c r="B25">
        <v>2009</v>
      </c>
      <c r="C25">
        <v>4.7074822723218619E-3</v>
      </c>
      <c r="D25">
        <v>14.856149394856882</v>
      </c>
      <c r="J25">
        <f t="shared" si="0"/>
        <v>4.7074822723218619E-3</v>
      </c>
      <c r="K25">
        <f t="shared" si="1"/>
        <v>14.856149394856882</v>
      </c>
      <c r="AA25" t="s">
        <v>30</v>
      </c>
      <c r="AB25">
        <v>2009</v>
      </c>
      <c r="AC25">
        <v>8.9478988650804076E-3</v>
      </c>
    </row>
    <row r="26" spans="1:29" x14ac:dyDescent="0.3">
      <c r="A26" t="s">
        <v>32</v>
      </c>
      <c r="B26">
        <v>2009</v>
      </c>
      <c r="C26">
        <v>1.144019770491234E-3</v>
      </c>
      <c r="D26">
        <v>16.079312098236493</v>
      </c>
      <c r="J26">
        <f t="shared" si="0"/>
        <v>1.144019770491234E-3</v>
      </c>
      <c r="K26">
        <f t="shared" si="1"/>
        <v>16.079312098236493</v>
      </c>
      <c r="AA26" t="s">
        <v>31</v>
      </c>
      <c r="AB26">
        <v>2009</v>
      </c>
      <c r="AC26">
        <v>4.7074822723218619E-3</v>
      </c>
    </row>
    <row r="27" spans="1:29" x14ac:dyDescent="0.3">
      <c r="A27" t="s">
        <v>33</v>
      </c>
      <c r="B27">
        <v>2009</v>
      </c>
      <c r="C27">
        <v>1.9010213185004603E-2</v>
      </c>
      <c r="D27">
        <v>16.023860463143006</v>
      </c>
      <c r="J27">
        <f t="shared" si="0"/>
        <v>1.9010213185004603E-2</v>
      </c>
      <c r="K27">
        <f t="shared" si="1"/>
        <v>16.023860463143006</v>
      </c>
      <c r="AA27" t="s">
        <v>32</v>
      </c>
      <c r="AB27">
        <v>2009</v>
      </c>
      <c r="AC27">
        <v>1.144019770491234E-3</v>
      </c>
    </row>
    <row r="28" spans="1:29" x14ac:dyDescent="0.3">
      <c r="A28" t="s">
        <v>34</v>
      </c>
      <c r="B28">
        <v>2009</v>
      </c>
      <c r="C28">
        <v>7.8985991313990141E-3</v>
      </c>
      <c r="D28">
        <v>16.097811919950306</v>
      </c>
      <c r="J28">
        <f t="shared" si="0"/>
        <v>7.8985991313990141E-3</v>
      </c>
      <c r="K28">
        <f t="shared" si="1"/>
        <v>16.097811919950306</v>
      </c>
      <c r="AA28" t="s">
        <v>33</v>
      </c>
      <c r="AB28">
        <v>2009</v>
      </c>
      <c r="AC28">
        <v>1.9010213185004603E-2</v>
      </c>
    </row>
    <row r="29" spans="1:29" x14ac:dyDescent="0.3">
      <c r="A29" t="s">
        <v>35</v>
      </c>
      <c r="B29">
        <v>2009</v>
      </c>
      <c r="C29">
        <v>1.2523985513807781E-3</v>
      </c>
      <c r="D29">
        <v>14.874157776514181</v>
      </c>
      <c r="J29">
        <f t="shared" si="0"/>
        <v>1.2523985513807781E-3</v>
      </c>
      <c r="K29">
        <f t="shared" si="1"/>
        <v>14.874157776514181</v>
      </c>
      <c r="AA29" t="s">
        <v>34</v>
      </c>
      <c r="AB29">
        <v>2009</v>
      </c>
      <c r="AC29">
        <v>7.8985991313990141E-3</v>
      </c>
    </row>
    <row r="30" spans="1:29" x14ac:dyDescent="0.3">
      <c r="A30" t="s">
        <v>36</v>
      </c>
      <c r="B30">
        <v>2009</v>
      </c>
      <c r="C30">
        <v>1.9674630964164136E-2</v>
      </c>
      <c r="D30">
        <v>15.614530605287797</v>
      </c>
      <c r="J30">
        <f t="shared" si="0"/>
        <v>1.9674630964164136E-2</v>
      </c>
      <c r="K30">
        <f t="shared" si="1"/>
        <v>15.614530605287797</v>
      </c>
      <c r="AA30" t="s">
        <v>35</v>
      </c>
      <c r="AB30">
        <v>2009</v>
      </c>
      <c r="AC30">
        <v>1.2523985513807781E-3</v>
      </c>
    </row>
    <row r="31" spans="1:29" x14ac:dyDescent="0.3">
      <c r="A31" t="s">
        <v>37</v>
      </c>
      <c r="B31">
        <v>2009</v>
      </c>
      <c r="C31">
        <v>2.9962202255283781E-3</v>
      </c>
      <c r="D31">
        <v>14.749066583176603</v>
      </c>
      <c r="J31">
        <f t="shared" si="0"/>
        <v>2.9962202255283781E-3</v>
      </c>
      <c r="K31">
        <f t="shared" si="1"/>
        <v>14.749066583176603</v>
      </c>
      <c r="AA31" t="s">
        <v>36</v>
      </c>
      <c r="AB31">
        <v>2009</v>
      </c>
      <c r="AC31">
        <v>1.9674630964164136E-2</v>
      </c>
    </row>
    <row r="32" spans="1:29" x14ac:dyDescent="0.3">
      <c r="A32" t="s">
        <v>38</v>
      </c>
      <c r="B32">
        <v>2009</v>
      </c>
      <c r="C32">
        <v>2.1242852178308532E-3</v>
      </c>
      <c r="D32">
        <v>13.581464034678403</v>
      </c>
      <c r="J32">
        <f t="shared" si="0"/>
        <v>2.1242852178308532E-3</v>
      </c>
      <c r="K32">
        <f t="shared" si="1"/>
        <v>13.581464034678403</v>
      </c>
      <c r="AA32" t="s">
        <v>37</v>
      </c>
      <c r="AB32">
        <v>2009</v>
      </c>
      <c r="AC32">
        <v>2.9962202255283781E-3</v>
      </c>
    </row>
    <row r="33" spans="1:29" x14ac:dyDescent="0.3">
      <c r="A33" t="s">
        <v>39</v>
      </c>
      <c r="B33">
        <v>2009</v>
      </c>
      <c r="C33">
        <v>1.2822331856380154E-2</v>
      </c>
      <c r="D33">
        <v>13.108990355822229</v>
      </c>
      <c r="J33">
        <f t="shared" si="0"/>
        <v>1.2822331856380154E-2</v>
      </c>
      <c r="K33">
        <f t="shared" si="1"/>
        <v>13.108990355822229</v>
      </c>
      <c r="AA33" t="s">
        <v>38</v>
      </c>
      <c r="AB33">
        <v>2009</v>
      </c>
      <c r="AC33">
        <v>2.1242852178308532E-3</v>
      </c>
    </row>
    <row r="34" spans="1:29" x14ac:dyDescent="0.3">
      <c r="A34" t="s">
        <v>40</v>
      </c>
      <c r="B34">
        <v>2009</v>
      </c>
      <c r="C34">
        <v>3.5010826217614421E-2</v>
      </c>
      <c r="D34">
        <v>14.333586832119291</v>
      </c>
      <c r="J34">
        <f t="shared" si="0"/>
        <v>3.5010826217614421E-2</v>
      </c>
      <c r="K34">
        <f t="shared" si="1"/>
        <v>14.333586832119291</v>
      </c>
      <c r="AA34" t="s">
        <v>39</v>
      </c>
      <c r="AB34">
        <v>2009</v>
      </c>
      <c r="AC34">
        <v>1.2822331856380154E-2</v>
      </c>
    </row>
    <row r="35" spans="1:29" x14ac:dyDescent="0.3">
      <c r="A35" t="s">
        <v>41</v>
      </c>
      <c r="B35">
        <v>2009</v>
      </c>
      <c r="C35">
        <v>6.1235823404030103E-3</v>
      </c>
      <c r="D35">
        <v>16.043058046830662</v>
      </c>
      <c r="J35">
        <f t="shared" si="0"/>
        <v>6.1235823404030103E-3</v>
      </c>
      <c r="K35">
        <f t="shared" si="1"/>
        <v>16.043058046830662</v>
      </c>
      <c r="AA35" t="s">
        <v>40</v>
      </c>
      <c r="AB35">
        <v>2009</v>
      </c>
      <c r="AC35">
        <v>3.5010826217614421E-2</v>
      </c>
    </row>
    <row r="36" spans="1:29" x14ac:dyDescent="0.3">
      <c r="A36" t="s">
        <v>42</v>
      </c>
      <c r="B36">
        <v>2009</v>
      </c>
      <c r="C36">
        <v>3.7535724250393865E-2</v>
      </c>
      <c r="D36">
        <v>15.271832954603907</v>
      </c>
      <c r="J36">
        <f t="shared" si="0"/>
        <v>3.7535724250393865E-2</v>
      </c>
      <c r="K36">
        <f t="shared" si="1"/>
        <v>15.271832954603907</v>
      </c>
      <c r="AA36" t="s">
        <v>41</v>
      </c>
      <c r="AB36">
        <v>2009</v>
      </c>
      <c r="AC36">
        <v>6.1235823404030103E-3</v>
      </c>
    </row>
    <row r="37" spans="1:29" x14ac:dyDescent="0.3">
      <c r="A37" t="s">
        <v>43</v>
      </c>
      <c r="B37">
        <v>2009</v>
      </c>
      <c r="C37">
        <v>2.6088764569496153E-3</v>
      </c>
      <c r="D37">
        <v>12.44862266724941</v>
      </c>
      <c r="J37">
        <f t="shared" si="0"/>
        <v>2.6088764569496153E-3</v>
      </c>
      <c r="K37">
        <f t="shared" si="1"/>
        <v>12.44862266724941</v>
      </c>
      <c r="AA37" t="s">
        <v>42</v>
      </c>
      <c r="AB37">
        <v>2009</v>
      </c>
      <c r="AC37">
        <v>3.7535724250393865E-2</v>
      </c>
    </row>
    <row r="38" spans="1:29" x14ac:dyDescent="0.3">
      <c r="A38" t="s">
        <v>44</v>
      </c>
      <c r="B38">
        <v>2009</v>
      </c>
      <c r="C38">
        <v>1.578474836967491E-3</v>
      </c>
      <c r="D38">
        <v>13.484802675484888</v>
      </c>
      <c r="J38">
        <f t="shared" si="0"/>
        <v>1.578474836967491E-3</v>
      </c>
      <c r="K38">
        <f t="shared" si="1"/>
        <v>13.484802675484888</v>
      </c>
      <c r="AA38" t="s">
        <v>43</v>
      </c>
      <c r="AB38">
        <v>2009</v>
      </c>
      <c r="AC38">
        <v>2.6088764569496153E-3</v>
      </c>
    </row>
    <row r="39" spans="1:29" x14ac:dyDescent="0.3">
      <c r="A39" t="s">
        <v>45</v>
      </c>
      <c r="B39">
        <v>2009</v>
      </c>
      <c r="C39">
        <v>6.4429747401843307E-4</v>
      </c>
      <c r="D39">
        <v>14.522074332169042</v>
      </c>
      <c r="J39">
        <f t="shared" si="0"/>
        <v>6.4429747401843307E-4</v>
      </c>
      <c r="K39">
        <f t="shared" si="1"/>
        <v>14.522074332169042</v>
      </c>
      <c r="AA39" t="s">
        <v>44</v>
      </c>
      <c r="AB39">
        <v>2009</v>
      </c>
      <c r="AC39">
        <v>1.578474836967491E-3</v>
      </c>
    </row>
    <row r="40" spans="1:29" x14ac:dyDescent="0.3">
      <c r="A40" t="s">
        <v>46</v>
      </c>
      <c r="B40">
        <v>2009</v>
      </c>
      <c r="C40">
        <v>4.0568591376739117E-3</v>
      </c>
      <c r="D40">
        <v>14.19242391658301</v>
      </c>
      <c r="J40">
        <f t="shared" si="0"/>
        <v>4.0568591376739117E-3</v>
      </c>
      <c r="K40">
        <f t="shared" si="1"/>
        <v>14.19242391658301</v>
      </c>
      <c r="AA40" t="s">
        <v>45</v>
      </c>
      <c r="AB40">
        <v>2009</v>
      </c>
      <c r="AC40">
        <v>6.4429747401843307E-4</v>
      </c>
    </row>
    <row r="41" spans="1:29" x14ac:dyDescent="0.3">
      <c r="A41" t="s">
        <v>47</v>
      </c>
      <c r="B41">
        <v>2009</v>
      </c>
      <c r="C41">
        <v>4.4026321228684247E-3</v>
      </c>
      <c r="D41">
        <v>13.514728386008782</v>
      </c>
      <c r="J41">
        <f t="shared" si="0"/>
        <v>4.4026321228684247E-3</v>
      </c>
      <c r="K41">
        <f t="shared" si="1"/>
        <v>13.514728386008782</v>
      </c>
      <c r="AA41" t="s">
        <v>46</v>
      </c>
      <c r="AB41">
        <v>2009</v>
      </c>
      <c r="AC41">
        <v>4.0568591376739117E-3</v>
      </c>
    </row>
    <row r="42" spans="1:29" x14ac:dyDescent="0.3">
      <c r="A42" t="s">
        <v>48</v>
      </c>
      <c r="B42">
        <v>2009</v>
      </c>
      <c r="C42">
        <v>1.6869508887443256E-2</v>
      </c>
      <c r="D42">
        <v>14.416900389934099</v>
      </c>
      <c r="J42">
        <f t="shared" si="0"/>
        <v>1.6869508887443256E-2</v>
      </c>
      <c r="K42">
        <f t="shared" si="1"/>
        <v>14.416900389934099</v>
      </c>
      <c r="AA42" t="s">
        <v>47</v>
      </c>
      <c r="AB42">
        <v>2009</v>
      </c>
      <c r="AC42">
        <v>4.4026321228684247E-3</v>
      </c>
    </row>
    <row r="43" spans="1:29" x14ac:dyDescent="0.3">
      <c r="A43" t="s">
        <v>49</v>
      </c>
      <c r="B43">
        <v>2009</v>
      </c>
      <c r="C43">
        <v>9.3798086347410478E-3</v>
      </c>
      <c r="D43">
        <v>15.780060473581276</v>
      </c>
      <c r="J43">
        <f t="shared" si="0"/>
        <v>9.3798086347410478E-3</v>
      </c>
      <c r="K43">
        <f t="shared" si="1"/>
        <v>15.780060473581276</v>
      </c>
      <c r="AA43" t="s">
        <v>48</v>
      </c>
      <c r="AB43">
        <v>2009</v>
      </c>
      <c r="AC43">
        <v>1.6869508887443256E-2</v>
      </c>
    </row>
    <row r="44" spans="1:29" x14ac:dyDescent="0.3">
      <c r="A44" t="s">
        <v>50</v>
      </c>
      <c r="B44">
        <v>2009</v>
      </c>
      <c r="C44">
        <v>4.846197139756734E-3</v>
      </c>
      <c r="D44">
        <v>14.496471790540296</v>
      </c>
      <c r="J44">
        <f t="shared" si="0"/>
        <v>4.846197139756734E-3</v>
      </c>
      <c r="K44">
        <f t="shared" si="1"/>
        <v>14.496471790540296</v>
      </c>
      <c r="AA44" t="s">
        <v>49</v>
      </c>
      <c r="AB44">
        <v>2009</v>
      </c>
      <c r="AC44">
        <v>9.3798086347410478E-3</v>
      </c>
    </row>
    <row r="45" spans="1:29" x14ac:dyDescent="0.3">
      <c r="A45" t="s">
        <v>51</v>
      </c>
      <c r="B45">
        <v>2009</v>
      </c>
      <c r="C45">
        <v>8.3630802210097124E-3</v>
      </c>
      <c r="D45">
        <v>14.059494629150326</v>
      </c>
      <c r="J45">
        <f t="shared" si="0"/>
        <v>8.3630802210097124E-3</v>
      </c>
      <c r="K45">
        <f t="shared" si="1"/>
        <v>14.059494629150326</v>
      </c>
      <c r="AA45" t="s">
        <v>50</v>
      </c>
      <c r="AB45">
        <v>2009</v>
      </c>
      <c r="AC45">
        <v>4.846197139756734E-3</v>
      </c>
    </row>
    <row r="46" spans="1:29" x14ac:dyDescent="0.3">
      <c r="A46" t="s">
        <v>52</v>
      </c>
      <c r="B46">
        <v>2009</v>
      </c>
      <c r="C46">
        <v>2.7347896609608138E-2</v>
      </c>
      <c r="D46">
        <v>12.774968101001971</v>
      </c>
      <c r="J46">
        <f t="shared" si="0"/>
        <v>2.7347896609608138E-2</v>
      </c>
      <c r="K46">
        <f t="shared" si="1"/>
        <v>12.774968101001971</v>
      </c>
      <c r="AA46" t="s">
        <v>51</v>
      </c>
      <c r="AB46">
        <v>2009</v>
      </c>
      <c r="AC46">
        <v>8.3630802210097124E-3</v>
      </c>
    </row>
    <row r="47" spans="1:29" x14ac:dyDescent="0.3">
      <c r="A47" t="s">
        <v>53</v>
      </c>
      <c r="B47">
        <v>2009</v>
      </c>
      <c r="C47">
        <v>3.9024448817183968E-3</v>
      </c>
      <c r="D47">
        <v>14.102565934082923</v>
      </c>
      <c r="J47">
        <f t="shared" si="0"/>
        <v>3.9024448817183968E-3</v>
      </c>
      <c r="K47">
        <f t="shared" si="1"/>
        <v>14.102565934082923</v>
      </c>
      <c r="AA47" t="s">
        <v>52</v>
      </c>
      <c r="AB47">
        <v>2009</v>
      </c>
      <c r="AC47">
        <v>2.7347896609608138E-2</v>
      </c>
    </row>
    <row r="48" spans="1:29" x14ac:dyDescent="0.3">
      <c r="A48" t="s">
        <v>54</v>
      </c>
      <c r="B48">
        <v>2009</v>
      </c>
      <c r="C48">
        <v>1.6067990307618311E-3</v>
      </c>
      <c r="D48">
        <v>14.497203892959057</v>
      </c>
      <c r="J48">
        <f t="shared" si="0"/>
        <v>1.6067990307618311E-3</v>
      </c>
      <c r="K48">
        <f t="shared" si="1"/>
        <v>14.497203892959057</v>
      </c>
      <c r="AA48" t="s">
        <v>53</v>
      </c>
      <c r="AB48">
        <v>2009</v>
      </c>
      <c r="AC48">
        <v>3.9024448817183968E-3</v>
      </c>
    </row>
    <row r="49" spans="1:29" x14ac:dyDescent="0.3">
      <c r="A49" t="s">
        <v>55</v>
      </c>
      <c r="B49">
        <v>2009</v>
      </c>
      <c r="C49">
        <v>8.5426456678727464E-3</v>
      </c>
      <c r="D49">
        <v>13.745622285725689</v>
      </c>
      <c r="J49">
        <f t="shared" si="0"/>
        <v>8.5426456678727464E-3</v>
      </c>
      <c r="K49">
        <f t="shared" si="1"/>
        <v>13.745622285725689</v>
      </c>
      <c r="AA49" t="s">
        <v>54</v>
      </c>
      <c r="AB49">
        <v>2009</v>
      </c>
      <c r="AC49">
        <v>1.6067990307618311E-3</v>
      </c>
    </row>
    <row r="50" spans="1:29" x14ac:dyDescent="0.3">
      <c r="A50" t="s">
        <v>56</v>
      </c>
      <c r="B50">
        <v>2009</v>
      </c>
      <c r="C50">
        <v>3.0471269422456758E-3</v>
      </c>
      <c r="D50">
        <v>13.209934597652472</v>
      </c>
      <c r="J50">
        <f t="shared" si="0"/>
        <v>3.0471269422456758E-3</v>
      </c>
      <c r="K50">
        <f t="shared" si="1"/>
        <v>13.209934597652472</v>
      </c>
      <c r="AA50" t="s">
        <v>55</v>
      </c>
      <c r="AB50">
        <v>2009</v>
      </c>
      <c r="AC50">
        <v>8.5426456678727464E-3</v>
      </c>
    </row>
    <row r="51" spans="1:29" x14ac:dyDescent="0.3">
      <c r="A51" t="s">
        <v>57</v>
      </c>
      <c r="B51">
        <v>2009</v>
      </c>
      <c r="C51">
        <v>1.3958203190250309E-3</v>
      </c>
      <c r="D51">
        <v>12.987731951393444</v>
      </c>
      <c r="J51">
        <f t="shared" si="0"/>
        <v>1.3958203190250309E-3</v>
      </c>
      <c r="K51">
        <f t="shared" si="1"/>
        <v>12.987731951393444</v>
      </c>
      <c r="AA51" t="s">
        <v>56</v>
      </c>
      <c r="AB51">
        <v>2009</v>
      </c>
      <c r="AC51">
        <v>3.0471269422456758E-3</v>
      </c>
    </row>
    <row r="52" spans="1:29" x14ac:dyDescent="0.3">
      <c r="A52" t="s">
        <v>58</v>
      </c>
      <c r="B52">
        <v>2009</v>
      </c>
      <c r="C52">
        <v>6.5098000183012872E-4</v>
      </c>
      <c r="D52">
        <v>14.03529968949791</v>
      </c>
      <c r="J52">
        <f t="shared" si="0"/>
        <v>6.5098000183012872E-4</v>
      </c>
      <c r="K52">
        <f t="shared" si="1"/>
        <v>14.03529968949791</v>
      </c>
      <c r="AA52" t="s">
        <v>57</v>
      </c>
      <c r="AB52">
        <v>2009</v>
      </c>
      <c r="AC52">
        <v>1.3958203190250309E-3</v>
      </c>
    </row>
    <row r="53" spans="1:29" x14ac:dyDescent="0.3">
      <c r="A53" t="s">
        <v>59</v>
      </c>
      <c r="B53">
        <v>2009</v>
      </c>
      <c r="C53">
        <v>3.1095743230490233E-2</v>
      </c>
      <c r="D53">
        <v>16.017608905829082</v>
      </c>
      <c r="J53">
        <f t="shared" si="0"/>
        <v>3.1095743230490233E-2</v>
      </c>
      <c r="K53">
        <f t="shared" si="1"/>
        <v>16.017608905829082</v>
      </c>
      <c r="AA53" t="s">
        <v>58</v>
      </c>
      <c r="AB53">
        <v>2009</v>
      </c>
      <c r="AC53">
        <v>6.5098000183012872E-4</v>
      </c>
    </row>
    <row r="54" spans="1:29" x14ac:dyDescent="0.3">
      <c r="A54" t="s">
        <v>60</v>
      </c>
      <c r="B54">
        <v>2009</v>
      </c>
      <c r="C54">
        <v>5.2330863717627745E-4</v>
      </c>
      <c r="D54">
        <v>14.76837079934741</v>
      </c>
      <c r="J54">
        <f t="shared" si="0"/>
        <v>5.2330863717627745E-4</v>
      </c>
      <c r="K54">
        <f t="shared" si="1"/>
        <v>14.76837079934741</v>
      </c>
      <c r="AA54" t="s">
        <v>59</v>
      </c>
      <c r="AB54">
        <v>2009</v>
      </c>
      <c r="AC54">
        <v>3.1095743230490233E-2</v>
      </c>
    </row>
    <row r="55" spans="1:29" x14ac:dyDescent="0.3">
      <c r="A55" t="s">
        <v>61</v>
      </c>
      <c r="B55">
        <v>2009</v>
      </c>
      <c r="C55">
        <v>6.0484926450067302E-3</v>
      </c>
      <c r="D55">
        <v>16.401433726904546</v>
      </c>
      <c r="J55">
        <f t="shared" si="0"/>
        <v>6.0484926450067302E-3</v>
      </c>
      <c r="K55">
        <f t="shared" si="1"/>
        <v>16.401433726904546</v>
      </c>
      <c r="AA55" t="s">
        <v>60</v>
      </c>
      <c r="AB55">
        <v>2009</v>
      </c>
      <c r="AC55">
        <v>5.2330863717627745E-4</v>
      </c>
    </row>
    <row r="56" spans="1:29" x14ac:dyDescent="0.3">
      <c r="A56" t="s">
        <v>62</v>
      </c>
      <c r="B56">
        <v>2009</v>
      </c>
      <c r="C56">
        <v>3.1511995289785967E-4</v>
      </c>
      <c r="D56">
        <v>12.393290529061629</v>
      </c>
      <c r="J56">
        <f t="shared" si="0"/>
        <v>3.1511995289785967E-4</v>
      </c>
      <c r="K56">
        <f t="shared" si="1"/>
        <v>12.393290529061629</v>
      </c>
      <c r="AA56" t="s">
        <v>61</v>
      </c>
      <c r="AB56">
        <v>2009</v>
      </c>
      <c r="AC56">
        <v>6.0484926450067302E-3</v>
      </c>
    </row>
    <row r="57" spans="1:29" x14ac:dyDescent="0.3">
      <c r="A57" t="s">
        <v>63</v>
      </c>
      <c r="B57">
        <v>2009</v>
      </c>
      <c r="C57">
        <v>2.0881017805899783E-3</v>
      </c>
      <c r="D57">
        <v>15.301280728774248</v>
      </c>
      <c r="J57">
        <f t="shared" si="0"/>
        <v>2.0881017805899783E-3</v>
      </c>
      <c r="K57">
        <f t="shared" si="1"/>
        <v>15.301280728774248</v>
      </c>
      <c r="AA57" t="s">
        <v>62</v>
      </c>
      <c r="AB57">
        <v>2009</v>
      </c>
      <c r="AC57">
        <v>3.1511995289785967E-4</v>
      </c>
    </row>
    <row r="58" spans="1:29" x14ac:dyDescent="0.3">
      <c r="A58" t="s">
        <v>64</v>
      </c>
      <c r="B58">
        <v>2009</v>
      </c>
      <c r="C58">
        <v>6.1357125390632886E-3</v>
      </c>
      <c r="D58">
        <v>14.106128067800963</v>
      </c>
      <c r="J58">
        <f t="shared" si="0"/>
        <v>6.1357125390632886E-3</v>
      </c>
      <c r="K58">
        <f t="shared" si="1"/>
        <v>14.106128067800963</v>
      </c>
      <c r="AA58" t="s">
        <v>63</v>
      </c>
      <c r="AB58">
        <v>2009</v>
      </c>
      <c r="AC58">
        <v>2.0881017805899783E-3</v>
      </c>
    </row>
    <row r="59" spans="1:29" x14ac:dyDescent="0.3">
      <c r="A59" t="s">
        <v>65</v>
      </c>
      <c r="B59">
        <v>2009</v>
      </c>
      <c r="C59">
        <v>3.3364654767708828E-2</v>
      </c>
      <c r="D59">
        <v>16.079535575535871</v>
      </c>
      <c r="J59">
        <f t="shared" si="0"/>
        <v>3.3364654767708828E-2</v>
      </c>
      <c r="K59">
        <f t="shared" si="1"/>
        <v>16.079535575535871</v>
      </c>
      <c r="AA59" t="s">
        <v>64</v>
      </c>
      <c r="AB59">
        <v>2009</v>
      </c>
      <c r="AC59">
        <v>6.1357125390632886E-3</v>
      </c>
    </row>
    <row r="60" spans="1:29" x14ac:dyDescent="0.3">
      <c r="A60" t="s">
        <v>66</v>
      </c>
      <c r="B60">
        <v>2009</v>
      </c>
      <c r="C60">
        <v>5.1825708909656481E-4</v>
      </c>
      <c r="D60">
        <v>13.702766181915363</v>
      </c>
      <c r="J60">
        <f t="shared" si="0"/>
        <v>5.1825708909656481E-4</v>
      </c>
      <c r="K60">
        <f t="shared" si="1"/>
        <v>13.702766181915363</v>
      </c>
      <c r="AA60" t="s">
        <v>65</v>
      </c>
      <c r="AB60">
        <v>2009</v>
      </c>
      <c r="AC60">
        <v>3.3364654767708828E-2</v>
      </c>
    </row>
    <row r="61" spans="1:29" x14ac:dyDescent="0.3">
      <c r="A61" t="s">
        <v>67</v>
      </c>
      <c r="B61">
        <v>2009</v>
      </c>
      <c r="C61">
        <v>3.8418684325550725E-3</v>
      </c>
      <c r="D61">
        <v>14.498094644970328</v>
      </c>
      <c r="J61">
        <f t="shared" si="0"/>
        <v>3.8418684325550725E-3</v>
      </c>
      <c r="K61">
        <f t="shared" si="1"/>
        <v>14.498094644970328</v>
      </c>
      <c r="AA61" t="s">
        <v>66</v>
      </c>
      <c r="AB61">
        <v>2009</v>
      </c>
      <c r="AC61">
        <v>5.1825708909656481E-4</v>
      </c>
    </row>
    <row r="62" spans="1:29" x14ac:dyDescent="0.3">
      <c r="A62" t="s">
        <v>68</v>
      </c>
      <c r="B62">
        <v>2009</v>
      </c>
      <c r="C62">
        <v>6.9772753225990636E-3</v>
      </c>
      <c r="D62">
        <v>11.38019375251627</v>
      </c>
      <c r="J62">
        <f t="shared" si="0"/>
        <v>6.9772753225990636E-3</v>
      </c>
      <c r="K62">
        <f t="shared" si="1"/>
        <v>11.38019375251627</v>
      </c>
      <c r="AA62" t="s">
        <v>67</v>
      </c>
      <c r="AB62">
        <v>2009</v>
      </c>
      <c r="AC62">
        <v>3.8418684325550725E-3</v>
      </c>
    </row>
    <row r="63" spans="1:29" x14ac:dyDescent="0.3">
      <c r="A63" t="s">
        <v>69</v>
      </c>
      <c r="B63">
        <v>2009</v>
      </c>
      <c r="C63">
        <v>4.9043047534973823E-4</v>
      </c>
      <c r="D63">
        <v>11.309106485525438</v>
      </c>
      <c r="J63">
        <f t="shared" si="0"/>
        <v>4.9043047534973823E-4</v>
      </c>
      <c r="K63">
        <f t="shared" si="1"/>
        <v>11.309106485525438</v>
      </c>
      <c r="AA63" t="s">
        <v>68</v>
      </c>
      <c r="AB63">
        <v>2009</v>
      </c>
      <c r="AC63">
        <v>6.9772753225990636E-3</v>
      </c>
    </row>
    <row r="64" spans="1:29" x14ac:dyDescent="0.3">
      <c r="A64" t="s">
        <v>70</v>
      </c>
      <c r="B64">
        <v>2009</v>
      </c>
      <c r="C64">
        <v>4.3556304315510677E-2</v>
      </c>
      <c r="D64">
        <v>13.346509625849709</v>
      </c>
      <c r="J64">
        <f t="shared" si="0"/>
        <v>4.3556304315510677E-2</v>
      </c>
      <c r="K64">
        <f t="shared" si="1"/>
        <v>13.346509625849709</v>
      </c>
      <c r="AA64" t="s">
        <v>69</v>
      </c>
      <c r="AB64">
        <v>2009</v>
      </c>
      <c r="AC64">
        <v>4.9043047534973823E-4</v>
      </c>
    </row>
    <row r="65" spans="1:29" x14ac:dyDescent="0.3">
      <c r="A65" t="s">
        <v>71</v>
      </c>
      <c r="B65">
        <v>2009</v>
      </c>
      <c r="C65">
        <v>3.7879668686605617E-3</v>
      </c>
      <c r="D65">
        <v>14.070259747360437</v>
      </c>
      <c r="J65">
        <f t="shared" si="0"/>
        <v>3.7879668686605617E-3</v>
      </c>
      <c r="K65">
        <f t="shared" si="1"/>
        <v>14.070259747360437</v>
      </c>
      <c r="AA65" t="s">
        <v>70</v>
      </c>
      <c r="AB65">
        <v>2009</v>
      </c>
      <c r="AC65">
        <v>4.3556304315510677E-2</v>
      </c>
    </row>
    <row r="66" spans="1:29" x14ac:dyDescent="0.3">
      <c r="A66" t="s">
        <v>72</v>
      </c>
      <c r="B66">
        <v>2009</v>
      </c>
      <c r="C66">
        <v>1.7253890757666355E-3</v>
      </c>
      <c r="D66">
        <v>16.801669402128816</v>
      </c>
      <c r="J66">
        <f t="shared" si="0"/>
        <v>1.7253890757666355E-3</v>
      </c>
      <c r="K66">
        <f t="shared" si="1"/>
        <v>16.801669402128816</v>
      </c>
      <c r="AA66" t="s">
        <v>71</v>
      </c>
      <c r="AB66">
        <v>2009</v>
      </c>
      <c r="AC66">
        <v>3.7879668686605617E-3</v>
      </c>
    </row>
    <row r="67" spans="1:29" x14ac:dyDescent="0.3">
      <c r="A67" t="s">
        <v>73</v>
      </c>
      <c r="B67">
        <v>2009</v>
      </c>
      <c r="C67">
        <v>3.5380671771362174E-3</v>
      </c>
      <c r="D67">
        <v>17.265900752880569</v>
      </c>
      <c r="J67">
        <f t="shared" ref="J67:J130" si="2">IF(OR(C67&lt;$H$2,C67&gt;$I$2),"OUT",C67)</f>
        <v>3.5380671771362174E-3</v>
      </c>
      <c r="K67">
        <f t="shared" ref="K67:K130" si="3">IF(OR(D67&lt;$H$6,D67&gt;$I$6),"OUT",D67)</f>
        <v>17.265900752880569</v>
      </c>
      <c r="AA67" t="s">
        <v>72</v>
      </c>
      <c r="AB67">
        <v>2009</v>
      </c>
      <c r="AC67">
        <v>1.7253890757666355E-3</v>
      </c>
    </row>
    <row r="68" spans="1:29" x14ac:dyDescent="0.3">
      <c r="A68" t="s">
        <v>74</v>
      </c>
      <c r="B68">
        <v>2009</v>
      </c>
      <c r="C68">
        <v>6.1420351017666091E-4</v>
      </c>
      <c r="D68">
        <v>14.837090962986984</v>
      </c>
      <c r="J68">
        <f t="shared" si="2"/>
        <v>6.1420351017666091E-4</v>
      </c>
      <c r="K68">
        <f t="shared" si="3"/>
        <v>14.837090962986984</v>
      </c>
      <c r="AA68" t="s">
        <v>73</v>
      </c>
      <c r="AB68">
        <v>2009</v>
      </c>
      <c r="AC68">
        <v>3.5380671771362174E-3</v>
      </c>
    </row>
    <row r="69" spans="1:29" x14ac:dyDescent="0.3">
      <c r="A69" t="s">
        <v>75</v>
      </c>
      <c r="B69">
        <v>2009</v>
      </c>
      <c r="C69">
        <v>3.5098568001328363E-3</v>
      </c>
      <c r="D69">
        <v>12.070544975955775</v>
      </c>
      <c r="J69">
        <f t="shared" si="2"/>
        <v>3.5098568001328363E-3</v>
      </c>
      <c r="K69">
        <f t="shared" si="3"/>
        <v>12.070544975955775</v>
      </c>
      <c r="AA69" t="s">
        <v>74</v>
      </c>
      <c r="AB69">
        <v>2009</v>
      </c>
      <c r="AC69">
        <v>6.1420351017666091E-4</v>
      </c>
    </row>
    <row r="70" spans="1:29" x14ac:dyDescent="0.3">
      <c r="A70" t="s">
        <v>76</v>
      </c>
      <c r="B70">
        <v>2009</v>
      </c>
      <c r="C70">
        <v>2.0381957082697043E-2</v>
      </c>
      <c r="D70">
        <v>14.897552310497723</v>
      </c>
      <c r="J70">
        <f t="shared" si="2"/>
        <v>2.0381957082697043E-2</v>
      </c>
      <c r="K70">
        <f t="shared" si="3"/>
        <v>14.897552310497723</v>
      </c>
      <c r="AA70" t="s">
        <v>75</v>
      </c>
      <c r="AB70">
        <v>2009</v>
      </c>
      <c r="AC70">
        <v>3.5098568001328363E-3</v>
      </c>
    </row>
    <row r="71" spans="1:29" x14ac:dyDescent="0.3">
      <c r="A71" t="s">
        <v>77</v>
      </c>
      <c r="B71">
        <v>2009</v>
      </c>
      <c r="C71">
        <v>1.5758248591340345E-3</v>
      </c>
      <c r="D71">
        <v>14.158238898579265</v>
      </c>
      <c r="J71">
        <f t="shared" si="2"/>
        <v>1.5758248591340345E-3</v>
      </c>
      <c r="K71">
        <f t="shared" si="3"/>
        <v>14.158238898579265</v>
      </c>
      <c r="AA71" t="s">
        <v>76</v>
      </c>
      <c r="AB71">
        <v>2009</v>
      </c>
      <c r="AC71">
        <v>2.0381957082697043E-2</v>
      </c>
    </row>
    <row r="72" spans="1:29" x14ac:dyDescent="0.3">
      <c r="A72" t="s">
        <v>78</v>
      </c>
      <c r="B72">
        <v>2009</v>
      </c>
      <c r="C72">
        <v>4.0929034158783979E-3</v>
      </c>
      <c r="D72">
        <v>14.252345771896591</v>
      </c>
      <c r="J72">
        <f t="shared" si="2"/>
        <v>4.0929034158783979E-3</v>
      </c>
      <c r="K72">
        <f t="shared" si="3"/>
        <v>14.252345771896591</v>
      </c>
      <c r="AA72" t="s">
        <v>77</v>
      </c>
      <c r="AB72">
        <v>2009</v>
      </c>
      <c r="AC72">
        <v>1.5758248591340345E-3</v>
      </c>
    </row>
    <row r="73" spans="1:29" x14ac:dyDescent="0.3">
      <c r="A73" t="s">
        <v>79</v>
      </c>
      <c r="B73">
        <v>2009</v>
      </c>
      <c r="C73">
        <v>2.0315740466415543E-3</v>
      </c>
      <c r="D73">
        <v>13.759024858977412</v>
      </c>
      <c r="J73">
        <f t="shared" si="2"/>
        <v>2.0315740466415543E-3</v>
      </c>
      <c r="K73">
        <f t="shared" si="3"/>
        <v>13.759024858977412</v>
      </c>
      <c r="AA73" t="s">
        <v>78</v>
      </c>
      <c r="AB73">
        <v>2009</v>
      </c>
      <c r="AC73">
        <v>4.0929034158783979E-3</v>
      </c>
    </row>
    <row r="74" spans="1:29" x14ac:dyDescent="0.3">
      <c r="A74" t="s">
        <v>80</v>
      </c>
      <c r="B74">
        <v>2009</v>
      </c>
      <c r="C74">
        <v>3.4930250584433697E-4</v>
      </c>
      <c r="D74">
        <v>16.002914402715774</v>
      </c>
      <c r="J74">
        <f t="shared" si="2"/>
        <v>3.4930250584433697E-4</v>
      </c>
      <c r="K74">
        <f t="shared" si="3"/>
        <v>16.002914402715774</v>
      </c>
      <c r="AA74" t="s">
        <v>79</v>
      </c>
      <c r="AB74">
        <v>2009</v>
      </c>
      <c r="AC74">
        <v>2.0315740466415543E-3</v>
      </c>
    </row>
    <row r="75" spans="1:29" x14ac:dyDescent="0.3">
      <c r="A75" t="s">
        <v>81</v>
      </c>
      <c r="B75">
        <v>2009</v>
      </c>
      <c r="C75">
        <v>4.7114225109433604E-3</v>
      </c>
      <c r="D75">
        <v>12.987741104271681</v>
      </c>
      <c r="J75">
        <f t="shared" si="2"/>
        <v>4.7114225109433604E-3</v>
      </c>
      <c r="K75">
        <f t="shared" si="3"/>
        <v>12.987741104271681</v>
      </c>
      <c r="AA75" t="s">
        <v>80</v>
      </c>
      <c r="AB75">
        <v>2009</v>
      </c>
      <c r="AC75">
        <v>3.4930250584433697E-4</v>
      </c>
    </row>
    <row r="76" spans="1:29" x14ac:dyDescent="0.3">
      <c r="A76" t="s">
        <v>82</v>
      </c>
      <c r="B76">
        <v>2009</v>
      </c>
      <c r="C76">
        <v>5.9166215194868602E-3</v>
      </c>
      <c r="D76">
        <v>14.21771034069547</v>
      </c>
      <c r="J76">
        <f t="shared" si="2"/>
        <v>5.9166215194868602E-3</v>
      </c>
      <c r="K76">
        <f t="shared" si="3"/>
        <v>14.21771034069547</v>
      </c>
      <c r="AA76" t="s">
        <v>81</v>
      </c>
      <c r="AB76">
        <v>2009</v>
      </c>
      <c r="AC76">
        <v>4.7114225109433604E-3</v>
      </c>
    </row>
    <row r="77" spans="1:29" x14ac:dyDescent="0.3">
      <c r="A77" t="s">
        <v>83</v>
      </c>
      <c r="B77">
        <v>2009</v>
      </c>
      <c r="C77">
        <v>4.4182778530460383E-3</v>
      </c>
      <c r="D77">
        <v>15.232993702863354</v>
      </c>
      <c r="J77">
        <f t="shared" si="2"/>
        <v>4.4182778530460383E-3</v>
      </c>
      <c r="K77">
        <f t="shared" si="3"/>
        <v>15.232993702863354</v>
      </c>
      <c r="AA77" t="s">
        <v>82</v>
      </c>
      <c r="AB77">
        <v>2009</v>
      </c>
      <c r="AC77">
        <v>5.9166215194868602E-3</v>
      </c>
    </row>
    <row r="78" spans="1:29" x14ac:dyDescent="0.3">
      <c r="A78" t="s">
        <v>84</v>
      </c>
      <c r="B78">
        <v>2009</v>
      </c>
      <c r="C78">
        <v>6.486592336029961E-4</v>
      </c>
      <c r="D78">
        <v>14.201266714388561</v>
      </c>
      <c r="J78">
        <f t="shared" si="2"/>
        <v>6.486592336029961E-4</v>
      </c>
      <c r="K78">
        <f t="shared" si="3"/>
        <v>14.201266714388561</v>
      </c>
      <c r="AA78" t="s">
        <v>83</v>
      </c>
      <c r="AB78">
        <v>2009</v>
      </c>
      <c r="AC78">
        <v>4.4182778530460383E-3</v>
      </c>
    </row>
    <row r="79" spans="1:29" x14ac:dyDescent="0.3">
      <c r="A79" t="s">
        <v>85</v>
      </c>
      <c r="B79">
        <v>2009</v>
      </c>
      <c r="C79">
        <v>3.1589372117370756E-2</v>
      </c>
      <c r="D79">
        <v>12.082236954455269</v>
      </c>
      <c r="J79">
        <f t="shared" si="2"/>
        <v>3.1589372117370756E-2</v>
      </c>
      <c r="K79">
        <f t="shared" si="3"/>
        <v>12.082236954455269</v>
      </c>
      <c r="AA79" t="s">
        <v>84</v>
      </c>
      <c r="AB79">
        <v>2009</v>
      </c>
      <c r="AC79">
        <v>6.486592336029961E-4</v>
      </c>
    </row>
    <row r="80" spans="1:29" x14ac:dyDescent="0.3">
      <c r="A80" t="s">
        <v>86</v>
      </c>
      <c r="B80">
        <v>2009</v>
      </c>
      <c r="C80">
        <v>8.0143989200809937E-4</v>
      </c>
      <c r="D80">
        <v>15.201879916271805</v>
      </c>
      <c r="J80">
        <f t="shared" si="2"/>
        <v>8.0143989200809937E-4</v>
      </c>
      <c r="K80">
        <f t="shared" si="3"/>
        <v>15.201879916271805</v>
      </c>
      <c r="AA80" t="s">
        <v>85</v>
      </c>
      <c r="AB80">
        <v>2009</v>
      </c>
      <c r="AC80">
        <v>3.1589372117370756E-2</v>
      </c>
    </row>
    <row r="81" spans="1:29" x14ac:dyDescent="0.3">
      <c r="A81" t="s">
        <v>87</v>
      </c>
      <c r="B81">
        <v>2009</v>
      </c>
      <c r="C81">
        <v>4.4659095501758074E-3</v>
      </c>
      <c r="D81">
        <v>12.888886621950327</v>
      </c>
      <c r="J81">
        <f t="shared" si="2"/>
        <v>4.4659095501758074E-3</v>
      </c>
      <c r="K81">
        <f t="shared" si="3"/>
        <v>12.888886621950327</v>
      </c>
      <c r="AA81" t="s">
        <v>86</v>
      </c>
      <c r="AB81">
        <v>2009</v>
      </c>
      <c r="AC81">
        <v>8.0143989200809937E-4</v>
      </c>
    </row>
    <row r="82" spans="1:29" x14ac:dyDescent="0.3">
      <c r="A82" t="s">
        <v>88</v>
      </c>
      <c r="B82">
        <v>2009</v>
      </c>
      <c r="C82">
        <v>6.9281834177716351E-3</v>
      </c>
      <c r="D82">
        <v>14.955564808932893</v>
      </c>
      <c r="J82">
        <f t="shared" si="2"/>
        <v>6.9281834177716351E-3</v>
      </c>
      <c r="K82">
        <f t="shared" si="3"/>
        <v>14.955564808932893</v>
      </c>
      <c r="AA82" t="s">
        <v>87</v>
      </c>
      <c r="AB82">
        <v>2009</v>
      </c>
      <c r="AC82">
        <v>4.4659095501758074E-3</v>
      </c>
    </row>
    <row r="83" spans="1:29" x14ac:dyDescent="0.3">
      <c r="A83" t="s">
        <v>89</v>
      </c>
      <c r="B83">
        <v>2009</v>
      </c>
      <c r="C83">
        <v>2.359770758897916E-3</v>
      </c>
      <c r="D83">
        <v>13.729366441159426</v>
      </c>
      <c r="J83">
        <f t="shared" si="2"/>
        <v>2.359770758897916E-3</v>
      </c>
      <c r="K83">
        <f t="shared" si="3"/>
        <v>13.729366441159426</v>
      </c>
      <c r="AA83" t="s">
        <v>88</v>
      </c>
      <c r="AB83">
        <v>2009</v>
      </c>
      <c r="AC83">
        <v>6.9281834177716351E-3</v>
      </c>
    </row>
    <row r="84" spans="1:29" x14ac:dyDescent="0.3">
      <c r="A84" t="s">
        <v>90</v>
      </c>
      <c r="B84">
        <v>2009</v>
      </c>
      <c r="C84">
        <v>8.4368010934005467E-3</v>
      </c>
      <c r="D84">
        <v>13.711713264282505</v>
      </c>
      <c r="J84">
        <f t="shared" si="2"/>
        <v>8.4368010934005467E-3</v>
      </c>
      <c r="K84">
        <f t="shared" si="3"/>
        <v>13.711713264282505</v>
      </c>
      <c r="AA84" t="s">
        <v>89</v>
      </c>
      <c r="AB84">
        <v>2009</v>
      </c>
      <c r="AC84">
        <v>2.359770758897916E-3</v>
      </c>
    </row>
    <row r="85" spans="1:29" x14ac:dyDescent="0.3">
      <c r="A85" t="s">
        <v>91</v>
      </c>
      <c r="B85">
        <v>2009</v>
      </c>
      <c r="C85">
        <v>3.6511236647830412E-3</v>
      </c>
      <c r="D85">
        <v>14.656769937654399</v>
      </c>
      <c r="J85">
        <f t="shared" si="2"/>
        <v>3.6511236647830412E-3</v>
      </c>
      <c r="K85">
        <f t="shared" si="3"/>
        <v>14.656769937654399</v>
      </c>
      <c r="AA85" t="s">
        <v>90</v>
      </c>
      <c r="AB85">
        <v>2009</v>
      </c>
      <c r="AC85">
        <v>8.4368010934005467E-3</v>
      </c>
    </row>
    <row r="86" spans="1:29" x14ac:dyDescent="0.3">
      <c r="A86" t="s">
        <v>92</v>
      </c>
      <c r="B86">
        <v>2009</v>
      </c>
      <c r="C86">
        <v>5.4015262062531398E-2</v>
      </c>
      <c r="D86">
        <v>12.837947963608627</v>
      </c>
      <c r="J86">
        <f t="shared" si="2"/>
        <v>5.4015262062531398E-2</v>
      </c>
      <c r="K86">
        <f t="shared" si="3"/>
        <v>12.837947963608627</v>
      </c>
      <c r="AA86" t="s">
        <v>91</v>
      </c>
      <c r="AB86">
        <v>2009</v>
      </c>
      <c r="AC86">
        <v>3.6511236647830412E-3</v>
      </c>
    </row>
    <row r="87" spans="1:29" x14ac:dyDescent="0.3">
      <c r="A87" t="s">
        <v>93</v>
      </c>
      <c r="B87">
        <v>2009</v>
      </c>
      <c r="C87">
        <v>4.805859109980817E-3</v>
      </c>
      <c r="D87">
        <v>16.928167009573134</v>
      </c>
      <c r="J87">
        <f t="shared" si="2"/>
        <v>4.805859109980817E-3</v>
      </c>
      <c r="K87">
        <f t="shared" si="3"/>
        <v>16.928167009573134</v>
      </c>
      <c r="AA87" t="s">
        <v>92</v>
      </c>
      <c r="AB87">
        <v>2009</v>
      </c>
      <c r="AC87">
        <v>5.4015262062531398E-2</v>
      </c>
    </row>
    <row r="88" spans="1:29" x14ac:dyDescent="0.3">
      <c r="A88" t="s">
        <v>94</v>
      </c>
      <c r="B88">
        <v>2009</v>
      </c>
      <c r="C88">
        <v>7.4336090652615166E-3</v>
      </c>
      <c r="D88">
        <v>16.300895676601129</v>
      </c>
      <c r="J88">
        <f t="shared" si="2"/>
        <v>7.4336090652615166E-3</v>
      </c>
      <c r="K88">
        <f t="shared" si="3"/>
        <v>16.300895676601129</v>
      </c>
      <c r="AA88" t="s">
        <v>93</v>
      </c>
      <c r="AB88">
        <v>2009</v>
      </c>
      <c r="AC88">
        <v>4.805859109980817E-3</v>
      </c>
    </row>
    <row r="89" spans="1:29" x14ac:dyDescent="0.3">
      <c r="A89" t="s">
        <v>95</v>
      </c>
      <c r="B89">
        <v>2009</v>
      </c>
      <c r="C89">
        <v>2.0363282931003734E-3</v>
      </c>
      <c r="D89">
        <v>14.016243251504505</v>
      </c>
      <c r="J89">
        <f t="shared" si="2"/>
        <v>2.0363282931003734E-3</v>
      </c>
      <c r="K89">
        <f t="shared" si="3"/>
        <v>14.016243251504505</v>
      </c>
      <c r="AA89" t="s">
        <v>94</v>
      </c>
      <c r="AB89">
        <v>2009</v>
      </c>
      <c r="AC89">
        <v>7.4336090652615166E-3</v>
      </c>
    </row>
    <row r="90" spans="1:29" x14ac:dyDescent="0.3">
      <c r="A90" t="s">
        <v>96</v>
      </c>
      <c r="B90">
        <v>2009</v>
      </c>
      <c r="C90">
        <v>6.1713460196571399E-3</v>
      </c>
      <c r="D90">
        <v>13.25405457791344</v>
      </c>
      <c r="J90">
        <f t="shared" si="2"/>
        <v>6.1713460196571399E-3</v>
      </c>
      <c r="K90">
        <f t="shared" si="3"/>
        <v>13.25405457791344</v>
      </c>
      <c r="AA90" t="s">
        <v>95</v>
      </c>
      <c r="AB90">
        <v>2009</v>
      </c>
      <c r="AC90">
        <v>2.0363282931003734E-3</v>
      </c>
    </row>
    <row r="91" spans="1:29" x14ac:dyDescent="0.3">
      <c r="A91" t="s">
        <v>97</v>
      </c>
      <c r="B91">
        <v>2009</v>
      </c>
      <c r="C91">
        <v>1</v>
      </c>
      <c r="D91">
        <v>3.6635616461296463</v>
      </c>
      <c r="J91" t="str">
        <f t="shared" si="2"/>
        <v>OUT</v>
      </c>
      <c r="K91" t="str">
        <f t="shared" si="3"/>
        <v>OUT</v>
      </c>
      <c r="AA91" t="s">
        <v>96</v>
      </c>
      <c r="AB91">
        <v>2009</v>
      </c>
      <c r="AC91">
        <v>6.1713460196571399E-3</v>
      </c>
    </row>
    <row r="92" spans="1:29" x14ac:dyDescent="0.3">
      <c r="A92" t="s">
        <v>98</v>
      </c>
      <c r="B92">
        <v>2009</v>
      </c>
      <c r="C92">
        <v>6.6340204480031762E-3</v>
      </c>
      <c r="D92">
        <v>12.108117972132941</v>
      </c>
      <c r="J92">
        <f t="shared" si="2"/>
        <v>6.6340204480031762E-3</v>
      </c>
      <c r="K92">
        <f t="shared" si="3"/>
        <v>12.108117972132941</v>
      </c>
      <c r="AA92" t="s">
        <v>98</v>
      </c>
      <c r="AB92">
        <v>2009</v>
      </c>
      <c r="AC92">
        <v>6.6340204480031762E-3</v>
      </c>
    </row>
    <row r="93" spans="1:29" x14ac:dyDescent="0.3">
      <c r="A93" t="s">
        <v>99</v>
      </c>
      <c r="B93">
        <v>2009</v>
      </c>
      <c r="C93">
        <v>4.533855207236006E-3</v>
      </c>
      <c r="D93">
        <v>12.99558399570653</v>
      </c>
      <c r="J93">
        <f t="shared" si="2"/>
        <v>4.533855207236006E-3</v>
      </c>
      <c r="K93">
        <f t="shared" si="3"/>
        <v>12.99558399570653</v>
      </c>
      <c r="AA93" t="s">
        <v>99</v>
      </c>
      <c r="AB93">
        <v>2009</v>
      </c>
      <c r="AC93">
        <v>4.533855207236006E-3</v>
      </c>
    </row>
    <row r="94" spans="1:29" x14ac:dyDescent="0.3">
      <c r="A94" t="s">
        <v>100</v>
      </c>
      <c r="B94">
        <v>2009</v>
      </c>
      <c r="C94">
        <v>5.3059278910844044E-3</v>
      </c>
      <c r="D94">
        <v>14.808761960604119</v>
      </c>
      <c r="J94">
        <f t="shared" si="2"/>
        <v>5.3059278910844044E-3</v>
      </c>
      <c r="K94">
        <f t="shared" si="3"/>
        <v>14.808761960604119</v>
      </c>
      <c r="AA94" t="s">
        <v>100</v>
      </c>
      <c r="AB94">
        <v>2009</v>
      </c>
      <c r="AC94">
        <v>5.3059278910844044E-3</v>
      </c>
    </row>
    <row r="95" spans="1:29" x14ac:dyDescent="0.3">
      <c r="A95" t="s">
        <v>101</v>
      </c>
      <c r="B95">
        <v>2009</v>
      </c>
      <c r="C95">
        <v>3.163115648020859E-3</v>
      </c>
      <c r="D95">
        <v>14.331471175056318</v>
      </c>
      <c r="J95">
        <f t="shared" si="2"/>
        <v>3.163115648020859E-3</v>
      </c>
      <c r="K95">
        <f t="shared" si="3"/>
        <v>14.331471175056318</v>
      </c>
      <c r="AA95" t="s">
        <v>101</v>
      </c>
      <c r="AB95">
        <v>2009</v>
      </c>
      <c r="AC95">
        <v>3.163115648020859E-3</v>
      </c>
    </row>
    <row r="96" spans="1:29" x14ac:dyDescent="0.3">
      <c r="A96" t="s">
        <v>102</v>
      </c>
      <c r="B96">
        <v>2009</v>
      </c>
      <c r="C96">
        <v>8.7641979640263237E-3</v>
      </c>
      <c r="D96">
        <v>14.307748903598005</v>
      </c>
      <c r="J96">
        <f t="shared" si="2"/>
        <v>8.7641979640263237E-3</v>
      </c>
      <c r="K96">
        <f t="shared" si="3"/>
        <v>14.307748903598005</v>
      </c>
      <c r="AA96" t="s">
        <v>102</v>
      </c>
      <c r="AB96">
        <v>2009</v>
      </c>
      <c r="AC96">
        <v>8.7641979640263237E-3</v>
      </c>
    </row>
    <row r="97" spans="1:29" x14ac:dyDescent="0.3">
      <c r="A97" t="s">
        <v>103</v>
      </c>
      <c r="B97">
        <v>2009</v>
      </c>
      <c r="C97">
        <v>6.2125748502994009E-2</v>
      </c>
      <c r="D97">
        <v>7.8905825346565361</v>
      </c>
      <c r="J97">
        <f t="shared" si="2"/>
        <v>6.2125748502994009E-2</v>
      </c>
      <c r="K97" t="str">
        <f t="shared" si="3"/>
        <v>OUT</v>
      </c>
      <c r="AA97" t="s">
        <v>103</v>
      </c>
      <c r="AB97">
        <v>2009</v>
      </c>
      <c r="AC97">
        <v>6.2125748502994009E-2</v>
      </c>
    </row>
    <row r="98" spans="1:29" x14ac:dyDescent="0.3">
      <c r="A98" t="s">
        <v>104</v>
      </c>
      <c r="B98">
        <v>2009</v>
      </c>
      <c r="C98">
        <v>1.9978034939590557E-2</v>
      </c>
      <c r="D98">
        <v>14.408415767404785</v>
      </c>
      <c r="J98">
        <f t="shared" si="2"/>
        <v>1.9978034939590557E-2</v>
      </c>
      <c r="K98">
        <f t="shared" si="3"/>
        <v>14.408415767404785</v>
      </c>
      <c r="AA98" t="s">
        <v>104</v>
      </c>
      <c r="AB98">
        <v>2009</v>
      </c>
      <c r="AC98">
        <v>1.9978034939590557E-2</v>
      </c>
    </row>
    <row r="99" spans="1:29" x14ac:dyDescent="0.3">
      <c r="A99" t="s">
        <v>105</v>
      </c>
      <c r="B99">
        <v>2009</v>
      </c>
      <c r="C99">
        <v>4.0421351475336048E-3</v>
      </c>
      <c r="D99">
        <v>15.024607312407619</v>
      </c>
      <c r="J99">
        <f t="shared" si="2"/>
        <v>4.0421351475336048E-3</v>
      </c>
      <c r="K99">
        <f t="shared" si="3"/>
        <v>15.024607312407619</v>
      </c>
      <c r="AA99" t="s">
        <v>105</v>
      </c>
      <c r="AB99">
        <v>2009</v>
      </c>
      <c r="AC99">
        <v>4.0421351475336048E-3</v>
      </c>
    </row>
    <row r="100" spans="1:29" x14ac:dyDescent="0.3">
      <c r="A100" t="s">
        <v>106</v>
      </c>
      <c r="B100">
        <v>2009</v>
      </c>
      <c r="C100">
        <v>1.1610226042057898E-2</v>
      </c>
      <c r="D100">
        <v>12.521762560825977</v>
      </c>
      <c r="J100">
        <f t="shared" si="2"/>
        <v>1.1610226042057898E-2</v>
      </c>
      <c r="K100">
        <f t="shared" si="3"/>
        <v>12.521762560825977</v>
      </c>
      <c r="AA100" t="s">
        <v>106</v>
      </c>
      <c r="AB100">
        <v>2009</v>
      </c>
      <c r="AC100">
        <v>1.1610226042057898E-2</v>
      </c>
    </row>
    <row r="101" spans="1:29" x14ac:dyDescent="0.3">
      <c r="A101" t="s">
        <v>107</v>
      </c>
      <c r="B101">
        <v>2009</v>
      </c>
      <c r="C101">
        <v>1.0849271935187733E-2</v>
      </c>
      <c r="D101">
        <v>15.146057244976932</v>
      </c>
      <c r="J101">
        <f t="shared" si="2"/>
        <v>1.0849271935187733E-2</v>
      </c>
      <c r="K101">
        <f t="shared" si="3"/>
        <v>15.146057244976932</v>
      </c>
      <c r="AA101" t="s">
        <v>107</v>
      </c>
      <c r="AB101">
        <v>2009</v>
      </c>
      <c r="AC101">
        <v>1.0849271935187733E-2</v>
      </c>
    </row>
    <row r="102" spans="1:29" x14ac:dyDescent="0.3">
      <c r="A102" t="s">
        <v>108</v>
      </c>
      <c r="B102">
        <v>2009</v>
      </c>
      <c r="C102">
        <v>1.7502880472458505E-3</v>
      </c>
      <c r="D102">
        <v>16.196530975175257</v>
      </c>
      <c r="J102">
        <f t="shared" si="2"/>
        <v>1.7502880472458505E-3</v>
      </c>
      <c r="K102">
        <f t="shared" si="3"/>
        <v>16.196530975175257</v>
      </c>
      <c r="AA102" t="s">
        <v>108</v>
      </c>
      <c r="AB102">
        <v>2009</v>
      </c>
      <c r="AC102">
        <v>1.7502880472458505E-3</v>
      </c>
    </row>
    <row r="103" spans="1:29" x14ac:dyDescent="0.3">
      <c r="A103" t="s">
        <v>109</v>
      </c>
      <c r="B103">
        <v>2009</v>
      </c>
      <c r="C103">
        <v>1.3881365966719992E-2</v>
      </c>
      <c r="D103">
        <v>15.110731302359738</v>
      </c>
      <c r="J103">
        <f t="shared" si="2"/>
        <v>1.3881365966719992E-2</v>
      </c>
      <c r="K103">
        <f t="shared" si="3"/>
        <v>15.110731302359738</v>
      </c>
      <c r="AA103" t="s">
        <v>109</v>
      </c>
      <c r="AB103">
        <v>2009</v>
      </c>
      <c r="AC103">
        <v>1.3881365966719992E-2</v>
      </c>
    </row>
    <row r="104" spans="1:29" x14ac:dyDescent="0.3">
      <c r="A104" t="s">
        <v>110</v>
      </c>
      <c r="B104">
        <v>2009</v>
      </c>
      <c r="C104">
        <v>5.1643748076968593E-3</v>
      </c>
      <c r="D104">
        <v>14.052580682806431</v>
      </c>
      <c r="J104">
        <f t="shared" si="2"/>
        <v>5.1643748076968593E-3</v>
      </c>
      <c r="K104">
        <f t="shared" si="3"/>
        <v>14.052580682806431</v>
      </c>
      <c r="AA104" t="s">
        <v>110</v>
      </c>
      <c r="AB104">
        <v>2009</v>
      </c>
      <c r="AC104">
        <v>5.1643748076968593E-3</v>
      </c>
    </row>
    <row r="105" spans="1:29" x14ac:dyDescent="0.3">
      <c r="A105" t="s">
        <v>111</v>
      </c>
      <c r="B105">
        <v>2009</v>
      </c>
      <c r="C105">
        <v>2.7717074806322389E-3</v>
      </c>
      <c r="D105">
        <v>14.816136555901938</v>
      </c>
      <c r="J105">
        <f t="shared" si="2"/>
        <v>2.7717074806322389E-3</v>
      </c>
      <c r="K105">
        <f t="shared" si="3"/>
        <v>14.816136555901938</v>
      </c>
      <c r="AA105" t="s">
        <v>111</v>
      </c>
      <c r="AB105">
        <v>2009</v>
      </c>
      <c r="AC105">
        <v>2.7717074806322389E-3</v>
      </c>
    </row>
    <row r="106" spans="1:29" x14ac:dyDescent="0.3">
      <c r="A106" t="s">
        <v>112</v>
      </c>
      <c r="B106">
        <v>2009</v>
      </c>
      <c r="C106">
        <v>8.6906174442722122E-3</v>
      </c>
      <c r="D106">
        <v>15.017938269248489</v>
      </c>
      <c r="J106">
        <f t="shared" si="2"/>
        <v>8.6906174442722122E-3</v>
      </c>
      <c r="K106">
        <f t="shared" si="3"/>
        <v>15.017938269248489</v>
      </c>
      <c r="AA106" t="s">
        <v>112</v>
      </c>
      <c r="AB106">
        <v>2009</v>
      </c>
      <c r="AC106">
        <v>8.6906174442722122E-3</v>
      </c>
    </row>
    <row r="107" spans="1:29" x14ac:dyDescent="0.3">
      <c r="A107" t="s">
        <v>113</v>
      </c>
      <c r="B107">
        <v>2009</v>
      </c>
      <c r="C107">
        <v>1.1777515855643487E-2</v>
      </c>
      <c r="D107">
        <v>16.440771366037318</v>
      </c>
      <c r="J107">
        <f t="shared" si="2"/>
        <v>1.1777515855643487E-2</v>
      </c>
      <c r="K107">
        <f t="shared" si="3"/>
        <v>16.440771366037318</v>
      </c>
      <c r="AA107" t="s">
        <v>113</v>
      </c>
      <c r="AB107">
        <v>2009</v>
      </c>
      <c r="AC107">
        <v>1.1777515855643487E-2</v>
      </c>
    </row>
    <row r="108" spans="1:29" x14ac:dyDescent="0.3">
      <c r="A108" t="s">
        <v>114</v>
      </c>
      <c r="B108">
        <v>2009</v>
      </c>
      <c r="C108">
        <v>1.5714115082564423E-3</v>
      </c>
      <c r="D108">
        <v>12.498413847362677</v>
      </c>
      <c r="J108">
        <f t="shared" si="2"/>
        <v>1.5714115082564423E-3</v>
      </c>
      <c r="K108">
        <f t="shared" si="3"/>
        <v>12.498413847362677</v>
      </c>
      <c r="AA108" t="s">
        <v>114</v>
      </c>
      <c r="AB108">
        <v>2009</v>
      </c>
      <c r="AC108">
        <v>1.5714115082564423E-3</v>
      </c>
    </row>
    <row r="109" spans="1:29" x14ac:dyDescent="0.3">
      <c r="A109" t="s">
        <v>115</v>
      </c>
      <c r="B109">
        <v>2009</v>
      </c>
      <c r="C109">
        <v>4.7166205877145415E-3</v>
      </c>
      <c r="D109">
        <v>15.860880576627567</v>
      </c>
      <c r="J109">
        <f t="shared" si="2"/>
        <v>4.7166205877145415E-3</v>
      </c>
      <c r="K109">
        <f t="shared" si="3"/>
        <v>15.860880576627567</v>
      </c>
      <c r="AA109" t="s">
        <v>115</v>
      </c>
      <c r="AB109">
        <v>2009</v>
      </c>
      <c r="AC109">
        <v>4.7166205877145415E-3</v>
      </c>
    </row>
    <row r="110" spans="1:29" x14ac:dyDescent="0.3">
      <c r="A110" t="s">
        <v>116</v>
      </c>
      <c r="B110">
        <v>2009</v>
      </c>
      <c r="C110">
        <v>9.5396644282748171E-4</v>
      </c>
      <c r="D110">
        <v>13.594757896194434</v>
      </c>
      <c r="J110">
        <f t="shared" si="2"/>
        <v>9.5396644282748171E-4</v>
      </c>
      <c r="K110">
        <f t="shared" si="3"/>
        <v>13.594757896194434</v>
      </c>
      <c r="AA110" t="s">
        <v>116</v>
      </c>
      <c r="AB110">
        <v>2009</v>
      </c>
      <c r="AC110">
        <v>9.5396644282748171E-4</v>
      </c>
    </row>
    <row r="111" spans="1:29" x14ac:dyDescent="0.3">
      <c r="A111" t="s">
        <v>117</v>
      </c>
      <c r="B111">
        <v>2009</v>
      </c>
      <c r="C111">
        <v>3.4422584290955294E-2</v>
      </c>
      <c r="D111">
        <v>13.50558423989076</v>
      </c>
      <c r="J111">
        <f t="shared" si="2"/>
        <v>3.4422584290955294E-2</v>
      </c>
      <c r="K111">
        <f t="shared" si="3"/>
        <v>13.50558423989076</v>
      </c>
      <c r="AA111" t="s">
        <v>117</v>
      </c>
      <c r="AB111">
        <v>2009</v>
      </c>
      <c r="AC111">
        <v>3.4422584290955294E-2</v>
      </c>
    </row>
    <row r="112" spans="1:29" x14ac:dyDescent="0.3">
      <c r="A112" t="s">
        <v>118</v>
      </c>
      <c r="B112">
        <v>2009</v>
      </c>
      <c r="C112">
        <v>6.4019485580405384E-3</v>
      </c>
      <c r="D112">
        <v>17.091849570224245</v>
      </c>
      <c r="J112">
        <f t="shared" si="2"/>
        <v>6.4019485580405384E-3</v>
      </c>
      <c r="K112">
        <f t="shared" si="3"/>
        <v>17.091849570224245</v>
      </c>
      <c r="AA112" t="s">
        <v>118</v>
      </c>
      <c r="AB112">
        <v>2009</v>
      </c>
      <c r="AC112">
        <v>6.4019485580405384E-3</v>
      </c>
    </row>
    <row r="113" spans="1:29" x14ac:dyDescent="0.3">
      <c r="A113" t="s">
        <v>119</v>
      </c>
      <c r="B113">
        <v>2009</v>
      </c>
      <c r="C113">
        <v>9.2933619830344205E-2</v>
      </c>
      <c r="D113">
        <v>14.079539589783462</v>
      </c>
      <c r="J113" t="str">
        <f t="shared" si="2"/>
        <v>OUT</v>
      </c>
      <c r="K113">
        <f t="shared" si="3"/>
        <v>14.079539589783462</v>
      </c>
      <c r="AA113" t="s">
        <v>120</v>
      </c>
      <c r="AB113">
        <v>2009</v>
      </c>
      <c r="AC113">
        <v>2.611711976211871E-3</v>
      </c>
    </row>
    <row r="114" spans="1:29" x14ac:dyDescent="0.3">
      <c r="A114" t="s">
        <v>121</v>
      </c>
      <c r="B114">
        <v>2009</v>
      </c>
      <c r="C114">
        <v>0.19368393060925707</v>
      </c>
      <c r="D114">
        <v>14.817101904307986</v>
      </c>
      <c r="J114" t="str">
        <f t="shared" si="2"/>
        <v>OUT</v>
      </c>
      <c r="K114">
        <f t="shared" si="3"/>
        <v>14.817101904307986</v>
      </c>
      <c r="AA114" t="s">
        <v>122</v>
      </c>
      <c r="AB114">
        <v>2009</v>
      </c>
      <c r="AC114">
        <v>8.199347169190541E-3</v>
      </c>
    </row>
    <row r="115" spans="1:29" x14ac:dyDescent="0.3">
      <c r="A115" t="s">
        <v>120</v>
      </c>
      <c r="B115">
        <v>2009</v>
      </c>
      <c r="C115">
        <v>2.611711976211871E-3</v>
      </c>
      <c r="D115">
        <v>13.827040828174498</v>
      </c>
      <c r="J115">
        <f t="shared" si="2"/>
        <v>2.611711976211871E-3</v>
      </c>
      <c r="K115">
        <f t="shared" si="3"/>
        <v>13.827040828174498</v>
      </c>
      <c r="AA115" t="s">
        <v>123</v>
      </c>
      <c r="AB115">
        <v>2009</v>
      </c>
      <c r="AC115">
        <v>4.0590980256913439E-4</v>
      </c>
    </row>
    <row r="116" spans="1:29" x14ac:dyDescent="0.3">
      <c r="A116" t="s">
        <v>122</v>
      </c>
      <c r="B116">
        <v>2009</v>
      </c>
      <c r="C116">
        <v>8.199347169190541E-3</v>
      </c>
      <c r="D116">
        <v>12.350147015140626</v>
      </c>
      <c r="J116">
        <f t="shared" si="2"/>
        <v>8.199347169190541E-3</v>
      </c>
      <c r="K116">
        <f t="shared" si="3"/>
        <v>12.350147015140626</v>
      </c>
      <c r="AA116" t="s">
        <v>124</v>
      </c>
      <c r="AB116">
        <v>2009</v>
      </c>
      <c r="AC116">
        <v>6.5836979284551206E-2</v>
      </c>
    </row>
    <row r="117" spans="1:29" x14ac:dyDescent="0.3">
      <c r="A117" t="s">
        <v>123</v>
      </c>
      <c r="B117">
        <v>2009</v>
      </c>
      <c r="C117">
        <v>4.0590980256913439E-4</v>
      </c>
      <c r="D117">
        <v>12.699728712425509</v>
      </c>
      <c r="J117">
        <f t="shared" si="2"/>
        <v>4.0590980256913439E-4</v>
      </c>
      <c r="K117">
        <f t="shared" si="3"/>
        <v>12.699728712425509</v>
      </c>
      <c r="AA117" t="s">
        <v>125</v>
      </c>
      <c r="AB117">
        <v>2009</v>
      </c>
      <c r="AC117">
        <v>4.329171665460671E-2</v>
      </c>
    </row>
    <row r="118" spans="1:29" x14ac:dyDescent="0.3">
      <c r="A118" t="s">
        <v>124</v>
      </c>
      <c r="B118">
        <v>2009</v>
      </c>
      <c r="C118">
        <v>6.5836979284551206E-2</v>
      </c>
      <c r="D118">
        <v>13.721355910275484</v>
      </c>
      <c r="J118">
        <f t="shared" si="2"/>
        <v>6.5836979284551206E-2</v>
      </c>
      <c r="K118">
        <f t="shared" si="3"/>
        <v>13.721355910275484</v>
      </c>
      <c r="AA118" t="s">
        <v>126</v>
      </c>
      <c r="AB118">
        <v>2009</v>
      </c>
      <c r="AC118">
        <v>3.349966176165248E-3</v>
      </c>
    </row>
    <row r="119" spans="1:29" x14ac:dyDescent="0.3">
      <c r="A119" t="s">
        <v>125</v>
      </c>
      <c r="B119">
        <v>2009</v>
      </c>
      <c r="C119">
        <v>4.329171665460671E-2</v>
      </c>
      <c r="D119">
        <v>14.056735255676323</v>
      </c>
      <c r="J119">
        <f t="shared" si="2"/>
        <v>4.329171665460671E-2</v>
      </c>
      <c r="K119">
        <f t="shared" si="3"/>
        <v>14.056735255676323</v>
      </c>
      <c r="AA119" t="s">
        <v>127</v>
      </c>
      <c r="AB119">
        <v>2009</v>
      </c>
      <c r="AC119">
        <v>2.8339962795071529E-2</v>
      </c>
    </row>
    <row r="120" spans="1:29" x14ac:dyDescent="0.3">
      <c r="A120" t="s">
        <v>126</v>
      </c>
      <c r="B120">
        <v>2009</v>
      </c>
      <c r="C120">
        <v>3.349966176165248E-3</v>
      </c>
      <c r="D120">
        <v>15.132608901964536</v>
      </c>
      <c r="J120">
        <f t="shared" si="2"/>
        <v>3.349966176165248E-3</v>
      </c>
      <c r="K120">
        <f t="shared" si="3"/>
        <v>15.132608901964536</v>
      </c>
      <c r="AA120" t="s">
        <v>128</v>
      </c>
      <c r="AB120">
        <v>2009</v>
      </c>
      <c r="AC120">
        <v>6.5159086835480089E-3</v>
      </c>
    </row>
    <row r="121" spans="1:29" x14ac:dyDescent="0.3">
      <c r="A121" t="s">
        <v>127</v>
      </c>
      <c r="B121">
        <v>2009</v>
      </c>
      <c r="C121">
        <v>2.8339962795071529E-2</v>
      </c>
      <c r="D121">
        <v>15.151227684054383</v>
      </c>
      <c r="J121">
        <f t="shared" si="2"/>
        <v>2.8339962795071529E-2</v>
      </c>
      <c r="K121">
        <f t="shared" si="3"/>
        <v>15.151227684054383</v>
      </c>
      <c r="AA121" t="s">
        <v>129</v>
      </c>
      <c r="AB121">
        <v>2009</v>
      </c>
      <c r="AC121">
        <v>5.9316151609040066E-3</v>
      </c>
    </row>
    <row r="122" spans="1:29" x14ac:dyDescent="0.3">
      <c r="A122" t="s">
        <v>128</v>
      </c>
      <c r="B122">
        <v>2009</v>
      </c>
      <c r="C122">
        <v>6.5159086835480089E-3</v>
      </c>
      <c r="D122">
        <v>14.011286201274476</v>
      </c>
      <c r="J122">
        <f t="shared" si="2"/>
        <v>6.5159086835480089E-3</v>
      </c>
      <c r="K122">
        <f t="shared" si="3"/>
        <v>14.011286201274476</v>
      </c>
      <c r="AA122" t="s">
        <v>130</v>
      </c>
      <c r="AB122">
        <v>2009</v>
      </c>
      <c r="AC122">
        <v>1.6746126481932786E-3</v>
      </c>
    </row>
    <row r="123" spans="1:29" x14ac:dyDescent="0.3">
      <c r="A123" t="s">
        <v>129</v>
      </c>
      <c r="B123">
        <v>2009</v>
      </c>
      <c r="C123">
        <v>5.9316151609040066E-3</v>
      </c>
      <c r="D123">
        <v>15.078354541842522</v>
      </c>
      <c r="J123">
        <f t="shared" si="2"/>
        <v>5.9316151609040066E-3</v>
      </c>
      <c r="K123">
        <f t="shared" si="3"/>
        <v>15.078354541842522</v>
      </c>
      <c r="AA123" t="s">
        <v>131</v>
      </c>
      <c r="AB123">
        <v>2009</v>
      </c>
      <c r="AC123">
        <v>5.1021108912833762E-2</v>
      </c>
    </row>
    <row r="124" spans="1:29" x14ac:dyDescent="0.3">
      <c r="A124" t="s">
        <v>130</v>
      </c>
      <c r="B124">
        <v>2009</v>
      </c>
      <c r="C124">
        <v>1.6746126481932786E-3</v>
      </c>
      <c r="D124">
        <v>15.66200833902043</v>
      </c>
      <c r="J124">
        <f t="shared" si="2"/>
        <v>1.6746126481932786E-3</v>
      </c>
      <c r="K124">
        <f t="shared" si="3"/>
        <v>15.66200833902043</v>
      </c>
      <c r="AA124" t="s">
        <v>132</v>
      </c>
      <c r="AB124">
        <v>2009</v>
      </c>
      <c r="AC124">
        <v>7.6069313830478866E-2</v>
      </c>
    </row>
    <row r="125" spans="1:29" x14ac:dyDescent="0.3">
      <c r="A125" t="s">
        <v>131</v>
      </c>
      <c r="B125">
        <v>2009</v>
      </c>
      <c r="C125">
        <v>5.1021108912833762E-2</v>
      </c>
      <c r="D125">
        <v>14.240108134221609</v>
      </c>
      <c r="J125">
        <f t="shared" si="2"/>
        <v>5.1021108912833762E-2</v>
      </c>
      <c r="K125">
        <f t="shared" si="3"/>
        <v>14.240108134221609</v>
      </c>
      <c r="AA125" t="s">
        <v>133</v>
      </c>
      <c r="AB125">
        <v>2009</v>
      </c>
      <c r="AC125">
        <v>4.3428279857129992E-2</v>
      </c>
    </row>
    <row r="126" spans="1:29" x14ac:dyDescent="0.3">
      <c r="A126" t="s">
        <v>132</v>
      </c>
      <c r="B126">
        <v>2009</v>
      </c>
      <c r="C126">
        <v>7.6069313830478866E-2</v>
      </c>
      <c r="D126">
        <v>13.436416165838178</v>
      </c>
      <c r="J126">
        <f t="shared" si="2"/>
        <v>7.6069313830478866E-2</v>
      </c>
      <c r="K126">
        <f t="shared" si="3"/>
        <v>13.436416165838178</v>
      </c>
      <c r="AA126" t="s">
        <v>134</v>
      </c>
      <c r="AB126">
        <v>2009</v>
      </c>
      <c r="AC126">
        <v>5.3339400845597352E-4</v>
      </c>
    </row>
    <row r="127" spans="1:29" x14ac:dyDescent="0.3">
      <c r="A127" t="s">
        <v>135</v>
      </c>
      <c r="B127">
        <v>2009</v>
      </c>
      <c r="C127">
        <v>0.41919433265493394</v>
      </c>
      <c r="D127">
        <v>15.152223054102333</v>
      </c>
      <c r="J127" t="str">
        <f t="shared" si="2"/>
        <v>OUT</v>
      </c>
      <c r="K127">
        <f t="shared" si="3"/>
        <v>15.152223054102333</v>
      </c>
      <c r="AA127" t="s">
        <v>136</v>
      </c>
      <c r="AB127">
        <v>2009</v>
      </c>
      <c r="AC127">
        <v>1.1989871643104169E-3</v>
      </c>
    </row>
    <row r="128" spans="1:29" x14ac:dyDescent="0.3">
      <c r="A128" t="s">
        <v>137</v>
      </c>
      <c r="B128">
        <v>2009</v>
      </c>
      <c r="C128">
        <v>0.10735276830845186</v>
      </c>
      <c r="D128">
        <v>14.123818448209711</v>
      </c>
      <c r="J128" t="str">
        <f t="shared" si="2"/>
        <v>OUT</v>
      </c>
      <c r="K128">
        <f t="shared" si="3"/>
        <v>14.123818448209711</v>
      </c>
      <c r="AA128" t="s">
        <v>138</v>
      </c>
      <c r="AB128">
        <v>2009</v>
      </c>
      <c r="AC128">
        <v>2.6681186625899089E-2</v>
      </c>
    </row>
    <row r="129" spans="1:29" x14ac:dyDescent="0.3">
      <c r="A129" t="s">
        <v>133</v>
      </c>
      <c r="B129">
        <v>2009</v>
      </c>
      <c r="C129">
        <v>4.3428279857129992E-2</v>
      </c>
      <c r="D129">
        <v>13.40955532976688</v>
      </c>
      <c r="J129">
        <f t="shared" si="2"/>
        <v>4.3428279857129992E-2</v>
      </c>
      <c r="K129">
        <f t="shared" si="3"/>
        <v>13.40955532976688</v>
      </c>
      <c r="AA129" t="s">
        <v>139</v>
      </c>
      <c r="AB129">
        <v>2009</v>
      </c>
      <c r="AC129">
        <v>7.8684376976597085E-3</v>
      </c>
    </row>
    <row r="130" spans="1:29" x14ac:dyDescent="0.3">
      <c r="A130" t="s">
        <v>134</v>
      </c>
      <c r="B130">
        <v>2009</v>
      </c>
      <c r="C130">
        <v>5.3339400845597352E-4</v>
      </c>
      <c r="D130">
        <v>16.327736205769408</v>
      </c>
      <c r="J130">
        <f t="shared" si="2"/>
        <v>5.3339400845597352E-4</v>
      </c>
      <c r="K130">
        <f t="shared" si="3"/>
        <v>16.327736205769408</v>
      </c>
      <c r="AA130" t="s">
        <v>140</v>
      </c>
      <c r="AB130">
        <v>2009</v>
      </c>
      <c r="AC130">
        <v>6.108438226338715E-3</v>
      </c>
    </row>
    <row r="131" spans="1:29" x14ac:dyDescent="0.3">
      <c r="A131" t="s">
        <v>136</v>
      </c>
      <c r="B131">
        <v>2009</v>
      </c>
      <c r="C131">
        <v>1.1989871643104169E-3</v>
      </c>
      <c r="D131">
        <v>13.927448991604834</v>
      </c>
      <c r="J131">
        <f t="shared" ref="J131:J194" si="4">IF(OR(C131&lt;$H$2,C131&gt;$I$2),"OUT",C131)</f>
        <v>1.1989871643104169E-3</v>
      </c>
      <c r="K131">
        <f t="shared" ref="K131:K194" si="5">IF(OR(D131&lt;$H$6,D131&gt;$I$6),"OUT",D131)</f>
        <v>13.927448991604834</v>
      </c>
      <c r="AA131" t="s">
        <v>141</v>
      </c>
      <c r="AB131">
        <v>2009</v>
      </c>
      <c r="AC131">
        <v>5.954943626249494E-3</v>
      </c>
    </row>
    <row r="132" spans="1:29" x14ac:dyDescent="0.3">
      <c r="A132" t="s">
        <v>138</v>
      </c>
      <c r="B132">
        <v>2009</v>
      </c>
      <c r="C132">
        <v>2.6681186625899089E-2</v>
      </c>
      <c r="D132">
        <v>14.087927965973632</v>
      </c>
      <c r="J132">
        <f t="shared" si="4"/>
        <v>2.6681186625899089E-2</v>
      </c>
      <c r="K132">
        <f t="shared" si="5"/>
        <v>14.087927965973632</v>
      </c>
      <c r="AA132" t="s">
        <v>142</v>
      </c>
      <c r="AB132">
        <v>2009</v>
      </c>
      <c r="AC132">
        <v>1.0692173113881517E-3</v>
      </c>
    </row>
    <row r="133" spans="1:29" x14ac:dyDescent="0.3">
      <c r="A133" t="s">
        <v>139</v>
      </c>
      <c r="B133">
        <v>2009</v>
      </c>
      <c r="C133">
        <v>7.8684376976597085E-3</v>
      </c>
      <c r="D133">
        <v>12.664130203757509</v>
      </c>
      <c r="J133">
        <f t="shared" si="4"/>
        <v>7.8684376976597085E-3</v>
      </c>
      <c r="K133">
        <f t="shared" si="5"/>
        <v>12.664130203757509</v>
      </c>
      <c r="AA133" t="s">
        <v>143</v>
      </c>
      <c r="AB133">
        <v>2009</v>
      </c>
      <c r="AC133">
        <v>2.0483928114226897E-2</v>
      </c>
    </row>
    <row r="134" spans="1:29" x14ac:dyDescent="0.3">
      <c r="A134" t="s">
        <v>140</v>
      </c>
      <c r="B134">
        <v>2009</v>
      </c>
      <c r="C134">
        <v>6.108438226338715E-3</v>
      </c>
      <c r="D134">
        <v>14.284746392531098</v>
      </c>
      <c r="J134">
        <f t="shared" si="4"/>
        <v>6.108438226338715E-3</v>
      </c>
      <c r="K134">
        <f t="shared" si="5"/>
        <v>14.284746392531098</v>
      </c>
      <c r="AA134" t="s">
        <v>144</v>
      </c>
      <c r="AB134">
        <v>2009</v>
      </c>
      <c r="AC134">
        <v>3.1509924613387537E-3</v>
      </c>
    </row>
    <row r="135" spans="1:29" x14ac:dyDescent="0.3">
      <c r="A135" t="s">
        <v>141</v>
      </c>
      <c r="B135">
        <v>2009</v>
      </c>
      <c r="C135">
        <v>5.954943626249494E-3</v>
      </c>
      <c r="D135">
        <v>12.365615902101414</v>
      </c>
      <c r="J135">
        <f t="shared" si="4"/>
        <v>5.954943626249494E-3</v>
      </c>
      <c r="K135">
        <f t="shared" si="5"/>
        <v>12.365615902101414</v>
      </c>
      <c r="AA135" t="s">
        <v>145</v>
      </c>
      <c r="AB135">
        <v>2009</v>
      </c>
      <c r="AC135">
        <v>3.3637755097911136E-2</v>
      </c>
    </row>
    <row r="136" spans="1:29" x14ac:dyDescent="0.3">
      <c r="A136" t="s">
        <v>142</v>
      </c>
      <c r="B136">
        <v>2009</v>
      </c>
      <c r="C136">
        <v>1.0692173113881517E-3</v>
      </c>
      <c r="D136">
        <v>14.32912189801718</v>
      </c>
      <c r="J136">
        <f t="shared" si="4"/>
        <v>1.0692173113881517E-3</v>
      </c>
      <c r="K136">
        <f t="shared" si="5"/>
        <v>14.32912189801718</v>
      </c>
      <c r="AA136" t="s">
        <v>146</v>
      </c>
      <c r="AB136">
        <v>2009</v>
      </c>
      <c r="AC136">
        <v>2.4090224910578262E-3</v>
      </c>
    </row>
    <row r="137" spans="1:29" x14ac:dyDescent="0.3">
      <c r="A137" t="s">
        <v>143</v>
      </c>
      <c r="B137">
        <v>2009</v>
      </c>
      <c r="C137">
        <v>2.0483928114226897E-2</v>
      </c>
      <c r="D137">
        <v>13.558471489438935</v>
      </c>
      <c r="J137">
        <f t="shared" si="4"/>
        <v>2.0483928114226897E-2</v>
      </c>
      <c r="K137">
        <f t="shared" si="5"/>
        <v>13.558471489438935</v>
      </c>
      <c r="AA137" t="s">
        <v>147</v>
      </c>
      <c r="AB137">
        <v>2009</v>
      </c>
      <c r="AC137">
        <v>3.0352887984301004E-3</v>
      </c>
    </row>
    <row r="138" spans="1:29" x14ac:dyDescent="0.3">
      <c r="A138" t="s">
        <v>144</v>
      </c>
      <c r="B138">
        <v>2009</v>
      </c>
      <c r="C138">
        <v>3.1509924613387537E-3</v>
      </c>
      <c r="D138">
        <v>14.934129047977203</v>
      </c>
      <c r="J138">
        <f t="shared" si="4"/>
        <v>3.1509924613387537E-3</v>
      </c>
      <c r="K138">
        <f t="shared" si="5"/>
        <v>14.934129047977203</v>
      </c>
      <c r="AA138" t="s">
        <v>148</v>
      </c>
      <c r="AB138">
        <v>2009</v>
      </c>
      <c r="AC138">
        <v>4.0095973048577198E-2</v>
      </c>
    </row>
    <row r="139" spans="1:29" x14ac:dyDescent="0.3">
      <c r="A139" t="s">
        <v>145</v>
      </c>
      <c r="B139">
        <v>2009</v>
      </c>
      <c r="C139">
        <v>3.3637755097911136E-2</v>
      </c>
      <c r="D139">
        <v>14.02695150008195</v>
      </c>
      <c r="J139">
        <f t="shared" si="4"/>
        <v>3.3637755097911136E-2</v>
      </c>
      <c r="K139">
        <f t="shared" si="5"/>
        <v>14.02695150008195</v>
      </c>
      <c r="AA139" t="s">
        <v>149</v>
      </c>
      <c r="AB139">
        <v>2009</v>
      </c>
      <c r="AC139">
        <v>8.348082486749302E-3</v>
      </c>
    </row>
    <row r="140" spans="1:29" x14ac:dyDescent="0.3">
      <c r="A140" t="s">
        <v>146</v>
      </c>
      <c r="B140">
        <v>2009</v>
      </c>
      <c r="C140">
        <v>2.4090224910578262E-3</v>
      </c>
      <c r="D140">
        <v>16.135289092975423</v>
      </c>
      <c r="J140">
        <f t="shared" si="4"/>
        <v>2.4090224910578262E-3</v>
      </c>
      <c r="K140">
        <f t="shared" si="5"/>
        <v>16.135289092975423</v>
      </c>
      <c r="AA140" t="s">
        <v>150</v>
      </c>
      <c r="AB140">
        <v>2009</v>
      </c>
      <c r="AC140">
        <v>9.049993151720016E-3</v>
      </c>
    </row>
    <row r="141" spans="1:29" x14ac:dyDescent="0.3">
      <c r="A141" t="s">
        <v>151</v>
      </c>
      <c r="B141">
        <v>2009</v>
      </c>
      <c r="C141">
        <v>8.05277104529772E-2</v>
      </c>
      <c r="D141">
        <v>13.731771276372333</v>
      </c>
      <c r="J141" t="str">
        <f t="shared" si="4"/>
        <v>OUT</v>
      </c>
      <c r="K141">
        <f t="shared" si="5"/>
        <v>13.731771276372333</v>
      </c>
      <c r="AA141" t="s">
        <v>152</v>
      </c>
      <c r="AB141">
        <v>2009</v>
      </c>
      <c r="AC141">
        <v>1.815886326450147E-2</v>
      </c>
    </row>
    <row r="142" spans="1:29" x14ac:dyDescent="0.3">
      <c r="A142" t="s">
        <v>147</v>
      </c>
      <c r="B142">
        <v>2009</v>
      </c>
      <c r="C142">
        <v>3.0352887984301004E-3</v>
      </c>
      <c r="D142">
        <v>15.932643037518396</v>
      </c>
      <c r="J142">
        <f t="shared" si="4"/>
        <v>3.0352887984301004E-3</v>
      </c>
      <c r="K142">
        <f t="shared" si="5"/>
        <v>15.932643037518396</v>
      </c>
      <c r="AA142" t="s">
        <v>153</v>
      </c>
      <c r="AB142">
        <v>2009</v>
      </c>
      <c r="AC142">
        <v>8.2845640129000555E-3</v>
      </c>
    </row>
    <row r="143" spans="1:29" x14ac:dyDescent="0.3">
      <c r="A143" t="s">
        <v>148</v>
      </c>
      <c r="B143">
        <v>2009</v>
      </c>
      <c r="C143">
        <v>4.0095973048577198E-2</v>
      </c>
      <c r="D143">
        <v>15.429885065338027</v>
      </c>
      <c r="J143">
        <f t="shared" si="4"/>
        <v>4.0095973048577198E-2</v>
      </c>
      <c r="K143">
        <f t="shared" si="5"/>
        <v>15.429885065338027</v>
      </c>
      <c r="AA143" t="s">
        <v>154</v>
      </c>
      <c r="AB143">
        <v>2009</v>
      </c>
      <c r="AC143">
        <v>1.4535826798042764E-2</v>
      </c>
    </row>
    <row r="144" spans="1:29" x14ac:dyDescent="0.3">
      <c r="A144" t="s">
        <v>149</v>
      </c>
      <c r="B144">
        <v>2009</v>
      </c>
      <c r="C144">
        <v>8.348082486749302E-3</v>
      </c>
      <c r="D144">
        <v>14.905289614924893</v>
      </c>
      <c r="J144">
        <f t="shared" si="4"/>
        <v>8.348082486749302E-3</v>
      </c>
      <c r="K144">
        <f t="shared" si="5"/>
        <v>14.905289614924893</v>
      </c>
      <c r="AA144" t="s">
        <v>155</v>
      </c>
      <c r="AB144">
        <v>2009</v>
      </c>
      <c r="AC144">
        <v>2.5076676761636541E-4</v>
      </c>
    </row>
    <row r="145" spans="1:29" x14ac:dyDescent="0.3">
      <c r="A145" t="s">
        <v>156</v>
      </c>
      <c r="B145">
        <v>2009</v>
      </c>
      <c r="C145">
        <v>0.19378363099310689</v>
      </c>
      <c r="D145">
        <v>13.491824034638206</v>
      </c>
      <c r="J145" t="str">
        <f t="shared" si="4"/>
        <v>OUT</v>
      </c>
      <c r="K145">
        <f t="shared" si="5"/>
        <v>13.491824034638206</v>
      </c>
      <c r="AA145" t="s">
        <v>157</v>
      </c>
      <c r="AB145">
        <v>2009</v>
      </c>
      <c r="AC145">
        <v>4.2228664232985364E-3</v>
      </c>
    </row>
    <row r="146" spans="1:29" x14ac:dyDescent="0.3">
      <c r="A146" t="s">
        <v>150</v>
      </c>
      <c r="B146">
        <v>2009</v>
      </c>
      <c r="C146">
        <v>9.049993151720016E-3</v>
      </c>
      <c r="D146">
        <v>15.54735263439715</v>
      </c>
      <c r="J146">
        <f t="shared" si="4"/>
        <v>9.049993151720016E-3</v>
      </c>
      <c r="K146">
        <f t="shared" si="5"/>
        <v>15.54735263439715</v>
      </c>
      <c r="AA146" t="s">
        <v>158</v>
      </c>
      <c r="AB146">
        <v>2009</v>
      </c>
      <c r="AC146">
        <v>5.2307135711042278E-2</v>
      </c>
    </row>
    <row r="147" spans="1:29" x14ac:dyDescent="0.3">
      <c r="A147" t="s">
        <v>152</v>
      </c>
      <c r="B147">
        <v>2009</v>
      </c>
      <c r="C147">
        <v>1.815886326450147E-2</v>
      </c>
      <c r="D147">
        <v>13.497931319365671</v>
      </c>
      <c r="J147">
        <f t="shared" si="4"/>
        <v>1.815886326450147E-2</v>
      </c>
      <c r="K147">
        <f t="shared" si="5"/>
        <v>13.497931319365671</v>
      </c>
      <c r="AA147" t="s">
        <v>159</v>
      </c>
      <c r="AB147">
        <v>2009</v>
      </c>
      <c r="AC147">
        <v>3.2093020987274969E-3</v>
      </c>
    </row>
    <row r="148" spans="1:29" x14ac:dyDescent="0.3">
      <c r="A148" t="s">
        <v>153</v>
      </c>
      <c r="B148">
        <v>2009</v>
      </c>
      <c r="C148">
        <v>8.2845640129000555E-3</v>
      </c>
      <c r="D148">
        <v>14.422740853269024</v>
      </c>
      <c r="J148">
        <f t="shared" si="4"/>
        <v>8.2845640129000555E-3</v>
      </c>
      <c r="K148">
        <f t="shared" si="5"/>
        <v>14.422740853269024</v>
      </c>
      <c r="AA148" t="s">
        <v>160</v>
      </c>
      <c r="AB148">
        <v>2009</v>
      </c>
      <c r="AC148">
        <v>5.4970288693810161E-2</v>
      </c>
    </row>
    <row r="149" spans="1:29" x14ac:dyDescent="0.3">
      <c r="A149" t="s">
        <v>154</v>
      </c>
      <c r="B149">
        <v>2009</v>
      </c>
      <c r="C149">
        <v>1.4535826798042764E-2</v>
      </c>
      <c r="D149">
        <v>13.522413852810994</v>
      </c>
      <c r="J149">
        <f t="shared" si="4"/>
        <v>1.4535826798042764E-2</v>
      </c>
      <c r="K149">
        <f t="shared" si="5"/>
        <v>13.522413852810994</v>
      </c>
      <c r="AA149" t="s">
        <v>161</v>
      </c>
      <c r="AB149">
        <v>2009</v>
      </c>
      <c r="AC149">
        <v>5.2635214478137737E-2</v>
      </c>
    </row>
    <row r="150" spans="1:29" x14ac:dyDescent="0.3">
      <c r="A150" t="s">
        <v>155</v>
      </c>
      <c r="B150">
        <v>2009</v>
      </c>
      <c r="C150">
        <v>2.5076676761636541E-4</v>
      </c>
      <c r="D150">
        <v>10.855936620963561</v>
      </c>
      <c r="J150">
        <f t="shared" si="4"/>
        <v>2.5076676761636541E-4</v>
      </c>
      <c r="K150">
        <f t="shared" si="5"/>
        <v>10.855936620963561</v>
      </c>
      <c r="AA150" t="s">
        <v>162</v>
      </c>
      <c r="AB150">
        <v>2009</v>
      </c>
      <c r="AC150">
        <v>9.3944393916549542E-3</v>
      </c>
    </row>
    <row r="151" spans="1:29" x14ac:dyDescent="0.3">
      <c r="A151" t="s">
        <v>163</v>
      </c>
      <c r="B151">
        <v>2009</v>
      </c>
      <c r="C151">
        <v>0.12836836156770481</v>
      </c>
      <c r="D151">
        <v>15.472959473958143</v>
      </c>
      <c r="J151" t="str">
        <f t="shared" si="4"/>
        <v>OUT</v>
      </c>
      <c r="K151">
        <f t="shared" si="5"/>
        <v>15.472959473958143</v>
      </c>
      <c r="AA151" t="s">
        <v>164</v>
      </c>
      <c r="AB151">
        <v>2009</v>
      </c>
      <c r="AC151">
        <v>1.0219391688782993E-3</v>
      </c>
    </row>
    <row r="152" spans="1:29" x14ac:dyDescent="0.3">
      <c r="A152" t="s">
        <v>157</v>
      </c>
      <c r="B152">
        <v>2009</v>
      </c>
      <c r="C152">
        <v>4.2228664232985364E-3</v>
      </c>
      <c r="D152">
        <v>13.531877610065285</v>
      </c>
      <c r="J152">
        <f t="shared" si="4"/>
        <v>4.2228664232985364E-3</v>
      </c>
      <c r="K152">
        <f t="shared" si="5"/>
        <v>13.531877610065285</v>
      </c>
      <c r="AA152" t="s">
        <v>165</v>
      </c>
      <c r="AB152">
        <v>2009</v>
      </c>
      <c r="AC152">
        <v>4.9873618516189246E-2</v>
      </c>
    </row>
    <row r="153" spans="1:29" x14ac:dyDescent="0.3">
      <c r="A153" t="s">
        <v>158</v>
      </c>
      <c r="B153">
        <v>2009</v>
      </c>
      <c r="C153">
        <v>5.2307135711042278E-2</v>
      </c>
      <c r="D153">
        <v>14.118858034724967</v>
      </c>
      <c r="J153">
        <f t="shared" si="4"/>
        <v>5.2307135711042278E-2</v>
      </c>
      <c r="K153">
        <f t="shared" si="5"/>
        <v>14.118858034724967</v>
      </c>
      <c r="AA153" t="s">
        <v>166</v>
      </c>
      <c r="AB153">
        <v>2009</v>
      </c>
      <c r="AC153">
        <v>4.220857668573362E-2</v>
      </c>
    </row>
    <row r="154" spans="1:29" x14ac:dyDescent="0.3">
      <c r="A154" t="s">
        <v>167</v>
      </c>
      <c r="B154">
        <v>2009</v>
      </c>
      <c r="C154">
        <v>0.15525676311531941</v>
      </c>
      <c r="D154">
        <v>15.417838454030321</v>
      </c>
      <c r="J154" t="str">
        <f t="shared" si="4"/>
        <v>OUT</v>
      </c>
      <c r="K154">
        <f t="shared" si="5"/>
        <v>15.417838454030321</v>
      </c>
      <c r="AA154" t="s">
        <v>168</v>
      </c>
      <c r="AB154">
        <v>2009</v>
      </c>
      <c r="AC154">
        <v>2.6093593310949795E-2</v>
      </c>
    </row>
    <row r="155" spans="1:29" x14ac:dyDescent="0.3">
      <c r="A155" t="s">
        <v>159</v>
      </c>
      <c r="B155">
        <v>2009</v>
      </c>
      <c r="C155">
        <v>3.2093020987274969E-3</v>
      </c>
      <c r="D155">
        <v>12.230906711530174</v>
      </c>
      <c r="J155">
        <f t="shared" si="4"/>
        <v>3.2093020987274969E-3</v>
      </c>
      <c r="K155">
        <f t="shared" si="5"/>
        <v>12.230906711530174</v>
      </c>
      <c r="AA155" t="s">
        <v>169</v>
      </c>
      <c r="AB155">
        <v>2009</v>
      </c>
      <c r="AC155">
        <v>2.1358697613084763E-2</v>
      </c>
    </row>
    <row r="156" spans="1:29" x14ac:dyDescent="0.3">
      <c r="A156" t="s">
        <v>160</v>
      </c>
      <c r="B156">
        <v>2009</v>
      </c>
      <c r="C156">
        <v>5.4970288693810161E-2</v>
      </c>
      <c r="D156">
        <v>14.996991403982973</v>
      </c>
      <c r="J156">
        <f t="shared" si="4"/>
        <v>5.4970288693810161E-2</v>
      </c>
      <c r="K156">
        <f t="shared" si="5"/>
        <v>14.996991403982973</v>
      </c>
      <c r="AA156" t="s">
        <v>170</v>
      </c>
      <c r="AB156">
        <v>2009</v>
      </c>
      <c r="AC156">
        <v>1.8428547783242204E-2</v>
      </c>
    </row>
    <row r="157" spans="1:29" x14ac:dyDescent="0.3">
      <c r="A157" t="s">
        <v>171</v>
      </c>
      <c r="B157">
        <v>2009</v>
      </c>
      <c r="C157">
        <v>0.13378224223883764</v>
      </c>
      <c r="D157">
        <v>13.167992359823367</v>
      </c>
      <c r="J157" t="str">
        <f t="shared" si="4"/>
        <v>OUT</v>
      </c>
      <c r="K157">
        <f t="shared" si="5"/>
        <v>13.167992359823367</v>
      </c>
      <c r="AA157" t="s">
        <v>172</v>
      </c>
      <c r="AB157">
        <v>2009</v>
      </c>
      <c r="AC157">
        <v>6.7477376588401502E-3</v>
      </c>
    </row>
    <row r="158" spans="1:29" x14ac:dyDescent="0.3">
      <c r="A158" t="s">
        <v>161</v>
      </c>
      <c r="B158">
        <v>2009</v>
      </c>
      <c r="C158">
        <v>5.2635214478137737E-2</v>
      </c>
      <c r="D158">
        <v>11.372075931382099</v>
      </c>
      <c r="J158">
        <f t="shared" si="4"/>
        <v>5.2635214478137737E-2</v>
      </c>
      <c r="K158">
        <f t="shared" si="5"/>
        <v>11.372075931382099</v>
      </c>
      <c r="AA158" t="s">
        <v>173</v>
      </c>
      <c r="AB158">
        <v>2009</v>
      </c>
      <c r="AC158">
        <v>3.2405538116883964E-3</v>
      </c>
    </row>
    <row r="159" spans="1:29" x14ac:dyDescent="0.3">
      <c r="A159" t="s">
        <v>174</v>
      </c>
      <c r="B159">
        <v>2009</v>
      </c>
      <c r="C159">
        <v>0.26003979271245198</v>
      </c>
      <c r="D159">
        <v>15.18679787457762</v>
      </c>
      <c r="J159" t="str">
        <f t="shared" si="4"/>
        <v>OUT</v>
      </c>
      <c r="K159">
        <f t="shared" si="5"/>
        <v>15.18679787457762</v>
      </c>
      <c r="AA159" t="s">
        <v>175</v>
      </c>
      <c r="AB159">
        <v>2009</v>
      </c>
      <c r="AC159">
        <v>4.1380844990863688E-3</v>
      </c>
    </row>
    <row r="160" spans="1:29" x14ac:dyDescent="0.3">
      <c r="A160" t="s">
        <v>162</v>
      </c>
      <c r="B160">
        <v>2009</v>
      </c>
      <c r="C160">
        <v>9.3944393916549542E-3</v>
      </c>
      <c r="D160">
        <v>17.20353515825218</v>
      </c>
      <c r="J160">
        <f t="shared" si="4"/>
        <v>9.3944393916549542E-3</v>
      </c>
      <c r="K160">
        <f t="shared" si="5"/>
        <v>17.20353515825218</v>
      </c>
      <c r="AA160" t="s">
        <v>176</v>
      </c>
      <c r="AB160">
        <v>2009</v>
      </c>
      <c r="AC160">
        <v>1.6253346804145381E-3</v>
      </c>
    </row>
    <row r="161" spans="1:29" x14ac:dyDescent="0.3">
      <c r="A161" t="s">
        <v>164</v>
      </c>
      <c r="B161">
        <v>2009</v>
      </c>
      <c r="C161">
        <v>1.0219391688782993E-3</v>
      </c>
      <c r="D161">
        <v>16.60170412567167</v>
      </c>
      <c r="J161">
        <f t="shared" si="4"/>
        <v>1.0219391688782993E-3</v>
      </c>
      <c r="K161">
        <f t="shared" si="5"/>
        <v>16.60170412567167</v>
      </c>
      <c r="AA161" t="s">
        <v>177</v>
      </c>
      <c r="AB161">
        <v>2009</v>
      </c>
      <c r="AC161">
        <v>3.2806780396838708E-3</v>
      </c>
    </row>
    <row r="162" spans="1:29" x14ac:dyDescent="0.3">
      <c r="A162" t="s">
        <v>165</v>
      </c>
      <c r="B162">
        <v>2009</v>
      </c>
      <c r="C162">
        <v>4.9873618516189246E-2</v>
      </c>
      <c r="D162">
        <v>13.120926345368208</v>
      </c>
      <c r="J162">
        <f t="shared" si="4"/>
        <v>4.9873618516189246E-2</v>
      </c>
      <c r="K162">
        <f t="shared" si="5"/>
        <v>13.120926345368208</v>
      </c>
      <c r="AA162" t="s">
        <v>178</v>
      </c>
      <c r="AB162">
        <v>2009</v>
      </c>
      <c r="AC162">
        <v>2.2900880955472467E-2</v>
      </c>
    </row>
    <row r="163" spans="1:29" x14ac:dyDescent="0.3">
      <c r="A163" t="s">
        <v>166</v>
      </c>
      <c r="B163">
        <v>2009</v>
      </c>
      <c r="C163">
        <v>4.220857668573362E-2</v>
      </c>
      <c r="D163">
        <v>18.355709467856538</v>
      </c>
      <c r="J163">
        <f t="shared" si="4"/>
        <v>4.220857668573362E-2</v>
      </c>
      <c r="K163">
        <f t="shared" si="5"/>
        <v>18.355709467856538</v>
      </c>
      <c r="AA163" t="s">
        <v>179</v>
      </c>
      <c r="AB163">
        <v>2009</v>
      </c>
      <c r="AC163">
        <v>2.3920334884688387E-4</v>
      </c>
    </row>
    <row r="164" spans="1:29" x14ac:dyDescent="0.3">
      <c r="A164" t="s">
        <v>180</v>
      </c>
      <c r="B164">
        <v>2009</v>
      </c>
      <c r="C164">
        <v>0.2663349213814854</v>
      </c>
      <c r="D164">
        <v>17.405265070312989</v>
      </c>
      <c r="J164" t="str">
        <f t="shared" si="4"/>
        <v>OUT</v>
      </c>
      <c r="K164">
        <f t="shared" si="5"/>
        <v>17.405265070312989</v>
      </c>
      <c r="AA164" t="s">
        <v>181</v>
      </c>
      <c r="AB164">
        <v>2009</v>
      </c>
      <c r="AC164">
        <v>6.6471014305225244E-4</v>
      </c>
    </row>
    <row r="165" spans="1:29" x14ac:dyDescent="0.3">
      <c r="A165" t="s">
        <v>182</v>
      </c>
      <c r="B165">
        <v>2009</v>
      </c>
      <c r="C165">
        <v>0.19234790630758153</v>
      </c>
      <c r="D165">
        <v>18.066455611060309</v>
      </c>
      <c r="J165" t="str">
        <f t="shared" si="4"/>
        <v>OUT</v>
      </c>
      <c r="K165">
        <f t="shared" si="5"/>
        <v>18.066455611060309</v>
      </c>
      <c r="AA165" t="s">
        <v>183</v>
      </c>
      <c r="AB165">
        <v>2009</v>
      </c>
      <c r="AC165">
        <v>1.891175644866214E-3</v>
      </c>
    </row>
    <row r="166" spans="1:29" x14ac:dyDescent="0.3">
      <c r="A166" t="s">
        <v>168</v>
      </c>
      <c r="B166">
        <v>2009</v>
      </c>
      <c r="C166">
        <v>2.6093593310949795E-2</v>
      </c>
      <c r="D166">
        <v>14.376881376360959</v>
      </c>
      <c r="J166">
        <f t="shared" si="4"/>
        <v>2.6093593310949795E-2</v>
      </c>
      <c r="K166">
        <f t="shared" si="5"/>
        <v>14.376881376360959</v>
      </c>
      <c r="AA166" t="s">
        <v>184</v>
      </c>
      <c r="AB166">
        <v>2009</v>
      </c>
      <c r="AC166">
        <v>2.9086625669618293E-2</v>
      </c>
    </row>
    <row r="167" spans="1:29" x14ac:dyDescent="0.3">
      <c r="A167" t="s">
        <v>169</v>
      </c>
      <c r="B167">
        <v>2009</v>
      </c>
      <c r="C167">
        <v>2.1358697613084763E-2</v>
      </c>
      <c r="D167">
        <v>15.906504611665827</v>
      </c>
      <c r="J167">
        <f t="shared" si="4"/>
        <v>2.1358697613084763E-2</v>
      </c>
      <c r="K167">
        <f t="shared" si="5"/>
        <v>15.906504611665827</v>
      </c>
      <c r="AA167" t="s">
        <v>185</v>
      </c>
      <c r="AB167">
        <v>2009</v>
      </c>
      <c r="AC167">
        <v>4.1887671570826228E-2</v>
      </c>
    </row>
    <row r="168" spans="1:29" x14ac:dyDescent="0.3">
      <c r="A168" t="s">
        <v>186</v>
      </c>
      <c r="B168">
        <v>2009</v>
      </c>
      <c r="C168">
        <v>0.14227469262502401</v>
      </c>
      <c r="D168">
        <v>16.484882853233316</v>
      </c>
      <c r="J168" t="str">
        <f t="shared" si="4"/>
        <v>OUT</v>
      </c>
      <c r="K168">
        <f t="shared" si="5"/>
        <v>16.484882853233316</v>
      </c>
      <c r="AA168" t="s">
        <v>187</v>
      </c>
      <c r="AB168">
        <v>2009</v>
      </c>
      <c r="AC168">
        <v>3.4390763739343341E-2</v>
      </c>
    </row>
    <row r="169" spans="1:29" x14ac:dyDescent="0.3">
      <c r="A169" t="s">
        <v>170</v>
      </c>
      <c r="B169">
        <v>2009</v>
      </c>
      <c r="C169">
        <v>1.8428547783242204E-2</v>
      </c>
      <c r="D169">
        <v>14.372861497351114</v>
      </c>
      <c r="J169">
        <f t="shared" si="4"/>
        <v>1.8428547783242204E-2</v>
      </c>
      <c r="K169">
        <f t="shared" si="5"/>
        <v>14.372861497351114</v>
      </c>
      <c r="AA169" t="s">
        <v>188</v>
      </c>
      <c r="AB169">
        <v>2009</v>
      </c>
      <c r="AC169">
        <v>2.4545994130665005E-2</v>
      </c>
    </row>
    <row r="170" spans="1:29" x14ac:dyDescent="0.3">
      <c r="A170" t="s">
        <v>189</v>
      </c>
      <c r="B170">
        <v>2009</v>
      </c>
      <c r="C170">
        <v>0.21574150904200406</v>
      </c>
      <c r="D170">
        <v>16.863809332534156</v>
      </c>
      <c r="J170" t="str">
        <f t="shared" si="4"/>
        <v>OUT</v>
      </c>
      <c r="K170">
        <f t="shared" si="5"/>
        <v>16.863809332534156</v>
      </c>
      <c r="AA170" t="s">
        <v>190</v>
      </c>
      <c r="AB170">
        <v>2009</v>
      </c>
      <c r="AC170">
        <v>4.4915507595062855E-3</v>
      </c>
    </row>
    <row r="171" spans="1:29" x14ac:dyDescent="0.3">
      <c r="A171" t="s">
        <v>172</v>
      </c>
      <c r="B171">
        <v>2009</v>
      </c>
      <c r="C171">
        <v>6.7477376588401502E-3</v>
      </c>
      <c r="D171">
        <v>15.183221563174436</v>
      </c>
      <c r="J171">
        <f t="shared" si="4"/>
        <v>6.7477376588401502E-3</v>
      </c>
      <c r="K171">
        <f t="shared" si="5"/>
        <v>15.183221563174436</v>
      </c>
      <c r="AA171" t="s">
        <v>191</v>
      </c>
      <c r="AB171">
        <v>2009</v>
      </c>
      <c r="AC171">
        <v>9.9482112064774755E-4</v>
      </c>
    </row>
    <row r="172" spans="1:29" x14ac:dyDescent="0.3">
      <c r="A172" t="s">
        <v>173</v>
      </c>
      <c r="B172">
        <v>2009</v>
      </c>
      <c r="C172">
        <v>3.2405538116883964E-3</v>
      </c>
      <c r="D172">
        <v>12.858098307550357</v>
      </c>
      <c r="J172">
        <f t="shared" si="4"/>
        <v>3.2405538116883964E-3</v>
      </c>
      <c r="K172">
        <f t="shared" si="5"/>
        <v>12.858098307550357</v>
      </c>
      <c r="AA172" t="s">
        <v>192</v>
      </c>
      <c r="AB172">
        <v>2009</v>
      </c>
      <c r="AC172">
        <v>5.5180042741811931E-4</v>
      </c>
    </row>
    <row r="173" spans="1:29" x14ac:dyDescent="0.3">
      <c r="A173" t="s">
        <v>175</v>
      </c>
      <c r="B173">
        <v>2009</v>
      </c>
      <c r="C173">
        <v>4.1380844990863688E-3</v>
      </c>
      <c r="D173">
        <v>12.36172077504837</v>
      </c>
      <c r="J173">
        <f t="shared" si="4"/>
        <v>4.1380844990863688E-3</v>
      </c>
      <c r="K173">
        <f t="shared" si="5"/>
        <v>12.36172077504837</v>
      </c>
      <c r="AA173" t="s">
        <v>193</v>
      </c>
      <c r="AB173">
        <v>2009</v>
      </c>
      <c r="AC173">
        <v>5.1651024862751438E-3</v>
      </c>
    </row>
    <row r="174" spans="1:29" x14ac:dyDescent="0.3">
      <c r="A174" t="s">
        <v>176</v>
      </c>
      <c r="B174">
        <v>2009</v>
      </c>
      <c r="C174">
        <v>1.6253346804145381E-3</v>
      </c>
      <c r="D174">
        <v>14.331163710439938</v>
      </c>
      <c r="J174">
        <f t="shared" si="4"/>
        <v>1.6253346804145381E-3</v>
      </c>
      <c r="K174">
        <f t="shared" si="5"/>
        <v>14.331163710439938</v>
      </c>
      <c r="AA174" t="s">
        <v>194</v>
      </c>
      <c r="AB174">
        <v>2009</v>
      </c>
      <c r="AC174">
        <v>4.4740940644050496E-4</v>
      </c>
    </row>
    <row r="175" spans="1:29" x14ac:dyDescent="0.3">
      <c r="A175" t="s">
        <v>177</v>
      </c>
      <c r="B175">
        <v>2009</v>
      </c>
      <c r="C175">
        <v>3.2806780396838708E-3</v>
      </c>
      <c r="D175">
        <v>13.605786560309529</v>
      </c>
      <c r="J175">
        <f t="shared" si="4"/>
        <v>3.2806780396838708E-3</v>
      </c>
      <c r="K175">
        <f t="shared" si="5"/>
        <v>13.605786560309529</v>
      </c>
      <c r="AA175" t="s">
        <v>195</v>
      </c>
      <c r="AB175">
        <v>2009</v>
      </c>
      <c r="AC175">
        <v>2.7367897148961443E-2</v>
      </c>
    </row>
    <row r="176" spans="1:29" x14ac:dyDescent="0.3">
      <c r="A176" t="s">
        <v>178</v>
      </c>
      <c r="B176">
        <v>2009</v>
      </c>
      <c r="C176">
        <v>2.2900880955472467E-2</v>
      </c>
      <c r="D176">
        <v>13.026717741340844</v>
      </c>
      <c r="J176">
        <f t="shared" si="4"/>
        <v>2.2900880955472467E-2</v>
      </c>
      <c r="K176">
        <f t="shared" si="5"/>
        <v>13.026717741340844</v>
      </c>
      <c r="AA176" t="s">
        <v>196</v>
      </c>
      <c r="AB176">
        <v>2009</v>
      </c>
      <c r="AC176">
        <v>1.2920215150156881E-2</v>
      </c>
    </row>
    <row r="177" spans="1:29" x14ac:dyDescent="0.3">
      <c r="A177" t="s">
        <v>179</v>
      </c>
      <c r="B177">
        <v>2009</v>
      </c>
      <c r="C177">
        <v>2.3920334884688387E-4</v>
      </c>
      <c r="D177">
        <v>12.166837932278892</v>
      </c>
      <c r="J177">
        <f t="shared" si="4"/>
        <v>2.3920334884688387E-4</v>
      </c>
      <c r="K177">
        <f t="shared" si="5"/>
        <v>12.166837932278892</v>
      </c>
      <c r="AA177" t="s">
        <v>197</v>
      </c>
      <c r="AB177">
        <v>2009</v>
      </c>
      <c r="AC177">
        <v>4.3661774058992131E-2</v>
      </c>
    </row>
    <row r="178" spans="1:29" x14ac:dyDescent="0.3">
      <c r="A178" t="s">
        <v>181</v>
      </c>
      <c r="B178">
        <v>2009</v>
      </c>
      <c r="C178">
        <v>6.6471014305225244E-4</v>
      </c>
      <c r="D178">
        <v>15.050718331793739</v>
      </c>
      <c r="J178">
        <f t="shared" si="4"/>
        <v>6.6471014305225244E-4</v>
      </c>
      <c r="K178">
        <f t="shared" si="5"/>
        <v>15.050718331793739</v>
      </c>
      <c r="AA178" t="s">
        <v>198</v>
      </c>
      <c r="AB178">
        <v>2009</v>
      </c>
      <c r="AC178">
        <v>4.3625305316501925E-3</v>
      </c>
    </row>
    <row r="179" spans="1:29" x14ac:dyDescent="0.3">
      <c r="A179" t="s">
        <v>183</v>
      </c>
      <c r="B179">
        <v>2009</v>
      </c>
      <c r="C179">
        <v>1.891175644866214E-3</v>
      </c>
      <c r="D179">
        <v>12.688921544909208</v>
      </c>
      <c r="J179">
        <f t="shared" si="4"/>
        <v>1.891175644866214E-3</v>
      </c>
      <c r="K179">
        <f t="shared" si="5"/>
        <v>12.688921544909208</v>
      </c>
      <c r="AA179" t="s">
        <v>199</v>
      </c>
      <c r="AB179">
        <v>2009</v>
      </c>
      <c r="AC179">
        <v>7.5048332030767967E-2</v>
      </c>
    </row>
    <row r="180" spans="1:29" x14ac:dyDescent="0.3">
      <c r="A180" t="s">
        <v>184</v>
      </c>
      <c r="B180">
        <v>2009</v>
      </c>
      <c r="C180">
        <v>2.9086625669618293E-2</v>
      </c>
      <c r="D180">
        <v>16.129372922817911</v>
      </c>
      <c r="J180">
        <f t="shared" si="4"/>
        <v>2.9086625669618293E-2</v>
      </c>
      <c r="K180">
        <f t="shared" si="5"/>
        <v>16.129372922817911</v>
      </c>
      <c r="AA180" t="s">
        <v>200</v>
      </c>
      <c r="AB180">
        <v>2009</v>
      </c>
      <c r="AC180">
        <v>5.5252624225035265E-3</v>
      </c>
    </row>
    <row r="181" spans="1:29" x14ac:dyDescent="0.3">
      <c r="A181" t="s">
        <v>185</v>
      </c>
      <c r="B181">
        <v>2009</v>
      </c>
      <c r="C181">
        <v>4.1887671570826228E-2</v>
      </c>
      <c r="D181">
        <v>13.477808765749295</v>
      </c>
      <c r="J181">
        <f t="shared" si="4"/>
        <v>4.1887671570826228E-2</v>
      </c>
      <c r="K181">
        <f t="shared" si="5"/>
        <v>13.477808765749295</v>
      </c>
      <c r="AA181" t="s">
        <v>201</v>
      </c>
      <c r="AB181">
        <v>2009</v>
      </c>
      <c r="AC181">
        <v>4.6943083048877638E-3</v>
      </c>
    </row>
    <row r="182" spans="1:29" x14ac:dyDescent="0.3">
      <c r="A182" t="s">
        <v>187</v>
      </c>
      <c r="B182">
        <v>2009</v>
      </c>
      <c r="C182">
        <v>3.4390763739343341E-2</v>
      </c>
      <c r="D182">
        <v>13.20372951664816</v>
      </c>
      <c r="J182">
        <f t="shared" si="4"/>
        <v>3.4390763739343341E-2</v>
      </c>
      <c r="K182">
        <f t="shared" si="5"/>
        <v>13.20372951664816</v>
      </c>
      <c r="AA182" t="s">
        <v>202</v>
      </c>
      <c r="AB182">
        <v>2009</v>
      </c>
      <c r="AC182">
        <v>5.708682334949531E-2</v>
      </c>
    </row>
    <row r="183" spans="1:29" x14ac:dyDescent="0.3">
      <c r="A183" t="s">
        <v>188</v>
      </c>
      <c r="B183">
        <v>2009</v>
      </c>
      <c r="C183">
        <v>2.4545994130665005E-2</v>
      </c>
      <c r="D183">
        <v>14.188654933209547</v>
      </c>
      <c r="J183">
        <f t="shared" si="4"/>
        <v>2.4545994130665005E-2</v>
      </c>
      <c r="K183">
        <f t="shared" si="5"/>
        <v>14.188654933209547</v>
      </c>
      <c r="AA183" t="s">
        <v>203</v>
      </c>
      <c r="AB183">
        <v>2009</v>
      </c>
      <c r="AC183">
        <v>1.0384273966178531E-3</v>
      </c>
    </row>
    <row r="184" spans="1:29" x14ac:dyDescent="0.3">
      <c r="A184" t="s">
        <v>190</v>
      </c>
      <c r="B184">
        <v>2009</v>
      </c>
      <c r="C184">
        <v>4.4915507595062855E-3</v>
      </c>
      <c r="D184">
        <v>12.546010299222964</v>
      </c>
      <c r="J184">
        <f t="shared" si="4"/>
        <v>4.4915507595062855E-3</v>
      </c>
      <c r="K184">
        <f t="shared" si="5"/>
        <v>12.546010299222964</v>
      </c>
      <c r="AA184" t="s">
        <v>204</v>
      </c>
      <c r="AB184">
        <v>2009</v>
      </c>
      <c r="AC184">
        <v>2.4493997460651461E-2</v>
      </c>
    </row>
    <row r="185" spans="1:29" x14ac:dyDescent="0.3">
      <c r="A185" t="s">
        <v>205</v>
      </c>
      <c r="B185">
        <v>2009</v>
      </c>
      <c r="C185">
        <v>0.1427932810081893</v>
      </c>
      <c r="D185">
        <v>14.988050588259846</v>
      </c>
      <c r="J185" t="str">
        <f t="shared" si="4"/>
        <v>OUT</v>
      </c>
      <c r="K185">
        <f t="shared" si="5"/>
        <v>14.988050588259846</v>
      </c>
      <c r="AA185" t="s">
        <v>206</v>
      </c>
      <c r="AB185">
        <v>2009</v>
      </c>
      <c r="AC185">
        <v>5.7842336801767813E-2</v>
      </c>
    </row>
    <row r="186" spans="1:29" x14ac:dyDescent="0.3">
      <c r="A186" t="s">
        <v>191</v>
      </c>
      <c r="B186">
        <v>2009</v>
      </c>
      <c r="C186">
        <v>9.9482112064774755E-4</v>
      </c>
      <c r="D186">
        <v>15.242364399150516</v>
      </c>
      <c r="J186">
        <f t="shared" si="4"/>
        <v>9.9482112064774755E-4</v>
      </c>
      <c r="K186">
        <f t="shared" si="5"/>
        <v>15.242364399150516</v>
      </c>
      <c r="AA186" t="s">
        <v>207</v>
      </c>
      <c r="AB186">
        <v>2009</v>
      </c>
      <c r="AC186">
        <v>2.2567414750510568E-2</v>
      </c>
    </row>
    <row r="187" spans="1:29" x14ac:dyDescent="0.3">
      <c r="A187" t="s">
        <v>192</v>
      </c>
      <c r="B187">
        <v>2009</v>
      </c>
      <c r="C187">
        <v>5.5180042741811931E-4</v>
      </c>
      <c r="D187">
        <v>14.247560471076914</v>
      </c>
      <c r="J187">
        <f t="shared" si="4"/>
        <v>5.5180042741811931E-4</v>
      </c>
      <c r="K187">
        <f t="shared" si="5"/>
        <v>14.247560471076914</v>
      </c>
      <c r="AA187" t="s">
        <v>208</v>
      </c>
      <c r="AB187">
        <v>2009</v>
      </c>
      <c r="AC187">
        <v>1.2276759625049673E-2</v>
      </c>
    </row>
    <row r="188" spans="1:29" x14ac:dyDescent="0.3">
      <c r="A188" t="s">
        <v>193</v>
      </c>
      <c r="B188">
        <v>2009</v>
      </c>
      <c r="C188">
        <v>5.1651024862751438E-3</v>
      </c>
      <c r="D188">
        <v>13.430340602900392</v>
      </c>
      <c r="J188">
        <f t="shared" si="4"/>
        <v>5.1651024862751438E-3</v>
      </c>
      <c r="K188">
        <f t="shared" si="5"/>
        <v>13.430340602900392</v>
      </c>
      <c r="AA188" t="s">
        <v>209</v>
      </c>
      <c r="AB188">
        <v>2009</v>
      </c>
      <c r="AC188">
        <v>1.2794112376699954E-2</v>
      </c>
    </row>
    <row r="189" spans="1:29" x14ac:dyDescent="0.3">
      <c r="A189" t="s">
        <v>194</v>
      </c>
      <c r="B189">
        <v>2009</v>
      </c>
      <c r="C189">
        <v>4.4740940644050496E-4</v>
      </c>
      <c r="D189">
        <v>14.417675579312229</v>
      </c>
      <c r="J189">
        <f t="shared" si="4"/>
        <v>4.4740940644050496E-4</v>
      </c>
      <c r="K189">
        <f t="shared" si="5"/>
        <v>14.417675579312229</v>
      </c>
      <c r="AA189" t="s">
        <v>210</v>
      </c>
      <c r="AB189">
        <v>2009</v>
      </c>
      <c r="AC189">
        <v>5.9500172472857753E-3</v>
      </c>
    </row>
    <row r="190" spans="1:29" x14ac:dyDescent="0.3">
      <c r="A190" t="s">
        <v>195</v>
      </c>
      <c r="B190">
        <v>2009</v>
      </c>
      <c r="C190">
        <v>2.7367897148961443E-2</v>
      </c>
      <c r="D190">
        <v>14.577164625273049</v>
      </c>
      <c r="J190">
        <f t="shared" si="4"/>
        <v>2.7367897148961443E-2</v>
      </c>
      <c r="K190">
        <f t="shared" si="5"/>
        <v>14.577164625273049</v>
      </c>
      <c r="AA190" t="s">
        <v>211</v>
      </c>
      <c r="AB190">
        <v>2009</v>
      </c>
      <c r="AC190">
        <v>4.8115794037458469E-4</v>
      </c>
    </row>
    <row r="191" spans="1:29" x14ac:dyDescent="0.3">
      <c r="A191" t="s">
        <v>196</v>
      </c>
      <c r="B191">
        <v>2009</v>
      </c>
      <c r="C191">
        <v>1.2920215150156881E-2</v>
      </c>
      <c r="D191">
        <v>13.344994797601782</v>
      </c>
      <c r="J191">
        <f t="shared" si="4"/>
        <v>1.2920215150156881E-2</v>
      </c>
      <c r="K191">
        <f t="shared" si="5"/>
        <v>13.344994797601782</v>
      </c>
      <c r="AA191" t="s">
        <v>212</v>
      </c>
      <c r="AB191">
        <v>2009</v>
      </c>
      <c r="AC191">
        <v>1.2511757071957648E-3</v>
      </c>
    </row>
    <row r="192" spans="1:29" x14ac:dyDescent="0.3">
      <c r="A192" t="s">
        <v>197</v>
      </c>
      <c r="B192">
        <v>2009</v>
      </c>
      <c r="C192">
        <v>4.3661774058992131E-2</v>
      </c>
      <c r="D192">
        <v>12.397246570901284</v>
      </c>
      <c r="J192">
        <f t="shared" si="4"/>
        <v>4.3661774058992131E-2</v>
      </c>
      <c r="K192">
        <f t="shared" si="5"/>
        <v>12.397246570901284</v>
      </c>
      <c r="AA192" t="s">
        <v>213</v>
      </c>
      <c r="AB192">
        <v>2009</v>
      </c>
      <c r="AC192">
        <v>5.6634052460919539E-3</v>
      </c>
    </row>
    <row r="193" spans="1:29" x14ac:dyDescent="0.3">
      <c r="A193" t="s">
        <v>198</v>
      </c>
      <c r="B193">
        <v>2009</v>
      </c>
      <c r="C193">
        <v>4.3625305316501925E-3</v>
      </c>
      <c r="D193">
        <v>14.846431984306376</v>
      </c>
      <c r="J193">
        <f t="shared" si="4"/>
        <v>4.3625305316501925E-3</v>
      </c>
      <c r="K193">
        <f t="shared" si="5"/>
        <v>14.846431984306376</v>
      </c>
      <c r="AA193" t="s">
        <v>214</v>
      </c>
      <c r="AB193">
        <v>2009</v>
      </c>
      <c r="AC193">
        <v>8.2039956074886067E-3</v>
      </c>
    </row>
    <row r="194" spans="1:29" x14ac:dyDescent="0.3">
      <c r="A194" t="s">
        <v>215</v>
      </c>
      <c r="B194">
        <v>2009</v>
      </c>
      <c r="C194">
        <v>0.11051689529871465</v>
      </c>
      <c r="D194">
        <v>16.229536752327707</v>
      </c>
      <c r="J194" t="str">
        <f t="shared" si="4"/>
        <v>OUT</v>
      </c>
      <c r="K194">
        <f t="shared" si="5"/>
        <v>16.229536752327707</v>
      </c>
      <c r="AA194" t="s">
        <v>216</v>
      </c>
      <c r="AB194">
        <v>2009</v>
      </c>
      <c r="AC194">
        <v>7.5009704495706021E-3</v>
      </c>
    </row>
    <row r="195" spans="1:29" x14ac:dyDescent="0.3">
      <c r="A195" t="s">
        <v>217</v>
      </c>
      <c r="B195">
        <v>2009</v>
      </c>
      <c r="C195">
        <v>0.14561237656897991</v>
      </c>
      <c r="D195">
        <v>14.281825517424759</v>
      </c>
      <c r="J195" t="str">
        <f t="shared" ref="J195:J258" si="6">IF(OR(C195&lt;$H$2,C195&gt;$I$2),"OUT",C195)</f>
        <v>OUT</v>
      </c>
      <c r="K195">
        <f t="shared" ref="K195:K258" si="7">IF(OR(D195&lt;$H$6,D195&gt;$I$6),"OUT",D195)</f>
        <v>14.281825517424759</v>
      </c>
      <c r="AA195" t="s">
        <v>218</v>
      </c>
      <c r="AB195">
        <v>2009</v>
      </c>
      <c r="AC195">
        <v>6.1639044958847157E-3</v>
      </c>
    </row>
    <row r="196" spans="1:29" x14ac:dyDescent="0.3">
      <c r="A196" t="s">
        <v>199</v>
      </c>
      <c r="B196">
        <v>2009</v>
      </c>
      <c r="C196">
        <v>7.5048332030767967E-2</v>
      </c>
      <c r="D196">
        <v>10.791831382359332</v>
      </c>
      <c r="J196">
        <f t="shared" si="6"/>
        <v>7.5048332030767967E-2</v>
      </c>
      <c r="K196">
        <f t="shared" si="7"/>
        <v>10.791831382359332</v>
      </c>
      <c r="AA196" t="s">
        <v>219</v>
      </c>
      <c r="AB196">
        <v>2009</v>
      </c>
      <c r="AC196">
        <v>3.9850924544695852E-3</v>
      </c>
    </row>
    <row r="197" spans="1:29" x14ac:dyDescent="0.3">
      <c r="A197" t="s">
        <v>200</v>
      </c>
      <c r="B197">
        <v>2009</v>
      </c>
      <c r="C197">
        <v>5.5252624225035265E-3</v>
      </c>
      <c r="D197">
        <v>13.028452617954414</v>
      </c>
      <c r="J197">
        <f t="shared" si="6"/>
        <v>5.5252624225035265E-3</v>
      </c>
      <c r="K197">
        <f t="shared" si="7"/>
        <v>13.028452617954414</v>
      </c>
      <c r="AA197" t="s">
        <v>220</v>
      </c>
      <c r="AB197">
        <v>2009</v>
      </c>
      <c r="AC197">
        <v>3.6165307137148075E-3</v>
      </c>
    </row>
    <row r="198" spans="1:29" x14ac:dyDescent="0.3">
      <c r="A198" t="s">
        <v>201</v>
      </c>
      <c r="B198">
        <v>2009</v>
      </c>
      <c r="C198">
        <v>4.6943083048877638E-3</v>
      </c>
      <c r="D198">
        <v>15.610253239652524</v>
      </c>
      <c r="J198">
        <f t="shared" si="6"/>
        <v>4.6943083048877638E-3</v>
      </c>
      <c r="K198">
        <f t="shared" si="7"/>
        <v>15.610253239652524</v>
      </c>
      <c r="AA198" t="s">
        <v>221</v>
      </c>
      <c r="AB198">
        <v>2009</v>
      </c>
      <c r="AC198">
        <v>2.7325513340387863E-2</v>
      </c>
    </row>
    <row r="199" spans="1:29" x14ac:dyDescent="0.3">
      <c r="A199" t="s">
        <v>202</v>
      </c>
      <c r="B199">
        <v>2009</v>
      </c>
      <c r="C199">
        <v>5.708682334949531E-2</v>
      </c>
      <c r="D199">
        <v>15.1106124498613</v>
      </c>
      <c r="J199">
        <f t="shared" si="6"/>
        <v>5.708682334949531E-2</v>
      </c>
      <c r="K199">
        <f t="shared" si="7"/>
        <v>15.1106124498613</v>
      </c>
      <c r="AA199" t="s">
        <v>222</v>
      </c>
      <c r="AB199">
        <v>2009</v>
      </c>
      <c r="AC199">
        <v>3.8943389144189288E-3</v>
      </c>
    </row>
    <row r="200" spans="1:29" x14ac:dyDescent="0.3">
      <c r="A200" t="s">
        <v>203</v>
      </c>
      <c r="B200">
        <v>2009</v>
      </c>
      <c r="C200">
        <v>1.0384273966178531E-3</v>
      </c>
      <c r="D200">
        <v>12.788941683143864</v>
      </c>
      <c r="J200">
        <f t="shared" si="6"/>
        <v>1.0384273966178531E-3</v>
      </c>
      <c r="K200">
        <f t="shared" si="7"/>
        <v>12.788941683143864</v>
      </c>
      <c r="AA200" t="s">
        <v>223</v>
      </c>
      <c r="AB200">
        <v>2009</v>
      </c>
      <c r="AC200">
        <v>1.5394868093826146E-2</v>
      </c>
    </row>
    <row r="201" spans="1:29" x14ac:dyDescent="0.3">
      <c r="A201" t="s">
        <v>204</v>
      </c>
      <c r="B201">
        <v>2009</v>
      </c>
      <c r="C201">
        <v>2.4493997460651461E-2</v>
      </c>
      <c r="D201">
        <v>15.035597725707316</v>
      </c>
      <c r="J201">
        <f t="shared" si="6"/>
        <v>2.4493997460651461E-2</v>
      </c>
      <c r="K201">
        <f t="shared" si="7"/>
        <v>15.035597725707316</v>
      </c>
      <c r="AA201" t="s">
        <v>224</v>
      </c>
      <c r="AB201">
        <v>2009</v>
      </c>
      <c r="AC201">
        <v>1.2339887243403597E-2</v>
      </c>
    </row>
    <row r="202" spans="1:29" x14ac:dyDescent="0.3">
      <c r="A202" t="s">
        <v>206</v>
      </c>
      <c r="B202">
        <v>2009</v>
      </c>
      <c r="C202">
        <v>5.7842336801767813E-2</v>
      </c>
      <c r="D202">
        <v>16.152451666016539</v>
      </c>
      <c r="J202">
        <f t="shared" si="6"/>
        <v>5.7842336801767813E-2</v>
      </c>
      <c r="K202">
        <f t="shared" si="7"/>
        <v>16.152451666016539</v>
      </c>
      <c r="AA202" t="s">
        <v>225</v>
      </c>
      <c r="AB202">
        <v>2009</v>
      </c>
      <c r="AC202">
        <v>8.1313638965640027E-3</v>
      </c>
    </row>
    <row r="203" spans="1:29" x14ac:dyDescent="0.3">
      <c r="A203" t="s">
        <v>207</v>
      </c>
      <c r="B203">
        <v>2009</v>
      </c>
      <c r="C203">
        <v>2.2567414750510568E-2</v>
      </c>
      <c r="D203">
        <v>15.083826239290715</v>
      </c>
      <c r="J203">
        <f t="shared" si="6"/>
        <v>2.2567414750510568E-2</v>
      </c>
      <c r="K203">
        <f t="shared" si="7"/>
        <v>15.083826239290715</v>
      </c>
      <c r="AA203" t="s">
        <v>226</v>
      </c>
      <c r="AB203">
        <v>2009</v>
      </c>
      <c r="AC203">
        <v>2.5960932886967755E-2</v>
      </c>
    </row>
    <row r="204" spans="1:29" x14ac:dyDescent="0.3">
      <c r="A204" t="s">
        <v>227</v>
      </c>
      <c r="B204">
        <v>2009</v>
      </c>
      <c r="C204">
        <v>0.12030684200495521</v>
      </c>
      <c r="D204">
        <v>12.031147666486438</v>
      </c>
      <c r="J204" t="str">
        <f t="shared" si="6"/>
        <v>OUT</v>
      </c>
      <c r="K204">
        <f t="shared" si="7"/>
        <v>12.031147666486438</v>
      </c>
      <c r="AA204" t="s">
        <v>228</v>
      </c>
      <c r="AB204">
        <v>2009</v>
      </c>
      <c r="AC204">
        <v>7.7283640654703875E-3</v>
      </c>
    </row>
    <row r="205" spans="1:29" x14ac:dyDescent="0.3">
      <c r="A205" t="s">
        <v>229</v>
      </c>
      <c r="B205">
        <v>2009</v>
      </c>
      <c r="C205">
        <v>0.17138702239245404</v>
      </c>
      <c r="D205">
        <v>13.496478159450053</v>
      </c>
      <c r="J205" t="str">
        <f t="shared" si="6"/>
        <v>OUT</v>
      </c>
      <c r="K205">
        <f t="shared" si="7"/>
        <v>13.496478159450053</v>
      </c>
      <c r="AA205" t="s">
        <v>230</v>
      </c>
      <c r="AB205">
        <v>2009</v>
      </c>
      <c r="AC205">
        <v>2.3557786781319128E-2</v>
      </c>
    </row>
    <row r="206" spans="1:29" x14ac:dyDescent="0.3">
      <c r="A206" t="s">
        <v>231</v>
      </c>
      <c r="B206">
        <v>2009</v>
      </c>
      <c r="C206">
        <v>0.12503239372527625</v>
      </c>
      <c r="D206">
        <v>15.757527567146838</v>
      </c>
      <c r="J206" t="str">
        <f t="shared" si="6"/>
        <v>OUT</v>
      </c>
      <c r="K206">
        <f t="shared" si="7"/>
        <v>15.757527567146838</v>
      </c>
      <c r="AA206" t="s">
        <v>232</v>
      </c>
      <c r="AB206">
        <v>2009</v>
      </c>
      <c r="AC206">
        <v>3.1980059369077767E-2</v>
      </c>
    </row>
    <row r="207" spans="1:29" x14ac:dyDescent="0.3">
      <c r="A207" t="s">
        <v>208</v>
      </c>
      <c r="B207">
        <v>2009</v>
      </c>
      <c r="C207">
        <v>1.2276759625049673E-2</v>
      </c>
      <c r="D207">
        <v>17.443724514426371</v>
      </c>
      <c r="J207">
        <f t="shared" si="6"/>
        <v>1.2276759625049673E-2</v>
      </c>
      <c r="K207">
        <f t="shared" si="7"/>
        <v>17.443724514426371</v>
      </c>
      <c r="AA207" t="s">
        <v>233</v>
      </c>
      <c r="AB207">
        <v>2009</v>
      </c>
      <c r="AC207">
        <v>1.6783832077308079E-3</v>
      </c>
    </row>
    <row r="208" spans="1:29" x14ac:dyDescent="0.3">
      <c r="A208" t="s">
        <v>209</v>
      </c>
      <c r="B208">
        <v>2009</v>
      </c>
      <c r="C208">
        <v>1.2794112376699954E-2</v>
      </c>
      <c r="D208">
        <v>15.372287925960839</v>
      </c>
      <c r="J208">
        <f t="shared" si="6"/>
        <v>1.2794112376699954E-2</v>
      </c>
      <c r="K208">
        <f t="shared" si="7"/>
        <v>15.372287925960839</v>
      </c>
      <c r="AA208" t="s">
        <v>234</v>
      </c>
      <c r="AB208">
        <v>2009</v>
      </c>
      <c r="AC208">
        <v>1.7553899581187762E-2</v>
      </c>
    </row>
    <row r="209" spans="1:29" x14ac:dyDescent="0.3">
      <c r="A209" t="s">
        <v>210</v>
      </c>
      <c r="B209">
        <v>2009</v>
      </c>
      <c r="C209">
        <v>5.9500172472857753E-3</v>
      </c>
      <c r="D209">
        <v>17.596690485438316</v>
      </c>
      <c r="J209">
        <f t="shared" si="6"/>
        <v>5.9500172472857753E-3</v>
      </c>
      <c r="K209">
        <f t="shared" si="7"/>
        <v>17.596690485438316</v>
      </c>
      <c r="AA209" t="s">
        <v>235</v>
      </c>
      <c r="AB209">
        <v>2009</v>
      </c>
      <c r="AC209">
        <v>5.0169201544828972E-3</v>
      </c>
    </row>
    <row r="210" spans="1:29" x14ac:dyDescent="0.3">
      <c r="A210" t="s">
        <v>211</v>
      </c>
      <c r="B210">
        <v>2009</v>
      </c>
      <c r="C210">
        <v>4.8115794037458469E-4</v>
      </c>
      <c r="D210">
        <v>15.30927697886278</v>
      </c>
      <c r="J210">
        <f t="shared" si="6"/>
        <v>4.8115794037458469E-4</v>
      </c>
      <c r="K210">
        <f t="shared" si="7"/>
        <v>15.30927697886278</v>
      </c>
      <c r="AA210" t="s">
        <v>236</v>
      </c>
      <c r="AB210">
        <v>2009</v>
      </c>
      <c r="AC210">
        <v>2.3959970797771006E-2</v>
      </c>
    </row>
    <row r="211" spans="1:29" x14ac:dyDescent="0.3">
      <c r="A211" t="s">
        <v>212</v>
      </c>
      <c r="B211">
        <v>2009</v>
      </c>
      <c r="C211">
        <v>1.2511757071957648E-3</v>
      </c>
      <c r="D211">
        <v>14.943905895573417</v>
      </c>
      <c r="J211">
        <f t="shared" si="6"/>
        <v>1.2511757071957648E-3</v>
      </c>
      <c r="K211">
        <f t="shared" si="7"/>
        <v>14.943905895573417</v>
      </c>
      <c r="AA211" t="s">
        <v>237</v>
      </c>
      <c r="AB211">
        <v>2009</v>
      </c>
      <c r="AC211">
        <v>3.6884312821289893E-2</v>
      </c>
    </row>
    <row r="212" spans="1:29" x14ac:dyDescent="0.3">
      <c r="A212" t="s">
        <v>213</v>
      </c>
      <c r="B212">
        <v>2009</v>
      </c>
      <c r="C212">
        <v>5.6634052460919539E-3</v>
      </c>
      <c r="D212">
        <v>16.888052194485176</v>
      </c>
      <c r="J212">
        <f t="shared" si="6"/>
        <v>5.6634052460919539E-3</v>
      </c>
      <c r="K212">
        <f t="shared" si="7"/>
        <v>16.888052194485176</v>
      </c>
      <c r="AA212" t="s">
        <v>238</v>
      </c>
      <c r="AB212">
        <v>2009</v>
      </c>
      <c r="AC212">
        <v>1.1183082818760752E-2</v>
      </c>
    </row>
    <row r="213" spans="1:29" x14ac:dyDescent="0.3">
      <c r="A213" t="s">
        <v>214</v>
      </c>
      <c r="B213">
        <v>2009</v>
      </c>
      <c r="C213">
        <v>8.2039956074886067E-3</v>
      </c>
      <c r="D213">
        <v>16.881072066489086</v>
      </c>
      <c r="J213">
        <f t="shared" si="6"/>
        <v>8.2039956074886067E-3</v>
      </c>
      <c r="K213">
        <f t="shared" si="7"/>
        <v>16.881072066489086</v>
      </c>
      <c r="AA213" t="s">
        <v>239</v>
      </c>
      <c r="AB213">
        <v>2009</v>
      </c>
      <c r="AC213">
        <v>2.5170499928318348E-2</v>
      </c>
    </row>
    <row r="214" spans="1:29" x14ac:dyDescent="0.3">
      <c r="A214" t="s">
        <v>216</v>
      </c>
      <c r="B214">
        <v>2009</v>
      </c>
      <c r="C214">
        <v>7.5009704495706021E-3</v>
      </c>
      <c r="D214">
        <v>14.772737069884865</v>
      </c>
      <c r="J214">
        <f t="shared" si="6"/>
        <v>7.5009704495706021E-3</v>
      </c>
      <c r="K214">
        <f t="shared" si="7"/>
        <v>14.772737069884865</v>
      </c>
      <c r="AA214" t="s">
        <v>240</v>
      </c>
      <c r="AB214">
        <v>2009</v>
      </c>
      <c r="AC214">
        <v>2.0606335409624216E-3</v>
      </c>
    </row>
    <row r="215" spans="1:29" x14ac:dyDescent="0.3">
      <c r="A215" t="s">
        <v>218</v>
      </c>
      <c r="B215">
        <v>2009</v>
      </c>
      <c r="C215">
        <v>6.1639044958847157E-3</v>
      </c>
      <c r="D215">
        <v>16.216028388848972</v>
      </c>
      <c r="J215">
        <f t="shared" si="6"/>
        <v>6.1639044958847157E-3</v>
      </c>
      <c r="K215">
        <f t="shared" si="7"/>
        <v>16.216028388848972</v>
      </c>
      <c r="AA215" t="s">
        <v>241</v>
      </c>
      <c r="AB215">
        <v>2009</v>
      </c>
      <c r="AC215">
        <v>3.2685835588532927E-2</v>
      </c>
    </row>
    <row r="216" spans="1:29" x14ac:dyDescent="0.3">
      <c r="A216" t="s">
        <v>219</v>
      </c>
      <c r="B216">
        <v>2009</v>
      </c>
      <c r="C216">
        <v>3.9850924544695852E-3</v>
      </c>
      <c r="D216">
        <v>15.970163230951105</v>
      </c>
      <c r="J216">
        <f t="shared" si="6"/>
        <v>3.9850924544695852E-3</v>
      </c>
      <c r="K216">
        <f t="shared" si="7"/>
        <v>15.970163230951105</v>
      </c>
      <c r="AA216" t="s">
        <v>242</v>
      </c>
      <c r="AB216">
        <v>2009</v>
      </c>
      <c r="AC216">
        <v>5.4247589883690849E-2</v>
      </c>
    </row>
    <row r="217" spans="1:29" x14ac:dyDescent="0.3">
      <c r="A217" t="s">
        <v>220</v>
      </c>
      <c r="B217">
        <v>2009</v>
      </c>
      <c r="C217">
        <v>3.6165307137148075E-3</v>
      </c>
      <c r="D217">
        <v>16.796344551227783</v>
      </c>
      <c r="J217">
        <f t="shared" si="6"/>
        <v>3.6165307137148075E-3</v>
      </c>
      <c r="K217">
        <f t="shared" si="7"/>
        <v>16.796344551227783</v>
      </c>
      <c r="AA217" t="s">
        <v>243</v>
      </c>
      <c r="AB217">
        <v>2009</v>
      </c>
      <c r="AC217">
        <v>3.8642970124252874E-3</v>
      </c>
    </row>
    <row r="218" spans="1:29" x14ac:dyDescent="0.3">
      <c r="A218" t="s">
        <v>221</v>
      </c>
      <c r="B218">
        <v>2009</v>
      </c>
      <c r="C218">
        <v>2.7325513340387863E-2</v>
      </c>
      <c r="D218">
        <v>17.463369091523482</v>
      </c>
      <c r="J218">
        <f t="shared" si="6"/>
        <v>2.7325513340387863E-2</v>
      </c>
      <c r="K218">
        <f t="shared" si="7"/>
        <v>17.463369091523482</v>
      </c>
      <c r="AA218" t="s">
        <v>244</v>
      </c>
      <c r="AB218">
        <v>2009</v>
      </c>
      <c r="AC218">
        <v>8.5469145489466426E-3</v>
      </c>
    </row>
    <row r="219" spans="1:29" x14ac:dyDescent="0.3">
      <c r="A219" t="s">
        <v>222</v>
      </c>
      <c r="B219">
        <v>2009</v>
      </c>
      <c r="C219">
        <v>3.8943389144189288E-3</v>
      </c>
      <c r="D219">
        <v>17.060476574451712</v>
      </c>
      <c r="J219">
        <f t="shared" si="6"/>
        <v>3.8943389144189288E-3</v>
      </c>
      <c r="K219">
        <f t="shared" si="7"/>
        <v>17.060476574451712</v>
      </c>
      <c r="AA219" t="s">
        <v>245</v>
      </c>
      <c r="AB219">
        <v>2009</v>
      </c>
      <c r="AC219">
        <v>4.4298278276787362E-3</v>
      </c>
    </row>
    <row r="220" spans="1:29" x14ac:dyDescent="0.3">
      <c r="A220" t="s">
        <v>223</v>
      </c>
      <c r="B220">
        <v>2009</v>
      </c>
      <c r="C220">
        <v>1.5394868093826146E-2</v>
      </c>
      <c r="D220">
        <v>16.152278116507336</v>
      </c>
      <c r="J220">
        <f t="shared" si="6"/>
        <v>1.5394868093826146E-2</v>
      </c>
      <c r="K220">
        <f t="shared" si="7"/>
        <v>16.152278116507336</v>
      </c>
      <c r="AA220" t="s">
        <v>246</v>
      </c>
      <c r="AB220">
        <v>2009</v>
      </c>
      <c r="AC220">
        <v>6.6770844080214871E-3</v>
      </c>
    </row>
    <row r="221" spans="1:29" x14ac:dyDescent="0.3">
      <c r="A221" t="s">
        <v>224</v>
      </c>
      <c r="B221">
        <v>2009</v>
      </c>
      <c r="C221">
        <v>1.2339887243403597E-2</v>
      </c>
      <c r="D221">
        <v>14.84316912536401</v>
      </c>
      <c r="J221">
        <f t="shared" si="6"/>
        <v>1.2339887243403597E-2</v>
      </c>
      <c r="K221">
        <f t="shared" si="7"/>
        <v>14.84316912536401</v>
      </c>
      <c r="AA221" t="s">
        <v>247</v>
      </c>
      <c r="AB221">
        <v>2009</v>
      </c>
      <c r="AC221">
        <v>2.2325773961714635E-2</v>
      </c>
    </row>
    <row r="222" spans="1:29" x14ac:dyDescent="0.3">
      <c r="A222" t="s">
        <v>225</v>
      </c>
      <c r="B222">
        <v>2009</v>
      </c>
      <c r="C222">
        <v>8.1313638965640027E-3</v>
      </c>
      <c r="D222">
        <v>13.002935489720246</v>
      </c>
      <c r="J222">
        <f t="shared" si="6"/>
        <v>8.1313638965640027E-3</v>
      </c>
      <c r="K222">
        <f t="shared" si="7"/>
        <v>13.002935489720246</v>
      </c>
      <c r="AA222" t="s">
        <v>248</v>
      </c>
      <c r="AB222">
        <v>2009</v>
      </c>
      <c r="AC222">
        <v>1.5332132316301891E-4</v>
      </c>
    </row>
    <row r="223" spans="1:29" x14ac:dyDescent="0.3">
      <c r="A223" t="s">
        <v>226</v>
      </c>
      <c r="B223">
        <v>2009</v>
      </c>
      <c r="C223">
        <v>2.5960932886967755E-2</v>
      </c>
      <c r="D223">
        <v>15.555183611349548</v>
      </c>
      <c r="J223">
        <f t="shared" si="6"/>
        <v>2.5960932886967755E-2</v>
      </c>
      <c r="K223">
        <f t="shared" si="7"/>
        <v>15.555183611349548</v>
      </c>
      <c r="AA223" t="s">
        <v>249</v>
      </c>
      <c r="AB223">
        <v>2009</v>
      </c>
      <c r="AC223">
        <v>7.0655410918580592E-3</v>
      </c>
    </row>
    <row r="224" spans="1:29" x14ac:dyDescent="0.3">
      <c r="A224" t="s">
        <v>228</v>
      </c>
      <c r="B224">
        <v>2009</v>
      </c>
      <c r="C224">
        <v>7.7283640654703875E-3</v>
      </c>
      <c r="D224">
        <v>14.037260338430995</v>
      </c>
      <c r="J224">
        <f t="shared" si="6"/>
        <v>7.7283640654703875E-3</v>
      </c>
      <c r="K224">
        <f t="shared" si="7"/>
        <v>14.037260338430995</v>
      </c>
      <c r="AA224" t="s">
        <v>250</v>
      </c>
      <c r="AB224">
        <v>2009</v>
      </c>
      <c r="AC224">
        <v>4.8645505421286944E-4</v>
      </c>
    </row>
    <row r="225" spans="1:29" x14ac:dyDescent="0.3">
      <c r="A225" t="s">
        <v>251</v>
      </c>
      <c r="B225">
        <v>2009</v>
      </c>
      <c r="C225">
        <v>0.13499982949354797</v>
      </c>
      <c r="D225">
        <v>14.329226600442512</v>
      </c>
      <c r="J225" t="str">
        <f t="shared" si="6"/>
        <v>OUT</v>
      </c>
      <c r="K225">
        <f t="shared" si="7"/>
        <v>14.329226600442512</v>
      </c>
      <c r="AA225" t="s">
        <v>252</v>
      </c>
      <c r="AB225">
        <v>2009</v>
      </c>
      <c r="AC225">
        <v>1.0745458322405315E-2</v>
      </c>
    </row>
    <row r="226" spans="1:29" x14ac:dyDescent="0.3">
      <c r="A226" t="s">
        <v>253</v>
      </c>
      <c r="B226">
        <v>2009</v>
      </c>
      <c r="C226">
        <v>0.47725728460190137</v>
      </c>
      <c r="D226">
        <v>15.814375113852769</v>
      </c>
      <c r="J226" t="str">
        <f t="shared" si="6"/>
        <v>OUT</v>
      </c>
      <c r="K226">
        <f t="shared" si="7"/>
        <v>15.814375113852769</v>
      </c>
      <c r="AA226" t="s">
        <v>254</v>
      </c>
      <c r="AB226">
        <v>2009</v>
      </c>
      <c r="AC226">
        <v>1.4690852676173996E-2</v>
      </c>
    </row>
    <row r="227" spans="1:29" x14ac:dyDescent="0.3">
      <c r="A227" t="s">
        <v>230</v>
      </c>
      <c r="B227">
        <v>2009</v>
      </c>
      <c r="C227">
        <v>2.3557786781319128E-2</v>
      </c>
      <c r="D227">
        <v>14.019618883454459</v>
      </c>
      <c r="J227">
        <f t="shared" si="6"/>
        <v>2.3557786781319128E-2</v>
      </c>
      <c r="K227">
        <f t="shared" si="7"/>
        <v>14.019618883454459</v>
      </c>
      <c r="AA227" t="s">
        <v>255</v>
      </c>
      <c r="AB227">
        <v>2009</v>
      </c>
      <c r="AC227">
        <v>1.1265871942839501E-2</v>
      </c>
    </row>
    <row r="228" spans="1:29" x14ac:dyDescent="0.3">
      <c r="A228" t="s">
        <v>256</v>
      </c>
      <c r="B228">
        <v>2009</v>
      </c>
      <c r="C228">
        <v>8.6228955622219342E-2</v>
      </c>
      <c r="D228">
        <v>15.814372675047144</v>
      </c>
      <c r="J228" t="str">
        <f t="shared" si="6"/>
        <v>OUT</v>
      </c>
      <c r="K228">
        <f t="shared" si="7"/>
        <v>15.814372675047144</v>
      </c>
      <c r="AA228" t="s">
        <v>257</v>
      </c>
      <c r="AB228">
        <v>2009</v>
      </c>
      <c r="AC228">
        <v>5.1324550679221717E-2</v>
      </c>
    </row>
    <row r="229" spans="1:29" x14ac:dyDescent="0.3">
      <c r="A229" t="s">
        <v>232</v>
      </c>
      <c r="B229">
        <v>2009</v>
      </c>
      <c r="C229">
        <v>3.1980059369077767E-2</v>
      </c>
      <c r="D229">
        <v>13.76845249284481</v>
      </c>
      <c r="J229">
        <f t="shared" si="6"/>
        <v>3.1980059369077767E-2</v>
      </c>
      <c r="K229">
        <f t="shared" si="7"/>
        <v>13.76845249284481</v>
      </c>
      <c r="AA229" t="s">
        <v>258</v>
      </c>
      <c r="AB229">
        <v>2009</v>
      </c>
      <c r="AC229">
        <v>9.1282072948029058E-4</v>
      </c>
    </row>
    <row r="230" spans="1:29" x14ac:dyDescent="0.3">
      <c r="A230" t="s">
        <v>233</v>
      </c>
      <c r="B230">
        <v>2009</v>
      </c>
      <c r="C230">
        <v>1.6783832077308079E-3</v>
      </c>
      <c r="D230">
        <v>12.712489565226406</v>
      </c>
      <c r="J230">
        <f t="shared" si="6"/>
        <v>1.6783832077308079E-3</v>
      </c>
      <c r="K230">
        <f t="shared" si="7"/>
        <v>12.712489565226406</v>
      </c>
      <c r="AA230" t="s">
        <v>259</v>
      </c>
      <c r="AB230">
        <v>2009</v>
      </c>
      <c r="AC230">
        <v>1.4747625085811955E-2</v>
      </c>
    </row>
    <row r="231" spans="1:29" x14ac:dyDescent="0.3">
      <c r="A231" t="s">
        <v>234</v>
      </c>
      <c r="B231">
        <v>2009</v>
      </c>
      <c r="C231">
        <v>1.7553899581187762E-2</v>
      </c>
      <c r="D231">
        <v>13.70421356736713</v>
      </c>
      <c r="J231">
        <f t="shared" si="6"/>
        <v>1.7553899581187762E-2</v>
      </c>
      <c r="K231">
        <f t="shared" si="7"/>
        <v>13.70421356736713</v>
      </c>
      <c r="AA231" t="s">
        <v>260</v>
      </c>
      <c r="AB231">
        <v>2009</v>
      </c>
      <c r="AC231">
        <v>1.6695822432911154E-2</v>
      </c>
    </row>
    <row r="232" spans="1:29" x14ac:dyDescent="0.3">
      <c r="A232" t="s">
        <v>235</v>
      </c>
      <c r="B232">
        <v>2009</v>
      </c>
      <c r="C232">
        <v>5.0169201544828972E-3</v>
      </c>
      <c r="D232">
        <v>13.991449287789006</v>
      </c>
      <c r="J232">
        <f t="shared" si="6"/>
        <v>5.0169201544828972E-3</v>
      </c>
      <c r="K232">
        <f t="shared" si="7"/>
        <v>13.991449287789006</v>
      </c>
      <c r="AA232" t="s">
        <v>261</v>
      </c>
      <c r="AB232">
        <v>2009</v>
      </c>
      <c r="AC232">
        <v>1.8792120483288006E-2</v>
      </c>
    </row>
    <row r="233" spans="1:29" x14ac:dyDescent="0.3">
      <c r="A233" t="s">
        <v>236</v>
      </c>
      <c r="B233">
        <v>2009</v>
      </c>
      <c r="C233">
        <v>2.3959970797771006E-2</v>
      </c>
      <c r="D233">
        <v>15.318902608833573</v>
      </c>
      <c r="J233">
        <f t="shared" si="6"/>
        <v>2.3959970797771006E-2</v>
      </c>
      <c r="K233">
        <f t="shared" si="7"/>
        <v>15.318902608833573</v>
      </c>
      <c r="AA233" t="s">
        <v>262</v>
      </c>
      <c r="AB233">
        <v>2009</v>
      </c>
      <c r="AC233">
        <v>2.5840313168230104E-2</v>
      </c>
    </row>
    <row r="234" spans="1:29" x14ac:dyDescent="0.3">
      <c r="A234" t="s">
        <v>263</v>
      </c>
      <c r="B234">
        <v>2009</v>
      </c>
      <c r="C234">
        <v>0.11523151232920567</v>
      </c>
      <c r="D234">
        <v>14.526785925511664</v>
      </c>
      <c r="J234" t="str">
        <f t="shared" si="6"/>
        <v>OUT</v>
      </c>
      <c r="K234">
        <f t="shared" si="7"/>
        <v>14.526785925511664</v>
      </c>
      <c r="AA234" t="s">
        <v>264</v>
      </c>
      <c r="AB234">
        <v>2009</v>
      </c>
      <c r="AC234">
        <v>2.9530868627842505E-2</v>
      </c>
    </row>
    <row r="235" spans="1:29" x14ac:dyDescent="0.3">
      <c r="A235" t="s">
        <v>237</v>
      </c>
      <c r="B235">
        <v>2009</v>
      </c>
      <c r="C235">
        <v>3.6884312821289893E-2</v>
      </c>
      <c r="D235">
        <v>15.193328848475129</v>
      </c>
      <c r="J235">
        <f t="shared" si="6"/>
        <v>3.6884312821289893E-2</v>
      </c>
      <c r="K235">
        <f t="shared" si="7"/>
        <v>15.193328848475129</v>
      </c>
      <c r="AA235" t="s">
        <v>265</v>
      </c>
      <c r="AB235">
        <v>2009</v>
      </c>
      <c r="AC235">
        <v>5.9343133602464111E-4</v>
      </c>
    </row>
    <row r="236" spans="1:29" x14ac:dyDescent="0.3">
      <c r="A236" t="s">
        <v>238</v>
      </c>
      <c r="B236">
        <v>2009</v>
      </c>
      <c r="C236">
        <v>1.1183082818760752E-2</v>
      </c>
      <c r="D236">
        <v>14.469626327452168</v>
      </c>
      <c r="J236">
        <f t="shared" si="6"/>
        <v>1.1183082818760752E-2</v>
      </c>
      <c r="K236">
        <f t="shared" si="7"/>
        <v>14.469626327452168</v>
      </c>
      <c r="AA236" t="s">
        <v>266</v>
      </c>
      <c r="AB236">
        <v>2009</v>
      </c>
      <c r="AC236">
        <v>3.51953420933908E-2</v>
      </c>
    </row>
    <row r="237" spans="1:29" x14ac:dyDescent="0.3">
      <c r="A237" t="s">
        <v>239</v>
      </c>
      <c r="B237">
        <v>2009</v>
      </c>
      <c r="C237">
        <v>2.5170499928318348E-2</v>
      </c>
      <c r="D237">
        <v>12.741948866582856</v>
      </c>
      <c r="J237">
        <f t="shared" si="6"/>
        <v>2.5170499928318348E-2</v>
      </c>
      <c r="K237">
        <f t="shared" si="7"/>
        <v>12.741948866582856</v>
      </c>
      <c r="AA237" t="s">
        <v>267</v>
      </c>
      <c r="AB237">
        <v>2009</v>
      </c>
      <c r="AC237">
        <v>2.0126914309201129E-2</v>
      </c>
    </row>
    <row r="238" spans="1:29" x14ac:dyDescent="0.3">
      <c r="A238" t="s">
        <v>240</v>
      </c>
      <c r="B238">
        <v>2009</v>
      </c>
      <c r="C238">
        <v>2.0606335409624216E-3</v>
      </c>
      <c r="D238">
        <v>16.11228761693534</v>
      </c>
      <c r="J238">
        <f t="shared" si="6"/>
        <v>2.0606335409624216E-3</v>
      </c>
      <c r="K238">
        <f t="shared" si="7"/>
        <v>16.11228761693534</v>
      </c>
      <c r="AA238" t="s">
        <v>268</v>
      </c>
      <c r="AB238">
        <v>2009</v>
      </c>
      <c r="AC238">
        <v>1.0699029277854571E-2</v>
      </c>
    </row>
    <row r="239" spans="1:29" x14ac:dyDescent="0.3">
      <c r="A239" t="s">
        <v>269</v>
      </c>
      <c r="B239">
        <v>2009</v>
      </c>
      <c r="C239">
        <v>0.47043364579179359</v>
      </c>
      <c r="D239">
        <v>16.844944641580252</v>
      </c>
      <c r="J239" t="str">
        <f t="shared" si="6"/>
        <v>OUT</v>
      </c>
      <c r="K239">
        <f t="shared" si="7"/>
        <v>16.844944641580252</v>
      </c>
      <c r="AA239" t="s">
        <v>270</v>
      </c>
      <c r="AB239">
        <v>2009</v>
      </c>
      <c r="AC239">
        <v>5.3743979783058542E-3</v>
      </c>
    </row>
    <row r="240" spans="1:29" x14ac:dyDescent="0.3">
      <c r="A240" t="s">
        <v>271</v>
      </c>
      <c r="B240">
        <v>2009</v>
      </c>
      <c r="C240">
        <v>0.14457359622831462</v>
      </c>
      <c r="D240">
        <v>15.760109419085801</v>
      </c>
      <c r="J240" t="str">
        <f t="shared" si="6"/>
        <v>OUT</v>
      </c>
      <c r="K240">
        <f t="shared" si="7"/>
        <v>15.760109419085801</v>
      </c>
      <c r="AA240" t="s">
        <v>272</v>
      </c>
      <c r="AB240">
        <v>2009</v>
      </c>
      <c r="AC240">
        <v>2.2146792245522854E-3</v>
      </c>
    </row>
    <row r="241" spans="1:29" x14ac:dyDescent="0.3">
      <c r="A241" t="s">
        <v>273</v>
      </c>
      <c r="B241">
        <v>2009</v>
      </c>
      <c r="C241">
        <v>0.2008198016576371</v>
      </c>
      <c r="D241">
        <v>16.686571161105174</v>
      </c>
      <c r="J241" t="str">
        <f t="shared" si="6"/>
        <v>OUT</v>
      </c>
      <c r="K241">
        <f t="shared" si="7"/>
        <v>16.686571161105174</v>
      </c>
      <c r="AA241" t="s">
        <v>274</v>
      </c>
      <c r="AB241">
        <v>2009</v>
      </c>
      <c r="AC241">
        <v>5.7839403968391212E-2</v>
      </c>
    </row>
    <row r="242" spans="1:29" x14ac:dyDescent="0.3">
      <c r="A242" t="s">
        <v>241</v>
      </c>
      <c r="B242">
        <v>2009</v>
      </c>
      <c r="C242">
        <v>3.2685835588532927E-2</v>
      </c>
      <c r="D242">
        <v>13.315865531066088</v>
      </c>
      <c r="J242">
        <f t="shared" si="6"/>
        <v>3.2685835588532927E-2</v>
      </c>
      <c r="K242">
        <f t="shared" si="7"/>
        <v>13.315865531066088</v>
      </c>
      <c r="AA242" t="s">
        <v>275</v>
      </c>
      <c r="AB242">
        <v>2009</v>
      </c>
      <c r="AC242">
        <v>7.6157862145541516E-2</v>
      </c>
    </row>
    <row r="243" spans="1:29" x14ac:dyDescent="0.3">
      <c r="A243" t="s">
        <v>242</v>
      </c>
      <c r="B243">
        <v>2009</v>
      </c>
      <c r="C243">
        <v>5.4247589883690849E-2</v>
      </c>
      <c r="D243">
        <v>17.328223941348117</v>
      </c>
      <c r="J243">
        <f t="shared" si="6"/>
        <v>5.4247589883690849E-2</v>
      </c>
      <c r="K243">
        <f t="shared" si="7"/>
        <v>17.328223941348117</v>
      </c>
      <c r="AA243" t="s">
        <v>276</v>
      </c>
      <c r="AB243">
        <v>2009</v>
      </c>
      <c r="AC243">
        <v>1.4381729390979699E-2</v>
      </c>
    </row>
    <row r="244" spans="1:29" x14ac:dyDescent="0.3">
      <c r="A244" t="s">
        <v>243</v>
      </c>
      <c r="B244">
        <v>2009</v>
      </c>
      <c r="C244">
        <v>3.8642970124252874E-3</v>
      </c>
      <c r="D244">
        <v>15.67642755178988</v>
      </c>
      <c r="J244">
        <f t="shared" si="6"/>
        <v>3.8642970124252874E-3</v>
      </c>
      <c r="K244">
        <f t="shared" si="7"/>
        <v>15.67642755178988</v>
      </c>
      <c r="AA244" t="s">
        <v>277</v>
      </c>
      <c r="AB244">
        <v>2009</v>
      </c>
      <c r="AC244">
        <v>1.8873622225577534E-4</v>
      </c>
    </row>
    <row r="245" spans="1:29" x14ac:dyDescent="0.3">
      <c r="A245" t="s">
        <v>244</v>
      </c>
      <c r="B245">
        <v>2009</v>
      </c>
      <c r="C245">
        <v>8.5469145489466426E-3</v>
      </c>
      <c r="D245">
        <v>18.697825991021681</v>
      </c>
      <c r="J245">
        <f t="shared" si="6"/>
        <v>8.5469145489466426E-3</v>
      </c>
      <c r="K245">
        <f t="shared" si="7"/>
        <v>18.697825991021681</v>
      </c>
      <c r="AA245" t="s">
        <v>278</v>
      </c>
      <c r="AB245">
        <v>2009</v>
      </c>
      <c r="AC245">
        <v>1.2254959249944422E-2</v>
      </c>
    </row>
    <row r="246" spans="1:29" x14ac:dyDescent="0.3">
      <c r="A246" t="s">
        <v>279</v>
      </c>
      <c r="B246">
        <v>2009</v>
      </c>
      <c r="C246">
        <v>9.5949087920604623E-2</v>
      </c>
      <c r="D246">
        <v>15.750086430383654</v>
      </c>
      <c r="J246" t="str">
        <f t="shared" si="6"/>
        <v>OUT</v>
      </c>
      <c r="K246">
        <f t="shared" si="7"/>
        <v>15.750086430383654</v>
      </c>
      <c r="AA246" t="s">
        <v>280</v>
      </c>
      <c r="AB246">
        <v>2009</v>
      </c>
      <c r="AC246">
        <v>2.6181018292315086E-2</v>
      </c>
    </row>
    <row r="247" spans="1:29" x14ac:dyDescent="0.3">
      <c r="A247" t="s">
        <v>245</v>
      </c>
      <c r="B247">
        <v>2009</v>
      </c>
      <c r="C247">
        <v>4.4298278276787362E-3</v>
      </c>
      <c r="D247">
        <v>12.939086964880705</v>
      </c>
      <c r="J247">
        <f t="shared" si="6"/>
        <v>4.4298278276787362E-3</v>
      </c>
      <c r="K247">
        <f t="shared" si="7"/>
        <v>12.939086964880705</v>
      </c>
      <c r="AA247" t="s">
        <v>281</v>
      </c>
      <c r="AB247">
        <v>2009</v>
      </c>
      <c r="AC247">
        <v>8.6411775065529939E-3</v>
      </c>
    </row>
    <row r="248" spans="1:29" x14ac:dyDescent="0.3">
      <c r="A248" t="s">
        <v>246</v>
      </c>
      <c r="B248">
        <v>2009</v>
      </c>
      <c r="C248">
        <v>6.6770844080214871E-3</v>
      </c>
      <c r="D248">
        <v>17.909175789493521</v>
      </c>
      <c r="J248">
        <f t="shared" si="6"/>
        <v>6.6770844080214871E-3</v>
      </c>
      <c r="K248">
        <f t="shared" si="7"/>
        <v>17.909175789493521</v>
      </c>
      <c r="AA248" t="s">
        <v>282</v>
      </c>
      <c r="AB248">
        <v>2009</v>
      </c>
      <c r="AC248">
        <v>4.7006545210697741E-2</v>
      </c>
    </row>
    <row r="249" spans="1:29" x14ac:dyDescent="0.3">
      <c r="A249" t="s">
        <v>247</v>
      </c>
      <c r="B249">
        <v>2009</v>
      </c>
      <c r="C249">
        <v>2.2325773961714635E-2</v>
      </c>
      <c r="D249">
        <v>18.997251388242749</v>
      </c>
      <c r="J249">
        <f t="shared" si="6"/>
        <v>2.2325773961714635E-2</v>
      </c>
      <c r="K249">
        <f t="shared" si="7"/>
        <v>18.997251388242749</v>
      </c>
    </row>
    <row r="250" spans="1:29" x14ac:dyDescent="0.3">
      <c r="A250" t="s">
        <v>248</v>
      </c>
      <c r="B250">
        <v>2009</v>
      </c>
      <c r="C250">
        <v>1.5332132316301891E-4</v>
      </c>
      <c r="D250">
        <v>12.567164321332942</v>
      </c>
      <c r="J250">
        <f t="shared" si="6"/>
        <v>1.5332132316301891E-4</v>
      </c>
      <c r="K250">
        <f t="shared" si="7"/>
        <v>12.567164321332942</v>
      </c>
    </row>
    <row r="251" spans="1:29" x14ac:dyDescent="0.3">
      <c r="A251" t="s">
        <v>249</v>
      </c>
      <c r="B251">
        <v>2009</v>
      </c>
      <c r="C251">
        <v>7.0655410918580592E-3</v>
      </c>
      <c r="D251">
        <v>15.064124359129023</v>
      </c>
      <c r="J251">
        <f t="shared" si="6"/>
        <v>7.0655410918580592E-3</v>
      </c>
      <c r="K251">
        <f t="shared" si="7"/>
        <v>15.064124359129023</v>
      </c>
    </row>
    <row r="252" spans="1:29" x14ac:dyDescent="0.3">
      <c r="A252" t="s">
        <v>250</v>
      </c>
      <c r="B252">
        <v>2009</v>
      </c>
      <c r="C252">
        <v>4.8645505421286944E-4</v>
      </c>
      <c r="D252">
        <v>16.039976475443392</v>
      </c>
      <c r="J252">
        <f t="shared" si="6"/>
        <v>4.8645505421286944E-4</v>
      </c>
      <c r="K252">
        <f t="shared" si="7"/>
        <v>16.039976475443392</v>
      </c>
    </row>
    <row r="253" spans="1:29" x14ac:dyDescent="0.3">
      <c r="A253" t="s">
        <v>252</v>
      </c>
      <c r="B253">
        <v>2009</v>
      </c>
      <c r="C253">
        <v>1.0745458322405315E-2</v>
      </c>
      <c r="D253">
        <v>18.624045677602162</v>
      </c>
      <c r="J253">
        <f t="shared" si="6"/>
        <v>1.0745458322405315E-2</v>
      </c>
      <c r="K253">
        <f t="shared" si="7"/>
        <v>18.624045677602162</v>
      </c>
    </row>
    <row r="254" spans="1:29" x14ac:dyDescent="0.3">
      <c r="A254" t="s">
        <v>254</v>
      </c>
      <c r="B254">
        <v>2009</v>
      </c>
      <c r="C254">
        <v>1.4690852676173996E-2</v>
      </c>
      <c r="D254">
        <v>18.426205454595067</v>
      </c>
      <c r="J254">
        <f t="shared" si="6"/>
        <v>1.4690852676173996E-2</v>
      </c>
      <c r="K254">
        <f t="shared" si="7"/>
        <v>18.426205454595067</v>
      </c>
    </row>
    <row r="255" spans="1:29" x14ac:dyDescent="0.3">
      <c r="A255" t="s">
        <v>255</v>
      </c>
      <c r="B255">
        <v>2009</v>
      </c>
      <c r="C255">
        <v>1.1265871942839501E-2</v>
      </c>
      <c r="D255">
        <v>18.335560733564375</v>
      </c>
      <c r="J255">
        <f t="shared" si="6"/>
        <v>1.1265871942839501E-2</v>
      </c>
      <c r="K255">
        <f t="shared" si="7"/>
        <v>18.335560733564375</v>
      </c>
    </row>
    <row r="256" spans="1:29" x14ac:dyDescent="0.3">
      <c r="A256" t="s">
        <v>283</v>
      </c>
      <c r="B256">
        <v>2009</v>
      </c>
      <c r="C256">
        <v>7.8168703581417961E-2</v>
      </c>
      <c r="D256">
        <v>14.885951741094233</v>
      </c>
      <c r="J256" t="str">
        <f t="shared" si="6"/>
        <v>OUT</v>
      </c>
      <c r="K256">
        <f t="shared" si="7"/>
        <v>14.885951741094233</v>
      </c>
    </row>
    <row r="257" spans="1:11" x14ac:dyDescent="0.3">
      <c r="A257" t="s">
        <v>284</v>
      </c>
      <c r="B257">
        <v>2009</v>
      </c>
      <c r="C257">
        <v>0.12716345577600741</v>
      </c>
      <c r="D257">
        <v>13.816685867017924</v>
      </c>
      <c r="J257" t="str">
        <f t="shared" si="6"/>
        <v>OUT</v>
      </c>
      <c r="K257">
        <f t="shared" si="7"/>
        <v>13.816685867017924</v>
      </c>
    </row>
    <row r="258" spans="1:11" x14ac:dyDescent="0.3">
      <c r="A258" t="s">
        <v>285</v>
      </c>
      <c r="B258">
        <v>2009</v>
      </c>
      <c r="C258">
        <v>0.13200492691092056</v>
      </c>
      <c r="D258">
        <v>16.636888194372705</v>
      </c>
      <c r="J258" t="str">
        <f t="shared" si="6"/>
        <v>OUT</v>
      </c>
      <c r="K258">
        <f t="shared" si="7"/>
        <v>16.636888194372705</v>
      </c>
    </row>
    <row r="259" spans="1:11" x14ac:dyDescent="0.3">
      <c r="A259" t="s">
        <v>257</v>
      </c>
      <c r="B259">
        <v>2009</v>
      </c>
      <c r="C259">
        <v>5.1324550679221717E-2</v>
      </c>
      <c r="D259">
        <v>15.649131321453462</v>
      </c>
      <c r="J259">
        <f t="shared" ref="J259:J286" si="8">IF(OR(C259&lt;$H$2,C259&gt;$I$2),"OUT",C259)</f>
        <v>5.1324550679221717E-2</v>
      </c>
      <c r="K259">
        <f t="shared" ref="K259:K286" si="9">IF(OR(D259&lt;$H$6,D259&gt;$I$6),"OUT",D259)</f>
        <v>15.649131321453462</v>
      </c>
    </row>
    <row r="260" spans="1:11" x14ac:dyDescent="0.3">
      <c r="A260" t="s">
        <v>258</v>
      </c>
      <c r="B260">
        <v>2009</v>
      </c>
      <c r="C260">
        <v>9.1282072948029058E-4</v>
      </c>
      <c r="D260">
        <v>16.078291159439601</v>
      </c>
      <c r="J260">
        <f t="shared" si="8"/>
        <v>9.1282072948029058E-4</v>
      </c>
      <c r="K260">
        <f t="shared" si="9"/>
        <v>16.078291159439601</v>
      </c>
    </row>
    <row r="261" spans="1:11" x14ac:dyDescent="0.3">
      <c r="A261" t="s">
        <v>259</v>
      </c>
      <c r="B261">
        <v>2009</v>
      </c>
      <c r="C261">
        <v>1.4747625085811955E-2</v>
      </c>
      <c r="D261">
        <v>16.942967211227913</v>
      </c>
      <c r="J261">
        <f t="shared" si="8"/>
        <v>1.4747625085811955E-2</v>
      </c>
      <c r="K261">
        <f t="shared" si="9"/>
        <v>16.942967211227913</v>
      </c>
    </row>
    <row r="262" spans="1:11" x14ac:dyDescent="0.3">
      <c r="A262" t="s">
        <v>286</v>
      </c>
      <c r="B262">
        <v>2009</v>
      </c>
      <c r="C262">
        <v>0.40689219694455558</v>
      </c>
      <c r="D262">
        <v>16.720904033890438</v>
      </c>
      <c r="J262" t="str">
        <f t="shared" si="8"/>
        <v>OUT</v>
      </c>
      <c r="K262">
        <f t="shared" si="9"/>
        <v>16.720904033890438</v>
      </c>
    </row>
    <row r="263" spans="1:11" x14ac:dyDescent="0.3">
      <c r="A263" t="s">
        <v>287</v>
      </c>
      <c r="B263">
        <v>2009</v>
      </c>
      <c r="C263">
        <v>0.14614771502368898</v>
      </c>
      <c r="D263">
        <v>17.656157919642752</v>
      </c>
      <c r="J263" t="str">
        <f t="shared" si="8"/>
        <v>OUT</v>
      </c>
      <c r="K263">
        <f t="shared" si="9"/>
        <v>17.656157919642752</v>
      </c>
    </row>
    <row r="264" spans="1:11" x14ac:dyDescent="0.3">
      <c r="A264" t="s">
        <v>288</v>
      </c>
      <c r="B264">
        <v>2009</v>
      </c>
      <c r="C264">
        <v>0.18420476220693113</v>
      </c>
      <c r="D264">
        <v>17.561351721850961</v>
      </c>
      <c r="J264" t="str">
        <f t="shared" si="8"/>
        <v>OUT</v>
      </c>
      <c r="K264">
        <f t="shared" si="9"/>
        <v>17.561351721850961</v>
      </c>
    </row>
    <row r="265" spans="1:11" x14ac:dyDescent="0.3">
      <c r="A265" t="s">
        <v>289</v>
      </c>
      <c r="B265">
        <v>2009</v>
      </c>
      <c r="C265">
        <v>0.11153973218842644</v>
      </c>
      <c r="D265">
        <v>17.413695834623542</v>
      </c>
      <c r="J265" t="str">
        <f t="shared" si="8"/>
        <v>OUT</v>
      </c>
      <c r="K265">
        <f t="shared" si="9"/>
        <v>17.413695834623542</v>
      </c>
    </row>
    <row r="266" spans="1:11" x14ac:dyDescent="0.3">
      <c r="A266" t="s">
        <v>260</v>
      </c>
      <c r="B266">
        <v>2009</v>
      </c>
      <c r="C266">
        <v>1.6695822432911154E-2</v>
      </c>
      <c r="D266">
        <v>18.233340185012491</v>
      </c>
      <c r="J266">
        <f t="shared" si="8"/>
        <v>1.6695822432911154E-2</v>
      </c>
      <c r="K266">
        <f t="shared" si="9"/>
        <v>18.233340185012491</v>
      </c>
    </row>
    <row r="267" spans="1:11" x14ac:dyDescent="0.3">
      <c r="A267" t="s">
        <v>290</v>
      </c>
      <c r="B267">
        <v>2009</v>
      </c>
      <c r="C267">
        <v>0.12005562712629977</v>
      </c>
      <c r="D267">
        <v>17.298805304276684</v>
      </c>
      <c r="J267" t="str">
        <f t="shared" si="8"/>
        <v>OUT</v>
      </c>
      <c r="K267">
        <f t="shared" si="9"/>
        <v>17.298805304276684</v>
      </c>
    </row>
    <row r="268" spans="1:11" x14ac:dyDescent="0.3">
      <c r="A268" t="s">
        <v>261</v>
      </c>
      <c r="B268">
        <v>2009</v>
      </c>
      <c r="C268">
        <v>1.8792120483288006E-2</v>
      </c>
      <c r="D268">
        <v>18.848700525602467</v>
      </c>
      <c r="J268">
        <f t="shared" si="8"/>
        <v>1.8792120483288006E-2</v>
      </c>
      <c r="K268">
        <f t="shared" si="9"/>
        <v>18.848700525602467</v>
      </c>
    </row>
    <row r="269" spans="1:11" x14ac:dyDescent="0.3">
      <c r="A269" t="s">
        <v>262</v>
      </c>
      <c r="B269">
        <v>2009</v>
      </c>
      <c r="C269">
        <v>2.5840313168230104E-2</v>
      </c>
      <c r="D269">
        <v>17.331634544009038</v>
      </c>
      <c r="J269">
        <f t="shared" si="8"/>
        <v>2.5840313168230104E-2</v>
      </c>
      <c r="K269">
        <f t="shared" si="9"/>
        <v>17.331634544009038</v>
      </c>
    </row>
    <row r="270" spans="1:11" x14ac:dyDescent="0.3">
      <c r="A270" t="s">
        <v>264</v>
      </c>
      <c r="B270">
        <v>2009</v>
      </c>
      <c r="C270">
        <v>2.9530868627842505E-2</v>
      </c>
      <c r="D270">
        <v>16.438521472591074</v>
      </c>
      <c r="J270">
        <f t="shared" si="8"/>
        <v>2.9530868627842505E-2</v>
      </c>
      <c r="K270">
        <f t="shared" si="9"/>
        <v>16.438521472591074</v>
      </c>
    </row>
    <row r="271" spans="1:11" x14ac:dyDescent="0.3">
      <c r="A271" t="s">
        <v>265</v>
      </c>
      <c r="B271">
        <v>2009</v>
      </c>
      <c r="C271">
        <v>5.9343133602464111E-4</v>
      </c>
      <c r="D271">
        <v>13.797776230261078</v>
      </c>
      <c r="J271">
        <f t="shared" si="8"/>
        <v>5.9343133602464111E-4</v>
      </c>
      <c r="K271">
        <f t="shared" si="9"/>
        <v>13.797776230261078</v>
      </c>
    </row>
    <row r="272" spans="1:11" x14ac:dyDescent="0.3">
      <c r="A272" t="s">
        <v>266</v>
      </c>
      <c r="B272">
        <v>2009</v>
      </c>
      <c r="C272">
        <v>3.51953420933908E-2</v>
      </c>
      <c r="D272">
        <v>12.772615812246707</v>
      </c>
      <c r="J272">
        <f t="shared" si="8"/>
        <v>3.51953420933908E-2</v>
      </c>
      <c r="K272">
        <f t="shared" si="9"/>
        <v>12.772615812246707</v>
      </c>
    </row>
    <row r="273" spans="1:11" x14ac:dyDescent="0.3">
      <c r="A273" t="s">
        <v>267</v>
      </c>
      <c r="B273">
        <v>2009</v>
      </c>
      <c r="C273">
        <v>2.0126914309201129E-2</v>
      </c>
      <c r="D273">
        <v>15.053166560128428</v>
      </c>
      <c r="J273">
        <f t="shared" si="8"/>
        <v>2.0126914309201129E-2</v>
      </c>
      <c r="K273">
        <f t="shared" si="9"/>
        <v>15.053166560128428</v>
      </c>
    </row>
    <row r="274" spans="1:11" x14ac:dyDescent="0.3">
      <c r="A274" t="s">
        <v>291</v>
      </c>
      <c r="B274">
        <v>2009</v>
      </c>
      <c r="C274">
        <v>0.41380910958253231</v>
      </c>
      <c r="D274">
        <v>13.212576955205281</v>
      </c>
      <c r="J274" t="str">
        <f t="shared" si="8"/>
        <v>OUT</v>
      </c>
      <c r="K274">
        <f t="shared" si="9"/>
        <v>13.212576955205281</v>
      </c>
    </row>
    <row r="275" spans="1:11" x14ac:dyDescent="0.3">
      <c r="A275" t="s">
        <v>268</v>
      </c>
      <c r="B275">
        <v>2009</v>
      </c>
      <c r="C275">
        <v>1.0699029277854571E-2</v>
      </c>
      <c r="D275">
        <v>12.858780570815853</v>
      </c>
      <c r="J275">
        <f t="shared" si="8"/>
        <v>1.0699029277854571E-2</v>
      </c>
      <c r="K275">
        <f t="shared" si="9"/>
        <v>12.858780570815853</v>
      </c>
    </row>
    <row r="276" spans="1:11" x14ac:dyDescent="0.3">
      <c r="A276" t="s">
        <v>270</v>
      </c>
      <c r="B276">
        <v>2009</v>
      </c>
      <c r="C276">
        <v>5.3743979783058542E-3</v>
      </c>
      <c r="D276">
        <v>16.948184278293542</v>
      </c>
      <c r="J276">
        <f t="shared" si="8"/>
        <v>5.3743979783058542E-3</v>
      </c>
      <c r="K276">
        <f t="shared" si="9"/>
        <v>16.948184278293542</v>
      </c>
    </row>
    <row r="277" spans="1:11" x14ac:dyDescent="0.3">
      <c r="A277" t="s">
        <v>272</v>
      </c>
      <c r="B277">
        <v>2009</v>
      </c>
      <c r="C277">
        <v>2.2146792245522854E-3</v>
      </c>
      <c r="D277">
        <v>13.271939610385196</v>
      </c>
      <c r="J277">
        <f t="shared" si="8"/>
        <v>2.2146792245522854E-3</v>
      </c>
      <c r="K277">
        <f t="shared" si="9"/>
        <v>13.271939610385196</v>
      </c>
    </row>
    <row r="278" spans="1:11" x14ac:dyDescent="0.3">
      <c r="A278" t="s">
        <v>274</v>
      </c>
      <c r="B278">
        <v>2009</v>
      </c>
      <c r="C278">
        <v>5.7839403968391212E-2</v>
      </c>
      <c r="D278">
        <v>17.004275362146387</v>
      </c>
      <c r="J278">
        <f t="shared" si="8"/>
        <v>5.7839403968391212E-2</v>
      </c>
      <c r="K278">
        <f t="shared" si="9"/>
        <v>17.004275362146387</v>
      </c>
    </row>
    <row r="279" spans="1:11" x14ac:dyDescent="0.3">
      <c r="A279" t="s">
        <v>275</v>
      </c>
      <c r="B279">
        <v>2009</v>
      </c>
      <c r="C279">
        <v>7.6157862145541516E-2</v>
      </c>
      <c r="D279">
        <v>14.443201463045604</v>
      </c>
      <c r="J279">
        <f t="shared" si="8"/>
        <v>7.6157862145541516E-2</v>
      </c>
      <c r="K279">
        <f t="shared" si="9"/>
        <v>14.443201463045604</v>
      </c>
    </row>
    <row r="280" spans="1:11" x14ac:dyDescent="0.3">
      <c r="A280" t="s">
        <v>276</v>
      </c>
      <c r="B280">
        <v>2009</v>
      </c>
      <c r="C280">
        <v>1.4381729390979699E-2</v>
      </c>
      <c r="D280">
        <v>13.081508048995172</v>
      </c>
      <c r="J280">
        <f t="shared" si="8"/>
        <v>1.4381729390979699E-2</v>
      </c>
      <c r="K280">
        <f t="shared" si="9"/>
        <v>13.081508048995172</v>
      </c>
    </row>
    <row r="281" spans="1:11" x14ac:dyDescent="0.3">
      <c r="A281" t="s">
        <v>292</v>
      </c>
      <c r="B281">
        <v>2009</v>
      </c>
      <c r="C281">
        <v>0.10213013353454077</v>
      </c>
      <c r="D281">
        <v>13.473552501712096</v>
      </c>
      <c r="J281" t="str">
        <f t="shared" si="8"/>
        <v>OUT</v>
      </c>
      <c r="K281">
        <f t="shared" si="9"/>
        <v>13.473552501712096</v>
      </c>
    </row>
    <row r="282" spans="1:11" x14ac:dyDescent="0.3">
      <c r="A282" t="s">
        <v>277</v>
      </c>
      <c r="B282">
        <v>2009</v>
      </c>
      <c r="C282">
        <v>1.8873622225577534E-4</v>
      </c>
      <c r="D282">
        <v>10.18459807960487</v>
      </c>
      <c r="J282">
        <f t="shared" si="8"/>
        <v>1.8873622225577534E-4</v>
      </c>
      <c r="K282">
        <f t="shared" si="9"/>
        <v>10.18459807960487</v>
      </c>
    </row>
    <row r="283" spans="1:11" x14ac:dyDescent="0.3">
      <c r="A283" t="s">
        <v>278</v>
      </c>
      <c r="B283">
        <v>2009</v>
      </c>
      <c r="C283">
        <v>1.2254959249944422E-2</v>
      </c>
      <c r="D283">
        <v>15.583868160397751</v>
      </c>
      <c r="J283">
        <f t="shared" si="8"/>
        <v>1.2254959249944422E-2</v>
      </c>
      <c r="K283">
        <f t="shared" si="9"/>
        <v>15.583868160397751</v>
      </c>
    </row>
    <row r="284" spans="1:11" x14ac:dyDescent="0.3">
      <c r="A284" t="s">
        <v>280</v>
      </c>
      <c r="B284">
        <v>2009</v>
      </c>
      <c r="C284">
        <v>2.6181018292315086E-2</v>
      </c>
      <c r="D284">
        <v>14.733029734990618</v>
      </c>
      <c r="J284">
        <f t="shared" si="8"/>
        <v>2.6181018292315086E-2</v>
      </c>
      <c r="K284">
        <f t="shared" si="9"/>
        <v>14.733029734990618</v>
      </c>
    </row>
    <row r="285" spans="1:11" x14ac:dyDescent="0.3">
      <c r="A285" t="s">
        <v>281</v>
      </c>
      <c r="B285">
        <v>2009</v>
      </c>
      <c r="C285">
        <v>8.6411775065529939E-3</v>
      </c>
      <c r="D285">
        <v>16.471221092861434</v>
      </c>
      <c r="J285">
        <f t="shared" si="8"/>
        <v>8.6411775065529939E-3</v>
      </c>
      <c r="K285">
        <f t="shared" si="9"/>
        <v>16.471221092861434</v>
      </c>
    </row>
    <row r="286" spans="1:11" x14ac:dyDescent="0.3">
      <c r="A286" t="s">
        <v>282</v>
      </c>
      <c r="B286">
        <v>2009</v>
      </c>
      <c r="C286">
        <v>4.7006545210697741E-2</v>
      </c>
      <c r="D286">
        <v>14.859077962420217</v>
      </c>
      <c r="J286">
        <f t="shared" si="8"/>
        <v>4.7006545210697741E-2</v>
      </c>
      <c r="K286">
        <f t="shared" si="9"/>
        <v>14.859077962420217</v>
      </c>
    </row>
    <row r="288" spans="1:11" s="2" customFormat="1" x14ac:dyDescent="0.3">
      <c r="A288" s="2" t="s">
        <v>300</v>
      </c>
      <c r="C288" s="2">
        <f>MEDIAN(C2:C286)</f>
        <v>8.3055009958866149E-3</v>
      </c>
      <c r="D288" s="2">
        <f>MEDIAN(D2:D286)</f>
        <v>14.498094644970328</v>
      </c>
    </row>
  </sheetData>
  <autoFilter ref="A1:K286" xr:uid="{ADE5A842-2C0F-46E7-9EEE-A2AAC74D263F}"/>
  <mergeCells count="1">
    <mergeCell ref="A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6736-255D-494F-8BEA-F10E8F8549E0}">
  <dimension ref="A1:J288"/>
  <sheetViews>
    <sheetView tabSelected="1" workbookViewId="0">
      <selection activeCell="H68" sqref="H68:H69"/>
    </sheetView>
  </sheetViews>
  <sheetFormatPr defaultRowHeight="14.4" x14ac:dyDescent="0.3"/>
  <sheetData>
    <row r="1" spans="1:10" x14ac:dyDescent="0.3">
      <c r="A1" s="3" t="s">
        <v>0</v>
      </c>
      <c r="B1" s="3" t="s">
        <v>1</v>
      </c>
      <c r="C1" t="s">
        <v>2</v>
      </c>
      <c r="D1" t="s">
        <v>3</v>
      </c>
      <c r="E1" t="s">
        <v>302</v>
      </c>
      <c r="F1" t="s">
        <v>303</v>
      </c>
      <c r="I1" t="s">
        <v>2</v>
      </c>
      <c r="J1" t="s">
        <v>3</v>
      </c>
    </row>
    <row r="2" spans="1:10" x14ac:dyDescent="0.3">
      <c r="A2" t="s">
        <v>5</v>
      </c>
      <c r="B2">
        <v>2009</v>
      </c>
      <c r="C2">
        <v>8.666031391362447E-3</v>
      </c>
      <c r="D2">
        <v>13.031333026054657</v>
      </c>
      <c r="E2">
        <f>IF(C2="OUT",$I$2,C2)</f>
        <v>8.666031391362447E-3</v>
      </c>
      <c r="F2">
        <f>IF(D2="OUT",$J$2,E2)</f>
        <v>8.666031391362447E-3</v>
      </c>
      <c r="H2" t="s">
        <v>300</v>
      </c>
      <c r="I2">
        <v>8.3055009958866149E-3</v>
      </c>
      <c r="J2">
        <v>14.498094644970328</v>
      </c>
    </row>
    <row r="3" spans="1:10" x14ac:dyDescent="0.3">
      <c r="A3" t="s">
        <v>9</v>
      </c>
      <c r="B3">
        <v>2009</v>
      </c>
      <c r="C3">
        <v>1.2530050517707121E-2</v>
      </c>
      <c r="D3">
        <v>13.268382226190615</v>
      </c>
      <c r="E3">
        <f t="shared" ref="E3:E66" si="0">IF(C3="OUT",$I$2,C3)</f>
        <v>1.2530050517707121E-2</v>
      </c>
      <c r="F3">
        <f t="shared" ref="F3:F66" si="1">IF(D3="OUT",$J$2,E3)</f>
        <v>1.2530050517707121E-2</v>
      </c>
    </row>
    <row r="4" spans="1:10" x14ac:dyDescent="0.3">
      <c r="A4" t="s">
        <v>10</v>
      </c>
      <c r="B4">
        <v>2009</v>
      </c>
      <c r="C4">
        <v>5.2190785507691775E-4</v>
      </c>
      <c r="D4">
        <v>13.910648904824345</v>
      </c>
      <c r="E4">
        <f t="shared" si="0"/>
        <v>5.2190785507691775E-4</v>
      </c>
      <c r="F4">
        <f t="shared" si="1"/>
        <v>5.2190785507691775E-4</v>
      </c>
    </row>
    <row r="5" spans="1:10" x14ac:dyDescent="0.3">
      <c r="A5" t="s">
        <v>11</v>
      </c>
      <c r="B5">
        <v>2009</v>
      </c>
      <c r="C5">
        <v>3.909915646623287E-3</v>
      </c>
      <c r="D5">
        <v>14.947923771023088</v>
      </c>
      <c r="E5">
        <f t="shared" si="0"/>
        <v>3.909915646623287E-3</v>
      </c>
      <c r="F5">
        <f t="shared" si="1"/>
        <v>3.909915646623287E-3</v>
      </c>
    </row>
    <row r="6" spans="1:10" x14ac:dyDescent="0.3">
      <c r="A6" t="s">
        <v>12</v>
      </c>
      <c r="B6">
        <v>2009</v>
      </c>
      <c r="C6">
        <v>1.6082009002141545E-3</v>
      </c>
      <c r="D6">
        <v>15.352760929957736</v>
      </c>
      <c r="E6">
        <f t="shared" si="0"/>
        <v>1.6082009002141545E-3</v>
      </c>
      <c r="F6">
        <f t="shared" si="1"/>
        <v>1.6082009002141545E-3</v>
      </c>
    </row>
    <row r="7" spans="1:10" x14ac:dyDescent="0.3">
      <c r="A7" t="s">
        <v>13</v>
      </c>
      <c r="B7">
        <v>2009</v>
      </c>
      <c r="C7">
        <v>6.3370381759873477E-3</v>
      </c>
      <c r="D7">
        <v>13.210945520095335</v>
      </c>
      <c r="E7">
        <f t="shared" si="0"/>
        <v>6.3370381759873477E-3</v>
      </c>
      <c r="F7">
        <f t="shared" si="1"/>
        <v>6.3370381759873477E-3</v>
      </c>
    </row>
    <row r="8" spans="1:10" x14ac:dyDescent="0.3">
      <c r="A8" t="s">
        <v>14</v>
      </c>
      <c r="B8">
        <v>2009</v>
      </c>
      <c r="C8">
        <v>7.4846284529053106E-3</v>
      </c>
      <c r="D8">
        <v>17.884453342864791</v>
      </c>
      <c r="E8">
        <f t="shared" si="0"/>
        <v>7.4846284529053106E-3</v>
      </c>
      <c r="F8">
        <f t="shared" si="1"/>
        <v>7.4846284529053106E-3</v>
      </c>
    </row>
    <row r="9" spans="1:10" x14ac:dyDescent="0.3">
      <c r="A9" t="s">
        <v>15</v>
      </c>
      <c r="B9">
        <v>2009</v>
      </c>
      <c r="C9">
        <v>3.9275542108730235E-4</v>
      </c>
      <c r="D9">
        <v>14.126457639098863</v>
      </c>
      <c r="E9">
        <f t="shared" si="0"/>
        <v>3.9275542108730235E-4</v>
      </c>
      <c r="F9">
        <f t="shared" si="1"/>
        <v>3.9275542108730235E-4</v>
      </c>
    </row>
    <row r="10" spans="1:10" x14ac:dyDescent="0.3">
      <c r="A10" t="s">
        <v>16</v>
      </c>
      <c r="B10">
        <v>2009</v>
      </c>
      <c r="C10">
        <v>7.2321779270202863E-3</v>
      </c>
      <c r="D10">
        <v>14.95783633674716</v>
      </c>
      <c r="E10">
        <f t="shared" si="0"/>
        <v>7.2321779270202863E-3</v>
      </c>
      <c r="F10">
        <f t="shared" si="1"/>
        <v>7.2321779270202863E-3</v>
      </c>
    </row>
    <row r="11" spans="1:10" x14ac:dyDescent="0.3">
      <c r="A11" t="s">
        <v>17</v>
      </c>
      <c r="B11">
        <v>2009</v>
      </c>
      <c r="C11">
        <v>5.2132979186694595E-3</v>
      </c>
      <c r="D11">
        <v>14.714445953481384</v>
      </c>
      <c r="E11">
        <f t="shared" si="0"/>
        <v>5.2132979186694595E-3</v>
      </c>
      <c r="F11">
        <f t="shared" si="1"/>
        <v>5.2132979186694595E-3</v>
      </c>
    </row>
    <row r="12" spans="1:10" x14ac:dyDescent="0.3">
      <c r="A12" t="s">
        <v>18</v>
      </c>
      <c r="B12">
        <v>2009</v>
      </c>
      <c r="C12">
        <v>1.998800719568259E-4</v>
      </c>
      <c r="D12">
        <v>12.924512258752458</v>
      </c>
      <c r="E12">
        <f t="shared" si="0"/>
        <v>1.998800719568259E-4</v>
      </c>
      <c r="F12">
        <f t="shared" si="1"/>
        <v>1.998800719568259E-4</v>
      </c>
    </row>
    <row r="13" spans="1:10" x14ac:dyDescent="0.3">
      <c r="A13" t="s">
        <v>19</v>
      </c>
      <c r="B13">
        <v>2009</v>
      </c>
      <c r="C13">
        <v>2.8635292642856448E-2</v>
      </c>
      <c r="D13">
        <v>13.940170338958785</v>
      </c>
      <c r="E13">
        <f t="shared" si="0"/>
        <v>2.8635292642856448E-2</v>
      </c>
      <c r="F13">
        <f t="shared" si="1"/>
        <v>2.8635292642856448E-2</v>
      </c>
    </row>
    <row r="14" spans="1:10" x14ac:dyDescent="0.3">
      <c r="A14" t="s">
        <v>20</v>
      </c>
      <c r="B14">
        <v>2009</v>
      </c>
      <c r="C14">
        <v>3.7395100021208579E-3</v>
      </c>
      <c r="D14">
        <v>16.64526244750493</v>
      </c>
      <c r="E14">
        <f t="shared" si="0"/>
        <v>3.7395100021208579E-3</v>
      </c>
      <c r="F14">
        <f t="shared" si="1"/>
        <v>3.7395100021208579E-3</v>
      </c>
    </row>
    <row r="15" spans="1:10" x14ac:dyDescent="0.3">
      <c r="A15" t="s">
        <v>21</v>
      </c>
      <c r="B15">
        <v>2009</v>
      </c>
      <c r="C15">
        <v>5.199900937480445E-4</v>
      </c>
      <c r="D15">
        <v>13.941823333954559</v>
      </c>
      <c r="E15">
        <f t="shared" si="0"/>
        <v>5.199900937480445E-4</v>
      </c>
      <c r="F15">
        <f t="shared" si="1"/>
        <v>5.199900937480445E-4</v>
      </c>
    </row>
    <row r="16" spans="1:10" x14ac:dyDescent="0.3">
      <c r="A16" t="s">
        <v>22</v>
      </c>
      <c r="B16">
        <v>2009</v>
      </c>
      <c r="C16">
        <v>5.4524936377978147E-3</v>
      </c>
      <c r="D16">
        <v>12.064981319916548</v>
      </c>
      <c r="E16">
        <f t="shared" si="0"/>
        <v>5.4524936377978147E-3</v>
      </c>
      <c r="F16">
        <f t="shared" si="1"/>
        <v>5.4524936377978147E-3</v>
      </c>
    </row>
    <row r="17" spans="1:6" x14ac:dyDescent="0.3">
      <c r="A17" t="s">
        <v>23</v>
      </c>
      <c r="B17">
        <v>2009</v>
      </c>
      <c r="C17">
        <v>5.0829186502665824E-3</v>
      </c>
      <c r="D17">
        <v>15.369843077080608</v>
      </c>
      <c r="E17">
        <f t="shared" si="0"/>
        <v>5.0829186502665824E-3</v>
      </c>
      <c r="F17">
        <f t="shared" si="1"/>
        <v>5.0829186502665824E-3</v>
      </c>
    </row>
    <row r="18" spans="1:6" x14ac:dyDescent="0.3">
      <c r="A18" t="s">
        <v>24</v>
      </c>
      <c r="B18">
        <v>2009</v>
      </c>
      <c r="C18">
        <v>3.6381214915127227E-3</v>
      </c>
      <c r="D18">
        <v>14.39968403649652</v>
      </c>
      <c r="E18">
        <f t="shared" si="0"/>
        <v>3.6381214915127227E-3</v>
      </c>
      <c r="F18">
        <f t="shared" si="1"/>
        <v>3.6381214915127227E-3</v>
      </c>
    </row>
    <row r="19" spans="1:6" x14ac:dyDescent="0.3">
      <c r="A19" t="s">
        <v>25</v>
      </c>
      <c r="B19">
        <v>2009</v>
      </c>
      <c r="C19">
        <v>2.5041344928446291E-3</v>
      </c>
      <c r="D19">
        <v>13.729171318675846</v>
      </c>
      <c r="E19">
        <f t="shared" si="0"/>
        <v>2.5041344928446291E-3</v>
      </c>
      <c r="F19">
        <f t="shared" si="1"/>
        <v>2.5041344928446291E-3</v>
      </c>
    </row>
    <row r="20" spans="1:6" x14ac:dyDescent="0.3">
      <c r="A20" t="s">
        <v>26</v>
      </c>
      <c r="B20">
        <v>2009</v>
      </c>
      <c r="C20">
        <v>8.3055009958866149E-3</v>
      </c>
      <c r="D20">
        <v>13.492516284165836</v>
      </c>
      <c r="E20">
        <f t="shared" si="0"/>
        <v>8.3055009958866149E-3</v>
      </c>
      <c r="F20">
        <f t="shared" si="1"/>
        <v>8.3055009958866149E-3</v>
      </c>
    </row>
    <row r="21" spans="1:6" x14ac:dyDescent="0.3">
      <c r="A21" t="s">
        <v>27</v>
      </c>
      <c r="B21">
        <v>2009</v>
      </c>
      <c r="C21">
        <v>1.6818360932793471E-3</v>
      </c>
      <c r="D21">
        <v>15.176615051633085</v>
      </c>
      <c r="E21">
        <f t="shared" si="0"/>
        <v>1.6818360932793471E-3</v>
      </c>
      <c r="F21">
        <f t="shared" si="1"/>
        <v>1.6818360932793471E-3</v>
      </c>
    </row>
    <row r="22" spans="1:6" x14ac:dyDescent="0.3">
      <c r="A22" t="s">
        <v>28</v>
      </c>
      <c r="B22">
        <v>2009</v>
      </c>
      <c r="C22">
        <v>4.5479892917161101E-3</v>
      </c>
      <c r="D22">
        <v>14.968261854799604</v>
      </c>
      <c r="E22">
        <f t="shared" si="0"/>
        <v>4.5479892917161101E-3</v>
      </c>
      <c r="F22">
        <f t="shared" si="1"/>
        <v>4.5479892917161101E-3</v>
      </c>
    </row>
    <row r="23" spans="1:6" x14ac:dyDescent="0.3">
      <c r="A23" t="s">
        <v>29</v>
      </c>
      <c r="B23">
        <v>2009</v>
      </c>
      <c r="C23">
        <v>1.1768330252618607E-2</v>
      </c>
      <c r="D23">
        <v>10.793228949176747</v>
      </c>
      <c r="E23">
        <f t="shared" si="0"/>
        <v>1.1768330252618607E-2</v>
      </c>
      <c r="F23">
        <f t="shared" si="1"/>
        <v>1.1768330252618607E-2</v>
      </c>
    </row>
    <row r="24" spans="1:6" x14ac:dyDescent="0.3">
      <c r="A24" t="s">
        <v>30</v>
      </c>
      <c r="B24">
        <v>2009</v>
      </c>
      <c r="C24">
        <v>8.9478988650804076E-3</v>
      </c>
      <c r="D24">
        <v>14.417463078339292</v>
      </c>
      <c r="E24">
        <f t="shared" si="0"/>
        <v>8.9478988650804076E-3</v>
      </c>
      <c r="F24">
        <f t="shared" si="1"/>
        <v>8.9478988650804076E-3</v>
      </c>
    </row>
    <row r="25" spans="1:6" x14ac:dyDescent="0.3">
      <c r="A25" t="s">
        <v>31</v>
      </c>
      <c r="B25">
        <v>2009</v>
      </c>
      <c r="C25">
        <v>4.7074822723218619E-3</v>
      </c>
      <c r="D25">
        <v>14.856149394856882</v>
      </c>
      <c r="E25">
        <f t="shared" si="0"/>
        <v>4.7074822723218619E-3</v>
      </c>
      <c r="F25">
        <f t="shared" si="1"/>
        <v>4.7074822723218619E-3</v>
      </c>
    </row>
    <row r="26" spans="1:6" x14ac:dyDescent="0.3">
      <c r="A26" t="s">
        <v>32</v>
      </c>
      <c r="B26">
        <v>2009</v>
      </c>
      <c r="C26">
        <v>1.144019770491234E-3</v>
      </c>
      <c r="D26">
        <v>16.079312098236493</v>
      </c>
      <c r="E26">
        <f t="shared" si="0"/>
        <v>1.144019770491234E-3</v>
      </c>
      <c r="F26">
        <f t="shared" si="1"/>
        <v>1.144019770491234E-3</v>
      </c>
    </row>
    <row r="27" spans="1:6" x14ac:dyDescent="0.3">
      <c r="A27" t="s">
        <v>33</v>
      </c>
      <c r="B27">
        <v>2009</v>
      </c>
      <c r="C27">
        <v>1.9010213185004603E-2</v>
      </c>
      <c r="D27">
        <v>16.023860463143006</v>
      </c>
      <c r="E27">
        <f t="shared" si="0"/>
        <v>1.9010213185004603E-2</v>
      </c>
      <c r="F27">
        <f t="shared" si="1"/>
        <v>1.9010213185004603E-2</v>
      </c>
    </row>
    <row r="28" spans="1:6" x14ac:dyDescent="0.3">
      <c r="A28" t="s">
        <v>34</v>
      </c>
      <c r="B28">
        <v>2009</v>
      </c>
      <c r="C28">
        <v>7.8985991313990141E-3</v>
      </c>
      <c r="D28">
        <v>16.097811919950306</v>
      </c>
      <c r="E28">
        <f t="shared" si="0"/>
        <v>7.8985991313990141E-3</v>
      </c>
      <c r="F28">
        <f t="shared" si="1"/>
        <v>7.8985991313990141E-3</v>
      </c>
    </row>
    <row r="29" spans="1:6" x14ac:dyDescent="0.3">
      <c r="A29" t="s">
        <v>35</v>
      </c>
      <c r="B29">
        <v>2009</v>
      </c>
      <c r="C29">
        <v>1.2523985513807781E-3</v>
      </c>
      <c r="D29">
        <v>14.874157776514181</v>
      </c>
      <c r="E29">
        <f t="shared" si="0"/>
        <v>1.2523985513807781E-3</v>
      </c>
      <c r="F29">
        <f t="shared" si="1"/>
        <v>1.2523985513807781E-3</v>
      </c>
    </row>
    <row r="30" spans="1:6" x14ac:dyDescent="0.3">
      <c r="A30" t="s">
        <v>36</v>
      </c>
      <c r="B30">
        <v>2009</v>
      </c>
      <c r="C30">
        <v>1.9674630964164136E-2</v>
      </c>
      <c r="D30">
        <v>15.614530605287797</v>
      </c>
      <c r="E30">
        <f t="shared" si="0"/>
        <v>1.9674630964164136E-2</v>
      </c>
      <c r="F30">
        <f t="shared" si="1"/>
        <v>1.9674630964164136E-2</v>
      </c>
    </row>
    <row r="31" spans="1:6" x14ac:dyDescent="0.3">
      <c r="A31" t="s">
        <v>37</v>
      </c>
      <c r="B31">
        <v>2009</v>
      </c>
      <c r="C31">
        <v>2.9962202255283781E-3</v>
      </c>
      <c r="D31">
        <v>14.749066583176603</v>
      </c>
      <c r="E31">
        <f t="shared" si="0"/>
        <v>2.9962202255283781E-3</v>
      </c>
      <c r="F31">
        <f t="shared" si="1"/>
        <v>2.9962202255283781E-3</v>
      </c>
    </row>
    <row r="32" spans="1:6" x14ac:dyDescent="0.3">
      <c r="A32" t="s">
        <v>38</v>
      </c>
      <c r="B32">
        <v>2009</v>
      </c>
      <c r="C32">
        <v>2.1242852178308532E-3</v>
      </c>
      <c r="D32">
        <v>13.581464034678403</v>
      </c>
      <c r="E32">
        <f t="shared" si="0"/>
        <v>2.1242852178308532E-3</v>
      </c>
      <c r="F32">
        <f t="shared" si="1"/>
        <v>2.1242852178308532E-3</v>
      </c>
    </row>
    <row r="33" spans="1:6" x14ac:dyDescent="0.3">
      <c r="A33" t="s">
        <v>39</v>
      </c>
      <c r="B33">
        <v>2009</v>
      </c>
      <c r="C33">
        <v>1.2822331856380154E-2</v>
      </c>
      <c r="D33">
        <v>13.108990355822229</v>
      </c>
      <c r="E33">
        <f t="shared" si="0"/>
        <v>1.2822331856380154E-2</v>
      </c>
      <c r="F33">
        <f t="shared" si="1"/>
        <v>1.2822331856380154E-2</v>
      </c>
    </row>
    <row r="34" spans="1:6" x14ac:dyDescent="0.3">
      <c r="A34" t="s">
        <v>40</v>
      </c>
      <c r="B34">
        <v>2009</v>
      </c>
      <c r="C34">
        <v>3.5010826217614421E-2</v>
      </c>
      <c r="D34">
        <v>14.333586832119291</v>
      </c>
      <c r="E34">
        <f t="shared" si="0"/>
        <v>3.5010826217614421E-2</v>
      </c>
      <c r="F34">
        <f t="shared" si="1"/>
        <v>3.5010826217614421E-2</v>
      </c>
    </row>
    <row r="35" spans="1:6" x14ac:dyDescent="0.3">
      <c r="A35" t="s">
        <v>41</v>
      </c>
      <c r="B35">
        <v>2009</v>
      </c>
      <c r="C35">
        <v>6.1235823404030103E-3</v>
      </c>
      <c r="D35">
        <v>16.043058046830662</v>
      </c>
      <c r="E35">
        <f t="shared" si="0"/>
        <v>6.1235823404030103E-3</v>
      </c>
      <c r="F35">
        <f t="shared" si="1"/>
        <v>6.1235823404030103E-3</v>
      </c>
    </row>
    <row r="36" spans="1:6" x14ac:dyDescent="0.3">
      <c r="A36" t="s">
        <v>42</v>
      </c>
      <c r="B36">
        <v>2009</v>
      </c>
      <c r="C36">
        <v>3.7535724250393865E-2</v>
      </c>
      <c r="D36">
        <v>15.271832954603907</v>
      </c>
      <c r="E36">
        <f t="shared" si="0"/>
        <v>3.7535724250393865E-2</v>
      </c>
      <c r="F36">
        <f t="shared" si="1"/>
        <v>3.7535724250393865E-2</v>
      </c>
    </row>
    <row r="37" spans="1:6" x14ac:dyDescent="0.3">
      <c r="A37" t="s">
        <v>43</v>
      </c>
      <c r="B37">
        <v>2009</v>
      </c>
      <c r="C37">
        <v>2.6088764569496153E-3</v>
      </c>
      <c r="D37">
        <v>12.44862266724941</v>
      </c>
      <c r="E37">
        <f t="shared" si="0"/>
        <v>2.6088764569496153E-3</v>
      </c>
      <c r="F37">
        <f t="shared" si="1"/>
        <v>2.6088764569496153E-3</v>
      </c>
    </row>
    <row r="38" spans="1:6" x14ac:dyDescent="0.3">
      <c r="A38" t="s">
        <v>44</v>
      </c>
      <c r="B38">
        <v>2009</v>
      </c>
      <c r="C38">
        <v>1.578474836967491E-3</v>
      </c>
      <c r="D38">
        <v>13.484802675484888</v>
      </c>
      <c r="E38">
        <f t="shared" si="0"/>
        <v>1.578474836967491E-3</v>
      </c>
      <c r="F38">
        <f t="shared" si="1"/>
        <v>1.578474836967491E-3</v>
      </c>
    </row>
    <row r="39" spans="1:6" x14ac:dyDescent="0.3">
      <c r="A39" t="s">
        <v>45</v>
      </c>
      <c r="B39">
        <v>2009</v>
      </c>
      <c r="C39">
        <v>6.4429747401843307E-4</v>
      </c>
      <c r="D39">
        <v>14.522074332169042</v>
      </c>
      <c r="E39">
        <f t="shared" si="0"/>
        <v>6.4429747401843307E-4</v>
      </c>
      <c r="F39">
        <f t="shared" si="1"/>
        <v>6.4429747401843307E-4</v>
      </c>
    </row>
    <row r="40" spans="1:6" x14ac:dyDescent="0.3">
      <c r="A40" t="s">
        <v>46</v>
      </c>
      <c r="B40">
        <v>2009</v>
      </c>
      <c r="C40">
        <v>4.0568591376739117E-3</v>
      </c>
      <c r="D40">
        <v>14.19242391658301</v>
      </c>
      <c r="E40">
        <f t="shared" si="0"/>
        <v>4.0568591376739117E-3</v>
      </c>
      <c r="F40">
        <f t="shared" si="1"/>
        <v>4.0568591376739117E-3</v>
      </c>
    </row>
    <row r="41" spans="1:6" x14ac:dyDescent="0.3">
      <c r="A41" t="s">
        <v>47</v>
      </c>
      <c r="B41">
        <v>2009</v>
      </c>
      <c r="C41">
        <v>4.4026321228684247E-3</v>
      </c>
      <c r="D41">
        <v>13.514728386008782</v>
      </c>
      <c r="E41">
        <f t="shared" si="0"/>
        <v>4.4026321228684247E-3</v>
      </c>
      <c r="F41">
        <f t="shared" si="1"/>
        <v>4.4026321228684247E-3</v>
      </c>
    </row>
    <row r="42" spans="1:6" x14ac:dyDescent="0.3">
      <c r="A42" t="s">
        <v>48</v>
      </c>
      <c r="B42">
        <v>2009</v>
      </c>
      <c r="C42">
        <v>1.6869508887443256E-2</v>
      </c>
      <c r="D42">
        <v>14.416900389934099</v>
      </c>
      <c r="E42">
        <f t="shared" si="0"/>
        <v>1.6869508887443256E-2</v>
      </c>
      <c r="F42">
        <f t="shared" si="1"/>
        <v>1.6869508887443256E-2</v>
      </c>
    </row>
    <row r="43" spans="1:6" x14ac:dyDescent="0.3">
      <c r="A43" t="s">
        <v>49</v>
      </c>
      <c r="B43">
        <v>2009</v>
      </c>
      <c r="C43">
        <v>9.3798086347410478E-3</v>
      </c>
      <c r="D43">
        <v>15.780060473581276</v>
      </c>
      <c r="E43">
        <f t="shared" si="0"/>
        <v>9.3798086347410478E-3</v>
      </c>
      <c r="F43">
        <f t="shared" si="1"/>
        <v>9.3798086347410478E-3</v>
      </c>
    </row>
    <row r="44" spans="1:6" x14ac:dyDescent="0.3">
      <c r="A44" t="s">
        <v>50</v>
      </c>
      <c r="B44">
        <v>2009</v>
      </c>
      <c r="C44">
        <v>4.846197139756734E-3</v>
      </c>
      <c r="D44">
        <v>14.496471790540296</v>
      </c>
      <c r="E44">
        <f t="shared" si="0"/>
        <v>4.846197139756734E-3</v>
      </c>
      <c r="F44">
        <f t="shared" si="1"/>
        <v>4.846197139756734E-3</v>
      </c>
    </row>
    <row r="45" spans="1:6" x14ac:dyDescent="0.3">
      <c r="A45" t="s">
        <v>51</v>
      </c>
      <c r="B45">
        <v>2009</v>
      </c>
      <c r="C45">
        <v>8.3630802210097124E-3</v>
      </c>
      <c r="D45">
        <v>14.059494629150326</v>
      </c>
      <c r="E45">
        <f t="shared" si="0"/>
        <v>8.3630802210097124E-3</v>
      </c>
      <c r="F45">
        <f t="shared" si="1"/>
        <v>8.3630802210097124E-3</v>
      </c>
    </row>
    <row r="46" spans="1:6" x14ac:dyDescent="0.3">
      <c r="A46" t="s">
        <v>52</v>
      </c>
      <c r="B46">
        <v>2009</v>
      </c>
      <c r="C46">
        <v>2.7347896609608138E-2</v>
      </c>
      <c r="D46">
        <v>12.774968101001971</v>
      </c>
      <c r="E46">
        <f t="shared" si="0"/>
        <v>2.7347896609608138E-2</v>
      </c>
      <c r="F46">
        <f t="shared" si="1"/>
        <v>2.7347896609608138E-2</v>
      </c>
    </row>
    <row r="47" spans="1:6" x14ac:dyDescent="0.3">
      <c r="A47" t="s">
        <v>53</v>
      </c>
      <c r="B47">
        <v>2009</v>
      </c>
      <c r="C47">
        <v>3.9024448817183968E-3</v>
      </c>
      <c r="D47">
        <v>14.102565934082923</v>
      </c>
      <c r="E47">
        <f t="shared" si="0"/>
        <v>3.9024448817183968E-3</v>
      </c>
      <c r="F47">
        <f t="shared" si="1"/>
        <v>3.9024448817183968E-3</v>
      </c>
    </row>
    <row r="48" spans="1:6" x14ac:dyDescent="0.3">
      <c r="A48" t="s">
        <v>54</v>
      </c>
      <c r="B48">
        <v>2009</v>
      </c>
      <c r="C48">
        <v>1.6067990307618311E-3</v>
      </c>
      <c r="D48">
        <v>14.497203892959057</v>
      </c>
      <c r="E48">
        <f t="shared" si="0"/>
        <v>1.6067990307618311E-3</v>
      </c>
      <c r="F48">
        <f t="shared" si="1"/>
        <v>1.6067990307618311E-3</v>
      </c>
    </row>
    <row r="49" spans="1:6" x14ac:dyDescent="0.3">
      <c r="A49" t="s">
        <v>55</v>
      </c>
      <c r="B49">
        <v>2009</v>
      </c>
      <c r="C49">
        <v>8.5426456678727464E-3</v>
      </c>
      <c r="D49">
        <v>13.745622285725689</v>
      </c>
      <c r="E49">
        <f t="shared" si="0"/>
        <v>8.5426456678727464E-3</v>
      </c>
      <c r="F49">
        <f t="shared" si="1"/>
        <v>8.5426456678727464E-3</v>
      </c>
    </row>
    <row r="50" spans="1:6" x14ac:dyDescent="0.3">
      <c r="A50" t="s">
        <v>56</v>
      </c>
      <c r="B50">
        <v>2009</v>
      </c>
      <c r="C50">
        <v>3.0471269422456758E-3</v>
      </c>
      <c r="D50">
        <v>13.209934597652472</v>
      </c>
      <c r="E50">
        <f t="shared" si="0"/>
        <v>3.0471269422456758E-3</v>
      </c>
      <c r="F50">
        <f t="shared" si="1"/>
        <v>3.0471269422456758E-3</v>
      </c>
    </row>
    <row r="51" spans="1:6" x14ac:dyDescent="0.3">
      <c r="A51" t="s">
        <v>57</v>
      </c>
      <c r="B51">
        <v>2009</v>
      </c>
      <c r="C51">
        <v>1.3958203190250309E-3</v>
      </c>
      <c r="D51">
        <v>12.987731951393444</v>
      </c>
      <c r="E51">
        <f t="shared" si="0"/>
        <v>1.3958203190250309E-3</v>
      </c>
      <c r="F51">
        <f t="shared" si="1"/>
        <v>1.3958203190250309E-3</v>
      </c>
    </row>
    <row r="52" spans="1:6" x14ac:dyDescent="0.3">
      <c r="A52" t="s">
        <v>58</v>
      </c>
      <c r="B52">
        <v>2009</v>
      </c>
      <c r="C52">
        <v>6.5098000183012872E-4</v>
      </c>
      <c r="D52">
        <v>14.03529968949791</v>
      </c>
      <c r="E52">
        <f t="shared" si="0"/>
        <v>6.5098000183012872E-4</v>
      </c>
      <c r="F52">
        <f t="shared" si="1"/>
        <v>6.5098000183012872E-4</v>
      </c>
    </row>
    <row r="53" spans="1:6" x14ac:dyDescent="0.3">
      <c r="A53" t="s">
        <v>59</v>
      </c>
      <c r="B53">
        <v>2009</v>
      </c>
      <c r="C53">
        <v>3.1095743230490233E-2</v>
      </c>
      <c r="D53">
        <v>16.017608905829082</v>
      </c>
      <c r="E53">
        <f t="shared" si="0"/>
        <v>3.1095743230490233E-2</v>
      </c>
      <c r="F53">
        <f t="shared" si="1"/>
        <v>3.1095743230490233E-2</v>
      </c>
    </row>
    <row r="54" spans="1:6" x14ac:dyDescent="0.3">
      <c r="A54" t="s">
        <v>60</v>
      </c>
      <c r="B54">
        <v>2009</v>
      </c>
      <c r="C54">
        <v>5.2330863717627745E-4</v>
      </c>
      <c r="D54">
        <v>14.76837079934741</v>
      </c>
      <c r="E54">
        <f t="shared" si="0"/>
        <v>5.2330863717627745E-4</v>
      </c>
      <c r="F54">
        <f t="shared" si="1"/>
        <v>5.2330863717627745E-4</v>
      </c>
    </row>
    <row r="55" spans="1:6" x14ac:dyDescent="0.3">
      <c r="A55" t="s">
        <v>61</v>
      </c>
      <c r="B55">
        <v>2009</v>
      </c>
      <c r="C55">
        <v>6.0484926450067302E-3</v>
      </c>
      <c r="D55">
        <v>16.401433726904546</v>
      </c>
      <c r="E55">
        <f t="shared" si="0"/>
        <v>6.0484926450067302E-3</v>
      </c>
      <c r="F55">
        <f t="shared" si="1"/>
        <v>6.0484926450067302E-3</v>
      </c>
    </row>
    <row r="56" spans="1:6" x14ac:dyDescent="0.3">
      <c r="A56" t="s">
        <v>62</v>
      </c>
      <c r="B56">
        <v>2009</v>
      </c>
      <c r="C56">
        <v>3.1511995289785967E-4</v>
      </c>
      <c r="D56">
        <v>12.393290529061629</v>
      </c>
      <c r="E56">
        <f t="shared" si="0"/>
        <v>3.1511995289785967E-4</v>
      </c>
      <c r="F56">
        <f t="shared" si="1"/>
        <v>3.1511995289785967E-4</v>
      </c>
    </row>
    <row r="57" spans="1:6" x14ac:dyDescent="0.3">
      <c r="A57" t="s">
        <v>63</v>
      </c>
      <c r="B57">
        <v>2009</v>
      </c>
      <c r="C57">
        <v>2.0881017805899783E-3</v>
      </c>
      <c r="D57">
        <v>15.301280728774248</v>
      </c>
      <c r="E57">
        <f t="shared" si="0"/>
        <v>2.0881017805899783E-3</v>
      </c>
      <c r="F57">
        <f t="shared" si="1"/>
        <v>2.0881017805899783E-3</v>
      </c>
    </row>
    <row r="58" spans="1:6" x14ac:dyDescent="0.3">
      <c r="A58" t="s">
        <v>64</v>
      </c>
      <c r="B58">
        <v>2009</v>
      </c>
      <c r="C58">
        <v>6.1357125390632886E-3</v>
      </c>
      <c r="D58">
        <v>14.106128067800963</v>
      </c>
      <c r="E58">
        <f t="shared" si="0"/>
        <v>6.1357125390632886E-3</v>
      </c>
      <c r="F58">
        <f t="shared" si="1"/>
        <v>6.1357125390632886E-3</v>
      </c>
    </row>
    <row r="59" spans="1:6" x14ac:dyDescent="0.3">
      <c r="A59" t="s">
        <v>65</v>
      </c>
      <c r="B59">
        <v>2009</v>
      </c>
      <c r="C59">
        <v>3.3364654767708828E-2</v>
      </c>
      <c r="D59">
        <v>16.079535575535871</v>
      </c>
      <c r="E59">
        <f t="shared" si="0"/>
        <v>3.3364654767708828E-2</v>
      </c>
      <c r="F59">
        <f t="shared" si="1"/>
        <v>3.3364654767708828E-2</v>
      </c>
    </row>
    <row r="60" spans="1:6" x14ac:dyDescent="0.3">
      <c r="A60" t="s">
        <v>66</v>
      </c>
      <c r="B60">
        <v>2009</v>
      </c>
      <c r="C60">
        <v>5.1825708909656481E-4</v>
      </c>
      <c r="D60">
        <v>13.702766181915363</v>
      </c>
      <c r="E60">
        <f t="shared" si="0"/>
        <v>5.1825708909656481E-4</v>
      </c>
      <c r="F60">
        <f t="shared" si="1"/>
        <v>5.1825708909656481E-4</v>
      </c>
    </row>
    <row r="61" spans="1:6" x14ac:dyDescent="0.3">
      <c r="A61" t="s">
        <v>67</v>
      </c>
      <c r="B61">
        <v>2009</v>
      </c>
      <c r="C61">
        <v>3.8418684325550725E-3</v>
      </c>
      <c r="D61">
        <v>14.498094644970328</v>
      </c>
      <c r="E61">
        <f t="shared" si="0"/>
        <v>3.8418684325550725E-3</v>
      </c>
      <c r="F61">
        <f t="shared" si="1"/>
        <v>3.8418684325550725E-3</v>
      </c>
    </row>
    <row r="62" spans="1:6" x14ac:dyDescent="0.3">
      <c r="A62" t="s">
        <v>68</v>
      </c>
      <c r="B62">
        <v>2009</v>
      </c>
      <c r="C62">
        <v>6.9772753225990636E-3</v>
      </c>
      <c r="D62">
        <v>11.38019375251627</v>
      </c>
      <c r="E62">
        <f t="shared" si="0"/>
        <v>6.9772753225990636E-3</v>
      </c>
      <c r="F62">
        <f t="shared" si="1"/>
        <v>6.9772753225990636E-3</v>
      </c>
    </row>
    <row r="63" spans="1:6" x14ac:dyDescent="0.3">
      <c r="A63" t="s">
        <v>69</v>
      </c>
      <c r="B63">
        <v>2009</v>
      </c>
      <c r="C63">
        <v>4.9043047534973823E-4</v>
      </c>
      <c r="D63">
        <v>11.309106485525438</v>
      </c>
      <c r="E63">
        <f t="shared" si="0"/>
        <v>4.9043047534973823E-4</v>
      </c>
      <c r="F63">
        <f t="shared" si="1"/>
        <v>4.9043047534973823E-4</v>
      </c>
    </row>
    <row r="64" spans="1:6" x14ac:dyDescent="0.3">
      <c r="A64" t="s">
        <v>70</v>
      </c>
      <c r="B64">
        <v>2009</v>
      </c>
      <c r="C64">
        <v>4.3556304315510677E-2</v>
      </c>
      <c r="D64">
        <v>13.346509625849709</v>
      </c>
      <c r="E64">
        <f t="shared" si="0"/>
        <v>4.3556304315510677E-2</v>
      </c>
      <c r="F64">
        <f t="shared" si="1"/>
        <v>4.3556304315510677E-2</v>
      </c>
    </row>
    <row r="65" spans="1:6" x14ac:dyDescent="0.3">
      <c r="A65" t="s">
        <v>71</v>
      </c>
      <c r="B65">
        <v>2009</v>
      </c>
      <c r="C65">
        <v>3.7879668686605617E-3</v>
      </c>
      <c r="D65">
        <v>14.070259747360437</v>
      </c>
      <c r="E65">
        <f t="shared" si="0"/>
        <v>3.7879668686605617E-3</v>
      </c>
      <c r="F65">
        <f t="shared" si="1"/>
        <v>3.7879668686605617E-3</v>
      </c>
    </row>
    <row r="66" spans="1:6" x14ac:dyDescent="0.3">
      <c r="A66" t="s">
        <v>72</v>
      </c>
      <c r="B66">
        <v>2009</v>
      </c>
      <c r="C66">
        <v>1.7253890757666355E-3</v>
      </c>
      <c r="D66">
        <v>16.801669402128816</v>
      </c>
      <c r="E66">
        <f t="shared" si="0"/>
        <v>1.7253890757666355E-3</v>
      </c>
      <c r="F66">
        <f t="shared" si="1"/>
        <v>1.7253890757666355E-3</v>
      </c>
    </row>
    <row r="67" spans="1:6" x14ac:dyDescent="0.3">
      <c r="A67" t="s">
        <v>73</v>
      </c>
      <c r="B67">
        <v>2009</v>
      </c>
      <c r="C67">
        <v>3.5380671771362174E-3</v>
      </c>
      <c r="D67">
        <v>17.265900752880569</v>
      </c>
      <c r="E67">
        <f t="shared" ref="E67:E130" si="2">IF(C67="OUT",$I$2,C67)</f>
        <v>3.5380671771362174E-3</v>
      </c>
      <c r="F67">
        <f t="shared" ref="F67:F130" si="3">IF(D67="OUT",$J$2,E67)</f>
        <v>3.5380671771362174E-3</v>
      </c>
    </row>
    <row r="68" spans="1:6" x14ac:dyDescent="0.3">
      <c r="A68" t="s">
        <v>74</v>
      </c>
      <c r="B68">
        <v>2009</v>
      </c>
      <c r="C68">
        <v>6.1420351017666091E-4</v>
      </c>
      <c r="D68">
        <v>14.837090962986984</v>
      </c>
      <c r="E68">
        <f t="shared" si="2"/>
        <v>6.1420351017666091E-4</v>
      </c>
      <c r="F68">
        <f t="shared" si="3"/>
        <v>6.1420351017666091E-4</v>
      </c>
    </row>
    <row r="69" spans="1:6" x14ac:dyDescent="0.3">
      <c r="A69" t="s">
        <v>75</v>
      </c>
      <c r="B69">
        <v>2009</v>
      </c>
      <c r="C69">
        <v>3.5098568001328363E-3</v>
      </c>
      <c r="D69">
        <v>12.070544975955775</v>
      </c>
      <c r="E69">
        <f t="shared" si="2"/>
        <v>3.5098568001328363E-3</v>
      </c>
      <c r="F69">
        <f t="shared" si="3"/>
        <v>3.5098568001328363E-3</v>
      </c>
    </row>
    <row r="70" spans="1:6" x14ac:dyDescent="0.3">
      <c r="A70" t="s">
        <v>76</v>
      </c>
      <c r="B70">
        <v>2009</v>
      </c>
      <c r="C70">
        <v>2.0381957082697043E-2</v>
      </c>
      <c r="D70">
        <v>14.897552310497723</v>
      </c>
      <c r="E70">
        <f t="shared" si="2"/>
        <v>2.0381957082697043E-2</v>
      </c>
      <c r="F70">
        <f t="shared" si="3"/>
        <v>2.0381957082697043E-2</v>
      </c>
    </row>
    <row r="71" spans="1:6" x14ac:dyDescent="0.3">
      <c r="A71" t="s">
        <v>77</v>
      </c>
      <c r="B71">
        <v>2009</v>
      </c>
      <c r="C71">
        <v>1.5758248591340345E-3</v>
      </c>
      <c r="D71">
        <v>14.158238898579265</v>
      </c>
      <c r="E71">
        <f t="shared" si="2"/>
        <v>1.5758248591340345E-3</v>
      </c>
      <c r="F71">
        <f t="shared" si="3"/>
        <v>1.5758248591340345E-3</v>
      </c>
    </row>
    <row r="72" spans="1:6" x14ac:dyDescent="0.3">
      <c r="A72" t="s">
        <v>78</v>
      </c>
      <c r="B72">
        <v>2009</v>
      </c>
      <c r="C72">
        <v>4.0929034158783979E-3</v>
      </c>
      <c r="D72">
        <v>14.252345771896591</v>
      </c>
      <c r="E72">
        <f t="shared" si="2"/>
        <v>4.0929034158783979E-3</v>
      </c>
      <c r="F72">
        <f t="shared" si="3"/>
        <v>4.0929034158783979E-3</v>
      </c>
    </row>
    <row r="73" spans="1:6" x14ac:dyDescent="0.3">
      <c r="A73" t="s">
        <v>79</v>
      </c>
      <c r="B73">
        <v>2009</v>
      </c>
      <c r="C73">
        <v>2.0315740466415543E-3</v>
      </c>
      <c r="D73">
        <v>13.759024858977412</v>
      </c>
      <c r="E73">
        <f t="shared" si="2"/>
        <v>2.0315740466415543E-3</v>
      </c>
      <c r="F73">
        <f t="shared" si="3"/>
        <v>2.0315740466415543E-3</v>
      </c>
    </row>
    <row r="74" spans="1:6" x14ac:dyDescent="0.3">
      <c r="A74" t="s">
        <v>80</v>
      </c>
      <c r="B74">
        <v>2009</v>
      </c>
      <c r="C74">
        <v>3.4930250584433697E-4</v>
      </c>
      <c r="D74">
        <v>16.002914402715774</v>
      </c>
      <c r="E74">
        <f t="shared" si="2"/>
        <v>3.4930250584433697E-4</v>
      </c>
      <c r="F74">
        <f t="shared" si="3"/>
        <v>3.4930250584433697E-4</v>
      </c>
    </row>
    <row r="75" spans="1:6" x14ac:dyDescent="0.3">
      <c r="A75" t="s">
        <v>81</v>
      </c>
      <c r="B75">
        <v>2009</v>
      </c>
      <c r="C75">
        <v>4.7114225109433604E-3</v>
      </c>
      <c r="D75">
        <v>12.987741104271681</v>
      </c>
      <c r="E75">
        <f t="shared" si="2"/>
        <v>4.7114225109433604E-3</v>
      </c>
      <c r="F75">
        <f t="shared" si="3"/>
        <v>4.7114225109433604E-3</v>
      </c>
    </row>
    <row r="76" spans="1:6" x14ac:dyDescent="0.3">
      <c r="A76" t="s">
        <v>82</v>
      </c>
      <c r="B76">
        <v>2009</v>
      </c>
      <c r="C76">
        <v>5.9166215194868602E-3</v>
      </c>
      <c r="D76">
        <v>14.21771034069547</v>
      </c>
      <c r="E76">
        <f t="shared" si="2"/>
        <v>5.9166215194868602E-3</v>
      </c>
      <c r="F76">
        <f t="shared" si="3"/>
        <v>5.9166215194868602E-3</v>
      </c>
    </row>
    <row r="77" spans="1:6" x14ac:dyDescent="0.3">
      <c r="A77" t="s">
        <v>83</v>
      </c>
      <c r="B77">
        <v>2009</v>
      </c>
      <c r="C77">
        <v>4.4182778530460383E-3</v>
      </c>
      <c r="D77">
        <v>15.232993702863354</v>
      </c>
      <c r="E77">
        <f t="shared" si="2"/>
        <v>4.4182778530460383E-3</v>
      </c>
      <c r="F77">
        <f t="shared" si="3"/>
        <v>4.4182778530460383E-3</v>
      </c>
    </row>
    <row r="78" spans="1:6" x14ac:dyDescent="0.3">
      <c r="A78" t="s">
        <v>84</v>
      </c>
      <c r="B78">
        <v>2009</v>
      </c>
      <c r="C78">
        <v>6.486592336029961E-4</v>
      </c>
      <c r="D78">
        <v>14.201266714388561</v>
      </c>
      <c r="E78">
        <f t="shared" si="2"/>
        <v>6.486592336029961E-4</v>
      </c>
      <c r="F78">
        <f t="shared" si="3"/>
        <v>6.486592336029961E-4</v>
      </c>
    </row>
    <row r="79" spans="1:6" x14ac:dyDescent="0.3">
      <c r="A79" t="s">
        <v>85</v>
      </c>
      <c r="B79">
        <v>2009</v>
      </c>
      <c r="C79">
        <v>3.1589372117370756E-2</v>
      </c>
      <c r="D79">
        <v>12.082236954455269</v>
      </c>
      <c r="E79">
        <f t="shared" si="2"/>
        <v>3.1589372117370756E-2</v>
      </c>
      <c r="F79">
        <f t="shared" si="3"/>
        <v>3.1589372117370756E-2</v>
      </c>
    </row>
    <row r="80" spans="1:6" x14ac:dyDescent="0.3">
      <c r="A80" t="s">
        <v>86</v>
      </c>
      <c r="B80">
        <v>2009</v>
      </c>
      <c r="C80">
        <v>8.0143989200809937E-4</v>
      </c>
      <c r="D80">
        <v>15.201879916271805</v>
      </c>
      <c r="E80">
        <f t="shared" si="2"/>
        <v>8.0143989200809937E-4</v>
      </c>
      <c r="F80">
        <f t="shared" si="3"/>
        <v>8.0143989200809937E-4</v>
      </c>
    </row>
    <row r="81" spans="1:6" x14ac:dyDescent="0.3">
      <c r="A81" t="s">
        <v>87</v>
      </c>
      <c r="B81">
        <v>2009</v>
      </c>
      <c r="C81">
        <v>4.4659095501758074E-3</v>
      </c>
      <c r="D81">
        <v>12.888886621950327</v>
      </c>
      <c r="E81">
        <f t="shared" si="2"/>
        <v>4.4659095501758074E-3</v>
      </c>
      <c r="F81">
        <f t="shared" si="3"/>
        <v>4.4659095501758074E-3</v>
      </c>
    </row>
    <row r="82" spans="1:6" x14ac:dyDescent="0.3">
      <c r="A82" t="s">
        <v>88</v>
      </c>
      <c r="B82">
        <v>2009</v>
      </c>
      <c r="C82">
        <v>6.9281834177716351E-3</v>
      </c>
      <c r="D82">
        <v>14.955564808932893</v>
      </c>
      <c r="E82">
        <f t="shared" si="2"/>
        <v>6.9281834177716351E-3</v>
      </c>
      <c r="F82">
        <f t="shared" si="3"/>
        <v>6.9281834177716351E-3</v>
      </c>
    </row>
    <row r="83" spans="1:6" x14ac:dyDescent="0.3">
      <c r="A83" t="s">
        <v>89</v>
      </c>
      <c r="B83">
        <v>2009</v>
      </c>
      <c r="C83">
        <v>2.359770758897916E-3</v>
      </c>
      <c r="D83">
        <v>13.729366441159426</v>
      </c>
      <c r="E83">
        <f t="shared" si="2"/>
        <v>2.359770758897916E-3</v>
      </c>
      <c r="F83">
        <f t="shared" si="3"/>
        <v>2.359770758897916E-3</v>
      </c>
    </row>
    <row r="84" spans="1:6" x14ac:dyDescent="0.3">
      <c r="A84" t="s">
        <v>90</v>
      </c>
      <c r="B84">
        <v>2009</v>
      </c>
      <c r="C84">
        <v>8.4368010934005467E-3</v>
      </c>
      <c r="D84">
        <v>13.711713264282505</v>
      </c>
      <c r="E84">
        <f t="shared" si="2"/>
        <v>8.4368010934005467E-3</v>
      </c>
      <c r="F84">
        <f t="shared" si="3"/>
        <v>8.4368010934005467E-3</v>
      </c>
    </row>
    <row r="85" spans="1:6" x14ac:dyDescent="0.3">
      <c r="A85" t="s">
        <v>91</v>
      </c>
      <c r="B85">
        <v>2009</v>
      </c>
      <c r="C85">
        <v>3.6511236647830412E-3</v>
      </c>
      <c r="D85">
        <v>14.656769937654399</v>
      </c>
      <c r="E85">
        <f t="shared" si="2"/>
        <v>3.6511236647830412E-3</v>
      </c>
      <c r="F85">
        <f t="shared" si="3"/>
        <v>3.6511236647830412E-3</v>
      </c>
    </row>
    <row r="86" spans="1:6" x14ac:dyDescent="0.3">
      <c r="A86" t="s">
        <v>92</v>
      </c>
      <c r="B86">
        <v>2009</v>
      </c>
      <c r="C86">
        <v>5.4015262062531398E-2</v>
      </c>
      <c r="D86">
        <v>12.837947963608627</v>
      </c>
      <c r="E86">
        <f t="shared" si="2"/>
        <v>5.4015262062531398E-2</v>
      </c>
      <c r="F86">
        <f t="shared" si="3"/>
        <v>5.4015262062531398E-2</v>
      </c>
    </row>
    <row r="87" spans="1:6" x14ac:dyDescent="0.3">
      <c r="A87" t="s">
        <v>93</v>
      </c>
      <c r="B87">
        <v>2009</v>
      </c>
      <c r="C87">
        <v>4.805859109980817E-3</v>
      </c>
      <c r="D87">
        <v>16.928167009573134</v>
      </c>
      <c r="E87">
        <f t="shared" si="2"/>
        <v>4.805859109980817E-3</v>
      </c>
      <c r="F87">
        <f t="shared" si="3"/>
        <v>4.805859109980817E-3</v>
      </c>
    </row>
    <row r="88" spans="1:6" x14ac:dyDescent="0.3">
      <c r="A88" t="s">
        <v>94</v>
      </c>
      <c r="B88">
        <v>2009</v>
      </c>
      <c r="C88">
        <v>7.4336090652615166E-3</v>
      </c>
      <c r="D88">
        <v>16.300895676601129</v>
      </c>
      <c r="E88">
        <f t="shared" si="2"/>
        <v>7.4336090652615166E-3</v>
      </c>
      <c r="F88">
        <f t="shared" si="3"/>
        <v>7.4336090652615166E-3</v>
      </c>
    </row>
    <row r="89" spans="1:6" x14ac:dyDescent="0.3">
      <c r="A89" t="s">
        <v>95</v>
      </c>
      <c r="B89">
        <v>2009</v>
      </c>
      <c r="C89">
        <v>2.0363282931003734E-3</v>
      </c>
      <c r="D89">
        <v>14.016243251504505</v>
      </c>
      <c r="E89">
        <f t="shared" si="2"/>
        <v>2.0363282931003734E-3</v>
      </c>
      <c r="F89">
        <f t="shared" si="3"/>
        <v>2.0363282931003734E-3</v>
      </c>
    </row>
    <row r="90" spans="1:6" x14ac:dyDescent="0.3">
      <c r="A90" t="s">
        <v>96</v>
      </c>
      <c r="B90">
        <v>2009</v>
      </c>
      <c r="C90">
        <v>6.1713460196571399E-3</v>
      </c>
      <c r="D90">
        <v>13.25405457791344</v>
      </c>
      <c r="E90">
        <f t="shared" si="2"/>
        <v>6.1713460196571399E-3</v>
      </c>
      <c r="F90">
        <f t="shared" si="3"/>
        <v>6.1713460196571399E-3</v>
      </c>
    </row>
    <row r="91" spans="1:6" x14ac:dyDescent="0.3">
      <c r="A91" t="s">
        <v>97</v>
      </c>
      <c r="B91">
        <v>2009</v>
      </c>
      <c r="C91" t="s">
        <v>301</v>
      </c>
      <c r="D91" t="s">
        <v>301</v>
      </c>
      <c r="E91">
        <f t="shared" si="2"/>
        <v>8.3055009958866149E-3</v>
      </c>
      <c r="F91">
        <f t="shared" si="3"/>
        <v>14.498094644970328</v>
      </c>
    </row>
    <row r="92" spans="1:6" x14ac:dyDescent="0.3">
      <c r="A92" t="s">
        <v>98</v>
      </c>
      <c r="B92">
        <v>2009</v>
      </c>
      <c r="C92">
        <v>6.6340204480031762E-3</v>
      </c>
      <c r="D92">
        <v>12.108117972132941</v>
      </c>
      <c r="E92">
        <f t="shared" si="2"/>
        <v>6.6340204480031762E-3</v>
      </c>
      <c r="F92">
        <f t="shared" si="3"/>
        <v>6.6340204480031762E-3</v>
      </c>
    </row>
    <row r="93" spans="1:6" x14ac:dyDescent="0.3">
      <c r="A93" t="s">
        <v>99</v>
      </c>
      <c r="B93">
        <v>2009</v>
      </c>
      <c r="C93">
        <v>4.533855207236006E-3</v>
      </c>
      <c r="D93">
        <v>12.99558399570653</v>
      </c>
      <c r="E93">
        <f t="shared" si="2"/>
        <v>4.533855207236006E-3</v>
      </c>
      <c r="F93">
        <f t="shared" si="3"/>
        <v>4.533855207236006E-3</v>
      </c>
    </row>
    <row r="94" spans="1:6" x14ac:dyDescent="0.3">
      <c r="A94" t="s">
        <v>100</v>
      </c>
      <c r="B94">
        <v>2009</v>
      </c>
      <c r="C94">
        <v>5.3059278910844044E-3</v>
      </c>
      <c r="D94">
        <v>14.808761960604119</v>
      </c>
      <c r="E94">
        <f t="shared" si="2"/>
        <v>5.3059278910844044E-3</v>
      </c>
      <c r="F94">
        <f t="shared" si="3"/>
        <v>5.3059278910844044E-3</v>
      </c>
    </row>
    <row r="95" spans="1:6" x14ac:dyDescent="0.3">
      <c r="A95" t="s">
        <v>101</v>
      </c>
      <c r="B95">
        <v>2009</v>
      </c>
      <c r="C95">
        <v>3.163115648020859E-3</v>
      </c>
      <c r="D95">
        <v>14.331471175056318</v>
      </c>
      <c r="E95">
        <f t="shared" si="2"/>
        <v>3.163115648020859E-3</v>
      </c>
      <c r="F95">
        <f t="shared" si="3"/>
        <v>3.163115648020859E-3</v>
      </c>
    </row>
    <row r="96" spans="1:6" x14ac:dyDescent="0.3">
      <c r="A96" t="s">
        <v>102</v>
      </c>
      <c r="B96">
        <v>2009</v>
      </c>
      <c r="C96">
        <v>8.7641979640263237E-3</v>
      </c>
      <c r="D96">
        <v>14.307748903598005</v>
      </c>
      <c r="E96">
        <f t="shared" si="2"/>
        <v>8.7641979640263237E-3</v>
      </c>
      <c r="F96">
        <f t="shared" si="3"/>
        <v>8.7641979640263237E-3</v>
      </c>
    </row>
    <row r="97" spans="1:6" x14ac:dyDescent="0.3">
      <c r="A97" t="s">
        <v>103</v>
      </c>
      <c r="B97">
        <v>2009</v>
      </c>
      <c r="C97">
        <v>6.2125748502994009E-2</v>
      </c>
      <c r="D97" t="s">
        <v>301</v>
      </c>
      <c r="E97">
        <f t="shared" si="2"/>
        <v>6.2125748502994009E-2</v>
      </c>
      <c r="F97">
        <f t="shared" si="3"/>
        <v>14.498094644970328</v>
      </c>
    </row>
    <row r="98" spans="1:6" x14ac:dyDescent="0.3">
      <c r="A98" t="s">
        <v>104</v>
      </c>
      <c r="B98">
        <v>2009</v>
      </c>
      <c r="C98">
        <v>1.9978034939590557E-2</v>
      </c>
      <c r="D98">
        <v>14.408415767404785</v>
      </c>
      <c r="E98">
        <f t="shared" si="2"/>
        <v>1.9978034939590557E-2</v>
      </c>
      <c r="F98">
        <f t="shared" si="3"/>
        <v>1.9978034939590557E-2</v>
      </c>
    </row>
    <row r="99" spans="1:6" x14ac:dyDescent="0.3">
      <c r="A99" t="s">
        <v>105</v>
      </c>
      <c r="B99">
        <v>2009</v>
      </c>
      <c r="C99">
        <v>4.0421351475336048E-3</v>
      </c>
      <c r="D99">
        <v>15.024607312407619</v>
      </c>
      <c r="E99">
        <f t="shared" si="2"/>
        <v>4.0421351475336048E-3</v>
      </c>
      <c r="F99">
        <f t="shared" si="3"/>
        <v>4.0421351475336048E-3</v>
      </c>
    </row>
    <row r="100" spans="1:6" x14ac:dyDescent="0.3">
      <c r="A100" t="s">
        <v>106</v>
      </c>
      <c r="B100">
        <v>2009</v>
      </c>
      <c r="C100">
        <v>1.1610226042057898E-2</v>
      </c>
      <c r="D100">
        <v>12.521762560825977</v>
      </c>
      <c r="E100">
        <f t="shared" si="2"/>
        <v>1.1610226042057898E-2</v>
      </c>
      <c r="F100">
        <f t="shared" si="3"/>
        <v>1.1610226042057898E-2</v>
      </c>
    </row>
    <row r="101" spans="1:6" x14ac:dyDescent="0.3">
      <c r="A101" t="s">
        <v>107</v>
      </c>
      <c r="B101">
        <v>2009</v>
      </c>
      <c r="C101">
        <v>1.0849271935187733E-2</v>
      </c>
      <c r="D101">
        <v>15.146057244976932</v>
      </c>
      <c r="E101">
        <f t="shared" si="2"/>
        <v>1.0849271935187733E-2</v>
      </c>
      <c r="F101">
        <f t="shared" si="3"/>
        <v>1.0849271935187733E-2</v>
      </c>
    </row>
    <row r="102" spans="1:6" x14ac:dyDescent="0.3">
      <c r="A102" t="s">
        <v>108</v>
      </c>
      <c r="B102">
        <v>2009</v>
      </c>
      <c r="C102">
        <v>1.7502880472458505E-3</v>
      </c>
      <c r="D102">
        <v>16.196530975175257</v>
      </c>
      <c r="E102">
        <f t="shared" si="2"/>
        <v>1.7502880472458505E-3</v>
      </c>
      <c r="F102">
        <f t="shared" si="3"/>
        <v>1.7502880472458505E-3</v>
      </c>
    </row>
    <row r="103" spans="1:6" x14ac:dyDescent="0.3">
      <c r="A103" t="s">
        <v>109</v>
      </c>
      <c r="B103">
        <v>2009</v>
      </c>
      <c r="C103">
        <v>1.3881365966719992E-2</v>
      </c>
      <c r="D103">
        <v>15.110731302359738</v>
      </c>
      <c r="E103">
        <f t="shared" si="2"/>
        <v>1.3881365966719992E-2</v>
      </c>
      <c r="F103">
        <f t="shared" si="3"/>
        <v>1.3881365966719992E-2</v>
      </c>
    </row>
    <row r="104" spans="1:6" x14ac:dyDescent="0.3">
      <c r="A104" t="s">
        <v>110</v>
      </c>
      <c r="B104">
        <v>2009</v>
      </c>
      <c r="C104">
        <v>5.1643748076968593E-3</v>
      </c>
      <c r="D104">
        <v>14.052580682806431</v>
      </c>
      <c r="E104">
        <f t="shared" si="2"/>
        <v>5.1643748076968593E-3</v>
      </c>
      <c r="F104">
        <f t="shared" si="3"/>
        <v>5.1643748076968593E-3</v>
      </c>
    </row>
    <row r="105" spans="1:6" x14ac:dyDescent="0.3">
      <c r="A105" t="s">
        <v>111</v>
      </c>
      <c r="B105">
        <v>2009</v>
      </c>
      <c r="C105">
        <v>2.7717074806322389E-3</v>
      </c>
      <c r="D105">
        <v>14.816136555901938</v>
      </c>
      <c r="E105">
        <f t="shared" si="2"/>
        <v>2.7717074806322389E-3</v>
      </c>
      <c r="F105">
        <f t="shared" si="3"/>
        <v>2.7717074806322389E-3</v>
      </c>
    </row>
    <row r="106" spans="1:6" x14ac:dyDescent="0.3">
      <c r="A106" t="s">
        <v>112</v>
      </c>
      <c r="B106">
        <v>2009</v>
      </c>
      <c r="C106">
        <v>8.6906174442722122E-3</v>
      </c>
      <c r="D106">
        <v>15.017938269248489</v>
      </c>
      <c r="E106">
        <f t="shared" si="2"/>
        <v>8.6906174442722122E-3</v>
      </c>
      <c r="F106">
        <f t="shared" si="3"/>
        <v>8.6906174442722122E-3</v>
      </c>
    </row>
    <row r="107" spans="1:6" x14ac:dyDescent="0.3">
      <c r="A107" t="s">
        <v>113</v>
      </c>
      <c r="B107">
        <v>2009</v>
      </c>
      <c r="C107">
        <v>1.1777515855643487E-2</v>
      </c>
      <c r="D107">
        <v>16.440771366037318</v>
      </c>
      <c r="E107">
        <f t="shared" si="2"/>
        <v>1.1777515855643487E-2</v>
      </c>
      <c r="F107">
        <f t="shared" si="3"/>
        <v>1.1777515855643487E-2</v>
      </c>
    </row>
    <row r="108" spans="1:6" x14ac:dyDescent="0.3">
      <c r="A108" t="s">
        <v>114</v>
      </c>
      <c r="B108">
        <v>2009</v>
      </c>
      <c r="C108">
        <v>1.5714115082564423E-3</v>
      </c>
      <c r="D108">
        <v>12.498413847362677</v>
      </c>
      <c r="E108">
        <f t="shared" si="2"/>
        <v>1.5714115082564423E-3</v>
      </c>
      <c r="F108">
        <f t="shared" si="3"/>
        <v>1.5714115082564423E-3</v>
      </c>
    </row>
    <row r="109" spans="1:6" x14ac:dyDescent="0.3">
      <c r="A109" t="s">
        <v>115</v>
      </c>
      <c r="B109">
        <v>2009</v>
      </c>
      <c r="C109">
        <v>4.7166205877145415E-3</v>
      </c>
      <c r="D109">
        <v>15.860880576627567</v>
      </c>
      <c r="E109">
        <f t="shared" si="2"/>
        <v>4.7166205877145415E-3</v>
      </c>
      <c r="F109">
        <f t="shared" si="3"/>
        <v>4.7166205877145415E-3</v>
      </c>
    </row>
    <row r="110" spans="1:6" x14ac:dyDescent="0.3">
      <c r="A110" t="s">
        <v>116</v>
      </c>
      <c r="B110">
        <v>2009</v>
      </c>
      <c r="C110">
        <v>9.5396644282748171E-4</v>
      </c>
      <c r="D110">
        <v>13.594757896194434</v>
      </c>
      <c r="E110">
        <f t="shared" si="2"/>
        <v>9.5396644282748171E-4</v>
      </c>
      <c r="F110">
        <f t="shared" si="3"/>
        <v>9.5396644282748171E-4</v>
      </c>
    </row>
    <row r="111" spans="1:6" x14ac:dyDescent="0.3">
      <c r="A111" t="s">
        <v>117</v>
      </c>
      <c r="B111">
        <v>2009</v>
      </c>
      <c r="C111">
        <v>3.4422584290955294E-2</v>
      </c>
      <c r="D111">
        <v>13.50558423989076</v>
      </c>
      <c r="E111">
        <f t="shared" si="2"/>
        <v>3.4422584290955294E-2</v>
      </c>
      <c r="F111">
        <f t="shared" si="3"/>
        <v>3.4422584290955294E-2</v>
      </c>
    </row>
    <row r="112" spans="1:6" x14ac:dyDescent="0.3">
      <c r="A112" t="s">
        <v>118</v>
      </c>
      <c r="B112">
        <v>2009</v>
      </c>
      <c r="C112">
        <v>6.4019485580405384E-3</v>
      </c>
      <c r="D112">
        <v>17.091849570224245</v>
      </c>
      <c r="E112">
        <f t="shared" si="2"/>
        <v>6.4019485580405384E-3</v>
      </c>
      <c r="F112">
        <f t="shared" si="3"/>
        <v>6.4019485580405384E-3</v>
      </c>
    </row>
    <row r="113" spans="1:6" x14ac:dyDescent="0.3">
      <c r="A113" t="s">
        <v>119</v>
      </c>
      <c r="B113">
        <v>2009</v>
      </c>
      <c r="C113" t="s">
        <v>301</v>
      </c>
      <c r="D113">
        <v>14.079539589783462</v>
      </c>
      <c r="E113">
        <f t="shared" si="2"/>
        <v>8.3055009958866149E-3</v>
      </c>
      <c r="F113">
        <f t="shared" si="3"/>
        <v>8.3055009958866149E-3</v>
      </c>
    </row>
    <row r="114" spans="1:6" x14ac:dyDescent="0.3">
      <c r="A114" t="s">
        <v>121</v>
      </c>
      <c r="B114">
        <v>2009</v>
      </c>
      <c r="C114" t="s">
        <v>301</v>
      </c>
      <c r="D114">
        <v>14.817101904307986</v>
      </c>
      <c r="E114">
        <f t="shared" si="2"/>
        <v>8.3055009958866149E-3</v>
      </c>
      <c r="F114">
        <f t="shared" si="3"/>
        <v>8.3055009958866149E-3</v>
      </c>
    </row>
    <row r="115" spans="1:6" x14ac:dyDescent="0.3">
      <c r="A115" t="s">
        <v>120</v>
      </c>
      <c r="B115">
        <v>2009</v>
      </c>
      <c r="C115">
        <v>2.611711976211871E-3</v>
      </c>
      <c r="D115">
        <v>13.827040828174498</v>
      </c>
      <c r="E115">
        <f t="shared" si="2"/>
        <v>2.611711976211871E-3</v>
      </c>
      <c r="F115">
        <f t="shared" si="3"/>
        <v>2.611711976211871E-3</v>
      </c>
    </row>
    <row r="116" spans="1:6" x14ac:dyDescent="0.3">
      <c r="A116" t="s">
        <v>122</v>
      </c>
      <c r="B116">
        <v>2009</v>
      </c>
      <c r="C116">
        <v>8.199347169190541E-3</v>
      </c>
      <c r="D116">
        <v>12.350147015140626</v>
      </c>
      <c r="E116">
        <f t="shared" si="2"/>
        <v>8.199347169190541E-3</v>
      </c>
      <c r="F116">
        <f t="shared" si="3"/>
        <v>8.199347169190541E-3</v>
      </c>
    </row>
    <row r="117" spans="1:6" x14ac:dyDescent="0.3">
      <c r="A117" t="s">
        <v>123</v>
      </c>
      <c r="B117">
        <v>2009</v>
      </c>
      <c r="C117">
        <v>4.0590980256913439E-4</v>
      </c>
      <c r="D117">
        <v>12.699728712425509</v>
      </c>
      <c r="E117">
        <f t="shared" si="2"/>
        <v>4.0590980256913439E-4</v>
      </c>
      <c r="F117">
        <f t="shared" si="3"/>
        <v>4.0590980256913439E-4</v>
      </c>
    </row>
    <row r="118" spans="1:6" x14ac:dyDescent="0.3">
      <c r="A118" t="s">
        <v>124</v>
      </c>
      <c r="B118">
        <v>2009</v>
      </c>
      <c r="C118">
        <v>6.5836979284551206E-2</v>
      </c>
      <c r="D118">
        <v>13.721355910275484</v>
      </c>
      <c r="E118">
        <f t="shared" si="2"/>
        <v>6.5836979284551206E-2</v>
      </c>
      <c r="F118">
        <f t="shared" si="3"/>
        <v>6.5836979284551206E-2</v>
      </c>
    </row>
    <row r="119" spans="1:6" x14ac:dyDescent="0.3">
      <c r="A119" t="s">
        <v>125</v>
      </c>
      <c r="B119">
        <v>2009</v>
      </c>
      <c r="C119">
        <v>4.329171665460671E-2</v>
      </c>
      <c r="D119">
        <v>14.056735255676323</v>
      </c>
      <c r="E119">
        <f t="shared" si="2"/>
        <v>4.329171665460671E-2</v>
      </c>
      <c r="F119">
        <f t="shared" si="3"/>
        <v>4.329171665460671E-2</v>
      </c>
    </row>
    <row r="120" spans="1:6" x14ac:dyDescent="0.3">
      <c r="A120" t="s">
        <v>126</v>
      </c>
      <c r="B120">
        <v>2009</v>
      </c>
      <c r="C120">
        <v>3.349966176165248E-3</v>
      </c>
      <c r="D120">
        <v>15.132608901964536</v>
      </c>
      <c r="E120">
        <f t="shared" si="2"/>
        <v>3.349966176165248E-3</v>
      </c>
      <c r="F120">
        <f t="shared" si="3"/>
        <v>3.349966176165248E-3</v>
      </c>
    </row>
    <row r="121" spans="1:6" x14ac:dyDescent="0.3">
      <c r="A121" t="s">
        <v>127</v>
      </c>
      <c r="B121">
        <v>2009</v>
      </c>
      <c r="C121">
        <v>2.8339962795071529E-2</v>
      </c>
      <c r="D121">
        <v>15.151227684054383</v>
      </c>
      <c r="E121">
        <f t="shared" si="2"/>
        <v>2.8339962795071529E-2</v>
      </c>
      <c r="F121">
        <f t="shared" si="3"/>
        <v>2.8339962795071529E-2</v>
      </c>
    </row>
    <row r="122" spans="1:6" x14ac:dyDescent="0.3">
      <c r="A122" t="s">
        <v>128</v>
      </c>
      <c r="B122">
        <v>2009</v>
      </c>
      <c r="C122">
        <v>6.5159086835480089E-3</v>
      </c>
      <c r="D122">
        <v>14.011286201274476</v>
      </c>
      <c r="E122">
        <f t="shared" si="2"/>
        <v>6.5159086835480089E-3</v>
      </c>
      <c r="F122">
        <f t="shared" si="3"/>
        <v>6.5159086835480089E-3</v>
      </c>
    </row>
    <row r="123" spans="1:6" x14ac:dyDescent="0.3">
      <c r="A123" t="s">
        <v>129</v>
      </c>
      <c r="B123">
        <v>2009</v>
      </c>
      <c r="C123">
        <v>5.9316151609040066E-3</v>
      </c>
      <c r="D123">
        <v>15.078354541842522</v>
      </c>
      <c r="E123">
        <f t="shared" si="2"/>
        <v>5.9316151609040066E-3</v>
      </c>
      <c r="F123">
        <f t="shared" si="3"/>
        <v>5.9316151609040066E-3</v>
      </c>
    </row>
    <row r="124" spans="1:6" x14ac:dyDescent="0.3">
      <c r="A124" t="s">
        <v>130</v>
      </c>
      <c r="B124">
        <v>2009</v>
      </c>
      <c r="C124">
        <v>1.6746126481932786E-3</v>
      </c>
      <c r="D124">
        <v>15.66200833902043</v>
      </c>
      <c r="E124">
        <f t="shared" si="2"/>
        <v>1.6746126481932786E-3</v>
      </c>
      <c r="F124">
        <f t="shared" si="3"/>
        <v>1.6746126481932786E-3</v>
      </c>
    </row>
    <row r="125" spans="1:6" x14ac:dyDescent="0.3">
      <c r="A125" t="s">
        <v>131</v>
      </c>
      <c r="B125">
        <v>2009</v>
      </c>
      <c r="C125">
        <v>5.1021108912833762E-2</v>
      </c>
      <c r="D125">
        <v>14.240108134221609</v>
      </c>
      <c r="E125">
        <f t="shared" si="2"/>
        <v>5.1021108912833762E-2</v>
      </c>
      <c r="F125">
        <f t="shared" si="3"/>
        <v>5.1021108912833762E-2</v>
      </c>
    </row>
    <row r="126" spans="1:6" x14ac:dyDescent="0.3">
      <c r="A126" t="s">
        <v>132</v>
      </c>
      <c r="B126">
        <v>2009</v>
      </c>
      <c r="C126">
        <v>7.6069313830478866E-2</v>
      </c>
      <c r="D126">
        <v>13.436416165838178</v>
      </c>
      <c r="E126">
        <f t="shared" si="2"/>
        <v>7.6069313830478866E-2</v>
      </c>
      <c r="F126">
        <f t="shared" si="3"/>
        <v>7.6069313830478866E-2</v>
      </c>
    </row>
    <row r="127" spans="1:6" x14ac:dyDescent="0.3">
      <c r="A127" t="s">
        <v>135</v>
      </c>
      <c r="B127">
        <v>2009</v>
      </c>
      <c r="C127" t="s">
        <v>301</v>
      </c>
      <c r="D127">
        <v>15.152223054102333</v>
      </c>
      <c r="E127">
        <f t="shared" si="2"/>
        <v>8.3055009958866149E-3</v>
      </c>
      <c r="F127">
        <f t="shared" si="3"/>
        <v>8.3055009958866149E-3</v>
      </c>
    </row>
    <row r="128" spans="1:6" x14ac:dyDescent="0.3">
      <c r="A128" t="s">
        <v>137</v>
      </c>
      <c r="B128">
        <v>2009</v>
      </c>
      <c r="C128" t="s">
        <v>301</v>
      </c>
      <c r="D128">
        <v>14.123818448209711</v>
      </c>
      <c r="E128">
        <f t="shared" si="2"/>
        <v>8.3055009958866149E-3</v>
      </c>
      <c r="F128">
        <f t="shared" si="3"/>
        <v>8.3055009958866149E-3</v>
      </c>
    </row>
    <row r="129" spans="1:6" x14ac:dyDescent="0.3">
      <c r="A129" t="s">
        <v>133</v>
      </c>
      <c r="B129">
        <v>2009</v>
      </c>
      <c r="C129">
        <v>4.3428279857129992E-2</v>
      </c>
      <c r="D129">
        <v>13.40955532976688</v>
      </c>
      <c r="E129">
        <f t="shared" si="2"/>
        <v>4.3428279857129992E-2</v>
      </c>
      <c r="F129">
        <f t="shared" si="3"/>
        <v>4.3428279857129992E-2</v>
      </c>
    </row>
    <row r="130" spans="1:6" x14ac:dyDescent="0.3">
      <c r="A130" t="s">
        <v>134</v>
      </c>
      <c r="B130">
        <v>2009</v>
      </c>
      <c r="C130">
        <v>5.3339400845597352E-4</v>
      </c>
      <c r="D130">
        <v>16.327736205769408</v>
      </c>
      <c r="E130">
        <f t="shared" si="2"/>
        <v>5.3339400845597352E-4</v>
      </c>
      <c r="F130">
        <f t="shared" si="3"/>
        <v>5.3339400845597352E-4</v>
      </c>
    </row>
    <row r="131" spans="1:6" x14ac:dyDescent="0.3">
      <c r="A131" t="s">
        <v>136</v>
      </c>
      <c r="B131">
        <v>2009</v>
      </c>
      <c r="C131">
        <v>1.1989871643104169E-3</v>
      </c>
      <c r="D131">
        <v>13.927448991604834</v>
      </c>
      <c r="E131">
        <f t="shared" ref="E131:E194" si="4">IF(C131="OUT",$I$2,C131)</f>
        <v>1.1989871643104169E-3</v>
      </c>
      <c r="F131">
        <f t="shared" ref="F131:F194" si="5">IF(D131="OUT",$J$2,E131)</f>
        <v>1.1989871643104169E-3</v>
      </c>
    </row>
    <row r="132" spans="1:6" x14ac:dyDescent="0.3">
      <c r="A132" t="s">
        <v>138</v>
      </c>
      <c r="B132">
        <v>2009</v>
      </c>
      <c r="C132">
        <v>2.6681186625899089E-2</v>
      </c>
      <c r="D132">
        <v>14.087927965973632</v>
      </c>
      <c r="E132">
        <f t="shared" si="4"/>
        <v>2.6681186625899089E-2</v>
      </c>
      <c r="F132">
        <f t="shared" si="5"/>
        <v>2.6681186625899089E-2</v>
      </c>
    </row>
    <row r="133" spans="1:6" x14ac:dyDescent="0.3">
      <c r="A133" t="s">
        <v>139</v>
      </c>
      <c r="B133">
        <v>2009</v>
      </c>
      <c r="C133">
        <v>7.8684376976597085E-3</v>
      </c>
      <c r="D133">
        <v>12.664130203757509</v>
      </c>
      <c r="E133">
        <f t="shared" si="4"/>
        <v>7.8684376976597085E-3</v>
      </c>
      <c r="F133">
        <f t="shared" si="5"/>
        <v>7.8684376976597085E-3</v>
      </c>
    </row>
    <row r="134" spans="1:6" x14ac:dyDescent="0.3">
      <c r="A134" t="s">
        <v>140</v>
      </c>
      <c r="B134">
        <v>2009</v>
      </c>
      <c r="C134">
        <v>6.108438226338715E-3</v>
      </c>
      <c r="D134">
        <v>14.284746392531098</v>
      </c>
      <c r="E134">
        <f t="shared" si="4"/>
        <v>6.108438226338715E-3</v>
      </c>
      <c r="F134">
        <f t="shared" si="5"/>
        <v>6.108438226338715E-3</v>
      </c>
    </row>
    <row r="135" spans="1:6" x14ac:dyDescent="0.3">
      <c r="A135" t="s">
        <v>141</v>
      </c>
      <c r="B135">
        <v>2009</v>
      </c>
      <c r="C135">
        <v>5.954943626249494E-3</v>
      </c>
      <c r="D135">
        <v>12.365615902101414</v>
      </c>
      <c r="E135">
        <f t="shared" si="4"/>
        <v>5.954943626249494E-3</v>
      </c>
      <c r="F135">
        <f t="shared" si="5"/>
        <v>5.954943626249494E-3</v>
      </c>
    </row>
    <row r="136" spans="1:6" x14ac:dyDescent="0.3">
      <c r="A136" t="s">
        <v>142</v>
      </c>
      <c r="B136">
        <v>2009</v>
      </c>
      <c r="C136">
        <v>1.0692173113881517E-3</v>
      </c>
      <c r="D136">
        <v>14.32912189801718</v>
      </c>
      <c r="E136">
        <f t="shared" si="4"/>
        <v>1.0692173113881517E-3</v>
      </c>
      <c r="F136">
        <f t="shared" si="5"/>
        <v>1.0692173113881517E-3</v>
      </c>
    </row>
    <row r="137" spans="1:6" x14ac:dyDescent="0.3">
      <c r="A137" t="s">
        <v>143</v>
      </c>
      <c r="B137">
        <v>2009</v>
      </c>
      <c r="C137">
        <v>2.0483928114226897E-2</v>
      </c>
      <c r="D137">
        <v>13.558471489438935</v>
      </c>
      <c r="E137">
        <f t="shared" si="4"/>
        <v>2.0483928114226897E-2</v>
      </c>
      <c r="F137">
        <f t="shared" si="5"/>
        <v>2.0483928114226897E-2</v>
      </c>
    </row>
    <row r="138" spans="1:6" x14ac:dyDescent="0.3">
      <c r="A138" t="s">
        <v>144</v>
      </c>
      <c r="B138">
        <v>2009</v>
      </c>
      <c r="C138">
        <v>3.1509924613387537E-3</v>
      </c>
      <c r="D138">
        <v>14.934129047977203</v>
      </c>
      <c r="E138">
        <f t="shared" si="4"/>
        <v>3.1509924613387537E-3</v>
      </c>
      <c r="F138">
        <f t="shared" si="5"/>
        <v>3.1509924613387537E-3</v>
      </c>
    </row>
    <row r="139" spans="1:6" x14ac:dyDescent="0.3">
      <c r="A139" t="s">
        <v>145</v>
      </c>
      <c r="B139">
        <v>2009</v>
      </c>
      <c r="C139">
        <v>3.3637755097911136E-2</v>
      </c>
      <c r="D139">
        <v>14.02695150008195</v>
      </c>
      <c r="E139">
        <f t="shared" si="4"/>
        <v>3.3637755097911136E-2</v>
      </c>
      <c r="F139">
        <f t="shared" si="5"/>
        <v>3.3637755097911136E-2</v>
      </c>
    </row>
    <row r="140" spans="1:6" x14ac:dyDescent="0.3">
      <c r="A140" t="s">
        <v>146</v>
      </c>
      <c r="B140">
        <v>2009</v>
      </c>
      <c r="C140">
        <v>2.4090224910578262E-3</v>
      </c>
      <c r="D140">
        <v>16.135289092975423</v>
      </c>
      <c r="E140">
        <f t="shared" si="4"/>
        <v>2.4090224910578262E-3</v>
      </c>
      <c r="F140">
        <f t="shared" si="5"/>
        <v>2.4090224910578262E-3</v>
      </c>
    </row>
    <row r="141" spans="1:6" x14ac:dyDescent="0.3">
      <c r="A141" t="s">
        <v>151</v>
      </c>
      <c r="B141">
        <v>2009</v>
      </c>
      <c r="C141" t="s">
        <v>301</v>
      </c>
      <c r="D141">
        <v>13.731771276372333</v>
      </c>
      <c r="E141">
        <f t="shared" si="4"/>
        <v>8.3055009958866149E-3</v>
      </c>
      <c r="F141">
        <f t="shared" si="5"/>
        <v>8.3055009958866149E-3</v>
      </c>
    </row>
    <row r="142" spans="1:6" x14ac:dyDescent="0.3">
      <c r="A142" t="s">
        <v>147</v>
      </c>
      <c r="B142">
        <v>2009</v>
      </c>
      <c r="C142">
        <v>3.0352887984301004E-3</v>
      </c>
      <c r="D142">
        <v>15.932643037518396</v>
      </c>
      <c r="E142">
        <f t="shared" si="4"/>
        <v>3.0352887984301004E-3</v>
      </c>
      <c r="F142">
        <f t="shared" si="5"/>
        <v>3.0352887984301004E-3</v>
      </c>
    </row>
    <row r="143" spans="1:6" x14ac:dyDescent="0.3">
      <c r="A143" t="s">
        <v>148</v>
      </c>
      <c r="B143">
        <v>2009</v>
      </c>
      <c r="C143">
        <v>4.0095973048577198E-2</v>
      </c>
      <c r="D143">
        <v>15.429885065338027</v>
      </c>
      <c r="E143">
        <f t="shared" si="4"/>
        <v>4.0095973048577198E-2</v>
      </c>
      <c r="F143">
        <f t="shared" si="5"/>
        <v>4.0095973048577198E-2</v>
      </c>
    </row>
    <row r="144" spans="1:6" x14ac:dyDescent="0.3">
      <c r="A144" t="s">
        <v>149</v>
      </c>
      <c r="B144">
        <v>2009</v>
      </c>
      <c r="C144">
        <v>8.348082486749302E-3</v>
      </c>
      <c r="D144">
        <v>14.905289614924893</v>
      </c>
      <c r="E144">
        <f t="shared" si="4"/>
        <v>8.348082486749302E-3</v>
      </c>
      <c r="F144">
        <f t="shared" si="5"/>
        <v>8.348082486749302E-3</v>
      </c>
    </row>
    <row r="145" spans="1:6" x14ac:dyDescent="0.3">
      <c r="A145" t="s">
        <v>156</v>
      </c>
      <c r="B145">
        <v>2009</v>
      </c>
      <c r="C145" t="s">
        <v>301</v>
      </c>
      <c r="D145">
        <v>13.491824034638206</v>
      </c>
      <c r="E145">
        <f t="shared" si="4"/>
        <v>8.3055009958866149E-3</v>
      </c>
      <c r="F145">
        <f t="shared" si="5"/>
        <v>8.3055009958866149E-3</v>
      </c>
    </row>
    <row r="146" spans="1:6" x14ac:dyDescent="0.3">
      <c r="A146" t="s">
        <v>150</v>
      </c>
      <c r="B146">
        <v>2009</v>
      </c>
      <c r="C146">
        <v>9.049993151720016E-3</v>
      </c>
      <c r="D146">
        <v>15.54735263439715</v>
      </c>
      <c r="E146">
        <f t="shared" si="4"/>
        <v>9.049993151720016E-3</v>
      </c>
      <c r="F146">
        <f t="shared" si="5"/>
        <v>9.049993151720016E-3</v>
      </c>
    </row>
    <row r="147" spans="1:6" x14ac:dyDescent="0.3">
      <c r="A147" t="s">
        <v>152</v>
      </c>
      <c r="B147">
        <v>2009</v>
      </c>
      <c r="C147">
        <v>1.815886326450147E-2</v>
      </c>
      <c r="D147">
        <v>13.497931319365671</v>
      </c>
      <c r="E147">
        <f t="shared" si="4"/>
        <v>1.815886326450147E-2</v>
      </c>
      <c r="F147">
        <f t="shared" si="5"/>
        <v>1.815886326450147E-2</v>
      </c>
    </row>
    <row r="148" spans="1:6" x14ac:dyDescent="0.3">
      <c r="A148" t="s">
        <v>153</v>
      </c>
      <c r="B148">
        <v>2009</v>
      </c>
      <c r="C148">
        <v>8.2845640129000555E-3</v>
      </c>
      <c r="D148">
        <v>14.422740853269024</v>
      </c>
      <c r="E148">
        <f t="shared" si="4"/>
        <v>8.2845640129000555E-3</v>
      </c>
      <c r="F148">
        <f t="shared" si="5"/>
        <v>8.2845640129000555E-3</v>
      </c>
    </row>
    <row r="149" spans="1:6" x14ac:dyDescent="0.3">
      <c r="A149" t="s">
        <v>154</v>
      </c>
      <c r="B149">
        <v>2009</v>
      </c>
      <c r="C149">
        <v>1.4535826798042764E-2</v>
      </c>
      <c r="D149">
        <v>13.522413852810994</v>
      </c>
      <c r="E149">
        <f t="shared" si="4"/>
        <v>1.4535826798042764E-2</v>
      </c>
      <c r="F149">
        <f t="shared" si="5"/>
        <v>1.4535826798042764E-2</v>
      </c>
    </row>
    <row r="150" spans="1:6" x14ac:dyDescent="0.3">
      <c r="A150" t="s">
        <v>155</v>
      </c>
      <c r="B150">
        <v>2009</v>
      </c>
      <c r="C150">
        <v>2.5076676761636541E-4</v>
      </c>
      <c r="D150">
        <v>10.855936620963561</v>
      </c>
      <c r="E150">
        <f t="shared" si="4"/>
        <v>2.5076676761636541E-4</v>
      </c>
      <c r="F150">
        <f t="shared" si="5"/>
        <v>2.5076676761636541E-4</v>
      </c>
    </row>
    <row r="151" spans="1:6" x14ac:dyDescent="0.3">
      <c r="A151" t="s">
        <v>163</v>
      </c>
      <c r="B151">
        <v>2009</v>
      </c>
      <c r="C151" t="s">
        <v>301</v>
      </c>
      <c r="D151">
        <v>15.472959473958143</v>
      </c>
      <c r="E151">
        <f t="shared" si="4"/>
        <v>8.3055009958866149E-3</v>
      </c>
      <c r="F151">
        <f t="shared" si="5"/>
        <v>8.3055009958866149E-3</v>
      </c>
    </row>
    <row r="152" spans="1:6" x14ac:dyDescent="0.3">
      <c r="A152" t="s">
        <v>157</v>
      </c>
      <c r="B152">
        <v>2009</v>
      </c>
      <c r="C152">
        <v>4.2228664232985364E-3</v>
      </c>
      <c r="D152">
        <v>13.531877610065285</v>
      </c>
      <c r="E152">
        <f t="shared" si="4"/>
        <v>4.2228664232985364E-3</v>
      </c>
      <c r="F152">
        <f t="shared" si="5"/>
        <v>4.2228664232985364E-3</v>
      </c>
    </row>
    <row r="153" spans="1:6" x14ac:dyDescent="0.3">
      <c r="A153" t="s">
        <v>158</v>
      </c>
      <c r="B153">
        <v>2009</v>
      </c>
      <c r="C153">
        <v>5.2307135711042278E-2</v>
      </c>
      <c r="D153">
        <v>14.118858034724967</v>
      </c>
      <c r="E153">
        <f t="shared" si="4"/>
        <v>5.2307135711042278E-2</v>
      </c>
      <c r="F153">
        <f t="shared" si="5"/>
        <v>5.2307135711042278E-2</v>
      </c>
    </row>
    <row r="154" spans="1:6" x14ac:dyDescent="0.3">
      <c r="A154" t="s">
        <v>167</v>
      </c>
      <c r="B154">
        <v>2009</v>
      </c>
      <c r="C154" t="s">
        <v>301</v>
      </c>
      <c r="D154">
        <v>15.417838454030321</v>
      </c>
      <c r="E154">
        <f t="shared" si="4"/>
        <v>8.3055009958866149E-3</v>
      </c>
      <c r="F154">
        <f t="shared" si="5"/>
        <v>8.3055009958866149E-3</v>
      </c>
    </row>
    <row r="155" spans="1:6" x14ac:dyDescent="0.3">
      <c r="A155" t="s">
        <v>159</v>
      </c>
      <c r="B155">
        <v>2009</v>
      </c>
      <c r="C155">
        <v>3.2093020987274969E-3</v>
      </c>
      <c r="D155">
        <v>12.230906711530174</v>
      </c>
      <c r="E155">
        <f t="shared" si="4"/>
        <v>3.2093020987274969E-3</v>
      </c>
      <c r="F155">
        <f t="shared" si="5"/>
        <v>3.2093020987274969E-3</v>
      </c>
    </row>
    <row r="156" spans="1:6" x14ac:dyDescent="0.3">
      <c r="A156" t="s">
        <v>160</v>
      </c>
      <c r="B156">
        <v>2009</v>
      </c>
      <c r="C156">
        <v>5.4970288693810161E-2</v>
      </c>
      <c r="D156">
        <v>14.996991403982973</v>
      </c>
      <c r="E156">
        <f t="shared" si="4"/>
        <v>5.4970288693810161E-2</v>
      </c>
      <c r="F156">
        <f t="shared" si="5"/>
        <v>5.4970288693810161E-2</v>
      </c>
    </row>
    <row r="157" spans="1:6" x14ac:dyDescent="0.3">
      <c r="A157" t="s">
        <v>171</v>
      </c>
      <c r="B157">
        <v>2009</v>
      </c>
      <c r="C157" t="s">
        <v>301</v>
      </c>
      <c r="D157">
        <v>13.167992359823367</v>
      </c>
      <c r="E157">
        <f t="shared" si="4"/>
        <v>8.3055009958866149E-3</v>
      </c>
      <c r="F157">
        <f t="shared" si="5"/>
        <v>8.3055009958866149E-3</v>
      </c>
    </row>
    <row r="158" spans="1:6" x14ac:dyDescent="0.3">
      <c r="A158" t="s">
        <v>161</v>
      </c>
      <c r="B158">
        <v>2009</v>
      </c>
      <c r="C158">
        <v>5.2635214478137737E-2</v>
      </c>
      <c r="D158">
        <v>11.372075931382099</v>
      </c>
      <c r="E158">
        <f t="shared" si="4"/>
        <v>5.2635214478137737E-2</v>
      </c>
      <c r="F158">
        <f t="shared" si="5"/>
        <v>5.2635214478137737E-2</v>
      </c>
    </row>
    <row r="159" spans="1:6" x14ac:dyDescent="0.3">
      <c r="A159" t="s">
        <v>174</v>
      </c>
      <c r="B159">
        <v>2009</v>
      </c>
      <c r="C159" t="s">
        <v>301</v>
      </c>
      <c r="D159">
        <v>15.18679787457762</v>
      </c>
      <c r="E159">
        <f t="shared" si="4"/>
        <v>8.3055009958866149E-3</v>
      </c>
      <c r="F159">
        <f t="shared" si="5"/>
        <v>8.3055009958866149E-3</v>
      </c>
    </row>
    <row r="160" spans="1:6" x14ac:dyDescent="0.3">
      <c r="A160" t="s">
        <v>162</v>
      </c>
      <c r="B160">
        <v>2009</v>
      </c>
      <c r="C160">
        <v>9.3944393916549542E-3</v>
      </c>
      <c r="D160">
        <v>17.20353515825218</v>
      </c>
      <c r="E160">
        <f t="shared" si="4"/>
        <v>9.3944393916549542E-3</v>
      </c>
      <c r="F160">
        <f t="shared" si="5"/>
        <v>9.3944393916549542E-3</v>
      </c>
    </row>
    <row r="161" spans="1:6" x14ac:dyDescent="0.3">
      <c r="A161" t="s">
        <v>164</v>
      </c>
      <c r="B161">
        <v>2009</v>
      </c>
      <c r="C161">
        <v>1.0219391688782993E-3</v>
      </c>
      <c r="D161">
        <v>16.60170412567167</v>
      </c>
      <c r="E161">
        <f t="shared" si="4"/>
        <v>1.0219391688782993E-3</v>
      </c>
      <c r="F161">
        <f t="shared" si="5"/>
        <v>1.0219391688782993E-3</v>
      </c>
    </row>
    <row r="162" spans="1:6" x14ac:dyDescent="0.3">
      <c r="A162" t="s">
        <v>165</v>
      </c>
      <c r="B162">
        <v>2009</v>
      </c>
      <c r="C162">
        <v>4.9873618516189246E-2</v>
      </c>
      <c r="D162">
        <v>13.120926345368208</v>
      </c>
      <c r="E162">
        <f t="shared" si="4"/>
        <v>4.9873618516189246E-2</v>
      </c>
      <c r="F162">
        <f t="shared" si="5"/>
        <v>4.9873618516189246E-2</v>
      </c>
    </row>
    <row r="163" spans="1:6" x14ac:dyDescent="0.3">
      <c r="A163" t="s">
        <v>166</v>
      </c>
      <c r="B163">
        <v>2009</v>
      </c>
      <c r="C163">
        <v>4.220857668573362E-2</v>
      </c>
      <c r="D163">
        <v>18.355709467856538</v>
      </c>
      <c r="E163">
        <f t="shared" si="4"/>
        <v>4.220857668573362E-2</v>
      </c>
      <c r="F163">
        <f t="shared" si="5"/>
        <v>4.220857668573362E-2</v>
      </c>
    </row>
    <row r="164" spans="1:6" x14ac:dyDescent="0.3">
      <c r="A164" t="s">
        <v>180</v>
      </c>
      <c r="B164">
        <v>2009</v>
      </c>
      <c r="C164" t="s">
        <v>301</v>
      </c>
      <c r="D164">
        <v>17.405265070312989</v>
      </c>
      <c r="E164">
        <f t="shared" si="4"/>
        <v>8.3055009958866149E-3</v>
      </c>
      <c r="F164">
        <f t="shared" si="5"/>
        <v>8.3055009958866149E-3</v>
      </c>
    </row>
    <row r="165" spans="1:6" x14ac:dyDescent="0.3">
      <c r="A165" t="s">
        <v>182</v>
      </c>
      <c r="B165">
        <v>2009</v>
      </c>
      <c r="C165" t="s">
        <v>301</v>
      </c>
      <c r="D165">
        <v>18.066455611060309</v>
      </c>
      <c r="E165">
        <f t="shared" si="4"/>
        <v>8.3055009958866149E-3</v>
      </c>
      <c r="F165">
        <f t="shared" si="5"/>
        <v>8.3055009958866149E-3</v>
      </c>
    </row>
    <row r="166" spans="1:6" x14ac:dyDescent="0.3">
      <c r="A166" t="s">
        <v>168</v>
      </c>
      <c r="B166">
        <v>2009</v>
      </c>
      <c r="C166">
        <v>2.6093593310949795E-2</v>
      </c>
      <c r="D166">
        <v>14.376881376360959</v>
      </c>
      <c r="E166">
        <f t="shared" si="4"/>
        <v>2.6093593310949795E-2</v>
      </c>
      <c r="F166">
        <f t="shared" si="5"/>
        <v>2.6093593310949795E-2</v>
      </c>
    </row>
    <row r="167" spans="1:6" x14ac:dyDescent="0.3">
      <c r="A167" t="s">
        <v>169</v>
      </c>
      <c r="B167">
        <v>2009</v>
      </c>
      <c r="C167">
        <v>2.1358697613084763E-2</v>
      </c>
      <c r="D167">
        <v>15.906504611665827</v>
      </c>
      <c r="E167">
        <f t="shared" si="4"/>
        <v>2.1358697613084763E-2</v>
      </c>
      <c r="F167">
        <f t="shared" si="5"/>
        <v>2.1358697613084763E-2</v>
      </c>
    </row>
    <row r="168" spans="1:6" x14ac:dyDescent="0.3">
      <c r="A168" t="s">
        <v>186</v>
      </c>
      <c r="B168">
        <v>2009</v>
      </c>
      <c r="C168" t="s">
        <v>301</v>
      </c>
      <c r="D168">
        <v>16.484882853233316</v>
      </c>
      <c r="E168">
        <f t="shared" si="4"/>
        <v>8.3055009958866149E-3</v>
      </c>
      <c r="F168">
        <f t="shared" si="5"/>
        <v>8.3055009958866149E-3</v>
      </c>
    </row>
    <row r="169" spans="1:6" x14ac:dyDescent="0.3">
      <c r="A169" t="s">
        <v>170</v>
      </c>
      <c r="B169">
        <v>2009</v>
      </c>
      <c r="C169">
        <v>1.8428547783242204E-2</v>
      </c>
      <c r="D169">
        <v>14.372861497351114</v>
      </c>
      <c r="E169">
        <f t="shared" si="4"/>
        <v>1.8428547783242204E-2</v>
      </c>
      <c r="F169">
        <f t="shared" si="5"/>
        <v>1.8428547783242204E-2</v>
      </c>
    </row>
    <row r="170" spans="1:6" x14ac:dyDescent="0.3">
      <c r="A170" t="s">
        <v>189</v>
      </c>
      <c r="B170">
        <v>2009</v>
      </c>
      <c r="C170" t="s">
        <v>301</v>
      </c>
      <c r="D170">
        <v>16.863809332534156</v>
      </c>
      <c r="E170">
        <f t="shared" si="4"/>
        <v>8.3055009958866149E-3</v>
      </c>
      <c r="F170">
        <f t="shared" si="5"/>
        <v>8.3055009958866149E-3</v>
      </c>
    </row>
    <row r="171" spans="1:6" x14ac:dyDescent="0.3">
      <c r="A171" t="s">
        <v>172</v>
      </c>
      <c r="B171">
        <v>2009</v>
      </c>
      <c r="C171">
        <v>6.7477376588401502E-3</v>
      </c>
      <c r="D171">
        <v>15.183221563174436</v>
      </c>
      <c r="E171">
        <f t="shared" si="4"/>
        <v>6.7477376588401502E-3</v>
      </c>
      <c r="F171">
        <f t="shared" si="5"/>
        <v>6.7477376588401502E-3</v>
      </c>
    </row>
    <row r="172" spans="1:6" x14ac:dyDescent="0.3">
      <c r="A172" t="s">
        <v>173</v>
      </c>
      <c r="B172">
        <v>2009</v>
      </c>
      <c r="C172">
        <v>3.2405538116883964E-3</v>
      </c>
      <c r="D172">
        <v>12.858098307550357</v>
      </c>
      <c r="E172">
        <f t="shared" si="4"/>
        <v>3.2405538116883964E-3</v>
      </c>
      <c r="F172">
        <f t="shared" si="5"/>
        <v>3.2405538116883964E-3</v>
      </c>
    </row>
    <row r="173" spans="1:6" x14ac:dyDescent="0.3">
      <c r="A173" t="s">
        <v>175</v>
      </c>
      <c r="B173">
        <v>2009</v>
      </c>
      <c r="C173">
        <v>4.1380844990863688E-3</v>
      </c>
      <c r="D173">
        <v>12.36172077504837</v>
      </c>
      <c r="E173">
        <f t="shared" si="4"/>
        <v>4.1380844990863688E-3</v>
      </c>
      <c r="F173">
        <f t="shared" si="5"/>
        <v>4.1380844990863688E-3</v>
      </c>
    </row>
    <row r="174" spans="1:6" x14ac:dyDescent="0.3">
      <c r="A174" t="s">
        <v>176</v>
      </c>
      <c r="B174">
        <v>2009</v>
      </c>
      <c r="C174">
        <v>1.6253346804145381E-3</v>
      </c>
      <c r="D174">
        <v>14.331163710439938</v>
      </c>
      <c r="E174">
        <f t="shared" si="4"/>
        <v>1.6253346804145381E-3</v>
      </c>
      <c r="F174">
        <f t="shared" si="5"/>
        <v>1.6253346804145381E-3</v>
      </c>
    </row>
    <row r="175" spans="1:6" x14ac:dyDescent="0.3">
      <c r="A175" t="s">
        <v>177</v>
      </c>
      <c r="B175">
        <v>2009</v>
      </c>
      <c r="C175">
        <v>3.2806780396838708E-3</v>
      </c>
      <c r="D175">
        <v>13.605786560309529</v>
      </c>
      <c r="E175">
        <f t="shared" si="4"/>
        <v>3.2806780396838708E-3</v>
      </c>
      <c r="F175">
        <f t="shared" si="5"/>
        <v>3.2806780396838708E-3</v>
      </c>
    </row>
    <row r="176" spans="1:6" x14ac:dyDescent="0.3">
      <c r="A176" t="s">
        <v>178</v>
      </c>
      <c r="B176">
        <v>2009</v>
      </c>
      <c r="C176">
        <v>2.2900880955472467E-2</v>
      </c>
      <c r="D176">
        <v>13.026717741340844</v>
      </c>
      <c r="E176">
        <f t="shared" si="4"/>
        <v>2.2900880955472467E-2</v>
      </c>
      <c r="F176">
        <f t="shared" si="5"/>
        <v>2.2900880955472467E-2</v>
      </c>
    </row>
    <row r="177" spans="1:6" x14ac:dyDescent="0.3">
      <c r="A177" t="s">
        <v>179</v>
      </c>
      <c r="B177">
        <v>2009</v>
      </c>
      <c r="C177">
        <v>2.3920334884688387E-4</v>
      </c>
      <c r="D177">
        <v>12.166837932278892</v>
      </c>
      <c r="E177">
        <f t="shared" si="4"/>
        <v>2.3920334884688387E-4</v>
      </c>
      <c r="F177">
        <f t="shared" si="5"/>
        <v>2.3920334884688387E-4</v>
      </c>
    </row>
    <row r="178" spans="1:6" x14ac:dyDescent="0.3">
      <c r="A178" t="s">
        <v>181</v>
      </c>
      <c r="B178">
        <v>2009</v>
      </c>
      <c r="C178">
        <v>6.6471014305225244E-4</v>
      </c>
      <c r="D178">
        <v>15.050718331793739</v>
      </c>
      <c r="E178">
        <f t="shared" si="4"/>
        <v>6.6471014305225244E-4</v>
      </c>
      <c r="F178">
        <f t="shared" si="5"/>
        <v>6.6471014305225244E-4</v>
      </c>
    </row>
    <row r="179" spans="1:6" x14ac:dyDescent="0.3">
      <c r="A179" t="s">
        <v>183</v>
      </c>
      <c r="B179">
        <v>2009</v>
      </c>
      <c r="C179">
        <v>1.891175644866214E-3</v>
      </c>
      <c r="D179">
        <v>12.688921544909208</v>
      </c>
      <c r="E179">
        <f t="shared" si="4"/>
        <v>1.891175644866214E-3</v>
      </c>
      <c r="F179">
        <f t="shared" si="5"/>
        <v>1.891175644866214E-3</v>
      </c>
    </row>
    <row r="180" spans="1:6" x14ac:dyDescent="0.3">
      <c r="A180" t="s">
        <v>184</v>
      </c>
      <c r="B180">
        <v>2009</v>
      </c>
      <c r="C180">
        <v>2.9086625669618293E-2</v>
      </c>
      <c r="D180">
        <v>16.129372922817911</v>
      </c>
      <c r="E180">
        <f t="shared" si="4"/>
        <v>2.9086625669618293E-2</v>
      </c>
      <c r="F180">
        <f t="shared" si="5"/>
        <v>2.9086625669618293E-2</v>
      </c>
    </row>
    <row r="181" spans="1:6" x14ac:dyDescent="0.3">
      <c r="A181" t="s">
        <v>185</v>
      </c>
      <c r="B181">
        <v>2009</v>
      </c>
      <c r="C181">
        <v>4.1887671570826228E-2</v>
      </c>
      <c r="D181">
        <v>13.477808765749295</v>
      </c>
      <c r="E181">
        <f t="shared" si="4"/>
        <v>4.1887671570826228E-2</v>
      </c>
      <c r="F181">
        <f t="shared" si="5"/>
        <v>4.1887671570826228E-2</v>
      </c>
    </row>
    <row r="182" spans="1:6" x14ac:dyDescent="0.3">
      <c r="A182" t="s">
        <v>187</v>
      </c>
      <c r="B182">
        <v>2009</v>
      </c>
      <c r="C182">
        <v>3.4390763739343341E-2</v>
      </c>
      <c r="D182">
        <v>13.20372951664816</v>
      </c>
      <c r="E182">
        <f t="shared" si="4"/>
        <v>3.4390763739343341E-2</v>
      </c>
      <c r="F182">
        <f t="shared" si="5"/>
        <v>3.4390763739343341E-2</v>
      </c>
    </row>
    <row r="183" spans="1:6" x14ac:dyDescent="0.3">
      <c r="A183" t="s">
        <v>188</v>
      </c>
      <c r="B183">
        <v>2009</v>
      </c>
      <c r="C183">
        <v>2.4545994130665005E-2</v>
      </c>
      <c r="D183">
        <v>14.188654933209547</v>
      </c>
      <c r="E183">
        <f t="shared" si="4"/>
        <v>2.4545994130665005E-2</v>
      </c>
      <c r="F183">
        <f t="shared" si="5"/>
        <v>2.4545994130665005E-2</v>
      </c>
    </row>
    <row r="184" spans="1:6" x14ac:dyDescent="0.3">
      <c r="A184" t="s">
        <v>190</v>
      </c>
      <c r="B184">
        <v>2009</v>
      </c>
      <c r="C184">
        <v>4.4915507595062855E-3</v>
      </c>
      <c r="D184">
        <v>12.546010299222964</v>
      </c>
      <c r="E184">
        <f t="shared" si="4"/>
        <v>4.4915507595062855E-3</v>
      </c>
      <c r="F184">
        <f t="shared" si="5"/>
        <v>4.4915507595062855E-3</v>
      </c>
    </row>
    <row r="185" spans="1:6" x14ac:dyDescent="0.3">
      <c r="A185" t="s">
        <v>205</v>
      </c>
      <c r="B185">
        <v>2009</v>
      </c>
      <c r="C185" t="s">
        <v>301</v>
      </c>
      <c r="D185">
        <v>14.988050588259846</v>
      </c>
      <c r="E185">
        <f t="shared" si="4"/>
        <v>8.3055009958866149E-3</v>
      </c>
      <c r="F185">
        <f t="shared" si="5"/>
        <v>8.3055009958866149E-3</v>
      </c>
    </row>
    <row r="186" spans="1:6" x14ac:dyDescent="0.3">
      <c r="A186" t="s">
        <v>191</v>
      </c>
      <c r="B186">
        <v>2009</v>
      </c>
      <c r="C186">
        <v>9.9482112064774755E-4</v>
      </c>
      <c r="D186">
        <v>15.242364399150516</v>
      </c>
      <c r="E186">
        <f t="shared" si="4"/>
        <v>9.9482112064774755E-4</v>
      </c>
      <c r="F186">
        <f t="shared" si="5"/>
        <v>9.9482112064774755E-4</v>
      </c>
    </row>
    <row r="187" spans="1:6" x14ac:dyDescent="0.3">
      <c r="A187" t="s">
        <v>192</v>
      </c>
      <c r="B187">
        <v>2009</v>
      </c>
      <c r="C187">
        <v>5.5180042741811931E-4</v>
      </c>
      <c r="D187">
        <v>14.247560471076914</v>
      </c>
      <c r="E187">
        <f t="shared" si="4"/>
        <v>5.5180042741811931E-4</v>
      </c>
      <c r="F187">
        <f t="shared" si="5"/>
        <v>5.5180042741811931E-4</v>
      </c>
    </row>
    <row r="188" spans="1:6" x14ac:dyDescent="0.3">
      <c r="A188" t="s">
        <v>193</v>
      </c>
      <c r="B188">
        <v>2009</v>
      </c>
      <c r="C188">
        <v>5.1651024862751438E-3</v>
      </c>
      <c r="D188">
        <v>13.430340602900392</v>
      </c>
      <c r="E188">
        <f t="shared" si="4"/>
        <v>5.1651024862751438E-3</v>
      </c>
      <c r="F188">
        <f t="shared" si="5"/>
        <v>5.1651024862751438E-3</v>
      </c>
    </row>
    <row r="189" spans="1:6" x14ac:dyDescent="0.3">
      <c r="A189" t="s">
        <v>194</v>
      </c>
      <c r="B189">
        <v>2009</v>
      </c>
      <c r="C189">
        <v>4.4740940644050496E-4</v>
      </c>
      <c r="D189">
        <v>14.417675579312229</v>
      </c>
      <c r="E189">
        <f t="shared" si="4"/>
        <v>4.4740940644050496E-4</v>
      </c>
      <c r="F189">
        <f t="shared" si="5"/>
        <v>4.4740940644050496E-4</v>
      </c>
    </row>
    <row r="190" spans="1:6" x14ac:dyDescent="0.3">
      <c r="A190" t="s">
        <v>195</v>
      </c>
      <c r="B190">
        <v>2009</v>
      </c>
      <c r="C190">
        <v>2.7367897148961443E-2</v>
      </c>
      <c r="D190">
        <v>14.577164625273049</v>
      </c>
      <c r="E190">
        <f t="shared" si="4"/>
        <v>2.7367897148961443E-2</v>
      </c>
      <c r="F190">
        <f t="shared" si="5"/>
        <v>2.7367897148961443E-2</v>
      </c>
    </row>
    <row r="191" spans="1:6" x14ac:dyDescent="0.3">
      <c r="A191" t="s">
        <v>196</v>
      </c>
      <c r="B191">
        <v>2009</v>
      </c>
      <c r="C191">
        <v>1.2920215150156881E-2</v>
      </c>
      <c r="D191">
        <v>13.344994797601782</v>
      </c>
      <c r="E191">
        <f t="shared" si="4"/>
        <v>1.2920215150156881E-2</v>
      </c>
      <c r="F191">
        <f t="shared" si="5"/>
        <v>1.2920215150156881E-2</v>
      </c>
    </row>
    <row r="192" spans="1:6" x14ac:dyDescent="0.3">
      <c r="A192" t="s">
        <v>197</v>
      </c>
      <c r="B192">
        <v>2009</v>
      </c>
      <c r="C192">
        <v>4.3661774058992131E-2</v>
      </c>
      <c r="D192">
        <v>12.397246570901284</v>
      </c>
      <c r="E192">
        <f t="shared" si="4"/>
        <v>4.3661774058992131E-2</v>
      </c>
      <c r="F192">
        <f t="shared" si="5"/>
        <v>4.3661774058992131E-2</v>
      </c>
    </row>
    <row r="193" spans="1:6" x14ac:dyDescent="0.3">
      <c r="A193" t="s">
        <v>198</v>
      </c>
      <c r="B193">
        <v>2009</v>
      </c>
      <c r="C193">
        <v>4.3625305316501925E-3</v>
      </c>
      <c r="D193">
        <v>14.846431984306376</v>
      </c>
      <c r="E193">
        <f t="shared" si="4"/>
        <v>4.3625305316501925E-3</v>
      </c>
      <c r="F193">
        <f t="shared" si="5"/>
        <v>4.3625305316501925E-3</v>
      </c>
    </row>
    <row r="194" spans="1:6" x14ac:dyDescent="0.3">
      <c r="A194" t="s">
        <v>215</v>
      </c>
      <c r="B194">
        <v>2009</v>
      </c>
      <c r="C194" t="s">
        <v>301</v>
      </c>
      <c r="D194">
        <v>16.229536752327707</v>
      </c>
      <c r="E194">
        <f t="shared" si="4"/>
        <v>8.3055009958866149E-3</v>
      </c>
      <c r="F194">
        <f t="shared" si="5"/>
        <v>8.3055009958866149E-3</v>
      </c>
    </row>
    <row r="195" spans="1:6" x14ac:dyDescent="0.3">
      <c r="A195" t="s">
        <v>217</v>
      </c>
      <c r="B195">
        <v>2009</v>
      </c>
      <c r="C195" t="s">
        <v>301</v>
      </c>
      <c r="D195">
        <v>14.281825517424759</v>
      </c>
      <c r="E195">
        <f t="shared" ref="E195:E258" si="6">IF(C195="OUT",$I$2,C195)</f>
        <v>8.3055009958866149E-3</v>
      </c>
      <c r="F195">
        <f t="shared" ref="F195:F258" si="7">IF(D195="OUT",$J$2,E195)</f>
        <v>8.3055009958866149E-3</v>
      </c>
    </row>
    <row r="196" spans="1:6" x14ac:dyDescent="0.3">
      <c r="A196" t="s">
        <v>199</v>
      </c>
      <c r="B196">
        <v>2009</v>
      </c>
      <c r="C196">
        <v>7.5048332030767967E-2</v>
      </c>
      <c r="D196">
        <v>10.791831382359332</v>
      </c>
      <c r="E196">
        <f t="shared" si="6"/>
        <v>7.5048332030767967E-2</v>
      </c>
      <c r="F196">
        <f t="shared" si="7"/>
        <v>7.5048332030767967E-2</v>
      </c>
    </row>
    <row r="197" spans="1:6" x14ac:dyDescent="0.3">
      <c r="A197" t="s">
        <v>200</v>
      </c>
      <c r="B197">
        <v>2009</v>
      </c>
      <c r="C197">
        <v>5.5252624225035265E-3</v>
      </c>
      <c r="D197">
        <v>13.028452617954414</v>
      </c>
      <c r="E197">
        <f t="shared" si="6"/>
        <v>5.5252624225035265E-3</v>
      </c>
      <c r="F197">
        <f t="shared" si="7"/>
        <v>5.5252624225035265E-3</v>
      </c>
    </row>
    <row r="198" spans="1:6" x14ac:dyDescent="0.3">
      <c r="A198" t="s">
        <v>201</v>
      </c>
      <c r="B198">
        <v>2009</v>
      </c>
      <c r="C198">
        <v>4.6943083048877638E-3</v>
      </c>
      <c r="D198">
        <v>15.610253239652524</v>
      </c>
      <c r="E198">
        <f t="shared" si="6"/>
        <v>4.6943083048877638E-3</v>
      </c>
      <c r="F198">
        <f t="shared" si="7"/>
        <v>4.6943083048877638E-3</v>
      </c>
    </row>
    <row r="199" spans="1:6" x14ac:dyDescent="0.3">
      <c r="A199" t="s">
        <v>202</v>
      </c>
      <c r="B199">
        <v>2009</v>
      </c>
      <c r="C199">
        <v>5.708682334949531E-2</v>
      </c>
      <c r="D199">
        <v>15.1106124498613</v>
      </c>
      <c r="E199">
        <f t="shared" si="6"/>
        <v>5.708682334949531E-2</v>
      </c>
      <c r="F199">
        <f t="shared" si="7"/>
        <v>5.708682334949531E-2</v>
      </c>
    </row>
    <row r="200" spans="1:6" x14ac:dyDescent="0.3">
      <c r="A200" t="s">
        <v>203</v>
      </c>
      <c r="B200">
        <v>2009</v>
      </c>
      <c r="C200">
        <v>1.0384273966178531E-3</v>
      </c>
      <c r="D200">
        <v>12.788941683143864</v>
      </c>
      <c r="E200">
        <f t="shared" si="6"/>
        <v>1.0384273966178531E-3</v>
      </c>
      <c r="F200">
        <f t="shared" si="7"/>
        <v>1.0384273966178531E-3</v>
      </c>
    </row>
    <row r="201" spans="1:6" x14ac:dyDescent="0.3">
      <c r="A201" t="s">
        <v>204</v>
      </c>
      <c r="B201">
        <v>2009</v>
      </c>
      <c r="C201">
        <v>2.4493997460651461E-2</v>
      </c>
      <c r="D201">
        <v>15.035597725707316</v>
      </c>
      <c r="E201">
        <f t="shared" si="6"/>
        <v>2.4493997460651461E-2</v>
      </c>
      <c r="F201">
        <f t="shared" si="7"/>
        <v>2.4493997460651461E-2</v>
      </c>
    </row>
    <row r="202" spans="1:6" x14ac:dyDescent="0.3">
      <c r="A202" t="s">
        <v>206</v>
      </c>
      <c r="B202">
        <v>2009</v>
      </c>
      <c r="C202">
        <v>5.7842336801767813E-2</v>
      </c>
      <c r="D202">
        <v>16.152451666016539</v>
      </c>
      <c r="E202">
        <f t="shared" si="6"/>
        <v>5.7842336801767813E-2</v>
      </c>
      <c r="F202">
        <f t="shared" si="7"/>
        <v>5.7842336801767813E-2</v>
      </c>
    </row>
    <row r="203" spans="1:6" x14ac:dyDescent="0.3">
      <c r="A203" t="s">
        <v>207</v>
      </c>
      <c r="B203">
        <v>2009</v>
      </c>
      <c r="C203">
        <v>2.2567414750510568E-2</v>
      </c>
      <c r="D203">
        <v>15.083826239290715</v>
      </c>
      <c r="E203">
        <f t="shared" si="6"/>
        <v>2.2567414750510568E-2</v>
      </c>
      <c r="F203">
        <f t="shared" si="7"/>
        <v>2.2567414750510568E-2</v>
      </c>
    </row>
    <row r="204" spans="1:6" x14ac:dyDescent="0.3">
      <c r="A204" t="s">
        <v>227</v>
      </c>
      <c r="B204">
        <v>2009</v>
      </c>
      <c r="C204" t="s">
        <v>301</v>
      </c>
      <c r="D204">
        <v>12.031147666486438</v>
      </c>
      <c r="E204">
        <f t="shared" si="6"/>
        <v>8.3055009958866149E-3</v>
      </c>
      <c r="F204">
        <f t="shared" si="7"/>
        <v>8.3055009958866149E-3</v>
      </c>
    </row>
    <row r="205" spans="1:6" x14ac:dyDescent="0.3">
      <c r="A205" t="s">
        <v>229</v>
      </c>
      <c r="B205">
        <v>2009</v>
      </c>
      <c r="C205" t="s">
        <v>301</v>
      </c>
      <c r="D205">
        <v>13.496478159450053</v>
      </c>
      <c r="E205">
        <f t="shared" si="6"/>
        <v>8.3055009958866149E-3</v>
      </c>
      <c r="F205">
        <f t="shared" si="7"/>
        <v>8.3055009958866149E-3</v>
      </c>
    </row>
    <row r="206" spans="1:6" x14ac:dyDescent="0.3">
      <c r="A206" t="s">
        <v>231</v>
      </c>
      <c r="B206">
        <v>2009</v>
      </c>
      <c r="C206" t="s">
        <v>301</v>
      </c>
      <c r="D206">
        <v>15.757527567146838</v>
      </c>
      <c r="E206">
        <f t="shared" si="6"/>
        <v>8.3055009958866149E-3</v>
      </c>
      <c r="F206">
        <f t="shared" si="7"/>
        <v>8.3055009958866149E-3</v>
      </c>
    </row>
    <row r="207" spans="1:6" x14ac:dyDescent="0.3">
      <c r="A207" t="s">
        <v>208</v>
      </c>
      <c r="B207">
        <v>2009</v>
      </c>
      <c r="C207">
        <v>1.2276759625049673E-2</v>
      </c>
      <c r="D207">
        <v>17.443724514426371</v>
      </c>
      <c r="E207">
        <f t="shared" si="6"/>
        <v>1.2276759625049673E-2</v>
      </c>
      <c r="F207">
        <f t="shared" si="7"/>
        <v>1.2276759625049673E-2</v>
      </c>
    </row>
    <row r="208" spans="1:6" x14ac:dyDescent="0.3">
      <c r="A208" t="s">
        <v>209</v>
      </c>
      <c r="B208">
        <v>2009</v>
      </c>
      <c r="C208">
        <v>1.2794112376699954E-2</v>
      </c>
      <c r="D208">
        <v>15.372287925960839</v>
      </c>
      <c r="E208">
        <f t="shared" si="6"/>
        <v>1.2794112376699954E-2</v>
      </c>
      <c r="F208">
        <f t="shared" si="7"/>
        <v>1.2794112376699954E-2</v>
      </c>
    </row>
    <row r="209" spans="1:6" x14ac:dyDescent="0.3">
      <c r="A209" t="s">
        <v>210</v>
      </c>
      <c r="B209">
        <v>2009</v>
      </c>
      <c r="C209">
        <v>5.9500172472857753E-3</v>
      </c>
      <c r="D209">
        <v>17.596690485438316</v>
      </c>
      <c r="E209">
        <f t="shared" si="6"/>
        <v>5.9500172472857753E-3</v>
      </c>
      <c r="F209">
        <f t="shared" si="7"/>
        <v>5.9500172472857753E-3</v>
      </c>
    </row>
    <row r="210" spans="1:6" x14ac:dyDescent="0.3">
      <c r="A210" t="s">
        <v>211</v>
      </c>
      <c r="B210">
        <v>2009</v>
      </c>
      <c r="C210">
        <v>4.8115794037458469E-4</v>
      </c>
      <c r="D210">
        <v>15.30927697886278</v>
      </c>
      <c r="E210">
        <f t="shared" si="6"/>
        <v>4.8115794037458469E-4</v>
      </c>
      <c r="F210">
        <f t="shared" si="7"/>
        <v>4.8115794037458469E-4</v>
      </c>
    </row>
    <row r="211" spans="1:6" x14ac:dyDescent="0.3">
      <c r="A211" t="s">
        <v>212</v>
      </c>
      <c r="B211">
        <v>2009</v>
      </c>
      <c r="C211">
        <v>1.2511757071957648E-3</v>
      </c>
      <c r="D211">
        <v>14.943905895573417</v>
      </c>
      <c r="E211">
        <f t="shared" si="6"/>
        <v>1.2511757071957648E-3</v>
      </c>
      <c r="F211">
        <f t="shared" si="7"/>
        <v>1.2511757071957648E-3</v>
      </c>
    </row>
    <row r="212" spans="1:6" x14ac:dyDescent="0.3">
      <c r="A212" t="s">
        <v>213</v>
      </c>
      <c r="B212">
        <v>2009</v>
      </c>
      <c r="C212">
        <v>5.6634052460919539E-3</v>
      </c>
      <c r="D212">
        <v>16.888052194485176</v>
      </c>
      <c r="E212">
        <f t="shared" si="6"/>
        <v>5.6634052460919539E-3</v>
      </c>
      <c r="F212">
        <f t="shared" si="7"/>
        <v>5.6634052460919539E-3</v>
      </c>
    </row>
    <row r="213" spans="1:6" x14ac:dyDescent="0.3">
      <c r="A213" t="s">
        <v>214</v>
      </c>
      <c r="B213">
        <v>2009</v>
      </c>
      <c r="C213">
        <v>8.2039956074886067E-3</v>
      </c>
      <c r="D213">
        <v>16.881072066489086</v>
      </c>
      <c r="E213">
        <f t="shared" si="6"/>
        <v>8.2039956074886067E-3</v>
      </c>
      <c r="F213">
        <f t="shared" si="7"/>
        <v>8.2039956074886067E-3</v>
      </c>
    </row>
    <row r="214" spans="1:6" x14ac:dyDescent="0.3">
      <c r="A214" t="s">
        <v>216</v>
      </c>
      <c r="B214">
        <v>2009</v>
      </c>
      <c r="C214">
        <v>7.5009704495706021E-3</v>
      </c>
      <c r="D214">
        <v>14.772737069884865</v>
      </c>
      <c r="E214">
        <f t="shared" si="6"/>
        <v>7.5009704495706021E-3</v>
      </c>
      <c r="F214">
        <f t="shared" si="7"/>
        <v>7.5009704495706021E-3</v>
      </c>
    </row>
    <row r="215" spans="1:6" x14ac:dyDescent="0.3">
      <c r="A215" t="s">
        <v>218</v>
      </c>
      <c r="B215">
        <v>2009</v>
      </c>
      <c r="C215">
        <v>6.1639044958847157E-3</v>
      </c>
      <c r="D215">
        <v>16.216028388848972</v>
      </c>
      <c r="E215">
        <f t="shared" si="6"/>
        <v>6.1639044958847157E-3</v>
      </c>
      <c r="F215">
        <f t="shared" si="7"/>
        <v>6.1639044958847157E-3</v>
      </c>
    </row>
    <row r="216" spans="1:6" x14ac:dyDescent="0.3">
      <c r="A216" t="s">
        <v>219</v>
      </c>
      <c r="B216">
        <v>2009</v>
      </c>
      <c r="C216">
        <v>3.9850924544695852E-3</v>
      </c>
      <c r="D216">
        <v>15.970163230951105</v>
      </c>
      <c r="E216">
        <f t="shared" si="6"/>
        <v>3.9850924544695852E-3</v>
      </c>
      <c r="F216">
        <f t="shared" si="7"/>
        <v>3.9850924544695852E-3</v>
      </c>
    </row>
    <row r="217" spans="1:6" x14ac:dyDescent="0.3">
      <c r="A217" t="s">
        <v>220</v>
      </c>
      <c r="B217">
        <v>2009</v>
      </c>
      <c r="C217">
        <v>3.6165307137148075E-3</v>
      </c>
      <c r="D217">
        <v>16.796344551227783</v>
      </c>
      <c r="E217">
        <f t="shared" si="6"/>
        <v>3.6165307137148075E-3</v>
      </c>
      <c r="F217">
        <f t="shared" si="7"/>
        <v>3.6165307137148075E-3</v>
      </c>
    </row>
    <row r="218" spans="1:6" x14ac:dyDescent="0.3">
      <c r="A218" t="s">
        <v>221</v>
      </c>
      <c r="B218">
        <v>2009</v>
      </c>
      <c r="C218">
        <v>2.7325513340387863E-2</v>
      </c>
      <c r="D218">
        <v>17.463369091523482</v>
      </c>
      <c r="E218">
        <f t="shared" si="6"/>
        <v>2.7325513340387863E-2</v>
      </c>
      <c r="F218">
        <f t="shared" si="7"/>
        <v>2.7325513340387863E-2</v>
      </c>
    </row>
    <row r="219" spans="1:6" x14ac:dyDescent="0.3">
      <c r="A219" t="s">
        <v>222</v>
      </c>
      <c r="B219">
        <v>2009</v>
      </c>
      <c r="C219">
        <v>3.8943389144189288E-3</v>
      </c>
      <c r="D219">
        <v>17.060476574451712</v>
      </c>
      <c r="E219">
        <f t="shared" si="6"/>
        <v>3.8943389144189288E-3</v>
      </c>
      <c r="F219">
        <f t="shared" si="7"/>
        <v>3.8943389144189288E-3</v>
      </c>
    </row>
    <row r="220" spans="1:6" x14ac:dyDescent="0.3">
      <c r="A220" t="s">
        <v>223</v>
      </c>
      <c r="B220">
        <v>2009</v>
      </c>
      <c r="C220">
        <v>1.5394868093826146E-2</v>
      </c>
      <c r="D220">
        <v>16.152278116507336</v>
      </c>
      <c r="E220">
        <f t="shared" si="6"/>
        <v>1.5394868093826146E-2</v>
      </c>
      <c r="F220">
        <f t="shared" si="7"/>
        <v>1.5394868093826146E-2</v>
      </c>
    </row>
    <row r="221" spans="1:6" x14ac:dyDescent="0.3">
      <c r="A221" t="s">
        <v>224</v>
      </c>
      <c r="B221">
        <v>2009</v>
      </c>
      <c r="C221">
        <v>1.2339887243403597E-2</v>
      </c>
      <c r="D221">
        <v>14.84316912536401</v>
      </c>
      <c r="E221">
        <f t="shared" si="6"/>
        <v>1.2339887243403597E-2</v>
      </c>
      <c r="F221">
        <f t="shared" si="7"/>
        <v>1.2339887243403597E-2</v>
      </c>
    </row>
    <row r="222" spans="1:6" x14ac:dyDescent="0.3">
      <c r="A222" t="s">
        <v>225</v>
      </c>
      <c r="B222">
        <v>2009</v>
      </c>
      <c r="C222">
        <v>8.1313638965640027E-3</v>
      </c>
      <c r="D222">
        <v>13.002935489720246</v>
      </c>
      <c r="E222">
        <f t="shared" si="6"/>
        <v>8.1313638965640027E-3</v>
      </c>
      <c r="F222">
        <f t="shared" si="7"/>
        <v>8.1313638965640027E-3</v>
      </c>
    </row>
    <row r="223" spans="1:6" x14ac:dyDescent="0.3">
      <c r="A223" t="s">
        <v>226</v>
      </c>
      <c r="B223">
        <v>2009</v>
      </c>
      <c r="C223">
        <v>2.5960932886967755E-2</v>
      </c>
      <c r="D223">
        <v>15.555183611349548</v>
      </c>
      <c r="E223">
        <f t="shared" si="6"/>
        <v>2.5960932886967755E-2</v>
      </c>
      <c r="F223">
        <f t="shared" si="7"/>
        <v>2.5960932886967755E-2</v>
      </c>
    </row>
    <row r="224" spans="1:6" x14ac:dyDescent="0.3">
      <c r="A224" t="s">
        <v>228</v>
      </c>
      <c r="B224">
        <v>2009</v>
      </c>
      <c r="C224">
        <v>7.7283640654703875E-3</v>
      </c>
      <c r="D224">
        <v>14.037260338430995</v>
      </c>
      <c r="E224">
        <f t="shared" si="6"/>
        <v>7.7283640654703875E-3</v>
      </c>
      <c r="F224">
        <f t="shared" si="7"/>
        <v>7.7283640654703875E-3</v>
      </c>
    </row>
    <row r="225" spans="1:6" x14ac:dyDescent="0.3">
      <c r="A225" t="s">
        <v>251</v>
      </c>
      <c r="B225">
        <v>2009</v>
      </c>
      <c r="C225" t="s">
        <v>301</v>
      </c>
      <c r="D225">
        <v>14.329226600442512</v>
      </c>
      <c r="E225">
        <f t="shared" si="6"/>
        <v>8.3055009958866149E-3</v>
      </c>
      <c r="F225">
        <f t="shared" si="7"/>
        <v>8.3055009958866149E-3</v>
      </c>
    </row>
    <row r="226" spans="1:6" x14ac:dyDescent="0.3">
      <c r="A226" t="s">
        <v>253</v>
      </c>
      <c r="B226">
        <v>2009</v>
      </c>
      <c r="C226" t="s">
        <v>301</v>
      </c>
      <c r="D226">
        <v>15.814375113852769</v>
      </c>
      <c r="E226">
        <f t="shared" si="6"/>
        <v>8.3055009958866149E-3</v>
      </c>
      <c r="F226">
        <f t="shared" si="7"/>
        <v>8.3055009958866149E-3</v>
      </c>
    </row>
    <row r="227" spans="1:6" x14ac:dyDescent="0.3">
      <c r="A227" t="s">
        <v>230</v>
      </c>
      <c r="B227">
        <v>2009</v>
      </c>
      <c r="C227">
        <v>2.3557786781319128E-2</v>
      </c>
      <c r="D227">
        <v>14.019618883454459</v>
      </c>
      <c r="E227">
        <f t="shared" si="6"/>
        <v>2.3557786781319128E-2</v>
      </c>
      <c r="F227">
        <f t="shared" si="7"/>
        <v>2.3557786781319128E-2</v>
      </c>
    </row>
    <row r="228" spans="1:6" x14ac:dyDescent="0.3">
      <c r="A228" t="s">
        <v>256</v>
      </c>
      <c r="B228">
        <v>2009</v>
      </c>
      <c r="C228" t="s">
        <v>301</v>
      </c>
      <c r="D228">
        <v>15.814372675047144</v>
      </c>
      <c r="E228">
        <f t="shared" si="6"/>
        <v>8.3055009958866149E-3</v>
      </c>
      <c r="F228">
        <f t="shared" si="7"/>
        <v>8.3055009958866149E-3</v>
      </c>
    </row>
    <row r="229" spans="1:6" x14ac:dyDescent="0.3">
      <c r="A229" t="s">
        <v>232</v>
      </c>
      <c r="B229">
        <v>2009</v>
      </c>
      <c r="C229">
        <v>3.1980059369077767E-2</v>
      </c>
      <c r="D229">
        <v>13.76845249284481</v>
      </c>
      <c r="E229">
        <f t="shared" si="6"/>
        <v>3.1980059369077767E-2</v>
      </c>
      <c r="F229">
        <f t="shared" si="7"/>
        <v>3.1980059369077767E-2</v>
      </c>
    </row>
    <row r="230" spans="1:6" x14ac:dyDescent="0.3">
      <c r="A230" t="s">
        <v>233</v>
      </c>
      <c r="B230">
        <v>2009</v>
      </c>
      <c r="C230">
        <v>1.6783832077308079E-3</v>
      </c>
      <c r="D230">
        <v>12.712489565226406</v>
      </c>
      <c r="E230">
        <f t="shared" si="6"/>
        <v>1.6783832077308079E-3</v>
      </c>
      <c r="F230">
        <f t="shared" si="7"/>
        <v>1.6783832077308079E-3</v>
      </c>
    </row>
    <row r="231" spans="1:6" x14ac:dyDescent="0.3">
      <c r="A231" t="s">
        <v>234</v>
      </c>
      <c r="B231">
        <v>2009</v>
      </c>
      <c r="C231">
        <v>1.7553899581187762E-2</v>
      </c>
      <c r="D231">
        <v>13.70421356736713</v>
      </c>
      <c r="E231">
        <f t="shared" si="6"/>
        <v>1.7553899581187762E-2</v>
      </c>
      <c r="F231">
        <f t="shared" si="7"/>
        <v>1.7553899581187762E-2</v>
      </c>
    </row>
    <row r="232" spans="1:6" x14ac:dyDescent="0.3">
      <c r="A232" t="s">
        <v>235</v>
      </c>
      <c r="B232">
        <v>2009</v>
      </c>
      <c r="C232">
        <v>5.0169201544828972E-3</v>
      </c>
      <c r="D232">
        <v>13.991449287789006</v>
      </c>
      <c r="E232">
        <f t="shared" si="6"/>
        <v>5.0169201544828972E-3</v>
      </c>
      <c r="F232">
        <f t="shared" si="7"/>
        <v>5.0169201544828972E-3</v>
      </c>
    </row>
    <row r="233" spans="1:6" x14ac:dyDescent="0.3">
      <c r="A233" t="s">
        <v>236</v>
      </c>
      <c r="B233">
        <v>2009</v>
      </c>
      <c r="C233">
        <v>2.3959970797771006E-2</v>
      </c>
      <c r="D233">
        <v>15.318902608833573</v>
      </c>
      <c r="E233">
        <f t="shared" si="6"/>
        <v>2.3959970797771006E-2</v>
      </c>
      <c r="F233">
        <f t="shared" si="7"/>
        <v>2.3959970797771006E-2</v>
      </c>
    </row>
    <row r="234" spans="1:6" x14ac:dyDescent="0.3">
      <c r="A234" t="s">
        <v>263</v>
      </c>
      <c r="B234">
        <v>2009</v>
      </c>
      <c r="C234" t="s">
        <v>301</v>
      </c>
      <c r="D234">
        <v>14.526785925511664</v>
      </c>
      <c r="E234">
        <f t="shared" si="6"/>
        <v>8.3055009958866149E-3</v>
      </c>
      <c r="F234">
        <f t="shared" si="7"/>
        <v>8.3055009958866149E-3</v>
      </c>
    </row>
    <row r="235" spans="1:6" x14ac:dyDescent="0.3">
      <c r="A235" t="s">
        <v>237</v>
      </c>
      <c r="B235">
        <v>2009</v>
      </c>
      <c r="C235">
        <v>3.6884312821289893E-2</v>
      </c>
      <c r="D235">
        <v>15.193328848475129</v>
      </c>
      <c r="E235">
        <f t="shared" si="6"/>
        <v>3.6884312821289893E-2</v>
      </c>
      <c r="F235">
        <f t="shared" si="7"/>
        <v>3.6884312821289893E-2</v>
      </c>
    </row>
    <row r="236" spans="1:6" x14ac:dyDescent="0.3">
      <c r="A236" t="s">
        <v>238</v>
      </c>
      <c r="B236">
        <v>2009</v>
      </c>
      <c r="C236">
        <v>1.1183082818760752E-2</v>
      </c>
      <c r="D236">
        <v>14.469626327452168</v>
      </c>
      <c r="E236">
        <f t="shared" si="6"/>
        <v>1.1183082818760752E-2</v>
      </c>
      <c r="F236">
        <f t="shared" si="7"/>
        <v>1.1183082818760752E-2</v>
      </c>
    </row>
    <row r="237" spans="1:6" x14ac:dyDescent="0.3">
      <c r="A237" t="s">
        <v>239</v>
      </c>
      <c r="B237">
        <v>2009</v>
      </c>
      <c r="C237">
        <v>2.5170499928318348E-2</v>
      </c>
      <c r="D237">
        <v>12.741948866582856</v>
      </c>
      <c r="E237">
        <f t="shared" si="6"/>
        <v>2.5170499928318348E-2</v>
      </c>
      <c r="F237">
        <f t="shared" si="7"/>
        <v>2.5170499928318348E-2</v>
      </c>
    </row>
    <row r="238" spans="1:6" x14ac:dyDescent="0.3">
      <c r="A238" t="s">
        <v>240</v>
      </c>
      <c r="B238">
        <v>2009</v>
      </c>
      <c r="C238">
        <v>2.0606335409624216E-3</v>
      </c>
      <c r="D238">
        <v>16.11228761693534</v>
      </c>
      <c r="E238">
        <f t="shared" si="6"/>
        <v>2.0606335409624216E-3</v>
      </c>
      <c r="F238">
        <f t="shared" si="7"/>
        <v>2.0606335409624216E-3</v>
      </c>
    </row>
    <row r="239" spans="1:6" x14ac:dyDescent="0.3">
      <c r="A239" t="s">
        <v>269</v>
      </c>
      <c r="B239">
        <v>2009</v>
      </c>
      <c r="C239" t="s">
        <v>301</v>
      </c>
      <c r="D239">
        <v>16.844944641580252</v>
      </c>
      <c r="E239">
        <f t="shared" si="6"/>
        <v>8.3055009958866149E-3</v>
      </c>
      <c r="F239">
        <f t="shared" si="7"/>
        <v>8.3055009958866149E-3</v>
      </c>
    </row>
    <row r="240" spans="1:6" x14ac:dyDescent="0.3">
      <c r="A240" t="s">
        <v>271</v>
      </c>
      <c r="B240">
        <v>2009</v>
      </c>
      <c r="C240" t="s">
        <v>301</v>
      </c>
      <c r="D240">
        <v>15.760109419085801</v>
      </c>
      <c r="E240">
        <f t="shared" si="6"/>
        <v>8.3055009958866149E-3</v>
      </c>
      <c r="F240">
        <f t="shared" si="7"/>
        <v>8.3055009958866149E-3</v>
      </c>
    </row>
    <row r="241" spans="1:6" x14ac:dyDescent="0.3">
      <c r="A241" t="s">
        <v>273</v>
      </c>
      <c r="B241">
        <v>2009</v>
      </c>
      <c r="C241" t="s">
        <v>301</v>
      </c>
      <c r="D241">
        <v>16.686571161105174</v>
      </c>
      <c r="E241">
        <f t="shared" si="6"/>
        <v>8.3055009958866149E-3</v>
      </c>
      <c r="F241">
        <f t="shared" si="7"/>
        <v>8.3055009958866149E-3</v>
      </c>
    </row>
    <row r="242" spans="1:6" x14ac:dyDescent="0.3">
      <c r="A242" t="s">
        <v>241</v>
      </c>
      <c r="B242">
        <v>2009</v>
      </c>
      <c r="C242">
        <v>3.2685835588532927E-2</v>
      </c>
      <c r="D242">
        <v>13.315865531066088</v>
      </c>
      <c r="E242">
        <f t="shared" si="6"/>
        <v>3.2685835588532927E-2</v>
      </c>
      <c r="F242">
        <f t="shared" si="7"/>
        <v>3.2685835588532927E-2</v>
      </c>
    </row>
    <row r="243" spans="1:6" x14ac:dyDescent="0.3">
      <c r="A243" t="s">
        <v>242</v>
      </c>
      <c r="B243">
        <v>2009</v>
      </c>
      <c r="C243">
        <v>5.4247589883690849E-2</v>
      </c>
      <c r="D243">
        <v>17.328223941348117</v>
      </c>
      <c r="E243">
        <f t="shared" si="6"/>
        <v>5.4247589883690849E-2</v>
      </c>
      <c r="F243">
        <f t="shared" si="7"/>
        <v>5.4247589883690849E-2</v>
      </c>
    </row>
    <row r="244" spans="1:6" x14ac:dyDescent="0.3">
      <c r="A244" t="s">
        <v>243</v>
      </c>
      <c r="B244">
        <v>2009</v>
      </c>
      <c r="C244">
        <v>3.8642970124252874E-3</v>
      </c>
      <c r="D244">
        <v>15.67642755178988</v>
      </c>
      <c r="E244">
        <f t="shared" si="6"/>
        <v>3.8642970124252874E-3</v>
      </c>
      <c r="F244">
        <f t="shared" si="7"/>
        <v>3.8642970124252874E-3</v>
      </c>
    </row>
    <row r="245" spans="1:6" x14ac:dyDescent="0.3">
      <c r="A245" t="s">
        <v>244</v>
      </c>
      <c r="B245">
        <v>2009</v>
      </c>
      <c r="C245">
        <v>8.5469145489466426E-3</v>
      </c>
      <c r="D245">
        <v>18.697825991021681</v>
      </c>
      <c r="E245">
        <f t="shared" si="6"/>
        <v>8.5469145489466426E-3</v>
      </c>
      <c r="F245">
        <f t="shared" si="7"/>
        <v>8.5469145489466426E-3</v>
      </c>
    </row>
    <row r="246" spans="1:6" x14ac:dyDescent="0.3">
      <c r="A246" t="s">
        <v>279</v>
      </c>
      <c r="B246">
        <v>2009</v>
      </c>
      <c r="C246" t="s">
        <v>301</v>
      </c>
      <c r="D246">
        <v>15.750086430383654</v>
      </c>
      <c r="E246">
        <f t="shared" si="6"/>
        <v>8.3055009958866149E-3</v>
      </c>
      <c r="F246">
        <f t="shared" si="7"/>
        <v>8.3055009958866149E-3</v>
      </c>
    </row>
    <row r="247" spans="1:6" x14ac:dyDescent="0.3">
      <c r="A247" t="s">
        <v>245</v>
      </c>
      <c r="B247">
        <v>2009</v>
      </c>
      <c r="C247">
        <v>4.4298278276787362E-3</v>
      </c>
      <c r="D247">
        <v>12.939086964880705</v>
      </c>
      <c r="E247">
        <f t="shared" si="6"/>
        <v>4.4298278276787362E-3</v>
      </c>
      <c r="F247">
        <f t="shared" si="7"/>
        <v>4.4298278276787362E-3</v>
      </c>
    </row>
    <row r="248" spans="1:6" x14ac:dyDescent="0.3">
      <c r="A248" t="s">
        <v>246</v>
      </c>
      <c r="B248">
        <v>2009</v>
      </c>
      <c r="C248">
        <v>6.6770844080214871E-3</v>
      </c>
      <c r="D248">
        <v>17.909175789493521</v>
      </c>
      <c r="E248">
        <f t="shared" si="6"/>
        <v>6.6770844080214871E-3</v>
      </c>
      <c r="F248">
        <f t="shared" si="7"/>
        <v>6.6770844080214871E-3</v>
      </c>
    </row>
    <row r="249" spans="1:6" x14ac:dyDescent="0.3">
      <c r="A249" t="s">
        <v>247</v>
      </c>
      <c r="B249">
        <v>2009</v>
      </c>
      <c r="C249">
        <v>2.2325773961714635E-2</v>
      </c>
      <c r="D249">
        <v>18.997251388242749</v>
      </c>
      <c r="E249">
        <f t="shared" si="6"/>
        <v>2.2325773961714635E-2</v>
      </c>
      <c r="F249">
        <f t="shared" si="7"/>
        <v>2.2325773961714635E-2</v>
      </c>
    </row>
    <row r="250" spans="1:6" x14ac:dyDescent="0.3">
      <c r="A250" t="s">
        <v>248</v>
      </c>
      <c r="B250">
        <v>2009</v>
      </c>
      <c r="C250">
        <v>1.5332132316301891E-4</v>
      </c>
      <c r="D250">
        <v>12.567164321332942</v>
      </c>
      <c r="E250">
        <f t="shared" si="6"/>
        <v>1.5332132316301891E-4</v>
      </c>
      <c r="F250">
        <f t="shared" si="7"/>
        <v>1.5332132316301891E-4</v>
      </c>
    </row>
    <row r="251" spans="1:6" x14ac:dyDescent="0.3">
      <c r="A251" t="s">
        <v>249</v>
      </c>
      <c r="B251">
        <v>2009</v>
      </c>
      <c r="C251">
        <v>7.0655410918580592E-3</v>
      </c>
      <c r="D251">
        <v>15.064124359129023</v>
      </c>
      <c r="E251">
        <f t="shared" si="6"/>
        <v>7.0655410918580592E-3</v>
      </c>
      <c r="F251">
        <f t="shared" si="7"/>
        <v>7.0655410918580592E-3</v>
      </c>
    </row>
    <row r="252" spans="1:6" x14ac:dyDescent="0.3">
      <c r="A252" t="s">
        <v>250</v>
      </c>
      <c r="B252">
        <v>2009</v>
      </c>
      <c r="C252">
        <v>4.8645505421286944E-4</v>
      </c>
      <c r="D252">
        <v>16.039976475443392</v>
      </c>
      <c r="E252">
        <f t="shared" si="6"/>
        <v>4.8645505421286944E-4</v>
      </c>
      <c r="F252">
        <f t="shared" si="7"/>
        <v>4.8645505421286944E-4</v>
      </c>
    </row>
    <row r="253" spans="1:6" x14ac:dyDescent="0.3">
      <c r="A253" t="s">
        <v>252</v>
      </c>
      <c r="B253">
        <v>2009</v>
      </c>
      <c r="C253">
        <v>1.0745458322405315E-2</v>
      </c>
      <c r="D253">
        <v>18.624045677602162</v>
      </c>
      <c r="E253">
        <f t="shared" si="6"/>
        <v>1.0745458322405315E-2</v>
      </c>
      <c r="F253">
        <f t="shared" si="7"/>
        <v>1.0745458322405315E-2</v>
      </c>
    </row>
    <row r="254" spans="1:6" x14ac:dyDescent="0.3">
      <c r="A254" t="s">
        <v>254</v>
      </c>
      <c r="B254">
        <v>2009</v>
      </c>
      <c r="C254">
        <v>1.4690852676173996E-2</v>
      </c>
      <c r="D254">
        <v>18.426205454595067</v>
      </c>
      <c r="E254">
        <f t="shared" si="6"/>
        <v>1.4690852676173996E-2</v>
      </c>
      <c r="F254">
        <f t="shared" si="7"/>
        <v>1.4690852676173996E-2</v>
      </c>
    </row>
    <row r="255" spans="1:6" x14ac:dyDescent="0.3">
      <c r="A255" t="s">
        <v>255</v>
      </c>
      <c r="B255">
        <v>2009</v>
      </c>
      <c r="C255">
        <v>1.1265871942839501E-2</v>
      </c>
      <c r="D255">
        <v>18.335560733564375</v>
      </c>
      <c r="E255">
        <f t="shared" si="6"/>
        <v>1.1265871942839501E-2</v>
      </c>
      <c r="F255">
        <f t="shared" si="7"/>
        <v>1.1265871942839501E-2</v>
      </c>
    </row>
    <row r="256" spans="1:6" x14ac:dyDescent="0.3">
      <c r="A256" t="s">
        <v>283</v>
      </c>
      <c r="B256">
        <v>2009</v>
      </c>
      <c r="C256" t="s">
        <v>301</v>
      </c>
      <c r="D256">
        <v>14.885951741094233</v>
      </c>
      <c r="E256">
        <f t="shared" si="6"/>
        <v>8.3055009958866149E-3</v>
      </c>
      <c r="F256">
        <f t="shared" si="7"/>
        <v>8.3055009958866149E-3</v>
      </c>
    </row>
    <row r="257" spans="1:6" x14ac:dyDescent="0.3">
      <c r="A257" t="s">
        <v>284</v>
      </c>
      <c r="B257">
        <v>2009</v>
      </c>
      <c r="C257" t="s">
        <v>301</v>
      </c>
      <c r="D257">
        <v>13.816685867017924</v>
      </c>
      <c r="E257">
        <f t="shared" si="6"/>
        <v>8.3055009958866149E-3</v>
      </c>
      <c r="F257">
        <f t="shared" si="7"/>
        <v>8.3055009958866149E-3</v>
      </c>
    </row>
    <row r="258" spans="1:6" x14ac:dyDescent="0.3">
      <c r="A258" t="s">
        <v>285</v>
      </c>
      <c r="B258">
        <v>2009</v>
      </c>
      <c r="C258" t="s">
        <v>301</v>
      </c>
      <c r="D258">
        <v>16.636888194372705</v>
      </c>
      <c r="E258">
        <f t="shared" si="6"/>
        <v>8.3055009958866149E-3</v>
      </c>
      <c r="F258">
        <f t="shared" si="7"/>
        <v>8.3055009958866149E-3</v>
      </c>
    </row>
    <row r="259" spans="1:6" x14ac:dyDescent="0.3">
      <c r="A259" t="s">
        <v>257</v>
      </c>
      <c r="B259">
        <v>2009</v>
      </c>
      <c r="C259">
        <v>5.1324550679221717E-2</v>
      </c>
      <c r="D259">
        <v>15.649131321453462</v>
      </c>
      <c r="E259">
        <f t="shared" ref="E259:E286" si="8">IF(C259="OUT",$I$2,C259)</f>
        <v>5.1324550679221717E-2</v>
      </c>
      <c r="F259">
        <f t="shared" ref="F259:F286" si="9">IF(D259="OUT",$J$2,E259)</f>
        <v>5.1324550679221717E-2</v>
      </c>
    </row>
    <row r="260" spans="1:6" x14ac:dyDescent="0.3">
      <c r="A260" t="s">
        <v>258</v>
      </c>
      <c r="B260">
        <v>2009</v>
      </c>
      <c r="C260">
        <v>9.1282072948029058E-4</v>
      </c>
      <c r="D260">
        <v>16.078291159439601</v>
      </c>
      <c r="E260">
        <f t="shared" si="8"/>
        <v>9.1282072948029058E-4</v>
      </c>
      <c r="F260">
        <f t="shared" si="9"/>
        <v>9.1282072948029058E-4</v>
      </c>
    </row>
    <row r="261" spans="1:6" x14ac:dyDescent="0.3">
      <c r="A261" t="s">
        <v>259</v>
      </c>
      <c r="B261">
        <v>2009</v>
      </c>
      <c r="C261">
        <v>1.4747625085811955E-2</v>
      </c>
      <c r="D261">
        <v>16.942967211227913</v>
      </c>
      <c r="E261">
        <f t="shared" si="8"/>
        <v>1.4747625085811955E-2</v>
      </c>
      <c r="F261">
        <f t="shared" si="9"/>
        <v>1.4747625085811955E-2</v>
      </c>
    </row>
    <row r="262" spans="1:6" x14ac:dyDescent="0.3">
      <c r="A262" t="s">
        <v>286</v>
      </c>
      <c r="B262">
        <v>2009</v>
      </c>
      <c r="C262" t="s">
        <v>301</v>
      </c>
      <c r="D262">
        <v>16.720904033890438</v>
      </c>
      <c r="E262">
        <f t="shared" si="8"/>
        <v>8.3055009958866149E-3</v>
      </c>
      <c r="F262">
        <f t="shared" si="9"/>
        <v>8.3055009958866149E-3</v>
      </c>
    </row>
    <row r="263" spans="1:6" x14ac:dyDescent="0.3">
      <c r="A263" t="s">
        <v>287</v>
      </c>
      <c r="B263">
        <v>2009</v>
      </c>
      <c r="C263" t="s">
        <v>301</v>
      </c>
      <c r="D263">
        <v>17.656157919642752</v>
      </c>
      <c r="E263">
        <f t="shared" si="8"/>
        <v>8.3055009958866149E-3</v>
      </c>
      <c r="F263">
        <f t="shared" si="9"/>
        <v>8.3055009958866149E-3</v>
      </c>
    </row>
    <row r="264" spans="1:6" x14ac:dyDescent="0.3">
      <c r="A264" t="s">
        <v>288</v>
      </c>
      <c r="B264">
        <v>2009</v>
      </c>
      <c r="C264" t="s">
        <v>301</v>
      </c>
      <c r="D264">
        <v>17.561351721850961</v>
      </c>
      <c r="E264">
        <f t="shared" si="8"/>
        <v>8.3055009958866149E-3</v>
      </c>
      <c r="F264">
        <f t="shared" si="9"/>
        <v>8.3055009958866149E-3</v>
      </c>
    </row>
    <row r="265" spans="1:6" x14ac:dyDescent="0.3">
      <c r="A265" t="s">
        <v>289</v>
      </c>
      <c r="B265">
        <v>2009</v>
      </c>
      <c r="C265" t="s">
        <v>301</v>
      </c>
      <c r="D265">
        <v>17.413695834623542</v>
      </c>
      <c r="E265">
        <f t="shared" si="8"/>
        <v>8.3055009958866149E-3</v>
      </c>
      <c r="F265">
        <f t="shared" si="9"/>
        <v>8.3055009958866149E-3</v>
      </c>
    </row>
    <row r="266" spans="1:6" x14ac:dyDescent="0.3">
      <c r="A266" t="s">
        <v>260</v>
      </c>
      <c r="B266">
        <v>2009</v>
      </c>
      <c r="C266">
        <v>1.6695822432911154E-2</v>
      </c>
      <c r="D266">
        <v>18.233340185012491</v>
      </c>
      <c r="E266">
        <f t="shared" si="8"/>
        <v>1.6695822432911154E-2</v>
      </c>
      <c r="F266">
        <f t="shared" si="9"/>
        <v>1.6695822432911154E-2</v>
      </c>
    </row>
    <row r="267" spans="1:6" x14ac:dyDescent="0.3">
      <c r="A267" t="s">
        <v>290</v>
      </c>
      <c r="B267">
        <v>2009</v>
      </c>
      <c r="C267" t="s">
        <v>301</v>
      </c>
      <c r="D267">
        <v>17.298805304276684</v>
      </c>
      <c r="E267">
        <f t="shared" si="8"/>
        <v>8.3055009958866149E-3</v>
      </c>
      <c r="F267">
        <f t="shared" si="9"/>
        <v>8.3055009958866149E-3</v>
      </c>
    </row>
    <row r="268" spans="1:6" x14ac:dyDescent="0.3">
      <c r="A268" t="s">
        <v>261</v>
      </c>
      <c r="B268">
        <v>2009</v>
      </c>
      <c r="C268">
        <v>1.8792120483288006E-2</v>
      </c>
      <c r="D268">
        <v>18.848700525602467</v>
      </c>
      <c r="E268">
        <f t="shared" si="8"/>
        <v>1.8792120483288006E-2</v>
      </c>
      <c r="F268">
        <f t="shared" si="9"/>
        <v>1.8792120483288006E-2</v>
      </c>
    </row>
    <row r="269" spans="1:6" x14ac:dyDescent="0.3">
      <c r="A269" t="s">
        <v>262</v>
      </c>
      <c r="B269">
        <v>2009</v>
      </c>
      <c r="C269">
        <v>2.5840313168230104E-2</v>
      </c>
      <c r="D269">
        <v>17.331634544009038</v>
      </c>
      <c r="E269">
        <f t="shared" si="8"/>
        <v>2.5840313168230104E-2</v>
      </c>
      <c r="F269">
        <f t="shared" si="9"/>
        <v>2.5840313168230104E-2</v>
      </c>
    </row>
    <row r="270" spans="1:6" x14ac:dyDescent="0.3">
      <c r="A270" t="s">
        <v>264</v>
      </c>
      <c r="B270">
        <v>2009</v>
      </c>
      <c r="C270">
        <v>2.9530868627842505E-2</v>
      </c>
      <c r="D270">
        <v>16.438521472591074</v>
      </c>
      <c r="E270">
        <f t="shared" si="8"/>
        <v>2.9530868627842505E-2</v>
      </c>
      <c r="F270">
        <f t="shared" si="9"/>
        <v>2.9530868627842505E-2</v>
      </c>
    </row>
    <row r="271" spans="1:6" x14ac:dyDescent="0.3">
      <c r="A271" t="s">
        <v>265</v>
      </c>
      <c r="B271">
        <v>2009</v>
      </c>
      <c r="C271">
        <v>5.9343133602464111E-4</v>
      </c>
      <c r="D271">
        <v>13.797776230261078</v>
      </c>
      <c r="E271">
        <f t="shared" si="8"/>
        <v>5.9343133602464111E-4</v>
      </c>
      <c r="F271">
        <f t="shared" si="9"/>
        <v>5.9343133602464111E-4</v>
      </c>
    </row>
    <row r="272" spans="1:6" x14ac:dyDescent="0.3">
      <c r="A272" t="s">
        <v>266</v>
      </c>
      <c r="B272">
        <v>2009</v>
      </c>
      <c r="C272">
        <v>3.51953420933908E-2</v>
      </c>
      <c r="D272">
        <v>12.772615812246707</v>
      </c>
      <c r="E272">
        <f t="shared" si="8"/>
        <v>3.51953420933908E-2</v>
      </c>
      <c r="F272">
        <f t="shared" si="9"/>
        <v>3.51953420933908E-2</v>
      </c>
    </row>
    <row r="273" spans="1:6" x14ac:dyDescent="0.3">
      <c r="A273" t="s">
        <v>267</v>
      </c>
      <c r="B273">
        <v>2009</v>
      </c>
      <c r="C273">
        <v>2.0126914309201129E-2</v>
      </c>
      <c r="D273">
        <v>15.053166560128428</v>
      </c>
      <c r="E273">
        <f t="shared" si="8"/>
        <v>2.0126914309201129E-2</v>
      </c>
      <c r="F273">
        <f t="shared" si="9"/>
        <v>2.0126914309201129E-2</v>
      </c>
    </row>
    <row r="274" spans="1:6" x14ac:dyDescent="0.3">
      <c r="A274" t="s">
        <v>291</v>
      </c>
      <c r="B274">
        <v>2009</v>
      </c>
      <c r="C274" t="s">
        <v>301</v>
      </c>
      <c r="D274">
        <v>13.212576955205281</v>
      </c>
      <c r="E274">
        <f t="shared" si="8"/>
        <v>8.3055009958866149E-3</v>
      </c>
      <c r="F274">
        <f t="shared" si="9"/>
        <v>8.3055009958866149E-3</v>
      </c>
    </row>
    <row r="275" spans="1:6" x14ac:dyDescent="0.3">
      <c r="A275" t="s">
        <v>268</v>
      </c>
      <c r="B275">
        <v>2009</v>
      </c>
      <c r="C275">
        <v>1.0699029277854571E-2</v>
      </c>
      <c r="D275">
        <v>12.858780570815853</v>
      </c>
      <c r="E275">
        <f t="shared" si="8"/>
        <v>1.0699029277854571E-2</v>
      </c>
      <c r="F275">
        <f t="shared" si="9"/>
        <v>1.0699029277854571E-2</v>
      </c>
    </row>
    <row r="276" spans="1:6" x14ac:dyDescent="0.3">
      <c r="A276" t="s">
        <v>270</v>
      </c>
      <c r="B276">
        <v>2009</v>
      </c>
      <c r="C276">
        <v>5.3743979783058542E-3</v>
      </c>
      <c r="D276">
        <v>16.948184278293542</v>
      </c>
      <c r="E276">
        <f t="shared" si="8"/>
        <v>5.3743979783058542E-3</v>
      </c>
      <c r="F276">
        <f t="shared" si="9"/>
        <v>5.3743979783058542E-3</v>
      </c>
    </row>
    <row r="277" spans="1:6" x14ac:dyDescent="0.3">
      <c r="A277" t="s">
        <v>272</v>
      </c>
      <c r="B277">
        <v>2009</v>
      </c>
      <c r="C277">
        <v>2.2146792245522854E-3</v>
      </c>
      <c r="D277">
        <v>13.271939610385196</v>
      </c>
      <c r="E277">
        <f t="shared" si="8"/>
        <v>2.2146792245522854E-3</v>
      </c>
      <c r="F277">
        <f t="shared" si="9"/>
        <v>2.2146792245522854E-3</v>
      </c>
    </row>
    <row r="278" spans="1:6" x14ac:dyDescent="0.3">
      <c r="A278" t="s">
        <v>274</v>
      </c>
      <c r="B278">
        <v>2009</v>
      </c>
      <c r="C278">
        <v>5.7839403968391212E-2</v>
      </c>
      <c r="D278">
        <v>17.004275362146387</v>
      </c>
      <c r="E278">
        <f t="shared" si="8"/>
        <v>5.7839403968391212E-2</v>
      </c>
      <c r="F278">
        <f t="shared" si="9"/>
        <v>5.7839403968391212E-2</v>
      </c>
    </row>
    <row r="279" spans="1:6" x14ac:dyDescent="0.3">
      <c r="A279" t="s">
        <v>275</v>
      </c>
      <c r="B279">
        <v>2009</v>
      </c>
      <c r="C279">
        <v>7.6157862145541516E-2</v>
      </c>
      <c r="D279">
        <v>14.443201463045604</v>
      </c>
      <c r="E279">
        <f t="shared" si="8"/>
        <v>7.6157862145541516E-2</v>
      </c>
      <c r="F279">
        <f t="shared" si="9"/>
        <v>7.6157862145541516E-2</v>
      </c>
    </row>
    <row r="280" spans="1:6" x14ac:dyDescent="0.3">
      <c r="A280" t="s">
        <v>276</v>
      </c>
      <c r="B280">
        <v>2009</v>
      </c>
      <c r="C280">
        <v>1.4381729390979699E-2</v>
      </c>
      <c r="D280">
        <v>13.081508048995172</v>
      </c>
      <c r="E280">
        <f t="shared" si="8"/>
        <v>1.4381729390979699E-2</v>
      </c>
      <c r="F280">
        <f t="shared" si="9"/>
        <v>1.4381729390979699E-2</v>
      </c>
    </row>
    <row r="281" spans="1:6" x14ac:dyDescent="0.3">
      <c r="A281" t="s">
        <v>292</v>
      </c>
      <c r="B281">
        <v>2009</v>
      </c>
      <c r="C281" t="s">
        <v>301</v>
      </c>
      <c r="D281">
        <v>13.473552501712096</v>
      </c>
      <c r="E281">
        <f t="shared" si="8"/>
        <v>8.3055009958866149E-3</v>
      </c>
      <c r="F281">
        <f t="shared" si="9"/>
        <v>8.3055009958866149E-3</v>
      </c>
    </row>
    <row r="282" spans="1:6" x14ac:dyDescent="0.3">
      <c r="A282" t="s">
        <v>277</v>
      </c>
      <c r="B282">
        <v>2009</v>
      </c>
      <c r="C282">
        <v>1.8873622225577534E-4</v>
      </c>
      <c r="D282">
        <v>10.18459807960487</v>
      </c>
      <c r="E282">
        <f t="shared" si="8"/>
        <v>1.8873622225577534E-4</v>
      </c>
      <c r="F282">
        <f t="shared" si="9"/>
        <v>1.8873622225577534E-4</v>
      </c>
    </row>
    <row r="283" spans="1:6" x14ac:dyDescent="0.3">
      <c r="A283" t="s">
        <v>278</v>
      </c>
      <c r="B283">
        <v>2009</v>
      </c>
      <c r="C283">
        <v>1.2254959249944422E-2</v>
      </c>
      <c r="D283">
        <v>15.583868160397751</v>
      </c>
      <c r="E283">
        <f t="shared" si="8"/>
        <v>1.2254959249944422E-2</v>
      </c>
      <c r="F283">
        <f t="shared" si="9"/>
        <v>1.2254959249944422E-2</v>
      </c>
    </row>
    <row r="284" spans="1:6" x14ac:dyDescent="0.3">
      <c r="A284" t="s">
        <v>280</v>
      </c>
      <c r="B284">
        <v>2009</v>
      </c>
      <c r="C284">
        <v>2.6181018292315086E-2</v>
      </c>
      <c r="D284">
        <v>14.733029734990618</v>
      </c>
      <c r="E284">
        <f t="shared" si="8"/>
        <v>2.6181018292315086E-2</v>
      </c>
      <c r="F284">
        <f t="shared" si="9"/>
        <v>2.6181018292315086E-2</v>
      </c>
    </row>
    <row r="285" spans="1:6" x14ac:dyDescent="0.3">
      <c r="A285" t="s">
        <v>281</v>
      </c>
      <c r="B285">
        <v>2009</v>
      </c>
      <c r="C285">
        <v>8.6411775065529939E-3</v>
      </c>
      <c r="D285">
        <v>16.471221092861434</v>
      </c>
      <c r="E285">
        <f t="shared" si="8"/>
        <v>8.6411775065529939E-3</v>
      </c>
      <c r="F285">
        <f t="shared" si="9"/>
        <v>8.6411775065529939E-3</v>
      </c>
    </row>
    <row r="286" spans="1:6" x14ac:dyDescent="0.3">
      <c r="A286" t="s">
        <v>282</v>
      </c>
      <c r="B286">
        <v>2009</v>
      </c>
      <c r="C286">
        <v>4.7006545210697741E-2</v>
      </c>
      <c r="D286">
        <v>14.859077962420217</v>
      </c>
      <c r="E286">
        <f t="shared" si="8"/>
        <v>4.7006545210697741E-2</v>
      </c>
      <c r="F286">
        <f t="shared" si="9"/>
        <v>4.7006545210697741E-2</v>
      </c>
    </row>
    <row r="288" spans="1:6" x14ac:dyDescent="0.3">
      <c r="A288" s="2" t="s">
        <v>300</v>
      </c>
      <c r="B288" s="2"/>
    </row>
  </sheetData>
  <autoFilter ref="C1:D286" xr:uid="{81F16736-255D-494F-8BEA-F10E8F8549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Sectional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Abdullah Tufail</cp:lastModifiedBy>
  <dcterms:created xsi:type="dcterms:W3CDTF">2025-11-29T02:30:06Z</dcterms:created>
  <dcterms:modified xsi:type="dcterms:W3CDTF">2025-11-29T06:41:04Z</dcterms:modified>
</cp:coreProperties>
</file>