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bdul\Desktop\Bahria Uni\Financial Modelling\"/>
    </mc:Choice>
  </mc:AlternateContent>
  <xr:revisionPtr revIDLastSave="0" documentId="13_ncr:1_{A7263D9A-6938-4994-B093-4E568AFA88D1}" xr6:coauthVersionLast="47" xr6:coauthVersionMax="47" xr10:uidLastSave="{00000000-0000-0000-0000-000000000000}"/>
  <bookViews>
    <workbookView xWindow="-108" yWindow="-108" windowWidth="23256" windowHeight="12456" firstSheet="12" activeTab="15" xr2:uid="{00000000-000D-0000-FFFF-FFFF00000000}"/>
  </bookViews>
  <sheets>
    <sheet name="PV" sheetId="2" r:id="rId1"/>
    <sheet name="Periodic Payments" sheetId="4" r:id="rId2"/>
    <sheet name="NPV" sheetId="3" r:id="rId3"/>
    <sheet name="Profitability Index" sheetId="14" r:id="rId4"/>
    <sheet name="IRR" sheetId="5" r:id="rId5"/>
    <sheet name="Multiple IRR" sheetId="6" r:id="rId6"/>
    <sheet name="MIRR" sheetId="8" r:id="rId7"/>
    <sheet name="Cross Over Rate" sheetId="9" r:id="rId8"/>
    <sheet name="Cross Over Rate (2)" sheetId="16" r:id="rId9"/>
    <sheet name="PBP and MPBP" sheetId="13" r:id="rId10"/>
    <sheet name="PV of Annuity and Growth Anuity" sheetId="15" r:id="rId11"/>
    <sheet name="FV of Interest" sheetId="10" r:id="rId12"/>
    <sheet name="Continuous Compunding" sheetId="11" r:id="rId13"/>
    <sheet name="Continous discounting" sheetId="12" r:id="rId14"/>
    <sheet name="Amortization Table" sheetId="7" r:id="rId15"/>
    <sheet name="Amortization Table (2)" sheetId="17" r:id="rId16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0" i="17" l="1"/>
  <c r="L9" i="17"/>
  <c r="J10" i="17"/>
  <c r="I11" i="17"/>
  <c r="I12" i="17"/>
  <c r="I13" i="17"/>
  <c r="I14" i="17"/>
  <c r="I10" i="17"/>
  <c r="C10" i="17"/>
  <c r="C4" i="17"/>
  <c r="D4" i="17"/>
  <c r="B4" i="17"/>
  <c r="H3" i="17"/>
  <c r="G3" i="17"/>
  <c r="H2" i="17"/>
  <c r="F3" i="17"/>
  <c r="C13" i="7"/>
  <c r="D13" i="7"/>
  <c r="B13" i="7"/>
  <c r="E9" i="7"/>
  <c r="C10" i="7" s="1"/>
  <c r="D10" i="7" s="1"/>
  <c r="C9" i="7"/>
  <c r="D9" i="7"/>
  <c r="E8" i="7"/>
  <c r="D8" i="7"/>
  <c r="C8" i="7"/>
  <c r="E7" i="7"/>
  <c r="B8" i="7"/>
  <c r="B9" i="7"/>
  <c r="B10" i="7"/>
  <c r="B11" i="7"/>
  <c r="B12" i="7"/>
  <c r="B4" i="7"/>
  <c r="F6" i="11"/>
  <c r="F5" i="11"/>
  <c r="B4" i="11"/>
  <c r="B5" i="11"/>
  <c r="Q5" i="10"/>
  <c r="Q6" i="10" s="1"/>
  <c r="Q4" i="10"/>
  <c r="P6" i="10"/>
  <c r="P7" i="10" s="1"/>
  <c r="L15" i="10"/>
  <c r="L11" i="10"/>
  <c r="L12" i="10"/>
  <c r="L13" i="10"/>
  <c r="L14" i="10"/>
  <c r="L10" i="10"/>
  <c r="K11" i="10"/>
  <c r="K12" i="10"/>
  <c r="K13" i="10"/>
  <c r="K14" i="10"/>
  <c r="K10" i="10"/>
  <c r="K7" i="10"/>
  <c r="F5" i="10"/>
  <c r="F4" i="10"/>
  <c r="B4" i="10"/>
  <c r="O7" i="15"/>
  <c r="N13" i="15"/>
  <c r="N14" i="15" s="1"/>
  <c r="N15" i="15" s="1"/>
  <c r="N12" i="15"/>
  <c r="N7" i="15"/>
  <c r="I6" i="15"/>
  <c r="E9" i="17" l="1"/>
  <c r="E10" i="7"/>
  <c r="C15" i="13"/>
  <c r="F5" i="13"/>
  <c r="F6" i="13"/>
  <c r="F7" i="13"/>
  <c r="F8" i="13"/>
  <c r="F9" i="13"/>
  <c r="F4" i="13"/>
  <c r="F3" i="13"/>
  <c r="E4" i="13"/>
  <c r="E5" i="13"/>
  <c r="E6" i="13"/>
  <c r="E7" i="13"/>
  <c r="E8" i="13"/>
  <c r="E9" i="13"/>
  <c r="E3" i="13"/>
  <c r="C12" i="13"/>
  <c r="D5" i="13"/>
  <c r="D6" i="13"/>
  <c r="D7" i="13"/>
  <c r="D8" i="13"/>
  <c r="D9" i="13"/>
  <c r="D4" i="13"/>
  <c r="D3" i="13"/>
  <c r="C10" i="16"/>
  <c r="B16" i="16"/>
  <c r="B12" i="16"/>
  <c r="C12" i="16"/>
  <c r="C11" i="16"/>
  <c r="B11" i="16"/>
  <c r="B13" i="16"/>
  <c r="B10" i="16"/>
  <c r="C31" i="16"/>
  <c r="B31" i="16"/>
  <c r="C30" i="16"/>
  <c r="B30" i="16"/>
  <c r="C29" i="16"/>
  <c r="B29" i="16"/>
  <c r="C28" i="16"/>
  <c r="B28" i="16"/>
  <c r="C27" i="16"/>
  <c r="B27" i="16"/>
  <c r="C26" i="16"/>
  <c r="B26" i="16"/>
  <c r="C25" i="16"/>
  <c r="B25" i="16"/>
  <c r="C24" i="16"/>
  <c r="B24" i="16"/>
  <c r="C23" i="16"/>
  <c r="B23" i="16"/>
  <c r="C22" i="16"/>
  <c r="B22" i="16"/>
  <c r="C21" i="16"/>
  <c r="B21" i="16"/>
  <c r="C20" i="16"/>
  <c r="B20" i="16"/>
  <c r="C19" i="16"/>
  <c r="B19" i="16"/>
  <c r="C18" i="16"/>
  <c r="B18" i="16"/>
  <c r="C17" i="16"/>
  <c r="B17" i="16"/>
  <c r="C16" i="16"/>
  <c r="D9" i="16"/>
  <c r="D8" i="16"/>
  <c r="D7" i="16"/>
  <c r="D6" i="16"/>
  <c r="D5" i="16"/>
  <c r="D4" i="16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16" i="9"/>
  <c r="C16" i="9"/>
  <c r="B13" i="9"/>
  <c r="C10" i="9"/>
  <c r="D5" i="9"/>
  <c r="D6" i="9"/>
  <c r="D7" i="9"/>
  <c r="D8" i="9"/>
  <c r="D9" i="9"/>
  <c r="D4" i="9"/>
  <c r="B10" i="9"/>
  <c r="C10" i="8"/>
  <c r="B10" i="8"/>
  <c r="F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B11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12" i="6"/>
  <c r="B11" i="2"/>
  <c r="C12" i="14"/>
  <c r="C13" i="14" s="1"/>
  <c r="D14" i="14" s="1"/>
  <c r="B9" i="5"/>
  <c r="C9" i="5"/>
  <c r="C11" i="5"/>
  <c r="B11" i="5"/>
  <c r="G12" i="14"/>
  <c r="G13" i="14" s="1"/>
  <c r="E4" i="14"/>
  <c r="E10" i="14"/>
  <c r="E5" i="14"/>
  <c r="E6" i="14"/>
  <c r="E7" i="14"/>
  <c r="E8" i="14"/>
  <c r="E9" i="14"/>
  <c r="D5" i="14"/>
  <c r="D6" i="14"/>
  <c r="D7" i="14"/>
  <c r="D8" i="14"/>
  <c r="D9" i="14"/>
  <c r="D4" i="14"/>
  <c r="B11" i="3"/>
  <c r="C10" i="3"/>
  <c r="C5" i="3"/>
  <c r="C6" i="3"/>
  <c r="C7" i="3"/>
  <c r="C8" i="3"/>
  <c r="C9" i="3"/>
  <c r="C4" i="3"/>
  <c r="B4" i="4"/>
  <c r="B5" i="4"/>
  <c r="I9" i="2"/>
  <c r="I5" i="2"/>
  <c r="I6" i="2"/>
  <c r="I7" i="2"/>
  <c r="I8" i="2"/>
  <c r="I4" i="2"/>
  <c r="B10" i="2"/>
  <c r="C9" i="2"/>
  <c r="C5" i="2"/>
  <c r="C6" i="2"/>
  <c r="C7" i="2"/>
  <c r="C8" i="2"/>
  <c r="C4" i="2"/>
  <c r="H11" i="2"/>
  <c r="B17" i="15"/>
  <c r="L10" i="17" l="1"/>
  <c r="B12" i="17"/>
  <c r="B14" i="17"/>
  <c r="B13" i="17"/>
  <c r="B11" i="17"/>
  <c r="B10" i="17"/>
  <c r="C11" i="7"/>
  <c r="D11" i="7" s="1"/>
  <c r="E11" i="7" s="1"/>
  <c r="D10" i="14"/>
  <c r="G3" i="14" s="1"/>
  <c r="G4" i="14" s="1"/>
  <c r="C14" i="14"/>
  <c r="G14" i="14"/>
  <c r="J11" i="17" l="1"/>
  <c r="B15" i="17"/>
  <c r="D10" i="17"/>
  <c r="C12" i="7"/>
  <c r="D12" i="7" s="1"/>
  <c r="E12" i="7"/>
  <c r="B5" i="12"/>
  <c r="B6" i="12" s="1"/>
  <c r="A5" i="12"/>
  <c r="A6" i="12" s="1"/>
  <c r="A7" i="12" s="1"/>
  <c r="A8" i="12" s="1"/>
  <c r="B1" i="7"/>
  <c r="E3" i="7" s="1"/>
  <c r="K11" i="17" l="1"/>
  <c r="E10" i="17"/>
  <c r="C11" i="17" s="1"/>
  <c r="B7" i="12"/>
  <c r="L11" i="17" l="1"/>
  <c r="B8" i="12"/>
  <c r="J12" i="17" l="1"/>
  <c r="D11" i="17"/>
  <c r="K12" i="17" l="1"/>
  <c r="E11" i="17"/>
  <c r="L12" i="17" l="1"/>
  <c r="C12" i="17"/>
  <c r="J13" i="17" l="1"/>
  <c r="D12" i="17"/>
  <c r="K13" i="17" l="1"/>
  <c r="E12" i="17"/>
  <c r="L13" i="17" l="1"/>
  <c r="C13" i="17"/>
  <c r="J14" i="17" l="1"/>
  <c r="D13" i="17"/>
  <c r="E13" i="17" s="1"/>
  <c r="K14" i="17" l="1"/>
  <c r="J15" i="17"/>
  <c r="C14" i="17"/>
  <c r="K15" i="17" l="1"/>
  <c r="L14" i="17"/>
  <c r="D14" i="17"/>
  <c r="C15" i="17"/>
  <c r="D15" i="17" l="1"/>
  <c r="E14" i="17"/>
</calcChain>
</file>

<file path=xl/sharedStrings.xml><?xml version="1.0" encoding="utf-8"?>
<sst xmlns="http://schemas.openxmlformats.org/spreadsheetml/2006/main" count="217" uniqueCount="124">
  <si>
    <t>DR</t>
  </si>
  <si>
    <t>years</t>
  </si>
  <si>
    <t>cf</t>
  </si>
  <si>
    <t>PV</t>
  </si>
  <si>
    <t>NPV</t>
  </si>
  <si>
    <t>PP</t>
  </si>
  <si>
    <t>N</t>
  </si>
  <si>
    <t>PV of Annuity</t>
  </si>
  <si>
    <t>IRR</t>
  </si>
  <si>
    <t xml:space="preserve">Yaar </t>
  </si>
  <si>
    <t>CF</t>
  </si>
  <si>
    <t>loan</t>
  </si>
  <si>
    <t>n</t>
  </si>
  <si>
    <t>rate</t>
  </si>
  <si>
    <t>Installment</t>
  </si>
  <si>
    <t>Interest</t>
  </si>
  <si>
    <t>Balance</t>
  </si>
  <si>
    <t xml:space="preserve">Discount rate </t>
  </si>
  <si>
    <t>Year</t>
  </si>
  <si>
    <t>Project A</t>
  </si>
  <si>
    <t>Project B</t>
  </si>
  <si>
    <t>MIRR</t>
  </si>
  <si>
    <t>Cross Over Rate</t>
  </si>
  <si>
    <t>Discount Rate</t>
  </si>
  <si>
    <t>dep</t>
  </si>
  <si>
    <t>per year start</t>
  </si>
  <si>
    <t>yers</t>
  </si>
  <si>
    <t>interest</t>
  </si>
  <si>
    <t>FV</t>
  </si>
  <si>
    <t>Initial dep</t>
  </si>
  <si>
    <t>interest rate</t>
  </si>
  <si>
    <t>Accretion in one years</t>
  </si>
  <si>
    <t>Continuous Compunding</t>
  </si>
  <si>
    <t xml:space="preserve">Interest </t>
  </si>
  <si>
    <t>Continuously Discounted</t>
  </si>
  <si>
    <t>Cash Flows (CFs)</t>
  </si>
  <si>
    <t>Undiscounted Balance</t>
  </si>
  <si>
    <t>PV of Cash Flows</t>
  </si>
  <si>
    <t>Discounted Balance</t>
  </si>
  <si>
    <t>Interest Rate</t>
  </si>
  <si>
    <t>Payback Period = Full years until recovery + (Unrecovered cost at start of recovery year/ CF in recovery year)</t>
  </si>
  <si>
    <t xml:space="preserve">Payback Period = </t>
  </si>
  <si>
    <t>Discounted Payback Period = Full years until present value recovery + (Unrecovered PV at start of recovery year/ PV of CF in recovery year)</t>
  </si>
  <si>
    <t xml:space="preserve">Discounted Payback Period = </t>
  </si>
  <si>
    <t>Net Present Value (NPV)</t>
  </si>
  <si>
    <t>Profitability Index (PI)</t>
  </si>
  <si>
    <t>PI = 1 + (NPV / CF at Time 0)</t>
  </si>
  <si>
    <t>Accept or Reject</t>
  </si>
  <si>
    <t>Sum of PV of CFs</t>
  </si>
  <si>
    <t>IRR1</t>
  </si>
  <si>
    <t>IRR2</t>
  </si>
  <si>
    <t>A-B</t>
  </si>
  <si>
    <t>PBP</t>
  </si>
  <si>
    <t>pv</t>
  </si>
  <si>
    <t>Reinvestment Rate</t>
  </si>
  <si>
    <t>NPV Project A</t>
  </si>
  <si>
    <t>NPV Project B</t>
  </si>
  <si>
    <t>Start Year</t>
  </si>
  <si>
    <t>End Year</t>
  </si>
  <si>
    <t>Instalment</t>
  </si>
  <si>
    <t>Pricipal</t>
  </si>
  <si>
    <t xml:space="preserve">Periodic payment, C </t>
  </si>
  <si>
    <t xml:space="preserve">Number of future periods paid, n </t>
  </si>
  <si>
    <t xml:space="preserve">Discount rate, r </t>
  </si>
  <si>
    <t>PV of Annuity (Formula)</t>
  </si>
  <si>
    <t>PV Excell</t>
  </si>
  <si>
    <t>Using NPV Function</t>
  </si>
  <si>
    <t>Amount</t>
  </si>
  <si>
    <t>Growth Annuity</t>
  </si>
  <si>
    <t>Infinite Annuity</t>
  </si>
  <si>
    <t xml:space="preserve">First payment, C </t>
  </si>
  <si>
    <t xml:space="preserve">Growth rate of payments, g </t>
  </si>
  <si>
    <t xml:space="preserve">Number of future periods paid, n 
 </t>
  </si>
  <si>
    <t>Discount rate, r</t>
  </si>
  <si>
    <t>using NPV Function</t>
  </si>
  <si>
    <t>Continuous Growth</t>
  </si>
  <si>
    <t>FV of Growth Annuity</t>
  </si>
  <si>
    <t>C</t>
  </si>
  <si>
    <t>g</t>
  </si>
  <si>
    <t>FVAG</t>
  </si>
  <si>
    <t>year</t>
  </si>
  <si>
    <t>Total</t>
  </si>
  <si>
    <t>NA</t>
  </si>
  <si>
    <t>End</t>
  </si>
  <si>
    <t>Beginning</t>
  </si>
  <si>
    <t>DCF</t>
  </si>
  <si>
    <t>PV of CF</t>
  </si>
  <si>
    <t>PI</t>
  </si>
  <si>
    <t>Accept</t>
  </si>
  <si>
    <t>When i= 7%</t>
  </si>
  <si>
    <t>Gold Seek Method</t>
  </si>
  <si>
    <t>IRR3</t>
  </si>
  <si>
    <t>IRR4</t>
  </si>
  <si>
    <t>IRR5</t>
  </si>
  <si>
    <t>IRR6</t>
  </si>
  <si>
    <t>IRR7</t>
  </si>
  <si>
    <t>IRR8</t>
  </si>
  <si>
    <t>IRR9</t>
  </si>
  <si>
    <t>IRR10</t>
  </si>
  <si>
    <t>IRR11</t>
  </si>
  <si>
    <t>IRR12</t>
  </si>
  <si>
    <t>IRR13</t>
  </si>
  <si>
    <t>IRR14</t>
  </si>
  <si>
    <t>IRR15</t>
  </si>
  <si>
    <t>IRR16</t>
  </si>
  <si>
    <t>IRR17</t>
  </si>
  <si>
    <t>IRR18</t>
  </si>
  <si>
    <t>IRR19</t>
  </si>
  <si>
    <t>IRR20</t>
  </si>
  <si>
    <t>First payment, R</t>
  </si>
  <si>
    <t>R1</t>
  </si>
  <si>
    <t>Finding Payment</t>
  </si>
  <si>
    <t>Loan amount</t>
  </si>
  <si>
    <t>PMT</t>
  </si>
  <si>
    <t xml:space="preserve">Discounting </t>
  </si>
  <si>
    <t>Simple</t>
  </si>
  <si>
    <t>Continuous</t>
  </si>
  <si>
    <t>Down Payment</t>
  </si>
  <si>
    <t>Dp</t>
  </si>
  <si>
    <t>dp=10</t>
  </si>
  <si>
    <t>max=50</t>
  </si>
  <si>
    <t>3 to 7 yrs</t>
  </si>
  <si>
    <t xml:space="preserve">required </t>
  </si>
  <si>
    <t>Prepare ammotiztion table with three 5 and seven years plan and dp of choice. Which plan is the best.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</si>
</sst>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s&quot;#,##0.00;[Red]\-&quot;Rs&quot;#,##0.00"/>
    <numFmt numFmtId="164" formatCode="&quot;$&quot;#,##0_);[Red]\(&quot;$&quot;#,##0\)"/>
    <numFmt numFmtId="165" formatCode="&quot;$&quot;#,##0.00_);[Red]\(&quot;$&quot;#,##0.00\)"/>
    <numFmt numFmtId="166" formatCode="_(&quot;$&quot;* #,##0.00_);_(&quot;$&quot;* \(#,##0.00\);_(&quot;$&quot;* &quot;-&quot;??_);_(@_)"/>
    <numFmt numFmtId="167" formatCode="&quot;$&quot;#,##0"/>
    <numFmt numFmtId="168" formatCode="_(&quot;$&quot;* #,##0_);_(&quot;$&quot;* \(#,##0\);_(&quot;$&quot;* &quot;-&quot;??_);_(@_)"/>
    <numFmt numFmtId="169" formatCode="&quot;$&quot;#,##0.00"/>
    <numFmt numFmtId="170" formatCode="&quot;$&quot;#,##0.000_);[Red]\(&quot;$&quot;#,##0.000\)"/>
    <numFmt numFmtId="171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166" fontId="1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5">
    <xf numFmtId="0" fontId="0" fillId="0" borderId="0" xfId="0"/>
    <xf numFmtId="9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1" applyFont="1"/>
    <xf numFmtId="167" fontId="0" fillId="0" borderId="0" xfId="0" applyNumberFormat="1"/>
    <xf numFmtId="0" fontId="2" fillId="0" borderId="0" xfId="2"/>
    <xf numFmtId="0" fontId="3" fillId="2" borderId="1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3" xfId="2" applyFont="1" applyFill="1" applyBorder="1" applyAlignment="1">
      <alignment horizontal="center" vertical="center" wrapText="1"/>
    </xf>
    <xf numFmtId="9" fontId="3" fillId="0" borderId="2" xfId="2" applyNumberFormat="1" applyFont="1" applyBorder="1" applyAlignment="1">
      <alignment horizontal="center" vertical="center"/>
    </xf>
    <xf numFmtId="0" fontId="2" fillId="0" borderId="4" xfId="2" applyBorder="1" applyAlignment="1">
      <alignment horizontal="center" vertical="center"/>
    </xf>
    <xf numFmtId="168" fontId="4" fillId="0" borderId="5" xfId="3" applyNumberFormat="1" applyFont="1" applyBorder="1" applyAlignment="1">
      <alignment horizontal="center" vertical="center"/>
    </xf>
    <xf numFmtId="168" fontId="2" fillId="0" borderId="6" xfId="2" applyNumberFormat="1" applyBorder="1"/>
    <xf numFmtId="168" fontId="2" fillId="0" borderId="5" xfId="2" applyNumberFormat="1" applyBorder="1"/>
    <xf numFmtId="168" fontId="0" fillId="0" borderId="5" xfId="3" applyNumberFormat="1" applyFont="1" applyBorder="1" applyAlignment="1">
      <alignment horizontal="center" vertical="center"/>
    </xf>
    <xf numFmtId="0" fontId="2" fillId="0" borderId="7" xfId="2" applyBorder="1" applyAlignment="1">
      <alignment horizontal="center" vertical="center"/>
    </xf>
    <xf numFmtId="168" fontId="0" fillId="0" borderId="8" xfId="3" applyNumberFormat="1" applyFont="1" applyBorder="1" applyAlignment="1">
      <alignment horizontal="center" vertical="center"/>
    </xf>
    <xf numFmtId="0" fontId="3" fillId="0" borderId="0" xfId="2" applyFont="1" applyAlignment="1">
      <alignment vertical="center" wrapText="1"/>
    </xf>
    <xf numFmtId="0" fontId="3" fillId="0" borderId="0" xfId="2" applyFont="1"/>
    <xf numFmtId="2" fontId="2" fillId="3" borderId="3" xfId="2" applyNumberFormat="1" applyFill="1" applyBorder="1"/>
    <xf numFmtId="168" fontId="3" fillId="0" borderId="5" xfId="2" applyNumberFormat="1" applyFont="1" applyBorder="1" applyAlignment="1">
      <alignment horizontal="center" vertical="center"/>
    </xf>
    <xf numFmtId="2" fontId="3" fillId="0" borderId="2" xfId="2" applyNumberFormat="1" applyFont="1" applyBorder="1" applyAlignment="1">
      <alignment horizontal="center" vertical="center"/>
    </xf>
    <xf numFmtId="165" fontId="2" fillId="0" borderId="0" xfId="2" applyNumberFormat="1"/>
    <xf numFmtId="169" fontId="0" fillId="0" borderId="0" xfId="0" applyNumberFormat="1"/>
    <xf numFmtId="164" fontId="2" fillId="0" borderId="0" xfId="2" applyNumberFormat="1"/>
    <xf numFmtId="2" fontId="0" fillId="0" borderId="0" xfId="0" applyNumberFormat="1"/>
    <xf numFmtId="164" fontId="0" fillId="0" borderId="0" xfId="0" applyNumberFormat="1"/>
    <xf numFmtId="49" fontId="2" fillId="0" borderId="0" xfId="2" applyNumberFormat="1"/>
    <xf numFmtId="168" fontId="2" fillId="0" borderId="0" xfId="2" applyNumberFormat="1"/>
    <xf numFmtId="40" fontId="2" fillId="0" borderId="0" xfId="2" applyNumberFormat="1"/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0" fontId="5" fillId="0" borderId="0" xfId="0" applyFont="1"/>
    <xf numFmtId="0" fontId="5" fillId="0" borderId="9" xfId="0" applyFont="1" applyBorder="1"/>
    <xf numFmtId="9" fontId="0" fillId="0" borderId="0" xfId="4" applyFont="1"/>
    <xf numFmtId="170" fontId="0" fillId="0" borderId="0" xfId="0" applyNumberFormat="1"/>
    <xf numFmtId="0" fontId="0" fillId="0" borderId="9" xfId="0" applyBorder="1"/>
    <xf numFmtId="166" fontId="2" fillId="0" borderId="0" xfId="2" applyNumberFormat="1"/>
    <xf numFmtId="0" fontId="3" fillId="0" borderId="0" xfId="2" applyFont="1" applyAlignment="1">
      <alignment horizontal="center" vertical="center"/>
    </xf>
    <xf numFmtId="8" fontId="0" fillId="0" borderId="0" xfId="0" applyNumberFormat="1"/>
    <xf numFmtId="171" fontId="0" fillId="0" borderId="0" xfId="0" applyNumberFormat="1"/>
    <xf numFmtId="0" fontId="3" fillId="0" borderId="4" xfId="2" applyFont="1" applyBorder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5">
    <cellStyle name="Currency 2" xfId="1" xr:uid="{D64FF791-6AD3-4260-933C-75A201E77835}"/>
    <cellStyle name="Currency 3" xfId="3" xr:uid="{0D795E51-ED21-48EF-A4D1-075873CC02F7}"/>
    <cellStyle name="Normal" xfId="0" builtinId="0"/>
    <cellStyle name="Normal 2" xfId="2" xr:uid="{4719FAE8-DCB4-4087-A3C3-69E57973DAAE}"/>
    <cellStyle name="Percent" xfId="4" builtinId="5"/>
  </cellStyles>
  <dxfs count="11">
    <dxf>
      <font>
        <color rgb="FFFF0000"/>
      </font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'Multiple IRR'!$F$2</c:f>
              <c:strCache>
                <c:ptCount val="1"/>
                <c:pt idx="0">
                  <c:v>NPV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cat>
            <c:numRef>
              <c:f>'Multiple IRR'!$E$3:$E$53</c:f>
              <c:numCache>
                <c:formatCode>0%</c:formatCode>
                <c:ptCount val="51"/>
                <c:pt idx="0">
                  <c:v>0.01</c:v>
                </c:pt>
                <c:pt idx="1">
                  <c:v>0.03</c:v>
                </c:pt>
                <c:pt idx="2">
                  <c:v>0.05</c:v>
                </c:pt>
                <c:pt idx="3">
                  <c:v>7.0000000000000007E-2</c:v>
                </c:pt>
                <c:pt idx="4">
                  <c:v>0.09</c:v>
                </c:pt>
                <c:pt idx="5">
                  <c:v>0.11</c:v>
                </c:pt>
                <c:pt idx="6">
                  <c:v>0.13</c:v>
                </c:pt>
                <c:pt idx="7">
                  <c:v>0.15</c:v>
                </c:pt>
                <c:pt idx="8">
                  <c:v>0.17</c:v>
                </c:pt>
                <c:pt idx="9">
                  <c:v>0.19</c:v>
                </c:pt>
                <c:pt idx="10">
                  <c:v>0.21</c:v>
                </c:pt>
                <c:pt idx="11">
                  <c:v>0.23</c:v>
                </c:pt>
                <c:pt idx="12">
                  <c:v>0.25</c:v>
                </c:pt>
                <c:pt idx="13">
                  <c:v>0.27</c:v>
                </c:pt>
                <c:pt idx="14">
                  <c:v>0.28999999999999998</c:v>
                </c:pt>
                <c:pt idx="15">
                  <c:v>0.31</c:v>
                </c:pt>
                <c:pt idx="16">
                  <c:v>0.33</c:v>
                </c:pt>
                <c:pt idx="17">
                  <c:v>0.35</c:v>
                </c:pt>
                <c:pt idx="18">
                  <c:v>0.37</c:v>
                </c:pt>
                <c:pt idx="19">
                  <c:v>0.39</c:v>
                </c:pt>
                <c:pt idx="20">
                  <c:v>0.41</c:v>
                </c:pt>
                <c:pt idx="21">
                  <c:v>0.43</c:v>
                </c:pt>
                <c:pt idx="22">
                  <c:v>0.45</c:v>
                </c:pt>
                <c:pt idx="23">
                  <c:v>0.47</c:v>
                </c:pt>
                <c:pt idx="24">
                  <c:v>0.49</c:v>
                </c:pt>
                <c:pt idx="25">
                  <c:v>0.51</c:v>
                </c:pt>
                <c:pt idx="26">
                  <c:v>0.53</c:v>
                </c:pt>
                <c:pt idx="27">
                  <c:v>0.55000000000000004</c:v>
                </c:pt>
                <c:pt idx="28">
                  <c:v>0.56999999999999995</c:v>
                </c:pt>
                <c:pt idx="29">
                  <c:v>0.59</c:v>
                </c:pt>
                <c:pt idx="30">
                  <c:v>0.61</c:v>
                </c:pt>
                <c:pt idx="31">
                  <c:v>0.63</c:v>
                </c:pt>
                <c:pt idx="32">
                  <c:v>0.65</c:v>
                </c:pt>
                <c:pt idx="33">
                  <c:v>0.67</c:v>
                </c:pt>
                <c:pt idx="34">
                  <c:v>0.69</c:v>
                </c:pt>
                <c:pt idx="35">
                  <c:v>0.71</c:v>
                </c:pt>
                <c:pt idx="36">
                  <c:v>0.73</c:v>
                </c:pt>
                <c:pt idx="37">
                  <c:v>0.75</c:v>
                </c:pt>
                <c:pt idx="38">
                  <c:v>0.77</c:v>
                </c:pt>
                <c:pt idx="39">
                  <c:v>0.79</c:v>
                </c:pt>
                <c:pt idx="40">
                  <c:v>0.81</c:v>
                </c:pt>
                <c:pt idx="41">
                  <c:v>0.83</c:v>
                </c:pt>
                <c:pt idx="42">
                  <c:v>0.85</c:v>
                </c:pt>
                <c:pt idx="43">
                  <c:v>0.87</c:v>
                </c:pt>
                <c:pt idx="44">
                  <c:v>0.89</c:v>
                </c:pt>
                <c:pt idx="45">
                  <c:v>0.91</c:v>
                </c:pt>
                <c:pt idx="46">
                  <c:v>0.93</c:v>
                </c:pt>
                <c:pt idx="47">
                  <c:v>0.95</c:v>
                </c:pt>
                <c:pt idx="48">
                  <c:v>0.97</c:v>
                </c:pt>
                <c:pt idx="49">
                  <c:v>0.99</c:v>
                </c:pt>
                <c:pt idx="50">
                  <c:v>1.01</c:v>
                </c:pt>
              </c:numCache>
            </c:numRef>
          </c:cat>
          <c:val>
            <c:numRef>
              <c:f>'Multiple IRR'!$F$3:$F$53</c:f>
              <c:numCache>
                <c:formatCode>"$"#,##0</c:formatCode>
                <c:ptCount val="51"/>
                <c:pt idx="0">
                  <c:v>-16.456508920018706</c:v>
                </c:pt>
                <c:pt idx="1">
                  <c:v>-10.507575424608092</c:v>
                </c:pt>
                <c:pt idx="2">
                  <c:v>-5.8746453625901722</c:v>
                </c:pt>
                <c:pt idx="3">
                  <c:v>-2.3500737116163464</c:v>
                </c:pt>
                <c:pt idx="4">
                  <c:v>0.24085647329212634</c:v>
                </c:pt>
                <c:pt idx="5">
                  <c:v>2.0454537429869788</c:v>
                </c:pt>
                <c:pt idx="6">
                  <c:v>3.1881501544773982</c:v>
                </c:pt>
                <c:pt idx="7">
                  <c:v>3.7742340642815009</c:v>
                </c:pt>
                <c:pt idx="8">
                  <c:v>3.8929341469089707</c:v>
                </c:pt>
                <c:pt idx="9">
                  <c:v>3.6199748845533577</c:v>
                </c:pt>
                <c:pt idx="10">
                  <c:v>3.0197000689104811</c:v>
                </c:pt>
                <c:pt idx="11">
                  <c:v>2.1468421032236336</c:v>
                </c:pt>
                <c:pt idx="12">
                  <c:v>1.0480000000000018</c:v>
                </c:pt>
                <c:pt idx="13">
                  <c:v>-0.237122901511583</c:v>
                </c:pt>
                <c:pt idx="14">
                  <c:v>-1.674679971151761</c:v>
                </c:pt>
                <c:pt idx="15">
                  <c:v>-3.2358071743379071</c:v>
                </c:pt>
                <c:pt idx="16">
                  <c:v>-4.895886047904952</c:v>
                </c:pt>
                <c:pt idx="17">
                  <c:v>-6.6339209669419574</c:v>
                </c:pt>
                <c:pt idx="18">
                  <c:v>-8.4320119275385252</c:v>
                </c:pt>
                <c:pt idx="19">
                  <c:v>-10.274907341794687</c:v>
                </c:pt>
                <c:pt idx="20">
                  <c:v>-12.149624009374463</c:v>
                </c:pt>
                <c:pt idx="21">
                  <c:v>-14.045123611838363</c:v>
                </c:pt>
                <c:pt idx="22">
                  <c:v>-15.952036865414016</c:v>
                </c:pt>
                <c:pt idx="23">
                  <c:v>-17.862427939295756</c:v>
                </c:pt>
                <c:pt idx="24">
                  <c:v>-19.769592959640377</c:v>
                </c:pt>
                <c:pt idx="25">
                  <c:v>-21.667887422027931</c:v>
                </c:pt>
                <c:pt idx="26">
                  <c:v>-23.552578165804775</c:v>
                </c:pt>
                <c:pt idx="27">
                  <c:v>-25.419716253548714</c:v>
                </c:pt>
                <c:pt idx="28">
                  <c:v>-27.26602767306548</c:v>
                </c:pt>
                <c:pt idx="29">
                  <c:v>-29.088819258304127</c:v>
                </c:pt>
                <c:pt idx="30">
                  <c:v>-30.885897625999164</c:v>
                </c:pt>
                <c:pt idx="31">
                  <c:v>-32.655499260298868</c:v>
                </c:pt>
                <c:pt idx="32">
                  <c:v>-34.396230159232076</c:v>
                </c:pt>
                <c:pt idx="33">
                  <c:v>-36.107013693709007</c:v>
                </c:pt>
                <c:pt idx="34">
                  <c:v>-37.787045529345022</c:v>
                </c:pt>
                <c:pt idx="35">
                  <c:v>-39.435754629902263</c:v>
                </c:pt>
                <c:pt idx="36">
                  <c:v>-41.052769503666653</c:v>
                </c:pt>
                <c:pt idx="37">
                  <c:v>-42.63788897483191</c:v>
                </c:pt>
                <c:pt idx="38">
                  <c:v>-44.1910568644482</c:v>
                </c:pt>
                <c:pt idx="39">
                  <c:v>-45.712340052615644</c:v>
                </c:pt>
                <c:pt idx="40">
                  <c:v>-47.20190946778699</c:v>
                </c:pt>
                <c:pt idx="41">
                  <c:v>-48.660023612306532</c:v>
                </c:pt>
                <c:pt idx="42">
                  <c:v>-50.087014287344459</c:v>
                </c:pt>
                <c:pt idx="43">
                  <c:v>-51.483274226601125</c:v>
                </c:pt>
                <c:pt idx="44">
                  <c:v>-52.849246387741857</c:v>
                </c:pt>
                <c:pt idx="45">
                  <c:v>-54.185414684477379</c:v>
                </c:pt>
                <c:pt idx="46">
                  <c:v>-55.492295971367071</c:v>
                </c:pt>
                <c:pt idx="47">
                  <c:v>-56.770433118502936</c:v>
                </c:pt>
                <c:pt idx="48">
                  <c:v>-58.020389034827488</c:v>
                </c:pt>
                <c:pt idx="49">
                  <c:v>-59.242741517457404</c:v>
                </c:pt>
                <c:pt idx="50">
                  <c:v>-60.438078820455232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02-4540-A569-6D158EA575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369232"/>
        <c:axId val="453360496"/>
      </c:lineChart>
      <c:catAx>
        <c:axId val="45336923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3360496"/>
        <c:crosses val="autoZero"/>
        <c:auto val="1"/>
        <c:lblAlgn val="ctr"/>
        <c:lblOffset val="100"/>
        <c:noMultiLvlLbl val="0"/>
      </c:catAx>
      <c:valAx>
        <c:axId val="453360496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533692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Over Rate'!$A$15</c:f>
              <c:strCache>
                <c:ptCount val="1"/>
                <c:pt idx="0">
                  <c:v>Discount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'Cross Over Rate'!$A$16:$A$31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BC-4894-9D3E-5A4DE8997D8C}"/>
            </c:ext>
          </c:extLst>
        </c:ser>
        <c:ser>
          <c:idx val="1"/>
          <c:order val="1"/>
          <c:tx>
            <c:strRef>
              <c:f>'Cross Over Rate'!$B$15</c:f>
              <c:strCache>
                <c:ptCount val="1"/>
                <c:pt idx="0">
                  <c:v>NPV Project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'Cross Over Rate'!$A$16:$A$31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Rate'!$B$16:$B$31</c:f>
              <c:numCache>
                <c:formatCode>"$"#,##0</c:formatCode>
                <c:ptCount val="16"/>
                <c:pt idx="0">
                  <c:v>1750</c:v>
                </c:pt>
                <c:pt idx="1">
                  <c:v>1507.7409073459376</c:v>
                </c:pt>
                <c:pt idx="2">
                  <c:v>1281.8403777474932</c:v>
                </c:pt>
                <c:pt idx="3">
                  <c:v>1070.7639907539606</c:v>
                </c:pt>
                <c:pt idx="4">
                  <c:v>873.15561735817209</c:v>
                </c:pt>
                <c:pt idx="5">
                  <c:v>687.8131771923172</c:v>
                </c:pt>
                <c:pt idx="6">
                  <c:v>513.66812725910222</c:v>
                </c:pt>
                <c:pt idx="7">
                  <c:v>349.76804588264622</c:v>
                </c:pt>
                <c:pt idx="8">
                  <c:v>195.26179396385851</c:v>
                </c:pt>
                <c:pt idx="9">
                  <c:v>49.386830255157292</c:v>
                </c:pt>
                <c:pt idx="10">
                  <c:v>-88.54166666666606</c:v>
                </c:pt>
                <c:pt idx="11">
                  <c:v>-219.14015581273543</c:v>
                </c:pt>
                <c:pt idx="12">
                  <c:v>-342.96480709469779</c:v>
                </c:pt>
                <c:pt idx="13">
                  <c:v>-460.51848677240832</c:v>
                </c:pt>
                <c:pt idx="14">
                  <c:v>-572.25681841373444</c:v>
                </c:pt>
                <c:pt idx="15">
                  <c:v>-678.59345584215225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BC-4894-9D3E-5A4DE8997D8C}"/>
            </c:ext>
          </c:extLst>
        </c:ser>
        <c:ser>
          <c:idx val="2"/>
          <c:order val="2"/>
          <c:tx>
            <c:strRef>
              <c:f>'Cross Over Rate'!$C$15</c:f>
              <c:strCache>
                <c:ptCount val="1"/>
                <c:pt idx="0">
                  <c:v>NPV Project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'Cross Over Rate'!$A$16:$A$31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Rate'!$C$16:$C$31</c:f>
              <c:numCache>
                <c:formatCode>"$"#,##0</c:formatCode>
                <c:ptCount val="16"/>
                <c:pt idx="0">
                  <c:v>3300</c:v>
                </c:pt>
                <c:pt idx="1">
                  <c:v>2753.5830123923306</c:v>
                </c:pt>
                <c:pt idx="2">
                  <c:v>2258.0261326634218</c:v>
                </c:pt>
                <c:pt idx="3">
                  <c:v>1807.5271557266633</c:v>
                </c:pt>
                <c:pt idx="4">
                  <c:v>1397.0525768966227</c:v>
                </c:pt>
                <c:pt idx="5">
                  <c:v>1022.2227741522847</c:v>
                </c:pt>
                <c:pt idx="6">
                  <c:v>679.21615621467117</c:v>
                </c:pt>
                <c:pt idx="7">
                  <c:v>364.68885943761052</c:v>
                </c:pt>
                <c:pt idx="8">
                  <c:v>75.70724097416587</c:v>
                </c:pt>
                <c:pt idx="9">
                  <c:v>-190.30905816225277</c:v>
                </c:pt>
                <c:pt idx="10">
                  <c:v>-435.63528806584327</c:v>
                </c:pt>
                <c:pt idx="11">
                  <c:v>-662.28247665507934</c:v>
                </c:pt>
                <c:pt idx="12">
                  <c:v>-872.0322338584192</c:v>
                </c:pt>
                <c:pt idx="13">
                  <c:v>-1066.466463236633</c:v>
                </c:pt>
                <c:pt idx="14">
                  <c:v>-1246.9927966594696</c:v>
                </c:pt>
                <c:pt idx="15">
                  <c:v>-1414.8664262455804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BC-4894-9D3E-5A4DE8997D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627184"/>
        <c:axId val="635623024"/>
      </c:lineChart>
      <c:catAx>
        <c:axId val="63562718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623024"/>
        <c:crosses val="autoZero"/>
        <c:auto val="1"/>
        <c:lblAlgn val="ctr"/>
        <c:lblOffset val="100"/>
        <c:noMultiLvlLbl val="0"/>
      </c:catAx>
      <c:valAx>
        <c:axId val="6356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6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'Cross Over Rate (2)'!$A$15</c:f>
              <c:strCache>
                <c:ptCount val="1"/>
                <c:pt idx="0">
                  <c:v>Discount 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'Cross Over Rate (2)'!$A$16:$A$31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 (2)'!$A$16:$A$31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F86-42B2-AC05-557C415D00B4}"/>
            </c:ext>
          </c:extLst>
        </c:ser>
        <c:ser>
          <c:idx val="1"/>
          <c:order val="1"/>
          <c:tx>
            <c:strRef>
              <c:f>'Cross Over Rate (2)'!$B$15</c:f>
              <c:strCache>
                <c:ptCount val="1"/>
                <c:pt idx="0">
                  <c:v>NPV Project 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'Cross Over Rate (2)'!$A$16:$A$31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 (2)'!$B$16:$B$31</c:f>
              <c:numCache>
                <c:formatCode>"$"#,##0</c:formatCode>
                <c:ptCount val="16"/>
                <c:pt idx="0">
                  <c:v>1750</c:v>
                </c:pt>
                <c:pt idx="1">
                  <c:v>1507.7409073459376</c:v>
                </c:pt>
                <c:pt idx="2">
                  <c:v>1281.8403777474932</c:v>
                </c:pt>
                <c:pt idx="3">
                  <c:v>1070.7639907539606</c:v>
                </c:pt>
                <c:pt idx="4">
                  <c:v>873.15561735817209</c:v>
                </c:pt>
                <c:pt idx="5">
                  <c:v>687.8131771923172</c:v>
                </c:pt>
                <c:pt idx="6">
                  <c:v>513.66812725910222</c:v>
                </c:pt>
                <c:pt idx="7">
                  <c:v>349.76804588264622</c:v>
                </c:pt>
                <c:pt idx="8">
                  <c:v>195.26179396385851</c:v>
                </c:pt>
                <c:pt idx="9">
                  <c:v>49.386830255157292</c:v>
                </c:pt>
                <c:pt idx="10">
                  <c:v>-88.54166666666606</c:v>
                </c:pt>
                <c:pt idx="11">
                  <c:v>-219.14015581273543</c:v>
                </c:pt>
                <c:pt idx="12">
                  <c:v>-342.96480709469779</c:v>
                </c:pt>
                <c:pt idx="13">
                  <c:v>-460.51848677240832</c:v>
                </c:pt>
                <c:pt idx="14">
                  <c:v>-572.25681841373444</c:v>
                </c:pt>
                <c:pt idx="15">
                  <c:v>-678.59345584215225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F86-42B2-AC05-557C415D00B4}"/>
            </c:ext>
          </c:extLst>
        </c:ser>
        <c:ser>
          <c:idx val="2"/>
          <c:order val="2"/>
          <c:tx>
            <c:strRef>
              <c:f>'Cross Over Rate (2)'!$C$15</c:f>
              <c:strCache>
                <c:ptCount val="1"/>
                <c:pt idx="0">
                  <c:v>NPV Project B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'Cross Over Rate (2)'!$A$16:$A$31</c:f>
              <c:numCache>
                <c:formatCode>0%</c:formatCode>
                <c:ptCount val="16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0.14000000000000001</c:v>
                </c:pt>
                <c:pt idx="8">
                  <c:v>0.16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0.28000000000000003</c:v>
                </c:pt>
                <c:pt idx="15">
                  <c:v>0.3</c:v>
                </c:pt>
              </c:numCache>
            </c:numRef>
          </c:cat>
          <c:val>
            <c:numRef>
              <c:f>'Cross Over Rate (2)'!$C$16:$C$31</c:f>
              <c:numCache>
                <c:formatCode>"$"#,##0</c:formatCode>
                <c:ptCount val="16"/>
                <c:pt idx="0">
                  <c:v>3300</c:v>
                </c:pt>
                <c:pt idx="1">
                  <c:v>2753.5830123923306</c:v>
                </c:pt>
                <c:pt idx="2">
                  <c:v>2258.0261326634218</c:v>
                </c:pt>
                <c:pt idx="3">
                  <c:v>1807.5271557266633</c:v>
                </c:pt>
                <c:pt idx="4">
                  <c:v>1397.0525768966227</c:v>
                </c:pt>
                <c:pt idx="5">
                  <c:v>1022.2227741522847</c:v>
                </c:pt>
                <c:pt idx="6">
                  <c:v>679.21615621467117</c:v>
                </c:pt>
                <c:pt idx="7">
                  <c:v>364.68885943761052</c:v>
                </c:pt>
                <c:pt idx="8">
                  <c:v>75.70724097416587</c:v>
                </c:pt>
                <c:pt idx="9">
                  <c:v>-190.30905816225277</c:v>
                </c:pt>
                <c:pt idx="10">
                  <c:v>-435.63528806584327</c:v>
                </c:pt>
                <c:pt idx="11">
                  <c:v>-662.28247665507934</c:v>
                </c:pt>
                <c:pt idx="12">
                  <c:v>-872.0322338584192</c:v>
                </c:pt>
                <c:pt idx="13">
                  <c:v>-1066.466463236633</c:v>
                </c:pt>
                <c:pt idx="14">
                  <c:v>-1246.9927966594696</c:v>
                </c:pt>
                <c:pt idx="15">
                  <c:v>-1414.8664262455804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F86-42B2-AC05-557C415D00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5627184"/>
        <c:axId val="635623024"/>
      </c:lineChart>
      <c:catAx>
        <c:axId val="63562718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623024"/>
        <c:crosses val="autoZero"/>
        <c:auto val="1"/>
        <c:lblAlgn val="ctr"/>
        <c:lblOffset val="100"/>
        <c:noMultiLvlLbl val="0"/>
      </c:catAx>
      <c:valAx>
        <c:axId val="6356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$-C09]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635627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49188</xdr:colOff>
      <xdr:row>7</xdr:row>
      <xdr:rowOff>3</xdr:rowOff>
    </xdr:from>
    <xdr:to>
      <xdr:col>17</xdr:col>
      <xdr:colOff>353988</xdr:colOff>
      <xdr:row>21</xdr:row>
      <xdr:rowOff>160425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CA4ACE3-2A5B-47F5-8B60-4A9D5F51A9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226358</xdr:colOff>
      <xdr:row>17</xdr:row>
      <xdr:rowOff>127849</xdr:rowOff>
    </xdr:from>
    <xdr:to>
      <xdr:col>12</xdr:col>
      <xdr:colOff>437418</xdr:colOff>
      <xdr:row>32</xdr:row>
      <xdr:rowOff>114400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7A61A6-FE6A-4E26-85C8-4ACA22A97B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226358</xdr:colOff>
      <xdr:row>17</xdr:row>
      <xdr:rowOff>127849</xdr:rowOff>
    </xdr:from>
    <xdr:to>
      <xdr:col>12</xdr:col>
      <xdr:colOff>437418</xdr:colOff>
      <xdr:row>32</xdr:row>
      <xdr:rowOff>114400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23C53B-F58A-410C-AC77-7752C0C53C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568C-EA12-4720-ADAE-5FAA2CA9517B}">
  <dimension ref="A1:I11"/>
  <sheetViews>
    <sheetView zoomScale="145" zoomScaleNormal="145" workbookViewId="0">
      <selection activeCell="B11" sqref="B11"/>
    </sheetView>
  </sheetViews>
  <sheetFormatPr defaultRowHeight="14.4" x14ac:dyDescent="0.3"/>
  <cols>
    <col min="2" max="2" width="13.6640625" customWidth="1"/>
  </cols>
  <sheetData>
    <row r="1" spans="1:9" x14ac:dyDescent="0.3">
      <c r="A1" t="s">
        <v>0</v>
      </c>
      <c r="B1" s="1">
        <v>0.1</v>
      </c>
      <c r="C1" s="35"/>
    </row>
    <row r="3" spans="1:9" x14ac:dyDescent="0.3">
      <c r="A3" t="s">
        <v>1</v>
      </c>
      <c r="B3" t="s">
        <v>2</v>
      </c>
      <c r="G3" t="s">
        <v>1</v>
      </c>
      <c r="H3" t="s">
        <v>2</v>
      </c>
    </row>
    <row r="4" spans="1:9" x14ac:dyDescent="0.3">
      <c r="A4">
        <v>1</v>
      </c>
      <c r="B4">
        <v>100</v>
      </c>
      <c r="C4">
        <f>B4/(1+$B$1)^A4</f>
        <v>90.909090909090907</v>
      </c>
      <c r="G4">
        <v>1</v>
      </c>
      <c r="H4">
        <v>100</v>
      </c>
      <c r="I4">
        <f>H4/(1+$B$1)^G4</f>
        <v>90.909090909090907</v>
      </c>
    </row>
    <row r="5" spans="1:9" x14ac:dyDescent="0.3">
      <c r="A5">
        <v>2</v>
      </c>
      <c r="B5">
        <v>100</v>
      </c>
      <c r="C5">
        <f t="shared" ref="C5:C8" si="0">B5/(1+$B$1)^A5</f>
        <v>82.644628099173545</v>
      </c>
      <c r="G5">
        <v>2</v>
      </c>
      <c r="H5">
        <v>105</v>
      </c>
      <c r="I5">
        <f t="shared" ref="I5:I8" si="1">H5/(1+$B$1)^G5</f>
        <v>86.776859504132219</v>
      </c>
    </row>
    <row r="6" spans="1:9" x14ac:dyDescent="0.3">
      <c r="A6">
        <v>3</v>
      </c>
      <c r="B6">
        <v>100</v>
      </c>
      <c r="C6">
        <f t="shared" si="0"/>
        <v>75.131480090157751</v>
      </c>
      <c r="G6">
        <v>3</v>
      </c>
      <c r="H6">
        <v>112</v>
      </c>
      <c r="I6">
        <f t="shared" si="1"/>
        <v>84.147257700976681</v>
      </c>
    </row>
    <row r="7" spans="1:9" x14ac:dyDescent="0.3">
      <c r="A7">
        <v>4</v>
      </c>
      <c r="B7">
        <v>100</v>
      </c>
      <c r="C7">
        <f t="shared" si="0"/>
        <v>68.301345536507057</v>
      </c>
      <c r="G7">
        <v>4</v>
      </c>
      <c r="H7">
        <v>192</v>
      </c>
      <c r="I7">
        <f t="shared" si="1"/>
        <v>131.13858343009355</v>
      </c>
    </row>
    <row r="8" spans="1:9" x14ac:dyDescent="0.3">
      <c r="A8">
        <v>5</v>
      </c>
      <c r="B8">
        <v>100</v>
      </c>
      <c r="C8">
        <f t="shared" si="0"/>
        <v>62.092132305915499</v>
      </c>
      <c r="G8">
        <v>5</v>
      </c>
      <c r="H8">
        <v>210</v>
      </c>
      <c r="I8">
        <f t="shared" si="1"/>
        <v>130.39347784242256</v>
      </c>
    </row>
    <row r="9" spans="1:9" x14ac:dyDescent="0.3">
      <c r="C9" s="34">
        <f>SUM(C4:C8)</f>
        <v>379.07867694084473</v>
      </c>
      <c r="I9">
        <f>SUM(I4:I8)</f>
        <v>523.36526938671591</v>
      </c>
    </row>
    <row r="10" spans="1:9" x14ac:dyDescent="0.3">
      <c r="A10" t="s">
        <v>3</v>
      </c>
      <c r="B10" s="36">
        <f>PV(B1,5,-B4,,0)</f>
        <v>379.07867694084507</v>
      </c>
      <c r="C10" s="2"/>
      <c r="G10" t="s">
        <v>53</v>
      </c>
      <c r="H10" t="s">
        <v>82</v>
      </c>
    </row>
    <row r="11" spans="1:9" x14ac:dyDescent="0.3">
      <c r="A11" t="s">
        <v>4</v>
      </c>
      <c r="B11" s="36">
        <f>NPV(B1,B4:B8)</f>
        <v>379.07867694084473</v>
      </c>
      <c r="C11" s="2"/>
      <c r="G11" t="s">
        <v>4</v>
      </c>
      <c r="H11" s="2">
        <f>NPV(B1,H4:H8)</f>
        <v>523.3652693867158</v>
      </c>
      <c r="I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12F1-0897-4E12-8941-139F6785E1AC}">
  <dimension ref="A1:C5"/>
  <sheetViews>
    <sheetView workbookViewId="0">
      <selection activeCell="B5" sqref="B5"/>
    </sheetView>
  </sheetViews>
  <sheetFormatPr defaultRowHeight="14.4" x14ac:dyDescent="0.3"/>
  <cols>
    <col min="2" max="2" width="10.5546875" bestFit="1" customWidth="1"/>
    <col min="3" max="3" width="9.5546875" bestFit="1" customWidth="1"/>
  </cols>
  <sheetData>
    <row r="1" spans="1:3" x14ac:dyDescent="0.3">
      <c r="A1" t="s">
        <v>5</v>
      </c>
      <c r="B1" s="3">
        <v>1000</v>
      </c>
    </row>
    <row r="2" spans="1:3" x14ac:dyDescent="0.3">
      <c r="A2" t="s">
        <v>6</v>
      </c>
      <c r="B2">
        <v>5</v>
      </c>
    </row>
    <row r="3" spans="1:3" x14ac:dyDescent="0.3">
      <c r="A3" t="s">
        <v>0</v>
      </c>
      <c r="B3" s="1">
        <v>0.12</v>
      </c>
    </row>
    <row r="4" spans="1:3" x14ac:dyDescent="0.3">
      <c r="A4" t="s">
        <v>7</v>
      </c>
      <c r="B4" s="2">
        <f>PV(B3,5,-B1,,0)</f>
        <v>3604.7762023450064</v>
      </c>
      <c r="C4" s="2" t="s">
        <v>83</v>
      </c>
    </row>
    <row r="5" spans="1:3" x14ac:dyDescent="0.3">
      <c r="B5" s="2">
        <f>PV(B3,5,-B1,,1)</f>
        <v>4037.3493466264081</v>
      </c>
      <c r="C5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F7986-9E28-4DEE-BF6B-A1268D9ECA2E}">
  <dimension ref="A1:C11"/>
  <sheetViews>
    <sheetView workbookViewId="0">
      <selection activeCell="B11" sqref="B11"/>
    </sheetView>
  </sheetViews>
  <sheetFormatPr defaultRowHeight="14.4" x14ac:dyDescent="0.3"/>
  <cols>
    <col min="3" max="3" width="20.33203125" bestFit="1" customWidth="1"/>
  </cols>
  <sheetData>
    <row r="1" spans="1:3" x14ac:dyDescent="0.3">
      <c r="A1" t="s">
        <v>0</v>
      </c>
      <c r="B1" s="1">
        <v>0.1</v>
      </c>
    </row>
    <row r="3" spans="1:3" x14ac:dyDescent="0.3">
      <c r="A3" t="s">
        <v>1</v>
      </c>
      <c r="B3" t="s">
        <v>2</v>
      </c>
      <c r="C3" t="s">
        <v>85</v>
      </c>
    </row>
    <row r="4" spans="1:3" x14ac:dyDescent="0.3">
      <c r="A4">
        <v>0</v>
      </c>
      <c r="B4">
        <v>-250</v>
      </c>
      <c r="C4">
        <f>B4/(1+$B$1)^A4</f>
        <v>-250</v>
      </c>
    </row>
    <row r="5" spans="1:3" x14ac:dyDescent="0.3">
      <c r="A5">
        <v>1</v>
      </c>
      <c r="B5">
        <v>100</v>
      </c>
      <c r="C5">
        <f t="shared" ref="C5:C9" si="0">B5/(1+$B$1)^A5</f>
        <v>90.909090909090907</v>
      </c>
    </row>
    <row r="6" spans="1:3" x14ac:dyDescent="0.3">
      <c r="A6">
        <v>2</v>
      </c>
      <c r="B6">
        <v>100</v>
      </c>
      <c r="C6">
        <f t="shared" si="0"/>
        <v>82.644628099173545</v>
      </c>
    </row>
    <row r="7" spans="1:3" x14ac:dyDescent="0.3">
      <c r="A7">
        <v>3</v>
      </c>
      <c r="B7">
        <v>100</v>
      </c>
      <c r="C7">
        <f t="shared" si="0"/>
        <v>75.131480090157751</v>
      </c>
    </row>
    <row r="8" spans="1:3" x14ac:dyDescent="0.3">
      <c r="A8">
        <v>4</v>
      </c>
      <c r="B8">
        <v>100</v>
      </c>
      <c r="C8">
        <f t="shared" si="0"/>
        <v>68.301345536507057</v>
      </c>
    </row>
    <row r="9" spans="1:3" x14ac:dyDescent="0.3">
      <c r="A9">
        <v>5</v>
      </c>
      <c r="B9">
        <v>100</v>
      </c>
      <c r="C9">
        <f t="shared" si="0"/>
        <v>62.092132305915499</v>
      </c>
    </row>
    <row r="10" spans="1:3" x14ac:dyDescent="0.3">
      <c r="C10" s="37">
        <f>SUM(C4:C9)</f>
        <v>129.07867694084476</v>
      </c>
    </row>
    <row r="11" spans="1:3" x14ac:dyDescent="0.3">
      <c r="A11" t="s">
        <v>4</v>
      </c>
      <c r="B11" s="2">
        <f>NPV(B1,B5:B9)+B4</f>
        <v>129.07867694084473</v>
      </c>
      <c r="C11" s="2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07FEC-55C7-4989-9D99-3CBB94899623}">
  <dimension ref="B1:H16"/>
  <sheetViews>
    <sheetView zoomScale="70" zoomScaleNormal="70" workbookViewId="0">
      <selection activeCell="C12" sqref="C12"/>
    </sheetView>
  </sheetViews>
  <sheetFormatPr defaultColWidth="8.88671875" defaultRowHeight="28.8" x14ac:dyDescent="0.55000000000000004"/>
  <cols>
    <col min="1" max="1" width="2.6640625" style="6" customWidth="1"/>
    <col min="2" max="2" width="52.33203125" style="6" customWidth="1"/>
    <col min="3" max="4" width="35.5546875" style="6" customWidth="1"/>
    <col min="5" max="5" width="27.109375" style="6" bestFit="1" customWidth="1"/>
    <col min="6" max="6" width="41.6640625" style="6" bestFit="1" customWidth="1"/>
    <col min="7" max="7" width="30.109375" style="6" customWidth="1"/>
    <col min="8" max="8" width="13.5546875" style="6" bestFit="1" customWidth="1"/>
    <col min="9" max="16384" width="8.88671875" style="6"/>
  </cols>
  <sheetData>
    <row r="1" spans="2:8" ht="12.75" customHeight="1" thickBot="1" x14ac:dyDescent="0.6"/>
    <row r="2" spans="2:8" ht="57.75" customHeight="1" thickBot="1" x14ac:dyDescent="0.6">
      <c r="B2" s="7" t="s">
        <v>18</v>
      </c>
      <c r="C2" s="8" t="s">
        <v>35</v>
      </c>
      <c r="D2" s="8" t="s">
        <v>37</v>
      </c>
    </row>
    <row r="3" spans="2:8" x14ac:dyDescent="0.55000000000000004">
      <c r="B3" s="11">
        <v>0</v>
      </c>
      <c r="C3" s="12">
        <v>-300000</v>
      </c>
      <c r="D3" s="14"/>
      <c r="E3" s="6" t="s">
        <v>89</v>
      </c>
      <c r="F3" s="25" t="s">
        <v>86</v>
      </c>
      <c r="G3" s="29">
        <f>D10</f>
        <v>315222.4291454198</v>
      </c>
    </row>
    <row r="4" spans="2:8" x14ac:dyDescent="0.55000000000000004">
      <c r="B4" s="11">
        <v>1</v>
      </c>
      <c r="C4" s="15">
        <v>50000</v>
      </c>
      <c r="D4" s="14">
        <f>C4/(1+$C$11)^B4</f>
        <v>47619.047619047618</v>
      </c>
      <c r="E4" s="38">
        <f>C4/(1+$G$11)^B4</f>
        <v>46728.971962616823</v>
      </c>
      <c r="F4" s="25" t="s">
        <v>87</v>
      </c>
      <c r="G4" s="38">
        <f>G3/-C3</f>
        <v>1.0507414304847327</v>
      </c>
      <c r="H4" s="6" t="s">
        <v>88</v>
      </c>
    </row>
    <row r="5" spans="2:8" x14ac:dyDescent="0.55000000000000004">
      <c r="B5" s="11">
        <v>2</v>
      </c>
      <c r="C5" s="15">
        <v>60000</v>
      </c>
      <c r="D5" s="14">
        <f t="shared" ref="D5:D9" si="0">C5/(1+$C$11)^B5</f>
        <v>54421.768707482988</v>
      </c>
      <c r="E5" s="38">
        <f t="shared" ref="E5:E9" si="1">C5/(1+$G$11)^B5</f>
        <v>52406.323696392697</v>
      </c>
      <c r="F5" s="25"/>
    </row>
    <row r="6" spans="2:8" x14ac:dyDescent="0.55000000000000004">
      <c r="B6" s="11">
        <v>3</v>
      </c>
      <c r="C6" s="15">
        <v>70000</v>
      </c>
      <c r="D6" s="14">
        <f t="shared" si="0"/>
        <v>60468.631897203319</v>
      </c>
      <c r="E6" s="38">
        <f t="shared" si="1"/>
        <v>57140.851382359637</v>
      </c>
      <c r="F6" s="29"/>
    </row>
    <row r="7" spans="2:8" x14ac:dyDescent="0.55000000000000004">
      <c r="B7" s="11">
        <v>4</v>
      </c>
      <c r="C7" s="15">
        <v>60000</v>
      </c>
      <c r="D7" s="14">
        <f t="shared" si="0"/>
        <v>49362.148487512917</v>
      </c>
      <c r="E7" s="38">
        <f t="shared" si="1"/>
        <v>45773.712722851516</v>
      </c>
      <c r="F7" s="30"/>
    </row>
    <row r="8" spans="2:8" x14ac:dyDescent="0.55000000000000004">
      <c r="B8" s="11">
        <v>5</v>
      </c>
      <c r="C8" s="15">
        <v>70000</v>
      </c>
      <c r="D8" s="14">
        <f t="shared" si="0"/>
        <v>54846.831652792127</v>
      </c>
      <c r="E8" s="38">
        <f t="shared" si="1"/>
        <v>49909.032563856788</v>
      </c>
      <c r="F8" s="25"/>
    </row>
    <row r="9" spans="2:8" ht="29.4" thickBot="1" x14ac:dyDescent="0.6">
      <c r="B9" s="16">
        <v>6</v>
      </c>
      <c r="C9" s="17">
        <v>65000</v>
      </c>
      <c r="D9" s="14">
        <f t="shared" si="0"/>
        <v>48504.000781380797</v>
      </c>
      <c r="E9" s="38">
        <f t="shared" si="1"/>
        <v>43312.244548073315</v>
      </c>
      <c r="F9" s="25"/>
    </row>
    <row r="10" spans="2:8" ht="41.25" customHeight="1" thickBot="1" x14ac:dyDescent="0.6">
      <c r="D10" s="29">
        <f>SUM(D4:D9)</f>
        <v>315222.4291454198</v>
      </c>
      <c r="E10" s="38">
        <f>SUM(E4:E9)</f>
        <v>295271.13687615079</v>
      </c>
    </row>
    <row r="11" spans="2:8" ht="48" customHeight="1" thickBot="1" x14ac:dyDescent="0.6">
      <c r="B11" s="9" t="s">
        <v>39</v>
      </c>
      <c r="C11" s="10">
        <v>0.05</v>
      </c>
      <c r="F11" s="9" t="s">
        <v>39</v>
      </c>
      <c r="G11" s="10">
        <v>7.0000000000000007E-2</v>
      </c>
    </row>
    <row r="12" spans="2:8" ht="48" customHeight="1" thickBot="1" x14ac:dyDescent="0.6">
      <c r="B12" s="9" t="s">
        <v>44</v>
      </c>
      <c r="C12" s="21">
        <f>NPV(C11,C4:C9)+C3</f>
        <v>15222.429145419737</v>
      </c>
      <c r="F12" s="9" t="s">
        <v>48</v>
      </c>
      <c r="G12" s="23">
        <f>NPV(G11,C4:C9)+C3</f>
        <v>-4728.8631238492089</v>
      </c>
    </row>
    <row r="13" spans="2:8" ht="48" customHeight="1" thickBot="1" x14ac:dyDescent="0.6">
      <c r="B13" s="9" t="s">
        <v>45</v>
      </c>
      <c r="C13" s="22">
        <f>1+(C12/-C3)</f>
        <v>1.0507414304847325</v>
      </c>
      <c r="D13" s="42" t="s">
        <v>46</v>
      </c>
      <c r="E13" s="43"/>
      <c r="F13" s="9" t="s">
        <v>45</v>
      </c>
      <c r="G13" s="22">
        <f>1+(G12/-C3)</f>
        <v>0.98423712292050269</v>
      </c>
    </row>
    <row r="14" spans="2:8" ht="48" customHeight="1" thickBot="1" x14ac:dyDescent="0.6">
      <c r="B14" s="9" t="s">
        <v>47</v>
      </c>
      <c r="C14" s="10" t="str">
        <f>IF(C13&gt;=1,"Accept","Reject")</f>
        <v>Accept</v>
      </c>
      <c r="D14" s="39" t="str">
        <f>IF(C13&gt;=1,"Accept","Reject")</f>
        <v>Accept</v>
      </c>
      <c r="F14" s="9" t="s">
        <v>47</v>
      </c>
      <c r="G14" s="10" t="str">
        <f>IF(G13&gt;=1,"Accept","Reject")</f>
        <v>Reject</v>
      </c>
    </row>
    <row r="16" spans="2:8" x14ac:dyDescent="0.55000000000000004">
      <c r="F16" s="23"/>
    </row>
  </sheetData>
  <mergeCells count="1">
    <mergeCell ref="D13:E13"/>
  </mergeCells>
  <conditionalFormatting sqref="C12">
    <cfRule type="cellIs" dxfId="10" priority="14" operator="lessThan">
      <formula>0</formula>
    </cfRule>
  </conditionalFormatting>
  <conditionalFormatting sqref="C14">
    <cfRule type="cellIs" dxfId="9" priority="15" operator="equal">
      <formula>"Reject"</formula>
    </cfRule>
    <cfRule type="cellIs" dxfId="8" priority="16" operator="equal">
      <formula>"Accept"</formula>
    </cfRule>
  </conditionalFormatting>
  <conditionalFormatting sqref="C3:D9">
    <cfRule type="cellIs" dxfId="7" priority="17" operator="lessThan">
      <formula>0</formula>
    </cfRule>
  </conditionalFormatting>
  <conditionalFormatting sqref="F8">
    <cfRule type="containsText" dxfId="6" priority="3" operator="containsText" text="Reject">
      <formula>NOT(ISERROR(SEARCH("Reject",F8)))</formula>
    </cfRule>
    <cfRule type="containsText" dxfId="5" priority="4" operator="containsText" text="Accept">
      <formula>NOT(ISERROR(SEARCH("Accept",F8)))</formula>
    </cfRule>
  </conditionalFormatting>
  <conditionalFormatting sqref="G14">
    <cfRule type="cellIs" dxfId="4" priority="8" operator="equal">
      <formula>"Reject"</formula>
    </cfRule>
    <cfRule type="cellIs" dxfId="3" priority="9" operator="equal">
      <formula>"Accept"</formula>
    </cfRule>
  </conditionalFormatting>
  <conditionalFormatting sqref="D14">
    <cfRule type="containsText" dxfId="2" priority="1" operator="containsText" text="Reject">
      <formula>NOT(ISERROR(SEARCH("Reject",D14)))</formula>
    </cfRule>
    <cfRule type="containsText" dxfId="1" priority="2" operator="containsText" text="Accept">
      <formula>NOT(ISERROR(SEARCH("Accept",D14)))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8808B-9936-4E40-8F65-E11E7C5A9927}">
  <dimension ref="A1:C12"/>
  <sheetViews>
    <sheetView topLeftCell="A7" zoomScale="200" zoomScaleNormal="200" workbookViewId="0">
      <selection activeCell="D9" sqref="D9"/>
    </sheetView>
  </sheetViews>
  <sheetFormatPr defaultRowHeight="14.4" x14ac:dyDescent="0.3"/>
  <cols>
    <col min="3" max="3" width="10" bestFit="1" customWidth="1"/>
  </cols>
  <sheetData>
    <row r="1" spans="1:3" x14ac:dyDescent="0.3">
      <c r="A1" t="s">
        <v>1</v>
      </c>
      <c r="B1" t="s">
        <v>19</v>
      </c>
      <c r="C1" t="s">
        <v>20</v>
      </c>
    </row>
    <row r="2" spans="1:3" x14ac:dyDescent="0.3">
      <c r="A2">
        <v>0</v>
      </c>
      <c r="B2">
        <v>-250</v>
      </c>
      <c r="C2">
        <v>-800</v>
      </c>
    </row>
    <row r="3" spans="1:3" x14ac:dyDescent="0.3">
      <c r="A3">
        <v>1</v>
      </c>
      <c r="B3">
        <v>100</v>
      </c>
      <c r="C3">
        <v>200</v>
      </c>
    </row>
    <row r="4" spans="1:3" x14ac:dyDescent="0.3">
      <c r="A4">
        <v>2</v>
      </c>
      <c r="B4">
        <v>100</v>
      </c>
      <c r="C4">
        <v>250</v>
      </c>
    </row>
    <row r="5" spans="1:3" x14ac:dyDescent="0.3">
      <c r="A5">
        <v>3</v>
      </c>
      <c r="B5">
        <v>100</v>
      </c>
      <c r="C5">
        <v>300</v>
      </c>
    </row>
    <row r="6" spans="1:3" x14ac:dyDescent="0.3">
      <c r="A6">
        <v>4</v>
      </c>
      <c r="B6">
        <v>100</v>
      </c>
      <c r="C6">
        <v>350</v>
      </c>
    </row>
    <row r="7" spans="1:3" x14ac:dyDescent="0.3">
      <c r="A7">
        <v>5</v>
      </c>
      <c r="B7">
        <v>100</v>
      </c>
      <c r="C7">
        <v>400</v>
      </c>
    </row>
    <row r="9" spans="1:3" x14ac:dyDescent="0.3">
      <c r="A9" t="s">
        <v>8</v>
      </c>
      <c r="B9" s="1">
        <f>IRR(B2:B7,10)</f>
        <v>0.28649290249767589</v>
      </c>
      <c r="C9" s="1">
        <f>IRR(C2:C7,10)</f>
        <v>0.22160309796079658</v>
      </c>
    </row>
    <row r="10" spans="1:3" x14ac:dyDescent="0.3">
      <c r="A10" s="44" t="s">
        <v>90</v>
      </c>
      <c r="B10" s="44"/>
      <c r="C10" s="44"/>
    </row>
    <row r="11" spans="1:3" x14ac:dyDescent="0.3">
      <c r="A11" t="s">
        <v>4</v>
      </c>
      <c r="B11" s="2">
        <f>NPV(B12,B3:B7)+B2</f>
        <v>7.4811060198953783E-4</v>
      </c>
      <c r="C11" s="2">
        <f>NPV(C12,C3:C7)+C2</f>
        <v>3.4854567616093846E-5</v>
      </c>
    </row>
    <row r="12" spans="1:3" x14ac:dyDescent="0.3">
      <c r="A12" t="s">
        <v>0</v>
      </c>
      <c r="B12" s="35">
        <v>0.28649136843608475</v>
      </c>
      <c r="C12" s="35">
        <v>0.22160307988990027</v>
      </c>
    </row>
  </sheetData>
  <mergeCells count="1">
    <mergeCell ref="A10:C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551EC-2B7E-4488-BEB3-856EDACA01E2}">
  <dimension ref="A1:R53"/>
  <sheetViews>
    <sheetView topLeftCell="A4" zoomScale="85" zoomScaleNormal="85" workbookViewId="0">
      <selection activeCell="G2" sqref="G2"/>
    </sheetView>
  </sheetViews>
  <sheetFormatPr defaultRowHeight="14.4" x14ac:dyDescent="0.3"/>
  <cols>
    <col min="2" max="2" width="8.109375" bestFit="1" customWidth="1"/>
    <col min="7" max="7" width="9.6640625" bestFit="1" customWidth="1"/>
  </cols>
  <sheetData>
    <row r="1" spans="1:18" x14ac:dyDescent="0.3">
      <c r="A1" t="s">
        <v>9</v>
      </c>
      <c r="B1" t="s">
        <v>10</v>
      </c>
    </row>
    <row r="2" spans="1:18" x14ac:dyDescent="0.3">
      <c r="A2">
        <v>0</v>
      </c>
      <c r="B2">
        <v>-145</v>
      </c>
      <c r="E2" s="1" t="s">
        <v>23</v>
      </c>
      <c r="F2" s="5" t="s">
        <v>4</v>
      </c>
      <c r="G2" s="4"/>
      <c r="R2" s="2"/>
    </row>
    <row r="3" spans="1:18" x14ac:dyDescent="0.3">
      <c r="A3">
        <v>1</v>
      </c>
      <c r="B3">
        <v>100</v>
      </c>
      <c r="E3" s="1">
        <v>0.01</v>
      </c>
      <c r="F3" s="5">
        <f>NPV(E3,$B$3:$B$7)+$B$2</f>
        <v>-16.456508920018706</v>
      </c>
      <c r="G3" s="4">
        <f>NPV(E3,$B$3:$B$7)+$B$2</f>
        <v>-16.456508920018706</v>
      </c>
      <c r="R3" s="2"/>
    </row>
    <row r="4" spans="1:18" x14ac:dyDescent="0.3">
      <c r="A4">
        <v>2</v>
      </c>
      <c r="B4">
        <v>100</v>
      </c>
      <c r="E4" s="1">
        <v>0.03</v>
      </c>
      <c r="F4" s="5">
        <f t="shared" ref="F4:F53" si="0">NPV(E4,$B$3:$B$7)+$B$2</f>
        <v>-10.507575424608092</v>
      </c>
      <c r="G4" s="4">
        <f t="shared" ref="G4:G53" si="1">NPV(E4,$B$3:$B$7)+$B$2</f>
        <v>-10.507575424608092</v>
      </c>
      <c r="R4" s="2"/>
    </row>
    <row r="5" spans="1:18" x14ac:dyDescent="0.3">
      <c r="A5">
        <v>3</v>
      </c>
      <c r="B5">
        <v>100</v>
      </c>
      <c r="E5" s="1">
        <v>0.05</v>
      </c>
      <c r="F5" s="5">
        <f t="shared" si="0"/>
        <v>-5.8746453625901722</v>
      </c>
      <c r="G5" s="4">
        <f t="shared" si="1"/>
        <v>-5.8746453625901722</v>
      </c>
      <c r="R5" s="2"/>
    </row>
    <row r="6" spans="1:18" x14ac:dyDescent="0.3">
      <c r="A6">
        <v>4</v>
      </c>
      <c r="B6">
        <v>100</v>
      </c>
      <c r="E6" s="1">
        <v>7.0000000000000007E-2</v>
      </c>
      <c r="F6" s="5">
        <f t="shared" si="0"/>
        <v>-2.3500737116163464</v>
      </c>
      <c r="G6" s="4">
        <f t="shared" si="1"/>
        <v>-2.3500737116163464</v>
      </c>
      <c r="R6" s="2"/>
    </row>
    <row r="7" spans="1:18" x14ac:dyDescent="0.3">
      <c r="A7">
        <v>5</v>
      </c>
      <c r="B7">
        <v>-275</v>
      </c>
      <c r="E7" s="1">
        <v>0.09</v>
      </c>
      <c r="F7" s="5">
        <f t="shared" si="0"/>
        <v>0.24085647329212634</v>
      </c>
      <c r="G7" s="4">
        <f t="shared" si="1"/>
        <v>0.24085647329212634</v>
      </c>
      <c r="R7" s="2"/>
    </row>
    <row r="8" spans="1:18" x14ac:dyDescent="0.3">
      <c r="E8" s="1">
        <v>0.11</v>
      </c>
      <c r="F8" s="5">
        <f t="shared" si="0"/>
        <v>2.0454537429869788</v>
      </c>
      <c r="G8" s="4">
        <f t="shared" si="1"/>
        <v>2.0454537429869788</v>
      </c>
      <c r="R8" s="2"/>
    </row>
    <row r="9" spans="1:18" x14ac:dyDescent="0.3">
      <c r="E9" s="1">
        <v>0.13</v>
      </c>
      <c r="F9" s="5">
        <f t="shared" si="0"/>
        <v>3.1881501544773982</v>
      </c>
      <c r="G9" s="4">
        <f t="shared" si="1"/>
        <v>3.1881501544773982</v>
      </c>
      <c r="R9" s="2"/>
    </row>
    <row r="10" spans="1:18" x14ac:dyDescent="0.3">
      <c r="E10" s="1">
        <v>0.15</v>
      </c>
      <c r="F10" s="5">
        <f t="shared" si="0"/>
        <v>3.7742340642815009</v>
      </c>
      <c r="G10" s="4">
        <f t="shared" si="1"/>
        <v>3.7742340642815009</v>
      </c>
      <c r="R10" s="2"/>
    </row>
    <row r="11" spans="1:18" x14ac:dyDescent="0.3">
      <c r="A11" t="s">
        <v>49</v>
      </c>
      <c r="B11" s="1">
        <f>IRR($B$2:$B$7,0.1)</f>
        <v>8.7828273849846816E-2</v>
      </c>
      <c r="C11" s="35">
        <v>0.05</v>
      </c>
      <c r="E11" s="1">
        <v>0.17</v>
      </c>
      <c r="F11" s="5">
        <f t="shared" si="0"/>
        <v>3.8929341469089707</v>
      </c>
      <c r="G11" s="4">
        <f t="shared" si="1"/>
        <v>3.8929341469089707</v>
      </c>
      <c r="R11" s="2"/>
    </row>
    <row r="12" spans="1:18" x14ac:dyDescent="0.3">
      <c r="A12" t="s">
        <v>50</v>
      </c>
      <c r="B12" s="1">
        <f>IRR($B$2:$B$7,C11)</f>
        <v>8.7828273849823946E-2</v>
      </c>
      <c r="C12" s="35">
        <v>0.1</v>
      </c>
      <c r="E12" s="1">
        <v>0.19</v>
      </c>
      <c r="F12" s="5">
        <f t="shared" si="0"/>
        <v>3.6199748845533577</v>
      </c>
      <c r="G12" s="4">
        <f t="shared" si="1"/>
        <v>3.6199748845533577</v>
      </c>
      <c r="R12" s="2"/>
    </row>
    <row r="13" spans="1:18" x14ac:dyDescent="0.3">
      <c r="A13" t="s">
        <v>91</v>
      </c>
      <c r="B13" s="1">
        <f t="shared" ref="B13:B30" si="2">IRR($B$2:$B$7,C12)</f>
        <v>8.7828273849846816E-2</v>
      </c>
      <c r="C13" s="35">
        <v>0.15</v>
      </c>
      <c r="E13" s="1">
        <v>0.21</v>
      </c>
      <c r="F13" s="5">
        <f t="shared" si="0"/>
        <v>3.0197000689104811</v>
      </c>
      <c r="G13" s="4">
        <f t="shared" si="1"/>
        <v>3.0197000689104811</v>
      </c>
      <c r="R13" s="2"/>
    </row>
    <row r="14" spans="1:18" x14ac:dyDescent="0.3">
      <c r="A14" t="s">
        <v>92</v>
      </c>
      <c r="B14" s="1">
        <f t="shared" si="2"/>
        <v>8.7828273850222516E-2</v>
      </c>
      <c r="C14" s="35">
        <v>0.2</v>
      </c>
      <c r="E14" s="1">
        <v>0.23</v>
      </c>
      <c r="F14" s="5">
        <f t="shared" si="0"/>
        <v>2.1468421032236336</v>
      </c>
      <c r="G14" s="4">
        <f t="shared" si="1"/>
        <v>2.1468421032236336</v>
      </c>
      <c r="R14" s="2"/>
    </row>
    <row r="15" spans="1:18" x14ac:dyDescent="0.3">
      <c r="A15" t="s">
        <v>93</v>
      </c>
      <c r="B15" s="1">
        <f t="shared" si="2"/>
        <v>0.26649500716768304</v>
      </c>
      <c r="C15" s="35">
        <v>0.25</v>
      </c>
      <c r="E15" s="1">
        <v>0.25</v>
      </c>
      <c r="F15" s="5">
        <f t="shared" si="0"/>
        <v>1.0480000000000018</v>
      </c>
      <c r="G15" s="4">
        <f t="shared" si="1"/>
        <v>1.0480000000000018</v>
      </c>
      <c r="R15" s="2"/>
    </row>
    <row r="16" spans="1:18" x14ac:dyDescent="0.3">
      <c r="A16" t="s">
        <v>94</v>
      </c>
      <c r="B16" s="1">
        <f t="shared" si="2"/>
        <v>0.26649500716766816</v>
      </c>
      <c r="C16" s="35">
        <v>0.3</v>
      </c>
      <c r="E16" s="1">
        <v>0.27</v>
      </c>
      <c r="F16" s="5">
        <f t="shared" si="0"/>
        <v>-0.237122901511583</v>
      </c>
      <c r="G16" s="4">
        <f t="shared" si="1"/>
        <v>-0.237122901511583</v>
      </c>
      <c r="R16" s="2"/>
    </row>
    <row r="17" spans="1:7" x14ac:dyDescent="0.3">
      <c r="A17" t="s">
        <v>95</v>
      </c>
      <c r="B17" s="1">
        <f t="shared" si="2"/>
        <v>0.266495007167735</v>
      </c>
      <c r="C17" s="35">
        <v>0.35</v>
      </c>
      <c r="E17" s="1">
        <v>0.28999999999999998</v>
      </c>
      <c r="F17" s="5">
        <f t="shared" si="0"/>
        <v>-1.674679971151761</v>
      </c>
      <c r="G17" s="4">
        <f t="shared" si="1"/>
        <v>-1.674679971151761</v>
      </c>
    </row>
    <row r="18" spans="1:7" x14ac:dyDescent="0.3">
      <c r="A18" t="s">
        <v>96</v>
      </c>
      <c r="B18" s="1">
        <f t="shared" si="2"/>
        <v>0.26649500716767038</v>
      </c>
      <c r="C18" s="35">
        <v>0.4</v>
      </c>
      <c r="E18" s="1">
        <v>0.31</v>
      </c>
      <c r="F18" s="5">
        <f t="shared" si="0"/>
        <v>-3.2358071743379071</v>
      </c>
      <c r="G18" s="4">
        <f t="shared" si="1"/>
        <v>-3.2358071743379071</v>
      </c>
    </row>
    <row r="19" spans="1:7" x14ac:dyDescent="0.3">
      <c r="A19" t="s">
        <v>97</v>
      </c>
      <c r="B19" s="1">
        <f t="shared" si="2"/>
        <v>0.26649500716825947</v>
      </c>
      <c r="C19" s="35">
        <v>0.45</v>
      </c>
      <c r="E19" s="1">
        <v>0.33</v>
      </c>
      <c r="F19" s="5">
        <f t="shared" si="0"/>
        <v>-4.895886047904952</v>
      </c>
      <c r="G19" s="4">
        <f t="shared" si="1"/>
        <v>-4.895886047904952</v>
      </c>
    </row>
    <row r="20" spans="1:7" x14ac:dyDescent="0.3">
      <c r="A20" t="s">
        <v>98</v>
      </c>
      <c r="B20" s="1">
        <f t="shared" si="2"/>
        <v>0.26649500718340047</v>
      </c>
      <c r="C20" s="35">
        <v>0.5</v>
      </c>
      <c r="D20" s="1"/>
      <c r="E20" s="1">
        <v>0.35</v>
      </c>
      <c r="F20" s="5">
        <f t="shared" si="0"/>
        <v>-6.6339209669419574</v>
      </c>
      <c r="G20" s="4">
        <f t="shared" si="1"/>
        <v>-6.6339209669419574</v>
      </c>
    </row>
    <row r="21" spans="1:7" x14ac:dyDescent="0.3">
      <c r="A21" t="s">
        <v>99</v>
      </c>
      <c r="B21" s="1">
        <f t="shared" si="2"/>
        <v>0.26649500716766861</v>
      </c>
      <c r="C21" s="35">
        <v>0.55000000000000004</v>
      </c>
      <c r="D21" s="1"/>
      <c r="E21" s="1">
        <v>0.37</v>
      </c>
      <c r="F21" s="5">
        <f t="shared" si="0"/>
        <v>-8.4320119275385252</v>
      </c>
      <c r="G21" s="4">
        <f t="shared" si="1"/>
        <v>-8.4320119275385252</v>
      </c>
    </row>
    <row r="22" spans="1:7" x14ac:dyDescent="0.3">
      <c r="A22" t="s">
        <v>100</v>
      </c>
      <c r="B22" s="1">
        <f t="shared" si="2"/>
        <v>0.26649500716767038</v>
      </c>
      <c r="C22" s="35">
        <v>0.6</v>
      </c>
      <c r="D22" s="1"/>
      <c r="E22" s="1">
        <v>0.39</v>
      </c>
      <c r="F22" s="5">
        <f t="shared" si="0"/>
        <v>-10.274907341794687</v>
      </c>
      <c r="G22" s="4">
        <f t="shared" si="1"/>
        <v>-10.274907341794687</v>
      </c>
    </row>
    <row r="23" spans="1:7" x14ac:dyDescent="0.3">
      <c r="A23" t="s">
        <v>101</v>
      </c>
      <c r="B23" s="1">
        <f t="shared" si="2"/>
        <v>0.26649500716767816</v>
      </c>
      <c r="C23" s="35">
        <v>0.65</v>
      </c>
      <c r="D23" s="1"/>
      <c r="E23" s="1">
        <v>0.41</v>
      </c>
      <c r="F23" s="5">
        <f t="shared" si="0"/>
        <v>-12.149624009374463</v>
      </c>
      <c r="G23" s="4">
        <f t="shared" si="1"/>
        <v>-12.149624009374463</v>
      </c>
    </row>
    <row r="24" spans="1:7" x14ac:dyDescent="0.3">
      <c r="A24" t="s">
        <v>102</v>
      </c>
      <c r="B24" s="1">
        <f t="shared" si="2"/>
        <v>0.2664950071676977</v>
      </c>
      <c r="C24" s="35">
        <v>0.7</v>
      </c>
      <c r="D24" s="1"/>
      <c r="E24" s="1">
        <v>0.43</v>
      </c>
      <c r="F24" s="5">
        <f t="shared" si="0"/>
        <v>-14.045123611838363</v>
      </c>
      <c r="G24" s="4">
        <f t="shared" si="1"/>
        <v>-14.045123611838363</v>
      </c>
    </row>
    <row r="25" spans="1:7" x14ac:dyDescent="0.3">
      <c r="A25" t="s">
        <v>103</v>
      </c>
      <c r="B25" s="1">
        <f t="shared" si="2"/>
        <v>0.26649500716773122</v>
      </c>
      <c r="C25" s="35">
        <v>0.75</v>
      </c>
      <c r="D25" s="1"/>
      <c r="E25" s="1">
        <v>0.45</v>
      </c>
      <c r="F25" s="5">
        <f t="shared" si="0"/>
        <v>-15.952036865414016</v>
      </c>
      <c r="G25" s="4">
        <f t="shared" si="1"/>
        <v>-15.952036865414016</v>
      </c>
    </row>
    <row r="26" spans="1:7" x14ac:dyDescent="0.3">
      <c r="A26" t="s">
        <v>104</v>
      </c>
      <c r="B26" s="1">
        <f t="shared" si="2"/>
        <v>0.26649500716777386</v>
      </c>
      <c r="C26" s="35">
        <v>0.8</v>
      </c>
      <c r="D26" s="1"/>
      <c r="E26" s="1">
        <v>0.47</v>
      </c>
      <c r="F26" s="5">
        <f t="shared" si="0"/>
        <v>-17.862427939295756</v>
      </c>
      <c r="G26" s="4">
        <f t="shared" si="1"/>
        <v>-17.862427939295756</v>
      </c>
    </row>
    <row r="27" spans="1:7" x14ac:dyDescent="0.3">
      <c r="A27" t="s">
        <v>105</v>
      </c>
      <c r="B27" s="1">
        <f t="shared" si="2"/>
        <v>0.26649500716781294</v>
      </c>
      <c r="C27" s="35">
        <v>0.85</v>
      </c>
      <c r="D27" s="1"/>
      <c r="E27" s="1">
        <v>0.49</v>
      </c>
      <c r="F27" s="5">
        <f t="shared" si="0"/>
        <v>-19.769592959640377</v>
      </c>
      <c r="G27" s="4">
        <f t="shared" si="1"/>
        <v>-19.769592959640377</v>
      </c>
    </row>
    <row r="28" spans="1:7" x14ac:dyDescent="0.3">
      <c r="A28" t="s">
        <v>106</v>
      </c>
      <c r="B28" s="1">
        <f t="shared" si="2"/>
        <v>0.26649500716783603</v>
      </c>
      <c r="C28" s="35">
        <v>0.9</v>
      </c>
      <c r="D28" s="1"/>
      <c r="E28" s="1">
        <v>0.51</v>
      </c>
      <c r="F28" s="5">
        <f t="shared" si="0"/>
        <v>-21.667887422027931</v>
      </c>
      <c r="G28" s="4">
        <f t="shared" si="1"/>
        <v>-21.667887422027931</v>
      </c>
    </row>
    <row r="29" spans="1:7" x14ac:dyDescent="0.3">
      <c r="A29" t="s">
        <v>107</v>
      </c>
      <c r="B29" s="1">
        <f t="shared" si="2"/>
        <v>0.26649500716783692</v>
      </c>
      <c r="C29" s="35">
        <v>0.95</v>
      </c>
      <c r="D29" s="1"/>
      <c r="E29" s="1">
        <v>0.53</v>
      </c>
      <c r="F29" s="5">
        <f t="shared" si="0"/>
        <v>-23.552578165804775</v>
      </c>
      <c r="G29" s="4">
        <f t="shared" si="1"/>
        <v>-23.552578165804775</v>
      </c>
    </row>
    <row r="30" spans="1:7" x14ac:dyDescent="0.3">
      <c r="A30" t="s">
        <v>108</v>
      </c>
      <c r="B30" s="1">
        <f t="shared" si="2"/>
        <v>0.26649500716781671</v>
      </c>
      <c r="C30">
        <v>1</v>
      </c>
      <c r="D30" s="1"/>
      <c r="E30" s="1">
        <v>0.55000000000000004</v>
      </c>
      <c r="F30" s="5">
        <f t="shared" si="0"/>
        <v>-25.419716253548714</v>
      </c>
      <c r="G30" s="4">
        <f t="shared" si="1"/>
        <v>-25.419716253548714</v>
      </c>
    </row>
    <row r="31" spans="1:7" x14ac:dyDescent="0.3">
      <c r="D31" s="1"/>
      <c r="E31" s="1">
        <v>0.56999999999999995</v>
      </c>
      <c r="F31" s="5">
        <f t="shared" si="0"/>
        <v>-27.26602767306548</v>
      </c>
      <c r="G31" s="4">
        <f t="shared" si="1"/>
        <v>-27.26602767306548</v>
      </c>
    </row>
    <row r="32" spans="1:7" x14ac:dyDescent="0.3">
      <c r="D32" s="1"/>
      <c r="E32" s="1">
        <v>0.59</v>
      </c>
      <c r="F32" s="5">
        <f t="shared" si="0"/>
        <v>-29.088819258304127</v>
      </c>
      <c r="G32" s="4">
        <f t="shared" si="1"/>
        <v>-29.088819258304127</v>
      </c>
    </row>
    <row r="33" spans="4:7" x14ac:dyDescent="0.3">
      <c r="D33" s="1"/>
      <c r="E33" s="1">
        <v>0.61</v>
      </c>
      <c r="F33" s="5">
        <f t="shared" si="0"/>
        <v>-30.885897625999164</v>
      </c>
      <c r="G33" s="4">
        <f t="shared" si="1"/>
        <v>-30.885897625999164</v>
      </c>
    </row>
    <row r="34" spans="4:7" x14ac:dyDescent="0.3">
      <c r="E34" s="1">
        <v>0.63</v>
      </c>
      <c r="F34" s="5">
        <f t="shared" si="0"/>
        <v>-32.655499260298868</v>
      </c>
      <c r="G34" s="4">
        <f t="shared" si="1"/>
        <v>-32.655499260298868</v>
      </c>
    </row>
    <row r="35" spans="4:7" x14ac:dyDescent="0.3">
      <c r="E35" s="1">
        <v>0.65</v>
      </c>
      <c r="F35" s="5">
        <f t="shared" si="0"/>
        <v>-34.396230159232076</v>
      </c>
      <c r="G35" s="4">
        <f t="shared" si="1"/>
        <v>-34.396230159232076</v>
      </c>
    </row>
    <row r="36" spans="4:7" x14ac:dyDescent="0.3">
      <c r="E36" s="1">
        <v>0.67</v>
      </c>
      <c r="F36" s="5">
        <f t="shared" si="0"/>
        <v>-36.107013693709007</v>
      </c>
      <c r="G36" s="4">
        <f t="shared" si="1"/>
        <v>-36.107013693709007</v>
      </c>
    </row>
    <row r="37" spans="4:7" x14ac:dyDescent="0.3">
      <c r="E37" s="1">
        <v>0.69</v>
      </c>
      <c r="F37" s="5">
        <f t="shared" si="0"/>
        <v>-37.787045529345022</v>
      </c>
      <c r="G37" s="4">
        <f t="shared" si="1"/>
        <v>-37.787045529345022</v>
      </c>
    </row>
    <row r="38" spans="4:7" x14ac:dyDescent="0.3">
      <c r="E38" s="1">
        <v>0.71</v>
      </c>
      <c r="F38" s="5">
        <f t="shared" si="0"/>
        <v>-39.435754629902263</v>
      </c>
      <c r="G38" s="4">
        <f t="shared" si="1"/>
        <v>-39.435754629902263</v>
      </c>
    </row>
    <row r="39" spans="4:7" x14ac:dyDescent="0.3">
      <c r="E39" s="1">
        <v>0.73</v>
      </c>
      <c r="F39" s="5">
        <f t="shared" si="0"/>
        <v>-41.052769503666653</v>
      </c>
      <c r="G39" s="4">
        <f t="shared" si="1"/>
        <v>-41.052769503666653</v>
      </c>
    </row>
    <row r="40" spans="4:7" x14ac:dyDescent="0.3">
      <c r="E40" s="1">
        <v>0.75</v>
      </c>
      <c r="F40" s="5">
        <f t="shared" si="0"/>
        <v>-42.63788897483191</v>
      </c>
      <c r="G40" s="4">
        <f t="shared" si="1"/>
        <v>-42.63788897483191</v>
      </c>
    </row>
    <row r="41" spans="4:7" x14ac:dyDescent="0.3">
      <c r="E41" s="1">
        <v>0.77</v>
      </c>
      <c r="F41" s="5">
        <f t="shared" si="0"/>
        <v>-44.1910568644482</v>
      </c>
      <c r="G41" s="4">
        <f t="shared" si="1"/>
        <v>-44.1910568644482</v>
      </c>
    </row>
    <row r="42" spans="4:7" x14ac:dyDescent="0.3">
      <c r="E42" s="1">
        <v>0.79</v>
      </c>
      <c r="F42" s="5">
        <f t="shared" si="0"/>
        <v>-45.712340052615644</v>
      </c>
      <c r="G42" s="4">
        <f t="shared" si="1"/>
        <v>-45.712340052615644</v>
      </c>
    </row>
    <row r="43" spans="4:7" x14ac:dyDescent="0.3">
      <c r="E43" s="1">
        <v>0.81</v>
      </c>
      <c r="F43" s="5">
        <f t="shared" si="0"/>
        <v>-47.20190946778699</v>
      </c>
      <c r="G43" s="4">
        <f t="shared" si="1"/>
        <v>-47.20190946778699</v>
      </c>
    </row>
    <row r="44" spans="4:7" x14ac:dyDescent="0.3">
      <c r="E44" s="1">
        <v>0.83</v>
      </c>
      <c r="F44" s="5">
        <f t="shared" si="0"/>
        <v>-48.660023612306532</v>
      </c>
      <c r="G44" s="4">
        <f t="shared" si="1"/>
        <v>-48.660023612306532</v>
      </c>
    </row>
    <row r="45" spans="4:7" x14ac:dyDescent="0.3">
      <c r="E45" s="1">
        <v>0.85</v>
      </c>
      <c r="F45" s="5">
        <f t="shared" si="0"/>
        <v>-50.087014287344459</v>
      </c>
      <c r="G45" s="4">
        <f t="shared" si="1"/>
        <v>-50.087014287344459</v>
      </c>
    </row>
    <row r="46" spans="4:7" x14ac:dyDescent="0.3">
      <c r="E46" s="1">
        <v>0.87</v>
      </c>
      <c r="F46" s="5">
        <f t="shared" si="0"/>
        <v>-51.483274226601125</v>
      </c>
      <c r="G46" s="4">
        <f t="shared" si="1"/>
        <v>-51.483274226601125</v>
      </c>
    </row>
    <row r="47" spans="4:7" x14ac:dyDescent="0.3">
      <c r="E47" s="1">
        <v>0.89</v>
      </c>
      <c r="F47" s="5">
        <f t="shared" si="0"/>
        <v>-52.849246387741857</v>
      </c>
      <c r="G47" s="4">
        <f t="shared" si="1"/>
        <v>-52.849246387741857</v>
      </c>
    </row>
    <row r="48" spans="4:7" x14ac:dyDescent="0.3">
      <c r="E48" s="1">
        <v>0.91</v>
      </c>
      <c r="F48" s="5">
        <f t="shared" si="0"/>
        <v>-54.185414684477379</v>
      </c>
      <c r="G48" s="4">
        <f t="shared" si="1"/>
        <v>-54.185414684477379</v>
      </c>
    </row>
    <row r="49" spans="5:7" x14ac:dyDescent="0.3">
      <c r="E49" s="1">
        <v>0.93</v>
      </c>
      <c r="F49" s="5">
        <f t="shared" si="0"/>
        <v>-55.492295971367071</v>
      </c>
      <c r="G49" s="4">
        <f t="shared" si="1"/>
        <v>-55.492295971367071</v>
      </c>
    </row>
    <row r="50" spans="5:7" x14ac:dyDescent="0.3">
      <c r="E50" s="1">
        <v>0.95</v>
      </c>
      <c r="F50" s="5">
        <f t="shared" si="0"/>
        <v>-56.770433118502936</v>
      </c>
      <c r="G50" s="4">
        <f t="shared" si="1"/>
        <v>-56.770433118502936</v>
      </c>
    </row>
    <row r="51" spans="5:7" x14ac:dyDescent="0.3">
      <c r="E51" s="1">
        <v>0.97</v>
      </c>
      <c r="F51" s="5">
        <f t="shared" si="0"/>
        <v>-58.020389034827488</v>
      </c>
      <c r="G51" s="4">
        <f t="shared" si="1"/>
        <v>-58.020389034827488</v>
      </c>
    </row>
    <row r="52" spans="5:7" x14ac:dyDescent="0.3">
      <c r="E52" s="1">
        <v>0.99</v>
      </c>
      <c r="F52" s="5">
        <f t="shared" si="0"/>
        <v>-59.242741517457404</v>
      </c>
      <c r="G52" s="4">
        <f t="shared" si="1"/>
        <v>-59.242741517457404</v>
      </c>
    </row>
    <row r="53" spans="5:7" x14ac:dyDescent="0.3">
      <c r="E53" s="1">
        <v>1.01</v>
      </c>
      <c r="F53" s="5">
        <f t="shared" si="0"/>
        <v>-60.438078820455232</v>
      </c>
      <c r="G53" s="4">
        <f t="shared" si="1"/>
        <v>-60.438078820455232</v>
      </c>
    </row>
  </sheetData>
  <phoneticPr fontId="6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8AD1A-A372-48AC-8AF6-DD01CA5887A1}">
  <dimension ref="A1:D12"/>
  <sheetViews>
    <sheetView topLeftCell="A4" zoomScale="210" zoomScaleNormal="210" workbookViewId="0">
      <selection activeCell="C11" sqref="C11"/>
    </sheetView>
  </sheetViews>
  <sheetFormatPr defaultRowHeight="14.4" x14ac:dyDescent="0.3"/>
  <cols>
    <col min="1" max="1" width="14.5546875" bestFit="1" customWidth="1"/>
    <col min="2" max="3" width="20.33203125" bestFit="1" customWidth="1"/>
  </cols>
  <sheetData>
    <row r="1" spans="1:4" x14ac:dyDescent="0.3">
      <c r="A1" t="s">
        <v>17</v>
      </c>
      <c r="B1" s="1">
        <v>0.12</v>
      </c>
      <c r="C1" t="s">
        <v>54</v>
      </c>
      <c r="D1" s="1">
        <v>0.1</v>
      </c>
    </row>
    <row r="3" spans="1:4" x14ac:dyDescent="0.3">
      <c r="A3" t="s">
        <v>18</v>
      </c>
      <c r="B3" t="s">
        <v>19</v>
      </c>
      <c r="C3" t="s">
        <v>20</v>
      </c>
    </row>
    <row r="4" spans="1:4" x14ac:dyDescent="0.3">
      <c r="A4">
        <v>0</v>
      </c>
      <c r="B4">
        <v>-5000</v>
      </c>
      <c r="C4">
        <v>-5000</v>
      </c>
    </row>
    <row r="5" spans="1:4" x14ac:dyDescent="0.3">
      <c r="A5">
        <v>1</v>
      </c>
      <c r="B5">
        <v>3800</v>
      </c>
      <c r="C5">
        <v>1000</v>
      </c>
    </row>
    <row r="6" spans="1:4" x14ac:dyDescent="0.3">
      <c r="A6">
        <v>2</v>
      </c>
      <c r="B6">
        <v>1200</v>
      </c>
      <c r="C6">
        <v>1250</v>
      </c>
    </row>
    <row r="7" spans="1:4" x14ac:dyDescent="0.3">
      <c r="A7">
        <v>3</v>
      </c>
      <c r="B7">
        <v>950</v>
      </c>
      <c r="C7">
        <v>1600</v>
      </c>
    </row>
    <row r="8" spans="1:4" x14ac:dyDescent="0.3">
      <c r="A8">
        <v>4</v>
      </c>
      <c r="B8">
        <v>500</v>
      </c>
      <c r="C8">
        <v>1850</v>
      </c>
    </row>
    <row r="9" spans="1:4" x14ac:dyDescent="0.3">
      <c r="A9">
        <v>5</v>
      </c>
      <c r="B9">
        <v>300</v>
      </c>
      <c r="C9">
        <v>2600</v>
      </c>
    </row>
    <row r="10" spans="1:4" x14ac:dyDescent="0.3">
      <c r="A10" t="s">
        <v>21</v>
      </c>
      <c r="B10" s="1">
        <f>MIRR(B4:B9,B1,D1)</f>
        <v>0.12872397239176858</v>
      </c>
      <c r="C10" s="1">
        <f>MIRR(C4:C9,B1,D1)</f>
        <v>0.14169486483791482</v>
      </c>
    </row>
    <row r="12" spans="1:4" x14ac:dyDescent="0.3">
      <c r="B12" s="1"/>
      <c r="C12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4E823-1847-4B66-BCDB-0228AC7D0AE6}">
  <dimension ref="A1:K58"/>
  <sheetViews>
    <sheetView zoomScale="115" zoomScaleNormal="115" workbookViewId="0">
      <selection activeCell="C12" sqref="C12"/>
    </sheetView>
  </sheetViews>
  <sheetFormatPr defaultRowHeight="14.4" x14ac:dyDescent="0.3"/>
  <cols>
    <col min="1" max="1" width="14.5546875" style="26" bestFit="1" customWidth="1"/>
    <col min="2" max="3" width="20.33203125" bestFit="1" customWidth="1"/>
    <col min="10" max="11" width="9.5546875" bestFit="1" customWidth="1"/>
  </cols>
  <sheetData>
    <row r="1" spans="1:4" x14ac:dyDescent="0.3">
      <c r="A1" t="s">
        <v>17</v>
      </c>
      <c r="B1" s="1">
        <v>0.12</v>
      </c>
    </row>
    <row r="2" spans="1:4" x14ac:dyDescent="0.3">
      <c r="A2"/>
    </row>
    <row r="3" spans="1:4" x14ac:dyDescent="0.3">
      <c r="A3" t="s">
        <v>18</v>
      </c>
      <c r="B3" t="s">
        <v>19</v>
      </c>
      <c r="C3" t="s">
        <v>20</v>
      </c>
      <c r="D3" t="s">
        <v>51</v>
      </c>
    </row>
    <row r="4" spans="1:4" x14ac:dyDescent="0.3">
      <c r="A4">
        <v>0</v>
      </c>
      <c r="B4">
        <v>-5000</v>
      </c>
      <c r="C4">
        <v>-5000</v>
      </c>
      <c r="D4">
        <f>B4-C4</f>
        <v>0</v>
      </c>
    </row>
    <row r="5" spans="1:4" x14ac:dyDescent="0.3">
      <c r="A5">
        <v>1</v>
      </c>
      <c r="B5">
        <v>3800</v>
      </c>
      <c r="C5">
        <v>1000</v>
      </c>
      <c r="D5">
        <f t="shared" ref="D5:D9" si="0">B5-C5</f>
        <v>2800</v>
      </c>
    </row>
    <row r="6" spans="1:4" x14ac:dyDescent="0.3">
      <c r="A6">
        <v>2</v>
      </c>
      <c r="B6">
        <v>1200</v>
      </c>
      <c r="C6">
        <v>1250</v>
      </c>
      <c r="D6">
        <f t="shared" si="0"/>
        <v>-50</v>
      </c>
    </row>
    <row r="7" spans="1:4" x14ac:dyDescent="0.3">
      <c r="A7">
        <v>3</v>
      </c>
      <c r="B7">
        <v>950</v>
      </c>
      <c r="C7">
        <v>1600</v>
      </c>
      <c r="D7">
        <f t="shared" si="0"/>
        <v>-650</v>
      </c>
    </row>
    <row r="8" spans="1:4" x14ac:dyDescent="0.3">
      <c r="A8">
        <v>4</v>
      </c>
      <c r="B8">
        <v>500</v>
      </c>
      <c r="C8">
        <v>1850</v>
      </c>
      <c r="D8">
        <f t="shared" si="0"/>
        <v>-1350</v>
      </c>
    </row>
    <row r="9" spans="1:4" x14ac:dyDescent="0.3">
      <c r="A9">
        <v>5</v>
      </c>
      <c r="B9">
        <v>300</v>
      </c>
      <c r="C9">
        <v>2600</v>
      </c>
      <c r="D9">
        <f t="shared" si="0"/>
        <v>-2300</v>
      </c>
    </row>
    <row r="10" spans="1:4" x14ac:dyDescent="0.3">
      <c r="A10" t="s">
        <v>4</v>
      </c>
      <c r="B10" s="5">
        <f>NPV(B1,B5:B9)</f>
        <v>5513.6681272591022</v>
      </c>
      <c r="C10" s="5">
        <f>NPV(C1,C5:C9)</f>
        <v>8300</v>
      </c>
    </row>
    <row r="11" spans="1:4" x14ac:dyDescent="0.3">
      <c r="A11" t="s">
        <v>8</v>
      </c>
      <c r="B11" s="1"/>
      <c r="C11" s="1"/>
    </row>
    <row r="12" spans="1:4" x14ac:dyDescent="0.3">
      <c r="A12" t="s">
        <v>21</v>
      </c>
      <c r="B12" s="1"/>
      <c r="C12" s="1"/>
    </row>
    <row r="13" spans="1:4" x14ac:dyDescent="0.3">
      <c r="A13" t="s">
        <v>22</v>
      </c>
      <c r="B13" s="1">
        <f>IRR(D4:D9)</f>
        <v>0.14211073812798025</v>
      </c>
    </row>
    <row r="14" spans="1:4" x14ac:dyDescent="0.3">
      <c r="A14"/>
    </row>
    <row r="15" spans="1:4" x14ac:dyDescent="0.3">
      <c r="A15" t="s">
        <v>23</v>
      </c>
      <c r="B15" t="s">
        <v>55</v>
      </c>
      <c r="C15" t="s">
        <v>56</v>
      </c>
    </row>
    <row r="16" spans="1:4" x14ac:dyDescent="0.3">
      <c r="A16" s="1">
        <v>0</v>
      </c>
      <c r="B16" s="5">
        <f>NPV(A16,$B$5:$B$9)+$B$4</f>
        <v>1750</v>
      </c>
      <c r="C16" s="5">
        <f>NPV(A16,$C$5:$C$9)+$C$4</f>
        <v>3300</v>
      </c>
    </row>
    <row r="17" spans="1:3" x14ac:dyDescent="0.3">
      <c r="A17" s="1">
        <v>0.02</v>
      </c>
      <c r="B17" s="5">
        <f t="shared" ref="B17:B31" si="1">NPV(A17,$B$5:$B$9)+$B$4</f>
        <v>1507.7409073459376</v>
      </c>
      <c r="C17" s="5">
        <f t="shared" ref="C17:C31" si="2">NPV(A17,$C$5:$C$9)+$C$4</f>
        <v>2753.5830123923306</v>
      </c>
    </row>
    <row r="18" spans="1:3" x14ac:dyDescent="0.3">
      <c r="A18" s="1">
        <v>0.04</v>
      </c>
      <c r="B18" s="5">
        <f t="shared" si="1"/>
        <v>1281.8403777474932</v>
      </c>
      <c r="C18" s="5">
        <f t="shared" si="2"/>
        <v>2258.0261326634218</v>
      </c>
    </row>
    <row r="19" spans="1:3" x14ac:dyDescent="0.3">
      <c r="A19" s="1">
        <v>0.06</v>
      </c>
      <c r="B19" s="5">
        <f t="shared" si="1"/>
        <v>1070.7639907539606</v>
      </c>
      <c r="C19" s="5">
        <f t="shared" si="2"/>
        <v>1807.5271557266633</v>
      </c>
    </row>
    <row r="20" spans="1:3" x14ac:dyDescent="0.3">
      <c r="A20" s="1">
        <v>0.08</v>
      </c>
      <c r="B20" s="5">
        <f t="shared" si="1"/>
        <v>873.15561735817209</v>
      </c>
      <c r="C20" s="5">
        <f t="shared" si="2"/>
        <v>1397.0525768966227</v>
      </c>
    </row>
    <row r="21" spans="1:3" x14ac:dyDescent="0.3">
      <c r="A21" s="1">
        <v>0.1</v>
      </c>
      <c r="B21" s="5">
        <f t="shared" si="1"/>
        <v>687.8131771923172</v>
      </c>
      <c r="C21" s="5">
        <f t="shared" si="2"/>
        <v>1022.2227741522847</v>
      </c>
    </row>
    <row r="22" spans="1:3" x14ac:dyDescent="0.3">
      <c r="A22" s="1">
        <v>0.12</v>
      </c>
      <c r="B22" s="5">
        <f t="shared" si="1"/>
        <v>513.66812725910222</v>
      </c>
      <c r="C22" s="5">
        <f t="shared" si="2"/>
        <v>679.21615621467117</v>
      </c>
    </row>
    <row r="23" spans="1:3" x14ac:dyDescent="0.3">
      <c r="A23" s="1">
        <v>0.14000000000000001</v>
      </c>
      <c r="B23" s="5">
        <f t="shared" si="1"/>
        <v>349.76804588264622</v>
      </c>
      <c r="C23" s="5">
        <f t="shared" si="2"/>
        <v>364.68885943761052</v>
      </c>
    </row>
    <row r="24" spans="1:3" x14ac:dyDescent="0.3">
      <c r="A24" s="1">
        <v>0.16</v>
      </c>
      <c r="B24" s="5">
        <f t="shared" si="1"/>
        <v>195.26179396385851</v>
      </c>
      <c r="C24" s="5">
        <f t="shared" si="2"/>
        <v>75.70724097416587</v>
      </c>
    </row>
    <row r="25" spans="1:3" x14ac:dyDescent="0.3">
      <c r="A25" s="1">
        <v>0.18</v>
      </c>
      <c r="B25" s="5">
        <f t="shared" si="1"/>
        <v>49.386830255157292</v>
      </c>
      <c r="C25" s="5">
        <f t="shared" si="2"/>
        <v>-190.30905816225277</v>
      </c>
    </row>
    <row r="26" spans="1:3" x14ac:dyDescent="0.3">
      <c r="A26" s="1">
        <v>0.2</v>
      </c>
      <c r="B26" s="5">
        <f t="shared" si="1"/>
        <v>-88.54166666666606</v>
      </c>
      <c r="C26" s="5">
        <f t="shared" si="2"/>
        <v>-435.63528806584327</v>
      </c>
    </row>
    <row r="27" spans="1:3" x14ac:dyDescent="0.3">
      <c r="A27" s="1">
        <v>0.22</v>
      </c>
      <c r="B27" s="5">
        <f t="shared" si="1"/>
        <v>-219.14015581273543</v>
      </c>
      <c r="C27" s="5">
        <f t="shared" si="2"/>
        <v>-662.28247665507934</v>
      </c>
    </row>
    <row r="28" spans="1:3" x14ac:dyDescent="0.3">
      <c r="A28" s="1">
        <v>0.24</v>
      </c>
      <c r="B28" s="5">
        <f t="shared" si="1"/>
        <v>-342.96480709469779</v>
      </c>
      <c r="C28" s="5">
        <f t="shared" si="2"/>
        <v>-872.0322338584192</v>
      </c>
    </row>
    <row r="29" spans="1:3" x14ac:dyDescent="0.3">
      <c r="A29" s="1">
        <v>0.26</v>
      </c>
      <c r="B29" s="5">
        <f t="shared" si="1"/>
        <v>-460.51848677240832</v>
      </c>
      <c r="C29" s="5">
        <f t="shared" si="2"/>
        <v>-1066.466463236633</v>
      </c>
    </row>
    <row r="30" spans="1:3" x14ac:dyDescent="0.3">
      <c r="A30" s="1">
        <v>0.28000000000000003</v>
      </c>
      <c r="B30" s="5">
        <f t="shared" si="1"/>
        <v>-572.25681841373444</v>
      </c>
      <c r="C30" s="5">
        <f t="shared" si="2"/>
        <v>-1246.9927966594696</v>
      </c>
    </row>
    <row r="31" spans="1:3" x14ac:dyDescent="0.3">
      <c r="A31" s="1">
        <v>0.3</v>
      </c>
      <c r="B31" s="5">
        <f t="shared" si="1"/>
        <v>-678.59345584215225</v>
      </c>
      <c r="C31" s="5">
        <f t="shared" si="2"/>
        <v>-1414.8664262455804</v>
      </c>
    </row>
    <row r="32" spans="1:3" x14ac:dyDescent="0.3">
      <c r="B32" s="5"/>
      <c r="C32" s="5"/>
    </row>
    <row r="33" spans="2:11" x14ac:dyDescent="0.3">
      <c r="B33" s="5"/>
      <c r="C33" s="5"/>
    </row>
    <row r="34" spans="2:11" x14ac:dyDescent="0.3">
      <c r="B34" s="5"/>
      <c r="C34" s="5"/>
    </row>
    <row r="35" spans="2:11" x14ac:dyDescent="0.3">
      <c r="B35" s="5"/>
      <c r="C35" s="5"/>
    </row>
    <row r="36" spans="2:11" x14ac:dyDescent="0.3">
      <c r="B36" s="5"/>
      <c r="C36" s="5"/>
    </row>
    <row r="37" spans="2:11" x14ac:dyDescent="0.3">
      <c r="B37" s="5"/>
      <c r="C37" s="5"/>
    </row>
    <row r="38" spans="2:11" x14ac:dyDescent="0.3">
      <c r="B38" s="5"/>
      <c r="C38" s="5"/>
    </row>
    <row r="39" spans="2:11" x14ac:dyDescent="0.3">
      <c r="J39" s="27"/>
      <c r="K39" s="2"/>
    </row>
    <row r="40" spans="2:11" x14ac:dyDescent="0.3">
      <c r="J40" s="27"/>
      <c r="K40" s="2"/>
    </row>
    <row r="41" spans="2:11" x14ac:dyDescent="0.3">
      <c r="J41" s="27"/>
      <c r="K41" s="2"/>
    </row>
    <row r="42" spans="2:11" x14ac:dyDescent="0.3">
      <c r="B42" s="1"/>
      <c r="J42" s="27"/>
      <c r="K42" s="2"/>
    </row>
    <row r="43" spans="2:11" x14ac:dyDescent="0.3">
      <c r="J43" s="27"/>
      <c r="K43" s="2"/>
    </row>
    <row r="44" spans="2:11" x14ac:dyDescent="0.3">
      <c r="J44" s="27"/>
      <c r="K44" s="2"/>
    </row>
    <row r="45" spans="2:11" x14ac:dyDescent="0.3">
      <c r="J45" s="27"/>
      <c r="K45" s="2"/>
    </row>
    <row r="46" spans="2:11" x14ac:dyDescent="0.3">
      <c r="J46" s="27"/>
      <c r="K46" s="2"/>
    </row>
    <row r="47" spans="2:11" x14ac:dyDescent="0.3">
      <c r="J47" s="27"/>
      <c r="K47" s="2"/>
    </row>
    <row r="48" spans="2:11" x14ac:dyDescent="0.3">
      <c r="J48" s="27"/>
      <c r="K48" s="2"/>
    </row>
    <row r="49" spans="2:11" x14ac:dyDescent="0.3">
      <c r="J49" s="27"/>
      <c r="K49" s="2"/>
    </row>
    <row r="50" spans="2:11" x14ac:dyDescent="0.3">
      <c r="J50" s="27"/>
      <c r="K50" s="2"/>
    </row>
    <row r="51" spans="2:11" x14ac:dyDescent="0.3">
      <c r="B51" s="27"/>
      <c r="C51" s="27"/>
      <c r="J51" s="27"/>
      <c r="K51" s="2"/>
    </row>
    <row r="52" spans="2:11" x14ac:dyDescent="0.3">
      <c r="B52" s="1"/>
      <c r="C52" s="1"/>
      <c r="J52" s="27"/>
      <c r="K52" s="2"/>
    </row>
    <row r="53" spans="2:11" x14ac:dyDescent="0.3">
      <c r="B53" s="1"/>
      <c r="C53" s="1"/>
      <c r="J53" s="27"/>
      <c r="K53" s="2"/>
    </row>
    <row r="54" spans="2:11" x14ac:dyDescent="0.3">
      <c r="B54" s="1"/>
      <c r="J54" s="27"/>
      <c r="K54" s="2"/>
    </row>
    <row r="55" spans="2:11" x14ac:dyDescent="0.3">
      <c r="J55" s="27"/>
      <c r="K55" s="2"/>
    </row>
    <row r="56" spans="2:11" x14ac:dyDescent="0.3">
      <c r="J56" s="27"/>
      <c r="K56" s="2"/>
    </row>
    <row r="57" spans="2:11" x14ac:dyDescent="0.3">
      <c r="J57" s="27"/>
      <c r="K57" s="2"/>
    </row>
    <row r="58" spans="2:11" x14ac:dyDescent="0.3">
      <c r="J58" s="27"/>
      <c r="K58" s="2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B6D55-67AB-4C2D-A68F-9E29DB13894F}">
  <dimension ref="A1:K58"/>
  <sheetViews>
    <sheetView topLeftCell="A13" zoomScale="115" zoomScaleNormal="115" workbookViewId="0">
      <selection activeCell="A31" sqref="A31"/>
    </sheetView>
  </sheetViews>
  <sheetFormatPr defaultRowHeight="14.4" x14ac:dyDescent="0.3"/>
  <cols>
    <col min="1" max="1" width="14.5546875" style="26" bestFit="1" customWidth="1"/>
    <col min="2" max="3" width="20.33203125" bestFit="1" customWidth="1"/>
    <col min="10" max="11" width="9.5546875" bestFit="1" customWidth="1"/>
  </cols>
  <sheetData>
    <row r="1" spans="1:4" x14ac:dyDescent="0.3">
      <c r="A1" t="s">
        <v>17</v>
      </c>
      <c r="B1" s="1">
        <v>0.12</v>
      </c>
    </row>
    <row r="2" spans="1:4" x14ac:dyDescent="0.3">
      <c r="A2"/>
    </row>
    <row r="3" spans="1:4" x14ac:dyDescent="0.3">
      <c r="A3" t="s">
        <v>18</v>
      </c>
      <c r="B3" t="s">
        <v>19</v>
      </c>
      <c r="C3" t="s">
        <v>20</v>
      </c>
      <c r="D3" t="s">
        <v>51</v>
      </c>
    </row>
    <row r="4" spans="1:4" x14ac:dyDescent="0.3">
      <c r="A4">
        <v>0</v>
      </c>
      <c r="B4">
        <v>-5000</v>
      </c>
      <c r="C4">
        <v>-5000</v>
      </c>
      <c r="D4">
        <f>B4-C4</f>
        <v>0</v>
      </c>
    </row>
    <row r="5" spans="1:4" x14ac:dyDescent="0.3">
      <c r="A5">
        <v>1</v>
      </c>
      <c r="B5">
        <v>3800</v>
      </c>
      <c r="C5">
        <v>1000</v>
      </c>
      <c r="D5">
        <f t="shared" ref="D5:D9" si="0">B5-C5</f>
        <v>2800</v>
      </c>
    </row>
    <row r="6" spans="1:4" x14ac:dyDescent="0.3">
      <c r="A6">
        <v>2</v>
      </c>
      <c r="B6">
        <v>1200</v>
      </c>
      <c r="C6">
        <v>1250</v>
      </c>
      <c r="D6">
        <f t="shared" si="0"/>
        <v>-50</v>
      </c>
    </row>
    <row r="7" spans="1:4" x14ac:dyDescent="0.3">
      <c r="A7">
        <v>3</v>
      </c>
      <c r="B7">
        <v>950</v>
      </c>
      <c r="C7">
        <v>1600</v>
      </c>
      <c r="D7">
        <f t="shared" si="0"/>
        <v>-650</v>
      </c>
    </row>
    <row r="8" spans="1:4" x14ac:dyDescent="0.3">
      <c r="A8">
        <v>4</v>
      </c>
      <c r="B8">
        <v>500</v>
      </c>
      <c r="C8">
        <v>1850</v>
      </c>
      <c r="D8">
        <f t="shared" si="0"/>
        <v>-1350</v>
      </c>
    </row>
    <row r="9" spans="1:4" x14ac:dyDescent="0.3">
      <c r="A9">
        <v>5</v>
      </c>
      <c r="B9">
        <v>300</v>
      </c>
      <c r="C9">
        <v>2600</v>
      </c>
      <c r="D9">
        <f t="shared" si="0"/>
        <v>-2300</v>
      </c>
    </row>
    <row r="10" spans="1:4" x14ac:dyDescent="0.3">
      <c r="A10" t="s">
        <v>4</v>
      </c>
      <c r="B10" s="5">
        <f>NPV(B1,B5:B9)+B4</f>
        <v>513.66812725910222</v>
      </c>
      <c r="C10" s="5">
        <f>NPV(B1,C5:C9)+C4</f>
        <v>679.21615621467117</v>
      </c>
    </row>
    <row r="11" spans="1:4" x14ac:dyDescent="0.3">
      <c r="A11" t="s">
        <v>8</v>
      </c>
      <c r="B11" s="1">
        <f>IRR(B4:B9)</f>
        <v>0.18703464427675853</v>
      </c>
      <c r="C11" s="1">
        <f>IRR(C4:C9)</f>
        <v>0.16552695158757569</v>
      </c>
    </row>
    <row r="12" spans="1:4" x14ac:dyDescent="0.3">
      <c r="A12" t="s">
        <v>21</v>
      </c>
      <c r="B12" s="1">
        <f>MIRR(B4:B9,B1,B1)</f>
        <v>0.14212107701605881</v>
      </c>
      <c r="C12" s="1">
        <f>MIRR(C4:C9,B1,B1)</f>
        <v>0.1488986034574451</v>
      </c>
    </row>
    <row r="13" spans="1:4" x14ac:dyDescent="0.3">
      <c r="A13" t="s">
        <v>22</v>
      </c>
      <c r="B13" s="1">
        <f>IRR(D4:D9)</f>
        <v>0.14211073812798025</v>
      </c>
      <c r="C13" s="1"/>
    </row>
    <row r="14" spans="1:4" x14ac:dyDescent="0.3">
      <c r="A14"/>
    </row>
    <row r="15" spans="1:4" x14ac:dyDescent="0.3">
      <c r="A15" t="s">
        <v>23</v>
      </c>
      <c r="B15" t="s">
        <v>55</v>
      </c>
      <c r="C15" t="s">
        <v>56</v>
      </c>
    </row>
    <row r="16" spans="1:4" x14ac:dyDescent="0.3">
      <c r="A16" s="1">
        <v>0</v>
      </c>
      <c r="B16" s="5">
        <f>NPV(A16,$B$5:$B$9)+$B$4</f>
        <v>1750</v>
      </c>
      <c r="C16" s="5">
        <f>NPV(A16,$C$5:$C$9)+$C$4</f>
        <v>3300</v>
      </c>
    </row>
    <row r="17" spans="1:3" x14ac:dyDescent="0.3">
      <c r="A17" s="1">
        <v>0.02</v>
      </c>
      <c r="B17" s="5">
        <f t="shared" ref="B17:B31" si="1">NPV(A17,$B$5:$B$9)+$B$4</f>
        <v>1507.7409073459376</v>
      </c>
      <c r="C17" s="5">
        <f t="shared" ref="C17:C31" si="2">NPV(A17,$C$5:$C$9)+$C$4</f>
        <v>2753.5830123923306</v>
      </c>
    </row>
    <row r="18" spans="1:3" x14ac:dyDescent="0.3">
      <c r="A18" s="1">
        <v>0.04</v>
      </c>
      <c r="B18" s="5">
        <f t="shared" si="1"/>
        <v>1281.8403777474932</v>
      </c>
      <c r="C18" s="5">
        <f t="shared" si="2"/>
        <v>2258.0261326634218</v>
      </c>
    </row>
    <row r="19" spans="1:3" x14ac:dyDescent="0.3">
      <c r="A19" s="1">
        <v>0.06</v>
      </c>
      <c r="B19" s="5">
        <f t="shared" si="1"/>
        <v>1070.7639907539606</v>
      </c>
      <c r="C19" s="5">
        <f t="shared" si="2"/>
        <v>1807.5271557266633</v>
      </c>
    </row>
    <row r="20" spans="1:3" x14ac:dyDescent="0.3">
      <c r="A20" s="1">
        <v>0.08</v>
      </c>
      <c r="B20" s="5">
        <f t="shared" si="1"/>
        <v>873.15561735817209</v>
      </c>
      <c r="C20" s="5">
        <f t="shared" si="2"/>
        <v>1397.0525768966227</v>
      </c>
    </row>
    <row r="21" spans="1:3" x14ac:dyDescent="0.3">
      <c r="A21" s="1">
        <v>0.1</v>
      </c>
      <c r="B21" s="5">
        <f t="shared" si="1"/>
        <v>687.8131771923172</v>
      </c>
      <c r="C21" s="5">
        <f t="shared" si="2"/>
        <v>1022.2227741522847</v>
      </c>
    </row>
    <row r="22" spans="1:3" x14ac:dyDescent="0.3">
      <c r="A22" s="1">
        <v>0.12</v>
      </c>
      <c r="B22" s="5">
        <f t="shared" si="1"/>
        <v>513.66812725910222</v>
      </c>
      <c r="C22" s="5">
        <f t="shared" si="2"/>
        <v>679.21615621467117</v>
      </c>
    </row>
    <row r="23" spans="1:3" x14ac:dyDescent="0.3">
      <c r="A23" s="1">
        <v>0.14000000000000001</v>
      </c>
      <c r="B23" s="5">
        <f t="shared" si="1"/>
        <v>349.76804588264622</v>
      </c>
      <c r="C23" s="5">
        <f t="shared" si="2"/>
        <v>364.68885943761052</v>
      </c>
    </row>
    <row r="24" spans="1:3" x14ac:dyDescent="0.3">
      <c r="A24" s="1">
        <v>0.16</v>
      </c>
      <c r="B24" s="5">
        <f t="shared" si="1"/>
        <v>195.26179396385851</v>
      </c>
      <c r="C24" s="5">
        <f t="shared" si="2"/>
        <v>75.70724097416587</v>
      </c>
    </row>
    <row r="25" spans="1:3" x14ac:dyDescent="0.3">
      <c r="A25" s="1">
        <v>0.18</v>
      </c>
      <c r="B25" s="5">
        <f t="shared" si="1"/>
        <v>49.386830255157292</v>
      </c>
      <c r="C25" s="5">
        <f t="shared" si="2"/>
        <v>-190.30905816225277</v>
      </c>
    </row>
    <row r="26" spans="1:3" x14ac:dyDescent="0.3">
      <c r="A26" s="1">
        <v>0.2</v>
      </c>
      <c r="B26" s="5">
        <f t="shared" si="1"/>
        <v>-88.54166666666606</v>
      </c>
      <c r="C26" s="5">
        <f t="shared" si="2"/>
        <v>-435.63528806584327</v>
      </c>
    </row>
    <row r="27" spans="1:3" x14ac:dyDescent="0.3">
      <c r="A27" s="1">
        <v>0.22</v>
      </c>
      <c r="B27" s="5">
        <f t="shared" si="1"/>
        <v>-219.14015581273543</v>
      </c>
      <c r="C27" s="5">
        <f t="shared" si="2"/>
        <v>-662.28247665507934</v>
      </c>
    </row>
    <row r="28" spans="1:3" x14ac:dyDescent="0.3">
      <c r="A28" s="1">
        <v>0.24</v>
      </c>
      <c r="B28" s="5">
        <f t="shared" si="1"/>
        <v>-342.96480709469779</v>
      </c>
      <c r="C28" s="5">
        <f t="shared" si="2"/>
        <v>-872.0322338584192</v>
      </c>
    </row>
    <row r="29" spans="1:3" x14ac:dyDescent="0.3">
      <c r="A29" s="1">
        <v>0.26</v>
      </c>
      <c r="B29" s="5">
        <f t="shared" si="1"/>
        <v>-460.51848677240832</v>
      </c>
      <c r="C29" s="5">
        <f t="shared" si="2"/>
        <v>-1066.466463236633</v>
      </c>
    </row>
    <row r="30" spans="1:3" x14ac:dyDescent="0.3">
      <c r="A30" s="1">
        <v>0.28000000000000003</v>
      </c>
      <c r="B30" s="5">
        <f t="shared" si="1"/>
        <v>-572.25681841373444</v>
      </c>
      <c r="C30" s="5">
        <f t="shared" si="2"/>
        <v>-1246.9927966594696</v>
      </c>
    </row>
    <row r="31" spans="1:3" x14ac:dyDescent="0.3">
      <c r="A31" s="1">
        <v>0.3</v>
      </c>
      <c r="B31" s="5">
        <f t="shared" si="1"/>
        <v>-678.59345584215225</v>
      </c>
      <c r="C31" s="5">
        <f t="shared" si="2"/>
        <v>-1414.8664262455804</v>
      </c>
    </row>
    <row r="32" spans="1:3" x14ac:dyDescent="0.3">
      <c r="B32" s="5"/>
      <c r="C32" s="5"/>
    </row>
    <row r="33" spans="2:11" x14ac:dyDescent="0.3">
      <c r="B33" s="5"/>
      <c r="C33" s="5"/>
    </row>
    <row r="34" spans="2:11" x14ac:dyDescent="0.3">
      <c r="B34" s="5"/>
      <c r="C34" s="5"/>
    </row>
    <row r="35" spans="2:11" x14ac:dyDescent="0.3">
      <c r="B35" s="5"/>
      <c r="C35" s="5"/>
    </row>
    <row r="36" spans="2:11" x14ac:dyDescent="0.3">
      <c r="B36" s="5"/>
      <c r="C36" s="5"/>
    </row>
    <row r="37" spans="2:11" x14ac:dyDescent="0.3">
      <c r="B37" s="5"/>
      <c r="C37" s="5"/>
    </row>
    <row r="38" spans="2:11" x14ac:dyDescent="0.3">
      <c r="B38" s="5"/>
      <c r="C38" s="5"/>
    </row>
    <row r="39" spans="2:11" x14ac:dyDescent="0.3">
      <c r="J39" s="27"/>
      <c r="K39" s="2"/>
    </row>
    <row r="40" spans="2:11" x14ac:dyDescent="0.3">
      <c r="J40" s="27"/>
      <c r="K40" s="2"/>
    </row>
    <row r="41" spans="2:11" x14ac:dyDescent="0.3">
      <c r="J41" s="27"/>
      <c r="K41" s="2"/>
    </row>
    <row r="42" spans="2:11" x14ac:dyDescent="0.3">
      <c r="B42" s="1"/>
      <c r="J42" s="27"/>
      <c r="K42" s="2"/>
    </row>
    <row r="43" spans="2:11" x14ac:dyDescent="0.3">
      <c r="J43" s="27"/>
      <c r="K43" s="2"/>
    </row>
    <row r="44" spans="2:11" x14ac:dyDescent="0.3">
      <c r="J44" s="27"/>
      <c r="K44" s="2"/>
    </row>
    <row r="45" spans="2:11" x14ac:dyDescent="0.3">
      <c r="J45" s="27"/>
      <c r="K45" s="2"/>
    </row>
    <row r="46" spans="2:11" x14ac:dyDescent="0.3">
      <c r="J46" s="27"/>
      <c r="K46" s="2"/>
    </row>
    <row r="47" spans="2:11" x14ac:dyDescent="0.3">
      <c r="J47" s="27"/>
      <c r="K47" s="2"/>
    </row>
    <row r="48" spans="2:11" x14ac:dyDescent="0.3">
      <c r="J48" s="27"/>
      <c r="K48" s="2"/>
    </row>
    <row r="49" spans="2:11" x14ac:dyDescent="0.3">
      <c r="J49" s="27"/>
      <c r="K49" s="2"/>
    </row>
    <row r="50" spans="2:11" x14ac:dyDescent="0.3">
      <c r="J50" s="27"/>
      <c r="K50" s="2"/>
    </row>
    <row r="51" spans="2:11" x14ac:dyDescent="0.3">
      <c r="B51" s="27"/>
      <c r="C51" s="27"/>
      <c r="J51" s="27"/>
      <c r="K51" s="2"/>
    </row>
    <row r="52" spans="2:11" x14ac:dyDescent="0.3">
      <c r="B52" s="1"/>
      <c r="C52" s="1"/>
      <c r="J52" s="27"/>
      <c r="K52" s="2"/>
    </row>
    <row r="53" spans="2:11" x14ac:dyDescent="0.3">
      <c r="B53" s="1"/>
      <c r="C53" s="1"/>
      <c r="J53" s="27"/>
      <c r="K53" s="2"/>
    </row>
    <row r="54" spans="2:11" x14ac:dyDescent="0.3">
      <c r="B54" s="1"/>
      <c r="J54" s="27"/>
      <c r="K54" s="2"/>
    </row>
    <row r="55" spans="2:11" x14ac:dyDescent="0.3">
      <c r="J55" s="27"/>
      <c r="K55" s="2"/>
    </row>
    <row r="56" spans="2:11" x14ac:dyDescent="0.3">
      <c r="J56" s="27"/>
      <c r="K56" s="2"/>
    </row>
    <row r="57" spans="2:11" x14ac:dyDescent="0.3">
      <c r="J57" s="27"/>
      <c r="K57" s="2"/>
    </row>
    <row r="58" spans="2:11" x14ac:dyDescent="0.3">
      <c r="J58" s="27"/>
      <c r="K58" s="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B39DE-6F6A-4579-912C-0C7AC77FF9F2}">
  <dimension ref="B1:I15"/>
  <sheetViews>
    <sheetView topLeftCell="A4" zoomScale="80" zoomScaleNormal="80" workbookViewId="0">
      <selection activeCell="C17" sqref="C17"/>
    </sheetView>
  </sheetViews>
  <sheetFormatPr defaultColWidth="8.88671875" defaultRowHeight="28.8" x14ac:dyDescent="0.55000000000000004"/>
  <cols>
    <col min="1" max="1" width="2.6640625" style="6" customWidth="1"/>
    <col min="2" max="2" width="52.33203125" style="6" customWidth="1"/>
    <col min="3" max="6" width="35.5546875" style="6" customWidth="1"/>
    <col min="7" max="7" width="11.109375" style="6" customWidth="1"/>
    <col min="8" max="8" width="8.88671875" style="6"/>
    <col min="9" max="9" width="13.33203125" style="6" bestFit="1" customWidth="1"/>
    <col min="10" max="16384" width="8.88671875" style="6"/>
  </cols>
  <sheetData>
    <row r="1" spans="2:9" ht="12.75" customHeight="1" thickBot="1" x14ac:dyDescent="0.6"/>
    <row r="2" spans="2:9" ht="57.75" customHeight="1" thickBot="1" x14ac:dyDescent="0.6">
      <c r="B2" s="7" t="s">
        <v>18</v>
      </c>
      <c r="C2" s="8" t="s">
        <v>35</v>
      </c>
      <c r="D2" s="9" t="s">
        <v>36</v>
      </c>
      <c r="E2" s="8" t="s">
        <v>37</v>
      </c>
      <c r="F2" s="9" t="s">
        <v>38</v>
      </c>
      <c r="H2" s="9" t="s">
        <v>39</v>
      </c>
      <c r="I2" s="10">
        <v>0.05</v>
      </c>
    </row>
    <row r="3" spans="2:9" x14ac:dyDescent="0.55000000000000004">
      <c r="B3" s="11">
        <v>0</v>
      </c>
      <c r="C3" s="12">
        <v>-300000</v>
      </c>
      <c r="D3" s="13">
        <f>C3</f>
        <v>-300000</v>
      </c>
      <c r="E3" s="14">
        <f>C3/(1+$I$2)^B3</f>
        <v>-300000</v>
      </c>
      <c r="F3" s="13">
        <f>E3</f>
        <v>-300000</v>
      </c>
    </row>
    <row r="4" spans="2:9" x14ac:dyDescent="0.55000000000000004">
      <c r="B4" s="11">
        <v>1</v>
      </c>
      <c r="C4" s="15">
        <v>50000</v>
      </c>
      <c r="D4" s="13">
        <f>D3+C4</f>
        <v>-250000</v>
      </c>
      <c r="E4" s="14">
        <f t="shared" ref="E4:E9" si="0">C4/(1+$I$2)^B4</f>
        <v>47619.047619047618</v>
      </c>
      <c r="F4" s="13">
        <f>F3+E4</f>
        <v>-252380.95238095237</v>
      </c>
    </row>
    <row r="5" spans="2:9" x14ac:dyDescent="0.55000000000000004">
      <c r="B5" s="11">
        <v>2</v>
      </c>
      <c r="C5" s="15">
        <v>60000</v>
      </c>
      <c r="D5" s="13">
        <f t="shared" ref="D5:D9" si="1">D4+C5</f>
        <v>-190000</v>
      </c>
      <c r="E5" s="14">
        <f t="shared" si="0"/>
        <v>54421.768707482988</v>
      </c>
      <c r="F5" s="13">
        <f t="shared" ref="F5:F9" si="2">F4+E5</f>
        <v>-197959.18367346938</v>
      </c>
    </row>
    <row r="6" spans="2:9" x14ac:dyDescent="0.55000000000000004">
      <c r="B6" s="11">
        <v>3</v>
      </c>
      <c r="C6" s="15">
        <v>70000</v>
      </c>
      <c r="D6" s="13">
        <f t="shared" si="1"/>
        <v>-120000</v>
      </c>
      <c r="E6" s="14">
        <f t="shared" si="0"/>
        <v>60468.631897203319</v>
      </c>
      <c r="F6" s="13">
        <f t="shared" si="2"/>
        <v>-137490.55177626607</v>
      </c>
    </row>
    <row r="7" spans="2:9" x14ac:dyDescent="0.55000000000000004">
      <c r="B7" s="11">
        <v>4</v>
      </c>
      <c r="C7" s="15">
        <v>60000</v>
      </c>
      <c r="D7" s="13">
        <f t="shared" si="1"/>
        <v>-60000</v>
      </c>
      <c r="E7" s="14">
        <f t="shared" si="0"/>
        <v>49362.148487512917</v>
      </c>
      <c r="F7" s="13">
        <f t="shared" si="2"/>
        <v>-88128.40328875315</v>
      </c>
    </row>
    <row r="8" spans="2:9" x14ac:dyDescent="0.55000000000000004">
      <c r="B8" s="11">
        <v>5</v>
      </c>
      <c r="C8" s="15">
        <v>70000</v>
      </c>
      <c r="D8" s="13">
        <f t="shared" si="1"/>
        <v>10000</v>
      </c>
      <c r="E8" s="14">
        <f t="shared" si="0"/>
        <v>54846.831652792127</v>
      </c>
      <c r="F8" s="13">
        <f t="shared" si="2"/>
        <v>-33281.571635961023</v>
      </c>
      <c r="H8" s="6" t="s">
        <v>52</v>
      </c>
      <c r="I8" s="28"/>
    </row>
    <row r="9" spans="2:9" ht="29.4" thickBot="1" x14ac:dyDescent="0.6">
      <c r="B9" s="16">
        <v>6</v>
      </c>
      <c r="C9" s="17">
        <v>70000</v>
      </c>
      <c r="D9" s="13">
        <f t="shared" si="1"/>
        <v>80000</v>
      </c>
      <c r="E9" s="14">
        <f t="shared" si="0"/>
        <v>52235.077764563939</v>
      </c>
      <c r="F9" s="13">
        <f t="shared" si="2"/>
        <v>18953.506128602916</v>
      </c>
    </row>
    <row r="10" spans="2:9" ht="19.5" customHeight="1" x14ac:dyDescent="0.55000000000000004"/>
    <row r="11" spans="2:9" ht="57.75" customHeight="1" thickBot="1" x14ac:dyDescent="0.6">
      <c r="B11" s="43" t="s">
        <v>40</v>
      </c>
      <c r="C11" s="43"/>
      <c r="D11" s="43"/>
      <c r="E11" s="43"/>
      <c r="F11" s="18"/>
    </row>
    <row r="12" spans="2:9" ht="29.4" thickBot="1" x14ac:dyDescent="0.6">
      <c r="B12" s="19" t="s">
        <v>41</v>
      </c>
      <c r="C12" s="20">
        <f>B7+(-D7/C8)</f>
        <v>4.8571428571428568</v>
      </c>
    </row>
    <row r="14" spans="2:9" ht="56.25" customHeight="1" thickBot="1" x14ac:dyDescent="0.6">
      <c r="B14" s="43" t="s">
        <v>42</v>
      </c>
      <c r="C14" s="43"/>
      <c r="D14" s="43"/>
      <c r="E14" s="43"/>
      <c r="F14" s="18"/>
    </row>
    <row r="15" spans="2:9" ht="29.4" thickBot="1" x14ac:dyDescent="0.6">
      <c r="B15" s="19" t="s">
        <v>43</v>
      </c>
      <c r="C15" s="20">
        <f>B8+(-F8/E9)</f>
        <v>5.6371498437500005</v>
      </c>
    </row>
  </sheetData>
  <mergeCells count="2">
    <mergeCell ref="B11:E11"/>
    <mergeCell ref="B14:E14"/>
  </mergeCells>
  <conditionalFormatting sqref="C3:F3 C4:E9">
    <cfRule type="cellIs" dxfId="0" priority="1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785F1-E252-4A75-9942-8E5AF6F153CF}">
  <dimension ref="A1:O25"/>
  <sheetViews>
    <sheetView topLeftCell="C13" zoomScale="115" zoomScaleNormal="115" workbookViewId="0">
      <selection activeCell="N26" sqref="N26"/>
    </sheetView>
  </sheetViews>
  <sheetFormatPr defaultRowHeight="14.4" x14ac:dyDescent="0.3"/>
  <cols>
    <col min="1" max="1" width="28.33203125" bestFit="1" customWidth="1"/>
    <col min="2" max="3" width="9.5546875" bestFit="1" customWidth="1"/>
    <col min="8" max="8" width="13.6640625" bestFit="1" customWidth="1"/>
    <col min="13" max="13" width="24" bestFit="1" customWidth="1"/>
    <col min="14" max="14" width="15.6640625" bestFit="1" customWidth="1"/>
    <col min="15" max="15" width="9.88671875" bestFit="1" customWidth="1"/>
  </cols>
  <sheetData>
    <row r="1" spans="1:15" x14ac:dyDescent="0.3">
      <c r="A1" t="s">
        <v>61</v>
      </c>
      <c r="B1" s="3">
        <v>1000</v>
      </c>
      <c r="H1" s="33" t="s">
        <v>69</v>
      </c>
      <c r="M1" s="33" t="s">
        <v>68</v>
      </c>
    </row>
    <row r="2" spans="1:15" x14ac:dyDescent="0.3">
      <c r="A2" t="s">
        <v>62</v>
      </c>
      <c r="B2">
        <v>5</v>
      </c>
      <c r="M2" t="s">
        <v>109</v>
      </c>
      <c r="N2" s="3">
        <v>1000</v>
      </c>
      <c r="O2">
        <v>20000</v>
      </c>
    </row>
    <row r="3" spans="1:15" x14ac:dyDescent="0.3">
      <c r="A3" t="s">
        <v>63</v>
      </c>
      <c r="B3" s="1">
        <v>0.12</v>
      </c>
      <c r="H3" t="s">
        <v>61</v>
      </c>
      <c r="I3" s="3">
        <v>1000</v>
      </c>
      <c r="M3" t="s">
        <v>71</v>
      </c>
      <c r="N3" s="1">
        <v>0.06</v>
      </c>
      <c r="O3" s="1">
        <v>0.2</v>
      </c>
    </row>
    <row r="4" spans="1:15" ht="43.2" x14ac:dyDescent="0.3">
      <c r="H4" t="s">
        <v>63</v>
      </c>
      <c r="I4" s="1">
        <v>0.12</v>
      </c>
      <c r="M4" s="31" t="s">
        <v>72</v>
      </c>
      <c r="N4" s="32">
        <v>5</v>
      </c>
      <c r="O4">
        <v>20</v>
      </c>
    </row>
    <row r="5" spans="1:15" x14ac:dyDescent="0.3">
      <c r="A5" t="s">
        <v>64</v>
      </c>
      <c r="M5" t="s">
        <v>73</v>
      </c>
      <c r="N5" s="1">
        <v>0.12</v>
      </c>
      <c r="O5" s="1">
        <v>0.25</v>
      </c>
    </row>
    <row r="6" spans="1:15" x14ac:dyDescent="0.3">
      <c r="A6" t="s">
        <v>65</v>
      </c>
      <c r="B6" s="2"/>
      <c r="C6" s="2"/>
      <c r="H6" t="s">
        <v>53</v>
      </c>
      <c r="I6">
        <f>I3/I4</f>
        <v>8333.3333333333339</v>
      </c>
    </row>
    <row r="7" spans="1:15" x14ac:dyDescent="0.3">
      <c r="M7" t="s">
        <v>53</v>
      </c>
      <c r="N7" s="26">
        <f>N2*((1-((1+N3)/(1+N5))^N4)/(N5-N3))</f>
        <v>4010.914471003759</v>
      </c>
      <c r="O7" s="26">
        <f>O2*((1-((1+O3)/(1+O5))^O4)/(O5-O3))</f>
        <v>223199.02644823695</v>
      </c>
    </row>
    <row r="8" spans="1:15" x14ac:dyDescent="0.3">
      <c r="A8" t="s">
        <v>66</v>
      </c>
    </row>
    <row r="9" spans="1:15" x14ac:dyDescent="0.3">
      <c r="M9" t="s">
        <v>74</v>
      </c>
    </row>
    <row r="10" spans="1:15" x14ac:dyDescent="0.3">
      <c r="A10" t="s">
        <v>18</v>
      </c>
      <c r="B10" t="s">
        <v>67</v>
      </c>
      <c r="M10" t="s">
        <v>18</v>
      </c>
      <c r="N10" t="s">
        <v>67</v>
      </c>
    </row>
    <row r="11" spans="1:15" x14ac:dyDescent="0.3">
      <c r="A11">
        <v>1</v>
      </c>
      <c r="B11">
        <v>1000</v>
      </c>
      <c r="M11">
        <v>1</v>
      </c>
      <c r="N11" s="26">
        <v>1000</v>
      </c>
      <c r="O11" s="3"/>
    </row>
    <row r="12" spans="1:15" x14ac:dyDescent="0.3">
      <c r="A12">
        <v>2</v>
      </c>
      <c r="B12">
        <v>1000</v>
      </c>
      <c r="M12">
        <v>2</v>
      </c>
      <c r="N12" s="26">
        <f>N11*(1+$N$22)</f>
        <v>1060</v>
      </c>
    </row>
    <row r="13" spans="1:15" x14ac:dyDescent="0.3">
      <c r="A13">
        <v>3</v>
      </c>
      <c r="B13">
        <v>1000</v>
      </c>
      <c r="M13">
        <v>3</v>
      </c>
      <c r="N13" s="26">
        <f t="shared" ref="N13:N15" si="0">N12*(1+$N$22)</f>
        <v>1123.6000000000001</v>
      </c>
    </row>
    <row r="14" spans="1:15" x14ac:dyDescent="0.3">
      <c r="A14">
        <v>4</v>
      </c>
      <c r="B14">
        <v>1000</v>
      </c>
      <c r="M14">
        <v>4</v>
      </c>
      <c r="N14" s="26">
        <f t="shared" si="0"/>
        <v>1191.0160000000003</v>
      </c>
    </row>
    <row r="15" spans="1:15" x14ac:dyDescent="0.3">
      <c r="A15">
        <v>5</v>
      </c>
      <c r="B15">
        <v>1000</v>
      </c>
      <c r="M15">
        <v>5</v>
      </c>
      <c r="N15" s="26">
        <f t="shared" si="0"/>
        <v>1262.4769600000004</v>
      </c>
    </row>
    <row r="17" spans="1:15" x14ac:dyDescent="0.3">
      <c r="A17" t="s">
        <v>4</v>
      </c>
      <c r="B17" s="2">
        <f>NPV(B3,B11:B15)</f>
        <v>3604.7762023450041</v>
      </c>
      <c r="C17" s="2"/>
      <c r="M17" t="s">
        <v>4</v>
      </c>
      <c r="N17" s="2"/>
      <c r="O17" s="2"/>
    </row>
    <row r="20" spans="1:15" x14ac:dyDescent="0.3">
      <c r="M20" s="33" t="s">
        <v>75</v>
      </c>
    </row>
    <row r="21" spans="1:15" x14ac:dyDescent="0.3">
      <c r="M21" t="s">
        <v>70</v>
      </c>
      <c r="N21" s="3">
        <v>1000</v>
      </c>
    </row>
    <row r="22" spans="1:15" x14ac:dyDescent="0.3">
      <c r="M22" t="s">
        <v>71</v>
      </c>
      <c r="N22" s="1">
        <v>0.06</v>
      </c>
    </row>
    <row r="23" spans="1:15" x14ac:dyDescent="0.3">
      <c r="M23" t="s">
        <v>73</v>
      </c>
      <c r="N23" s="1">
        <v>0.12</v>
      </c>
    </row>
    <row r="24" spans="1:15" x14ac:dyDescent="0.3">
      <c r="M24" t="s">
        <v>110</v>
      </c>
    </row>
    <row r="25" spans="1:15" x14ac:dyDescent="0.3">
      <c r="M25" t="s">
        <v>53</v>
      </c>
      <c r="N25" s="26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7FE91-CEC2-4F4B-8127-595D028B2143}">
  <dimension ref="A1:Q15"/>
  <sheetViews>
    <sheetView topLeftCell="B1" workbookViewId="0">
      <selection activeCell="G14" sqref="G14"/>
    </sheetView>
  </sheetViews>
  <sheetFormatPr defaultRowHeight="14.4" x14ac:dyDescent="0.3"/>
  <cols>
    <col min="6" max="6" width="10.88671875" bestFit="1" customWidth="1"/>
    <col min="15" max="15" width="14.33203125" bestFit="1" customWidth="1"/>
    <col min="16" max="16" width="11.88671875" bestFit="1" customWidth="1"/>
    <col min="17" max="17" width="13.44140625" bestFit="1" customWidth="1"/>
  </cols>
  <sheetData>
    <row r="1" spans="1:17" x14ac:dyDescent="0.3">
      <c r="A1" t="s">
        <v>24</v>
      </c>
      <c r="B1">
        <v>1000</v>
      </c>
      <c r="E1" t="s">
        <v>24</v>
      </c>
      <c r="F1">
        <v>1000</v>
      </c>
      <c r="G1" t="s">
        <v>25</v>
      </c>
      <c r="J1" t="s">
        <v>76</v>
      </c>
    </row>
    <row r="2" spans="1:17" x14ac:dyDescent="0.3">
      <c r="A2" t="s">
        <v>12</v>
      </c>
      <c r="B2">
        <v>10</v>
      </c>
      <c r="C2" t="s">
        <v>1</v>
      </c>
      <c r="E2" t="s">
        <v>12</v>
      </c>
      <c r="F2">
        <v>10</v>
      </c>
      <c r="G2" t="s">
        <v>26</v>
      </c>
      <c r="J2" t="s">
        <v>77</v>
      </c>
      <c r="K2">
        <v>1000</v>
      </c>
      <c r="O2" t="s">
        <v>111</v>
      </c>
    </row>
    <row r="3" spans="1:17" x14ac:dyDescent="0.3">
      <c r="A3" t="s">
        <v>27</v>
      </c>
      <c r="B3" s="1">
        <v>0.1</v>
      </c>
      <c r="E3" t="s">
        <v>27</v>
      </c>
      <c r="F3" s="1">
        <v>0.1</v>
      </c>
      <c r="J3" t="s">
        <v>12</v>
      </c>
      <c r="K3">
        <v>5</v>
      </c>
      <c r="O3" t="s">
        <v>112</v>
      </c>
      <c r="P3">
        <v>3000000</v>
      </c>
      <c r="Q3">
        <v>3861900.6298187003</v>
      </c>
    </row>
    <row r="4" spans="1:17" x14ac:dyDescent="0.3">
      <c r="A4" t="s">
        <v>28</v>
      </c>
      <c r="B4">
        <f>B1*(1+B3)^10</f>
        <v>2593.7424601000021</v>
      </c>
      <c r="E4" t="s">
        <v>28</v>
      </c>
      <c r="F4" s="2">
        <f>FV(F3,F2,-F1,,1)</f>
        <v>17531.167061100023</v>
      </c>
      <c r="G4" t="s">
        <v>57</v>
      </c>
      <c r="J4" t="s">
        <v>27</v>
      </c>
      <c r="K4" s="1">
        <v>0.1</v>
      </c>
      <c r="O4" t="s">
        <v>15</v>
      </c>
      <c r="P4">
        <v>0.14499999999999999</v>
      </c>
      <c r="Q4">
        <f>P4/12</f>
        <v>1.2083333333333333E-2</v>
      </c>
    </row>
    <row r="5" spans="1:17" x14ac:dyDescent="0.3">
      <c r="F5" s="2">
        <f>FV(F3,F2,-F1,,0)</f>
        <v>15937.424601000017</v>
      </c>
      <c r="G5" t="s">
        <v>58</v>
      </c>
      <c r="J5" t="s">
        <v>78</v>
      </c>
      <c r="K5" s="1">
        <v>0.05</v>
      </c>
      <c r="O5" t="s">
        <v>12</v>
      </c>
      <c r="P5">
        <v>5</v>
      </c>
      <c r="Q5">
        <f>P5*12</f>
        <v>60</v>
      </c>
    </row>
    <row r="6" spans="1:17" x14ac:dyDescent="0.3">
      <c r="O6" t="s">
        <v>113</v>
      </c>
      <c r="P6" s="40">
        <f>PMT(P4,P5,-P3,,1)</f>
        <v>772380.12596374005</v>
      </c>
      <c r="Q6" s="40">
        <f>PMT(Q4,Q5,-P3,,1)</f>
        <v>69742.125888093084</v>
      </c>
    </row>
    <row r="7" spans="1:17" x14ac:dyDescent="0.3">
      <c r="J7" t="s">
        <v>79</v>
      </c>
      <c r="K7">
        <f>K2*(((1+K4)^K3)-((1+K5)^K3))/(K4-K5)</f>
        <v>6684.5687500000085</v>
      </c>
      <c r="P7" s="40">
        <f>P6/12</f>
        <v>64365.010496978335</v>
      </c>
    </row>
    <row r="9" spans="1:17" x14ac:dyDescent="0.3">
      <c r="J9" t="s">
        <v>80</v>
      </c>
      <c r="K9" t="s">
        <v>77</v>
      </c>
      <c r="L9" t="s">
        <v>28</v>
      </c>
    </row>
    <row r="10" spans="1:17" x14ac:dyDescent="0.3">
      <c r="J10">
        <v>1</v>
      </c>
      <c r="K10">
        <f>K2</f>
        <v>1000</v>
      </c>
      <c r="L10">
        <f>K10*(1+$K$4)^($J$14-J10)</f>
        <v>1464.1000000000004</v>
      </c>
    </row>
    <row r="11" spans="1:17" x14ac:dyDescent="0.3">
      <c r="J11">
        <v>2</v>
      </c>
      <c r="K11">
        <f>K10*(1+$K$5)</f>
        <v>1050</v>
      </c>
      <c r="L11">
        <f t="shared" ref="L11:L14" si="0">K11*(1+$K$4)^($J$14-J11)</f>
        <v>1397.5500000000004</v>
      </c>
    </row>
    <row r="12" spans="1:17" x14ac:dyDescent="0.3">
      <c r="J12">
        <v>3</v>
      </c>
      <c r="K12">
        <f t="shared" ref="K12:K14" si="1">K11*(1+$K$5)</f>
        <v>1102.5</v>
      </c>
      <c r="L12">
        <f t="shared" si="0"/>
        <v>1334.0250000000003</v>
      </c>
    </row>
    <row r="13" spans="1:17" x14ac:dyDescent="0.3">
      <c r="J13">
        <v>4</v>
      </c>
      <c r="K13">
        <f t="shared" si="1"/>
        <v>1157.625</v>
      </c>
      <c r="L13">
        <f t="shared" si="0"/>
        <v>1273.3875</v>
      </c>
    </row>
    <row r="14" spans="1:17" x14ac:dyDescent="0.3">
      <c r="J14">
        <v>5</v>
      </c>
      <c r="K14">
        <f t="shared" si="1"/>
        <v>1215.5062500000001</v>
      </c>
      <c r="L14">
        <f t="shared" si="0"/>
        <v>1215.5062500000001</v>
      </c>
    </row>
    <row r="15" spans="1:17" x14ac:dyDescent="0.3">
      <c r="L15">
        <f>SUM(L10:L14)</f>
        <v>6684.5687500000013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FD3BF-48A6-44F2-945F-84F31323B638}">
  <dimension ref="A1:F6"/>
  <sheetViews>
    <sheetView zoomScale="220" zoomScaleNormal="220" workbookViewId="0">
      <selection activeCell="F6" sqref="F6"/>
    </sheetView>
  </sheetViews>
  <sheetFormatPr defaultRowHeight="14.4" x14ac:dyDescent="0.3"/>
  <cols>
    <col min="1" max="1" width="21" bestFit="1" customWidth="1"/>
    <col min="2" max="2" width="9.88671875" bestFit="1" customWidth="1"/>
    <col min="3" max="3" width="10.109375" bestFit="1" customWidth="1"/>
    <col min="5" max="5" width="10.88671875" bestFit="1" customWidth="1"/>
  </cols>
  <sheetData>
    <row r="1" spans="1:6" x14ac:dyDescent="0.3">
      <c r="A1" t="s">
        <v>29</v>
      </c>
      <c r="B1" s="3">
        <v>1000</v>
      </c>
    </row>
    <row r="2" spans="1:6" x14ac:dyDescent="0.3">
      <c r="A2" t="s">
        <v>30</v>
      </c>
      <c r="B2" s="1">
        <v>0.05</v>
      </c>
    </row>
    <row r="3" spans="1:6" x14ac:dyDescent="0.3">
      <c r="A3" t="s">
        <v>12</v>
      </c>
      <c r="B3">
        <v>1</v>
      </c>
      <c r="C3" t="s">
        <v>1</v>
      </c>
    </row>
    <row r="4" spans="1:6" x14ac:dyDescent="0.3">
      <c r="A4" t="s">
        <v>31</v>
      </c>
      <c r="B4" s="2">
        <f>B1*(1+B2)^B3</f>
        <v>1050</v>
      </c>
      <c r="C4" s="2"/>
      <c r="E4" t="s">
        <v>114</v>
      </c>
    </row>
    <row r="5" spans="1:6" x14ac:dyDescent="0.3">
      <c r="A5" t="s">
        <v>32</v>
      </c>
      <c r="B5">
        <f>B1*EXP(B2*B3)</f>
        <v>1051.2710963760242</v>
      </c>
      <c r="E5" t="s">
        <v>115</v>
      </c>
      <c r="F5">
        <f>B1/(1+B2)^B3</f>
        <v>952.38095238095229</v>
      </c>
    </row>
    <row r="6" spans="1:6" x14ac:dyDescent="0.3">
      <c r="E6" t="s">
        <v>116</v>
      </c>
      <c r="F6">
        <f>B1*EXP(-B2*B3)</f>
        <v>951.229424500714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B3679-1ABB-427E-A271-C0B8DF26AD71}">
  <dimension ref="A1:C10"/>
  <sheetViews>
    <sheetView zoomScale="130" zoomScaleNormal="130" workbookViewId="0">
      <selection activeCell="D5" sqref="D5"/>
    </sheetView>
  </sheetViews>
  <sheetFormatPr defaultRowHeight="14.4" x14ac:dyDescent="0.3"/>
  <sheetData>
    <row r="1" spans="1:3" x14ac:dyDescent="0.3">
      <c r="A1" t="s">
        <v>33</v>
      </c>
      <c r="B1" s="1">
        <v>0.08</v>
      </c>
    </row>
    <row r="3" spans="1:3" x14ac:dyDescent="0.3">
      <c r="A3" t="s">
        <v>18</v>
      </c>
      <c r="B3" t="s">
        <v>10</v>
      </c>
      <c r="C3" t="s">
        <v>34</v>
      </c>
    </row>
    <row r="4" spans="1:3" x14ac:dyDescent="0.3">
      <c r="A4">
        <v>1</v>
      </c>
      <c r="B4">
        <v>100</v>
      </c>
    </row>
    <row r="5" spans="1:3" x14ac:dyDescent="0.3">
      <c r="A5">
        <f>A4+1</f>
        <v>2</v>
      </c>
      <c r="B5">
        <f>B4+100</f>
        <v>200</v>
      </c>
    </row>
    <row r="6" spans="1:3" x14ac:dyDescent="0.3">
      <c r="A6">
        <f t="shared" ref="A6:A8" si="0">A5+1</f>
        <v>3</v>
      </c>
      <c r="B6">
        <f t="shared" ref="B6:B8" si="1">B5+100</f>
        <v>300</v>
      </c>
    </row>
    <row r="7" spans="1:3" x14ac:dyDescent="0.3">
      <c r="A7">
        <f t="shared" si="0"/>
        <v>4</v>
      </c>
      <c r="B7">
        <f t="shared" si="1"/>
        <v>400</v>
      </c>
    </row>
    <row r="8" spans="1:3" x14ac:dyDescent="0.3">
      <c r="A8">
        <f t="shared" si="0"/>
        <v>5</v>
      </c>
      <c r="B8">
        <f t="shared" si="1"/>
        <v>500</v>
      </c>
    </row>
    <row r="10" spans="1:3" x14ac:dyDescent="0.3">
      <c r="A10" t="s">
        <v>3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174A3-DB01-47AF-9A9E-E61798558BEE}">
  <dimension ref="A1:J13"/>
  <sheetViews>
    <sheetView topLeftCell="A4" zoomScale="180" zoomScaleNormal="180" workbookViewId="0">
      <selection activeCell="E10" sqref="E10"/>
    </sheetView>
  </sheetViews>
  <sheetFormatPr defaultRowHeight="14.4" x14ac:dyDescent="0.3"/>
  <cols>
    <col min="1" max="1" width="10.33203125" bestFit="1" customWidth="1"/>
    <col min="2" max="3" width="11.88671875" bestFit="1" customWidth="1"/>
    <col min="4" max="4" width="12.5546875" bestFit="1" customWidth="1"/>
    <col min="5" max="5" width="13.5546875" bestFit="1" customWidth="1"/>
    <col min="9" max="9" width="9.6640625" bestFit="1" customWidth="1"/>
    <col min="10" max="10" width="12.109375" bestFit="1" customWidth="1"/>
    <col min="12" max="13" width="11.5546875" bestFit="1" customWidth="1"/>
  </cols>
  <sheetData>
    <row r="1" spans="1:10" x14ac:dyDescent="0.3">
      <c r="A1" t="s">
        <v>11</v>
      </c>
      <c r="B1">
        <f>700000-210000</f>
        <v>490000</v>
      </c>
      <c r="D1" t="s">
        <v>117</v>
      </c>
      <c r="E1" s="1">
        <v>0.2</v>
      </c>
    </row>
    <row r="2" spans="1:10" x14ac:dyDescent="0.3">
      <c r="A2" t="s">
        <v>12</v>
      </c>
      <c r="B2">
        <v>5</v>
      </c>
      <c r="D2" t="s">
        <v>118</v>
      </c>
      <c r="E2">
        <v>98000</v>
      </c>
      <c r="J2" s="2"/>
    </row>
    <row r="3" spans="1:10" x14ac:dyDescent="0.3">
      <c r="A3" t="s">
        <v>13</v>
      </c>
      <c r="B3" s="41">
        <v>0.14499999999999999</v>
      </c>
      <c r="D3" t="s">
        <v>16</v>
      </c>
      <c r="E3">
        <f>B1-E2</f>
        <v>392000</v>
      </c>
    </row>
    <row r="4" spans="1:10" x14ac:dyDescent="0.3">
      <c r="A4" t="s">
        <v>14</v>
      </c>
      <c r="B4" s="2">
        <f>PMT(B3,B2,-E3,,0)</f>
        <v>115558.36524585502</v>
      </c>
    </row>
    <row r="6" spans="1:10" x14ac:dyDescent="0.3">
      <c r="A6" t="s">
        <v>1</v>
      </c>
      <c r="B6" t="s">
        <v>59</v>
      </c>
      <c r="C6" t="s">
        <v>15</v>
      </c>
      <c r="D6" t="s">
        <v>60</v>
      </c>
      <c r="E6" t="s">
        <v>16</v>
      </c>
    </row>
    <row r="7" spans="1:10" x14ac:dyDescent="0.3">
      <c r="A7">
        <v>0</v>
      </c>
      <c r="B7">
        <v>0</v>
      </c>
      <c r="C7">
        <v>0</v>
      </c>
      <c r="D7">
        <v>0</v>
      </c>
      <c r="E7">
        <f>E3</f>
        <v>392000</v>
      </c>
    </row>
    <row r="8" spans="1:10" x14ac:dyDescent="0.3">
      <c r="A8">
        <v>1</v>
      </c>
      <c r="B8" s="2">
        <f>$B$4</f>
        <v>115558.36524585502</v>
      </c>
      <c r="C8">
        <f>E7*$B$3</f>
        <v>56839.999999999993</v>
      </c>
      <c r="D8" s="2">
        <f>B8-C8</f>
        <v>58718.365245855028</v>
      </c>
      <c r="E8" s="2">
        <f>E7-D8</f>
        <v>333281.63475414499</v>
      </c>
    </row>
    <row r="9" spans="1:10" x14ac:dyDescent="0.3">
      <c r="A9">
        <v>2</v>
      </c>
      <c r="B9" s="2">
        <f t="shared" ref="B9:B12" si="0">$B$4</f>
        <v>115558.36524585502</v>
      </c>
      <c r="C9">
        <f>E8*$B$3</f>
        <v>48325.837039351019</v>
      </c>
      <c r="D9" s="2">
        <f t="shared" ref="D9:D12" si="1">B9-C9</f>
        <v>67232.528206504008</v>
      </c>
      <c r="E9" s="2">
        <f t="shared" ref="E9:E12" si="2">E8-D9</f>
        <v>266049.10654764099</v>
      </c>
    </row>
    <row r="10" spans="1:10" x14ac:dyDescent="0.3">
      <c r="A10">
        <v>3</v>
      </c>
      <c r="B10" s="2">
        <f t="shared" si="0"/>
        <v>115558.36524585502</v>
      </c>
      <c r="C10">
        <f t="shared" ref="C10:C12" si="3">E9*$B$3</f>
        <v>38577.120449407943</v>
      </c>
      <c r="D10" s="2">
        <f t="shared" si="1"/>
        <v>76981.244796447078</v>
      </c>
      <c r="E10" s="2">
        <f t="shared" si="2"/>
        <v>189067.86175119391</v>
      </c>
    </row>
    <row r="11" spans="1:10" x14ac:dyDescent="0.3">
      <c r="A11">
        <v>4</v>
      </c>
      <c r="B11" s="2">
        <f t="shared" si="0"/>
        <v>115558.36524585502</v>
      </c>
      <c r="C11">
        <f t="shared" si="3"/>
        <v>27414.839953923114</v>
      </c>
      <c r="D11" s="2">
        <f t="shared" si="1"/>
        <v>88143.525291931903</v>
      </c>
      <c r="E11" s="2">
        <f t="shared" si="2"/>
        <v>100924.33645926201</v>
      </c>
    </row>
    <row r="12" spans="1:10" x14ac:dyDescent="0.3">
      <c r="A12">
        <v>5</v>
      </c>
      <c r="B12" s="2">
        <f t="shared" si="0"/>
        <v>115558.36524585502</v>
      </c>
      <c r="C12">
        <f t="shared" si="3"/>
        <v>14634.028786592989</v>
      </c>
      <c r="D12" s="2">
        <f t="shared" si="1"/>
        <v>100924.33645926203</v>
      </c>
      <c r="E12" s="2">
        <f t="shared" si="2"/>
        <v>0</v>
      </c>
    </row>
    <row r="13" spans="1:10" x14ac:dyDescent="0.3">
      <c r="A13" t="s">
        <v>81</v>
      </c>
      <c r="B13" s="2">
        <f>SUM(B7:B12)</f>
        <v>577791.82622927509</v>
      </c>
      <c r="C13" s="2">
        <f t="shared" ref="C13:D13" si="4">SUM(C7:C12)</f>
        <v>185791.82622927506</v>
      </c>
      <c r="D13" s="2">
        <f t="shared" si="4"/>
        <v>392000.00000000012</v>
      </c>
      <c r="E13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492FE4-B198-4BC8-95AA-C2E1C14810DA}">
  <dimension ref="A1:L24"/>
  <sheetViews>
    <sheetView tabSelected="1" zoomScale="130" zoomScaleNormal="130" workbookViewId="0">
      <selection activeCell="K11" sqref="K11"/>
    </sheetView>
  </sheetViews>
  <sheetFormatPr defaultRowHeight="14.4" x14ac:dyDescent="0.3"/>
  <cols>
    <col min="1" max="1" width="10.33203125" bestFit="1" customWidth="1"/>
    <col min="2" max="2" width="13.21875" bestFit="1" customWidth="1"/>
    <col min="3" max="3" width="11.88671875" bestFit="1" customWidth="1"/>
    <col min="4" max="4" width="13.21875" bestFit="1" customWidth="1"/>
    <col min="5" max="5" width="14.109375" bestFit="1" customWidth="1"/>
    <col min="9" max="9" width="13.21875" bestFit="1" customWidth="1"/>
    <col min="10" max="10" width="14.33203125" customWidth="1"/>
    <col min="11" max="11" width="13.21875" bestFit="1" customWidth="1"/>
    <col min="12" max="12" width="13.88671875" bestFit="1" customWidth="1"/>
    <col min="13" max="14" width="11.5546875" bestFit="1" customWidth="1"/>
  </cols>
  <sheetData>
    <row r="1" spans="1:12" x14ac:dyDescent="0.3">
      <c r="A1" t="s">
        <v>11</v>
      </c>
      <c r="B1">
        <v>1000000</v>
      </c>
      <c r="E1" t="s">
        <v>117</v>
      </c>
      <c r="F1" s="1">
        <v>0.1</v>
      </c>
      <c r="G1" s="1">
        <v>0.25</v>
      </c>
      <c r="H1" s="1">
        <v>0.5</v>
      </c>
      <c r="I1">
        <v>1</v>
      </c>
      <c r="J1" t="s">
        <v>119</v>
      </c>
      <c r="K1" t="s">
        <v>120</v>
      </c>
    </row>
    <row r="2" spans="1:12" x14ac:dyDescent="0.3">
      <c r="A2" t="s">
        <v>12</v>
      </c>
      <c r="B2">
        <v>3</v>
      </c>
      <c r="C2">
        <v>5</v>
      </c>
      <c r="D2">
        <v>7</v>
      </c>
      <c r="E2" t="s">
        <v>118</v>
      </c>
      <c r="F2">
        <v>100000</v>
      </c>
      <c r="G2">
        <v>250000</v>
      </c>
      <c r="H2">
        <f>B1-(B1*H1)</f>
        <v>500000</v>
      </c>
      <c r="I2">
        <v>2</v>
      </c>
      <c r="J2" t="s">
        <v>12</v>
      </c>
      <c r="K2" t="s">
        <v>121</v>
      </c>
      <c r="L2" s="2"/>
    </row>
    <row r="3" spans="1:12" x14ac:dyDescent="0.3">
      <c r="A3" t="s">
        <v>13</v>
      </c>
      <c r="B3" s="41">
        <v>0.14000000000000001</v>
      </c>
      <c r="C3" s="41"/>
      <c r="E3" t="s">
        <v>16</v>
      </c>
      <c r="F3">
        <f>B1-F2</f>
        <v>900000</v>
      </c>
      <c r="G3">
        <f>B1-G2</f>
        <v>750000</v>
      </c>
      <c r="H3">
        <f>H2</f>
        <v>500000</v>
      </c>
    </row>
    <row r="4" spans="1:12" x14ac:dyDescent="0.3">
      <c r="A4" t="s">
        <v>14</v>
      </c>
      <c r="B4" s="2">
        <f>PMT($B$3,B2,-F3,,0)</f>
        <v>387658.33236422838</v>
      </c>
      <c r="C4" s="2">
        <f t="shared" ref="C4:D4" si="0">PMT($B$3,C2,-G3,,0)</f>
        <v>218462.65986828262</v>
      </c>
      <c r="D4" s="2">
        <f t="shared" si="0"/>
        <v>116596.18864878958</v>
      </c>
      <c r="I4" t="s">
        <v>122</v>
      </c>
      <c r="J4" t="s">
        <v>123</v>
      </c>
    </row>
    <row r="5" spans="1:12" x14ac:dyDescent="0.3">
      <c r="B5" s="2"/>
    </row>
    <row r="6" spans="1:12" x14ac:dyDescent="0.3">
      <c r="B6" s="2"/>
    </row>
    <row r="8" spans="1:12" x14ac:dyDescent="0.3">
      <c r="A8" t="s">
        <v>1</v>
      </c>
      <c r="B8" t="s">
        <v>59</v>
      </c>
      <c r="C8" t="s">
        <v>15</v>
      </c>
      <c r="D8" t="s">
        <v>60</v>
      </c>
      <c r="E8" t="s">
        <v>16</v>
      </c>
      <c r="H8" t="s">
        <v>1</v>
      </c>
      <c r="I8" t="s">
        <v>59</v>
      </c>
      <c r="J8" t="s">
        <v>15</v>
      </c>
      <c r="K8" t="s">
        <v>60</v>
      </c>
      <c r="L8" t="s">
        <v>16</v>
      </c>
    </row>
    <row r="9" spans="1:12" x14ac:dyDescent="0.3">
      <c r="A9">
        <v>0</v>
      </c>
      <c r="B9">
        <v>0</v>
      </c>
      <c r="C9">
        <v>0</v>
      </c>
      <c r="D9">
        <v>0</v>
      </c>
      <c r="E9">
        <f>F3</f>
        <v>900000</v>
      </c>
      <c r="H9">
        <v>0</v>
      </c>
      <c r="I9">
        <v>0</v>
      </c>
      <c r="J9">
        <v>0</v>
      </c>
      <c r="K9">
        <v>0</v>
      </c>
      <c r="L9">
        <f>G3</f>
        <v>750000</v>
      </c>
    </row>
    <row r="10" spans="1:12" x14ac:dyDescent="0.3">
      <c r="A10">
        <v>1</v>
      </c>
      <c r="B10" s="2">
        <f>$B$4</f>
        <v>387658.33236422838</v>
      </c>
      <c r="C10">
        <f>E9*$B$3</f>
        <v>126000.00000000001</v>
      </c>
      <c r="D10" s="2">
        <f>B10-C10</f>
        <v>261658.33236422838</v>
      </c>
      <c r="E10" s="2">
        <f>E9-D10</f>
        <v>638341.66763577168</v>
      </c>
      <c r="H10">
        <v>1</v>
      </c>
      <c r="I10" s="2">
        <f>$C$4</f>
        <v>218462.65986828262</v>
      </c>
      <c r="J10">
        <f>L9*$B$3</f>
        <v>105000.00000000001</v>
      </c>
      <c r="K10" s="2">
        <f>I10-J10</f>
        <v>113462.6598682826</v>
      </c>
      <c r="L10" s="2">
        <f>L9-K10</f>
        <v>636537.34013171738</v>
      </c>
    </row>
    <row r="11" spans="1:12" x14ac:dyDescent="0.3">
      <c r="A11">
        <v>2</v>
      </c>
      <c r="B11" s="2">
        <f t="shared" ref="B11:B14" si="1">$B$4</f>
        <v>387658.33236422838</v>
      </c>
      <c r="C11">
        <f>E10*$B$3</f>
        <v>89367.833469008037</v>
      </c>
      <c r="D11" s="2">
        <f t="shared" ref="D11:D14" si="2">B11-C11</f>
        <v>298290.49889522034</v>
      </c>
      <c r="E11" s="2">
        <f t="shared" ref="E11:E14" si="3">E10-D11</f>
        <v>340051.16874055134</v>
      </c>
      <c r="H11">
        <v>2</v>
      </c>
      <c r="I11" s="2">
        <f t="shared" ref="I11:I14" si="4">$C$4</f>
        <v>218462.65986828262</v>
      </c>
      <c r="J11">
        <f>L10*$B$3</f>
        <v>89115.227618440447</v>
      </c>
      <c r="K11" s="2">
        <f t="shared" ref="K11:K14" si="5">I11-J11</f>
        <v>129347.43224984217</v>
      </c>
      <c r="L11" s="2">
        <f t="shared" ref="L11:L12" si="6">L10-K11</f>
        <v>507189.90788187523</v>
      </c>
    </row>
    <row r="12" spans="1:12" x14ac:dyDescent="0.3">
      <c r="A12">
        <v>3</v>
      </c>
      <c r="B12" s="2">
        <f t="shared" si="1"/>
        <v>387658.33236422838</v>
      </c>
      <c r="C12">
        <f t="shared" ref="C12:C14" si="7">E11*$B$3</f>
        <v>47607.163623677188</v>
      </c>
      <c r="D12" s="2">
        <f t="shared" si="2"/>
        <v>340051.16874055122</v>
      </c>
      <c r="E12" s="2">
        <f t="shared" si="3"/>
        <v>0</v>
      </c>
      <c r="H12">
        <v>3</v>
      </c>
      <c r="I12" s="2">
        <f t="shared" si="4"/>
        <v>218462.65986828262</v>
      </c>
      <c r="J12">
        <f t="shared" ref="J12:J14" si="8">L11*$B$3</f>
        <v>71006.587103462545</v>
      </c>
      <c r="K12" s="2">
        <f t="shared" si="5"/>
        <v>147456.07276482007</v>
      </c>
      <c r="L12" s="2">
        <f t="shared" si="6"/>
        <v>359733.83511705516</v>
      </c>
    </row>
    <row r="13" spans="1:12" x14ac:dyDescent="0.3">
      <c r="A13">
        <v>4</v>
      </c>
      <c r="B13" s="2">
        <f t="shared" si="1"/>
        <v>387658.33236422838</v>
      </c>
      <c r="C13">
        <f t="shared" si="7"/>
        <v>0</v>
      </c>
      <c r="D13" s="2">
        <f t="shared" si="2"/>
        <v>387658.33236422838</v>
      </c>
      <c r="E13" s="2">
        <f>E12-D13</f>
        <v>-387658.33236422838</v>
      </c>
      <c r="H13">
        <v>4</v>
      </c>
      <c r="I13" s="2">
        <f t="shared" si="4"/>
        <v>218462.65986828262</v>
      </c>
      <c r="J13">
        <f t="shared" si="8"/>
        <v>50362.73691638773</v>
      </c>
      <c r="K13" s="2">
        <f t="shared" si="5"/>
        <v>168099.92295189487</v>
      </c>
      <c r="L13" s="2">
        <f>L12-K13</f>
        <v>191633.91216516029</v>
      </c>
    </row>
    <row r="14" spans="1:12" x14ac:dyDescent="0.3">
      <c r="A14">
        <v>5</v>
      </c>
      <c r="B14" s="2">
        <f t="shared" si="1"/>
        <v>387658.33236422838</v>
      </c>
      <c r="C14">
        <f t="shared" si="7"/>
        <v>-54272.166530991977</v>
      </c>
      <c r="D14" s="2">
        <f t="shared" si="2"/>
        <v>441930.49889522034</v>
      </c>
      <c r="E14" s="2">
        <f t="shared" si="3"/>
        <v>-829588.83125944878</v>
      </c>
      <c r="H14">
        <v>5</v>
      </c>
      <c r="I14" s="2">
        <f t="shared" si="4"/>
        <v>218462.65986828262</v>
      </c>
      <c r="J14">
        <f t="shared" si="8"/>
        <v>26828.747703122444</v>
      </c>
      <c r="K14" s="2">
        <f t="shared" si="5"/>
        <v>191633.91216516017</v>
      </c>
      <c r="L14" s="2">
        <f t="shared" ref="L14" si="9">L13-K14</f>
        <v>0</v>
      </c>
    </row>
    <row r="15" spans="1:12" x14ac:dyDescent="0.3">
      <c r="A15" t="s">
        <v>81</v>
      </c>
      <c r="B15" s="2">
        <f>SUM(B9:B14)</f>
        <v>1938291.6618211418</v>
      </c>
      <c r="C15" s="2">
        <f t="shared" ref="C15:D15" si="10">SUM(C9:C14)</f>
        <v>208702.83056169323</v>
      </c>
      <c r="D15" s="2">
        <f t="shared" si="10"/>
        <v>1729588.8312594485</v>
      </c>
      <c r="E15" s="2"/>
      <c r="H15" t="s">
        <v>81</v>
      </c>
      <c r="I15" s="2"/>
      <c r="J15" s="2">
        <f t="shared" ref="J15" si="11">SUM(J9:J14)</f>
        <v>342313.29934141319</v>
      </c>
      <c r="K15" s="2">
        <f t="shared" ref="K15" si="12">SUM(K9:K14)</f>
        <v>749999.99999999988</v>
      </c>
      <c r="L15" s="2"/>
    </row>
    <row r="19" spans="2:5" x14ac:dyDescent="0.3">
      <c r="B19" s="2"/>
      <c r="D19" s="2"/>
      <c r="E19" s="2"/>
    </row>
    <row r="20" spans="2:5" x14ac:dyDescent="0.3">
      <c r="B20" s="2"/>
      <c r="D20" s="2"/>
      <c r="E20" s="2"/>
    </row>
    <row r="21" spans="2:5" x14ac:dyDescent="0.3">
      <c r="B21" s="2"/>
      <c r="D21" s="2"/>
      <c r="E21" s="2"/>
    </row>
    <row r="22" spans="2:5" x14ac:dyDescent="0.3">
      <c r="B22" s="2"/>
      <c r="D22" s="2"/>
      <c r="E22" s="2"/>
    </row>
    <row r="23" spans="2:5" x14ac:dyDescent="0.3">
      <c r="B23" s="2"/>
      <c r="D23" s="2"/>
      <c r="E23" s="2"/>
    </row>
    <row r="24" spans="2:5" x14ac:dyDescent="0.3">
      <c r="B24" s="2"/>
      <c r="C24" s="2"/>
      <c r="D24" s="2"/>
      <c r="E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PV</vt:lpstr>
      <vt:lpstr>Periodic Payments</vt:lpstr>
      <vt:lpstr>NPV</vt:lpstr>
      <vt:lpstr>Profitability Index</vt:lpstr>
      <vt:lpstr>IRR</vt:lpstr>
      <vt:lpstr>Multiple IRR</vt:lpstr>
      <vt:lpstr>MIRR</vt:lpstr>
      <vt:lpstr>Cross Over Rate</vt:lpstr>
      <vt:lpstr>Cross Over Rate (2)</vt:lpstr>
      <vt:lpstr>PBP and MPBP</vt:lpstr>
      <vt:lpstr>PV of Annuity and Growth Anuity</vt:lpstr>
      <vt:lpstr>FV of Interest</vt:lpstr>
      <vt:lpstr>Continuous Compunding</vt:lpstr>
      <vt:lpstr>Continous discounting</vt:lpstr>
      <vt:lpstr>Amortization Table</vt:lpstr>
      <vt:lpstr>Amortization Table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Naeem Khan</dc:creator>
  <cp:lastModifiedBy>Abdullah Tufail</cp:lastModifiedBy>
  <dcterms:created xsi:type="dcterms:W3CDTF">2015-06-05T18:17:20Z</dcterms:created>
  <dcterms:modified xsi:type="dcterms:W3CDTF">2025-09-20T05:15:43Z</dcterms:modified>
</cp:coreProperties>
</file>