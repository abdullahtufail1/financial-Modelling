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esktop\Bahria Uni\Financial Modelling\"/>
    </mc:Choice>
  </mc:AlternateContent>
  <xr:revisionPtr revIDLastSave="0" documentId="13_ncr:1_{6BF10335-0CF2-4191-8ABF-CF2C64E5F1AB}" xr6:coauthVersionLast="47" xr6:coauthVersionMax="47" xr10:uidLastSave="{00000000-0000-0000-0000-000000000000}"/>
  <bookViews>
    <workbookView xWindow="-108" yWindow="-108" windowWidth="23256" windowHeight="12456" activeTab="3" xr2:uid="{3ACB5AC6-86FE-4A51-8CDB-07387A8D7DBE}"/>
  </bookViews>
  <sheets>
    <sheet name="Base Case" sheetId="1" r:id="rId1"/>
    <sheet name="Scenario Summary" sheetId="4" r:id="rId2"/>
    <sheet name="Senario Analysis" sheetId="2" r:id="rId3"/>
    <sheet name="Sensitivity 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9" i="1"/>
  <c r="K8" i="1"/>
  <c r="K7" i="1"/>
  <c r="K6" i="1"/>
  <c r="K5" i="1"/>
  <c r="K3" i="1"/>
  <c r="H13" i="1"/>
  <c r="I20" i="3"/>
  <c r="H20" i="3"/>
  <c r="G20" i="3"/>
  <c r="H18" i="3"/>
  <c r="I18" i="3"/>
  <c r="G18" i="3"/>
  <c r="I17" i="3"/>
  <c r="H17" i="3"/>
  <c r="G17" i="3"/>
  <c r="I19" i="3"/>
  <c r="H19" i="3"/>
  <c r="G19" i="3"/>
  <c r="C20" i="3"/>
  <c r="D20" i="3"/>
  <c r="C19" i="3"/>
  <c r="D19" i="3"/>
  <c r="C18" i="3"/>
  <c r="D18" i="3"/>
  <c r="C17" i="3"/>
  <c r="C21" i="3" s="1"/>
  <c r="D17" i="3"/>
  <c r="D21" i="3" s="1"/>
  <c r="B18" i="3"/>
  <c r="B19" i="3"/>
  <c r="B20" i="3"/>
  <c r="B17" i="3"/>
  <c r="D18" i="2"/>
  <c r="D17" i="2"/>
  <c r="D16" i="2"/>
  <c r="D15" i="2"/>
  <c r="C18" i="2"/>
  <c r="C16" i="2"/>
  <c r="C17" i="2"/>
  <c r="B17" i="2"/>
  <c r="C15" i="2"/>
  <c r="B18" i="2"/>
  <c r="B16" i="2"/>
  <c r="B15" i="2"/>
  <c r="H6" i="1"/>
  <c r="H5" i="1"/>
  <c r="H4" i="1"/>
  <c r="H3" i="1"/>
  <c r="H7" i="1" s="1"/>
  <c r="D22" i="3" l="1"/>
  <c r="D23" i="3" s="1"/>
  <c r="C22" i="3"/>
  <c r="C23" i="3" s="1"/>
  <c r="H8" i="1"/>
  <c r="H11" i="1"/>
  <c r="H9" i="1"/>
  <c r="B19" i="2"/>
  <c r="B20" i="2" s="1"/>
  <c r="B21" i="3"/>
  <c r="B22" i="3" s="1"/>
  <c r="B25" i="3" s="1"/>
  <c r="B27" i="3" s="1"/>
  <c r="G21" i="3"/>
  <c r="G22" i="3" s="1"/>
  <c r="G25" i="3" s="1"/>
  <c r="G27" i="3" s="1"/>
  <c r="D19" i="2"/>
  <c r="D20" i="2" s="1"/>
  <c r="D21" i="2" s="1"/>
  <c r="C19" i="2"/>
  <c r="C20" i="2" s="1"/>
  <c r="I21" i="3"/>
  <c r="I22" i="3" s="1"/>
  <c r="I25" i="3" s="1"/>
  <c r="I27" i="3" s="1"/>
  <c r="H21" i="3"/>
  <c r="H22" i="3" s="1"/>
  <c r="H25" i="3" s="1"/>
  <c r="H27" i="3" s="1"/>
  <c r="C25" i="3"/>
  <c r="C27" i="3" s="1"/>
  <c r="B23" i="2" l="1"/>
  <c r="B25" i="2" s="1"/>
  <c r="D23" i="2"/>
  <c r="D25" i="2" s="1"/>
  <c r="C21" i="2"/>
  <c r="C23" i="2"/>
  <c r="C25" i="2" s="1"/>
  <c r="I23" i="3"/>
  <c r="H23" i="3"/>
  <c r="G23" i="3"/>
  <c r="D25" i="3"/>
  <c r="D27" i="3" s="1"/>
  <c r="B23" i="3"/>
  <c r="B21" i="2"/>
</calcChain>
</file>

<file path=xl/sharedStrings.xml><?xml version="1.0" encoding="utf-8"?>
<sst xmlns="http://schemas.openxmlformats.org/spreadsheetml/2006/main" count="131" uniqueCount="50">
  <si>
    <t>Base Case</t>
  </si>
  <si>
    <t>Lower Bound</t>
  </si>
  <si>
    <t>Upper Bound</t>
  </si>
  <si>
    <t>Unit sales</t>
  </si>
  <si>
    <t>Price per unit</t>
  </si>
  <si>
    <t>Variable costs per unit</t>
  </si>
  <si>
    <t>Fixed costs per year</t>
  </si>
  <si>
    <t>Cost</t>
  </si>
  <si>
    <t>Life of Project (years)</t>
  </si>
  <si>
    <t>Salvage Value</t>
  </si>
  <si>
    <t>Required Return</t>
  </si>
  <si>
    <t>Tax rate</t>
  </si>
  <si>
    <t>Base Case NPV</t>
  </si>
  <si>
    <t>sales</t>
  </si>
  <si>
    <t>VC</t>
  </si>
  <si>
    <t>Dep</t>
  </si>
  <si>
    <t>EBIT</t>
  </si>
  <si>
    <t>Taxes</t>
  </si>
  <si>
    <t>FC</t>
  </si>
  <si>
    <t>Net Income</t>
  </si>
  <si>
    <t>OCF</t>
  </si>
  <si>
    <t>NPV</t>
  </si>
  <si>
    <t>Worse Case NPV</t>
  </si>
  <si>
    <t>Best Case NPV</t>
  </si>
  <si>
    <t>Sales Only</t>
  </si>
  <si>
    <t>Fixed Cost</t>
  </si>
  <si>
    <t>Lower bound Case NPV</t>
  </si>
  <si>
    <t>Upper Bound Case NPV</t>
  </si>
  <si>
    <t>$B$8</t>
  </si>
  <si>
    <t>$B$9</t>
  </si>
  <si>
    <t>$B$10</t>
  </si>
  <si>
    <t>$B$11</t>
  </si>
  <si>
    <t>$B$21</t>
  </si>
  <si>
    <t>$B$23</t>
  </si>
  <si>
    <t>Created by WS-LAPTOP-4 on 9/20/2025</t>
  </si>
  <si>
    <t>Worst</t>
  </si>
  <si>
    <t>Best Case</t>
  </si>
  <si>
    <t>base case A</t>
  </si>
  <si>
    <t>Created by Abdullah Tufail on 20/09/2025</t>
  </si>
  <si>
    <t>worse case A</t>
  </si>
  <si>
    <t>Best Case A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</si>
  <si>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</si>
  <si>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</si>
  <si>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</si>
  <si>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</si>
  <si>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</si>
  <si>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</si>
  <si>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</si>
  <si>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# of sales units will very other variable will remain constant</t>
  </si>
  <si>
    <t># of units will change however the cost will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</si>
</sst>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42021"/>
      <name val="HelveticaNeue-Roman"/>
    </font>
    <font>
      <sz val="8"/>
      <color rgb="FF242021"/>
      <name val="HelveticaNeue-Bold"/>
    </font>
    <font>
      <sz val="11"/>
      <color rgb="FF00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9" fontId="0" fillId="0" borderId="0" xfId="0" applyNumberFormat="1"/>
    <xf numFmtId="165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0" fontId="4" fillId="0" borderId="0" xfId="0" applyFont="1"/>
    <xf numFmtId="0" fontId="0" fillId="0" borderId="0" xfId="0" applyFill="1" applyBorder="1" applyAlignment="1"/>
    <xf numFmtId="1" fontId="0" fillId="0" borderId="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2" xfId="0" applyNumberFormat="1" applyFill="1" applyBorder="1" applyAlignment="1"/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6" fillId="3" borderId="0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1" fontId="0" fillId="4" borderId="0" xfId="0" applyNumberFormat="1" applyFill="1" applyBorder="1" applyAlignment="1"/>
    <xf numFmtId="165" fontId="0" fillId="4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62DE-456C-4E97-B6D2-D47A17224653}">
  <dimension ref="A1:N13"/>
  <sheetViews>
    <sheetView tabSelected="1" zoomScaleNormal="100" workbookViewId="0"/>
  </sheetViews>
  <sheetFormatPr defaultRowHeight="14.4"/>
  <cols>
    <col min="1" max="1" width="19.21875" bestFit="1" customWidth="1"/>
    <col min="2" max="2" width="9.21875" bestFit="1" customWidth="1"/>
    <col min="3" max="3" width="11.77734375" bestFit="1" customWidth="1"/>
    <col min="4" max="4" width="11.6640625" bestFit="1" customWidth="1"/>
    <col min="6" max="6" width="19.21875" bestFit="1" customWidth="1"/>
    <col min="8" max="8" width="10" bestFit="1" customWidth="1"/>
  </cols>
  <sheetData>
    <row r="1" spans="1:14">
      <c r="A1" s="5" t="s">
        <v>7</v>
      </c>
      <c r="B1" s="3">
        <v>200000</v>
      </c>
      <c r="G1" t="s">
        <v>12</v>
      </c>
      <c r="J1" t="s">
        <v>26</v>
      </c>
      <c r="N1" s="10" t="s">
        <v>27</v>
      </c>
    </row>
    <row r="2" spans="1:14">
      <c r="A2" s="1" t="s">
        <v>8</v>
      </c>
      <c r="B2">
        <v>5</v>
      </c>
      <c r="N2" s="10"/>
    </row>
    <row r="3" spans="1:14">
      <c r="A3" s="2" t="s">
        <v>9</v>
      </c>
      <c r="B3" s="3">
        <v>0</v>
      </c>
      <c r="G3" t="s">
        <v>13</v>
      </c>
      <c r="H3" s="3">
        <f>B8*B9</f>
        <v>480000</v>
      </c>
      <c r="J3" t="s">
        <v>13</v>
      </c>
      <c r="K3">
        <f>C8*C9</f>
        <v>412500</v>
      </c>
      <c r="N3" s="10" t="s">
        <v>13</v>
      </c>
    </row>
    <row r="4" spans="1:14">
      <c r="A4" s="2" t="s">
        <v>10</v>
      </c>
      <c r="B4" s="6">
        <v>0.12</v>
      </c>
      <c r="G4" t="s">
        <v>14</v>
      </c>
      <c r="H4" s="3">
        <f>B8*B10</f>
        <v>360000</v>
      </c>
      <c r="J4" t="s">
        <v>14</v>
      </c>
      <c r="K4">
        <f>C8*C10</f>
        <v>319000</v>
      </c>
      <c r="N4" s="10" t="s">
        <v>14</v>
      </c>
    </row>
    <row r="5" spans="1:14">
      <c r="A5" s="2" t="s">
        <v>11</v>
      </c>
      <c r="B5" s="6">
        <v>0.34</v>
      </c>
      <c r="G5" t="s">
        <v>15</v>
      </c>
      <c r="H5" s="3">
        <f>B1/B2</f>
        <v>40000</v>
      </c>
      <c r="J5" t="s">
        <v>15</v>
      </c>
      <c r="K5">
        <f>B1/B2</f>
        <v>40000</v>
      </c>
      <c r="N5" s="10" t="s">
        <v>15</v>
      </c>
    </row>
    <row r="6" spans="1:14">
      <c r="A6" s="2"/>
      <c r="B6" s="6"/>
      <c r="G6" t="s">
        <v>18</v>
      </c>
      <c r="H6" s="3">
        <f>B11</f>
        <v>50000</v>
      </c>
      <c r="J6" t="s">
        <v>18</v>
      </c>
      <c r="K6" s="3">
        <f>C11</f>
        <v>45000</v>
      </c>
      <c r="N6" s="10" t="s">
        <v>18</v>
      </c>
    </row>
    <row r="7" spans="1:14">
      <c r="B7" t="s">
        <v>0</v>
      </c>
      <c r="C7" t="s">
        <v>1</v>
      </c>
      <c r="D7" t="s">
        <v>2</v>
      </c>
      <c r="G7" t="s">
        <v>16</v>
      </c>
      <c r="H7" s="3">
        <f>H3-H4-H5-H6</f>
        <v>30000</v>
      </c>
      <c r="J7" t="s">
        <v>16</v>
      </c>
      <c r="K7" s="3">
        <f>K3-(K4+K5+K6)</f>
        <v>8500</v>
      </c>
      <c r="N7" s="10" t="s">
        <v>16</v>
      </c>
    </row>
    <row r="8" spans="1:14">
      <c r="A8" t="s">
        <v>3</v>
      </c>
      <c r="B8" s="4">
        <v>6000</v>
      </c>
      <c r="C8" s="4">
        <v>5500</v>
      </c>
      <c r="D8" s="4">
        <v>6500</v>
      </c>
      <c r="G8" t="s">
        <v>17</v>
      </c>
      <c r="H8" s="3">
        <f>H7*B5</f>
        <v>10200</v>
      </c>
      <c r="J8" t="s">
        <v>17</v>
      </c>
      <c r="K8">
        <f>K7*B5</f>
        <v>2890</v>
      </c>
      <c r="N8" s="10" t="s">
        <v>17</v>
      </c>
    </row>
    <row r="9" spans="1:14">
      <c r="A9" t="s">
        <v>4</v>
      </c>
      <c r="B9" s="3">
        <v>80</v>
      </c>
      <c r="C9" s="3">
        <v>75</v>
      </c>
      <c r="D9" s="3">
        <v>85</v>
      </c>
      <c r="G9" t="s">
        <v>19</v>
      </c>
      <c r="H9" s="7">
        <f>H7-H8</f>
        <v>19800</v>
      </c>
      <c r="J9" t="s">
        <v>19</v>
      </c>
      <c r="K9" s="3">
        <f>K7-K8</f>
        <v>5610</v>
      </c>
      <c r="N9" s="10" t="s">
        <v>19</v>
      </c>
    </row>
    <row r="10" spans="1:14">
      <c r="A10" t="s">
        <v>5</v>
      </c>
      <c r="B10" s="3">
        <v>60</v>
      </c>
      <c r="C10" s="3">
        <v>58</v>
      </c>
      <c r="D10" s="3">
        <v>62</v>
      </c>
      <c r="N10" s="10"/>
    </row>
    <row r="11" spans="1:14">
      <c r="A11" t="s">
        <v>6</v>
      </c>
      <c r="B11" s="3">
        <v>50000</v>
      </c>
      <c r="C11" s="3">
        <v>45000</v>
      </c>
      <c r="D11" s="3">
        <v>55000</v>
      </c>
      <c r="G11" t="s">
        <v>20</v>
      </c>
      <c r="H11" s="3">
        <f>H7+H5-H8</f>
        <v>59800</v>
      </c>
      <c r="J11" t="s">
        <v>20</v>
      </c>
      <c r="N11" s="10" t="s">
        <v>20</v>
      </c>
    </row>
    <row r="12" spans="1:14">
      <c r="N12" s="10"/>
    </row>
    <row r="13" spans="1:14">
      <c r="G13" t="s">
        <v>21</v>
      </c>
      <c r="H13" s="3">
        <f>(PV(B4,B2,-H11))-B1</f>
        <v>15565.616900231398</v>
      </c>
      <c r="J13" t="s">
        <v>21</v>
      </c>
      <c r="N13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5882-58D5-4452-84D5-6CE8651647C8}">
  <sheetPr>
    <outlinePr summaryBelow="0"/>
  </sheetPr>
  <dimension ref="B1:J15"/>
  <sheetViews>
    <sheetView showGridLines="0" tabSelected="1" workbookViewId="0"/>
  </sheetViews>
  <sheetFormatPr defaultRowHeight="14.4" outlineLevelRow="1" outlineLevelCol="1"/>
  <cols>
    <col min="3" max="3" width="6.109375" bestFit="1" customWidth="1"/>
    <col min="4" max="10" width="13.109375" bestFit="1" customWidth="1" outlineLevel="1"/>
  </cols>
  <sheetData>
    <row r="1" spans="2:10" ht="15" thickBot="1"/>
    <row r="2" spans="2:10" ht="15.6">
      <c r="B2" s="16" t="s">
        <v>41</v>
      </c>
      <c r="C2" s="16"/>
      <c r="D2" s="21"/>
      <c r="E2" s="21"/>
      <c r="F2" s="21"/>
      <c r="G2" s="21"/>
      <c r="H2" s="21"/>
      <c r="I2" s="21"/>
      <c r="J2" s="21"/>
    </row>
    <row r="3" spans="2:10" ht="15.6" collapsed="1">
      <c r="B3" s="15"/>
      <c r="C3" s="15"/>
      <c r="D3" s="22" t="s">
        <v>43</v>
      </c>
      <c r="E3" s="22" t="s">
        <v>0</v>
      </c>
      <c r="F3" s="22" t="s">
        <v>35</v>
      </c>
      <c r="G3" s="22" t="s">
        <v>36</v>
      </c>
      <c r="H3" s="22" t="s">
        <v>37</v>
      </c>
      <c r="I3" s="22" t="s">
        <v>39</v>
      </c>
      <c r="J3" s="22" t="s">
        <v>40</v>
      </c>
    </row>
    <row r="4" spans="2:10" ht="30.6" hidden="1" outlineLevel="1">
      <c r="B4" s="18"/>
      <c r="C4" s="18"/>
      <c r="D4" s="11"/>
      <c r="E4" s="25" t="s">
        <v>34</v>
      </c>
      <c r="F4" s="25" t="s">
        <v>34</v>
      </c>
      <c r="G4" s="25" t="s">
        <v>34</v>
      </c>
      <c r="H4" s="25" t="s">
        <v>38</v>
      </c>
      <c r="I4" s="25" t="s">
        <v>38</v>
      </c>
      <c r="J4" s="25" t="s">
        <v>38</v>
      </c>
    </row>
    <row r="5" spans="2:10">
      <c r="B5" s="19" t="s">
        <v>42</v>
      </c>
      <c r="C5" s="19"/>
      <c r="D5" s="17"/>
      <c r="E5" s="17"/>
      <c r="F5" s="17"/>
      <c r="G5" s="17"/>
      <c r="H5" s="17"/>
      <c r="I5" s="17"/>
      <c r="J5" s="17"/>
    </row>
    <row r="6" spans="2:10" outlineLevel="1">
      <c r="B6" s="18"/>
      <c r="C6" s="18" t="s">
        <v>28</v>
      </c>
      <c r="D6" s="12">
        <v>5500</v>
      </c>
      <c r="E6" s="23">
        <v>6000</v>
      </c>
      <c r="F6" s="23">
        <v>5500</v>
      </c>
      <c r="G6" s="23">
        <v>6500</v>
      </c>
      <c r="H6" s="23">
        <v>6000</v>
      </c>
      <c r="I6" s="23">
        <v>5500</v>
      </c>
      <c r="J6" s="23">
        <v>6500</v>
      </c>
    </row>
    <row r="7" spans="2:10" outlineLevel="1">
      <c r="B7" s="18"/>
      <c r="C7" s="18" t="s">
        <v>29</v>
      </c>
      <c r="D7" s="13">
        <v>75</v>
      </c>
      <c r="E7" s="24">
        <v>80</v>
      </c>
      <c r="F7" s="24">
        <v>75</v>
      </c>
      <c r="G7" s="24">
        <v>85</v>
      </c>
      <c r="H7" s="24">
        <v>80</v>
      </c>
      <c r="I7" s="24">
        <v>75</v>
      </c>
      <c r="J7" s="24">
        <v>85</v>
      </c>
    </row>
    <row r="8" spans="2:10" outlineLevel="1">
      <c r="B8" s="18"/>
      <c r="C8" s="18" t="s">
        <v>30</v>
      </c>
      <c r="D8" s="13">
        <v>62</v>
      </c>
      <c r="E8" s="24">
        <v>60</v>
      </c>
      <c r="F8" s="24">
        <v>62</v>
      </c>
      <c r="G8" s="24">
        <v>58</v>
      </c>
      <c r="H8" s="24">
        <v>60</v>
      </c>
      <c r="I8" s="24">
        <v>62</v>
      </c>
      <c r="J8" s="24">
        <v>58</v>
      </c>
    </row>
    <row r="9" spans="2:10" outlineLevel="1">
      <c r="B9" s="18"/>
      <c r="C9" s="18" t="s">
        <v>31</v>
      </c>
      <c r="D9" s="13">
        <v>55000</v>
      </c>
      <c r="E9" s="24">
        <v>50000</v>
      </c>
      <c r="F9" s="24">
        <v>55000</v>
      </c>
      <c r="G9" s="24">
        <v>45000</v>
      </c>
      <c r="H9" s="24">
        <v>50000</v>
      </c>
      <c r="I9" s="24">
        <v>55000</v>
      </c>
      <c r="J9" s="24">
        <v>45000</v>
      </c>
    </row>
    <row r="10" spans="2:10">
      <c r="B10" s="19" t="s">
        <v>44</v>
      </c>
      <c r="C10" s="19"/>
      <c r="D10" s="17"/>
      <c r="E10" s="17"/>
      <c r="F10" s="17"/>
      <c r="G10" s="17"/>
      <c r="H10" s="17"/>
      <c r="I10" s="17"/>
      <c r="J10" s="17"/>
    </row>
    <row r="11" spans="2:10" outlineLevel="1">
      <c r="B11" s="18"/>
      <c r="C11" s="18" t="s">
        <v>32</v>
      </c>
      <c r="D11" s="13">
        <v>-15510</v>
      </c>
      <c r="E11" s="13">
        <v>19800</v>
      </c>
      <c r="F11" s="13">
        <v>-15510</v>
      </c>
      <c r="G11" s="13">
        <v>59730</v>
      </c>
      <c r="H11" s="13">
        <v>19800</v>
      </c>
      <c r="I11" s="13">
        <v>-15510</v>
      </c>
      <c r="J11" s="13">
        <v>59730</v>
      </c>
    </row>
    <row r="12" spans="2:10" ht="15" outlineLevel="1" thickBot="1">
      <c r="B12" s="20"/>
      <c r="C12" s="20" t="s">
        <v>33</v>
      </c>
      <c r="D12" s="14">
        <v>24490</v>
      </c>
      <c r="E12" s="14">
        <v>59800</v>
      </c>
      <c r="F12" s="14">
        <v>24490</v>
      </c>
      <c r="G12" s="14">
        <v>99730</v>
      </c>
      <c r="H12" s="14">
        <v>59800</v>
      </c>
      <c r="I12" s="14">
        <v>24490</v>
      </c>
      <c r="J12" s="14">
        <v>99730</v>
      </c>
    </row>
    <row r="13" spans="2:10">
      <c r="B13" t="s">
        <v>45</v>
      </c>
    </row>
    <row r="14" spans="2:10">
      <c r="B14" t="s">
        <v>46</v>
      </c>
    </row>
    <row r="15" spans="2:10">
      <c r="B15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FDF6-2FE2-4317-8684-A505403AC5B7}">
  <dimension ref="A1:E26"/>
  <sheetViews>
    <sheetView tabSelected="1" topLeftCell="A9" zoomScale="160" zoomScaleNormal="160" workbookViewId="0"/>
  </sheetViews>
  <sheetFormatPr defaultRowHeight="14.4"/>
  <cols>
    <col min="1" max="1" width="19.21875" bestFit="1" customWidth="1"/>
    <col min="2" max="2" width="13.21875" bestFit="1" customWidth="1"/>
    <col min="3" max="3" width="11.77734375" bestFit="1" customWidth="1"/>
    <col min="4" max="4" width="11.6640625" bestFit="1" customWidth="1"/>
  </cols>
  <sheetData>
    <row r="1" spans="1:5">
      <c r="A1" s="5" t="s">
        <v>7</v>
      </c>
      <c r="B1" s="3">
        <v>200000</v>
      </c>
    </row>
    <row r="2" spans="1:5">
      <c r="A2" s="1" t="s">
        <v>8</v>
      </c>
      <c r="B2">
        <v>5</v>
      </c>
    </row>
    <row r="3" spans="1:5">
      <c r="A3" s="2" t="s">
        <v>9</v>
      </c>
      <c r="B3" s="3">
        <v>0</v>
      </c>
    </row>
    <row r="4" spans="1:5">
      <c r="A4" s="2" t="s">
        <v>10</v>
      </c>
      <c r="B4" s="6">
        <v>0.12</v>
      </c>
    </row>
    <row r="5" spans="1:5">
      <c r="A5" s="2" t="s">
        <v>11</v>
      </c>
      <c r="B5" s="6">
        <v>0.34</v>
      </c>
    </row>
    <row r="6" spans="1:5">
      <c r="A6" s="2"/>
      <c r="B6" s="6"/>
    </row>
    <row r="7" spans="1:5">
      <c r="B7" t="s">
        <v>0</v>
      </c>
      <c r="C7" t="s">
        <v>1</v>
      </c>
      <c r="D7" t="s">
        <v>2</v>
      </c>
    </row>
    <row r="8" spans="1:5">
      <c r="A8" t="s">
        <v>3</v>
      </c>
      <c r="B8" s="8">
        <v>5500</v>
      </c>
      <c r="C8" s="8">
        <v>5500</v>
      </c>
      <c r="D8" s="8">
        <v>6500</v>
      </c>
    </row>
    <row r="9" spans="1:5">
      <c r="A9" t="s">
        <v>4</v>
      </c>
      <c r="B9" s="3">
        <v>75</v>
      </c>
      <c r="C9" s="3">
        <v>75</v>
      </c>
      <c r="D9" s="3">
        <v>85</v>
      </c>
    </row>
    <row r="10" spans="1:5">
      <c r="A10" t="s">
        <v>5</v>
      </c>
      <c r="B10" s="3">
        <v>62</v>
      </c>
      <c r="C10" s="3">
        <v>58</v>
      </c>
      <c r="D10" s="3">
        <v>62</v>
      </c>
    </row>
    <row r="11" spans="1:5">
      <c r="A11" t="s">
        <v>6</v>
      </c>
      <c r="B11" s="3">
        <v>55000</v>
      </c>
      <c r="C11" s="3">
        <v>45000</v>
      </c>
      <c r="D11" s="3">
        <v>55000</v>
      </c>
    </row>
    <row r="13" spans="1:5">
      <c r="B13" t="s">
        <v>12</v>
      </c>
      <c r="C13" t="s">
        <v>22</v>
      </c>
      <c r="D13" t="s">
        <v>23</v>
      </c>
    </row>
    <row r="15" spans="1:5">
      <c r="A15" t="s">
        <v>13</v>
      </c>
      <c r="B15" s="3">
        <f>B8*B9</f>
        <v>412500</v>
      </c>
      <c r="C15" s="3">
        <f>C8*C9</f>
        <v>412500</v>
      </c>
      <c r="D15" s="3">
        <f>D8*(MAX(B9:D9))</f>
        <v>552500</v>
      </c>
      <c r="E15" s="3"/>
    </row>
    <row r="16" spans="1:5">
      <c r="A16" t="s">
        <v>14</v>
      </c>
      <c r="B16" s="3">
        <f>B8*B10</f>
        <v>341000</v>
      </c>
      <c r="C16" s="3">
        <f>C8*(MAX(B10:D10))</f>
        <v>341000</v>
      </c>
      <c r="D16" s="3">
        <f>D8*(MIN(B10:D10))</f>
        <v>377000</v>
      </c>
    </row>
    <row r="17" spans="1:4">
      <c r="A17" t="s">
        <v>15</v>
      </c>
      <c r="B17" s="3">
        <f>$B$1/$B$2</f>
        <v>40000</v>
      </c>
      <c r="C17" s="3">
        <f>$B$1/$B$2</f>
        <v>40000</v>
      </c>
      <c r="D17" s="3">
        <f>$B$1/$B$2</f>
        <v>40000</v>
      </c>
    </row>
    <row r="18" spans="1:4">
      <c r="A18" t="s">
        <v>18</v>
      </c>
      <c r="B18" s="3">
        <f>B11</f>
        <v>55000</v>
      </c>
      <c r="C18" s="3">
        <f>MAX(B11:D11)</f>
        <v>55000</v>
      </c>
      <c r="D18" s="3">
        <f>MIN(B11:D11)</f>
        <v>45000</v>
      </c>
    </row>
    <row r="19" spans="1:4">
      <c r="A19" t="s">
        <v>16</v>
      </c>
      <c r="B19" s="3">
        <f>B15-B16-B17-B18</f>
        <v>-23500</v>
      </c>
      <c r="C19" s="3">
        <f>C15-C16-C17-C18</f>
        <v>-23500</v>
      </c>
      <c r="D19" s="3">
        <f>D15-D16-D17-D18</f>
        <v>90500</v>
      </c>
    </row>
    <row r="20" spans="1:4">
      <c r="A20" t="s">
        <v>17</v>
      </c>
      <c r="B20" s="3">
        <f>B19*$B$5</f>
        <v>-7990.0000000000009</v>
      </c>
      <c r="C20" s="3">
        <f>C19*$B$5</f>
        <v>-7990.0000000000009</v>
      </c>
      <c r="D20" s="3">
        <f>D19*$B$5</f>
        <v>30770.000000000004</v>
      </c>
    </row>
    <row r="21" spans="1:4">
      <c r="A21" t="s">
        <v>19</v>
      </c>
      <c r="B21" s="7">
        <f>B19-B20</f>
        <v>-15510</v>
      </c>
      <c r="C21" s="7">
        <f>C19-C20</f>
        <v>-15510</v>
      </c>
      <c r="D21" s="7">
        <f>D19-D20</f>
        <v>59730</v>
      </c>
    </row>
    <row r="23" spans="1:4">
      <c r="A23" t="s">
        <v>20</v>
      </c>
      <c r="B23" s="3">
        <f>B19+B17-B20</f>
        <v>24490</v>
      </c>
      <c r="C23" s="3">
        <f>C19+C17-C20</f>
        <v>24490</v>
      </c>
      <c r="D23" s="3">
        <f>D19+D17-D20</f>
        <v>99730</v>
      </c>
    </row>
    <row r="25" spans="1:4">
      <c r="A25" t="s">
        <v>21</v>
      </c>
      <c r="B25" s="3">
        <f>(PV($B$4,$B$2,-B23))-$B$1</f>
        <v>-111719.03080457079</v>
      </c>
      <c r="C25" s="3">
        <f>(PV($B$4,$B$2,-C23))-$B$1</f>
        <v>-111719.03080457079</v>
      </c>
      <c r="D25" s="3">
        <f>(PV($B$4,$B$2,-D23))-$B$1</f>
        <v>159504.3306598675</v>
      </c>
    </row>
    <row r="26" spans="1:4">
      <c r="B26" s="6"/>
    </row>
  </sheetData>
  <scenarios current="4" show="4" sqref="B21 B23">
    <scenario name="Base Case" locked="1" count="4" user="WS-LAPTOP-4" comment="Created by WS-LAPTOP-4 on 9/20/2025">
      <inputCells r="B8" val="6000" numFmtId="1"/>
      <inputCells r="B9" val="80" numFmtId="165"/>
      <inputCells r="B10" val="60" numFmtId="165"/>
      <inputCells r="B11" val="50000" numFmtId="165"/>
    </scenario>
    <scenario name="Worst" locked="1" count="4" user="WS-LAPTOP-4" comment="Created by WS-LAPTOP-4 on 9/20/2025">
      <inputCells r="B8" val="5500" numFmtId="1"/>
      <inputCells r="B9" val="75" numFmtId="165"/>
      <inputCells r="B10" val="62" numFmtId="165"/>
      <inputCells r="B11" val="55000" numFmtId="165"/>
    </scenario>
    <scenario name="Best Case" locked="1" count="4" user="WS-LAPTOP-4" comment="Created by WS-LAPTOP-4 on 9/20/2025">
      <inputCells r="B8" val="6500" numFmtId="1"/>
      <inputCells r="B9" val="85" numFmtId="165"/>
      <inputCells r="B10" val="58" numFmtId="165"/>
      <inputCells r="B11" val="45000" numFmtId="165"/>
    </scenario>
    <scenario name="base case A" locked="1" count="4" user="Abdullah Tufail" comment="Created by Abdullah Tufail on 20/09/2025">
      <inputCells r="B8" val="6000" numFmtId="1"/>
      <inputCells r="B9" val="80" numFmtId="165"/>
      <inputCells r="B10" val="60" numFmtId="165"/>
      <inputCells r="B11" val="50000" numFmtId="165"/>
    </scenario>
    <scenario name="worse case A" locked="1" count="4" user="Abdullah Tufail" comment="Created by Abdullah Tufail on 20/09/2025">
      <inputCells r="B8" val="5500" numFmtId="1"/>
      <inputCells r="B9" val="75" numFmtId="165"/>
      <inputCells r="B10" val="62" numFmtId="165"/>
      <inputCells r="B11" val="55000" numFmtId="165"/>
    </scenario>
    <scenario name="Best Case A" locked="1" count="4" user="Abdullah Tufail" comment="Created by Abdullah Tufail on 20/09/2025">
      <inputCells r="B8" val="6500" numFmtId="1"/>
      <inputCells r="B9" val="85" numFmtId="165"/>
      <inputCells r="B10" val="58" numFmtId="165"/>
      <inputCells r="B11" val="45000" numFmtId="165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412A-CE8B-47CC-A75E-A585E6084860}">
  <dimension ref="A1:I27"/>
  <sheetViews>
    <sheetView tabSelected="1" workbookViewId="0"/>
  </sheetViews>
  <sheetFormatPr defaultRowHeight="14.4"/>
  <cols>
    <col min="1" max="1" width="19.21875" bestFit="1" customWidth="1"/>
    <col min="2" max="2" width="9.21875" bestFit="1" customWidth="1"/>
    <col min="3" max="3" width="11.77734375" bestFit="1" customWidth="1"/>
    <col min="4" max="4" width="11.6640625" bestFit="1" customWidth="1"/>
  </cols>
  <sheetData>
    <row r="1" spans="1:9">
      <c r="A1" s="5" t="s">
        <v>7</v>
      </c>
      <c r="B1" s="3">
        <v>200000</v>
      </c>
    </row>
    <row r="2" spans="1:9">
      <c r="A2" s="1" t="s">
        <v>8</v>
      </c>
      <c r="B2">
        <v>5</v>
      </c>
    </row>
    <row r="3" spans="1:9">
      <c r="A3" s="2" t="s">
        <v>9</v>
      </c>
      <c r="B3" s="3">
        <v>0</v>
      </c>
    </row>
    <row r="4" spans="1:9">
      <c r="A4" s="2" t="s">
        <v>10</v>
      </c>
      <c r="B4" s="6">
        <v>0.12</v>
      </c>
    </row>
    <row r="5" spans="1:9">
      <c r="A5" s="2" t="s">
        <v>11</v>
      </c>
      <c r="B5" s="6">
        <v>0.34</v>
      </c>
    </row>
    <row r="6" spans="1:9">
      <c r="A6" s="2"/>
      <c r="B6" s="6"/>
    </row>
    <row r="7" spans="1:9">
      <c r="B7" t="s">
        <v>0</v>
      </c>
      <c r="C7" t="s">
        <v>1</v>
      </c>
      <c r="D7" t="s">
        <v>2</v>
      </c>
    </row>
    <row r="8" spans="1:9">
      <c r="A8" t="s">
        <v>3</v>
      </c>
      <c r="B8" s="8">
        <v>6000</v>
      </c>
      <c r="C8" s="8">
        <v>5500</v>
      </c>
      <c r="D8" s="8">
        <v>6500</v>
      </c>
    </row>
    <row r="9" spans="1:9">
      <c r="A9" t="s">
        <v>4</v>
      </c>
      <c r="B9" s="3">
        <v>80</v>
      </c>
      <c r="C9" s="3">
        <v>75</v>
      </c>
      <c r="D9" s="3">
        <v>85</v>
      </c>
    </row>
    <row r="10" spans="1:9">
      <c r="A10" t="s">
        <v>5</v>
      </c>
      <c r="B10" s="3">
        <v>60</v>
      </c>
      <c r="C10" s="3">
        <v>58</v>
      </c>
      <c r="D10" s="3">
        <v>62</v>
      </c>
    </row>
    <row r="11" spans="1:9">
      <c r="A11" t="s">
        <v>6</v>
      </c>
      <c r="B11" s="3">
        <v>50000</v>
      </c>
      <c r="C11" s="3">
        <v>45000</v>
      </c>
      <c r="D11" s="3">
        <v>55000</v>
      </c>
    </row>
    <row r="13" spans="1:9">
      <c r="A13" s="9" t="s">
        <v>24</v>
      </c>
      <c r="B13" t="s">
        <v>48</v>
      </c>
      <c r="F13" s="9" t="s">
        <v>25</v>
      </c>
      <c r="G13" t="s">
        <v>49</v>
      </c>
    </row>
    <row r="15" spans="1:9">
      <c r="B15" t="s">
        <v>12</v>
      </c>
      <c r="C15" t="s">
        <v>22</v>
      </c>
      <c r="D15" t="s">
        <v>23</v>
      </c>
      <c r="G15" t="s">
        <v>12</v>
      </c>
      <c r="H15" t="s">
        <v>22</v>
      </c>
      <c r="I15" t="s">
        <v>23</v>
      </c>
    </row>
    <row r="17" spans="1:9">
      <c r="A17" t="s">
        <v>13</v>
      </c>
      <c r="B17" s="3">
        <f>B8*$B$9</f>
        <v>480000</v>
      </c>
      <c r="C17" s="3">
        <f t="shared" ref="C17:D17" si="0">C8*$B$9</f>
        <v>440000</v>
      </c>
      <c r="D17" s="3">
        <f t="shared" si="0"/>
        <v>520000</v>
      </c>
      <c r="F17" t="s">
        <v>13</v>
      </c>
      <c r="G17" s="3">
        <f>$B$8*$B$9</f>
        <v>480000</v>
      </c>
      <c r="H17" s="3">
        <f>$B$8*$B$9</f>
        <v>480000</v>
      </c>
      <c r="I17" s="3">
        <f>$B$8*$B$9</f>
        <v>480000</v>
      </c>
    </row>
    <row r="18" spans="1:9">
      <c r="A18" t="s">
        <v>14</v>
      </c>
      <c r="B18" s="3">
        <f>B8*$B$10</f>
        <v>360000</v>
      </c>
      <c r="C18" s="3">
        <f t="shared" ref="C18:D18" si="1">C8*$B$10</f>
        <v>330000</v>
      </c>
      <c r="D18" s="3">
        <f t="shared" si="1"/>
        <v>390000</v>
      </c>
      <c r="F18" t="s">
        <v>14</v>
      </c>
      <c r="G18" s="3">
        <f>$B$8*$B$10</f>
        <v>360000</v>
      </c>
      <c r="H18" s="3">
        <f t="shared" ref="H18:I18" si="2">$B$8*$B$10</f>
        <v>360000</v>
      </c>
      <c r="I18" s="3">
        <f t="shared" si="2"/>
        <v>360000</v>
      </c>
    </row>
    <row r="19" spans="1:9">
      <c r="A19" t="s">
        <v>15</v>
      </c>
      <c r="B19" s="3">
        <f>$B$1/$B$2</f>
        <v>40000</v>
      </c>
      <c r="C19" s="3">
        <f t="shared" ref="C19:D19" si="3">$B$1/$B$2</f>
        <v>40000</v>
      </c>
      <c r="D19" s="3">
        <f t="shared" si="3"/>
        <v>40000</v>
      </c>
      <c r="F19" t="s">
        <v>15</v>
      </c>
      <c r="G19">
        <f>$B$1/$B$2</f>
        <v>40000</v>
      </c>
      <c r="H19">
        <f t="shared" ref="H19:I19" si="4">$B$1/$B$2</f>
        <v>40000</v>
      </c>
      <c r="I19">
        <f t="shared" si="4"/>
        <v>40000</v>
      </c>
    </row>
    <row r="20" spans="1:9">
      <c r="A20" t="s">
        <v>18</v>
      </c>
      <c r="B20" s="3">
        <f>$B$11</f>
        <v>50000</v>
      </c>
      <c r="C20" s="3">
        <f t="shared" ref="C20:D20" si="5">$B$11</f>
        <v>50000</v>
      </c>
      <c r="D20" s="3">
        <f t="shared" si="5"/>
        <v>50000</v>
      </c>
      <c r="F20" t="s">
        <v>18</v>
      </c>
      <c r="G20" s="3">
        <f>B11</f>
        <v>50000</v>
      </c>
      <c r="H20" s="3">
        <f>MAX(B11:D11)</f>
        <v>55000</v>
      </c>
      <c r="I20" s="3">
        <f>MIN(B11:D11)</f>
        <v>45000</v>
      </c>
    </row>
    <row r="21" spans="1:9">
      <c r="A21" t="s">
        <v>16</v>
      </c>
      <c r="B21" s="3">
        <f>B17-B18-B19-B20</f>
        <v>30000</v>
      </c>
      <c r="C21" s="3">
        <f t="shared" ref="C21:D21" si="6">C17-C18-C19-C20</f>
        <v>20000</v>
      </c>
      <c r="D21" s="3">
        <f t="shared" si="6"/>
        <v>40000</v>
      </c>
      <c r="F21" t="s">
        <v>16</v>
      </c>
      <c r="G21">
        <f>G17-G18-G19-G20</f>
        <v>30000</v>
      </c>
      <c r="H21">
        <f t="shared" ref="H21" si="7">H17-H18-H19-H20</f>
        <v>25000</v>
      </c>
      <c r="I21">
        <f t="shared" ref="I21" si="8">I17-I18-I19-I20</f>
        <v>35000</v>
      </c>
    </row>
    <row r="22" spans="1:9">
      <c r="A22" t="s">
        <v>17</v>
      </c>
      <c r="B22" s="3">
        <f>B21*$B$5</f>
        <v>10200</v>
      </c>
      <c r="C22" s="3">
        <f t="shared" ref="C22:D22" si="9">C21*$B$5</f>
        <v>6800.0000000000009</v>
      </c>
      <c r="D22" s="3">
        <f t="shared" si="9"/>
        <v>13600.000000000002</v>
      </c>
      <c r="F22" t="s">
        <v>17</v>
      </c>
      <c r="G22">
        <f>G21*$B$5</f>
        <v>10200</v>
      </c>
      <c r="H22">
        <f t="shared" ref="H22" si="10">H21*$B$5</f>
        <v>8500</v>
      </c>
      <c r="I22">
        <f t="shared" ref="I22" si="11">I21*$B$5</f>
        <v>11900</v>
      </c>
    </row>
    <row r="23" spans="1:9">
      <c r="A23" t="s">
        <v>19</v>
      </c>
      <c r="B23" s="7">
        <f>B21-B22</f>
        <v>19800</v>
      </c>
      <c r="C23" s="7">
        <f t="shared" ref="C23:D23" si="12">C21-C22</f>
        <v>13200</v>
      </c>
      <c r="D23" s="7">
        <f t="shared" si="12"/>
        <v>26400</v>
      </c>
      <c r="F23" t="s">
        <v>19</v>
      </c>
      <c r="G23">
        <f>G21-G22</f>
        <v>19800</v>
      </c>
      <c r="H23">
        <f t="shared" ref="H23" si="13">H21-H22</f>
        <v>16500</v>
      </c>
      <c r="I23">
        <f t="shared" ref="I23" si="14">I21-I22</f>
        <v>23100</v>
      </c>
    </row>
    <row r="25" spans="1:9">
      <c r="A25" t="s">
        <v>20</v>
      </c>
      <c r="B25" s="3">
        <f>B21+B19-B22</f>
        <v>59800</v>
      </c>
      <c r="C25" s="3">
        <f>C21+C19-C22</f>
        <v>53200</v>
      </c>
      <c r="D25" s="3">
        <f>D21+D19-D22</f>
        <v>66400</v>
      </c>
      <c r="F25" t="s">
        <v>20</v>
      </c>
      <c r="G25">
        <f>G21+G19-G22</f>
        <v>59800</v>
      </c>
      <c r="H25">
        <f>H21+H19-H22</f>
        <v>56500</v>
      </c>
      <c r="I25">
        <f>I21+I19-I22</f>
        <v>63100</v>
      </c>
    </row>
    <row r="27" spans="1:9">
      <c r="A27" s="9" t="s">
        <v>21</v>
      </c>
      <c r="B27" s="7">
        <f>(PV($B$4,$B$2,-B25))-$B$1</f>
        <v>15565.616900231398</v>
      </c>
      <c r="C27" s="7">
        <f>(PV($B$4,$B$2,-C25))-$B$1</f>
        <v>-8225.9060352456581</v>
      </c>
      <c r="D27" s="7">
        <f>(PV($B$4,$B$2,-D25))-$B$1</f>
        <v>39357.139835708454</v>
      </c>
      <c r="F27" t="s">
        <v>21</v>
      </c>
      <c r="G27" s="7">
        <f>(PV($B$4,$B$2,-G25))-$B$1</f>
        <v>15565.616900231398</v>
      </c>
      <c r="H27" s="7">
        <f>(PV($B$4,$B$2,-H25))-$B$1</f>
        <v>3669.8554324928846</v>
      </c>
      <c r="I27" s="7">
        <f>(PV($B$4,$B$2,-I25))-$B$1</f>
        <v>27461.378367969912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Case</vt:lpstr>
      <vt:lpstr>Scenario Summary</vt:lpstr>
      <vt:lpstr>Senario Analysis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2025-09-20T02:03:09Z</dcterms:created>
  <dcterms:modified xsi:type="dcterms:W3CDTF">2025-09-20T07:47:44Z</dcterms:modified>
</cp:coreProperties>
</file>